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drawings/drawing5.xml" ContentType="application/vnd.openxmlformats-officedocument.drawing+xml"/>
  <Override PartName="/xl/charts/chart64.xml" ContentType="application/vnd.openxmlformats-officedocument.drawingml.chart+xml"/>
  <Override PartName="/xl/charts/style1.xml" ContentType="application/vnd.ms-office.chartstyle+xml"/>
  <Override PartName="/xl/charts/colors1.xml" ContentType="application/vnd.ms-office.chartcolorstyle+xml"/>
  <Override PartName="/xl/charts/chart65.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9AE341E9-B5D6-41F6-8D63-3EC140105F46}" xr6:coauthVersionLast="47" xr6:coauthVersionMax="47" xr10:uidLastSave="{00000000-0000-0000-0000-000000000000}"/>
  <bookViews>
    <workbookView xWindow="-108" yWindow="-108" windowWidth="23256" windowHeight="13896" tabRatio="890"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35" r:id="rId8"/>
    <sheet name="Interior Lights" sheetId="25" r:id="rId9"/>
    <sheet name="Ext Lighting" sheetId="9" r:id="rId10"/>
    <sheet name="Equipment" sheetId="29" r:id="rId11"/>
    <sheet name="Schedules" sheetId="34" r:id="rId12"/>
    <sheet name="Energy Usage" sheetId="20" r:id="rId13"/>
    <sheet name="Weights" sheetId="21" r:id="rId14"/>
    <sheet name="PV" sheetId="27" state="hidden" r:id="rId15"/>
    <sheet name="EV Charger" sheetId="22" state="hidden" r:id="rId16"/>
    <sheet name="Data" sheetId="33" state="hidden" r:id="rId17"/>
  </sheets>
  <definedNames>
    <definedName name="_xlnm._FilterDatabase" localSheetId="16" hidden="1">Data!$D$1:$G$1</definedName>
    <definedName name="_xlnm._FilterDatabase" localSheetId="10" hidden="1">Equipment!$A$2:$E$15</definedName>
    <definedName name="_xlnm._FilterDatabase" localSheetId="8" hidden="1">'Interior Lights'!$A$2:$G$16</definedName>
    <definedName name="_xlnm._FilterDatabase" localSheetId="11" hidden="1">Schedules!$A$2:$AP$179</definedName>
    <definedName name="_xlnm._FilterDatabase" localSheetId="6" hidden="1">Ventilation!$A$2:$L$41</definedName>
    <definedName name="_xlnm._FilterDatabase" localSheetId="2" hidden="1">Zones!$A$2:$AC$2</definedName>
    <definedName name="nonparticipating_forecastzone_scale_factor" localSheetId="16">#REF!</definedName>
    <definedName name="nonparticipating_forecastzone_scale_factor" localSheetId="11">#REF!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25" l="1"/>
  <c r="C16" i="25"/>
  <c r="F4" i="25"/>
  <c r="C5" i="25"/>
  <c r="F9" i="25"/>
  <c r="C9" i="25"/>
  <c r="C10" i="25"/>
  <c r="C15" i="25"/>
  <c r="I3" i="1"/>
  <c r="J3" i="1"/>
  <c r="K3" i="1"/>
  <c r="L3" i="1"/>
  <c r="M3" i="1"/>
  <c r="N3" i="1"/>
  <c r="O3" i="1"/>
  <c r="P3" i="1"/>
  <c r="Q3" i="1"/>
  <c r="R3" i="1"/>
  <c r="S3" i="1"/>
  <c r="T3" i="1"/>
  <c r="U3" i="1"/>
  <c r="V3" i="1"/>
  <c r="W3" i="1"/>
  <c r="X3" i="1"/>
  <c r="J1" i="21"/>
  <c r="A1" i="21"/>
  <c r="H20" i="21"/>
  <c r="AB5" i="21"/>
  <c r="AB6" i="21"/>
  <c r="AB7" i="21"/>
  <c r="AB9" i="21"/>
  <c r="AB4" i="21"/>
  <c r="H5" i="21"/>
  <c r="H6" i="21"/>
  <c r="H7" i="21"/>
  <c r="H8" i="21"/>
  <c r="H9" i="21"/>
  <c r="H10" i="21"/>
  <c r="H11" i="21"/>
  <c r="H12" i="21"/>
  <c r="H13" i="21"/>
  <c r="H14" i="21"/>
  <c r="H15" i="21"/>
  <c r="H16" i="21"/>
  <c r="H17" i="21"/>
  <c r="H18" i="21"/>
  <c r="H19" i="21"/>
  <c r="H4" i="21"/>
  <c r="AC207" i="34"/>
  <c r="AB207" i="34"/>
  <c r="AA207" i="34"/>
  <c r="Z207" i="34"/>
  <c r="Y207" i="34"/>
  <c r="X207" i="34"/>
  <c r="W207" i="34"/>
  <c r="V207" i="34"/>
  <c r="U207" i="34"/>
  <c r="T207" i="34"/>
  <c r="S207" i="34"/>
  <c r="R207" i="34"/>
  <c r="Q207" i="34"/>
  <c r="P207" i="34"/>
  <c r="O207" i="34"/>
  <c r="N207" i="34"/>
  <c r="M207" i="34"/>
  <c r="L207" i="34"/>
  <c r="K207" i="34"/>
  <c r="J207" i="34"/>
  <c r="I207" i="34"/>
  <c r="H207" i="34"/>
  <c r="G207" i="34"/>
  <c r="F207" i="34"/>
  <c r="AC206" i="34"/>
  <c r="AB206" i="34"/>
  <c r="AA206" i="34"/>
  <c r="Z206" i="34"/>
  <c r="Y206" i="34"/>
  <c r="X206" i="34"/>
  <c r="W206" i="34"/>
  <c r="V206" i="34"/>
  <c r="U206" i="34"/>
  <c r="T206" i="34"/>
  <c r="S206" i="34"/>
  <c r="R206" i="34"/>
  <c r="Q206" i="34"/>
  <c r="P206" i="34"/>
  <c r="O206" i="34"/>
  <c r="N206" i="34"/>
  <c r="M206" i="34"/>
  <c r="L206" i="34"/>
  <c r="K206" i="34"/>
  <c r="J206" i="34"/>
  <c r="I206" i="34"/>
  <c r="H206" i="34"/>
  <c r="G206" i="34"/>
  <c r="F206" i="34"/>
  <c r="AC205" i="34"/>
  <c r="AB205" i="34"/>
  <c r="AA205" i="34"/>
  <c r="Z205" i="34"/>
  <c r="Y205" i="34"/>
  <c r="X205" i="34"/>
  <c r="W205" i="34"/>
  <c r="V205" i="34"/>
  <c r="U205" i="34"/>
  <c r="T205" i="34"/>
  <c r="S205" i="34"/>
  <c r="R205" i="34"/>
  <c r="Q205" i="34"/>
  <c r="P205" i="34"/>
  <c r="O205" i="34"/>
  <c r="N205" i="34"/>
  <c r="M205" i="34"/>
  <c r="L205" i="34"/>
  <c r="K205" i="34"/>
  <c r="J205" i="34"/>
  <c r="I205" i="34"/>
  <c r="H205" i="34"/>
  <c r="G205" i="34"/>
  <c r="F205" i="34"/>
  <c r="AC204" i="34"/>
  <c r="AB204" i="34"/>
  <c r="AA204" i="34"/>
  <c r="Z204" i="34"/>
  <c r="Y204" i="34"/>
  <c r="X204" i="34"/>
  <c r="W204" i="34"/>
  <c r="V204" i="34"/>
  <c r="U204" i="34"/>
  <c r="T204" i="34"/>
  <c r="S204" i="34"/>
  <c r="R204" i="34"/>
  <c r="Q204" i="34"/>
  <c r="P204" i="34"/>
  <c r="O204" i="34"/>
  <c r="N204" i="34"/>
  <c r="M204" i="34"/>
  <c r="L204" i="34"/>
  <c r="K204" i="34"/>
  <c r="J204" i="34"/>
  <c r="I204" i="34"/>
  <c r="H204" i="34"/>
  <c r="G204" i="34"/>
  <c r="F204" i="34"/>
  <c r="AC203" i="34"/>
  <c r="AB203" i="34"/>
  <c r="AA203" i="34"/>
  <c r="Z203" i="34"/>
  <c r="Y203" i="34"/>
  <c r="X203" i="34"/>
  <c r="W203" i="34"/>
  <c r="V203" i="34"/>
  <c r="U203" i="34"/>
  <c r="T203" i="34"/>
  <c r="S203" i="34"/>
  <c r="R203" i="34"/>
  <c r="Q203" i="34"/>
  <c r="P203" i="34"/>
  <c r="O203" i="34"/>
  <c r="N203" i="34"/>
  <c r="M203" i="34"/>
  <c r="L203" i="34"/>
  <c r="K203" i="34"/>
  <c r="J203" i="34"/>
  <c r="I203" i="34"/>
  <c r="H203" i="34"/>
  <c r="G203" i="34"/>
  <c r="F203" i="34"/>
  <c r="AC202" i="34"/>
  <c r="AB202" i="34"/>
  <c r="AA202" i="34"/>
  <c r="Z202" i="34"/>
  <c r="Y202" i="34"/>
  <c r="X202" i="34"/>
  <c r="W202" i="34"/>
  <c r="V202" i="34"/>
  <c r="U202" i="34"/>
  <c r="T202" i="34"/>
  <c r="S202" i="34"/>
  <c r="R202" i="34"/>
  <c r="Q202" i="34"/>
  <c r="P202" i="34"/>
  <c r="O202" i="34"/>
  <c r="N202" i="34"/>
  <c r="M202" i="34"/>
  <c r="L202" i="34"/>
  <c r="K202" i="34"/>
  <c r="J202" i="34"/>
  <c r="I202" i="34"/>
  <c r="H202" i="34"/>
  <c r="G202" i="34"/>
  <c r="F202" i="34"/>
  <c r="AC201" i="34"/>
  <c r="AB201" i="34"/>
  <c r="AA201" i="34"/>
  <c r="Z201" i="34"/>
  <c r="Y201" i="34"/>
  <c r="X201" i="34"/>
  <c r="W201" i="34"/>
  <c r="V201" i="34"/>
  <c r="U201" i="34"/>
  <c r="T201" i="34"/>
  <c r="S201" i="34"/>
  <c r="R201" i="34"/>
  <c r="Q201" i="34"/>
  <c r="P201" i="34"/>
  <c r="O201" i="34"/>
  <c r="N201" i="34"/>
  <c r="M201" i="34"/>
  <c r="L201" i="34"/>
  <c r="K201" i="34"/>
  <c r="J201" i="34"/>
  <c r="I201" i="34"/>
  <c r="H201" i="34"/>
  <c r="G201" i="34"/>
  <c r="F201" i="34"/>
  <c r="AC200" i="34"/>
  <c r="AB200" i="34"/>
  <c r="AA200" i="34"/>
  <c r="Z200" i="34"/>
  <c r="Y200" i="34"/>
  <c r="X200" i="34"/>
  <c r="W200" i="34"/>
  <c r="V200" i="34"/>
  <c r="U200" i="34"/>
  <c r="T200" i="34"/>
  <c r="S200" i="34"/>
  <c r="R200" i="34"/>
  <c r="Q200" i="34"/>
  <c r="P200" i="34"/>
  <c r="O200" i="34"/>
  <c r="N200" i="34"/>
  <c r="M200" i="34"/>
  <c r="L200" i="34"/>
  <c r="K200" i="34"/>
  <c r="J200" i="34"/>
  <c r="I200" i="34"/>
  <c r="H200" i="34"/>
  <c r="G200" i="34"/>
  <c r="F200" i="34"/>
  <c r="AC199" i="34"/>
  <c r="AB199" i="34"/>
  <c r="AA199" i="34"/>
  <c r="Z199" i="34"/>
  <c r="Y199" i="34"/>
  <c r="X199" i="34"/>
  <c r="W199" i="34"/>
  <c r="V199" i="34"/>
  <c r="U199" i="34"/>
  <c r="T199" i="34"/>
  <c r="S199" i="34"/>
  <c r="R199" i="34"/>
  <c r="Q199" i="34"/>
  <c r="P199" i="34"/>
  <c r="O199" i="34"/>
  <c r="N199" i="34"/>
  <c r="M199" i="34"/>
  <c r="L199" i="34"/>
  <c r="K199" i="34"/>
  <c r="J199" i="34"/>
  <c r="I199" i="34"/>
  <c r="H199" i="34"/>
  <c r="G199" i="34"/>
  <c r="F199" i="34"/>
  <c r="AC198" i="34"/>
  <c r="AB198" i="34"/>
  <c r="AA198" i="34"/>
  <c r="Z198" i="34"/>
  <c r="Y198" i="34"/>
  <c r="X198" i="34"/>
  <c r="W198" i="34"/>
  <c r="V198" i="34"/>
  <c r="U198" i="34"/>
  <c r="T198" i="34"/>
  <c r="S198" i="34"/>
  <c r="R198" i="34"/>
  <c r="Q198" i="34"/>
  <c r="P198" i="34"/>
  <c r="O198" i="34"/>
  <c r="N198" i="34"/>
  <c r="M198" i="34"/>
  <c r="L198" i="34"/>
  <c r="K198" i="34"/>
  <c r="J198" i="34"/>
  <c r="I198" i="34"/>
  <c r="H198" i="34"/>
  <c r="G198" i="34"/>
  <c r="F198" i="34"/>
  <c r="AC197" i="34"/>
  <c r="AB197" i="34"/>
  <c r="AA197" i="34"/>
  <c r="Z197" i="34"/>
  <c r="Y197" i="34"/>
  <c r="X197" i="34"/>
  <c r="W197" i="34"/>
  <c r="V197" i="34"/>
  <c r="U197" i="34"/>
  <c r="T197" i="34"/>
  <c r="S197" i="34"/>
  <c r="R197" i="34"/>
  <c r="Q197" i="34"/>
  <c r="P197" i="34"/>
  <c r="O197" i="34"/>
  <c r="N197" i="34"/>
  <c r="M197" i="34"/>
  <c r="L197" i="34"/>
  <c r="K197" i="34"/>
  <c r="J197" i="34"/>
  <c r="I197" i="34"/>
  <c r="H197" i="34"/>
  <c r="G197" i="34"/>
  <c r="F197" i="34"/>
  <c r="AC196" i="34"/>
  <c r="AB196" i="34"/>
  <c r="AA196" i="34"/>
  <c r="Z196" i="34"/>
  <c r="Y196" i="34"/>
  <c r="X196" i="34"/>
  <c r="W196" i="34"/>
  <c r="V196" i="34"/>
  <c r="U196" i="34"/>
  <c r="T196" i="34"/>
  <c r="S196" i="34"/>
  <c r="R196" i="34"/>
  <c r="Q196" i="34"/>
  <c r="P196" i="34"/>
  <c r="O196" i="34"/>
  <c r="N196" i="34"/>
  <c r="M196" i="34"/>
  <c r="L196" i="34"/>
  <c r="K196" i="34"/>
  <c r="J196" i="34"/>
  <c r="I196" i="34"/>
  <c r="H196" i="34"/>
  <c r="G196" i="34"/>
  <c r="F196" i="34"/>
  <c r="AC195" i="34"/>
  <c r="AB195" i="34"/>
  <c r="AA195" i="34"/>
  <c r="Z195" i="34"/>
  <c r="Y195" i="34"/>
  <c r="X195" i="34"/>
  <c r="W195" i="34"/>
  <c r="V195" i="34"/>
  <c r="U195" i="34"/>
  <c r="T195" i="34"/>
  <c r="S195" i="34"/>
  <c r="R195" i="34"/>
  <c r="Q195" i="34"/>
  <c r="P195" i="34"/>
  <c r="O195" i="34"/>
  <c r="N195" i="34"/>
  <c r="M195" i="34"/>
  <c r="L195" i="34"/>
  <c r="K195" i="34"/>
  <c r="J195" i="34"/>
  <c r="I195" i="34"/>
  <c r="H195" i="34"/>
  <c r="G195" i="34"/>
  <c r="F195" i="34"/>
  <c r="AC194" i="34"/>
  <c r="AB194" i="34"/>
  <c r="AA194" i="34"/>
  <c r="Z194" i="34"/>
  <c r="Y194" i="34"/>
  <c r="X194" i="34"/>
  <c r="W194" i="34"/>
  <c r="V194" i="34"/>
  <c r="U194" i="34"/>
  <c r="T194" i="34"/>
  <c r="S194" i="34"/>
  <c r="R194" i="34"/>
  <c r="Q194" i="34"/>
  <c r="P194" i="34"/>
  <c r="O194" i="34"/>
  <c r="N194" i="34"/>
  <c r="M194" i="34"/>
  <c r="L194" i="34"/>
  <c r="K194" i="34"/>
  <c r="J194" i="34"/>
  <c r="I194" i="34"/>
  <c r="H194" i="34"/>
  <c r="G194" i="34"/>
  <c r="F194" i="34"/>
  <c r="AC193" i="34"/>
  <c r="AB193" i="34"/>
  <c r="AA193" i="34"/>
  <c r="Z193" i="34"/>
  <c r="Y193" i="34"/>
  <c r="X193" i="34"/>
  <c r="W193" i="34"/>
  <c r="V193" i="34"/>
  <c r="U193" i="34"/>
  <c r="T193" i="34"/>
  <c r="S193" i="34"/>
  <c r="R193" i="34"/>
  <c r="Q193" i="34"/>
  <c r="P193" i="34"/>
  <c r="O193" i="34"/>
  <c r="N193" i="34"/>
  <c r="M193" i="34"/>
  <c r="L193" i="34"/>
  <c r="K193" i="34"/>
  <c r="J193" i="34"/>
  <c r="I193" i="34"/>
  <c r="H193" i="34"/>
  <c r="G193" i="34"/>
  <c r="F193" i="34"/>
  <c r="AC192" i="34"/>
  <c r="AB192" i="34"/>
  <c r="AA192" i="34"/>
  <c r="Z192" i="34"/>
  <c r="Y192" i="34"/>
  <c r="X192" i="34"/>
  <c r="W192" i="34"/>
  <c r="V192" i="34"/>
  <c r="U192" i="34"/>
  <c r="T192" i="34"/>
  <c r="S192" i="34"/>
  <c r="R192" i="34"/>
  <c r="Q192" i="34"/>
  <c r="P192" i="34"/>
  <c r="O192" i="34"/>
  <c r="N192" i="34"/>
  <c r="M192" i="34"/>
  <c r="L192" i="34"/>
  <c r="K192" i="34"/>
  <c r="J192" i="34"/>
  <c r="I192" i="34"/>
  <c r="H192" i="34"/>
  <c r="G192" i="34"/>
  <c r="F192" i="34"/>
  <c r="AC191" i="34"/>
  <c r="AB191" i="34"/>
  <c r="AA191" i="34"/>
  <c r="Z191" i="34"/>
  <c r="Y191" i="34"/>
  <c r="X191" i="34"/>
  <c r="W191" i="34"/>
  <c r="V191" i="34"/>
  <c r="U191" i="34"/>
  <c r="T191" i="34"/>
  <c r="S191" i="34"/>
  <c r="R191" i="34"/>
  <c r="Q191" i="34"/>
  <c r="P191" i="34"/>
  <c r="O191" i="34"/>
  <c r="N191" i="34"/>
  <c r="M191" i="34"/>
  <c r="L191" i="34"/>
  <c r="K191" i="34"/>
  <c r="J191" i="34"/>
  <c r="I191" i="34"/>
  <c r="H191" i="34"/>
  <c r="G191" i="34"/>
  <c r="F191" i="34"/>
  <c r="AC190" i="34"/>
  <c r="AB190" i="34"/>
  <c r="AA190" i="34"/>
  <c r="Z190" i="34"/>
  <c r="Y190" i="34"/>
  <c r="X190" i="34"/>
  <c r="W190" i="34"/>
  <c r="V190" i="34"/>
  <c r="U190" i="34"/>
  <c r="T190" i="34"/>
  <c r="S190" i="34"/>
  <c r="R190" i="34"/>
  <c r="Q190" i="34"/>
  <c r="P190" i="34"/>
  <c r="O190" i="34"/>
  <c r="N190" i="34"/>
  <c r="M190" i="34"/>
  <c r="L190" i="34"/>
  <c r="K190" i="34"/>
  <c r="J190" i="34"/>
  <c r="I190" i="34"/>
  <c r="H190" i="34"/>
  <c r="G190" i="34"/>
  <c r="F190" i="34"/>
  <c r="A1" i="34"/>
  <c r="G43" i="18"/>
  <c r="A114" i="35" l="1"/>
  <c r="A115" i="35"/>
  <c r="A116" i="35"/>
  <c r="A117" i="35"/>
  <c r="A118" i="35"/>
  <c r="A119" i="35"/>
  <c r="A120" i="35"/>
  <c r="A121" i="35"/>
  <c r="A122" i="35"/>
  <c r="A123" i="35"/>
  <c r="A124" i="35"/>
  <c r="A125" i="35"/>
  <c r="A126" i="35"/>
  <c r="A127" i="35"/>
  <c r="A128" i="35"/>
  <c r="A113" i="35"/>
  <c r="A98" i="35"/>
  <c r="A99" i="35"/>
  <c r="A100" i="35"/>
  <c r="A101" i="35"/>
  <c r="A102" i="35"/>
  <c r="A103" i="35"/>
  <c r="A104" i="35"/>
  <c r="A105" i="35"/>
  <c r="A106" i="35"/>
  <c r="A107" i="35"/>
  <c r="A108" i="35"/>
  <c r="A109" i="35"/>
  <c r="A110" i="35"/>
  <c r="A111" i="35"/>
  <c r="A112" i="35"/>
  <c r="A97" i="35"/>
  <c r="A82" i="35"/>
  <c r="A83" i="35"/>
  <c r="A84" i="35"/>
  <c r="A85" i="35"/>
  <c r="A86" i="35"/>
  <c r="A87" i="35"/>
  <c r="A88" i="35"/>
  <c r="A89" i="35"/>
  <c r="A90" i="35"/>
  <c r="A91" i="35"/>
  <c r="A92" i="35"/>
  <c r="A93" i="35"/>
  <c r="A94" i="35"/>
  <c r="A95" i="35"/>
  <c r="A96" i="35"/>
  <c r="A81" i="35"/>
  <c r="A80" i="35"/>
  <c r="A66" i="35"/>
  <c r="A67" i="35"/>
  <c r="A68" i="35"/>
  <c r="A69" i="35"/>
  <c r="A70" i="35"/>
  <c r="A71" i="35"/>
  <c r="A72" i="35"/>
  <c r="A73" i="35"/>
  <c r="A74" i="35"/>
  <c r="A75" i="35"/>
  <c r="A76" i="35"/>
  <c r="A77" i="35"/>
  <c r="A78" i="35"/>
  <c r="A79" i="35"/>
  <c r="A65" i="35"/>
  <c r="B237" i="34"/>
  <c r="B240" i="34" s="1"/>
  <c r="B243" i="34" s="1"/>
  <c r="B246" i="34" s="1"/>
  <c r="B249" i="34" s="1"/>
  <c r="B252" i="34" s="1"/>
  <c r="B255" i="34" s="1"/>
  <c r="A237" i="34"/>
  <c r="A240" i="34" s="1"/>
  <c r="A243" i="34" s="1"/>
  <c r="A246" i="34" s="1"/>
  <c r="A249" i="34" s="1"/>
  <c r="A252" i="34" s="1"/>
  <c r="A255" i="34" s="1"/>
  <c r="G227" i="34"/>
  <c r="H227" i="34"/>
  <c r="I227" i="34"/>
  <c r="J227" i="34"/>
  <c r="K227" i="34"/>
  <c r="L227" i="34"/>
  <c r="M227" i="34"/>
  <c r="N227" i="34"/>
  <c r="O227" i="34"/>
  <c r="P227" i="34"/>
  <c r="Q227" i="34"/>
  <c r="R227" i="34"/>
  <c r="S227" i="34"/>
  <c r="T227" i="34"/>
  <c r="U227" i="34"/>
  <c r="V227" i="34"/>
  <c r="W227" i="34"/>
  <c r="X227" i="34"/>
  <c r="Y227" i="34"/>
  <c r="Z227" i="34"/>
  <c r="AA227" i="34"/>
  <c r="AB227" i="34"/>
  <c r="AC227" i="34"/>
  <c r="G228" i="34"/>
  <c r="H228" i="34"/>
  <c r="I228" i="34"/>
  <c r="J228" i="34"/>
  <c r="K228" i="34"/>
  <c r="L228" i="34"/>
  <c r="M228" i="34"/>
  <c r="N228" i="34"/>
  <c r="O228" i="34"/>
  <c r="P228" i="34"/>
  <c r="Q228" i="34"/>
  <c r="R228" i="34"/>
  <c r="S228" i="34"/>
  <c r="T228" i="34"/>
  <c r="U228" i="34"/>
  <c r="V228" i="34"/>
  <c r="W228" i="34"/>
  <c r="X228" i="34"/>
  <c r="Y228" i="34"/>
  <c r="Z228" i="34"/>
  <c r="AA228" i="34"/>
  <c r="AB228" i="34"/>
  <c r="AC228" i="34"/>
  <c r="G229" i="34"/>
  <c r="H229" i="34"/>
  <c r="I229" i="34"/>
  <c r="J229" i="34"/>
  <c r="K229" i="34"/>
  <c r="L229" i="34"/>
  <c r="M229" i="34"/>
  <c r="N229" i="34"/>
  <c r="O229" i="34"/>
  <c r="P229" i="34"/>
  <c r="Q229" i="34"/>
  <c r="R229" i="34"/>
  <c r="S229" i="34"/>
  <c r="T229" i="34"/>
  <c r="U229" i="34"/>
  <c r="V229" i="34"/>
  <c r="W229" i="34"/>
  <c r="X229" i="34"/>
  <c r="Y229" i="34"/>
  <c r="Z229" i="34"/>
  <c r="AA229" i="34"/>
  <c r="AB229" i="34"/>
  <c r="AC229" i="34"/>
  <c r="F228" i="34"/>
  <c r="F229" i="34"/>
  <c r="F227" i="34"/>
  <c r="G224" i="34"/>
  <c r="H224" i="34"/>
  <c r="I224" i="34"/>
  <c r="J224" i="34"/>
  <c r="K224" i="34"/>
  <c r="L224" i="34"/>
  <c r="M224" i="34"/>
  <c r="N224" i="34"/>
  <c r="O224" i="34"/>
  <c r="P224" i="34"/>
  <c r="Q224" i="34"/>
  <c r="R224" i="34"/>
  <c r="S224" i="34"/>
  <c r="T224" i="34"/>
  <c r="U224" i="34"/>
  <c r="V224" i="34"/>
  <c r="W224" i="34"/>
  <c r="X224" i="34"/>
  <c r="Y224" i="34"/>
  <c r="Z224" i="34"/>
  <c r="AA224" i="34"/>
  <c r="AB224" i="34"/>
  <c r="AC224" i="34"/>
  <c r="G225" i="34"/>
  <c r="H225" i="34"/>
  <c r="I225" i="34"/>
  <c r="J225" i="34"/>
  <c r="K225" i="34"/>
  <c r="L225" i="34"/>
  <c r="M225" i="34"/>
  <c r="N225" i="34"/>
  <c r="O225" i="34"/>
  <c r="P225" i="34"/>
  <c r="Q225" i="34"/>
  <c r="R225" i="34"/>
  <c r="S225" i="34"/>
  <c r="T225" i="34"/>
  <c r="U225" i="34"/>
  <c r="V225" i="34"/>
  <c r="W225" i="34"/>
  <c r="X225" i="34"/>
  <c r="Y225" i="34"/>
  <c r="Z225" i="34"/>
  <c r="AA225" i="34"/>
  <c r="AB225" i="34"/>
  <c r="AC225" i="34"/>
  <c r="G226" i="34"/>
  <c r="H226" i="34"/>
  <c r="I226" i="34"/>
  <c r="J226" i="34"/>
  <c r="K226" i="34"/>
  <c r="L226" i="34"/>
  <c r="M226" i="34"/>
  <c r="N226" i="34"/>
  <c r="O226" i="34"/>
  <c r="P226" i="34"/>
  <c r="Q226" i="34"/>
  <c r="R226" i="34"/>
  <c r="S226" i="34"/>
  <c r="T226" i="34"/>
  <c r="U226" i="34"/>
  <c r="V226" i="34"/>
  <c r="W226" i="34"/>
  <c r="X226" i="34"/>
  <c r="Y226" i="34"/>
  <c r="Z226" i="34"/>
  <c r="AA226" i="34"/>
  <c r="AB226" i="34"/>
  <c r="AC226" i="34"/>
  <c r="F225" i="34"/>
  <c r="F226" i="34"/>
  <c r="F224" i="34"/>
  <c r="B212" i="34"/>
  <c r="B215" i="34" s="1"/>
  <c r="B218" i="34" s="1"/>
  <c r="B221" i="34" s="1"/>
  <c r="B224" i="34" s="1"/>
  <c r="B227" i="34" s="1"/>
  <c r="B230" i="34" s="1"/>
  <c r="A212" i="34"/>
  <c r="A215" i="34" s="1"/>
  <c r="A218" i="34" s="1"/>
  <c r="A221" i="34" s="1"/>
  <c r="A224" i="34" s="1"/>
  <c r="A227" i="34" s="1"/>
  <c r="A230" i="34" s="1"/>
  <c r="A187" i="34"/>
  <c r="A184" i="34"/>
  <c r="B187" i="34"/>
  <c r="B184" i="34"/>
  <c r="AC189" i="34"/>
  <c r="AB189" i="34"/>
  <c r="AA189" i="34"/>
  <c r="Z189" i="34"/>
  <c r="Y189" i="34"/>
  <c r="X189" i="34"/>
  <c r="W189" i="34"/>
  <c r="V189" i="34"/>
  <c r="U189" i="34"/>
  <c r="T189" i="34"/>
  <c r="S189" i="34"/>
  <c r="R189" i="34"/>
  <c r="Q189" i="34"/>
  <c r="P189" i="34"/>
  <c r="O189" i="34"/>
  <c r="N189" i="34"/>
  <c r="M189" i="34"/>
  <c r="L189" i="34"/>
  <c r="K189" i="34"/>
  <c r="J189" i="34"/>
  <c r="I189" i="34"/>
  <c r="H189" i="34"/>
  <c r="G189" i="34"/>
  <c r="F189" i="34"/>
  <c r="AC188" i="34"/>
  <c r="AB188" i="34"/>
  <c r="AA188" i="34"/>
  <c r="Z188" i="34"/>
  <c r="Y188" i="34"/>
  <c r="X188" i="34"/>
  <c r="W188" i="34"/>
  <c r="V188" i="34"/>
  <c r="U188" i="34"/>
  <c r="T188" i="34"/>
  <c r="S188" i="34"/>
  <c r="R188" i="34"/>
  <c r="Q188" i="34"/>
  <c r="P188" i="34"/>
  <c r="O188" i="34"/>
  <c r="N188" i="34"/>
  <c r="M188" i="34"/>
  <c r="L188" i="34"/>
  <c r="K188" i="34"/>
  <c r="J188" i="34"/>
  <c r="I188" i="34"/>
  <c r="H188" i="34"/>
  <c r="G188" i="34"/>
  <c r="F188" i="34"/>
  <c r="AC187" i="34"/>
  <c r="AB187" i="34"/>
  <c r="AA187" i="34"/>
  <c r="Z187" i="34"/>
  <c r="Y187" i="34"/>
  <c r="X187" i="34"/>
  <c r="W187" i="34"/>
  <c r="V187" i="34"/>
  <c r="U187" i="34"/>
  <c r="T187" i="34"/>
  <c r="S187" i="34"/>
  <c r="R187" i="34"/>
  <c r="Q187" i="34"/>
  <c r="P187" i="34"/>
  <c r="O187" i="34"/>
  <c r="N187" i="34"/>
  <c r="M187" i="34"/>
  <c r="L187" i="34"/>
  <c r="K187" i="34"/>
  <c r="J187" i="34"/>
  <c r="I187" i="34"/>
  <c r="H187" i="34"/>
  <c r="G187" i="34"/>
  <c r="F187" i="34"/>
  <c r="AC186" i="34"/>
  <c r="AB186" i="34"/>
  <c r="AA186" i="34"/>
  <c r="Z186" i="34"/>
  <c r="Y186" i="34"/>
  <c r="X186" i="34"/>
  <c r="W186" i="34"/>
  <c r="V186" i="34"/>
  <c r="U186" i="34"/>
  <c r="T186" i="34"/>
  <c r="S186" i="34"/>
  <c r="R186" i="34"/>
  <c r="Q186" i="34"/>
  <c r="P186" i="34"/>
  <c r="O186" i="34"/>
  <c r="N186" i="34"/>
  <c r="M186" i="34"/>
  <c r="L186" i="34"/>
  <c r="K186" i="34"/>
  <c r="J186" i="34"/>
  <c r="I186" i="34"/>
  <c r="H186" i="34"/>
  <c r="G186" i="34"/>
  <c r="F186" i="34"/>
  <c r="AC185" i="34"/>
  <c r="AB185" i="34"/>
  <c r="AA185" i="34"/>
  <c r="Z185" i="34"/>
  <c r="Y185" i="34"/>
  <c r="X185" i="34"/>
  <c r="W185" i="34"/>
  <c r="V185" i="34"/>
  <c r="U185" i="34"/>
  <c r="T185" i="34"/>
  <c r="S185" i="34"/>
  <c r="R185" i="34"/>
  <c r="Q185" i="34"/>
  <c r="P185" i="34"/>
  <c r="O185" i="34"/>
  <c r="N185" i="34"/>
  <c r="M185" i="34"/>
  <c r="L185" i="34"/>
  <c r="K185" i="34"/>
  <c r="J185" i="34"/>
  <c r="I185" i="34"/>
  <c r="H185" i="34"/>
  <c r="G185" i="34"/>
  <c r="F185" i="34"/>
  <c r="AC184" i="34"/>
  <c r="AB184" i="34"/>
  <c r="AA184" i="34"/>
  <c r="Z184" i="34"/>
  <c r="Y184" i="34"/>
  <c r="X184" i="34"/>
  <c r="W184" i="34"/>
  <c r="V184" i="34"/>
  <c r="U184" i="34"/>
  <c r="T184" i="34"/>
  <c r="S184" i="34"/>
  <c r="R184" i="34"/>
  <c r="Q184" i="34"/>
  <c r="P184" i="34"/>
  <c r="O184" i="34"/>
  <c r="N184" i="34"/>
  <c r="M184" i="34"/>
  <c r="L184" i="34"/>
  <c r="K184" i="34"/>
  <c r="J184" i="34"/>
  <c r="I184" i="34"/>
  <c r="H184" i="34"/>
  <c r="G184" i="34"/>
  <c r="F184" i="34"/>
  <c r="AC72" i="34"/>
  <c r="AB72" i="34"/>
  <c r="AA72" i="34"/>
  <c r="Z72" i="34"/>
  <c r="Y72" i="34"/>
  <c r="X72" i="34"/>
  <c r="W72" i="34"/>
  <c r="V72" i="34"/>
  <c r="U72" i="34"/>
  <c r="T72" i="34"/>
  <c r="S72" i="34"/>
  <c r="R72" i="34"/>
  <c r="Q72" i="34"/>
  <c r="P72" i="34"/>
  <c r="O72" i="34"/>
  <c r="N72" i="34"/>
  <c r="M72" i="34"/>
  <c r="L72" i="34"/>
  <c r="K72" i="34"/>
  <c r="J72" i="34"/>
  <c r="I72" i="34"/>
  <c r="H72" i="34"/>
  <c r="G72" i="34"/>
  <c r="F72" i="34"/>
  <c r="AC71" i="34"/>
  <c r="AB71" i="34"/>
  <c r="AA71" i="34"/>
  <c r="Z71" i="34"/>
  <c r="Y71" i="34"/>
  <c r="X71" i="34"/>
  <c r="W71" i="34"/>
  <c r="V71" i="34"/>
  <c r="U71" i="34"/>
  <c r="T71" i="34"/>
  <c r="S71" i="34"/>
  <c r="R71" i="34"/>
  <c r="Q71" i="34"/>
  <c r="P71" i="34"/>
  <c r="O71" i="34"/>
  <c r="N71" i="34"/>
  <c r="M71" i="34"/>
  <c r="L71" i="34"/>
  <c r="K71" i="34"/>
  <c r="J71" i="34"/>
  <c r="I71" i="34"/>
  <c r="H71" i="34"/>
  <c r="G71" i="34"/>
  <c r="F71" i="34"/>
  <c r="AC70" i="34"/>
  <c r="AB70" i="34"/>
  <c r="AA70" i="34"/>
  <c r="Z70" i="34"/>
  <c r="Y70" i="34"/>
  <c r="X70" i="34"/>
  <c r="W70" i="34"/>
  <c r="V70" i="34"/>
  <c r="U70" i="34"/>
  <c r="T70" i="34"/>
  <c r="S70" i="34"/>
  <c r="R70" i="34"/>
  <c r="Q70" i="34"/>
  <c r="P70" i="34"/>
  <c r="O70" i="34"/>
  <c r="N70" i="34"/>
  <c r="M70" i="34"/>
  <c r="L70" i="34"/>
  <c r="K70" i="34"/>
  <c r="J70" i="34"/>
  <c r="I70" i="34"/>
  <c r="H70" i="34"/>
  <c r="G70" i="34"/>
  <c r="F70" i="34"/>
  <c r="AC69" i="34"/>
  <c r="AB69" i="34"/>
  <c r="AA69" i="34"/>
  <c r="Z69" i="34"/>
  <c r="Y69" i="34"/>
  <c r="X69" i="34"/>
  <c r="W69" i="34"/>
  <c r="V69" i="34"/>
  <c r="U69" i="34"/>
  <c r="T69" i="34"/>
  <c r="S69" i="34"/>
  <c r="R69" i="34"/>
  <c r="Q69" i="34"/>
  <c r="P69" i="34"/>
  <c r="O69" i="34"/>
  <c r="N69" i="34"/>
  <c r="M69" i="34"/>
  <c r="L69" i="34"/>
  <c r="K69" i="34"/>
  <c r="J69" i="34"/>
  <c r="I69" i="34"/>
  <c r="H69" i="34"/>
  <c r="G69" i="34"/>
  <c r="F69" i="34"/>
  <c r="AC68" i="34"/>
  <c r="AB68" i="34"/>
  <c r="AA68" i="34"/>
  <c r="Z68" i="34"/>
  <c r="Y68" i="34"/>
  <c r="X68" i="34"/>
  <c r="W68" i="34"/>
  <c r="V68" i="34"/>
  <c r="U68" i="34"/>
  <c r="T68" i="34"/>
  <c r="S68" i="34"/>
  <c r="R68" i="34"/>
  <c r="Q68" i="34"/>
  <c r="P68" i="34"/>
  <c r="O68" i="34"/>
  <c r="N68" i="34"/>
  <c r="M68" i="34"/>
  <c r="L68" i="34"/>
  <c r="K68" i="34"/>
  <c r="J68" i="34"/>
  <c r="I68" i="34"/>
  <c r="H68" i="34"/>
  <c r="G68" i="34"/>
  <c r="F68" i="34"/>
  <c r="AC67" i="34"/>
  <c r="AB67" i="34"/>
  <c r="AA67" i="34"/>
  <c r="Z67" i="34"/>
  <c r="Y67" i="34"/>
  <c r="X67" i="34"/>
  <c r="W67" i="34"/>
  <c r="V67" i="34"/>
  <c r="U67" i="34"/>
  <c r="T67" i="34"/>
  <c r="S67" i="34"/>
  <c r="R67" i="34"/>
  <c r="Q67" i="34"/>
  <c r="P67" i="34"/>
  <c r="O67" i="34"/>
  <c r="N67" i="34"/>
  <c r="M67" i="34"/>
  <c r="L67" i="34"/>
  <c r="K67" i="34"/>
  <c r="J67" i="34"/>
  <c r="I67" i="34"/>
  <c r="H67" i="34"/>
  <c r="G67" i="34"/>
  <c r="F67" i="34"/>
  <c r="E25" i="9"/>
  <c r="D25" i="9"/>
  <c r="C25" i="9"/>
  <c r="B25" i="9"/>
  <c r="AA64" i="1"/>
  <c r="AA63" i="1"/>
  <c r="AA58" i="1"/>
  <c r="AA57" i="1"/>
  <c r="AA52" i="1"/>
  <c r="AA51" i="1"/>
  <c r="AA45" i="1"/>
  <c r="AA46" i="1"/>
  <c r="I13" i="1" a="1"/>
  <c r="I13" i="1" s="1"/>
  <c r="I7" i="1" a="1"/>
  <c r="I7" i="1" s="1"/>
  <c r="AA54" i="1" l="1"/>
  <c r="AA60" i="1"/>
  <c r="AA66" i="1"/>
  <c r="AA48" i="1"/>
  <c r="I48" i="1" l="1"/>
  <c r="I46" i="1"/>
  <c r="I45" i="1"/>
  <c r="I47" i="1" s="1"/>
  <c r="I44" i="1"/>
  <c r="I43" i="1"/>
  <c r="I63" i="1"/>
  <c r="I65" i="1" s="1"/>
  <c r="I66" i="1"/>
  <c r="I61" i="1"/>
  <c r="I64" i="1"/>
  <c r="I62" i="1"/>
  <c r="I60" i="1"/>
  <c r="I57" i="1"/>
  <c r="I59" i="1" s="1"/>
  <c r="I58" i="1"/>
  <c r="I56" i="1"/>
  <c r="I55" i="1"/>
  <c r="I54" i="1"/>
  <c r="I51" i="1"/>
  <c r="I53" i="1" s="1"/>
  <c r="I49" i="1"/>
  <c r="I52" i="1"/>
  <c r="I50" i="1"/>
  <c r="AD150" i="34" l="1"/>
  <c r="C48" i="29" s="1"/>
  <c r="G20" i="29" l="1"/>
  <c r="G21" i="29"/>
  <c r="X34" i="1" l="1"/>
  <c r="W34" i="1"/>
  <c r="V34" i="1"/>
  <c r="U34" i="1"/>
  <c r="T34" i="1"/>
  <c r="S34" i="1"/>
  <c r="R34" i="1"/>
  <c r="Q34" i="1"/>
  <c r="P34" i="1"/>
  <c r="O34" i="1"/>
  <c r="N34" i="1"/>
  <c r="M34" i="1"/>
  <c r="L34" i="1"/>
  <c r="K34" i="1"/>
  <c r="J34" i="1"/>
  <c r="I34" i="1"/>
  <c r="X28" i="1"/>
  <c r="W28" i="1"/>
  <c r="V28" i="1"/>
  <c r="U28" i="1"/>
  <c r="T28" i="1"/>
  <c r="S28" i="1"/>
  <c r="R28" i="1"/>
  <c r="Q28" i="1"/>
  <c r="P28" i="1"/>
  <c r="O28" i="1"/>
  <c r="N28" i="1"/>
  <c r="M28" i="1"/>
  <c r="L28" i="1"/>
  <c r="K28" i="1"/>
  <c r="J28" i="1"/>
  <c r="I28" i="1"/>
  <c r="I37" i="1" l="1" a="1"/>
  <c r="I37" i="1" s="1"/>
  <c r="I31" i="1" a="1"/>
  <c r="I31" i="1" s="1"/>
  <c r="B61" i="35" l="1"/>
  <c r="I10" i="13" l="1"/>
  <c r="I15" i="13"/>
  <c r="K4" i="13" l="1"/>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3" i="13"/>
  <c r="C45" i="35" l="1"/>
  <c r="A45" i="35"/>
  <c r="C44" i="35"/>
  <c r="A44" i="35"/>
  <c r="C43" i="35"/>
  <c r="A43" i="35"/>
  <c r="C42" i="35"/>
  <c r="A42" i="35"/>
  <c r="C41" i="35"/>
  <c r="A41" i="35"/>
  <c r="C40" i="35"/>
  <c r="A40" i="35"/>
  <c r="C39" i="35"/>
  <c r="A39" i="35"/>
  <c r="C38" i="35"/>
  <c r="A38" i="35"/>
  <c r="C37" i="35"/>
  <c r="A37" i="35"/>
  <c r="C36" i="35"/>
  <c r="A36" i="35"/>
  <c r="C35" i="35"/>
  <c r="A35" i="35"/>
  <c r="C34" i="35"/>
  <c r="A34" i="35"/>
  <c r="C33" i="35"/>
  <c r="A33" i="35"/>
  <c r="C32" i="35"/>
  <c r="A32" i="35"/>
  <c r="C31" i="35"/>
  <c r="A31" i="35"/>
  <c r="C30" i="35"/>
  <c r="A30" i="35"/>
  <c r="C29" i="35"/>
  <c r="A29" i="35"/>
  <c r="C28" i="35"/>
  <c r="A28" i="35"/>
  <c r="C27" i="35"/>
  <c r="A27" i="35"/>
  <c r="C26" i="35"/>
  <c r="A26" i="35"/>
  <c r="C25" i="35"/>
  <c r="A25" i="35"/>
  <c r="C24" i="35"/>
  <c r="A24" i="35"/>
  <c r="C23" i="35"/>
  <c r="A23" i="35"/>
  <c r="C22" i="35"/>
  <c r="A22" i="35"/>
  <c r="C21" i="35"/>
  <c r="A21" i="35"/>
  <c r="C20" i="35"/>
  <c r="A20" i="35"/>
  <c r="C19" i="35"/>
  <c r="A19" i="35"/>
  <c r="C18" i="35"/>
  <c r="A18" i="35"/>
  <c r="C17" i="35"/>
  <c r="A17" i="35"/>
  <c r="C16" i="35"/>
  <c r="A16" i="35"/>
  <c r="C15" i="35"/>
  <c r="A15" i="35"/>
  <c r="C14" i="35"/>
  <c r="A14" i="35"/>
  <c r="C13" i="35"/>
  <c r="A13" i="35"/>
  <c r="C12" i="35"/>
  <c r="A12" i="35"/>
  <c r="C11" i="35"/>
  <c r="A11" i="35"/>
  <c r="C10" i="35"/>
  <c r="A10" i="35"/>
  <c r="C9" i="35"/>
  <c r="A9" i="35"/>
  <c r="C8" i="35"/>
  <c r="A8" i="35"/>
  <c r="A1" i="35"/>
  <c r="H131" i="35"/>
  <c r="C4" i="35"/>
  <c r="I3" i="13" l="1"/>
  <c r="I4" i="13"/>
  <c r="I5" i="13"/>
  <c r="I6" i="13"/>
  <c r="I7" i="13"/>
  <c r="I8" i="13"/>
  <c r="I9" i="13"/>
  <c r="I11" i="13"/>
  <c r="I12" i="13"/>
  <c r="I13" i="13"/>
  <c r="I14"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l="1"/>
  <c r="H20" i="29"/>
  <c r="I20" i="29"/>
  <c r="H21" i="29"/>
  <c r="I21" i="29"/>
  <c r="J15" i="1"/>
  <c r="K15" i="1"/>
  <c r="L15" i="1"/>
  <c r="M15" i="1"/>
  <c r="N15" i="1"/>
  <c r="O15" i="1"/>
  <c r="P15" i="1"/>
  <c r="Q15" i="1"/>
  <c r="R15" i="1"/>
  <c r="S15" i="1"/>
  <c r="T15" i="1"/>
  <c r="U15" i="1"/>
  <c r="V15" i="1"/>
  <c r="W15" i="1"/>
  <c r="X15" i="1"/>
  <c r="J16" i="1"/>
  <c r="K16" i="1"/>
  <c r="L16" i="1"/>
  <c r="M16" i="1"/>
  <c r="N16" i="1"/>
  <c r="O16" i="1"/>
  <c r="P16" i="1"/>
  <c r="Q16" i="1"/>
  <c r="R16" i="1"/>
  <c r="S16" i="1"/>
  <c r="T16" i="1"/>
  <c r="U16" i="1"/>
  <c r="V16" i="1"/>
  <c r="W16" i="1"/>
  <c r="X16" i="1"/>
  <c r="I16" i="1"/>
  <c r="I15" i="1"/>
  <c r="T4" i="20"/>
  <c r="U4" i="20"/>
  <c r="T5" i="20"/>
  <c r="U5" i="20"/>
  <c r="T6" i="20"/>
  <c r="U6" i="20"/>
  <c r="T7" i="20"/>
  <c r="U7" i="20"/>
  <c r="T8" i="20"/>
  <c r="U8" i="20"/>
  <c r="T9" i="20"/>
  <c r="U9" i="20"/>
  <c r="T10" i="20"/>
  <c r="U10" i="20"/>
  <c r="T11" i="20"/>
  <c r="U11" i="20"/>
  <c r="T12" i="20"/>
  <c r="U12" i="20"/>
  <c r="T13" i="20"/>
  <c r="U13" i="20"/>
  <c r="T14" i="20"/>
  <c r="U14" i="20"/>
  <c r="T15" i="20"/>
  <c r="U15" i="20"/>
  <c r="T16" i="20"/>
  <c r="U16" i="20"/>
  <c r="T17" i="20"/>
  <c r="U17" i="20"/>
  <c r="T18" i="20"/>
  <c r="U18" i="20"/>
  <c r="U3" i="20"/>
  <c r="T3" i="20"/>
  <c r="N3" i="20"/>
  <c r="A3" i="20"/>
  <c r="N1" i="20"/>
  <c r="A1" i="20"/>
  <c r="V17" i="20" l="1"/>
  <c r="V3" i="20"/>
  <c r="V8" i="20"/>
  <c r="V9" i="20"/>
  <c r="V15" i="20"/>
  <c r="V16" i="20"/>
  <c r="V11" i="20"/>
  <c r="V14" i="20"/>
  <c r="V13" i="20"/>
  <c r="V5" i="20"/>
  <c r="V4" i="20"/>
  <c r="V7" i="20"/>
  <c r="V6" i="20"/>
  <c r="V12" i="20"/>
  <c r="V10" i="20"/>
  <c r="V18" i="20"/>
  <c r="I19" i="1" a="1"/>
  <c r="I19" i="1" s="1"/>
  <c r="J21" i="29"/>
  <c r="J20" i="29"/>
  <c r="A11" i="18" l="1"/>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 i="18"/>
  <c r="A5" i="18"/>
  <c r="A6" i="18"/>
  <c r="A7" i="18"/>
  <c r="A8" i="18"/>
  <c r="A9" i="18"/>
  <c r="A10" i="18"/>
  <c r="A3" i="18"/>
  <c r="A1" i="22" l="1"/>
  <c r="A1" i="27"/>
  <c r="A1" i="29"/>
  <c r="A1" i="9"/>
  <c r="A1" i="25"/>
  <c r="A1" i="14"/>
  <c r="A1" i="1"/>
  <c r="B3" i="1" l="1"/>
  <c r="X22" i="1"/>
  <c r="W22" i="1"/>
  <c r="V22" i="1"/>
  <c r="U22" i="1"/>
  <c r="T22" i="1"/>
  <c r="S22" i="1"/>
  <c r="R22" i="1"/>
  <c r="Q22" i="1"/>
  <c r="P22" i="1"/>
  <c r="O22" i="1"/>
  <c r="N22" i="1"/>
  <c r="M22" i="1"/>
  <c r="L22" i="1"/>
  <c r="K22" i="1"/>
  <c r="J22" i="1"/>
  <c r="I22" i="1"/>
  <c r="X21" i="1"/>
  <c r="W21" i="1"/>
  <c r="V21" i="1"/>
  <c r="U21" i="1"/>
  <c r="T21" i="1"/>
  <c r="S21" i="1"/>
  <c r="R21" i="1"/>
  <c r="Q21" i="1"/>
  <c r="P21" i="1"/>
  <c r="O21" i="1"/>
  <c r="N21" i="1"/>
  <c r="M21" i="1"/>
  <c r="L21" i="1"/>
  <c r="K21" i="1"/>
  <c r="J21" i="1"/>
  <c r="I21" i="1"/>
  <c r="I25" i="1" l="1" a="1"/>
  <c r="I25" i="1" s="1"/>
  <c r="B9" i="1"/>
  <c r="D38" i="35" l="1"/>
  <c r="F38" i="35" s="1"/>
  <c r="G38" i="35" s="1"/>
  <c r="D39" i="35"/>
  <c r="F39" i="35" s="1"/>
  <c r="G39" i="35" s="1"/>
  <c r="D40" i="35"/>
  <c r="F40" i="35" s="1"/>
  <c r="D41" i="35"/>
  <c r="F41" i="35" s="1"/>
  <c r="G41" i="35" s="1"/>
  <c r="D42" i="35"/>
  <c r="F42" i="35" s="1"/>
  <c r="G42" i="35" s="1"/>
  <c r="D43" i="35"/>
  <c r="F43" i="35" s="1"/>
  <c r="G43" i="35" s="1"/>
  <c r="D44" i="35"/>
  <c r="F44" i="35" s="1"/>
  <c r="G44" i="35" s="1"/>
  <c r="D45" i="35"/>
  <c r="F45" i="35" s="1"/>
  <c r="G45" i="35" s="1"/>
  <c r="D10" i="35"/>
  <c r="F10" i="35" s="1"/>
  <c r="G10" i="35" s="1"/>
  <c r="D11" i="35"/>
  <c r="F11" i="35" s="1"/>
  <c r="G11" i="35" s="1"/>
  <c r="D12" i="35"/>
  <c r="F12" i="35" s="1"/>
  <c r="G12" i="35" s="1"/>
  <c r="D13" i="35"/>
  <c r="F13" i="35" s="1"/>
  <c r="G13" i="35" s="1"/>
  <c r="D14" i="35"/>
  <c r="F14" i="35" s="1"/>
  <c r="G14" i="35" s="1"/>
  <c r="D15" i="35"/>
  <c r="F15" i="35" s="1"/>
  <c r="G15" i="35" s="1"/>
  <c r="D16" i="35"/>
  <c r="F16" i="35" s="1"/>
  <c r="G16" i="35" s="1"/>
  <c r="D17" i="35"/>
  <c r="F17" i="35" s="1"/>
  <c r="G17" i="35" s="1"/>
  <c r="D18" i="35"/>
  <c r="F18" i="35" s="1"/>
  <c r="G18" i="35" s="1"/>
  <c r="D19" i="35"/>
  <c r="F19" i="35" s="1"/>
  <c r="G19" i="35" s="1"/>
  <c r="D20" i="35"/>
  <c r="F20" i="35" s="1"/>
  <c r="G20" i="35" s="1"/>
  <c r="D21" i="35"/>
  <c r="F21" i="35" s="1"/>
  <c r="D22" i="35"/>
  <c r="F22" i="35" s="1"/>
  <c r="G22" i="35" s="1"/>
  <c r="D23" i="35"/>
  <c r="F23" i="35" s="1"/>
  <c r="G23" i="35" s="1"/>
  <c r="D24" i="35"/>
  <c r="F24" i="35" s="1"/>
  <c r="G24" i="35" s="1"/>
  <c r="D25" i="35"/>
  <c r="F25" i="35" s="1"/>
  <c r="G25" i="35" s="1"/>
  <c r="D26" i="35"/>
  <c r="F26" i="35" s="1"/>
  <c r="G26" i="35" s="1"/>
  <c r="D27" i="35"/>
  <c r="F27" i="35" s="1"/>
  <c r="G27" i="35" s="1"/>
  <c r="D28" i="35"/>
  <c r="F28" i="35" s="1"/>
  <c r="G28" i="35" s="1"/>
  <c r="D29" i="35"/>
  <c r="F29" i="35" s="1"/>
  <c r="D30" i="35"/>
  <c r="F30" i="35" s="1"/>
  <c r="G30" i="35" s="1"/>
  <c r="D31" i="35"/>
  <c r="F31" i="35" s="1"/>
  <c r="G31" i="35" s="1"/>
  <c r="D32" i="35"/>
  <c r="F32" i="35" s="1"/>
  <c r="G32" i="35" s="1"/>
  <c r="D33" i="35"/>
  <c r="F33" i="35" s="1"/>
  <c r="G33" i="35" s="1"/>
  <c r="D34" i="35"/>
  <c r="F34" i="35" s="1"/>
  <c r="G34" i="35" s="1"/>
  <c r="D35" i="35"/>
  <c r="F35" i="35" s="1"/>
  <c r="G35" i="35" s="1"/>
  <c r="D36" i="35"/>
  <c r="F36" i="35" s="1"/>
  <c r="G36" i="35" s="1"/>
  <c r="D37" i="35"/>
  <c r="F37" i="35" s="1"/>
  <c r="G37" i="35" s="1"/>
  <c r="D9" i="35"/>
  <c r="F9" i="35" s="1"/>
  <c r="G9" i="35" s="1"/>
  <c r="D8" i="35"/>
  <c r="G21" i="35" l="1"/>
  <c r="C50" i="35"/>
  <c r="F8" i="35"/>
  <c r="C49" i="35" s="1"/>
  <c r="C51" i="35"/>
  <c r="G29" i="35"/>
  <c r="G40" i="35"/>
  <c r="C52" i="35"/>
  <c r="K41" i="13"/>
  <c r="G221" i="35" l="1"/>
  <c r="G233" i="35"/>
  <c r="G222" i="35"/>
  <c r="G225" i="35"/>
  <c r="G230" i="35"/>
  <c r="G219" i="35"/>
  <c r="G234" i="35"/>
  <c r="G232" i="35"/>
  <c r="G223" i="35"/>
  <c r="G227" i="35"/>
  <c r="G226" i="35"/>
  <c r="G224" i="35"/>
  <c r="G229" i="35"/>
  <c r="G231" i="35"/>
  <c r="G220" i="35"/>
  <c r="G228" i="35"/>
  <c r="G244" i="35"/>
  <c r="G243" i="35"/>
  <c r="G237" i="35"/>
  <c r="G247" i="35"/>
  <c r="G246" i="35"/>
  <c r="G249" i="35"/>
  <c r="G238" i="35"/>
  <c r="G236" i="35"/>
  <c r="G240" i="35"/>
  <c r="G248" i="35"/>
  <c r="G235" i="35"/>
  <c r="G242" i="35"/>
  <c r="G245" i="35"/>
  <c r="G241" i="35"/>
  <c r="G250" i="35"/>
  <c r="G239" i="35"/>
  <c r="D65" i="35"/>
  <c r="E65" i="35" s="1"/>
  <c r="F65" i="35" s="1"/>
  <c r="G188" i="35"/>
  <c r="G200" i="35"/>
  <c r="G189" i="35"/>
  <c r="G199" i="35"/>
  <c r="G192" i="35"/>
  <c r="G197" i="35"/>
  <c r="G202" i="35"/>
  <c r="G191" i="35"/>
  <c r="G193" i="35"/>
  <c r="G201" i="35"/>
  <c r="G194" i="35"/>
  <c r="G196" i="35"/>
  <c r="G190" i="35"/>
  <c r="G198" i="35"/>
  <c r="G187" i="35"/>
  <c r="G195" i="35"/>
  <c r="G210" i="35"/>
  <c r="G211" i="35"/>
  <c r="G215" i="35"/>
  <c r="G214" i="35"/>
  <c r="G208" i="35"/>
  <c r="G212" i="35"/>
  <c r="G216" i="35"/>
  <c r="G205" i="35"/>
  <c r="G218" i="35"/>
  <c r="G207" i="35"/>
  <c r="G204" i="35"/>
  <c r="G203" i="35"/>
  <c r="G209" i="35"/>
  <c r="G217" i="35"/>
  <c r="G213" i="35"/>
  <c r="G206" i="35"/>
  <c r="D250" i="35"/>
  <c r="E250" i="35" s="1"/>
  <c r="F250" i="35" s="1"/>
  <c r="D244" i="35"/>
  <c r="E244" i="35" s="1"/>
  <c r="F244" i="35" s="1"/>
  <c r="D237" i="35"/>
  <c r="E237" i="35" s="1"/>
  <c r="F237" i="35" s="1"/>
  <c r="D249" i="35"/>
  <c r="E249" i="35" s="1"/>
  <c r="F249" i="35" s="1"/>
  <c r="D238" i="35"/>
  <c r="E238" i="35" s="1"/>
  <c r="F238" i="35" s="1"/>
  <c r="D245" i="35"/>
  <c r="E245" i="35" s="1"/>
  <c r="F245" i="35" s="1"/>
  <c r="D236" i="35"/>
  <c r="E236" i="35" s="1"/>
  <c r="F236" i="35" s="1"/>
  <c r="D243" i="35"/>
  <c r="E243" i="35" s="1"/>
  <c r="F243" i="35" s="1"/>
  <c r="D248" i="35"/>
  <c r="E248" i="35" s="1"/>
  <c r="F248" i="35" s="1"/>
  <c r="D242" i="35"/>
  <c r="E242" i="35" s="1"/>
  <c r="F242" i="35" s="1"/>
  <c r="D240" i="35"/>
  <c r="E240" i="35" s="1"/>
  <c r="F240" i="35" s="1"/>
  <c r="D239" i="35"/>
  <c r="E239" i="35" s="1"/>
  <c r="F239" i="35" s="1"/>
  <c r="D246" i="35"/>
  <c r="E246" i="35" s="1"/>
  <c r="F246" i="35" s="1"/>
  <c r="D241" i="35"/>
  <c r="E241" i="35" s="1"/>
  <c r="F241" i="35" s="1"/>
  <c r="D235" i="35"/>
  <c r="E235" i="35" s="1"/>
  <c r="F235" i="35" s="1"/>
  <c r="D247" i="35"/>
  <c r="E247" i="35" s="1"/>
  <c r="F247" i="35" s="1"/>
  <c r="D224" i="35"/>
  <c r="E224" i="35" s="1"/>
  <c r="F224" i="35" s="1"/>
  <c r="D230" i="35"/>
  <c r="E230" i="35" s="1"/>
  <c r="F230" i="35" s="1"/>
  <c r="D229" i="35"/>
  <c r="E229" i="35" s="1"/>
  <c r="F229" i="35" s="1"/>
  <c r="D221" i="35"/>
  <c r="E221" i="35" s="1"/>
  <c r="F221" i="35" s="1"/>
  <c r="D228" i="35"/>
  <c r="E228" i="35" s="1"/>
  <c r="F228" i="35" s="1"/>
  <c r="D231" i="35"/>
  <c r="E231" i="35" s="1"/>
  <c r="F231" i="35" s="1"/>
  <c r="H231" i="35" s="1"/>
  <c r="J231" i="35" s="1"/>
  <c r="D223" i="35"/>
  <c r="E223" i="35" s="1"/>
  <c r="F223" i="35" s="1"/>
  <c r="D222" i="35"/>
  <c r="E222" i="35" s="1"/>
  <c r="F222" i="35" s="1"/>
  <c r="D234" i="35"/>
  <c r="E234" i="35" s="1"/>
  <c r="F234" i="35" s="1"/>
  <c r="D226" i="35"/>
  <c r="E226" i="35" s="1"/>
  <c r="F226" i="35" s="1"/>
  <c r="D232" i="35"/>
  <c r="E232" i="35" s="1"/>
  <c r="F232" i="35" s="1"/>
  <c r="D225" i="35"/>
  <c r="E225" i="35" s="1"/>
  <c r="F225" i="35" s="1"/>
  <c r="D220" i="35"/>
  <c r="E220" i="35" s="1"/>
  <c r="F220" i="35" s="1"/>
  <c r="D219" i="35"/>
  <c r="E219" i="35" s="1"/>
  <c r="F219" i="35" s="1"/>
  <c r="D233" i="35"/>
  <c r="E233" i="35" s="1"/>
  <c r="F233" i="35" s="1"/>
  <c r="D227" i="35"/>
  <c r="E227" i="35" s="1"/>
  <c r="F227" i="35" s="1"/>
  <c r="G65" i="35"/>
  <c r="D187" i="35"/>
  <c r="E187" i="35" s="1"/>
  <c r="F187" i="35" s="1"/>
  <c r="D199" i="35"/>
  <c r="E199" i="35" s="1"/>
  <c r="F199" i="35" s="1"/>
  <c r="D190" i="35"/>
  <c r="E190" i="35" s="1"/>
  <c r="F190" i="35" s="1"/>
  <c r="D198" i="35"/>
  <c r="E198" i="35" s="1"/>
  <c r="F198" i="35" s="1"/>
  <c r="D189" i="35"/>
  <c r="E189" i="35" s="1"/>
  <c r="F189" i="35" s="1"/>
  <c r="D202" i="35"/>
  <c r="E202" i="35" s="1"/>
  <c r="F202" i="35" s="1"/>
  <c r="D193" i="35"/>
  <c r="E193" i="35" s="1"/>
  <c r="F193" i="35" s="1"/>
  <c r="D197" i="35"/>
  <c r="E197" i="35" s="1"/>
  <c r="F197" i="35" s="1"/>
  <c r="D188" i="35"/>
  <c r="E188" i="35" s="1"/>
  <c r="F188" i="35" s="1"/>
  <c r="D194" i="35"/>
  <c r="E194" i="35" s="1"/>
  <c r="F194" i="35" s="1"/>
  <c r="D192" i="35"/>
  <c r="E192" i="35" s="1"/>
  <c r="F192" i="35" s="1"/>
  <c r="D191" i="35"/>
  <c r="E191" i="35" s="1"/>
  <c r="F191" i="35" s="1"/>
  <c r="D201" i="35"/>
  <c r="E201" i="35" s="1"/>
  <c r="F201" i="35" s="1"/>
  <c r="D200" i="35"/>
  <c r="E200" i="35" s="1"/>
  <c r="F200" i="35" s="1"/>
  <c r="D195" i="35"/>
  <c r="E195" i="35" s="1"/>
  <c r="F195" i="35" s="1"/>
  <c r="D196" i="35"/>
  <c r="E196" i="35" s="1"/>
  <c r="F196" i="35" s="1"/>
  <c r="D218" i="35"/>
  <c r="E218" i="35" s="1"/>
  <c r="F218" i="35" s="1"/>
  <c r="D207" i="35"/>
  <c r="E207" i="35" s="1"/>
  <c r="F207" i="35" s="1"/>
  <c r="D203" i="35"/>
  <c r="E203" i="35" s="1"/>
  <c r="F203" i="35" s="1"/>
  <c r="D217" i="35"/>
  <c r="E217" i="35" s="1"/>
  <c r="F217" i="35" s="1"/>
  <c r="D206" i="35"/>
  <c r="E206" i="35" s="1"/>
  <c r="F206" i="35" s="1"/>
  <c r="D213" i="35"/>
  <c r="E213" i="35" s="1"/>
  <c r="F213" i="35" s="1"/>
  <c r="D209" i="35"/>
  <c r="E209" i="35" s="1"/>
  <c r="F209" i="35" s="1"/>
  <c r="D214" i="35"/>
  <c r="E214" i="35" s="1"/>
  <c r="F214" i="35" s="1"/>
  <c r="D210" i="35"/>
  <c r="E210" i="35" s="1"/>
  <c r="F210" i="35" s="1"/>
  <c r="D216" i="35"/>
  <c r="E216" i="35" s="1"/>
  <c r="F216" i="35" s="1"/>
  <c r="D211" i="35"/>
  <c r="E211" i="35" s="1"/>
  <c r="F211" i="35" s="1"/>
  <c r="D215" i="35"/>
  <c r="E215" i="35" s="1"/>
  <c r="F215" i="35" s="1"/>
  <c r="D205" i="35"/>
  <c r="E205" i="35" s="1"/>
  <c r="F205" i="35" s="1"/>
  <c r="H205" i="35" s="1"/>
  <c r="J205" i="35" s="1"/>
  <c r="D212" i="35"/>
  <c r="E212" i="35" s="1"/>
  <c r="F212" i="35" s="1"/>
  <c r="D204" i="35"/>
  <c r="E204" i="35" s="1"/>
  <c r="F204" i="35" s="1"/>
  <c r="D208" i="35"/>
  <c r="E208" i="35" s="1"/>
  <c r="F208" i="35" s="1"/>
  <c r="D118" i="35"/>
  <c r="E118" i="35" s="1"/>
  <c r="F118" i="35" s="1"/>
  <c r="G126" i="35"/>
  <c r="H126" i="35" s="1"/>
  <c r="D114" i="35"/>
  <c r="E114" i="35" s="1"/>
  <c r="F114" i="35" s="1"/>
  <c r="D126" i="35"/>
  <c r="E126" i="35" s="1"/>
  <c r="F126" i="35" s="1"/>
  <c r="G117" i="35"/>
  <c r="H117" i="35" s="1"/>
  <c r="D121" i="35"/>
  <c r="E121" i="35" s="1"/>
  <c r="F121" i="35" s="1"/>
  <c r="G124" i="35"/>
  <c r="H124" i="35" s="1"/>
  <c r="G113" i="35"/>
  <c r="H113" i="35" s="1"/>
  <c r="G114" i="35"/>
  <c r="H114" i="35" s="1"/>
  <c r="D117" i="35"/>
  <c r="E117" i="35" s="1"/>
  <c r="F117" i="35" s="1"/>
  <c r="D113" i="35"/>
  <c r="E113" i="35" s="1"/>
  <c r="F113" i="35" s="1"/>
  <c r="G123" i="35"/>
  <c r="H123" i="35" s="1"/>
  <c r="D127" i="35"/>
  <c r="E127" i="35" s="1"/>
  <c r="F127" i="35" s="1"/>
  <c r="G119" i="35"/>
  <c r="H119" i="35" s="1"/>
  <c r="G121" i="35"/>
  <c r="H121" i="35" s="1"/>
  <c r="G115" i="35"/>
  <c r="H115" i="35" s="1"/>
  <c r="G116" i="35"/>
  <c r="H116" i="35" s="1"/>
  <c r="D125" i="35"/>
  <c r="E125" i="35" s="1"/>
  <c r="F125" i="35" s="1"/>
  <c r="D119" i="35"/>
  <c r="E119" i="35" s="1"/>
  <c r="F119" i="35" s="1"/>
  <c r="G122" i="35"/>
  <c r="H122" i="35" s="1"/>
  <c r="D115" i="35"/>
  <c r="E115" i="35" s="1"/>
  <c r="F115" i="35" s="1"/>
  <c r="G118" i="35"/>
  <c r="H118" i="35" s="1"/>
  <c r="D122" i="35"/>
  <c r="E122" i="35" s="1"/>
  <c r="F122" i="35" s="1"/>
  <c r="G125" i="35"/>
  <c r="H125" i="35" s="1"/>
  <c r="D128" i="35"/>
  <c r="E128" i="35" s="1"/>
  <c r="F128" i="35" s="1"/>
  <c r="G120" i="35"/>
  <c r="H120" i="35" s="1"/>
  <c r="G127" i="35"/>
  <c r="H127" i="35" s="1"/>
  <c r="D116" i="35"/>
  <c r="E116" i="35" s="1"/>
  <c r="F116" i="35" s="1"/>
  <c r="D124" i="35"/>
  <c r="E124" i="35" s="1"/>
  <c r="F124" i="35" s="1"/>
  <c r="D120" i="35"/>
  <c r="E120" i="35" s="1"/>
  <c r="F120" i="35" s="1"/>
  <c r="G128" i="35"/>
  <c r="H128" i="35" s="1"/>
  <c r="D123" i="35"/>
  <c r="E123" i="35" s="1"/>
  <c r="F123" i="35" s="1"/>
  <c r="D98" i="35"/>
  <c r="E98" i="35" s="1"/>
  <c r="F98" i="35" s="1"/>
  <c r="G110" i="35"/>
  <c r="H110" i="35" s="1"/>
  <c r="G99" i="35"/>
  <c r="H99" i="35" s="1"/>
  <c r="G111" i="35"/>
  <c r="H111" i="35" s="1"/>
  <c r="G100" i="35"/>
  <c r="H100" i="35" s="1"/>
  <c r="D110" i="35"/>
  <c r="E110" i="35" s="1"/>
  <c r="F110" i="35" s="1"/>
  <c r="G102" i="35"/>
  <c r="H102" i="35" s="1"/>
  <c r="G105" i="35"/>
  <c r="H105" i="35" s="1"/>
  <c r="G112" i="35"/>
  <c r="H112" i="35" s="1"/>
  <c r="D105" i="35"/>
  <c r="E105" i="35" s="1"/>
  <c r="F105" i="35" s="1"/>
  <c r="G106" i="35"/>
  <c r="H106" i="35" s="1"/>
  <c r="D99" i="35"/>
  <c r="E99" i="35" s="1"/>
  <c r="F99" i="35" s="1"/>
  <c r="D100" i="35"/>
  <c r="E100" i="35" s="1"/>
  <c r="F100" i="35" s="1"/>
  <c r="D102" i="35"/>
  <c r="E102" i="35" s="1"/>
  <c r="F102" i="35" s="1"/>
  <c r="G101" i="35"/>
  <c r="H101" i="35" s="1"/>
  <c r="G108" i="35"/>
  <c r="H108" i="35" s="1"/>
  <c r="G97" i="35"/>
  <c r="H97" i="35" s="1"/>
  <c r="D112" i="35"/>
  <c r="E112" i="35" s="1"/>
  <c r="F112" i="35" s="1"/>
  <c r="D107" i="35"/>
  <c r="E107" i="35" s="1"/>
  <c r="F107" i="35" s="1"/>
  <c r="D97" i="35"/>
  <c r="E97" i="35" s="1"/>
  <c r="F97" i="35" s="1"/>
  <c r="D103" i="35"/>
  <c r="E103" i="35" s="1"/>
  <c r="F103" i="35" s="1"/>
  <c r="D104" i="35"/>
  <c r="E104" i="35" s="1"/>
  <c r="F104" i="35" s="1"/>
  <c r="G107" i="35"/>
  <c r="H107" i="35" s="1"/>
  <c r="D111" i="35"/>
  <c r="E111" i="35" s="1"/>
  <c r="F111" i="35" s="1"/>
  <c r="D106" i="35"/>
  <c r="E106" i="35" s="1"/>
  <c r="F106" i="35" s="1"/>
  <c r="G103" i="35"/>
  <c r="H103" i="35" s="1"/>
  <c r="D108" i="35"/>
  <c r="E108" i="35" s="1"/>
  <c r="F108" i="35" s="1"/>
  <c r="G109" i="35"/>
  <c r="H109" i="35" s="1"/>
  <c r="D109" i="35"/>
  <c r="E109" i="35" s="1"/>
  <c r="F109" i="35" s="1"/>
  <c r="D101" i="35"/>
  <c r="E101" i="35" s="1"/>
  <c r="F101" i="35" s="1"/>
  <c r="G104" i="35"/>
  <c r="H104" i="35" s="1"/>
  <c r="G98" i="35"/>
  <c r="H98" i="35" s="1"/>
  <c r="G8" i="35"/>
  <c r="G88" i="35"/>
  <c r="H88" i="35" s="1"/>
  <c r="G89" i="35"/>
  <c r="H89" i="35" s="1"/>
  <c r="G96" i="35"/>
  <c r="H96" i="35" s="1"/>
  <c r="G85" i="35"/>
  <c r="H85" i="35" s="1"/>
  <c r="D88" i="35"/>
  <c r="E88" i="35" s="1"/>
  <c r="F88" i="35" s="1"/>
  <c r="G92" i="35"/>
  <c r="H92" i="35" s="1"/>
  <c r="D95" i="35"/>
  <c r="E95" i="35" s="1"/>
  <c r="F95" i="35" s="1"/>
  <c r="D84" i="35"/>
  <c r="E84" i="35" s="1"/>
  <c r="F84" i="35" s="1"/>
  <c r="D85" i="35"/>
  <c r="E85" i="35" s="1"/>
  <c r="F85" i="35" s="1"/>
  <c r="D92" i="35"/>
  <c r="E92" i="35" s="1"/>
  <c r="F92" i="35" s="1"/>
  <c r="D93" i="35"/>
  <c r="E93" i="35" s="1"/>
  <c r="F93" i="35" s="1"/>
  <c r="G84" i="35"/>
  <c r="H84" i="35" s="1"/>
  <c r="G87" i="35"/>
  <c r="H87" i="35" s="1"/>
  <c r="G86" i="35"/>
  <c r="H86" i="35" s="1"/>
  <c r="D96" i="35"/>
  <c r="E96" i="35" s="1"/>
  <c r="F96" i="35" s="1"/>
  <c r="D86" i="35"/>
  <c r="E86" i="35" s="1"/>
  <c r="F86" i="35" s="1"/>
  <c r="D81" i="35"/>
  <c r="E81" i="35" s="1"/>
  <c r="F81" i="35" s="1"/>
  <c r="D82" i="35"/>
  <c r="E82" i="35" s="1"/>
  <c r="F82" i="35" s="1"/>
  <c r="G95" i="35"/>
  <c r="H95" i="35" s="1"/>
  <c r="D89" i="35"/>
  <c r="E89" i="35" s="1"/>
  <c r="F89" i="35" s="1"/>
  <c r="G91" i="35"/>
  <c r="H91" i="35" s="1"/>
  <c r="G81" i="35"/>
  <c r="H81" i="35" s="1"/>
  <c r="D87" i="35"/>
  <c r="E87" i="35" s="1"/>
  <c r="F87" i="35" s="1"/>
  <c r="D94" i="35"/>
  <c r="E94" i="35" s="1"/>
  <c r="F94" i="35" s="1"/>
  <c r="G90" i="35"/>
  <c r="H90" i="35" s="1"/>
  <c r="D90" i="35"/>
  <c r="E90" i="35" s="1"/>
  <c r="F90" i="35" s="1"/>
  <c r="G93" i="35"/>
  <c r="H93" i="35" s="1"/>
  <c r="G82" i="35"/>
  <c r="H82" i="35" s="1"/>
  <c r="D91" i="35"/>
  <c r="E91" i="35" s="1"/>
  <c r="F91" i="35" s="1"/>
  <c r="G94" i="35"/>
  <c r="H94" i="35" s="1"/>
  <c r="G83" i="35"/>
  <c r="H83" i="35" s="1"/>
  <c r="D83" i="35"/>
  <c r="E83" i="35" s="1"/>
  <c r="F83" i="35" s="1"/>
  <c r="H189" i="35" l="1"/>
  <c r="J189" i="35" s="1"/>
  <c r="H218" i="35"/>
  <c r="J218" i="35" s="1"/>
  <c r="H200" i="35"/>
  <c r="J200" i="35" s="1"/>
  <c r="H192" i="35"/>
  <c r="J192" i="35" s="1"/>
  <c r="H245" i="35"/>
  <c r="J245" i="35" s="1"/>
  <c r="H234" i="35"/>
  <c r="J234" i="35" s="1"/>
  <c r="H208" i="35"/>
  <c r="J208" i="35" s="1"/>
  <c r="H228" i="35"/>
  <c r="J228" i="35" s="1"/>
  <c r="H188" i="35"/>
  <c r="J188" i="35" s="1"/>
  <c r="H212" i="35"/>
  <c r="J212" i="35" s="1"/>
  <c r="H197" i="35"/>
  <c r="J197" i="35" s="1"/>
  <c r="H195" i="35"/>
  <c r="J195" i="35" s="1"/>
  <c r="H230" i="35"/>
  <c r="J230" i="35" s="1"/>
  <c r="H211" i="35"/>
  <c r="J211" i="35" s="1"/>
  <c r="H216" i="35"/>
  <c r="J216" i="35" s="1"/>
  <c r="H198" i="35"/>
  <c r="J198" i="35" s="1"/>
  <c r="H235" i="35"/>
  <c r="J235" i="35" s="1"/>
  <c r="H232" i="35"/>
  <c r="J232" i="35" s="1"/>
  <c r="H215" i="35"/>
  <c r="J215" i="35" s="1"/>
  <c r="H224" i="35"/>
  <c r="J224" i="35" s="1"/>
  <c r="H210" i="35"/>
  <c r="J210" i="35" s="1"/>
  <c r="H241" i="35"/>
  <c r="J241" i="35" s="1"/>
  <c r="H187" i="35"/>
  <c r="J187" i="35" s="1"/>
  <c r="H240" i="35"/>
  <c r="J240" i="35" s="1"/>
  <c r="H242" i="35"/>
  <c r="J242" i="35" s="1"/>
  <c r="H222" i="35"/>
  <c r="J222" i="35" s="1"/>
  <c r="H191" i="35"/>
  <c r="J191" i="35" s="1"/>
  <c r="H223" i="35"/>
  <c r="J223" i="35" s="1"/>
  <c r="H250" i="35"/>
  <c r="J250" i="35" s="1"/>
  <c r="H190" i="35"/>
  <c r="J190" i="35" s="1"/>
  <c r="H214" i="35"/>
  <c r="J214" i="35" s="1"/>
  <c r="H239" i="35"/>
  <c r="J239" i="35" s="1"/>
  <c r="H229" i="35"/>
  <c r="J229" i="35" s="1"/>
  <c r="H233" i="35"/>
  <c r="J233" i="35" s="1"/>
  <c r="H248" i="35"/>
  <c r="J248" i="35" s="1"/>
  <c r="H221" i="35"/>
  <c r="J221" i="35" s="1"/>
  <c r="H227" i="35"/>
  <c r="J227" i="35" s="1"/>
  <c r="H219" i="35"/>
  <c r="J219" i="35" s="1"/>
  <c r="H236" i="35"/>
  <c r="J236" i="35" s="1"/>
  <c r="H225" i="35"/>
  <c r="J225" i="35" s="1"/>
  <c r="H196" i="35"/>
  <c r="J196" i="35" s="1"/>
  <c r="H238" i="35"/>
  <c r="J238" i="35" s="1"/>
  <c r="H217" i="35"/>
  <c r="J217" i="35" s="1"/>
  <c r="H226" i="35"/>
  <c r="J226" i="35" s="1"/>
  <c r="H204" i="35"/>
  <c r="J204" i="35" s="1"/>
  <c r="H194" i="35"/>
  <c r="J194" i="35" s="1"/>
  <c r="H193" i="35"/>
  <c r="J193" i="35" s="1"/>
  <c r="H199" i="35"/>
  <c r="J199" i="35" s="1"/>
  <c r="H246" i="35"/>
  <c r="J246" i="35" s="1"/>
  <c r="H247" i="35"/>
  <c r="J247" i="35" s="1"/>
  <c r="H213" i="35"/>
  <c r="J213" i="35" s="1"/>
  <c r="H209" i="35"/>
  <c r="J209" i="35" s="1"/>
  <c r="H206" i="35"/>
  <c r="J206" i="35" s="1"/>
  <c r="H203" i="35"/>
  <c r="J203" i="35" s="1"/>
  <c r="H243" i="35"/>
  <c r="J243" i="35" s="1"/>
  <c r="H207" i="35"/>
  <c r="J207" i="35" s="1"/>
  <c r="H220" i="35"/>
  <c r="J220" i="35" s="1"/>
  <c r="H202" i="35"/>
  <c r="J202" i="35" s="1"/>
  <c r="H249" i="35"/>
  <c r="J249" i="35" s="1"/>
  <c r="H237" i="35"/>
  <c r="J237" i="35" s="1"/>
  <c r="H201" i="35"/>
  <c r="J201" i="35" s="1"/>
  <c r="H244" i="35"/>
  <c r="J244" i="35" s="1"/>
  <c r="D80" i="35"/>
  <c r="E80" i="35" s="1"/>
  <c r="F80" i="35" s="1"/>
  <c r="G77" i="35"/>
  <c r="H77" i="35" s="1"/>
  <c r="G66" i="35"/>
  <c r="H66" i="35" s="1"/>
  <c r="G73" i="35"/>
  <c r="H73" i="35" s="1"/>
  <c r="D77" i="35"/>
  <c r="E77" i="35" s="1"/>
  <c r="F77" i="35" s="1"/>
  <c r="G74" i="35"/>
  <c r="H74" i="35" s="1"/>
  <c r="G70" i="35"/>
  <c r="H70" i="35" s="1"/>
  <c r="D69" i="35"/>
  <c r="E69" i="35" s="1"/>
  <c r="F69" i="35" s="1"/>
  <c r="D76" i="35"/>
  <c r="E76" i="35" s="1"/>
  <c r="F76" i="35" s="1"/>
  <c r="G79" i="35"/>
  <c r="H79" i="35" s="1"/>
  <c r="G68" i="35"/>
  <c r="H68" i="35" s="1"/>
  <c r="D72" i="35"/>
  <c r="E72" i="35" s="1"/>
  <c r="F72" i="35" s="1"/>
  <c r="G75" i="35"/>
  <c r="H75" i="35" s="1"/>
  <c r="D74" i="35"/>
  <c r="E74" i="35" s="1"/>
  <c r="F74" i="35" s="1"/>
  <c r="G71" i="35"/>
  <c r="H71" i="35" s="1"/>
  <c r="D70" i="35"/>
  <c r="E70" i="35" s="1"/>
  <c r="F70" i="35" s="1"/>
  <c r="G69" i="35"/>
  <c r="H69" i="35" s="1"/>
  <c r="G72" i="35"/>
  <c r="H72" i="35" s="1"/>
  <c r="D68" i="35"/>
  <c r="E68" i="35" s="1"/>
  <c r="F68" i="35" s="1"/>
  <c r="D75" i="35"/>
  <c r="E75" i="35" s="1"/>
  <c r="F75" i="35" s="1"/>
  <c r="D66" i="35"/>
  <c r="E66" i="35" s="1"/>
  <c r="F66" i="35" s="1"/>
  <c r="G80" i="35"/>
  <c r="H80" i="35" s="1"/>
  <c r="D67" i="35"/>
  <c r="E67" i="35" s="1"/>
  <c r="F67" i="35" s="1"/>
  <c r="G76" i="35"/>
  <c r="H76" i="35" s="1"/>
  <c r="H65" i="35"/>
  <c r="D79" i="35"/>
  <c r="E79" i="35" s="1"/>
  <c r="F79" i="35" s="1"/>
  <c r="G78" i="35"/>
  <c r="H78" i="35" s="1"/>
  <c r="G67" i="35"/>
  <c r="H67" i="35" s="1"/>
  <c r="D71" i="35"/>
  <c r="E71" i="35" s="1"/>
  <c r="F71" i="35" s="1"/>
  <c r="D78" i="35"/>
  <c r="E78" i="35" s="1"/>
  <c r="F78" i="35" s="1"/>
  <c r="D73" i="35"/>
  <c r="E73" i="35" s="1"/>
  <c r="F73" i="35" s="1"/>
  <c r="E21" i="9" l="1"/>
  <c r="E26" i="9" s="1"/>
  <c r="D21" i="9"/>
  <c r="D26" i="9" s="1"/>
  <c r="B21" i="9"/>
  <c r="C21" i="9"/>
  <c r="C26" i="9" s="1"/>
  <c r="B28" i="9"/>
  <c r="B26" i="9" l="1"/>
  <c r="C13" i="9"/>
  <c r="C12" i="9"/>
  <c r="C10" i="9"/>
  <c r="B27" i="9"/>
  <c r="A12" i="29" l="1"/>
  <c r="A13" i="29"/>
  <c r="A14" i="29"/>
  <c r="A15" i="29"/>
  <c r="A4" i="29"/>
  <c r="A5" i="29"/>
  <c r="A6" i="29"/>
  <c r="A7" i="29"/>
  <c r="A8" i="29"/>
  <c r="A9" i="29"/>
  <c r="A10" i="29"/>
  <c r="A11" i="29"/>
  <c r="A3" i="29"/>
  <c r="A15" i="25"/>
  <c r="A16" i="25"/>
  <c r="A5" i="25"/>
  <c r="A6" i="25"/>
  <c r="A7" i="25"/>
  <c r="A8" i="25"/>
  <c r="A9" i="25"/>
  <c r="A10" i="25"/>
  <c r="A11" i="25"/>
  <c r="A12" i="25"/>
  <c r="A13" i="25"/>
  <c r="A14" i="25"/>
  <c r="A4" i="25"/>
  <c r="C4" i="18"/>
  <c r="H4" i="18" s="1"/>
  <c r="D4" i="18"/>
  <c r="J4" i="18" s="1"/>
  <c r="C5" i="18"/>
  <c r="H5" i="18" s="1"/>
  <c r="D5" i="18"/>
  <c r="I5" i="18" s="1"/>
  <c r="C6" i="18"/>
  <c r="H6" i="18" s="1"/>
  <c r="D6" i="18"/>
  <c r="J6" i="18" s="1"/>
  <c r="C7" i="18"/>
  <c r="H7" i="18" s="1"/>
  <c r="D7" i="18"/>
  <c r="I7" i="18" s="1"/>
  <c r="C8" i="18"/>
  <c r="H8" i="18" s="1"/>
  <c r="D8" i="18"/>
  <c r="C9" i="18"/>
  <c r="H9" i="18" s="1"/>
  <c r="D9" i="18"/>
  <c r="J9" i="18" s="1"/>
  <c r="C10" i="18"/>
  <c r="H10" i="18" s="1"/>
  <c r="D10" i="18"/>
  <c r="I10" i="18" s="1"/>
  <c r="C11" i="18"/>
  <c r="H11" i="18" s="1"/>
  <c r="D11" i="18"/>
  <c r="I11" i="18" s="1"/>
  <c r="C12" i="18"/>
  <c r="H12" i="18" s="1"/>
  <c r="D12" i="18"/>
  <c r="I12" i="18" s="1"/>
  <c r="C13" i="18"/>
  <c r="H13" i="18" s="1"/>
  <c r="D13" i="18"/>
  <c r="I13" i="18" s="1"/>
  <c r="C14" i="18"/>
  <c r="H14" i="18" s="1"/>
  <c r="D14" i="18"/>
  <c r="J14" i="18" s="1"/>
  <c r="C15" i="18"/>
  <c r="H15" i="18" s="1"/>
  <c r="D15" i="18"/>
  <c r="I15" i="18" s="1"/>
  <c r="C16" i="18"/>
  <c r="H16" i="18" s="1"/>
  <c r="D16" i="18"/>
  <c r="I16" i="18" s="1"/>
  <c r="C17" i="18"/>
  <c r="H17" i="18" s="1"/>
  <c r="D17" i="18"/>
  <c r="J17" i="18" s="1"/>
  <c r="C18" i="18"/>
  <c r="H18" i="18" s="1"/>
  <c r="D18" i="18"/>
  <c r="I18" i="18" s="1"/>
  <c r="C19" i="18"/>
  <c r="H19" i="18" s="1"/>
  <c r="D19" i="18"/>
  <c r="J19" i="18" s="1"/>
  <c r="C20" i="18"/>
  <c r="H20" i="18" s="1"/>
  <c r="D20" i="18"/>
  <c r="J20" i="18" s="1"/>
  <c r="C21" i="18"/>
  <c r="H21" i="18" s="1"/>
  <c r="D21" i="18"/>
  <c r="I21" i="18" s="1"/>
  <c r="C22" i="18"/>
  <c r="H22" i="18" s="1"/>
  <c r="D22" i="18"/>
  <c r="I22" i="18" s="1"/>
  <c r="C23" i="18"/>
  <c r="H23" i="18" s="1"/>
  <c r="D23" i="18"/>
  <c r="J23" i="18" s="1"/>
  <c r="C24" i="18"/>
  <c r="H24" i="18" s="1"/>
  <c r="D24" i="18"/>
  <c r="J24" i="18" s="1"/>
  <c r="C25" i="18"/>
  <c r="H25" i="18" s="1"/>
  <c r="D25" i="18"/>
  <c r="I25" i="18" s="1"/>
  <c r="C26" i="18"/>
  <c r="H26" i="18" s="1"/>
  <c r="D26" i="18"/>
  <c r="J26" i="18" s="1"/>
  <c r="C27" i="18"/>
  <c r="H27" i="18" s="1"/>
  <c r="D27" i="18"/>
  <c r="I27" i="18" s="1"/>
  <c r="C28" i="18"/>
  <c r="H28" i="18" s="1"/>
  <c r="D28" i="18"/>
  <c r="J28" i="18" s="1"/>
  <c r="C29" i="18"/>
  <c r="H29" i="18" s="1"/>
  <c r="D29" i="18"/>
  <c r="J29" i="18" s="1"/>
  <c r="C30" i="18"/>
  <c r="H30" i="18" s="1"/>
  <c r="D30" i="18"/>
  <c r="I30" i="18" s="1"/>
  <c r="C31" i="18"/>
  <c r="H31" i="18" s="1"/>
  <c r="D31" i="18"/>
  <c r="J31" i="18" s="1"/>
  <c r="C32" i="18"/>
  <c r="H32" i="18" s="1"/>
  <c r="D32" i="18"/>
  <c r="I32" i="18" s="1"/>
  <c r="C33" i="18"/>
  <c r="H33" i="18" s="1"/>
  <c r="D33" i="18"/>
  <c r="I33" i="18" s="1"/>
  <c r="C34" i="18"/>
  <c r="H34" i="18" s="1"/>
  <c r="D34" i="18"/>
  <c r="I34" i="18" s="1"/>
  <c r="C35" i="18"/>
  <c r="H35" i="18" s="1"/>
  <c r="D35" i="18"/>
  <c r="I35" i="18" s="1"/>
  <c r="C36" i="18"/>
  <c r="H36" i="18" s="1"/>
  <c r="D36" i="18"/>
  <c r="J36" i="18" s="1"/>
  <c r="C37" i="18"/>
  <c r="H37" i="18" s="1"/>
  <c r="D37" i="18"/>
  <c r="I37" i="18" s="1"/>
  <c r="C38" i="18"/>
  <c r="H38" i="18" s="1"/>
  <c r="D38" i="18"/>
  <c r="I38" i="18" s="1"/>
  <c r="C39" i="18"/>
  <c r="H39" i="18" s="1"/>
  <c r="D39" i="18"/>
  <c r="J39" i="18" s="1"/>
  <c r="C40" i="18"/>
  <c r="H40" i="18" s="1"/>
  <c r="D40" i="18"/>
  <c r="J40" i="18" s="1"/>
  <c r="D3" i="18"/>
  <c r="C3" i="18"/>
  <c r="B4" i="18"/>
  <c r="B5" i="18"/>
  <c r="B6" i="18"/>
  <c r="B7" i="18"/>
  <c r="B8" i="18"/>
  <c r="B43" i="18" s="1"/>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3" i="18"/>
  <c r="I8" i="18" l="1"/>
  <c r="D43" i="18"/>
  <c r="J43" i="18" s="1"/>
  <c r="K43" i="18" s="1"/>
  <c r="I29" i="18"/>
  <c r="K29" i="18" s="1"/>
  <c r="I14" i="18"/>
  <c r="K14" i="18" s="1"/>
  <c r="J15" i="18"/>
  <c r="K15" i="18" s="1"/>
  <c r="I19" i="18"/>
  <c r="K19" i="18" s="1"/>
  <c r="J7" i="18"/>
  <c r="K7" i="18" s="1"/>
  <c r="I40" i="18"/>
  <c r="K40" i="18" s="1"/>
  <c r="I31" i="18"/>
  <c r="K31" i="18" s="1"/>
  <c r="J25" i="18"/>
  <c r="K25" i="18" s="1"/>
  <c r="J12" i="18"/>
  <c r="K12" i="18" s="1"/>
  <c r="J37" i="18"/>
  <c r="K37" i="18" s="1"/>
  <c r="I24" i="18"/>
  <c r="K24" i="18" s="1"/>
  <c r="I39" i="18"/>
  <c r="K39" i="18" s="1"/>
  <c r="J35" i="18"/>
  <c r="K35" i="18" s="1"/>
  <c r="I28" i="18"/>
  <c r="K28" i="18" s="1"/>
  <c r="J34" i="18"/>
  <c r="K34" i="18" s="1"/>
  <c r="I4" i="18"/>
  <c r="K4" i="18" s="1"/>
  <c r="I17" i="18"/>
  <c r="K17" i="18" s="1"/>
  <c r="I36" i="18"/>
  <c r="K36" i="18" s="1"/>
  <c r="I23" i="18"/>
  <c r="K23" i="18" s="1"/>
  <c r="I26" i="18"/>
  <c r="K26" i="18" s="1"/>
  <c r="I20" i="18"/>
  <c r="K20" i="18" s="1"/>
  <c r="I9" i="18"/>
  <c r="K9" i="18" s="1"/>
  <c r="J8" i="18"/>
  <c r="K8" i="18" s="1"/>
  <c r="I6" i="18"/>
  <c r="K6" i="18" s="1"/>
  <c r="J18" i="18"/>
  <c r="K18" i="18" s="1"/>
  <c r="J13" i="18"/>
  <c r="K13" i="18" s="1"/>
  <c r="J30" i="18"/>
  <c r="K30" i="18" s="1"/>
  <c r="J32" i="18"/>
  <c r="K32" i="18" s="1"/>
  <c r="J21" i="18"/>
  <c r="K21" i="18" s="1"/>
  <c r="J10" i="18"/>
  <c r="K10" i="18" s="1"/>
  <c r="J38" i="18"/>
  <c r="K38" i="18" s="1"/>
  <c r="J27" i="18"/>
  <c r="K27" i="18" s="1"/>
  <c r="J16" i="18"/>
  <c r="K16" i="18" s="1"/>
  <c r="J5" i="18"/>
  <c r="K5" i="18" s="1"/>
  <c r="J33" i="18"/>
  <c r="K33" i="18" s="1"/>
  <c r="J22" i="18"/>
  <c r="K22" i="18" s="1"/>
  <c r="J11" i="18"/>
  <c r="K11" i="18" s="1"/>
  <c r="H41" i="13" l="1"/>
  <c r="C41" i="18"/>
  <c r="G41" i="13" l="1"/>
  <c r="D41" i="18"/>
  <c r="G11" i="9"/>
  <c r="G10" i="9"/>
  <c r="B41" i="18" l="1"/>
  <c r="G13" i="9" l="1"/>
  <c r="G4" i="13" l="1"/>
  <c r="G26" i="13"/>
  <c r="G28" i="13"/>
  <c r="G29" i="13"/>
  <c r="G30" i="13"/>
  <c r="G31" i="13"/>
  <c r="G32" i="13"/>
  <c r="G33" i="13"/>
  <c r="G34" i="13"/>
  <c r="G36" i="13"/>
  <c r="G37" i="13"/>
  <c r="G38" i="13"/>
  <c r="G18" i="13"/>
  <c r="G3" i="13"/>
  <c r="R45" i="13" s="1"/>
  <c r="G5" i="13"/>
  <c r="R47" i="13" s="1"/>
  <c r="G27" i="13"/>
  <c r="R57" i="13" s="1"/>
  <c r="G6" i="13"/>
  <c r="G7" i="13"/>
  <c r="G8" i="13"/>
  <c r="R49" i="13" s="1"/>
  <c r="G9" i="13"/>
  <c r="R50" i="13" s="1"/>
  <c r="G10" i="13"/>
  <c r="G11" i="13"/>
  <c r="G12" i="13"/>
  <c r="G14" i="13"/>
  <c r="R54" i="13" s="1"/>
  <c r="G15" i="13"/>
  <c r="R55" i="13" s="1"/>
  <c r="G16" i="13"/>
  <c r="G17" i="13"/>
  <c r="G39" i="13"/>
  <c r="G40" i="13"/>
  <c r="G19" i="13"/>
  <c r="G20" i="13"/>
  <c r="G21" i="13"/>
  <c r="G22" i="13"/>
  <c r="G23" i="13"/>
  <c r="G24" i="13"/>
  <c r="G25" i="13"/>
  <c r="G13" i="13"/>
  <c r="G35" i="13"/>
  <c r="R53" i="13" l="1"/>
  <c r="R51" i="13"/>
  <c r="R48" i="13"/>
  <c r="R56" i="13"/>
  <c r="R52" i="13"/>
  <c r="R46" i="13"/>
  <c r="A7" i="9"/>
  <c r="A1" i="18"/>
  <c r="R58" i="13" l="1"/>
  <c r="A4" i="21"/>
  <c r="G12" i="9"/>
  <c r="G16" i="9" l="1"/>
  <c r="B3" i="9" s="1"/>
  <c r="G9" i="9"/>
  <c r="G15" i="9" s="1"/>
  <c r="A1" i="31"/>
  <c r="A3" i="9" l="1"/>
  <c r="G17" i="9" l="1"/>
  <c r="C3" i="9" l="1"/>
  <c r="J3" i="18"/>
  <c r="J41" i="18" s="1"/>
  <c r="I3" i="18" l="1"/>
  <c r="I41" i="18" s="1"/>
  <c r="H3" i="18"/>
  <c r="H41" i="18" s="1"/>
  <c r="K3" i="18" l="1"/>
  <c r="K41" i="18" s="1"/>
  <c r="A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<sst xmlns="http://schemas.openxmlformats.org/spreadsheetml/2006/main" count="2252" uniqueCount="829">
  <si>
    <t>Data Sources</t>
  </si>
  <si>
    <t>Dataset</t>
  </si>
  <si>
    <t>Dodge 2023</t>
  </si>
  <si>
    <r>
      <t>Commercial End-Use Survey</t>
    </r>
    <r>
      <rPr>
        <sz val="10"/>
        <rFont val="Arial"/>
        <family val="2"/>
      </rPr>
      <t xml:space="preserve"> (CEUS) 2022</t>
    </r>
  </si>
  <si>
    <t>https://www.energy.ca.gov/publications/2023/2022-california-commercial-end-use-survey-ceus-final-report</t>
  </si>
  <si>
    <t xml:space="preserve"> </t>
  </si>
  <si>
    <t>Comstock 2023</t>
  </si>
  <si>
    <t>https://data.openei.org/s3_viewer?bucket=oedi-data-lake&amp;prefix=nrel-pds-building-stock%2Fend-use-load-profiles-for-us-building-stock%2F2023%2Fcomstock_amy2018_release_2%2Fmetadata_and_annual_results%2Fby_state%2Fstate%3DCA%2F</t>
  </si>
  <si>
    <t>Prototype</t>
  </si>
  <si>
    <r>
      <t xml:space="preserve">CEC </t>
    </r>
    <r>
      <rPr>
        <sz val="10"/>
        <color rgb="FF000000"/>
        <rFont val="Arial"/>
        <family val="2"/>
      </rPr>
      <t>2028</t>
    </r>
    <r>
      <rPr>
        <sz val="10"/>
        <color theme="1"/>
        <rFont val="Arial"/>
        <family val="2"/>
      </rPr>
      <t xml:space="preserve"> School prototype</t>
    </r>
  </si>
  <si>
    <t>https://efiling.energy.ca.gov/GetDocument.aspx?tn=265691&amp;DocumentContentId=102542</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</si>
  <si>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</si>
  <si>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</si>
  <si>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</si>
  <si>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</si>
  <si>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</si>
  <si>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</si>
  <si>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t>Code of Federal Regulations (CFR) Title 10 (2010)</t>
  </si>
  <si>
    <t xml:space="preserve">https://www.govinfo.gov/content/pkg/FR-2009-03-23/pdf/FR-2009-03-23.pdf </t>
  </si>
  <si>
    <t>CFR Title 10 ( 2024)</t>
  </si>
  <si>
    <t>https://www.govinfo.gov/content/pkg/CFR-2024-title10-vol3/pdf/CFR-2024-title10-vol3-part431-subpartF.pdf</t>
  </si>
  <si>
    <r>
      <t>Alternative Calculation Method</t>
    </r>
    <r>
      <rPr>
        <sz val="10"/>
        <color rgb="FF000000"/>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</si>
  <si>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</si>
  <si>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</si>
  <si>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</si>
  <si>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r>
      <t xml:space="preserve">Nonres ACM 2022, </t>
    </r>
    <r>
      <rPr>
        <sz val="10"/>
        <color rgb="FF000000"/>
        <rFont val="Arial"/>
        <family val="2"/>
      </rPr>
      <t>Appendix 5.4A and Appendix 5.4B</t>
    </r>
  </si>
  <si>
    <t>Other</t>
  </si>
  <si>
    <r>
      <t xml:space="preserve">2022 Reduced infiltration </t>
    </r>
    <r>
      <rPr>
        <sz val="10"/>
        <color rgb="FF000000"/>
        <rFont val="Arial"/>
        <family val="2"/>
      </rPr>
      <t xml:space="preserve">Codes and Standards Enhancement </t>
    </r>
    <r>
      <rPr>
        <sz val="10"/>
        <color rgb="FF000000"/>
        <rFont val="Arial"/>
        <family val="2"/>
      </rPr>
      <t xml:space="preserve">(CASE)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</si>
  <si>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</si>
  <si>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</si>
  <si>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</si>
  <si>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</si>
  <si>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</si>
  <si>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</si>
  <si>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</si>
  <si>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Air leakage Memo, NORESCO, 2025</t>
  </si>
  <si>
    <t>Infiltration_rate_report_14May2025-Short-Version.docx — internal NORESCO project memo (not a public URL). See Prototype basis / Source access below.</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</si>
  <si>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</si>
  <si>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</si>
  <si>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</si>
  <si>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</si>
  <si>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</si>
  <si>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</si>
  <si>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</si>
  <si>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</si>
  <si>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</si>
  <si>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</si>
  <si>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</si>
  <si>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Dodge 2023 construction rates used in the SCE vintage-bin analysis. Legend labels STC 41 and STC 49 are Dodge structure-type series identifiers from that analysis (Prototype D6, NonRes-Vintage bins-Draft Report-30Nov2023). They are not Title 24 climate zones.</t>
  </si>
  <si>
    <t>Notes</t>
  </si>
  <si>
    <t>2025 T24</t>
  </si>
  <si>
    <t>School Building includes four individual buildings, including north classroom, west classroom, kindergarten, and MPR/Admin.</t>
  </si>
  <si>
    <t>Geometry</t>
  </si>
  <si>
    <t>Geometry is CEC SchoolKto8 as implemented in CBECC 2028 (Prototype C7:C16; four buildings in B40: north classroom, west classroom, kindergarten, MPR/Admin). Floor area 49,979 ft². Prototype comparison columns (DEER Education-Primary, PNNL SchoolPrimary) are reference only; they are not the geometry basis.</t>
  </si>
  <si>
    <t>Vintage bins</t>
  </si>
  <si>
    <t>Existing vintages Pre-1978, 1978-1997, 1998-2007, 2008-2018 plus New Construction 2019+ follow the SCE Enhanced Prototypes vintage-bin analysis (Prototype D6). Dodge 2023 construction rates (figure above) inform stock weighting for existing California schools; they are not a Title 24 prescriptive requirement.</t>
  </si>
  <si>
    <t>Curriculum and stock</t>
  </si>
  <si>
    <t>Conventional K-8 curriculum (classrooms, MPR, kitchen, library, administration). Specialized spaces such as science labs, locker rooms, and computer classrooms are not in the CEC space list. The prototype represents average California K-8 stock. Funding and facility-condition variation is not a separate building; it is carried in vintage envelope/HVAC/lighting assumptions (including the 30-year roof replacement on Envelope H8).</t>
  </si>
  <si>
    <t>WWR, heights, energy</t>
  </si>
  <si>
    <t>WWR 7.08%, no exterior shades (CEC). Floor-to-floor 14 ft except MPR/Admin 14–25 ft. Existing HVAC: PSZAC + gas furnace (MPR SZVAV). New construction: SZHP. Service water: existing electric resistance; NC heat-pump water heater (Water Heater B3:B4).</t>
  </si>
  <si>
    <t>Abbreviations</t>
  </si>
  <si>
    <t>T24 = California Title 24, Part 6. ACM = Nonresidential/Multifamily Alternative Calculation Method Reference Manual. CEC = California Energy Commission. CBECC = California Building Energy Code Compliance software. CEUS = California Commercial End-Use Survey. STC (construction-rate figure) = Dodge structure-type series 41 and 49. PSZAC = packaged single-zone air conditioner. SZHP = single-zone heat pump. HPWH = heat-pump water heater. SRR = skylight-to-roof ratio. WWR = window-to-wall ratio. IWA = initial wattage allowance.</t>
  </si>
  <si>
    <t>Source access</t>
  </si>
  <si>
    <t>Column C lists public links where they exist. Dodge 2023 is a licensed dataset with no public URL. The NORESCO air-leakage memo is an internal file (C19), not a webpage. ENERGY STAR water-heater rows use the commercial electric (heat pump) Product Finder and dataset xmq6-bm79. Schedule fractions that cite the Plug Loads and Schedules project with CEC (2025) do not have an external link yet; an ASHRAE paper has been submitted and the citation will be updated when that paper is published or when ACM 2028 is released.</t>
  </si>
  <si>
    <t>Sources used</t>
  </si>
  <si>
    <t>Used on this scorecard: CEC SchoolKto8 (efiling tn=265691); T24 2022 App. 5.4A/5.4B; ACM 2025 §5.9.2 and fan tables; T24 Tables 140.3-B, 110.2-A/B, 140.6-C, 140.7-A/B, 120.1-A; 2022 Reduced Infiltration CASE; 2019 Outdoor Lighting CASE; PNNL 20405; ASHRAE 90.1-2022 Appendix A; ASHRAE Handbook of Fundamentals Ch. 4 and 10 (early-vintage windows); ENERGY STAR commercial HPWH list. The 2019 fume-hood CASE remains on the school-family source list; K-8 has no lab exhaust. Reviewer-suggested references that do not support a retained assumption are not added.</t>
  </si>
  <si>
    <t>SchoolK-8</t>
  </si>
  <si>
    <t>Characteristic</t>
  </si>
  <si>
    <t>Value</t>
  </si>
  <si>
    <t>Building Type</t>
  </si>
  <si>
    <t>K-8 School</t>
  </si>
  <si>
    <t>Building Category</t>
  </si>
  <si>
    <t>Nonresidential</t>
  </si>
  <si>
    <t>Version</t>
  </si>
  <si>
    <t>v2-0</t>
  </si>
  <si>
    <t>Vintages</t>
  </si>
  <si>
    <t>4 Vintages: Pre-1978, 1978-1997,1998-2007,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</si>
  <si>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</si>
  <si>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</si>
  <si>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CEC  approved 2028 SchoolK-8 prototype. </t>
  </si>
  <si>
    <t>Total Floor Area (ft²)</t>
  </si>
  <si>
    <t>Sum of the 38 zone floor areas in the SCE K-8 model (SchoolK8.idf); see Zones tab. The CEC prototype document (Table 3) lists 41,500 ft². The difference is about the size of the Kindergarten building (about 8,640 ft²); without it the model is about 41,340 ft², so Table 3 appears to predate the Kindergarten wing.</t>
  </si>
  <si>
    <t>Aspect Ratio</t>
  </si>
  <si>
    <t>It varies for different buildings.</t>
  </si>
  <si>
    <t>Same as the CEC approved 2028 SchoolK-8 prototype</t>
  </si>
  <si>
    <t>Number of Floors</t>
  </si>
  <si>
    <t>Roof type</t>
  </si>
  <si>
    <t>Flat</t>
  </si>
  <si>
    <t>WWR</t>
  </si>
  <si>
    <t>Shading Geometry</t>
  </si>
  <si>
    <t xml:space="preserve">No Shades </t>
  </si>
  <si>
    <t>Floor to floor height (feet)</t>
  </si>
  <si>
    <t>It varies for different buildings:
MPR/Admin: 14-25
Other buildings: 14 ft</t>
  </si>
  <si>
    <t>Floor to ceiling height (feet)</t>
  </si>
  <si>
    <t>Glazing sill height (feet)</t>
  </si>
  <si>
    <t>Above grade wall area (ft²)</t>
  </si>
  <si>
    <t>Gross wall area  (ft²)</t>
  </si>
  <si>
    <t>Roof area  (ft²)</t>
  </si>
  <si>
    <t>Underground Gross Wall Area  (ft²)</t>
  </si>
  <si>
    <t>CEC (SchoolKto8)</t>
  </si>
  <si>
    <t>DEER (Education-Primary School)</t>
  </si>
  <si>
    <t>PNNL (SchoolPrimary)</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</si>
  <si>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</si>
  <si>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</si>
  <si>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</si>
  <si>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</si>
  <si>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</si>
  <si>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</si>
  <si>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</si>
  <si>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</si>
  <si>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</si>
  <si>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</si>
  <si>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</si>
  <si>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</si>
  <si>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SkoolK-8 Admin/MPR</t>
  </si>
  <si>
    <t>Admin/MPR_Breakroom_Zn</t>
  </si>
  <si>
    <t>Lounge, Breakroom, or Waiting Area</t>
  </si>
  <si>
    <t>AHU-1</t>
  </si>
  <si>
    <t>MPR</t>
  </si>
  <si>
    <t>Y</t>
  </si>
  <si>
    <t>Admin/MPR_Conference Room Zns 3_Zn</t>
  </si>
  <si>
    <t>Convention, Conference, Multipurpose and Meeting Area</t>
  </si>
  <si>
    <t>AHU-2</t>
  </si>
  <si>
    <t>Admin/MPR_Corridor_Zn</t>
  </si>
  <si>
    <t>Corridor Area</t>
  </si>
  <si>
    <t>AHU-3</t>
  </si>
  <si>
    <t>Admin/MPR_EMT_Zn</t>
  </si>
  <si>
    <t>Electrical, Mechanical, Telephone Rooms</t>
  </si>
  <si>
    <t>AHU-4</t>
  </si>
  <si>
    <t>Ancillary</t>
  </si>
  <si>
    <t>Admin/MPR_IDF Room_Zn</t>
  </si>
  <si>
    <t>AHU-5</t>
  </si>
  <si>
    <t>Admin/MPR_Kitchen_Zn</t>
  </si>
  <si>
    <t>Kitchen/Food Preparation Area</t>
  </si>
  <si>
    <t>AHU-6</t>
  </si>
  <si>
    <t>Kitchen</t>
  </si>
  <si>
    <t>Admin/MPR_Lobby_Zn</t>
  </si>
  <si>
    <t>Lobby, Main Entry</t>
  </si>
  <si>
    <t>AHU-7</t>
  </si>
  <si>
    <t>Admin/MPR_Multipurpose Room Zns 3_Zn</t>
  </si>
  <si>
    <t>AHU-8</t>
  </si>
  <si>
    <t>Admin/MPR_Office - LT 250 sf Zns 6_Zn</t>
  </si>
  <si>
    <t>Office Area (&lt;250 square feet)</t>
  </si>
  <si>
    <t>AHU-9</t>
  </si>
  <si>
    <t>Admin/MPR_Restroom Zns 3_Zn</t>
  </si>
  <si>
    <t>Restrooms</t>
  </si>
  <si>
    <t>AHU-10</t>
  </si>
  <si>
    <t>AncillaryRestroom</t>
  </si>
  <si>
    <t>Admin/MPR_Storage - General_Zn</t>
  </si>
  <si>
    <t>Storage (General)</t>
  </si>
  <si>
    <t>AHU-11</t>
  </si>
  <si>
    <t>Admin/MPR_Storage - Refrigerated_Zn</t>
  </si>
  <si>
    <t>Storage, Commercial/Industrial (Refrigerated)</t>
  </si>
  <si>
    <t>AHU-12</t>
  </si>
  <si>
    <t>Admin/MPR_Theater - Performance_Zn</t>
  </si>
  <si>
    <t>Theater Area (Performance)</t>
  </si>
  <si>
    <t>AHU-13</t>
  </si>
  <si>
    <t>SkoolK-8 North Classrooms</t>
  </si>
  <si>
    <t>Classrm N_Flr 1_Classroom-01_Zn</t>
  </si>
  <si>
    <t>Classroom, Lecture, Training, Vocational Areas</t>
  </si>
  <si>
    <t>AHU-14</t>
  </si>
  <si>
    <t>Classroom</t>
  </si>
  <si>
    <t>Classrm N_Flr 1_Classroom-02 Zns 6_Zn</t>
  </si>
  <si>
    <t>AHU-15</t>
  </si>
  <si>
    <t>Classrm N_Flr 1_Office - LT 250 sf_Zn</t>
  </si>
  <si>
    <t>AHU-16</t>
  </si>
  <si>
    <t>Classrm N_Flr 1_Restroom_Zn</t>
  </si>
  <si>
    <t>AHU-17</t>
  </si>
  <si>
    <t>Classrm N_Flr 2_Classroom-01 Zns 6_Zn</t>
  </si>
  <si>
    <t>AHU-18</t>
  </si>
  <si>
    <t>Classrm N_Flr 2_Classroom-02_Zn</t>
  </si>
  <si>
    <t>AHU-19</t>
  </si>
  <si>
    <t>Classrm N_Flr 2_Office - LT 250 sf_Zn</t>
  </si>
  <si>
    <t>AHU-20</t>
  </si>
  <si>
    <t>Classrm N_Flr 2_Restroom_Zn</t>
  </si>
  <si>
    <t>AHU-21</t>
  </si>
  <si>
    <t>SkoolK-8 West Classrooms</t>
  </si>
  <si>
    <t>Classrm W_Flr 1_Classroom Zns 2_Zn</t>
  </si>
  <si>
    <t>AHU-22</t>
  </si>
  <si>
    <t>Classrm W_Flr 1_EMT-01_Zn</t>
  </si>
  <si>
    <t>AHU-23</t>
  </si>
  <si>
    <t>Classrm W_Flr 1_EMT-02_Zn</t>
  </si>
  <si>
    <t>AHU-24</t>
  </si>
  <si>
    <t>Classrm W_Flr 1_Library - Reading Area_Zn</t>
  </si>
  <si>
    <t>Library (Reading Area)</t>
  </si>
  <si>
    <t>AHU-25</t>
  </si>
  <si>
    <t>Classrm W_Flr 1_Restroom_Zn</t>
  </si>
  <si>
    <t>AHU-26</t>
  </si>
  <si>
    <t>Classrm W_Flr 1_Storage - General_Zn</t>
  </si>
  <si>
    <t>AHU-27</t>
  </si>
  <si>
    <t>Classrm W_Flr 2_Classroom-01 Zns 3_Zn</t>
  </si>
  <si>
    <t>AHU-28</t>
  </si>
  <si>
    <t>Classrm W_Flr 2_Classroom-02_Zn</t>
  </si>
  <si>
    <t>AHU-29</t>
  </si>
  <si>
    <t>Classrm W_Flr 2_IDF Room_Zn</t>
  </si>
  <si>
    <t>AHU-30</t>
  </si>
  <si>
    <t>Classrm W_Flr 2_Restroom_Zn</t>
  </si>
  <si>
    <t>AHU-31</t>
  </si>
  <si>
    <t>Classrm W_Flr 2_Storage - General_Zn</t>
  </si>
  <si>
    <t>AHU-32</t>
  </si>
  <si>
    <t>SkoolK-8 Kindergarten</t>
  </si>
  <si>
    <t>Kindergarten_Classroom-01_Zn</t>
  </si>
  <si>
    <t>AHU-33</t>
  </si>
  <si>
    <t>Kindergarten_Classroom-02_Zn</t>
  </si>
  <si>
    <t>AHU-34</t>
  </si>
  <si>
    <t>Kindergarten_EMT_Zn</t>
  </si>
  <si>
    <t>AHU-35</t>
  </si>
  <si>
    <t>Kindergarten_IDF Room_Zn</t>
  </si>
  <si>
    <t>AHU-36</t>
  </si>
  <si>
    <t>Kindergarten_Restroom_Zn</t>
  </si>
  <si>
    <t>AHU-37</t>
  </si>
  <si>
    <t>Kindergarten_Storage - General_Zn</t>
  </si>
  <si>
    <t>AHU-38</t>
  </si>
  <si>
    <t>Total (4 Buildings)</t>
  </si>
  <si>
    <t>Total (38 spaces)</t>
  </si>
  <si>
    <r>
      <t>Total (</t>
    </r>
    <r>
      <rPr>
        <sz val="10"/>
        <color rgb="FF000000"/>
        <rFont val="Arial"/>
        <family val="2"/>
      </rPr>
      <t>13</t>
    </r>
    <r>
      <rPr>
        <sz val="10"/>
        <color indexed="8"/>
        <rFont val="Arial"/>
        <family val="2"/>
      </rPr>
      <t xml:space="preserve"> Space types)</t>
    </r>
  </si>
  <si>
    <r>
      <t>Total (</t>
    </r>
    <r>
      <rPr>
        <sz val="10"/>
        <color rgb="FF000000"/>
        <rFont val="Arial"/>
        <family val="2"/>
      </rPr>
      <t>38</t>
    </r>
    <r>
      <rPr>
        <sz val="10"/>
        <color indexed="8"/>
        <rFont val="Arial"/>
        <family val="2"/>
      </rPr>
      <t xml:space="preserve"> HVAC </t>
    </r>
    <r>
      <rPr>
        <sz val="10"/>
        <color rgb="FF000000"/>
        <rFont val="Arial"/>
        <family val="2"/>
      </rPr>
      <t>Systems</t>
    </r>
    <r>
      <rPr>
        <sz val="10"/>
        <color indexed="8"/>
        <rFont val="Arial"/>
        <family val="2"/>
      </rPr>
      <t>)</t>
    </r>
  </si>
  <si>
    <r>
      <rPr>
        <sz val="10"/>
        <color rgb="FF000000"/>
        <rFont val="Arial"/>
        <family val="2"/>
      </rPr>
      <t>Total (</t>
    </r>
    <r>
      <rPr>
        <sz val="10"/>
        <color rgb="FF000000"/>
        <rFont val="Arial"/>
        <family val="2"/>
      </rPr>
      <t>5</t>
    </r>
    <r>
      <rPr>
        <sz val="10"/>
        <color rgb="FF000000"/>
        <rFont val="Arial"/>
        <family val="2"/>
      </rPr>
      <t xml:space="preserve"> Schedule categories))</t>
    </r>
  </si>
  <si>
    <t xml:space="preserve"> Total (38 Conditioned zones)</t>
  </si>
  <si>
    <t>Area Distribution By Space Type</t>
  </si>
  <si>
    <t>Space Type</t>
  </si>
  <si>
    <t>% Area</t>
  </si>
  <si>
    <t>Total</t>
  </si>
  <si>
    <t>Background Data [To be deleted prior to publication]</t>
  </si>
  <si>
    <t>Element</t>
  </si>
  <si>
    <t>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</si>
  <si>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</si>
  <si>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</si>
  <si>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</si>
  <si>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</si>
  <si>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</si>
  <si>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</si>
  <si>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</si>
  <si>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</si>
  <si>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</si>
  <si>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</si>
  <si>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</si>
  <si>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</si>
  <si>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</si>
  <si>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</si>
  <si>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</si>
  <si>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</si>
  <si>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</si>
  <si>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</si>
  <si>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</si>
  <si>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</si>
  <si>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</si>
  <si>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</si>
  <si>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r>
      <rPr>
        <sz val="10"/>
        <color rgb="FF000000"/>
        <rFont val="Arial"/>
        <family val="2"/>
      </rPr>
      <t xml:space="preserve">Metal framed wall:
</t>
    </r>
    <r>
      <rPr>
        <sz val="10"/>
        <color rgb="FF000000"/>
        <rFont val="Arial"/>
        <family val="2"/>
      </rPr>
      <t>Metal frame + insulation + Gypsum board</t>
    </r>
  </si>
  <si>
    <t>U-factor IP</t>
  </si>
  <si>
    <t>Pre 1978</t>
  </si>
  <si>
    <t>N/A</t>
  </si>
  <si>
    <t>Using DOE pre-1980 U-values of 0.227 and a 9.2% cumulative wall renovation rate through 2028, based on the average annual rate from CBECS 2003 and 2012 projected over 48 years.</t>
  </si>
  <si>
    <t>1978-1997</t>
  </si>
  <si>
    <t xml:space="preserve">TABLE NO. 1-I </t>
  </si>
  <si>
    <t>1998-2007</t>
  </si>
  <si>
    <t>Table 1-H</t>
  </si>
  <si>
    <t>2008-2018</t>
  </si>
  <si>
    <t>Table 140.3-B</t>
  </si>
  <si>
    <t>Existing</t>
  </si>
  <si>
    <t>Weighted average of all 4 vintages</t>
  </si>
  <si>
    <t>2019+</t>
  </si>
  <si>
    <t>Table 140.3-B (2025) Metal-framed walls</t>
  </si>
  <si>
    <t>Roof</t>
  </si>
  <si>
    <t>FlatRoof_WoodFramedAndOther_NonRes</t>
  </si>
  <si>
    <r>
      <rPr>
        <sz val="10"/>
        <color rgb="FF000000"/>
        <rFont val="Arial"/>
        <family val="2"/>
      </rPr>
      <t xml:space="preserve">Metal deck roof: 
</t>
    </r>
    <r>
      <rPr>
        <sz val="10"/>
        <color rgb="FF000000"/>
        <rFont val="Arial"/>
        <family val="2"/>
      </rPr>
      <t>roof membrane+roof insulation+metal decking</t>
    </r>
  </si>
  <si>
    <t>Considering 30 years for roof/ insultation replacement</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</si>
  <si>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</si>
  <si>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</si>
  <si>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</si>
  <si>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</si>
  <si>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</si>
  <si>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</si>
  <si>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</si>
  <si>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 xml:space="preserve">Table 1-H — WWR ≤10% (prototype 7.08%), SHGC non-north. </t>
  </si>
  <si>
    <t>Skylight</t>
  </si>
  <si>
    <t>Plastic curb-mounted</t>
  </si>
  <si>
    <t>Table 1-I Translucent (1992 term for this plastic curb product). 4 MPR skylights; CalBEM 63.97 ft² vs CEC 130.57 ft²; SRR ~0.17%/0.35% (0–2% bin).</t>
  </si>
  <si>
    <t>Table 1-H plastic w/curb U-factor (U does not vary by SRR).</t>
  </si>
  <si>
    <t>Table 1-I Translucent SHGC (1992 term; same plastic curb product).</t>
  </si>
  <si>
    <t>Table 1-H plastic w/curb, SRR 0–2% (K8 ~0.17% CalBEM / 0.35% CBECC). Not 2.1–5%.</t>
  </si>
  <si>
    <t>Table 140.3-B plastic curb SHGC = NR; used 2001 Table 1-H 0–2% SRR.</t>
  </si>
  <si>
    <t>Table 140.3-B (2025) plastic curb SHGC = NR; same 2001 0–2% SRR values.</t>
  </si>
  <si>
    <t>Floor: SlabOnGrade_Unheated_NonRes is a 4 in. concrete slab-on-grade with no insulation. It is the same for every vintage (F-factor 0.73), so it is documented here instead of as a table row.</t>
  </si>
  <si>
    <t>Infiltration</t>
  </si>
  <si>
    <t>Zones</t>
  </si>
  <si>
    <t>I_75
6-Sided Infiltration rate 
@ 75 pa</t>
  </si>
  <si>
    <t>Note</t>
  </si>
  <si>
    <t xml:space="preserve"> I-design (cfm/ft²) 
(4-sided Infiltration rate at normal pressure) 
(Design flow rate approach and Flow/Exterior Wall Area calculation method) </t>
  </si>
  <si>
    <t>2022 CASE report (Table 38)</t>
  </si>
  <si>
    <t>Floor or roof area (ft2)</t>
  </si>
  <si>
    <t>Walls area (ft2)</t>
  </si>
  <si>
    <t>Building 4 sided area (ft2)=</t>
  </si>
  <si>
    <t>2022 CASE report (Table 38) &amp;
T24, 2008-2016 (Table 140.3-B)--Air barrier is required in CZ 10-16</t>
  </si>
  <si>
    <t>Building 6 sided area (ft2)=</t>
  </si>
  <si>
    <t>Same as Pre 2008 because of their higher weights</t>
  </si>
  <si>
    <t>2022 CASE report (Table 38) &amp;  
T24, 2025 (Table 140.3-B)--Air barrier is required in all CZs</t>
  </si>
  <si>
    <t>6 sided /4 sided factor=</t>
  </si>
  <si>
    <t>Source:  T24 air barrier requirements (all editions) and the standardized infiltration rate reported in the 2022 CASE report and Dodge 2023 data</t>
  </si>
  <si>
    <t xml:space="preserve">Air Leakage Memo: </t>
  </si>
  <si>
    <t>Infiltration_rate_report_14May2025-Short-Version.docx</t>
  </si>
  <si>
    <t>Pre-1978 exterior wall U value calculation:</t>
  </si>
  <si>
    <t>Metal framed wall:
Metal frame + insulation + Gypsum board</t>
  </si>
  <si>
    <t>U-value IP</t>
  </si>
  <si>
    <t>ASHRAE 90.1-2022 Table A3.3.3.1 (metal-framed), 3.5 in., R-0</t>
  </si>
  <si>
    <t>T24 2008 (U value): Metal framed wall Nonres</t>
  </si>
  <si>
    <t>DOE pre 1980 prototype LA (U value)</t>
  </si>
  <si>
    <t xml:space="preserve">Renovation rate since 1980  (yearly renovation rate was calculated from CBECS 2003 and 2012 and then projected over 48 years) </t>
  </si>
  <si>
    <t xml:space="preserve">Heating </t>
  </si>
  <si>
    <t>Cooling</t>
  </si>
  <si>
    <t>Air Distribution</t>
  </si>
  <si>
    <t>Other Systems</t>
  </si>
  <si>
    <t>Source</t>
  </si>
  <si>
    <r>
      <t xml:space="preserve">All Space Types </t>
    </r>
    <r>
      <rPr>
        <sz val="10"/>
        <color rgb="FF000000"/>
        <rFont val="Arial"/>
        <family val="2"/>
      </rPr>
      <t>except MPR/refrigerated storage</t>
    </r>
  </si>
  <si>
    <t>Gas Furnace</t>
  </si>
  <si>
    <t>PSZAC (DX cooling)</t>
  </si>
  <si>
    <t>CAV</t>
  </si>
  <si>
    <t>OA mixing. Air-side economizer: not modeled (see Economizer / ERV).</t>
  </si>
  <si>
    <t>Engineering Judgement</t>
  </si>
  <si>
    <t>System 3a</t>
  </si>
  <si>
    <t>Admin/MPR Multipurpose Room</t>
  </si>
  <si>
    <t>SZHP (DX heating)</t>
  </si>
  <si>
    <t>SZHP (DX cooling)</t>
  </si>
  <si>
    <t>SZVAV (single-zone VAV)</t>
  </si>
  <si>
    <t>VAV with no reheat and a variable-volume fan. Theater and other Admin zones remain CAV. Kitchen makeup loop System 13 is also VAV (exhaust makeup).</t>
  </si>
  <si>
    <t>Admin/MPR_Storage - Refrigerated</t>
  </si>
  <si>
    <t>n/a (walk-in refrigeration)</t>
  </si>
  <si>
    <t>Walk-in cooler (not PSZ DX)</t>
  </si>
  <si>
    <t>n/a</t>
  </si>
  <si>
    <t>n/a — walk-in refrigeration, not an air-side HVAC OA system.</t>
  </si>
  <si>
    <t xml:space="preserve">Refrigeration system; 35°F product; equipment W/ft² on Equipment tab. </t>
  </si>
  <si>
    <t>New Construction</t>
  </si>
  <si>
    <r>
      <rPr>
        <sz val="10"/>
        <color rgb="FF000000"/>
        <rFont val="Arial"/>
        <family val="2"/>
      </rPr>
      <t xml:space="preserve">All Space Types </t>
    </r>
    <r>
      <rPr>
        <sz val="10"/>
        <color rgb="FF000000"/>
        <rFont val="Arial"/>
        <family val="2"/>
      </rPr>
      <t>except MPR and refrigerated storage</t>
    </r>
  </si>
  <si>
    <t>SZHP</t>
  </si>
  <si>
    <t>ACM 2025</t>
  </si>
  <si>
    <t>System 3b</t>
  </si>
  <si>
    <r>
      <rPr>
        <b/>
        <sz val="14"/>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</si>
  <si>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</si>
  <si>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Heating DX</t>
  </si>
  <si>
    <t>Cooling DX</t>
  </si>
  <si>
    <t xml:space="preserve">Sources </t>
  </si>
  <si>
    <t xml:space="preserve">Thermal Efficiency of 80%
</t>
  </si>
  <si>
    <t xml:space="preserve"> EER 11.2 for &lt;65 kBtu/h
EER 10.3 for 65-135 kBtu/h
</t>
  </si>
  <si>
    <t>2005 Title 20 Appliance Efficiency Regulations, 2005 T24 Standards, Tables 112-A, 112-B</t>
  </si>
  <si>
    <t>EER 11.2 for &lt;65 kBtu/h
EER 11.2 for 65–135 kBtu/h</t>
  </si>
  <si>
    <r>
      <t>2013 Title 20 Appliance Efficiency Regulations, 2013 T24 Tables 11</t>
    </r>
    <r>
      <rPr>
        <sz val="10"/>
        <color rgb="FF000000"/>
        <rFont val="Arial"/>
        <family val="2"/>
      </rPr>
      <t>0.2</t>
    </r>
  </si>
  <si>
    <t>2013 T24 Table 110.2-A (air-cooled packaged AC). Existing vintage is PSZAC + gas furnace, not HP.</t>
  </si>
  <si>
    <r>
      <t xml:space="preserve">Heating @ 47°F:
&lt;65 kBtu/h (AHRI 210/240): federal minimum HSPF2 / 10 CFR 430
65–135 kBtu/h: COP </t>
    </r>
    <r>
      <rPr>
        <sz val="10"/>
        <color rgb="FF000000"/>
        <rFont val="Arial"/>
        <family val="2"/>
      </rPr>
      <t>3.40</t>
    </r>
    <r>
      <rPr>
        <sz val="10"/>
        <color theme="1"/>
        <rFont val="Arial"/>
        <family val="2"/>
      </rPr>
      <t xml:space="preserve"> (10 CFR 431 / T24 Table 110.2-B)
Heating @ 17°F: COP 2.25 (Table 110.2-B)</t>
    </r>
  </si>
  <si>
    <t>&lt;65 kBtu/h packaged HP (10 CFR 430.32): SEER2 13.4 (pair to HSPF2 6.7)
65–135 kBtu/h: EER 11.0 + federal min IEER (Table 110.2-B)
135–240 kBtu/h: EER 10.6 + federal min IEER (MPR bin)
≥240 kBtu/h: EER 9.5 + federal min IEER</t>
  </si>
  <si>
    <t>T24 2025 Table 110.2-B; 10 CFR 431.97 (COP @ 47°F); 10 CFR 430.32 (HSPF2/SEER2 &lt;65 kBtu/h); AHRI 340/360 (≥65) / AHRI 210/240 (&lt;65)</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</si>
  <si>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</si>
  <si>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</si>
  <si>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</si>
  <si>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</si>
  <si>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</si>
  <si>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</si>
  <si>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</si>
  <si>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</si>
  <si>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</si>
  <si>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</si>
  <si>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</si>
  <si>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CAV, PSZ classrooms/admin (except MPR), design airflow &lt; 7,437 cfm</t>
  </si>
  <si>
    <t>ASHRAE 90.1, 2004, Table 10.8 *</t>
  </si>
  <si>
    <t>Fan power formula: PNNL 20405, 2010, section 5.2.2.5
TSP and fan efficiency: PNNL 20405, 2010, Table 5.11, 90.1-04ac values
Motor and drive efficiency: ASHRAE 90.1, 2004, Table 10.8</t>
  </si>
  <si>
    <t>PNNL 20405, 2010, Table 5.11</t>
  </si>
  <si>
    <t>SZVAV, Admin/MPR Multipurpose Room, VAV &gt; 4,648 cfm</t>
  </si>
  <si>
    <t>Brake horsepower (bhp) = (Supply cfm × TSP in w.c.) / (6356 × fan efficiency)</t>
  </si>
  <si>
    <t>Fan power (w/cfm) = (bhp ×  746) / ( supply cfm × motor efficiency )</t>
  </si>
  <si>
    <t>SZHP (System 3b), CAV classrooms/admin, ≤5,000 cfm</t>
  </si>
  <si>
    <t>TSP = fan power × motor efficiency × fan efficiency × 6356 / 746</t>
  </si>
  <si>
    <t>2025 ACM Table 12 **</t>
  </si>
  <si>
    <t>Fan power index: [ACM 2025, Table 13]
Motor efficiency: [ACM 2025, Table 12]</t>
  </si>
  <si>
    <t>SZVAVHP (System 7b), MPR/cafeteria, &gt;10,000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</si>
  <si>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</si>
  <si>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Packaged SZHP. Same index as Hotel Small System 3b ≤5,000 cfm.
     Note: Single-zone VAV heat pump, not System 6. ACM System 7b &gt;10,000 cfm = 0.676; &gt;5,000–10,000 cfm = 0.720. PNNL row was VAV &gt;4,648 cfm.</t>
  </si>
  <si>
    <t>Economizer / ERV</t>
  </si>
  <si>
    <t>Air-side economizer: not modeled. ERV: not modeled. T24 §140.4(e) would require an air economizer when cooling capacity ≥ 54,000 Btu/h (with listed exceptions); CBECC Standard Design uses FixedDryBulb on units that meet that threshold. This prototype does not include economizers.</t>
  </si>
  <si>
    <t>Setpoint</t>
  </si>
  <si>
    <t>School Heating Setpoint (F)</t>
  </si>
  <si>
    <t>T24 2022 - Appendix 5.4B</t>
  </si>
  <si>
    <t>School Heating Setback (F)</t>
  </si>
  <si>
    <t>School Cooling Setpoint (F)</t>
  </si>
  <si>
    <t>School Cooling Setback (F)</t>
  </si>
  <si>
    <t>Kitchen Heating Setpoint (F)</t>
  </si>
  <si>
    <t>T24 2022 - Appendix 5.4B (school kitchen occupied 70/75; not commercial restaurant 66–79)</t>
  </si>
  <si>
    <t>Kitchen Heating Setback (F)</t>
  </si>
  <si>
    <t>Kitchen Cooling Setpoint (F)</t>
  </si>
  <si>
    <t>Kitchen Cooling Setback (F)</t>
  </si>
  <si>
    <t>Restrooms Heating Setpoint (F)</t>
  </si>
  <si>
    <t>T24 2022 - Appendix 5.4B [School]. Restrooms use the school setpoints (70/75 °F occupied, 60/85 °F setback) on the school HVAC hours.</t>
  </si>
  <si>
    <t>Restrooms Heating Setback (F)</t>
  </si>
  <si>
    <t>Restrooms Cooling Setpoint (F)</t>
  </si>
  <si>
    <t>Restrooms Cooling Setback (F)</t>
  </si>
  <si>
    <t>Electrical/Mechanical (non-refrigerated) Heating Setpoint (F)</t>
  </si>
  <si>
    <t>Engineering Judgment (semi-conditioned storage / electrical-mechanical)</t>
  </si>
  <si>
    <t>Electrical/Mechanical (non-refrigerated) Heating Setback (F)</t>
  </si>
  <si>
    <t>Electrical/Mechanical (non-refrigerated) Cooling Setpoint (F)</t>
  </si>
  <si>
    <t>Storage and Electrical/Mechanical (non-refrigerated) Cooling Setback (F)</t>
  </si>
  <si>
    <t>Refrigerated storage setpoint (F)</t>
  </si>
  <si>
    <t>Engineering judgment, medium-temp cooler within T24 28–55°F</t>
  </si>
  <si>
    <t>Refrigerated storage setback (F)</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</si>
  <si>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</si>
  <si>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</si>
  <si>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</si>
  <si>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</si>
  <si>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</si>
  <si>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</si>
  <si>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</si>
  <si>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</si>
  <si>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Kitchen exhaust hood (Type I)</t>
  </si>
  <si>
    <t>Kitchen hood exhaust, Table 120.1-B commercial kitchen 0.70 cfm/ft². Already counted in row 8 (kitchen total cfm is exhaust-driven), so it is not added to the totals.</t>
  </si>
  <si>
    <t>WH Type</t>
  </si>
  <si>
    <t>Efficiency</t>
  </si>
  <si>
    <t>Number of WH</t>
  </si>
  <si>
    <t>Tank Volume (gal)</t>
  </si>
  <si>
    <t>Tank Loss</t>
  </si>
  <si>
    <t xml:space="preserve">Existing  </t>
  </si>
  <si>
    <t>Gas</t>
  </si>
  <si>
    <t>See Existing gas storage CZ tables, Storage Volume (col G)</t>
  </si>
  <si>
    <t>See Existing gas storage CZ tables, Standby Loss (col H). Title 20 §1605.1 Table F-4: Q/800 + 110√V.</t>
  </si>
  <si>
    <t>Input = capacity / 0.80 thermal efficiency, next catalog gas input. Not the HPWH COPh path.</t>
  </si>
  <si>
    <t>Gas storage: CEUS 2022 shows school water heating is mainly natural gas (about 72% gas, about 26% electric; Figures 38–39). Same 4 plants as the K-8 model (Admin, North Classroom, West Classroom, Kindergarten).</t>
  </si>
  <si>
    <t>HPWH</t>
  </si>
  <si>
    <t>See New Construction HPWH CZ tables, Storage Volume (col G)</t>
  </si>
  <si>
    <t>See New Construction HPWH CZ tables. Tank UA is 4.37 Btu/h·°F (DEER), not Table F-4.</t>
  </si>
  <si>
    <t>Input = capacity / COPh 4.3.</t>
  </si>
  <si>
    <t>Peak Hot Water Consumption</t>
  </si>
  <si>
    <t>Space Name</t>
  </si>
  <si>
    <t>Baseline WH Type
[T24, 2022, Appendix 5.4A , sheet: "2022 SpaceFuncData-Input"]</t>
  </si>
  <si>
    <t xml:space="preserve"> Total Area (ft²) </t>
  </si>
  <si>
    <t xml:space="preserve"> Number of People </t>
  </si>
  <si>
    <t xml:space="preserve"> Hot Water Usage Specification
(gal/hr per person) 
[T24, 2022, Appendix 5.4A , sheet: "2022 SpaceFuncData-Input"] </t>
  </si>
  <si>
    <t>Peak Hot Water Usage
(gal/hr)</t>
  </si>
  <si>
    <t xml:space="preserve"> Peak Hot Water Usage
(gal/min) </t>
  </si>
  <si>
    <t>Plant peak hot water (gal/hr)</t>
  </si>
  <si>
    <t>Water Heater Name</t>
  </si>
  <si>
    <t>WH type</t>
  </si>
  <si>
    <t>HPWH - Admin</t>
  </si>
  <si>
    <t>Minimum peak hot water usage is 75 gal/hr according to ACM 2025, §5.9.2</t>
  </si>
  <si>
    <t>HPWH - North Classroom</t>
  </si>
  <si>
    <t>HPWH - West Classroom</t>
  </si>
  <si>
    <t>HPWH - Kindergarten</t>
  </si>
  <si>
    <t>Design supply temperature (°F)</t>
  </si>
  <si>
    <t>CEC-400-2022-009-CMF-REV2-AP5.4B</t>
  </si>
  <si>
    <t>WH system factor</t>
  </si>
  <si>
    <t>2025 ACM §5.9.2 Rated Capacity</t>
  </si>
  <si>
    <t>Water mass conversion (lb/gal)</t>
  </si>
  <si>
    <t>Reheat multiplier</t>
  </si>
  <si>
    <t>2025 ACM §5.9.2 Storage Volume</t>
  </si>
  <si>
    <t>Commercial HPWH configuration</t>
  </si>
  <si>
    <t>Unitary storage HPWH (integrated)</t>
  </si>
  <si>
    <t>Distributed unitary storage HPWH; retain the K-8 prototype's 4 water heaters and 4 service-water loops.</t>
  </si>
  <si>
    <t>Selected commercial COPh</t>
  </si>
  <si>
    <t>ENERGY STAR Certified Commercial Water Heaters export, filtered Electric Heat Pump (2026-09-03): integrated 119-gal CHP family COPh = 4.3.</t>
  </si>
  <si>
    <t>ENERGY STAR minimum commercial COPh</t>
  </si>
  <si>
    <t>ENERGY STAR commercial electric heat pump water-heater criterion; shown as the floor, not the selected enhanced value.</t>
  </si>
  <si>
    <t>Design COPh</t>
  </si>
  <si>
    <t>Use commercial COPh directly.</t>
  </si>
  <si>
    <t>Climate Zone Water Heater Sizing and Loss Coefficients — New Construction HPWH</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</si>
  <si>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</si>
  <si>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</si>
  <si>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</si>
  <si>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</si>
  <si>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</si>
  <si>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</si>
  <si>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</si>
  <si>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(%/hr) / [= UA ÷ (0.0834 × Storage Volume); UA = DEER HPWH default 4.37 Btu/h·°F.]</t>
  </si>
  <si>
    <t>Tank UA – Off/On-Cycle Loss Coefficient to Ambient (Btu/h·°F) / [DEER default for all HPWHs: 4.37; DEER Water Heater Calculator documentation v5.0 (2022), §1.7.2, citing NLR 64904]</t>
  </si>
  <si>
    <t>Source/Note</t>
  </si>
  <si>
    <t>CZ01</t>
  </si>
  <si>
    <t>%/hr</t>
  </si>
  <si>
    <t>Btu/h·°F</t>
  </si>
  <si>
    <t>Approach: distributed unitary storage HPWH. The K-8 Prototype has 4 water heaters and 4 service-water loops; retain one plant for Admin, North Classroom, West Classroom, and Kindergarten.
Efficiency: commercial COPh = 4.3 from the ENERGY STAR Certified Commercial Water Heaters export (Electric Heat Pump filter). The only integrated commercial family in that export is 119 gal: AO Smith CAHP-120 100, Lochinvar CHPA120PD 100, and State CSHP-120-DHPT 100. Required electric input (col E) = required WH capacity (col D) / COPh.
Tank loss: DEER Commercial HPWH Calculator §1.7.2 states HPWH standby losses are not published and uses UA = 4.37 Btu/h·°F for HPWHs (from NLR 64904). Therefore I = 4.37 constant for one unitary tank per plant; G (%/hr) = I / (0.0834 × F). Do not scale UA by assumed cylinder area.
Title 20 Table F-4 electric-storage standby (0.30 + 27/V %/hr) is not used because 10 CFR 431.102 excludes commercial heat pump water heaters. The 40/50/66/80/120-gal rows are retained as prototype storage-sizing bins; they are not represented as ENERGY STAR commercial market rows.
Sources:
https://www.energystar.gov/productfinder/product/certified-commercial-water-heaters/results
https://cedars.cpuc.ca.gov/deer-resources/tools/water-heaters/
https://www.ecfr.gov/current/title-10/chapter-II/subchapter-D/part-431/subpart-G/section-431.102
https://www.nlr.gov/docs/fy16osti/64904.pdf</t>
  </si>
  <si>
    <t>CZ02</t>
  </si>
  <si>
    <t>CZ03</t>
  </si>
  <si>
    <t>CZ04</t>
  </si>
  <si>
    <t>CZ05</t>
  </si>
  <si>
    <t>CZ06</t>
  </si>
  <si>
    <t>CZ07</t>
  </si>
  <si>
    <t>CZ08</t>
  </si>
  <si>
    <t>CZ09</t>
  </si>
  <si>
    <t>Same DEER HPWH UA method as the first plant table. Peak cell $C$50.</t>
  </si>
  <si>
    <t>Same DEER HPWH UA method as the first plant table. Peak cell $C$51.</t>
  </si>
  <si>
    <t>Same DEER HPWH UA method as the first plant table. Peak cell $C$52.</t>
  </si>
  <si>
    <t>Market data — integrated HPWH</t>
  </si>
  <si>
    <t>Catalog tank (gal)</t>
  </si>
  <si>
    <t>Tank source</t>
  </si>
  <si>
    <t>Heating output (Btu/h)</t>
  </si>
  <si>
    <t>Output source</t>
  </si>
  <si>
    <t>UEF</t>
  </si>
  <si>
    <t>ENERGY STAR</t>
  </si>
  <si>
    <t>ENERGY STAR integrated HPWH</t>
  </si>
  <si>
    <t>Typical ENERGY STAR integrated HPWH size class</t>
  </si>
  <si>
    <t>Existing gas storage and new-construction HPWH use the same ACM 2025 §5.9.2 heat output, capacity (x 0.60), and storage (peak x 0.40, 30 gal floor). They diverge after that. Gas input is capacity / 0.80 thermal efficiency, taken to the next catalog gas input rating, and standby loss is Title 20 §1605.1 Table F-4: Q/800 + 110√V (Btu/h). HPWH input is capacity / COPh 4.3, and tank UA is the DEER value 4.37 Btu/h·°F, not Table F-4.</t>
  </si>
  <si>
    <t>Market data — commercial gas storage water heaters (Existing)</t>
  </si>
  <si>
    <t>Catalog gas input (Btu/h)</t>
  </si>
  <si>
    <t>Input source</t>
  </si>
  <si>
    <t>Catalog gas tank (gal)</t>
  </si>
  <si>
    <t>Grainger</t>
  </si>
  <si>
    <t>Both</t>
  </si>
  <si>
    <t>Climate Zone Water Heater Sizing — Existing gas storage</t>
  </si>
  <si>
    <t>Required Energy Input (Btu/hr) / [Capacity / 0.80 thermal efficiency, next catalog gas input]</t>
  </si>
  <si>
    <t>Storage Volume (gal) / [ACM §5.9.2: MAX(30, peak × 0.40), next catalog gas tank]</t>
  </si>
  <si>
    <t>Standby Loss (Btu/hr) / [Title 20 §1605.1 Table F-4: Q/800 + 110√V]</t>
  </si>
  <si>
    <t>Off/On Cycle Loss Coefficient to Ambient Temp (Btu/h·°F) / [standby loss / 70 °F]</t>
  </si>
  <si>
    <t>Gas - Admin</t>
  </si>
  <si>
    <t>Btu/hr</t>
  </si>
  <si>
    <t>Same ACM §5.9.2 heat output and capacity as the HPWH plant. Input and standby loss follow the gas storage path (thermal efficiency 0.80; Title 20 Table F-4), as in the SchoolLarge scorecard.</t>
  </si>
  <si>
    <t>Gas - North Classroom</t>
  </si>
  <si>
    <t>Gas - West Classroom</t>
  </si>
  <si>
    <t>Gas - Kindergarten</t>
  </si>
  <si>
    <t xml:space="preserve">New Construction </t>
  </si>
  <si>
    <t>Lighting density 
(W/ft²)</t>
  </si>
  <si>
    <t>Additional lighting power allowance (W/ft²) [Table 140.6-C footnoted allowance]</t>
  </si>
  <si>
    <t xml:space="preserve">LPD (W/ft²) </t>
  </si>
  <si>
    <t xml:space="preserve">T24, 2025, Table 140.6 C  (Area category method) </t>
  </si>
  <si>
    <t xml:space="preserve">T24, 2016, Table 140.6 C   (Area category method) </t>
  </si>
  <si>
    <t>Additional allowances are the full Table 140.6-C value for the footnoted lighting system (New Construction: T24 2025; Existing: T24 2016). The allowance only applies where that lighting system is installed. White board/chalk board allowances are per linear foot and are not included.</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</si>
  <si>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</si>
  <si>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</si>
  <si>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</si>
  <si>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</si>
  <si>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</si>
  <si>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</si>
  <si>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</si>
  <si>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</si>
  <si>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</si>
  <si>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</si>
  <si>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</si>
  <si>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</si>
  <si>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 xml:space="preserve"> 400 ft² for every parking space 
1 parking space per 360 ft² of gross building area </t>
  </si>
  <si>
    <t>(ft²)</t>
  </si>
  <si>
    <t>(W/ft²)</t>
  </si>
  <si>
    <t>Building Entrance</t>
  </si>
  <si>
    <t>Two required exits per building (4 buildings). Exterior classroom access</t>
  </si>
  <si>
    <t>(count)</t>
  </si>
  <si>
    <t>(W/ea)</t>
  </si>
  <si>
    <t>Hardscape Ornamental Light</t>
  </si>
  <si>
    <r>
      <t xml:space="preserve">Hardscape ornamental: 0.1 ft² per 1 ft² GFA, </t>
    </r>
    <r>
      <rPr>
        <sz val="10"/>
        <color rgb="FF000000"/>
        <rFont val="Arial"/>
        <family val="2"/>
      </rPr>
      <t>then 25% of that area</t>
    </r>
  </si>
  <si>
    <t>Building façade</t>
  </si>
  <si>
    <t>0.1 W per 1 ft² of facade area
Façade Area = Perimeter × 0.25 × max(height, 30) (30 ft is the max height that is lit). The 0.25 factor assumes that only 0.25 of the perimeter walls are lit.
Formula developed based on the 2019 Outdoor Lighting CASE report</t>
  </si>
  <si>
    <t>Student pickup / drop-off (walkway)</t>
  </si>
  <si>
    <t xml:space="preserve"> Allowance: walkway LPD on assumed 4,000 ft² loading loop (site program does not list a separate canopy). T24 2025 Table 140.7-B walkways.</t>
  </si>
  <si>
    <t>Non-motion-controlled Luminaires</t>
  </si>
  <si>
    <t>North Classroom</t>
  </si>
  <si>
    <t>West Classroom</t>
  </si>
  <si>
    <t>Kindergarten</t>
  </si>
  <si>
    <t>MPR/Admin</t>
  </si>
  <si>
    <t>Perimeter of each buildings (ft)</t>
  </si>
  <si>
    <t>Max Height that is lit for each buildings (ft)</t>
  </si>
  <si>
    <t>Each building footprint</t>
  </si>
  <si>
    <t>Floors</t>
  </si>
  <si>
    <t>Floor area of each building (ft²)</t>
  </si>
  <si>
    <t>Wall area of each building (ft²)</t>
  </si>
  <si>
    <t>Total Perimeter (ft)</t>
  </si>
  <si>
    <t>Total floor area (ft²)</t>
  </si>
  <si>
    <t>Plug load Power Density (W/ft²)</t>
  </si>
  <si>
    <t>Gas Power Density (Btu/hr-ft²)</t>
  </si>
  <si>
    <t>Refrigeration Power Density (W/ft²)</t>
  </si>
  <si>
    <t>T24 2022 - Appendix 5.4A</t>
  </si>
  <si>
    <t>Plug 1.5 W/ft²; gas 17.54 Btu/h-ft²; refrigeration 1.12 W/ft² — all T24 2022 Appendix 5.4A (ACM 2025 table unchanged). Not from the Plug Loads and Schedules project.</t>
  </si>
  <si>
    <t>Plug 0.7 W/ft² — Plug Loads and Schedules project with CEC, 2025 (Appendix 5.4A office ≤250 ft² is 1.5 W/ft²). Gas 0 and refrigeration 0 — Appendix 5.4A has no process gas or commercial refrigeration for this space.</t>
  </si>
  <si>
    <t>Plug 0.8 W/ft² — Plug Loads and Schedules project with CEC, 2025 (Appendix 5.4A classroom is 1.0 W/ft²). Gas 0 and refrigeration 0 — Appendix 5.4A has no process gas or commercial refrigeration for this space.</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</si>
  <si>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</si>
  <si>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</si>
  <si>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</si>
  <si>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</si>
  <si>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</si>
  <si>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</si>
  <si>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</si>
  <si>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</si>
  <si>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</si>
  <si>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</si>
  <si>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</si>
  <si>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</si>
  <si>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</si>
  <si>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</si>
  <si>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</si>
  <si>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</si>
  <si>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Elevator count (C20:C21 = 2) is one elevator per two-story classroom building from the CEC SchoolKto8 layout. It is not taken from an accessibility code or an external school-design publication. F19 is the cab lighting/ventilation shutoff requirement, not a count source.</t>
  </si>
  <si>
    <t>SchoolK8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</si>
  <si>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</si>
  <si>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</si>
  <si>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</si>
  <si>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</si>
  <si>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</si>
  <si>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</si>
  <si>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</si>
  <si>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</si>
  <si>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</si>
  <si>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</si>
  <si>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</si>
  <si>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</si>
  <si>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</si>
  <si>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</si>
  <si>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</si>
  <si>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</si>
  <si>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</si>
  <si>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</si>
  <si>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</si>
  <si>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</si>
  <si>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</si>
  <si>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</si>
  <si>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</si>
  <si>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</si>
  <si>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</si>
  <si>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</si>
  <si>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</si>
  <si>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</si>
  <si>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</si>
  <si>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</si>
  <si>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</si>
  <si>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</si>
  <si>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</si>
  <si>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</si>
  <si>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</si>
  <si>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</si>
  <si>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</si>
  <si>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</si>
  <si>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</si>
  <si>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</si>
  <si>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</si>
  <si>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</si>
  <si>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</si>
  <si>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</si>
  <si>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</si>
  <si>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</si>
  <si>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</si>
  <si>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</si>
  <si>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</si>
  <si>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</si>
  <si>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</si>
  <si>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</si>
  <si>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</si>
  <si>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</si>
  <si>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</si>
  <si>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</si>
  <si>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</si>
  <si>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</si>
  <si>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</si>
  <si>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</si>
  <si>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</si>
  <si>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</si>
  <si>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</si>
  <si>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</si>
  <si>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</si>
  <si>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</si>
  <si>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</si>
  <si>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</si>
  <si>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</si>
  <si>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</si>
  <si>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</si>
  <si>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</si>
  <si>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</si>
  <si>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</si>
  <si>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</si>
  <si>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</si>
  <si>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</si>
  <si>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</si>
  <si>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</si>
  <si>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</si>
  <si>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</si>
  <si>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</si>
  <si>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</si>
  <si>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</si>
  <si>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</si>
  <si>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</si>
  <si>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</si>
  <si>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</si>
  <si>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Classroom zones (Zones tab, Schedule Category = Classroom): classrooms, kindergarten, library, and their storage rooms and small offices</t>
  </si>
  <si>
    <t xml:space="preserve"> Classroom</t>
  </si>
  <si>
    <t>Occupancy</t>
  </si>
  <si>
    <t>CEC 2028 school schedules</t>
  </si>
  <si>
    <t>Unoccupied</t>
  </si>
  <si>
    <t>Mon-Thu</t>
  </si>
  <si>
    <t>Early Out Fri</t>
  </si>
  <si>
    <t>Mon-Fri Teacher Conference</t>
  </si>
  <si>
    <t>Summer School</t>
  </si>
  <si>
    <t>Lights</t>
  </si>
  <si>
    <t>ElecEquipment</t>
  </si>
  <si>
    <t>ServiceHotWater</t>
  </si>
  <si>
    <t>T24 2022 - Appendix 5.4B [School], aligned to the CEC 2028 day types. School days use the weekday profile; unoccupied days use the Sunday profile.</t>
  </si>
  <si>
    <t>GasEquipment</t>
  </si>
  <si>
    <t>Refrigeration</t>
  </si>
  <si>
    <t>HVACAvail</t>
  </si>
  <si>
    <t>HtgSetpt</t>
  </si>
  <si>
    <t>ClgSetpt</t>
  </si>
  <si>
    <t>Kitchen Zone</t>
  </si>
  <si>
    <t>CEC 2028 school schedules. Saturday and Sunday use the unoccupied profile.</t>
  </si>
  <si>
    <t>Mon-Fri</t>
  </si>
  <si>
    <t>Saturday</t>
  </si>
  <si>
    <t>Sunday</t>
  </si>
  <si>
    <t>OAControl</t>
  </si>
  <si>
    <t>MPR Zone</t>
  </si>
  <si>
    <t>Mon-Fri All other</t>
  </si>
  <si>
    <t>Mon-Fri Indoor Sports</t>
  </si>
  <si>
    <t>Sat Low Activity</t>
  </si>
  <si>
    <t>Sat Medium Activity</t>
  </si>
  <si>
    <t>Sat High Activity</t>
  </si>
  <si>
    <t>T24 2022 - Appendix 5.4B [School]; CEC prototype school schedule set, developed in the CEC Plug Load &amp; Schedules project (2025; not yet published, expected in ACM 2028)</t>
  </si>
  <si>
    <t>Weekday</t>
  </si>
  <si>
    <t>ExtLightingNonMotionCtrl</t>
  </si>
  <si>
    <t>ExtLightingMotionCtrl</t>
  </si>
  <si>
    <t>Auditorium</t>
  </si>
  <si>
    <t>PerformanceSpcPeopleActivityLevel</t>
  </si>
  <si>
    <t>Constant activity level from the CEC prototype schedule library, as used in the SCE K-8 model (SchoolK8.idf)</t>
  </si>
  <si>
    <t>Gym</t>
  </si>
  <si>
    <t>GymPeopleActivityLevel</t>
  </si>
  <si>
    <t>Restroom, Corridor, Lobby, Mechanical RM, Lounge, Storage, Theater</t>
  </si>
  <si>
    <t>CommonAreaPeopleActivityLevel</t>
  </si>
  <si>
    <t>MeetingPeopleActivityLevel</t>
  </si>
  <si>
    <t>DiningArea</t>
  </si>
  <si>
    <t>DiningAreaPeopleActivityLevel</t>
  </si>
  <si>
    <t>Library, office, MultiMeetingRm</t>
  </si>
  <si>
    <t>FunctionalAreaPeopleActivityLevel</t>
  </si>
  <si>
    <t>RefStorage</t>
  </si>
  <si>
    <t>RefStoragePeopleActivityLevel</t>
  </si>
  <si>
    <t>Refrigerated storage (walk-in)</t>
  </si>
  <si>
    <t>Refrigerated storage zone</t>
  </si>
  <si>
    <t>Refrigerated storage</t>
  </si>
  <si>
    <t>T24 2025 §100.1 cooler: ≥28°F and &lt;55°F. Engineering judgment, medium-temp. Compressor available every hour</t>
  </si>
  <si>
    <t>Follows the MPR Lights schedule (CEC 2028 school schedules).</t>
  </si>
  <si>
    <t>Follows the MPR ElecEquipment schedule (CEC 2028 school schedules).</t>
  </si>
  <si>
    <t>Follows the MPR refrigeration schedule. Those rows stay on the T24 2022 Appendix 5.4B profile (0.9).</t>
  </si>
  <si>
    <t>Mechanical room</t>
  </si>
  <si>
    <t>T24 2022 - Appendix 5.4B [School]</t>
  </si>
  <si>
    <t>Engineering judgment: 60/85 °F constant for electrical/mechanical rooms (see Thermostat tab rows 15–18)</t>
  </si>
  <si>
    <t>T24 2022 - Appendix 5.4B [School] (0.25 while the HVAC is on, 1.0 otherwise)</t>
  </si>
  <si>
    <t>Restroom</t>
  </si>
  <si>
    <t>T24 2022 - Appendix 5.4B [School] (restrooms use the school setpoints; see Thermostat tab)</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</si>
  <si>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</si>
  <si>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</si>
  <si>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</si>
  <si>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</si>
  <si>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</si>
  <si>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</si>
  <si>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</si>
  <si>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</si>
  <si>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</si>
  <si>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</si>
  <si>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</si>
  <si>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</si>
  <si>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</si>
  <si>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</si>
  <si>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</si>
  <si>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(25% Higher)</t>
  </si>
  <si>
    <t>Acceptable Range (25%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</si>
  <si>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</si>
  <si>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</si>
  <si>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</si>
  <si>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</si>
  <si>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Pre-1978</t>
  </si>
  <si>
    <t>School</t>
  </si>
  <si>
    <t>Statewide</t>
  </si>
  <si>
    <t>Ref: CEUS 2022 dataset: School group</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</si>
  <si>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</si>
  <si>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</si>
  <si>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</si>
  <si>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</si>
  <si>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</si>
  <si>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</si>
  <si>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</si>
  <si>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</si>
  <si>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</si>
  <si>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</si>
  <si>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</si>
  <si>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</si>
  <si>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</si>
  <si>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</si>
  <si>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</si>
  <si>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</si>
  <si>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</si>
  <si>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</si>
  <si>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</si>
  <si>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</si>
  <si>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</si>
  <si>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</si>
  <si>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</si>
  <si>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</si>
  <si>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</si>
  <si>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</si>
  <si>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</si>
  <si>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</si>
  <si>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</si>
  <si>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</si>
  <si>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</si>
  <si>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</si>
  <si>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</si>
  <si>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</si>
  <si>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</si>
  <si>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</si>
  <si>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</si>
  <si>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</si>
  <si>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</si>
  <si>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</si>
  <si>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</si>
  <si>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</si>
  <si>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</si>
  <si>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</si>
  <si>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</si>
  <si>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</si>
  <si>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</si>
  <si>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</si>
  <si>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</si>
  <si>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</si>
  <si>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</si>
  <si>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</si>
  <si>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</si>
  <si>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</si>
  <si>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</si>
  <si>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</si>
  <si>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</si>
  <si>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</si>
  <si>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</si>
  <si>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</si>
  <si>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Transportation Function (Baggage Area)</t>
  </si>
  <si>
    <t>Transportation Function (Ticketing Area)</t>
  </si>
  <si>
    <t>Videoconferencing Studio</t>
  </si>
  <si>
    <t>High-Rise Residential Living Spaces</t>
  </si>
  <si>
    <t>Hotel/Motel Guest Room</t>
  </si>
  <si>
    <t>All other</t>
  </si>
  <si>
    <t>Attic</t>
  </si>
  <si>
    <t>Reception Area</t>
  </si>
  <si>
    <t>Plenum</t>
  </si>
  <si>
    <t>Computer Room</t>
  </si>
  <si>
    <t>Server Room</t>
  </si>
  <si>
    <t>Existing Prototypes</t>
  </si>
  <si>
    <t>NORESCO, Updated September 2026</t>
  </si>
  <si>
    <t>Prototype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</si>
</sst>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0.0000"/>
  </numFmts>
  <fonts count="61"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sz val="14"/>
      <color rgb="FF000000"/>
      <name val="Times New Roman"/>
      <family val="1"/>
    </font>
    <font>
      <b/>
      <sz val="9"/>
      <color theme="1"/>
      <name val="Arial"/>
      <family val="2"/>
    </font>
    <font>
      <sz val="9"/>
      <name val="Arial"/>
      <family val="2"/>
    </font>
    <font>
      <b/>
      <sz val="9"/>
      <name val="Arial"/>
      <family val="2"/>
    </font>
    <font>
      <sz val="9"/>
      <color theme="1"/>
      <name val="Calibri"/>
      <family val="2"/>
      <scheme val="minor"/>
    </font>
    <font>
      <b/>
      <sz val="12"/>
      <color rgb="FFFFFFFF"/>
      <name val="Calibri"/>
      <family val="2"/>
    </font>
    <font>
      <b/>
      <sz val="11"/>
      <name val="Calibri"/>
      <family val="2"/>
    </font>
    <font>
      <sz val="11"/>
      <color rgb="FF000000"/>
      <name val="Calibri"/>
      <family val="2"/>
    </font>
    <font>
      <b/>
      <sz val="14"/>
      <color rgb="FFFFFFFF"/>
      <name val="Calibri"/>
      <family val="2"/>
    </font>
    <font>
      <sz val="11"/>
      <color rgb="FF000000"/>
      <name val="Calibri"/>
      <family val="2"/>
      <scheme val="minor"/>
    </font>
    <font>
      <sz val="11"/>
      <color theme="1"/>
      <name val="Calibri"/>
      <family val="2"/>
    </font>
    <font>
      <b/>
      <sz val="11"/>
      <color rgb="FF000000"/>
      <name val="Calibri"/>
      <family val="2"/>
    </font>
    <font>
      <b/>
      <sz val="14"/>
      <color rgb="FFFFFFFF"/>
      <name val="Arial"/>
      <family val="2"/>
    </font>
    <font>
      <sz val="9"/>
      <color rgb="FF000000"/>
      <name val="Arial"/>
      <family val="2"/>
    </font>
    <font>
      <b/>
      <sz val="10"/>
      <color rgb="FF000000"/>
      <name val="Arial"/>
      <family val="2"/>
    </font>
    <font>
      <sz val="10"/>
      <color rgb="FFFFFFFF"/>
      <name val="Arial"/>
      <family val="2"/>
    </font>
    <font>
      <b/>
      <sz val="11"/>
      <color rgb="FF000000"/>
      <name val="Calibri"/>
      <family val="2"/>
      <scheme val="minor"/>
    </font>
    <font>
      <b/>
      <sz val="10"/>
      <color rgb="FF000000"/>
      <name val="Calibri"/>
      <family val="2"/>
      <scheme val="minor"/>
    </font>
    <font>
      <sz val="10"/>
      <color rgb="FF000000"/>
      <name val="Calibri"/>
      <family val="2"/>
      <scheme val="minor"/>
    </font>
    <font>
      <u/>
      <sz val="10"/>
      <color rgb="FF000000"/>
      <name val="Arial"/>
      <family val="2"/>
    </font>
    <font>
      <sz val="11"/>
      <color rgb="FF000000"/>
      <name val="Arial"/>
      <family val="2"/>
    </font>
    <font>
      <u/>
      <sz val="11"/>
      <color rgb="FF000000"/>
      <name val="Calibri"/>
      <family val="2"/>
      <scheme val="minor"/>
    </font>
    <font>
      <sz val="11"/>
      <color rgb="FF000000"/>
      <name val="Arial"/>
      <family val="2"/>
    </font>
    <font>
      <sz val="12"/>
      <color theme="0"/>
      <name val="Arial"/>
      <family val="2"/>
    </font>
    <font>
      <sz val="11"/>
      <color rgb="FF0563C1"/>
      <name val="Calibri"/>
      <family val="2"/>
    </font>
    <font>
      <sz val="11"/>
      <color rgb="FF0563C1"/>
      <name val="Calibri"/>
      <family val="2"/>
      <scheme val="minor"/>
    </font>
    <font>
      <b/>
      <sz val="11"/>
      <color rgb="FFFFFFFF"/>
      <name val="Calibri"/>
      <family val="2"/>
    </font>
    <font>
      <b/>
      <sz val="12"/>
      <color rgb="FFFFFFFF"/>
      <name val="Calibri"/>
      <family val="2"/>
      <scheme val="minor"/>
    </font>
  </fonts>
  <fills count="31">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A6A6A6"/>
        <bgColor rgb="FF000000"/>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D9D9D9"/>
        <bgColor indexed="64"/>
      </patternFill>
    </fill>
    <fill>
      <patternFill patternType="solid">
        <fgColor rgb="FFFFFFFF"/>
        <bgColor indexed="64"/>
      </patternFill>
    </fill>
    <fill>
      <patternFill patternType="solid">
        <fgColor rgb="FF203764"/>
        <bgColor indexed="64"/>
      </patternFill>
    </fill>
    <fill>
      <patternFill patternType="solid">
        <fgColor rgb="FFD9E1F2"/>
        <bgColor indexed="64"/>
      </patternFill>
    </fill>
    <fill>
      <patternFill patternType="solid">
        <fgColor rgb="FFFFFFFF"/>
        <bgColor rgb="FF000000"/>
      </patternFill>
    </fill>
    <fill>
      <patternFill patternType="solid">
        <fgColor rgb="FFC2BCBC"/>
        <bgColor indexed="64"/>
      </patternFill>
    </fill>
    <fill>
      <patternFill patternType="solid">
        <fgColor rgb="FFA6A6A6"/>
        <bgColor indexed="64"/>
      </patternFill>
    </fill>
    <fill>
      <patternFill patternType="solid">
        <fgColor rgb="FF969595"/>
        <bgColor indexed="64"/>
      </patternFill>
    </fill>
  </fills>
  <borders count="23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0" tint="-0.499984740745262"/>
      </left>
      <right style="thin">
        <color rgb="FF808080"/>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medium">
        <color theme="1" tint="0.34998626667073579"/>
      </left>
      <right style="thin">
        <color theme="1" tint="0.34998626667073579"/>
      </right>
      <top/>
      <bottom style="medium">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bottom/>
      <diagonal/>
    </border>
    <border>
      <left style="thin">
        <color indexed="64"/>
      </left>
      <right style="thin">
        <color indexed="64"/>
      </right>
      <top/>
      <bottom style="medium">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indexed="64"/>
      </right>
      <top style="medium">
        <color rgb="FF000000"/>
      </top>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theme="1" tint="0.34998626667073579"/>
      </left>
      <right style="thin">
        <color theme="1" tint="0.34998626667073579"/>
      </right>
      <top style="medium">
        <color rgb="FF000000"/>
      </top>
      <bottom/>
      <diagonal/>
    </border>
    <border>
      <left style="medium">
        <color rgb="FF000000"/>
      </left>
      <right style="thin">
        <color theme="1" tint="0.34998626667073579"/>
      </right>
      <top style="medium">
        <color rgb="FF000000"/>
      </top>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right/>
      <top style="medium">
        <color indexed="64"/>
      </top>
      <bottom style="medium">
        <color rgb="FF000000"/>
      </bottom>
      <diagonal/>
    </border>
    <border>
      <left/>
      <right style="thin">
        <color theme="1" tint="0.34998626667073579"/>
      </right>
      <top style="medium">
        <color indexed="64"/>
      </top>
      <bottom style="medium">
        <color rgb="FF000000"/>
      </bottom>
      <diagonal/>
    </border>
    <border>
      <left style="thin">
        <color indexed="64"/>
      </left>
      <right style="medium">
        <color indexed="64"/>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medium">
        <color indexed="64"/>
      </right>
      <top/>
      <bottom/>
      <diagonal/>
    </border>
    <border>
      <left style="thin">
        <color indexed="64"/>
      </left>
      <right/>
      <top/>
      <bottom/>
      <diagonal/>
    </border>
    <border>
      <left style="thin">
        <color rgb="FF808080"/>
      </left>
      <right/>
      <top/>
      <bottom/>
      <diagonal/>
    </border>
    <border>
      <left style="thin">
        <color rgb="FF808080"/>
      </left>
      <right/>
      <top/>
      <bottom style="thin">
        <color rgb="FF808080"/>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808080"/>
      </left>
      <right style="thin">
        <color rgb="FF808080"/>
      </right>
      <top style="thin">
        <color indexed="64"/>
      </top>
      <bottom style="thin">
        <color rgb="FF808080"/>
      </bottom>
      <diagonal/>
    </border>
    <border>
      <left style="thin">
        <color rgb="FF808080"/>
      </left>
      <right/>
      <top style="thin">
        <color indexed="64"/>
      </top>
      <bottom style="thin">
        <color rgb="FF80808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bottom/>
      <diagonal/>
    </border>
    <border>
      <left style="thin">
        <color rgb="FF808080"/>
      </left>
      <right style="thin">
        <color rgb="FF808080"/>
      </right>
      <top/>
      <bottom style="thin">
        <color indexed="64"/>
      </bottom>
      <diagonal/>
    </border>
    <border>
      <left style="thin">
        <color rgb="FF808080"/>
      </left>
      <right/>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808080"/>
      </left>
      <right/>
      <top style="thin">
        <color rgb="FF808080"/>
      </top>
      <bottom style="thin">
        <color indexed="64"/>
      </bottom>
      <diagonal/>
    </border>
    <border>
      <left/>
      <right style="thin">
        <color indexed="64"/>
      </right>
      <top style="thin">
        <color rgb="FF808080"/>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style="thin">
        <color indexed="64"/>
      </left>
      <right/>
      <top style="thin">
        <color indexed="64"/>
      </top>
      <bottom style="thin">
        <color theme="1" tint="0.249977111117893"/>
      </bottom>
      <diagonal/>
    </border>
    <border>
      <left/>
      <right/>
      <top style="thin">
        <color indexed="64"/>
      </top>
      <bottom style="thin">
        <color theme="1" tint="0.249977111117893"/>
      </bottom>
      <diagonal/>
    </border>
    <border>
      <left style="thin">
        <color rgb="FF808080"/>
      </left>
      <right style="thin">
        <color rgb="FF808080"/>
      </right>
      <top style="thin">
        <color theme="1" tint="0.249977111117893"/>
      </top>
      <bottom style="thin">
        <color rgb="FF808080"/>
      </bottom>
      <diagonal/>
    </border>
    <border>
      <left style="thin">
        <color rgb="FF808080"/>
      </left>
      <right/>
      <top style="thin">
        <color theme="1" tint="0.249977111117893"/>
      </top>
      <bottom style="thin">
        <color rgb="FF808080"/>
      </bottom>
      <diagonal/>
    </border>
    <border>
      <left style="thin">
        <color rgb="FF000000"/>
      </left>
      <right style="thin">
        <color theme="1" tint="0.249977111117893"/>
      </right>
      <top style="thin">
        <color theme="1" tint="0.249977111117893"/>
      </top>
      <bottom style="thin">
        <color rgb="FF000000"/>
      </bottom>
      <diagonal/>
    </border>
    <border>
      <left style="thin">
        <color rgb="FF000000"/>
      </left>
      <right style="thin">
        <color theme="1" tint="0.249977111117893"/>
      </right>
      <top/>
      <bottom/>
      <diagonal/>
    </border>
    <border>
      <left style="thin">
        <color rgb="FF808080"/>
      </left>
      <right style="thin">
        <color rgb="FF808080"/>
      </right>
      <top style="thin">
        <color rgb="FF808080"/>
      </top>
      <bottom style="thin">
        <color theme="1" tint="0.249977111117893"/>
      </bottom>
      <diagonal/>
    </border>
    <border>
      <left style="thin">
        <color rgb="FF808080"/>
      </left>
      <right style="thin">
        <color rgb="FF808080"/>
      </right>
      <top/>
      <bottom style="thin">
        <color theme="1" tint="0.249977111117893"/>
      </bottom>
      <diagonal/>
    </border>
    <border>
      <left style="thin">
        <color rgb="FF808080"/>
      </left>
      <right/>
      <top/>
      <bottom style="thin">
        <color theme="1" tint="0.249977111117893"/>
      </bottom>
      <diagonal/>
    </border>
    <border>
      <left style="thin">
        <color rgb="FF000000"/>
      </left>
      <right style="thin">
        <color theme="1" tint="0.249977111117893"/>
      </right>
      <top/>
      <bottom style="thin">
        <color theme="1" tint="0.249977111117893"/>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right style="thin">
        <color rgb="FF808080"/>
      </right>
      <top style="thin">
        <color indexed="64"/>
      </top>
      <bottom style="thin">
        <color rgb="FF808080"/>
      </bottom>
      <diagonal/>
    </border>
    <border>
      <left/>
      <right style="thin">
        <color rgb="FF808080"/>
      </right>
      <top style="thin">
        <color rgb="FF808080"/>
      </top>
      <bottom style="thin">
        <color rgb="FF808080"/>
      </bottom>
      <diagonal/>
    </border>
    <border>
      <left/>
      <right style="thin">
        <color rgb="FF808080"/>
      </right>
      <top style="thin">
        <color rgb="FF808080"/>
      </top>
      <bottom style="thin">
        <color indexed="64"/>
      </bottom>
      <diagonal/>
    </border>
    <border>
      <left/>
      <right style="thin">
        <color rgb="FF808080"/>
      </right>
      <top style="thin">
        <color rgb="FF808080"/>
      </top>
      <bottom/>
      <diagonal/>
    </border>
    <border>
      <left/>
      <right style="thin">
        <color rgb="FF808080"/>
      </right>
      <top style="thin">
        <color theme="1" tint="0.249977111117893"/>
      </top>
      <bottom style="thin">
        <color rgb="FF808080"/>
      </bottom>
      <diagonal/>
    </border>
    <border>
      <left/>
      <right style="thin">
        <color rgb="FF808080"/>
      </right>
      <top style="thin">
        <color rgb="FF808080"/>
      </top>
      <bottom style="thin">
        <color theme="1" tint="0.249977111117893"/>
      </bottom>
      <diagonal/>
    </border>
    <border>
      <left style="thin">
        <color theme="0" tint="-0.249977111117893"/>
      </left>
      <right style="thin">
        <color theme="0" tint="-0.249977111117893"/>
      </right>
      <top style="thin">
        <color theme="0" tint="-0.249977111117893"/>
      </top>
      <bottom style="thin">
        <color theme="1" tint="0.249977111117893"/>
      </bottom>
      <diagonal/>
    </border>
    <border>
      <left style="thin">
        <color theme="0" tint="-0.249977111117893"/>
      </left>
      <right style="thin">
        <color theme="0" tint="-0.249977111117893"/>
      </right>
      <top/>
      <bottom style="thin">
        <color theme="0" tint="-0.249977111117893"/>
      </bottom>
      <diagonal/>
    </border>
    <border>
      <left style="thin">
        <color theme="1" tint="0.34998626667073579"/>
      </left>
      <right style="thin">
        <color theme="1" tint="0.34998626667073579"/>
      </right>
      <top style="thin">
        <color theme="1" tint="0.34998626667073579"/>
      </top>
      <bottom/>
      <diagonal/>
    </border>
    <border>
      <left style="thin">
        <color rgb="FF000000"/>
      </left>
      <right/>
      <top/>
      <bottom/>
      <diagonal/>
    </border>
    <border>
      <left style="medium">
        <color indexed="64"/>
      </left>
      <right/>
      <top/>
      <bottom style="thin">
        <color indexed="64"/>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theme="1" tint="0.499984740745262"/>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rgb="FF000000"/>
      </left>
      <right style="thin">
        <color theme="1" tint="0.499984740745262"/>
      </right>
      <top style="medium">
        <color rgb="FF000000"/>
      </top>
      <bottom style="thin">
        <color theme="1" tint="0.499984740745262"/>
      </bottom>
      <diagonal/>
    </border>
    <border>
      <left style="thin">
        <color theme="1" tint="0.499984740745262"/>
      </left>
      <right style="thin">
        <color theme="1" tint="0.499984740745262"/>
      </right>
      <top style="medium">
        <color rgb="FF000000"/>
      </top>
      <bottom style="thin">
        <color theme="1" tint="0.499984740745262"/>
      </bottom>
      <diagonal/>
    </border>
    <border>
      <left style="thin">
        <color theme="1" tint="0.499984740745262"/>
      </left>
      <right style="medium">
        <color rgb="FF000000"/>
      </right>
      <top style="medium">
        <color rgb="FF000000"/>
      </top>
      <bottom style="thin">
        <color theme="1" tint="0.499984740745262"/>
      </bottom>
      <diagonal/>
    </border>
    <border>
      <left style="medium">
        <color rgb="FF000000"/>
      </left>
      <right style="thin">
        <color theme="1" tint="0.499984740745262"/>
      </right>
      <top style="thin">
        <color theme="1" tint="0.499984740745262"/>
      </top>
      <bottom style="thin">
        <color theme="1" tint="0.499984740745262"/>
      </bottom>
      <diagonal/>
    </border>
    <border>
      <left style="thin">
        <color theme="1" tint="0.499984740745262"/>
      </left>
      <right style="medium">
        <color rgb="FF000000"/>
      </right>
      <top style="thin">
        <color theme="1" tint="0.499984740745262"/>
      </top>
      <bottom style="thin">
        <color theme="1" tint="0.499984740745262"/>
      </bottom>
      <diagonal/>
    </border>
    <border>
      <left style="medium">
        <color rgb="FF000000"/>
      </left>
      <right style="thin">
        <color theme="1" tint="0.499984740745262"/>
      </right>
      <top style="thin">
        <color theme="1" tint="0.499984740745262"/>
      </top>
      <bottom style="medium">
        <color rgb="FF000000"/>
      </bottom>
      <diagonal/>
    </border>
    <border>
      <left style="thin">
        <color theme="1" tint="0.499984740745262"/>
      </left>
      <right style="thin">
        <color theme="1" tint="0.499984740745262"/>
      </right>
      <top style="thin">
        <color theme="1" tint="0.499984740745262"/>
      </top>
      <bottom style="medium">
        <color rgb="FF000000"/>
      </bottom>
      <diagonal/>
    </border>
    <border>
      <left style="thin">
        <color theme="1" tint="0.499984740745262"/>
      </left>
      <right style="medium">
        <color rgb="FF000000"/>
      </right>
      <top style="thin">
        <color theme="1" tint="0.499984740745262"/>
      </top>
      <bottom style="medium">
        <color rgb="FF000000"/>
      </bottom>
      <diagonal/>
    </border>
    <border>
      <left style="thin">
        <color indexed="64"/>
      </left>
      <right/>
      <top style="medium">
        <color indexed="64"/>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thin">
        <color indexed="64"/>
      </left>
      <right style="medium">
        <color rgb="FF000000"/>
      </right>
      <top/>
      <bottom style="thin">
        <color indexed="64"/>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thin">
        <color theme="0" tint="-0.249977111117893"/>
      </left>
      <right style="thin">
        <color theme="0" tint="-0.249977111117893"/>
      </right>
      <top/>
      <bottom style="thin">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bottom style="medium">
        <color rgb="FF000000"/>
      </bottom>
      <diagonal/>
    </border>
    <border>
      <left style="medium">
        <color rgb="FF000000"/>
      </left>
      <right style="thin">
        <color indexed="64"/>
      </right>
      <top style="thin">
        <color indexed="64"/>
      </top>
      <bottom/>
      <diagonal/>
    </border>
    <border>
      <left style="thin">
        <color rgb="FF808080"/>
      </left>
      <right/>
      <top style="thin">
        <color rgb="FF808080"/>
      </top>
      <bottom/>
      <diagonal/>
    </border>
    <border>
      <left/>
      <right style="thin">
        <color indexed="64"/>
      </right>
      <top style="thin">
        <color rgb="FF808080"/>
      </top>
      <bottom/>
      <diagonal/>
    </border>
    <border>
      <left style="medium">
        <color rgb="FF000000"/>
      </left>
      <right style="thin">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top/>
      <bottom style="medium">
        <color rgb="FF000000"/>
      </bottom>
      <diagonal/>
    </border>
    <border>
      <left/>
      <right style="thin">
        <color theme="1" tint="0.34998626667073579"/>
      </right>
      <top/>
      <bottom style="medium">
        <color rgb="FF000000"/>
      </bottom>
      <diagonal/>
    </border>
    <border>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style="thin">
        <color theme="0" tint="-0.499984740745262"/>
      </left>
      <right/>
      <top/>
      <bottom style="thin">
        <color theme="0" tint="-0.499984740745262"/>
      </bottom>
      <diagonal/>
    </border>
    <border>
      <left style="thin">
        <color rgb="FF595959"/>
      </left>
      <right style="thin">
        <color rgb="FF595959"/>
      </right>
      <top style="thin">
        <color rgb="FF595959"/>
      </top>
      <bottom/>
      <diagonal/>
    </border>
    <border>
      <left style="thin">
        <color rgb="FF595959"/>
      </left>
      <right/>
      <top style="thin">
        <color rgb="FF595959"/>
      </top>
      <bottom/>
      <diagonal/>
    </border>
    <border>
      <left style="thin">
        <color rgb="FF595959"/>
      </left>
      <right style="thin">
        <color rgb="FF595959"/>
      </right>
      <top style="thin">
        <color rgb="FF595959"/>
      </top>
      <bottom style="thin">
        <color rgb="FF595959"/>
      </bottom>
      <diagonal/>
    </border>
    <border>
      <left style="thin">
        <color rgb="FF595959"/>
      </left>
      <right style="thin">
        <color rgb="FF595959"/>
      </right>
      <top/>
      <bottom/>
      <diagonal/>
    </border>
    <border>
      <left style="thin">
        <color rgb="FF595959"/>
      </left>
      <right/>
      <top/>
      <bottom/>
      <diagonal/>
    </border>
    <border>
      <left style="thin">
        <color rgb="FF595959"/>
      </left>
      <right style="thin">
        <color rgb="FF595959"/>
      </right>
      <top/>
      <bottom style="thin">
        <color indexed="64"/>
      </bottom>
      <diagonal/>
    </border>
    <border>
      <left style="thin">
        <color rgb="FF595959"/>
      </left>
      <right/>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theme="1" tint="0.34998626667073579"/>
      </left>
      <right/>
      <top style="medium">
        <color theme="1" tint="0.34998626667073579"/>
      </top>
      <bottom/>
      <diagonal/>
    </border>
    <border>
      <left style="thin">
        <color theme="1" tint="0.34998626667073579"/>
      </left>
      <right/>
      <top/>
      <bottom/>
      <diagonal/>
    </border>
    <border>
      <left style="thin">
        <color theme="1" tint="0.34998626667073579"/>
      </left>
      <right/>
      <top/>
      <bottom style="medium">
        <color theme="1" tint="0.34998626667073579"/>
      </bottom>
      <diagonal/>
    </border>
  </borders>
  <cellStyleXfs count="1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2" fillId="0" borderId="0"/>
    <xf numFmtId="0" fontId="14" fillId="0" borderId="0" applyNumberFormat="0" applyFill="0" applyBorder="0" applyAlignment="0" applyProtection="0"/>
    <xf numFmtId="0" fontId="6" fillId="0" borderId="0"/>
    <xf numFmtId="0" fontId="6" fillId="0" borderId="0"/>
    <xf numFmtId="0" fontId="4" fillId="0" borderId="0"/>
    <xf numFmtId="43" fontId="2" fillId="0" borderId="0"/>
    <xf numFmtId="0" fontId="43" fillId="0" borderId="0"/>
    <xf numFmtId="0" fontId="8" fillId="0" borderId="0"/>
  </cellStyleXfs>
  <cellXfs count="942">
    <xf numFmtId="0" fontId="0" fillId="0" borderId="0" xfId="0"/>
    <xf numFmtId="0" fontId="8" fillId="0" borderId="0" xfId="5"/>
    <xf numFmtId="0" fontId="10" fillId="0" borderId="0" xfId="0" applyFont="1"/>
    <xf numFmtId="0" fontId="10"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14" fillId="0" borderId="0" xfId="5" applyFont="1"/>
    <xf numFmtId="0" fontId="6" fillId="0" borderId="0" xfId="0" applyFont="1" applyAlignment="1">
      <alignment wrapText="1"/>
    </xf>
    <xf numFmtId="0" fontId="13"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167" fontId="14"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19" fillId="6" borderId="2" xfId="0" applyFont="1" applyFill="1" applyBorder="1" applyAlignment="1">
      <alignment horizontal="center" vertical="center" wrapText="1"/>
    </xf>
    <xf numFmtId="0" fontId="18"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2" xfId="4" applyBorder="1" applyAlignment="1">
      <alignment horizontal="center" vertical="center"/>
    </xf>
    <xf numFmtId="9" fontId="6" fillId="0" borderId="22"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5"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2"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167" fontId="22" fillId="0" borderId="0" xfId="0" applyNumberFormat="1" applyFont="1" applyAlignment="1">
      <alignment horizontal="center" vertical="center"/>
    </xf>
    <xf numFmtId="0" fontId="26" fillId="0" borderId="0" xfId="0" applyFont="1"/>
    <xf numFmtId="0" fontId="26" fillId="0" borderId="0" xfId="0" applyFont="1" applyAlignment="1">
      <alignment wrapText="1"/>
    </xf>
    <xf numFmtId="0" fontId="26"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21" fillId="0" borderId="0" xfId="0" applyFont="1" applyAlignment="1">
      <alignment horizontal="left" vertical="center" wrapText="1"/>
    </xf>
    <xf numFmtId="0" fontId="18" fillId="6" borderId="12"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44" xfId="0" applyFont="1" applyBorder="1" applyAlignment="1">
      <alignment horizontal="center" vertical="center" wrapText="1"/>
    </xf>
    <xf numFmtId="0" fontId="11" fillId="0" borderId="0" xfId="0" applyFont="1" applyAlignment="1">
      <alignment vertical="center"/>
    </xf>
    <xf numFmtId="0" fontId="10" fillId="0" borderId="0" xfId="0" applyFont="1" applyAlignment="1">
      <alignment horizontal="center"/>
    </xf>
    <xf numFmtId="43" fontId="6" fillId="0" borderId="0" xfId="0" applyNumberFormat="1" applyFont="1"/>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20" fillId="0" borderId="0" xfId="0" applyFont="1"/>
    <xf numFmtId="0" fontId="18" fillId="10" borderId="2" xfId="0" applyFont="1" applyFill="1" applyBorder="1" applyAlignment="1">
      <alignment horizontal="center" vertical="center"/>
    </xf>
    <xf numFmtId="0" fontId="29" fillId="0" borderId="0" xfId="0" applyFont="1" applyAlignment="1">
      <alignment vertical="center"/>
    </xf>
    <xf numFmtId="168" fontId="23" fillId="0" borderId="2" xfId="6" applyNumberFormat="1" applyFont="1" applyBorder="1" applyAlignment="1">
      <alignment horizontal="center" vertical="center"/>
    </xf>
    <xf numFmtId="168" fontId="23" fillId="0" borderId="2" xfId="6" applyNumberFormat="1" applyFont="1" applyBorder="1" applyAlignment="1">
      <alignment horizontal="center" vertical="center" wrapText="1"/>
    </xf>
    <xf numFmtId="0" fontId="24" fillId="10" borderId="2" xfId="0" applyFont="1" applyFill="1" applyBorder="1" applyAlignment="1">
      <alignment horizontal="center" vertical="center"/>
    </xf>
    <xf numFmtId="2" fontId="6" fillId="0" borderId="2" xfId="0" applyNumberFormat="1" applyFont="1" applyBorder="1" applyAlignment="1">
      <alignment horizontal="center" vertical="center" wrapText="1"/>
    </xf>
    <xf numFmtId="0" fontId="1" fillId="0" borderId="0" xfId="1" applyAlignment="1">
      <alignment vertical="center" wrapText="1"/>
    </xf>
    <xf numFmtId="0" fontId="11" fillId="0" borderId="0" xfId="0" applyFont="1" applyAlignment="1">
      <alignment vertical="center" wrapText="1"/>
    </xf>
    <xf numFmtId="0" fontId="16" fillId="0" borderId="0" xfId="0" applyFont="1"/>
    <xf numFmtId="169" fontId="30" fillId="0" borderId="0" xfId="0" applyNumberFormat="1" applyFont="1"/>
    <xf numFmtId="0" fontId="6" fillId="0" borderId="2" xfId="0" applyFont="1" applyBorder="1" applyAlignment="1">
      <alignment horizontal="right" vertical="center"/>
    </xf>
    <xf numFmtId="168" fontId="6" fillId="0" borderId="2" xfId="6" applyNumberFormat="1" applyFont="1" applyBorder="1" applyAlignment="1">
      <alignment horizontal="right" vertical="center" wrapText="1"/>
    </xf>
    <xf numFmtId="168" fontId="6" fillId="0" borderId="2" xfId="0" applyNumberFormat="1" applyFont="1" applyBorder="1" applyAlignment="1">
      <alignment horizontal="right" vertical="center"/>
    </xf>
    <xf numFmtId="3" fontId="6" fillId="0" borderId="0" xfId="0" applyNumberFormat="1" applyFont="1"/>
    <xf numFmtId="168" fontId="6" fillId="0" borderId="2" xfId="6" applyNumberFormat="1" applyFont="1" applyBorder="1" applyAlignment="1">
      <alignment horizontal="right" vertical="center"/>
    </xf>
    <xf numFmtId="0" fontId="6" fillId="7"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3" borderId="2" xfId="0" applyFont="1" applyFill="1" applyBorder="1" applyAlignment="1">
      <alignment horizontal="center" vertical="center"/>
    </xf>
    <xf numFmtId="0" fontId="10" fillId="0" borderId="0" xfId="0" applyFont="1" applyAlignment="1">
      <alignment vertical="center"/>
    </xf>
    <xf numFmtId="165" fontId="10" fillId="0" borderId="0" xfId="2" applyNumberFormat="1" applyFont="1"/>
    <xf numFmtId="0" fontId="6" fillId="0" borderId="22" xfId="0" applyFont="1" applyBorder="1" applyAlignment="1">
      <alignment horizontal="center" vertical="center"/>
    </xf>
    <xf numFmtId="0" fontId="6" fillId="0" borderId="22" xfId="0" applyFont="1" applyBorder="1" applyAlignment="1">
      <alignment horizontal="center" vertical="center" wrapText="1"/>
    </xf>
    <xf numFmtId="0" fontId="0" fillId="0" borderId="0" xfId="0" applyAlignment="1">
      <alignment horizontal="left"/>
    </xf>
    <xf numFmtId="0" fontId="6" fillId="0" borderId="24" xfId="4" applyBorder="1" applyAlignment="1">
      <alignment horizontal="center" vertical="center"/>
    </xf>
    <xf numFmtId="0" fontId="24" fillId="10" borderId="45" xfId="0" applyFont="1" applyFill="1" applyBorder="1" applyAlignment="1">
      <alignment horizontal="center" vertical="center" wrapText="1"/>
    </xf>
    <xf numFmtId="0" fontId="9" fillId="0" borderId="2" xfId="3" applyFont="1" applyFill="1" applyBorder="1" applyAlignment="1">
      <alignment horizontal="center" vertical="center" wrapText="1"/>
    </xf>
    <xf numFmtId="3" fontId="9" fillId="0" borderId="2" xfId="3" applyNumberFormat="1" applyFont="1" applyFill="1" applyBorder="1" applyAlignment="1">
      <alignment horizontal="center" vertical="center" wrapText="1"/>
    </xf>
    <xf numFmtId="0" fontId="7" fillId="6" borderId="46" xfId="0" applyFont="1" applyFill="1" applyBorder="1" applyAlignment="1">
      <alignment horizontal="center" vertical="center"/>
    </xf>
    <xf numFmtId="0" fontId="7" fillId="6" borderId="47" xfId="0" applyFont="1" applyFill="1" applyBorder="1" applyAlignment="1">
      <alignment horizontal="center" vertical="center"/>
    </xf>
    <xf numFmtId="0" fontId="7" fillId="6" borderId="48" xfId="0" applyFont="1" applyFill="1" applyBorder="1" applyAlignment="1">
      <alignment horizontal="center" vertical="center" wrapText="1"/>
    </xf>
    <xf numFmtId="0" fontId="7" fillId="6" borderId="49" xfId="0" applyFont="1" applyFill="1" applyBorder="1" applyAlignment="1">
      <alignment horizontal="center" vertical="center"/>
    </xf>
    <xf numFmtId="0" fontId="6" fillId="0" borderId="50" xfId="0" applyFont="1" applyBorder="1" applyAlignment="1">
      <alignment horizontal="center" vertical="center"/>
    </xf>
    <xf numFmtId="0" fontId="6" fillId="0" borderId="55" xfId="0" applyFont="1" applyBorder="1" applyAlignment="1">
      <alignment horizontal="center" vertical="center"/>
    </xf>
    <xf numFmtId="0" fontId="1" fillId="0" borderId="56" xfId="0" applyFont="1" applyBorder="1" applyAlignment="1">
      <alignment horizontal="center" vertical="center"/>
    </xf>
    <xf numFmtId="0" fontId="6" fillId="0" borderId="56" xfId="0" applyFont="1" applyBorder="1" applyAlignment="1">
      <alignment horizontal="center" vertical="center" wrapText="1"/>
    </xf>
    <xf numFmtId="0" fontId="23" fillId="0" borderId="58" xfId="0" applyFont="1" applyBorder="1" applyAlignment="1">
      <alignment horizontal="center" vertical="center" wrapText="1"/>
    </xf>
    <xf numFmtId="0" fontId="7" fillId="6" borderId="59" xfId="0" applyFont="1" applyFill="1" applyBorder="1" applyAlignment="1">
      <alignment horizontal="center" vertical="center"/>
    </xf>
    <xf numFmtId="0" fontId="8" fillId="0" borderId="2" xfId="5" applyBorder="1" applyAlignment="1">
      <alignment horizontal="center" vertical="center"/>
    </xf>
    <xf numFmtId="1" fontId="6" fillId="0" borderId="2" xfId="0" applyNumberFormat="1" applyFont="1" applyBorder="1" applyAlignment="1">
      <alignment horizontal="left" vertical="center"/>
    </xf>
    <xf numFmtId="1" fontId="6" fillId="0" borderId="2" xfId="0" applyNumberFormat="1" applyFont="1" applyBorder="1" applyAlignment="1">
      <alignment horizontal="left" vertical="center" wrapText="1"/>
    </xf>
    <xf numFmtId="0" fontId="23" fillId="0" borderId="0" xfId="0" applyFont="1" applyAlignment="1">
      <alignment wrapText="1"/>
    </xf>
    <xf numFmtId="0" fontId="1" fillId="0" borderId="2" xfId="1" applyBorder="1" applyAlignment="1">
      <alignment vertical="center" wrapText="1"/>
    </xf>
    <xf numFmtId="0" fontId="6" fillId="11" borderId="2" xfId="0" applyFont="1" applyFill="1" applyBorder="1" applyAlignment="1">
      <alignment horizontal="center" vertical="center"/>
    </xf>
    <xf numFmtId="0" fontId="1" fillId="11" borderId="2" xfId="0" applyFont="1" applyFill="1" applyBorder="1" applyAlignment="1">
      <alignment horizontal="center" vertical="center"/>
    </xf>
    <xf numFmtId="2" fontId="6" fillId="0" borderId="2" xfId="0" applyNumberFormat="1" applyFont="1" applyBorder="1" applyAlignment="1">
      <alignment horizontal="center" vertical="center"/>
    </xf>
    <xf numFmtId="2" fontId="6" fillId="7" borderId="2" xfId="0" applyNumberFormat="1" applyFont="1" applyFill="1" applyBorder="1" applyAlignment="1">
      <alignment horizontal="center" vertical="center"/>
    </xf>
    <xf numFmtId="0" fontId="7" fillId="0" borderId="0" xfId="0" applyFont="1" applyAlignment="1">
      <alignment vertical="center" wrapText="1"/>
    </xf>
    <xf numFmtId="0" fontId="24" fillId="6" borderId="2" xfId="0" applyFont="1" applyFill="1" applyBorder="1" applyAlignment="1">
      <alignment horizontal="left" vertical="center" wrapText="1"/>
    </xf>
    <xf numFmtId="169" fontId="6" fillId="0" borderId="2" xfId="0" applyNumberFormat="1" applyFont="1" applyBorder="1" applyAlignment="1">
      <alignment vertical="center"/>
    </xf>
    <xf numFmtId="169" fontId="1" fillId="0" borderId="2" xfId="0" applyNumberFormat="1" applyFont="1" applyBorder="1" applyAlignment="1">
      <alignment vertical="center"/>
    </xf>
    <xf numFmtId="0" fontId="18" fillId="6" borderId="2" xfId="0" applyFont="1" applyFill="1" applyBorder="1" applyAlignment="1">
      <alignment vertical="center"/>
    </xf>
    <xf numFmtId="0" fontId="1" fillId="0" borderId="2" xfId="1" applyBorder="1" applyAlignment="1">
      <alignment vertical="center"/>
    </xf>
    <xf numFmtId="0" fontId="31" fillId="0" borderId="2" xfId="0" applyFont="1" applyBorder="1" applyAlignment="1">
      <alignment horizontal="left" vertical="top" wrapText="1"/>
    </xf>
    <xf numFmtId="168" fontId="6" fillId="0" borderId="2" xfId="6" applyNumberFormat="1" applyFont="1" applyBorder="1" applyAlignment="1">
      <alignment horizontal="center" vertical="center"/>
    </xf>
    <xf numFmtId="43" fontId="6" fillId="0" borderId="0" xfId="0" applyNumberFormat="1" applyFont="1" applyAlignment="1">
      <alignment horizontal="center" vertical="top" wrapText="1"/>
    </xf>
    <xf numFmtId="168" fontId="31" fillId="0" borderId="2" xfId="6" applyNumberFormat="1" applyFont="1" applyBorder="1" applyAlignment="1">
      <alignment horizontal="center" vertical="center" wrapText="1"/>
    </xf>
    <xf numFmtId="0" fontId="33" fillId="0" borderId="0" xfId="0" applyFont="1" applyAlignment="1">
      <alignment horizontal="right" vertical="center" wrapText="1"/>
    </xf>
    <xf numFmtId="43" fontId="6" fillId="0" borderId="2" xfId="0" applyNumberFormat="1" applyFont="1" applyBorder="1" applyAlignment="1">
      <alignment vertical="center"/>
    </xf>
    <xf numFmtId="0" fontId="18" fillId="10" borderId="63" xfId="0" applyFont="1" applyFill="1" applyBorder="1" applyAlignment="1">
      <alignment horizontal="center" vertical="center"/>
    </xf>
    <xf numFmtId="0" fontId="18" fillId="10" borderId="64" xfId="0" applyFont="1" applyFill="1" applyBorder="1" applyAlignment="1">
      <alignment horizontal="center" vertical="center"/>
    </xf>
    <xf numFmtId="0" fontId="18" fillId="10" borderId="65" xfId="0" applyFont="1" applyFill="1" applyBorder="1" applyAlignment="1">
      <alignment horizontal="center" vertical="center" wrapText="1"/>
    </xf>
    <xf numFmtId="0" fontId="24" fillId="10" borderId="64" xfId="0" applyFont="1" applyFill="1" applyBorder="1" applyAlignment="1">
      <alignment horizontal="center" vertical="center" wrapText="1"/>
    </xf>
    <xf numFmtId="0" fontId="24" fillId="10" borderId="64" xfId="0" applyFont="1" applyFill="1" applyBorder="1" applyAlignment="1">
      <alignment horizontal="center" vertical="center"/>
    </xf>
    <xf numFmtId="0" fontId="24" fillId="10" borderId="37" xfId="0" applyFont="1" applyFill="1" applyBorder="1" applyAlignment="1">
      <alignment horizontal="center" vertical="center"/>
    </xf>
    <xf numFmtId="1" fontId="6" fillId="0" borderId="0" xfId="0" applyNumberFormat="1" applyFont="1" applyAlignment="1">
      <alignment horizontal="left" vertical="center"/>
    </xf>
    <xf numFmtId="0" fontId="23" fillId="13"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1" fillId="16" borderId="2" xfId="0" applyFont="1" applyFill="1" applyBorder="1" applyAlignment="1">
      <alignment horizontal="center" vertical="center"/>
    </xf>
    <xf numFmtId="0" fontId="10" fillId="0" borderId="0" xfId="0" applyFont="1" applyAlignment="1">
      <alignment wrapText="1"/>
    </xf>
    <xf numFmtId="0" fontId="27" fillId="0" borderId="0" xfId="0" applyFont="1" applyAlignment="1">
      <alignment vertical="center" wrapText="1"/>
    </xf>
    <xf numFmtId="1" fontId="6" fillId="0" borderId="2" xfId="0" applyNumberFormat="1" applyFont="1" applyBorder="1" applyAlignment="1">
      <alignment vertical="center"/>
    </xf>
    <xf numFmtId="164" fontId="6" fillId="0" borderId="2" xfId="2" applyNumberFormat="1" applyFont="1" applyBorder="1" applyAlignment="1">
      <alignment horizontal="center" vertical="center"/>
    </xf>
    <xf numFmtId="0" fontId="7" fillId="0" borderId="0" xfId="0" applyFont="1" applyAlignment="1">
      <alignment horizontal="center" vertical="center"/>
    </xf>
    <xf numFmtId="11" fontId="6" fillId="0" borderId="0" xfId="0" applyNumberFormat="1" applyFont="1"/>
    <xf numFmtId="11" fontId="7" fillId="0" borderId="0" xfId="0" applyNumberFormat="1" applyFont="1" applyAlignment="1">
      <alignment vertical="center"/>
    </xf>
    <xf numFmtId="0" fontId="15" fillId="0" borderId="0" xfId="0" applyFont="1"/>
    <xf numFmtId="0" fontId="30" fillId="0" borderId="0" xfId="0" applyFont="1"/>
    <xf numFmtId="3" fontId="23" fillId="0" borderId="0" xfId="0" applyNumberFormat="1" applyFont="1" applyAlignment="1">
      <alignment horizontal="left"/>
    </xf>
    <xf numFmtId="3" fontId="6" fillId="0" borderId="0" xfId="0" applyNumberFormat="1" applyFont="1" applyAlignment="1">
      <alignment horizontal="left"/>
    </xf>
    <xf numFmtId="9" fontId="6" fillId="0" borderId="2" xfId="0" applyNumberFormat="1" applyFont="1" applyBorder="1" applyAlignment="1">
      <alignment horizontal="center" vertical="center"/>
    </xf>
    <xf numFmtId="0" fontId="23" fillId="0" borderId="0" xfId="0" applyFont="1" applyAlignment="1">
      <alignment horizontal="left"/>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0" fontId="6" fillId="0" borderId="3" xfId="0" applyFont="1" applyBorder="1" applyAlignment="1">
      <alignment vertical="center"/>
    </xf>
    <xf numFmtId="3" fontId="1" fillId="0" borderId="2" xfId="7" applyNumberFormat="1" applyFont="1" applyBorder="1" applyAlignment="1">
      <alignment horizontal="center" vertical="center"/>
    </xf>
    <xf numFmtId="0" fontId="22" fillId="0" borderId="76" xfId="0" applyFont="1" applyBorder="1" applyAlignment="1">
      <alignment horizontal="center" vertical="center"/>
    </xf>
    <xf numFmtId="165" fontId="35" fillId="0" borderId="68" xfId="0" applyNumberFormat="1" applyFont="1" applyBorder="1" applyAlignment="1">
      <alignment horizontal="center" vertical="center"/>
    </xf>
    <xf numFmtId="0" fontId="22" fillId="0" borderId="80" xfId="0" applyFont="1" applyBorder="1" applyAlignment="1">
      <alignment horizontal="center" vertical="center"/>
    </xf>
    <xf numFmtId="0" fontId="22" fillId="0" borderId="84" xfId="0" applyFont="1" applyBorder="1" applyAlignment="1">
      <alignment horizontal="center" vertical="center"/>
    </xf>
    <xf numFmtId="1" fontId="35" fillId="0" borderId="71" xfId="0" applyNumberFormat="1" applyFont="1" applyBorder="1" applyAlignment="1">
      <alignment horizontal="center" vertical="center"/>
    </xf>
    <xf numFmtId="1" fontId="35" fillId="0" borderId="70" xfId="0" applyNumberFormat="1" applyFont="1" applyBorder="1" applyAlignment="1">
      <alignment horizontal="center" vertical="center"/>
    </xf>
    <xf numFmtId="1" fontId="35" fillId="0" borderId="69" xfId="0" applyNumberFormat="1" applyFont="1" applyBorder="1" applyAlignment="1">
      <alignment horizontal="center" vertical="center"/>
    </xf>
    <xf numFmtId="1" fontId="35" fillId="0" borderId="68" xfId="0" applyNumberFormat="1" applyFont="1" applyBorder="1" applyAlignment="1">
      <alignment horizontal="center" vertical="center"/>
    </xf>
    <xf numFmtId="1" fontId="35" fillId="0" borderId="67" xfId="0" applyNumberFormat="1" applyFont="1" applyBorder="1" applyAlignment="1">
      <alignment horizontal="center" vertical="center"/>
    </xf>
    <xf numFmtId="1" fontId="35" fillId="0" borderId="66" xfId="0" applyNumberFormat="1" applyFont="1" applyBorder="1" applyAlignment="1">
      <alignment horizontal="center" vertical="center"/>
    </xf>
    <xf numFmtId="2" fontId="35" fillId="0" borderId="68" xfId="0" applyNumberFormat="1" applyFont="1" applyBorder="1" applyAlignment="1">
      <alignment horizontal="center" vertical="center"/>
    </xf>
    <xf numFmtId="0" fontId="22" fillId="0" borderId="95" xfId="0" applyFont="1" applyBorder="1" applyAlignment="1">
      <alignment horizontal="center" vertical="center"/>
    </xf>
    <xf numFmtId="2" fontId="35" fillId="0" borderId="93" xfId="0" applyNumberFormat="1" applyFont="1" applyBorder="1" applyAlignment="1">
      <alignment horizontal="center" vertical="center"/>
    </xf>
    <xf numFmtId="2" fontId="35" fillId="0" borderId="96" xfId="0" applyNumberFormat="1" applyFont="1" applyBorder="1" applyAlignment="1">
      <alignment horizontal="center" vertical="center"/>
    </xf>
    <xf numFmtId="2" fontId="35" fillId="0" borderId="97" xfId="0" applyNumberFormat="1" applyFont="1" applyBorder="1" applyAlignment="1">
      <alignment horizontal="center" vertical="center"/>
    </xf>
    <xf numFmtId="0" fontId="22" fillId="0" borderId="101" xfId="0" applyFont="1" applyBorder="1" applyAlignment="1">
      <alignment horizontal="center" vertical="center"/>
    </xf>
    <xf numFmtId="2" fontId="35" fillId="0" borderId="98" xfId="0" applyNumberFormat="1" applyFont="1" applyBorder="1" applyAlignment="1">
      <alignment horizontal="center" vertical="center"/>
    </xf>
    <xf numFmtId="2" fontId="35" fillId="0" borderId="102" xfId="0" applyNumberFormat="1" applyFont="1" applyBorder="1" applyAlignment="1">
      <alignment horizontal="center" vertical="center"/>
    </xf>
    <xf numFmtId="2" fontId="22" fillId="0" borderId="1" xfId="0" applyNumberFormat="1" applyFont="1" applyBorder="1" applyAlignment="1">
      <alignment horizontal="center" vertical="center"/>
    </xf>
    <xf numFmtId="2" fontId="22" fillId="0" borderId="5"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7" xfId="0" applyNumberFormat="1" applyFont="1" applyBorder="1" applyAlignment="1">
      <alignment horizontal="center" vertical="center"/>
    </xf>
    <xf numFmtId="2" fontId="22" fillId="0" borderId="32" xfId="0" applyNumberFormat="1" applyFont="1" applyBorder="1" applyAlignment="1">
      <alignment horizontal="center" vertical="center"/>
    </xf>
    <xf numFmtId="2" fontId="22" fillId="0" borderId="9" xfId="0" applyNumberFormat="1" applyFont="1" applyBorder="1" applyAlignment="1">
      <alignment horizontal="center" vertical="center"/>
    </xf>
    <xf numFmtId="2" fontId="22" fillId="0" borderId="17" xfId="0" applyNumberFormat="1" applyFont="1" applyBorder="1" applyAlignment="1">
      <alignment horizontal="center" vertical="center"/>
    </xf>
    <xf numFmtId="2" fontId="22" fillId="0" borderId="107" xfId="0" applyNumberFormat="1" applyFont="1" applyBorder="1" applyAlignment="1">
      <alignment horizontal="center" vertical="center"/>
    </xf>
    <xf numFmtId="0" fontId="22" fillId="0" borderId="11" xfId="0" applyFont="1" applyBorder="1" applyAlignment="1">
      <alignment horizontal="center" vertical="center"/>
    </xf>
    <xf numFmtId="165" fontId="35" fillId="0" borderId="93" xfId="0" applyNumberFormat="1" applyFont="1" applyBorder="1" applyAlignment="1">
      <alignment horizontal="center" vertical="center"/>
    </xf>
    <xf numFmtId="165" fontId="35" fillId="0" borderId="96" xfId="0" applyNumberFormat="1" applyFont="1" applyBorder="1" applyAlignment="1">
      <alignment horizontal="center" vertical="center"/>
    </xf>
    <xf numFmtId="165" fontId="35" fillId="0" borderId="97" xfId="0" applyNumberFormat="1" applyFont="1" applyBorder="1" applyAlignment="1">
      <alignment horizontal="center" vertical="center"/>
    </xf>
    <xf numFmtId="165" fontId="35" fillId="0" borderId="98" xfId="0" applyNumberFormat="1" applyFont="1" applyBorder="1" applyAlignment="1">
      <alignment horizontal="center" vertical="center"/>
    </xf>
    <xf numFmtId="165" fontId="35" fillId="0" borderId="102" xfId="0" applyNumberFormat="1" applyFont="1" applyBorder="1" applyAlignment="1">
      <alignment horizontal="center" vertical="center"/>
    </xf>
    <xf numFmtId="0" fontId="22" fillId="0" borderId="73" xfId="0" applyFont="1" applyBorder="1" applyAlignment="1">
      <alignment horizontal="center" vertical="center"/>
    </xf>
    <xf numFmtId="0" fontId="22" fillId="0" borderId="74" xfId="0" applyFont="1" applyBorder="1" applyAlignment="1">
      <alignment horizontal="center" vertical="center"/>
    </xf>
    <xf numFmtId="0" fontId="37" fillId="0" borderId="0" xfId="0" applyFont="1"/>
    <xf numFmtId="0" fontId="22" fillId="0" borderId="108" xfId="0" applyFont="1" applyBorder="1" applyAlignment="1">
      <alignment horizontal="center" vertical="center"/>
    </xf>
    <xf numFmtId="0" fontId="22" fillId="0" borderId="110" xfId="0" applyFont="1" applyBorder="1" applyAlignment="1">
      <alignment horizontal="center" vertical="center"/>
    </xf>
    <xf numFmtId="0" fontId="22" fillId="0" borderId="111" xfId="0" applyFont="1" applyBorder="1" applyAlignment="1">
      <alignment horizontal="center" vertical="center"/>
    </xf>
    <xf numFmtId="0" fontId="22" fillId="0" borderId="0" xfId="0" applyFont="1" applyAlignment="1">
      <alignment horizontal="left" vertical="center" wrapText="1"/>
    </xf>
    <xf numFmtId="2" fontId="22" fillId="0" borderId="119" xfId="0" applyNumberFormat="1" applyFont="1" applyBorder="1" applyAlignment="1">
      <alignment horizontal="center" vertical="center"/>
    </xf>
    <xf numFmtId="165" fontId="23" fillId="0" borderId="2" xfId="0" applyNumberFormat="1" applyFont="1" applyBorder="1" applyAlignment="1">
      <alignment horizontal="center" vertical="center"/>
    </xf>
    <xf numFmtId="9" fontId="6" fillId="0" borderId="24" xfId="2" applyFont="1" applyFill="1" applyBorder="1" applyAlignment="1">
      <alignment horizontal="center" vertical="center"/>
    </xf>
    <xf numFmtId="0" fontId="24" fillId="6" borderId="2" xfId="0" applyFont="1" applyFill="1" applyBorder="1" applyAlignment="1">
      <alignment horizontal="center" vertical="center"/>
    </xf>
    <xf numFmtId="0" fontId="18" fillId="0" borderId="2" xfId="0" applyFont="1" applyBorder="1" applyAlignment="1">
      <alignment horizontal="center" vertical="center" wrapText="1"/>
    </xf>
    <xf numFmtId="0" fontId="18" fillId="10" borderId="2" xfId="0" applyFont="1" applyFill="1" applyBorder="1" applyAlignment="1">
      <alignment horizontal="center" vertical="center" wrapText="1"/>
    </xf>
    <xf numFmtId="0" fontId="6" fillId="0" borderId="2" xfId="4" applyBorder="1" applyAlignment="1">
      <alignment horizontal="center" vertical="center"/>
    </xf>
    <xf numFmtId="170" fontId="6" fillId="0" borderId="2" xfId="6" applyNumberFormat="1" applyFont="1" applyBorder="1" applyAlignment="1">
      <alignment vertical="center"/>
    </xf>
    <xf numFmtId="170" fontId="6" fillId="0" borderId="2" xfId="0" applyNumberFormat="1" applyFont="1" applyBorder="1" applyAlignment="1">
      <alignment vertical="center"/>
    </xf>
    <xf numFmtId="170" fontId="23" fillId="0" borderId="2" xfId="0" applyNumberFormat="1" applyFont="1" applyBorder="1" applyAlignment="1">
      <alignment vertical="center"/>
    </xf>
    <xf numFmtId="170" fontId="6" fillId="0" borderId="2" xfId="0" applyNumberFormat="1" applyFont="1" applyBorder="1"/>
    <xf numFmtId="166" fontId="6" fillId="0" borderId="0" xfId="0" applyNumberFormat="1" applyFont="1" applyAlignment="1">
      <alignment horizontal="center" vertical="top" wrapText="1"/>
    </xf>
    <xf numFmtId="165" fontId="6" fillId="0" borderId="0" xfId="0" applyNumberFormat="1" applyFont="1" applyAlignment="1">
      <alignment vertical="center"/>
    </xf>
    <xf numFmtId="0" fontId="40" fillId="0" borderId="0" xfId="0" applyFont="1" applyAlignment="1">
      <alignment horizontal="center" vertical="center" wrapText="1"/>
    </xf>
    <xf numFmtId="0" fontId="39" fillId="0" borderId="0" xfId="0" applyFont="1" applyAlignment="1">
      <alignment horizontal="center" vertical="center" wrapText="1"/>
    </xf>
    <xf numFmtId="0" fontId="39" fillId="0" borderId="21" xfId="0" applyFont="1" applyBorder="1" applyAlignment="1">
      <alignment horizontal="center" vertical="center" wrapText="1"/>
    </xf>
    <xf numFmtId="0" fontId="39" fillId="0" borderId="120" xfId="0" applyFont="1" applyBorder="1" applyAlignment="1">
      <alignment horizontal="center" vertical="center" wrapText="1"/>
    </xf>
    <xf numFmtId="0" fontId="40" fillId="0" borderId="21" xfId="0" applyFont="1" applyBorder="1" applyAlignment="1">
      <alignment horizontal="center" vertical="center" wrapText="1"/>
    </xf>
    <xf numFmtId="0" fontId="40" fillId="0" borderId="120" xfId="0" applyFont="1" applyBorder="1" applyAlignment="1">
      <alignment horizontal="center" vertical="center" wrapText="1"/>
    </xf>
    <xf numFmtId="0" fontId="7" fillId="10" borderId="2" xfId="0" applyFont="1" applyFill="1" applyBorder="1" applyAlignment="1">
      <alignment horizontal="center" vertical="center" wrapText="1"/>
    </xf>
    <xf numFmtId="1" fontId="9" fillId="0" borderId="2" xfId="13" applyNumberFormat="1" applyFont="1" applyBorder="1" applyAlignment="1">
      <alignment horizontal="left" vertical="center" wrapText="1"/>
    </xf>
    <xf numFmtId="168" fontId="6" fillId="0" borderId="2" xfId="14" applyNumberFormat="1" applyFont="1" applyBorder="1" applyAlignment="1">
      <alignment horizontal="left" vertical="center" wrapText="1"/>
    </xf>
    <xf numFmtId="43" fontId="6" fillId="0" borderId="2" xfId="14" applyFont="1" applyBorder="1" applyAlignment="1">
      <alignment horizontal="left" vertical="center"/>
    </xf>
    <xf numFmtId="0" fontId="9" fillId="0" borderId="0" xfId="13" applyFont="1" applyAlignment="1">
      <alignment horizontal="left" vertical="center" wrapText="1"/>
    </xf>
    <xf numFmtId="168" fontId="6" fillId="0" borderId="0" xfId="14" applyNumberFormat="1" applyFont="1" applyAlignment="1">
      <alignment vertical="center"/>
    </xf>
    <xf numFmtId="43" fontId="6" fillId="0" borderId="0" xfId="0" applyNumberFormat="1" applyFont="1" applyAlignment="1">
      <alignment vertical="center"/>
    </xf>
    <xf numFmtId="0" fontId="23" fillId="0" borderId="0" xfId="15" applyFont="1" applyAlignment="1">
      <alignment vertical="center" wrapText="1"/>
    </xf>
    <xf numFmtId="165" fontId="23" fillId="0" borderId="0" xfId="15" applyNumberFormat="1" applyFont="1" applyAlignment="1">
      <alignment horizontal="left" vertical="center" wrapText="1"/>
    </xf>
    <xf numFmtId="0" fontId="23" fillId="0" borderId="0" xfId="15" applyFont="1" applyAlignment="1">
      <alignment vertical="center"/>
    </xf>
    <xf numFmtId="0" fontId="40" fillId="0" borderId="0" xfId="15" applyFont="1" applyAlignment="1">
      <alignment vertical="center" wrapText="1"/>
    </xf>
    <xf numFmtId="0" fontId="6" fillId="0" borderId="0" xfId="15" applyFont="1"/>
    <xf numFmtId="167" fontId="23" fillId="0" borderId="0" xfId="15" applyNumberFormat="1" applyFont="1" applyAlignment="1">
      <alignment horizontal="left" vertical="center" wrapText="1"/>
    </xf>
    <xf numFmtId="0" fontId="40" fillId="0" borderId="0" xfId="15" applyFont="1" applyAlignment="1">
      <alignment vertical="center"/>
    </xf>
    <xf numFmtId="0" fontId="23" fillId="0" borderId="0" xfId="15" applyFont="1" applyAlignment="1">
      <alignment horizontal="left" vertical="center" wrapText="1"/>
    </xf>
    <xf numFmtId="165" fontId="6" fillId="0" borderId="0" xfId="15" applyNumberFormat="1" applyFont="1" applyAlignment="1">
      <alignment horizontal="left"/>
    </xf>
    <xf numFmtId="0" fontId="43" fillId="0" borderId="0" xfId="15"/>
    <xf numFmtId="0" fontId="6" fillId="0" borderId="0" xfId="15" applyFont="1" applyAlignment="1">
      <alignment wrapText="1"/>
    </xf>
    <xf numFmtId="3" fontId="9" fillId="0" borderId="2" xfId="6" applyNumberFormat="1" applyFont="1" applyFill="1" applyBorder="1" applyAlignment="1">
      <alignment horizontal="center" vertical="center" wrapText="1"/>
    </xf>
    <xf numFmtId="3" fontId="20" fillId="0" borderId="2" xfId="7" applyNumberFormat="1" applyFont="1" applyBorder="1" applyAlignment="1">
      <alignment horizontal="center" vertical="center"/>
    </xf>
    <xf numFmtId="166" fontId="20" fillId="0" borderId="2" xfId="7" applyNumberFormat="1" applyFont="1" applyBorder="1" applyAlignment="1">
      <alignment horizontal="center" vertical="center"/>
    </xf>
    <xf numFmtId="1" fontId="20" fillId="0" borderId="2" xfId="7" applyNumberFormat="1" applyFont="1" applyBorder="1" applyAlignment="1">
      <alignment horizontal="center" vertical="center"/>
    </xf>
    <xf numFmtId="0" fontId="44" fillId="18" borderId="26" xfId="0" applyFont="1" applyFill="1" applyBorder="1" applyAlignment="1">
      <alignment horizontal="center" vertical="center" wrapText="1"/>
    </xf>
    <xf numFmtId="2" fontId="42" fillId="0" borderId="26" xfId="0" applyNumberFormat="1" applyFont="1" applyBorder="1" applyAlignment="1">
      <alignment horizontal="center" vertical="center" wrapText="1"/>
    </xf>
    <xf numFmtId="1" fontId="42" fillId="0" borderId="26" xfId="0" applyNumberFormat="1" applyFont="1" applyBorder="1" applyAlignment="1">
      <alignment horizontal="center" vertical="center" wrapText="1"/>
    </xf>
    <xf numFmtId="167" fontId="20" fillId="16" borderId="2" xfId="0" applyNumberFormat="1" applyFont="1" applyFill="1" applyBorder="1" applyAlignment="1">
      <alignment horizontal="center" vertical="center"/>
    </xf>
    <xf numFmtId="0" fontId="20" fillId="16" borderId="2" xfId="0" applyFont="1" applyFill="1" applyBorder="1" applyAlignment="1">
      <alignment horizontal="center" vertical="center"/>
    </xf>
    <xf numFmtId="0" fontId="20" fillId="5" borderId="2" xfId="0" applyFont="1" applyFill="1" applyBorder="1" applyAlignment="1">
      <alignment horizontal="center" vertical="center" wrapText="1"/>
    </xf>
    <xf numFmtId="0" fontId="20" fillId="0" borderId="56" xfId="0" applyFont="1" applyBorder="1" applyAlignment="1">
      <alignment horizontal="center" vertical="center" wrapText="1"/>
    </xf>
    <xf numFmtId="168" fontId="23" fillId="0" borderId="2" xfId="6" applyNumberFormat="1" applyFont="1" applyFill="1" applyBorder="1" applyAlignment="1">
      <alignment horizontal="center" vertical="center"/>
    </xf>
    <xf numFmtId="2" fontId="20" fillId="0" borderId="2" xfId="0" applyNumberFormat="1" applyFont="1" applyBorder="1" applyAlignment="1">
      <alignment horizontal="center" vertical="center"/>
    </xf>
    <xf numFmtId="0" fontId="20" fillId="0" borderId="2" xfId="0" applyFont="1" applyBorder="1" applyAlignment="1">
      <alignment vertical="center" wrapText="1"/>
    </xf>
    <xf numFmtId="0" fontId="20" fillId="0" borderId="2" xfId="0" applyFont="1" applyBorder="1" applyAlignment="1">
      <alignment vertical="center"/>
    </xf>
    <xf numFmtId="169" fontId="20" fillId="0" borderId="2" xfId="0" applyNumberFormat="1" applyFont="1" applyBorder="1" applyAlignment="1">
      <alignment vertical="center"/>
    </xf>
    <xf numFmtId="0" fontId="20" fillId="5" borderId="2" xfId="0" applyFont="1" applyFill="1" applyBorder="1" applyAlignment="1">
      <alignment horizontal="center" vertical="center"/>
    </xf>
    <xf numFmtId="0" fontId="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1" xfId="0" applyFont="1" applyBorder="1" applyAlignment="1">
      <alignment horizontal="center" vertical="center"/>
    </xf>
    <xf numFmtId="0" fontId="6" fillId="0" borderId="5"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32" xfId="0" applyFont="1" applyBorder="1" applyAlignment="1">
      <alignment horizontal="center" vertical="center"/>
    </xf>
    <xf numFmtId="0" fontId="20" fillId="0" borderId="9" xfId="0" applyFont="1" applyBorder="1" applyAlignment="1">
      <alignment horizontal="center" vertical="center" wrapText="1"/>
    </xf>
    <xf numFmtId="0" fontId="20" fillId="0" borderId="57" xfId="0" applyFont="1" applyBorder="1" applyAlignment="1">
      <alignment horizontal="center" vertical="center" wrapText="1"/>
    </xf>
    <xf numFmtId="165" fontId="35" fillId="4" borderId="0" xfId="0" applyNumberFormat="1" applyFont="1" applyFill="1" applyAlignment="1">
      <alignment horizontal="center" vertical="center"/>
    </xf>
    <xf numFmtId="0" fontId="35" fillId="4" borderId="0" xfId="0" applyFont="1" applyFill="1" applyAlignment="1">
      <alignment horizontal="center" vertical="center"/>
    </xf>
    <xf numFmtId="0" fontId="35" fillId="0" borderId="0" xfId="0" applyFont="1" applyAlignment="1">
      <alignment horizontal="center" vertical="center"/>
    </xf>
    <xf numFmtId="167" fontId="35" fillId="0" borderId="0" xfId="0" applyNumberFormat="1" applyFont="1" applyAlignment="1">
      <alignment horizontal="center" vertical="center"/>
    </xf>
    <xf numFmtId="2" fontId="46" fillId="0" borderId="2" xfId="0" applyNumberFormat="1" applyFont="1" applyBorder="1" applyAlignment="1">
      <alignment horizontal="center" vertical="center"/>
    </xf>
    <xf numFmtId="0" fontId="22" fillId="0" borderId="0" xfId="0" applyFont="1" applyAlignment="1">
      <alignment horizontal="center" vertical="center" wrapText="1"/>
    </xf>
    <xf numFmtId="0" fontId="35" fillId="0" borderId="0" xfId="0" applyFont="1" applyAlignment="1">
      <alignment horizontal="center" vertical="center" wrapText="1"/>
    </xf>
    <xf numFmtId="1" fontId="35" fillId="0" borderId="0" xfId="0" applyNumberFormat="1" applyFont="1" applyAlignment="1">
      <alignment horizontal="center" vertical="center"/>
    </xf>
    <xf numFmtId="0" fontId="46" fillId="0" borderId="84" xfId="0" applyFont="1" applyBorder="1" applyAlignment="1">
      <alignment horizontal="center" vertical="center"/>
    </xf>
    <xf numFmtId="0" fontId="46" fillId="0" borderId="80" xfId="0" applyFont="1" applyBorder="1" applyAlignment="1">
      <alignment horizontal="center" vertical="center"/>
    </xf>
    <xf numFmtId="0" fontId="46" fillId="0" borderId="76" xfId="0" applyFont="1" applyBorder="1" applyAlignment="1">
      <alignment horizontal="center" vertical="center"/>
    </xf>
    <xf numFmtId="165" fontId="46" fillId="0" borderId="66" xfId="0" applyNumberFormat="1" applyFont="1" applyBorder="1" applyAlignment="1">
      <alignment horizontal="center" vertical="center"/>
    </xf>
    <xf numFmtId="165" fontId="46" fillId="0" borderId="67" xfId="0" applyNumberFormat="1" applyFont="1" applyBorder="1" applyAlignment="1">
      <alignment horizontal="center" vertical="center"/>
    </xf>
    <xf numFmtId="165" fontId="46" fillId="0" borderId="68" xfId="0" applyNumberFormat="1" applyFont="1" applyBorder="1" applyAlignment="1">
      <alignment horizontal="center" vertical="center"/>
    </xf>
    <xf numFmtId="165" fontId="46" fillId="0" borderId="69" xfId="0" applyNumberFormat="1" applyFont="1" applyBorder="1" applyAlignment="1">
      <alignment horizontal="center" vertical="center"/>
    </xf>
    <xf numFmtId="165" fontId="46" fillId="0" borderId="70" xfId="0" applyNumberFormat="1" applyFont="1" applyBorder="1" applyAlignment="1">
      <alignment horizontal="center" vertical="center"/>
    </xf>
    <xf numFmtId="165" fontId="46" fillId="0" borderId="71" xfId="0" applyNumberFormat="1" applyFont="1" applyBorder="1" applyAlignment="1">
      <alignment horizontal="center" vertical="center"/>
    </xf>
    <xf numFmtId="165" fontId="20" fillId="20" borderId="44" xfId="15" applyNumberFormat="1" applyFont="1" applyFill="1" applyBorder="1" applyAlignment="1">
      <alignment horizontal="center" vertical="center" wrapText="1"/>
    </xf>
    <xf numFmtId="3" fontId="20" fillId="0" borderId="44" xfId="15" applyNumberFormat="1" applyFont="1" applyBorder="1" applyAlignment="1">
      <alignment horizontal="center" vertical="center" wrapText="1"/>
    </xf>
    <xf numFmtId="2" fontId="20" fillId="0" borderId="44" xfId="15" applyNumberFormat="1" applyFont="1" applyBorder="1" applyAlignment="1">
      <alignment horizontal="center" vertical="center" wrapText="1"/>
    </xf>
    <xf numFmtId="2" fontId="20" fillId="8" borderId="43" xfId="15" applyNumberFormat="1" applyFont="1" applyFill="1" applyBorder="1" applyAlignment="1">
      <alignment horizontal="center" vertical="center" wrapText="1"/>
    </xf>
    <xf numFmtId="3" fontId="20" fillId="0" borderId="123" xfId="15" applyNumberFormat="1" applyFont="1" applyBorder="1" applyAlignment="1">
      <alignment horizontal="center" vertical="center" wrapText="1"/>
    </xf>
    <xf numFmtId="0" fontId="8" fillId="0" borderId="0" xfId="5" applyBorder="1" applyAlignment="1">
      <alignment horizontal="left"/>
    </xf>
    <xf numFmtId="0" fontId="6" fillId="0" borderId="0" xfId="0" applyFont="1" applyAlignment="1">
      <alignment horizontal="left"/>
    </xf>
    <xf numFmtId="0" fontId="23" fillId="0" borderId="0" xfId="0" applyFont="1" applyAlignment="1">
      <alignment horizontal="center"/>
    </xf>
    <xf numFmtId="0" fontId="50" fillId="23" borderId="65" xfId="0" applyFont="1" applyFill="1" applyBorder="1" applyAlignment="1">
      <alignment horizontal="center" vertical="center"/>
    </xf>
    <xf numFmtId="164" fontId="51" fillId="0" borderId="65" xfId="0" applyNumberFormat="1" applyFont="1" applyBorder="1" applyAlignment="1">
      <alignment horizontal="center"/>
    </xf>
    <xf numFmtId="164" fontId="50" fillId="0" borderId="26" xfId="0" applyNumberFormat="1" applyFont="1" applyBorder="1" applyAlignment="1">
      <alignment horizontal="center"/>
    </xf>
    <xf numFmtId="0" fontId="20" fillId="0" borderId="22" xfId="0" applyFont="1" applyBorder="1" applyAlignment="1">
      <alignment horizontal="center" vertical="top" wrapText="1"/>
    </xf>
    <xf numFmtId="0" fontId="20" fillId="0" borderId="54" xfId="0" applyFont="1" applyBorder="1" applyAlignment="1">
      <alignment horizontal="center" vertical="top" wrapText="1"/>
    </xf>
    <xf numFmtId="0" fontId="47" fillId="0" borderId="0" xfId="0" applyFont="1" applyAlignment="1">
      <alignment vertical="top" wrapText="1"/>
    </xf>
    <xf numFmtId="0" fontId="6" fillId="0" borderId="0" xfId="0" applyFont="1" applyAlignment="1">
      <alignment vertical="top" wrapText="1"/>
    </xf>
    <xf numFmtId="0" fontId="20" fillId="0" borderId="0" xfId="0" applyFont="1" applyAlignment="1">
      <alignment vertical="top"/>
    </xf>
    <xf numFmtId="0" fontId="20" fillId="7" borderId="2" xfId="0" applyFont="1" applyFill="1" applyBorder="1" applyAlignment="1">
      <alignment horizontal="center" vertical="center"/>
    </xf>
    <xf numFmtId="2" fontId="20" fillId="7" borderId="2" xfId="0" applyNumberFormat="1" applyFont="1" applyFill="1" applyBorder="1" applyAlignment="1">
      <alignment horizontal="center" vertical="center"/>
    </xf>
    <xf numFmtId="0" fontId="20" fillId="3" borderId="2" xfId="0" applyFont="1" applyFill="1" applyBorder="1" applyAlignment="1">
      <alignment horizontal="center" vertical="center"/>
    </xf>
    <xf numFmtId="0" fontId="20" fillId="11" borderId="2" xfId="0" applyFont="1" applyFill="1" applyBorder="1" applyAlignment="1">
      <alignment horizontal="center" vertical="center" wrapText="1"/>
    </xf>
    <xf numFmtId="0" fontId="20" fillId="13" borderId="2" xfId="0" applyFont="1" applyFill="1" applyBorder="1" applyAlignment="1">
      <alignment horizontal="center" vertical="center"/>
    </xf>
    <xf numFmtId="0" fontId="20" fillId="14" borderId="2" xfId="0" applyFont="1" applyFill="1" applyBorder="1" applyAlignment="1">
      <alignment horizontal="center" vertical="center"/>
    </xf>
    <xf numFmtId="0" fontId="20" fillId="15" borderId="2" xfId="0" applyFont="1" applyFill="1" applyBorder="1" applyAlignment="1">
      <alignment horizontal="center" vertical="center"/>
    </xf>
    <xf numFmtId="167" fontId="20" fillId="7" borderId="2" xfId="0" applyNumberFormat="1" applyFont="1" applyFill="1" applyBorder="1" applyAlignment="1">
      <alignment horizontal="center" vertical="center" wrapText="1"/>
    </xf>
    <xf numFmtId="168" fontId="20" fillId="0" borderId="2" xfId="0" applyNumberFormat="1" applyFont="1" applyBorder="1" applyAlignment="1">
      <alignment horizontal="right" vertical="center"/>
    </xf>
    <xf numFmtId="165" fontId="34" fillId="4" borderId="0" xfId="0" applyNumberFormat="1" applyFont="1" applyFill="1" applyAlignment="1">
      <alignment horizontal="center" vertical="center"/>
    </xf>
    <xf numFmtId="0" fontId="20" fillId="0" borderId="0" xfId="0" applyFont="1" applyAlignment="1">
      <alignment vertical="center" wrapText="1"/>
    </xf>
    <xf numFmtId="0" fontId="6" fillId="0" borderId="2" xfId="0" applyFont="1" applyBorder="1" applyAlignment="1">
      <alignment horizontal="left" vertical="center"/>
    </xf>
    <xf numFmtId="2" fontId="23" fillId="0" borderId="0" xfId="15" applyNumberFormat="1" applyFont="1" applyAlignment="1">
      <alignment horizontal="left" vertical="center" wrapText="1"/>
    </xf>
    <xf numFmtId="0" fontId="52" fillId="0" borderId="0" xfId="5" applyFont="1" applyAlignment="1">
      <alignment horizontal="left" vertical="center"/>
    </xf>
    <xf numFmtId="0" fontId="8" fillId="0" borderId="0" xfId="5" applyBorder="1" applyAlignment="1"/>
    <xf numFmtId="0" fontId="14" fillId="0" borderId="0" xfId="5" applyFont="1" applyAlignment="1">
      <alignment horizontal="left" vertical="center"/>
    </xf>
    <xf numFmtId="0" fontId="14" fillId="0" borderId="0" xfId="5" applyFont="1" applyAlignment="1">
      <alignment vertical="center"/>
    </xf>
    <xf numFmtId="0" fontId="20" fillId="0" borderId="0" xfId="15" applyFont="1"/>
    <xf numFmtId="1" fontId="9" fillId="0" borderId="12" xfId="13" applyNumberFormat="1" applyFont="1" applyBorder="1" applyAlignment="1">
      <alignment horizontal="left" vertical="center" wrapText="1"/>
    </xf>
    <xf numFmtId="0" fontId="6" fillId="0" borderId="12" xfId="0" applyFont="1" applyBorder="1" applyAlignment="1">
      <alignment vertical="center"/>
    </xf>
    <xf numFmtId="168" fontId="6" fillId="0" borderId="12" xfId="14" applyNumberFormat="1" applyFont="1" applyBorder="1" applyAlignment="1">
      <alignment horizontal="left" vertical="center" wrapText="1"/>
    </xf>
    <xf numFmtId="43" fontId="6" fillId="0" borderId="12" xfId="14" applyFont="1" applyBorder="1" applyAlignment="1">
      <alignment horizontal="left" vertical="center"/>
    </xf>
    <xf numFmtId="43" fontId="6" fillId="0" borderId="12" xfId="0" applyNumberFormat="1" applyFont="1" applyBorder="1" applyAlignment="1">
      <alignment vertical="center"/>
    </xf>
    <xf numFmtId="165" fontId="20" fillId="20" borderId="39" xfId="15" applyNumberFormat="1" applyFont="1" applyFill="1" applyBorder="1" applyAlignment="1">
      <alignment horizontal="center" vertical="center" wrapText="1"/>
    </xf>
    <xf numFmtId="3" fontId="20" fillId="0" borderId="39" xfId="15" applyNumberFormat="1" applyFont="1" applyBorder="1" applyAlignment="1">
      <alignment horizontal="center" vertical="center" wrapText="1"/>
    </xf>
    <xf numFmtId="2" fontId="20" fillId="0" borderId="39" xfId="15" applyNumberFormat="1" applyFont="1" applyBorder="1" applyAlignment="1">
      <alignment horizontal="center" vertical="center" wrapText="1"/>
    </xf>
    <xf numFmtId="2" fontId="20" fillId="8" borderId="41" xfId="15" applyNumberFormat="1" applyFont="1" applyFill="1" applyBorder="1" applyAlignment="1">
      <alignment horizontal="center" vertical="center" wrapText="1"/>
    </xf>
    <xf numFmtId="3" fontId="20" fillId="0" borderId="122" xfId="15" applyNumberFormat="1" applyFont="1" applyBorder="1" applyAlignment="1">
      <alignment horizontal="center" vertical="center" wrapText="1"/>
    </xf>
    <xf numFmtId="165" fontId="20" fillId="20" borderId="128" xfId="15" applyNumberFormat="1" applyFont="1" applyFill="1" applyBorder="1" applyAlignment="1">
      <alignment horizontal="center" vertical="center" wrapText="1"/>
    </xf>
    <xf numFmtId="3" fontId="20" fillId="0" borderId="128" xfId="15" applyNumberFormat="1" applyFont="1" applyBorder="1" applyAlignment="1">
      <alignment horizontal="center" vertical="center" wrapText="1"/>
    </xf>
    <xf numFmtId="2" fontId="20" fillId="0" borderId="128" xfId="15" applyNumberFormat="1" applyFont="1" applyBorder="1" applyAlignment="1">
      <alignment horizontal="center" vertical="center" wrapText="1"/>
    </xf>
    <xf numFmtId="2" fontId="20" fillId="8" borderId="128" xfId="15" applyNumberFormat="1" applyFont="1" applyFill="1" applyBorder="1" applyAlignment="1">
      <alignment horizontal="center" vertical="center" wrapText="1"/>
    </xf>
    <xf numFmtId="3" fontId="20" fillId="0" borderId="129" xfId="15" applyNumberFormat="1" applyFont="1" applyBorder="1" applyAlignment="1">
      <alignment horizontal="center" vertical="center" wrapText="1"/>
    </xf>
    <xf numFmtId="165" fontId="20" fillId="20" borderId="57" xfId="15" applyNumberFormat="1" applyFont="1" applyFill="1" applyBorder="1" applyAlignment="1">
      <alignment horizontal="center" vertical="center" wrapText="1"/>
    </xf>
    <xf numFmtId="3" fontId="20" fillId="0" borderId="57" xfId="15" applyNumberFormat="1" applyFont="1" applyBorder="1" applyAlignment="1">
      <alignment horizontal="center" vertical="center" wrapText="1"/>
    </xf>
    <xf numFmtId="2" fontId="20" fillId="0" borderId="57" xfId="15" applyNumberFormat="1" applyFont="1" applyBorder="1" applyAlignment="1">
      <alignment horizontal="center" vertical="center" wrapText="1"/>
    </xf>
    <xf numFmtId="2" fontId="20" fillId="8" borderId="132" xfId="15" applyNumberFormat="1" applyFont="1" applyFill="1" applyBorder="1" applyAlignment="1">
      <alignment horizontal="center" vertical="center" wrapText="1"/>
    </xf>
    <xf numFmtId="3" fontId="20" fillId="0" borderId="133" xfId="15" applyNumberFormat="1" applyFont="1" applyBorder="1" applyAlignment="1">
      <alignment horizontal="center" vertical="center" wrapText="1"/>
    </xf>
    <xf numFmtId="0" fontId="54" fillId="0" borderId="0" xfId="16" applyFont="1" applyAlignment="1">
      <alignment horizontal="left" vertical="top"/>
    </xf>
    <xf numFmtId="0" fontId="20" fillId="0" borderId="0" xfId="15" applyFont="1" applyAlignment="1">
      <alignment vertical="center" wrapText="1"/>
    </xf>
    <xf numFmtId="165" fontId="20" fillId="0" borderId="0" xfId="15" applyNumberFormat="1" applyFont="1" applyAlignment="1">
      <alignment horizontal="left" vertical="top" wrapText="1"/>
    </xf>
    <xf numFmtId="0" fontId="20" fillId="0" borderId="0" xfId="15" applyFont="1" applyAlignment="1">
      <alignment vertical="top"/>
    </xf>
    <xf numFmtId="165" fontId="20" fillId="0" borderId="0" xfId="15" applyNumberFormat="1" applyFont="1" applyAlignment="1">
      <alignment horizontal="left" vertical="center" wrapText="1"/>
    </xf>
    <xf numFmtId="0" fontId="20" fillId="0" borderId="0" xfId="15" applyFont="1" applyAlignment="1">
      <alignment vertical="center"/>
    </xf>
    <xf numFmtId="43" fontId="20" fillId="0" borderId="0" xfId="14" applyFont="1" applyAlignment="1">
      <alignment horizontal="center" vertical="center"/>
    </xf>
    <xf numFmtId="43" fontId="20" fillId="0" borderId="0" xfId="14" applyFont="1" applyAlignment="1">
      <alignment vertical="center"/>
    </xf>
    <xf numFmtId="0" fontId="47" fillId="18" borderId="39" xfId="15" applyFont="1" applyFill="1" applyBorder="1" applyAlignment="1">
      <alignment horizontal="center" vertical="center" wrapText="1"/>
    </xf>
    <xf numFmtId="1" fontId="20" fillId="22" borderId="138" xfId="14" applyNumberFormat="1" applyFont="1" applyFill="1" applyBorder="1" applyAlignment="1">
      <alignment horizontal="left" vertical="center"/>
    </xf>
    <xf numFmtId="3" fontId="20" fillId="22" borderId="138" xfId="15" applyNumberFormat="1" applyFont="1" applyFill="1" applyBorder="1" applyAlignment="1">
      <alignment horizontal="left" vertical="center"/>
    </xf>
    <xf numFmtId="3" fontId="20" fillId="22" borderId="138" xfId="14" applyNumberFormat="1" applyFont="1" applyFill="1" applyBorder="1" applyAlignment="1">
      <alignment horizontal="left" vertical="center"/>
    </xf>
    <xf numFmtId="2" fontId="20" fillId="22" borderId="138" xfId="15" applyNumberFormat="1" applyFont="1" applyFill="1" applyBorder="1" applyAlignment="1">
      <alignment horizontal="left" vertical="center"/>
    </xf>
    <xf numFmtId="0" fontId="20" fillId="22" borderId="138" xfId="15" applyFont="1" applyFill="1" applyBorder="1" applyAlignment="1">
      <alignment horizontal="left" vertical="center"/>
    </xf>
    <xf numFmtId="3" fontId="20" fillId="0" borderId="2" xfId="0" applyNumberFormat="1" applyFont="1" applyBorder="1" applyAlignment="1">
      <alignment horizontal="center" vertical="center" wrapText="1"/>
    </xf>
    <xf numFmtId="168" fontId="20" fillId="0" borderId="2" xfId="0" applyNumberFormat="1" applyFont="1" applyBorder="1" applyAlignment="1">
      <alignment horizontal="center" vertical="center" wrapText="1"/>
    </xf>
    <xf numFmtId="0" fontId="54" fillId="0" borderId="0" xfId="5" applyFont="1" applyAlignment="1">
      <alignment horizontal="left" vertical="center"/>
    </xf>
    <xf numFmtId="0" fontId="55" fillId="0" borderId="0" xfId="0" applyFont="1" applyAlignment="1">
      <alignment wrapText="1"/>
    </xf>
    <xf numFmtId="3" fontId="0" fillId="0" borderId="0" xfId="0" applyNumberFormat="1"/>
    <xf numFmtId="0" fontId="47" fillId="6" borderId="2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0" fillId="0" borderId="22" xfId="0" applyFont="1" applyBorder="1" applyAlignment="1">
      <alignment horizontal="center" vertical="center" wrapText="1"/>
    </xf>
    <xf numFmtId="0" fontId="54" fillId="0" borderId="2" xfId="5" applyFont="1" applyBorder="1" applyAlignment="1">
      <alignment horizontal="center" vertical="center"/>
    </xf>
    <xf numFmtId="3" fontId="20" fillId="0" borderId="0" xfId="0" applyNumberFormat="1" applyFont="1" applyAlignment="1">
      <alignment horizontal="left"/>
    </xf>
    <xf numFmtId="1" fontId="20" fillId="0" borderId="0" xfId="0" applyNumberFormat="1" applyFont="1" applyAlignment="1">
      <alignment horizontal="left"/>
    </xf>
    <xf numFmtId="1" fontId="9" fillId="0" borderId="13" xfId="13" applyNumberFormat="1" applyFont="1" applyBorder="1" applyAlignment="1">
      <alignment horizontal="left" vertical="center" wrapText="1"/>
    </xf>
    <xf numFmtId="0" fontId="6" fillId="0" borderId="14" xfId="0" applyFont="1" applyBorder="1" applyAlignment="1">
      <alignment vertical="center"/>
    </xf>
    <xf numFmtId="168" fontId="6" fillId="0" borderId="14" xfId="14" applyNumberFormat="1" applyFont="1" applyBorder="1" applyAlignment="1">
      <alignment horizontal="left" vertical="center" wrapText="1"/>
    </xf>
    <xf numFmtId="43" fontId="6" fillId="0" borderId="14" xfId="14" applyFont="1" applyBorder="1" applyAlignment="1">
      <alignment horizontal="left" vertical="center"/>
    </xf>
    <xf numFmtId="1" fontId="6" fillId="0" borderId="14" xfId="0" applyNumberFormat="1" applyFont="1" applyBorder="1" applyAlignment="1">
      <alignment vertical="center"/>
    </xf>
    <xf numFmtId="1" fontId="6" fillId="0" borderId="13" xfId="0" applyNumberFormat="1" applyFont="1" applyBorder="1" applyAlignment="1">
      <alignment vertical="center"/>
    </xf>
    <xf numFmtId="43" fontId="6" fillId="0" borderId="138" xfId="0" applyNumberFormat="1" applyFont="1" applyBorder="1" applyAlignment="1">
      <alignment vertical="center"/>
    </xf>
    <xf numFmtId="0" fontId="47" fillId="0" borderId="0" xfId="13" applyFont="1" applyAlignment="1">
      <alignment vertical="center" wrapText="1"/>
    </xf>
    <xf numFmtId="0" fontId="56" fillId="0" borderId="0" xfId="0" applyFont="1" applyAlignment="1">
      <alignment vertical="center" wrapText="1"/>
    </xf>
    <xf numFmtId="43" fontId="20" fillId="0" borderId="138" xfId="14" applyFont="1" applyBorder="1" applyAlignment="1">
      <alignment horizontal="center" vertical="center"/>
    </xf>
    <xf numFmtId="2" fontId="20" fillId="0" borderId="138" xfId="0" applyNumberFormat="1" applyFont="1" applyBorder="1" applyAlignment="1">
      <alignment horizontal="center" vertical="center" wrapText="1"/>
    </xf>
    <xf numFmtId="165" fontId="20" fillId="20" borderId="143" xfId="15" applyNumberFormat="1" applyFont="1" applyFill="1" applyBorder="1" applyAlignment="1">
      <alignment horizontal="center" vertical="center" wrapText="1"/>
    </xf>
    <xf numFmtId="3" fontId="20" fillId="0" borderId="143" xfId="15" applyNumberFormat="1" applyFont="1" applyBorder="1" applyAlignment="1">
      <alignment horizontal="center" vertical="center" wrapText="1"/>
    </xf>
    <xf numFmtId="2" fontId="20" fillId="0" borderId="143" xfId="15" applyNumberFormat="1" applyFont="1" applyBorder="1" applyAlignment="1">
      <alignment horizontal="center" vertical="center" wrapText="1"/>
    </xf>
    <xf numFmtId="2" fontId="20" fillId="8" borderId="143" xfId="15" applyNumberFormat="1" applyFont="1" applyFill="1" applyBorder="1" applyAlignment="1">
      <alignment horizontal="center" vertical="center" wrapText="1"/>
    </xf>
    <xf numFmtId="3" fontId="20" fillId="0" borderId="144" xfId="15" applyNumberFormat="1" applyFont="1" applyBorder="1" applyAlignment="1">
      <alignment horizontal="center" vertical="center" wrapText="1"/>
    </xf>
    <xf numFmtId="165" fontId="20" fillId="20" borderId="147" xfId="15" applyNumberFormat="1" applyFont="1" applyFill="1" applyBorder="1" applyAlignment="1">
      <alignment horizontal="center" vertical="center" wrapText="1"/>
    </xf>
    <xf numFmtId="3" fontId="20" fillId="0" borderId="147" xfId="15" applyNumberFormat="1" applyFont="1" applyBorder="1" applyAlignment="1">
      <alignment horizontal="center" vertical="center" wrapText="1"/>
    </xf>
    <xf numFmtId="2" fontId="20" fillId="0" borderId="147" xfId="15" applyNumberFormat="1" applyFont="1" applyBorder="1" applyAlignment="1">
      <alignment horizontal="center" vertical="center" wrapText="1"/>
    </xf>
    <xf numFmtId="2" fontId="20" fillId="8" borderId="148" xfId="15" applyNumberFormat="1" applyFont="1" applyFill="1" applyBorder="1" applyAlignment="1">
      <alignment horizontal="center" vertical="center" wrapText="1"/>
    </xf>
    <xf numFmtId="3" fontId="20" fillId="0" borderId="149" xfId="15" applyNumberFormat="1" applyFont="1" applyBorder="1" applyAlignment="1">
      <alignment horizontal="center" vertical="center" wrapText="1"/>
    </xf>
    <xf numFmtId="171" fontId="6" fillId="0" borderId="0" xfId="0" applyNumberFormat="1" applyFont="1" applyAlignment="1">
      <alignment horizontal="center" vertical="center" wrapText="1"/>
    </xf>
    <xf numFmtId="0" fontId="6" fillId="0" borderId="10" xfId="0" applyFont="1" applyBorder="1" applyAlignment="1">
      <alignment vertical="center"/>
    </xf>
    <xf numFmtId="0" fontId="9" fillId="0" borderId="11" xfId="3" applyFont="1" applyFill="1" applyBorder="1" applyAlignment="1">
      <alignment horizontal="center" vertical="center" wrapText="1"/>
    </xf>
    <xf numFmtId="0" fontId="18" fillId="10" borderId="11" xfId="0" applyFont="1" applyFill="1" applyBorder="1" applyAlignment="1">
      <alignment horizontal="center" vertical="center" wrapText="1"/>
    </xf>
    <xf numFmtId="0" fontId="47" fillId="6" borderId="151" xfId="0" applyFont="1" applyFill="1" applyBorder="1" applyAlignment="1">
      <alignment horizontal="center" vertical="center" wrapText="1"/>
    </xf>
    <xf numFmtId="0" fontId="20" fillId="0" borderId="151" xfId="0" applyFont="1" applyBorder="1" applyAlignment="1">
      <alignment vertical="center"/>
    </xf>
    <xf numFmtId="0" fontId="20" fillId="0" borderId="151" xfId="3" applyFont="1" applyFill="1" applyBorder="1" applyAlignment="1">
      <alignment horizontal="center" vertical="center" wrapText="1"/>
    </xf>
    <xf numFmtId="0" fontId="51" fillId="0" borderId="0" xfId="0" applyFont="1"/>
    <xf numFmtId="3" fontId="51" fillId="0" borderId="0" xfId="0" applyNumberFormat="1" applyFont="1"/>
    <xf numFmtId="171" fontId="51" fillId="0" borderId="0" xfId="0" applyNumberFormat="1" applyFont="1"/>
    <xf numFmtId="0" fontId="58" fillId="0" borderId="0" xfId="0" applyFont="1" applyAlignment="1">
      <alignment horizontal="center" vertical="center"/>
    </xf>
    <xf numFmtId="0" fontId="20" fillId="0" borderId="44" xfId="0" applyFont="1" applyBorder="1" applyAlignment="1">
      <alignment horizontal="center" vertical="center"/>
    </xf>
    <xf numFmtId="0" fontId="20" fillId="0" borderId="152" xfId="15" applyFont="1" applyBorder="1" applyAlignment="1">
      <alignment horizontal="center" vertical="center" wrapText="1"/>
    </xf>
    <xf numFmtId="0" fontId="20" fillId="0" borderId="153" xfId="15" applyFont="1" applyBorder="1" applyAlignment="1">
      <alignment horizontal="center" vertical="center" wrapText="1"/>
    </xf>
    <xf numFmtId="0" fontId="20" fillId="0" borderId="154" xfId="15" applyFont="1" applyBorder="1" applyAlignment="1">
      <alignment horizontal="center" vertical="center" wrapText="1"/>
    </xf>
    <xf numFmtId="0" fontId="20" fillId="0" borderId="155" xfId="15" applyFont="1" applyBorder="1" applyAlignment="1">
      <alignment horizontal="center" vertical="center" wrapText="1"/>
    </xf>
    <xf numFmtId="0" fontId="20" fillId="0" borderId="156" xfId="15" applyFont="1" applyBorder="1" applyAlignment="1">
      <alignment horizontal="center" vertical="center" wrapText="1"/>
    </xf>
    <xf numFmtId="0" fontId="20" fillId="0" borderId="157" xfId="15" applyFont="1" applyBorder="1" applyAlignment="1">
      <alignment horizontal="center" vertical="center" wrapText="1"/>
    </xf>
    <xf numFmtId="0" fontId="47" fillId="18" borderId="147" xfId="15" applyFont="1" applyFill="1" applyBorder="1" applyAlignment="1">
      <alignment horizontal="left" vertical="center" wrapText="1"/>
    </xf>
    <xf numFmtId="0" fontId="7" fillId="6" borderId="160" xfId="0" applyFont="1" applyFill="1" applyBorder="1" applyAlignment="1">
      <alignment horizontal="center" vertical="center"/>
    </xf>
    <xf numFmtId="0" fontId="7" fillId="10" borderId="160" xfId="0" applyFont="1" applyFill="1" applyBorder="1" applyAlignment="1">
      <alignment horizontal="center" vertical="center" wrapText="1"/>
    </xf>
    <xf numFmtId="0" fontId="32" fillId="27" borderId="161" xfId="0" applyFont="1" applyFill="1" applyBorder="1" applyAlignment="1">
      <alignment horizontal="left" vertical="center"/>
    </xf>
    <xf numFmtId="164" fontId="6" fillId="0" borderId="2" xfId="2" applyNumberFormat="1" applyFont="1" applyFill="1" applyBorder="1" applyAlignment="1">
      <alignment horizontal="center" vertical="center"/>
    </xf>
    <xf numFmtId="3" fontId="20" fillId="0" borderId="2" xfId="3" applyNumberFormat="1" applyFont="1" applyFill="1" applyBorder="1" applyAlignment="1">
      <alignment horizontal="center" vertical="center" wrapText="1"/>
    </xf>
    <xf numFmtId="1" fontId="20" fillId="0" borderId="2" xfId="0" applyNumberFormat="1" applyFont="1" applyBorder="1" applyAlignment="1">
      <alignment horizontal="center" vertical="center" wrapText="1"/>
    </xf>
    <xf numFmtId="0" fontId="47" fillId="10" borderId="2" xfId="0" applyFont="1" applyFill="1" applyBorder="1" applyAlignment="1">
      <alignment horizontal="center" vertical="center" wrapText="1"/>
    </xf>
    <xf numFmtId="0" fontId="23" fillId="0" borderId="0" xfId="0" applyFont="1" applyAlignment="1">
      <alignment vertical="center"/>
    </xf>
    <xf numFmtId="0" fontId="20" fillId="0" borderId="0" xfId="0" applyFont="1" applyAlignment="1">
      <alignment vertical="center"/>
    </xf>
    <xf numFmtId="0" fontId="8" fillId="0" borderId="0" xfId="5" applyAlignment="1">
      <alignment horizontal="left" vertical="center"/>
    </xf>
    <xf numFmtId="0" fontId="23" fillId="0" borderId="0" xfId="0" applyFont="1" applyAlignment="1">
      <alignment vertical="center" wrapText="1"/>
    </xf>
    <xf numFmtId="0" fontId="54" fillId="0" borderId="0" xfId="5" applyFont="1" applyAlignment="1">
      <alignment vertical="center"/>
    </xf>
    <xf numFmtId="0" fontId="1" fillId="0" borderId="0" xfId="0" applyFont="1" applyAlignment="1">
      <alignment vertical="center"/>
    </xf>
    <xf numFmtId="0" fontId="54" fillId="0" borderId="0" xfId="5" applyFont="1" applyAlignment="1">
      <alignment horizontal="left"/>
    </xf>
    <xf numFmtId="167" fontId="20" fillId="15" borderId="2" xfId="0" applyNumberFormat="1" applyFont="1" applyFill="1" applyBorder="1" applyAlignment="1">
      <alignment horizontal="center" vertical="center"/>
    </xf>
    <xf numFmtId="1" fontId="1" fillId="0" borderId="2" xfId="7" applyNumberFormat="1" applyFont="1" applyBorder="1" applyAlignment="1">
      <alignment horizontal="center" vertical="center"/>
    </xf>
    <xf numFmtId="0" fontId="20" fillId="0" borderId="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12" xfId="0" applyFont="1" applyBorder="1" applyAlignment="1">
      <alignment horizontal="center" vertical="center"/>
    </xf>
    <xf numFmtId="1" fontId="46" fillId="0" borderId="1" xfId="0" applyNumberFormat="1" applyFont="1" applyBorder="1" applyAlignment="1">
      <alignment horizontal="center" vertical="center"/>
    </xf>
    <xf numFmtId="1" fontId="46" fillId="0" borderId="5" xfId="0" applyNumberFormat="1" applyFont="1" applyBorder="1" applyAlignment="1">
      <alignment horizontal="center" vertical="center"/>
    </xf>
    <xf numFmtId="1" fontId="46" fillId="8" borderId="2" xfId="0" applyNumberFormat="1" applyFont="1" applyFill="1" applyBorder="1" applyAlignment="1">
      <alignment horizontal="center" vertical="center"/>
    </xf>
    <xf numFmtId="1" fontId="46" fillId="8" borderId="7" xfId="0" applyNumberFormat="1" applyFont="1" applyFill="1" applyBorder="1" applyAlignment="1">
      <alignment horizontal="center" vertical="center"/>
    </xf>
    <xf numFmtId="1" fontId="46" fillId="8" borderId="32" xfId="0" applyNumberFormat="1" applyFont="1" applyFill="1" applyBorder="1" applyAlignment="1">
      <alignment horizontal="center" vertical="center"/>
    </xf>
    <xf numFmtId="1" fontId="46" fillId="8" borderId="9" xfId="0" applyNumberFormat="1" applyFont="1" applyFill="1" applyBorder="1" applyAlignment="1">
      <alignment horizontal="center" vertical="center"/>
    </xf>
    <xf numFmtId="0" fontId="24" fillId="26" borderId="12" xfId="0" applyFont="1" applyFill="1" applyBorder="1" applyAlignment="1">
      <alignment horizontal="center" vertical="center"/>
    </xf>
    <xf numFmtId="0" fontId="23" fillId="24" borderId="0" xfId="0" applyFont="1" applyFill="1" applyAlignment="1">
      <alignment vertical="center"/>
    </xf>
    <xf numFmtId="0" fontId="23" fillId="24" borderId="163" xfId="0" applyFont="1" applyFill="1" applyBorder="1" applyAlignment="1">
      <alignment vertical="center"/>
    </xf>
    <xf numFmtId="0" fontId="42" fillId="0" borderId="0" xfId="0" applyFont="1" applyAlignment="1">
      <alignment wrapText="1"/>
    </xf>
    <xf numFmtId="0" fontId="20" fillId="11" borderId="164" xfId="0" applyFont="1" applyFill="1" applyBorder="1" applyAlignment="1">
      <alignment horizontal="center" vertical="center"/>
    </xf>
    <xf numFmtId="0" fontId="20" fillId="11" borderId="22" xfId="0" applyFont="1" applyFill="1" applyBorder="1" applyAlignment="1">
      <alignment horizontal="center" vertical="center"/>
    </xf>
    <xf numFmtId="0" fontId="20" fillId="11" borderId="165" xfId="0" applyFont="1" applyFill="1" applyBorder="1" applyAlignment="1">
      <alignment horizontal="center" vertical="center"/>
    </xf>
    <xf numFmtId="0" fontId="20" fillId="29" borderId="165" xfId="0" applyFont="1" applyFill="1" applyBorder="1" applyAlignment="1">
      <alignment horizontal="center" vertical="center"/>
    </xf>
    <xf numFmtId="2" fontId="20" fillId="29" borderId="2" xfId="0" applyNumberFormat="1" applyFont="1" applyFill="1" applyBorder="1" applyAlignment="1">
      <alignment horizontal="center" vertical="center"/>
    </xf>
    <xf numFmtId="165" fontId="20" fillId="29" borderId="2" xfId="0" applyNumberFormat="1" applyFont="1" applyFill="1" applyBorder="1" applyAlignment="1">
      <alignment horizontal="center" vertical="center"/>
    </xf>
    <xf numFmtId="0" fontId="6" fillId="30" borderId="2" xfId="0" applyFont="1" applyFill="1" applyBorder="1" applyAlignment="1">
      <alignment horizontal="center" vertical="center"/>
    </xf>
    <xf numFmtId="0" fontId="1" fillId="30" borderId="2" xfId="0" applyFont="1" applyFill="1" applyBorder="1" applyAlignment="1">
      <alignment horizontal="center" vertical="center"/>
    </xf>
    <xf numFmtId="0" fontId="1" fillId="30" borderId="2" xfId="0" applyFont="1" applyFill="1" applyBorder="1" applyAlignment="1">
      <alignment horizontal="center" vertical="center" wrapText="1"/>
    </xf>
    <xf numFmtId="0" fontId="6" fillId="30" borderId="2" xfId="0" applyFont="1" applyFill="1" applyBorder="1" applyAlignment="1">
      <alignment horizontal="center" vertical="center" wrapText="1"/>
    </xf>
    <xf numFmtId="0" fontId="20" fillId="30" borderId="2" xfId="0" applyFont="1" applyFill="1" applyBorder="1" applyAlignment="1">
      <alignment horizontal="center" vertical="center"/>
    </xf>
    <xf numFmtId="0" fontId="20" fillId="30" borderId="2" xfId="0" applyFont="1" applyFill="1" applyBorder="1" applyAlignment="1">
      <alignment horizontal="center" vertical="center" wrapText="1"/>
    </xf>
    <xf numFmtId="49" fontId="20" fillId="30" borderId="2" xfId="0" applyNumberFormat="1" applyFont="1" applyFill="1" applyBorder="1" applyAlignment="1">
      <alignment horizontal="center" vertical="center" wrapText="1"/>
    </xf>
    <xf numFmtId="0" fontId="20" fillId="0" borderId="2" xfId="0" applyFont="1" applyBorder="1" applyAlignment="1">
      <alignment horizontal="center"/>
    </xf>
    <xf numFmtId="3" fontId="20" fillId="0" borderId="2" xfId="0" applyNumberFormat="1" applyFont="1" applyBorder="1" applyAlignment="1">
      <alignment horizontal="center"/>
    </xf>
    <xf numFmtId="1" fontId="20" fillId="0" borderId="2" xfId="0" applyNumberFormat="1" applyFont="1" applyBorder="1" applyAlignment="1">
      <alignment horizontal="center"/>
    </xf>
    <xf numFmtId="165" fontId="20" fillId="0" borderId="2" xfId="0" applyNumberFormat="1" applyFont="1" applyBorder="1" applyAlignment="1">
      <alignment horizontal="center"/>
    </xf>
    <xf numFmtId="2" fontId="20" fillId="0" borderId="2" xfId="0" applyNumberFormat="1" applyFont="1" applyBorder="1" applyAlignment="1">
      <alignment horizontal="center"/>
    </xf>
    <xf numFmtId="2" fontId="22" fillId="0" borderId="169" xfId="0" applyNumberFormat="1" applyFont="1" applyBorder="1" applyAlignment="1">
      <alignment horizontal="center" vertical="center"/>
    </xf>
    <xf numFmtId="2" fontId="22" fillId="0" borderId="170" xfId="0" applyNumberFormat="1" applyFont="1" applyBorder="1" applyAlignment="1">
      <alignment horizontal="center" vertical="center"/>
    </xf>
    <xf numFmtId="0" fontId="22" fillId="0" borderId="171" xfId="0" applyFont="1" applyBorder="1" applyAlignment="1">
      <alignment horizontal="center" vertical="center"/>
    </xf>
    <xf numFmtId="2" fontId="22" fillId="0" borderId="172" xfId="0" applyNumberFormat="1" applyFont="1" applyBorder="1" applyAlignment="1">
      <alignment horizontal="center" vertical="center"/>
    </xf>
    <xf numFmtId="0" fontId="22" fillId="0" borderId="173" xfId="0" applyFont="1" applyBorder="1" applyAlignment="1">
      <alignment horizontal="center" vertical="center"/>
    </xf>
    <xf numFmtId="2" fontId="22" fillId="0" borderId="174" xfId="0" applyNumberFormat="1" applyFont="1" applyBorder="1" applyAlignment="1">
      <alignment horizontal="center" vertical="center"/>
    </xf>
    <xf numFmtId="2" fontId="22" fillId="0" borderId="175" xfId="0" applyNumberFormat="1" applyFont="1" applyBorder="1" applyAlignment="1">
      <alignment horizontal="center" vertical="center"/>
    </xf>
    <xf numFmtId="0" fontId="22" fillId="0" borderId="15" xfId="0" applyFont="1" applyBorder="1" applyAlignment="1">
      <alignment horizontal="center" vertical="center"/>
    </xf>
    <xf numFmtId="2" fontId="22" fillId="0" borderId="12" xfId="0" applyNumberFormat="1" applyFont="1" applyBorder="1" applyAlignment="1">
      <alignment horizontal="center" vertical="center"/>
    </xf>
    <xf numFmtId="2" fontId="22" fillId="0" borderId="118" xfId="0" applyNumberFormat="1" applyFont="1" applyBorder="1" applyAlignment="1">
      <alignment horizontal="center" vertical="center"/>
    </xf>
    <xf numFmtId="0" fontId="46" fillId="0" borderId="60" xfId="0" applyFont="1" applyBorder="1" applyAlignment="1">
      <alignment horizontal="center" vertical="center"/>
    </xf>
    <xf numFmtId="2" fontId="46" fillId="0" borderId="1" xfId="0" applyNumberFormat="1" applyFont="1" applyBorder="1" applyAlignment="1">
      <alignment horizontal="center" vertical="center"/>
    </xf>
    <xf numFmtId="2" fontId="46" fillId="0" borderId="5" xfId="0" applyNumberFormat="1" applyFont="1" applyBorder="1" applyAlignment="1">
      <alignment horizontal="center" vertical="center"/>
    </xf>
    <xf numFmtId="0" fontId="46" fillId="0" borderId="11" xfId="0" applyFont="1" applyBorder="1" applyAlignment="1">
      <alignment horizontal="center" vertical="center"/>
    </xf>
    <xf numFmtId="2" fontId="46" fillId="0" borderId="7" xfId="0" applyNumberFormat="1" applyFont="1" applyBorder="1" applyAlignment="1">
      <alignment horizontal="center" vertical="center"/>
    </xf>
    <xf numFmtId="0" fontId="46" fillId="0" borderId="61" xfId="0" applyFont="1" applyBorder="1" applyAlignment="1">
      <alignment horizontal="center" vertical="center"/>
    </xf>
    <xf numFmtId="2" fontId="46" fillId="0" borderId="32" xfId="0" applyNumberFormat="1" applyFont="1" applyBorder="1" applyAlignment="1">
      <alignment horizontal="center" vertical="center"/>
    </xf>
    <xf numFmtId="2" fontId="46" fillId="0" borderId="9" xfId="0" applyNumberFormat="1" applyFont="1" applyBorder="1" applyAlignment="1">
      <alignment horizontal="center" vertical="center"/>
    </xf>
    <xf numFmtId="0" fontId="46" fillId="0" borderId="72" xfId="0" applyFont="1" applyBorder="1" applyAlignment="1">
      <alignment horizontal="center" vertical="center"/>
    </xf>
    <xf numFmtId="2" fontId="46" fillId="0" borderId="27" xfId="0" applyNumberFormat="1" applyFont="1" applyBorder="1" applyAlignment="1">
      <alignment horizontal="center" vertical="center"/>
    </xf>
    <xf numFmtId="2" fontId="46" fillId="0" borderId="31" xfId="0" applyNumberFormat="1" applyFont="1" applyBorder="1" applyAlignment="1">
      <alignment horizontal="center" vertical="center"/>
    </xf>
    <xf numFmtId="0" fontId="46" fillId="0" borderId="73" xfId="0" applyFont="1" applyBorder="1" applyAlignment="1">
      <alignment horizontal="center" vertical="center"/>
    </xf>
    <xf numFmtId="2" fontId="46" fillId="0" borderId="26" xfId="0" applyNumberFormat="1" applyFont="1" applyBorder="1" applyAlignment="1">
      <alignment horizontal="center" vertical="center"/>
    </xf>
    <xf numFmtId="2" fontId="46" fillId="0" borderId="28" xfId="0" applyNumberFormat="1" applyFont="1" applyBorder="1" applyAlignment="1">
      <alignment horizontal="center" vertical="center"/>
    </xf>
    <xf numFmtId="0" fontId="46" fillId="0" borderId="74" xfId="0" applyFont="1" applyBorder="1" applyAlignment="1">
      <alignment horizontal="center" vertical="center"/>
    </xf>
    <xf numFmtId="2" fontId="46" fillId="0" borderId="29" xfId="0" applyNumberFormat="1" applyFont="1" applyBorder="1" applyAlignment="1">
      <alignment horizontal="center" vertical="center"/>
    </xf>
    <xf numFmtId="2" fontId="46" fillId="0" borderId="30" xfId="0" applyNumberFormat="1" applyFont="1" applyBorder="1" applyAlignment="1">
      <alignment horizontal="center" vertical="center"/>
    </xf>
    <xf numFmtId="0" fontId="46" fillId="0" borderId="75" xfId="0" applyFont="1" applyBorder="1" applyAlignment="1">
      <alignment horizontal="center" vertical="center"/>
    </xf>
    <xf numFmtId="2" fontId="46" fillId="8" borderId="2" xfId="0" applyNumberFormat="1" applyFont="1" applyFill="1" applyBorder="1" applyAlignment="1">
      <alignment horizontal="center" vertical="center"/>
    </xf>
    <xf numFmtId="1" fontId="46" fillId="0" borderId="26" xfId="0" applyNumberFormat="1" applyFont="1" applyBorder="1" applyAlignment="1">
      <alignment horizontal="center" vertical="center"/>
    </xf>
    <xf numFmtId="0" fontId="46" fillId="0" borderId="108" xfId="0" applyFont="1" applyBorder="1" applyAlignment="1">
      <alignment horizontal="center" vertical="center"/>
    </xf>
    <xf numFmtId="2" fontId="46" fillId="0" borderId="12" xfId="0" applyNumberFormat="1" applyFont="1" applyBorder="1" applyAlignment="1">
      <alignment horizontal="center" vertical="center"/>
    </xf>
    <xf numFmtId="2" fontId="46" fillId="0" borderId="118" xfId="0" applyNumberFormat="1" applyFont="1" applyBorder="1" applyAlignment="1">
      <alignment horizontal="center" vertical="center"/>
    </xf>
    <xf numFmtId="0" fontId="46" fillId="0" borderId="177" xfId="0" applyFont="1" applyBorder="1" applyAlignment="1">
      <alignment horizontal="center" vertical="center"/>
    </xf>
    <xf numFmtId="1" fontId="46" fillId="0" borderId="178" xfId="0" applyNumberFormat="1" applyFont="1" applyBorder="1" applyAlignment="1">
      <alignment horizontal="center" vertical="center"/>
    </xf>
    <xf numFmtId="1" fontId="46" fillId="0" borderId="179" xfId="0" applyNumberFormat="1" applyFont="1" applyBorder="1" applyAlignment="1">
      <alignment horizontal="center" vertical="center"/>
    </xf>
    <xf numFmtId="0" fontId="46" fillId="0" borderId="180" xfId="0" applyFont="1" applyBorder="1" applyAlignment="1">
      <alignment horizontal="center" vertical="center"/>
    </xf>
    <xf numFmtId="1" fontId="46" fillId="0" borderId="181" xfId="0" applyNumberFormat="1" applyFont="1" applyBorder="1" applyAlignment="1">
      <alignment horizontal="center" vertical="center"/>
    </xf>
    <xf numFmtId="0" fontId="46" fillId="0" borderId="182" xfId="0" applyFont="1" applyBorder="1" applyAlignment="1">
      <alignment horizontal="center" vertical="center"/>
    </xf>
    <xf numFmtId="0" fontId="46" fillId="0" borderId="183" xfId="0" applyFont="1" applyBorder="1" applyAlignment="1">
      <alignment horizontal="center" vertical="center"/>
    </xf>
    <xf numFmtId="1" fontId="46" fillId="0" borderId="65" xfId="0" applyNumberFormat="1" applyFont="1" applyBorder="1" applyAlignment="1">
      <alignment horizontal="center" vertical="center"/>
    </xf>
    <xf numFmtId="1" fontId="46" fillId="0" borderId="184" xfId="0" applyNumberFormat="1" applyFont="1" applyBorder="1" applyAlignment="1">
      <alignment horizontal="center" vertical="center"/>
    </xf>
    <xf numFmtId="0" fontId="46" fillId="0" borderId="190" xfId="0" applyFont="1" applyBorder="1" applyAlignment="1">
      <alignment horizontal="center" vertical="center"/>
    </xf>
    <xf numFmtId="0" fontId="46" fillId="0" borderId="191" xfId="0" applyFont="1" applyBorder="1" applyAlignment="1">
      <alignment horizontal="center" vertical="center"/>
    </xf>
    <xf numFmtId="0" fontId="46" fillId="0" borderId="193" xfId="0" applyFont="1" applyBorder="1" applyAlignment="1">
      <alignment horizontal="center" vertical="center"/>
    </xf>
    <xf numFmtId="1" fontId="46" fillId="0" borderId="194" xfId="0" applyNumberFormat="1" applyFont="1" applyBorder="1" applyAlignment="1">
      <alignment horizontal="center" vertical="center"/>
    </xf>
    <xf numFmtId="1" fontId="46" fillId="0" borderId="195" xfId="0" applyNumberFormat="1" applyFont="1" applyBorder="1" applyAlignment="1">
      <alignment horizontal="center" vertical="center"/>
    </xf>
    <xf numFmtId="0" fontId="46" fillId="0" borderId="196" xfId="0" applyFont="1" applyBorder="1" applyAlignment="1">
      <alignment horizontal="center" vertical="center"/>
    </xf>
    <xf numFmtId="0" fontId="46" fillId="0" borderId="197" xfId="0" applyFont="1" applyBorder="1" applyAlignment="1">
      <alignment horizontal="center" vertical="center"/>
    </xf>
    <xf numFmtId="1" fontId="46" fillId="0" borderId="27" xfId="0" applyNumberFormat="1" applyFont="1" applyBorder="1" applyAlignment="1">
      <alignment horizontal="center" vertical="center"/>
    </xf>
    <xf numFmtId="1" fontId="46" fillId="0" borderId="198" xfId="0" applyNumberFormat="1" applyFont="1" applyBorder="1" applyAlignment="1">
      <alignment horizontal="center" vertical="center"/>
    </xf>
    <xf numFmtId="43" fontId="6" fillId="0" borderId="159" xfId="15" applyNumberFormat="1" applyFont="1" applyBorder="1"/>
    <xf numFmtId="43" fontId="6" fillId="0" borderId="159" xfId="15" applyNumberFormat="1" applyFont="1" applyBorder="1" applyAlignment="1">
      <alignment horizontal="left"/>
    </xf>
    <xf numFmtId="43" fontId="6" fillId="0" borderId="158" xfId="15" applyNumberFormat="1" applyFont="1" applyBorder="1"/>
    <xf numFmtId="43" fontId="6" fillId="0" borderId="159" xfId="0" applyNumberFormat="1" applyFont="1" applyBorder="1"/>
    <xf numFmtId="43" fontId="6" fillId="0" borderId="199" xfId="15" applyNumberFormat="1" applyFont="1" applyBorder="1"/>
    <xf numFmtId="43" fontId="6" fillId="0" borderId="199" xfId="0" applyNumberFormat="1" applyFont="1" applyBorder="1"/>
    <xf numFmtId="0" fontId="20" fillId="0" borderId="200" xfId="0" applyFont="1" applyBorder="1" applyAlignment="1">
      <alignment vertical="center"/>
    </xf>
    <xf numFmtId="0" fontId="20" fillId="0" borderId="185" xfId="0" applyFont="1" applyBorder="1" applyAlignment="1">
      <alignment horizontal="center"/>
    </xf>
    <xf numFmtId="165" fontId="20" fillId="0" borderId="185" xfId="0" applyNumberFormat="1" applyFont="1" applyBorder="1" applyAlignment="1">
      <alignment horizontal="center"/>
    </xf>
    <xf numFmtId="3" fontId="20" fillId="0" borderId="185" xfId="0" applyNumberFormat="1" applyFont="1" applyBorder="1" applyAlignment="1">
      <alignment horizontal="center"/>
    </xf>
    <xf numFmtId="1" fontId="20" fillId="0" borderId="185" xfId="0" applyNumberFormat="1" applyFont="1" applyBorder="1" applyAlignment="1">
      <alignment horizontal="center"/>
    </xf>
    <xf numFmtId="2" fontId="20" fillId="0" borderId="185" xfId="0" applyNumberFormat="1" applyFont="1" applyBorder="1" applyAlignment="1">
      <alignment horizontal="center"/>
    </xf>
    <xf numFmtId="0" fontId="20" fillId="0" borderId="202" xfId="0" applyFont="1" applyBorder="1" applyAlignment="1">
      <alignment vertical="center"/>
    </xf>
    <xf numFmtId="0" fontId="20" fillId="0" borderId="202" xfId="0" applyFont="1" applyBorder="1"/>
    <xf numFmtId="0" fontId="20" fillId="0" borderId="204" xfId="0" applyFont="1" applyBorder="1"/>
    <xf numFmtId="0" fontId="20" fillId="0" borderId="188" xfId="0" applyFont="1" applyBorder="1" applyAlignment="1">
      <alignment horizontal="center"/>
    </xf>
    <xf numFmtId="165" fontId="20" fillId="0" borderId="188" xfId="0" applyNumberFormat="1" applyFont="1" applyBorder="1" applyAlignment="1">
      <alignment horizontal="center"/>
    </xf>
    <xf numFmtId="3" fontId="20" fillId="0" borderId="188" xfId="0" applyNumberFormat="1" applyFont="1" applyBorder="1" applyAlignment="1">
      <alignment horizontal="center"/>
    </xf>
    <xf numFmtId="1" fontId="20" fillId="0" borderId="188" xfId="0" applyNumberFormat="1" applyFont="1" applyBorder="1" applyAlignment="1">
      <alignment horizontal="center"/>
    </xf>
    <xf numFmtId="2" fontId="20" fillId="0" borderId="188" xfId="0" applyNumberFormat="1" applyFont="1" applyBorder="1" applyAlignment="1">
      <alignment horizontal="center"/>
    </xf>
    <xf numFmtId="0" fontId="20" fillId="0" borderId="206" xfId="0" applyFont="1" applyBorder="1"/>
    <xf numFmtId="0" fontId="20" fillId="0" borderId="12" xfId="0" applyFont="1" applyBorder="1" applyAlignment="1">
      <alignment horizontal="center"/>
    </xf>
    <xf numFmtId="165" fontId="20" fillId="0" borderId="12" xfId="0" applyNumberFormat="1" applyFont="1" applyBorder="1" applyAlignment="1">
      <alignment horizontal="center"/>
    </xf>
    <xf numFmtId="3" fontId="20" fillId="0" borderId="12" xfId="0" applyNumberFormat="1" applyFont="1" applyBorder="1" applyAlignment="1">
      <alignment horizontal="center"/>
    </xf>
    <xf numFmtId="1" fontId="20" fillId="0" borderId="12" xfId="0" applyNumberFormat="1" applyFont="1" applyBorder="1" applyAlignment="1">
      <alignment horizontal="center"/>
    </xf>
    <xf numFmtId="2" fontId="20" fillId="0" borderId="12" xfId="0" applyNumberFormat="1" applyFont="1" applyBorder="1" applyAlignment="1">
      <alignment horizontal="center"/>
    </xf>
    <xf numFmtId="0" fontId="47" fillId="18" borderId="39" xfId="15" applyFont="1" applyFill="1" applyBorder="1" applyAlignment="1">
      <alignment horizontal="left" vertical="center" wrapText="1"/>
    </xf>
    <xf numFmtId="0" fontId="20" fillId="0" borderId="17" xfId="0" applyFont="1" applyBorder="1" applyAlignment="1">
      <alignment horizontal="center"/>
    </xf>
    <xf numFmtId="165" fontId="20" fillId="0" borderId="17" xfId="0" applyNumberFormat="1" applyFont="1" applyBorder="1" applyAlignment="1">
      <alignment horizontal="center"/>
    </xf>
    <xf numFmtId="3" fontId="20" fillId="0" borderId="17" xfId="0" applyNumberFormat="1" applyFont="1" applyBorder="1" applyAlignment="1">
      <alignment horizontal="center"/>
    </xf>
    <xf numFmtId="1" fontId="20" fillId="0" borderId="17" xfId="0" applyNumberFormat="1" applyFont="1" applyBorder="1" applyAlignment="1">
      <alignment horizontal="center"/>
    </xf>
    <xf numFmtId="2" fontId="20" fillId="0" borderId="17" xfId="0" applyNumberFormat="1" applyFont="1" applyBorder="1" applyAlignment="1">
      <alignment horizontal="center"/>
    </xf>
    <xf numFmtId="0" fontId="20" fillId="0" borderId="206" xfId="0" applyFont="1" applyBorder="1" applyAlignment="1">
      <alignment vertical="center"/>
    </xf>
    <xf numFmtId="0" fontId="20" fillId="0" borderId="209" xfId="0" applyFont="1" applyBorder="1" applyAlignment="1">
      <alignment vertical="center"/>
    </xf>
    <xf numFmtId="1" fontId="20" fillId="0" borderId="26" xfId="0" applyNumberFormat="1" applyFont="1" applyBorder="1" applyAlignment="1">
      <alignment horizontal="center" vertical="center"/>
    </xf>
    <xf numFmtId="3" fontId="20" fillId="0" borderId="26" xfId="0" applyNumberFormat="1" applyFont="1" applyBorder="1" applyAlignment="1">
      <alignment horizontal="left" vertical="center"/>
    </xf>
    <xf numFmtId="0" fontId="20" fillId="0" borderId="126" xfId="0" applyFont="1" applyBorder="1" applyAlignment="1">
      <alignment horizontal="center" vertical="center"/>
    </xf>
    <xf numFmtId="0" fontId="1" fillId="0" borderId="0" xfId="0" applyFont="1" applyAlignment="1">
      <alignment horizontal="center"/>
    </xf>
    <xf numFmtId="0" fontId="1" fillId="0" borderId="0" xfId="0" applyFont="1" applyAlignment="1">
      <alignment horizontal="center" vertical="center" wrapText="1"/>
    </xf>
    <xf numFmtId="0" fontId="20" fillId="0" borderId="65" xfId="0" applyFont="1" applyBorder="1" applyAlignment="1">
      <alignment horizontal="center" vertical="center" wrapText="1"/>
    </xf>
    <xf numFmtId="168" fontId="23" fillId="0" borderId="2" xfId="6" applyNumberFormat="1" applyFont="1" applyBorder="1" applyAlignment="1">
      <alignment horizontal="left" vertical="center"/>
    </xf>
    <xf numFmtId="2" fontId="46" fillId="8" borderId="32" xfId="0" applyNumberFormat="1" applyFont="1" applyFill="1" applyBorder="1" applyAlignment="1">
      <alignment horizontal="center" vertical="center"/>
    </xf>
    <xf numFmtId="0" fontId="46" fillId="0" borderId="109" xfId="0" applyFont="1" applyBorder="1" applyAlignment="1">
      <alignment horizontal="center" vertical="center"/>
    </xf>
    <xf numFmtId="0" fontId="46" fillId="0" borderId="20" xfId="0" applyFont="1" applyBorder="1" applyAlignment="1">
      <alignment horizontal="center" vertical="center"/>
    </xf>
    <xf numFmtId="0" fontId="46" fillId="0" borderId="168" xfId="0" applyFont="1" applyBorder="1" applyAlignment="1">
      <alignment horizontal="center" vertical="center"/>
    </xf>
    <xf numFmtId="1" fontId="46" fillId="0" borderId="17" xfId="0" applyNumberFormat="1" applyFont="1" applyBorder="1" applyAlignment="1">
      <alignment horizontal="center" vertical="center"/>
    </xf>
    <xf numFmtId="0" fontId="46" fillId="0" borderId="214" xfId="0" applyFont="1" applyBorder="1" applyAlignment="1">
      <alignment horizontal="center" vertical="center"/>
    </xf>
    <xf numFmtId="165" fontId="46" fillId="0" borderId="160" xfId="0" applyNumberFormat="1" applyFont="1" applyBorder="1" applyAlignment="1">
      <alignment horizontal="center" vertical="center"/>
    </xf>
    <xf numFmtId="165" fontId="46" fillId="0" borderId="215" xfId="0" applyNumberFormat="1" applyFont="1" applyBorder="1" applyAlignment="1">
      <alignment horizontal="center" vertical="center"/>
    </xf>
    <xf numFmtId="1" fontId="46" fillId="8" borderId="12" xfId="0" applyNumberFormat="1" applyFont="1" applyFill="1" applyBorder="1" applyAlignment="1">
      <alignment horizontal="center" vertical="center"/>
    </xf>
    <xf numFmtId="2" fontId="46" fillId="8" borderId="7" xfId="0" applyNumberFormat="1" applyFont="1" applyFill="1" applyBorder="1" applyAlignment="1">
      <alignment horizontal="center" vertical="center"/>
    </xf>
    <xf numFmtId="2" fontId="46" fillId="8" borderId="9" xfId="0" applyNumberFormat="1" applyFont="1" applyFill="1" applyBorder="1" applyAlignment="1">
      <alignment horizontal="center" vertical="center"/>
    </xf>
    <xf numFmtId="2" fontId="46" fillId="0" borderId="17" xfId="0" applyNumberFormat="1" applyFont="1" applyBorder="1" applyAlignment="1">
      <alignment horizontal="center" vertical="center"/>
    </xf>
    <xf numFmtId="2" fontId="46" fillId="0" borderId="192" xfId="0" applyNumberFormat="1" applyFont="1" applyBorder="1" applyAlignment="1">
      <alignment horizontal="center" vertical="center"/>
    </xf>
    <xf numFmtId="2" fontId="46" fillId="0" borderId="187" xfId="0" applyNumberFormat="1" applyFont="1" applyBorder="1" applyAlignment="1">
      <alignment horizontal="center" vertical="center"/>
    </xf>
    <xf numFmtId="2" fontId="46" fillId="0" borderId="188" xfId="0" applyNumberFormat="1" applyFont="1" applyBorder="1" applyAlignment="1">
      <alignment horizontal="center" vertical="center"/>
    </xf>
    <xf numFmtId="2" fontId="46" fillId="0" borderId="189" xfId="0" applyNumberFormat="1" applyFont="1" applyBorder="1" applyAlignment="1">
      <alignment horizontal="center" vertical="center"/>
    </xf>
    <xf numFmtId="2" fontId="46" fillId="0" borderId="185" xfId="0" applyNumberFormat="1" applyFont="1" applyBorder="1" applyAlignment="1">
      <alignment horizontal="center" vertical="center"/>
    </xf>
    <xf numFmtId="2" fontId="46" fillId="0" borderId="186" xfId="0" applyNumberFormat="1" applyFont="1" applyBorder="1" applyAlignment="1">
      <alignment horizontal="center" vertical="center"/>
    </xf>
    <xf numFmtId="0" fontId="24" fillId="0" borderId="0" xfId="0" applyFont="1" applyAlignment="1">
      <alignment vertical="center"/>
    </xf>
    <xf numFmtId="0" fontId="6" fillId="0" borderId="0" xfId="4" applyAlignment="1">
      <alignment vertical="center"/>
    </xf>
    <xf numFmtId="9" fontId="6" fillId="0" borderId="0" xfId="2" applyFont="1" applyFill="1" applyBorder="1" applyAlignment="1">
      <alignment vertical="center"/>
    </xf>
    <xf numFmtId="9" fontId="6" fillId="0" borderId="0" xfId="0" applyNumberFormat="1" applyFont="1"/>
    <xf numFmtId="9" fontId="6" fillId="0" borderId="0" xfId="2" applyFont="1" applyFill="1" applyBorder="1" applyAlignment="1"/>
    <xf numFmtId="9" fontId="0" fillId="0" borderId="0" xfId="0" applyNumberFormat="1"/>
    <xf numFmtId="9" fontId="23" fillId="0" borderId="44" xfId="0" applyNumberFormat="1" applyFont="1" applyBorder="1" applyAlignment="1">
      <alignment horizontal="center" vertical="center"/>
    </xf>
    <xf numFmtId="10" fontId="23" fillId="0" borderId="44" xfId="0" applyNumberFormat="1" applyFont="1" applyBorder="1" applyAlignment="1">
      <alignment horizontal="center" vertical="center"/>
    </xf>
    <xf numFmtId="9" fontId="6" fillId="0" borderId="26" xfId="0" applyNumberFormat="1" applyFont="1" applyBorder="1" applyAlignment="1">
      <alignment horizontal="left"/>
    </xf>
    <xf numFmtId="9" fontId="6" fillId="0" borderId="216" xfId="2" applyFont="1" applyFill="1" applyBorder="1" applyAlignment="1">
      <alignment horizontal="center" vertical="center"/>
    </xf>
    <xf numFmtId="9" fontId="6" fillId="0" borderId="165" xfId="2" applyFont="1" applyFill="1" applyBorder="1" applyAlignment="1">
      <alignment horizontal="center" vertical="center"/>
    </xf>
    <xf numFmtId="9" fontId="6" fillId="0" borderId="165" xfId="0" applyNumberFormat="1" applyFont="1" applyBorder="1" applyAlignment="1">
      <alignment horizontal="center"/>
    </xf>
    <xf numFmtId="0" fontId="23" fillId="0" borderId="153" xfId="0" applyFont="1" applyBorder="1" applyAlignment="1">
      <alignment horizontal="center" vertical="center"/>
    </xf>
    <xf numFmtId="0" fontId="20" fillId="0" borderId="2" xfId="0" applyFont="1" applyBorder="1"/>
    <xf numFmtId="167" fontId="20" fillId="0" borderId="68" xfId="0" applyNumberFormat="1" applyFont="1" applyBorder="1" applyAlignment="1">
      <alignment horizontal="left" vertical="center" wrapText="1"/>
    </xf>
    <xf numFmtId="0" fontId="20" fillId="0" borderId="219" xfId="0" applyFont="1" applyBorder="1"/>
    <xf numFmtId="0" fontId="20" fillId="0" borderId="126" xfId="0" applyFont="1" applyBorder="1" applyAlignment="1">
      <alignment wrapText="1"/>
    </xf>
    <xf numFmtId="0" fontId="20" fillId="0" borderId="26" xfId="0" applyFont="1" applyBorder="1" applyAlignment="1">
      <alignment wrapText="1"/>
    </xf>
    <xf numFmtId="167" fontId="20" fillId="0" borderId="2" xfId="0" applyNumberFormat="1" applyFont="1" applyBorder="1" applyAlignment="1">
      <alignment horizontal="center" vertical="center"/>
    </xf>
    <xf numFmtId="167" fontId="20" fillId="0" borderId="68" xfId="0" applyNumberFormat="1" applyFont="1" applyBorder="1" applyAlignment="1">
      <alignment horizontal="center" vertical="center" wrapText="1"/>
    </xf>
    <xf numFmtId="0" fontId="20" fillId="0" borderId="124" xfId="0" applyFont="1" applyBorder="1" applyAlignment="1">
      <alignment wrapText="1"/>
    </xf>
    <xf numFmtId="0" fontId="51" fillId="0" borderId="124" xfId="0" applyFont="1" applyBorder="1"/>
    <xf numFmtId="0" fontId="23" fillId="0" borderId="0" xfId="0" applyFont="1"/>
    <xf numFmtId="0" fontId="1" fillId="0" borderId="2" xfId="3" applyFont="1" applyFill="1" applyBorder="1" applyAlignment="1">
      <alignment horizontal="center" vertical="center" wrapText="1"/>
    </xf>
    <xf numFmtId="0" fontId="6" fillId="0" borderId="0" xfId="0" applyFont="1" applyAlignment="1">
      <alignment horizontal="center"/>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20" fillId="0" borderId="2" xfId="0" applyFont="1" applyBorder="1" applyAlignment="1">
      <alignment horizontal="center" vertical="center" wrapText="1"/>
    </xf>
    <xf numFmtId="0" fontId="20" fillId="0" borderId="2" xfId="0" applyFont="1" applyBorder="1" applyAlignment="1">
      <alignment horizontal="center" vertical="center"/>
    </xf>
    <xf numFmtId="0" fontId="20" fillId="0" borderId="12" xfId="0" applyFont="1" applyBorder="1" applyAlignment="1">
      <alignment horizontal="center" vertical="center" wrapText="1"/>
    </xf>
    <xf numFmtId="0" fontId="20" fillId="0" borderId="0" xfId="0" applyFont="1" applyAlignment="1">
      <alignment horizontal="left" vertical="top" wrapText="1"/>
    </xf>
    <xf numFmtId="0" fontId="47" fillId="6" borderId="2" xfId="0" applyFont="1" applyFill="1" applyBorder="1" applyAlignment="1">
      <alignment horizontal="center" vertical="center" wrapText="1"/>
    </xf>
    <xf numFmtId="0" fontId="20" fillId="0" borderId="0" xfId="0" applyFont="1" applyAlignment="1">
      <alignment wrapText="1"/>
    </xf>
    <xf numFmtId="0" fontId="6" fillId="0" borderId="0" xfId="0" applyFont="1" applyAlignment="1">
      <alignment horizontal="left" vertical="center"/>
    </xf>
    <xf numFmtId="0" fontId="23" fillId="0" borderId="0" xfId="0" applyFont="1" applyAlignment="1">
      <alignment horizontal="left" vertical="center"/>
    </xf>
    <xf numFmtId="0" fontId="20" fillId="0" borderId="0" xfId="0" applyFont="1" applyAlignment="1">
      <alignment vertical="top" wrapText="1"/>
    </xf>
    <xf numFmtId="0" fontId="23" fillId="0" borderId="26" xfId="0" applyFont="1" applyBorder="1" applyAlignment="1">
      <alignment horizontal="center" vertical="center" wrapText="1"/>
    </xf>
    <xf numFmtId="0" fontId="20" fillId="0" borderId="26" xfId="0" applyFont="1" applyBorder="1" applyAlignment="1">
      <alignment horizontal="center" vertical="center" wrapText="1"/>
    </xf>
    <xf numFmtId="0" fontId="23" fillId="0" borderId="2" xfId="0" applyFont="1" applyBorder="1" applyAlignment="1">
      <alignment horizontal="center" vertical="center"/>
    </xf>
    <xf numFmtId="0" fontId="47" fillId="18" borderId="12" xfId="15"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42" fillId="0" borderId="26" xfId="0" applyFont="1" applyBorder="1" applyAlignment="1">
      <alignment horizontal="center" vertical="center" wrapText="1"/>
    </xf>
    <xf numFmtId="0" fontId="7" fillId="6" borderId="12" xfId="0" applyFont="1" applyFill="1" applyBorder="1" applyAlignment="1">
      <alignment horizontal="center" vertical="center"/>
    </xf>
    <xf numFmtId="0" fontId="18" fillId="6" borderId="2" xfId="0" applyFont="1" applyFill="1" applyBorder="1" applyAlignment="1">
      <alignment horizontal="center" vertical="center" wrapText="1"/>
    </xf>
    <xf numFmtId="0" fontId="6" fillId="0" borderId="0" xfId="0" applyFont="1" applyAlignment="1">
      <alignment horizontal="center" vertical="center"/>
    </xf>
    <xf numFmtId="0" fontId="24" fillId="6" borderId="12" xfId="0" applyFont="1" applyFill="1" applyBorder="1" applyAlignment="1">
      <alignment horizontal="center" vertical="center"/>
    </xf>
    <xf numFmtId="0" fontId="24" fillId="10" borderId="12" xfId="0" applyFont="1" applyFill="1" applyBorder="1" applyAlignment="1">
      <alignment horizontal="center" vertical="center"/>
    </xf>
    <xf numFmtId="3" fontId="20" fillId="0" borderId="2" xfId="0" applyNumberFormat="1" applyFont="1" applyBorder="1" applyAlignment="1">
      <alignment horizontal="center" vertical="center"/>
    </xf>
    <xf numFmtId="0" fontId="28" fillId="9" borderId="2" xfId="0" applyFont="1" applyFill="1" applyBorder="1" applyAlignment="1">
      <alignment horizontal="center" vertical="center"/>
    </xf>
    <xf numFmtId="0" fontId="24" fillId="6" borderId="2" xfId="0" applyFont="1" applyFill="1" applyBorder="1" applyAlignment="1">
      <alignment horizontal="center" vertical="center" wrapText="1"/>
    </xf>
    <xf numFmtId="0" fontId="6" fillId="0" borderId="0" xfId="0" applyFont="1" applyAlignment="1">
      <alignment horizontal="left" vertical="center"/>
    </xf>
    <xf numFmtId="0" fontId="28" fillId="9" borderId="0" xfId="0" applyFont="1" applyFill="1" applyAlignment="1">
      <alignment horizontal="center" vertical="center"/>
    </xf>
    <xf numFmtId="0" fontId="6"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left" vertical="center" wrapText="1"/>
    </xf>
    <xf numFmtId="0" fontId="20" fillId="0" borderId="0" xfId="0" applyFont="1" applyAlignment="1">
      <alignment vertical="top" wrapText="1"/>
    </xf>
    <xf numFmtId="0" fontId="20" fillId="0" borderId="0" xfId="0" applyFont="1" applyAlignment="1">
      <alignment horizontal="left" vertical="top" wrapText="1"/>
    </xf>
    <xf numFmtId="0" fontId="17" fillId="0" borderId="0" xfId="0" applyFont="1" applyAlignment="1">
      <alignment horizontal="left" vertical="center"/>
    </xf>
    <xf numFmtId="0" fontId="28" fillId="9" borderId="2" xfId="1" applyFont="1" applyFill="1" applyBorder="1" applyAlignment="1">
      <alignment horizontal="center" vertical="center" wrapText="1"/>
    </xf>
    <xf numFmtId="0" fontId="38" fillId="9" borderId="34" xfId="0" applyFont="1" applyFill="1" applyBorder="1" applyAlignment="1">
      <alignment horizontal="center" vertical="center" wrapText="1"/>
    </xf>
    <xf numFmtId="0" fontId="38" fillId="9" borderId="35" xfId="0" applyFont="1" applyFill="1" applyBorder="1" applyAlignment="1">
      <alignment horizontal="center" vertical="center" wrapText="1"/>
    </xf>
    <xf numFmtId="0" fontId="38" fillId="9" borderId="36" xfId="0" applyFont="1" applyFill="1" applyBorder="1" applyAlignment="1">
      <alignment horizontal="center" vertical="center" wrapText="1"/>
    </xf>
    <xf numFmtId="0" fontId="51" fillId="0" borderId="125" xfId="0" applyFont="1" applyBorder="1" applyAlignment="1">
      <alignment horizontal="left" vertical="center" wrapText="1"/>
    </xf>
    <xf numFmtId="0" fontId="0" fillId="0" borderId="124" xfId="0" applyBorder="1" applyAlignment="1">
      <alignment horizontal="left" vertical="center" wrapText="1"/>
    </xf>
    <xf numFmtId="0" fontId="50" fillId="0" borderId="126" xfId="0" applyFont="1" applyBorder="1" applyAlignment="1">
      <alignment horizontal="center"/>
    </xf>
    <xf numFmtId="0" fontId="0" fillId="0" borderId="127" xfId="0" applyBorder="1" applyAlignment="1">
      <alignment horizontal="center"/>
    </xf>
    <xf numFmtId="0" fontId="49" fillId="0" borderId="125" xfId="0" applyFont="1" applyBorder="1" applyAlignment="1">
      <alignment horizontal="center" vertical="center"/>
    </xf>
    <xf numFmtId="0" fontId="0" fillId="0" borderId="124" xfId="0" applyBorder="1" applyAlignment="1">
      <alignment horizontal="center" vertical="center"/>
    </xf>
    <xf numFmtId="0" fontId="0" fillId="0" borderId="108" xfId="0" applyBorder="1" applyAlignment="1">
      <alignment horizontal="center" vertical="center"/>
    </xf>
    <xf numFmtId="0" fontId="50" fillId="23" borderId="125" xfId="0" applyFont="1" applyFill="1" applyBorder="1" applyAlignment="1">
      <alignment horizontal="center" vertical="center"/>
    </xf>
    <xf numFmtId="0" fontId="50" fillId="23" borderId="124" xfId="0" applyFont="1" applyFill="1" applyBorder="1" applyAlignment="1">
      <alignment horizontal="center" vertical="center"/>
    </xf>
    <xf numFmtId="0" fontId="20" fillId="0" borderId="217" xfId="0" applyFont="1" applyBorder="1" applyAlignment="1">
      <alignment horizontal="center" vertical="center"/>
    </xf>
    <xf numFmtId="0" fontId="20" fillId="0" borderId="220" xfId="0" applyFont="1" applyBorder="1" applyAlignment="1">
      <alignment horizontal="center" vertical="center"/>
    </xf>
    <xf numFmtId="0" fontId="20" fillId="0" borderId="222" xfId="0" applyFont="1" applyBorder="1" applyAlignment="1">
      <alignment horizontal="center" vertical="center"/>
    </xf>
    <xf numFmtId="0" fontId="20" fillId="0" borderId="218" xfId="0" applyFont="1" applyBorder="1" applyAlignment="1">
      <alignment horizontal="center" vertical="center"/>
    </xf>
    <xf numFmtId="0" fontId="20" fillId="0" borderId="221" xfId="0" applyFont="1" applyBorder="1" applyAlignment="1">
      <alignment horizontal="center" vertical="center"/>
    </xf>
    <xf numFmtId="0" fontId="20" fillId="0" borderId="223" xfId="0" applyFont="1" applyBorder="1" applyAlignment="1">
      <alignment horizontal="center" vertical="center"/>
    </xf>
    <xf numFmtId="10" fontId="20" fillId="0" borderId="224" xfId="0" applyNumberFormat="1" applyFont="1" applyBorder="1" applyAlignment="1">
      <alignment horizontal="left"/>
    </xf>
    <xf numFmtId="0" fontId="20" fillId="0" borderId="225" xfId="0" applyFont="1" applyBorder="1" applyAlignment="1">
      <alignment horizontal="left"/>
    </xf>
    <xf numFmtId="0" fontId="20" fillId="0" borderId="217" xfId="0" applyFont="1" applyBorder="1" applyAlignment="1">
      <alignment horizontal="center" vertical="center" wrapText="1"/>
    </xf>
    <xf numFmtId="0" fontId="20" fillId="0" borderId="220" xfId="0" applyFont="1" applyBorder="1" applyAlignment="1">
      <alignment horizontal="center" vertical="center" wrapText="1"/>
    </xf>
    <xf numFmtId="0" fontId="20" fillId="0" borderId="222" xfId="0" applyFont="1" applyBorder="1" applyAlignment="1">
      <alignment horizontal="center" vertical="center" wrapText="1"/>
    </xf>
    <xf numFmtId="0" fontId="6" fillId="0" borderId="0" xfId="0" applyFont="1" applyAlignment="1">
      <alignment horizontal="center"/>
    </xf>
    <xf numFmtId="0" fontId="28" fillId="9"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6" fillId="0" borderId="2" xfId="0" applyFont="1" applyBorder="1" applyAlignment="1">
      <alignment horizontal="center" vertical="center"/>
    </xf>
    <xf numFmtId="0" fontId="20"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20" fillId="0" borderId="2" xfId="0" applyFont="1" applyBorder="1" applyAlignment="1">
      <alignment horizontal="center" vertical="center"/>
    </xf>
    <xf numFmtId="171" fontId="20" fillId="0" borderId="2" xfId="0" applyNumberFormat="1" applyFont="1" applyBorder="1" applyAlignment="1">
      <alignment horizontal="center" vertical="center" wrapText="1"/>
    </xf>
    <xf numFmtId="171" fontId="20" fillId="0" borderId="3" xfId="0" applyNumberFormat="1" applyFont="1" applyBorder="1" applyAlignment="1">
      <alignment horizontal="center" vertical="center" wrapText="1"/>
    </xf>
    <xf numFmtId="171" fontId="20" fillId="0" borderId="10" xfId="0" applyNumberFormat="1" applyFont="1" applyBorder="1" applyAlignment="1">
      <alignment horizontal="center" vertical="center" wrapText="1"/>
    </xf>
    <xf numFmtId="171" fontId="20" fillId="0" borderId="11" xfId="0" applyNumberFormat="1" applyFont="1" applyBorder="1" applyAlignment="1">
      <alignment horizontal="center" vertical="center" wrapText="1"/>
    </xf>
    <xf numFmtId="0" fontId="6" fillId="0" borderId="11" xfId="0" applyFont="1" applyBorder="1" applyAlignment="1">
      <alignment horizontal="left" vertical="center"/>
    </xf>
    <xf numFmtId="0" fontId="20" fillId="0" borderId="12"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47" fillId="6" borderId="2" xfId="0" applyFont="1" applyFill="1" applyBorder="1" applyAlignment="1">
      <alignment horizontal="center" vertical="center" wrapText="1"/>
    </xf>
    <xf numFmtId="0" fontId="20" fillId="0" borderId="0" xfId="0" applyFont="1" applyAlignment="1">
      <alignment wrapText="1"/>
    </xf>
    <xf numFmtId="0" fontId="20" fillId="0" borderId="138" xfId="0" applyFont="1" applyBorder="1" applyAlignment="1">
      <alignment horizontal="center" vertical="center"/>
    </xf>
    <xf numFmtId="0" fontId="53" fillId="0" borderId="138" xfId="0" applyFont="1" applyBorder="1" applyAlignment="1">
      <alignment horizontal="center" vertical="center"/>
    </xf>
    <xf numFmtId="0" fontId="6" fillId="0" borderId="63" xfId="0" applyFont="1" applyBorder="1" applyAlignment="1">
      <alignment horizontal="center" vertical="center" wrapText="1"/>
    </xf>
    <xf numFmtId="0" fontId="6" fillId="0" borderId="103" xfId="0" applyFont="1" applyBorder="1" applyAlignment="1">
      <alignment horizontal="center" vertical="center" wrapText="1"/>
    </xf>
    <xf numFmtId="0" fontId="6" fillId="0" borderId="105" xfId="0" applyFont="1" applyBorder="1" applyAlignment="1">
      <alignment horizontal="center" vertical="center" wrapText="1"/>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45" fillId="9" borderId="162" xfId="0" applyFont="1" applyFill="1" applyBorder="1" applyAlignment="1">
      <alignment horizontal="center" vertical="center" wrapText="1"/>
    </xf>
    <xf numFmtId="0" fontId="45" fillId="9" borderId="19" xfId="0" applyFont="1" applyFill="1" applyBorder="1" applyAlignment="1">
      <alignment horizontal="center" vertical="center" wrapText="1"/>
    </xf>
    <xf numFmtId="0" fontId="23" fillId="0" borderId="26" xfId="0" applyFont="1" applyBorder="1" applyAlignment="1">
      <alignment horizontal="center" vertical="center"/>
    </xf>
    <xf numFmtId="0" fontId="57" fillId="0" borderId="26" xfId="0" applyFont="1" applyBorder="1" applyAlignment="1">
      <alignment horizontal="center" vertical="center"/>
    </xf>
    <xf numFmtId="0" fontId="23" fillId="0" borderId="26" xfId="0" applyFont="1" applyBorder="1" applyAlignment="1">
      <alignment horizontal="center" vertical="center" wrapText="1"/>
    </xf>
    <xf numFmtId="0" fontId="20" fillId="0" borderId="26" xfId="0" applyFont="1" applyBorder="1" applyAlignment="1">
      <alignment horizontal="center" vertical="center" wrapText="1"/>
    </xf>
    <xf numFmtId="0" fontId="20" fillId="28" borderId="26" xfId="0"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3" xfId="0" applyFont="1" applyBorder="1" applyAlignment="1">
      <alignment horizontal="center" vertical="center" wrapText="1"/>
    </xf>
    <xf numFmtId="0" fontId="23" fillId="0" borderId="51" xfId="0" applyFont="1" applyBorder="1" applyAlignment="1">
      <alignment horizontal="center" vertical="center" wrapText="1"/>
    </xf>
    <xf numFmtId="0" fontId="23" fillId="0" borderId="52" xfId="0" applyFont="1" applyBorder="1" applyAlignment="1">
      <alignment horizontal="center" vertical="center" wrapText="1"/>
    </xf>
    <xf numFmtId="0" fontId="23" fillId="0" borderId="53" xfId="0" applyFont="1" applyBorder="1" applyAlignment="1">
      <alignment horizontal="center" vertical="center" wrapText="1"/>
    </xf>
    <xf numFmtId="0" fontId="45" fillId="9" borderId="21" xfId="0" applyFont="1" applyFill="1" applyBorder="1" applyAlignment="1">
      <alignment horizontal="center" vertical="center" wrapText="1"/>
    </xf>
    <xf numFmtId="0" fontId="45" fillId="9" borderId="0" xfId="0" applyFont="1" applyFill="1" applyAlignment="1">
      <alignment horizontal="center" vertical="center" wrapText="1"/>
    </xf>
    <xf numFmtId="0" fontId="6" fillId="0" borderId="25" xfId="0" applyFont="1" applyBorder="1" applyAlignment="1">
      <alignment horizontal="center" vertical="center" wrapText="1"/>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62" xfId="0" applyFont="1" applyBorder="1" applyAlignment="1">
      <alignment horizontal="center" vertical="center" wrapText="1"/>
    </xf>
    <xf numFmtId="0" fontId="6" fillId="0" borderId="40" xfId="0" applyFont="1" applyBorder="1" applyAlignment="1">
      <alignment horizontal="center" vertical="center"/>
    </xf>
    <xf numFmtId="0" fontId="6" fillId="0" borderId="42" xfId="0" applyFont="1" applyBorder="1" applyAlignment="1">
      <alignment horizontal="center" vertical="center"/>
    </xf>
    <xf numFmtId="0" fontId="6" fillId="0" borderId="38" xfId="0" applyFont="1" applyBorder="1" applyAlignment="1">
      <alignment horizontal="center" vertical="center"/>
    </xf>
    <xf numFmtId="0" fontId="6" fillId="0" borderId="33" xfId="0" applyFont="1" applyBorder="1" applyAlignment="1">
      <alignment horizontal="center" vertical="center"/>
    </xf>
    <xf numFmtId="0" fontId="28" fillId="25" borderId="2" xfId="0" applyFont="1" applyFill="1" applyBorder="1" applyAlignment="1">
      <alignment horizontal="center" vertical="center"/>
    </xf>
    <xf numFmtId="0" fontId="28" fillId="25" borderId="0" xfId="0" applyFont="1" applyFill="1" applyAlignment="1">
      <alignment horizontal="center" vertical="center"/>
    </xf>
    <xf numFmtId="0" fontId="23" fillId="0" borderId="0" xfId="0" applyFont="1"/>
    <xf numFmtId="0" fontId="23" fillId="0" borderId="2" xfId="0" applyFont="1" applyBorder="1" applyAlignment="1">
      <alignment horizontal="center" vertical="center"/>
    </xf>
    <xf numFmtId="0" fontId="28" fillId="12" borderId="21" xfId="0" applyFont="1" applyFill="1" applyBorder="1" applyAlignment="1">
      <alignment horizontal="center" vertical="center"/>
    </xf>
    <xf numFmtId="0" fontId="28" fillId="12" borderId="0" xfId="0" applyFont="1" applyFill="1" applyAlignment="1">
      <alignment horizontal="center" vertical="center"/>
    </xf>
    <xf numFmtId="0" fontId="20" fillId="0" borderId="0" xfId="0" applyFont="1" applyAlignment="1">
      <alignment horizontal="left" vertical="center" wrapText="1" indent="1"/>
    </xf>
    <xf numFmtId="0" fontId="28" fillId="9" borderId="18" xfId="0" applyFont="1" applyFill="1" applyBorder="1" applyAlignment="1">
      <alignment horizontal="center" vertical="center" wrapText="1"/>
    </xf>
    <xf numFmtId="0" fontId="28" fillId="9" borderId="19" xfId="0" applyFont="1" applyFill="1" applyBorder="1" applyAlignment="1">
      <alignment horizontal="center" vertical="center" wrapText="1"/>
    </xf>
    <xf numFmtId="0" fontId="20" fillId="0" borderId="145" xfId="0" applyFont="1" applyBorder="1" applyAlignment="1">
      <alignment horizontal="center" vertical="top" wrapText="1"/>
    </xf>
    <xf numFmtId="0" fontId="42" fillId="0" borderId="146" xfId="0" applyFont="1" applyBorder="1"/>
    <xf numFmtId="0" fontId="42" fillId="0" borderId="150" xfId="0" applyFont="1" applyBorder="1"/>
    <xf numFmtId="0" fontId="47" fillId="18" borderId="136" xfId="15" applyFont="1" applyFill="1" applyBorder="1" applyAlignment="1">
      <alignment horizontal="center" vertical="center" wrapText="1"/>
    </xf>
    <xf numFmtId="0" fontId="47" fillId="18" borderId="137" xfId="15" applyFont="1" applyFill="1" applyBorder="1" applyAlignment="1">
      <alignment horizontal="center" vertical="center" wrapText="1"/>
    </xf>
    <xf numFmtId="0" fontId="47" fillId="18" borderId="12" xfId="15" applyFont="1" applyFill="1" applyBorder="1" applyAlignment="1">
      <alignment horizontal="center" vertical="center" wrapText="1"/>
    </xf>
    <xf numFmtId="0" fontId="42" fillId="0" borderId="15" xfId="0" applyFont="1" applyBorder="1"/>
    <xf numFmtId="0" fontId="20" fillId="0" borderId="135" xfId="0" applyFont="1" applyBorder="1" applyAlignment="1">
      <alignment horizontal="center" vertical="top" wrapText="1"/>
    </xf>
    <xf numFmtId="0" fontId="20" fillId="0" borderId="131" xfId="0" applyFont="1" applyBorder="1" applyAlignment="1">
      <alignment horizontal="center" vertical="top" wrapText="1"/>
    </xf>
    <xf numFmtId="0" fontId="20" fillId="0" borderId="134" xfId="0" applyFont="1" applyBorder="1" applyAlignment="1">
      <alignment horizontal="center" vertical="top" wrapText="1"/>
    </xf>
    <xf numFmtId="0" fontId="28" fillId="19" borderId="122" xfId="15" applyFont="1" applyFill="1" applyBorder="1" applyAlignment="1">
      <alignment horizontal="center" vertical="center" wrapText="1"/>
    </xf>
    <xf numFmtId="0" fontId="28" fillId="19" borderId="0" xfId="15" applyFont="1" applyFill="1" applyAlignment="1">
      <alignment horizontal="center" vertical="center" wrapText="1"/>
    </xf>
    <xf numFmtId="0" fontId="20" fillId="0" borderId="130" xfId="0" applyFont="1" applyBorder="1" applyAlignment="1">
      <alignment horizontal="center" vertical="top" wrapText="1"/>
    </xf>
    <xf numFmtId="0" fontId="42" fillId="0" borderId="131" xfId="0" applyFont="1" applyBorder="1"/>
    <xf numFmtId="0" fontId="42" fillId="0" borderId="134" xfId="0" applyFont="1" applyBorder="1"/>
    <xf numFmtId="0" fontId="28" fillId="9" borderId="141" xfId="0" applyFont="1" applyFill="1" applyBorder="1" applyAlignment="1">
      <alignment horizontal="center" vertical="center" wrapText="1"/>
    </xf>
    <xf numFmtId="0" fontId="28" fillId="9" borderId="142" xfId="0" applyFont="1" applyFill="1" applyBorder="1" applyAlignment="1">
      <alignment horizontal="center" vertical="center" wrapText="1"/>
    </xf>
    <xf numFmtId="43" fontId="20" fillId="0" borderId="138" xfId="0" applyNumberFormat="1" applyFont="1" applyBorder="1" applyAlignment="1">
      <alignment horizontal="center" vertical="center" wrapText="1"/>
    </xf>
    <xf numFmtId="0" fontId="28" fillId="9" borderId="121" xfId="0" applyFont="1" applyFill="1" applyBorder="1" applyAlignment="1">
      <alignment horizontal="center" vertical="center" wrapText="1"/>
    </xf>
    <xf numFmtId="0" fontId="28" fillId="9" borderId="0" xfId="0" applyFont="1" applyFill="1" applyAlignment="1">
      <alignment horizontal="center" vertical="center" wrapText="1"/>
    </xf>
    <xf numFmtId="0" fontId="0" fillId="0" borderId="10" xfId="0" applyBorder="1"/>
    <xf numFmtId="0" fontId="0" fillId="0" borderId="11" xfId="0" applyBorder="1"/>
    <xf numFmtId="0" fontId="28" fillId="9" borderId="166" xfId="0" applyFont="1" applyFill="1" applyBorder="1" applyAlignment="1">
      <alignment horizontal="center" vertical="center" wrapText="1"/>
    </xf>
    <xf numFmtId="0" fontId="28" fillId="9" borderId="167" xfId="0" applyFont="1" applyFill="1" applyBorder="1" applyAlignment="1">
      <alignment horizontal="center" vertical="center" wrapText="1"/>
    </xf>
    <xf numFmtId="0" fontId="20" fillId="0" borderId="201" xfId="0" applyFont="1" applyBorder="1" applyAlignment="1">
      <alignment horizontal="center" vertical="center" wrapText="1"/>
    </xf>
    <xf numFmtId="0" fontId="20" fillId="0" borderId="203" xfId="0" applyFont="1" applyBorder="1" applyAlignment="1">
      <alignment horizontal="center" vertical="center" wrapText="1"/>
    </xf>
    <xf numFmtId="0" fontId="20" fillId="0" borderId="205" xfId="0" applyFont="1" applyBorder="1" applyAlignment="1">
      <alignment horizontal="center" vertical="center" wrapText="1"/>
    </xf>
    <xf numFmtId="0" fontId="47" fillId="18" borderId="207" xfId="15" applyFont="1" applyFill="1" applyBorder="1" applyAlignment="1">
      <alignment horizontal="center" vertical="center" wrapText="1"/>
    </xf>
    <xf numFmtId="0" fontId="47" fillId="18" borderId="208" xfId="15"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 xfId="0" applyFont="1" applyFill="1" applyBorder="1" applyAlignment="1">
      <alignment horizontal="center" vertical="center" wrapText="1"/>
    </xf>
    <xf numFmtId="0" fontId="42" fillId="0" borderId="26" xfId="0" applyFont="1" applyBorder="1" applyAlignment="1">
      <alignment horizontal="center" vertical="center" wrapText="1"/>
    </xf>
    <xf numFmtId="0" fontId="28" fillId="9" borderId="13" xfId="0" applyFont="1" applyFill="1" applyBorder="1" applyAlignment="1">
      <alignment horizontal="center" vertical="center"/>
    </xf>
    <xf numFmtId="0" fontId="28" fillId="9" borderId="14" xfId="0" applyFont="1" applyFill="1" applyBorder="1" applyAlignment="1">
      <alignment horizontal="center" vertical="center"/>
    </xf>
    <xf numFmtId="0" fontId="41" fillId="17" borderId="0" xfId="0" applyFont="1" applyFill="1" applyAlignment="1">
      <alignment horizontal="center" vertical="center"/>
    </xf>
    <xf numFmtId="0" fontId="0" fillId="0" borderId="0" xfId="0"/>
    <xf numFmtId="0" fontId="59" fillId="17" borderId="0" xfId="0" applyFont="1" applyFill="1" applyAlignment="1">
      <alignment horizontal="center" vertical="center"/>
    </xf>
    <xf numFmtId="0" fontId="42" fillId="0" borderId="0" xfId="0" applyFont="1"/>
    <xf numFmtId="0" fontId="42" fillId="0" borderId="124" xfId="0" applyFont="1" applyBorder="1" applyAlignment="1">
      <alignment horizontal="left"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210" xfId="0" applyFont="1" applyBorder="1" applyAlignment="1">
      <alignment horizontal="center" vertical="center" wrapText="1"/>
    </xf>
    <xf numFmtId="0" fontId="22" fillId="0" borderId="163" xfId="0" applyFont="1" applyBorder="1" applyAlignment="1">
      <alignment horizontal="center" vertical="center" wrapText="1"/>
    </xf>
    <xf numFmtId="0" fontId="35" fillId="0" borderId="210" xfId="0" applyFont="1" applyBorder="1" applyAlignment="1">
      <alignment horizontal="center" vertical="center" wrapText="1"/>
    </xf>
    <xf numFmtId="0" fontId="35" fillId="0" borderId="163" xfId="0" applyFont="1" applyBorder="1" applyAlignment="1">
      <alignment horizontal="center" vertical="center" wrapText="1"/>
    </xf>
    <xf numFmtId="0" fontId="35" fillId="0" borderId="211" xfId="0" applyFont="1" applyBorder="1" applyAlignment="1">
      <alignment horizontal="center" vertical="center" wrapText="1"/>
    </xf>
    <xf numFmtId="0" fontId="22" fillId="0" borderId="211" xfId="0" applyFont="1" applyBorder="1" applyAlignment="1">
      <alignment horizontal="center" vertical="center" wrapText="1"/>
    </xf>
    <xf numFmtId="0" fontId="22" fillId="0" borderId="63" xfId="0" applyFont="1" applyBorder="1" applyAlignment="1">
      <alignment horizontal="center" vertical="center" wrapText="1"/>
    </xf>
    <xf numFmtId="0" fontId="22" fillId="0" borderId="103" xfId="0" applyFont="1" applyBorder="1" applyAlignment="1">
      <alignment horizontal="center" vertical="center" wrapText="1"/>
    </xf>
    <xf numFmtId="0" fontId="22" fillId="0" borderId="105" xfId="0" applyFont="1" applyBorder="1" applyAlignment="1">
      <alignment horizontal="center" vertical="center" wrapText="1"/>
    </xf>
    <xf numFmtId="0" fontId="36" fillId="6" borderId="0" xfId="0" applyFont="1" applyFill="1" applyAlignment="1">
      <alignment horizontal="center" vertical="center" wrapText="1"/>
    </xf>
    <xf numFmtId="0" fontId="36" fillId="6" borderId="91" xfId="0" applyFont="1" applyFill="1" applyBorder="1" applyAlignment="1">
      <alignment horizontal="center" vertical="center" wrapText="1"/>
    </xf>
    <xf numFmtId="0" fontId="22" fillId="0" borderId="64"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92" xfId="0" applyFont="1" applyBorder="1" applyAlignment="1">
      <alignment horizontal="center" vertical="center" wrapText="1"/>
    </xf>
    <xf numFmtId="0" fontId="46" fillId="0" borderId="37"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106" xfId="0" applyFont="1" applyBorder="1" applyAlignment="1">
      <alignment horizontal="center" vertical="center" wrapText="1"/>
    </xf>
    <xf numFmtId="0" fontId="35" fillId="0" borderId="64" xfId="0" applyFont="1" applyBorder="1" applyAlignment="1">
      <alignment horizontal="center" vertical="center" wrapText="1"/>
    </xf>
    <xf numFmtId="0" fontId="35" fillId="0" borderId="16" xfId="0" applyFont="1" applyBorder="1" applyAlignment="1">
      <alignment horizontal="center" vertical="center" wrapText="1"/>
    </xf>
    <xf numFmtId="0" fontId="35" fillId="0" borderId="92"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6" xfId="0" applyFont="1" applyBorder="1" applyAlignment="1">
      <alignment horizontal="center" vertical="center" wrapText="1"/>
    </xf>
    <xf numFmtId="0" fontId="46" fillId="0" borderId="8" xfId="0" applyFont="1" applyBorder="1" applyAlignment="1">
      <alignment horizontal="center" vertical="center" wrapText="1"/>
    </xf>
    <xf numFmtId="0" fontId="46" fillId="0" borderId="64" xfId="0" applyFont="1" applyBorder="1" applyAlignment="1">
      <alignment horizontal="center" vertical="center" wrapText="1"/>
    </xf>
    <xf numFmtId="0" fontId="46" fillId="0" borderId="16" xfId="0" applyFont="1" applyBorder="1" applyAlignment="1">
      <alignment horizontal="center" vertical="center" wrapText="1"/>
    </xf>
    <xf numFmtId="0" fontId="46" fillId="0" borderId="92" xfId="0" applyFont="1" applyBorder="1" applyAlignment="1">
      <alignment horizontal="center" vertical="center" wrapText="1"/>
    </xf>
    <xf numFmtId="0" fontId="46" fillId="0" borderId="1"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32" xfId="0" applyFont="1" applyBorder="1" applyAlignment="1">
      <alignment horizontal="center" vertical="center" wrapText="1"/>
    </xf>
    <xf numFmtId="0" fontId="46" fillId="0" borderId="176"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166" xfId="0" applyFont="1" applyBorder="1" applyAlignment="1">
      <alignment horizontal="center" vertical="center" wrapText="1"/>
    </xf>
    <xf numFmtId="0" fontId="46" fillId="0" borderId="5" xfId="0" applyFont="1" applyBorder="1" applyAlignment="1">
      <alignment horizontal="center" vertical="center" wrapText="1"/>
    </xf>
    <xf numFmtId="0" fontId="46" fillId="0" borderId="7" xfId="0" applyFont="1" applyBorder="1" applyAlignment="1">
      <alignment horizontal="center" vertical="center" wrapText="1"/>
    </xf>
    <xf numFmtId="0" fontId="46" fillId="0" borderId="9" xfId="0" applyFont="1" applyBorder="1" applyAlignment="1">
      <alignment horizontal="center" vertical="center" wrapText="1"/>
    </xf>
    <xf numFmtId="0" fontId="46" fillId="0" borderId="1" xfId="0" applyFont="1" applyBorder="1" applyAlignment="1">
      <alignment horizontal="center" vertical="center"/>
    </xf>
    <xf numFmtId="0" fontId="46" fillId="0" borderId="2" xfId="0" applyFont="1" applyBorder="1" applyAlignment="1">
      <alignment horizontal="center" vertical="center"/>
    </xf>
    <xf numFmtId="0" fontId="46" fillId="0" borderId="32" xfId="0" applyFont="1" applyBorder="1" applyAlignment="1">
      <alignment horizontal="center" vertical="center"/>
    </xf>
    <xf numFmtId="0" fontId="47" fillId="6" borderId="212" xfId="0" applyFont="1" applyFill="1" applyBorder="1" applyAlignment="1">
      <alignment horizontal="center" vertical="center" wrapText="1"/>
    </xf>
    <xf numFmtId="0" fontId="47" fillId="6" borderId="213" xfId="0" applyFont="1" applyFill="1" applyBorder="1" applyAlignment="1">
      <alignment horizontal="center" vertical="center" wrapText="1"/>
    </xf>
    <xf numFmtId="0" fontId="47" fillId="6" borderId="116" xfId="0" applyFont="1" applyFill="1" applyBorder="1" applyAlignment="1">
      <alignment horizontal="center" vertical="center" wrapText="1"/>
    </xf>
    <xf numFmtId="0" fontId="47" fillId="6" borderId="117" xfId="0" applyFont="1" applyFill="1" applyBorder="1" applyAlignment="1">
      <alignment horizontal="center" vertical="center" wrapText="1"/>
    </xf>
    <xf numFmtId="0" fontId="46" fillId="0" borderId="90" xfId="0" applyFont="1" applyBorder="1" applyAlignment="1">
      <alignment horizontal="center" vertical="center" wrapText="1"/>
    </xf>
    <xf numFmtId="0" fontId="46" fillId="0" borderId="89" xfId="0" applyFont="1" applyBorder="1" applyAlignment="1">
      <alignment horizontal="center" vertical="center" wrapText="1"/>
    </xf>
    <xf numFmtId="0" fontId="46" fillId="0" borderId="88" xfId="0" applyFont="1" applyBorder="1" applyAlignment="1">
      <alignment horizontal="center" vertical="center" wrapText="1"/>
    </xf>
    <xf numFmtId="0" fontId="46" fillId="0" borderId="66" xfId="0" applyFont="1" applyBorder="1" applyAlignment="1">
      <alignment horizontal="center" vertical="center" wrapText="1"/>
    </xf>
    <xf numFmtId="0" fontId="46" fillId="0" borderId="68" xfId="0" applyFont="1" applyBorder="1" applyAlignment="1">
      <alignment horizontal="center" vertical="center" wrapText="1"/>
    </xf>
    <xf numFmtId="0" fontId="46" fillId="0" borderId="70" xfId="0" applyFont="1" applyBorder="1" applyAlignment="1">
      <alignment horizontal="center" vertical="center" wrapText="1"/>
    </xf>
    <xf numFmtId="0" fontId="46" fillId="0" borderId="86" xfId="0" applyFont="1" applyBorder="1" applyAlignment="1">
      <alignment horizontal="center" vertical="center" wrapText="1"/>
    </xf>
    <xf numFmtId="0" fontId="46" fillId="0" borderId="82" xfId="0" applyFont="1" applyBorder="1" applyAlignment="1">
      <alignment horizontal="center" vertical="center" wrapText="1"/>
    </xf>
    <xf numFmtId="0" fontId="46" fillId="0" borderId="78" xfId="0" applyFont="1" applyBorder="1" applyAlignment="1">
      <alignment horizontal="center" vertical="center" wrapText="1"/>
    </xf>
    <xf numFmtId="0" fontId="46" fillId="0" borderId="85" xfId="0" applyFont="1" applyBorder="1" applyAlignment="1">
      <alignment horizontal="center" vertical="center" wrapText="1"/>
    </xf>
    <xf numFmtId="0" fontId="46" fillId="0" borderId="81" xfId="0" applyFont="1" applyBorder="1" applyAlignment="1">
      <alignment horizontal="center" vertical="center" wrapText="1"/>
    </xf>
    <xf numFmtId="0" fontId="46" fillId="0" borderId="77" xfId="0" applyFont="1" applyBorder="1" applyAlignment="1">
      <alignment horizontal="center" vertical="center" wrapText="1"/>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32" xfId="0" applyFont="1" applyBorder="1" applyAlignment="1">
      <alignment horizontal="center" vertical="center"/>
    </xf>
    <xf numFmtId="0" fontId="22" fillId="0" borderId="17"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32"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64" xfId="0" applyFont="1" applyBorder="1" applyAlignment="1">
      <alignment horizontal="center" vertical="center"/>
    </xf>
    <xf numFmtId="0" fontId="22" fillId="0" borderId="16" xfId="0" applyFont="1" applyBorder="1" applyAlignment="1">
      <alignment horizontal="center" vertical="center"/>
    </xf>
    <xf numFmtId="0" fontId="22" fillId="0" borderId="92" xfId="0" applyFont="1" applyBorder="1" applyAlignment="1">
      <alignment horizontal="center" vertical="center"/>
    </xf>
    <xf numFmtId="0" fontId="22" fillId="0" borderId="3" xfId="0" applyFont="1" applyBorder="1" applyAlignment="1">
      <alignment horizontal="center" vertical="center" wrapText="1"/>
    </xf>
    <xf numFmtId="0" fontId="22" fillId="0" borderId="166" xfId="0" applyFont="1" applyBorder="1" applyAlignment="1">
      <alignment horizontal="center" vertical="center" wrapText="1"/>
    </xf>
    <xf numFmtId="0" fontId="22" fillId="0" borderId="90" xfId="0" applyFont="1" applyBorder="1" applyAlignment="1">
      <alignment horizontal="center" vertical="center" wrapText="1"/>
    </xf>
    <xf numFmtId="0" fontId="22" fillId="0" borderId="89" xfId="0" applyFont="1" applyBorder="1" applyAlignment="1">
      <alignment horizontal="center" vertical="center" wrapText="1"/>
    </xf>
    <xf numFmtId="0" fontId="22" fillId="0" borderId="88" xfId="0" applyFont="1" applyBorder="1" applyAlignment="1">
      <alignment horizontal="center" vertical="center" wrapText="1"/>
    </xf>
    <xf numFmtId="0" fontId="22" fillId="0" borderId="66" xfId="0" applyFont="1" applyBorder="1" applyAlignment="1">
      <alignment horizontal="center" vertical="center"/>
    </xf>
    <xf numFmtId="0" fontId="22" fillId="0" borderId="68" xfId="0" applyFont="1" applyBorder="1" applyAlignment="1">
      <alignment horizontal="center" vertical="center"/>
    </xf>
    <xf numFmtId="0" fontId="22" fillId="0" borderId="70" xfId="0" applyFont="1" applyBorder="1" applyAlignment="1">
      <alignment horizontal="center" vertical="center"/>
    </xf>
    <xf numFmtId="0" fontId="35" fillId="0" borderId="86" xfId="0" applyFont="1" applyBorder="1" applyAlignment="1">
      <alignment horizontal="center" vertical="center" wrapText="1"/>
    </xf>
    <xf numFmtId="0" fontId="35" fillId="0" borderId="82" xfId="0" applyFont="1" applyBorder="1" applyAlignment="1">
      <alignment horizontal="center" vertical="center" wrapText="1"/>
    </xf>
    <xf numFmtId="0" fontId="35" fillId="0" borderId="78" xfId="0" applyFont="1" applyBorder="1" applyAlignment="1">
      <alignment horizontal="center" vertical="center" wrapText="1"/>
    </xf>
    <xf numFmtId="0" fontId="22" fillId="0" borderId="85" xfId="0" applyFont="1" applyBorder="1" applyAlignment="1">
      <alignment horizontal="center" vertical="center" wrapText="1"/>
    </xf>
    <xf numFmtId="0" fontId="22" fillId="0" borderId="81" xfId="0" applyFont="1" applyBorder="1" applyAlignment="1">
      <alignment horizontal="center" vertical="center" wrapText="1"/>
    </xf>
    <xf numFmtId="0" fontId="22" fillId="0" borderId="77" xfId="0" applyFont="1" applyBorder="1" applyAlignment="1">
      <alignment horizontal="center" vertical="center" wrapText="1"/>
    </xf>
    <xf numFmtId="0" fontId="22" fillId="0" borderId="87"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86" xfId="0" applyFont="1" applyBorder="1" applyAlignment="1">
      <alignment horizontal="center" vertical="center"/>
    </xf>
    <xf numFmtId="0" fontId="22" fillId="0" borderId="82" xfId="0" applyFont="1" applyBorder="1" applyAlignment="1">
      <alignment horizontal="center" vertical="center"/>
    </xf>
    <xf numFmtId="0" fontId="22" fillId="0" borderId="78" xfId="0" applyFont="1" applyBorder="1" applyAlignment="1">
      <alignment horizontal="center" vertical="center"/>
    </xf>
    <xf numFmtId="0" fontId="22" fillId="0" borderId="113" xfId="0" applyFont="1" applyBorder="1" applyAlignment="1">
      <alignment horizontal="center" vertical="center" wrapText="1"/>
    </xf>
    <xf numFmtId="0" fontId="22" fillId="0" borderId="114" xfId="0" applyFont="1" applyBorder="1" applyAlignment="1">
      <alignment horizontal="center" vertical="center" wrapText="1"/>
    </xf>
    <xf numFmtId="0" fontId="22" fillId="0" borderId="115" xfId="0" applyFont="1" applyBorder="1" applyAlignment="1">
      <alignment horizontal="center" vertical="center" wrapText="1"/>
    </xf>
    <xf numFmtId="0" fontId="22" fillId="0" borderId="112" xfId="0" applyFont="1" applyBorder="1" applyAlignment="1">
      <alignment horizontal="center" vertical="center"/>
    </xf>
    <xf numFmtId="0" fontId="22" fillId="0" borderId="99" xfId="0" applyFont="1" applyBorder="1" applyAlignment="1">
      <alignment horizontal="center" vertical="center"/>
    </xf>
    <xf numFmtId="0" fontId="35" fillId="0" borderId="112" xfId="0" applyFont="1" applyBorder="1" applyAlignment="1">
      <alignment horizontal="center" vertical="center" wrapText="1"/>
    </xf>
    <xf numFmtId="0" fontId="35" fillId="0" borderId="99" xfId="0" applyFont="1" applyBorder="1" applyAlignment="1">
      <alignment horizontal="center" vertical="center" wrapText="1"/>
    </xf>
    <xf numFmtId="0" fontId="22" fillId="0" borderId="94" xfId="0" applyFont="1" applyBorder="1" applyAlignment="1">
      <alignment horizontal="center" vertical="center" wrapText="1"/>
    </xf>
    <xf numFmtId="0" fontId="22" fillId="0" borderId="100" xfId="0" applyFont="1" applyBorder="1" applyAlignment="1">
      <alignment horizontal="center" vertical="center" wrapText="1"/>
    </xf>
    <xf numFmtId="0" fontId="35" fillId="0" borderId="66" xfId="0" applyFont="1" applyBorder="1" applyAlignment="1">
      <alignment horizontal="center" vertical="center" wrapText="1"/>
    </xf>
    <xf numFmtId="0" fontId="7" fillId="6" borderId="12" xfId="0" applyFont="1" applyFill="1" applyBorder="1" applyAlignment="1">
      <alignment horizontal="center" vertical="center"/>
    </xf>
    <xf numFmtId="0" fontId="7" fillId="6" borderId="92" xfId="0" applyFont="1" applyFill="1" applyBorder="1" applyAlignment="1">
      <alignment horizontal="center" vertical="center"/>
    </xf>
    <xf numFmtId="0" fontId="28" fillId="9" borderId="3" xfId="0" applyFont="1" applyFill="1" applyBorder="1" applyAlignment="1">
      <alignment horizontal="center" vertical="center" wrapText="1"/>
    </xf>
    <xf numFmtId="0" fontId="28" fillId="9" borderId="10" xfId="0" applyFont="1" applyFill="1" applyBorder="1" applyAlignment="1">
      <alignment horizontal="center" vertical="center" wrapText="1"/>
    </xf>
    <xf numFmtId="0" fontId="28" fillId="9" borderId="1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35" fillId="0" borderId="64" xfId="0" applyFont="1" applyBorder="1" applyAlignment="1">
      <alignment horizontal="center" vertical="center"/>
    </xf>
    <xf numFmtId="0" fontId="35" fillId="0" borderId="16" xfId="0" applyFont="1" applyBorder="1" applyAlignment="1">
      <alignment horizontal="center" vertical="center"/>
    </xf>
    <xf numFmtId="0" fontId="35" fillId="0" borderId="92" xfId="0" applyFont="1" applyBorder="1" applyAlignment="1">
      <alignment horizontal="center" vertical="center"/>
    </xf>
    <xf numFmtId="0" fontId="35" fillId="0" borderId="1"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32" xfId="0" applyFont="1" applyBorder="1" applyAlignment="1">
      <alignment horizontal="center" vertical="center" wrapText="1"/>
    </xf>
    <xf numFmtId="0" fontId="18" fillId="6" borderId="0" xfId="0" applyFont="1" applyFill="1" applyAlignment="1">
      <alignment horizontal="center" vertical="center" wrapText="1"/>
    </xf>
    <xf numFmtId="0" fontId="18" fillId="6" borderId="91" xfId="0" applyFont="1" applyFill="1" applyBorder="1" applyAlignment="1">
      <alignment horizontal="center" vertical="center" wrapText="1"/>
    </xf>
    <xf numFmtId="0" fontId="18" fillId="6" borderId="212" xfId="0" applyFont="1" applyFill="1" applyBorder="1" applyAlignment="1">
      <alignment horizontal="center" vertical="center" wrapText="1"/>
    </xf>
    <xf numFmtId="0" fontId="18" fillId="6" borderId="213" xfId="0" applyFont="1" applyFill="1" applyBorder="1" applyAlignment="1">
      <alignment horizontal="center" vertical="center" wrapText="1"/>
    </xf>
    <xf numFmtId="0" fontId="46" fillId="0" borderId="87" xfId="0" applyFont="1" applyBorder="1" applyAlignment="1">
      <alignment horizontal="center" vertical="center" wrapText="1"/>
    </xf>
    <xf numFmtId="0" fontId="46" fillId="0" borderId="83" xfId="0" applyFont="1" applyBorder="1" applyAlignment="1">
      <alignment horizontal="center" vertical="center" wrapText="1"/>
    </xf>
    <xf numFmtId="0" fontId="46" fillId="0" borderId="79" xfId="0" applyFont="1" applyBorder="1" applyAlignment="1">
      <alignment horizontal="center" vertical="center" wrapText="1"/>
    </xf>
    <xf numFmtId="0" fontId="22" fillId="0" borderId="1" xfId="0" applyFont="1" applyBorder="1" applyAlignment="1">
      <alignment horizontal="center" vertical="center" wrapText="1"/>
    </xf>
    <xf numFmtId="0" fontId="28" fillId="12" borderId="18" xfId="0" applyFont="1" applyFill="1" applyBorder="1" applyAlignment="1">
      <alignment horizontal="center" vertical="center"/>
    </xf>
    <xf numFmtId="0" fontId="28" fillId="12" borderId="19" xfId="0" applyFont="1" applyFill="1" applyBorder="1" applyAlignment="1">
      <alignment horizontal="center" vertical="center"/>
    </xf>
    <xf numFmtId="0" fontId="28" fillId="9" borderId="18" xfId="0" applyFont="1" applyFill="1" applyBorder="1" applyAlignment="1">
      <alignment horizontal="center" vertical="center"/>
    </xf>
    <xf numFmtId="0" fontId="28" fillId="9" borderId="19" xfId="0" applyFont="1" applyFill="1" applyBorder="1" applyAlignment="1">
      <alignment horizontal="center" vertical="center"/>
    </xf>
    <xf numFmtId="0" fontId="28" fillId="12" borderId="19" xfId="0" applyFont="1" applyFill="1" applyBorder="1" applyAlignment="1">
      <alignment horizontal="center" vertical="center" wrapText="1"/>
    </xf>
    <xf numFmtId="0" fontId="24" fillId="10" borderId="12" xfId="0" applyFont="1" applyFill="1" applyBorder="1" applyAlignment="1">
      <alignment horizontal="center" vertical="center"/>
    </xf>
    <xf numFmtId="0" fontId="24" fillId="10" borderId="16" xfId="0" applyFont="1" applyFill="1" applyBorder="1" applyAlignment="1">
      <alignment horizontal="center" vertical="center"/>
    </xf>
    <xf numFmtId="0" fontId="24" fillId="10" borderId="3" xfId="0" applyFont="1" applyFill="1" applyBorder="1" applyAlignment="1">
      <alignment horizontal="center" vertical="center"/>
    </xf>
    <xf numFmtId="0" fontId="24" fillId="10" borderId="10" xfId="0"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4" fillId="6" borderId="12" xfId="0" applyFont="1" applyFill="1" applyBorder="1" applyAlignment="1">
      <alignment horizontal="center" vertical="center"/>
    </xf>
    <xf numFmtId="0" fontId="24" fillId="6" borderId="17" xfId="0" applyFont="1" applyFill="1" applyBorder="1" applyAlignment="1">
      <alignment horizontal="center" vertical="center"/>
    </xf>
    <xf numFmtId="0" fontId="24" fillId="6" borderId="3" xfId="0" applyFont="1" applyFill="1" applyBorder="1" applyAlignment="1">
      <alignment horizontal="center" vertical="center"/>
    </xf>
    <xf numFmtId="0" fontId="24" fillId="6" borderId="10" xfId="0" applyFont="1" applyFill="1" applyBorder="1" applyAlignment="1">
      <alignment horizontal="center" vertical="center"/>
    </xf>
    <xf numFmtId="0" fontId="24" fillId="6" borderId="11" xfId="0" applyFont="1" applyFill="1" applyBorder="1" applyAlignment="1">
      <alignment horizontal="center" vertical="center"/>
    </xf>
    <xf numFmtId="0" fontId="60" fillId="9" borderId="0" xfId="0" applyFont="1" applyFill="1" applyAlignment="1">
      <alignment horizontal="center" vertical="center" wrapText="1"/>
    </xf>
    <xf numFmtId="0" fontId="0" fillId="0" borderId="0" xfId="0" applyAlignment="1">
      <alignment horizontal="center"/>
    </xf>
    <xf numFmtId="0" fontId="46" fillId="0" borderId="226" xfId="0" applyFont="1" applyBorder="1" applyAlignment="1">
      <alignment horizontal="center" vertical="center" wrapText="1"/>
    </xf>
    <xf numFmtId="0" fontId="46" fillId="0" borderId="121" xfId="0" applyFont="1" applyBorder="1" applyAlignment="1">
      <alignment horizontal="center" vertical="center" wrapText="1"/>
    </xf>
    <xf numFmtId="0" fontId="46" fillId="0" borderId="227" xfId="0" applyFont="1" applyBorder="1" applyAlignment="1">
      <alignment horizontal="center" vertical="center" wrapText="1"/>
    </xf>
    <xf numFmtId="0" fontId="46" fillId="0" borderId="4" xfId="0" applyFont="1" applyBorder="1" applyAlignment="1">
      <alignment horizontal="center" vertical="center"/>
    </xf>
    <xf numFmtId="0" fontId="46" fillId="0" borderId="6" xfId="0" applyFont="1" applyBorder="1" applyAlignment="1">
      <alignment horizontal="center" vertical="center"/>
    </xf>
    <xf numFmtId="0" fontId="46" fillId="0" borderId="8" xfId="0" applyFont="1" applyBorder="1" applyAlignment="1">
      <alignment horizontal="center" vertical="center"/>
    </xf>
    <xf numFmtId="0" fontId="46" fillId="0" borderId="228" xfId="0" applyFont="1" applyBorder="1" applyAlignment="1">
      <alignment horizontal="center" vertical="center"/>
    </xf>
    <xf numFmtId="2" fontId="46" fillId="0" borderId="107" xfId="0" applyNumberFormat="1" applyFont="1" applyBorder="1" applyAlignment="1">
      <alignment horizontal="center" vertical="center"/>
    </xf>
    <xf numFmtId="0" fontId="46" fillId="0" borderId="229" xfId="0" applyFont="1" applyBorder="1" applyAlignment="1">
      <alignment horizontal="center" vertical="center"/>
    </xf>
    <xf numFmtId="1" fontId="46" fillId="0" borderId="107" xfId="0" applyNumberFormat="1" applyFont="1" applyBorder="1" applyAlignment="1">
      <alignment horizontal="center" vertical="center"/>
    </xf>
    <xf numFmtId="1" fontId="46" fillId="8" borderId="118" xfId="0" applyNumberFormat="1" applyFont="1" applyFill="1" applyBorder="1" applyAlignment="1">
      <alignment horizontal="center" vertical="center"/>
    </xf>
    <xf numFmtId="0" fontId="46" fillId="0" borderId="230" xfId="0" applyFont="1" applyBorder="1" applyAlignment="1">
      <alignment horizontal="center" vertical="center" wrapText="1"/>
    </xf>
    <xf numFmtId="0" fontId="46" fillId="0" borderId="231" xfId="0" applyFont="1" applyBorder="1" applyAlignment="1">
      <alignment horizontal="center" vertical="center" wrapText="1"/>
    </xf>
    <xf numFmtId="0" fontId="46" fillId="0" borderId="232" xfId="0" applyFont="1" applyBorder="1" applyAlignment="1">
      <alignment horizontal="center" vertical="center" wrapText="1"/>
    </xf>
    <xf numFmtId="165" fontId="46" fillId="0" borderId="2" xfId="0" applyNumberFormat="1" applyFont="1" applyBorder="1" applyAlignment="1">
      <alignment horizontal="center" vertical="center"/>
    </xf>
    <xf numFmtId="165" fontId="46" fillId="0" borderId="1" xfId="0" applyNumberFormat="1" applyFont="1" applyBorder="1" applyAlignment="1">
      <alignment horizontal="center" vertical="center"/>
    </xf>
    <xf numFmtId="165" fontId="46" fillId="0" borderId="5" xfId="0" applyNumberFormat="1" applyFont="1" applyBorder="1" applyAlignment="1">
      <alignment horizontal="center" vertical="center"/>
    </xf>
    <xf numFmtId="165" fontId="46" fillId="0" borderId="7" xfId="0" applyNumberFormat="1" applyFont="1" applyBorder="1" applyAlignment="1">
      <alignment horizontal="center" vertical="center"/>
    </xf>
    <xf numFmtId="165" fontId="46" fillId="0" borderId="32" xfId="0" applyNumberFormat="1" applyFont="1" applyBorder="1" applyAlignment="1">
      <alignment horizontal="center" vertical="center"/>
    </xf>
    <xf numFmtId="165" fontId="46" fillId="0" borderId="9" xfId="0" applyNumberFormat="1" applyFont="1" applyBorder="1" applyAlignment="1">
      <alignment horizontal="center" vertical="center"/>
    </xf>
    <xf numFmtId="165" fontId="46" fillId="0" borderId="12" xfId="0" applyNumberFormat="1" applyFont="1" applyBorder="1" applyAlignment="1">
      <alignment horizontal="center" vertical="center"/>
    </xf>
    <xf numFmtId="165" fontId="46" fillId="0" borderId="118" xfId="0" applyNumberFormat="1" applyFont="1" applyBorder="1" applyAlignment="1">
      <alignment horizontal="center" vertical="center"/>
    </xf>
    <xf numFmtId="165" fontId="46" fillId="0" borderId="17" xfId="0" applyNumberFormat="1" applyFont="1" applyBorder="1" applyAlignment="1">
      <alignment horizontal="center" vertical="center"/>
    </xf>
    <xf numFmtId="165" fontId="46" fillId="0" borderId="107" xfId="0" applyNumberFormat="1" applyFont="1" applyBorder="1" applyAlignment="1">
      <alignment horizontal="center" vertical="center"/>
    </xf>
    <xf numFmtId="0" fontId="7" fillId="6" borderId="121" xfId="0" applyFont="1" applyFill="1" applyBorder="1" applyAlignment="1">
      <alignment horizontal="center" vertical="center" wrapText="1"/>
    </xf>
    <xf numFmtId="0" fontId="7" fillId="6" borderId="18" xfId="0" applyFont="1" applyFill="1" applyBorder="1" applyAlignment="1">
      <alignment horizontal="center" vertical="center" wrapText="1"/>
    </xf>
    <xf numFmtId="0" fontId="28" fillId="9" borderId="0" xfId="0" applyFont="1" applyFill="1" applyBorder="1" applyAlignment="1">
      <alignment horizontal="center" vertical="center" wrapText="1"/>
    </xf>
    <xf numFmtId="0" fontId="20" fillId="0" borderId="16" xfId="0" applyFont="1" applyBorder="1" applyAlignment="1">
      <alignment vertical="center"/>
    </xf>
    <xf numFmtId="0" fontId="6" fillId="0" borderId="16" xfId="0" applyFont="1" applyBorder="1" applyAlignment="1">
      <alignment vertical="center"/>
    </xf>
    <xf numFmtId="0" fontId="6" fillId="0" borderId="17" xfId="0" applyFont="1" applyBorder="1" applyAlignment="1">
      <alignment vertical="center"/>
    </xf>
    <xf numFmtId="0" fontId="24" fillId="21" borderId="138" xfId="15" applyFont="1" applyFill="1" applyBorder="1" applyAlignment="1">
      <alignment vertical="center" wrapText="1"/>
    </xf>
    <xf numFmtId="0" fontId="24" fillId="21" borderId="139" xfId="15" applyFont="1" applyFill="1" applyBorder="1" applyAlignment="1">
      <alignment horizontal="center" vertical="center" wrapText="1"/>
    </xf>
    <xf numFmtId="0" fontId="24" fillId="21" borderId="140" xfId="15" applyFont="1" applyFill="1" applyBorder="1" applyAlignment="1">
      <alignment horizontal="center" vertical="center" wrapText="1"/>
    </xf>
    <xf numFmtId="0" fontId="20" fillId="7" borderId="138" xfId="15" applyFont="1" applyFill="1" applyBorder="1" applyAlignment="1">
      <alignment horizontal="left" vertical="center"/>
    </xf>
    <xf numFmtId="1" fontId="20" fillId="0" borderId="73"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1" xfId="0" applyNumberFormat="1" applyFont="1" applyBorder="1" applyAlignment="1">
      <alignment horizontal="center" vertical="center"/>
    </xf>
    <xf numFmtId="3" fontId="20" fillId="0" borderId="65" xfId="0" applyNumberFormat="1" applyFont="1" applyBorder="1" applyAlignment="1">
      <alignment horizontal="left" vertical="center"/>
    </xf>
    <xf numFmtId="0" fontId="20" fillId="0" borderId="125" xfId="0" applyFont="1" applyBorder="1" applyAlignment="1">
      <alignment horizontal="center" vertical="center"/>
    </xf>
    <xf numFmtId="3" fontId="20" fillId="0" borderId="2" xfId="0" applyNumberFormat="1" applyFont="1" applyBorder="1" applyAlignment="1">
      <alignment horizontal="left" vertical="center"/>
    </xf>
    <xf numFmtId="0" fontId="6" fillId="0" borderId="4" xfId="0" applyFont="1" applyBorder="1" applyAlignment="1">
      <alignment horizontal="left" vertical="center"/>
    </xf>
    <xf numFmtId="0" fontId="6" fillId="0" borderId="1" xfId="0" applyFont="1" applyBorder="1" applyAlignment="1">
      <alignment horizontal="center" vertical="center"/>
    </xf>
    <xf numFmtId="0" fontId="0" fillId="0" borderId="5" xfId="0" applyBorder="1" applyAlignment="1">
      <alignment horizontal="center" vertical="center" wrapText="1"/>
    </xf>
    <xf numFmtId="0" fontId="6" fillId="0" borderId="6" xfId="0" applyFont="1" applyBorder="1" applyAlignment="1">
      <alignment horizontal="left" vertical="center"/>
    </xf>
    <xf numFmtId="0" fontId="0" fillId="0" borderId="7" xfId="0" applyBorder="1" applyAlignment="1">
      <alignment horizontal="center" vertical="center" wrapText="1"/>
    </xf>
    <xf numFmtId="0" fontId="6" fillId="0" borderId="8" xfId="0" applyFont="1" applyBorder="1" applyAlignment="1">
      <alignment horizontal="left" vertical="center"/>
    </xf>
    <xf numFmtId="0" fontId="6" fillId="0" borderId="32" xfId="0" applyFont="1" applyBorder="1" applyAlignment="1">
      <alignment horizontal="center" vertical="center"/>
    </xf>
    <xf numFmtId="0" fontId="0" fillId="0" borderId="9" xfId="0" applyBorder="1" applyAlignment="1">
      <alignment horizontal="center" vertical="center" wrapText="1"/>
    </xf>
    <xf numFmtId="0" fontId="20" fillId="0" borderId="4" xfId="0" applyFont="1" applyBorder="1" applyAlignment="1">
      <alignment horizontal="left" vertical="center" wrapText="1"/>
    </xf>
    <xf numFmtId="0" fontId="20" fillId="0" borderId="1" xfId="0" applyFont="1" applyBorder="1" applyAlignment="1">
      <alignment horizontal="center" vertical="center"/>
    </xf>
    <xf numFmtId="0" fontId="42" fillId="0" borderId="37" xfId="0" applyFont="1" applyBorder="1" applyAlignment="1">
      <alignment horizontal="center" vertical="center" wrapText="1"/>
    </xf>
    <xf numFmtId="0" fontId="20" fillId="0" borderId="6" xfId="0" applyFont="1" applyBorder="1" applyAlignment="1">
      <alignment horizontal="left" vertical="center" wrapText="1"/>
    </xf>
    <xf numFmtId="0" fontId="42" fillId="0" borderId="104" xfId="0" applyFont="1" applyBorder="1" applyAlignment="1">
      <alignment horizontal="center" vertical="center" wrapText="1"/>
    </xf>
    <xf numFmtId="0" fontId="20" fillId="0" borderId="8" xfId="0" applyFont="1" applyBorder="1" applyAlignment="1">
      <alignment horizontal="left" vertical="center" wrapText="1"/>
    </xf>
    <xf numFmtId="0" fontId="42" fillId="0" borderId="106" xfId="0" applyFont="1" applyBorder="1" applyAlignment="1">
      <alignment horizontal="center" vertical="center" wrapText="1"/>
    </xf>
    <xf numFmtId="1" fontId="42" fillId="0" borderId="17" xfId="0" applyNumberFormat="1" applyFont="1" applyBorder="1" applyAlignment="1">
      <alignment horizontal="center" vertical="center"/>
    </xf>
    <xf numFmtId="0" fontId="20" fillId="0" borderId="228" xfId="0" applyFont="1" applyBorder="1" applyAlignment="1">
      <alignment horizontal="left" vertical="center" wrapText="1"/>
    </xf>
    <xf numFmtId="0" fontId="42" fillId="0" borderId="229" xfId="0" applyFont="1" applyBorder="1" applyAlignment="1">
      <alignment vertical="center"/>
    </xf>
    <xf numFmtId="0" fontId="42" fillId="0" borderId="107" xfId="0" applyFont="1" applyBorder="1" applyAlignment="1">
      <alignment horizontal="center" vertical="center" wrapText="1"/>
    </xf>
    <xf numFmtId="0" fontId="42" fillId="0" borderId="8" xfId="0" applyFont="1" applyBorder="1" applyAlignment="1">
      <alignment vertical="center"/>
    </xf>
    <xf numFmtId="1" fontId="42" fillId="0" borderId="32" xfId="0" applyNumberFormat="1" applyFont="1" applyBorder="1" applyAlignment="1">
      <alignment horizontal="center" vertical="center"/>
    </xf>
    <xf numFmtId="0" fontId="42" fillId="0" borderId="9" xfId="0" applyFont="1" applyBorder="1" applyAlignment="1">
      <alignment horizontal="center" vertical="center" wrapText="1"/>
    </xf>
    <xf numFmtId="0" fontId="24" fillId="0" borderId="0" xfId="0" applyFont="1" applyAlignment="1">
      <alignment horizontal="left" vertical="center" wrapText="1"/>
    </xf>
  </cellXfs>
  <cellStyles count="17">
    <cellStyle name="Comma" xfId="6" builtinId="3"/>
    <cellStyle name="Comma 2" xfId="14" xr:uid="{10C27430-1C0B-4940-87DB-0A0C74EA1F54}"/>
    <cellStyle name="Hyperlink" xfId="5" builtinId="8"/>
    <cellStyle name="Hyperlink 2" xfId="10" xr:uid="{10C1E3C0-F46B-4E25-BD9A-EE5D62F88FF2}"/>
    <cellStyle name="Hyperlink 3" xfId="16" xr:uid="{DC437F70-9733-489E-92E1-36C230F7D7D6}"/>
    <cellStyle name="Normal" xfId="0" builtinId="0"/>
    <cellStyle name="Normal 2" xfId="3" xr:uid="{E38C2638-0821-4BB2-9C33-A89D3950ADA6}"/>
    <cellStyle name="Normal 2 2" xfId="4" xr:uid="{7604919E-E68F-4366-A693-6A7B8B8DA661}"/>
    <cellStyle name="Normal 2 3" xfId="9" xr:uid="{8A1E39CD-7ABA-4D79-A464-67010D1209C1}"/>
    <cellStyle name="Normal 2 4" xfId="13" xr:uid="{2E8CF887-5657-4591-8DDF-E77002908140}"/>
    <cellStyle name="Normal 3" xfId="7" xr:uid="{1C10DAE4-4F9C-4E19-81E4-5574511A6741}"/>
    <cellStyle name="Normal 4" xfId="11" xr:uid="{43272557-B37F-4996-BC18-AA3EDEAFA379}"/>
    <cellStyle name="Normal 5" xfId="12" xr:uid="{642BE191-BE2F-4847-8420-1C59B95E270E}"/>
    <cellStyle name="Normal 7" xfId="15" xr:uid="{20BD91B0-F33E-404A-B5CE-709AF934ECC1}"/>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969595"/>
      <color rgb="FFA6A6A6"/>
      <color rgb="FF92D050"/>
      <color rgb="FFFF9900"/>
      <color rgb="FFCCCCFF"/>
      <color rgb="FF8238BA"/>
      <color rgb="FFFFEBCD"/>
      <color rgb="FF002F8E"/>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6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Occupancy</a:t>
            </a:r>
          </a:p>
        </c:rich>
      </c:tx>
      <c:overlay val="0"/>
    </c:title>
    <c:autoTitleDeleted val="0"/>
    <c:plotArea>
      <c:layout/>
      <c:lineChart>
        <c:grouping val="standard"/>
        <c:varyColors val="0"/>
        <c:ser>
          <c:idx val="0"/>
          <c:order val="0"/>
          <c:tx>
            <c:strRef>
              <c:f>Schedules!$E$4</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Schedules!$F$4:$AC$4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AF8D-456E-BAD7-A997480DEC87}"/>
            </c:ext>
          </c:extLst>
        </c:ser>
        <c:ser>
          <c:idx val="1"/>
          <c:order val="1"/>
          <c:tx>
            <c:strRef>
              <c:f>Schedules!$E$5</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Schedules!$F$5:$AC$5</c:f>
              <c:numCache>
                <c:formatCode>0.00</c:formatCode>
                <c:ptCount val="24"/>
                <c:pt idx="0">
                  <c:v>0</c:v>
                </c:pt>
                <c:pt idx="1">
                  <c:v>0</c:v>
                </c:pt>
                <c:pt idx="2">
                  <c:v>0</c:v>
                </c:pt>
                <c:pt idx="3">
                  <c:v>0</c:v>
                </c:pt>
                <c:pt idx="4">
                  <c:v>0</c:v>
                </c:pt>
                <c:pt idx="5">
                  <c:v>0</c:v>
                </c:pt>
                <c:pt idx="6">
                  <c:v>0</c:v>
                </c:pt>
                <c:pt idx="7">
                  <c:v>0.05</c:v>
                </c:pt>
                <c:pt idx="8">
                  <c:v>0.95</c:v>
                </c:pt>
                <c:pt idx="9">
                  <c:v>0.95</c:v>
                </c:pt>
                <c:pt idx="10">
                  <c:v>0.5</c:v>
                </c:pt>
                <c:pt idx="11">
                  <c:v>0.95</c:v>
                </c:pt>
                <c:pt idx="12">
                  <c:v>0.1</c:v>
                </c:pt>
                <c:pt idx="13">
                  <c:v>0.95</c:v>
                </c:pt>
                <c:pt idx="14">
                  <c:v>0.95</c:v>
                </c:pt>
                <c:pt idx="15">
                  <c:v>0.05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AF8D-456E-BAD7-A997480DEC87}"/>
            </c:ext>
          </c:extLst>
        </c:ser>
        <c:ser>
          <c:idx val="2"/>
          <c:order val="2"/>
          <c:tx>
            <c:strRef>
              <c:f>Schedules!$E$6</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Schedules!$F$6:$AC$6</c:f>
              <c:numCache>
                <c:formatCode>0.00</c:formatCode>
                <c:ptCount val="24"/>
                <c:pt idx="0">
                  <c:v>0</c:v>
                </c:pt>
                <c:pt idx="1">
                  <c:v>0</c:v>
                </c:pt>
                <c:pt idx="2">
                  <c:v>0</c:v>
                </c:pt>
                <c:pt idx="3">
                  <c:v>0</c:v>
                </c:pt>
                <c:pt idx="4">
                  <c:v>0</c:v>
                </c:pt>
                <c:pt idx="5">
                  <c:v>0</c:v>
                </c:pt>
                <c:pt idx="6">
                  <c:v>0</c:v>
                </c:pt>
                <c:pt idx="7">
                  <c:v>0.05</c:v>
                </c:pt>
                <c:pt idx="8">
                  <c:v>0.95</c:v>
                </c:pt>
                <c:pt idx="9">
                  <c:v>0.95</c:v>
                </c:pt>
                <c:pt idx="10">
                  <c:v>0.5</c:v>
                </c:pt>
                <c:pt idx="11">
                  <c:v>0.95</c:v>
                </c:pt>
                <c:pt idx="12">
                  <c:v>0.1</c:v>
                </c:pt>
                <c:pt idx="13">
                  <c:v>0.95</c:v>
                </c:pt>
                <c:pt idx="14">
                  <c:v>0.05</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AF8D-456E-BAD7-A997480DEC87}"/>
            </c:ext>
          </c:extLst>
        </c:ser>
        <c:ser>
          <c:idx val="3"/>
          <c:order val="3"/>
          <c:tx>
            <c:strRef>
              <c:f>Schedules!$E$7</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Schedules!$F$7:$AC$7</c:f>
              <c:numCache>
                <c:formatCode>0.00</c:formatCode>
                <c:ptCount val="24"/>
                <c:pt idx="0">
                  <c:v>0</c:v>
                </c:pt>
                <c:pt idx="1">
                  <c:v>0</c:v>
                </c:pt>
                <c:pt idx="2">
                  <c:v>0</c:v>
                </c:pt>
                <c:pt idx="3">
                  <c:v>0</c:v>
                </c:pt>
                <c:pt idx="4">
                  <c:v>0</c:v>
                </c:pt>
                <c:pt idx="5">
                  <c:v>0</c:v>
                </c:pt>
                <c:pt idx="6">
                  <c:v>0</c:v>
                </c:pt>
                <c:pt idx="7">
                  <c:v>0.05</c:v>
                </c:pt>
                <c:pt idx="8">
                  <c:v>0.95</c:v>
                </c:pt>
                <c:pt idx="9">
                  <c:v>0.95</c:v>
                </c:pt>
                <c:pt idx="10">
                  <c:v>0.5</c:v>
                </c:pt>
                <c:pt idx="11">
                  <c:v>0.95</c:v>
                </c:pt>
                <c:pt idx="12">
                  <c:v>0.05</c:v>
                </c:pt>
                <c:pt idx="13">
                  <c:v>0</c:v>
                </c:pt>
                <c:pt idx="14">
                  <c:v>0</c:v>
                </c:pt>
                <c:pt idx="15">
                  <c:v>0</c:v>
                </c:pt>
                <c:pt idx="16">
                  <c:v>0</c:v>
                </c:pt>
                <c:pt idx="17">
                  <c:v>0.15</c:v>
                </c:pt>
                <c:pt idx="18">
                  <c:v>0.15</c:v>
                </c:pt>
                <c:pt idx="19">
                  <c:v>0.15</c:v>
                </c:pt>
                <c:pt idx="20">
                  <c:v>0</c:v>
                </c:pt>
                <c:pt idx="21">
                  <c:v>0</c:v>
                </c:pt>
                <c:pt idx="22">
                  <c:v>0</c:v>
                </c:pt>
                <c:pt idx="23">
                  <c:v>0</c:v>
                </c:pt>
              </c:numCache>
            </c:numRef>
          </c:val>
          <c:smooth val="0"/>
          <c:extLst>
            <c:ext xmlns:c16="http://schemas.microsoft.com/office/drawing/2014/chart" uri="{C3380CC4-5D6E-409C-BE32-E72D297353CC}">
              <c16:uniqueId val="{00000005-AF8D-456E-BAD7-A997480DEC87}"/>
            </c:ext>
          </c:extLst>
        </c:ser>
        <c:ser>
          <c:idx val="4"/>
          <c:order val="4"/>
          <c:tx>
            <c:strRef>
              <c:f>Schedules!$E$8</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Schedules!$F$8:$AC$8</c:f>
              <c:numCache>
                <c:formatCode>0.00</c:formatCode>
                <c:ptCount val="24"/>
                <c:pt idx="0">
                  <c:v>0</c:v>
                </c:pt>
                <c:pt idx="1">
                  <c:v>0</c:v>
                </c:pt>
                <c:pt idx="2">
                  <c:v>0</c:v>
                </c:pt>
                <c:pt idx="3">
                  <c:v>0</c:v>
                </c:pt>
                <c:pt idx="4">
                  <c:v>0</c:v>
                </c:pt>
                <c:pt idx="5">
                  <c:v>0</c:v>
                </c:pt>
                <c:pt idx="6">
                  <c:v>0</c:v>
                </c:pt>
                <c:pt idx="7">
                  <c:v>2.5000000000000001E-2</c:v>
                </c:pt>
                <c:pt idx="8">
                  <c:v>0.5</c:v>
                </c:pt>
                <c:pt idx="9">
                  <c:v>0.5</c:v>
                </c:pt>
                <c:pt idx="10">
                  <c:v>0.5</c:v>
                </c:pt>
                <c:pt idx="11">
                  <c:v>0.5</c:v>
                </c:pt>
                <c:pt idx="12">
                  <c:v>2.5000000000000001E-2</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AF8D-456E-BAD7-A997480DEC87}"/>
            </c:ext>
          </c:extLst>
        </c:ser>
        <c:dLbls>
          <c:showLegendKey val="0"/>
          <c:showVal val="0"/>
          <c:showCatName val="0"/>
          <c:showSerName val="0"/>
          <c:showPercent val="0"/>
          <c:showBubbleSize val="0"/>
        </c:dLbls>
        <c:smooth val="0"/>
        <c:axId val="1191639456"/>
        <c:axId val="178849840"/>
      </c:lineChart>
      <c:catAx>
        <c:axId val="1191639456"/>
        <c:scaling>
          <c:orientation val="minMax"/>
        </c:scaling>
        <c:delete val="0"/>
        <c:axPos val="b"/>
        <c:numFmt formatCode="General" sourceLinked="1"/>
        <c:majorTickMark val="out"/>
        <c:minorTickMark val="none"/>
        <c:tickLblPos val="nextTo"/>
        <c:crossAx val="178849840"/>
        <c:crosses val="autoZero"/>
        <c:auto val="1"/>
        <c:lblAlgn val="ctr"/>
        <c:lblOffset val="100"/>
        <c:noMultiLvlLbl val="0"/>
      </c:catAx>
      <c:valAx>
        <c:axId val="178849840"/>
        <c:scaling>
          <c:orientation val="minMax"/>
          <c:max val="1"/>
          <c:min val="0"/>
        </c:scaling>
        <c:delete val="0"/>
        <c:axPos val="l"/>
        <c:majorGridlines/>
        <c:numFmt formatCode="0.00" sourceLinked="1"/>
        <c:majorTickMark val="out"/>
        <c:minorTickMark val="none"/>
        <c:tickLblPos val="nextTo"/>
        <c:crossAx val="119163945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Lights</a:t>
            </a:r>
          </a:p>
        </c:rich>
      </c:tx>
      <c:overlay val="0"/>
    </c:title>
    <c:autoTitleDeleted val="0"/>
    <c:plotArea>
      <c:layout/>
      <c:lineChart>
        <c:grouping val="standard"/>
        <c:varyColors val="0"/>
        <c:ser>
          <c:idx val="0"/>
          <c:order val="0"/>
          <c:tx>
            <c:strRef>
              <c:f>Schedules!$E$9</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Schedules!$F$9:$AC$9</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B8B1-499A-AB6E-154EEC1DA152}"/>
            </c:ext>
          </c:extLst>
        </c:ser>
        <c:ser>
          <c:idx val="1"/>
          <c:order val="1"/>
          <c:tx>
            <c:strRef>
              <c:f>Schedules!$E$10</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Schedules!$F$10:$AC$10</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B8B1-499A-AB6E-154EEC1DA152}"/>
            </c:ext>
          </c:extLst>
        </c:ser>
        <c:ser>
          <c:idx val="2"/>
          <c:order val="2"/>
          <c:tx>
            <c:strRef>
              <c:f>Schedules!$E$11</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Schedules!$F$11:$AC$11</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B8B1-499A-AB6E-154EEC1DA152}"/>
            </c:ext>
          </c:extLst>
        </c:ser>
        <c:ser>
          <c:idx val="3"/>
          <c:order val="3"/>
          <c:tx>
            <c:strRef>
              <c:f>Schedules!$E$12</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Schedules!$F$12:$AC$12</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5-B8B1-499A-AB6E-154EEC1DA152}"/>
            </c:ext>
          </c:extLst>
        </c:ser>
        <c:ser>
          <c:idx val="4"/>
          <c:order val="4"/>
          <c:tx>
            <c:strRef>
              <c:f>Schedules!$E$13</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Schedules!$F$13:$AC$13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B8B1-499A-AB6E-154EEC1DA152}"/>
            </c:ext>
          </c:extLst>
        </c:ser>
        <c:dLbls>
          <c:showLegendKey val="0"/>
          <c:showVal val="0"/>
          <c:showCatName val="0"/>
          <c:showSerName val="0"/>
          <c:showPercent val="0"/>
          <c:showBubbleSize val="0"/>
        </c:dLbls>
        <c:smooth val="0"/>
        <c:axId val="1191661728"/>
        <c:axId val="178857040"/>
      </c:lineChart>
      <c:catAx>
        <c:axId val="1191661728"/>
        <c:scaling>
          <c:orientation val="minMax"/>
        </c:scaling>
        <c:delete val="0"/>
        <c:axPos val="b"/>
        <c:numFmt formatCode="General" sourceLinked="1"/>
        <c:majorTickMark val="out"/>
        <c:minorTickMark val="none"/>
        <c:tickLblPos val="nextTo"/>
        <c:crossAx val="178857040"/>
        <c:crosses val="autoZero"/>
        <c:auto val="1"/>
        <c:lblAlgn val="ctr"/>
        <c:lblOffset val="100"/>
        <c:noMultiLvlLbl val="0"/>
      </c:catAx>
      <c:valAx>
        <c:axId val="178857040"/>
        <c:scaling>
          <c:orientation val="minMax"/>
          <c:max val="1"/>
          <c:min val="0"/>
        </c:scaling>
        <c:delete val="0"/>
        <c:axPos val="l"/>
        <c:majorGridlines/>
        <c:numFmt formatCode="0.00" sourceLinked="1"/>
        <c:majorTickMark val="out"/>
        <c:minorTickMark val="none"/>
        <c:tickLblPos val="nextTo"/>
        <c:crossAx val="119166172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ElecEquipment</a:t>
            </a:r>
          </a:p>
        </c:rich>
      </c:tx>
      <c:overlay val="0"/>
    </c:title>
    <c:autoTitleDeleted val="0"/>
    <c:plotArea>
      <c:layout/>
      <c:lineChart>
        <c:grouping val="standard"/>
        <c:varyColors val="0"/>
        <c:ser>
          <c:idx val="0"/>
          <c:order val="0"/>
          <c:tx>
            <c:strRef>
              <c:f>Schedules!$E$14</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Schedules!$F$14:$AC$14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CCA-4AFB-A359-336A8C5EFFDA}"/>
            </c:ext>
          </c:extLst>
        </c:ser>
        <c:ser>
          <c:idx val="1"/>
          <c:order val="1"/>
          <c:tx>
            <c:strRef>
              <c:f>Schedules!$E$15</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Schedules!$F$15:$AC$15</c:f>
              <c:numCache>
                <c:formatCode>0.00</c:formatCode>
                <c:ptCount val="24"/>
                <c:pt idx="0">
                  <c:v>0.06</c:v>
                </c:pt>
                <c:pt idx="1">
                  <c:v>0.06</c:v>
                </c:pt>
                <c:pt idx="2">
                  <c:v>0.06</c:v>
                </c:pt>
                <c:pt idx="3">
                  <c:v>0.06</c:v>
                </c:pt>
                <c:pt idx="4">
                  <c:v>0.06</c:v>
                </c:pt>
                <c:pt idx="5">
                  <c:v>0.06</c:v>
                </c:pt>
                <c:pt idx="6">
                  <c:v>0.06</c:v>
                </c:pt>
                <c:pt idx="7">
                  <c:v>0.25</c:v>
                </c:pt>
                <c:pt idx="8">
                  <c:v>0.5</c:v>
                </c:pt>
                <c:pt idx="9">
                  <c:v>0.5</c:v>
                </c:pt>
                <c:pt idx="10">
                  <c:v>0.25</c:v>
                </c:pt>
                <c:pt idx="11">
                  <c:v>0.5</c:v>
                </c:pt>
                <c:pt idx="12">
                  <c:v>0.25</c:v>
                </c:pt>
                <c:pt idx="13">
                  <c:v>0.5</c:v>
                </c:pt>
                <c:pt idx="14">
                  <c:v>0.5</c:v>
                </c:pt>
                <c:pt idx="15">
                  <c:v>0.5</c:v>
                </c:pt>
                <c:pt idx="16">
                  <c:v>0.5</c:v>
                </c:pt>
                <c:pt idx="17">
                  <c:v>0.5</c:v>
                </c:pt>
                <c:pt idx="18">
                  <c:v>0.5</c:v>
                </c:pt>
                <c:pt idx="19">
                  <c:v>0.2</c:v>
                </c:pt>
                <c:pt idx="20">
                  <c:v>0.06</c:v>
                </c:pt>
                <c:pt idx="21">
                  <c:v>0.06</c:v>
                </c:pt>
                <c:pt idx="22">
                  <c:v>0.06</c:v>
                </c:pt>
                <c:pt idx="23">
                  <c:v>0.06</c:v>
                </c:pt>
              </c:numCache>
            </c:numRef>
          </c:val>
          <c:smooth val="0"/>
          <c:extLst>
            <c:ext xmlns:c16="http://schemas.microsoft.com/office/drawing/2014/chart" uri="{C3380CC4-5D6E-409C-BE32-E72D297353CC}">
              <c16:uniqueId val="{00000003-3CCA-4AFB-A359-336A8C5EFFDA}"/>
            </c:ext>
          </c:extLst>
        </c:ser>
        <c:ser>
          <c:idx val="2"/>
          <c:order val="2"/>
          <c:tx>
            <c:strRef>
              <c:f>Schedules!$E$16</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Schedules!$F$16:$AC$16</c:f>
              <c:numCache>
                <c:formatCode>0.00</c:formatCode>
                <c:ptCount val="24"/>
                <c:pt idx="0">
                  <c:v>0.06</c:v>
                </c:pt>
                <c:pt idx="1">
                  <c:v>0.06</c:v>
                </c:pt>
                <c:pt idx="2">
                  <c:v>0.06</c:v>
                </c:pt>
                <c:pt idx="3">
                  <c:v>0.06</c:v>
                </c:pt>
                <c:pt idx="4">
                  <c:v>0.06</c:v>
                </c:pt>
                <c:pt idx="5">
                  <c:v>0.06</c:v>
                </c:pt>
                <c:pt idx="6">
                  <c:v>0.06</c:v>
                </c:pt>
                <c:pt idx="7">
                  <c:v>0.25</c:v>
                </c:pt>
                <c:pt idx="8">
                  <c:v>0.5</c:v>
                </c:pt>
                <c:pt idx="9">
                  <c:v>0.5</c:v>
                </c:pt>
                <c:pt idx="10">
                  <c:v>0.25</c:v>
                </c:pt>
                <c:pt idx="11">
                  <c:v>0.5</c:v>
                </c:pt>
                <c:pt idx="12">
                  <c:v>0.25</c:v>
                </c:pt>
                <c:pt idx="13">
                  <c:v>0.5</c:v>
                </c:pt>
                <c:pt idx="14">
                  <c:v>0.5</c:v>
                </c:pt>
                <c:pt idx="15">
                  <c:v>0.5</c:v>
                </c:pt>
                <c:pt idx="16">
                  <c:v>0.5</c:v>
                </c:pt>
                <c:pt idx="17">
                  <c:v>0.5</c:v>
                </c:pt>
                <c:pt idx="18">
                  <c:v>0.5</c:v>
                </c:pt>
                <c:pt idx="19">
                  <c:v>0.2</c:v>
                </c:pt>
                <c:pt idx="20">
                  <c:v>0.06</c:v>
                </c:pt>
                <c:pt idx="21">
                  <c:v>0.06</c:v>
                </c:pt>
                <c:pt idx="22">
                  <c:v>0.06</c:v>
                </c:pt>
                <c:pt idx="23">
                  <c:v>0.06</c:v>
                </c:pt>
              </c:numCache>
            </c:numRef>
          </c:val>
          <c:smooth val="0"/>
          <c:extLst>
            <c:ext xmlns:c16="http://schemas.microsoft.com/office/drawing/2014/chart" uri="{C3380CC4-5D6E-409C-BE32-E72D297353CC}">
              <c16:uniqueId val="{00000004-3CCA-4AFB-A359-336A8C5EFFDA}"/>
            </c:ext>
          </c:extLst>
        </c:ser>
        <c:ser>
          <c:idx val="3"/>
          <c:order val="3"/>
          <c:tx>
            <c:strRef>
              <c:f>Schedules!$E$17</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Schedules!$F$17:$AC$17</c:f>
              <c:numCache>
                <c:formatCode>0.00</c:formatCode>
                <c:ptCount val="24"/>
                <c:pt idx="0">
                  <c:v>0.06</c:v>
                </c:pt>
                <c:pt idx="1">
                  <c:v>0.06</c:v>
                </c:pt>
                <c:pt idx="2">
                  <c:v>0.06</c:v>
                </c:pt>
                <c:pt idx="3">
                  <c:v>0.06</c:v>
                </c:pt>
                <c:pt idx="4">
                  <c:v>0.06</c:v>
                </c:pt>
                <c:pt idx="5">
                  <c:v>0.06</c:v>
                </c:pt>
                <c:pt idx="6">
                  <c:v>0.06</c:v>
                </c:pt>
                <c:pt idx="7">
                  <c:v>0.25</c:v>
                </c:pt>
                <c:pt idx="8">
                  <c:v>0.5</c:v>
                </c:pt>
                <c:pt idx="9">
                  <c:v>0.5</c:v>
                </c:pt>
                <c:pt idx="10">
                  <c:v>0.25</c:v>
                </c:pt>
                <c:pt idx="11">
                  <c:v>0.5</c:v>
                </c:pt>
                <c:pt idx="12">
                  <c:v>0.25</c:v>
                </c:pt>
                <c:pt idx="13">
                  <c:v>0.5</c:v>
                </c:pt>
                <c:pt idx="14">
                  <c:v>0.5</c:v>
                </c:pt>
                <c:pt idx="15">
                  <c:v>0.5</c:v>
                </c:pt>
                <c:pt idx="16">
                  <c:v>0.5</c:v>
                </c:pt>
                <c:pt idx="17">
                  <c:v>0.5</c:v>
                </c:pt>
                <c:pt idx="18">
                  <c:v>0.5</c:v>
                </c:pt>
                <c:pt idx="19">
                  <c:v>0.2</c:v>
                </c:pt>
                <c:pt idx="20">
                  <c:v>0.06</c:v>
                </c:pt>
                <c:pt idx="21">
                  <c:v>0.06</c:v>
                </c:pt>
                <c:pt idx="22">
                  <c:v>0.06</c:v>
                </c:pt>
                <c:pt idx="23">
                  <c:v>0.06</c:v>
                </c:pt>
              </c:numCache>
            </c:numRef>
          </c:val>
          <c:smooth val="0"/>
          <c:extLst>
            <c:ext xmlns:c16="http://schemas.microsoft.com/office/drawing/2014/chart" uri="{C3380CC4-5D6E-409C-BE32-E72D297353CC}">
              <c16:uniqueId val="{00000005-3CCA-4AFB-A359-336A8C5EFFDA}"/>
            </c:ext>
          </c:extLst>
        </c:ser>
        <c:ser>
          <c:idx val="4"/>
          <c:order val="4"/>
          <c:tx>
            <c:strRef>
              <c:f>Schedules!$E$18</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Schedules!$F$18:$AC$18</c:f>
              <c:numCache>
                <c:formatCode>0.00</c:formatCode>
                <c:ptCount val="24"/>
                <c:pt idx="0">
                  <c:v>0.06</c:v>
                </c:pt>
                <c:pt idx="1">
                  <c:v>0.06</c:v>
                </c:pt>
                <c:pt idx="2">
                  <c:v>0.06</c:v>
                </c:pt>
                <c:pt idx="3">
                  <c:v>0.06</c:v>
                </c:pt>
                <c:pt idx="4">
                  <c:v>0.06</c:v>
                </c:pt>
                <c:pt idx="5">
                  <c:v>0.06</c:v>
                </c:pt>
                <c:pt idx="6">
                  <c:v>0.06</c:v>
                </c:pt>
                <c:pt idx="7">
                  <c:v>0.25</c:v>
                </c:pt>
                <c:pt idx="8">
                  <c:v>0.5</c:v>
                </c:pt>
                <c:pt idx="9">
                  <c:v>0.5</c:v>
                </c:pt>
                <c:pt idx="10">
                  <c:v>0.5</c:v>
                </c:pt>
                <c:pt idx="11">
                  <c:v>0.5</c:v>
                </c:pt>
                <c:pt idx="12">
                  <c:v>0.5</c:v>
                </c:pt>
                <c:pt idx="13">
                  <c:v>0.5</c:v>
                </c:pt>
                <c:pt idx="14">
                  <c:v>0.5</c:v>
                </c:pt>
                <c:pt idx="15">
                  <c:v>0.5</c:v>
                </c:pt>
                <c:pt idx="16">
                  <c:v>0.2</c:v>
                </c:pt>
                <c:pt idx="17">
                  <c:v>0.06</c:v>
                </c:pt>
                <c:pt idx="18">
                  <c:v>0.06</c:v>
                </c:pt>
                <c:pt idx="19">
                  <c:v>0.06</c:v>
                </c:pt>
                <c:pt idx="20">
                  <c:v>0.06</c:v>
                </c:pt>
                <c:pt idx="21">
                  <c:v>0.06</c:v>
                </c:pt>
                <c:pt idx="22">
                  <c:v>0.06</c:v>
                </c:pt>
                <c:pt idx="23">
                  <c:v>0.06</c:v>
                </c:pt>
              </c:numCache>
            </c:numRef>
          </c:val>
          <c:smooth val="0"/>
          <c:extLst>
            <c:ext xmlns:c16="http://schemas.microsoft.com/office/drawing/2014/chart" uri="{C3380CC4-5D6E-409C-BE32-E72D297353CC}">
              <c16:uniqueId val="{00000006-3CCA-4AFB-A359-336A8C5EFFDA}"/>
            </c:ext>
          </c:extLst>
        </c:ser>
        <c:dLbls>
          <c:showLegendKey val="0"/>
          <c:showVal val="0"/>
          <c:showCatName val="0"/>
          <c:showSerName val="0"/>
          <c:showPercent val="0"/>
          <c:showBubbleSize val="0"/>
        </c:dLbls>
        <c:smooth val="0"/>
        <c:axId val="1191673328"/>
        <c:axId val="1162104144"/>
      </c:lineChart>
      <c:catAx>
        <c:axId val="1191673328"/>
        <c:scaling>
          <c:orientation val="minMax"/>
        </c:scaling>
        <c:delete val="0"/>
        <c:axPos val="b"/>
        <c:numFmt formatCode="General" sourceLinked="1"/>
        <c:majorTickMark val="out"/>
        <c:minorTickMark val="none"/>
        <c:tickLblPos val="nextTo"/>
        <c:crossAx val="1162104144"/>
        <c:crosses val="autoZero"/>
        <c:auto val="1"/>
        <c:lblAlgn val="ctr"/>
        <c:lblOffset val="100"/>
        <c:noMultiLvlLbl val="0"/>
      </c:catAx>
      <c:valAx>
        <c:axId val="1162104144"/>
        <c:scaling>
          <c:orientation val="minMax"/>
          <c:max val="1"/>
          <c:min val="0"/>
        </c:scaling>
        <c:delete val="0"/>
        <c:axPos val="l"/>
        <c:majorGridlines/>
        <c:numFmt formatCode="0.00" sourceLinked="1"/>
        <c:majorTickMark val="out"/>
        <c:minorTickMark val="none"/>
        <c:tickLblPos val="nextTo"/>
        <c:crossAx val="119167332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ServiceHotWater</a:t>
            </a:r>
          </a:p>
        </c:rich>
      </c:tx>
      <c:overlay val="0"/>
    </c:title>
    <c:autoTitleDeleted val="0"/>
    <c:plotArea>
      <c:layout/>
      <c:lineChart>
        <c:grouping val="standard"/>
        <c:varyColors val="0"/>
        <c:ser>
          <c:idx val="0"/>
          <c:order val="0"/>
          <c:tx>
            <c:strRef>
              <c:f>Schedules!$E$19</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Schedules!$F$19:$AC$19</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CADF-45EF-8D18-84BFBAC52BD2}"/>
            </c:ext>
          </c:extLst>
        </c:ser>
        <c:ser>
          <c:idx val="1"/>
          <c:order val="1"/>
          <c:tx>
            <c:strRef>
              <c:f>Schedules!$E$20</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Schedules!$F$20:$AC$20</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3-CADF-45EF-8D18-84BFBAC52BD2}"/>
            </c:ext>
          </c:extLst>
        </c:ser>
        <c:ser>
          <c:idx val="2"/>
          <c:order val="2"/>
          <c:tx>
            <c:strRef>
              <c:f>Schedules!$E$21</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Schedules!$F$21:$AC$21</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4-CADF-45EF-8D18-84BFBAC52BD2}"/>
            </c:ext>
          </c:extLst>
        </c:ser>
        <c:ser>
          <c:idx val="3"/>
          <c:order val="3"/>
          <c:tx>
            <c:strRef>
              <c:f>Schedules!$E$22</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Schedules!$F$22:$AC$22</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5-CADF-45EF-8D18-84BFBAC52BD2}"/>
            </c:ext>
          </c:extLst>
        </c:ser>
        <c:ser>
          <c:idx val="4"/>
          <c:order val="4"/>
          <c:tx>
            <c:strRef>
              <c:f>Schedules!$E$23</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Schedules!$F$23:$AC$23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6-CADF-45EF-8D18-84BFBAC52BD2}"/>
            </c:ext>
          </c:extLst>
        </c:ser>
        <c:dLbls>
          <c:showLegendKey val="0"/>
          <c:showVal val="0"/>
          <c:showCatName val="0"/>
          <c:showSerName val="0"/>
          <c:showPercent val="0"/>
          <c:showBubbleSize val="0"/>
        </c:dLbls>
        <c:smooth val="0"/>
        <c:axId val="1191689104"/>
        <c:axId val="1162137744"/>
      </c:lineChart>
      <c:catAx>
        <c:axId val="1191689104"/>
        <c:scaling>
          <c:orientation val="minMax"/>
        </c:scaling>
        <c:delete val="0"/>
        <c:axPos val="b"/>
        <c:numFmt formatCode="General" sourceLinked="1"/>
        <c:majorTickMark val="out"/>
        <c:minorTickMark val="none"/>
        <c:tickLblPos val="nextTo"/>
        <c:crossAx val="1162137744"/>
        <c:crosses val="autoZero"/>
        <c:auto val="1"/>
        <c:lblAlgn val="ctr"/>
        <c:lblOffset val="100"/>
        <c:noMultiLvlLbl val="0"/>
      </c:catAx>
      <c:valAx>
        <c:axId val="1162137744"/>
        <c:scaling>
          <c:orientation val="minMax"/>
          <c:max val="1"/>
          <c:min val="0"/>
        </c:scaling>
        <c:delete val="0"/>
        <c:axPos val="l"/>
        <c:majorGridlines/>
        <c:numFmt formatCode="0.00" sourceLinked="1"/>
        <c:majorTickMark val="out"/>
        <c:minorTickMark val="none"/>
        <c:tickLblPos val="nextTo"/>
        <c:crossAx val="119168910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GasEquipment</a:t>
            </a:r>
          </a:p>
        </c:rich>
      </c:tx>
      <c:overlay val="0"/>
    </c:title>
    <c:autoTitleDeleted val="0"/>
    <c:plotArea>
      <c:layout/>
      <c:lineChart>
        <c:grouping val="standard"/>
        <c:varyColors val="0"/>
        <c:ser>
          <c:idx val="0"/>
          <c:order val="0"/>
          <c:tx>
            <c:strRef>
              <c:f>Schedules!$E$24</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C9CB-4510-A6D1-20FFE11BB1F5}"/>
            </c:ext>
          </c:extLst>
        </c:ser>
        <c:ser>
          <c:idx val="1"/>
          <c:order val="1"/>
          <c:tx>
            <c:strRef>
              <c:f>Schedules!$E$25</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Schedules!$F$25:$AC$25</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C9CB-4510-A6D1-20FFE11BB1F5}"/>
            </c:ext>
          </c:extLst>
        </c:ser>
        <c:ser>
          <c:idx val="2"/>
          <c:order val="2"/>
          <c:tx>
            <c:strRef>
              <c:f>Schedules!$E$26</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Schedules!$F$26:$AC$26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C9CB-4510-A6D1-20FFE11BB1F5}"/>
            </c:ext>
          </c:extLst>
        </c:ser>
        <c:ser>
          <c:idx val="3"/>
          <c:order val="3"/>
          <c:tx>
            <c:strRef>
              <c:f>Schedules!$E$27</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Schedules!$F$27:$AC$27</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C9CB-4510-A6D1-20FFE11BB1F5}"/>
            </c:ext>
          </c:extLst>
        </c:ser>
        <c:ser>
          <c:idx val="4"/>
          <c:order val="4"/>
          <c:tx>
            <c:strRef>
              <c:f>Schedules!$E$28</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Schedules!$F$28:$AC$28</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C9CB-4510-A6D1-20FFE11BB1F5}"/>
            </c:ext>
          </c:extLst>
        </c:ser>
        <c:dLbls>
          <c:showLegendKey val="0"/>
          <c:showVal val="0"/>
          <c:showCatName val="0"/>
          <c:showSerName val="0"/>
          <c:showPercent val="0"/>
          <c:showBubbleSize val="0"/>
        </c:dLbls>
        <c:smooth val="0"/>
        <c:axId val="1191697920"/>
        <c:axId val="1162180464"/>
      </c:lineChart>
      <c:catAx>
        <c:axId val="1191697920"/>
        <c:scaling>
          <c:orientation val="minMax"/>
        </c:scaling>
        <c:delete val="0"/>
        <c:axPos val="b"/>
        <c:numFmt formatCode="General" sourceLinked="1"/>
        <c:majorTickMark val="out"/>
        <c:minorTickMark val="none"/>
        <c:tickLblPos val="nextTo"/>
        <c:crossAx val="1162180464"/>
        <c:crosses val="autoZero"/>
        <c:auto val="1"/>
        <c:lblAlgn val="ctr"/>
        <c:lblOffset val="100"/>
        <c:noMultiLvlLbl val="0"/>
      </c:catAx>
      <c:valAx>
        <c:axId val="1162180464"/>
        <c:scaling>
          <c:orientation val="minMax"/>
          <c:max val="1"/>
          <c:min val="0"/>
        </c:scaling>
        <c:delete val="0"/>
        <c:axPos val="l"/>
        <c:majorGridlines/>
        <c:numFmt formatCode="0.00" sourceLinked="1"/>
        <c:majorTickMark val="out"/>
        <c:minorTickMark val="none"/>
        <c:tickLblPos val="nextTo"/>
        <c:crossAx val="1191697920"/>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Refrigeration</a:t>
            </a:r>
          </a:p>
        </c:rich>
      </c:tx>
      <c:overlay val="0"/>
    </c:title>
    <c:autoTitleDeleted val="0"/>
    <c:plotArea>
      <c:layout/>
      <c:lineChart>
        <c:grouping val="standard"/>
        <c:varyColors val="0"/>
        <c:ser>
          <c:idx val="0"/>
          <c:order val="0"/>
          <c:tx>
            <c:strRef>
              <c:f>Schedules!$E$29</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Schedules!$F$29:$AC$29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2F42-4BD5-96B2-9D9A51EDFCC6}"/>
            </c:ext>
          </c:extLst>
        </c:ser>
        <c:ser>
          <c:idx val="1"/>
          <c:order val="1"/>
          <c:tx>
            <c:strRef>
              <c:f>Schedules!$E$30</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Schedules!$F$30:$AC$30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3-2F42-4BD5-96B2-9D9A51EDFCC6}"/>
            </c:ext>
          </c:extLst>
        </c:ser>
        <c:ser>
          <c:idx val="2"/>
          <c:order val="2"/>
          <c:tx>
            <c:strRef>
              <c:f>Schedules!$E$31</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Schedules!$F$31:$AC$31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4-2F42-4BD5-96B2-9D9A51EDFCC6}"/>
            </c:ext>
          </c:extLst>
        </c:ser>
        <c:ser>
          <c:idx val="3"/>
          <c:order val="3"/>
          <c:tx>
            <c:strRef>
              <c:f>Schedules!$E$32</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Schedules!$F$32:$AC$32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5-2F42-4BD5-96B2-9D9A51EDFCC6}"/>
            </c:ext>
          </c:extLst>
        </c:ser>
        <c:ser>
          <c:idx val="4"/>
          <c:order val="4"/>
          <c:tx>
            <c:strRef>
              <c:f>Schedules!$E$33</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Schedules!$F$33:$AC$33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6-2F42-4BD5-96B2-9D9A51EDFCC6}"/>
            </c:ext>
          </c:extLst>
        </c:ser>
        <c:dLbls>
          <c:showLegendKey val="0"/>
          <c:showVal val="0"/>
          <c:showCatName val="0"/>
          <c:showSerName val="0"/>
          <c:showPercent val="0"/>
          <c:showBubbleSize val="0"/>
        </c:dLbls>
        <c:smooth val="0"/>
        <c:axId val="1191646416"/>
        <c:axId val="1162201104"/>
      </c:lineChart>
      <c:catAx>
        <c:axId val="1191646416"/>
        <c:scaling>
          <c:orientation val="minMax"/>
        </c:scaling>
        <c:delete val="0"/>
        <c:axPos val="b"/>
        <c:numFmt formatCode="General" sourceLinked="1"/>
        <c:majorTickMark val="out"/>
        <c:minorTickMark val="none"/>
        <c:tickLblPos val="nextTo"/>
        <c:crossAx val="1162201104"/>
        <c:crosses val="autoZero"/>
        <c:auto val="1"/>
        <c:lblAlgn val="ctr"/>
        <c:lblOffset val="100"/>
        <c:noMultiLvlLbl val="0"/>
      </c:catAx>
      <c:valAx>
        <c:axId val="1162201104"/>
        <c:scaling>
          <c:orientation val="minMax"/>
          <c:max val="1"/>
          <c:min val="0"/>
        </c:scaling>
        <c:delete val="0"/>
        <c:axPos val="l"/>
        <c:majorGridlines/>
        <c:numFmt formatCode="0.00" sourceLinked="1"/>
        <c:majorTickMark val="out"/>
        <c:minorTickMark val="none"/>
        <c:tickLblPos val="nextTo"/>
        <c:crossAx val="119164641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HVACAvail</a:t>
            </a:r>
          </a:p>
        </c:rich>
      </c:tx>
      <c:overlay val="0"/>
    </c:title>
    <c:autoTitleDeleted val="0"/>
    <c:plotArea>
      <c:layout/>
      <c:lineChart>
        <c:grouping val="standard"/>
        <c:varyColors val="0"/>
        <c:ser>
          <c:idx val="0"/>
          <c:order val="0"/>
          <c:tx>
            <c:strRef>
              <c:f>Schedules!$E$34</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Schedules!$F$34:$AC$34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FA15-4B7E-8849-DBF3C44A4E7A}"/>
            </c:ext>
          </c:extLst>
        </c:ser>
        <c:ser>
          <c:idx val="1"/>
          <c:order val="1"/>
          <c:tx>
            <c:strRef>
              <c:f>Schedules!$E$35</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Schedules!$F$35:$AC$35</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FA15-4B7E-8849-DBF3C44A4E7A}"/>
            </c:ext>
          </c:extLst>
        </c:ser>
        <c:ser>
          <c:idx val="2"/>
          <c:order val="2"/>
          <c:tx>
            <c:strRef>
              <c:f>Schedules!$E$36</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Schedules!$F$36:$AC$36</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FA15-4B7E-8849-DBF3C44A4E7A}"/>
            </c:ext>
          </c:extLst>
        </c:ser>
        <c:ser>
          <c:idx val="3"/>
          <c:order val="3"/>
          <c:tx>
            <c:strRef>
              <c:f>Schedules!$E$37</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Schedules!$F$37:$AC$37</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5-FA15-4B7E-8849-DBF3C44A4E7A}"/>
            </c:ext>
          </c:extLst>
        </c:ser>
        <c:ser>
          <c:idx val="4"/>
          <c:order val="4"/>
          <c:tx>
            <c:strRef>
              <c:f>Schedules!$E$38</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Schedules!$F$38:$AC$38</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FA15-4B7E-8849-DBF3C44A4E7A}"/>
            </c:ext>
          </c:extLst>
        </c:ser>
        <c:dLbls>
          <c:showLegendKey val="0"/>
          <c:showVal val="0"/>
          <c:showCatName val="0"/>
          <c:showSerName val="0"/>
          <c:showPercent val="0"/>
          <c:showBubbleSize val="0"/>
        </c:dLbls>
        <c:smooth val="0"/>
        <c:axId val="1191671936"/>
        <c:axId val="1161986544"/>
      </c:lineChart>
      <c:catAx>
        <c:axId val="1191671936"/>
        <c:scaling>
          <c:orientation val="minMax"/>
        </c:scaling>
        <c:delete val="0"/>
        <c:axPos val="b"/>
        <c:numFmt formatCode="General" sourceLinked="1"/>
        <c:majorTickMark val="out"/>
        <c:minorTickMark val="none"/>
        <c:tickLblPos val="nextTo"/>
        <c:crossAx val="1161986544"/>
        <c:crosses val="autoZero"/>
        <c:auto val="1"/>
        <c:lblAlgn val="ctr"/>
        <c:lblOffset val="100"/>
        <c:noMultiLvlLbl val="0"/>
      </c:catAx>
      <c:valAx>
        <c:axId val="1161986544"/>
        <c:scaling>
          <c:orientation val="minMax"/>
          <c:max val="1"/>
          <c:min val="0"/>
        </c:scaling>
        <c:delete val="0"/>
        <c:axPos val="l"/>
        <c:majorGridlines/>
        <c:numFmt formatCode="0.00" sourceLinked="1"/>
        <c:majorTickMark val="out"/>
        <c:minorTickMark val="none"/>
        <c:tickLblPos val="nextTo"/>
        <c:crossAx val="119167193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HtgSetpt</a:t>
            </a:r>
          </a:p>
        </c:rich>
      </c:tx>
      <c:overlay val="0"/>
    </c:title>
    <c:autoTitleDeleted val="0"/>
    <c:plotArea>
      <c:layout/>
      <c:lineChart>
        <c:grouping val="standard"/>
        <c:varyColors val="0"/>
        <c:ser>
          <c:idx val="0"/>
          <c:order val="0"/>
          <c:tx>
            <c:strRef>
              <c:f>Schedules!$E$39</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Schedules!$F$39:$AC$39</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D98F-4511-8CB6-0FC968665C65}"/>
            </c:ext>
          </c:extLst>
        </c:ser>
        <c:ser>
          <c:idx val="1"/>
          <c:order val="1"/>
          <c:tx>
            <c:strRef>
              <c:f>Schedules!$E$40</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Schedules!$F$40:$AC$40</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3-D98F-4511-8CB6-0FC968665C65}"/>
            </c:ext>
          </c:extLst>
        </c:ser>
        <c:ser>
          <c:idx val="2"/>
          <c:order val="2"/>
          <c:tx>
            <c:strRef>
              <c:f>Schedules!$E$41</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Schedules!$F$41:$AC$41</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4-D98F-4511-8CB6-0FC968665C65}"/>
            </c:ext>
          </c:extLst>
        </c:ser>
        <c:ser>
          <c:idx val="3"/>
          <c:order val="3"/>
          <c:tx>
            <c:strRef>
              <c:f>Schedules!$E$42</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Schedules!$F$42:$AC$42</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70</c:v>
                </c:pt>
                <c:pt idx="18">
                  <c:v>70</c:v>
                </c:pt>
                <c:pt idx="19">
                  <c:v>70</c:v>
                </c:pt>
                <c:pt idx="20">
                  <c:v>60</c:v>
                </c:pt>
                <c:pt idx="21">
                  <c:v>60</c:v>
                </c:pt>
                <c:pt idx="22">
                  <c:v>60</c:v>
                </c:pt>
                <c:pt idx="23">
                  <c:v>60</c:v>
                </c:pt>
              </c:numCache>
            </c:numRef>
          </c:val>
          <c:smooth val="0"/>
          <c:extLst>
            <c:ext xmlns:c16="http://schemas.microsoft.com/office/drawing/2014/chart" uri="{C3380CC4-5D6E-409C-BE32-E72D297353CC}">
              <c16:uniqueId val="{00000005-D98F-4511-8CB6-0FC968665C65}"/>
            </c:ext>
          </c:extLst>
        </c:ser>
        <c:ser>
          <c:idx val="4"/>
          <c:order val="4"/>
          <c:tx>
            <c:strRef>
              <c:f>Schedules!$E$43</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Schedules!$F$43:$AC$43</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6-D98F-4511-8CB6-0FC968665C65}"/>
            </c:ext>
          </c:extLst>
        </c:ser>
        <c:dLbls>
          <c:showLegendKey val="0"/>
          <c:showVal val="0"/>
          <c:showCatName val="0"/>
          <c:showSerName val="0"/>
          <c:showPercent val="0"/>
          <c:showBubbleSize val="0"/>
        </c:dLbls>
        <c:smooth val="0"/>
        <c:axId val="1191685392"/>
        <c:axId val="1162020624"/>
      </c:lineChart>
      <c:catAx>
        <c:axId val="1191685392"/>
        <c:scaling>
          <c:orientation val="minMax"/>
        </c:scaling>
        <c:delete val="0"/>
        <c:axPos val="b"/>
        <c:numFmt formatCode="General" sourceLinked="1"/>
        <c:majorTickMark val="out"/>
        <c:minorTickMark val="none"/>
        <c:tickLblPos val="nextTo"/>
        <c:crossAx val="1162020624"/>
        <c:crosses val="autoZero"/>
        <c:auto val="1"/>
        <c:lblAlgn val="ctr"/>
        <c:lblOffset val="100"/>
        <c:noMultiLvlLbl val="0"/>
      </c:catAx>
      <c:valAx>
        <c:axId val="1162020624"/>
        <c:scaling>
          <c:orientation val="minMax"/>
          <c:max val="90"/>
          <c:min val="50"/>
        </c:scaling>
        <c:delete val="0"/>
        <c:axPos val="l"/>
        <c:majorGridlines/>
        <c:numFmt formatCode="0" sourceLinked="1"/>
        <c:majorTickMark val="out"/>
        <c:minorTickMark val="none"/>
        <c:tickLblPos val="nextTo"/>
        <c:crossAx val="1191685392"/>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ClgSetpt</a:t>
            </a:r>
          </a:p>
        </c:rich>
      </c:tx>
      <c:overlay val="0"/>
    </c:title>
    <c:autoTitleDeleted val="0"/>
    <c:plotArea>
      <c:layout/>
      <c:lineChart>
        <c:grouping val="standard"/>
        <c:varyColors val="0"/>
        <c:ser>
          <c:idx val="0"/>
          <c:order val="0"/>
          <c:tx>
            <c:strRef>
              <c:f>Schedules!$E$44</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Schedules!$F$44:$AC$44</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0C52-4A97-AD8D-9A5FBC2665BF}"/>
            </c:ext>
          </c:extLst>
        </c:ser>
        <c:ser>
          <c:idx val="1"/>
          <c:order val="1"/>
          <c:tx>
            <c:strRef>
              <c:f>Schedules!$E$45</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Schedules!$F$45:$AC$45</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3-0C52-4A97-AD8D-9A5FBC2665BF}"/>
            </c:ext>
          </c:extLst>
        </c:ser>
        <c:ser>
          <c:idx val="2"/>
          <c:order val="2"/>
          <c:tx>
            <c:strRef>
              <c:f>Schedules!$E$46</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Schedules!$F$46:$AC$46</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4-0C52-4A97-AD8D-9A5FBC2665BF}"/>
            </c:ext>
          </c:extLst>
        </c:ser>
        <c:ser>
          <c:idx val="3"/>
          <c:order val="3"/>
          <c:tx>
            <c:strRef>
              <c:f>Schedules!$E$47</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Schedules!$F$47:$AC$47</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85</c:v>
                </c:pt>
                <c:pt idx="14">
                  <c:v>85</c:v>
                </c:pt>
                <c:pt idx="15">
                  <c:v>85</c:v>
                </c:pt>
                <c:pt idx="16">
                  <c:v>85</c:v>
                </c:pt>
                <c:pt idx="17">
                  <c:v>75</c:v>
                </c:pt>
                <c:pt idx="18">
                  <c:v>75</c:v>
                </c:pt>
                <c:pt idx="19">
                  <c:v>75</c:v>
                </c:pt>
                <c:pt idx="20">
                  <c:v>85</c:v>
                </c:pt>
                <c:pt idx="21">
                  <c:v>85</c:v>
                </c:pt>
                <c:pt idx="22">
                  <c:v>85</c:v>
                </c:pt>
                <c:pt idx="23">
                  <c:v>85</c:v>
                </c:pt>
              </c:numCache>
            </c:numRef>
          </c:val>
          <c:smooth val="0"/>
          <c:extLst>
            <c:ext xmlns:c16="http://schemas.microsoft.com/office/drawing/2014/chart" uri="{C3380CC4-5D6E-409C-BE32-E72D297353CC}">
              <c16:uniqueId val="{00000005-0C52-4A97-AD8D-9A5FBC2665BF}"/>
            </c:ext>
          </c:extLst>
        </c:ser>
        <c:ser>
          <c:idx val="4"/>
          <c:order val="4"/>
          <c:tx>
            <c:strRef>
              <c:f>Schedules!$E$48</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Schedules!$F$48:$AC$48</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6-0C52-4A97-AD8D-9A5FBC2665BF}"/>
            </c:ext>
          </c:extLst>
        </c:ser>
        <c:dLbls>
          <c:showLegendKey val="0"/>
          <c:showVal val="0"/>
          <c:showCatName val="0"/>
          <c:showSerName val="0"/>
          <c:showPercent val="0"/>
          <c:showBubbleSize val="0"/>
        </c:dLbls>
        <c:smooth val="0"/>
        <c:axId val="1191644096"/>
        <c:axId val="1162055184"/>
      </c:lineChart>
      <c:catAx>
        <c:axId val="1191644096"/>
        <c:scaling>
          <c:orientation val="minMax"/>
        </c:scaling>
        <c:delete val="0"/>
        <c:axPos val="b"/>
        <c:numFmt formatCode="General" sourceLinked="1"/>
        <c:majorTickMark val="out"/>
        <c:minorTickMark val="none"/>
        <c:tickLblPos val="nextTo"/>
        <c:crossAx val="1162055184"/>
        <c:crosses val="autoZero"/>
        <c:auto val="1"/>
        <c:lblAlgn val="ctr"/>
        <c:lblOffset val="100"/>
        <c:noMultiLvlLbl val="0"/>
      </c:catAx>
      <c:valAx>
        <c:axId val="1162055184"/>
        <c:scaling>
          <c:orientation val="minMax"/>
          <c:max val="90"/>
          <c:min val="50"/>
        </c:scaling>
        <c:delete val="0"/>
        <c:axPos val="l"/>
        <c:majorGridlines/>
        <c:numFmt formatCode="0" sourceLinked="1"/>
        <c:majorTickMark val="out"/>
        <c:minorTickMark val="none"/>
        <c:tickLblPos val="nextTo"/>
        <c:crossAx val="1191644096"/>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Infiltration</a:t>
            </a:r>
          </a:p>
        </c:rich>
      </c:tx>
      <c:overlay val="0"/>
    </c:title>
    <c:autoTitleDeleted val="0"/>
    <c:plotArea>
      <c:layout/>
      <c:lineChart>
        <c:grouping val="standard"/>
        <c:varyColors val="0"/>
        <c:ser>
          <c:idx val="0"/>
          <c:order val="0"/>
          <c:tx>
            <c:strRef>
              <c:f>Schedules!$E$49</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Schedules!$F$49:$AC$49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2915-4204-918F-CEA11E4C253B}"/>
            </c:ext>
          </c:extLst>
        </c:ser>
        <c:ser>
          <c:idx val="1"/>
          <c:order val="1"/>
          <c:tx>
            <c:strRef>
              <c:f>Schedules!$E$50</c:f>
              <c:strCache>
                <c:ptCount val="1"/>
                <c:pt idx="0">
                  <c:v>Mon-Thu</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Schedules!$F$50:$AC$50</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2915-4204-918F-CEA11E4C253B}"/>
            </c:ext>
          </c:extLst>
        </c:ser>
        <c:ser>
          <c:idx val="2"/>
          <c:order val="2"/>
          <c:tx>
            <c:strRef>
              <c:f>Schedules!$E$51</c:f>
              <c:strCache>
                <c:ptCount val="1"/>
                <c:pt idx="0">
                  <c:v>Early Out 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Schedules!$F$51:$AC$51</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2915-4204-918F-CEA11E4C253B}"/>
            </c:ext>
          </c:extLst>
        </c:ser>
        <c:ser>
          <c:idx val="3"/>
          <c:order val="3"/>
          <c:tx>
            <c:strRef>
              <c:f>Schedules!$E$52</c:f>
              <c:strCache>
                <c:ptCount val="1"/>
                <c:pt idx="0">
                  <c:v>Mon-Fri Teacher Conference</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Schedules!$F$52:$AC$52</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1</c:v>
                </c:pt>
                <c:pt idx="14">
                  <c:v>1</c:v>
                </c:pt>
                <c:pt idx="15">
                  <c:v>1</c:v>
                </c:pt>
                <c:pt idx="16">
                  <c:v>1</c:v>
                </c:pt>
                <c:pt idx="17">
                  <c:v>0.25</c:v>
                </c:pt>
                <c:pt idx="18">
                  <c:v>0.25</c:v>
                </c:pt>
                <c:pt idx="19">
                  <c:v>0.25</c:v>
                </c:pt>
                <c:pt idx="20">
                  <c:v>1</c:v>
                </c:pt>
                <c:pt idx="21">
                  <c:v>1</c:v>
                </c:pt>
                <c:pt idx="22">
                  <c:v>1</c:v>
                </c:pt>
                <c:pt idx="23">
                  <c:v>1</c:v>
                </c:pt>
              </c:numCache>
            </c:numRef>
          </c:val>
          <c:smooth val="0"/>
          <c:extLst>
            <c:ext xmlns:c16="http://schemas.microsoft.com/office/drawing/2014/chart" uri="{C3380CC4-5D6E-409C-BE32-E72D297353CC}">
              <c16:uniqueId val="{00000005-2915-4204-918F-CEA11E4C253B}"/>
            </c:ext>
          </c:extLst>
        </c:ser>
        <c:ser>
          <c:idx val="4"/>
          <c:order val="4"/>
          <c:tx>
            <c:strRef>
              <c:f>Schedules!$E$53</c:f>
              <c:strCache>
                <c:ptCount val="1"/>
                <c:pt idx="0">
                  <c:v>Summer School</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Schedules!$F$53:$AC$53</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6-2915-4204-918F-CEA11E4C253B}"/>
            </c:ext>
          </c:extLst>
        </c:ser>
        <c:dLbls>
          <c:showLegendKey val="0"/>
          <c:showVal val="0"/>
          <c:showCatName val="0"/>
          <c:showSerName val="0"/>
          <c:showPercent val="0"/>
          <c:showBubbleSize val="0"/>
        </c:dLbls>
        <c:smooth val="0"/>
        <c:axId val="1191656624"/>
        <c:axId val="1162170384"/>
      </c:lineChart>
      <c:catAx>
        <c:axId val="1191656624"/>
        <c:scaling>
          <c:orientation val="minMax"/>
        </c:scaling>
        <c:delete val="0"/>
        <c:axPos val="b"/>
        <c:numFmt formatCode="General" sourceLinked="1"/>
        <c:majorTickMark val="out"/>
        <c:minorTickMark val="none"/>
        <c:tickLblPos val="nextTo"/>
        <c:crossAx val="1162170384"/>
        <c:crosses val="autoZero"/>
        <c:auto val="1"/>
        <c:lblAlgn val="ctr"/>
        <c:lblOffset val="100"/>
        <c:noMultiLvlLbl val="0"/>
      </c:catAx>
      <c:valAx>
        <c:axId val="1162170384"/>
        <c:scaling>
          <c:orientation val="minMax"/>
          <c:max val="1"/>
          <c:min val="0"/>
        </c:scaling>
        <c:delete val="0"/>
        <c:axPos val="l"/>
        <c:majorGridlines/>
        <c:numFmt formatCode="0.00" sourceLinked="1"/>
        <c:majorTickMark val="out"/>
        <c:minorTickMark val="none"/>
        <c:tickLblPos val="nextTo"/>
        <c:crossAx val="119165662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Occupancy</a:t>
            </a:r>
          </a:p>
        </c:rich>
      </c:tx>
      <c:overlay val="0"/>
    </c:title>
    <c:autoTitleDeleted val="0"/>
    <c:plotArea>
      <c:layout/>
      <c:lineChart>
        <c:grouping val="standard"/>
        <c:varyColors val="0"/>
        <c:ser>
          <c:idx val="0"/>
          <c:order val="0"/>
          <c:tx>
            <c:strRef>
              <c:f>Schedules!$E$55</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Schedules!$F$55:$AC$55</c:f>
              <c:numCache>
                <c:formatCode>0.00</c:formatCode>
                <c:ptCount val="24"/>
                <c:pt idx="0">
                  <c:v>0</c:v>
                </c:pt>
                <c:pt idx="1">
                  <c:v>0</c:v>
                </c:pt>
                <c:pt idx="2">
                  <c:v>0</c:v>
                </c:pt>
                <c:pt idx="3">
                  <c:v>0</c:v>
                </c:pt>
                <c:pt idx="4">
                  <c:v>0</c:v>
                </c:pt>
                <c:pt idx="5">
                  <c:v>0.1</c:v>
                </c:pt>
                <c:pt idx="6">
                  <c:v>0.5</c:v>
                </c:pt>
                <c:pt idx="7">
                  <c:v>0.95</c:v>
                </c:pt>
                <c:pt idx="8">
                  <c:v>0.95</c:v>
                </c:pt>
                <c:pt idx="9">
                  <c:v>0.95</c:v>
                </c:pt>
                <c:pt idx="10">
                  <c:v>0.95</c:v>
                </c:pt>
                <c:pt idx="11">
                  <c:v>0.95</c:v>
                </c:pt>
                <c:pt idx="12">
                  <c:v>0.95</c:v>
                </c:pt>
                <c:pt idx="13">
                  <c:v>0.95</c:v>
                </c:pt>
                <c:pt idx="14">
                  <c:v>0.5</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D54-41BE-AE20-17D68ACA8630}"/>
            </c:ext>
          </c:extLst>
        </c:ser>
        <c:ser>
          <c:idx val="1"/>
          <c:order val="1"/>
          <c:tx>
            <c:strRef>
              <c:f>Schedules!$E$56</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Schedules!$F$56:$AC$56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0D54-41BE-AE20-17D68ACA8630}"/>
            </c:ext>
          </c:extLst>
        </c:ser>
        <c:ser>
          <c:idx val="2"/>
          <c:order val="2"/>
          <c:tx>
            <c:strRef>
              <c:f>Schedules!$E$57</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Schedules!$F$57:$AC$57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0D54-41BE-AE20-17D68ACA8630}"/>
            </c:ext>
          </c:extLst>
        </c:ser>
        <c:dLbls>
          <c:showLegendKey val="0"/>
          <c:showVal val="0"/>
          <c:showCatName val="0"/>
          <c:showSerName val="0"/>
          <c:showPercent val="0"/>
          <c:showBubbleSize val="0"/>
        </c:dLbls>
        <c:smooth val="0"/>
        <c:axId val="1191687248"/>
        <c:axId val="1162203504"/>
      </c:lineChart>
      <c:catAx>
        <c:axId val="1191687248"/>
        <c:scaling>
          <c:orientation val="minMax"/>
        </c:scaling>
        <c:delete val="0"/>
        <c:axPos val="b"/>
        <c:numFmt formatCode="General" sourceLinked="1"/>
        <c:majorTickMark val="out"/>
        <c:minorTickMark val="none"/>
        <c:tickLblPos val="nextTo"/>
        <c:crossAx val="1162203504"/>
        <c:crosses val="autoZero"/>
        <c:auto val="1"/>
        <c:lblAlgn val="ctr"/>
        <c:lblOffset val="100"/>
        <c:noMultiLvlLbl val="0"/>
      </c:catAx>
      <c:valAx>
        <c:axId val="1162203504"/>
        <c:scaling>
          <c:orientation val="minMax"/>
          <c:max val="1"/>
          <c:min val="0"/>
        </c:scaling>
        <c:delete val="0"/>
        <c:axPos val="l"/>
        <c:majorGridlines/>
        <c:numFmt formatCode="0.00" sourceLinked="1"/>
        <c:majorTickMark val="out"/>
        <c:minorTickMark val="none"/>
        <c:tickLblPos val="nextTo"/>
        <c:crossAx val="119168724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HVACAvail</a:t>
            </a:r>
          </a:p>
        </c:rich>
      </c:tx>
      <c:overlay val="0"/>
    </c:title>
    <c:autoTitleDeleted val="0"/>
    <c:plotArea>
      <c:layout/>
      <c:lineChart>
        <c:grouping val="standard"/>
        <c:varyColors val="0"/>
        <c:ser>
          <c:idx val="0"/>
          <c:order val="0"/>
          <c:tx>
            <c:strRef>
              <c:f>Schedules!$E$58</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Schedules!$F$58:$AC$58</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194-481A-9D4A-2D464DC6BA6D}"/>
            </c:ext>
          </c:extLst>
        </c:ser>
        <c:ser>
          <c:idx val="1"/>
          <c:order val="1"/>
          <c:tx>
            <c:strRef>
              <c:f>Schedules!$E$59</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Schedules!$F$59:$AC$59</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0194-481A-9D4A-2D464DC6BA6D}"/>
            </c:ext>
          </c:extLst>
        </c:ser>
        <c:ser>
          <c:idx val="2"/>
          <c:order val="2"/>
          <c:tx>
            <c:strRef>
              <c:f>Schedules!$E$60</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Schedules!$F$60:$AC$60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0194-481A-9D4A-2D464DC6BA6D}"/>
            </c:ext>
          </c:extLst>
        </c:ser>
        <c:dLbls>
          <c:showLegendKey val="0"/>
          <c:showVal val="0"/>
          <c:showCatName val="0"/>
          <c:showSerName val="0"/>
          <c:showPercent val="0"/>
          <c:showBubbleSize val="0"/>
        </c:dLbls>
        <c:smooth val="0"/>
        <c:axId val="1191706736"/>
        <c:axId val="1161969264"/>
      </c:lineChart>
      <c:catAx>
        <c:axId val="1191706736"/>
        <c:scaling>
          <c:orientation val="minMax"/>
        </c:scaling>
        <c:delete val="0"/>
        <c:axPos val="b"/>
        <c:numFmt formatCode="General" sourceLinked="1"/>
        <c:majorTickMark val="out"/>
        <c:minorTickMark val="none"/>
        <c:tickLblPos val="nextTo"/>
        <c:crossAx val="1161969264"/>
        <c:crosses val="autoZero"/>
        <c:auto val="1"/>
        <c:lblAlgn val="ctr"/>
        <c:lblOffset val="100"/>
        <c:noMultiLvlLbl val="0"/>
      </c:catAx>
      <c:valAx>
        <c:axId val="1161969264"/>
        <c:scaling>
          <c:orientation val="minMax"/>
          <c:max val="1"/>
          <c:min val="0"/>
        </c:scaling>
        <c:delete val="0"/>
        <c:axPos val="l"/>
        <c:majorGridlines/>
        <c:numFmt formatCode="0.00" sourceLinked="1"/>
        <c:majorTickMark val="out"/>
        <c:minorTickMark val="none"/>
        <c:tickLblPos val="nextTo"/>
        <c:crossAx val="119170673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Lights</a:t>
            </a:r>
          </a:p>
        </c:rich>
      </c:tx>
      <c:overlay val="0"/>
    </c:title>
    <c:autoTitleDeleted val="0"/>
    <c:plotArea>
      <c:layout/>
      <c:lineChart>
        <c:grouping val="standard"/>
        <c:varyColors val="0"/>
        <c:ser>
          <c:idx val="0"/>
          <c:order val="0"/>
          <c:tx>
            <c:strRef>
              <c:f>Schedules!$E$61</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Schedules!$F$61:$AC$61</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BA32-4326-A980-B8B181D737B3}"/>
            </c:ext>
          </c:extLst>
        </c:ser>
        <c:ser>
          <c:idx val="1"/>
          <c:order val="1"/>
          <c:tx>
            <c:strRef>
              <c:f>Schedules!$E$62</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Schedules!$F$62:$AC$62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BA32-4326-A980-B8B181D737B3}"/>
            </c:ext>
          </c:extLst>
        </c:ser>
        <c:ser>
          <c:idx val="2"/>
          <c:order val="2"/>
          <c:tx>
            <c:strRef>
              <c:f>Schedules!$E$63</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Schedules!$F$63:$AC$63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BA32-4326-A980-B8B181D737B3}"/>
            </c:ext>
          </c:extLst>
        </c:ser>
        <c:dLbls>
          <c:showLegendKey val="0"/>
          <c:showVal val="0"/>
          <c:showCatName val="0"/>
          <c:showSerName val="0"/>
          <c:showPercent val="0"/>
          <c:showBubbleSize val="0"/>
        </c:dLbls>
        <c:smooth val="0"/>
        <c:axId val="1191671472"/>
        <c:axId val="1162011504"/>
      </c:lineChart>
      <c:catAx>
        <c:axId val="1191671472"/>
        <c:scaling>
          <c:orientation val="minMax"/>
        </c:scaling>
        <c:delete val="0"/>
        <c:axPos val="b"/>
        <c:numFmt formatCode="General" sourceLinked="1"/>
        <c:majorTickMark val="out"/>
        <c:minorTickMark val="none"/>
        <c:tickLblPos val="nextTo"/>
        <c:crossAx val="1162011504"/>
        <c:crosses val="autoZero"/>
        <c:auto val="1"/>
        <c:lblAlgn val="ctr"/>
        <c:lblOffset val="100"/>
        <c:noMultiLvlLbl val="0"/>
      </c:catAx>
      <c:valAx>
        <c:axId val="1162011504"/>
        <c:scaling>
          <c:orientation val="minMax"/>
          <c:max val="1"/>
          <c:min val="0"/>
        </c:scaling>
        <c:delete val="0"/>
        <c:axPos val="l"/>
        <c:majorGridlines/>
        <c:numFmt formatCode="0.00" sourceLinked="1"/>
        <c:majorTickMark val="out"/>
        <c:minorTickMark val="none"/>
        <c:tickLblPos val="nextTo"/>
        <c:crossAx val="1191671472"/>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ElecEquipment</a:t>
            </a:r>
          </a:p>
        </c:rich>
      </c:tx>
      <c:overlay val="0"/>
    </c:title>
    <c:autoTitleDeleted val="0"/>
    <c:plotArea>
      <c:layout/>
      <c:lineChart>
        <c:grouping val="standard"/>
        <c:varyColors val="0"/>
        <c:ser>
          <c:idx val="0"/>
          <c:order val="0"/>
          <c:tx>
            <c:strRef>
              <c:f>Schedules!$E$64</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Schedules!$F$64:$AC$64</c:f>
              <c:numCache>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2-B77B-4AD8-ADFA-E12CFF521F23}"/>
            </c:ext>
          </c:extLst>
        </c:ser>
        <c:ser>
          <c:idx val="1"/>
          <c:order val="1"/>
          <c:tx>
            <c:strRef>
              <c:f>Schedules!$E$65</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Schedules!$F$65:$AC$65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B77B-4AD8-ADFA-E12CFF521F23}"/>
            </c:ext>
          </c:extLst>
        </c:ser>
        <c:ser>
          <c:idx val="2"/>
          <c:order val="2"/>
          <c:tx>
            <c:strRef>
              <c:f>Schedules!$E$66</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Schedules!$F$66:$AC$66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B77B-4AD8-ADFA-E12CFF521F23}"/>
            </c:ext>
          </c:extLst>
        </c:ser>
        <c:dLbls>
          <c:showLegendKey val="0"/>
          <c:showVal val="0"/>
          <c:showCatName val="0"/>
          <c:showSerName val="0"/>
          <c:showPercent val="0"/>
          <c:showBubbleSize val="0"/>
        </c:dLbls>
        <c:smooth val="0"/>
        <c:axId val="1191705344"/>
        <c:axId val="1162014384"/>
      </c:lineChart>
      <c:catAx>
        <c:axId val="1191705344"/>
        <c:scaling>
          <c:orientation val="minMax"/>
        </c:scaling>
        <c:delete val="0"/>
        <c:axPos val="b"/>
        <c:numFmt formatCode="General" sourceLinked="1"/>
        <c:majorTickMark val="out"/>
        <c:minorTickMark val="none"/>
        <c:tickLblPos val="nextTo"/>
        <c:crossAx val="1162014384"/>
        <c:crosses val="autoZero"/>
        <c:auto val="1"/>
        <c:lblAlgn val="ctr"/>
        <c:lblOffset val="100"/>
        <c:noMultiLvlLbl val="0"/>
      </c:catAx>
      <c:valAx>
        <c:axId val="1162014384"/>
        <c:scaling>
          <c:orientation val="minMax"/>
          <c:max val="1"/>
          <c:min val="0"/>
        </c:scaling>
        <c:delete val="0"/>
        <c:axPos val="l"/>
        <c:majorGridlines/>
        <c:numFmt formatCode="0.00" sourceLinked="1"/>
        <c:majorTickMark val="out"/>
        <c:minorTickMark val="none"/>
        <c:tickLblPos val="nextTo"/>
        <c:crossAx val="119170534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HtgSetpt</a:t>
            </a:r>
          </a:p>
        </c:rich>
      </c:tx>
      <c:overlay val="0"/>
    </c:title>
    <c:autoTitleDeleted val="0"/>
    <c:plotArea>
      <c:layout/>
      <c:lineChart>
        <c:grouping val="standard"/>
        <c:varyColors val="0"/>
        <c:ser>
          <c:idx val="0"/>
          <c:order val="0"/>
          <c:tx>
            <c:strRef>
              <c:f>Schedules!$E$67</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Schedules!$F$67:$AC$67</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8DA6-44C7-8306-45EA9F1389CE}"/>
            </c:ext>
          </c:extLst>
        </c:ser>
        <c:ser>
          <c:idx val="1"/>
          <c:order val="1"/>
          <c:tx>
            <c:strRef>
              <c:f>Schedules!$E$68</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Schedules!$F$68:$AC$68</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3-8DA6-44C7-8306-45EA9F1389CE}"/>
            </c:ext>
          </c:extLst>
        </c:ser>
        <c:ser>
          <c:idx val="2"/>
          <c:order val="2"/>
          <c:tx>
            <c:strRef>
              <c:f>Schedules!$E$69</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Schedules!$F$69:$AC$69</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4-8DA6-44C7-8306-45EA9F1389CE}"/>
            </c:ext>
          </c:extLst>
        </c:ser>
        <c:dLbls>
          <c:showLegendKey val="0"/>
          <c:showVal val="0"/>
          <c:showCatName val="0"/>
          <c:showSerName val="0"/>
          <c:showPercent val="0"/>
          <c:showBubbleSize val="0"/>
        </c:dLbls>
        <c:smooth val="0"/>
        <c:axId val="1191674256"/>
        <c:axId val="1162049424"/>
      </c:lineChart>
      <c:catAx>
        <c:axId val="1191674256"/>
        <c:scaling>
          <c:orientation val="minMax"/>
        </c:scaling>
        <c:delete val="0"/>
        <c:axPos val="b"/>
        <c:numFmt formatCode="General" sourceLinked="1"/>
        <c:majorTickMark val="out"/>
        <c:minorTickMark val="none"/>
        <c:tickLblPos val="nextTo"/>
        <c:crossAx val="1162049424"/>
        <c:crosses val="autoZero"/>
        <c:auto val="1"/>
        <c:lblAlgn val="ctr"/>
        <c:lblOffset val="100"/>
        <c:noMultiLvlLbl val="0"/>
      </c:catAx>
      <c:valAx>
        <c:axId val="1162049424"/>
        <c:scaling>
          <c:orientation val="minMax"/>
          <c:max val="90"/>
          <c:min val="50"/>
        </c:scaling>
        <c:delete val="0"/>
        <c:axPos val="l"/>
        <c:majorGridlines/>
        <c:numFmt formatCode="0" sourceLinked="1"/>
        <c:majorTickMark val="out"/>
        <c:minorTickMark val="none"/>
        <c:tickLblPos val="nextTo"/>
        <c:crossAx val="1191674256"/>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ClgSetpt</a:t>
            </a:r>
          </a:p>
        </c:rich>
      </c:tx>
      <c:overlay val="0"/>
    </c:title>
    <c:autoTitleDeleted val="0"/>
    <c:plotArea>
      <c:layout/>
      <c:lineChart>
        <c:grouping val="standard"/>
        <c:varyColors val="0"/>
        <c:ser>
          <c:idx val="0"/>
          <c:order val="0"/>
          <c:tx>
            <c:strRef>
              <c:f>Schedules!$E$70</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Schedules!$F$70:$AC$70</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21A2-47A6-A11A-CB8202EC11F0}"/>
            </c:ext>
          </c:extLst>
        </c:ser>
        <c:ser>
          <c:idx val="1"/>
          <c:order val="1"/>
          <c:tx>
            <c:strRef>
              <c:f>Schedules!$E$71</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Schedules!$F$71:$AC$71</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3-21A2-47A6-A11A-CB8202EC11F0}"/>
            </c:ext>
          </c:extLst>
        </c:ser>
        <c:ser>
          <c:idx val="2"/>
          <c:order val="2"/>
          <c:tx>
            <c:strRef>
              <c:f>Schedules!$E$72</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Schedules!$F$72:$AC$72</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4-21A2-47A6-A11A-CB8202EC11F0}"/>
            </c:ext>
          </c:extLst>
        </c:ser>
        <c:dLbls>
          <c:showLegendKey val="0"/>
          <c:showVal val="0"/>
          <c:showCatName val="0"/>
          <c:showSerName val="0"/>
          <c:showPercent val="0"/>
          <c:showBubbleSize val="0"/>
        </c:dLbls>
        <c:smooth val="0"/>
        <c:axId val="1191698384"/>
        <c:axId val="1162081104"/>
      </c:lineChart>
      <c:catAx>
        <c:axId val="1191698384"/>
        <c:scaling>
          <c:orientation val="minMax"/>
        </c:scaling>
        <c:delete val="0"/>
        <c:axPos val="b"/>
        <c:numFmt formatCode="General" sourceLinked="1"/>
        <c:majorTickMark val="out"/>
        <c:minorTickMark val="none"/>
        <c:tickLblPos val="nextTo"/>
        <c:crossAx val="1162081104"/>
        <c:crosses val="autoZero"/>
        <c:auto val="1"/>
        <c:lblAlgn val="ctr"/>
        <c:lblOffset val="100"/>
        <c:noMultiLvlLbl val="0"/>
      </c:catAx>
      <c:valAx>
        <c:axId val="1162081104"/>
        <c:scaling>
          <c:orientation val="minMax"/>
          <c:max val="90"/>
          <c:min val="50"/>
        </c:scaling>
        <c:delete val="0"/>
        <c:axPos val="l"/>
        <c:majorGridlines/>
        <c:numFmt formatCode="0" sourceLinked="1"/>
        <c:majorTickMark val="out"/>
        <c:minorTickMark val="none"/>
        <c:tickLblPos val="nextTo"/>
        <c:crossAx val="1191698384"/>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OAControl</a:t>
            </a:r>
          </a:p>
        </c:rich>
      </c:tx>
      <c:overlay val="0"/>
    </c:title>
    <c:autoTitleDeleted val="0"/>
    <c:plotArea>
      <c:layout/>
      <c:lineChart>
        <c:grouping val="standard"/>
        <c:varyColors val="0"/>
        <c:ser>
          <c:idx val="0"/>
          <c:order val="0"/>
          <c:tx>
            <c:strRef>
              <c:f>Schedules!$E$73</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Schedules!$F$73:$AC$73</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53F-44F7-B55F-7FA9FEFD0974}"/>
            </c:ext>
          </c:extLst>
        </c:ser>
        <c:ser>
          <c:idx val="1"/>
          <c:order val="1"/>
          <c:tx>
            <c:strRef>
              <c:f>Schedules!$E$74</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Schedules!$F$74:$AC$74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553F-44F7-B55F-7FA9FEFD0974}"/>
            </c:ext>
          </c:extLst>
        </c:ser>
        <c:ser>
          <c:idx val="2"/>
          <c:order val="2"/>
          <c:tx>
            <c:strRef>
              <c:f>Schedules!$E$75</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Schedules!$F$75:$AC$75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553F-44F7-B55F-7FA9FEFD0974}"/>
            </c:ext>
          </c:extLst>
        </c:ser>
        <c:dLbls>
          <c:showLegendKey val="0"/>
          <c:showVal val="0"/>
          <c:showCatName val="0"/>
          <c:showSerName val="0"/>
          <c:showPercent val="0"/>
          <c:showBubbleSize val="0"/>
        </c:dLbls>
        <c:smooth val="0"/>
        <c:axId val="1191691424"/>
        <c:axId val="1162117104"/>
      </c:lineChart>
      <c:catAx>
        <c:axId val="1191691424"/>
        <c:scaling>
          <c:orientation val="minMax"/>
        </c:scaling>
        <c:delete val="0"/>
        <c:axPos val="b"/>
        <c:numFmt formatCode="General" sourceLinked="1"/>
        <c:majorTickMark val="out"/>
        <c:minorTickMark val="none"/>
        <c:tickLblPos val="nextTo"/>
        <c:crossAx val="1162117104"/>
        <c:crosses val="autoZero"/>
        <c:auto val="1"/>
        <c:lblAlgn val="ctr"/>
        <c:lblOffset val="100"/>
        <c:noMultiLvlLbl val="0"/>
      </c:catAx>
      <c:valAx>
        <c:axId val="1162117104"/>
        <c:scaling>
          <c:orientation val="minMax"/>
          <c:max val="1"/>
          <c:min val="0"/>
        </c:scaling>
        <c:delete val="0"/>
        <c:axPos val="l"/>
        <c:majorGridlines/>
        <c:numFmt formatCode="0.00" sourceLinked="1"/>
        <c:majorTickMark val="out"/>
        <c:minorTickMark val="none"/>
        <c:tickLblPos val="nextTo"/>
        <c:crossAx val="119169142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Infiltration</a:t>
            </a:r>
          </a:p>
        </c:rich>
      </c:tx>
      <c:overlay val="0"/>
    </c:title>
    <c:autoTitleDeleted val="0"/>
    <c:plotArea>
      <c:layout/>
      <c:lineChart>
        <c:grouping val="standard"/>
        <c:varyColors val="0"/>
        <c:ser>
          <c:idx val="0"/>
          <c:order val="0"/>
          <c:tx>
            <c:strRef>
              <c:f>Schedules!$E$76</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Schedules!$F$76:$AC$76</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E412-480B-91E6-71E32584BB2B}"/>
            </c:ext>
          </c:extLst>
        </c:ser>
        <c:ser>
          <c:idx val="1"/>
          <c:order val="1"/>
          <c:tx>
            <c:strRef>
              <c:f>Schedules!$E$77</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Schedules!$F$77:$AC$77</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E412-480B-91E6-71E32584BB2B}"/>
            </c:ext>
          </c:extLst>
        </c:ser>
        <c:ser>
          <c:idx val="2"/>
          <c:order val="2"/>
          <c:tx>
            <c:strRef>
              <c:f>Schedules!$E$78</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Schedules!$F$78:$AC$78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E412-480B-91E6-71E32584BB2B}"/>
            </c:ext>
          </c:extLst>
        </c:ser>
        <c:dLbls>
          <c:showLegendKey val="0"/>
          <c:showVal val="0"/>
          <c:showCatName val="0"/>
          <c:showSerName val="0"/>
          <c:showPercent val="0"/>
          <c:showBubbleSize val="0"/>
        </c:dLbls>
        <c:smooth val="0"/>
        <c:axId val="1191701168"/>
        <c:axId val="1162149264"/>
      </c:lineChart>
      <c:catAx>
        <c:axId val="1191701168"/>
        <c:scaling>
          <c:orientation val="minMax"/>
        </c:scaling>
        <c:delete val="0"/>
        <c:axPos val="b"/>
        <c:numFmt formatCode="General" sourceLinked="1"/>
        <c:majorTickMark val="out"/>
        <c:minorTickMark val="none"/>
        <c:tickLblPos val="nextTo"/>
        <c:crossAx val="1162149264"/>
        <c:crosses val="autoZero"/>
        <c:auto val="1"/>
        <c:lblAlgn val="ctr"/>
        <c:lblOffset val="100"/>
        <c:noMultiLvlLbl val="0"/>
      </c:catAx>
      <c:valAx>
        <c:axId val="1162149264"/>
        <c:scaling>
          <c:orientation val="minMax"/>
          <c:max val="1"/>
          <c:min val="0"/>
        </c:scaling>
        <c:delete val="0"/>
        <c:axPos val="l"/>
        <c:majorGridlines/>
        <c:numFmt formatCode="0.00" sourceLinked="1"/>
        <c:majorTickMark val="out"/>
        <c:minorTickMark val="none"/>
        <c:tickLblPos val="nextTo"/>
        <c:crossAx val="119170116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Refrigeration</a:t>
            </a:r>
          </a:p>
        </c:rich>
      </c:tx>
      <c:overlay val="0"/>
    </c:title>
    <c:autoTitleDeleted val="0"/>
    <c:plotArea>
      <c:layout/>
      <c:lineChart>
        <c:grouping val="standard"/>
        <c:varyColors val="0"/>
        <c:ser>
          <c:idx val="0"/>
          <c:order val="0"/>
          <c:tx>
            <c:strRef>
              <c:f>Schedules!$E$79</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Schedules!$F$79:$AC$79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2AFD-4FD0-B19E-8397A2B74047}"/>
            </c:ext>
          </c:extLst>
        </c:ser>
        <c:ser>
          <c:idx val="1"/>
          <c:order val="1"/>
          <c:tx>
            <c:strRef>
              <c:f>Schedules!$E$80</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Schedules!$F$80:$AC$80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3-2AFD-4FD0-B19E-8397A2B74047}"/>
            </c:ext>
          </c:extLst>
        </c:ser>
        <c:ser>
          <c:idx val="2"/>
          <c:order val="2"/>
          <c:tx>
            <c:strRef>
              <c:f>Schedules!$E$81</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Schedules!$F$81:$AC$81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4-2AFD-4FD0-B19E-8397A2B74047}"/>
            </c:ext>
          </c:extLst>
        </c:ser>
        <c:dLbls>
          <c:showLegendKey val="0"/>
          <c:showVal val="0"/>
          <c:showCatName val="0"/>
          <c:showSerName val="0"/>
          <c:showPercent val="0"/>
          <c:showBubbleSize val="0"/>
        </c:dLbls>
        <c:smooth val="0"/>
        <c:axId val="1191652448"/>
        <c:axId val="1162176144"/>
      </c:lineChart>
      <c:catAx>
        <c:axId val="1191652448"/>
        <c:scaling>
          <c:orientation val="minMax"/>
        </c:scaling>
        <c:delete val="0"/>
        <c:axPos val="b"/>
        <c:numFmt formatCode="General" sourceLinked="1"/>
        <c:majorTickMark val="out"/>
        <c:minorTickMark val="none"/>
        <c:tickLblPos val="nextTo"/>
        <c:crossAx val="1162176144"/>
        <c:crosses val="autoZero"/>
        <c:auto val="1"/>
        <c:lblAlgn val="ctr"/>
        <c:lblOffset val="100"/>
        <c:noMultiLvlLbl val="0"/>
      </c:catAx>
      <c:valAx>
        <c:axId val="1162176144"/>
        <c:scaling>
          <c:orientation val="minMax"/>
          <c:max val="1"/>
          <c:min val="0"/>
        </c:scaling>
        <c:delete val="0"/>
        <c:axPos val="l"/>
        <c:majorGridlines/>
        <c:numFmt formatCode="0.00" sourceLinked="1"/>
        <c:majorTickMark val="out"/>
        <c:minorTickMark val="none"/>
        <c:tickLblPos val="nextTo"/>
        <c:crossAx val="119165244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GasEquipment</a:t>
            </a:r>
          </a:p>
        </c:rich>
      </c:tx>
      <c:overlay val="0"/>
    </c:title>
    <c:autoTitleDeleted val="0"/>
    <c:plotArea>
      <c:layout/>
      <c:lineChart>
        <c:grouping val="standard"/>
        <c:varyColors val="0"/>
        <c:ser>
          <c:idx val="0"/>
          <c:order val="0"/>
          <c:tx>
            <c:strRef>
              <c:f>Schedules!$E$82</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Schedules!$F$82:$AC$82</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9286-4166-B291-58DD95913F52}"/>
            </c:ext>
          </c:extLst>
        </c:ser>
        <c:ser>
          <c:idx val="1"/>
          <c:order val="1"/>
          <c:tx>
            <c:strRef>
              <c:f>Schedules!$E$83</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Schedules!$F$83:$AC$83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9286-4166-B291-58DD95913F52}"/>
            </c:ext>
          </c:extLst>
        </c:ser>
        <c:ser>
          <c:idx val="2"/>
          <c:order val="2"/>
          <c:tx>
            <c:strRef>
              <c:f>Schedules!$E$84</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Schedules!$F$84:$AC$84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9286-4166-B291-58DD95913F52}"/>
            </c:ext>
          </c:extLst>
        </c:ser>
        <c:dLbls>
          <c:showLegendKey val="0"/>
          <c:showVal val="0"/>
          <c:showCatName val="0"/>
          <c:showSerName val="0"/>
          <c:showPercent val="0"/>
          <c:showBubbleSize val="0"/>
        </c:dLbls>
        <c:smooth val="0"/>
        <c:axId val="1192670864"/>
        <c:axId val="1162196784"/>
      </c:lineChart>
      <c:catAx>
        <c:axId val="1192670864"/>
        <c:scaling>
          <c:orientation val="minMax"/>
        </c:scaling>
        <c:delete val="0"/>
        <c:axPos val="b"/>
        <c:numFmt formatCode="General" sourceLinked="1"/>
        <c:majorTickMark val="out"/>
        <c:minorTickMark val="none"/>
        <c:tickLblPos val="nextTo"/>
        <c:crossAx val="1162196784"/>
        <c:crosses val="autoZero"/>
        <c:auto val="1"/>
        <c:lblAlgn val="ctr"/>
        <c:lblOffset val="100"/>
        <c:noMultiLvlLbl val="0"/>
      </c:catAx>
      <c:valAx>
        <c:axId val="1162196784"/>
        <c:scaling>
          <c:orientation val="minMax"/>
          <c:max val="1"/>
          <c:min val="0"/>
        </c:scaling>
        <c:delete val="0"/>
        <c:axPos val="l"/>
        <c:majorGridlines/>
        <c:numFmt formatCode="0.00" sourceLinked="1"/>
        <c:majorTickMark val="out"/>
        <c:minorTickMark val="none"/>
        <c:tickLblPos val="nextTo"/>
        <c:crossAx val="119267086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ServiceHotWater</a:t>
            </a:r>
          </a:p>
        </c:rich>
      </c:tx>
      <c:overlay val="0"/>
    </c:title>
    <c:autoTitleDeleted val="0"/>
    <c:plotArea>
      <c:layout/>
      <c:lineChart>
        <c:grouping val="standard"/>
        <c:varyColors val="0"/>
        <c:ser>
          <c:idx val="0"/>
          <c:order val="0"/>
          <c:tx>
            <c:strRef>
              <c:f>Schedules!$E$85</c:f>
              <c:strCache>
                <c:ptCount val="1"/>
                <c:pt idx="0">
                  <c:v>Mon-Fri</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Schedules!$F$85:$AC$85</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2-C4A9-4AFF-B57F-86F2BD3609D8}"/>
            </c:ext>
          </c:extLst>
        </c:ser>
        <c:ser>
          <c:idx val="1"/>
          <c:order val="1"/>
          <c:tx>
            <c:strRef>
              <c:f>Schedules!$E$86</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Schedules!$F$86:$AC$86</c:f>
              <c:numCache>
                <c:formatCode>0.00</c:formatCode>
                <c:ptCount val="24"/>
                <c:pt idx="0">
                  <c:v>0.03</c:v>
                </c:pt>
                <c:pt idx="1">
                  <c:v>0.03</c:v>
                </c:pt>
                <c:pt idx="2">
                  <c:v>0.03</c:v>
                </c:pt>
                <c:pt idx="3">
                  <c:v>0.03</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3-C4A9-4AFF-B57F-86F2BD3609D8}"/>
            </c:ext>
          </c:extLst>
        </c:ser>
        <c:ser>
          <c:idx val="2"/>
          <c:order val="2"/>
          <c:tx>
            <c:strRef>
              <c:f>Schedules!$E$87</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Schedules!$F$87:$AC$87</c:f>
              <c:numCache>
                <c:formatCode>0.00</c:formatCode>
                <c:ptCount val="24"/>
                <c:pt idx="0">
                  <c:v>0.03</c:v>
                </c:pt>
                <c:pt idx="1">
                  <c:v>0.03</c:v>
                </c:pt>
                <c:pt idx="2">
                  <c:v>0.03</c:v>
                </c:pt>
                <c:pt idx="3">
                  <c:v>0.03</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4-C4A9-4AFF-B57F-86F2BD3609D8}"/>
            </c:ext>
          </c:extLst>
        </c:ser>
        <c:dLbls>
          <c:showLegendKey val="0"/>
          <c:showVal val="0"/>
          <c:showCatName val="0"/>
          <c:showSerName val="0"/>
          <c:showPercent val="0"/>
          <c:showBubbleSize val="0"/>
        </c:dLbls>
        <c:smooth val="0"/>
        <c:axId val="1192687104"/>
        <c:axId val="1161971184"/>
      </c:lineChart>
      <c:catAx>
        <c:axId val="1192687104"/>
        <c:scaling>
          <c:orientation val="minMax"/>
        </c:scaling>
        <c:delete val="0"/>
        <c:axPos val="b"/>
        <c:numFmt formatCode="General" sourceLinked="1"/>
        <c:majorTickMark val="out"/>
        <c:minorTickMark val="none"/>
        <c:tickLblPos val="nextTo"/>
        <c:crossAx val="1161971184"/>
        <c:crosses val="autoZero"/>
        <c:auto val="1"/>
        <c:lblAlgn val="ctr"/>
        <c:lblOffset val="100"/>
        <c:noMultiLvlLbl val="0"/>
      </c:catAx>
      <c:valAx>
        <c:axId val="1161971184"/>
        <c:scaling>
          <c:orientation val="minMax"/>
          <c:max val="1"/>
          <c:min val="0"/>
        </c:scaling>
        <c:delete val="0"/>
        <c:axPos val="l"/>
        <c:majorGridlines/>
        <c:numFmt formatCode="0.00" sourceLinked="1"/>
        <c:majorTickMark val="out"/>
        <c:minorTickMark val="none"/>
        <c:tickLblPos val="nextTo"/>
        <c:crossAx val="119268710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Occupancy</a:t>
            </a:r>
          </a:p>
        </c:rich>
      </c:tx>
      <c:overlay val="0"/>
    </c:title>
    <c:autoTitleDeleted val="0"/>
    <c:plotArea>
      <c:layout/>
      <c:lineChart>
        <c:grouping val="standard"/>
        <c:varyColors val="0"/>
        <c:ser>
          <c:idx val="0"/>
          <c:order val="0"/>
          <c:tx>
            <c:strRef>
              <c:f>Schedules!$E$89</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Schedules!$F$89:$AC$89</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9B96-4131-9762-37685A0063A6}"/>
            </c:ext>
          </c:extLst>
        </c:ser>
        <c:ser>
          <c:idx val="1"/>
          <c:order val="1"/>
          <c:tx>
            <c:strRef>
              <c:f>Schedules!$E$90</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Schedules!$F$90:$AC$90</c:f>
              <c:numCache>
                <c:formatCode>0.00</c:formatCode>
                <c:ptCount val="24"/>
                <c:pt idx="0">
                  <c:v>0</c:v>
                </c:pt>
                <c:pt idx="1">
                  <c:v>0</c:v>
                </c:pt>
                <c:pt idx="2">
                  <c:v>0</c:v>
                </c:pt>
                <c:pt idx="3">
                  <c:v>0</c:v>
                </c:pt>
                <c:pt idx="4">
                  <c:v>0</c:v>
                </c:pt>
                <c:pt idx="5">
                  <c:v>0</c:v>
                </c:pt>
                <c:pt idx="6">
                  <c:v>0.1</c:v>
                </c:pt>
                <c:pt idx="7">
                  <c:v>0.5</c:v>
                </c:pt>
                <c:pt idx="8">
                  <c:v>0.25</c:v>
                </c:pt>
                <c:pt idx="9">
                  <c:v>0.25</c:v>
                </c:pt>
                <c:pt idx="10">
                  <c:v>0.05</c:v>
                </c:pt>
                <c:pt idx="11">
                  <c:v>0.25</c:v>
                </c:pt>
                <c:pt idx="12">
                  <c:v>0.95</c:v>
                </c:pt>
                <c:pt idx="13">
                  <c:v>0.95</c:v>
                </c:pt>
                <c:pt idx="14">
                  <c:v>0.25</c:v>
                </c:pt>
                <c:pt idx="15">
                  <c:v>0.1</c:v>
                </c:pt>
                <c:pt idx="16">
                  <c:v>0.1</c:v>
                </c:pt>
                <c:pt idx="17">
                  <c:v>0.1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9B96-4131-9762-37685A0063A6}"/>
            </c:ext>
          </c:extLst>
        </c:ser>
        <c:ser>
          <c:idx val="2"/>
          <c:order val="2"/>
          <c:tx>
            <c:strRef>
              <c:f>Schedules!$E$91</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Schedules!$F$91:$AC$91</c:f>
              <c:numCache>
                <c:formatCode>0.00</c:formatCode>
                <c:ptCount val="24"/>
                <c:pt idx="0">
                  <c:v>0</c:v>
                </c:pt>
                <c:pt idx="1">
                  <c:v>0</c:v>
                </c:pt>
                <c:pt idx="2">
                  <c:v>0</c:v>
                </c:pt>
                <c:pt idx="3">
                  <c:v>0</c:v>
                </c:pt>
                <c:pt idx="4">
                  <c:v>0</c:v>
                </c:pt>
                <c:pt idx="5">
                  <c:v>0</c:v>
                </c:pt>
                <c:pt idx="6">
                  <c:v>0.1</c:v>
                </c:pt>
                <c:pt idx="7">
                  <c:v>0.5</c:v>
                </c:pt>
                <c:pt idx="8">
                  <c:v>0.25</c:v>
                </c:pt>
                <c:pt idx="9">
                  <c:v>0.25</c:v>
                </c:pt>
                <c:pt idx="10">
                  <c:v>0.05</c:v>
                </c:pt>
                <c:pt idx="11">
                  <c:v>0.25</c:v>
                </c:pt>
                <c:pt idx="12">
                  <c:v>0.95</c:v>
                </c:pt>
                <c:pt idx="13">
                  <c:v>0.95</c:v>
                </c:pt>
                <c:pt idx="14">
                  <c:v>0.25</c:v>
                </c:pt>
                <c:pt idx="15">
                  <c:v>0.2</c:v>
                </c:pt>
                <c:pt idx="16">
                  <c:v>0.2</c:v>
                </c:pt>
                <c:pt idx="17">
                  <c:v>0.2</c:v>
                </c:pt>
                <c:pt idx="18">
                  <c:v>0.15</c:v>
                </c:pt>
                <c:pt idx="19">
                  <c:v>0.15</c:v>
                </c:pt>
                <c:pt idx="20">
                  <c:v>0</c:v>
                </c:pt>
                <c:pt idx="21">
                  <c:v>0</c:v>
                </c:pt>
                <c:pt idx="22">
                  <c:v>0</c:v>
                </c:pt>
                <c:pt idx="23">
                  <c:v>0</c:v>
                </c:pt>
              </c:numCache>
            </c:numRef>
          </c:val>
          <c:smooth val="0"/>
          <c:extLst>
            <c:ext xmlns:c16="http://schemas.microsoft.com/office/drawing/2014/chart" uri="{C3380CC4-5D6E-409C-BE32-E72D297353CC}">
              <c16:uniqueId val="{00000004-9B96-4131-9762-37685A0063A6}"/>
            </c:ext>
          </c:extLst>
        </c:ser>
        <c:ser>
          <c:idx val="3"/>
          <c:order val="3"/>
          <c:tx>
            <c:strRef>
              <c:f>Schedules!$E$92</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Schedules!$F$92:$AC$92</c:f>
              <c:numCache>
                <c:formatCode>0.00</c:formatCode>
                <c:ptCount val="24"/>
                <c:pt idx="0">
                  <c:v>0</c:v>
                </c:pt>
                <c:pt idx="1">
                  <c:v>0</c:v>
                </c:pt>
                <c:pt idx="2">
                  <c:v>0</c:v>
                </c:pt>
                <c:pt idx="3">
                  <c:v>0</c:v>
                </c:pt>
                <c:pt idx="4">
                  <c:v>0</c:v>
                </c:pt>
                <c:pt idx="5">
                  <c:v>0</c:v>
                </c:pt>
                <c:pt idx="6">
                  <c:v>0</c:v>
                </c:pt>
                <c:pt idx="7">
                  <c:v>0.1</c:v>
                </c:pt>
                <c:pt idx="8">
                  <c:v>0.2</c:v>
                </c:pt>
                <c:pt idx="9">
                  <c:v>0.2</c:v>
                </c:pt>
                <c:pt idx="10">
                  <c:v>0.2</c:v>
                </c:pt>
                <c:pt idx="11">
                  <c:v>0.2</c:v>
                </c:pt>
                <c:pt idx="12">
                  <c:v>0.2</c:v>
                </c:pt>
                <c:pt idx="13">
                  <c:v>0.2</c:v>
                </c:pt>
                <c:pt idx="14">
                  <c:v>0.2</c:v>
                </c:pt>
                <c:pt idx="15">
                  <c:v>0.2</c:v>
                </c:pt>
                <c:pt idx="16">
                  <c:v>0.2</c:v>
                </c:pt>
                <c:pt idx="17">
                  <c:v>0.1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9B96-4131-9762-37685A0063A6}"/>
            </c:ext>
          </c:extLst>
        </c:ser>
        <c:ser>
          <c:idx val="4"/>
          <c:order val="4"/>
          <c:tx>
            <c:strRef>
              <c:f>Schedules!$E$93</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Schedules!$F$93:$AC$93</c:f>
              <c:numCache>
                <c:formatCode>0.00</c:formatCode>
                <c:ptCount val="24"/>
                <c:pt idx="0">
                  <c:v>0</c:v>
                </c:pt>
                <c:pt idx="1">
                  <c:v>0</c:v>
                </c:pt>
                <c:pt idx="2">
                  <c:v>0</c:v>
                </c:pt>
                <c:pt idx="3">
                  <c:v>0</c:v>
                </c:pt>
                <c:pt idx="4">
                  <c:v>0</c:v>
                </c:pt>
                <c:pt idx="5">
                  <c:v>0</c:v>
                </c:pt>
                <c:pt idx="6">
                  <c:v>0</c:v>
                </c:pt>
                <c:pt idx="7">
                  <c:v>0.1</c:v>
                </c:pt>
                <c:pt idx="8">
                  <c:v>0.2</c:v>
                </c:pt>
                <c:pt idx="9">
                  <c:v>0.2</c:v>
                </c:pt>
                <c:pt idx="10">
                  <c:v>0.2</c:v>
                </c:pt>
                <c:pt idx="11">
                  <c:v>0.2</c:v>
                </c:pt>
                <c:pt idx="12">
                  <c:v>0.2</c:v>
                </c:pt>
                <c:pt idx="13">
                  <c:v>0.2</c:v>
                </c:pt>
                <c:pt idx="14">
                  <c:v>0.6</c:v>
                </c:pt>
                <c:pt idx="15">
                  <c:v>0.6</c:v>
                </c:pt>
                <c:pt idx="16">
                  <c:v>0.6</c:v>
                </c:pt>
                <c:pt idx="17">
                  <c:v>0.3</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9B96-4131-9762-37685A0063A6}"/>
            </c:ext>
          </c:extLst>
        </c:ser>
        <c:ser>
          <c:idx val="5"/>
          <c:order val="5"/>
          <c:tx>
            <c:strRef>
              <c:f>Schedules!$E$94</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Schedules!$F$94:$AC$94</c:f>
              <c:numCache>
                <c:formatCode>0.00</c:formatCode>
                <c:ptCount val="24"/>
                <c:pt idx="0">
                  <c:v>0</c:v>
                </c:pt>
                <c:pt idx="1">
                  <c:v>0</c:v>
                </c:pt>
                <c:pt idx="2">
                  <c:v>0</c:v>
                </c:pt>
                <c:pt idx="3">
                  <c:v>0</c:v>
                </c:pt>
                <c:pt idx="4">
                  <c:v>0</c:v>
                </c:pt>
                <c:pt idx="5">
                  <c:v>0</c:v>
                </c:pt>
                <c:pt idx="6">
                  <c:v>0</c:v>
                </c:pt>
                <c:pt idx="7">
                  <c:v>0.1</c:v>
                </c:pt>
                <c:pt idx="8">
                  <c:v>0.2</c:v>
                </c:pt>
                <c:pt idx="9">
                  <c:v>0.2</c:v>
                </c:pt>
                <c:pt idx="10">
                  <c:v>0.2</c:v>
                </c:pt>
                <c:pt idx="11">
                  <c:v>0.2</c:v>
                </c:pt>
                <c:pt idx="12">
                  <c:v>0.2</c:v>
                </c:pt>
                <c:pt idx="13">
                  <c:v>0.2</c:v>
                </c:pt>
                <c:pt idx="14">
                  <c:v>0.2</c:v>
                </c:pt>
                <c:pt idx="15">
                  <c:v>0.2</c:v>
                </c:pt>
                <c:pt idx="16">
                  <c:v>0.2</c:v>
                </c:pt>
                <c:pt idx="17">
                  <c:v>1</c:v>
                </c:pt>
                <c:pt idx="18">
                  <c:v>1</c:v>
                </c:pt>
                <c:pt idx="19">
                  <c:v>1</c:v>
                </c:pt>
                <c:pt idx="20">
                  <c:v>1</c:v>
                </c:pt>
                <c:pt idx="21">
                  <c:v>0.5</c:v>
                </c:pt>
                <c:pt idx="22">
                  <c:v>0</c:v>
                </c:pt>
                <c:pt idx="23">
                  <c:v>0</c:v>
                </c:pt>
              </c:numCache>
            </c:numRef>
          </c:val>
          <c:smooth val="0"/>
          <c:extLst>
            <c:ext xmlns:c16="http://schemas.microsoft.com/office/drawing/2014/chart" uri="{C3380CC4-5D6E-409C-BE32-E72D297353CC}">
              <c16:uniqueId val="{00000007-9B96-4131-9762-37685A0063A6}"/>
            </c:ext>
          </c:extLst>
        </c:ser>
        <c:dLbls>
          <c:showLegendKey val="0"/>
          <c:showVal val="0"/>
          <c:showCatName val="0"/>
          <c:showSerName val="0"/>
          <c:showPercent val="0"/>
          <c:showBubbleSize val="0"/>
        </c:dLbls>
        <c:smooth val="0"/>
        <c:axId val="1192701024"/>
        <c:axId val="1161998544"/>
      </c:lineChart>
      <c:catAx>
        <c:axId val="1192701024"/>
        <c:scaling>
          <c:orientation val="minMax"/>
        </c:scaling>
        <c:delete val="0"/>
        <c:axPos val="b"/>
        <c:numFmt formatCode="General" sourceLinked="1"/>
        <c:majorTickMark val="out"/>
        <c:minorTickMark val="none"/>
        <c:tickLblPos val="nextTo"/>
        <c:crossAx val="1161998544"/>
        <c:crosses val="autoZero"/>
        <c:auto val="1"/>
        <c:lblAlgn val="ctr"/>
        <c:lblOffset val="100"/>
        <c:noMultiLvlLbl val="0"/>
      </c:catAx>
      <c:valAx>
        <c:axId val="1161998544"/>
        <c:scaling>
          <c:orientation val="minMax"/>
          <c:max val="1"/>
          <c:min val="0"/>
        </c:scaling>
        <c:delete val="0"/>
        <c:axPos val="l"/>
        <c:majorGridlines/>
        <c:numFmt formatCode="0.00" sourceLinked="1"/>
        <c:majorTickMark val="out"/>
        <c:minorTickMark val="none"/>
        <c:tickLblPos val="nextTo"/>
        <c:crossAx val="119270102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HVACAvail</a:t>
            </a:r>
          </a:p>
        </c:rich>
      </c:tx>
      <c:overlay val="0"/>
    </c:title>
    <c:autoTitleDeleted val="0"/>
    <c:plotArea>
      <c:layout/>
      <c:lineChart>
        <c:grouping val="standard"/>
        <c:varyColors val="0"/>
        <c:ser>
          <c:idx val="0"/>
          <c:order val="0"/>
          <c:tx>
            <c:strRef>
              <c:f>Schedules!$E$95</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Schedules!$F$95:$AC$95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9CD-46F2-9D1B-B0E79FF68280}"/>
            </c:ext>
          </c:extLst>
        </c:ser>
        <c:ser>
          <c:idx val="1"/>
          <c:order val="1"/>
          <c:tx>
            <c:strRef>
              <c:f>Schedules!$E$96</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Schedules!$F$96:$AC$96</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69CD-46F2-9D1B-B0E79FF68280}"/>
            </c:ext>
          </c:extLst>
        </c:ser>
        <c:ser>
          <c:idx val="2"/>
          <c:order val="2"/>
          <c:tx>
            <c:strRef>
              <c:f>Schedules!$E$97</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Schedules!$F$97:$AC$97</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4-69CD-46F2-9D1B-B0E79FF68280}"/>
            </c:ext>
          </c:extLst>
        </c:ser>
        <c:ser>
          <c:idx val="3"/>
          <c:order val="3"/>
          <c:tx>
            <c:strRef>
              <c:f>Schedules!$E$98</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Schedules!$F$98:$AC$98</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69CD-46F2-9D1B-B0E79FF68280}"/>
            </c:ext>
          </c:extLst>
        </c:ser>
        <c:ser>
          <c:idx val="4"/>
          <c:order val="4"/>
          <c:tx>
            <c:strRef>
              <c:f>Schedules!$E$99</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Schedules!$F$99:$AC$99</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69CD-46F2-9D1B-B0E79FF68280}"/>
            </c:ext>
          </c:extLst>
        </c:ser>
        <c:ser>
          <c:idx val="5"/>
          <c:order val="5"/>
          <c:tx>
            <c:strRef>
              <c:f>Schedules!$E$100</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Schedules!$F$100:$AC$100</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7-69CD-46F2-9D1B-B0E79FF68280}"/>
            </c:ext>
          </c:extLst>
        </c:ser>
        <c:dLbls>
          <c:showLegendKey val="0"/>
          <c:showVal val="0"/>
          <c:showCatName val="0"/>
          <c:showSerName val="0"/>
          <c:showPercent val="0"/>
          <c:showBubbleSize val="0"/>
        </c:dLbls>
        <c:smooth val="0"/>
        <c:axId val="1192725616"/>
        <c:axId val="1162057584"/>
      </c:lineChart>
      <c:catAx>
        <c:axId val="1192725616"/>
        <c:scaling>
          <c:orientation val="minMax"/>
        </c:scaling>
        <c:delete val="0"/>
        <c:axPos val="b"/>
        <c:numFmt formatCode="General" sourceLinked="1"/>
        <c:majorTickMark val="out"/>
        <c:minorTickMark val="none"/>
        <c:tickLblPos val="nextTo"/>
        <c:crossAx val="1162057584"/>
        <c:crosses val="autoZero"/>
        <c:auto val="1"/>
        <c:lblAlgn val="ctr"/>
        <c:lblOffset val="100"/>
        <c:noMultiLvlLbl val="0"/>
      </c:catAx>
      <c:valAx>
        <c:axId val="1162057584"/>
        <c:scaling>
          <c:orientation val="minMax"/>
          <c:max val="1"/>
          <c:min val="0"/>
        </c:scaling>
        <c:delete val="0"/>
        <c:axPos val="l"/>
        <c:majorGridlines/>
        <c:numFmt formatCode="0.00" sourceLinked="1"/>
        <c:majorTickMark val="out"/>
        <c:minorTickMark val="none"/>
        <c:tickLblPos val="nextTo"/>
        <c:crossAx val="119272561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Lights</a:t>
            </a:r>
          </a:p>
        </c:rich>
      </c:tx>
      <c:overlay val="0"/>
    </c:title>
    <c:autoTitleDeleted val="0"/>
    <c:plotArea>
      <c:layout/>
      <c:lineChart>
        <c:grouping val="standard"/>
        <c:varyColors val="0"/>
        <c:ser>
          <c:idx val="0"/>
          <c:order val="0"/>
          <c:tx>
            <c:strRef>
              <c:f>Schedules!$E$101</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Schedules!$F$101:$AC$101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729-41A2-A727-C00BC53AC888}"/>
            </c:ext>
          </c:extLst>
        </c:ser>
        <c:ser>
          <c:idx val="1"/>
          <c:order val="1"/>
          <c:tx>
            <c:strRef>
              <c:f>Schedules!$E$102</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Schedules!$F$102:$AC$102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6729-41A2-A727-C00BC53AC888}"/>
            </c:ext>
          </c:extLst>
        </c:ser>
        <c:ser>
          <c:idx val="2"/>
          <c:order val="2"/>
          <c:tx>
            <c:strRef>
              <c:f>Schedules!$E$103</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Schedules!$F$103:$AC$103</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4-6729-41A2-A727-C00BC53AC888}"/>
            </c:ext>
          </c:extLst>
        </c:ser>
        <c:ser>
          <c:idx val="3"/>
          <c:order val="3"/>
          <c:tx>
            <c:strRef>
              <c:f>Schedules!$E$104</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Schedules!$F$104:$AC$104</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6729-41A2-A727-C00BC53AC888}"/>
            </c:ext>
          </c:extLst>
        </c:ser>
        <c:ser>
          <c:idx val="4"/>
          <c:order val="4"/>
          <c:tx>
            <c:strRef>
              <c:f>Schedules!$E$105</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Schedules!$F$105:$AC$105</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6729-41A2-A727-C00BC53AC888}"/>
            </c:ext>
          </c:extLst>
        </c:ser>
        <c:ser>
          <c:idx val="5"/>
          <c:order val="5"/>
          <c:tx>
            <c:strRef>
              <c:f>Schedules!$E$106</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Schedules!$F$106:$AC$106</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7-6729-41A2-A727-C00BC53AC888}"/>
            </c:ext>
          </c:extLst>
        </c:ser>
        <c:dLbls>
          <c:showLegendKey val="0"/>
          <c:showVal val="0"/>
          <c:showCatName val="0"/>
          <c:showSerName val="0"/>
          <c:showPercent val="0"/>
          <c:showBubbleSize val="0"/>
        </c:dLbls>
        <c:smooth val="0"/>
        <c:axId val="1192737216"/>
        <c:axId val="1162090704"/>
      </c:lineChart>
      <c:catAx>
        <c:axId val="1192737216"/>
        <c:scaling>
          <c:orientation val="minMax"/>
        </c:scaling>
        <c:delete val="0"/>
        <c:axPos val="b"/>
        <c:numFmt formatCode="General" sourceLinked="1"/>
        <c:majorTickMark val="out"/>
        <c:minorTickMark val="none"/>
        <c:tickLblPos val="nextTo"/>
        <c:crossAx val="1162090704"/>
        <c:crosses val="autoZero"/>
        <c:auto val="1"/>
        <c:lblAlgn val="ctr"/>
        <c:lblOffset val="100"/>
        <c:noMultiLvlLbl val="0"/>
      </c:catAx>
      <c:valAx>
        <c:axId val="1162090704"/>
        <c:scaling>
          <c:orientation val="minMax"/>
          <c:max val="1"/>
          <c:min val="0"/>
        </c:scaling>
        <c:delete val="0"/>
        <c:axPos val="l"/>
        <c:majorGridlines/>
        <c:numFmt formatCode="0.00" sourceLinked="1"/>
        <c:majorTickMark val="out"/>
        <c:minorTickMark val="none"/>
        <c:tickLblPos val="nextTo"/>
        <c:crossAx val="119273721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ElecEquipment</a:t>
            </a:r>
          </a:p>
        </c:rich>
      </c:tx>
      <c:overlay val="0"/>
    </c:title>
    <c:autoTitleDeleted val="0"/>
    <c:plotArea>
      <c:layout/>
      <c:lineChart>
        <c:grouping val="standard"/>
        <c:varyColors val="0"/>
        <c:ser>
          <c:idx val="0"/>
          <c:order val="0"/>
          <c:tx>
            <c:strRef>
              <c:f>Schedules!$E$107</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Schedules!$F$107:$AC$107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9DFA-42F1-B96C-CBC1C9E81A64}"/>
            </c:ext>
          </c:extLst>
        </c:ser>
        <c:ser>
          <c:idx val="1"/>
          <c:order val="1"/>
          <c:tx>
            <c:strRef>
              <c:f>Schedules!$E$108</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Schedules!$F$108:$AC$108</c:f>
              <c:numCache>
                <c:formatCode>0.00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0.25</c:v>
                </c:pt>
                <c:pt idx="17">
                  <c:v>0.25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3-9DFA-42F1-B96C-CBC1C9E81A64}"/>
            </c:ext>
          </c:extLst>
        </c:ser>
        <c:ser>
          <c:idx val="2"/>
          <c:order val="2"/>
          <c:tx>
            <c:strRef>
              <c:f>Schedules!$E$109</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Schedules!$F$109:$AC$109</c:f>
              <c:numCache>
                <c:formatCode>0.00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0.25</c:v>
                </c:pt>
                <c:pt idx="17">
                  <c:v>0.25</c:v>
                </c:pt>
                <c:pt idx="18">
                  <c:v>0.25</c:v>
                </c:pt>
                <c:pt idx="19">
                  <c:v>0.25</c:v>
                </c:pt>
                <c:pt idx="20">
                  <c:v>0.05</c:v>
                </c:pt>
                <c:pt idx="21">
                  <c:v>0.05</c:v>
                </c:pt>
                <c:pt idx="22">
                  <c:v>0.05</c:v>
                </c:pt>
                <c:pt idx="23">
                  <c:v>0.05</c:v>
                </c:pt>
              </c:numCache>
            </c:numRef>
          </c:val>
          <c:smooth val="0"/>
          <c:extLst>
            <c:ext xmlns:c16="http://schemas.microsoft.com/office/drawing/2014/chart" uri="{C3380CC4-5D6E-409C-BE32-E72D297353CC}">
              <c16:uniqueId val="{00000004-9DFA-42F1-B96C-CBC1C9E81A64}"/>
            </c:ext>
          </c:extLst>
        </c:ser>
        <c:ser>
          <c:idx val="3"/>
          <c:order val="3"/>
          <c:tx>
            <c:strRef>
              <c:f>Schedules!$E$110</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Schedules!$F$110:$AC$110</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5-9DFA-42F1-B96C-CBC1C9E81A64}"/>
            </c:ext>
          </c:extLst>
        </c:ser>
        <c:ser>
          <c:idx val="4"/>
          <c:order val="4"/>
          <c:tx>
            <c:strRef>
              <c:f>Schedules!$E$111</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Schedules!$F$111:$AC$111</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6-9DFA-42F1-B96C-CBC1C9E81A64}"/>
            </c:ext>
          </c:extLst>
        </c:ser>
        <c:ser>
          <c:idx val="5"/>
          <c:order val="5"/>
          <c:tx>
            <c:strRef>
              <c:f>Schedules!$E$112</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Schedules!$F$112:$AC$112</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0.05</c:v>
                </c:pt>
                <c:pt idx="23">
                  <c:v>0.05</c:v>
                </c:pt>
              </c:numCache>
            </c:numRef>
          </c:val>
          <c:smooth val="0"/>
          <c:extLst>
            <c:ext xmlns:c16="http://schemas.microsoft.com/office/drawing/2014/chart" uri="{C3380CC4-5D6E-409C-BE32-E72D297353CC}">
              <c16:uniqueId val="{00000007-9DFA-42F1-B96C-CBC1C9E81A64}"/>
            </c:ext>
          </c:extLst>
        </c:ser>
        <c:dLbls>
          <c:showLegendKey val="0"/>
          <c:showVal val="0"/>
          <c:showCatName val="0"/>
          <c:showSerName val="0"/>
          <c:showPercent val="0"/>
          <c:showBubbleSize val="0"/>
        </c:dLbls>
        <c:smooth val="0"/>
        <c:axId val="1192673648"/>
        <c:axId val="1162143984"/>
      </c:lineChart>
      <c:catAx>
        <c:axId val="1192673648"/>
        <c:scaling>
          <c:orientation val="minMax"/>
        </c:scaling>
        <c:delete val="0"/>
        <c:axPos val="b"/>
        <c:numFmt formatCode="General" sourceLinked="1"/>
        <c:majorTickMark val="out"/>
        <c:minorTickMark val="none"/>
        <c:tickLblPos val="nextTo"/>
        <c:crossAx val="1162143984"/>
        <c:crosses val="autoZero"/>
        <c:auto val="1"/>
        <c:lblAlgn val="ctr"/>
        <c:lblOffset val="100"/>
        <c:noMultiLvlLbl val="0"/>
      </c:catAx>
      <c:valAx>
        <c:axId val="1162143984"/>
        <c:scaling>
          <c:orientation val="minMax"/>
          <c:max val="1"/>
          <c:min val="0"/>
        </c:scaling>
        <c:delete val="0"/>
        <c:axPos val="l"/>
        <c:majorGridlines/>
        <c:numFmt formatCode="0.00" sourceLinked="1"/>
        <c:majorTickMark val="out"/>
        <c:minorTickMark val="none"/>
        <c:tickLblPos val="nextTo"/>
        <c:crossAx val="119267364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HtgSetpt</a:t>
            </a:r>
          </a:p>
        </c:rich>
      </c:tx>
      <c:overlay val="0"/>
    </c:title>
    <c:autoTitleDeleted val="0"/>
    <c:plotArea>
      <c:layout/>
      <c:lineChart>
        <c:grouping val="standard"/>
        <c:varyColors val="0"/>
        <c:ser>
          <c:idx val="0"/>
          <c:order val="0"/>
          <c:tx>
            <c:strRef>
              <c:f>Schedules!$E$113</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Schedules!$F$113:$AC$113</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7647-4215-80EF-ACA0EF7E4E08}"/>
            </c:ext>
          </c:extLst>
        </c:ser>
        <c:ser>
          <c:idx val="1"/>
          <c:order val="1"/>
          <c:tx>
            <c:strRef>
              <c:f>Schedules!$E$114</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Schedules!$F$114:$AC$114</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3-7647-4215-80EF-ACA0EF7E4E08}"/>
            </c:ext>
          </c:extLst>
        </c:ser>
        <c:ser>
          <c:idx val="2"/>
          <c:order val="2"/>
          <c:tx>
            <c:strRef>
              <c:f>Schedules!$E$115</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Schedules!$F$115:$AC$115</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Cache>
            </c:numRef>
          </c:val>
          <c:smooth val="0"/>
          <c:extLst>
            <c:ext xmlns:c16="http://schemas.microsoft.com/office/drawing/2014/chart" uri="{C3380CC4-5D6E-409C-BE32-E72D297353CC}">
              <c16:uniqueId val="{00000004-7647-4215-80EF-ACA0EF7E4E08}"/>
            </c:ext>
          </c:extLst>
        </c:ser>
        <c:ser>
          <c:idx val="3"/>
          <c:order val="3"/>
          <c:tx>
            <c:strRef>
              <c:f>Schedules!$E$116</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Schedules!$F$116:$AC$116</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5-7647-4215-80EF-ACA0EF7E4E08}"/>
            </c:ext>
          </c:extLst>
        </c:ser>
        <c:ser>
          <c:idx val="4"/>
          <c:order val="4"/>
          <c:tx>
            <c:strRef>
              <c:f>Schedules!$E$117</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Schedules!$F$117:$AC$117</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6-7647-4215-80EF-ACA0EF7E4E08}"/>
            </c:ext>
          </c:extLst>
        </c:ser>
        <c:ser>
          <c:idx val="5"/>
          <c:order val="5"/>
          <c:tx>
            <c:strRef>
              <c:f>Schedules!$E$118</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Schedules!$F$118:$AC$118</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7-7647-4215-80EF-ACA0EF7E4E08}"/>
            </c:ext>
          </c:extLst>
        </c:ser>
        <c:dLbls>
          <c:showLegendKey val="0"/>
          <c:showVal val="0"/>
          <c:showCatName val="0"/>
          <c:showSerName val="0"/>
          <c:showPercent val="0"/>
          <c:showBubbleSize val="0"/>
        </c:dLbls>
        <c:smooth val="0"/>
        <c:axId val="1192691280"/>
        <c:axId val="1162170864"/>
      </c:lineChart>
      <c:catAx>
        <c:axId val="1192691280"/>
        <c:scaling>
          <c:orientation val="minMax"/>
        </c:scaling>
        <c:delete val="0"/>
        <c:axPos val="b"/>
        <c:numFmt formatCode="General" sourceLinked="1"/>
        <c:majorTickMark val="out"/>
        <c:minorTickMark val="none"/>
        <c:tickLblPos val="nextTo"/>
        <c:crossAx val="1162170864"/>
        <c:crosses val="autoZero"/>
        <c:auto val="1"/>
        <c:lblAlgn val="ctr"/>
        <c:lblOffset val="100"/>
        <c:noMultiLvlLbl val="0"/>
      </c:catAx>
      <c:valAx>
        <c:axId val="1162170864"/>
        <c:scaling>
          <c:orientation val="minMax"/>
          <c:max val="90"/>
          <c:min val="50"/>
        </c:scaling>
        <c:delete val="0"/>
        <c:axPos val="l"/>
        <c:majorGridlines/>
        <c:numFmt formatCode="0" sourceLinked="1"/>
        <c:majorTickMark val="out"/>
        <c:minorTickMark val="none"/>
        <c:tickLblPos val="nextTo"/>
        <c:crossAx val="1192691280"/>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ClgSetpt</a:t>
            </a:r>
          </a:p>
        </c:rich>
      </c:tx>
      <c:overlay val="0"/>
    </c:title>
    <c:autoTitleDeleted val="0"/>
    <c:plotArea>
      <c:layout/>
      <c:lineChart>
        <c:grouping val="standard"/>
        <c:varyColors val="0"/>
        <c:ser>
          <c:idx val="0"/>
          <c:order val="0"/>
          <c:tx>
            <c:strRef>
              <c:f>Schedules!$E$119</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Schedules!$F$119:$AC$119</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22D3-4FAB-8606-A6CC41EA7BFE}"/>
            </c:ext>
          </c:extLst>
        </c:ser>
        <c:ser>
          <c:idx val="1"/>
          <c:order val="1"/>
          <c:tx>
            <c:strRef>
              <c:f>Schedules!$E$120</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Schedules!$F$120:$AC$120</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3-22D3-4FAB-8606-A6CC41EA7BFE}"/>
            </c:ext>
          </c:extLst>
        </c:ser>
        <c:ser>
          <c:idx val="2"/>
          <c:order val="2"/>
          <c:tx>
            <c:strRef>
              <c:f>Schedules!$E$121</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Schedules!$F$121:$AC$121</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Cache>
            </c:numRef>
          </c:val>
          <c:smooth val="0"/>
          <c:extLst>
            <c:ext xmlns:c16="http://schemas.microsoft.com/office/drawing/2014/chart" uri="{C3380CC4-5D6E-409C-BE32-E72D297353CC}">
              <c16:uniqueId val="{00000004-22D3-4FAB-8606-A6CC41EA7BFE}"/>
            </c:ext>
          </c:extLst>
        </c:ser>
        <c:ser>
          <c:idx val="3"/>
          <c:order val="3"/>
          <c:tx>
            <c:strRef>
              <c:f>Schedules!$E$122</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Schedules!$F$122:$AC$122</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5-22D3-4FAB-8606-A6CC41EA7BFE}"/>
            </c:ext>
          </c:extLst>
        </c:ser>
        <c:ser>
          <c:idx val="4"/>
          <c:order val="4"/>
          <c:tx>
            <c:strRef>
              <c:f>Schedules!$E$123</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Schedules!$F$123:$AC$123</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6-22D3-4FAB-8606-A6CC41EA7BFE}"/>
            </c:ext>
          </c:extLst>
        </c:ser>
        <c:ser>
          <c:idx val="5"/>
          <c:order val="5"/>
          <c:tx>
            <c:strRef>
              <c:f>Schedules!$E$124</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Schedules!$F$124:$AC$124</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7-22D3-4FAB-8606-A6CC41EA7BFE}"/>
            </c:ext>
          </c:extLst>
        </c:ser>
        <c:dLbls>
          <c:showLegendKey val="0"/>
          <c:showVal val="0"/>
          <c:showCatName val="0"/>
          <c:showSerName val="0"/>
          <c:showPercent val="0"/>
          <c:showBubbleSize val="0"/>
        </c:dLbls>
        <c:smooth val="0"/>
        <c:axId val="1192714944"/>
        <c:axId val="1162221744"/>
      </c:lineChart>
      <c:catAx>
        <c:axId val="1192714944"/>
        <c:scaling>
          <c:orientation val="minMax"/>
        </c:scaling>
        <c:delete val="0"/>
        <c:axPos val="b"/>
        <c:numFmt formatCode="General" sourceLinked="1"/>
        <c:majorTickMark val="out"/>
        <c:minorTickMark val="none"/>
        <c:tickLblPos val="nextTo"/>
        <c:crossAx val="1162221744"/>
        <c:crosses val="autoZero"/>
        <c:auto val="1"/>
        <c:lblAlgn val="ctr"/>
        <c:lblOffset val="100"/>
        <c:noMultiLvlLbl val="0"/>
      </c:catAx>
      <c:valAx>
        <c:axId val="1162221744"/>
        <c:scaling>
          <c:orientation val="minMax"/>
          <c:max val="90"/>
          <c:min val="50"/>
        </c:scaling>
        <c:delete val="0"/>
        <c:axPos val="l"/>
        <c:majorGridlines/>
        <c:numFmt formatCode="0" sourceLinked="1"/>
        <c:majorTickMark val="out"/>
        <c:minorTickMark val="none"/>
        <c:tickLblPos val="nextTo"/>
        <c:crossAx val="1192714944"/>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OAControl</a:t>
            </a:r>
          </a:p>
        </c:rich>
      </c:tx>
      <c:overlay val="0"/>
    </c:title>
    <c:autoTitleDeleted val="0"/>
    <c:plotArea>
      <c:layout/>
      <c:lineChart>
        <c:grouping val="standard"/>
        <c:varyColors val="0"/>
        <c:ser>
          <c:idx val="0"/>
          <c:order val="0"/>
          <c:tx>
            <c:strRef>
              <c:f>Schedules!$E$125</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Schedules!$F$125:$AC$125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B850-4C36-934A-12CD8FEA0EFB}"/>
            </c:ext>
          </c:extLst>
        </c:ser>
        <c:ser>
          <c:idx val="1"/>
          <c:order val="1"/>
          <c:tx>
            <c:strRef>
              <c:f>Schedules!$E$126</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Schedules!$F$126:$AC$126</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B850-4C36-934A-12CD8FEA0EFB}"/>
            </c:ext>
          </c:extLst>
        </c:ser>
        <c:ser>
          <c:idx val="2"/>
          <c:order val="2"/>
          <c:tx>
            <c:strRef>
              <c:f>Schedules!$E$127</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Schedules!$F$127:$AC$127</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4-B850-4C36-934A-12CD8FEA0EFB}"/>
            </c:ext>
          </c:extLst>
        </c:ser>
        <c:ser>
          <c:idx val="3"/>
          <c:order val="3"/>
          <c:tx>
            <c:strRef>
              <c:f>Schedules!$E$128</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Schedules!$F$128:$AC$128</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B850-4C36-934A-12CD8FEA0EFB}"/>
            </c:ext>
          </c:extLst>
        </c:ser>
        <c:ser>
          <c:idx val="4"/>
          <c:order val="4"/>
          <c:tx>
            <c:strRef>
              <c:f>Schedules!$E$129</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Schedules!$F$129:$AC$129</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B850-4C36-934A-12CD8FEA0EFB}"/>
            </c:ext>
          </c:extLst>
        </c:ser>
        <c:ser>
          <c:idx val="5"/>
          <c:order val="5"/>
          <c:tx>
            <c:strRef>
              <c:f>Schedules!$E$130</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Schedules!$F$130:$AC$130</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7-B850-4C36-934A-12CD8FEA0EFB}"/>
            </c:ext>
          </c:extLst>
        </c:ser>
        <c:dLbls>
          <c:showLegendKey val="0"/>
          <c:showVal val="0"/>
          <c:showCatName val="0"/>
          <c:showSerName val="0"/>
          <c:showPercent val="0"/>
          <c:showBubbleSize val="0"/>
        </c:dLbls>
        <c:smooth val="0"/>
        <c:axId val="1192750208"/>
        <c:axId val="1161999024"/>
      </c:lineChart>
      <c:catAx>
        <c:axId val="1192750208"/>
        <c:scaling>
          <c:orientation val="minMax"/>
        </c:scaling>
        <c:delete val="0"/>
        <c:axPos val="b"/>
        <c:numFmt formatCode="General" sourceLinked="1"/>
        <c:majorTickMark val="out"/>
        <c:minorTickMark val="none"/>
        <c:tickLblPos val="nextTo"/>
        <c:crossAx val="1161999024"/>
        <c:crosses val="autoZero"/>
        <c:auto val="1"/>
        <c:lblAlgn val="ctr"/>
        <c:lblOffset val="100"/>
        <c:noMultiLvlLbl val="0"/>
      </c:catAx>
      <c:valAx>
        <c:axId val="1161999024"/>
        <c:scaling>
          <c:orientation val="minMax"/>
          <c:max val="1"/>
          <c:min val="0"/>
        </c:scaling>
        <c:delete val="0"/>
        <c:axPos val="l"/>
        <c:majorGridlines/>
        <c:numFmt formatCode="0.00" sourceLinked="1"/>
        <c:majorTickMark val="out"/>
        <c:minorTickMark val="none"/>
        <c:tickLblPos val="nextTo"/>
        <c:crossAx val="119275020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Infiltration</a:t>
            </a:r>
          </a:p>
        </c:rich>
      </c:tx>
      <c:overlay val="0"/>
    </c:title>
    <c:autoTitleDeleted val="0"/>
    <c:plotArea>
      <c:layout/>
      <c:lineChart>
        <c:grouping val="standard"/>
        <c:varyColors val="0"/>
        <c:ser>
          <c:idx val="0"/>
          <c:order val="0"/>
          <c:tx>
            <c:strRef>
              <c:f>Schedules!$E$131</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Schedules!$F$131:$AC$131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54C0-4E78-9156-333B455B58BB}"/>
            </c:ext>
          </c:extLst>
        </c:ser>
        <c:ser>
          <c:idx val="1"/>
          <c:order val="1"/>
          <c:tx>
            <c:strRef>
              <c:f>Schedules!$E$132</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Schedules!$F$132:$AC$132</c:f>
              <c:numCache>
                <c:formatCode>0.00</c:formatCode>
                <c:ptCount val="24"/>
                <c:pt idx="0">
                  <c:v>1</c:v>
                </c:pt>
                <c:pt idx="1">
                  <c:v>1</c:v>
                </c:pt>
                <c:pt idx="2">
                  <c:v>1</c:v>
                </c:pt>
                <c:pt idx="3">
                  <c:v>1</c:v>
                </c:pt>
                <c:pt idx="4">
                  <c:v>1</c:v>
                </c:pt>
                <c:pt idx="5">
                  <c:v>1</c:v>
                </c:pt>
                <c:pt idx="6">
                  <c:v>0.25</c:v>
                </c:pt>
                <c:pt idx="7">
                  <c:v>0.25</c:v>
                </c:pt>
                <c:pt idx="8">
                  <c:v>0.25</c:v>
                </c:pt>
                <c:pt idx="9">
                  <c:v>0.25</c:v>
                </c:pt>
                <c:pt idx="10">
                  <c:v>0.25</c:v>
                </c:pt>
                <c:pt idx="11">
                  <c:v>0.25</c:v>
                </c:pt>
                <c:pt idx="12">
                  <c:v>0.25</c:v>
                </c:pt>
                <c:pt idx="13">
                  <c:v>0.25</c:v>
                </c:pt>
                <c:pt idx="14">
                  <c:v>0.25</c:v>
                </c:pt>
                <c:pt idx="15">
                  <c:v>0.25</c:v>
                </c:pt>
                <c:pt idx="16">
                  <c:v>0.25</c:v>
                </c:pt>
                <c:pt idx="17">
                  <c:v>0.25</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54C0-4E78-9156-333B455B58BB}"/>
            </c:ext>
          </c:extLst>
        </c:ser>
        <c:ser>
          <c:idx val="2"/>
          <c:order val="2"/>
          <c:tx>
            <c:strRef>
              <c:f>Schedules!$E$133</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Schedules!$F$133:$AC$133</c:f>
              <c:numCache>
                <c:formatCode>0.00</c:formatCode>
                <c:ptCount val="24"/>
                <c:pt idx="0">
                  <c:v>1</c:v>
                </c:pt>
                <c:pt idx="1">
                  <c:v>1</c:v>
                </c:pt>
                <c:pt idx="2">
                  <c:v>1</c:v>
                </c:pt>
                <c:pt idx="3">
                  <c:v>1</c:v>
                </c:pt>
                <c:pt idx="4">
                  <c:v>1</c:v>
                </c:pt>
                <c:pt idx="5">
                  <c:v>1</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1</c:v>
                </c:pt>
                <c:pt idx="21">
                  <c:v>1</c:v>
                </c:pt>
                <c:pt idx="22">
                  <c:v>1</c:v>
                </c:pt>
                <c:pt idx="23">
                  <c:v>1</c:v>
                </c:pt>
              </c:numCache>
            </c:numRef>
          </c:val>
          <c:smooth val="0"/>
          <c:extLst>
            <c:ext xmlns:c16="http://schemas.microsoft.com/office/drawing/2014/chart" uri="{C3380CC4-5D6E-409C-BE32-E72D297353CC}">
              <c16:uniqueId val="{00000004-54C0-4E78-9156-333B455B58BB}"/>
            </c:ext>
          </c:extLst>
        </c:ser>
        <c:ser>
          <c:idx val="3"/>
          <c:order val="3"/>
          <c:tx>
            <c:strRef>
              <c:f>Schedules!$E$134</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Schedules!$F$134:$AC$134</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5-54C0-4E78-9156-333B455B58BB}"/>
            </c:ext>
          </c:extLst>
        </c:ser>
        <c:ser>
          <c:idx val="4"/>
          <c:order val="4"/>
          <c:tx>
            <c:strRef>
              <c:f>Schedules!$E$135</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Schedules!$F$135:$AC$135</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6-54C0-4E78-9156-333B455B58BB}"/>
            </c:ext>
          </c:extLst>
        </c:ser>
        <c:ser>
          <c:idx val="5"/>
          <c:order val="5"/>
          <c:tx>
            <c:strRef>
              <c:f>Schedules!$E$136</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Schedules!$F$136:$AC$136</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1</c:v>
                </c:pt>
                <c:pt idx="23">
                  <c:v>1</c:v>
                </c:pt>
              </c:numCache>
            </c:numRef>
          </c:val>
          <c:smooth val="0"/>
          <c:extLst>
            <c:ext xmlns:c16="http://schemas.microsoft.com/office/drawing/2014/chart" uri="{C3380CC4-5D6E-409C-BE32-E72D297353CC}">
              <c16:uniqueId val="{00000007-54C0-4E78-9156-333B455B58BB}"/>
            </c:ext>
          </c:extLst>
        </c:ser>
        <c:dLbls>
          <c:showLegendKey val="0"/>
          <c:showVal val="0"/>
          <c:showCatName val="0"/>
          <c:showSerName val="0"/>
          <c:showPercent val="0"/>
          <c:showBubbleSize val="0"/>
        </c:dLbls>
        <c:smooth val="0"/>
        <c:axId val="1192686176"/>
        <c:axId val="1162038384"/>
      </c:lineChart>
      <c:catAx>
        <c:axId val="1192686176"/>
        <c:scaling>
          <c:orientation val="minMax"/>
        </c:scaling>
        <c:delete val="0"/>
        <c:axPos val="b"/>
        <c:numFmt formatCode="General" sourceLinked="1"/>
        <c:majorTickMark val="out"/>
        <c:minorTickMark val="none"/>
        <c:tickLblPos val="nextTo"/>
        <c:crossAx val="1162038384"/>
        <c:crosses val="autoZero"/>
        <c:auto val="1"/>
        <c:lblAlgn val="ctr"/>
        <c:lblOffset val="100"/>
        <c:noMultiLvlLbl val="0"/>
      </c:catAx>
      <c:valAx>
        <c:axId val="1162038384"/>
        <c:scaling>
          <c:orientation val="minMax"/>
          <c:max val="1"/>
          <c:min val="0"/>
        </c:scaling>
        <c:delete val="0"/>
        <c:axPos val="l"/>
        <c:majorGridlines/>
        <c:numFmt formatCode="0.00" sourceLinked="1"/>
        <c:majorTickMark val="out"/>
        <c:minorTickMark val="none"/>
        <c:tickLblPos val="nextTo"/>
        <c:crossAx val="119268617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Refrigeration</a:t>
            </a:r>
          </a:p>
        </c:rich>
      </c:tx>
      <c:overlay val="0"/>
    </c:title>
    <c:autoTitleDeleted val="0"/>
    <c:plotArea>
      <c:layout/>
      <c:lineChart>
        <c:grouping val="standard"/>
        <c:varyColors val="0"/>
        <c:ser>
          <c:idx val="0"/>
          <c:order val="0"/>
          <c:tx>
            <c:strRef>
              <c:f>Schedules!$E$137</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Schedules!$F$137:$AC$137</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7A2A-4C49-95EB-FFCDA81BFD12}"/>
            </c:ext>
          </c:extLst>
        </c:ser>
        <c:ser>
          <c:idx val="1"/>
          <c:order val="1"/>
          <c:tx>
            <c:strRef>
              <c:f>Schedules!$E$138</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Schedules!$F$138:$AC$138</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3-7A2A-4C49-95EB-FFCDA81BFD12}"/>
            </c:ext>
          </c:extLst>
        </c:ser>
        <c:ser>
          <c:idx val="2"/>
          <c:order val="2"/>
          <c:tx>
            <c:strRef>
              <c:f>Schedules!$E$139</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Schedules!$F$139:$AC$139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4-7A2A-4C49-95EB-FFCDA81BFD12}"/>
            </c:ext>
          </c:extLst>
        </c:ser>
        <c:ser>
          <c:idx val="3"/>
          <c:order val="3"/>
          <c:tx>
            <c:strRef>
              <c:f>Schedules!$E$140</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Schedules!$F$140:$AC$140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5-7A2A-4C49-95EB-FFCDA81BFD12}"/>
            </c:ext>
          </c:extLst>
        </c:ser>
        <c:ser>
          <c:idx val="4"/>
          <c:order val="4"/>
          <c:tx>
            <c:strRef>
              <c:f>Schedules!$E$141</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Schedules!$F$141:$AC$141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6-7A2A-4C49-95EB-FFCDA81BFD12}"/>
            </c:ext>
          </c:extLst>
        </c:ser>
        <c:ser>
          <c:idx val="5"/>
          <c:order val="5"/>
          <c:tx>
            <c:strRef>
              <c:f>Schedules!$E$142</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Schedules!$F$142:$AC$142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7-7A2A-4C49-95EB-FFCDA81BFD12}"/>
            </c:ext>
          </c:extLst>
        </c:ser>
        <c:dLbls>
          <c:showLegendKey val="0"/>
          <c:showVal val="0"/>
          <c:showCatName val="0"/>
          <c:showSerName val="0"/>
          <c:showPercent val="0"/>
          <c:showBubbleSize val="0"/>
        </c:dLbls>
        <c:smooth val="0"/>
        <c:axId val="1192721904"/>
        <c:axId val="1162076304"/>
      </c:lineChart>
      <c:catAx>
        <c:axId val="1192721904"/>
        <c:scaling>
          <c:orientation val="minMax"/>
        </c:scaling>
        <c:delete val="0"/>
        <c:axPos val="b"/>
        <c:numFmt formatCode="General" sourceLinked="1"/>
        <c:majorTickMark val="out"/>
        <c:minorTickMark val="none"/>
        <c:tickLblPos val="nextTo"/>
        <c:crossAx val="1162076304"/>
        <c:crosses val="autoZero"/>
        <c:auto val="1"/>
        <c:lblAlgn val="ctr"/>
        <c:lblOffset val="100"/>
        <c:noMultiLvlLbl val="0"/>
      </c:catAx>
      <c:valAx>
        <c:axId val="1162076304"/>
        <c:scaling>
          <c:orientation val="minMax"/>
          <c:max val="1"/>
          <c:min val="0"/>
        </c:scaling>
        <c:delete val="0"/>
        <c:axPos val="l"/>
        <c:majorGridlines/>
        <c:numFmt formatCode="0.00" sourceLinked="1"/>
        <c:majorTickMark val="out"/>
        <c:minorTickMark val="none"/>
        <c:tickLblPos val="nextTo"/>
        <c:crossAx val="119272190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ServiceHotWater</a:t>
            </a:r>
          </a:p>
        </c:rich>
      </c:tx>
      <c:overlay val="0"/>
    </c:title>
    <c:autoTitleDeleted val="0"/>
    <c:plotArea>
      <c:layout/>
      <c:lineChart>
        <c:grouping val="standard"/>
        <c:varyColors val="0"/>
        <c:ser>
          <c:idx val="0"/>
          <c:order val="0"/>
          <c:tx>
            <c:strRef>
              <c:f>Schedules!$E$143</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Schedules!$F$143:$AC$143</c:f>
              <c:numCache>
                <c:formatCode>0.00</c:formatCode>
                <c:ptCount val="24"/>
                <c:pt idx="0">
                  <c:v>0.03</c:v>
                </c:pt>
                <c:pt idx="1">
                  <c:v>0.03</c:v>
                </c:pt>
                <c:pt idx="2">
                  <c:v>0.03</c:v>
                </c:pt>
                <c:pt idx="3">
                  <c:v>0.03</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2A9B-48AD-915D-2302B4A5ACF3}"/>
            </c:ext>
          </c:extLst>
        </c:ser>
        <c:ser>
          <c:idx val="1"/>
          <c:order val="1"/>
          <c:tx>
            <c:strRef>
              <c:f>Schedules!$E$144</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Schedules!$F$144:$AC$144</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3-2A9B-48AD-915D-2302B4A5ACF3}"/>
            </c:ext>
          </c:extLst>
        </c:ser>
        <c:ser>
          <c:idx val="2"/>
          <c:order val="2"/>
          <c:tx>
            <c:strRef>
              <c:f>Schedules!$E$145</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Schedules!$F$145:$AC$145</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4-2A9B-48AD-915D-2302B4A5ACF3}"/>
            </c:ext>
          </c:extLst>
        </c:ser>
        <c:ser>
          <c:idx val="3"/>
          <c:order val="3"/>
          <c:tx>
            <c:strRef>
              <c:f>Schedules!$E$146</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Schedules!$F$146:$AC$146</c:f>
              <c:numCache>
                <c:formatCode>0.00</c:formatCode>
                <c:ptCount val="24"/>
                <c:pt idx="0">
                  <c:v>0.03</c:v>
                </c:pt>
                <c:pt idx="1">
                  <c:v>0.03</c:v>
                </c:pt>
                <c:pt idx="2">
                  <c:v>0.03</c:v>
                </c:pt>
                <c:pt idx="3">
                  <c:v>0.03</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5-2A9B-48AD-915D-2302B4A5ACF3}"/>
            </c:ext>
          </c:extLst>
        </c:ser>
        <c:ser>
          <c:idx val="4"/>
          <c:order val="4"/>
          <c:tx>
            <c:strRef>
              <c:f>Schedules!$E$147</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Schedules!$F$147:$AC$147</c:f>
              <c:numCache>
                <c:formatCode>0.00</c:formatCode>
                <c:ptCount val="24"/>
                <c:pt idx="0">
                  <c:v>0.03</c:v>
                </c:pt>
                <c:pt idx="1">
                  <c:v>0.03</c:v>
                </c:pt>
                <c:pt idx="2">
                  <c:v>0.03</c:v>
                </c:pt>
                <c:pt idx="3">
                  <c:v>0.03</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6-2A9B-48AD-915D-2302B4A5ACF3}"/>
            </c:ext>
          </c:extLst>
        </c:ser>
        <c:ser>
          <c:idx val="5"/>
          <c:order val="5"/>
          <c:tx>
            <c:strRef>
              <c:f>Schedules!$E$148</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Schedules!$F$148:$AC$148</c:f>
              <c:numCache>
                <c:formatCode>0.00</c:formatCode>
                <c:ptCount val="24"/>
                <c:pt idx="0">
                  <c:v>0.03</c:v>
                </c:pt>
                <c:pt idx="1">
                  <c:v>0.03</c:v>
                </c:pt>
                <c:pt idx="2">
                  <c:v>0.03</c:v>
                </c:pt>
                <c:pt idx="3">
                  <c:v>0.03</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7-2A9B-48AD-915D-2302B4A5ACF3}"/>
            </c:ext>
          </c:extLst>
        </c:ser>
        <c:dLbls>
          <c:showLegendKey val="0"/>
          <c:showVal val="0"/>
          <c:showCatName val="0"/>
          <c:showSerName val="0"/>
          <c:showPercent val="0"/>
          <c:showBubbleSize val="0"/>
        </c:dLbls>
        <c:smooth val="0"/>
        <c:axId val="1192752064"/>
        <c:axId val="1162127184"/>
      </c:lineChart>
      <c:catAx>
        <c:axId val="1192752064"/>
        <c:scaling>
          <c:orientation val="minMax"/>
        </c:scaling>
        <c:delete val="0"/>
        <c:axPos val="b"/>
        <c:numFmt formatCode="General" sourceLinked="1"/>
        <c:majorTickMark val="out"/>
        <c:minorTickMark val="none"/>
        <c:tickLblPos val="nextTo"/>
        <c:crossAx val="1162127184"/>
        <c:crosses val="autoZero"/>
        <c:auto val="1"/>
        <c:lblAlgn val="ctr"/>
        <c:lblOffset val="100"/>
        <c:noMultiLvlLbl val="0"/>
      </c:catAx>
      <c:valAx>
        <c:axId val="1162127184"/>
        <c:scaling>
          <c:orientation val="minMax"/>
          <c:max val="1"/>
          <c:min val="0"/>
        </c:scaling>
        <c:delete val="0"/>
        <c:axPos val="l"/>
        <c:majorGridlines/>
        <c:numFmt formatCode="0.00" sourceLinked="1"/>
        <c:majorTickMark val="out"/>
        <c:minorTickMark val="none"/>
        <c:tickLblPos val="nextTo"/>
        <c:crossAx val="119275206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Elevator</a:t>
            </a:r>
          </a:p>
        </c:rich>
      </c:tx>
      <c:overlay val="0"/>
    </c:title>
    <c:autoTitleDeleted val="0"/>
    <c:plotArea>
      <c:layout/>
      <c:lineChart>
        <c:grouping val="standard"/>
        <c:varyColors val="0"/>
        <c:ser>
          <c:idx val="0"/>
          <c:order val="0"/>
          <c:tx>
            <c:strRef>
              <c:f>Schedules!$E$150</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Schedules!$F$150:$AC$150</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3C40-49B7-9190-5176CA100133}"/>
            </c:ext>
          </c:extLst>
        </c:ser>
        <c:ser>
          <c:idx val="1"/>
          <c:order val="1"/>
          <c:tx>
            <c:strRef>
              <c:f>Schedules!$E$151</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Schedules!$F$151:$AC$151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3C40-49B7-9190-5176CA100133}"/>
            </c:ext>
          </c:extLst>
        </c:ser>
        <c:ser>
          <c:idx val="2"/>
          <c:order val="2"/>
          <c:tx>
            <c:strRef>
              <c:f>Schedules!$E$152</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Schedules!$F$152:$AC$152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3C40-49B7-9190-5176CA100133}"/>
            </c:ext>
          </c:extLst>
        </c:ser>
        <c:dLbls>
          <c:showLegendKey val="0"/>
          <c:showVal val="0"/>
          <c:showCatName val="0"/>
          <c:showSerName val="0"/>
          <c:showPercent val="0"/>
          <c:showBubbleSize val="0"/>
        </c:dLbls>
        <c:smooth val="0"/>
        <c:axId val="1192701488"/>
        <c:axId val="1162176624"/>
      </c:lineChart>
      <c:catAx>
        <c:axId val="1192701488"/>
        <c:scaling>
          <c:orientation val="minMax"/>
        </c:scaling>
        <c:delete val="0"/>
        <c:axPos val="b"/>
        <c:numFmt formatCode="General" sourceLinked="1"/>
        <c:majorTickMark val="out"/>
        <c:minorTickMark val="none"/>
        <c:tickLblPos val="nextTo"/>
        <c:crossAx val="1162176624"/>
        <c:crosses val="autoZero"/>
        <c:auto val="1"/>
        <c:lblAlgn val="ctr"/>
        <c:lblOffset val="100"/>
        <c:noMultiLvlLbl val="0"/>
      </c:catAx>
      <c:valAx>
        <c:axId val="1162176624"/>
        <c:scaling>
          <c:orientation val="minMax"/>
          <c:max val="1"/>
          <c:min val="0"/>
        </c:scaling>
        <c:delete val="0"/>
        <c:axPos val="l"/>
        <c:majorGridlines/>
        <c:numFmt formatCode="0.00" sourceLinked="1"/>
        <c:majorTickMark val="out"/>
        <c:minorTickMark val="none"/>
        <c:tickLblPos val="nextTo"/>
        <c:crossAx val="119270148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ExtLightingNonMotionCtrl</a:t>
            </a:r>
          </a:p>
        </c:rich>
      </c:tx>
      <c:overlay val="0"/>
    </c:title>
    <c:autoTitleDeleted val="0"/>
    <c:plotArea>
      <c:layout/>
      <c:lineChart>
        <c:grouping val="standard"/>
        <c:varyColors val="0"/>
        <c:ser>
          <c:idx val="0"/>
          <c:order val="0"/>
          <c:tx>
            <c:strRef>
              <c:f>Schedules!$E$153</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Schedules!$F$153:$AC$153</c:f>
              <c:numCache>
                <c:formatCode>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0B42-4A6E-A2DC-56E470DAF100}"/>
            </c:ext>
          </c:extLst>
        </c:ser>
        <c:ser>
          <c:idx val="1"/>
          <c:order val="1"/>
          <c:tx>
            <c:strRef>
              <c:f>Schedules!$E$154</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Schedules!$F$154:$AC$154</c:f>
              <c:numCache>
                <c:formatCode>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0B42-4A6E-A2DC-56E470DAF100}"/>
            </c:ext>
          </c:extLst>
        </c:ser>
        <c:ser>
          <c:idx val="2"/>
          <c:order val="2"/>
          <c:tx>
            <c:strRef>
              <c:f>Schedules!$E$155</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Schedules!$F$155:$AC$155</c:f>
              <c:numCache>
                <c:formatCode>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0B42-4A6E-A2DC-56E470DAF100}"/>
            </c:ext>
          </c:extLst>
        </c:ser>
        <c:dLbls>
          <c:showLegendKey val="0"/>
          <c:showVal val="0"/>
          <c:showCatName val="0"/>
          <c:showSerName val="0"/>
          <c:showPercent val="0"/>
          <c:showBubbleSize val="0"/>
        </c:dLbls>
        <c:smooth val="0"/>
        <c:axId val="1192725152"/>
        <c:axId val="1162203984"/>
      </c:lineChart>
      <c:catAx>
        <c:axId val="1192725152"/>
        <c:scaling>
          <c:orientation val="minMax"/>
        </c:scaling>
        <c:delete val="0"/>
        <c:axPos val="b"/>
        <c:numFmt formatCode="General" sourceLinked="1"/>
        <c:majorTickMark val="out"/>
        <c:minorTickMark val="none"/>
        <c:tickLblPos val="nextTo"/>
        <c:crossAx val="1162203984"/>
        <c:crosses val="autoZero"/>
        <c:auto val="1"/>
        <c:lblAlgn val="ctr"/>
        <c:lblOffset val="100"/>
        <c:noMultiLvlLbl val="0"/>
      </c:catAx>
      <c:valAx>
        <c:axId val="1162203984"/>
        <c:scaling>
          <c:orientation val="minMax"/>
          <c:max val="1"/>
          <c:min val="0"/>
        </c:scaling>
        <c:delete val="0"/>
        <c:axPos val="l"/>
        <c:majorGridlines/>
        <c:numFmt formatCode="0.0" sourceLinked="1"/>
        <c:majorTickMark val="out"/>
        <c:minorTickMark val="none"/>
        <c:tickLblPos val="nextTo"/>
        <c:crossAx val="1192725152"/>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ExtLightingMotionCtrl</a:t>
            </a:r>
          </a:p>
        </c:rich>
      </c:tx>
      <c:overlay val="0"/>
    </c:title>
    <c:autoTitleDeleted val="0"/>
    <c:plotArea>
      <c:layout/>
      <c:lineChart>
        <c:grouping val="standard"/>
        <c:varyColors val="0"/>
        <c:ser>
          <c:idx val="0"/>
          <c:order val="0"/>
          <c:tx>
            <c:strRef>
              <c:f>Schedules!$E$156</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Schedules!$F$156:$AC$156</c:f>
              <c:numCache>
                <c:formatCode>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2-9E81-44B8-AAF1-67108339F079}"/>
            </c:ext>
          </c:extLst>
        </c:ser>
        <c:ser>
          <c:idx val="1"/>
          <c:order val="1"/>
          <c:tx>
            <c:strRef>
              <c:f>Schedules!$E$157</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Schedules!$F$157:$AC$157</c:f>
              <c:numCache>
                <c:formatCode>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9E81-44B8-AAF1-67108339F079}"/>
            </c:ext>
          </c:extLst>
        </c:ser>
        <c:ser>
          <c:idx val="2"/>
          <c:order val="2"/>
          <c:tx>
            <c:strRef>
              <c:f>Schedules!$E$158</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Schedules!$F$158:$AC$158</c:f>
              <c:numCache>
                <c:formatCode>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9E81-44B8-AAF1-67108339F079}"/>
            </c:ext>
          </c:extLst>
        </c:ser>
        <c:dLbls>
          <c:showLegendKey val="0"/>
          <c:showVal val="0"/>
          <c:showCatName val="0"/>
          <c:showSerName val="0"/>
          <c:showPercent val="0"/>
          <c:showBubbleSize val="0"/>
        </c:dLbls>
        <c:smooth val="0"/>
        <c:axId val="1192749280"/>
        <c:axId val="1162011024"/>
      </c:lineChart>
      <c:catAx>
        <c:axId val="1192749280"/>
        <c:scaling>
          <c:orientation val="minMax"/>
        </c:scaling>
        <c:delete val="0"/>
        <c:axPos val="b"/>
        <c:numFmt formatCode="General" sourceLinked="1"/>
        <c:majorTickMark val="out"/>
        <c:minorTickMark val="none"/>
        <c:tickLblPos val="nextTo"/>
        <c:crossAx val="1162011024"/>
        <c:crosses val="autoZero"/>
        <c:auto val="1"/>
        <c:lblAlgn val="ctr"/>
        <c:lblOffset val="100"/>
        <c:noMultiLvlLbl val="0"/>
      </c:catAx>
      <c:valAx>
        <c:axId val="1162011024"/>
        <c:scaling>
          <c:orientation val="minMax"/>
          <c:max val="1"/>
          <c:min val="0"/>
        </c:scaling>
        <c:delete val="0"/>
        <c:axPos val="l"/>
        <c:majorGridlines/>
        <c:numFmt formatCode="0.0" sourceLinked="1"/>
        <c:majorTickMark val="out"/>
        <c:minorTickMark val="none"/>
        <c:tickLblPos val="nextTo"/>
        <c:crossAx val="1192749280"/>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PerformanceSpcPeopleActivityLevel</a:t>
            </a:r>
          </a:p>
        </c:rich>
      </c:tx>
      <c:overlay val="0"/>
    </c:title>
    <c:autoTitleDeleted val="0"/>
    <c:plotArea>
      <c:layout/>
      <c:lineChart>
        <c:grouping val="standard"/>
        <c:varyColors val="0"/>
        <c:ser>
          <c:idx val="0"/>
          <c:order val="0"/>
          <c:tx>
            <c:strRef>
              <c:f>Schedules!$E$159</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Schedules!$F$159:$AC$159</c:f>
              <c:numCache>
                <c:formatCode>0</c:formatCode>
                <c:ptCount val="24"/>
                <c:pt idx="0">
                  <c:v>102.6</c:v>
                </c:pt>
                <c:pt idx="1">
                  <c:v>102.6</c:v>
                </c:pt>
                <c:pt idx="2">
                  <c:v>102.6</c:v>
                </c:pt>
                <c:pt idx="3">
                  <c:v>102.6</c:v>
                </c:pt>
                <c:pt idx="4">
                  <c:v>102.6</c:v>
                </c:pt>
                <c:pt idx="5">
                  <c:v>102.6</c:v>
                </c:pt>
                <c:pt idx="6">
                  <c:v>102.6</c:v>
                </c:pt>
                <c:pt idx="7">
                  <c:v>102.6</c:v>
                </c:pt>
                <c:pt idx="8">
                  <c:v>102.6</c:v>
                </c:pt>
                <c:pt idx="9">
                  <c:v>102.6</c:v>
                </c:pt>
                <c:pt idx="10">
                  <c:v>102.6</c:v>
                </c:pt>
                <c:pt idx="11">
                  <c:v>102.6</c:v>
                </c:pt>
                <c:pt idx="12">
                  <c:v>102.6</c:v>
                </c:pt>
                <c:pt idx="13">
                  <c:v>102.6</c:v>
                </c:pt>
                <c:pt idx="14">
                  <c:v>102.6</c:v>
                </c:pt>
                <c:pt idx="15">
                  <c:v>102.6</c:v>
                </c:pt>
                <c:pt idx="16">
                  <c:v>102.6</c:v>
                </c:pt>
                <c:pt idx="17">
                  <c:v>102.6</c:v>
                </c:pt>
                <c:pt idx="18">
                  <c:v>102.6</c:v>
                </c:pt>
                <c:pt idx="19">
                  <c:v>102.6</c:v>
                </c:pt>
                <c:pt idx="20">
                  <c:v>102.6</c:v>
                </c:pt>
                <c:pt idx="21">
                  <c:v>102.6</c:v>
                </c:pt>
                <c:pt idx="22">
                  <c:v>102.6</c:v>
                </c:pt>
                <c:pt idx="23">
                  <c:v>102.6</c:v>
                </c:pt>
              </c:numCache>
            </c:numRef>
          </c:val>
          <c:smooth val="0"/>
          <c:extLst>
            <c:ext xmlns:c16="http://schemas.microsoft.com/office/drawing/2014/chart" uri="{C3380CC4-5D6E-409C-BE32-E72D297353CC}">
              <c16:uniqueId val="{00000002-85DD-4FC6-8DFA-05F54719C894}"/>
            </c:ext>
          </c:extLst>
        </c:ser>
        <c:ser>
          <c:idx val="1"/>
          <c:order val="1"/>
          <c:tx>
            <c:strRef>
              <c:f>Schedules!$E$160</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Schedules!$F$160:$AC$160</c:f>
              <c:numCache>
                <c:formatCode>0</c:formatCode>
                <c:ptCount val="24"/>
                <c:pt idx="0">
                  <c:v>102.6</c:v>
                </c:pt>
                <c:pt idx="1">
                  <c:v>102.6</c:v>
                </c:pt>
                <c:pt idx="2">
                  <c:v>102.6</c:v>
                </c:pt>
                <c:pt idx="3">
                  <c:v>102.6</c:v>
                </c:pt>
                <c:pt idx="4">
                  <c:v>102.6</c:v>
                </c:pt>
                <c:pt idx="5">
                  <c:v>102.6</c:v>
                </c:pt>
                <c:pt idx="6">
                  <c:v>102.6</c:v>
                </c:pt>
                <c:pt idx="7">
                  <c:v>102.6</c:v>
                </c:pt>
                <c:pt idx="8">
                  <c:v>102.6</c:v>
                </c:pt>
                <c:pt idx="9">
                  <c:v>102.6</c:v>
                </c:pt>
                <c:pt idx="10">
                  <c:v>102.6</c:v>
                </c:pt>
                <c:pt idx="11">
                  <c:v>102.6</c:v>
                </c:pt>
                <c:pt idx="12">
                  <c:v>102.6</c:v>
                </c:pt>
                <c:pt idx="13">
                  <c:v>102.6</c:v>
                </c:pt>
                <c:pt idx="14">
                  <c:v>102.6</c:v>
                </c:pt>
                <c:pt idx="15">
                  <c:v>102.6</c:v>
                </c:pt>
                <c:pt idx="16">
                  <c:v>102.6</c:v>
                </c:pt>
                <c:pt idx="17">
                  <c:v>102.6</c:v>
                </c:pt>
                <c:pt idx="18">
                  <c:v>102.6</c:v>
                </c:pt>
                <c:pt idx="19">
                  <c:v>102.6</c:v>
                </c:pt>
                <c:pt idx="20">
                  <c:v>102.6</c:v>
                </c:pt>
                <c:pt idx="21">
                  <c:v>102.6</c:v>
                </c:pt>
                <c:pt idx="22">
                  <c:v>102.6</c:v>
                </c:pt>
                <c:pt idx="23">
                  <c:v>102.6</c:v>
                </c:pt>
              </c:numCache>
            </c:numRef>
          </c:val>
          <c:smooth val="0"/>
          <c:extLst>
            <c:ext xmlns:c16="http://schemas.microsoft.com/office/drawing/2014/chart" uri="{C3380CC4-5D6E-409C-BE32-E72D297353CC}">
              <c16:uniqueId val="{00000003-85DD-4FC6-8DFA-05F54719C894}"/>
            </c:ext>
          </c:extLst>
        </c:ser>
        <c:ser>
          <c:idx val="2"/>
          <c:order val="2"/>
          <c:tx>
            <c:strRef>
              <c:f>Schedules!$E$161</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Schedules!$F$161:$AC$161</c:f>
              <c:numCache>
                <c:formatCode>0</c:formatCode>
                <c:ptCount val="24"/>
                <c:pt idx="0">
                  <c:v>102.6</c:v>
                </c:pt>
                <c:pt idx="1">
                  <c:v>102.6</c:v>
                </c:pt>
                <c:pt idx="2">
                  <c:v>102.6</c:v>
                </c:pt>
                <c:pt idx="3">
                  <c:v>102.6</c:v>
                </c:pt>
                <c:pt idx="4">
                  <c:v>102.6</c:v>
                </c:pt>
                <c:pt idx="5">
                  <c:v>102.6</c:v>
                </c:pt>
                <c:pt idx="6">
                  <c:v>102.6</c:v>
                </c:pt>
                <c:pt idx="7">
                  <c:v>102.6</c:v>
                </c:pt>
                <c:pt idx="8">
                  <c:v>102.6</c:v>
                </c:pt>
                <c:pt idx="9">
                  <c:v>102.6</c:v>
                </c:pt>
                <c:pt idx="10">
                  <c:v>102.6</c:v>
                </c:pt>
                <c:pt idx="11">
                  <c:v>102.6</c:v>
                </c:pt>
                <c:pt idx="12">
                  <c:v>102.6</c:v>
                </c:pt>
                <c:pt idx="13">
                  <c:v>102.6</c:v>
                </c:pt>
                <c:pt idx="14">
                  <c:v>102.6</c:v>
                </c:pt>
                <c:pt idx="15">
                  <c:v>102.6</c:v>
                </c:pt>
                <c:pt idx="16">
                  <c:v>102.6</c:v>
                </c:pt>
                <c:pt idx="17">
                  <c:v>102.6</c:v>
                </c:pt>
                <c:pt idx="18">
                  <c:v>102.6</c:v>
                </c:pt>
                <c:pt idx="19">
                  <c:v>102.6</c:v>
                </c:pt>
                <c:pt idx="20">
                  <c:v>102.6</c:v>
                </c:pt>
                <c:pt idx="21">
                  <c:v>102.6</c:v>
                </c:pt>
                <c:pt idx="22">
                  <c:v>102.6</c:v>
                </c:pt>
                <c:pt idx="23">
                  <c:v>102.6</c:v>
                </c:pt>
              </c:numCache>
            </c:numRef>
          </c:val>
          <c:smooth val="0"/>
          <c:extLst>
            <c:ext xmlns:c16="http://schemas.microsoft.com/office/drawing/2014/chart" uri="{C3380CC4-5D6E-409C-BE32-E72D297353CC}">
              <c16:uniqueId val="{00000004-85DD-4FC6-8DFA-05F54719C894}"/>
            </c:ext>
          </c:extLst>
        </c:ser>
        <c:dLbls>
          <c:showLegendKey val="0"/>
          <c:showVal val="0"/>
          <c:showCatName val="0"/>
          <c:showSerName val="0"/>
          <c:showPercent val="0"/>
          <c:showBubbleSize val="0"/>
        </c:dLbls>
        <c:smooth val="0"/>
        <c:axId val="1192686640"/>
        <c:axId val="1162016304"/>
      </c:lineChart>
      <c:catAx>
        <c:axId val="1192686640"/>
        <c:scaling>
          <c:orientation val="minMax"/>
        </c:scaling>
        <c:delete val="0"/>
        <c:axPos val="b"/>
        <c:numFmt formatCode="General" sourceLinked="1"/>
        <c:majorTickMark val="out"/>
        <c:minorTickMark val="none"/>
        <c:tickLblPos val="nextTo"/>
        <c:crossAx val="1162016304"/>
        <c:crosses val="autoZero"/>
        <c:auto val="1"/>
        <c:lblAlgn val="ctr"/>
        <c:lblOffset val="100"/>
        <c:noMultiLvlLbl val="0"/>
      </c:catAx>
      <c:valAx>
        <c:axId val="1162016304"/>
        <c:scaling>
          <c:orientation val="minMax"/>
          <c:min val="0"/>
        </c:scaling>
        <c:delete val="0"/>
        <c:axPos val="l"/>
        <c:majorGridlines/>
        <c:numFmt formatCode="0" sourceLinked="1"/>
        <c:majorTickMark val="out"/>
        <c:minorTickMark val="none"/>
        <c:tickLblPos val="nextTo"/>
        <c:crossAx val="1192686640"/>
        <c:crosses val="autoZero"/>
        <c:crossBetween val="between"/>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GymPeopleActivityLevel</a:t>
            </a:r>
          </a:p>
        </c:rich>
      </c:tx>
      <c:overlay val="0"/>
    </c:title>
    <c:autoTitleDeleted val="0"/>
    <c:plotArea>
      <c:layout/>
      <c:lineChart>
        <c:grouping val="standard"/>
        <c:varyColors val="0"/>
        <c:ser>
          <c:idx val="0"/>
          <c:order val="0"/>
          <c:tx>
            <c:strRef>
              <c:f>Schedules!$E$162</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Schedules!$F$162:$AC$162</c:f>
              <c:numCache>
                <c:formatCode>0</c:formatCode>
                <c:ptCount val="24"/>
                <c:pt idx="0">
                  <c:v>331.2</c:v>
                </c:pt>
                <c:pt idx="1">
                  <c:v>331.2</c:v>
                </c:pt>
                <c:pt idx="2">
                  <c:v>331.2</c:v>
                </c:pt>
                <c:pt idx="3">
                  <c:v>331.2</c:v>
                </c:pt>
                <c:pt idx="4">
                  <c:v>331.2</c:v>
                </c:pt>
                <c:pt idx="5">
                  <c:v>331.2</c:v>
                </c:pt>
                <c:pt idx="6">
                  <c:v>331.2</c:v>
                </c:pt>
                <c:pt idx="7">
                  <c:v>331.2</c:v>
                </c:pt>
                <c:pt idx="8">
                  <c:v>331.2</c:v>
                </c:pt>
                <c:pt idx="9">
                  <c:v>331.2</c:v>
                </c:pt>
                <c:pt idx="10">
                  <c:v>331.2</c:v>
                </c:pt>
                <c:pt idx="11">
                  <c:v>331.2</c:v>
                </c:pt>
                <c:pt idx="12">
                  <c:v>331.2</c:v>
                </c:pt>
                <c:pt idx="13">
                  <c:v>331.2</c:v>
                </c:pt>
                <c:pt idx="14">
                  <c:v>331.2</c:v>
                </c:pt>
                <c:pt idx="15">
                  <c:v>331.2</c:v>
                </c:pt>
                <c:pt idx="16">
                  <c:v>331.2</c:v>
                </c:pt>
                <c:pt idx="17">
                  <c:v>331.2</c:v>
                </c:pt>
                <c:pt idx="18">
                  <c:v>331.2</c:v>
                </c:pt>
                <c:pt idx="19">
                  <c:v>331.2</c:v>
                </c:pt>
                <c:pt idx="20">
                  <c:v>331.2</c:v>
                </c:pt>
                <c:pt idx="21">
                  <c:v>331.2</c:v>
                </c:pt>
                <c:pt idx="22">
                  <c:v>331.2</c:v>
                </c:pt>
                <c:pt idx="23">
                  <c:v>331.2</c:v>
                </c:pt>
              </c:numCache>
            </c:numRef>
          </c:val>
          <c:smooth val="0"/>
          <c:extLst>
            <c:ext xmlns:c16="http://schemas.microsoft.com/office/drawing/2014/chart" uri="{C3380CC4-5D6E-409C-BE32-E72D297353CC}">
              <c16:uniqueId val="{00000002-8ADE-43EF-825C-F384DA03FCD1}"/>
            </c:ext>
          </c:extLst>
        </c:ser>
        <c:ser>
          <c:idx val="1"/>
          <c:order val="1"/>
          <c:tx>
            <c:strRef>
              <c:f>Schedules!$E$163</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Schedules!$F$163:$AC$163</c:f>
              <c:numCache>
                <c:formatCode>0</c:formatCode>
                <c:ptCount val="24"/>
                <c:pt idx="0">
                  <c:v>331.2</c:v>
                </c:pt>
                <c:pt idx="1">
                  <c:v>331.2</c:v>
                </c:pt>
                <c:pt idx="2">
                  <c:v>331.2</c:v>
                </c:pt>
                <c:pt idx="3">
                  <c:v>331.2</c:v>
                </c:pt>
                <c:pt idx="4">
                  <c:v>331.2</c:v>
                </c:pt>
                <c:pt idx="5">
                  <c:v>331.2</c:v>
                </c:pt>
                <c:pt idx="6">
                  <c:v>331.2</c:v>
                </c:pt>
                <c:pt idx="7">
                  <c:v>331.2</c:v>
                </c:pt>
                <c:pt idx="8">
                  <c:v>331.2</c:v>
                </c:pt>
                <c:pt idx="9">
                  <c:v>331.2</c:v>
                </c:pt>
                <c:pt idx="10">
                  <c:v>331.2</c:v>
                </c:pt>
                <c:pt idx="11">
                  <c:v>331.2</c:v>
                </c:pt>
                <c:pt idx="12">
                  <c:v>331.2</c:v>
                </c:pt>
                <c:pt idx="13">
                  <c:v>331.2</c:v>
                </c:pt>
                <c:pt idx="14">
                  <c:v>331.2</c:v>
                </c:pt>
                <c:pt idx="15">
                  <c:v>331.2</c:v>
                </c:pt>
                <c:pt idx="16">
                  <c:v>331.2</c:v>
                </c:pt>
                <c:pt idx="17">
                  <c:v>331.2</c:v>
                </c:pt>
                <c:pt idx="18">
                  <c:v>331.2</c:v>
                </c:pt>
                <c:pt idx="19">
                  <c:v>331.2</c:v>
                </c:pt>
                <c:pt idx="20">
                  <c:v>331.2</c:v>
                </c:pt>
                <c:pt idx="21">
                  <c:v>331.2</c:v>
                </c:pt>
                <c:pt idx="22">
                  <c:v>331.2</c:v>
                </c:pt>
                <c:pt idx="23">
                  <c:v>331.2</c:v>
                </c:pt>
              </c:numCache>
            </c:numRef>
          </c:val>
          <c:smooth val="0"/>
          <c:extLst>
            <c:ext xmlns:c16="http://schemas.microsoft.com/office/drawing/2014/chart" uri="{C3380CC4-5D6E-409C-BE32-E72D297353CC}">
              <c16:uniqueId val="{00000003-8ADE-43EF-825C-F384DA03FCD1}"/>
            </c:ext>
          </c:extLst>
        </c:ser>
        <c:ser>
          <c:idx val="2"/>
          <c:order val="2"/>
          <c:tx>
            <c:strRef>
              <c:f>Schedules!$E$164</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Schedules!$F$164:$AC$164</c:f>
              <c:numCache>
                <c:formatCode>0</c:formatCode>
                <c:ptCount val="24"/>
                <c:pt idx="0">
                  <c:v>331.2</c:v>
                </c:pt>
                <c:pt idx="1">
                  <c:v>331.2</c:v>
                </c:pt>
                <c:pt idx="2">
                  <c:v>331.2</c:v>
                </c:pt>
                <c:pt idx="3">
                  <c:v>331.2</c:v>
                </c:pt>
                <c:pt idx="4">
                  <c:v>331.2</c:v>
                </c:pt>
                <c:pt idx="5">
                  <c:v>331.2</c:v>
                </c:pt>
                <c:pt idx="6">
                  <c:v>331.2</c:v>
                </c:pt>
                <c:pt idx="7">
                  <c:v>331.2</c:v>
                </c:pt>
                <c:pt idx="8">
                  <c:v>331.2</c:v>
                </c:pt>
                <c:pt idx="9">
                  <c:v>331.2</c:v>
                </c:pt>
                <c:pt idx="10">
                  <c:v>331.2</c:v>
                </c:pt>
                <c:pt idx="11">
                  <c:v>331.2</c:v>
                </c:pt>
                <c:pt idx="12">
                  <c:v>331.2</c:v>
                </c:pt>
                <c:pt idx="13">
                  <c:v>331.2</c:v>
                </c:pt>
                <c:pt idx="14">
                  <c:v>331.2</c:v>
                </c:pt>
                <c:pt idx="15">
                  <c:v>331.2</c:v>
                </c:pt>
                <c:pt idx="16">
                  <c:v>331.2</c:v>
                </c:pt>
                <c:pt idx="17">
                  <c:v>331.2</c:v>
                </c:pt>
                <c:pt idx="18">
                  <c:v>331.2</c:v>
                </c:pt>
                <c:pt idx="19">
                  <c:v>331.2</c:v>
                </c:pt>
                <c:pt idx="20">
                  <c:v>331.2</c:v>
                </c:pt>
                <c:pt idx="21">
                  <c:v>331.2</c:v>
                </c:pt>
                <c:pt idx="22">
                  <c:v>331.2</c:v>
                </c:pt>
                <c:pt idx="23">
                  <c:v>331.2</c:v>
                </c:pt>
              </c:numCache>
            </c:numRef>
          </c:val>
          <c:smooth val="0"/>
          <c:extLst>
            <c:ext xmlns:c16="http://schemas.microsoft.com/office/drawing/2014/chart" uri="{C3380CC4-5D6E-409C-BE32-E72D297353CC}">
              <c16:uniqueId val="{00000004-8ADE-43EF-825C-F384DA03FCD1}"/>
            </c:ext>
          </c:extLst>
        </c:ser>
        <c:dLbls>
          <c:showLegendKey val="0"/>
          <c:showVal val="0"/>
          <c:showCatName val="0"/>
          <c:showSerName val="0"/>
          <c:showPercent val="0"/>
          <c:showBubbleSize val="0"/>
        </c:dLbls>
        <c:smooth val="0"/>
        <c:axId val="1192719584"/>
        <c:axId val="1162054224"/>
      </c:lineChart>
      <c:catAx>
        <c:axId val="1192719584"/>
        <c:scaling>
          <c:orientation val="minMax"/>
        </c:scaling>
        <c:delete val="0"/>
        <c:axPos val="b"/>
        <c:numFmt formatCode="General" sourceLinked="1"/>
        <c:majorTickMark val="out"/>
        <c:minorTickMark val="none"/>
        <c:tickLblPos val="nextTo"/>
        <c:crossAx val="1162054224"/>
        <c:crosses val="autoZero"/>
        <c:auto val="1"/>
        <c:lblAlgn val="ctr"/>
        <c:lblOffset val="100"/>
        <c:noMultiLvlLbl val="0"/>
      </c:catAx>
      <c:valAx>
        <c:axId val="1162054224"/>
        <c:scaling>
          <c:orientation val="minMax"/>
          <c:min val="0"/>
        </c:scaling>
        <c:delete val="0"/>
        <c:axPos val="l"/>
        <c:majorGridlines/>
        <c:numFmt formatCode="0" sourceLinked="1"/>
        <c:majorTickMark val="out"/>
        <c:minorTickMark val="none"/>
        <c:tickLblPos val="nextTo"/>
        <c:crossAx val="1192719584"/>
        <c:crosses val="autoZero"/>
        <c:crossBetween val="between"/>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CommonAreaPeopleActivityLevel</a:t>
            </a:r>
          </a:p>
        </c:rich>
      </c:tx>
      <c:overlay val="0"/>
    </c:title>
    <c:autoTitleDeleted val="0"/>
    <c:plotArea>
      <c:layout/>
      <c:lineChart>
        <c:grouping val="standard"/>
        <c:varyColors val="0"/>
        <c:ser>
          <c:idx val="0"/>
          <c:order val="0"/>
          <c:tx>
            <c:strRef>
              <c:f>Schedules!$E$165</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Schedules!$F$165:$AC$165</c:f>
              <c:numCache>
                <c:formatCode>0</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2-4EF7-407E-B87A-8CD759E28EE4}"/>
            </c:ext>
          </c:extLst>
        </c:ser>
        <c:ser>
          <c:idx val="1"/>
          <c:order val="1"/>
          <c:tx>
            <c:strRef>
              <c:f>Schedules!$E$166</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Schedules!$F$166:$AC$166</c:f>
              <c:numCache>
                <c:formatCode>0</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3-4EF7-407E-B87A-8CD759E28EE4}"/>
            </c:ext>
          </c:extLst>
        </c:ser>
        <c:ser>
          <c:idx val="2"/>
          <c:order val="2"/>
          <c:tx>
            <c:strRef>
              <c:f>Schedules!$E$167</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Schedules!$F$167:$AC$167</c:f>
              <c:numCache>
                <c:formatCode>0</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4-4EF7-407E-B87A-8CD759E28EE4}"/>
            </c:ext>
          </c:extLst>
        </c:ser>
        <c:dLbls>
          <c:showLegendKey val="0"/>
          <c:showVal val="0"/>
          <c:showCatName val="0"/>
          <c:showSerName val="0"/>
          <c:showPercent val="0"/>
          <c:showBubbleSize val="0"/>
        </c:dLbls>
        <c:smooth val="0"/>
        <c:axId val="1192682000"/>
        <c:axId val="1162078224"/>
      </c:lineChart>
      <c:catAx>
        <c:axId val="1192682000"/>
        <c:scaling>
          <c:orientation val="minMax"/>
        </c:scaling>
        <c:delete val="0"/>
        <c:axPos val="b"/>
        <c:numFmt formatCode="General" sourceLinked="1"/>
        <c:majorTickMark val="out"/>
        <c:minorTickMark val="none"/>
        <c:tickLblPos val="nextTo"/>
        <c:crossAx val="1162078224"/>
        <c:crosses val="autoZero"/>
        <c:auto val="1"/>
        <c:lblAlgn val="ctr"/>
        <c:lblOffset val="100"/>
        <c:noMultiLvlLbl val="0"/>
      </c:catAx>
      <c:valAx>
        <c:axId val="1162078224"/>
        <c:scaling>
          <c:orientation val="minMax"/>
          <c:min val="0"/>
        </c:scaling>
        <c:delete val="0"/>
        <c:axPos val="l"/>
        <c:majorGridlines/>
        <c:numFmt formatCode="0" sourceLinked="1"/>
        <c:majorTickMark val="out"/>
        <c:minorTickMark val="none"/>
        <c:tickLblPos val="nextTo"/>
        <c:crossAx val="1192682000"/>
        <c:crosses val="autoZero"/>
        <c:crossBetween val="between"/>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MeetingPeopleActivityLevel</a:t>
            </a:r>
          </a:p>
        </c:rich>
      </c:tx>
      <c:overlay val="0"/>
    </c:title>
    <c:autoTitleDeleted val="0"/>
    <c:plotArea>
      <c:layout/>
      <c:lineChart>
        <c:grouping val="standard"/>
        <c:varyColors val="0"/>
        <c:ser>
          <c:idx val="0"/>
          <c:order val="0"/>
          <c:tx>
            <c:strRef>
              <c:f>Schedules!$E$168</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Schedules!$F$168:$AC$168</c:f>
              <c:numCache>
                <c:formatCode>0</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2-8515-4A11-AA9F-C906B17C7358}"/>
            </c:ext>
          </c:extLst>
        </c:ser>
        <c:ser>
          <c:idx val="1"/>
          <c:order val="1"/>
          <c:tx>
            <c:strRef>
              <c:f>Schedules!$E$169</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Schedules!$F$169:$AC$169</c:f>
              <c:numCache>
                <c:formatCode>0</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3-8515-4A11-AA9F-C906B17C7358}"/>
            </c:ext>
          </c:extLst>
        </c:ser>
        <c:ser>
          <c:idx val="2"/>
          <c:order val="2"/>
          <c:tx>
            <c:strRef>
              <c:f>Schedules!$E$170</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Schedules!$F$170:$AC$170</c:f>
              <c:numCache>
                <c:formatCode>0</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4-8515-4A11-AA9F-C906B17C7358}"/>
            </c:ext>
          </c:extLst>
        </c:ser>
        <c:dLbls>
          <c:showLegendKey val="0"/>
          <c:showVal val="0"/>
          <c:showCatName val="0"/>
          <c:showSerName val="0"/>
          <c:showPercent val="0"/>
          <c:showBubbleSize val="0"/>
        </c:dLbls>
        <c:smooth val="0"/>
        <c:axId val="1192724688"/>
        <c:axId val="1162105104"/>
      </c:lineChart>
      <c:catAx>
        <c:axId val="1192724688"/>
        <c:scaling>
          <c:orientation val="minMax"/>
        </c:scaling>
        <c:delete val="0"/>
        <c:axPos val="b"/>
        <c:numFmt formatCode="General" sourceLinked="1"/>
        <c:majorTickMark val="out"/>
        <c:minorTickMark val="none"/>
        <c:tickLblPos val="nextTo"/>
        <c:crossAx val="1162105104"/>
        <c:crosses val="autoZero"/>
        <c:auto val="1"/>
        <c:lblAlgn val="ctr"/>
        <c:lblOffset val="100"/>
        <c:noMultiLvlLbl val="0"/>
      </c:catAx>
      <c:valAx>
        <c:axId val="1162105104"/>
        <c:scaling>
          <c:orientation val="minMax"/>
          <c:min val="0"/>
        </c:scaling>
        <c:delete val="0"/>
        <c:axPos val="l"/>
        <c:majorGridlines/>
        <c:numFmt formatCode="0" sourceLinked="1"/>
        <c:majorTickMark val="out"/>
        <c:minorTickMark val="none"/>
        <c:tickLblPos val="nextTo"/>
        <c:crossAx val="1192724688"/>
        <c:crosses val="autoZero"/>
        <c:crossBetween val="between"/>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DiningAreaPeopleActivityLevel</a:t>
            </a:r>
          </a:p>
        </c:rich>
      </c:tx>
      <c:overlay val="0"/>
    </c:title>
    <c:autoTitleDeleted val="0"/>
    <c:plotArea>
      <c:layout/>
      <c:lineChart>
        <c:grouping val="standard"/>
        <c:varyColors val="0"/>
        <c:ser>
          <c:idx val="0"/>
          <c:order val="0"/>
          <c:tx>
            <c:strRef>
              <c:f>Schedules!$E$171</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Schedules!$F$171:$AC$171</c:f>
              <c:numCache>
                <c:formatCode>0</c:formatCode>
                <c:ptCount val="24"/>
                <c:pt idx="0">
                  <c:v>161.19999999999999</c:v>
                </c:pt>
                <c:pt idx="1">
                  <c:v>161.19999999999999</c:v>
                </c:pt>
                <c:pt idx="2">
                  <c:v>161.19999999999999</c:v>
                </c:pt>
                <c:pt idx="3">
                  <c:v>161.19999999999999</c:v>
                </c:pt>
                <c:pt idx="4">
                  <c:v>161.19999999999999</c:v>
                </c:pt>
                <c:pt idx="5">
                  <c:v>161.19999999999999</c:v>
                </c:pt>
                <c:pt idx="6">
                  <c:v>161.19999999999999</c:v>
                </c:pt>
                <c:pt idx="7">
                  <c:v>161.19999999999999</c:v>
                </c:pt>
                <c:pt idx="8">
                  <c:v>161.19999999999999</c:v>
                </c:pt>
                <c:pt idx="9">
                  <c:v>161.19999999999999</c:v>
                </c:pt>
                <c:pt idx="10">
                  <c:v>161.19999999999999</c:v>
                </c:pt>
                <c:pt idx="11">
                  <c:v>161.19999999999999</c:v>
                </c:pt>
                <c:pt idx="12">
                  <c:v>161.19999999999999</c:v>
                </c:pt>
                <c:pt idx="13">
                  <c:v>161.19999999999999</c:v>
                </c:pt>
                <c:pt idx="14">
                  <c:v>161.19999999999999</c:v>
                </c:pt>
                <c:pt idx="15">
                  <c:v>161.19999999999999</c:v>
                </c:pt>
                <c:pt idx="16">
                  <c:v>161.19999999999999</c:v>
                </c:pt>
                <c:pt idx="17">
                  <c:v>161.19999999999999</c:v>
                </c:pt>
                <c:pt idx="18">
                  <c:v>161.19999999999999</c:v>
                </c:pt>
                <c:pt idx="19">
                  <c:v>161.19999999999999</c:v>
                </c:pt>
                <c:pt idx="20">
                  <c:v>161.19999999999999</c:v>
                </c:pt>
                <c:pt idx="21">
                  <c:v>161.19999999999999</c:v>
                </c:pt>
                <c:pt idx="22">
                  <c:v>161.19999999999999</c:v>
                </c:pt>
                <c:pt idx="23">
                  <c:v>161.19999999999999</c:v>
                </c:pt>
              </c:numCache>
            </c:numRef>
          </c:val>
          <c:smooth val="0"/>
          <c:extLst>
            <c:ext xmlns:c16="http://schemas.microsoft.com/office/drawing/2014/chart" uri="{C3380CC4-5D6E-409C-BE32-E72D297353CC}">
              <c16:uniqueId val="{00000002-183B-4745-9C71-0926259DEF98}"/>
            </c:ext>
          </c:extLst>
        </c:ser>
        <c:ser>
          <c:idx val="1"/>
          <c:order val="1"/>
          <c:tx>
            <c:strRef>
              <c:f>Schedules!$E$172</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Schedules!$F$172:$AC$172</c:f>
              <c:numCache>
                <c:formatCode>0</c:formatCode>
                <c:ptCount val="24"/>
                <c:pt idx="0">
                  <c:v>161.19999999999999</c:v>
                </c:pt>
                <c:pt idx="1">
                  <c:v>161.19999999999999</c:v>
                </c:pt>
                <c:pt idx="2">
                  <c:v>161.19999999999999</c:v>
                </c:pt>
                <c:pt idx="3">
                  <c:v>161.19999999999999</c:v>
                </c:pt>
                <c:pt idx="4">
                  <c:v>161.19999999999999</c:v>
                </c:pt>
                <c:pt idx="5">
                  <c:v>161.19999999999999</c:v>
                </c:pt>
                <c:pt idx="6">
                  <c:v>161.19999999999999</c:v>
                </c:pt>
                <c:pt idx="7">
                  <c:v>161.19999999999999</c:v>
                </c:pt>
                <c:pt idx="8">
                  <c:v>161.19999999999999</c:v>
                </c:pt>
                <c:pt idx="9">
                  <c:v>161.19999999999999</c:v>
                </c:pt>
                <c:pt idx="10">
                  <c:v>161.19999999999999</c:v>
                </c:pt>
                <c:pt idx="11">
                  <c:v>161.19999999999999</c:v>
                </c:pt>
                <c:pt idx="12">
                  <c:v>161.19999999999999</c:v>
                </c:pt>
                <c:pt idx="13">
                  <c:v>161.19999999999999</c:v>
                </c:pt>
                <c:pt idx="14">
                  <c:v>161.19999999999999</c:v>
                </c:pt>
                <c:pt idx="15">
                  <c:v>161.19999999999999</c:v>
                </c:pt>
                <c:pt idx="16">
                  <c:v>161.19999999999999</c:v>
                </c:pt>
                <c:pt idx="17">
                  <c:v>161.19999999999999</c:v>
                </c:pt>
                <c:pt idx="18">
                  <c:v>161.19999999999999</c:v>
                </c:pt>
                <c:pt idx="19">
                  <c:v>161.19999999999999</c:v>
                </c:pt>
                <c:pt idx="20">
                  <c:v>161.19999999999999</c:v>
                </c:pt>
                <c:pt idx="21">
                  <c:v>161.19999999999999</c:v>
                </c:pt>
                <c:pt idx="22">
                  <c:v>161.19999999999999</c:v>
                </c:pt>
                <c:pt idx="23">
                  <c:v>161.19999999999999</c:v>
                </c:pt>
              </c:numCache>
            </c:numRef>
          </c:val>
          <c:smooth val="0"/>
          <c:extLst>
            <c:ext xmlns:c16="http://schemas.microsoft.com/office/drawing/2014/chart" uri="{C3380CC4-5D6E-409C-BE32-E72D297353CC}">
              <c16:uniqueId val="{00000003-183B-4745-9C71-0926259DEF98}"/>
            </c:ext>
          </c:extLst>
        </c:ser>
        <c:ser>
          <c:idx val="2"/>
          <c:order val="2"/>
          <c:tx>
            <c:strRef>
              <c:f>Schedules!$E$173</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Schedules!$F$173:$AC$173</c:f>
              <c:numCache>
                <c:formatCode>0</c:formatCode>
                <c:ptCount val="24"/>
                <c:pt idx="0">
                  <c:v>161.19999999999999</c:v>
                </c:pt>
                <c:pt idx="1">
                  <c:v>161.19999999999999</c:v>
                </c:pt>
                <c:pt idx="2">
                  <c:v>161.19999999999999</c:v>
                </c:pt>
                <c:pt idx="3">
                  <c:v>161.19999999999999</c:v>
                </c:pt>
                <c:pt idx="4">
                  <c:v>161.19999999999999</c:v>
                </c:pt>
                <c:pt idx="5">
                  <c:v>161.19999999999999</c:v>
                </c:pt>
                <c:pt idx="6">
                  <c:v>161.19999999999999</c:v>
                </c:pt>
                <c:pt idx="7">
                  <c:v>161.19999999999999</c:v>
                </c:pt>
                <c:pt idx="8">
                  <c:v>161.19999999999999</c:v>
                </c:pt>
                <c:pt idx="9">
                  <c:v>161.19999999999999</c:v>
                </c:pt>
                <c:pt idx="10">
                  <c:v>161.19999999999999</c:v>
                </c:pt>
                <c:pt idx="11">
                  <c:v>161.19999999999999</c:v>
                </c:pt>
                <c:pt idx="12">
                  <c:v>161.19999999999999</c:v>
                </c:pt>
                <c:pt idx="13">
                  <c:v>161.19999999999999</c:v>
                </c:pt>
                <c:pt idx="14">
                  <c:v>161.19999999999999</c:v>
                </c:pt>
                <c:pt idx="15">
                  <c:v>161.19999999999999</c:v>
                </c:pt>
                <c:pt idx="16">
                  <c:v>161.19999999999999</c:v>
                </c:pt>
                <c:pt idx="17">
                  <c:v>161.19999999999999</c:v>
                </c:pt>
                <c:pt idx="18">
                  <c:v>161.19999999999999</c:v>
                </c:pt>
                <c:pt idx="19">
                  <c:v>161.19999999999999</c:v>
                </c:pt>
                <c:pt idx="20">
                  <c:v>161.19999999999999</c:v>
                </c:pt>
                <c:pt idx="21">
                  <c:v>161.19999999999999</c:v>
                </c:pt>
                <c:pt idx="22">
                  <c:v>161.19999999999999</c:v>
                </c:pt>
                <c:pt idx="23">
                  <c:v>161.19999999999999</c:v>
                </c:pt>
              </c:numCache>
            </c:numRef>
          </c:val>
          <c:smooth val="0"/>
          <c:extLst>
            <c:ext xmlns:c16="http://schemas.microsoft.com/office/drawing/2014/chart" uri="{C3380CC4-5D6E-409C-BE32-E72D297353CC}">
              <c16:uniqueId val="{00000004-183B-4745-9C71-0926259DEF98}"/>
            </c:ext>
          </c:extLst>
        </c:ser>
        <c:dLbls>
          <c:showLegendKey val="0"/>
          <c:showVal val="0"/>
          <c:showCatName val="0"/>
          <c:showSerName val="0"/>
          <c:showPercent val="0"/>
          <c:showBubbleSize val="0"/>
        </c:dLbls>
        <c:smooth val="0"/>
        <c:axId val="1192735824"/>
        <c:axId val="1162146384"/>
      </c:lineChart>
      <c:catAx>
        <c:axId val="1192735824"/>
        <c:scaling>
          <c:orientation val="minMax"/>
        </c:scaling>
        <c:delete val="0"/>
        <c:axPos val="b"/>
        <c:numFmt formatCode="General" sourceLinked="1"/>
        <c:majorTickMark val="out"/>
        <c:minorTickMark val="none"/>
        <c:tickLblPos val="nextTo"/>
        <c:crossAx val="1162146384"/>
        <c:crosses val="autoZero"/>
        <c:auto val="1"/>
        <c:lblAlgn val="ctr"/>
        <c:lblOffset val="100"/>
        <c:noMultiLvlLbl val="0"/>
      </c:catAx>
      <c:valAx>
        <c:axId val="1162146384"/>
        <c:scaling>
          <c:orientation val="minMax"/>
          <c:min val="0"/>
        </c:scaling>
        <c:delete val="0"/>
        <c:axPos val="l"/>
        <c:majorGridlines/>
        <c:numFmt formatCode="0" sourceLinked="1"/>
        <c:majorTickMark val="out"/>
        <c:minorTickMark val="none"/>
        <c:tickLblPos val="nextTo"/>
        <c:crossAx val="1192735824"/>
        <c:crosses val="autoZero"/>
        <c:crossBetween val="between"/>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FunctionalAreaPeopleActivityLevel</a:t>
            </a:r>
          </a:p>
        </c:rich>
      </c:tx>
      <c:overlay val="0"/>
    </c:title>
    <c:autoTitleDeleted val="0"/>
    <c:plotArea>
      <c:layout/>
      <c:lineChart>
        <c:grouping val="standard"/>
        <c:varyColors val="0"/>
        <c:ser>
          <c:idx val="0"/>
          <c:order val="0"/>
          <c:tx>
            <c:strRef>
              <c:f>Schedules!$E$174</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Schedules!$F$174:$AC$174</c:f>
              <c:numCache>
                <c:formatCode>0</c:formatCode>
                <c:ptCount val="24"/>
                <c:pt idx="0">
                  <c:v>131.9</c:v>
                </c:pt>
                <c:pt idx="1">
                  <c:v>131.9</c:v>
                </c:pt>
                <c:pt idx="2">
                  <c:v>131.9</c:v>
                </c:pt>
                <c:pt idx="3">
                  <c:v>131.9</c:v>
                </c:pt>
                <c:pt idx="4">
                  <c:v>131.9</c:v>
                </c:pt>
                <c:pt idx="5">
                  <c:v>131.9</c:v>
                </c:pt>
                <c:pt idx="6">
                  <c:v>131.9</c:v>
                </c:pt>
                <c:pt idx="7">
                  <c:v>131.9</c:v>
                </c:pt>
                <c:pt idx="8">
                  <c:v>131.9</c:v>
                </c:pt>
                <c:pt idx="9">
                  <c:v>131.9</c:v>
                </c:pt>
                <c:pt idx="10">
                  <c:v>131.9</c:v>
                </c:pt>
                <c:pt idx="11">
                  <c:v>131.9</c:v>
                </c:pt>
                <c:pt idx="12">
                  <c:v>131.9</c:v>
                </c:pt>
                <c:pt idx="13">
                  <c:v>131.9</c:v>
                </c:pt>
                <c:pt idx="14">
                  <c:v>131.9</c:v>
                </c:pt>
                <c:pt idx="15">
                  <c:v>131.9</c:v>
                </c:pt>
                <c:pt idx="16">
                  <c:v>131.9</c:v>
                </c:pt>
                <c:pt idx="17">
                  <c:v>131.9</c:v>
                </c:pt>
                <c:pt idx="18">
                  <c:v>131.9</c:v>
                </c:pt>
                <c:pt idx="19">
                  <c:v>131.9</c:v>
                </c:pt>
                <c:pt idx="20">
                  <c:v>131.9</c:v>
                </c:pt>
                <c:pt idx="21">
                  <c:v>131.9</c:v>
                </c:pt>
                <c:pt idx="22">
                  <c:v>131.9</c:v>
                </c:pt>
                <c:pt idx="23">
                  <c:v>131.9</c:v>
                </c:pt>
              </c:numCache>
            </c:numRef>
          </c:val>
          <c:smooth val="0"/>
          <c:extLst>
            <c:ext xmlns:c16="http://schemas.microsoft.com/office/drawing/2014/chart" uri="{C3380CC4-5D6E-409C-BE32-E72D297353CC}">
              <c16:uniqueId val="{00000002-5BE9-4C3F-9FA2-A33947CA4C80}"/>
            </c:ext>
          </c:extLst>
        </c:ser>
        <c:ser>
          <c:idx val="1"/>
          <c:order val="1"/>
          <c:tx>
            <c:strRef>
              <c:f>Schedules!$E$175</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Schedules!$F$175:$AC$175</c:f>
              <c:numCache>
                <c:formatCode>0</c:formatCode>
                <c:ptCount val="24"/>
                <c:pt idx="0">
                  <c:v>131.9</c:v>
                </c:pt>
                <c:pt idx="1">
                  <c:v>131.9</c:v>
                </c:pt>
                <c:pt idx="2">
                  <c:v>131.9</c:v>
                </c:pt>
                <c:pt idx="3">
                  <c:v>131.9</c:v>
                </c:pt>
                <c:pt idx="4">
                  <c:v>131.9</c:v>
                </c:pt>
                <c:pt idx="5">
                  <c:v>131.9</c:v>
                </c:pt>
                <c:pt idx="6">
                  <c:v>131.9</c:v>
                </c:pt>
                <c:pt idx="7">
                  <c:v>131.9</c:v>
                </c:pt>
                <c:pt idx="8">
                  <c:v>131.9</c:v>
                </c:pt>
                <c:pt idx="9">
                  <c:v>131.9</c:v>
                </c:pt>
                <c:pt idx="10">
                  <c:v>131.9</c:v>
                </c:pt>
                <c:pt idx="11">
                  <c:v>131.9</c:v>
                </c:pt>
                <c:pt idx="12">
                  <c:v>131.9</c:v>
                </c:pt>
                <c:pt idx="13">
                  <c:v>131.9</c:v>
                </c:pt>
                <c:pt idx="14">
                  <c:v>131.9</c:v>
                </c:pt>
                <c:pt idx="15">
                  <c:v>131.9</c:v>
                </c:pt>
                <c:pt idx="16">
                  <c:v>131.9</c:v>
                </c:pt>
                <c:pt idx="17">
                  <c:v>131.9</c:v>
                </c:pt>
                <c:pt idx="18">
                  <c:v>131.9</c:v>
                </c:pt>
                <c:pt idx="19">
                  <c:v>131.9</c:v>
                </c:pt>
                <c:pt idx="20">
                  <c:v>131.9</c:v>
                </c:pt>
                <c:pt idx="21">
                  <c:v>131.9</c:v>
                </c:pt>
                <c:pt idx="22">
                  <c:v>131.9</c:v>
                </c:pt>
                <c:pt idx="23">
                  <c:v>131.9</c:v>
                </c:pt>
              </c:numCache>
            </c:numRef>
          </c:val>
          <c:smooth val="0"/>
          <c:extLst>
            <c:ext xmlns:c16="http://schemas.microsoft.com/office/drawing/2014/chart" uri="{C3380CC4-5D6E-409C-BE32-E72D297353CC}">
              <c16:uniqueId val="{00000003-5BE9-4C3F-9FA2-A33947CA4C80}"/>
            </c:ext>
          </c:extLst>
        </c:ser>
        <c:ser>
          <c:idx val="2"/>
          <c:order val="2"/>
          <c:tx>
            <c:strRef>
              <c:f>Schedules!$E$176</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Schedules!$F$176:$AC$176</c:f>
              <c:numCache>
                <c:formatCode>0</c:formatCode>
                <c:ptCount val="24"/>
                <c:pt idx="0">
                  <c:v>131.9</c:v>
                </c:pt>
                <c:pt idx="1">
                  <c:v>131.9</c:v>
                </c:pt>
                <c:pt idx="2">
                  <c:v>131.9</c:v>
                </c:pt>
                <c:pt idx="3">
                  <c:v>131.9</c:v>
                </c:pt>
                <c:pt idx="4">
                  <c:v>131.9</c:v>
                </c:pt>
                <c:pt idx="5">
                  <c:v>131.9</c:v>
                </c:pt>
                <c:pt idx="6">
                  <c:v>131.9</c:v>
                </c:pt>
                <c:pt idx="7">
                  <c:v>131.9</c:v>
                </c:pt>
                <c:pt idx="8">
                  <c:v>131.9</c:v>
                </c:pt>
                <c:pt idx="9">
                  <c:v>131.9</c:v>
                </c:pt>
                <c:pt idx="10">
                  <c:v>131.9</c:v>
                </c:pt>
                <c:pt idx="11">
                  <c:v>131.9</c:v>
                </c:pt>
                <c:pt idx="12">
                  <c:v>131.9</c:v>
                </c:pt>
                <c:pt idx="13">
                  <c:v>131.9</c:v>
                </c:pt>
                <c:pt idx="14">
                  <c:v>131.9</c:v>
                </c:pt>
                <c:pt idx="15">
                  <c:v>131.9</c:v>
                </c:pt>
                <c:pt idx="16">
                  <c:v>131.9</c:v>
                </c:pt>
                <c:pt idx="17">
                  <c:v>131.9</c:v>
                </c:pt>
                <c:pt idx="18">
                  <c:v>131.9</c:v>
                </c:pt>
                <c:pt idx="19">
                  <c:v>131.9</c:v>
                </c:pt>
                <c:pt idx="20">
                  <c:v>131.9</c:v>
                </c:pt>
                <c:pt idx="21">
                  <c:v>131.9</c:v>
                </c:pt>
                <c:pt idx="22">
                  <c:v>131.9</c:v>
                </c:pt>
                <c:pt idx="23">
                  <c:v>131.9</c:v>
                </c:pt>
              </c:numCache>
            </c:numRef>
          </c:val>
          <c:smooth val="0"/>
          <c:extLst>
            <c:ext xmlns:c16="http://schemas.microsoft.com/office/drawing/2014/chart" uri="{C3380CC4-5D6E-409C-BE32-E72D297353CC}">
              <c16:uniqueId val="{00000004-5BE9-4C3F-9FA2-A33947CA4C80}"/>
            </c:ext>
          </c:extLst>
        </c:ser>
        <c:dLbls>
          <c:showLegendKey val="0"/>
          <c:showVal val="0"/>
          <c:showCatName val="0"/>
          <c:showSerName val="0"/>
          <c:showPercent val="0"/>
          <c:showBubbleSize val="0"/>
        </c:dLbls>
        <c:smooth val="0"/>
        <c:axId val="1192701952"/>
        <c:axId val="1162179984"/>
      </c:lineChart>
      <c:catAx>
        <c:axId val="1192701952"/>
        <c:scaling>
          <c:orientation val="minMax"/>
        </c:scaling>
        <c:delete val="0"/>
        <c:axPos val="b"/>
        <c:numFmt formatCode="General" sourceLinked="1"/>
        <c:majorTickMark val="out"/>
        <c:minorTickMark val="none"/>
        <c:tickLblPos val="nextTo"/>
        <c:crossAx val="1162179984"/>
        <c:crosses val="autoZero"/>
        <c:auto val="1"/>
        <c:lblAlgn val="ctr"/>
        <c:lblOffset val="100"/>
        <c:noMultiLvlLbl val="0"/>
      </c:catAx>
      <c:valAx>
        <c:axId val="1162179984"/>
        <c:scaling>
          <c:orientation val="minMax"/>
          <c:min val="0"/>
        </c:scaling>
        <c:delete val="0"/>
        <c:axPos val="l"/>
        <c:majorGridlines/>
        <c:numFmt formatCode="0" sourceLinked="1"/>
        <c:majorTickMark val="out"/>
        <c:minorTickMark val="none"/>
        <c:tickLblPos val="nextTo"/>
        <c:crossAx val="1192701952"/>
        <c:crosses val="autoZero"/>
        <c:crossBetween val="between"/>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RefStoragePeopleActivityLevel</a:t>
            </a:r>
          </a:p>
        </c:rich>
      </c:tx>
      <c:overlay val="0"/>
    </c:title>
    <c:autoTitleDeleted val="0"/>
    <c:plotArea>
      <c:layout/>
      <c:lineChart>
        <c:grouping val="standard"/>
        <c:varyColors val="0"/>
        <c:ser>
          <c:idx val="0"/>
          <c:order val="0"/>
          <c:tx>
            <c:strRef>
              <c:f>Schedules!$E$177</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Schedules!$F$177:$AC$177</c:f>
              <c:numCache>
                <c:formatCode>0</c:formatCode>
                <c:ptCount val="24"/>
                <c:pt idx="0">
                  <c:v>219.8</c:v>
                </c:pt>
                <c:pt idx="1">
                  <c:v>219.8</c:v>
                </c:pt>
                <c:pt idx="2">
                  <c:v>219.8</c:v>
                </c:pt>
                <c:pt idx="3">
                  <c:v>219.8</c:v>
                </c:pt>
                <c:pt idx="4">
                  <c:v>219.8</c:v>
                </c:pt>
                <c:pt idx="5">
                  <c:v>219.8</c:v>
                </c:pt>
                <c:pt idx="6">
                  <c:v>219.8</c:v>
                </c:pt>
                <c:pt idx="7">
                  <c:v>219.8</c:v>
                </c:pt>
                <c:pt idx="8">
                  <c:v>219.8</c:v>
                </c:pt>
                <c:pt idx="9">
                  <c:v>219.8</c:v>
                </c:pt>
                <c:pt idx="10">
                  <c:v>219.8</c:v>
                </c:pt>
                <c:pt idx="11">
                  <c:v>219.8</c:v>
                </c:pt>
                <c:pt idx="12">
                  <c:v>219.8</c:v>
                </c:pt>
                <c:pt idx="13">
                  <c:v>219.8</c:v>
                </c:pt>
                <c:pt idx="14">
                  <c:v>219.8</c:v>
                </c:pt>
                <c:pt idx="15">
                  <c:v>219.8</c:v>
                </c:pt>
                <c:pt idx="16">
                  <c:v>219.8</c:v>
                </c:pt>
                <c:pt idx="17">
                  <c:v>219.8</c:v>
                </c:pt>
                <c:pt idx="18">
                  <c:v>219.8</c:v>
                </c:pt>
                <c:pt idx="19">
                  <c:v>219.8</c:v>
                </c:pt>
                <c:pt idx="20">
                  <c:v>219.8</c:v>
                </c:pt>
                <c:pt idx="21">
                  <c:v>219.8</c:v>
                </c:pt>
                <c:pt idx="22">
                  <c:v>219.8</c:v>
                </c:pt>
                <c:pt idx="23">
                  <c:v>219.8</c:v>
                </c:pt>
              </c:numCache>
            </c:numRef>
          </c:val>
          <c:smooth val="0"/>
          <c:extLst>
            <c:ext xmlns:c16="http://schemas.microsoft.com/office/drawing/2014/chart" uri="{C3380CC4-5D6E-409C-BE32-E72D297353CC}">
              <c16:uniqueId val="{00000002-0A73-4E5C-A5AF-DE0431273851}"/>
            </c:ext>
          </c:extLst>
        </c:ser>
        <c:ser>
          <c:idx val="1"/>
          <c:order val="1"/>
          <c:tx>
            <c:strRef>
              <c:f>Schedules!$E$178</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Schedules!$F$178:$AC$178</c:f>
              <c:numCache>
                <c:formatCode>0</c:formatCode>
                <c:ptCount val="24"/>
                <c:pt idx="0">
                  <c:v>219.8</c:v>
                </c:pt>
                <c:pt idx="1">
                  <c:v>219.8</c:v>
                </c:pt>
                <c:pt idx="2">
                  <c:v>219.8</c:v>
                </c:pt>
                <c:pt idx="3">
                  <c:v>219.8</c:v>
                </c:pt>
                <c:pt idx="4">
                  <c:v>219.8</c:v>
                </c:pt>
                <c:pt idx="5">
                  <c:v>219.8</c:v>
                </c:pt>
                <c:pt idx="6">
                  <c:v>219.8</c:v>
                </c:pt>
                <c:pt idx="7">
                  <c:v>219.8</c:v>
                </c:pt>
                <c:pt idx="8">
                  <c:v>219.8</c:v>
                </c:pt>
                <c:pt idx="9">
                  <c:v>219.8</c:v>
                </c:pt>
                <c:pt idx="10">
                  <c:v>219.8</c:v>
                </c:pt>
                <c:pt idx="11">
                  <c:v>219.8</c:v>
                </c:pt>
                <c:pt idx="12">
                  <c:v>219.8</c:v>
                </c:pt>
                <c:pt idx="13">
                  <c:v>219.8</c:v>
                </c:pt>
                <c:pt idx="14">
                  <c:v>219.8</c:v>
                </c:pt>
                <c:pt idx="15">
                  <c:v>219.8</c:v>
                </c:pt>
                <c:pt idx="16">
                  <c:v>219.8</c:v>
                </c:pt>
                <c:pt idx="17">
                  <c:v>219.8</c:v>
                </c:pt>
                <c:pt idx="18">
                  <c:v>219.8</c:v>
                </c:pt>
                <c:pt idx="19">
                  <c:v>219.8</c:v>
                </c:pt>
                <c:pt idx="20">
                  <c:v>219.8</c:v>
                </c:pt>
                <c:pt idx="21">
                  <c:v>219.8</c:v>
                </c:pt>
                <c:pt idx="22">
                  <c:v>219.8</c:v>
                </c:pt>
                <c:pt idx="23">
                  <c:v>219.8</c:v>
                </c:pt>
              </c:numCache>
            </c:numRef>
          </c:val>
          <c:smooth val="0"/>
          <c:extLst>
            <c:ext xmlns:c16="http://schemas.microsoft.com/office/drawing/2014/chart" uri="{C3380CC4-5D6E-409C-BE32-E72D297353CC}">
              <c16:uniqueId val="{00000003-0A73-4E5C-A5AF-DE0431273851}"/>
            </c:ext>
          </c:extLst>
        </c:ser>
        <c:ser>
          <c:idx val="2"/>
          <c:order val="2"/>
          <c:tx>
            <c:strRef>
              <c:f>Schedules!$E$179</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Schedules!$F$179:$AC$179</c:f>
              <c:numCache>
                <c:formatCode>0</c:formatCode>
                <c:ptCount val="24"/>
                <c:pt idx="0">
                  <c:v>219.8</c:v>
                </c:pt>
                <c:pt idx="1">
                  <c:v>219.8</c:v>
                </c:pt>
                <c:pt idx="2">
                  <c:v>219.8</c:v>
                </c:pt>
                <c:pt idx="3">
                  <c:v>219.8</c:v>
                </c:pt>
                <c:pt idx="4">
                  <c:v>219.8</c:v>
                </c:pt>
                <c:pt idx="5">
                  <c:v>219.8</c:v>
                </c:pt>
                <c:pt idx="6">
                  <c:v>219.8</c:v>
                </c:pt>
                <c:pt idx="7">
                  <c:v>219.8</c:v>
                </c:pt>
                <c:pt idx="8">
                  <c:v>219.8</c:v>
                </c:pt>
                <c:pt idx="9">
                  <c:v>219.8</c:v>
                </c:pt>
                <c:pt idx="10">
                  <c:v>219.8</c:v>
                </c:pt>
                <c:pt idx="11">
                  <c:v>219.8</c:v>
                </c:pt>
                <c:pt idx="12">
                  <c:v>219.8</c:v>
                </c:pt>
                <c:pt idx="13">
                  <c:v>219.8</c:v>
                </c:pt>
                <c:pt idx="14">
                  <c:v>219.8</c:v>
                </c:pt>
                <c:pt idx="15">
                  <c:v>219.8</c:v>
                </c:pt>
                <c:pt idx="16">
                  <c:v>219.8</c:v>
                </c:pt>
                <c:pt idx="17">
                  <c:v>219.8</c:v>
                </c:pt>
                <c:pt idx="18">
                  <c:v>219.8</c:v>
                </c:pt>
                <c:pt idx="19">
                  <c:v>219.8</c:v>
                </c:pt>
                <c:pt idx="20">
                  <c:v>219.8</c:v>
                </c:pt>
                <c:pt idx="21">
                  <c:v>219.8</c:v>
                </c:pt>
                <c:pt idx="22">
                  <c:v>219.8</c:v>
                </c:pt>
                <c:pt idx="23">
                  <c:v>219.8</c:v>
                </c:pt>
              </c:numCache>
            </c:numRef>
          </c:val>
          <c:smooth val="0"/>
          <c:extLst>
            <c:ext xmlns:c16="http://schemas.microsoft.com/office/drawing/2014/chart" uri="{C3380CC4-5D6E-409C-BE32-E72D297353CC}">
              <c16:uniqueId val="{00000004-0A73-4E5C-A5AF-DE0431273851}"/>
            </c:ext>
          </c:extLst>
        </c:ser>
        <c:dLbls>
          <c:showLegendKey val="0"/>
          <c:showVal val="0"/>
          <c:showCatName val="0"/>
          <c:showSerName val="0"/>
          <c:showPercent val="0"/>
          <c:showBubbleSize val="0"/>
        </c:dLbls>
        <c:smooth val="0"/>
        <c:axId val="1239920512"/>
        <c:axId val="1162202544"/>
      </c:lineChart>
      <c:catAx>
        <c:axId val="1239920512"/>
        <c:scaling>
          <c:orientation val="minMax"/>
        </c:scaling>
        <c:delete val="0"/>
        <c:axPos val="b"/>
        <c:numFmt formatCode="General" sourceLinked="1"/>
        <c:majorTickMark val="out"/>
        <c:minorTickMark val="none"/>
        <c:tickLblPos val="nextTo"/>
        <c:crossAx val="1162202544"/>
        <c:crosses val="autoZero"/>
        <c:auto val="1"/>
        <c:lblAlgn val="ctr"/>
        <c:lblOffset val="100"/>
        <c:noMultiLvlLbl val="0"/>
      </c:catAx>
      <c:valAx>
        <c:axId val="1162202544"/>
        <c:scaling>
          <c:orientation val="minMax"/>
          <c:min val="0"/>
        </c:scaling>
        <c:delete val="0"/>
        <c:axPos val="l"/>
        <c:majorGridlines/>
        <c:numFmt formatCode="0" sourceLinked="1"/>
        <c:majorTickMark val="out"/>
        <c:minorTickMark val="none"/>
        <c:tickLblPos val="nextTo"/>
        <c:crossAx val="1239920512"/>
        <c:crosses val="autoZero"/>
        <c:crossBetween val="between"/>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HVACAvail</a:t>
            </a:r>
          </a:p>
        </c:rich>
      </c:tx>
      <c:overlay val="0"/>
    </c:title>
    <c:autoTitleDeleted val="0"/>
    <c:plotArea>
      <c:layout/>
      <c:lineChart>
        <c:grouping val="standard"/>
        <c:varyColors val="0"/>
        <c:ser>
          <c:idx val="0"/>
          <c:order val="0"/>
          <c:tx>
            <c:strRef>
              <c:f>Schedules!$E$181</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Schedules!$F$181:$AC$181</c:f>
              <c:numCache>
                <c:formatCode>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D1B8-4DFA-AAFC-962CAB7720A6}"/>
            </c:ext>
          </c:extLst>
        </c:ser>
        <c:ser>
          <c:idx val="1"/>
          <c:order val="1"/>
          <c:tx>
            <c:strRef>
              <c:f>Schedules!$E$182</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Schedules!$F$182:$AC$182</c:f>
              <c:numCache>
                <c:formatCode>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D1B8-4DFA-AAFC-962CAB7720A6}"/>
            </c:ext>
          </c:extLst>
        </c:ser>
        <c:ser>
          <c:idx val="2"/>
          <c:order val="2"/>
          <c:tx>
            <c:strRef>
              <c:f>Schedules!$E$183</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Schedules!$F$183:$AC$183</c:f>
              <c:numCache>
                <c:formatCode>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D1B8-4DFA-AAFC-962CAB7720A6}"/>
            </c:ext>
          </c:extLst>
        </c:ser>
        <c:dLbls>
          <c:showLegendKey val="0"/>
          <c:showVal val="0"/>
          <c:showCatName val="0"/>
          <c:showSerName val="0"/>
          <c:showPercent val="0"/>
          <c:showBubbleSize val="0"/>
        </c:dLbls>
        <c:smooth val="0"/>
        <c:axId val="1239911232"/>
        <c:axId val="1161978864"/>
      </c:lineChart>
      <c:catAx>
        <c:axId val="1239911232"/>
        <c:scaling>
          <c:orientation val="minMax"/>
        </c:scaling>
        <c:delete val="0"/>
        <c:axPos val="b"/>
        <c:numFmt formatCode="General" sourceLinked="1"/>
        <c:majorTickMark val="out"/>
        <c:minorTickMark val="none"/>
        <c:tickLblPos val="nextTo"/>
        <c:crossAx val="1161978864"/>
        <c:crosses val="autoZero"/>
        <c:auto val="1"/>
        <c:lblAlgn val="ctr"/>
        <c:lblOffset val="100"/>
        <c:noMultiLvlLbl val="0"/>
      </c:catAx>
      <c:valAx>
        <c:axId val="1161978864"/>
        <c:scaling>
          <c:orientation val="minMax"/>
          <c:max val="1"/>
          <c:min val="0"/>
        </c:scaling>
        <c:delete val="0"/>
        <c:axPos val="l"/>
        <c:majorGridlines/>
        <c:numFmt formatCode="0.0" sourceLinked="1"/>
        <c:majorTickMark val="out"/>
        <c:minorTickMark val="none"/>
        <c:tickLblPos val="nextTo"/>
        <c:crossAx val="1239911232"/>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HtgSetpt</a:t>
            </a:r>
          </a:p>
        </c:rich>
      </c:tx>
      <c:overlay val="0"/>
    </c:title>
    <c:autoTitleDeleted val="0"/>
    <c:plotArea>
      <c:layout/>
      <c:lineChart>
        <c:grouping val="standard"/>
        <c:varyColors val="0"/>
        <c:ser>
          <c:idx val="0"/>
          <c:order val="0"/>
          <c:tx>
            <c:strRef>
              <c:f>Schedules!$E$184</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Schedules!$F$184:$AC$184</c:f>
              <c:numCache>
                <c:formatCode>0.0</c:formatCode>
                <c:ptCount val="24"/>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numCache>
            </c:numRef>
          </c:val>
          <c:smooth val="0"/>
          <c:extLst>
            <c:ext xmlns:c16="http://schemas.microsoft.com/office/drawing/2014/chart" uri="{C3380CC4-5D6E-409C-BE32-E72D297353CC}">
              <c16:uniqueId val="{00000002-FD36-4667-A0FD-93667B1AFCB1}"/>
            </c:ext>
          </c:extLst>
        </c:ser>
        <c:ser>
          <c:idx val="1"/>
          <c:order val="1"/>
          <c:tx>
            <c:strRef>
              <c:f>Schedules!$E$185</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Schedules!$F$185:$AC$185</c:f>
              <c:numCache>
                <c:formatCode>0.0</c:formatCode>
                <c:ptCount val="24"/>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numCache>
            </c:numRef>
          </c:val>
          <c:smooth val="0"/>
          <c:extLst>
            <c:ext xmlns:c16="http://schemas.microsoft.com/office/drawing/2014/chart" uri="{C3380CC4-5D6E-409C-BE32-E72D297353CC}">
              <c16:uniqueId val="{00000003-FD36-4667-A0FD-93667B1AFCB1}"/>
            </c:ext>
          </c:extLst>
        </c:ser>
        <c:ser>
          <c:idx val="2"/>
          <c:order val="2"/>
          <c:tx>
            <c:strRef>
              <c:f>Schedules!$E$186</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Schedules!$F$186:$AC$186</c:f>
              <c:numCache>
                <c:formatCode>0.0</c:formatCode>
                <c:ptCount val="24"/>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numCache>
            </c:numRef>
          </c:val>
          <c:smooth val="0"/>
          <c:extLst>
            <c:ext xmlns:c16="http://schemas.microsoft.com/office/drawing/2014/chart" uri="{C3380CC4-5D6E-409C-BE32-E72D297353CC}">
              <c16:uniqueId val="{00000004-FD36-4667-A0FD-93667B1AFCB1}"/>
            </c:ext>
          </c:extLst>
        </c:ser>
        <c:dLbls>
          <c:showLegendKey val="0"/>
          <c:showVal val="0"/>
          <c:showCatName val="0"/>
          <c:showSerName val="0"/>
          <c:showPercent val="0"/>
          <c:showBubbleSize val="0"/>
        </c:dLbls>
        <c:smooth val="0"/>
        <c:axId val="1239920976"/>
        <c:axId val="1162023504"/>
      </c:lineChart>
      <c:catAx>
        <c:axId val="1239920976"/>
        <c:scaling>
          <c:orientation val="minMax"/>
        </c:scaling>
        <c:delete val="0"/>
        <c:axPos val="b"/>
        <c:numFmt formatCode="General" sourceLinked="1"/>
        <c:majorTickMark val="out"/>
        <c:minorTickMark val="none"/>
        <c:tickLblPos val="nextTo"/>
        <c:crossAx val="1162023504"/>
        <c:crosses val="autoZero"/>
        <c:auto val="1"/>
        <c:lblAlgn val="ctr"/>
        <c:lblOffset val="100"/>
        <c:noMultiLvlLbl val="0"/>
      </c:catAx>
      <c:valAx>
        <c:axId val="1162023504"/>
        <c:scaling>
          <c:orientation val="minMax"/>
          <c:max val="90"/>
          <c:min val="50"/>
        </c:scaling>
        <c:delete val="0"/>
        <c:axPos val="l"/>
        <c:majorGridlines/>
        <c:numFmt formatCode="0.0" sourceLinked="1"/>
        <c:majorTickMark val="out"/>
        <c:minorTickMark val="none"/>
        <c:tickLblPos val="nextTo"/>
        <c:crossAx val="1239920976"/>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ClgSetpt</a:t>
            </a:r>
          </a:p>
        </c:rich>
      </c:tx>
      <c:overlay val="0"/>
    </c:title>
    <c:autoTitleDeleted val="0"/>
    <c:plotArea>
      <c:layout/>
      <c:lineChart>
        <c:grouping val="standard"/>
        <c:varyColors val="0"/>
        <c:ser>
          <c:idx val="0"/>
          <c:order val="0"/>
          <c:tx>
            <c:strRef>
              <c:f>Schedules!$E$187</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Schedules!$F$187:$AC$187</c:f>
              <c:numCache>
                <c:formatCode>0.0</c:formatCode>
                <c:ptCount val="24"/>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numCache>
            </c:numRef>
          </c:val>
          <c:smooth val="0"/>
          <c:extLst>
            <c:ext xmlns:c16="http://schemas.microsoft.com/office/drawing/2014/chart" uri="{C3380CC4-5D6E-409C-BE32-E72D297353CC}">
              <c16:uniqueId val="{00000002-3E37-42C0-936D-D1397B233A3B}"/>
            </c:ext>
          </c:extLst>
        </c:ser>
        <c:ser>
          <c:idx val="1"/>
          <c:order val="1"/>
          <c:tx>
            <c:strRef>
              <c:f>Schedules!$E$188</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Schedules!$F$188:$AC$188</c:f>
              <c:numCache>
                <c:formatCode>0.0</c:formatCode>
                <c:ptCount val="24"/>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numCache>
            </c:numRef>
          </c:val>
          <c:smooth val="0"/>
          <c:extLst>
            <c:ext xmlns:c16="http://schemas.microsoft.com/office/drawing/2014/chart" uri="{C3380CC4-5D6E-409C-BE32-E72D297353CC}">
              <c16:uniqueId val="{00000003-3E37-42C0-936D-D1397B233A3B}"/>
            </c:ext>
          </c:extLst>
        </c:ser>
        <c:ser>
          <c:idx val="2"/>
          <c:order val="2"/>
          <c:tx>
            <c:strRef>
              <c:f>Schedules!$E$189</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Schedules!$F$189:$AC$189</c:f>
              <c:numCache>
                <c:formatCode>0.0</c:formatCode>
                <c:ptCount val="24"/>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numCache>
            </c:numRef>
          </c:val>
          <c:smooth val="0"/>
          <c:extLst>
            <c:ext xmlns:c16="http://schemas.microsoft.com/office/drawing/2014/chart" uri="{C3380CC4-5D6E-409C-BE32-E72D297353CC}">
              <c16:uniqueId val="{00000004-3E37-42C0-936D-D1397B233A3B}"/>
            </c:ext>
          </c:extLst>
        </c:ser>
        <c:dLbls>
          <c:showLegendKey val="0"/>
          <c:showVal val="0"/>
          <c:showCatName val="0"/>
          <c:showSerName val="0"/>
          <c:showPercent val="0"/>
          <c:showBubbleSize val="0"/>
        </c:dLbls>
        <c:smooth val="0"/>
        <c:axId val="1239935360"/>
        <c:axId val="1162030704"/>
      </c:lineChart>
      <c:catAx>
        <c:axId val="1239935360"/>
        <c:scaling>
          <c:orientation val="minMax"/>
        </c:scaling>
        <c:delete val="0"/>
        <c:axPos val="b"/>
        <c:numFmt formatCode="General" sourceLinked="1"/>
        <c:majorTickMark val="out"/>
        <c:minorTickMark val="none"/>
        <c:tickLblPos val="nextTo"/>
        <c:crossAx val="1162030704"/>
        <c:crosses val="autoZero"/>
        <c:auto val="1"/>
        <c:lblAlgn val="ctr"/>
        <c:lblOffset val="100"/>
        <c:noMultiLvlLbl val="0"/>
      </c:catAx>
      <c:valAx>
        <c:axId val="1162030704"/>
        <c:scaling>
          <c:orientation val="minMax"/>
          <c:max val="90"/>
          <c:min val="50"/>
        </c:scaling>
        <c:delete val="0"/>
        <c:axPos val="l"/>
        <c:majorGridlines/>
        <c:numFmt formatCode="0.0" sourceLinked="1"/>
        <c:majorTickMark val="out"/>
        <c:minorTickMark val="none"/>
        <c:tickLblPos val="nextTo"/>
        <c:crossAx val="1239935360"/>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Lights</a:t>
            </a:r>
          </a:p>
        </c:rich>
      </c:tx>
      <c:overlay val="0"/>
    </c:title>
    <c:autoTitleDeleted val="0"/>
    <c:plotArea>
      <c:layout/>
      <c:lineChart>
        <c:grouping val="standard"/>
        <c:varyColors val="0"/>
        <c:ser>
          <c:idx val="0"/>
          <c:order val="0"/>
          <c:tx>
            <c:strRef>
              <c:f>Schedules!$E$190</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Schedules!$F$190:$AC$190</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C9A-4809-9226-7D132FC5390C}"/>
            </c:ext>
          </c:extLst>
        </c:ser>
        <c:ser>
          <c:idx val="1"/>
          <c:order val="1"/>
          <c:tx>
            <c:strRef>
              <c:f>Schedules!$E$191</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Schedules!$F$191:$AC$191</c:f>
              <c:numCache>
                <c:formatCode>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5C9A-4809-9226-7D132FC5390C}"/>
            </c:ext>
          </c:extLst>
        </c:ser>
        <c:ser>
          <c:idx val="2"/>
          <c:order val="2"/>
          <c:tx>
            <c:strRef>
              <c:f>Schedules!$E$192</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Schedules!$F$192:$AC$192</c:f>
              <c:numCache>
                <c:formatCode>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4-5C9A-4809-9226-7D132FC5390C}"/>
            </c:ext>
          </c:extLst>
        </c:ser>
        <c:ser>
          <c:idx val="3"/>
          <c:order val="3"/>
          <c:tx>
            <c:strRef>
              <c:f>Schedules!$E$193</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Schedules!$F$193:$AC$193</c:f>
              <c:numCache>
                <c:formatCode>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5C9A-4809-9226-7D132FC5390C}"/>
            </c:ext>
          </c:extLst>
        </c:ser>
        <c:ser>
          <c:idx val="4"/>
          <c:order val="4"/>
          <c:tx>
            <c:strRef>
              <c:f>Schedules!$E$194</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Schedules!$F$194:$AC$194</c:f>
              <c:numCache>
                <c:formatCode>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5C9A-4809-9226-7D132FC5390C}"/>
            </c:ext>
          </c:extLst>
        </c:ser>
        <c:ser>
          <c:idx val="5"/>
          <c:order val="5"/>
          <c:tx>
            <c:strRef>
              <c:f>Schedules!$E$195</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Schedules!$F$195:$AC$195</c:f>
              <c:numCache>
                <c:formatCode>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7-5C9A-4809-9226-7D132FC5390C}"/>
            </c:ext>
          </c:extLst>
        </c:ser>
        <c:dLbls>
          <c:showLegendKey val="0"/>
          <c:showVal val="0"/>
          <c:showCatName val="0"/>
          <c:showSerName val="0"/>
          <c:showPercent val="0"/>
          <c:showBubbleSize val="0"/>
        </c:dLbls>
        <c:smooth val="0"/>
        <c:axId val="1239935824"/>
        <c:axId val="1162071984"/>
      </c:lineChart>
      <c:catAx>
        <c:axId val="1239935824"/>
        <c:scaling>
          <c:orientation val="minMax"/>
        </c:scaling>
        <c:delete val="0"/>
        <c:axPos val="b"/>
        <c:numFmt formatCode="General" sourceLinked="1"/>
        <c:majorTickMark val="out"/>
        <c:minorTickMark val="none"/>
        <c:tickLblPos val="nextTo"/>
        <c:crossAx val="1162071984"/>
        <c:crosses val="autoZero"/>
        <c:auto val="1"/>
        <c:lblAlgn val="ctr"/>
        <c:lblOffset val="100"/>
        <c:noMultiLvlLbl val="0"/>
      </c:catAx>
      <c:valAx>
        <c:axId val="1162071984"/>
        <c:scaling>
          <c:orientation val="minMax"/>
          <c:max val="1"/>
          <c:min val="0"/>
        </c:scaling>
        <c:delete val="0"/>
        <c:axPos val="l"/>
        <c:majorGridlines/>
        <c:numFmt formatCode="0.0" sourceLinked="1"/>
        <c:majorTickMark val="out"/>
        <c:minorTickMark val="none"/>
        <c:tickLblPos val="nextTo"/>
        <c:crossAx val="123993582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ElecEquipment</a:t>
            </a:r>
          </a:p>
        </c:rich>
      </c:tx>
      <c:overlay val="0"/>
    </c:title>
    <c:autoTitleDeleted val="0"/>
    <c:plotArea>
      <c:layout/>
      <c:lineChart>
        <c:grouping val="standard"/>
        <c:varyColors val="0"/>
        <c:ser>
          <c:idx val="0"/>
          <c:order val="0"/>
          <c:tx>
            <c:strRef>
              <c:f>Schedules!$E$196</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Schedules!$F$196:$AC$196</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C1C7-4803-8939-85831DFC9772}"/>
            </c:ext>
          </c:extLst>
        </c:ser>
        <c:ser>
          <c:idx val="1"/>
          <c:order val="1"/>
          <c:tx>
            <c:strRef>
              <c:f>Schedules!$E$197</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Schedules!$F$197:$AC$197</c:f>
              <c:numCache>
                <c:formatCode>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0.25</c:v>
                </c:pt>
                <c:pt idx="17">
                  <c:v>0.25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3-C1C7-4803-8939-85831DFC9772}"/>
            </c:ext>
          </c:extLst>
        </c:ser>
        <c:ser>
          <c:idx val="2"/>
          <c:order val="2"/>
          <c:tx>
            <c:strRef>
              <c:f>Schedules!$E$198</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Schedules!$F$198:$AC$198</c:f>
              <c:numCache>
                <c:formatCode>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0.25</c:v>
                </c:pt>
                <c:pt idx="17">
                  <c:v>0.25</c:v>
                </c:pt>
                <c:pt idx="18">
                  <c:v>0.25</c:v>
                </c:pt>
                <c:pt idx="19">
                  <c:v>0.25</c:v>
                </c:pt>
                <c:pt idx="20">
                  <c:v>0.05</c:v>
                </c:pt>
                <c:pt idx="21">
                  <c:v>0.05</c:v>
                </c:pt>
                <c:pt idx="22">
                  <c:v>0.05</c:v>
                </c:pt>
                <c:pt idx="23">
                  <c:v>0.05</c:v>
                </c:pt>
              </c:numCache>
            </c:numRef>
          </c:val>
          <c:smooth val="0"/>
          <c:extLst>
            <c:ext xmlns:c16="http://schemas.microsoft.com/office/drawing/2014/chart" uri="{C3380CC4-5D6E-409C-BE32-E72D297353CC}">
              <c16:uniqueId val="{00000004-C1C7-4803-8939-85831DFC9772}"/>
            </c:ext>
          </c:extLst>
        </c:ser>
        <c:ser>
          <c:idx val="3"/>
          <c:order val="3"/>
          <c:tx>
            <c:strRef>
              <c:f>Schedules!$E$199</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Schedules!$F$199:$AC$199</c:f>
              <c:numCache>
                <c:formatCode>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5-C1C7-4803-8939-85831DFC9772}"/>
            </c:ext>
          </c:extLst>
        </c:ser>
        <c:ser>
          <c:idx val="4"/>
          <c:order val="4"/>
          <c:tx>
            <c:strRef>
              <c:f>Schedules!$E$200</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Schedules!$F$200:$AC$200</c:f>
              <c:numCache>
                <c:formatCode>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6-C1C7-4803-8939-85831DFC9772}"/>
            </c:ext>
          </c:extLst>
        </c:ser>
        <c:ser>
          <c:idx val="5"/>
          <c:order val="5"/>
          <c:tx>
            <c:strRef>
              <c:f>Schedules!$E$201</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Schedules!$F$201:$AC$201</c:f>
              <c:numCache>
                <c:formatCode>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0.05</c:v>
                </c:pt>
                <c:pt idx="23">
                  <c:v>0.05</c:v>
                </c:pt>
              </c:numCache>
            </c:numRef>
          </c:val>
          <c:smooth val="0"/>
          <c:extLst>
            <c:ext xmlns:c16="http://schemas.microsoft.com/office/drawing/2014/chart" uri="{C3380CC4-5D6E-409C-BE32-E72D297353CC}">
              <c16:uniqueId val="{00000007-C1C7-4803-8939-85831DFC9772}"/>
            </c:ext>
          </c:extLst>
        </c:ser>
        <c:dLbls>
          <c:showLegendKey val="0"/>
          <c:showVal val="0"/>
          <c:showCatName val="0"/>
          <c:showSerName val="0"/>
          <c:showPercent val="0"/>
          <c:showBubbleSize val="0"/>
        </c:dLbls>
        <c:smooth val="0"/>
        <c:axId val="1239709392"/>
        <c:axId val="1162119024"/>
      </c:lineChart>
      <c:catAx>
        <c:axId val="1239709392"/>
        <c:scaling>
          <c:orientation val="minMax"/>
        </c:scaling>
        <c:delete val="0"/>
        <c:axPos val="b"/>
        <c:numFmt formatCode="General" sourceLinked="1"/>
        <c:majorTickMark val="out"/>
        <c:minorTickMark val="none"/>
        <c:tickLblPos val="nextTo"/>
        <c:crossAx val="1162119024"/>
        <c:crosses val="autoZero"/>
        <c:auto val="1"/>
        <c:lblAlgn val="ctr"/>
        <c:lblOffset val="100"/>
        <c:noMultiLvlLbl val="0"/>
      </c:catAx>
      <c:valAx>
        <c:axId val="1162119024"/>
        <c:scaling>
          <c:orientation val="minMax"/>
          <c:max val="1"/>
          <c:min val="0"/>
        </c:scaling>
        <c:delete val="0"/>
        <c:axPos val="l"/>
        <c:majorGridlines/>
        <c:numFmt formatCode="0.0" sourceLinked="1"/>
        <c:majorTickMark val="out"/>
        <c:minorTickMark val="none"/>
        <c:tickLblPos val="nextTo"/>
        <c:crossAx val="1239709392"/>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Refrigeration</a:t>
            </a:r>
          </a:p>
        </c:rich>
      </c:tx>
      <c:overlay val="0"/>
    </c:title>
    <c:autoTitleDeleted val="0"/>
    <c:plotArea>
      <c:layout/>
      <c:lineChart>
        <c:grouping val="standard"/>
        <c:varyColors val="0"/>
        <c:ser>
          <c:idx val="0"/>
          <c:order val="0"/>
          <c:tx>
            <c:strRef>
              <c:f>Schedules!$E$202</c:f>
              <c:strCache>
                <c:ptCount val="1"/>
                <c:pt idx="0">
                  <c:v>Unoccupied</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Schedules!$F$202:$AC$202</c:f>
              <c:numCache>
                <c:formatCode>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9633-40F8-9202-2431EC4F3541}"/>
            </c:ext>
          </c:extLst>
        </c:ser>
        <c:ser>
          <c:idx val="1"/>
          <c:order val="1"/>
          <c:tx>
            <c:strRef>
              <c:f>Schedules!$E$203</c:f>
              <c:strCache>
                <c:ptCount val="1"/>
                <c:pt idx="0">
                  <c:v>Mon-Fri All other</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Schedules!$F$203:$AC$203</c:f>
              <c:numCache>
                <c:formatCode>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3-9633-40F8-9202-2431EC4F3541}"/>
            </c:ext>
          </c:extLst>
        </c:ser>
        <c:ser>
          <c:idx val="2"/>
          <c:order val="2"/>
          <c:tx>
            <c:strRef>
              <c:f>Schedules!$E$204</c:f>
              <c:strCache>
                <c:ptCount val="1"/>
                <c:pt idx="0">
                  <c:v>Mon-Fri Indoor Sports</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Schedules!$F$204:$AC$204</c:f>
              <c:numCache>
                <c:formatCode>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4-9633-40F8-9202-2431EC4F3541}"/>
            </c:ext>
          </c:extLst>
        </c:ser>
        <c:ser>
          <c:idx val="3"/>
          <c:order val="3"/>
          <c:tx>
            <c:strRef>
              <c:f>Schedules!$E$205</c:f>
              <c:strCache>
                <c:ptCount val="1"/>
                <c:pt idx="0">
                  <c:v>Sat Low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Schedules!$F$205:$AC$205</c:f>
              <c:numCache>
                <c:formatCode>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5-9633-40F8-9202-2431EC4F3541}"/>
            </c:ext>
          </c:extLst>
        </c:ser>
        <c:ser>
          <c:idx val="4"/>
          <c:order val="4"/>
          <c:tx>
            <c:strRef>
              <c:f>Schedules!$E$206</c:f>
              <c:strCache>
                <c:ptCount val="1"/>
                <c:pt idx="0">
                  <c:v>Sat Medium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Schedules!$F$206:$AC$206</c:f>
              <c:numCache>
                <c:formatCode>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6-9633-40F8-9202-2431EC4F3541}"/>
            </c:ext>
          </c:extLst>
        </c:ser>
        <c:ser>
          <c:idx val="5"/>
          <c:order val="5"/>
          <c:tx>
            <c:strRef>
              <c:f>Schedules!$E$207</c:f>
              <c:strCache>
                <c:ptCount val="1"/>
                <c:pt idx="0">
                  <c:v>Sat High Activity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Schedules!$F$207:$AC$207</c:f>
              <c:numCache>
                <c:formatCode>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7-9633-40F8-9202-2431EC4F3541}"/>
            </c:ext>
          </c:extLst>
        </c:ser>
        <c:dLbls>
          <c:showLegendKey val="0"/>
          <c:showVal val="0"/>
          <c:showCatName val="0"/>
          <c:showSerName val="0"/>
          <c:showPercent val="0"/>
          <c:showBubbleSize val="0"/>
        </c:dLbls>
        <c:smooth val="0"/>
        <c:axId val="1239713104"/>
        <c:axId val="1162160784"/>
      </c:lineChart>
      <c:catAx>
        <c:axId val="1239713104"/>
        <c:scaling>
          <c:orientation val="minMax"/>
        </c:scaling>
        <c:delete val="0"/>
        <c:axPos val="b"/>
        <c:numFmt formatCode="General" sourceLinked="1"/>
        <c:majorTickMark val="out"/>
        <c:minorTickMark val="none"/>
        <c:tickLblPos val="nextTo"/>
        <c:crossAx val="1162160784"/>
        <c:crosses val="autoZero"/>
        <c:auto val="1"/>
        <c:lblAlgn val="ctr"/>
        <c:lblOffset val="100"/>
        <c:noMultiLvlLbl val="0"/>
      </c:catAx>
      <c:valAx>
        <c:axId val="1162160784"/>
        <c:scaling>
          <c:orientation val="minMax"/>
          <c:max val="1"/>
          <c:min val="0"/>
        </c:scaling>
        <c:delete val="0"/>
        <c:axPos val="l"/>
        <c:majorGridlines/>
        <c:numFmt formatCode="0.0" sourceLinked="1"/>
        <c:majorTickMark val="out"/>
        <c:minorTickMark val="none"/>
        <c:tickLblPos val="nextTo"/>
        <c:crossAx val="123971310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Occupancy</a:t>
            </a:r>
          </a:p>
        </c:rich>
      </c:tx>
      <c:overlay val="0"/>
    </c:title>
    <c:autoTitleDeleted val="0"/>
    <c:plotArea>
      <c:layout/>
      <c:lineChart>
        <c:grouping val="standard"/>
        <c:varyColors val="0"/>
        <c:ser>
          <c:idx val="0"/>
          <c:order val="0"/>
          <c:tx>
            <c:strRef>
              <c:f>Schedules!$E$209</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Schedules!$F$209:$AC$209</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2-8740-48DE-A979-9950E816A752}"/>
            </c:ext>
          </c:extLst>
        </c:ser>
        <c:ser>
          <c:idx val="1"/>
          <c:order val="1"/>
          <c:tx>
            <c:strRef>
              <c:f>Schedules!$E$210</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Schedules!$F$210:$AC$210</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8740-48DE-A979-9950E816A752}"/>
            </c:ext>
          </c:extLst>
        </c:ser>
        <c:ser>
          <c:idx val="2"/>
          <c:order val="2"/>
          <c:tx>
            <c:strRef>
              <c:f>Schedules!$E$211</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Schedules!$F$211:$AC$211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8740-48DE-A979-9950E816A752}"/>
            </c:ext>
          </c:extLst>
        </c:ser>
        <c:dLbls>
          <c:showLegendKey val="0"/>
          <c:showVal val="0"/>
          <c:showCatName val="0"/>
          <c:showSerName val="0"/>
          <c:showPercent val="0"/>
          <c:showBubbleSize val="0"/>
        </c:dLbls>
        <c:smooth val="0"/>
        <c:axId val="1239755792"/>
        <c:axId val="1162183824"/>
      </c:lineChart>
      <c:catAx>
        <c:axId val="1239755792"/>
        <c:scaling>
          <c:orientation val="minMax"/>
        </c:scaling>
        <c:delete val="0"/>
        <c:axPos val="b"/>
        <c:numFmt formatCode="General" sourceLinked="1"/>
        <c:majorTickMark val="out"/>
        <c:minorTickMark val="none"/>
        <c:tickLblPos val="nextTo"/>
        <c:crossAx val="1162183824"/>
        <c:crosses val="autoZero"/>
        <c:auto val="1"/>
        <c:lblAlgn val="ctr"/>
        <c:lblOffset val="100"/>
        <c:noMultiLvlLbl val="0"/>
      </c:catAx>
      <c:valAx>
        <c:axId val="1162183824"/>
        <c:scaling>
          <c:orientation val="minMax"/>
          <c:max val="1"/>
          <c:min val="0"/>
        </c:scaling>
        <c:delete val="0"/>
        <c:axPos val="l"/>
        <c:majorGridlines/>
        <c:numFmt formatCode="0.00" sourceLinked="1"/>
        <c:majorTickMark val="out"/>
        <c:minorTickMark val="none"/>
        <c:tickLblPos val="nextTo"/>
        <c:crossAx val="1239755792"/>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Lights</a:t>
            </a:r>
          </a:p>
        </c:rich>
      </c:tx>
      <c:overlay val="0"/>
    </c:title>
    <c:autoTitleDeleted val="0"/>
    <c:plotArea>
      <c:layout/>
      <c:lineChart>
        <c:grouping val="standard"/>
        <c:varyColors val="0"/>
        <c:ser>
          <c:idx val="0"/>
          <c:order val="0"/>
          <c:tx>
            <c:strRef>
              <c:f>Schedules!$E$212</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Schedules!$F$212:$AC$212</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2-1616-4B72-855D-1F3C0EFD1B73}"/>
            </c:ext>
          </c:extLst>
        </c:ser>
        <c:ser>
          <c:idx val="1"/>
          <c:order val="1"/>
          <c:tx>
            <c:strRef>
              <c:f>Schedules!$E$213</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Schedules!$F$213:$AC$213</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3-1616-4B72-855D-1F3C0EFD1B73}"/>
            </c:ext>
          </c:extLst>
        </c:ser>
        <c:ser>
          <c:idx val="2"/>
          <c:order val="2"/>
          <c:tx>
            <c:strRef>
              <c:f>Schedules!$E$214</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Schedules!$F$214:$AC$214</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4-1616-4B72-855D-1F3C0EFD1B73}"/>
            </c:ext>
          </c:extLst>
        </c:ser>
        <c:dLbls>
          <c:showLegendKey val="0"/>
          <c:showVal val="0"/>
          <c:showCatName val="0"/>
          <c:showSerName val="0"/>
          <c:showPercent val="0"/>
          <c:showBubbleSize val="0"/>
        </c:dLbls>
        <c:smooth val="0"/>
        <c:axId val="1239769248"/>
        <c:axId val="1162216464"/>
      </c:lineChart>
      <c:catAx>
        <c:axId val="1239769248"/>
        <c:scaling>
          <c:orientation val="minMax"/>
        </c:scaling>
        <c:delete val="0"/>
        <c:axPos val="b"/>
        <c:numFmt formatCode="General" sourceLinked="1"/>
        <c:majorTickMark val="out"/>
        <c:minorTickMark val="none"/>
        <c:tickLblPos val="nextTo"/>
        <c:crossAx val="1162216464"/>
        <c:crosses val="autoZero"/>
        <c:auto val="1"/>
        <c:lblAlgn val="ctr"/>
        <c:lblOffset val="100"/>
        <c:noMultiLvlLbl val="0"/>
      </c:catAx>
      <c:valAx>
        <c:axId val="1162216464"/>
        <c:scaling>
          <c:orientation val="minMax"/>
          <c:max val="1"/>
          <c:min val="0"/>
        </c:scaling>
        <c:delete val="0"/>
        <c:axPos val="l"/>
        <c:majorGridlines/>
        <c:numFmt formatCode="0.00" sourceLinked="1"/>
        <c:majorTickMark val="out"/>
        <c:minorTickMark val="none"/>
        <c:tickLblPos val="nextTo"/>
        <c:crossAx val="123976924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ElecEquipment</a:t>
            </a:r>
          </a:p>
        </c:rich>
      </c:tx>
      <c:overlay val="0"/>
    </c:title>
    <c:autoTitleDeleted val="0"/>
    <c:plotArea>
      <c:layout/>
      <c:lineChart>
        <c:grouping val="standard"/>
        <c:varyColors val="0"/>
        <c:ser>
          <c:idx val="0"/>
          <c:order val="0"/>
          <c:tx>
            <c:strRef>
              <c:f>Schedules!$E$215</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Schedules!$F$215:$AC$215</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2-F485-4C1B-A7FA-F86C018A19F7}"/>
            </c:ext>
          </c:extLst>
        </c:ser>
        <c:ser>
          <c:idx val="1"/>
          <c:order val="1"/>
          <c:tx>
            <c:strRef>
              <c:f>Schedules!$E$216</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Schedules!$F$216:$AC$216</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3-F485-4C1B-A7FA-F86C018A19F7}"/>
            </c:ext>
          </c:extLst>
        </c:ser>
        <c:ser>
          <c:idx val="2"/>
          <c:order val="2"/>
          <c:tx>
            <c:strRef>
              <c:f>Schedules!$E$217</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Schedules!$F$217:$AC$217</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4-F485-4C1B-A7FA-F86C018A19F7}"/>
            </c:ext>
          </c:extLst>
        </c:ser>
        <c:dLbls>
          <c:showLegendKey val="0"/>
          <c:showVal val="0"/>
          <c:showCatName val="0"/>
          <c:showSerName val="0"/>
          <c:showPercent val="0"/>
          <c:showBubbleSize val="0"/>
        </c:dLbls>
        <c:smooth val="0"/>
        <c:axId val="1239781312"/>
        <c:axId val="1161985584"/>
      </c:lineChart>
      <c:catAx>
        <c:axId val="1239781312"/>
        <c:scaling>
          <c:orientation val="minMax"/>
        </c:scaling>
        <c:delete val="0"/>
        <c:axPos val="b"/>
        <c:numFmt formatCode="General" sourceLinked="1"/>
        <c:majorTickMark val="out"/>
        <c:minorTickMark val="none"/>
        <c:tickLblPos val="nextTo"/>
        <c:crossAx val="1161985584"/>
        <c:crosses val="autoZero"/>
        <c:auto val="1"/>
        <c:lblAlgn val="ctr"/>
        <c:lblOffset val="100"/>
        <c:noMultiLvlLbl val="0"/>
      </c:catAx>
      <c:valAx>
        <c:axId val="1161985584"/>
        <c:scaling>
          <c:orientation val="minMax"/>
          <c:max val="1"/>
          <c:min val="0"/>
        </c:scaling>
        <c:delete val="0"/>
        <c:axPos val="l"/>
        <c:majorGridlines/>
        <c:numFmt formatCode="0.00" sourceLinked="1"/>
        <c:majorTickMark val="out"/>
        <c:minorTickMark val="none"/>
        <c:tickLblPos val="nextTo"/>
        <c:crossAx val="1239781312"/>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ServiceHotWater</a:t>
            </a:r>
          </a:p>
        </c:rich>
      </c:tx>
      <c:overlay val="0"/>
    </c:title>
    <c:autoTitleDeleted val="0"/>
    <c:plotArea>
      <c:layout/>
      <c:lineChart>
        <c:grouping val="standard"/>
        <c:varyColors val="0"/>
        <c:ser>
          <c:idx val="0"/>
          <c:order val="0"/>
          <c:tx>
            <c:strRef>
              <c:f>Schedules!$E$218</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Schedules!$F$218:$AC$218</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2-2EF4-400D-80F0-DCFFE801CA01}"/>
            </c:ext>
          </c:extLst>
        </c:ser>
        <c:ser>
          <c:idx val="1"/>
          <c:order val="1"/>
          <c:tx>
            <c:strRef>
              <c:f>Schedules!$E$219</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Schedules!$F$219:$AC$219</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3-2EF4-400D-80F0-DCFFE801CA01}"/>
            </c:ext>
          </c:extLst>
        </c:ser>
        <c:ser>
          <c:idx val="2"/>
          <c:order val="2"/>
          <c:tx>
            <c:strRef>
              <c:f>Schedules!$E$220</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Schedules!$F$220:$AC$220</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4-2EF4-400D-80F0-DCFFE801CA01}"/>
            </c:ext>
          </c:extLst>
        </c:ser>
        <c:dLbls>
          <c:showLegendKey val="0"/>
          <c:showVal val="0"/>
          <c:showCatName val="0"/>
          <c:showSerName val="0"/>
          <c:showPercent val="0"/>
          <c:showBubbleSize val="0"/>
        </c:dLbls>
        <c:smooth val="0"/>
        <c:axId val="1239797552"/>
        <c:axId val="1162020144"/>
      </c:lineChart>
      <c:catAx>
        <c:axId val="1239797552"/>
        <c:scaling>
          <c:orientation val="minMax"/>
        </c:scaling>
        <c:delete val="0"/>
        <c:axPos val="b"/>
        <c:numFmt formatCode="General" sourceLinked="1"/>
        <c:majorTickMark val="out"/>
        <c:minorTickMark val="none"/>
        <c:tickLblPos val="nextTo"/>
        <c:crossAx val="1162020144"/>
        <c:crosses val="autoZero"/>
        <c:auto val="1"/>
        <c:lblAlgn val="ctr"/>
        <c:lblOffset val="100"/>
        <c:noMultiLvlLbl val="0"/>
      </c:catAx>
      <c:valAx>
        <c:axId val="1162020144"/>
        <c:scaling>
          <c:orientation val="minMax"/>
          <c:max val="1"/>
          <c:min val="0"/>
        </c:scaling>
        <c:delete val="0"/>
        <c:axPos val="l"/>
        <c:majorGridlines/>
        <c:numFmt formatCode="0.00" sourceLinked="1"/>
        <c:majorTickMark val="out"/>
        <c:minorTickMark val="none"/>
        <c:tickLblPos val="nextTo"/>
        <c:crossAx val="1239797552"/>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HVACAvail</a:t>
            </a:r>
          </a:p>
        </c:rich>
      </c:tx>
      <c:overlay val="0"/>
    </c:title>
    <c:autoTitleDeleted val="0"/>
    <c:plotArea>
      <c:layout/>
      <c:lineChart>
        <c:grouping val="standard"/>
        <c:varyColors val="0"/>
        <c:ser>
          <c:idx val="0"/>
          <c:order val="0"/>
          <c:tx>
            <c:strRef>
              <c:f>Schedules!$E$221</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Schedules!$F$221:$AC$221</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2-D9C4-4883-B5AB-1C0E48F5CCD2}"/>
            </c:ext>
          </c:extLst>
        </c:ser>
        <c:ser>
          <c:idx val="1"/>
          <c:order val="1"/>
          <c:tx>
            <c:strRef>
              <c:f>Schedules!$E$222</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Schedules!$F$222:$AC$222</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D9C4-4883-B5AB-1C0E48F5CCD2}"/>
            </c:ext>
          </c:extLst>
        </c:ser>
        <c:ser>
          <c:idx val="2"/>
          <c:order val="2"/>
          <c:tx>
            <c:strRef>
              <c:f>Schedules!$E$223</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Schedules!$F$223:$AC$223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D9C4-4883-B5AB-1C0E48F5CCD2}"/>
            </c:ext>
          </c:extLst>
        </c:ser>
        <c:dLbls>
          <c:showLegendKey val="0"/>
          <c:showVal val="0"/>
          <c:showCatName val="0"/>
          <c:showSerName val="0"/>
          <c:showPercent val="0"/>
          <c:showBubbleSize val="0"/>
        </c:dLbls>
        <c:smooth val="0"/>
        <c:axId val="1239809616"/>
        <c:axId val="1162044624"/>
      </c:lineChart>
      <c:catAx>
        <c:axId val="1239809616"/>
        <c:scaling>
          <c:orientation val="minMax"/>
        </c:scaling>
        <c:delete val="0"/>
        <c:axPos val="b"/>
        <c:numFmt formatCode="General" sourceLinked="1"/>
        <c:majorTickMark val="out"/>
        <c:minorTickMark val="none"/>
        <c:tickLblPos val="nextTo"/>
        <c:crossAx val="1162044624"/>
        <c:crosses val="autoZero"/>
        <c:auto val="1"/>
        <c:lblAlgn val="ctr"/>
        <c:lblOffset val="100"/>
        <c:noMultiLvlLbl val="0"/>
      </c:catAx>
      <c:valAx>
        <c:axId val="1162044624"/>
        <c:scaling>
          <c:orientation val="minMax"/>
          <c:max val="1"/>
          <c:min val="0"/>
        </c:scaling>
        <c:delete val="0"/>
        <c:axPos val="l"/>
        <c:majorGridlines/>
        <c:numFmt formatCode="0.00" sourceLinked="1"/>
        <c:majorTickMark val="out"/>
        <c:minorTickMark val="none"/>
        <c:tickLblPos val="nextTo"/>
        <c:crossAx val="123980961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HtgSetpt</a:t>
            </a:r>
          </a:p>
        </c:rich>
      </c:tx>
      <c:overlay val="0"/>
    </c:title>
    <c:autoTitleDeleted val="0"/>
    <c:plotArea>
      <c:layout/>
      <c:lineChart>
        <c:grouping val="standard"/>
        <c:varyColors val="0"/>
        <c:ser>
          <c:idx val="0"/>
          <c:order val="0"/>
          <c:tx>
            <c:strRef>
              <c:f>Schedules!$E$224</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Schedules!$F$224:$AC$224</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7DE4-457E-B968-6C6A1DE5D541}"/>
            </c:ext>
          </c:extLst>
        </c:ser>
        <c:ser>
          <c:idx val="1"/>
          <c:order val="1"/>
          <c:tx>
            <c:strRef>
              <c:f>Schedules!$E$225</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Schedules!$F$225:$AC$225</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3-7DE4-457E-B968-6C6A1DE5D541}"/>
            </c:ext>
          </c:extLst>
        </c:ser>
        <c:ser>
          <c:idx val="2"/>
          <c:order val="2"/>
          <c:tx>
            <c:strRef>
              <c:f>Schedules!$E$226</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Schedules!$F$226:$AC$226</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4-7DE4-457E-B968-6C6A1DE5D541}"/>
            </c:ext>
          </c:extLst>
        </c:ser>
        <c:dLbls>
          <c:showLegendKey val="0"/>
          <c:showVal val="0"/>
          <c:showCatName val="0"/>
          <c:showSerName val="0"/>
          <c:showPercent val="0"/>
          <c:showBubbleSize val="0"/>
        </c:dLbls>
        <c:smooth val="0"/>
        <c:axId val="1239827248"/>
        <c:axId val="1162079664"/>
      </c:lineChart>
      <c:catAx>
        <c:axId val="1239827248"/>
        <c:scaling>
          <c:orientation val="minMax"/>
        </c:scaling>
        <c:delete val="0"/>
        <c:axPos val="b"/>
        <c:numFmt formatCode="General" sourceLinked="1"/>
        <c:majorTickMark val="out"/>
        <c:minorTickMark val="none"/>
        <c:tickLblPos val="nextTo"/>
        <c:crossAx val="1162079664"/>
        <c:crosses val="autoZero"/>
        <c:auto val="1"/>
        <c:lblAlgn val="ctr"/>
        <c:lblOffset val="100"/>
        <c:noMultiLvlLbl val="0"/>
      </c:catAx>
      <c:valAx>
        <c:axId val="1162079664"/>
        <c:scaling>
          <c:orientation val="minMax"/>
          <c:max val="90"/>
          <c:min val="50"/>
        </c:scaling>
        <c:delete val="0"/>
        <c:axPos val="l"/>
        <c:majorGridlines/>
        <c:numFmt formatCode="0" sourceLinked="1"/>
        <c:majorTickMark val="out"/>
        <c:minorTickMark val="none"/>
        <c:tickLblPos val="nextTo"/>
        <c:crossAx val="1239827248"/>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ClgSetpt</a:t>
            </a:r>
          </a:p>
        </c:rich>
      </c:tx>
      <c:overlay val="0"/>
    </c:title>
    <c:autoTitleDeleted val="0"/>
    <c:plotArea>
      <c:layout/>
      <c:lineChart>
        <c:grouping val="standard"/>
        <c:varyColors val="0"/>
        <c:ser>
          <c:idx val="0"/>
          <c:order val="0"/>
          <c:tx>
            <c:strRef>
              <c:f>Schedules!$E$227</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Schedules!$F$227:$AC$227</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E1EB-42CE-87AD-C73E6ECE2332}"/>
            </c:ext>
          </c:extLst>
        </c:ser>
        <c:ser>
          <c:idx val="1"/>
          <c:order val="1"/>
          <c:tx>
            <c:strRef>
              <c:f>Schedules!$E$228</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Schedules!$F$228:$AC$228</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3-E1EB-42CE-87AD-C73E6ECE2332}"/>
            </c:ext>
          </c:extLst>
        </c:ser>
        <c:ser>
          <c:idx val="2"/>
          <c:order val="2"/>
          <c:tx>
            <c:strRef>
              <c:f>Schedules!$E$229</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Schedules!$F$229:$AC$229</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4-E1EB-42CE-87AD-C73E6ECE2332}"/>
            </c:ext>
          </c:extLst>
        </c:ser>
        <c:dLbls>
          <c:showLegendKey val="0"/>
          <c:showVal val="0"/>
          <c:showCatName val="0"/>
          <c:showSerName val="0"/>
          <c:showPercent val="0"/>
          <c:showBubbleSize val="0"/>
        </c:dLbls>
        <c:smooth val="0"/>
        <c:axId val="1239835136"/>
        <c:axId val="1162112784"/>
      </c:lineChart>
      <c:catAx>
        <c:axId val="1239835136"/>
        <c:scaling>
          <c:orientation val="minMax"/>
        </c:scaling>
        <c:delete val="0"/>
        <c:axPos val="b"/>
        <c:numFmt formatCode="General" sourceLinked="1"/>
        <c:majorTickMark val="out"/>
        <c:minorTickMark val="none"/>
        <c:tickLblPos val="nextTo"/>
        <c:crossAx val="1162112784"/>
        <c:crosses val="autoZero"/>
        <c:auto val="1"/>
        <c:lblAlgn val="ctr"/>
        <c:lblOffset val="100"/>
        <c:noMultiLvlLbl val="0"/>
      </c:catAx>
      <c:valAx>
        <c:axId val="1162112784"/>
        <c:scaling>
          <c:orientation val="minMax"/>
          <c:max val="90"/>
          <c:min val="50"/>
        </c:scaling>
        <c:delete val="0"/>
        <c:axPos val="l"/>
        <c:majorGridlines/>
        <c:numFmt formatCode="0" sourceLinked="1"/>
        <c:majorTickMark val="out"/>
        <c:minorTickMark val="none"/>
        <c:tickLblPos val="nextTo"/>
        <c:crossAx val="1239835136"/>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Infiltration</a:t>
            </a:r>
          </a:p>
        </c:rich>
      </c:tx>
      <c:overlay val="0"/>
    </c:title>
    <c:autoTitleDeleted val="0"/>
    <c:plotArea>
      <c:layout/>
      <c:lineChart>
        <c:grouping val="standard"/>
        <c:varyColors val="0"/>
        <c:ser>
          <c:idx val="0"/>
          <c:order val="0"/>
          <c:tx>
            <c:strRef>
              <c:f>Schedules!$E$230</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Schedules!$F$230:$AC$230</c:f>
              <c:numCache>
                <c:formatCode>0.00</c:formatCode>
                <c:ptCount val="24"/>
                <c:pt idx="0">
                  <c:v>1</c:v>
                </c:pt>
                <c:pt idx="1">
                  <c:v>1</c:v>
                </c:pt>
                <c:pt idx="2">
                  <c:v>1</c:v>
                </c:pt>
                <c:pt idx="3">
                  <c:v>1</c:v>
                </c:pt>
                <c:pt idx="4">
                  <c:v>1</c:v>
                </c:pt>
                <c:pt idx="5">
                  <c:v>1</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1</c:v>
                </c:pt>
                <c:pt idx="23">
                  <c:v>1</c:v>
                </c:pt>
              </c:numCache>
            </c:numRef>
          </c:val>
          <c:smooth val="0"/>
          <c:extLst>
            <c:ext xmlns:c16="http://schemas.microsoft.com/office/drawing/2014/chart" uri="{C3380CC4-5D6E-409C-BE32-E72D297353CC}">
              <c16:uniqueId val="{00000002-391B-4DDE-8AF0-2B803B988E1E}"/>
            </c:ext>
          </c:extLst>
        </c:ser>
        <c:ser>
          <c:idx val="1"/>
          <c:order val="1"/>
          <c:tx>
            <c:strRef>
              <c:f>Schedules!$E$231</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Schedules!$F$231:$AC$231</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391B-4DDE-8AF0-2B803B988E1E}"/>
            </c:ext>
          </c:extLst>
        </c:ser>
        <c:ser>
          <c:idx val="2"/>
          <c:order val="2"/>
          <c:tx>
            <c:strRef>
              <c:f>Schedules!$E$232</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Schedules!$F$232:$AC$232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391B-4DDE-8AF0-2B803B988E1E}"/>
            </c:ext>
          </c:extLst>
        </c:ser>
        <c:dLbls>
          <c:showLegendKey val="0"/>
          <c:showVal val="0"/>
          <c:showCatName val="0"/>
          <c:showSerName val="0"/>
          <c:showPercent val="0"/>
          <c:showBubbleSize val="0"/>
        </c:dLbls>
        <c:smooth val="0"/>
        <c:axId val="1239850912"/>
        <c:axId val="1162163184"/>
      </c:lineChart>
      <c:catAx>
        <c:axId val="1239850912"/>
        <c:scaling>
          <c:orientation val="minMax"/>
        </c:scaling>
        <c:delete val="0"/>
        <c:axPos val="b"/>
        <c:numFmt formatCode="General" sourceLinked="1"/>
        <c:majorTickMark val="out"/>
        <c:minorTickMark val="none"/>
        <c:tickLblPos val="nextTo"/>
        <c:crossAx val="1162163184"/>
        <c:crosses val="autoZero"/>
        <c:auto val="1"/>
        <c:lblAlgn val="ctr"/>
        <c:lblOffset val="100"/>
        <c:noMultiLvlLbl val="0"/>
      </c:catAx>
      <c:valAx>
        <c:axId val="1162163184"/>
        <c:scaling>
          <c:orientation val="minMax"/>
          <c:max val="1"/>
          <c:min val="0"/>
        </c:scaling>
        <c:delete val="0"/>
        <c:axPos val="l"/>
        <c:majorGridlines/>
        <c:numFmt formatCode="0.00" sourceLinked="1"/>
        <c:majorTickMark val="out"/>
        <c:minorTickMark val="none"/>
        <c:tickLblPos val="nextTo"/>
        <c:crossAx val="1239850912"/>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Occupancy</a:t>
            </a:r>
          </a:p>
        </c:rich>
      </c:tx>
      <c:overlay val="0"/>
    </c:title>
    <c:autoTitleDeleted val="0"/>
    <c:plotArea>
      <c:layout/>
      <c:lineChart>
        <c:grouping val="standard"/>
        <c:varyColors val="0"/>
        <c:ser>
          <c:idx val="0"/>
          <c:order val="0"/>
          <c:tx>
            <c:strRef>
              <c:f>Schedules!$E$234</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Schedules!$F$234:$AC$234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2-79C6-4E2C-8C5B-D77B61EB7600}"/>
            </c:ext>
          </c:extLst>
        </c:ser>
        <c:ser>
          <c:idx val="1"/>
          <c:order val="1"/>
          <c:tx>
            <c:strRef>
              <c:f>Schedules!$E$235</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Schedules!$F$235:$AC$235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79C6-4E2C-8C5B-D77B61EB7600}"/>
            </c:ext>
          </c:extLst>
        </c:ser>
        <c:ser>
          <c:idx val="2"/>
          <c:order val="2"/>
          <c:tx>
            <c:strRef>
              <c:f>Schedules!$E$236</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Schedules!$F$236:$AC$236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79C6-4E2C-8C5B-D77B61EB7600}"/>
            </c:ext>
          </c:extLst>
        </c:ser>
        <c:dLbls>
          <c:showLegendKey val="0"/>
          <c:showVal val="0"/>
          <c:showCatName val="0"/>
          <c:showSerName val="0"/>
          <c:showPercent val="0"/>
          <c:showBubbleSize val="0"/>
        </c:dLbls>
        <c:smooth val="0"/>
        <c:axId val="1239862048"/>
        <c:axId val="1162185744"/>
      </c:lineChart>
      <c:catAx>
        <c:axId val="1239862048"/>
        <c:scaling>
          <c:orientation val="minMax"/>
        </c:scaling>
        <c:delete val="0"/>
        <c:axPos val="b"/>
        <c:numFmt formatCode="General" sourceLinked="1"/>
        <c:majorTickMark val="out"/>
        <c:minorTickMark val="none"/>
        <c:tickLblPos val="nextTo"/>
        <c:crossAx val="1162185744"/>
        <c:crosses val="autoZero"/>
        <c:auto val="1"/>
        <c:lblAlgn val="ctr"/>
        <c:lblOffset val="100"/>
        <c:noMultiLvlLbl val="0"/>
      </c:catAx>
      <c:valAx>
        <c:axId val="1162185744"/>
        <c:scaling>
          <c:orientation val="minMax"/>
          <c:max val="1"/>
          <c:min val="0"/>
        </c:scaling>
        <c:delete val="0"/>
        <c:axPos val="l"/>
        <c:majorGridlines/>
        <c:numFmt formatCode="0.00" sourceLinked="1"/>
        <c:majorTickMark val="out"/>
        <c:minorTickMark val="none"/>
        <c:tickLblPos val="nextTo"/>
        <c:crossAx val="123986204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Lights</a:t>
            </a:r>
          </a:p>
        </c:rich>
      </c:tx>
      <c:overlay val="0"/>
    </c:title>
    <c:autoTitleDeleted val="0"/>
    <c:plotArea>
      <c:layout/>
      <c:lineChart>
        <c:grouping val="standard"/>
        <c:varyColors val="0"/>
        <c:ser>
          <c:idx val="0"/>
          <c:order val="0"/>
          <c:tx>
            <c:strRef>
              <c:f>Schedules!$E$237</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Schedules!$F$237:$AC$237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2-5B68-41FF-A2DA-7C58582249E9}"/>
            </c:ext>
          </c:extLst>
        </c:ser>
        <c:ser>
          <c:idx val="1"/>
          <c:order val="1"/>
          <c:tx>
            <c:strRef>
              <c:f>Schedules!$E$238</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Schedules!$F$238:$AC$238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3-5B68-41FF-A2DA-7C58582249E9}"/>
            </c:ext>
          </c:extLst>
        </c:ser>
        <c:ser>
          <c:idx val="2"/>
          <c:order val="2"/>
          <c:tx>
            <c:strRef>
              <c:f>Schedules!$E$239</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Schedules!$F$239:$AC$239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4-5B68-41FF-A2DA-7C58582249E9}"/>
            </c:ext>
          </c:extLst>
        </c:ser>
        <c:dLbls>
          <c:showLegendKey val="0"/>
          <c:showVal val="0"/>
          <c:showCatName val="0"/>
          <c:showSerName val="0"/>
          <c:showPercent val="0"/>
          <c:showBubbleSize val="0"/>
        </c:dLbls>
        <c:smooth val="0"/>
        <c:axId val="1239879216"/>
        <c:axId val="1162225584"/>
      </c:lineChart>
      <c:catAx>
        <c:axId val="1239879216"/>
        <c:scaling>
          <c:orientation val="minMax"/>
        </c:scaling>
        <c:delete val="0"/>
        <c:axPos val="b"/>
        <c:numFmt formatCode="General" sourceLinked="1"/>
        <c:majorTickMark val="out"/>
        <c:minorTickMark val="none"/>
        <c:tickLblPos val="nextTo"/>
        <c:crossAx val="1162225584"/>
        <c:crosses val="autoZero"/>
        <c:auto val="1"/>
        <c:lblAlgn val="ctr"/>
        <c:lblOffset val="100"/>
        <c:noMultiLvlLbl val="0"/>
      </c:catAx>
      <c:valAx>
        <c:axId val="1162225584"/>
        <c:scaling>
          <c:orientation val="minMax"/>
          <c:max val="1"/>
          <c:min val="0"/>
        </c:scaling>
        <c:delete val="0"/>
        <c:axPos val="l"/>
        <c:majorGridlines/>
        <c:numFmt formatCode="0.00" sourceLinked="1"/>
        <c:majorTickMark val="out"/>
        <c:minorTickMark val="none"/>
        <c:tickLblPos val="nextTo"/>
        <c:crossAx val="123987921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ElecEquipment</a:t>
            </a:r>
          </a:p>
        </c:rich>
      </c:tx>
      <c:overlay val="0"/>
    </c:title>
    <c:autoTitleDeleted val="0"/>
    <c:plotArea>
      <c:layout/>
      <c:lineChart>
        <c:grouping val="standard"/>
        <c:varyColors val="0"/>
        <c:ser>
          <c:idx val="0"/>
          <c:order val="0"/>
          <c:tx>
            <c:strRef>
              <c:f>Schedules!$E$240</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Schedules!$F$240:$AC$240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2-8687-49DD-B944-9760FD942998}"/>
            </c:ext>
          </c:extLst>
        </c:ser>
        <c:ser>
          <c:idx val="1"/>
          <c:order val="1"/>
          <c:tx>
            <c:strRef>
              <c:f>Schedules!$E$241</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Schedules!$F$241:$AC$241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3-8687-49DD-B944-9760FD942998}"/>
            </c:ext>
          </c:extLst>
        </c:ser>
        <c:ser>
          <c:idx val="2"/>
          <c:order val="2"/>
          <c:tx>
            <c:strRef>
              <c:f>Schedules!$E$242</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Schedules!$F$242:$AC$242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4-8687-49DD-B944-9760FD942998}"/>
            </c:ext>
          </c:extLst>
        </c:ser>
        <c:dLbls>
          <c:showLegendKey val="0"/>
          <c:showVal val="0"/>
          <c:showCatName val="0"/>
          <c:showSerName val="0"/>
          <c:showPercent val="0"/>
          <c:showBubbleSize val="0"/>
        </c:dLbls>
        <c:smooth val="0"/>
        <c:axId val="1239897776"/>
        <c:axId val="1161995184"/>
      </c:lineChart>
      <c:catAx>
        <c:axId val="1239897776"/>
        <c:scaling>
          <c:orientation val="minMax"/>
        </c:scaling>
        <c:delete val="0"/>
        <c:axPos val="b"/>
        <c:numFmt formatCode="General" sourceLinked="1"/>
        <c:majorTickMark val="out"/>
        <c:minorTickMark val="none"/>
        <c:tickLblPos val="nextTo"/>
        <c:crossAx val="1161995184"/>
        <c:crosses val="autoZero"/>
        <c:auto val="1"/>
        <c:lblAlgn val="ctr"/>
        <c:lblOffset val="100"/>
        <c:noMultiLvlLbl val="0"/>
      </c:catAx>
      <c:valAx>
        <c:axId val="1161995184"/>
        <c:scaling>
          <c:orientation val="minMax"/>
          <c:max val="1"/>
          <c:min val="0"/>
        </c:scaling>
        <c:delete val="0"/>
        <c:axPos val="l"/>
        <c:majorGridlines/>
        <c:numFmt formatCode="0.00" sourceLinked="1"/>
        <c:majorTickMark val="out"/>
        <c:minorTickMark val="none"/>
        <c:tickLblPos val="nextTo"/>
        <c:crossAx val="1239897776"/>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ServiceHotWater</a:t>
            </a:r>
          </a:p>
        </c:rich>
      </c:tx>
      <c:overlay val="0"/>
    </c:title>
    <c:autoTitleDeleted val="0"/>
    <c:plotArea>
      <c:layout/>
      <c:lineChart>
        <c:grouping val="standard"/>
        <c:varyColors val="0"/>
        <c:ser>
          <c:idx val="0"/>
          <c:order val="0"/>
          <c:tx>
            <c:strRef>
              <c:f>Schedules!$E$243</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Schedules!$F$243:$AC$243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2-8948-4FCB-B984-0D0DED79F0E3}"/>
            </c:ext>
          </c:extLst>
        </c:ser>
        <c:ser>
          <c:idx val="1"/>
          <c:order val="1"/>
          <c:tx>
            <c:strRef>
              <c:f>Schedules!$E$244</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Schedules!$F$244:$AC$244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3-8948-4FCB-B984-0D0DED79F0E3}"/>
            </c:ext>
          </c:extLst>
        </c:ser>
        <c:ser>
          <c:idx val="2"/>
          <c:order val="2"/>
          <c:tx>
            <c:strRef>
              <c:f>Schedules!$E$245</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Schedules!$F$245:$AC$245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4-8948-4FCB-B984-0D0DED79F0E3}"/>
            </c:ext>
          </c:extLst>
        </c:ser>
        <c:dLbls>
          <c:showLegendKey val="0"/>
          <c:showVal val="0"/>
          <c:showCatName val="0"/>
          <c:showSerName val="0"/>
          <c:showPercent val="0"/>
          <c:showBubbleSize val="0"/>
        </c:dLbls>
        <c:smooth val="0"/>
        <c:axId val="1239917264"/>
        <c:axId val="1162011984"/>
      </c:lineChart>
      <c:catAx>
        <c:axId val="1239917264"/>
        <c:scaling>
          <c:orientation val="minMax"/>
        </c:scaling>
        <c:delete val="0"/>
        <c:axPos val="b"/>
        <c:numFmt formatCode="General" sourceLinked="1"/>
        <c:majorTickMark val="out"/>
        <c:minorTickMark val="none"/>
        <c:tickLblPos val="nextTo"/>
        <c:crossAx val="1162011984"/>
        <c:crosses val="autoZero"/>
        <c:auto val="1"/>
        <c:lblAlgn val="ctr"/>
        <c:lblOffset val="100"/>
        <c:noMultiLvlLbl val="0"/>
      </c:catAx>
      <c:valAx>
        <c:axId val="1162011984"/>
        <c:scaling>
          <c:orientation val="minMax"/>
          <c:max val="1"/>
          <c:min val="0"/>
        </c:scaling>
        <c:delete val="0"/>
        <c:axPos val="l"/>
        <c:majorGridlines/>
        <c:numFmt formatCode="0.00" sourceLinked="1"/>
        <c:majorTickMark val="out"/>
        <c:minorTickMark val="none"/>
        <c:tickLblPos val="nextTo"/>
        <c:crossAx val="123991726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HVACAvail</a:t>
            </a:r>
          </a:p>
        </c:rich>
      </c:tx>
      <c:overlay val="0"/>
    </c:title>
    <c:autoTitleDeleted val="0"/>
    <c:plotArea>
      <c:layout/>
      <c:lineChart>
        <c:grouping val="standard"/>
        <c:varyColors val="0"/>
        <c:ser>
          <c:idx val="0"/>
          <c:order val="0"/>
          <c:tx>
            <c:strRef>
              <c:f>Schedules!$E$246</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Schedules!$F$246:$AC$246</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2-1C28-43EC-A7B1-E9F01A78C27C}"/>
            </c:ext>
          </c:extLst>
        </c:ser>
        <c:ser>
          <c:idx val="1"/>
          <c:order val="1"/>
          <c:tx>
            <c:strRef>
              <c:f>Schedules!$E$247</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Schedules!$F$247:$AC$247</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1C28-43EC-A7B1-E9F01A78C27C}"/>
            </c:ext>
          </c:extLst>
        </c:ser>
        <c:ser>
          <c:idx val="2"/>
          <c:order val="2"/>
          <c:tx>
            <c:strRef>
              <c:f>Schedules!$E$248</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Schedules!$F$248:$AC$248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1C28-43EC-A7B1-E9F01A78C27C}"/>
            </c:ext>
          </c:extLst>
        </c:ser>
        <c:dLbls>
          <c:showLegendKey val="0"/>
          <c:showVal val="0"/>
          <c:showCatName val="0"/>
          <c:showSerName val="0"/>
          <c:showPercent val="0"/>
          <c:showBubbleSize val="0"/>
        </c:dLbls>
        <c:smooth val="0"/>
        <c:axId val="1239931184"/>
        <c:axId val="1162067184"/>
      </c:lineChart>
      <c:catAx>
        <c:axId val="1239931184"/>
        <c:scaling>
          <c:orientation val="minMax"/>
        </c:scaling>
        <c:delete val="0"/>
        <c:axPos val="b"/>
        <c:numFmt formatCode="General" sourceLinked="1"/>
        <c:majorTickMark val="out"/>
        <c:minorTickMark val="none"/>
        <c:tickLblPos val="nextTo"/>
        <c:crossAx val="1162067184"/>
        <c:crosses val="autoZero"/>
        <c:auto val="1"/>
        <c:lblAlgn val="ctr"/>
        <c:lblOffset val="100"/>
        <c:noMultiLvlLbl val="0"/>
      </c:catAx>
      <c:valAx>
        <c:axId val="1162067184"/>
        <c:scaling>
          <c:orientation val="minMax"/>
          <c:max val="1"/>
          <c:min val="0"/>
        </c:scaling>
        <c:delete val="0"/>
        <c:axPos val="l"/>
        <c:majorGridlines/>
        <c:numFmt formatCode="0.00" sourceLinked="1"/>
        <c:majorTickMark val="out"/>
        <c:minorTickMark val="none"/>
        <c:tickLblPos val="nextTo"/>
        <c:crossAx val="1239931184"/>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HtgSetpt</a:t>
            </a:r>
          </a:p>
        </c:rich>
      </c:tx>
      <c:overlay val="0"/>
    </c:title>
    <c:autoTitleDeleted val="0"/>
    <c:plotArea>
      <c:layout/>
      <c:lineChart>
        <c:grouping val="standard"/>
        <c:varyColors val="0"/>
        <c:ser>
          <c:idx val="0"/>
          <c:order val="0"/>
          <c:tx>
            <c:strRef>
              <c:f>Schedules!$E$249</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Schedules!$F$249:$AC$249</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2-6500-4383-890B-22EA6CCC6525}"/>
            </c:ext>
          </c:extLst>
        </c:ser>
        <c:ser>
          <c:idx val="1"/>
          <c:order val="1"/>
          <c:tx>
            <c:strRef>
              <c:f>Schedules!$E$250</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Schedules!$F$250:$AC$250</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3-6500-4383-890B-22EA6CCC6525}"/>
            </c:ext>
          </c:extLst>
        </c:ser>
        <c:ser>
          <c:idx val="2"/>
          <c:order val="2"/>
          <c:tx>
            <c:strRef>
              <c:f>Schedules!$E$251</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Schedules!$F$251:$AC$251</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4-6500-4383-890B-22EA6CCC6525}"/>
            </c:ext>
          </c:extLst>
        </c:ser>
        <c:dLbls>
          <c:showLegendKey val="0"/>
          <c:showVal val="0"/>
          <c:showCatName val="0"/>
          <c:showSerName val="0"/>
          <c:showPercent val="0"/>
          <c:showBubbleSize val="0"/>
        </c:dLbls>
        <c:smooth val="0"/>
        <c:axId val="1239939072"/>
        <c:axId val="1162087824"/>
      </c:lineChart>
      <c:catAx>
        <c:axId val="1239939072"/>
        <c:scaling>
          <c:orientation val="minMax"/>
        </c:scaling>
        <c:delete val="0"/>
        <c:axPos val="b"/>
        <c:numFmt formatCode="General" sourceLinked="1"/>
        <c:majorTickMark val="out"/>
        <c:minorTickMark val="none"/>
        <c:tickLblPos val="nextTo"/>
        <c:crossAx val="1162087824"/>
        <c:crosses val="autoZero"/>
        <c:auto val="1"/>
        <c:lblAlgn val="ctr"/>
        <c:lblOffset val="100"/>
        <c:noMultiLvlLbl val="0"/>
      </c:catAx>
      <c:valAx>
        <c:axId val="1162087824"/>
        <c:scaling>
          <c:orientation val="minMax"/>
          <c:max val="90"/>
          <c:min val="50"/>
        </c:scaling>
        <c:delete val="0"/>
        <c:axPos val="l"/>
        <c:majorGridlines/>
        <c:numFmt formatCode="0" sourceLinked="1"/>
        <c:majorTickMark val="out"/>
        <c:minorTickMark val="none"/>
        <c:tickLblPos val="nextTo"/>
        <c:crossAx val="1239939072"/>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ClgSetpt</a:t>
            </a:r>
          </a:p>
        </c:rich>
      </c:tx>
      <c:overlay val="0"/>
    </c:title>
    <c:autoTitleDeleted val="0"/>
    <c:plotArea>
      <c:layout/>
      <c:lineChart>
        <c:grouping val="standard"/>
        <c:varyColors val="0"/>
        <c:ser>
          <c:idx val="0"/>
          <c:order val="0"/>
          <c:tx>
            <c:strRef>
              <c:f>Schedules!$E$252</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Schedules!$F$252:$AC$252</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2-AA02-4A88-8244-A9896D32A469}"/>
            </c:ext>
          </c:extLst>
        </c:ser>
        <c:ser>
          <c:idx val="1"/>
          <c:order val="1"/>
          <c:tx>
            <c:strRef>
              <c:f>Schedules!$E$253</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Schedules!$F$253:$AC$253</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3-AA02-4A88-8244-A9896D32A469}"/>
            </c:ext>
          </c:extLst>
        </c:ser>
        <c:ser>
          <c:idx val="2"/>
          <c:order val="2"/>
          <c:tx>
            <c:strRef>
              <c:f>Schedules!$E$254</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Schedules!$F$254:$AC$254</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4-AA02-4A88-8244-A9896D32A469}"/>
            </c:ext>
          </c:extLst>
        </c:ser>
        <c:dLbls>
          <c:showLegendKey val="0"/>
          <c:showVal val="0"/>
          <c:showCatName val="0"/>
          <c:showSerName val="0"/>
          <c:showPercent val="0"/>
          <c:showBubbleSize val="0"/>
        </c:dLbls>
        <c:smooth val="0"/>
        <c:axId val="1239703360"/>
        <c:axId val="1162124304"/>
      </c:lineChart>
      <c:catAx>
        <c:axId val="1239703360"/>
        <c:scaling>
          <c:orientation val="minMax"/>
        </c:scaling>
        <c:delete val="0"/>
        <c:axPos val="b"/>
        <c:numFmt formatCode="General" sourceLinked="1"/>
        <c:majorTickMark val="out"/>
        <c:minorTickMark val="none"/>
        <c:tickLblPos val="nextTo"/>
        <c:crossAx val="1162124304"/>
        <c:crosses val="autoZero"/>
        <c:auto val="1"/>
        <c:lblAlgn val="ctr"/>
        <c:lblOffset val="100"/>
        <c:noMultiLvlLbl val="0"/>
      </c:catAx>
      <c:valAx>
        <c:axId val="1162124304"/>
        <c:scaling>
          <c:orientation val="minMax"/>
          <c:max val="90"/>
          <c:min val="50"/>
        </c:scaling>
        <c:delete val="0"/>
        <c:axPos val="l"/>
        <c:majorGridlines/>
        <c:numFmt formatCode="0" sourceLinked="1"/>
        <c:majorTickMark val="out"/>
        <c:minorTickMark val="none"/>
        <c:tickLblPos val="nextTo"/>
        <c:crossAx val="1239703360"/>
        <c:crosses val="autoZero"/>
        <c:crossBetween val="between"/>
        <c:majorUnit val="10"/>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pPr>
            <a:r>
              <a:rPr lang="en-US"/>
              <a:t>Infiltration</a:t>
            </a:r>
          </a:p>
        </c:rich>
      </c:tx>
      <c:overlay val="0"/>
    </c:title>
    <c:autoTitleDeleted val="0"/>
    <c:plotArea>
      <c:layout/>
      <c:lineChart>
        <c:grouping val="standard"/>
        <c:varyColors val="0"/>
        <c:ser>
          <c:idx val="0"/>
          <c:order val="0"/>
          <c:tx>
            <c:strRef>
              <c:f>Schedules!$E$255</c:f>
              <c:strCache>
                <c:ptCount val="1"/>
                <c:pt idx="0">
                  <c:v>Weekday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Schedules!$F$255:$AC$255</c:f>
              <c:numCache>
                <c:formatCode>0.00</c:formatCode>
                <c:ptCount val="24"/>
                <c:pt idx="0">
                  <c:v>1</c:v>
                </c:pt>
                <c:pt idx="1">
                  <c:v>1</c:v>
                </c:pt>
                <c:pt idx="2">
                  <c:v>1</c:v>
                </c:pt>
                <c:pt idx="3">
                  <c:v>1</c:v>
                </c:pt>
                <c:pt idx="4">
                  <c:v>1</c:v>
                </c:pt>
                <c:pt idx="5">
                  <c:v>1</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1</c:v>
                </c:pt>
                <c:pt idx="23">
                  <c:v>1</c:v>
                </c:pt>
              </c:numCache>
            </c:numRef>
          </c:val>
          <c:smooth val="0"/>
          <c:extLst>
            <c:ext xmlns:c16="http://schemas.microsoft.com/office/drawing/2014/chart" uri="{C3380CC4-5D6E-409C-BE32-E72D297353CC}">
              <c16:uniqueId val="{00000002-4DA9-450C-92F2-82026481F875}"/>
            </c:ext>
          </c:extLst>
        </c:ser>
        <c:ser>
          <c:idx val="1"/>
          <c:order val="1"/>
          <c:tx>
            <c:strRef>
              <c:f>Schedules!$E$256</c:f>
              <c:strCache>
                <c:ptCount val="1"/>
                <c:pt idx="0">
                  <c:v>Saturday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Schedules!$F$256:$AC$256</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4DA9-450C-92F2-82026481F875}"/>
            </c:ext>
          </c:extLst>
        </c:ser>
        <c:ser>
          <c:idx val="2"/>
          <c:order val="2"/>
          <c:tx>
            <c:strRef>
              <c:f>Schedules!$E$257</c:f>
              <c:strCache>
                <c:ptCount val="1"/>
                <c:pt idx="0">
                  <c:v>Sunday</c:v>
                </c:pt>
              </c:strCache>
            </c:strRef>
          </c:tx>
          <c:marker>
            <c:symbol val="none"/>
          </c:marker>
          <c:cat>
            <c:numRef>
              <c:f>Schedules!$F$3:$AC$3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Schedules!$F$257:$AC$257</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4DA9-450C-92F2-82026481F875}"/>
            </c:ext>
          </c:extLst>
        </c:ser>
        <c:dLbls>
          <c:showLegendKey val="0"/>
          <c:showVal val="0"/>
          <c:showCatName val="0"/>
          <c:showSerName val="0"/>
          <c:showPercent val="0"/>
          <c:showBubbleSize val="0"/>
        </c:dLbls>
        <c:smooth val="0"/>
        <c:axId val="1239713568"/>
        <c:axId val="1162151664"/>
      </c:lineChart>
      <c:catAx>
        <c:axId val="1239713568"/>
        <c:scaling>
          <c:orientation val="minMax"/>
        </c:scaling>
        <c:delete val="0"/>
        <c:axPos val="b"/>
        <c:numFmt formatCode="General" sourceLinked="1"/>
        <c:majorTickMark val="out"/>
        <c:minorTickMark val="none"/>
        <c:tickLblPos val="nextTo"/>
        <c:crossAx val="1162151664"/>
        <c:crosses val="autoZero"/>
        <c:auto val="1"/>
        <c:lblAlgn val="ctr"/>
        <c:lblOffset val="100"/>
        <c:noMultiLvlLbl val="0"/>
      </c:catAx>
      <c:valAx>
        <c:axId val="1162151664"/>
        <c:scaling>
          <c:orientation val="minMax"/>
          <c:max val="1"/>
          <c:min val="0"/>
        </c:scaling>
        <c:delete val="0"/>
        <c:axPos val="l"/>
        <c:majorGridlines/>
        <c:numFmt formatCode="0.00" sourceLinked="1"/>
        <c:majorTickMark val="out"/>
        <c:minorTickMark val="none"/>
        <c:tickLblPos val="nextTo"/>
        <c:crossAx val="1239713568"/>
        <c:crosses val="autoZero"/>
        <c:crossBetween val="between"/>
        <c:majorUnit val="0.2"/>
      </c:valAx>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CEUS 2022</a:t>
            </a:r>
          </a:p>
        </c:rich>
      </c:tx>
      <c:layout>
        <c:manualLayout>
          <c:xMode val="edge"/>
          <c:yMode val="edge"/>
          <c:x val="0.30244144420479152"/>
          <c:y val="1.4898146284043689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41.523602714155238</c:v>
                </c:pt>
                <c:pt idx="1">
                  <c:v>35.919962275215113</c:v>
                </c:pt>
                <c:pt idx="2">
                  <c:v>75.071230511809588</c:v>
                </c:pt>
                <c:pt idx="3">
                  <c:v>79.965994768306444</c:v>
                </c:pt>
                <c:pt idx="4">
                  <c:v>44.361952887143737</c:v>
                </c:pt>
                <c:pt idx="5">
                  <c:v>61.760615902900255</c:v>
                </c:pt>
                <c:pt idx="6">
                  <c:v>66.415106974744731</c:v>
                </c:pt>
                <c:pt idx="7">
                  <c:v>77.581354122992636</c:v>
                </c:pt>
                <c:pt idx="8">
                  <c:v>89.363486838288381</c:v>
                </c:pt>
                <c:pt idx="9">
                  <c:v>50.564328156580558</c:v>
                </c:pt>
                <c:pt idx="10">
                  <c:v>51.6294397402757</c:v>
                </c:pt>
                <c:pt idx="11">
                  <c:v>64.190528461849567</c:v>
                </c:pt>
                <c:pt idx="12">
                  <c:v>43.301767595084279</c:v>
                </c:pt>
                <c:pt idx="13">
                  <c:v>51.376900852863784</c:v>
                </c:pt>
                <c:pt idx="14">
                  <c:v>35.786442116442558</c:v>
                </c:pt>
                <c:pt idx="15">
                  <c:v>50.682358795725669</c:v>
                </c:pt>
              </c:numCache>
            </c:numRef>
          </c:val>
          <c:extLst>
            <c:ext xmlns:c16="http://schemas.microsoft.com/office/drawing/2014/chart" uri="{C3380CC4-5D6E-409C-BE32-E72D297353CC}">
              <c16:uniqueId val="{00000000-462C-47F2-A8F3-462BF3129E8F}"/>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27.682401809436833</c:v>
                </c:pt>
                <c:pt idx="1">
                  <c:v>23.946641516810075</c:v>
                </c:pt>
                <c:pt idx="2">
                  <c:v>50.047487007873059</c:v>
                </c:pt>
                <c:pt idx="3">
                  <c:v>53.310663178870982</c:v>
                </c:pt>
                <c:pt idx="4">
                  <c:v>29.574635258095832</c:v>
                </c:pt>
                <c:pt idx="5">
                  <c:v>41.173743935266828</c:v>
                </c:pt>
                <c:pt idx="6">
                  <c:v>44.276737983163144</c:v>
                </c:pt>
                <c:pt idx="7">
                  <c:v>51.720902748661743</c:v>
                </c:pt>
                <c:pt idx="8">
                  <c:v>59.57565789219224</c:v>
                </c:pt>
                <c:pt idx="9">
                  <c:v>33.709552104387029</c:v>
                </c:pt>
                <c:pt idx="10">
                  <c:v>34.419626493517143</c:v>
                </c:pt>
                <c:pt idx="11">
                  <c:v>42.793685641233026</c:v>
                </c:pt>
                <c:pt idx="12">
                  <c:v>28.867845063389517</c:v>
                </c:pt>
                <c:pt idx="13">
                  <c:v>34.251267235242523</c:v>
                </c:pt>
                <c:pt idx="14">
                  <c:v>23.857628077628377</c:v>
                </c:pt>
                <c:pt idx="15">
                  <c:v>33.788239197150453</c:v>
                </c:pt>
              </c:numCache>
            </c:numRef>
          </c:val>
          <c:extLst>
            <c:ext xmlns:c16="http://schemas.microsoft.com/office/drawing/2014/chart" uri="{C3380CC4-5D6E-409C-BE32-E72D297353CC}">
              <c16:uniqueId val="{00000001-462C-47F2-A8F3-462BF3129E8F}"/>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462C-47F2-A8F3-462BF3129E8F}"/>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462C-47F2-A8F3-462BF3129E8F}"/>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numCache>
            </c:numRef>
          </c:val>
          <c:extLst>
            <c:ext xmlns:c16="http://schemas.microsoft.com/office/drawing/2014/chart" uri="{C3380CC4-5D6E-409C-BE32-E72D297353CC}">
              <c16:uniqueId val="{00000000-F016-400D-BFE4-22E3EA1F5954}"/>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numCache>
            </c:numRef>
          </c:val>
          <c:extLst>
            <c:ext xmlns:c16="http://schemas.microsoft.com/office/drawing/2014/chart" uri="{C3380CC4-5D6E-409C-BE32-E72D297353CC}">
              <c16:uniqueId val="{00000001-F016-400D-BFE4-22E3EA1F5954}"/>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016-400D-BFE4-22E3EA1F5954}"/>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016-400D-BFE4-22E3EA1F5954}"/>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50" Type="http://schemas.openxmlformats.org/officeDocument/2006/relationships/chart" Target="../charts/chart50.xml"/><Relationship Id="rId55" Type="http://schemas.openxmlformats.org/officeDocument/2006/relationships/chart" Target="../charts/chart55.xml"/><Relationship Id="rId63" Type="http://schemas.openxmlformats.org/officeDocument/2006/relationships/chart" Target="../charts/chart63.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8" Type="http://schemas.openxmlformats.org/officeDocument/2006/relationships/chart" Target="../charts/chart58.xml"/><Relationship Id="rId5" Type="http://schemas.openxmlformats.org/officeDocument/2006/relationships/chart" Target="../charts/chart5.xml"/><Relationship Id="rId61" Type="http://schemas.openxmlformats.org/officeDocument/2006/relationships/chart" Target="../charts/chart61.xml"/><Relationship Id="rId19" Type="http://schemas.openxmlformats.org/officeDocument/2006/relationships/chart" Target="../charts/chart1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8" Type="http://schemas.openxmlformats.org/officeDocument/2006/relationships/chart" Target="../charts/chart8.xml"/><Relationship Id="rId51" Type="http://schemas.openxmlformats.org/officeDocument/2006/relationships/chart" Target="../charts/chart51.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59" Type="http://schemas.openxmlformats.org/officeDocument/2006/relationships/chart" Target="../charts/chart59.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62" Type="http://schemas.openxmlformats.org/officeDocument/2006/relationships/chart" Target="../charts/chart62.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10" Type="http://schemas.openxmlformats.org/officeDocument/2006/relationships/chart" Target="../charts/chart10.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 Id="rId60" Type="http://schemas.openxmlformats.org/officeDocument/2006/relationships/chart" Target="../charts/chart6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5.xml"/><Relationship Id="rId1"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editAs="oneCell">
    <xdr:from>
      <xdr:col>0</xdr:col>
      <xdr:colOff>742951</xdr:colOff>
      <xdr:row>31</xdr:row>
      <xdr:rowOff>133351</xdr:rowOff>
    </xdr:from>
    <xdr:to>
      <xdr:col>2</xdr:col>
      <xdr:colOff>1887372</xdr:colOff>
      <xdr:row>42</xdr:row>
      <xdr:rowOff>57151</xdr:rowOff>
    </xdr:to>
    <xdr:pic>
      <xdr:nvPicPr>
        <xdr:cNvPr id="3" name="Picture 1">
          <a:extLst>
            <a:ext uri="{FF2B5EF4-FFF2-40B4-BE49-F238E27FC236}">
              <a16:creationId xmlns:a16="http://schemas.microsoft.com/office/drawing/2014/main" id="{4809C3EC-C295-1CFB-0BD1-5A8A93451A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1" y="3790951"/>
          <a:ext cx="7798586" cy="1765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78442</xdr:colOff>
      <xdr:row>7</xdr:row>
      <xdr:rowOff>11208</xdr:rowOff>
    </xdr:from>
    <xdr:to>
      <xdr:col>1</xdr:col>
      <xdr:colOff>3350559</xdr:colOff>
      <xdr:row>7</xdr:row>
      <xdr:rowOff>1216825</xdr:rowOff>
    </xdr:to>
    <xdr:pic>
      <xdr:nvPicPr>
        <xdr:cNvPr id="2" name="Picture 1">
          <a:extLst>
            <a:ext uri="{FF2B5EF4-FFF2-40B4-BE49-F238E27FC236}">
              <a16:creationId xmlns:a16="http://schemas.microsoft.com/office/drawing/2014/main" id="{0783D2F8-7136-31A9-51CC-D557C356E996}"/>
            </a:ext>
          </a:extLst>
        </xdr:cNvPr>
        <xdr:cNvPicPr>
          <a:picLocks noChangeAspect="1"/>
        </xdr:cNvPicPr>
      </xdr:nvPicPr>
      <xdr:blipFill>
        <a:blip xmlns:r="http://schemas.openxmlformats.org/officeDocument/2006/relationships" r:embed="rId1"/>
        <a:stretch>
          <a:fillRect/>
        </a:stretch>
      </xdr:blipFill>
      <xdr:spPr>
        <a:xfrm>
          <a:off x="1748118" y="1568826"/>
          <a:ext cx="3272117" cy="1205617"/>
        </a:xfrm>
        <a:prstGeom prst="rect">
          <a:avLst/>
        </a:prstGeom>
      </xdr:spPr>
    </xdr:pic>
    <xdr:clientData/>
  </xdr:twoCellAnchor>
  <xdr:twoCellAnchor editAs="oneCell">
    <xdr:from>
      <xdr:col>1</xdr:col>
      <xdr:colOff>0</xdr:colOff>
      <xdr:row>31</xdr:row>
      <xdr:rowOff>123825</xdr:rowOff>
    </xdr:from>
    <xdr:to>
      <xdr:col>1</xdr:col>
      <xdr:colOff>3264497</xdr:colOff>
      <xdr:row>31</xdr:row>
      <xdr:rowOff>1314202</xdr:rowOff>
    </xdr:to>
    <xdr:pic>
      <xdr:nvPicPr>
        <xdr:cNvPr id="4" name="Picture 3">
          <a:extLst>
            <a:ext uri="{FF2B5EF4-FFF2-40B4-BE49-F238E27FC236}">
              <a16:creationId xmlns:a16="http://schemas.microsoft.com/office/drawing/2014/main" id="{7FC1030A-EF40-4280-969A-4157B496E263}"/>
            </a:ext>
            <a:ext uri="{147F2762-F138-4A5C-976F-8EAC2B608ADB}">
              <a16:predDERef xmlns:a16="http://schemas.microsoft.com/office/drawing/2014/main" pred="{0783D2F8-7136-31A9-51CC-D557C356E996}"/>
            </a:ext>
          </a:extLst>
        </xdr:cNvPr>
        <xdr:cNvPicPr>
          <a:picLocks noChangeAspect="1"/>
        </xdr:cNvPicPr>
      </xdr:nvPicPr>
      <xdr:blipFill>
        <a:blip xmlns:r="http://schemas.openxmlformats.org/officeDocument/2006/relationships" r:embed="rId1"/>
        <a:stretch>
          <a:fillRect/>
        </a:stretch>
      </xdr:blipFill>
      <xdr:spPr>
        <a:xfrm>
          <a:off x="2381250" y="8077200"/>
          <a:ext cx="3272117" cy="1205617"/>
        </a:xfrm>
        <a:prstGeom prst="rect">
          <a:avLst/>
        </a:prstGeom>
      </xdr:spPr>
    </xdr:pic>
    <xdr:clientData/>
  </xdr:twoCellAnchor>
  <xdr:twoCellAnchor editAs="oneCell">
    <xdr:from>
      <xdr:col>3</xdr:col>
      <xdr:colOff>38100</xdr:colOff>
      <xdr:row>31</xdr:row>
      <xdr:rowOff>276225</xdr:rowOff>
    </xdr:from>
    <xdr:to>
      <xdr:col>3</xdr:col>
      <xdr:colOff>3543300</xdr:colOff>
      <xdr:row>31</xdr:row>
      <xdr:rowOff>1371600</xdr:rowOff>
    </xdr:to>
    <xdr:pic>
      <xdr:nvPicPr>
        <xdr:cNvPr id="5" name="Picture 4">
          <a:extLst>
            <a:ext uri="{FF2B5EF4-FFF2-40B4-BE49-F238E27FC236}">
              <a16:creationId xmlns:a16="http://schemas.microsoft.com/office/drawing/2014/main" id="{EC9E11EA-2B30-AD76-2C9B-652C702C6CA6}"/>
            </a:ext>
            <a:ext uri="{147F2762-F138-4A5C-976F-8EAC2B608ADB}">
              <a16:predDERef xmlns:a16="http://schemas.microsoft.com/office/drawing/2014/main" pred="{7FC1030A-EF40-4280-969A-4157B496E263}"/>
            </a:ext>
          </a:extLst>
        </xdr:cNvPr>
        <xdr:cNvPicPr>
          <a:picLocks noChangeAspect="1"/>
        </xdr:cNvPicPr>
      </xdr:nvPicPr>
      <xdr:blipFill>
        <a:blip xmlns:r="http://schemas.openxmlformats.org/officeDocument/2006/relationships" r:embed="rId2"/>
        <a:stretch>
          <a:fillRect/>
        </a:stretch>
      </xdr:blipFill>
      <xdr:spPr>
        <a:xfrm>
          <a:off x="12668250" y="8229600"/>
          <a:ext cx="3505200" cy="1095375"/>
        </a:xfrm>
        <a:prstGeom prst="rect">
          <a:avLst/>
        </a:prstGeom>
      </xdr:spPr>
    </xdr:pic>
    <xdr:clientData/>
  </xdr:twoCellAnchor>
  <xdr:twoCellAnchor editAs="oneCell">
    <xdr:from>
      <xdr:col>2</xdr:col>
      <xdr:colOff>228600</xdr:colOff>
      <xdr:row>31</xdr:row>
      <xdr:rowOff>114300</xdr:rowOff>
    </xdr:from>
    <xdr:to>
      <xdr:col>2</xdr:col>
      <xdr:colOff>3482340</xdr:colOff>
      <xdr:row>31</xdr:row>
      <xdr:rowOff>1503045</xdr:rowOff>
    </xdr:to>
    <xdr:pic>
      <xdr:nvPicPr>
        <xdr:cNvPr id="6" name="Picture 5">
          <a:extLst>
            <a:ext uri="{FF2B5EF4-FFF2-40B4-BE49-F238E27FC236}">
              <a16:creationId xmlns:a16="http://schemas.microsoft.com/office/drawing/2014/main" id="{CDB2B5C7-C95E-791F-6D61-220919D3036B}"/>
            </a:ext>
            <a:ext uri="{147F2762-F138-4A5C-976F-8EAC2B608ADB}">
              <a16:predDERef xmlns:a16="http://schemas.microsoft.com/office/drawing/2014/main" pred="{EC9E11EA-2B30-AD76-2C9B-652C702C6CA6}"/>
            </a:ext>
          </a:extLst>
        </xdr:cNvPr>
        <xdr:cNvPicPr>
          <a:picLocks noChangeAspect="1"/>
        </xdr:cNvPicPr>
      </xdr:nvPicPr>
      <xdr:blipFill>
        <a:blip xmlns:r="http://schemas.openxmlformats.org/officeDocument/2006/relationships" r:embed="rId3"/>
        <a:stretch>
          <a:fillRect/>
        </a:stretch>
      </xdr:blipFill>
      <xdr:spPr>
        <a:xfrm>
          <a:off x="9277350" y="8067675"/>
          <a:ext cx="3248025" cy="1400175"/>
        </a:xfrm>
        <a:prstGeom prst="rect">
          <a:avLst/>
        </a:prstGeom>
      </xdr:spPr>
    </xdr:pic>
    <xdr:clientData/>
  </xdr:twoCellAnchor>
  <xdr:twoCellAnchor editAs="oneCell">
    <xdr:from>
      <xdr:col>1</xdr:col>
      <xdr:colOff>104775</xdr:colOff>
      <xdr:row>31</xdr:row>
      <xdr:rowOff>104775</xdr:rowOff>
    </xdr:from>
    <xdr:to>
      <xdr:col>1</xdr:col>
      <xdr:colOff>3390900</xdr:colOff>
      <xdr:row>31</xdr:row>
      <xdr:rowOff>1348740</xdr:rowOff>
    </xdr:to>
    <xdr:pic>
      <xdr:nvPicPr>
        <xdr:cNvPr id="7" name="Picture 6">
          <a:extLst>
            <a:ext uri="{FF2B5EF4-FFF2-40B4-BE49-F238E27FC236}">
              <a16:creationId xmlns:a16="http://schemas.microsoft.com/office/drawing/2014/main" id="{AF1D4F97-13CC-9664-E0D2-8C8A4CC883F1}"/>
            </a:ext>
            <a:ext uri="{147F2762-F138-4A5C-976F-8EAC2B608ADB}">
              <a16:predDERef xmlns:a16="http://schemas.microsoft.com/office/drawing/2014/main" pred="{CDB2B5C7-C95E-791F-6D61-220919D3036B}"/>
            </a:ext>
          </a:extLst>
        </xdr:cNvPr>
        <xdr:cNvPicPr>
          <a:picLocks noChangeAspect="1"/>
        </xdr:cNvPicPr>
      </xdr:nvPicPr>
      <xdr:blipFill>
        <a:blip xmlns:r="http://schemas.openxmlformats.org/officeDocument/2006/relationships" r:embed="rId4"/>
        <a:stretch>
          <a:fillRect/>
        </a:stretch>
      </xdr:blipFill>
      <xdr:spPr>
        <a:xfrm>
          <a:off x="5838825" y="8058150"/>
          <a:ext cx="3286125" cy="1238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1282561</xdr:colOff>
      <xdr:row>0</xdr:row>
      <xdr:rowOff>35035</xdr:rowOff>
    </xdr:from>
    <xdr:to>
      <xdr:col>14</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1325218</xdr:colOff>
      <xdr:row>0</xdr:row>
      <xdr:rowOff>67505</xdr:rowOff>
    </xdr:from>
    <xdr:to>
      <xdr:col>14</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13</xdr:col>
      <xdr:colOff>1019175</xdr:colOff>
      <xdr:row>1</xdr:row>
      <xdr:rowOff>152400</xdr:rowOff>
    </xdr:from>
    <xdr:to>
      <xdr:col>19</xdr:col>
      <xdr:colOff>1196642</xdr:colOff>
      <xdr:row>40</xdr:row>
      <xdr:rowOff>289560</xdr:rowOff>
    </xdr:to>
    <xdr:pic>
      <xdr:nvPicPr>
        <xdr:cNvPr id="7" name="Picture 11">
          <a:extLst>
            <a:ext uri="{FF2B5EF4-FFF2-40B4-BE49-F238E27FC236}">
              <a16:creationId xmlns:a16="http://schemas.microsoft.com/office/drawing/2014/main" id="{8161CDC1-0CA7-159C-7854-FDC29F8CA14C}"/>
            </a:ext>
            <a:ext uri="{147F2762-F138-4A5C-976F-8EAC2B608ADB}">
              <a16:predDERef xmlns:a16="http://schemas.microsoft.com/office/drawing/2014/main" pred="{FF40FE3C-E6C5-09A2-37A1-9423E7B0FE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17025" y="571500"/>
          <a:ext cx="8159417" cy="93192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1728509</xdr:colOff>
      <xdr:row>1</xdr:row>
      <xdr:rowOff>183775</xdr:rowOff>
    </xdr:from>
    <xdr:to>
      <xdr:col>27</xdr:col>
      <xdr:colOff>514350</xdr:colOff>
      <xdr:row>24</xdr:row>
      <xdr:rowOff>212508</xdr:rowOff>
    </xdr:to>
    <xdr:pic>
      <xdr:nvPicPr>
        <xdr:cNvPr id="13" name="Picture 12">
          <a:extLst>
            <a:ext uri="{FF2B5EF4-FFF2-40B4-BE49-F238E27FC236}">
              <a16:creationId xmlns:a16="http://schemas.microsoft.com/office/drawing/2014/main" id="{AAAF3727-38B7-D1BF-2A7E-19CE61E1C9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608309" y="602875"/>
          <a:ext cx="6767791" cy="5553233"/>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30</xdr:col>
      <xdr:colOff>0</xdr:colOff>
      <xdr:row>3</xdr:row>
      <xdr:rowOff>0</xdr:rowOff>
    </xdr:from>
    <xdr:to>
      <xdr:col>47</xdr:col>
      <xdr:colOff>0</xdr:colOff>
      <xdr:row>8</xdr:row>
      <xdr:rowOff>0</xdr:rowOff>
    </xdr:to>
    <xdr:graphicFrame macro="">
      <xdr:nvGraphicFramePr>
        <xdr:cNvPr id="12" name="Chart 11">
          <a:extLst>
            <a:ext uri="{FF2B5EF4-FFF2-40B4-BE49-F238E27FC236}">
              <a16:creationId xmlns:a16="http://schemas.microsoft.com/office/drawing/2014/main" id="{A0C4DB4C-652B-C551-CDB2-EFAE49DAE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0</xdr:colOff>
      <xdr:row>8</xdr:row>
      <xdr:rowOff>0</xdr:rowOff>
    </xdr:from>
    <xdr:to>
      <xdr:col>47</xdr:col>
      <xdr:colOff>0</xdr:colOff>
      <xdr:row>13</xdr:row>
      <xdr:rowOff>0</xdr:rowOff>
    </xdr:to>
    <xdr:graphicFrame macro="">
      <xdr:nvGraphicFramePr>
        <xdr:cNvPr id="21" name="Chart 20">
          <a:extLst>
            <a:ext uri="{FF2B5EF4-FFF2-40B4-BE49-F238E27FC236}">
              <a16:creationId xmlns:a16="http://schemas.microsoft.com/office/drawing/2014/main" id="{5C5355C0-F543-EE1D-6BAD-A2D884F24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13</xdr:row>
      <xdr:rowOff>0</xdr:rowOff>
    </xdr:from>
    <xdr:to>
      <xdr:col>47</xdr:col>
      <xdr:colOff>0</xdr:colOff>
      <xdr:row>18</xdr:row>
      <xdr:rowOff>0</xdr:rowOff>
    </xdr:to>
    <xdr:graphicFrame macro="">
      <xdr:nvGraphicFramePr>
        <xdr:cNvPr id="22" name="Chart 21">
          <a:extLst>
            <a:ext uri="{FF2B5EF4-FFF2-40B4-BE49-F238E27FC236}">
              <a16:creationId xmlns:a16="http://schemas.microsoft.com/office/drawing/2014/main" id="{9AE6986E-23EA-92FC-08D5-C74CCF600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18</xdr:row>
      <xdr:rowOff>0</xdr:rowOff>
    </xdr:from>
    <xdr:to>
      <xdr:col>47</xdr:col>
      <xdr:colOff>0</xdr:colOff>
      <xdr:row>23</xdr:row>
      <xdr:rowOff>0</xdr:rowOff>
    </xdr:to>
    <xdr:graphicFrame macro="">
      <xdr:nvGraphicFramePr>
        <xdr:cNvPr id="23" name="Chart 22">
          <a:extLst>
            <a:ext uri="{FF2B5EF4-FFF2-40B4-BE49-F238E27FC236}">
              <a16:creationId xmlns:a16="http://schemas.microsoft.com/office/drawing/2014/main" id="{E04E194D-B199-21AA-224A-2FB78AD47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0</xdr:colOff>
      <xdr:row>23</xdr:row>
      <xdr:rowOff>0</xdr:rowOff>
    </xdr:from>
    <xdr:to>
      <xdr:col>47</xdr:col>
      <xdr:colOff>0</xdr:colOff>
      <xdr:row>28</xdr:row>
      <xdr:rowOff>0</xdr:rowOff>
    </xdr:to>
    <xdr:graphicFrame macro="">
      <xdr:nvGraphicFramePr>
        <xdr:cNvPr id="24" name="Chart 23">
          <a:extLst>
            <a:ext uri="{FF2B5EF4-FFF2-40B4-BE49-F238E27FC236}">
              <a16:creationId xmlns:a16="http://schemas.microsoft.com/office/drawing/2014/main" id="{E6F56A4C-B039-A4FD-E36F-459828C32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28</xdr:row>
      <xdr:rowOff>0</xdr:rowOff>
    </xdr:from>
    <xdr:to>
      <xdr:col>47</xdr:col>
      <xdr:colOff>0</xdr:colOff>
      <xdr:row>33</xdr:row>
      <xdr:rowOff>0</xdr:rowOff>
    </xdr:to>
    <xdr:graphicFrame macro="">
      <xdr:nvGraphicFramePr>
        <xdr:cNvPr id="25" name="Chart 24">
          <a:extLst>
            <a:ext uri="{FF2B5EF4-FFF2-40B4-BE49-F238E27FC236}">
              <a16:creationId xmlns:a16="http://schemas.microsoft.com/office/drawing/2014/main" id="{1306B708-D6C6-54EE-794F-DAF5812CA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33</xdr:row>
      <xdr:rowOff>0</xdr:rowOff>
    </xdr:from>
    <xdr:to>
      <xdr:col>47</xdr:col>
      <xdr:colOff>0</xdr:colOff>
      <xdr:row>38</xdr:row>
      <xdr:rowOff>0</xdr:rowOff>
    </xdr:to>
    <xdr:graphicFrame macro="">
      <xdr:nvGraphicFramePr>
        <xdr:cNvPr id="26" name="Chart 25">
          <a:extLst>
            <a:ext uri="{FF2B5EF4-FFF2-40B4-BE49-F238E27FC236}">
              <a16:creationId xmlns:a16="http://schemas.microsoft.com/office/drawing/2014/main" id="{211FAE74-F672-E8ED-2B20-F0AEA1076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0</xdr:colOff>
      <xdr:row>38</xdr:row>
      <xdr:rowOff>0</xdr:rowOff>
    </xdr:from>
    <xdr:to>
      <xdr:col>47</xdr:col>
      <xdr:colOff>0</xdr:colOff>
      <xdr:row>43</xdr:row>
      <xdr:rowOff>0</xdr:rowOff>
    </xdr:to>
    <xdr:graphicFrame macro="">
      <xdr:nvGraphicFramePr>
        <xdr:cNvPr id="27" name="Chart 26">
          <a:extLst>
            <a:ext uri="{FF2B5EF4-FFF2-40B4-BE49-F238E27FC236}">
              <a16:creationId xmlns:a16="http://schemas.microsoft.com/office/drawing/2014/main" id="{52C2FE8E-D157-3228-A6DA-2818CABF3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0</xdr:colOff>
      <xdr:row>43</xdr:row>
      <xdr:rowOff>0</xdr:rowOff>
    </xdr:from>
    <xdr:to>
      <xdr:col>47</xdr:col>
      <xdr:colOff>0</xdr:colOff>
      <xdr:row>48</xdr:row>
      <xdr:rowOff>0</xdr:rowOff>
    </xdr:to>
    <xdr:graphicFrame macro="">
      <xdr:nvGraphicFramePr>
        <xdr:cNvPr id="28" name="Chart 27">
          <a:extLst>
            <a:ext uri="{FF2B5EF4-FFF2-40B4-BE49-F238E27FC236}">
              <a16:creationId xmlns:a16="http://schemas.microsoft.com/office/drawing/2014/main" id="{90D9C2F5-EDCB-DA73-99E5-14D5E1232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0</xdr:colOff>
      <xdr:row>48</xdr:row>
      <xdr:rowOff>0</xdr:rowOff>
    </xdr:from>
    <xdr:to>
      <xdr:col>47</xdr:col>
      <xdr:colOff>0</xdr:colOff>
      <xdr:row>53</xdr:row>
      <xdr:rowOff>0</xdr:rowOff>
    </xdr:to>
    <xdr:graphicFrame macro="">
      <xdr:nvGraphicFramePr>
        <xdr:cNvPr id="29" name="Chart 28">
          <a:extLst>
            <a:ext uri="{FF2B5EF4-FFF2-40B4-BE49-F238E27FC236}">
              <a16:creationId xmlns:a16="http://schemas.microsoft.com/office/drawing/2014/main" id="{AAD293E9-7F9D-9BD4-9220-1ECB30E70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0</xdr:colOff>
      <xdr:row>54</xdr:row>
      <xdr:rowOff>0</xdr:rowOff>
    </xdr:from>
    <xdr:to>
      <xdr:col>47</xdr:col>
      <xdr:colOff>0</xdr:colOff>
      <xdr:row>57</xdr:row>
      <xdr:rowOff>0</xdr:rowOff>
    </xdr:to>
    <xdr:graphicFrame macro="">
      <xdr:nvGraphicFramePr>
        <xdr:cNvPr id="30" name="Chart 29">
          <a:extLst>
            <a:ext uri="{FF2B5EF4-FFF2-40B4-BE49-F238E27FC236}">
              <a16:creationId xmlns:a16="http://schemas.microsoft.com/office/drawing/2014/main" id="{54A95BE6-D42E-707B-5069-1B81C5C00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0</xdr:colOff>
      <xdr:row>57</xdr:row>
      <xdr:rowOff>0</xdr:rowOff>
    </xdr:from>
    <xdr:to>
      <xdr:col>47</xdr:col>
      <xdr:colOff>0</xdr:colOff>
      <xdr:row>60</xdr:row>
      <xdr:rowOff>0</xdr:rowOff>
    </xdr:to>
    <xdr:graphicFrame macro="">
      <xdr:nvGraphicFramePr>
        <xdr:cNvPr id="31" name="Chart 30">
          <a:extLst>
            <a:ext uri="{FF2B5EF4-FFF2-40B4-BE49-F238E27FC236}">
              <a16:creationId xmlns:a16="http://schemas.microsoft.com/office/drawing/2014/main" id="{6B7F6039-BB79-EC0B-3274-4AA2E04A2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0</xdr:colOff>
      <xdr:row>60</xdr:row>
      <xdr:rowOff>0</xdr:rowOff>
    </xdr:from>
    <xdr:to>
      <xdr:col>47</xdr:col>
      <xdr:colOff>0</xdr:colOff>
      <xdr:row>63</xdr:row>
      <xdr:rowOff>0</xdr:rowOff>
    </xdr:to>
    <xdr:graphicFrame macro="">
      <xdr:nvGraphicFramePr>
        <xdr:cNvPr id="32" name="Chart 31">
          <a:extLst>
            <a:ext uri="{FF2B5EF4-FFF2-40B4-BE49-F238E27FC236}">
              <a16:creationId xmlns:a16="http://schemas.microsoft.com/office/drawing/2014/main" id="{3C1C0DEA-8474-5BA3-1055-AAF7F8911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30</xdr:col>
      <xdr:colOff>0</xdr:colOff>
      <xdr:row>63</xdr:row>
      <xdr:rowOff>0</xdr:rowOff>
    </xdr:from>
    <xdr:to>
      <xdr:col>47</xdr:col>
      <xdr:colOff>0</xdr:colOff>
      <xdr:row>66</xdr:row>
      <xdr:rowOff>0</xdr:rowOff>
    </xdr:to>
    <xdr:graphicFrame macro="">
      <xdr:nvGraphicFramePr>
        <xdr:cNvPr id="33" name="Chart 32">
          <a:extLst>
            <a:ext uri="{FF2B5EF4-FFF2-40B4-BE49-F238E27FC236}">
              <a16:creationId xmlns:a16="http://schemas.microsoft.com/office/drawing/2014/main" id="{FE824D09-4D19-0C78-7C14-627124F8D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30</xdr:col>
      <xdr:colOff>0</xdr:colOff>
      <xdr:row>66</xdr:row>
      <xdr:rowOff>0</xdr:rowOff>
    </xdr:from>
    <xdr:to>
      <xdr:col>47</xdr:col>
      <xdr:colOff>0</xdr:colOff>
      <xdr:row>69</xdr:row>
      <xdr:rowOff>0</xdr:rowOff>
    </xdr:to>
    <xdr:graphicFrame macro="">
      <xdr:nvGraphicFramePr>
        <xdr:cNvPr id="34" name="Chart 33">
          <a:extLst>
            <a:ext uri="{FF2B5EF4-FFF2-40B4-BE49-F238E27FC236}">
              <a16:creationId xmlns:a16="http://schemas.microsoft.com/office/drawing/2014/main" id="{88F91F2E-BB35-A235-60B7-BD08772F7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30</xdr:col>
      <xdr:colOff>0</xdr:colOff>
      <xdr:row>69</xdr:row>
      <xdr:rowOff>0</xdr:rowOff>
    </xdr:from>
    <xdr:to>
      <xdr:col>47</xdr:col>
      <xdr:colOff>0</xdr:colOff>
      <xdr:row>72</xdr:row>
      <xdr:rowOff>0</xdr:rowOff>
    </xdr:to>
    <xdr:graphicFrame macro="">
      <xdr:nvGraphicFramePr>
        <xdr:cNvPr id="35" name="Chart 34">
          <a:extLst>
            <a:ext uri="{FF2B5EF4-FFF2-40B4-BE49-F238E27FC236}">
              <a16:creationId xmlns:a16="http://schemas.microsoft.com/office/drawing/2014/main" id="{C4C7DA26-22C6-0B22-B1CF-8A0F4A180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30</xdr:col>
      <xdr:colOff>0</xdr:colOff>
      <xdr:row>72</xdr:row>
      <xdr:rowOff>0</xdr:rowOff>
    </xdr:from>
    <xdr:to>
      <xdr:col>47</xdr:col>
      <xdr:colOff>0</xdr:colOff>
      <xdr:row>75</xdr:row>
      <xdr:rowOff>0</xdr:rowOff>
    </xdr:to>
    <xdr:graphicFrame macro="">
      <xdr:nvGraphicFramePr>
        <xdr:cNvPr id="36" name="Chart 35">
          <a:extLst>
            <a:ext uri="{FF2B5EF4-FFF2-40B4-BE49-F238E27FC236}">
              <a16:creationId xmlns:a16="http://schemas.microsoft.com/office/drawing/2014/main" id="{D6E6D4CF-A556-9BE0-D2B5-C10395864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30</xdr:col>
      <xdr:colOff>0</xdr:colOff>
      <xdr:row>75</xdr:row>
      <xdr:rowOff>0</xdr:rowOff>
    </xdr:from>
    <xdr:to>
      <xdr:col>47</xdr:col>
      <xdr:colOff>0</xdr:colOff>
      <xdr:row>78</xdr:row>
      <xdr:rowOff>0</xdr:rowOff>
    </xdr:to>
    <xdr:graphicFrame macro="">
      <xdr:nvGraphicFramePr>
        <xdr:cNvPr id="37" name="Chart 36">
          <a:extLst>
            <a:ext uri="{FF2B5EF4-FFF2-40B4-BE49-F238E27FC236}">
              <a16:creationId xmlns:a16="http://schemas.microsoft.com/office/drawing/2014/main" id="{DB586317-F759-5C90-901C-685CE10B7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30</xdr:col>
      <xdr:colOff>0</xdr:colOff>
      <xdr:row>78</xdr:row>
      <xdr:rowOff>0</xdr:rowOff>
    </xdr:from>
    <xdr:to>
      <xdr:col>47</xdr:col>
      <xdr:colOff>0</xdr:colOff>
      <xdr:row>81</xdr:row>
      <xdr:rowOff>0</xdr:rowOff>
    </xdr:to>
    <xdr:graphicFrame macro="">
      <xdr:nvGraphicFramePr>
        <xdr:cNvPr id="38" name="Chart 37">
          <a:extLst>
            <a:ext uri="{FF2B5EF4-FFF2-40B4-BE49-F238E27FC236}">
              <a16:creationId xmlns:a16="http://schemas.microsoft.com/office/drawing/2014/main" id="{414CCE2D-1887-0516-980A-0AE19AB85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30</xdr:col>
      <xdr:colOff>0</xdr:colOff>
      <xdr:row>81</xdr:row>
      <xdr:rowOff>0</xdr:rowOff>
    </xdr:from>
    <xdr:to>
      <xdr:col>47</xdr:col>
      <xdr:colOff>0</xdr:colOff>
      <xdr:row>84</xdr:row>
      <xdr:rowOff>0</xdr:rowOff>
    </xdr:to>
    <xdr:graphicFrame macro="">
      <xdr:nvGraphicFramePr>
        <xdr:cNvPr id="39" name="Chart 38">
          <a:extLst>
            <a:ext uri="{FF2B5EF4-FFF2-40B4-BE49-F238E27FC236}">
              <a16:creationId xmlns:a16="http://schemas.microsoft.com/office/drawing/2014/main" id="{A86F1F3F-A42B-5FF9-9265-8AF6DAE19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30</xdr:col>
      <xdr:colOff>0</xdr:colOff>
      <xdr:row>84</xdr:row>
      <xdr:rowOff>0</xdr:rowOff>
    </xdr:from>
    <xdr:to>
      <xdr:col>47</xdr:col>
      <xdr:colOff>0</xdr:colOff>
      <xdr:row>87</xdr:row>
      <xdr:rowOff>0</xdr:rowOff>
    </xdr:to>
    <xdr:graphicFrame macro="">
      <xdr:nvGraphicFramePr>
        <xdr:cNvPr id="40" name="Chart 39">
          <a:extLst>
            <a:ext uri="{FF2B5EF4-FFF2-40B4-BE49-F238E27FC236}">
              <a16:creationId xmlns:a16="http://schemas.microsoft.com/office/drawing/2014/main" id="{C6C838A1-DB2F-3637-739E-D303F62E6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30</xdr:col>
      <xdr:colOff>0</xdr:colOff>
      <xdr:row>88</xdr:row>
      <xdr:rowOff>0</xdr:rowOff>
    </xdr:from>
    <xdr:to>
      <xdr:col>47</xdr:col>
      <xdr:colOff>0</xdr:colOff>
      <xdr:row>94</xdr:row>
      <xdr:rowOff>0</xdr:rowOff>
    </xdr:to>
    <xdr:graphicFrame macro="">
      <xdr:nvGraphicFramePr>
        <xdr:cNvPr id="41" name="Chart 40">
          <a:extLst>
            <a:ext uri="{FF2B5EF4-FFF2-40B4-BE49-F238E27FC236}">
              <a16:creationId xmlns:a16="http://schemas.microsoft.com/office/drawing/2014/main" id="{63EC173E-A9AD-DE50-D9EC-9C1EC7148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30</xdr:col>
      <xdr:colOff>0</xdr:colOff>
      <xdr:row>94</xdr:row>
      <xdr:rowOff>0</xdr:rowOff>
    </xdr:from>
    <xdr:to>
      <xdr:col>47</xdr:col>
      <xdr:colOff>0</xdr:colOff>
      <xdr:row>100</xdr:row>
      <xdr:rowOff>0</xdr:rowOff>
    </xdr:to>
    <xdr:graphicFrame macro="">
      <xdr:nvGraphicFramePr>
        <xdr:cNvPr id="42" name="Chart 41">
          <a:extLst>
            <a:ext uri="{FF2B5EF4-FFF2-40B4-BE49-F238E27FC236}">
              <a16:creationId xmlns:a16="http://schemas.microsoft.com/office/drawing/2014/main" id="{1EE1E876-6F65-BA45-8A00-DF21463D3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30</xdr:col>
      <xdr:colOff>0</xdr:colOff>
      <xdr:row>100</xdr:row>
      <xdr:rowOff>0</xdr:rowOff>
    </xdr:from>
    <xdr:to>
      <xdr:col>47</xdr:col>
      <xdr:colOff>0</xdr:colOff>
      <xdr:row>106</xdr:row>
      <xdr:rowOff>0</xdr:rowOff>
    </xdr:to>
    <xdr:graphicFrame macro="">
      <xdr:nvGraphicFramePr>
        <xdr:cNvPr id="43" name="Chart 42">
          <a:extLst>
            <a:ext uri="{FF2B5EF4-FFF2-40B4-BE49-F238E27FC236}">
              <a16:creationId xmlns:a16="http://schemas.microsoft.com/office/drawing/2014/main" id="{56F71495-3343-624B-30AE-83BBDD9A8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30</xdr:col>
      <xdr:colOff>0</xdr:colOff>
      <xdr:row>106</xdr:row>
      <xdr:rowOff>0</xdr:rowOff>
    </xdr:from>
    <xdr:to>
      <xdr:col>47</xdr:col>
      <xdr:colOff>0</xdr:colOff>
      <xdr:row>112</xdr:row>
      <xdr:rowOff>0</xdr:rowOff>
    </xdr:to>
    <xdr:graphicFrame macro="">
      <xdr:nvGraphicFramePr>
        <xdr:cNvPr id="44" name="Chart 43">
          <a:extLst>
            <a:ext uri="{FF2B5EF4-FFF2-40B4-BE49-F238E27FC236}">
              <a16:creationId xmlns:a16="http://schemas.microsoft.com/office/drawing/2014/main" id="{508468C5-7E2E-903E-6F39-A92E5D835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30</xdr:col>
      <xdr:colOff>0</xdr:colOff>
      <xdr:row>112</xdr:row>
      <xdr:rowOff>0</xdr:rowOff>
    </xdr:from>
    <xdr:to>
      <xdr:col>47</xdr:col>
      <xdr:colOff>0</xdr:colOff>
      <xdr:row>118</xdr:row>
      <xdr:rowOff>0</xdr:rowOff>
    </xdr:to>
    <xdr:graphicFrame macro="">
      <xdr:nvGraphicFramePr>
        <xdr:cNvPr id="45" name="Chart 44">
          <a:extLst>
            <a:ext uri="{FF2B5EF4-FFF2-40B4-BE49-F238E27FC236}">
              <a16:creationId xmlns:a16="http://schemas.microsoft.com/office/drawing/2014/main" id="{8716CC0B-5227-9F02-4A0C-E8B323DC8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30</xdr:col>
      <xdr:colOff>0</xdr:colOff>
      <xdr:row>118</xdr:row>
      <xdr:rowOff>0</xdr:rowOff>
    </xdr:from>
    <xdr:to>
      <xdr:col>47</xdr:col>
      <xdr:colOff>0</xdr:colOff>
      <xdr:row>124</xdr:row>
      <xdr:rowOff>0</xdr:rowOff>
    </xdr:to>
    <xdr:graphicFrame macro="">
      <xdr:nvGraphicFramePr>
        <xdr:cNvPr id="46" name="Chart 45">
          <a:extLst>
            <a:ext uri="{FF2B5EF4-FFF2-40B4-BE49-F238E27FC236}">
              <a16:creationId xmlns:a16="http://schemas.microsoft.com/office/drawing/2014/main" id="{AF680BE6-C07D-EE16-2550-9311DBDDB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30</xdr:col>
      <xdr:colOff>0</xdr:colOff>
      <xdr:row>124</xdr:row>
      <xdr:rowOff>0</xdr:rowOff>
    </xdr:from>
    <xdr:to>
      <xdr:col>47</xdr:col>
      <xdr:colOff>0</xdr:colOff>
      <xdr:row>130</xdr:row>
      <xdr:rowOff>0</xdr:rowOff>
    </xdr:to>
    <xdr:graphicFrame macro="">
      <xdr:nvGraphicFramePr>
        <xdr:cNvPr id="47" name="Chart 46">
          <a:extLst>
            <a:ext uri="{FF2B5EF4-FFF2-40B4-BE49-F238E27FC236}">
              <a16:creationId xmlns:a16="http://schemas.microsoft.com/office/drawing/2014/main" id="{8A4B0E2C-08EB-ED55-F340-F17C9D0A2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30</xdr:col>
      <xdr:colOff>0</xdr:colOff>
      <xdr:row>130</xdr:row>
      <xdr:rowOff>0</xdr:rowOff>
    </xdr:from>
    <xdr:to>
      <xdr:col>47</xdr:col>
      <xdr:colOff>0</xdr:colOff>
      <xdr:row>136</xdr:row>
      <xdr:rowOff>0</xdr:rowOff>
    </xdr:to>
    <xdr:graphicFrame macro="">
      <xdr:nvGraphicFramePr>
        <xdr:cNvPr id="48" name="Chart 47">
          <a:extLst>
            <a:ext uri="{FF2B5EF4-FFF2-40B4-BE49-F238E27FC236}">
              <a16:creationId xmlns:a16="http://schemas.microsoft.com/office/drawing/2014/main" id="{DDD1B758-95A0-A147-D564-F7D34FCC4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30</xdr:col>
      <xdr:colOff>0</xdr:colOff>
      <xdr:row>136</xdr:row>
      <xdr:rowOff>0</xdr:rowOff>
    </xdr:from>
    <xdr:to>
      <xdr:col>47</xdr:col>
      <xdr:colOff>0</xdr:colOff>
      <xdr:row>142</xdr:row>
      <xdr:rowOff>0</xdr:rowOff>
    </xdr:to>
    <xdr:graphicFrame macro="">
      <xdr:nvGraphicFramePr>
        <xdr:cNvPr id="49" name="Chart 48">
          <a:extLst>
            <a:ext uri="{FF2B5EF4-FFF2-40B4-BE49-F238E27FC236}">
              <a16:creationId xmlns:a16="http://schemas.microsoft.com/office/drawing/2014/main" id="{44ABAD85-012D-A86B-EB12-B7839F3B8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30</xdr:col>
      <xdr:colOff>0</xdr:colOff>
      <xdr:row>142</xdr:row>
      <xdr:rowOff>0</xdr:rowOff>
    </xdr:from>
    <xdr:to>
      <xdr:col>47</xdr:col>
      <xdr:colOff>0</xdr:colOff>
      <xdr:row>148</xdr:row>
      <xdr:rowOff>0</xdr:rowOff>
    </xdr:to>
    <xdr:graphicFrame macro="">
      <xdr:nvGraphicFramePr>
        <xdr:cNvPr id="50" name="Chart 49">
          <a:extLst>
            <a:ext uri="{FF2B5EF4-FFF2-40B4-BE49-F238E27FC236}">
              <a16:creationId xmlns:a16="http://schemas.microsoft.com/office/drawing/2014/main" id="{F1EB6EDF-F41F-E7EE-8C99-D3878B05D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30</xdr:col>
      <xdr:colOff>0</xdr:colOff>
      <xdr:row>149</xdr:row>
      <xdr:rowOff>0</xdr:rowOff>
    </xdr:from>
    <xdr:to>
      <xdr:col>47</xdr:col>
      <xdr:colOff>0</xdr:colOff>
      <xdr:row>152</xdr:row>
      <xdr:rowOff>0</xdr:rowOff>
    </xdr:to>
    <xdr:graphicFrame macro="">
      <xdr:nvGraphicFramePr>
        <xdr:cNvPr id="53" name="Chart 52">
          <a:extLst>
            <a:ext uri="{FF2B5EF4-FFF2-40B4-BE49-F238E27FC236}">
              <a16:creationId xmlns:a16="http://schemas.microsoft.com/office/drawing/2014/main" id="{024E2082-9A87-4B7B-A820-6A056FC3E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30</xdr:col>
      <xdr:colOff>0</xdr:colOff>
      <xdr:row>152</xdr:row>
      <xdr:rowOff>0</xdr:rowOff>
    </xdr:from>
    <xdr:to>
      <xdr:col>47</xdr:col>
      <xdr:colOff>0</xdr:colOff>
      <xdr:row>155</xdr:row>
      <xdr:rowOff>0</xdr:rowOff>
    </xdr:to>
    <xdr:graphicFrame macro="">
      <xdr:nvGraphicFramePr>
        <xdr:cNvPr id="55" name="Chart 54">
          <a:extLst>
            <a:ext uri="{FF2B5EF4-FFF2-40B4-BE49-F238E27FC236}">
              <a16:creationId xmlns:a16="http://schemas.microsoft.com/office/drawing/2014/main" id="{B3D5B2D6-7495-A6DC-7975-571A91929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30</xdr:col>
      <xdr:colOff>0</xdr:colOff>
      <xdr:row>155</xdr:row>
      <xdr:rowOff>0</xdr:rowOff>
    </xdr:from>
    <xdr:to>
      <xdr:col>47</xdr:col>
      <xdr:colOff>0</xdr:colOff>
      <xdr:row>158</xdr:row>
      <xdr:rowOff>0</xdr:rowOff>
    </xdr:to>
    <xdr:graphicFrame macro="">
      <xdr:nvGraphicFramePr>
        <xdr:cNvPr id="78" name="Chart 77">
          <a:extLst>
            <a:ext uri="{FF2B5EF4-FFF2-40B4-BE49-F238E27FC236}">
              <a16:creationId xmlns:a16="http://schemas.microsoft.com/office/drawing/2014/main" id="{04E9AC33-D1B0-5D7F-E452-FB8581DBD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30</xdr:col>
      <xdr:colOff>0</xdr:colOff>
      <xdr:row>158</xdr:row>
      <xdr:rowOff>0</xdr:rowOff>
    </xdr:from>
    <xdr:to>
      <xdr:col>47</xdr:col>
      <xdr:colOff>0</xdr:colOff>
      <xdr:row>161</xdr:row>
      <xdr:rowOff>0</xdr:rowOff>
    </xdr:to>
    <xdr:graphicFrame macro="">
      <xdr:nvGraphicFramePr>
        <xdr:cNvPr id="80" name="Chart 79">
          <a:extLst>
            <a:ext uri="{FF2B5EF4-FFF2-40B4-BE49-F238E27FC236}">
              <a16:creationId xmlns:a16="http://schemas.microsoft.com/office/drawing/2014/main" id="{8755F12B-2D5A-95E0-D1F1-0A93FC5E8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30</xdr:col>
      <xdr:colOff>0</xdr:colOff>
      <xdr:row>161</xdr:row>
      <xdr:rowOff>0</xdr:rowOff>
    </xdr:from>
    <xdr:to>
      <xdr:col>47</xdr:col>
      <xdr:colOff>0</xdr:colOff>
      <xdr:row>164</xdr:row>
      <xdr:rowOff>0</xdr:rowOff>
    </xdr:to>
    <xdr:graphicFrame macro="">
      <xdr:nvGraphicFramePr>
        <xdr:cNvPr id="81" name="Chart 80">
          <a:extLst>
            <a:ext uri="{FF2B5EF4-FFF2-40B4-BE49-F238E27FC236}">
              <a16:creationId xmlns:a16="http://schemas.microsoft.com/office/drawing/2014/main" id="{967DDCC4-A16D-8282-C095-207A5ED68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30</xdr:col>
      <xdr:colOff>0</xdr:colOff>
      <xdr:row>164</xdr:row>
      <xdr:rowOff>0</xdr:rowOff>
    </xdr:from>
    <xdr:to>
      <xdr:col>47</xdr:col>
      <xdr:colOff>0</xdr:colOff>
      <xdr:row>167</xdr:row>
      <xdr:rowOff>0</xdr:rowOff>
    </xdr:to>
    <xdr:graphicFrame macro="">
      <xdr:nvGraphicFramePr>
        <xdr:cNvPr id="82" name="Chart 81">
          <a:extLst>
            <a:ext uri="{FF2B5EF4-FFF2-40B4-BE49-F238E27FC236}">
              <a16:creationId xmlns:a16="http://schemas.microsoft.com/office/drawing/2014/main" id="{2330B553-76D1-B195-7E75-797F5D01F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30</xdr:col>
      <xdr:colOff>0</xdr:colOff>
      <xdr:row>167</xdr:row>
      <xdr:rowOff>0</xdr:rowOff>
    </xdr:from>
    <xdr:to>
      <xdr:col>47</xdr:col>
      <xdr:colOff>0</xdr:colOff>
      <xdr:row>170</xdr:row>
      <xdr:rowOff>0</xdr:rowOff>
    </xdr:to>
    <xdr:graphicFrame macro="">
      <xdr:nvGraphicFramePr>
        <xdr:cNvPr id="87" name="Chart 86">
          <a:extLst>
            <a:ext uri="{FF2B5EF4-FFF2-40B4-BE49-F238E27FC236}">
              <a16:creationId xmlns:a16="http://schemas.microsoft.com/office/drawing/2014/main" id="{F1CB4541-F5C9-F7B7-599C-D2CF39930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30</xdr:col>
      <xdr:colOff>0</xdr:colOff>
      <xdr:row>170</xdr:row>
      <xdr:rowOff>0</xdr:rowOff>
    </xdr:from>
    <xdr:to>
      <xdr:col>47</xdr:col>
      <xdr:colOff>0</xdr:colOff>
      <xdr:row>173</xdr:row>
      <xdr:rowOff>0</xdr:rowOff>
    </xdr:to>
    <xdr:graphicFrame macro="">
      <xdr:nvGraphicFramePr>
        <xdr:cNvPr id="88" name="Chart 87">
          <a:extLst>
            <a:ext uri="{FF2B5EF4-FFF2-40B4-BE49-F238E27FC236}">
              <a16:creationId xmlns:a16="http://schemas.microsoft.com/office/drawing/2014/main" id="{0A444C40-F3EF-4432-A355-C2C0D1F953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30</xdr:col>
      <xdr:colOff>0</xdr:colOff>
      <xdr:row>173</xdr:row>
      <xdr:rowOff>0</xdr:rowOff>
    </xdr:from>
    <xdr:to>
      <xdr:col>47</xdr:col>
      <xdr:colOff>0</xdr:colOff>
      <xdr:row>176</xdr:row>
      <xdr:rowOff>0</xdr:rowOff>
    </xdr:to>
    <xdr:graphicFrame macro="">
      <xdr:nvGraphicFramePr>
        <xdr:cNvPr id="89" name="Chart 88">
          <a:extLst>
            <a:ext uri="{FF2B5EF4-FFF2-40B4-BE49-F238E27FC236}">
              <a16:creationId xmlns:a16="http://schemas.microsoft.com/office/drawing/2014/main" id="{30B609B3-75E4-D34C-1203-4E42FEFA5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30</xdr:col>
      <xdr:colOff>0</xdr:colOff>
      <xdr:row>176</xdr:row>
      <xdr:rowOff>0</xdr:rowOff>
    </xdr:from>
    <xdr:to>
      <xdr:col>47</xdr:col>
      <xdr:colOff>0</xdr:colOff>
      <xdr:row>179</xdr:row>
      <xdr:rowOff>0</xdr:rowOff>
    </xdr:to>
    <xdr:graphicFrame macro="">
      <xdr:nvGraphicFramePr>
        <xdr:cNvPr id="90" name="Chart 89">
          <a:extLst>
            <a:ext uri="{FF2B5EF4-FFF2-40B4-BE49-F238E27FC236}">
              <a16:creationId xmlns:a16="http://schemas.microsoft.com/office/drawing/2014/main" id="{1389B514-66BC-5732-570E-7FDEBA67A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30</xdr:col>
      <xdr:colOff>0</xdr:colOff>
      <xdr:row>180</xdr:row>
      <xdr:rowOff>0</xdr:rowOff>
    </xdr:from>
    <xdr:to>
      <xdr:col>47</xdr:col>
      <xdr:colOff>0</xdr:colOff>
      <xdr:row>183</xdr:row>
      <xdr:rowOff>0</xdr:rowOff>
    </xdr:to>
    <xdr:graphicFrame macro="">
      <xdr:nvGraphicFramePr>
        <xdr:cNvPr id="91" name="Chart 90">
          <a:extLst>
            <a:ext uri="{FF2B5EF4-FFF2-40B4-BE49-F238E27FC236}">
              <a16:creationId xmlns:a16="http://schemas.microsoft.com/office/drawing/2014/main" id="{5537AA3B-C00C-E31E-75C1-11626B08E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30</xdr:col>
      <xdr:colOff>0</xdr:colOff>
      <xdr:row>183</xdr:row>
      <xdr:rowOff>0</xdr:rowOff>
    </xdr:from>
    <xdr:to>
      <xdr:col>47</xdr:col>
      <xdr:colOff>0</xdr:colOff>
      <xdr:row>186</xdr:row>
      <xdr:rowOff>0</xdr:rowOff>
    </xdr:to>
    <xdr:graphicFrame macro="">
      <xdr:nvGraphicFramePr>
        <xdr:cNvPr id="92" name="Chart 91">
          <a:extLst>
            <a:ext uri="{FF2B5EF4-FFF2-40B4-BE49-F238E27FC236}">
              <a16:creationId xmlns:a16="http://schemas.microsoft.com/office/drawing/2014/main" id="{628C8F84-02C3-E724-EFF8-AED90C0D6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30</xdr:col>
      <xdr:colOff>0</xdr:colOff>
      <xdr:row>186</xdr:row>
      <xdr:rowOff>0</xdr:rowOff>
    </xdr:from>
    <xdr:to>
      <xdr:col>47</xdr:col>
      <xdr:colOff>0</xdr:colOff>
      <xdr:row>189</xdr:row>
      <xdr:rowOff>0</xdr:rowOff>
    </xdr:to>
    <xdr:graphicFrame macro="">
      <xdr:nvGraphicFramePr>
        <xdr:cNvPr id="93" name="Chart 92">
          <a:extLst>
            <a:ext uri="{FF2B5EF4-FFF2-40B4-BE49-F238E27FC236}">
              <a16:creationId xmlns:a16="http://schemas.microsoft.com/office/drawing/2014/main" id="{7686C5BA-945C-C109-6172-A505989AA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30</xdr:col>
      <xdr:colOff>0</xdr:colOff>
      <xdr:row>189</xdr:row>
      <xdr:rowOff>0</xdr:rowOff>
    </xdr:from>
    <xdr:to>
      <xdr:col>47</xdr:col>
      <xdr:colOff>0</xdr:colOff>
      <xdr:row>195</xdr:row>
      <xdr:rowOff>0</xdr:rowOff>
    </xdr:to>
    <xdr:graphicFrame macro="">
      <xdr:nvGraphicFramePr>
        <xdr:cNvPr id="94" name="Chart 93">
          <a:extLst>
            <a:ext uri="{FF2B5EF4-FFF2-40B4-BE49-F238E27FC236}">
              <a16:creationId xmlns:a16="http://schemas.microsoft.com/office/drawing/2014/main" id="{D2451723-600D-4C3A-C56E-FE283B07A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30</xdr:col>
      <xdr:colOff>0</xdr:colOff>
      <xdr:row>195</xdr:row>
      <xdr:rowOff>0</xdr:rowOff>
    </xdr:from>
    <xdr:to>
      <xdr:col>47</xdr:col>
      <xdr:colOff>0</xdr:colOff>
      <xdr:row>201</xdr:row>
      <xdr:rowOff>0</xdr:rowOff>
    </xdr:to>
    <xdr:graphicFrame macro="">
      <xdr:nvGraphicFramePr>
        <xdr:cNvPr id="95" name="Chart 94">
          <a:extLst>
            <a:ext uri="{FF2B5EF4-FFF2-40B4-BE49-F238E27FC236}">
              <a16:creationId xmlns:a16="http://schemas.microsoft.com/office/drawing/2014/main" id="{712C0FFB-1FF2-5858-E435-AE880411B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30</xdr:col>
      <xdr:colOff>0</xdr:colOff>
      <xdr:row>201</xdr:row>
      <xdr:rowOff>0</xdr:rowOff>
    </xdr:from>
    <xdr:to>
      <xdr:col>47</xdr:col>
      <xdr:colOff>0</xdr:colOff>
      <xdr:row>207</xdr:row>
      <xdr:rowOff>0</xdr:rowOff>
    </xdr:to>
    <xdr:graphicFrame macro="">
      <xdr:nvGraphicFramePr>
        <xdr:cNvPr id="96" name="Chart 95">
          <a:extLst>
            <a:ext uri="{FF2B5EF4-FFF2-40B4-BE49-F238E27FC236}">
              <a16:creationId xmlns:a16="http://schemas.microsoft.com/office/drawing/2014/main" id="{CA7D6E06-737E-4484-F2D6-FC3FAB7C3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30</xdr:col>
      <xdr:colOff>0</xdr:colOff>
      <xdr:row>208</xdr:row>
      <xdr:rowOff>0</xdr:rowOff>
    </xdr:from>
    <xdr:to>
      <xdr:col>47</xdr:col>
      <xdr:colOff>0</xdr:colOff>
      <xdr:row>211</xdr:row>
      <xdr:rowOff>0</xdr:rowOff>
    </xdr:to>
    <xdr:graphicFrame macro="">
      <xdr:nvGraphicFramePr>
        <xdr:cNvPr id="97" name="Chart 96">
          <a:extLst>
            <a:ext uri="{FF2B5EF4-FFF2-40B4-BE49-F238E27FC236}">
              <a16:creationId xmlns:a16="http://schemas.microsoft.com/office/drawing/2014/main" id="{8580677B-6FC1-FE04-E699-FB0A22131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30</xdr:col>
      <xdr:colOff>0</xdr:colOff>
      <xdr:row>211</xdr:row>
      <xdr:rowOff>0</xdr:rowOff>
    </xdr:from>
    <xdr:to>
      <xdr:col>47</xdr:col>
      <xdr:colOff>0</xdr:colOff>
      <xdr:row>214</xdr:row>
      <xdr:rowOff>0</xdr:rowOff>
    </xdr:to>
    <xdr:graphicFrame macro="">
      <xdr:nvGraphicFramePr>
        <xdr:cNvPr id="98" name="Chart 97">
          <a:extLst>
            <a:ext uri="{FF2B5EF4-FFF2-40B4-BE49-F238E27FC236}">
              <a16:creationId xmlns:a16="http://schemas.microsoft.com/office/drawing/2014/main" id="{191EDB2B-F2F1-9440-82CE-939FD632D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30</xdr:col>
      <xdr:colOff>0</xdr:colOff>
      <xdr:row>214</xdr:row>
      <xdr:rowOff>0</xdr:rowOff>
    </xdr:from>
    <xdr:to>
      <xdr:col>47</xdr:col>
      <xdr:colOff>0</xdr:colOff>
      <xdr:row>217</xdr:row>
      <xdr:rowOff>0</xdr:rowOff>
    </xdr:to>
    <xdr:graphicFrame macro="">
      <xdr:nvGraphicFramePr>
        <xdr:cNvPr id="99" name="Chart 98">
          <a:extLst>
            <a:ext uri="{FF2B5EF4-FFF2-40B4-BE49-F238E27FC236}">
              <a16:creationId xmlns:a16="http://schemas.microsoft.com/office/drawing/2014/main" id="{24F6DBDF-8313-E31B-663C-7A3142C2A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30</xdr:col>
      <xdr:colOff>0</xdr:colOff>
      <xdr:row>217</xdr:row>
      <xdr:rowOff>0</xdr:rowOff>
    </xdr:from>
    <xdr:to>
      <xdr:col>47</xdr:col>
      <xdr:colOff>0</xdr:colOff>
      <xdr:row>220</xdr:row>
      <xdr:rowOff>0</xdr:rowOff>
    </xdr:to>
    <xdr:graphicFrame macro="">
      <xdr:nvGraphicFramePr>
        <xdr:cNvPr id="100" name="Chart 99">
          <a:extLst>
            <a:ext uri="{FF2B5EF4-FFF2-40B4-BE49-F238E27FC236}">
              <a16:creationId xmlns:a16="http://schemas.microsoft.com/office/drawing/2014/main" id="{80B930F5-451F-33DC-94F4-9B55BFCD0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30</xdr:col>
      <xdr:colOff>0</xdr:colOff>
      <xdr:row>220</xdr:row>
      <xdr:rowOff>0</xdr:rowOff>
    </xdr:from>
    <xdr:to>
      <xdr:col>47</xdr:col>
      <xdr:colOff>0</xdr:colOff>
      <xdr:row>223</xdr:row>
      <xdr:rowOff>0</xdr:rowOff>
    </xdr:to>
    <xdr:graphicFrame macro="">
      <xdr:nvGraphicFramePr>
        <xdr:cNvPr id="101" name="Chart 100">
          <a:extLst>
            <a:ext uri="{FF2B5EF4-FFF2-40B4-BE49-F238E27FC236}">
              <a16:creationId xmlns:a16="http://schemas.microsoft.com/office/drawing/2014/main" id="{2ADE2F5C-0827-807B-7024-662AA0DD8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30</xdr:col>
      <xdr:colOff>0</xdr:colOff>
      <xdr:row>223</xdr:row>
      <xdr:rowOff>0</xdr:rowOff>
    </xdr:from>
    <xdr:to>
      <xdr:col>47</xdr:col>
      <xdr:colOff>0</xdr:colOff>
      <xdr:row>226</xdr:row>
      <xdr:rowOff>0</xdr:rowOff>
    </xdr:to>
    <xdr:graphicFrame macro="">
      <xdr:nvGraphicFramePr>
        <xdr:cNvPr id="102" name="Chart 101">
          <a:extLst>
            <a:ext uri="{FF2B5EF4-FFF2-40B4-BE49-F238E27FC236}">
              <a16:creationId xmlns:a16="http://schemas.microsoft.com/office/drawing/2014/main" id="{D15E88E4-4D70-1EDB-2632-14CA365E8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30</xdr:col>
      <xdr:colOff>0</xdr:colOff>
      <xdr:row>226</xdr:row>
      <xdr:rowOff>0</xdr:rowOff>
    </xdr:from>
    <xdr:to>
      <xdr:col>47</xdr:col>
      <xdr:colOff>0</xdr:colOff>
      <xdr:row>229</xdr:row>
      <xdr:rowOff>0</xdr:rowOff>
    </xdr:to>
    <xdr:graphicFrame macro="">
      <xdr:nvGraphicFramePr>
        <xdr:cNvPr id="103" name="Chart 102">
          <a:extLst>
            <a:ext uri="{FF2B5EF4-FFF2-40B4-BE49-F238E27FC236}">
              <a16:creationId xmlns:a16="http://schemas.microsoft.com/office/drawing/2014/main" id="{36CBA70D-8742-E1C4-E44E-7C9C5CD1A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30</xdr:col>
      <xdr:colOff>0</xdr:colOff>
      <xdr:row>229</xdr:row>
      <xdr:rowOff>0</xdr:rowOff>
    </xdr:from>
    <xdr:to>
      <xdr:col>47</xdr:col>
      <xdr:colOff>0</xdr:colOff>
      <xdr:row>232</xdr:row>
      <xdr:rowOff>0</xdr:rowOff>
    </xdr:to>
    <xdr:graphicFrame macro="">
      <xdr:nvGraphicFramePr>
        <xdr:cNvPr id="104" name="Chart 103">
          <a:extLst>
            <a:ext uri="{FF2B5EF4-FFF2-40B4-BE49-F238E27FC236}">
              <a16:creationId xmlns:a16="http://schemas.microsoft.com/office/drawing/2014/main" id="{304FA58E-0C3B-93E8-669D-7EF7AF3B8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30</xdr:col>
      <xdr:colOff>0</xdr:colOff>
      <xdr:row>233</xdr:row>
      <xdr:rowOff>0</xdr:rowOff>
    </xdr:from>
    <xdr:to>
      <xdr:col>47</xdr:col>
      <xdr:colOff>0</xdr:colOff>
      <xdr:row>236</xdr:row>
      <xdr:rowOff>0</xdr:rowOff>
    </xdr:to>
    <xdr:graphicFrame macro="">
      <xdr:nvGraphicFramePr>
        <xdr:cNvPr id="105" name="Chart 104">
          <a:extLst>
            <a:ext uri="{FF2B5EF4-FFF2-40B4-BE49-F238E27FC236}">
              <a16:creationId xmlns:a16="http://schemas.microsoft.com/office/drawing/2014/main" id="{1C65D073-DC60-71F7-FCD5-DA44E4B19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30</xdr:col>
      <xdr:colOff>0</xdr:colOff>
      <xdr:row>236</xdr:row>
      <xdr:rowOff>0</xdr:rowOff>
    </xdr:from>
    <xdr:to>
      <xdr:col>47</xdr:col>
      <xdr:colOff>0</xdr:colOff>
      <xdr:row>239</xdr:row>
      <xdr:rowOff>0</xdr:rowOff>
    </xdr:to>
    <xdr:graphicFrame macro="">
      <xdr:nvGraphicFramePr>
        <xdr:cNvPr id="106" name="Chart 105">
          <a:extLst>
            <a:ext uri="{FF2B5EF4-FFF2-40B4-BE49-F238E27FC236}">
              <a16:creationId xmlns:a16="http://schemas.microsoft.com/office/drawing/2014/main" id="{B9AD6546-5743-799E-C109-8553FB5C8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30</xdr:col>
      <xdr:colOff>0</xdr:colOff>
      <xdr:row>239</xdr:row>
      <xdr:rowOff>0</xdr:rowOff>
    </xdr:from>
    <xdr:to>
      <xdr:col>47</xdr:col>
      <xdr:colOff>0</xdr:colOff>
      <xdr:row>242</xdr:row>
      <xdr:rowOff>0</xdr:rowOff>
    </xdr:to>
    <xdr:graphicFrame macro="">
      <xdr:nvGraphicFramePr>
        <xdr:cNvPr id="107" name="Chart 106">
          <a:extLst>
            <a:ext uri="{FF2B5EF4-FFF2-40B4-BE49-F238E27FC236}">
              <a16:creationId xmlns:a16="http://schemas.microsoft.com/office/drawing/2014/main" id="{D3E2FC77-11B1-1C0F-96B9-46E14FCE9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30</xdr:col>
      <xdr:colOff>0</xdr:colOff>
      <xdr:row>242</xdr:row>
      <xdr:rowOff>0</xdr:rowOff>
    </xdr:from>
    <xdr:to>
      <xdr:col>47</xdr:col>
      <xdr:colOff>0</xdr:colOff>
      <xdr:row>245</xdr:row>
      <xdr:rowOff>0</xdr:rowOff>
    </xdr:to>
    <xdr:graphicFrame macro="">
      <xdr:nvGraphicFramePr>
        <xdr:cNvPr id="108" name="Chart 107">
          <a:extLst>
            <a:ext uri="{FF2B5EF4-FFF2-40B4-BE49-F238E27FC236}">
              <a16:creationId xmlns:a16="http://schemas.microsoft.com/office/drawing/2014/main" id="{B4A8FADA-CC1D-E935-B736-59926939C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30</xdr:col>
      <xdr:colOff>0</xdr:colOff>
      <xdr:row>245</xdr:row>
      <xdr:rowOff>0</xdr:rowOff>
    </xdr:from>
    <xdr:to>
      <xdr:col>47</xdr:col>
      <xdr:colOff>0</xdr:colOff>
      <xdr:row>248</xdr:row>
      <xdr:rowOff>0</xdr:rowOff>
    </xdr:to>
    <xdr:graphicFrame macro="">
      <xdr:nvGraphicFramePr>
        <xdr:cNvPr id="109" name="Chart 108">
          <a:extLst>
            <a:ext uri="{FF2B5EF4-FFF2-40B4-BE49-F238E27FC236}">
              <a16:creationId xmlns:a16="http://schemas.microsoft.com/office/drawing/2014/main" id="{5E6E3688-4372-E947-06D8-9CFF2809F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30</xdr:col>
      <xdr:colOff>0</xdr:colOff>
      <xdr:row>248</xdr:row>
      <xdr:rowOff>0</xdr:rowOff>
    </xdr:from>
    <xdr:to>
      <xdr:col>47</xdr:col>
      <xdr:colOff>0</xdr:colOff>
      <xdr:row>251</xdr:row>
      <xdr:rowOff>0</xdr:rowOff>
    </xdr:to>
    <xdr:graphicFrame macro="">
      <xdr:nvGraphicFramePr>
        <xdr:cNvPr id="110" name="Chart 109">
          <a:extLst>
            <a:ext uri="{FF2B5EF4-FFF2-40B4-BE49-F238E27FC236}">
              <a16:creationId xmlns:a16="http://schemas.microsoft.com/office/drawing/2014/main" id="{C0C8FC25-17CC-6239-D740-17746F1D6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30</xdr:col>
      <xdr:colOff>0</xdr:colOff>
      <xdr:row>251</xdr:row>
      <xdr:rowOff>0</xdr:rowOff>
    </xdr:from>
    <xdr:to>
      <xdr:col>47</xdr:col>
      <xdr:colOff>0</xdr:colOff>
      <xdr:row>254</xdr:row>
      <xdr:rowOff>0</xdr:rowOff>
    </xdr:to>
    <xdr:graphicFrame macro="">
      <xdr:nvGraphicFramePr>
        <xdr:cNvPr id="111" name="Chart 110">
          <a:extLst>
            <a:ext uri="{FF2B5EF4-FFF2-40B4-BE49-F238E27FC236}">
              <a16:creationId xmlns:a16="http://schemas.microsoft.com/office/drawing/2014/main" id="{CC065E64-56D2-07FA-D3CF-28A012DE3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30</xdr:col>
      <xdr:colOff>0</xdr:colOff>
      <xdr:row>254</xdr:row>
      <xdr:rowOff>0</xdr:rowOff>
    </xdr:from>
    <xdr:to>
      <xdr:col>47</xdr:col>
      <xdr:colOff>0</xdr:colOff>
      <xdr:row>257</xdr:row>
      <xdr:rowOff>0</xdr:rowOff>
    </xdr:to>
    <xdr:graphicFrame macro="">
      <xdr:nvGraphicFramePr>
        <xdr:cNvPr id="112" name="Chart 111">
          <a:extLst>
            <a:ext uri="{FF2B5EF4-FFF2-40B4-BE49-F238E27FC236}">
              <a16:creationId xmlns:a16="http://schemas.microsoft.com/office/drawing/2014/main" id="{B4BFBAE4-CCAB-3B8A-32D6-AB8B64A52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2" name="Chart 1">
          <a:extLst>
            <a:ext uri="{FF2B5EF4-FFF2-40B4-BE49-F238E27FC236}">
              <a16:creationId xmlns:a16="http://schemas.microsoft.com/office/drawing/2014/main" i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3" name="Chart 2">
          <a:extLst>
            <a:ext uri="{FF2B5EF4-FFF2-40B4-BE49-F238E27FC236}">
              <a16:creationId xmlns:a16="http://schemas.microsoft.com/office/drawing/2014/main" id="{3BD03696-966F-4219-B013-5B9A1B922230}"/>
            </a:ext>
            <a:ext uri="{147F2762-F138-4A5C-976F-8EAC2B608ADB}">
              <a16:predDERef xmlns:a16="http://schemas.microsoft.com/office/drawing/2014/main" pre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3" Type="http://schemas.openxmlformats.org/officeDocument/2006/relationships/hyperlink" Target="https://efiling.energy.ca.gov/GetDocument.aspx?tn=265693&amp;DocumentContentId=102545" TargetMode="External"/><Relationship Id="rId18" Type="http://schemas.openxmlformats.org/officeDocument/2006/relationships/hyperlink" Target="https://www.energy.ca.gov/publications/2025/2025-nonresidential-and-multifamily-alternative-calculation-method-reference" TargetMode="External"/><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21" Type="http://schemas.openxmlformats.org/officeDocument/2006/relationships/hyperlink" Target="https://www.govinfo.gov/content/pkg/FR-2009-03-23/pdf/FR-2009-03-23.pdf" TargetMode="External"/><Relationship Id="rId7" Type="http://schemas.openxmlformats.org/officeDocument/2006/relationships/hyperlink" Target="https://www.energy.ca.gov/publications/2023/2022-california-commercial-end-use-survey-ceus-final-report" TargetMode="External"/><Relationship Id="rId12" Type="http://schemas.openxmlformats.org/officeDocument/2006/relationships/hyperlink" Target="https://www.thefreelibrary.com/Determining+Vintage+Bins+for+Prototype+Development%3a+An+Analysis+of...-a0879271125" TargetMode="External"/><Relationship Id="rId17" Type="http://schemas.openxmlformats.org/officeDocument/2006/relationships/hyperlink" Target="https://www.energy.ca.gov/publications/2022/2022-nonresidential-and-multifamily-alternative-calculation-method-reference" TargetMode="External"/><Relationship Id="rId2" Type="http://schemas.openxmlformats.org/officeDocument/2006/relationships/hyperlink" Target="https://title24stakeholders.com/wp-content/uploads/2016/10/T24-2019-CASE-Study-Results-Report-Outdoor-Sources_Final_with-Attachments.pdf" TargetMode="External"/><Relationship Id="rId16" Type="http://schemas.openxmlformats.org/officeDocument/2006/relationships/hyperlink" Target="https://www.ashrae.org/technical-resources/standards-and-guidelines/read-only-versions-of-ashrae-standards" TargetMode="External"/><Relationship Id="rId20" Type="http://schemas.openxmlformats.org/officeDocument/2006/relationships/hyperlink" Target="https://www.govinfo.gov/content/pkg/CFR-2024-title10-vol3/pdf/CFR-2024-title10-vol3-part431-subpartF.pdf" TargetMode="External"/><Relationship Id="rId1" Type="http://schemas.openxmlformats.org/officeDocument/2006/relationships/hyperlink" Target="https://title24stakeholders.com/wp-content/uploads/2020/10/2022-T24-Final-CASE-Report_Reduce-Infiltration.pdf" TargetMode="External"/><Relationship Id="rId6" Type="http://schemas.openxmlformats.org/officeDocument/2006/relationships/hyperlink" Target="https://efiling.energy.ca.gov/GetDocument.aspx?tn=265691&amp;DocumentContentId=102542" TargetMode="External"/><Relationship Id="rId11" Type="http://schemas.openxmlformats.org/officeDocument/2006/relationships/hyperlink" Target="https://www.grainger.com/category/plumbing/water-heaters/electric-tank-water-heaters" TargetMode="External"/><Relationship Id="rId5" Type="http://schemas.openxmlformats.org/officeDocument/2006/relationships/hyperlink" Target="https://www.pnnl.gov/main/publications/external/technical_reports/PNNL-20405.pdf" TargetMode="External"/><Relationship Id="rId15" Type="http://schemas.openxmlformats.org/officeDocument/2006/relationships/hyperlink" Target="https://codes.iccsafe.org/codes/united-states/california" TargetMode="External"/><Relationship Id="rId10" Type="http://schemas.openxmlformats.org/officeDocument/2006/relationships/hyperlink" Target="https://www.grainger.com/category/plumbing/water-heaters/gas-tank-water-heaters" TargetMode="External"/><Relationship Id="rId19" Type="http://schemas.openxmlformats.org/officeDocument/2006/relationships/hyperlink" Target="https://www.energy.ca.gov/publications/2022/2022-nonresidential-and-multifamily-alternative-calculation-method-reference" TargetMode="External"/><Relationship Id="rId4" Type="http://schemas.openxmlformats.org/officeDocument/2006/relationships/hyperlink" Target="https://title24stakeholders.com/wp-content/uploads/2017/09/2019-T24-CASE-Report_Fume-Hoods_Final_September-2017.pdf?" TargetMode="External"/><Relationship Id="rId9" Type="http://schemas.openxmlformats.org/officeDocument/2006/relationships/hyperlink" Target="https://www.energystar.gov/productfinder/product/certified-commercial-water-heaters/results?fuel_filter=Gas&amp;markets_filter=United+States" TargetMode="External"/><Relationship Id="rId14" Type="http://schemas.openxmlformats.org/officeDocument/2006/relationships/hyperlink" Target="https://www.energy.ca.gov/publications/2025/2025-building-energy-efficiency-standards-residential-and-nonresidential"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5" Type="http://schemas.openxmlformats.org/officeDocument/2006/relationships/hyperlink" Target="https://title24stakeholders.com/wp-content/uploads/2020/10/2022-T24-Final-CASE-Report_Reduce-Infiltration.pdf" TargetMode="External"/><Relationship Id="rId4"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60"/>
  <sheetViews>
    <sheetView zoomScaleNormal="100" workbookViewId="0">
      <selection sqref="A1:C1"/>
    </sheetView>
  </sheetViews>
  <sheetFormatPr defaultColWidth="9.33203125" defaultRowHeight="13.2" x14ac:dyDescent="0.25"/>
  <cols>
    <col min="1" max="1" width="16.109375" style="4" bestFit="1" customWidth="1"/>
    <col min="2" max="2" width="83.6640625" style="4" customWidth="1"/>
    <col min="3" max="3" width="30.88671875" style="4" customWidth="1"/>
    <col min="4" max="7" width="9.33203125" style="4"/>
    <col min="8" max="8" width="21.6640625" style="4" customWidth="1"/>
    <col min="9" max="9" width="10.6640625" style="4" customWidth="1"/>
    <col min="10" max="10" width="9.6640625" style="4" customWidth="1"/>
    <col min="11" max="11" width="9.6640625" style="4" bestFit="1" customWidth="1"/>
    <col min="12" max="16384" width="9.33203125" style="4"/>
  </cols>
  <sheetData>
    <row r="1" spans="1:7" ht="20.399999999999999" customHeight="1" x14ac:dyDescent="0.3">
      <c r="A1" s="608" t="s">
        <v>0</v>
      </c>
      <c r="B1" s="608"/>
      <c r="C1" s="608"/>
      <c r="D1"/>
      <c r="E1"/>
      <c r="F1"/>
    </row>
    <row r="2" spans="1:7" x14ac:dyDescent="0.25">
      <c r="A2" s="607" t="s">
        <v>1</v>
      </c>
      <c r="B2" s="405" t="s">
        <v>2</v>
      </c>
      <c r="C2" s="283"/>
      <c r="D2" s="579"/>
      <c r="E2" s="579"/>
      <c r="F2" s="579"/>
    </row>
    <row r="3" spans="1:7" ht="14.4" x14ac:dyDescent="0.25">
      <c r="A3" s="607"/>
      <c r="B3" s="406" t="s">
        <v>3</v>
      </c>
      <c r="C3" s="407" t="s">
        <v>4</v>
      </c>
      <c r="D3" s="4" t="s">
        <v>5</v>
      </c>
    </row>
    <row r="4" spans="1:7" ht="14.4" x14ac:dyDescent="0.25">
      <c r="A4" s="607"/>
      <c r="B4" s="405" t="s">
        <v>6</v>
      </c>
      <c r="C4" s="407" t="s">
        <v>7</v>
      </c>
      <c r="D4" s="4" t="s">
        <v>5</v>
      </c>
    </row>
    <row r="5" spans="1:7" x14ac:dyDescent="0.25">
      <c r="A5" s="607"/>
      <c r="C5" s="307"/>
      <c r="D5" s="4" t="s">
        <v>5</v>
      </c>
    </row>
    <row r="6" spans="1:7" x14ac:dyDescent="0.25">
      <c r="A6" s="607" t="s">
        <v>8</v>
      </c>
      <c r="B6" s="4" t="s">
        <v>9</v>
      </c>
      <c r="C6" s="307" t="s">
        <v>10</v>
      </c>
      <c r="D6" s="71" t="s">
        <v>5</v>
      </c>
      <c r="E6" s="71"/>
      <c r="F6" s="71"/>
    </row>
    <row r="7" spans="1:7" ht="15" customHeight="1" x14ac:dyDescent="0.3">
      <c r="A7" s="607"/>
      <c r="C7" s="307"/>
      <c r="D7" s="306" t="s">
        <v>5</v>
      </c>
      <c r="E7" s="306"/>
      <c r="F7" s="306"/>
    </row>
    <row r="8" spans="1:7" ht="15" customHeight="1" x14ac:dyDescent="0.3">
      <c r="A8" s="607"/>
      <c r="C8" s="307"/>
      <c r="D8" s="306" t="s">
        <v>5</v>
      </c>
      <c r="E8" s="306"/>
      <c r="F8" s="306"/>
    </row>
    <row r="9" spans="1:7" ht="12.75" customHeight="1" x14ac:dyDescent="0.3">
      <c r="A9" s="610" t="s">
        <v>11</v>
      </c>
      <c r="B9" s="610" t="s">
        <v>12</v>
      </c>
      <c r="C9" s="407" t="s">
        <v>13</v>
      </c>
      <c r="D9" s="306" t="s">
        <v>5</v>
      </c>
      <c r="E9" s="306"/>
      <c r="F9" s="306"/>
    </row>
    <row r="10" spans="1:7" ht="12.75" customHeight="1" x14ac:dyDescent="0.3">
      <c r="A10" s="610"/>
      <c r="B10" s="610"/>
      <c r="C10" s="407" t="s">
        <v>14</v>
      </c>
      <c r="D10" s="306" t="s">
        <v>5</v>
      </c>
      <c r="E10" s="306"/>
      <c r="F10" s="306"/>
    </row>
    <row r="11" spans="1:7" ht="12.75" customHeight="1" x14ac:dyDescent="0.3">
      <c r="A11" s="610"/>
      <c r="B11" s="406" t="s">
        <v>15</v>
      </c>
      <c r="C11" s="57" t="s">
        <v>16</v>
      </c>
      <c r="D11" s="306" t="s">
        <v>5</v>
      </c>
      <c r="E11" s="306"/>
      <c r="F11" s="306"/>
    </row>
    <row r="12" spans="1:7" ht="12.75" customHeight="1" x14ac:dyDescent="0.3">
      <c r="A12" s="610"/>
      <c r="B12" s="71" t="s">
        <v>17</v>
      </c>
      <c r="C12" s="411" t="s">
        <v>18</v>
      </c>
      <c r="D12" s="306" t="s">
        <v>5</v>
      </c>
      <c r="E12" s="306"/>
      <c r="F12" s="306"/>
    </row>
    <row r="13" spans="1:7" ht="12.75" customHeight="1" x14ac:dyDescent="0.3">
      <c r="A13" s="610"/>
      <c r="B13" s="410" t="s">
        <v>19</v>
      </c>
      <c r="C13" s="346" t="s">
        <v>20</v>
      </c>
      <c r="D13" s="306" t="s">
        <v>5</v>
      </c>
      <c r="E13" s="306"/>
      <c r="F13" s="306"/>
    </row>
    <row r="14" spans="1:7" x14ac:dyDescent="0.25">
      <c r="A14" s="610"/>
      <c r="C14" s="307"/>
      <c r="D14" s="4" t="s">
        <v>5</v>
      </c>
      <c r="G14" s="4" t="s">
        <v>5</v>
      </c>
    </row>
    <row r="15" spans="1:7" ht="14.4" x14ac:dyDescent="0.25">
      <c r="A15" s="589"/>
      <c r="B15" s="406" t="s">
        <v>21</v>
      </c>
      <c r="C15" s="407" t="s">
        <v>22</v>
      </c>
      <c r="D15" s="4" t="s">
        <v>5</v>
      </c>
    </row>
    <row r="16" spans="1:7" ht="14.4" x14ac:dyDescent="0.25">
      <c r="A16" s="589"/>
      <c r="B16" s="406" t="s">
        <v>23</v>
      </c>
      <c r="C16" s="346" t="s">
        <v>24</v>
      </c>
      <c r="D16" s="4" t="s">
        <v>5</v>
      </c>
    </row>
    <row r="17" spans="1:7" ht="14.4" x14ac:dyDescent="0.25">
      <c r="A17" s="589"/>
      <c r="B17" s="406" t="s">
        <v>25</v>
      </c>
      <c r="C17" s="407" t="s">
        <v>22</v>
      </c>
      <c r="D17" s="4" t="s">
        <v>5</v>
      </c>
    </row>
    <row r="18" spans="1:7" ht="14.4" x14ac:dyDescent="0.3">
      <c r="A18" s="611" t="s">
        <v>26</v>
      </c>
      <c r="B18" s="408" t="s">
        <v>27</v>
      </c>
      <c r="C18" s="305" t="s">
        <v>28</v>
      </c>
      <c r="D18" s="306" t="s">
        <v>5</v>
      </c>
      <c r="E18" s="306"/>
      <c r="F18" s="306"/>
      <c r="G18" s="4" t="s">
        <v>5</v>
      </c>
    </row>
    <row r="19" spans="1:7" ht="14.4" x14ac:dyDescent="0.3">
      <c r="A19" s="611"/>
      <c r="B19" s="577" t="s">
        <v>29</v>
      </c>
      <c r="C19" s="305" t="s">
        <v>30</v>
      </c>
      <c r="D19" s="306" t="s">
        <v>5</v>
      </c>
      <c r="E19" s="306"/>
      <c r="F19" s="306"/>
    </row>
    <row r="20" spans="1:7" x14ac:dyDescent="0.25">
      <c r="A20" s="611"/>
      <c r="B20" s="112" t="s">
        <v>31</v>
      </c>
      <c r="C20" s="307" t="s">
        <v>32</v>
      </c>
      <c r="D20" s="4" t="s">
        <v>5</v>
      </c>
    </row>
    <row r="21" spans="1:7" ht="14.4" x14ac:dyDescent="0.3">
      <c r="A21" s="611"/>
      <c r="B21" s="577" t="s">
        <v>33</v>
      </c>
      <c r="C21" s="307" t="s">
        <v>34</v>
      </c>
      <c r="D21" s="306" t="s">
        <v>5</v>
      </c>
      <c r="E21" s="306"/>
      <c r="F21" s="306"/>
    </row>
    <row r="22" spans="1:7" ht="14.4" x14ac:dyDescent="0.3">
      <c r="A22" s="611"/>
      <c r="B22" s="577" t="s">
        <v>35</v>
      </c>
      <c r="C22" s="307" t="s">
        <v>36</v>
      </c>
      <c r="D22" s="281" t="s">
        <v>5</v>
      </c>
      <c r="E22" s="281"/>
      <c r="F22" s="281"/>
      <c r="G22" s="4" t="s">
        <v>5</v>
      </c>
    </row>
    <row r="23" spans="1:7" ht="26.4" x14ac:dyDescent="0.3">
      <c r="A23" s="611"/>
      <c r="B23" s="302" t="s">
        <v>37</v>
      </c>
      <c r="C23" s="346" t="s">
        <v>38</v>
      </c>
      <c r="D23" s="281" t="s">
        <v>5</v>
      </c>
      <c r="E23" s="281"/>
      <c r="F23" s="281"/>
    </row>
    <row r="24" spans="1:7" ht="39.6" x14ac:dyDescent="0.3">
      <c r="A24" s="611"/>
      <c r="B24" s="302" t="s">
        <v>39</v>
      </c>
      <c r="C24" s="409" t="s">
        <v>40</v>
      </c>
      <c r="D24" s="281" t="s">
        <v>5</v>
      </c>
      <c r="E24" s="281"/>
      <c r="F24" s="281"/>
    </row>
    <row r="25" spans="1:7" ht="30" customHeight="1" x14ac:dyDescent="0.25">
      <c r="A25" s="611"/>
      <c r="B25" s="406" t="s">
        <v>41</v>
      </c>
      <c r="C25" s="407" t="s">
        <v>42</v>
      </c>
      <c r="D25" s="4" t="s">
        <v>5</v>
      </c>
    </row>
    <row r="26" spans="1:7" ht="14.4" x14ac:dyDescent="0.25">
      <c r="A26" s="611"/>
      <c r="B26" s="406" t="s">
        <v>43</v>
      </c>
      <c r="C26" s="407" t="s">
        <v>44</v>
      </c>
      <c r="D26" s="4" t="s">
        <v>5</v>
      </c>
    </row>
    <row r="27" spans="1:7" ht="14.4" x14ac:dyDescent="0.25">
      <c r="A27" s="611"/>
      <c r="B27" s="406" t="s">
        <v>45</v>
      </c>
      <c r="C27" s="407" t="s">
        <v>46</v>
      </c>
      <c r="D27" s="4" t="s">
        <v>5</v>
      </c>
    </row>
    <row r="28" spans="1:7" customFormat="1" ht="14.4" x14ac:dyDescent="0.3">
      <c r="C28" s="308"/>
      <c r="D28" s="4" t="s">
        <v>5</v>
      </c>
    </row>
    <row r="29" spans="1:7" customFormat="1" ht="14.4" x14ac:dyDescent="0.3"/>
    <row r="30" spans="1:7" customFormat="1" ht="14.4" x14ac:dyDescent="0.3"/>
    <row r="31" spans="1:7" ht="18.600000000000001" customHeight="1" x14ac:dyDescent="0.3">
      <c r="A31" s="608" t="s">
        <v>47</v>
      </c>
      <c r="B31" s="608"/>
      <c r="C31" s="608"/>
      <c r="D31"/>
      <c r="E31"/>
      <c r="F31"/>
      <c r="G31"/>
    </row>
    <row r="32" spans="1:7" x14ac:dyDescent="0.25">
      <c r="C32" s="579"/>
      <c r="D32" s="579"/>
      <c r="E32" s="579"/>
      <c r="F32" s="579"/>
    </row>
    <row r="33" spans="1:11" ht="14.4" x14ac:dyDescent="0.3">
      <c r="B33"/>
      <c r="C33" s="579"/>
      <c r="D33" s="579"/>
      <c r="E33" s="579"/>
      <c r="F33" s="579"/>
    </row>
    <row r="34" spans="1:11" x14ac:dyDescent="0.25">
      <c r="C34" s="579"/>
      <c r="D34" s="579"/>
      <c r="E34" s="579"/>
      <c r="F34" s="579"/>
    </row>
    <row r="35" spans="1:11" ht="14.4" x14ac:dyDescent="0.3">
      <c r="B35"/>
      <c r="C35" s="579"/>
      <c r="D35" s="579"/>
      <c r="E35" s="579"/>
      <c r="F35" s="579"/>
    </row>
    <row r="36" spans="1:11" x14ac:dyDescent="0.25">
      <c r="C36" s="579"/>
      <c r="D36" s="579"/>
      <c r="E36" s="579"/>
      <c r="F36" s="579"/>
    </row>
    <row r="37" spans="1:11" x14ac:dyDescent="0.25">
      <c r="C37" s="579"/>
      <c r="D37" s="579"/>
      <c r="E37" s="579"/>
      <c r="F37" s="579"/>
    </row>
    <row r="38" spans="1:11" x14ac:dyDescent="0.25">
      <c r="C38" s="579"/>
      <c r="D38" s="579"/>
      <c r="E38" s="579"/>
      <c r="F38" s="579"/>
    </row>
    <row r="39" spans="1:11" x14ac:dyDescent="0.25">
      <c r="C39" s="579"/>
      <c r="D39" s="579"/>
      <c r="E39" s="579"/>
      <c r="F39" s="579"/>
    </row>
    <row r="40" spans="1:11" x14ac:dyDescent="0.25">
      <c r="C40" s="579"/>
      <c r="D40" s="579"/>
      <c r="E40" s="579"/>
      <c r="F40" s="579"/>
    </row>
    <row r="41" spans="1:11" x14ac:dyDescent="0.25">
      <c r="C41" s="579"/>
      <c r="D41" s="579"/>
      <c r="E41" s="579"/>
      <c r="F41" s="579"/>
    </row>
    <row r="42" spans="1:11" x14ac:dyDescent="0.25">
      <c r="C42" s="579"/>
      <c r="D42" s="579"/>
      <c r="E42" s="579"/>
      <c r="F42" s="579"/>
    </row>
    <row r="43" spans="1:11" ht="20.25" customHeight="1" x14ac:dyDescent="0.25">
      <c r="A43" s="587"/>
      <c r="B43" s="71" t="s">
        <v>48</v>
      </c>
      <c r="C43" s="579"/>
      <c r="D43" s="579"/>
      <c r="E43" s="579"/>
      <c r="F43" s="579"/>
    </row>
    <row r="44" spans="1:11" ht="19.2" customHeight="1" x14ac:dyDescent="0.3">
      <c r="A44" s="608" t="s">
        <v>49</v>
      </c>
      <c r="B44" s="608"/>
      <c r="C44" s="608"/>
      <c r="D44"/>
      <c r="E44"/>
      <c r="F44"/>
    </row>
    <row r="45" spans="1:11" ht="37.950000000000003" customHeight="1" x14ac:dyDescent="0.25">
      <c r="A45" s="8" t="s">
        <v>50</v>
      </c>
      <c r="B45" s="609" t="s">
        <v>51</v>
      </c>
      <c r="C45" s="609"/>
      <c r="D45" s="609"/>
      <c r="E45" s="609"/>
      <c r="F45" s="609"/>
      <c r="H45" s="8"/>
      <c r="I45" s="601"/>
      <c r="J45" s="601"/>
      <c r="K45" s="601"/>
    </row>
    <row r="46" spans="1:11" ht="18" customHeight="1" x14ac:dyDescent="0.25">
      <c r="A46" s="941" t="s">
        <v>828</v>
      </c>
      <c r="B46" s="941"/>
      <c r="C46" s="941"/>
      <c r="D46" s="302"/>
      <c r="E46" s="302"/>
      <c r="F46" s="302"/>
      <c r="H46" s="8"/>
      <c r="I46" s="28"/>
      <c r="J46" s="28"/>
      <c r="K46" s="28"/>
    </row>
    <row r="47" spans="1:11" ht="48" customHeight="1" x14ac:dyDescent="0.25">
      <c r="A47" s="590" t="s">
        <v>52</v>
      </c>
      <c r="B47" s="613" t="s">
        <v>53</v>
      </c>
      <c r="C47" s="613"/>
      <c r="D47" s="613"/>
      <c r="E47" s="613"/>
      <c r="F47" s="613"/>
    </row>
    <row r="48" spans="1:11" ht="48" customHeight="1" x14ac:dyDescent="0.3">
      <c r="A48" s="585" t="s">
        <v>54</v>
      </c>
      <c r="B48" s="612" t="s">
        <v>55</v>
      </c>
      <c r="C48" s="612"/>
      <c r="D48" s="612"/>
      <c r="E48" s="612"/>
      <c r="F48" s="612"/>
      <c r="H48"/>
    </row>
    <row r="49" spans="1:7" ht="60" customHeight="1" x14ac:dyDescent="0.25">
      <c r="A49" s="585" t="s">
        <v>56</v>
      </c>
      <c r="B49" s="612" t="s">
        <v>57</v>
      </c>
      <c r="C49" s="612"/>
      <c r="D49" s="612"/>
      <c r="E49" s="612"/>
      <c r="F49" s="612"/>
    </row>
    <row r="50" spans="1:7" ht="48" customHeight="1" x14ac:dyDescent="0.25">
      <c r="A50" s="585" t="s">
        <v>58</v>
      </c>
      <c r="B50" s="612" t="s">
        <v>59</v>
      </c>
      <c r="C50" s="612"/>
      <c r="D50" s="612"/>
      <c r="E50" s="612"/>
      <c r="F50" s="612"/>
    </row>
    <row r="51" spans="1:7" ht="56.25" customHeight="1" x14ac:dyDescent="0.25">
      <c r="A51" s="585" t="s">
        <v>60</v>
      </c>
      <c r="B51" s="612" t="s">
        <v>61</v>
      </c>
      <c r="C51" s="612"/>
      <c r="D51" s="612"/>
      <c r="E51" s="612"/>
      <c r="F51" s="612"/>
    </row>
    <row r="52" spans="1:7" ht="60" customHeight="1" x14ac:dyDescent="0.25">
      <c r="A52" s="585" t="s">
        <v>62</v>
      </c>
      <c r="B52" s="612" t="s">
        <v>63</v>
      </c>
      <c r="C52" s="612"/>
      <c r="D52" s="612"/>
      <c r="E52" s="612"/>
      <c r="F52" s="612"/>
    </row>
    <row r="53" spans="1:7" ht="66" customHeight="1" x14ac:dyDescent="0.25">
      <c r="A53" s="585" t="s">
        <v>64</v>
      </c>
      <c r="B53" s="612" t="s">
        <v>65</v>
      </c>
      <c r="C53" s="612"/>
      <c r="D53" s="612"/>
      <c r="E53" s="612"/>
      <c r="F53" s="612"/>
    </row>
    <row r="60" spans="1:7" ht="14.4" x14ac:dyDescent="0.3">
      <c r="G60"/>
    </row>
  </sheetData>
  <mergeCells count="17">
    <mergeCell ref="A46:C46"/>
    <mergeCell ref="B52:F52"/>
    <mergeCell ref="B53:F53"/>
    <mergeCell ref="B48:F48"/>
    <mergeCell ref="B49:F49"/>
    <mergeCell ref="B50:F50"/>
    <mergeCell ref="B51:F51"/>
    <mergeCell ref="B47:F47"/>
    <mergeCell ref="A2:A5"/>
    <mergeCell ref="A6:A8"/>
    <mergeCell ref="A1:C1"/>
    <mergeCell ref="B45:F45"/>
    <mergeCell ref="A9:A14"/>
    <mergeCell ref="A18:A27"/>
    <mergeCell ref="A31:C31"/>
    <mergeCell ref="A44:C44"/>
    <mergeCell ref="B9:B10"/>
  </mergeCells>
  <phoneticPr fontId="5" type="noConversion"/>
  <hyperlinks>
    <hyperlink ref="C18" r:id="rId1" xr:uid="{E864610B-B6CB-4D7D-8E7A-ADEB74F9D08F}"/>
    <hyperlink ref="C19" r:id="rId2" xr:uid="{C7B98ED6-F285-456B-8617-9DFBA59B4488}"/>
    <hyperlink ref="C22" r:id="rId3"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20" r:id="rId4" xr:uid="{AC8A87CD-B523-4A49-AE6F-94E4A4371B42}"/>
    <hyperlink ref="C21" r:id="rId5" xr:uid="{B4DC8529-A292-4E97-9A42-146954FC4775}"/>
    <hyperlink ref="C6" r:id="rId6" xr:uid="{F1DA41F1-AEC3-40E6-9B73-A2B2C6E1457A}"/>
    <hyperlink ref="C3" r:id="rId7" xr:uid="{87B110B3-416C-48BB-8204-1E5EBFF027D0}"/>
    <hyperlink ref="C4" r:id="rId8" xr:uid="{BD4737A7-4A50-490B-AC58-B69766795EE3}"/>
    <hyperlink ref="C25" r:id="rId9" xr:uid="{13A377BA-3746-41F8-A06B-6B8E949D8022}"/>
    <hyperlink ref="C26" r:id="rId10" xr:uid="{573DC42B-AF50-497A-9A13-E126FBD19FAC}"/>
    <hyperlink ref="C27" r:id="rId11" xr:uid="{672EFD5F-E18A-47AA-9F51-C2E093EBE105}"/>
    <hyperlink ref="C23" r:id="rId12" xr:uid="{0AE58DE6-7481-4F12-8958-4DB487F30BA8}"/>
    <hyperlink ref="C24" r:id="rId13" xr:uid="{5132E826-5FE9-4895-A29C-6BDA40E202E1}"/>
    <hyperlink ref="C9" r:id="rId14" xr:uid="{2CF5F852-8353-43E8-A86D-D78096FCD0ED}"/>
    <hyperlink ref="C10" r:id="rId15" xr:uid="{457ECDB9-4F25-45B5-A48A-769EA5520936}"/>
    <hyperlink ref="C11" r:id="rId16" xr:uid="{972F5BD6-C586-4CEF-8AEF-4EAA8E14C9AF}"/>
    <hyperlink ref="C15" r:id="rId17" xr:uid="{9DC4BCA6-72DE-490A-B554-0690D316B330}"/>
    <hyperlink ref="C16" r:id="rId18" xr:uid="{C4FD3723-4A9B-482B-A35F-B7B1371760EE}"/>
    <hyperlink ref="C17" r:id="rId19" xr:uid="{347088C3-31B6-47A5-87AF-A5FEF5E64BA8}"/>
    <hyperlink ref="C13" r:id="rId20" xr:uid="{1E8524F1-A12D-4A10-8DEB-2F23C283CE37}"/>
    <hyperlink ref="C12" r:id="rId21" display="https://www.govinfo.gov/content/pkg/FR-2009-03-23/pdf/FR-2009-03-23.pdf" xr:uid="{5BE1E4BC-88C9-48C0-90AD-AB3E44BA606F}"/>
  </hyperlinks>
  <pageMargins left="0.7" right="0.7" top="0.75" bottom="0.75" header="0.3" footer="0.3"/>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5"/>
  <sheetViews>
    <sheetView tabSelected="1" zoomScale="85" zoomScaleNormal="85" workbookViewId="0">
      <selection sqref="A1:C1"/>
    </sheetView>
  </sheetViews>
  <sheetFormatPr defaultColWidth="9.33203125" defaultRowHeight="13.8" x14ac:dyDescent="0.25"/>
  <cols>
    <col min="1" max="1" width="34.6640625" style="2" customWidth="1"/>
    <col min="2" max="2" width="51.33203125" style="2" customWidth="1"/>
    <col min="3" max="3" width="56.33203125" style="2" customWidth="1"/>
    <col min="4" max="5" width="53.6640625" style="2" customWidth="1"/>
    <col min="6" max="9" width="8.6640625" style="2" customWidth="1"/>
    <col min="10" max="16384" width="9.33203125" style="2"/>
  </cols>
  <sheetData>
    <row r="1" spans="1:9" ht="17.399999999999999" x14ac:dyDescent="0.25">
      <c r="A1" s="614" t="s">
        <v>827</v>
      </c>
      <c r="B1" s="614"/>
      <c r="C1" s="614"/>
      <c r="D1" s="11"/>
      <c r="E1" s="11"/>
      <c r="F1" s="11"/>
    </row>
    <row r="2" spans="1:9" ht="25.2" customHeight="1" x14ac:dyDescent="0.25">
      <c r="A2" s="615" t="s">
        <v>66</v>
      </c>
      <c r="B2" s="615"/>
      <c r="C2" s="615"/>
      <c r="D2" s="11"/>
      <c r="E2" s="11"/>
      <c r="F2" s="11"/>
    </row>
    <row r="3" spans="1:9" ht="20.399999999999999" customHeight="1" x14ac:dyDescent="0.25">
      <c r="A3" s="122" t="s">
        <v>67</v>
      </c>
      <c r="B3" s="595" t="s">
        <v>68</v>
      </c>
      <c r="C3" s="595" t="s">
        <v>0</v>
      </c>
    </row>
    <row r="4" spans="1:9" ht="16.2" customHeight="1" x14ac:dyDescent="0.25">
      <c r="A4" s="14" t="s">
        <v>69</v>
      </c>
      <c r="B4" s="581" t="s">
        <v>70</v>
      </c>
      <c r="C4" s="14"/>
    </row>
    <row r="5" spans="1:9" ht="16.2" customHeight="1" x14ac:dyDescent="0.25">
      <c r="A5" s="14" t="s">
        <v>71</v>
      </c>
      <c r="B5" s="581" t="s">
        <v>72</v>
      </c>
      <c r="C5" s="14"/>
    </row>
    <row r="6" spans="1:9" ht="16.2" customHeight="1" x14ac:dyDescent="0.25">
      <c r="A6" s="248" t="s">
        <v>73</v>
      </c>
      <c r="B6" s="583" t="s">
        <v>74</v>
      </c>
      <c r="C6" s="14"/>
    </row>
    <row r="7" spans="1:9" ht="83.25" customHeight="1" x14ac:dyDescent="0.25">
      <c r="A7" s="14" t="s">
        <v>75</v>
      </c>
      <c r="B7" s="580" t="s">
        <v>76</v>
      </c>
      <c r="C7" s="15" t="s">
        <v>77</v>
      </c>
      <c r="D7" s="57"/>
    </row>
    <row r="8" spans="1:9" ht="97.2" customHeight="1" x14ac:dyDescent="0.3">
      <c r="A8" s="14" t="s">
        <v>78</v>
      </c>
      <c r="B8"/>
      <c r="C8" s="247" t="s">
        <v>79</v>
      </c>
      <c r="D8"/>
      <c r="I8" s="3"/>
    </row>
    <row r="9" spans="1:9" ht="25.95" customHeight="1" x14ac:dyDescent="0.25">
      <c r="A9" s="113" t="s">
        <v>80</v>
      </c>
      <c r="B9" s="12">
        <v>49979.360000000001</v>
      </c>
      <c r="C9" s="247" t="s">
        <v>81</v>
      </c>
    </row>
    <row r="10" spans="1:9" ht="19.2" customHeight="1" x14ac:dyDescent="0.25">
      <c r="A10" s="113" t="s">
        <v>82</v>
      </c>
      <c r="B10" s="56" t="s">
        <v>83</v>
      </c>
      <c r="C10" s="248" t="s">
        <v>84</v>
      </c>
    </row>
    <row r="11" spans="1:9" ht="19.2" customHeight="1" x14ac:dyDescent="0.25">
      <c r="A11" s="123" t="s">
        <v>85</v>
      </c>
      <c r="B11" s="56" t="s">
        <v>83</v>
      </c>
      <c r="C11" s="248" t="s">
        <v>84</v>
      </c>
    </row>
    <row r="12" spans="1:9" ht="19.2" customHeight="1" x14ac:dyDescent="0.25">
      <c r="A12" s="123" t="s">
        <v>86</v>
      </c>
      <c r="B12" s="581" t="s">
        <v>87</v>
      </c>
      <c r="C12" s="248" t="s">
        <v>84</v>
      </c>
    </row>
    <row r="13" spans="1:9" ht="19.2" customHeight="1" x14ac:dyDescent="0.25">
      <c r="A13" s="123" t="s">
        <v>88</v>
      </c>
      <c r="B13" s="152">
        <v>7.0800000000000002E-2</v>
      </c>
      <c r="C13" s="248" t="s">
        <v>84</v>
      </c>
    </row>
    <row r="14" spans="1:9" ht="19.2" customHeight="1" x14ac:dyDescent="0.25">
      <c r="A14" s="113" t="s">
        <v>89</v>
      </c>
      <c r="B14" s="13" t="s">
        <v>90</v>
      </c>
      <c r="C14" s="248" t="s">
        <v>84</v>
      </c>
    </row>
    <row r="15" spans="1:9" ht="39" customHeight="1" x14ac:dyDescent="0.25">
      <c r="A15" s="113" t="s">
        <v>91</v>
      </c>
      <c r="B15" s="56" t="s">
        <v>92</v>
      </c>
      <c r="C15" s="248" t="s">
        <v>84</v>
      </c>
    </row>
    <row r="16" spans="1:9" ht="38.25" customHeight="1" x14ac:dyDescent="0.25">
      <c r="A16" s="113" t="s">
        <v>93</v>
      </c>
      <c r="B16" s="580" t="s">
        <v>92</v>
      </c>
      <c r="C16" s="248" t="s">
        <v>84</v>
      </c>
    </row>
    <row r="17" spans="1:5" ht="30.6" customHeight="1" x14ac:dyDescent="0.25">
      <c r="A17" s="113" t="s">
        <v>94</v>
      </c>
      <c r="B17" s="56" t="s">
        <v>83</v>
      </c>
      <c r="C17" s="248" t="s">
        <v>84</v>
      </c>
    </row>
    <row r="18" spans="1:5" x14ac:dyDescent="0.25">
      <c r="A18" s="78"/>
      <c r="B18" s="7"/>
      <c r="C18" s="6"/>
    </row>
    <row r="19" spans="1:5" x14ac:dyDescent="0.25">
      <c r="A19" s="78"/>
      <c r="B19" s="7"/>
      <c r="C19" s="6"/>
    </row>
    <row r="21" spans="1:5" ht="18" x14ac:dyDescent="0.25">
      <c r="A21" s="124" t="s">
        <v>95</v>
      </c>
      <c r="B21" s="127">
        <v>42450.09</v>
      </c>
      <c r="C21" s="128"/>
    </row>
    <row r="22" spans="1:5" ht="18" x14ac:dyDescent="0.25">
      <c r="A22" s="124" t="s">
        <v>96</v>
      </c>
      <c r="B22" s="127">
        <v>42450.09</v>
      </c>
      <c r="C22" s="128"/>
    </row>
    <row r="23" spans="1:5" ht="22.2" customHeight="1" x14ac:dyDescent="0.25">
      <c r="A23" s="124" t="s">
        <v>97</v>
      </c>
      <c r="B23" s="127">
        <v>37687.78</v>
      </c>
      <c r="C23" s="6"/>
    </row>
    <row r="24" spans="1:5" x14ac:dyDescent="0.25">
      <c r="A24" s="124" t="s">
        <v>98</v>
      </c>
      <c r="B24" s="127">
        <v>0</v>
      </c>
      <c r="C24" s="6"/>
    </row>
    <row r="25" spans="1:5" x14ac:dyDescent="0.25">
      <c r="A25" s="78"/>
      <c r="B25" s="7"/>
      <c r="C25" s="6"/>
    </row>
    <row r="26" spans="1:5" x14ac:dyDescent="0.25">
      <c r="A26" s="78"/>
      <c r="B26" s="7"/>
      <c r="C26" s="6"/>
    </row>
    <row r="27" spans="1:5" x14ac:dyDescent="0.25">
      <c r="A27" s="78"/>
      <c r="B27" s="7"/>
      <c r="C27" s="6"/>
    </row>
    <row r="28" spans="1:5" x14ac:dyDescent="0.25">
      <c r="A28" s="78"/>
      <c r="B28" s="7"/>
      <c r="C28" s="6"/>
    </row>
    <row r="29" spans="1:5" ht="14.4" thickBot="1" x14ac:dyDescent="0.3">
      <c r="A29" s="78"/>
      <c r="B29" s="7"/>
      <c r="C29" s="6"/>
    </row>
    <row r="30" spans="1:5" ht="15.6" x14ac:dyDescent="0.25">
      <c r="A30" s="616" t="s">
        <v>826</v>
      </c>
      <c r="B30" s="617"/>
      <c r="C30" s="617"/>
      <c r="D30" s="617"/>
      <c r="E30" s="618"/>
    </row>
    <row r="31" spans="1:5" customFormat="1" ht="14.4" x14ac:dyDescent="0.3">
      <c r="A31" s="212"/>
      <c r="B31" s="211" t="s">
        <v>99</v>
      </c>
      <c r="C31" s="211" t="s">
        <v>100</v>
      </c>
      <c r="D31" s="213" t="s">
        <v>101</v>
      </c>
    </row>
    <row r="32" spans="1:5" customFormat="1" ht="129" customHeight="1" x14ac:dyDescent="0.3">
      <c r="A32" s="214"/>
      <c r="B32" s="210"/>
      <c r="C32" s="210"/>
      <c r="D32" s="215"/>
    </row>
    <row r="33" spans="1:5" ht="14.4" x14ac:dyDescent="0.25">
      <c r="A33" s="211"/>
      <c r="B33" s="211"/>
      <c r="C33" s="211"/>
      <c r="D33" s="211"/>
    </row>
    <row r="34" spans="1:5" ht="78.75" customHeight="1" x14ac:dyDescent="0.25">
      <c r="A34" s="210"/>
      <c r="B34" s="210"/>
      <c r="C34" s="210"/>
      <c r="D34" s="210"/>
    </row>
    <row r="35" spans="1:5" ht="55.5" customHeight="1" x14ac:dyDescent="0.25">
      <c r="A35" s="210"/>
      <c r="B35" s="210"/>
      <c r="C35" s="210"/>
      <c r="D35" s="210"/>
      <c r="E35" s="210"/>
    </row>
  </sheetData>
  <mergeCells count="3">
    <mergeCell ref="A1:C1"/>
    <mergeCell ref="A2:C2"/>
    <mergeCell ref="A30:E30"/>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C115"/>
  <sheetViews>
    <sheetView zoomScale="70" zoomScaleNormal="70" workbookViewId="0">
      <pane xSplit="2" topLeftCell="C1" activePane="topRight" state="frozen"/>
      <selection pane="topRight" activeCell="B3" sqref="B3"/>
    </sheetView>
  </sheetViews>
  <sheetFormatPr defaultColWidth="8.6640625" defaultRowHeight="13.2" x14ac:dyDescent="0.25"/>
  <cols>
    <col min="1" max="1" width="35.44140625" style="4" customWidth="1"/>
    <col min="2" max="2" width="50.33203125" style="4" customWidth="1"/>
    <col min="3" max="3" width="53.6640625" style="4" customWidth="1"/>
    <col min="4" max="4" width="18.44140625" style="4" customWidth="1"/>
    <col min="5" max="5" width="20" style="4" customWidth="1"/>
    <col min="6" max="6" width="19" style="4" customWidth="1"/>
    <col min="7" max="7" width="14.6640625" style="4" customWidth="1"/>
    <col min="8" max="8" width="12.6640625" style="4" customWidth="1"/>
    <col min="9" max="9" width="12" style="4" bestFit="1" customWidth="1"/>
    <col min="10" max="11" width="11.33203125" style="4" customWidth="1"/>
    <col min="12" max="12" width="32.5546875" style="4" customWidth="1"/>
    <col min="13" max="15" width="24.44140625" style="4" customWidth="1"/>
    <col min="16" max="16" width="7.33203125" style="4" customWidth="1"/>
    <col min="17" max="17" width="12.88671875" style="4" customWidth="1"/>
    <col min="18" max="18" width="25.33203125" style="4" customWidth="1"/>
    <col min="19" max="19" width="22.33203125" style="4" bestFit="1" customWidth="1"/>
    <col min="20" max="20" width="25.6640625" style="4" customWidth="1"/>
    <col min="21" max="22" width="8.6640625" style="4"/>
    <col min="23" max="23" width="42.6640625" style="4" customWidth="1"/>
    <col min="24" max="25" width="4.6640625" style="4" customWidth="1"/>
    <col min="26" max="26" width="12.6640625" style="4" customWidth="1"/>
    <col min="27" max="16384" width="8.6640625" style="4"/>
  </cols>
  <sheetData>
    <row r="1" spans="1:19" ht="33" customHeight="1" x14ac:dyDescent="0.25">
      <c r="A1" s="608" t="str">
        <f>"Proposed Layout - "&amp;Prototype!B4</f>
        <v>Proposed Layout - K-8 School</v>
      </c>
      <c r="B1" s="608"/>
      <c r="C1" s="608"/>
      <c r="D1" s="608"/>
      <c r="E1" s="608"/>
      <c r="F1" s="608"/>
      <c r="G1" s="608"/>
      <c r="H1" s="608"/>
      <c r="I1" s="608"/>
      <c r="J1" s="608"/>
      <c r="K1" s="608"/>
      <c r="L1" s="608"/>
      <c r="M1" s="608"/>
    </row>
    <row r="2" spans="1:19" ht="39.75" customHeight="1" x14ac:dyDescent="0.25">
      <c r="A2" s="383" t="s">
        <v>102</v>
      </c>
      <c r="B2" s="72" t="s">
        <v>103</v>
      </c>
      <c r="C2" s="382" t="s">
        <v>104</v>
      </c>
      <c r="D2" s="600" t="s">
        <v>105</v>
      </c>
      <c r="E2" s="72" t="s">
        <v>106</v>
      </c>
      <c r="F2" s="26" t="s">
        <v>107</v>
      </c>
      <c r="G2" s="27" t="s">
        <v>108</v>
      </c>
      <c r="H2" s="27" t="s">
        <v>109</v>
      </c>
      <c r="I2" s="26" t="s">
        <v>110</v>
      </c>
      <c r="J2" s="26" t="s">
        <v>111</v>
      </c>
      <c r="K2" s="96" t="s">
        <v>112</v>
      </c>
      <c r="L2" s="26" t="s">
        <v>113</v>
      </c>
      <c r="M2" s="26" t="s">
        <v>49</v>
      </c>
      <c r="O2" s="145"/>
      <c r="P2" s="145"/>
      <c r="Q2" s="145"/>
      <c r="R2" s="145"/>
    </row>
    <row r="3" spans="1:19" s="6" customFormat="1" ht="18" customHeight="1" x14ac:dyDescent="0.3">
      <c r="A3" s="384" t="s">
        <v>114</v>
      </c>
      <c r="B3" s="156" t="s">
        <v>115</v>
      </c>
      <c r="C3" s="380" t="s">
        <v>116</v>
      </c>
      <c r="D3" s="97" t="s">
        <v>117</v>
      </c>
      <c r="E3" s="157" t="s">
        <v>118</v>
      </c>
      <c r="F3" s="97" t="s">
        <v>119</v>
      </c>
      <c r="G3" s="144">
        <f>H3/$H$41</f>
        <v>1.1508748509635075E-2</v>
      </c>
      <c r="H3" s="234">
        <v>575.20000000000005</v>
      </c>
      <c r="I3" s="16">
        <f>H3*14</f>
        <v>8052.8000000000011</v>
      </c>
      <c r="J3" s="16">
        <v>1</v>
      </c>
      <c r="K3" s="236">
        <f>L3*H3/1000</f>
        <v>18.981600000000004</v>
      </c>
      <c r="L3" s="237">
        <v>33</v>
      </c>
      <c r="M3" s="237"/>
      <c r="N3" s="145"/>
      <c r="O3" s="145"/>
      <c r="P3" s="145"/>
      <c r="Q3" s="145"/>
      <c r="R3" s="145"/>
      <c r="S3" s="145"/>
    </row>
    <row r="4" spans="1:19" s="6" customFormat="1" ht="18" customHeight="1" x14ac:dyDescent="0.3">
      <c r="A4" s="384" t="s">
        <v>114</v>
      </c>
      <c r="B4" s="156" t="s">
        <v>120</v>
      </c>
      <c r="C4" s="380" t="s">
        <v>121</v>
      </c>
      <c r="D4" s="97" t="s">
        <v>122</v>
      </c>
      <c r="E4" s="157" t="s">
        <v>118</v>
      </c>
      <c r="F4" s="97" t="s">
        <v>119</v>
      </c>
      <c r="G4" s="144">
        <f t="shared" ref="G4:G40" si="0">H4/$H$41</f>
        <v>3.3508625658946876E-2</v>
      </c>
      <c r="H4" s="234">
        <v>1674.74</v>
      </c>
      <c r="I4" s="16">
        <f t="shared" ref="I4:I40" si="1">H4*14</f>
        <v>23446.36</v>
      </c>
      <c r="J4" s="16">
        <v>1</v>
      </c>
      <c r="K4" s="236">
        <f t="shared" ref="K4:K40" si="2">L4*H4/1000</f>
        <v>55.266419999999997</v>
      </c>
      <c r="L4" s="237">
        <v>33</v>
      </c>
      <c r="M4" s="237"/>
      <c r="N4" s="145"/>
      <c r="O4" s="145"/>
      <c r="P4" s="145"/>
      <c r="Q4" s="145"/>
      <c r="R4" s="145"/>
      <c r="S4" s="145"/>
    </row>
    <row r="5" spans="1:19" s="6" customFormat="1" ht="18" customHeight="1" x14ac:dyDescent="0.3">
      <c r="A5" s="384" t="s">
        <v>114</v>
      </c>
      <c r="B5" s="156" t="s">
        <v>123</v>
      </c>
      <c r="C5" s="380" t="s">
        <v>124</v>
      </c>
      <c r="D5" s="97" t="s">
        <v>125</v>
      </c>
      <c r="E5" s="157" t="s">
        <v>118</v>
      </c>
      <c r="F5" s="97" t="s">
        <v>119</v>
      </c>
      <c r="G5" s="144">
        <f t="shared" si="0"/>
        <v>2.3239988819386874E-2</v>
      </c>
      <c r="H5" s="234">
        <v>1161.52</v>
      </c>
      <c r="I5" s="16">
        <f t="shared" si="1"/>
        <v>16261.279999999999</v>
      </c>
      <c r="J5" s="16">
        <v>1</v>
      </c>
      <c r="K5" s="236">
        <f t="shared" si="2"/>
        <v>5.8076000000000008</v>
      </c>
      <c r="L5" s="237">
        <v>5</v>
      </c>
      <c r="M5" s="237"/>
      <c r="N5" s="145"/>
      <c r="O5" s="145"/>
      <c r="P5" s="145"/>
      <c r="Q5" s="145"/>
      <c r="R5" s="145"/>
      <c r="S5" s="145"/>
    </row>
    <row r="6" spans="1:19" s="6" customFormat="1" ht="18" customHeight="1" x14ac:dyDescent="0.3">
      <c r="A6" s="384" t="s">
        <v>114</v>
      </c>
      <c r="B6" s="156" t="s">
        <v>126</v>
      </c>
      <c r="C6" s="380" t="s">
        <v>127</v>
      </c>
      <c r="D6" s="97" t="s">
        <v>128</v>
      </c>
      <c r="E6" s="235" t="s">
        <v>129</v>
      </c>
      <c r="F6" s="97" t="s">
        <v>119</v>
      </c>
      <c r="G6" s="144">
        <f t="shared" si="0"/>
        <v>5.5664967365535003E-3</v>
      </c>
      <c r="H6" s="234">
        <v>278.20999999999998</v>
      </c>
      <c r="I6" s="16">
        <f t="shared" si="1"/>
        <v>3894.9399999999996</v>
      </c>
      <c r="J6" s="16">
        <v>1</v>
      </c>
      <c r="K6" s="236">
        <f t="shared" si="2"/>
        <v>1.3910499999999999</v>
      </c>
      <c r="L6" s="237">
        <v>5</v>
      </c>
      <c r="M6" s="237"/>
      <c r="N6" s="145"/>
      <c r="O6" s="145"/>
      <c r="P6" s="145"/>
      <c r="Q6" s="145"/>
      <c r="R6" s="145"/>
      <c r="S6" s="145"/>
    </row>
    <row r="7" spans="1:19" s="6" customFormat="1" ht="18" customHeight="1" x14ac:dyDescent="0.3">
      <c r="A7" s="384" t="s">
        <v>114</v>
      </c>
      <c r="B7" s="156" t="s">
        <v>130</v>
      </c>
      <c r="C7" s="380" t="s">
        <v>127</v>
      </c>
      <c r="D7" s="97" t="s">
        <v>131</v>
      </c>
      <c r="E7" s="235" t="s">
        <v>129</v>
      </c>
      <c r="F7" s="97" t="s">
        <v>119</v>
      </c>
      <c r="G7" s="144">
        <f t="shared" si="0"/>
        <v>6.8074087368448213E-3</v>
      </c>
      <c r="H7" s="234">
        <v>340.23</v>
      </c>
      <c r="I7" s="16">
        <f t="shared" si="1"/>
        <v>4763.22</v>
      </c>
      <c r="J7" s="16">
        <v>1</v>
      </c>
      <c r="K7" s="236">
        <f t="shared" si="2"/>
        <v>1.7011500000000002</v>
      </c>
      <c r="L7" s="237">
        <v>5</v>
      </c>
      <c r="M7" s="237"/>
      <c r="N7" s="145"/>
      <c r="O7" s="145"/>
      <c r="P7" s="145"/>
      <c r="Q7" s="145"/>
      <c r="R7" s="145"/>
      <c r="S7" s="145"/>
    </row>
    <row r="8" spans="1:19" s="6" customFormat="1" ht="18" customHeight="1" x14ac:dyDescent="0.3">
      <c r="A8" s="384" t="s">
        <v>114</v>
      </c>
      <c r="B8" s="156" t="s">
        <v>132</v>
      </c>
      <c r="C8" s="380" t="s">
        <v>133</v>
      </c>
      <c r="D8" s="97" t="s">
        <v>134</v>
      </c>
      <c r="E8" s="157" t="s">
        <v>135</v>
      </c>
      <c r="F8" s="97" t="s">
        <v>119</v>
      </c>
      <c r="G8" s="144">
        <f t="shared" si="0"/>
        <v>2.9157030190656658E-2</v>
      </c>
      <c r="H8" s="234">
        <v>1457.25</v>
      </c>
      <c r="I8" s="16">
        <f t="shared" si="1"/>
        <v>20401.5</v>
      </c>
      <c r="J8" s="16">
        <v>1</v>
      </c>
      <c r="K8" s="236">
        <f t="shared" si="2"/>
        <v>4.3717499999999996</v>
      </c>
      <c r="L8" s="237">
        <v>3</v>
      </c>
      <c r="M8" s="237"/>
      <c r="N8" s="145"/>
      <c r="O8" s="145"/>
      <c r="P8" s="145"/>
      <c r="Q8" s="145"/>
      <c r="R8" s="145"/>
      <c r="S8" s="145"/>
    </row>
    <row r="9" spans="1:19" s="6" customFormat="1" ht="18" customHeight="1" x14ac:dyDescent="0.3">
      <c r="A9" s="384" t="s">
        <v>114</v>
      </c>
      <c r="B9" s="156" t="s">
        <v>136</v>
      </c>
      <c r="C9" s="380" t="s">
        <v>137</v>
      </c>
      <c r="D9" s="97" t="s">
        <v>138</v>
      </c>
      <c r="E9" s="157" t="s">
        <v>118</v>
      </c>
      <c r="F9" s="97" t="s">
        <v>119</v>
      </c>
      <c r="G9" s="144">
        <f t="shared" si="0"/>
        <v>2.4839648839111012E-2</v>
      </c>
      <c r="H9" s="234">
        <v>1241.47</v>
      </c>
      <c r="I9" s="16">
        <f t="shared" si="1"/>
        <v>17380.580000000002</v>
      </c>
      <c r="J9" s="16">
        <v>1</v>
      </c>
      <c r="K9" s="236">
        <f t="shared" si="2"/>
        <v>40.968510000000002</v>
      </c>
      <c r="L9" s="237">
        <v>33</v>
      </c>
      <c r="M9" s="237"/>
      <c r="N9" s="145"/>
      <c r="O9" s="145"/>
      <c r="P9" s="145"/>
      <c r="Q9" s="145"/>
      <c r="R9" s="145"/>
      <c r="S9" s="145"/>
    </row>
    <row r="10" spans="1:19" s="6" customFormat="1" ht="18" customHeight="1" x14ac:dyDescent="0.3">
      <c r="A10" s="384" t="s">
        <v>114</v>
      </c>
      <c r="B10" s="156" t="s">
        <v>139</v>
      </c>
      <c r="C10" s="380" t="s">
        <v>121</v>
      </c>
      <c r="D10" s="97" t="s">
        <v>140</v>
      </c>
      <c r="E10" s="157" t="s">
        <v>118</v>
      </c>
      <c r="F10" s="97" t="s">
        <v>119</v>
      </c>
      <c r="G10" s="144">
        <f t="shared" si="0"/>
        <v>0.11028930536739456</v>
      </c>
      <c r="H10" s="234">
        <v>5512.19</v>
      </c>
      <c r="I10" s="235">
        <f>H10*25</f>
        <v>137804.75</v>
      </c>
      <c r="J10" s="16">
        <v>1</v>
      </c>
      <c r="K10" s="236">
        <f t="shared" si="2"/>
        <v>181.90226999999999</v>
      </c>
      <c r="L10" s="237">
        <v>33</v>
      </c>
      <c r="M10" s="237"/>
      <c r="N10" s="145"/>
      <c r="O10" s="145"/>
      <c r="P10" s="145"/>
      <c r="Q10" s="145"/>
      <c r="R10" s="145"/>
      <c r="S10" s="145"/>
    </row>
    <row r="11" spans="1:19" s="6" customFormat="1" ht="18" customHeight="1" x14ac:dyDescent="0.3">
      <c r="A11" s="384" t="s">
        <v>114</v>
      </c>
      <c r="B11" s="156" t="s">
        <v>141</v>
      </c>
      <c r="C11" s="380" t="s">
        <v>142</v>
      </c>
      <c r="D11" s="97" t="s">
        <v>143</v>
      </c>
      <c r="E11" s="157" t="s">
        <v>118</v>
      </c>
      <c r="F11" s="97" t="s">
        <v>119</v>
      </c>
      <c r="G11" s="144">
        <f t="shared" si="0"/>
        <v>2.0975654555069417E-2</v>
      </c>
      <c r="H11" s="234">
        <v>1048.3499999999999</v>
      </c>
      <c r="I11" s="16">
        <f t="shared" si="1"/>
        <v>14676.899999999998</v>
      </c>
      <c r="J11" s="16">
        <v>1</v>
      </c>
      <c r="K11" s="236">
        <f t="shared" si="2"/>
        <v>5.2417499999999997</v>
      </c>
      <c r="L11" s="237">
        <v>5</v>
      </c>
      <c r="M11" s="237"/>
      <c r="N11" s="145"/>
      <c r="O11" s="145"/>
      <c r="P11" s="145"/>
      <c r="Q11" s="145"/>
      <c r="R11" s="145"/>
      <c r="S11" s="145"/>
    </row>
    <row r="12" spans="1:19" s="6" customFormat="1" ht="18" customHeight="1" x14ac:dyDescent="0.3">
      <c r="A12" s="384" t="s">
        <v>114</v>
      </c>
      <c r="B12" s="156" t="s">
        <v>144</v>
      </c>
      <c r="C12" s="380" t="s">
        <v>145</v>
      </c>
      <c r="D12" s="97" t="s">
        <v>146</v>
      </c>
      <c r="E12" s="235" t="s">
        <v>147</v>
      </c>
      <c r="F12" s="97" t="s">
        <v>119</v>
      </c>
      <c r="G12" s="144">
        <f t="shared" si="0"/>
        <v>1.8030839524387759E-2</v>
      </c>
      <c r="H12" s="234">
        <v>901.17</v>
      </c>
      <c r="I12" s="16">
        <f t="shared" si="1"/>
        <v>12616.38</v>
      </c>
      <c r="J12" s="16">
        <v>1</v>
      </c>
      <c r="K12" s="236">
        <f t="shared" si="2"/>
        <v>4.5058499999999997</v>
      </c>
      <c r="L12" s="237">
        <v>5</v>
      </c>
      <c r="M12" s="237"/>
      <c r="N12" s="145"/>
      <c r="O12" s="145"/>
      <c r="P12" s="145"/>
      <c r="Q12" s="145"/>
      <c r="R12" s="145"/>
      <c r="S12" s="145"/>
    </row>
    <row r="13" spans="1:19" s="6" customFormat="1" ht="18" customHeight="1" x14ac:dyDescent="0.3">
      <c r="A13" s="384" t="s">
        <v>114</v>
      </c>
      <c r="B13" s="156" t="s">
        <v>148</v>
      </c>
      <c r="C13" s="380" t="s">
        <v>149</v>
      </c>
      <c r="D13" s="97" t="s">
        <v>150</v>
      </c>
      <c r="E13" s="157" t="s">
        <v>118</v>
      </c>
      <c r="F13" s="97" t="s">
        <v>119</v>
      </c>
      <c r="G13" s="144">
        <f t="shared" si="0"/>
        <v>2.4964900517953702E-2</v>
      </c>
      <c r="H13" s="234">
        <v>1247.73</v>
      </c>
      <c r="I13" s="16">
        <f t="shared" si="1"/>
        <v>17468.22</v>
      </c>
      <c r="J13" s="16">
        <v>1</v>
      </c>
      <c r="K13" s="236">
        <f t="shared" si="2"/>
        <v>6.2386499999999998</v>
      </c>
      <c r="L13" s="237">
        <v>5</v>
      </c>
      <c r="M13" s="237"/>
      <c r="N13" s="145"/>
      <c r="O13" s="145"/>
      <c r="P13" s="145"/>
      <c r="Q13" s="145"/>
      <c r="R13" s="145"/>
      <c r="S13" s="145"/>
    </row>
    <row r="14" spans="1:19" s="6" customFormat="1" ht="18" customHeight="1" x14ac:dyDescent="0.3">
      <c r="A14" s="384" t="s">
        <v>114</v>
      </c>
      <c r="B14" s="156" t="s">
        <v>151</v>
      </c>
      <c r="C14" s="380" t="s">
        <v>152</v>
      </c>
      <c r="D14" s="97" t="s">
        <v>153</v>
      </c>
      <c r="E14" s="157" t="s">
        <v>118</v>
      </c>
      <c r="F14" s="97" t="s">
        <v>119</v>
      </c>
      <c r="G14" s="144">
        <f t="shared" si="0"/>
        <v>5.0364780508437767E-3</v>
      </c>
      <c r="H14" s="234">
        <v>251.72</v>
      </c>
      <c r="I14" s="16">
        <f t="shared" si="1"/>
        <v>3524.08</v>
      </c>
      <c r="J14" s="16">
        <v>1</v>
      </c>
      <c r="K14" s="236">
        <f t="shared" si="2"/>
        <v>0</v>
      </c>
      <c r="L14" s="235">
        <v>0</v>
      </c>
      <c r="M14" s="237"/>
      <c r="N14" s="145"/>
      <c r="O14" s="145"/>
      <c r="P14" s="145"/>
      <c r="Q14" s="145"/>
      <c r="R14" s="145"/>
      <c r="S14" s="145"/>
    </row>
    <row r="15" spans="1:19" s="6" customFormat="1" ht="18" customHeight="1" x14ac:dyDescent="0.3">
      <c r="A15" s="384" t="s">
        <v>114</v>
      </c>
      <c r="B15" s="156" t="s">
        <v>154</v>
      </c>
      <c r="C15" s="380" t="s">
        <v>155</v>
      </c>
      <c r="D15" s="97" t="s">
        <v>156</v>
      </c>
      <c r="E15" s="157" t="s">
        <v>118</v>
      </c>
      <c r="F15" s="97" t="s">
        <v>119</v>
      </c>
      <c r="G15" s="144">
        <f t="shared" si="0"/>
        <v>2.1319996630609784E-2</v>
      </c>
      <c r="H15" s="234">
        <v>1065.56</v>
      </c>
      <c r="I15" s="235">
        <f>H15*25</f>
        <v>26639</v>
      </c>
      <c r="J15" s="16">
        <v>1</v>
      </c>
      <c r="K15" s="236">
        <f t="shared" si="2"/>
        <v>35.163479999999993</v>
      </c>
      <c r="L15" s="237">
        <v>33</v>
      </c>
      <c r="M15" s="237"/>
      <c r="N15" s="145"/>
      <c r="O15" s="145"/>
      <c r="P15" s="145"/>
      <c r="Q15" s="145"/>
      <c r="R15" s="145"/>
      <c r="S15" s="145"/>
    </row>
    <row r="16" spans="1:19" s="6" customFormat="1" ht="18" customHeight="1" x14ac:dyDescent="0.3">
      <c r="A16" s="384" t="s">
        <v>157</v>
      </c>
      <c r="B16" s="156" t="s">
        <v>158</v>
      </c>
      <c r="C16" s="380" t="s">
        <v>159</v>
      </c>
      <c r="D16" s="97" t="s">
        <v>160</v>
      </c>
      <c r="E16" s="157" t="s">
        <v>161</v>
      </c>
      <c r="F16" s="97" t="s">
        <v>119</v>
      </c>
      <c r="G16" s="144">
        <f t="shared" si="0"/>
        <v>2.0043269853141404E-2</v>
      </c>
      <c r="H16" s="234">
        <v>1001.75</v>
      </c>
      <c r="I16" s="16">
        <f t="shared" si="1"/>
        <v>14024.5</v>
      </c>
      <c r="J16" s="16">
        <v>1</v>
      </c>
      <c r="K16" s="236">
        <f t="shared" si="2"/>
        <v>25.043749999999999</v>
      </c>
      <c r="L16" s="237">
        <v>25</v>
      </c>
      <c r="M16" s="237"/>
      <c r="N16" s="145"/>
      <c r="O16" s="145"/>
      <c r="P16" s="145"/>
      <c r="Q16" s="145"/>
      <c r="R16" s="145"/>
      <c r="S16" s="145"/>
    </row>
    <row r="17" spans="1:26" s="6" customFormat="1" ht="17.7" customHeight="1" x14ac:dyDescent="0.3">
      <c r="A17" s="384" t="s">
        <v>157</v>
      </c>
      <c r="B17" s="156" t="s">
        <v>162</v>
      </c>
      <c r="C17" s="380" t="s">
        <v>159</v>
      </c>
      <c r="D17" s="97" t="s">
        <v>163</v>
      </c>
      <c r="E17" s="157" t="s">
        <v>161</v>
      </c>
      <c r="F17" s="97" t="s">
        <v>119</v>
      </c>
      <c r="G17" s="144">
        <f t="shared" si="0"/>
        <v>0.12113057847667945</v>
      </c>
      <c r="H17" s="234">
        <v>6054.03</v>
      </c>
      <c r="I17" s="16">
        <f t="shared" si="1"/>
        <v>84756.42</v>
      </c>
      <c r="J17" s="16">
        <v>1</v>
      </c>
      <c r="K17" s="236">
        <f t="shared" si="2"/>
        <v>151.35075000000001</v>
      </c>
      <c r="L17" s="237">
        <v>25</v>
      </c>
      <c r="M17" s="237"/>
      <c r="N17" s="145"/>
      <c r="O17" s="145"/>
      <c r="P17" s="145"/>
      <c r="Q17" s="145"/>
      <c r="R17" s="145"/>
      <c r="S17" s="145"/>
    </row>
    <row r="18" spans="1:26" s="6" customFormat="1" ht="17.7" customHeight="1" x14ac:dyDescent="0.3">
      <c r="A18" s="384" t="s">
        <v>157</v>
      </c>
      <c r="B18" s="156" t="s">
        <v>164</v>
      </c>
      <c r="C18" s="380" t="s">
        <v>142</v>
      </c>
      <c r="D18" s="97" t="s">
        <v>165</v>
      </c>
      <c r="E18" s="157" t="s">
        <v>161</v>
      </c>
      <c r="F18" s="97" t="s">
        <v>119</v>
      </c>
      <c r="G18" s="144">
        <f t="shared" si="0"/>
        <v>5.7649786301828118E-3</v>
      </c>
      <c r="H18" s="234">
        <v>288.13</v>
      </c>
      <c r="I18" s="16">
        <f t="shared" si="1"/>
        <v>4033.8199999999997</v>
      </c>
      <c r="J18" s="16">
        <v>1</v>
      </c>
      <c r="K18" s="236">
        <f t="shared" si="2"/>
        <v>1.44065</v>
      </c>
      <c r="L18" s="237">
        <v>5</v>
      </c>
      <c r="M18" s="237"/>
      <c r="N18" s="145"/>
      <c r="O18" s="145"/>
      <c r="P18" s="145"/>
      <c r="Q18" s="145"/>
      <c r="R18" s="145"/>
      <c r="S18" s="145"/>
      <c r="W18"/>
      <c r="X18"/>
      <c r="Y18"/>
      <c r="Z18"/>
    </row>
    <row r="19" spans="1:26" s="6" customFormat="1" ht="17.7" customHeight="1" x14ac:dyDescent="0.3">
      <c r="A19" s="384" t="s">
        <v>157</v>
      </c>
      <c r="B19" s="156" t="s">
        <v>166</v>
      </c>
      <c r="C19" s="380" t="s">
        <v>145</v>
      </c>
      <c r="D19" s="97" t="s">
        <v>167</v>
      </c>
      <c r="E19" s="235" t="s">
        <v>147</v>
      </c>
      <c r="F19" s="97" t="s">
        <v>119</v>
      </c>
      <c r="G19" s="144">
        <f t="shared" si="0"/>
        <v>1.0658397654872399E-2</v>
      </c>
      <c r="H19" s="234">
        <v>532.70000000000005</v>
      </c>
      <c r="I19" s="16">
        <f t="shared" si="1"/>
        <v>7457.8000000000011</v>
      </c>
      <c r="J19" s="16">
        <v>1</v>
      </c>
      <c r="K19" s="236">
        <f t="shared" si="2"/>
        <v>2.6635</v>
      </c>
      <c r="L19" s="237">
        <v>5</v>
      </c>
      <c r="M19" s="237"/>
      <c r="N19" s="145"/>
      <c r="O19" s="145"/>
      <c r="P19" s="145"/>
      <c r="Q19" s="145"/>
      <c r="R19" s="145"/>
      <c r="S19" s="145"/>
      <c r="W19"/>
      <c r="X19"/>
      <c r="Y19"/>
      <c r="Z19"/>
    </row>
    <row r="20" spans="1:26" s="6" customFormat="1" ht="17.7" customHeight="1" x14ac:dyDescent="0.3">
      <c r="A20" s="384" t="s">
        <v>157</v>
      </c>
      <c r="B20" s="156" t="s">
        <v>168</v>
      </c>
      <c r="C20" s="380" t="s">
        <v>159</v>
      </c>
      <c r="D20" s="97" t="s">
        <v>169</v>
      </c>
      <c r="E20" s="157" t="s">
        <v>161</v>
      </c>
      <c r="F20" s="97" t="s">
        <v>119</v>
      </c>
      <c r="G20" s="144">
        <f t="shared" si="0"/>
        <v>0.12113057847667945</v>
      </c>
      <c r="H20" s="234">
        <v>6054.03</v>
      </c>
      <c r="I20" s="16">
        <f t="shared" si="1"/>
        <v>84756.42</v>
      </c>
      <c r="J20" s="16">
        <v>1</v>
      </c>
      <c r="K20" s="236">
        <f t="shared" si="2"/>
        <v>151.35075000000001</v>
      </c>
      <c r="L20" s="237">
        <v>25</v>
      </c>
      <c r="M20" s="237"/>
      <c r="N20" s="145"/>
      <c r="O20" s="145"/>
      <c r="P20" s="145"/>
      <c r="Q20" s="145"/>
      <c r="R20" s="145"/>
      <c r="S20" s="145"/>
      <c r="W20"/>
      <c r="X20"/>
      <c r="Y20"/>
      <c r="Z20"/>
    </row>
    <row r="21" spans="1:26" s="6" customFormat="1" ht="17.7" customHeight="1" x14ac:dyDescent="0.3">
      <c r="A21" s="384" t="s">
        <v>157</v>
      </c>
      <c r="B21" s="156" t="s">
        <v>170</v>
      </c>
      <c r="C21" s="380" t="s">
        <v>159</v>
      </c>
      <c r="D21" s="97" t="s">
        <v>171</v>
      </c>
      <c r="E21" s="157" t="s">
        <v>161</v>
      </c>
      <c r="F21" s="97" t="s">
        <v>119</v>
      </c>
      <c r="G21" s="144">
        <f t="shared" si="0"/>
        <v>2.0043269853141404E-2</v>
      </c>
      <c r="H21" s="234">
        <v>1001.75</v>
      </c>
      <c r="I21" s="16">
        <f t="shared" si="1"/>
        <v>14024.5</v>
      </c>
      <c r="J21" s="16">
        <v>1</v>
      </c>
      <c r="K21" s="236">
        <f t="shared" si="2"/>
        <v>25.043749999999999</v>
      </c>
      <c r="L21" s="237">
        <v>25</v>
      </c>
      <c r="M21" s="237"/>
      <c r="N21" s="145"/>
      <c r="O21" s="145"/>
      <c r="P21" s="145"/>
      <c r="Q21" s="145"/>
      <c r="R21" s="145"/>
      <c r="S21" s="145"/>
      <c r="W21"/>
      <c r="X21"/>
      <c r="Y21"/>
      <c r="Z21"/>
    </row>
    <row r="22" spans="1:26" s="6" customFormat="1" ht="17.7" customHeight="1" x14ac:dyDescent="0.3">
      <c r="A22" s="384" t="s">
        <v>157</v>
      </c>
      <c r="B22" s="156" t="s">
        <v>172</v>
      </c>
      <c r="C22" s="380" t="s">
        <v>142</v>
      </c>
      <c r="D22" s="97" t="s">
        <v>173</v>
      </c>
      <c r="E22" s="157" t="s">
        <v>161</v>
      </c>
      <c r="F22" s="97" t="s">
        <v>119</v>
      </c>
      <c r="G22" s="144">
        <f t="shared" si="0"/>
        <v>5.7649786301828118E-3</v>
      </c>
      <c r="H22" s="234">
        <v>288.13</v>
      </c>
      <c r="I22" s="16">
        <f t="shared" si="1"/>
        <v>4033.8199999999997</v>
      </c>
      <c r="J22" s="16">
        <v>1</v>
      </c>
      <c r="K22" s="236">
        <f t="shared" si="2"/>
        <v>1.44065</v>
      </c>
      <c r="L22" s="237">
        <v>5</v>
      </c>
      <c r="M22" s="237"/>
      <c r="N22" s="145"/>
      <c r="O22" s="145"/>
      <c r="P22" s="145"/>
      <c r="Q22" s="145"/>
      <c r="R22" s="145"/>
      <c r="S22" s="145"/>
      <c r="W22"/>
      <c r="X22"/>
      <c r="Y22"/>
      <c r="Z22"/>
    </row>
    <row r="23" spans="1:26" s="6" customFormat="1" ht="17.7" customHeight="1" x14ac:dyDescent="0.3">
      <c r="A23" s="384" t="s">
        <v>157</v>
      </c>
      <c r="B23" s="156" t="s">
        <v>174</v>
      </c>
      <c r="C23" s="380" t="s">
        <v>145</v>
      </c>
      <c r="D23" s="97" t="s">
        <v>175</v>
      </c>
      <c r="E23" s="235" t="s">
        <v>147</v>
      </c>
      <c r="F23" s="97" t="s">
        <v>119</v>
      </c>
      <c r="G23" s="144">
        <f t="shared" si="0"/>
        <v>1.0658397654872399E-2</v>
      </c>
      <c r="H23" s="234">
        <v>532.70000000000005</v>
      </c>
      <c r="I23" s="16">
        <f t="shared" si="1"/>
        <v>7457.8000000000011</v>
      </c>
      <c r="J23" s="16">
        <v>1</v>
      </c>
      <c r="K23" s="236">
        <f t="shared" si="2"/>
        <v>2.6635</v>
      </c>
      <c r="L23" s="237">
        <v>5</v>
      </c>
      <c r="M23" s="237"/>
      <c r="N23" s="145"/>
      <c r="O23" s="145"/>
      <c r="P23" s="145"/>
      <c r="Q23" s="145"/>
      <c r="R23" s="145"/>
      <c r="S23" s="145"/>
      <c r="W23"/>
      <c r="X23"/>
      <c r="Y23"/>
      <c r="Z23"/>
    </row>
    <row r="24" spans="1:26" s="6" customFormat="1" ht="17.7" customHeight="1" x14ac:dyDescent="0.3">
      <c r="A24" s="384" t="s">
        <v>176</v>
      </c>
      <c r="B24" s="156" t="s">
        <v>177</v>
      </c>
      <c r="C24" s="380" t="s">
        <v>159</v>
      </c>
      <c r="D24" s="97" t="s">
        <v>178</v>
      </c>
      <c r="E24" s="157" t="s">
        <v>161</v>
      </c>
      <c r="F24" s="97" t="s">
        <v>119</v>
      </c>
      <c r="G24" s="144">
        <f t="shared" si="0"/>
        <v>4.1115764364376736E-2</v>
      </c>
      <c r="H24" s="234">
        <v>2054.94</v>
      </c>
      <c r="I24" s="16">
        <f t="shared" si="1"/>
        <v>28769.16</v>
      </c>
      <c r="J24" s="16">
        <v>1</v>
      </c>
      <c r="K24" s="236">
        <f t="shared" si="2"/>
        <v>51.3735</v>
      </c>
      <c r="L24" s="237">
        <v>25</v>
      </c>
      <c r="M24" s="237"/>
      <c r="N24" s="145"/>
      <c r="O24" s="145"/>
      <c r="P24" s="145"/>
      <c r="Q24" s="145"/>
      <c r="R24" s="145"/>
      <c r="S24" s="145"/>
      <c r="W24"/>
      <c r="X24"/>
      <c r="Y24"/>
      <c r="Z24"/>
    </row>
    <row r="25" spans="1:26" s="6" customFormat="1" ht="17.7" customHeight="1" x14ac:dyDescent="0.3">
      <c r="A25" s="384" t="s">
        <v>176</v>
      </c>
      <c r="B25" s="156" t="s">
        <v>179</v>
      </c>
      <c r="C25" s="380" t="s">
        <v>127</v>
      </c>
      <c r="D25" s="97" t="s">
        <v>180</v>
      </c>
      <c r="E25" s="235" t="s">
        <v>129</v>
      </c>
      <c r="F25" s="97" t="s">
        <v>119</v>
      </c>
      <c r="G25" s="144">
        <f t="shared" si="0"/>
        <v>2.4211989867019127E-3</v>
      </c>
      <c r="H25" s="234">
        <v>121.01</v>
      </c>
      <c r="I25" s="16">
        <f t="shared" si="1"/>
        <v>1694.14</v>
      </c>
      <c r="J25" s="16">
        <v>1</v>
      </c>
      <c r="K25" s="236">
        <f t="shared" si="2"/>
        <v>0.60505000000000009</v>
      </c>
      <c r="L25" s="237">
        <v>5</v>
      </c>
      <c r="M25" s="237"/>
      <c r="N25" s="145"/>
      <c r="O25" s="145"/>
      <c r="P25" s="145"/>
      <c r="Q25" s="145"/>
      <c r="R25" s="145"/>
      <c r="S25" s="145"/>
      <c r="W25"/>
      <c r="X25"/>
      <c r="Y25"/>
      <c r="Z25"/>
    </row>
    <row r="26" spans="1:26" s="6" customFormat="1" ht="17.7" customHeight="1" x14ac:dyDescent="0.3">
      <c r="A26" s="384" t="s">
        <v>176</v>
      </c>
      <c r="B26" s="156" t="s">
        <v>181</v>
      </c>
      <c r="C26" s="380" t="s">
        <v>127</v>
      </c>
      <c r="D26" s="97" t="s">
        <v>182</v>
      </c>
      <c r="E26" s="235" t="s">
        <v>129</v>
      </c>
      <c r="F26" s="97" t="s">
        <v>119</v>
      </c>
      <c r="G26" s="144">
        <f t="shared" si="0"/>
        <v>1.9610091123597592E-3</v>
      </c>
      <c r="H26" s="234">
        <v>98.01</v>
      </c>
      <c r="I26" s="16">
        <f t="shared" si="1"/>
        <v>1372.14</v>
      </c>
      <c r="J26" s="16">
        <v>1</v>
      </c>
      <c r="K26" s="236">
        <f t="shared" si="2"/>
        <v>0.49004999999999999</v>
      </c>
      <c r="L26" s="237">
        <v>5</v>
      </c>
      <c r="M26" s="237"/>
      <c r="N26" s="145"/>
      <c r="O26" s="145"/>
      <c r="P26" s="145"/>
      <c r="Q26" s="145"/>
      <c r="R26" s="145"/>
      <c r="S26" s="145"/>
      <c r="W26"/>
      <c r="X26"/>
      <c r="Y26"/>
      <c r="Z26"/>
    </row>
    <row r="27" spans="1:26" s="6" customFormat="1" ht="17.7" customHeight="1" x14ac:dyDescent="0.3">
      <c r="A27" s="384" t="s">
        <v>176</v>
      </c>
      <c r="B27" s="156" t="s">
        <v>183</v>
      </c>
      <c r="C27" s="380" t="s">
        <v>184</v>
      </c>
      <c r="D27" s="97" t="s">
        <v>185</v>
      </c>
      <c r="E27" s="157" t="s">
        <v>161</v>
      </c>
      <c r="F27" s="97" t="s">
        <v>119</v>
      </c>
      <c r="G27" s="144">
        <f t="shared" si="0"/>
        <v>2.3952482794400966E-2</v>
      </c>
      <c r="H27" s="234">
        <v>1197.1300000000001</v>
      </c>
      <c r="I27" s="16">
        <f t="shared" si="1"/>
        <v>16759.82</v>
      </c>
      <c r="J27" s="16">
        <v>1</v>
      </c>
      <c r="K27" s="236">
        <f t="shared" si="2"/>
        <v>11.971300000000001</v>
      </c>
      <c r="L27" s="237">
        <v>10</v>
      </c>
      <c r="M27" s="237"/>
      <c r="N27" s="145"/>
      <c r="O27" s="145"/>
      <c r="P27" s="145"/>
      <c r="Q27" s="145"/>
      <c r="R27" s="145"/>
      <c r="S27" s="145"/>
      <c r="W27"/>
      <c r="X27"/>
      <c r="Y27"/>
      <c r="Z27"/>
    </row>
    <row r="28" spans="1:26" s="6" customFormat="1" ht="17.7" customHeight="1" x14ac:dyDescent="0.3">
      <c r="A28" s="384" t="s">
        <v>176</v>
      </c>
      <c r="B28" s="156" t="s">
        <v>186</v>
      </c>
      <c r="C28" s="380" t="s">
        <v>145</v>
      </c>
      <c r="D28" s="97" t="s">
        <v>187</v>
      </c>
      <c r="E28" s="235" t="s">
        <v>147</v>
      </c>
      <c r="F28" s="97" t="s">
        <v>119</v>
      </c>
      <c r="G28" s="144">
        <f t="shared" si="0"/>
        <v>1.1265648206449978E-2</v>
      </c>
      <c r="H28" s="234">
        <v>563.04999999999995</v>
      </c>
      <c r="I28" s="16">
        <f t="shared" si="1"/>
        <v>7882.6999999999989</v>
      </c>
      <c r="J28" s="16">
        <v>1</v>
      </c>
      <c r="K28" s="236">
        <f t="shared" si="2"/>
        <v>2.8152499999999998</v>
      </c>
      <c r="L28" s="237">
        <v>5</v>
      </c>
      <c r="M28" s="237"/>
      <c r="N28" s="145"/>
      <c r="O28" s="145"/>
      <c r="P28" s="145"/>
      <c r="Q28" s="145"/>
      <c r="R28" s="145"/>
      <c r="S28" s="145"/>
      <c r="W28"/>
      <c r="X28"/>
      <c r="Y28"/>
      <c r="Z28"/>
    </row>
    <row r="29" spans="1:26" s="6" customFormat="1" ht="17.7" customHeight="1" x14ac:dyDescent="0.3">
      <c r="A29" s="384" t="s">
        <v>176</v>
      </c>
      <c r="B29" s="156" t="s">
        <v>188</v>
      </c>
      <c r="C29" s="380" t="s">
        <v>149</v>
      </c>
      <c r="D29" s="97" t="s">
        <v>189</v>
      </c>
      <c r="E29" s="157" t="s">
        <v>161</v>
      </c>
      <c r="F29" s="97" t="s">
        <v>119</v>
      </c>
      <c r="G29" s="144">
        <f t="shared" si="0"/>
        <v>7.6199439888898143E-3</v>
      </c>
      <c r="H29" s="234">
        <v>380.84</v>
      </c>
      <c r="I29" s="16">
        <f t="shared" si="1"/>
        <v>5331.7599999999993</v>
      </c>
      <c r="J29" s="16">
        <v>1</v>
      </c>
      <c r="K29" s="236">
        <f t="shared" si="2"/>
        <v>1.9041999999999999</v>
      </c>
      <c r="L29" s="237">
        <v>5</v>
      </c>
      <c r="M29" s="237"/>
      <c r="N29" s="145"/>
      <c r="O29" s="145"/>
      <c r="P29" s="145"/>
      <c r="Q29" s="145"/>
      <c r="R29" s="145"/>
      <c r="S29" s="145"/>
      <c r="W29"/>
      <c r="X29"/>
      <c r="Y29"/>
      <c r="Z29"/>
    </row>
    <row r="30" spans="1:26" s="6" customFormat="1" ht="17.7" customHeight="1" x14ac:dyDescent="0.3">
      <c r="A30" s="384" t="s">
        <v>176</v>
      </c>
      <c r="B30" s="156" t="s">
        <v>190</v>
      </c>
      <c r="C30" s="380" t="s">
        <v>159</v>
      </c>
      <c r="D30" s="97" t="s">
        <v>191</v>
      </c>
      <c r="E30" s="157" t="s">
        <v>161</v>
      </c>
      <c r="F30" s="97" t="s">
        <v>119</v>
      </c>
      <c r="G30" s="144">
        <f t="shared" si="0"/>
        <v>6.5068047076223642E-2</v>
      </c>
      <c r="H30" s="234">
        <v>3252.06</v>
      </c>
      <c r="I30" s="16">
        <f t="shared" si="1"/>
        <v>45528.84</v>
      </c>
      <c r="J30" s="16">
        <v>1</v>
      </c>
      <c r="K30" s="236">
        <f t="shared" si="2"/>
        <v>81.301500000000004</v>
      </c>
      <c r="L30" s="237">
        <v>25</v>
      </c>
      <c r="M30" s="237"/>
      <c r="N30" s="145"/>
      <c r="O30" s="145"/>
      <c r="P30" s="145"/>
      <c r="Q30" s="145"/>
      <c r="R30" s="145"/>
      <c r="S30" s="145"/>
      <c r="W30"/>
      <c r="X30"/>
      <c r="Y30"/>
      <c r="Z30"/>
    </row>
    <row r="31" spans="1:26" s="6" customFormat="1" ht="17.7" customHeight="1" x14ac:dyDescent="0.3">
      <c r="A31" s="384" t="s">
        <v>176</v>
      </c>
      <c r="B31" s="156" t="s">
        <v>192</v>
      </c>
      <c r="C31" s="380" t="s">
        <v>159</v>
      </c>
      <c r="D31" s="97" t="s">
        <v>193</v>
      </c>
      <c r="E31" s="157" t="s">
        <v>161</v>
      </c>
      <c r="F31" s="97" t="s">
        <v>119</v>
      </c>
      <c r="G31" s="144">
        <f t="shared" si="0"/>
        <v>7.6199439888898143E-3</v>
      </c>
      <c r="H31" s="234">
        <v>380.84</v>
      </c>
      <c r="I31" s="16">
        <f t="shared" si="1"/>
        <v>5331.7599999999993</v>
      </c>
      <c r="J31" s="16">
        <v>1</v>
      </c>
      <c r="K31" s="236">
        <f t="shared" si="2"/>
        <v>9.5210000000000008</v>
      </c>
      <c r="L31" s="237">
        <v>25</v>
      </c>
      <c r="M31" s="237"/>
      <c r="N31" s="145"/>
      <c r="O31" s="145"/>
      <c r="P31" s="145"/>
      <c r="Q31" s="145"/>
      <c r="R31" s="145"/>
      <c r="S31" s="145"/>
    </row>
    <row r="32" spans="1:26" s="6" customFormat="1" ht="17.7" customHeight="1" x14ac:dyDescent="0.3">
      <c r="A32" s="384" t="s">
        <v>176</v>
      </c>
      <c r="B32" s="156" t="s">
        <v>194</v>
      </c>
      <c r="C32" s="380" t="s">
        <v>127</v>
      </c>
      <c r="D32" s="97" t="s">
        <v>195</v>
      </c>
      <c r="E32" s="235" t="s">
        <v>129</v>
      </c>
      <c r="F32" s="97" t="s">
        <v>119</v>
      </c>
      <c r="G32" s="144">
        <f t="shared" si="0"/>
        <v>2.4211989867019127E-3</v>
      </c>
      <c r="H32" s="234">
        <v>121.01</v>
      </c>
      <c r="I32" s="16">
        <f t="shared" si="1"/>
        <v>1694.14</v>
      </c>
      <c r="J32" s="16">
        <v>1</v>
      </c>
      <c r="K32" s="236">
        <f t="shared" si="2"/>
        <v>0.60505000000000009</v>
      </c>
      <c r="L32" s="237">
        <v>5</v>
      </c>
      <c r="M32" s="237"/>
      <c r="N32" s="145"/>
      <c r="O32" s="145"/>
      <c r="P32" s="145"/>
      <c r="Q32" s="145"/>
      <c r="R32" s="145"/>
      <c r="S32" s="145"/>
    </row>
    <row r="33" spans="1:29" s="6" customFormat="1" ht="17.7" customHeight="1" x14ac:dyDescent="0.3">
      <c r="A33" s="384" t="s">
        <v>176</v>
      </c>
      <c r="B33" s="156" t="s">
        <v>196</v>
      </c>
      <c r="C33" s="380" t="s">
        <v>145</v>
      </c>
      <c r="D33" s="97" t="s">
        <v>197</v>
      </c>
      <c r="E33" s="235" t="s">
        <v>147</v>
      </c>
      <c r="F33" s="97" t="s">
        <v>119</v>
      </c>
      <c r="G33" s="144">
        <f t="shared" si="0"/>
        <v>1.1265648206449978E-2</v>
      </c>
      <c r="H33" s="234">
        <v>563.04999999999995</v>
      </c>
      <c r="I33" s="16">
        <f t="shared" si="1"/>
        <v>7882.6999999999989</v>
      </c>
      <c r="J33" s="16">
        <v>1</v>
      </c>
      <c r="K33" s="236">
        <f t="shared" si="2"/>
        <v>2.8152499999999998</v>
      </c>
      <c r="L33" s="237">
        <v>5</v>
      </c>
      <c r="M33" s="237"/>
      <c r="N33" s="145"/>
      <c r="O33" s="145"/>
      <c r="P33" s="145"/>
      <c r="Q33" s="145"/>
      <c r="R33" s="145"/>
      <c r="S33" s="145"/>
      <c r="W33" s="145"/>
      <c r="X33" s="145"/>
      <c r="Y33" s="145"/>
      <c r="Z33" s="145"/>
    </row>
    <row r="34" spans="1:29" s="6" customFormat="1" ht="17.7" customHeight="1" x14ac:dyDescent="0.3">
      <c r="A34" s="384" t="s">
        <v>176</v>
      </c>
      <c r="B34" s="156" t="s">
        <v>198</v>
      </c>
      <c r="C34" s="380" t="s">
        <v>149</v>
      </c>
      <c r="D34" s="97" t="s">
        <v>199</v>
      </c>
      <c r="E34" s="157" t="s">
        <v>161</v>
      </c>
      <c r="F34" s="97" t="s">
        <v>119</v>
      </c>
      <c r="G34" s="144">
        <f t="shared" si="0"/>
        <v>1.9610091123597592E-3</v>
      </c>
      <c r="H34" s="234">
        <v>98.01</v>
      </c>
      <c r="I34" s="16">
        <f t="shared" si="1"/>
        <v>1372.14</v>
      </c>
      <c r="J34" s="16">
        <v>1</v>
      </c>
      <c r="K34" s="236">
        <f t="shared" si="2"/>
        <v>0.49004999999999999</v>
      </c>
      <c r="L34" s="237">
        <v>5</v>
      </c>
      <c r="M34" s="237"/>
      <c r="N34" s="145"/>
      <c r="O34" s="145"/>
      <c r="P34" s="145"/>
      <c r="Q34" s="145"/>
      <c r="R34" s="145"/>
      <c r="S34" s="145"/>
    </row>
    <row r="35" spans="1:29" s="6" customFormat="1" ht="17.7" customHeight="1" x14ac:dyDescent="0.3">
      <c r="A35" s="384" t="s">
        <v>200</v>
      </c>
      <c r="B35" s="156" t="s">
        <v>201</v>
      </c>
      <c r="C35" s="380" t="s">
        <v>159</v>
      </c>
      <c r="D35" s="97" t="s">
        <v>202</v>
      </c>
      <c r="E35" s="157" t="s">
        <v>161</v>
      </c>
      <c r="F35" s="97" t="s">
        <v>119</v>
      </c>
      <c r="G35" s="144">
        <f t="shared" si="0"/>
        <v>0.10993615965947548</v>
      </c>
      <c r="H35" s="234">
        <v>5494.54</v>
      </c>
      <c r="I35" s="16">
        <f t="shared" si="1"/>
        <v>76923.56</v>
      </c>
      <c r="J35" s="16">
        <v>1</v>
      </c>
      <c r="K35" s="236">
        <f t="shared" si="2"/>
        <v>137.36349999999999</v>
      </c>
      <c r="L35" s="237">
        <v>25</v>
      </c>
      <c r="M35" s="237"/>
      <c r="N35" s="145"/>
      <c r="O35" s="145"/>
      <c r="P35" s="145"/>
      <c r="Q35" s="145"/>
      <c r="R35" s="145"/>
      <c r="S35" s="145"/>
    </row>
    <row r="36" spans="1:29" s="6" customFormat="1" ht="17.7" customHeight="1" x14ac:dyDescent="0.3">
      <c r="A36" s="384" t="s">
        <v>200</v>
      </c>
      <c r="B36" s="156" t="s">
        <v>203</v>
      </c>
      <c r="C36" s="380" t="s">
        <v>159</v>
      </c>
      <c r="D36" s="97" t="s">
        <v>204</v>
      </c>
      <c r="E36" s="157" t="s">
        <v>161</v>
      </c>
      <c r="F36" s="97" t="s">
        <v>119</v>
      </c>
      <c r="G36" s="144">
        <f t="shared" si="0"/>
        <v>2.8814688940656911E-2</v>
      </c>
      <c r="H36" s="234">
        <v>1440.14</v>
      </c>
      <c r="I36" s="16">
        <f t="shared" si="1"/>
        <v>20161.960000000003</v>
      </c>
      <c r="J36" s="16">
        <v>1</v>
      </c>
      <c r="K36" s="236">
        <f t="shared" si="2"/>
        <v>36.003500000000003</v>
      </c>
      <c r="L36" s="237">
        <v>25</v>
      </c>
      <c r="M36" s="237"/>
      <c r="N36" s="145"/>
      <c r="O36"/>
      <c r="P36" s="145"/>
      <c r="Q36" s="145"/>
      <c r="R36" s="145"/>
      <c r="S36" s="145"/>
    </row>
    <row r="37" spans="1:29" s="6" customFormat="1" ht="17.7" customHeight="1" x14ac:dyDescent="0.3">
      <c r="A37" s="384" t="s">
        <v>200</v>
      </c>
      <c r="B37" s="156" t="s">
        <v>205</v>
      </c>
      <c r="C37" s="380" t="s">
        <v>127</v>
      </c>
      <c r="D37" s="97" t="s">
        <v>206</v>
      </c>
      <c r="E37" s="235" t="s">
        <v>129</v>
      </c>
      <c r="F37" s="97" t="s">
        <v>119</v>
      </c>
      <c r="G37" s="144">
        <f t="shared" si="0"/>
        <v>3.4188106012540769E-3</v>
      </c>
      <c r="H37" s="234">
        <v>170.87</v>
      </c>
      <c r="I37" s="16">
        <f t="shared" si="1"/>
        <v>2392.1800000000003</v>
      </c>
      <c r="J37" s="16">
        <v>1</v>
      </c>
      <c r="K37" s="236">
        <f t="shared" si="2"/>
        <v>0.85435000000000005</v>
      </c>
      <c r="L37" s="237">
        <v>5</v>
      </c>
      <c r="M37" s="237"/>
      <c r="N37" s="145"/>
      <c r="O37" s="145"/>
      <c r="P37" s="145"/>
      <c r="Q37" s="145"/>
      <c r="R37" s="145"/>
      <c r="S37" s="145"/>
    </row>
    <row r="38" spans="1:29" s="6" customFormat="1" ht="17.7" customHeight="1" x14ac:dyDescent="0.3">
      <c r="A38" s="384" t="s">
        <v>200</v>
      </c>
      <c r="B38" s="156" t="s">
        <v>207</v>
      </c>
      <c r="C38" s="380" t="s">
        <v>127</v>
      </c>
      <c r="D38" s="97" t="s">
        <v>208</v>
      </c>
      <c r="E38" s="235" t="s">
        <v>129</v>
      </c>
      <c r="F38" s="97" t="s">
        <v>119</v>
      </c>
      <c r="G38" s="144">
        <f t="shared" si="0"/>
        <v>1.7103056721203165E-3</v>
      </c>
      <c r="H38" s="234">
        <v>85.48</v>
      </c>
      <c r="I38" s="16">
        <f t="shared" si="1"/>
        <v>1196.72</v>
      </c>
      <c r="J38" s="16">
        <v>1</v>
      </c>
      <c r="K38" s="236">
        <f t="shared" si="2"/>
        <v>0.42740000000000006</v>
      </c>
      <c r="L38" s="237">
        <v>5</v>
      </c>
      <c r="M38" s="237"/>
      <c r="N38" s="145"/>
      <c r="O38" s="145"/>
      <c r="P38" s="145"/>
      <c r="Q38" s="145"/>
      <c r="R38" s="145"/>
      <c r="S38" s="145"/>
    </row>
    <row r="39" spans="1:29" s="6" customFormat="1" ht="17.7" customHeight="1" x14ac:dyDescent="0.3">
      <c r="A39" s="384" t="s">
        <v>200</v>
      </c>
      <c r="B39" s="156" t="s">
        <v>209</v>
      </c>
      <c r="C39" s="380" t="s">
        <v>145</v>
      </c>
      <c r="D39" s="97" t="s">
        <v>210</v>
      </c>
      <c r="E39" s="235" t="s">
        <v>147</v>
      </c>
      <c r="F39" s="97" t="s">
        <v>119</v>
      </c>
      <c r="G39" s="144">
        <f t="shared" si="0"/>
        <v>5.3227961857062207E-3</v>
      </c>
      <c r="H39" s="234">
        <v>266.02999999999997</v>
      </c>
      <c r="I39" s="16">
        <f t="shared" si="1"/>
        <v>3724.4199999999996</v>
      </c>
      <c r="J39" s="16">
        <v>1</v>
      </c>
      <c r="K39" s="236">
        <f t="shared" si="2"/>
        <v>1.3301499999999999</v>
      </c>
      <c r="L39" s="237">
        <v>5</v>
      </c>
      <c r="M39" s="237"/>
      <c r="N39" s="145"/>
      <c r="O39" s="145"/>
      <c r="P39" s="145"/>
      <c r="Q39" s="145"/>
      <c r="R39" s="145"/>
      <c r="S39" s="145"/>
    </row>
    <row r="40" spans="1:29" s="6" customFormat="1" ht="17.7" customHeight="1" x14ac:dyDescent="0.3">
      <c r="A40" s="384" t="s">
        <v>200</v>
      </c>
      <c r="B40" s="156" t="s">
        <v>211</v>
      </c>
      <c r="C40" s="380" t="s">
        <v>149</v>
      </c>
      <c r="D40" s="97" t="s">
        <v>212</v>
      </c>
      <c r="E40" s="157" t="s">
        <v>161</v>
      </c>
      <c r="F40" s="97" t="s">
        <v>119</v>
      </c>
      <c r="G40" s="144">
        <f t="shared" si="0"/>
        <v>2.3685772749836576E-2</v>
      </c>
      <c r="H40" s="234">
        <v>1183.8</v>
      </c>
      <c r="I40" s="16">
        <f t="shared" si="1"/>
        <v>16573.2</v>
      </c>
      <c r="J40" s="16">
        <v>1</v>
      </c>
      <c r="K40" s="236">
        <f t="shared" si="2"/>
        <v>5.9189999999999996</v>
      </c>
      <c r="L40" s="237">
        <v>5</v>
      </c>
      <c r="M40" s="237"/>
      <c r="N40" s="145"/>
      <c r="O40" s="145"/>
      <c r="P40" s="145"/>
      <c r="Q40" s="145"/>
      <c r="R40" s="145"/>
      <c r="S40" s="145"/>
    </row>
    <row r="41" spans="1:29" s="5" customFormat="1" ht="42" customHeight="1" x14ac:dyDescent="0.3">
      <c r="A41" s="385" t="s">
        <v>213</v>
      </c>
      <c r="B41" s="97" t="s">
        <v>214</v>
      </c>
      <c r="C41" s="381" t="s">
        <v>215</v>
      </c>
      <c r="D41" s="97" t="s">
        <v>216</v>
      </c>
      <c r="E41" s="578" t="s">
        <v>217</v>
      </c>
      <c r="F41" s="98" t="s">
        <v>218</v>
      </c>
      <c r="G41" s="401">
        <f>H41/$H$41</f>
        <v>1</v>
      </c>
      <c r="H41" s="98">
        <f>SUM(H3:H40)</f>
        <v>49979.37000000001</v>
      </c>
      <c r="I41" s="98">
        <f>SUM(I3:I40)</f>
        <v>772066.42999999993</v>
      </c>
      <c r="J41" s="98"/>
      <c r="K41" s="402">
        <f>SUM(K3:K40)</f>
        <v>1068.3274800000004</v>
      </c>
      <c r="L41" s="413"/>
      <c r="M41" s="237"/>
      <c r="N41"/>
      <c r="O41"/>
      <c r="P41"/>
      <c r="Q41" s="145"/>
      <c r="R41" s="145"/>
      <c r="S41" s="145"/>
      <c r="T41" s="145"/>
      <c r="U41" s="145"/>
      <c r="V41" s="145"/>
      <c r="AA41" s="128"/>
      <c r="AB41" s="128"/>
      <c r="AC41" s="128"/>
    </row>
    <row r="42" spans="1:29" ht="18" x14ac:dyDescent="0.3">
      <c r="H42" s="18"/>
      <c r="I42" s="18"/>
      <c r="J42" s="18"/>
      <c r="K42" s="18"/>
      <c r="L42" s="19"/>
      <c r="M42"/>
      <c r="N42"/>
      <c r="O42"/>
      <c r="P42"/>
      <c r="Q42" s="145"/>
      <c r="R42" s="145"/>
      <c r="AA42" s="128"/>
      <c r="AB42" s="128"/>
      <c r="AC42" s="128"/>
    </row>
    <row r="43" spans="1:29" ht="18" x14ac:dyDescent="0.3">
      <c r="B43" s="5"/>
      <c r="C43" s="5"/>
      <c r="D43" s="5"/>
      <c r="E43" s="5"/>
      <c r="F43" s="5"/>
      <c r="G43" s="5"/>
      <c r="H43" s="20"/>
      <c r="J43" s="18"/>
      <c r="K43" s="208"/>
      <c r="L43" s="18"/>
      <c r="M43"/>
      <c r="N43"/>
      <c r="O43" s="623" t="s">
        <v>219</v>
      </c>
      <c r="P43" s="624"/>
      <c r="Q43" s="624"/>
      <c r="R43" s="625"/>
      <c r="AA43" s="128"/>
      <c r="AB43" s="128"/>
      <c r="AC43" s="128"/>
    </row>
    <row r="44" spans="1:29" ht="18" x14ac:dyDescent="0.3">
      <c r="B44" s="9"/>
      <c r="C44" s="9"/>
      <c r="D44" s="9"/>
      <c r="E44" s="9"/>
      <c r="F44" s="9"/>
      <c r="H44" s="126"/>
      <c r="I44" s="18"/>
      <c r="J44" s="18"/>
      <c r="K44" s="18"/>
      <c r="L44" s="18"/>
      <c r="M44"/>
      <c r="N44"/>
      <c r="O44" s="626" t="s">
        <v>220</v>
      </c>
      <c r="P44" s="627"/>
      <c r="Q44" s="627"/>
      <c r="R44" s="284" t="s">
        <v>221</v>
      </c>
      <c r="AA44" s="128"/>
      <c r="AB44" s="128"/>
      <c r="AC44" s="128"/>
    </row>
    <row r="45" spans="1:29" ht="18" x14ac:dyDescent="0.3">
      <c r="B45" s="21"/>
      <c r="C45" s="21"/>
      <c r="D45" s="21"/>
      <c r="E45" s="21"/>
      <c r="F45" s="21"/>
      <c r="H45" s="18"/>
      <c r="I45" s="18"/>
      <c r="J45" s="18"/>
      <c r="K45" s="18"/>
      <c r="L45" s="18"/>
      <c r="O45" s="619" t="s">
        <v>116</v>
      </c>
      <c r="P45" s="620"/>
      <c r="Q45" s="620"/>
      <c r="R45" s="285">
        <f t="shared" ref="R45:R57" si="3">SUMIF($C$3:$C$40,O45,$G$3:$G$40)</f>
        <v>1.1508748509635075E-2</v>
      </c>
      <c r="AA45" s="128"/>
      <c r="AB45" s="128"/>
      <c r="AC45" s="128"/>
    </row>
    <row r="46" spans="1:29" ht="18" x14ac:dyDescent="0.3">
      <c r="B46" s="18"/>
      <c r="C46" s="18"/>
      <c r="D46" s="18"/>
      <c r="E46" s="18"/>
      <c r="F46" s="18"/>
      <c r="H46" s="18"/>
      <c r="I46" s="18"/>
      <c r="J46" s="18"/>
      <c r="K46" s="18"/>
      <c r="L46" s="18"/>
      <c r="O46" s="619" t="s">
        <v>121</v>
      </c>
      <c r="P46" s="620"/>
      <c r="Q46" s="620"/>
      <c r="R46" s="285">
        <f t="shared" si="3"/>
        <v>0.14379793102634145</v>
      </c>
      <c r="AA46" s="128"/>
      <c r="AB46" s="128"/>
      <c r="AC46" s="128"/>
    </row>
    <row r="47" spans="1:29" ht="18" x14ac:dyDescent="0.3">
      <c r="B47" s="18"/>
      <c r="C47" s="18"/>
      <c r="D47" s="18"/>
      <c r="E47" s="18"/>
      <c r="F47" s="18"/>
      <c r="H47" s="18"/>
      <c r="I47" s="18"/>
      <c r="J47" s="18"/>
      <c r="K47" s="18"/>
      <c r="L47" s="18"/>
      <c r="O47" s="619" t="s">
        <v>124</v>
      </c>
      <c r="P47" s="620"/>
      <c r="Q47" s="620"/>
      <c r="R47" s="285">
        <f t="shared" si="3"/>
        <v>2.3239988819386874E-2</v>
      </c>
      <c r="AA47" s="128"/>
      <c r="AB47" s="128"/>
      <c r="AC47" s="128"/>
    </row>
    <row r="48" spans="1:29" ht="14.4" customHeight="1" x14ac:dyDescent="0.3">
      <c r="H48" s="18"/>
      <c r="I48" s="18"/>
      <c r="J48" s="18"/>
      <c r="K48" s="18"/>
      <c r="L48" s="18"/>
      <c r="O48" s="619" t="s">
        <v>127</v>
      </c>
      <c r="P48" s="620"/>
      <c r="Q48" s="620"/>
      <c r="R48" s="285">
        <f t="shared" si="3"/>
        <v>2.4306428832536298E-2</v>
      </c>
    </row>
    <row r="49" spans="2:19" ht="14.4" customHeight="1" x14ac:dyDescent="0.3">
      <c r="H49" s="18"/>
      <c r="I49" s="18"/>
      <c r="J49" s="18"/>
      <c r="K49" s="18"/>
      <c r="L49" s="18"/>
      <c r="O49" s="619" t="s">
        <v>133</v>
      </c>
      <c r="P49" s="620"/>
      <c r="Q49" s="620"/>
      <c r="R49" s="285">
        <f t="shared" si="3"/>
        <v>2.9157030190656658E-2</v>
      </c>
    </row>
    <row r="50" spans="2:19" ht="14.4" customHeight="1" x14ac:dyDescent="0.3">
      <c r="H50" s="18"/>
      <c r="I50" s="18"/>
      <c r="J50" s="18"/>
      <c r="K50" s="18"/>
      <c r="L50" s="18"/>
      <c r="O50" s="619" t="s">
        <v>137</v>
      </c>
      <c r="P50" s="620"/>
      <c r="Q50" s="620"/>
      <c r="R50" s="285">
        <f t="shared" si="3"/>
        <v>2.4839648839111012E-2</v>
      </c>
    </row>
    <row r="51" spans="2:19" ht="14.4" customHeight="1" x14ac:dyDescent="0.3">
      <c r="H51" s="18"/>
      <c r="I51" s="18"/>
      <c r="J51" s="18"/>
      <c r="K51" s="18"/>
      <c r="L51" s="18"/>
      <c r="O51" s="619" t="s">
        <v>142</v>
      </c>
      <c r="P51" s="620"/>
      <c r="Q51" s="620"/>
      <c r="R51" s="285">
        <f t="shared" si="3"/>
        <v>3.2505611815435043E-2</v>
      </c>
    </row>
    <row r="52" spans="2:19" ht="14.4" customHeight="1" x14ac:dyDescent="0.3">
      <c r="H52" s="18"/>
      <c r="I52" s="18"/>
      <c r="J52" s="18"/>
      <c r="K52" s="18"/>
      <c r="L52" s="18"/>
      <c r="O52" s="619" t="s">
        <v>145</v>
      </c>
      <c r="P52" s="620"/>
      <c r="Q52" s="620"/>
      <c r="R52" s="285">
        <f t="shared" si="3"/>
        <v>6.7201727432738737E-2</v>
      </c>
    </row>
    <row r="53" spans="2:19" ht="14.4" customHeight="1" x14ac:dyDescent="0.3">
      <c r="H53" s="18"/>
      <c r="I53" s="18"/>
      <c r="J53" s="18"/>
      <c r="K53" s="18"/>
      <c r="L53" s="18"/>
      <c r="O53" s="619" t="s">
        <v>149</v>
      </c>
      <c r="P53" s="620"/>
      <c r="Q53" s="620"/>
      <c r="R53" s="285">
        <f t="shared" si="3"/>
        <v>5.8231626369039849E-2</v>
      </c>
    </row>
    <row r="54" spans="2:19" ht="14.4" customHeight="1" x14ac:dyDescent="0.3">
      <c r="H54" s="18"/>
      <c r="I54" s="18"/>
      <c r="J54" s="18"/>
      <c r="K54" s="18"/>
      <c r="L54" s="18"/>
      <c r="O54" s="619" t="s">
        <v>152</v>
      </c>
      <c r="P54" s="620"/>
      <c r="Q54" s="620"/>
      <c r="R54" s="285">
        <f t="shared" si="3"/>
        <v>5.0364780508437767E-3</v>
      </c>
    </row>
    <row r="55" spans="2:19" ht="14.4" customHeight="1" x14ac:dyDescent="0.3">
      <c r="H55" s="18"/>
      <c r="I55" s="18"/>
      <c r="J55" s="18"/>
      <c r="K55" s="18"/>
      <c r="L55" s="18"/>
      <c r="O55" s="619" t="s">
        <v>155</v>
      </c>
      <c r="P55" s="620"/>
      <c r="Q55" s="620"/>
      <c r="R55" s="285">
        <f t="shared" si="3"/>
        <v>2.1319996630609784E-2</v>
      </c>
    </row>
    <row r="56" spans="2:19" ht="14.4" customHeight="1" x14ac:dyDescent="0.3">
      <c r="H56" s="18"/>
      <c r="I56" s="18"/>
      <c r="J56" s="18"/>
      <c r="K56" s="18"/>
      <c r="L56" s="18"/>
      <c r="O56" s="619" t="s">
        <v>159</v>
      </c>
      <c r="P56" s="620"/>
      <c r="Q56" s="620"/>
      <c r="R56" s="285">
        <f t="shared" si="3"/>
        <v>0.53490230068926425</v>
      </c>
    </row>
    <row r="57" spans="2:19" ht="14.4" customHeight="1" x14ac:dyDescent="0.3">
      <c r="H57" s="18"/>
      <c r="I57" s="18"/>
      <c r="J57" s="18"/>
      <c r="K57" s="18"/>
      <c r="L57" s="18"/>
      <c r="O57" s="619" t="s">
        <v>184</v>
      </c>
      <c r="P57" s="620"/>
      <c r="Q57" s="620"/>
      <c r="R57" s="285">
        <f t="shared" si="3"/>
        <v>2.3952482794400966E-2</v>
      </c>
    </row>
    <row r="58" spans="2:19" ht="14.4" customHeight="1" x14ac:dyDescent="0.3">
      <c r="H58" s="18"/>
      <c r="I58" s="18"/>
      <c r="J58" s="18"/>
      <c r="K58" s="18"/>
      <c r="L58" s="18"/>
      <c r="O58" s="621" t="s">
        <v>222</v>
      </c>
      <c r="P58" s="622"/>
      <c r="Q58" s="622"/>
      <c r="R58" s="286">
        <f>SUM(R45:R57)</f>
        <v>0.99999999999999978</v>
      </c>
    </row>
    <row r="59" spans="2:19" ht="14.4" customHeight="1" x14ac:dyDescent="0.25">
      <c r="H59" s="18"/>
      <c r="I59" s="18"/>
      <c r="J59" s="18"/>
      <c r="K59" s="18"/>
      <c r="L59" s="18"/>
      <c r="Q59" s="35"/>
      <c r="R59" s="35"/>
    </row>
    <row r="60" spans="2:19" ht="14.4" customHeight="1" x14ac:dyDescent="0.25">
      <c r="H60" s="18"/>
      <c r="I60" s="18"/>
      <c r="J60" s="18"/>
      <c r="K60" s="18"/>
      <c r="L60" s="18"/>
      <c r="Q60" s="35"/>
      <c r="R60" s="35"/>
    </row>
    <row r="61" spans="2:19" ht="14.4" customHeight="1" x14ac:dyDescent="0.25">
      <c r="H61" s="18"/>
      <c r="I61" s="18"/>
      <c r="J61" s="18"/>
      <c r="K61" s="18"/>
      <c r="L61" s="18"/>
      <c r="Q61" s="35"/>
      <c r="R61" s="35"/>
    </row>
    <row r="62" spans="2:19" ht="14.4" customHeight="1" x14ac:dyDescent="0.25">
      <c r="B62" s="17"/>
      <c r="C62" s="17"/>
      <c r="D62" s="17"/>
      <c r="E62" s="17"/>
      <c r="F62" s="17"/>
      <c r="G62" s="17"/>
      <c r="Q62" s="35"/>
      <c r="R62" s="35"/>
      <c r="S62" s="35"/>
    </row>
    <row r="63" spans="2:19" ht="14.4" customHeight="1" x14ac:dyDescent="0.25">
      <c r="Q63" s="35"/>
      <c r="R63" s="35"/>
      <c r="S63" s="35"/>
    </row>
    <row r="64" spans="2:19" ht="14.4" customHeight="1" x14ac:dyDescent="0.25">
      <c r="Q64" s="35"/>
      <c r="R64" s="35"/>
      <c r="S64" s="35"/>
    </row>
    <row r="65" spans="6:20" ht="14.4" customHeight="1" x14ac:dyDescent="0.25">
      <c r="Q65" s="35"/>
      <c r="R65" s="35"/>
      <c r="S65" s="35"/>
    </row>
    <row r="66" spans="6:20" ht="14.4" customHeight="1" x14ac:dyDescent="0.25">
      <c r="Q66" s="35"/>
      <c r="R66" s="35"/>
      <c r="S66" s="35"/>
    </row>
    <row r="67" spans="6:20" ht="14.4" customHeight="1" x14ac:dyDescent="0.25">
      <c r="Q67" s="35"/>
      <c r="R67" s="35"/>
      <c r="S67" s="35"/>
    </row>
    <row r="68" spans="6:20" ht="14.4" customHeight="1" x14ac:dyDescent="0.25">
      <c r="Q68" s="35"/>
      <c r="R68" s="35"/>
      <c r="S68" s="35"/>
    </row>
    <row r="69" spans="6:20" ht="14.4" customHeight="1" x14ac:dyDescent="0.25">
      <c r="Q69" s="35"/>
      <c r="R69" s="35"/>
      <c r="S69" s="35"/>
    </row>
    <row r="70" spans="6:20" ht="14.4" customHeight="1" x14ac:dyDescent="0.25">
      <c r="Q70" s="35"/>
      <c r="R70" s="35"/>
      <c r="S70" s="35"/>
    </row>
    <row r="71" spans="6:20" ht="14.4" customHeight="1" x14ac:dyDescent="0.25">
      <c r="Q71" s="35"/>
      <c r="R71" s="35"/>
      <c r="S71" s="35"/>
    </row>
    <row r="72" spans="6:20" ht="14.4" customHeight="1" x14ac:dyDescent="0.25">
      <c r="Q72" s="35"/>
      <c r="R72" s="35"/>
      <c r="S72" s="35"/>
      <c r="T72" s="146"/>
    </row>
    <row r="73" spans="6:20" ht="14.4" customHeight="1" x14ac:dyDescent="0.25">
      <c r="Q73" s="35"/>
      <c r="R73" s="35"/>
      <c r="S73" s="35"/>
      <c r="T73" s="146"/>
    </row>
    <row r="74" spans="6:20" ht="14.4" customHeight="1" x14ac:dyDescent="0.25">
      <c r="Q74" s="35"/>
      <c r="R74" s="35"/>
      <c r="S74" s="35"/>
      <c r="T74" s="146"/>
    </row>
    <row r="75" spans="6:20" ht="14.4" customHeight="1" x14ac:dyDescent="0.25">
      <c r="Q75" s="35"/>
      <c r="R75" s="35"/>
      <c r="S75" s="35"/>
      <c r="T75" s="146"/>
    </row>
    <row r="76" spans="6:20" ht="14.4" customHeight="1" x14ac:dyDescent="0.25">
      <c r="Q76" s="35"/>
      <c r="R76" s="35"/>
      <c r="S76" s="35"/>
      <c r="T76" s="146"/>
    </row>
    <row r="77" spans="6:20" ht="14.4" customHeight="1" x14ac:dyDescent="0.25">
      <c r="Q77" s="35"/>
      <c r="R77" s="35"/>
      <c r="S77" s="35"/>
      <c r="T77" s="146"/>
    </row>
    <row r="78" spans="6:20" ht="14.4" customHeight="1" x14ac:dyDescent="0.25">
      <c r="Q78" s="35"/>
      <c r="R78" s="35"/>
      <c r="S78" s="35"/>
      <c r="T78" s="146"/>
    </row>
    <row r="79" spans="6:20" ht="14.4" customHeight="1" x14ac:dyDescent="0.25">
      <c r="F79" s="10"/>
      <c r="Q79" s="35"/>
      <c r="R79" s="35"/>
      <c r="S79" s="147"/>
      <c r="T79" s="146"/>
    </row>
    <row r="80" spans="6:20" ht="14.4" customHeight="1" x14ac:dyDescent="0.25">
      <c r="Q80" s="35"/>
      <c r="R80" s="35"/>
      <c r="S80" s="147"/>
      <c r="T80" s="146"/>
    </row>
    <row r="81" spans="17:20" ht="14.4" customHeight="1" x14ac:dyDescent="0.25">
      <c r="Q81" s="35"/>
      <c r="R81" s="35"/>
      <c r="S81" s="147"/>
      <c r="T81" s="146"/>
    </row>
    <row r="82" spans="17:20" ht="14.4" customHeight="1" x14ac:dyDescent="0.25">
      <c r="Q82" s="35"/>
      <c r="R82" s="35"/>
      <c r="S82" s="147"/>
      <c r="T82" s="146"/>
    </row>
    <row r="83" spans="17:20" ht="14.4" customHeight="1" x14ac:dyDescent="0.25">
      <c r="Q83" s="35"/>
      <c r="R83" s="35"/>
      <c r="S83" s="147"/>
      <c r="T83" s="146"/>
    </row>
    <row r="84" spans="17:20" x14ac:dyDescent="0.25">
      <c r="S84" s="146"/>
      <c r="T84" s="146"/>
    </row>
    <row r="85" spans="17:20" x14ac:dyDescent="0.25">
      <c r="S85" s="146"/>
      <c r="T85" s="146"/>
    </row>
    <row r="86" spans="17:20" x14ac:dyDescent="0.25">
      <c r="S86" s="146"/>
      <c r="T86" s="146"/>
    </row>
    <row r="87" spans="17:20" x14ac:dyDescent="0.25">
      <c r="S87" s="146"/>
      <c r="T87" s="146"/>
    </row>
    <row r="88" spans="17:20" x14ac:dyDescent="0.25">
      <c r="S88" s="146"/>
      <c r="T88" s="146"/>
    </row>
    <row r="89" spans="17:20" x14ac:dyDescent="0.25">
      <c r="S89" s="146"/>
      <c r="T89" s="146"/>
    </row>
    <row r="90" spans="17:20" x14ac:dyDescent="0.25">
      <c r="S90" s="146"/>
      <c r="T90" s="146"/>
    </row>
    <row r="91" spans="17:20" x14ac:dyDescent="0.25">
      <c r="S91" s="146"/>
      <c r="T91" s="146"/>
    </row>
    <row r="92" spans="17:20" x14ac:dyDescent="0.25">
      <c r="S92" s="146"/>
      <c r="T92" s="146"/>
    </row>
    <row r="93" spans="17:20" x14ac:dyDescent="0.25">
      <c r="S93" s="146"/>
      <c r="T93" s="146"/>
    </row>
    <row r="94" spans="17:20" x14ac:dyDescent="0.25">
      <c r="S94" s="146"/>
      <c r="T94" s="146"/>
    </row>
    <row r="95" spans="17:20" x14ac:dyDescent="0.25">
      <c r="S95" s="146"/>
      <c r="T95" s="146"/>
    </row>
    <row r="96" spans="17:20" x14ac:dyDescent="0.25">
      <c r="S96" s="146"/>
      <c r="T96" s="146"/>
    </row>
    <row r="97" spans="19:20" x14ac:dyDescent="0.25">
      <c r="S97" s="146"/>
      <c r="T97" s="146"/>
    </row>
    <row r="98" spans="19:20" x14ac:dyDescent="0.25">
      <c r="S98" s="146"/>
      <c r="T98" s="146"/>
    </row>
    <row r="99" spans="19:20" x14ac:dyDescent="0.25">
      <c r="S99" s="146"/>
      <c r="T99" s="146"/>
    </row>
    <row r="100" spans="19:20" x14ac:dyDescent="0.25">
      <c r="S100" s="146"/>
      <c r="T100" s="146"/>
    </row>
    <row r="101" spans="19:20" x14ac:dyDescent="0.25">
      <c r="S101" s="146"/>
      <c r="T101" s="146"/>
    </row>
    <row r="102" spans="19:20" x14ac:dyDescent="0.25">
      <c r="S102" s="146"/>
      <c r="T102" s="146"/>
    </row>
    <row r="103" spans="19:20" x14ac:dyDescent="0.25">
      <c r="S103" s="146"/>
      <c r="T103" s="146"/>
    </row>
    <row r="104" spans="19:20" x14ac:dyDescent="0.25">
      <c r="S104" s="146"/>
      <c r="T104" s="146"/>
    </row>
    <row r="105" spans="19:20" x14ac:dyDescent="0.25">
      <c r="S105" s="146"/>
      <c r="T105" s="146"/>
    </row>
    <row r="106" spans="19:20" x14ac:dyDescent="0.25">
      <c r="S106" s="146"/>
      <c r="T106" s="146"/>
    </row>
    <row r="107" spans="19:20" x14ac:dyDescent="0.25">
      <c r="S107" s="146"/>
      <c r="T107" s="146"/>
    </row>
    <row r="108" spans="19:20" x14ac:dyDescent="0.25">
      <c r="S108" s="146"/>
      <c r="T108" s="146"/>
    </row>
    <row r="109" spans="19:20" x14ac:dyDescent="0.25">
      <c r="S109" s="146"/>
    </row>
    <row r="110" spans="19:20" x14ac:dyDescent="0.25">
      <c r="S110" s="146"/>
    </row>
    <row r="111" spans="19:20" x14ac:dyDescent="0.25">
      <c r="S111" s="146"/>
    </row>
    <row r="112" spans="19:20" x14ac:dyDescent="0.25">
      <c r="S112" s="146"/>
    </row>
    <row r="113" spans="19:19" x14ac:dyDescent="0.25">
      <c r="S113" s="146"/>
    </row>
    <row r="114" spans="19:19" x14ac:dyDescent="0.25">
      <c r="S114" s="146"/>
    </row>
    <row r="115" spans="19:19" x14ac:dyDescent="0.25">
      <c r="S115" s="146"/>
    </row>
  </sheetData>
  <autoFilter ref="A2:AC2" xr:uid="{2E9DC9C1-ABE9-4C74-8C0A-F769CBEC5074}"/>
  <mergeCells count="17">
    <mergeCell ref="O43:R43"/>
    <mergeCell ref="O44:Q44"/>
    <mergeCell ref="O45:Q45"/>
    <mergeCell ref="O46:Q46"/>
    <mergeCell ref="A1:M1"/>
    <mergeCell ref="O47:Q47"/>
    <mergeCell ref="O48:Q48"/>
    <mergeCell ref="O49:Q49"/>
    <mergeCell ref="O50:Q50"/>
    <mergeCell ref="O51:Q51"/>
    <mergeCell ref="O57:Q57"/>
    <mergeCell ref="O58:Q58"/>
    <mergeCell ref="O52:Q52"/>
    <mergeCell ref="O53:Q53"/>
    <mergeCell ref="O54:Q54"/>
    <mergeCell ref="O55:Q55"/>
    <mergeCell ref="O56:Q56"/>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F5A037-1347-4244-9246-9117C267F01A}">
          <x14:formula1>
            <xm:f>Data!$A$2:$A$200</xm:f>
          </x14:formula1>
          <xm:sqref>C3:C40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82"/>
  <sheetViews>
    <sheetView zoomScale="85" zoomScaleNormal="85" workbookViewId="0">
      <selection sqref="A1:X1"/>
    </sheetView>
  </sheetViews>
  <sheetFormatPr defaultColWidth="9.33203125" defaultRowHeight="13.8" x14ac:dyDescent="0.25"/>
  <cols>
    <col min="1" max="1" width="15.44140625" style="53" customWidth="1"/>
    <col min="2" max="2" width="13.5546875" style="54" customWidth="1"/>
    <col min="3" max="3" width="26.5546875" style="53" customWidth="1"/>
    <col min="4" max="4" width="41.44140625" style="53" bestFit="1" customWidth="1"/>
    <col min="5" max="5" width="11.6640625" style="53" customWidth="1"/>
    <col min="6" max="6" width="20" style="53" customWidth="1"/>
    <col min="7" max="7" width="20.5546875" style="55" customWidth="1"/>
    <col min="8" max="8" width="68.109375" style="53" customWidth="1"/>
    <col min="9" max="9" width="6.88671875" style="53" customWidth="1"/>
    <col min="10" max="12" width="7" style="53" customWidth="1"/>
    <col min="13" max="13" width="7.88671875" style="53" customWidth="1"/>
    <col min="14" max="14" width="8.6640625" style="53" customWidth="1"/>
    <col min="15" max="15" width="7" style="53" customWidth="1"/>
    <col min="16" max="16" width="7.109375" style="53" customWidth="1"/>
    <col min="17" max="17" width="7.5546875" style="53" customWidth="1"/>
    <col min="18" max="21" width="7" style="53" customWidth="1"/>
    <col min="22" max="22" width="7.6640625" style="53" customWidth="1"/>
    <col min="23" max="24" width="7" style="53" customWidth="1"/>
    <col min="25" max="25" width="9.33203125" style="53"/>
    <col min="26" max="26" width="22.6640625" style="53" customWidth="1"/>
    <col min="27" max="30" width="7.6640625" style="53" customWidth="1"/>
    <col min="31" max="31" width="9.6640625" style="53" customWidth="1"/>
    <col min="32" max="32" width="7.5546875" style="53" customWidth="1"/>
    <col min="33" max="33" width="11.44140625" style="53" customWidth="1"/>
    <col min="34" max="42" width="7.6640625" style="53" customWidth="1"/>
    <col min="43" max="46" width="10.44140625" style="53" customWidth="1"/>
    <col min="47" max="47" width="9.88671875" style="53" customWidth="1"/>
    <col min="48" max="48" width="10.44140625" style="53" customWidth="1"/>
    <col min="49" max="49" width="21.6640625" style="53" customWidth="1"/>
    <col min="50" max="50" width="10.44140625" style="53" customWidth="1"/>
    <col min="51" max="53" width="7.44140625" style="53" customWidth="1"/>
    <col min="54" max="54" width="7.6640625" style="53" customWidth="1"/>
    <col min="55" max="55" width="7.44140625" style="53" customWidth="1"/>
    <col min="56" max="56" width="13.6640625" style="53" customWidth="1"/>
    <col min="57" max="60" width="7.44140625" style="53" customWidth="1"/>
    <col min="61" max="62" width="9.6640625" style="53" bestFit="1" customWidth="1"/>
    <col min="63" max="16384" width="9.33203125" style="53"/>
  </cols>
  <sheetData>
    <row r="1" spans="1:25" ht="20.399999999999999" customHeight="1" x14ac:dyDescent="0.25">
      <c r="A1" s="640" t="str">
        <f>"Envelope - "&amp;Prototype!A2</f>
        <v>Envelope - SchoolK-8</v>
      </c>
      <c r="B1" s="640"/>
      <c r="C1" s="640"/>
      <c r="D1" s="640"/>
      <c r="E1" s="640"/>
      <c r="F1" s="640"/>
      <c r="G1" s="640"/>
      <c r="H1" s="640"/>
      <c r="I1" s="640"/>
      <c r="J1" s="640"/>
      <c r="K1" s="640"/>
      <c r="L1" s="640"/>
      <c r="M1" s="640"/>
      <c r="N1" s="640"/>
      <c r="O1" s="640"/>
      <c r="P1" s="640"/>
      <c r="Q1" s="640"/>
      <c r="R1" s="640"/>
      <c r="S1" s="640"/>
      <c r="T1" s="640"/>
      <c r="U1" s="640"/>
      <c r="V1" s="640"/>
      <c r="W1" s="640"/>
      <c r="X1" s="640"/>
      <c r="Y1" s="2"/>
    </row>
    <row r="2" spans="1:25" ht="26.4" x14ac:dyDescent="0.25">
      <c r="A2" s="595" t="s">
        <v>224</v>
      </c>
      <c r="B2" s="595" t="s">
        <v>8</v>
      </c>
      <c r="C2" s="595" t="s">
        <v>225</v>
      </c>
      <c r="D2" s="595" t="s">
        <v>226</v>
      </c>
      <c r="E2" s="596" t="s">
        <v>227</v>
      </c>
      <c r="F2" s="595" t="s">
        <v>228</v>
      </c>
      <c r="G2" s="596" t="s">
        <v>229</v>
      </c>
      <c r="H2" s="595" t="s">
        <v>49</v>
      </c>
      <c r="I2" s="595" t="s">
        <v>230</v>
      </c>
      <c r="J2" s="595" t="s">
        <v>231</v>
      </c>
      <c r="K2" s="595" t="s">
        <v>232</v>
      </c>
      <c r="L2" s="595" t="s">
        <v>233</v>
      </c>
      <c r="M2" s="595" t="s">
        <v>234</v>
      </c>
      <c r="N2" s="595" t="s">
        <v>235</v>
      </c>
      <c r="O2" s="595" t="s">
        <v>236</v>
      </c>
      <c r="P2" s="595" t="s">
        <v>237</v>
      </c>
      <c r="Q2" s="595" t="s">
        <v>238</v>
      </c>
      <c r="R2" s="595" t="s">
        <v>239</v>
      </c>
      <c r="S2" s="595" t="s">
        <v>240</v>
      </c>
      <c r="T2" s="595" t="s">
        <v>241</v>
      </c>
      <c r="U2" s="595" t="s">
        <v>242</v>
      </c>
      <c r="V2" s="595" t="s">
        <v>243</v>
      </c>
      <c r="W2" s="595" t="s">
        <v>244</v>
      </c>
      <c r="X2" s="595" t="s">
        <v>245</v>
      </c>
      <c r="Y2" s="2"/>
    </row>
    <row r="3" spans="1:25" ht="41.25" customHeight="1" x14ac:dyDescent="0.25">
      <c r="A3" s="645" t="s">
        <v>246</v>
      </c>
      <c r="B3" s="641" t="str">
        <f>Prototype!A2</f>
        <v>SchoolK-8</v>
      </c>
      <c r="C3" s="642" t="s">
        <v>247</v>
      </c>
      <c r="D3" s="642" t="s">
        <v>248</v>
      </c>
      <c r="E3" s="645" t="s">
        <v>249</v>
      </c>
      <c r="F3" s="581" t="s">
        <v>250</v>
      </c>
      <c r="G3" s="581" t="s">
        <v>251</v>
      </c>
      <c r="H3" s="574" t="s">
        <v>252</v>
      </c>
      <c r="I3" s="573">
        <f>I74*(1-$I$75)+I73*$I$75</f>
        <v>0.21513200000000002</v>
      </c>
      <c r="J3" s="573">
        <f t="shared" ref="J3:X3" si="0">J74*(1-$I$75)+J73*$I$75</f>
        <v>0.21182000000000001</v>
      </c>
      <c r="K3" s="573">
        <f t="shared" si="0"/>
        <v>0.21366000000000002</v>
      </c>
      <c r="L3" s="573">
        <f t="shared" si="0"/>
        <v>0.21182000000000001</v>
      </c>
      <c r="M3" s="573">
        <f t="shared" si="0"/>
        <v>0.21182000000000001</v>
      </c>
      <c r="N3" s="573">
        <f t="shared" si="0"/>
        <v>0.21513200000000002</v>
      </c>
      <c r="O3" s="573">
        <f t="shared" si="0"/>
        <v>0.21513200000000002</v>
      </c>
      <c r="P3" s="573">
        <f t="shared" si="0"/>
        <v>0.21182000000000001</v>
      </c>
      <c r="Q3" s="573">
        <f t="shared" si="0"/>
        <v>0.21182000000000001</v>
      </c>
      <c r="R3" s="573">
        <f t="shared" si="0"/>
        <v>0.21182000000000001</v>
      </c>
      <c r="S3" s="573">
        <f t="shared" si="0"/>
        <v>0.21182000000000001</v>
      </c>
      <c r="T3" s="573">
        <f t="shared" si="0"/>
        <v>0.21182000000000001</v>
      </c>
      <c r="U3" s="573">
        <f t="shared" si="0"/>
        <v>0.21182000000000001</v>
      </c>
      <c r="V3" s="573">
        <f t="shared" si="0"/>
        <v>0.21182000000000001</v>
      </c>
      <c r="W3" s="573">
        <f t="shared" si="0"/>
        <v>0.21182000000000001</v>
      </c>
      <c r="X3" s="573">
        <f t="shared" si="0"/>
        <v>0.21182000000000001</v>
      </c>
      <c r="Y3" s="2"/>
    </row>
    <row r="4" spans="1:25" x14ac:dyDescent="0.25">
      <c r="A4" s="645"/>
      <c r="B4" s="641"/>
      <c r="C4" s="643"/>
      <c r="D4" s="643"/>
      <c r="E4" s="645"/>
      <c r="F4" s="87" t="s">
        <v>253</v>
      </c>
      <c r="G4" s="292">
        <v>1992</v>
      </c>
      <c r="H4" s="299" t="s">
        <v>254</v>
      </c>
      <c r="I4" s="296">
        <v>0.182</v>
      </c>
      <c r="J4" s="296">
        <v>0.189</v>
      </c>
      <c r="K4" s="296">
        <v>0.189</v>
      </c>
      <c r="L4" s="296">
        <v>0.189</v>
      </c>
      <c r="M4" s="296">
        <v>0.189</v>
      </c>
      <c r="N4" s="296">
        <v>0.189</v>
      </c>
      <c r="O4" s="296">
        <v>0.189</v>
      </c>
      <c r="P4" s="296">
        <v>0.189</v>
      </c>
      <c r="Q4" s="296">
        <v>0.189</v>
      </c>
      <c r="R4" s="296">
        <v>0.189</v>
      </c>
      <c r="S4" s="296">
        <v>0.182</v>
      </c>
      <c r="T4" s="296">
        <v>0.182</v>
      </c>
      <c r="U4" s="296">
        <v>0.182</v>
      </c>
      <c r="V4" s="296">
        <v>0.182</v>
      </c>
      <c r="W4" s="296">
        <v>0.182</v>
      </c>
      <c r="X4" s="296">
        <v>0.182</v>
      </c>
      <c r="Y4" s="2"/>
    </row>
    <row r="5" spans="1:25" x14ac:dyDescent="0.25">
      <c r="A5" s="645"/>
      <c r="B5" s="641"/>
      <c r="C5" s="643"/>
      <c r="D5" s="643"/>
      <c r="E5" s="645"/>
      <c r="F5" s="88" t="s">
        <v>255</v>
      </c>
      <c r="G5" s="88">
        <v>2001</v>
      </c>
      <c r="H5" s="350" t="s">
        <v>256</v>
      </c>
      <c r="I5" s="297">
        <v>0.182</v>
      </c>
      <c r="J5" s="297">
        <v>0.182</v>
      </c>
      <c r="K5" s="297">
        <v>0.189</v>
      </c>
      <c r="L5" s="297">
        <v>0.189</v>
      </c>
      <c r="M5" s="297">
        <v>0.189</v>
      </c>
      <c r="N5" s="297">
        <v>0.189</v>
      </c>
      <c r="O5" s="297">
        <v>0.189</v>
      </c>
      <c r="P5" s="297">
        <v>0.189</v>
      </c>
      <c r="Q5" s="297">
        <v>0.189</v>
      </c>
      <c r="R5" s="297">
        <v>0.182</v>
      </c>
      <c r="S5" s="297">
        <v>0.182</v>
      </c>
      <c r="T5" s="297">
        <v>0.182</v>
      </c>
      <c r="U5" s="297">
        <v>0.182</v>
      </c>
      <c r="V5" s="297">
        <v>0.182</v>
      </c>
      <c r="W5" s="297">
        <v>0.182</v>
      </c>
      <c r="X5" s="297">
        <v>0.182</v>
      </c>
      <c r="Y5" s="2"/>
    </row>
    <row r="6" spans="1:25" x14ac:dyDescent="0.25">
      <c r="A6" s="645"/>
      <c r="B6" s="641"/>
      <c r="C6" s="643"/>
      <c r="D6" s="643"/>
      <c r="E6" s="645"/>
      <c r="F6" s="89" t="s">
        <v>257</v>
      </c>
      <c r="G6" s="89">
        <v>2013</v>
      </c>
      <c r="H6" s="351" t="s">
        <v>258</v>
      </c>
      <c r="I6" s="298">
        <v>9.8000000000000004E-2</v>
      </c>
      <c r="J6" s="298">
        <v>6.2E-2</v>
      </c>
      <c r="K6" s="298">
        <v>8.2000000000000003E-2</v>
      </c>
      <c r="L6" s="298">
        <v>6.2E-2</v>
      </c>
      <c r="M6" s="298">
        <v>6.2E-2</v>
      </c>
      <c r="N6" s="298">
        <v>9.8000000000000004E-2</v>
      </c>
      <c r="O6" s="298">
        <v>9.8000000000000004E-2</v>
      </c>
      <c r="P6" s="298">
        <v>6.2E-2</v>
      </c>
      <c r="Q6" s="298">
        <v>6.2E-2</v>
      </c>
      <c r="R6" s="298">
        <v>6.2E-2</v>
      </c>
      <c r="S6" s="298">
        <v>6.2E-2</v>
      </c>
      <c r="T6" s="298">
        <v>6.2E-2</v>
      </c>
      <c r="U6" s="298">
        <v>6.2E-2</v>
      </c>
      <c r="V6" s="298">
        <v>6.2E-2</v>
      </c>
      <c r="W6" s="298">
        <v>6.2E-2</v>
      </c>
      <c r="X6" s="298">
        <v>6.2E-2</v>
      </c>
      <c r="Y6" s="2"/>
    </row>
    <row r="7" spans="1:25" x14ac:dyDescent="0.25">
      <c r="A7" s="645"/>
      <c r="B7" s="641"/>
      <c r="C7" s="643"/>
      <c r="D7" s="643"/>
      <c r="E7" s="645"/>
      <c r="F7" s="427" t="s">
        <v>259</v>
      </c>
      <c r="G7" s="428"/>
      <c r="H7" s="429" t="s">
        <v>260</v>
      </c>
      <c r="I7" s="412" cm="1">
        <f t="array" ref="I7:X7">_xlfn.BYCOL(TRANSPOSE(Weights!$C$4:$F$19)*I3:X6,_xlfn.LAMBDA(_xlpm.c,SUM(_xlpm.c)))</f>
        <v>0.1977783938132</v>
      </c>
      <c r="J7" s="412">
        <v>0.20692913970799998</v>
      </c>
      <c r="K7" s="412">
        <v>0.20652023418200002</v>
      </c>
      <c r="L7" s="412">
        <v>0.20589614006600002</v>
      </c>
      <c r="M7" s="412">
        <v>0.20038322167</v>
      </c>
      <c r="N7" s="412">
        <v>0.20300293626159999</v>
      </c>
      <c r="O7" s="412">
        <v>0.17455149089600003</v>
      </c>
      <c r="P7" s="412">
        <v>0.20045867944599999</v>
      </c>
      <c r="Q7" s="412">
        <v>0.20215808365600002</v>
      </c>
      <c r="R7" s="412">
        <v>0.179784796366</v>
      </c>
      <c r="S7" s="412">
        <v>0.19596026863800001</v>
      </c>
      <c r="T7" s="412">
        <v>0.19332976134800001</v>
      </c>
      <c r="U7" s="412">
        <v>0.18459358389799999</v>
      </c>
      <c r="V7" s="412">
        <v>0.18613236102200001</v>
      </c>
      <c r="W7" s="412">
        <v>0.18242938192800001</v>
      </c>
      <c r="X7" s="412">
        <v>0.18431543816000001</v>
      </c>
      <c r="Y7" s="2"/>
    </row>
    <row r="8" spans="1:25" x14ac:dyDescent="0.25">
      <c r="A8" s="645"/>
      <c r="B8" s="641"/>
      <c r="C8" s="644"/>
      <c r="D8" s="644"/>
      <c r="E8" s="645"/>
      <c r="F8" s="114" t="s">
        <v>261</v>
      </c>
      <c r="G8" s="115">
        <v>2025</v>
      </c>
      <c r="H8" s="295" t="s">
        <v>262</v>
      </c>
      <c r="I8" s="241">
        <v>0.06</v>
      </c>
      <c r="J8" s="242">
        <v>5.5E-2</v>
      </c>
      <c r="K8" s="242">
        <v>7.0999999999999994E-2</v>
      </c>
      <c r="L8" s="242">
        <v>5.5E-2</v>
      </c>
      <c r="M8" s="242">
        <v>5.5E-2</v>
      </c>
      <c r="N8" s="241">
        <v>0.06</v>
      </c>
      <c r="O8" s="241">
        <v>0.06</v>
      </c>
      <c r="P8" s="242">
        <v>5.5E-2</v>
      </c>
      <c r="Q8" s="242">
        <v>5.5E-2</v>
      </c>
      <c r="R8" s="242">
        <v>5.5E-2</v>
      </c>
      <c r="S8" s="242">
        <v>5.5E-2</v>
      </c>
      <c r="T8" s="242">
        <v>5.5E-2</v>
      </c>
      <c r="U8" s="242">
        <v>5.5E-2</v>
      </c>
      <c r="V8" s="242">
        <v>5.5E-2</v>
      </c>
      <c r="W8" s="242">
        <v>5.5E-2</v>
      </c>
      <c r="X8" s="242">
        <v>5.5E-2</v>
      </c>
      <c r="Y8" s="2"/>
    </row>
    <row r="9" spans="1:25" x14ac:dyDescent="0.25">
      <c r="A9" s="645" t="s">
        <v>263</v>
      </c>
      <c r="B9" s="641" t="str">
        <f t="shared" ref="B9" si="1">$B$3</f>
        <v>SchoolK-8</v>
      </c>
      <c r="C9" s="642" t="s">
        <v>264</v>
      </c>
      <c r="D9" s="647" t="s">
        <v>265</v>
      </c>
      <c r="E9" s="645" t="s">
        <v>249</v>
      </c>
      <c r="F9" s="581" t="s">
        <v>250</v>
      </c>
      <c r="G9" s="581" t="s">
        <v>251</v>
      </c>
      <c r="H9" s="646" t="s">
        <v>266</v>
      </c>
      <c r="I9" s="593">
        <v>5.7000000000000002E-2</v>
      </c>
      <c r="J9" s="593">
        <v>5.7000000000000002E-2</v>
      </c>
      <c r="K9" s="593">
        <v>5.7000000000000002E-2</v>
      </c>
      <c r="L9" s="593">
        <v>5.7000000000000002E-2</v>
      </c>
      <c r="M9" s="593">
        <v>5.7000000000000002E-2</v>
      </c>
      <c r="N9" s="593">
        <v>7.8E-2</v>
      </c>
      <c r="O9" s="593">
        <v>7.8E-2</v>
      </c>
      <c r="P9" s="593">
        <v>7.8E-2</v>
      </c>
      <c r="Q9" s="593">
        <v>7.8E-2</v>
      </c>
      <c r="R9" s="593">
        <v>7.8E-2</v>
      </c>
      <c r="S9" s="593">
        <v>5.7000000000000002E-2</v>
      </c>
      <c r="T9" s="593">
        <v>5.7000000000000002E-2</v>
      </c>
      <c r="U9" s="593">
        <v>5.7000000000000002E-2</v>
      </c>
      <c r="V9" s="593">
        <v>5.7000000000000002E-2</v>
      </c>
      <c r="W9" s="593">
        <v>5.7000000000000002E-2</v>
      </c>
      <c r="X9" s="593">
        <v>5.7000000000000002E-2</v>
      </c>
      <c r="Y9" s="90"/>
    </row>
    <row r="10" spans="1:25" x14ac:dyDescent="0.25">
      <c r="A10" s="645"/>
      <c r="B10" s="641"/>
      <c r="C10" s="643"/>
      <c r="D10" s="648"/>
      <c r="E10" s="645"/>
      <c r="F10" s="87" t="s">
        <v>253</v>
      </c>
      <c r="G10" s="581" t="s">
        <v>251</v>
      </c>
      <c r="H10" s="641"/>
      <c r="I10" s="137">
        <v>5.7000000000000002E-2</v>
      </c>
      <c r="J10" s="137">
        <v>5.7000000000000002E-2</v>
      </c>
      <c r="K10" s="137">
        <v>5.7000000000000002E-2</v>
      </c>
      <c r="L10" s="137">
        <v>5.7000000000000002E-2</v>
      </c>
      <c r="M10" s="137">
        <v>5.7000000000000002E-2</v>
      </c>
      <c r="N10" s="137">
        <v>7.8E-2</v>
      </c>
      <c r="O10" s="137">
        <v>7.8E-2</v>
      </c>
      <c r="P10" s="137">
        <v>7.8E-2</v>
      </c>
      <c r="Q10" s="137">
        <v>7.8E-2</v>
      </c>
      <c r="R10" s="137">
        <v>7.8E-2</v>
      </c>
      <c r="S10" s="137">
        <v>5.7000000000000002E-2</v>
      </c>
      <c r="T10" s="137">
        <v>5.7000000000000002E-2</v>
      </c>
      <c r="U10" s="137">
        <v>5.7000000000000002E-2</v>
      </c>
      <c r="V10" s="137">
        <v>5.7000000000000002E-2</v>
      </c>
      <c r="W10" s="137">
        <v>5.7000000000000002E-2</v>
      </c>
      <c r="X10" s="137">
        <v>5.7000000000000002E-2</v>
      </c>
      <c r="Y10" s="90"/>
    </row>
    <row r="11" spans="1:25" x14ac:dyDescent="0.25">
      <c r="A11" s="645"/>
      <c r="B11" s="641"/>
      <c r="C11" s="643"/>
      <c r="D11" s="648"/>
      <c r="E11" s="645"/>
      <c r="F11" s="88" t="s">
        <v>255</v>
      </c>
      <c r="G11" s="88">
        <v>2001</v>
      </c>
      <c r="H11" s="350" t="s">
        <v>256</v>
      </c>
      <c r="I11" s="138">
        <v>5.7000000000000002E-2</v>
      </c>
      <c r="J11" s="138">
        <v>5.7000000000000002E-2</v>
      </c>
      <c r="K11" s="138">
        <v>5.7000000000000002E-2</v>
      </c>
      <c r="L11" s="138">
        <v>5.7000000000000002E-2</v>
      </c>
      <c r="M11" s="138">
        <v>5.7000000000000002E-2</v>
      </c>
      <c r="N11" s="138">
        <v>7.8E-2</v>
      </c>
      <c r="O11" s="138">
        <v>7.8E-2</v>
      </c>
      <c r="P11" s="138">
        <v>7.8E-2</v>
      </c>
      <c r="Q11" s="138">
        <v>7.8E-2</v>
      </c>
      <c r="R11" s="138">
        <v>5.7000000000000002E-2</v>
      </c>
      <c r="S11" s="138">
        <v>5.7000000000000002E-2</v>
      </c>
      <c r="T11" s="138">
        <v>5.7000000000000002E-2</v>
      </c>
      <c r="U11" s="138">
        <v>5.7000000000000002E-2</v>
      </c>
      <c r="V11" s="138">
        <v>5.7000000000000002E-2</v>
      </c>
      <c r="W11" s="138">
        <v>5.7000000000000002E-2</v>
      </c>
      <c r="X11" s="138">
        <v>5.7000000000000002E-2</v>
      </c>
      <c r="Y11" s="90"/>
    </row>
    <row r="12" spans="1:25" x14ac:dyDescent="0.25">
      <c r="A12" s="645"/>
      <c r="B12" s="641"/>
      <c r="C12" s="643"/>
      <c r="D12" s="648"/>
      <c r="E12" s="645"/>
      <c r="F12" s="89" t="s">
        <v>257</v>
      </c>
      <c r="G12" s="89">
        <v>2013</v>
      </c>
      <c r="H12" s="351" t="s">
        <v>258</v>
      </c>
      <c r="I12" s="139">
        <v>4.9000000000000002E-2</v>
      </c>
      <c r="J12" s="139">
        <v>3.9E-2</v>
      </c>
      <c r="K12" s="139">
        <v>3.9E-2</v>
      </c>
      <c r="L12" s="139">
        <v>3.9E-2</v>
      </c>
      <c r="M12" s="139">
        <v>4.9000000000000002E-2</v>
      </c>
      <c r="N12" s="139">
        <v>7.4999999999999997E-2</v>
      </c>
      <c r="O12" s="139">
        <v>6.7000000000000004E-2</v>
      </c>
      <c r="P12" s="139">
        <v>6.7000000000000004E-2</v>
      </c>
      <c r="Q12" s="139">
        <v>3.9E-2</v>
      </c>
      <c r="R12" s="139">
        <v>3.9E-2</v>
      </c>
      <c r="S12" s="139">
        <v>3.9E-2</v>
      </c>
      <c r="T12" s="139">
        <v>3.9E-2</v>
      </c>
      <c r="U12" s="139">
        <v>3.9E-2</v>
      </c>
      <c r="V12" s="139">
        <v>3.9E-2</v>
      </c>
      <c r="W12" s="139">
        <v>3.9E-2</v>
      </c>
      <c r="X12" s="139">
        <v>3.9E-2</v>
      </c>
      <c r="Y12" s="90"/>
    </row>
    <row r="13" spans="1:25" x14ac:dyDescent="0.25">
      <c r="A13" s="645"/>
      <c r="B13" s="641"/>
      <c r="C13" s="643"/>
      <c r="D13" s="648"/>
      <c r="E13" s="645"/>
      <c r="F13" s="427" t="s">
        <v>259</v>
      </c>
      <c r="G13" s="428"/>
      <c r="H13" s="429" t="s">
        <v>260</v>
      </c>
      <c r="I13" s="412" cm="1">
        <f t="array" ref="I13:X13">_xlfn.BYCOL(TRANSPOSE(Weights!$C$4:$F$19)*I9:X12,_xlfn.LAMBDA(_xlpm.c,SUM(_xlpm.c)))</f>
        <v>5.67310096E-2</v>
      </c>
      <c r="J13" s="412">
        <v>5.6746800899999998E-2</v>
      </c>
      <c r="K13" s="412">
        <v>5.6870687700000012E-2</v>
      </c>
      <c r="L13" s="412">
        <v>5.6877169800000002E-2</v>
      </c>
      <c r="M13" s="412">
        <v>5.6937689600000001E-2</v>
      </c>
      <c r="N13" s="412">
        <v>7.7860756799999986E-2</v>
      </c>
      <c r="O13" s="412">
        <v>7.5304949299999993E-2</v>
      </c>
      <c r="P13" s="412">
        <v>7.7576533000000003E-2</v>
      </c>
      <c r="Q13" s="412">
        <v>7.7065992900000005E-2</v>
      </c>
      <c r="R13" s="412">
        <v>6.6517197299999997E-2</v>
      </c>
      <c r="S13" s="412">
        <v>5.6650880699999996E-2</v>
      </c>
      <c r="T13" s="412">
        <v>5.6429947200000011E-2</v>
      </c>
      <c r="U13" s="412">
        <v>5.5726048200000003E-2</v>
      </c>
      <c r="V13" s="412">
        <v>5.5137687599999999E-2</v>
      </c>
      <c r="W13" s="412">
        <v>5.61165291E-2</v>
      </c>
      <c r="X13" s="412">
        <v>5.5132339799999999E-2</v>
      </c>
      <c r="Y13" s="90"/>
    </row>
    <row r="14" spans="1:25" x14ac:dyDescent="0.25">
      <c r="A14" s="645"/>
      <c r="B14" s="641"/>
      <c r="C14" s="644"/>
      <c r="D14" s="649"/>
      <c r="E14" s="645"/>
      <c r="F14" s="114" t="s">
        <v>261</v>
      </c>
      <c r="G14" s="115">
        <v>2025</v>
      </c>
      <c r="H14" s="352" t="s">
        <v>258</v>
      </c>
      <c r="I14" s="140">
        <v>2.8000000000000001E-2</v>
      </c>
      <c r="J14" s="140">
        <v>2.8000000000000001E-2</v>
      </c>
      <c r="K14" s="140">
        <v>2.8000000000000001E-2</v>
      </c>
      <c r="L14" s="140">
        <v>2.8000000000000001E-2</v>
      </c>
      <c r="M14" s="140">
        <v>2.8000000000000001E-2</v>
      </c>
      <c r="N14" s="140">
        <v>4.7E-2</v>
      </c>
      <c r="O14" s="140">
        <v>4.7E-2</v>
      </c>
      <c r="P14" s="140">
        <v>4.7E-2</v>
      </c>
      <c r="Q14" s="140">
        <v>2.8000000000000001E-2</v>
      </c>
      <c r="R14" s="140">
        <v>2.8000000000000001E-2</v>
      </c>
      <c r="S14" s="140">
        <v>2.8000000000000001E-2</v>
      </c>
      <c r="T14" s="140">
        <v>2.8000000000000001E-2</v>
      </c>
      <c r="U14" s="140">
        <v>2.8000000000000001E-2</v>
      </c>
      <c r="V14" s="140">
        <v>2.8000000000000001E-2</v>
      </c>
      <c r="W14" s="140">
        <v>2.8000000000000001E-2</v>
      </c>
      <c r="X14" s="140">
        <v>2.8000000000000001E-2</v>
      </c>
      <c r="Y14" s="90"/>
    </row>
    <row r="15" spans="1:25" x14ac:dyDescent="0.25">
      <c r="A15" s="645" t="s">
        <v>267</v>
      </c>
      <c r="B15" s="650" t="s">
        <v>66</v>
      </c>
      <c r="C15" s="642" t="s">
        <v>268</v>
      </c>
      <c r="D15" s="641" t="s">
        <v>269</v>
      </c>
      <c r="E15" s="645" t="s">
        <v>249</v>
      </c>
      <c r="F15" s="581" t="s">
        <v>250</v>
      </c>
      <c r="G15" s="581" t="s">
        <v>251</v>
      </c>
      <c r="H15" s="641" t="s">
        <v>270</v>
      </c>
      <c r="I15" s="116">
        <f>0.33*1.12+0.67*I18</f>
        <v>0.61080000000000001</v>
      </c>
      <c r="J15" s="116">
        <f t="shared" ref="J15:X15" si="2">0.33*1.12+0.67*J18</f>
        <v>0.61080000000000001</v>
      </c>
      <c r="K15" s="116">
        <f t="shared" si="2"/>
        <v>0.61080000000000001</v>
      </c>
      <c r="L15" s="116">
        <f t="shared" si="2"/>
        <v>0.61080000000000001</v>
      </c>
      <c r="M15" s="116">
        <f t="shared" si="2"/>
        <v>0.61080000000000001</v>
      </c>
      <c r="N15" s="116">
        <f t="shared" si="2"/>
        <v>0.61080000000000001</v>
      </c>
      <c r="O15" s="116">
        <f t="shared" si="2"/>
        <v>0.61080000000000001</v>
      </c>
      <c r="P15" s="116">
        <f t="shared" si="2"/>
        <v>0.61080000000000001</v>
      </c>
      <c r="Q15" s="116">
        <f t="shared" si="2"/>
        <v>0.61080000000000001</v>
      </c>
      <c r="R15" s="116">
        <f t="shared" si="2"/>
        <v>0.61080000000000001</v>
      </c>
      <c r="S15" s="116">
        <f t="shared" si="2"/>
        <v>0.61080000000000001</v>
      </c>
      <c r="T15" s="116">
        <f t="shared" si="2"/>
        <v>0.61080000000000001</v>
      </c>
      <c r="U15" s="116">
        <f t="shared" si="2"/>
        <v>0.61080000000000001</v>
      </c>
      <c r="V15" s="116">
        <f t="shared" si="2"/>
        <v>0.61080000000000001</v>
      </c>
      <c r="W15" s="116">
        <f t="shared" si="2"/>
        <v>0.61080000000000001</v>
      </c>
      <c r="X15" s="116">
        <f t="shared" si="2"/>
        <v>0.61080000000000001</v>
      </c>
      <c r="Y15" s="90"/>
    </row>
    <row r="16" spans="1:25" x14ac:dyDescent="0.25">
      <c r="A16" s="645"/>
      <c r="B16" s="651"/>
      <c r="C16" s="643"/>
      <c r="D16" s="641"/>
      <c r="E16" s="645"/>
      <c r="F16" s="87" t="s">
        <v>253</v>
      </c>
      <c r="G16" s="87" t="s">
        <v>251</v>
      </c>
      <c r="H16" s="641"/>
      <c r="I16" s="117">
        <f>0.33*1.12+0.67*I18</f>
        <v>0.61080000000000001</v>
      </c>
      <c r="J16" s="117">
        <f t="shared" ref="J16:X16" si="3">0.33*1.12+0.67*J18</f>
        <v>0.61080000000000001</v>
      </c>
      <c r="K16" s="117">
        <f t="shared" si="3"/>
        <v>0.61080000000000001</v>
      </c>
      <c r="L16" s="117">
        <f t="shared" si="3"/>
        <v>0.61080000000000001</v>
      </c>
      <c r="M16" s="117">
        <f t="shared" si="3"/>
        <v>0.61080000000000001</v>
      </c>
      <c r="N16" s="117">
        <f t="shared" si="3"/>
        <v>0.61080000000000001</v>
      </c>
      <c r="O16" s="117">
        <f t="shared" si="3"/>
        <v>0.61080000000000001</v>
      </c>
      <c r="P16" s="117">
        <f t="shared" si="3"/>
        <v>0.61080000000000001</v>
      </c>
      <c r="Q16" s="117">
        <f t="shared" si="3"/>
        <v>0.61080000000000001</v>
      </c>
      <c r="R16" s="117">
        <f t="shared" si="3"/>
        <v>0.61080000000000001</v>
      </c>
      <c r="S16" s="117">
        <f t="shared" si="3"/>
        <v>0.61080000000000001</v>
      </c>
      <c r="T16" s="117">
        <f t="shared" si="3"/>
        <v>0.61080000000000001</v>
      </c>
      <c r="U16" s="117">
        <f t="shared" si="3"/>
        <v>0.61080000000000001</v>
      </c>
      <c r="V16" s="117">
        <f t="shared" si="3"/>
        <v>0.61080000000000001</v>
      </c>
      <c r="W16" s="117">
        <f t="shared" si="3"/>
        <v>0.61080000000000001</v>
      </c>
      <c r="X16" s="117">
        <f t="shared" si="3"/>
        <v>0.61080000000000001</v>
      </c>
      <c r="Y16" s="90"/>
    </row>
    <row r="17" spans="1:50" x14ac:dyDescent="0.25">
      <c r="A17" s="645"/>
      <c r="B17" s="651"/>
      <c r="C17" s="643"/>
      <c r="D17" s="645" t="s">
        <v>271</v>
      </c>
      <c r="E17" s="645"/>
      <c r="F17" s="88" t="s">
        <v>255</v>
      </c>
      <c r="G17" s="88">
        <v>2001</v>
      </c>
      <c r="H17" s="350" t="s">
        <v>256</v>
      </c>
      <c r="I17" s="88">
        <v>0.49</v>
      </c>
      <c r="J17" s="88">
        <v>0.49</v>
      </c>
      <c r="K17" s="88">
        <v>0.81</v>
      </c>
      <c r="L17" s="88">
        <v>0.81</v>
      </c>
      <c r="M17" s="88">
        <v>0.81</v>
      </c>
      <c r="N17" s="88">
        <v>0.81</v>
      </c>
      <c r="O17" s="88">
        <v>0.81</v>
      </c>
      <c r="P17" s="88">
        <v>0.81</v>
      </c>
      <c r="Q17" s="88">
        <v>0.81</v>
      </c>
      <c r="R17" s="88">
        <v>0.49</v>
      </c>
      <c r="S17" s="88">
        <v>0.49</v>
      </c>
      <c r="T17" s="88">
        <v>0.49</v>
      </c>
      <c r="U17" s="88">
        <v>0.49</v>
      </c>
      <c r="V17" s="88">
        <v>0.49</v>
      </c>
      <c r="W17" s="88">
        <v>0.49</v>
      </c>
      <c r="X17" s="88">
        <v>0.49</v>
      </c>
      <c r="Y17" s="90"/>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x14ac:dyDescent="0.25">
      <c r="A18" s="645"/>
      <c r="B18" s="651"/>
      <c r="C18" s="643"/>
      <c r="D18" s="645"/>
      <c r="E18" s="645"/>
      <c r="F18" s="89" t="s">
        <v>257</v>
      </c>
      <c r="G18" s="89">
        <v>2013</v>
      </c>
      <c r="H18" s="351" t="s">
        <v>258</v>
      </c>
      <c r="I18" s="89">
        <v>0.36</v>
      </c>
      <c r="J18" s="89">
        <v>0.36</v>
      </c>
      <c r="K18" s="89">
        <v>0.36</v>
      </c>
      <c r="L18" s="89">
        <v>0.36</v>
      </c>
      <c r="M18" s="89">
        <v>0.36</v>
      </c>
      <c r="N18" s="89">
        <v>0.36</v>
      </c>
      <c r="O18" s="89">
        <v>0.36</v>
      </c>
      <c r="P18" s="89">
        <v>0.36</v>
      </c>
      <c r="Q18" s="89">
        <v>0.36</v>
      </c>
      <c r="R18" s="89">
        <v>0.36</v>
      </c>
      <c r="S18" s="89">
        <v>0.36</v>
      </c>
      <c r="T18" s="89">
        <v>0.36</v>
      </c>
      <c r="U18" s="89">
        <v>0.36</v>
      </c>
      <c r="V18" s="89">
        <v>0.36</v>
      </c>
      <c r="W18" s="89">
        <v>0.36</v>
      </c>
      <c r="X18" s="89">
        <v>0.36</v>
      </c>
      <c r="Y18" s="90"/>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x14ac:dyDescent="0.25">
      <c r="A19" s="645"/>
      <c r="B19" s="651"/>
      <c r="C19" s="643"/>
      <c r="D19" s="645"/>
      <c r="E19" s="645"/>
      <c r="F19" s="427" t="s">
        <v>259</v>
      </c>
      <c r="G19" s="428"/>
      <c r="H19" s="430" t="s">
        <v>260</v>
      </c>
      <c r="I19" s="431" cm="1">
        <f t="array" ref="I19:X19">_xlfn.BYCOL(TRANSPOSE(Weights!$C$4:$F$19)*I15:X18,_xlfn.LAMBDA(_xlpm.c,SUM(_xlpm.c)))</f>
        <v>0.59174619752000002</v>
      </c>
      <c r="J19" s="431">
        <v>0.60263348752000001</v>
      </c>
      <c r="K19" s="431">
        <v>0.61227217872000006</v>
      </c>
      <c r="L19" s="431">
        <v>0.61113841355999998</v>
      </c>
      <c r="M19" s="431">
        <v>0.61370021640000005</v>
      </c>
      <c r="N19" s="431">
        <v>0.62087021592000002</v>
      </c>
      <c r="O19" s="431">
        <v>0.58853034191999998</v>
      </c>
      <c r="P19" s="431">
        <v>0.62312043744000001</v>
      </c>
      <c r="Q19" s="431">
        <v>0.62219226179999998</v>
      </c>
      <c r="R19" s="431">
        <v>0.54168422311999997</v>
      </c>
      <c r="S19" s="431">
        <v>0.59581963748</v>
      </c>
      <c r="T19" s="431">
        <v>0.58968145127999994</v>
      </c>
      <c r="U19" s="431">
        <v>0.57396796444000009</v>
      </c>
      <c r="V19" s="431">
        <v>0.56658383679999991</v>
      </c>
      <c r="W19" s="431">
        <v>0.53475387611999992</v>
      </c>
      <c r="X19" s="431">
        <v>0.5677714546</v>
      </c>
      <c r="Y19" s="90"/>
      <c r="Z19" s="2"/>
      <c r="AA19" s="2"/>
      <c r="AB19" s="2"/>
      <c r="AC19" s="2"/>
      <c r="AD19" s="2"/>
      <c r="AE19" s="2"/>
      <c r="AF19" s="2"/>
      <c r="AG19" s="2"/>
      <c r="AH19" s="2"/>
      <c r="AI19" s="2"/>
      <c r="AJ19" s="2"/>
      <c r="AK19" s="2"/>
      <c r="AL19" s="2"/>
      <c r="AM19" s="2"/>
      <c r="AN19" s="2"/>
      <c r="AO19" s="2"/>
      <c r="AP19" s="2"/>
      <c r="AQ19" s="2"/>
      <c r="AR19" s="2"/>
      <c r="AS19" s="2"/>
      <c r="AT19" s="2"/>
      <c r="AU19" s="2"/>
      <c r="AV19" s="2"/>
      <c r="AW19" s="2"/>
      <c r="AX19" s="2"/>
    </row>
    <row r="20" spans="1:50" x14ac:dyDescent="0.25">
      <c r="A20" s="645"/>
      <c r="B20" s="651"/>
      <c r="C20" s="644"/>
      <c r="D20" s="645"/>
      <c r="E20" s="645"/>
      <c r="F20" s="433" t="s">
        <v>261</v>
      </c>
      <c r="G20" s="434">
        <v>2025</v>
      </c>
      <c r="H20" s="435" t="s">
        <v>258</v>
      </c>
      <c r="I20" s="434">
        <v>0.36</v>
      </c>
      <c r="J20" s="434">
        <v>0.36</v>
      </c>
      <c r="K20" s="434">
        <v>0.36</v>
      </c>
      <c r="L20" s="434">
        <v>0.36</v>
      </c>
      <c r="M20" s="434">
        <v>0.36</v>
      </c>
      <c r="N20" s="434">
        <v>0.36</v>
      </c>
      <c r="O20" s="434">
        <v>0.36</v>
      </c>
      <c r="P20" s="434">
        <v>0.36</v>
      </c>
      <c r="Q20" s="434">
        <v>0.34</v>
      </c>
      <c r="R20" s="434">
        <v>0.36</v>
      </c>
      <c r="S20" s="434">
        <v>0.34</v>
      </c>
      <c r="T20" s="434">
        <v>0.34</v>
      </c>
      <c r="U20" s="434">
        <v>0.34</v>
      </c>
      <c r="V20" s="434">
        <v>0.34</v>
      </c>
      <c r="W20" s="434">
        <v>0.34</v>
      </c>
      <c r="X20" s="434">
        <v>0.36</v>
      </c>
      <c r="Y20" s="90"/>
      <c r="Z20" s="2"/>
      <c r="AA20" s="2"/>
      <c r="AB20" s="2"/>
      <c r="AC20" s="2"/>
      <c r="AD20" s="2"/>
      <c r="AE20" s="2"/>
      <c r="AF20" s="2"/>
      <c r="AG20" s="2"/>
      <c r="AH20" s="2"/>
      <c r="AI20" s="2"/>
      <c r="AJ20" s="2"/>
      <c r="AK20" s="2"/>
      <c r="AL20" s="2"/>
      <c r="AM20" s="2"/>
      <c r="AN20" s="2"/>
      <c r="AO20" s="2"/>
      <c r="AP20" s="2"/>
      <c r="AQ20" s="2"/>
      <c r="AR20" s="2"/>
      <c r="AS20" s="2"/>
      <c r="AT20" s="2"/>
      <c r="AU20" s="2"/>
      <c r="AV20" s="2"/>
      <c r="AW20" s="2"/>
      <c r="AX20" s="2"/>
    </row>
    <row r="21" spans="1:50" x14ac:dyDescent="0.25">
      <c r="A21" s="645"/>
      <c r="B21" s="651"/>
      <c r="C21" s="642" t="s">
        <v>268</v>
      </c>
      <c r="D21" s="641" t="s">
        <v>269</v>
      </c>
      <c r="E21" s="645" t="s">
        <v>272</v>
      </c>
      <c r="F21" s="581" t="s">
        <v>250</v>
      </c>
      <c r="G21" s="581" t="s">
        <v>251</v>
      </c>
      <c r="H21" s="641" t="s">
        <v>273</v>
      </c>
      <c r="I21" s="116">
        <f>0.79*0.33+0.67*I24</f>
        <v>0.42820000000000003</v>
      </c>
      <c r="J21" s="116">
        <f t="shared" ref="J21:X21" si="4">0.79*0.33+0.67*J24</f>
        <v>0.42820000000000003</v>
      </c>
      <c r="K21" s="116">
        <f t="shared" si="4"/>
        <v>0.42820000000000003</v>
      </c>
      <c r="L21" s="116">
        <f t="shared" si="4"/>
        <v>0.42820000000000003</v>
      </c>
      <c r="M21" s="116">
        <f t="shared" si="4"/>
        <v>0.42820000000000003</v>
      </c>
      <c r="N21" s="116">
        <f t="shared" si="4"/>
        <v>0.42820000000000003</v>
      </c>
      <c r="O21" s="116">
        <f t="shared" si="4"/>
        <v>0.42820000000000003</v>
      </c>
      <c r="P21" s="116">
        <f t="shared" si="4"/>
        <v>0.42820000000000003</v>
      </c>
      <c r="Q21" s="116">
        <f t="shared" si="4"/>
        <v>0.42820000000000003</v>
      </c>
      <c r="R21" s="116">
        <f t="shared" si="4"/>
        <v>0.42820000000000003</v>
      </c>
      <c r="S21" s="116">
        <f t="shared" si="4"/>
        <v>0.42820000000000003</v>
      </c>
      <c r="T21" s="116">
        <f t="shared" si="4"/>
        <v>0.42820000000000003</v>
      </c>
      <c r="U21" s="116">
        <f t="shared" si="4"/>
        <v>0.42820000000000003</v>
      </c>
      <c r="V21" s="116">
        <f t="shared" si="4"/>
        <v>0.42820000000000003</v>
      </c>
      <c r="W21" s="116">
        <f t="shared" si="4"/>
        <v>0.42820000000000003</v>
      </c>
      <c r="X21" s="116">
        <f t="shared" si="4"/>
        <v>0.42820000000000003</v>
      </c>
      <c r="Y21" s="90"/>
      <c r="Z21" s="2"/>
      <c r="AA21" s="2"/>
      <c r="AB21" s="2"/>
      <c r="AC21" s="2"/>
      <c r="AD21" s="2"/>
      <c r="AE21" s="2"/>
      <c r="AF21" s="2"/>
      <c r="AG21" s="2"/>
      <c r="AH21" s="2"/>
      <c r="AI21" s="2"/>
      <c r="AJ21" s="2"/>
      <c r="AK21" s="2"/>
      <c r="AL21" s="2"/>
      <c r="AM21" s="2"/>
      <c r="AN21" s="2"/>
      <c r="AO21" s="2"/>
      <c r="AP21" s="2"/>
      <c r="AQ21" s="2"/>
      <c r="AR21" s="2"/>
      <c r="AS21" s="2"/>
      <c r="AT21" s="2"/>
      <c r="AU21" s="2"/>
      <c r="AV21" s="2"/>
      <c r="AW21" s="2"/>
      <c r="AX21" s="2"/>
    </row>
    <row r="22" spans="1:50" x14ac:dyDescent="0.25">
      <c r="A22" s="645"/>
      <c r="B22" s="651"/>
      <c r="C22" s="643"/>
      <c r="D22" s="641"/>
      <c r="E22" s="645"/>
      <c r="F22" s="87" t="s">
        <v>253</v>
      </c>
      <c r="G22" s="87" t="s">
        <v>251</v>
      </c>
      <c r="H22" s="641"/>
      <c r="I22" s="117">
        <f>0.79*0.33+0.67*I24</f>
        <v>0.42820000000000003</v>
      </c>
      <c r="J22" s="117">
        <f t="shared" ref="J22:X22" si="5">0.79*0.33+0.67*J24</f>
        <v>0.42820000000000003</v>
      </c>
      <c r="K22" s="117">
        <f t="shared" si="5"/>
        <v>0.42820000000000003</v>
      </c>
      <c r="L22" s="117">
        <f t="shared" si="5"/>
        <v>0.42820000000000003</v>
      </c>
      <c r="M22" s="117">
        <f t="shared" si="5"/>
        <v>0.42820000000000003</v>
      </c>
      <c r="N22" s="117">
        <f t="shared" si="5"/>
        <v>0.42820000000000003</v>
      </c>
      <c r="O22" s="117">
        <f t="shared" si="5"/>
        <v>0.42820000000000003</v>
      </c>
      <c r="P22" s="117">
        <f t="shared" si="5"/>
        <v>0.42820000000000003</v>
      </c>
      <c r="Q22" s="117">
        <f t="shared" si="5"/>
        <v>0.42820000000000003</v>
      </c>
      <c r="R22" s="117">
        <f t="shared" si="5"/>
        <v>0.42820000000000003</v>
      </c>
      <c r="S22" s="117">
        <f t="shared" si="5"/>
        <v>0.42820000000000003</v>
      </c>
      <c r="T22" s="117">
        <f t="shared" si="5"/>
        <v>0.42820000000000003</v>
      </c>
      <c r="U22" s="117">
        <f t="shared" si="5"/>
        <v>0.42820000000000003</v>
      </c>
      <c r="V22" s="117">
        <f t="shared" si="5"/>
        <v>0.42820000000000003</v>
      </c>
      <c r="W22" s="117">
        <f t="shared" si="5"/>
        <v>0.42820000000000003</v>
      </c>
      <c r="X22" s="117">
        <f t="shared" si="5"/>
        <v>0.42820000000000003</v>
      </c>
      <c r="Y22" s="90"/>
      <c r="Z22" s="2"/>
      <c r="AA22" s="2"/>
      <c r="AB22" s="2"/>
      <c r="AC22" s="2"/>
      <c r="AD22" s="2"/>
      <c r="AE22" s="2"/>
      <c r="AF22" s="2"/>
      <c r="AG22" s="2"/>
      <c r="AH22" s="2"/>
      <c r="AI22" s="2"/>
      <c r="AJ22" s="2"/>
      <c r="AK22" s="2"/>
      <c r="AL22" s="2"/>
      <c r="AM22" s="2"/>
      <c r="AN22" s="2"/>
      <c r="AO22" s="2"/>
      <c r="AP22" s="2"/>
      <c r="AQ22" s="2"/>
      <c r="AR22" s="2"/>
      <c r="AS22" s="2"/>
      <c r="AT22" s="2"/>
      <c r="AU22" s="2"/>
      <c r="AV22" s="2"/>
      <c r="AW22" s="2"/>
      <c r="AX22" s="2"/>
    </row>
    <row r="23" spans="1:50" x14ac:dyDescent="0.25">
      <c r="A23" s="645"/>
      <c r="B23" s="651"/>
      <c r="C23" s="643"/>
      <c r="D23" s="645" t="s">
        <v>271</v>
      </c>
      <c r="E23" s="645"/>
      <c r="F23" s="88" t="s">
        <v>255</v>
      </c>
      <c r="G23" s="88">
        <v>2001</v>
      </c>
      <c r="H23" s="243" t="s">
        <v>274</v>
      </c>
      <c r="I23" s="88">
        <v>0.43</v>
      </c>
      <c r="J23" s="250">
        <v>0.31</v>
      </c>
      <c r="K23" s="88">
        <v>0.41</v>
      </c>
      <c r="L23" s="88">
        <v>0.41</v>
      </c>
      <c r="M23" s="88">
        <v>0.41</v>
      </c>
      <c r="N23" s="88">
        <v>0.34</v>
      </c>
      <c r="O23" s="88">
        <v>0.34</v>
      </c>
      <c r="P23" s="88">
        <v>0.34</v>
      </c>
      <c r="Q23" s="88">
        <v>0.34</v>
      </c>
      <c r="R23" s="88">
        <v>0.31</v>
      </c>
      <c r="S23" s="88">
        <v>0.31</v>
      </c>
      <c r="T23" s="88">
        <v>0.31</v>
      </c>
      <c r="U23" s="88">
        <v>0.31</v>
      </c>
      <c r="V23" s="88">
        <v>0.31</v>
      </c>
      <c r="W23" s="88">
        <v>0.31</v>
      </c>
      <c r="X23" s="88">
        <v>0.43</v>
      </c>
      <c r="Y23" s="90"/>
      <c r="Z23" s="2"/>
      <c r="AA23" s="2"/>
      <c r="AB23" s="2"/>
      <c r="AC23" s="2"/>
      <c r="AD23" s="2"/>
      <c r="AE23" s="2"/>
      <c r="AF23" s="2"/>
      <c r="AG23" s="2"/>
      <c r="AH23" s="2"/>
      <c r="AI23" s="2"/>
      <c r="AJ23" s="2"/>
      <c r="AK23" s="2"/>
      <c r="AL23" s="2"/>
      <c r="AM23" s="2"/>
      <c r="AN23" s="2"/>
      <c r="AO23" s="2"/>
      <c r="AP23" s="2"/>
      <c r="AQ23" s="2"/>
      <c r="AR23" s="2"/>
      <c r="AS23" s="2"/>
      <c r="AT23" s="2"/>
      <c r="AU23" s="2"/>
      <c r="AV23" s="2"/>
      <c r="AW23" s="2"/>
      <c r="AX23" s="2"/>
    </row>
    <row r="24" spans="1:50" x14ac:dyDescent="0.25">
      <c r="A24" s="645"/>
      <c r="B24" s="651"/>
      <c r="C24" s="643"/>
      <c r="D24" s="645"/>
      <c r="E24" s="645"/>
      <c r="F24" s="89" t="s">
        <v>257</v>
      </c>
      <c r="G24" s="89">
        <v>2013</v>
      </c>
      <c r="H24" s="351" t="s">
        <v>258</v>
      </c>
      <c r="I24" s="89">
        <v>0.25</v>
      </c>
      <c r="J24" s="89">
        <v>0.25</v>
      </c>
      <c r="K24" s="89">
        <v>0.25</v>
      </c>
      <c r="L24" s="89">
        <v>0.25</v>
      </c>
      <c r="M24" s="89">
        <v>0.25</v>
      </c>
      <c r="N24" s="89">
        <v>0.25</v>
      </c>
      <c r="O24" s="89">
        <v>0.25</v>
      </c>
      <c r="P24" s="89">
        <v>0.25</v>
      </c>
      <c r="Q24" s="89">
        <v>0.25</v>
      </c>
      <c r="R24" s="89">
        <v>0.25</v>
      </c>
      <c r="S24" s="89">
        <v>0.25</v>
      </c>
      <c r="T24" s="89">
        <v>0.25</v>
      </c>
      <c r="U24" s="89">
        <v>0.25</v>
      </c>
      <c r="V24" s="89">
        <v>0.25</v>
      </c>
      <c r="W24" s="89">
        <v>0.25</v>
      </c>
      <c r="X24" s="89">
        <v>0.25</v>
      </c>
      <c r="Y24" s="90"/>
      <c r="Z24" s="2"/>
      <c r="AA24" s="2"/>
      <c r="AB24" s="2"/>
      <c r="AC24" s="2"/>
      <c r="AD24" s="2"/>
      <c r="AE24" s="2"/>
      <c r="AF24" s="2"/>
      <c r="AG24" s="2"/>
      <c r="AH24" s="2"/>
      <c r="AI24" s="2"/>
      <c r="AJ24" s="2"/>
      <c r="AK24" s="2"/>
      <c r="AL24" s="2"/>
      <c r="AM24" s="2"/>
      <c r="AN24" s="2"/>
      <c r="AO24" s="2"/>
      <c r="AP24" s="2"/>
      <c r="AQ24" s="2"/>
      <c r="AR24" s="2"/>
      <c r="AS24" s="2"/>
      <c r="AT24" s="2"/>
      <c r="AU24" s="2"/>
      <c r="AV24" s="2"/>
      <c r="AW24" s="2"/>
      <c r="AX24" s="2"/>
    </row>
    <row r="25" spans="1:50" x14ac:dyDescent="0.25">
      <c r="A25" s="645"/>
      <c r="B25" s="651"/>
      <c r="C25" s="643"/>
      <c r="D25" s="645"/>
      <c r="E25" s="645"/>
      <c r="F25" s="427" t="s">
        <v>259</v>
      </c>
      <c r="G25" s="428"/>
      <c r="H25" s="429" t="s">
        <v>260</v>
      </c>
      <c r="I25" s="431" cm="1">
        <f t="array" ref="I25:X25">_xlfn.BYCOL(TRANSPOSE(Weights!$C$4:$F$19)*I21:X24,_xlfn.LAMBDA(_xlpm.c,SUM(_xlpm.c)))</f>
        <v>0.42236649807999999</v>
      </c>
      <c r="J25" s="431">
        <v>0.42115455708000005</v>
      </c>
      <c r="K25" s="431">
        <v>0.42662069938000002</v>
      </c>
      <c r="L25" s="431">
        <v>0.42679669574000001</v>
      </c>
      <c r="M25" s="431">
        <v>0.42636858010000001</v>
      </c>
      <c r="N25" s="431">
        <v>0.41031597417999999</v>
      </c>
      <c r="O25" s="431">
        <v>0.36719365067999998</v>
      </c>
      <c r="P25" s="431">
        <v>0.41160972526</v>
      </c>
      <c r="Q25" s="431">
        <v>0.41622868870000002</v>
      </c>
      <c r="R25" s="431">
        <v>0.36835023248000004</v>
      </c>
      <c r="S25" s="431">
        <v>0.41484547542</v>
      </c>
      <c r="T25" s="431">
        <v>0.40966424962000003</v>
      </c>
      <c r="U25" s="431">
        <v>0.39691693426000008</v>
      </c>
      <c r="V25" s="431">
        <v>0.39188834770000003</v>
      </c>
      <c r="W25" s="431">
        <v>0.35708901498000001</v>
      </c>
      <c r="X25" s="431">
        <v>0.40996356190000005</v>
      </c>
      <c r="Y25" s="90"/>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x14ac:dyDescent="0.25">
      <c r="A26" s="645"/>
      <c r="B26" s="652"/>
      <c r="C26" s="644"/>
      <c r="D26" s="645"/>
      <c r="E26" s="645"/>
      <c r="F26" s="433" t="s">
        <v>261</v>
      </c>
      <c r="G26" s="434">
        <v>2025</v>
      </c>
      <c r="H26" s="436" t="s">
        <v>258</v>
      </c>
      <c r="I26" s="434">
        <v>0.25</v>
      </c>
      <c r="J26" s="434">
        <v>0.25</v>
      </c>
      <c r="K26" s="434">
        <v>0.25</v>
      </c>
      <c r="L26" s="434">
        <v>0.25</v>
      </c>
      <c r="M26" s="434">
        <v>0.25</v>
      </c>
      <c r="N26" s="434">
        <v>0.25</v>
      </c>
      <c r="O26" s="434">
        <v>0.25</v>
      </c>
      <c r="P26" s="434">
        <v>0.25</v>
      </c>
      <c r="Q26" s="434">
        <v>0.22</v>
      </c>
      <c r="R26" s="434">
        <v>0.25</v>
      </c>
      <c r="S26" s="434">
        <v>0.22</v>
      </c>
      <c r="T26" s="434">
        <v>0.22</v>
      </c>
      <c r="U26" s="434">
        <v>0.22</v>
      </c>
      <c r="V26" s="434">
        <v>0.22</v>
      </c>
      <c r="W26" s="434">
        <v>0.22</v>
      </c>
      <c r="X26" s="434">
        <v>0.25</v>
      </c>
      <c r="Y26" s="90"/>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customFormat="1" ht="16.95" customHeight="1" x14ac:dyDescent="0.3">
      <c r="A27" s="653" t="s">
        <v>275</v>
      </c>
      <c r="B27" s="653" t="s">
        <v>66</v>
      </c>
      <c r="C27" s="653" t="s">
        <v>275</v>
      </c>
      <c r="D27" s="659" t="s">
        <v>276</v>
      </c>
      <c r="E27" s="653" t="s">
        <v>249</v>
      </c>
      <c r="F27" s="583" t="s">
        <v>250</v>
      </c>
      <c r="G27" s="583">
        <v>1992</v>
      </c>
      <c r="H27" s="646" t="s">
        <v>277</v>
      </c>
      <c r="I27" s="246">
        <v>0.85</v>
      </c>
      <c r="J27" s="246">
        <v>1.31</v>
      </c>
      <c r="K27" s="246">
        <v>1.31</v>
      </c>
      <c r="L27" s="246">
        <v>1.31</v>
      </c>
      <c r="M27" s="246">
        <v>1.31</v>
      </c>
      <c r="N27" s="246">
        <v>1.31</v>
      </c>
      <c r="O27" s="246">
        <v>1.31</v>
      </c>
      <c r="P27" s="246">
        <v>1.31</v>
      </c>
      <c r="Q27" s="246">
        <v>1.31</v>
      </c>
      <c r="R27" s="246">
        <v>1.31</v>
      </c>
      <c r="S27" s="246">
        <v>0.85</v>
      </c>
      <c r="T27" s="246">
        <v>0.85</v>
      </c>
      <c r="U27" s="246">
        <v>0.85</v>
      </c>
      <c r="V27" s="246">
        <v>0.85</v>
      </c>
      <c r="W27" s="246">
        <v>0.85</v>
      </c>
      <c r="X27" s="246">
        <v>0.85</v>
      </c>
    </row>
    <row r="28" spans="1:50" customFormat="1" ht="16.95" customHeight="1" x14ac:dyDescent="0.3">
      <c r="A28" s="653"/>
      <c r="B28" s="653"/>
      <c r="C28" s="653"/>
      <c r="D28" s="660"/>
      <c r="E28" s="653"/>
      <c r="F28" s="292" t="s">
        <v>253</v>
      </c>
      <c r="G28" s="292">
        <v>1992</v>
      </c>
      <c r="H28" s="646"/>
      <c r="I28" s="293">
        <f t="shared" ref="I28:X28" si="6">I27</f>
        <v>0.85</v>
      </c>
      <c r="J28" s="293">
        <f t="shared" si="6"/>
        <v>1.31</v>
      </c>
      <c r="K28" s="293">
        <f t="shared" si="6"/>
        <v>1.31</v>
      </c>
      <c r="L28" s="293">
        <f t="shared" si="6"/>
        <v>1.31</v>
      </c>
      <c r="M28" s="293">
        <f t="shared" si="6"/>
        <v>1.31</v>
      </c>
      <c r="N28" s="293">
        <f t="shared" si="6"/>
        <v>1.31</v>
      </c>
      <c r="O28" s="293">
        <f t="shared" si="6"/>
        <v>1.31</v>
      </c>
      <c r="P28" s="293">
        <f t="shared" si="6"/>
        <v>1.31</v>
      </c>
      <c r="Q28" s="293">
        <f t="shared" si="6"/>
        <v>1.31</v>
      </c>
      <c r="R28" s="293">
        <f t="shared" si="6"/>
        <v>1.31</v>
      </c>
      <c r="S28" s="293">
        <f t="shared" si="6"/>
        <v>0.85</v>
      </c>
      <c r="T28" s="293">
        <f t="shared" si="6"/>
        <v>0.85</v>
      </c>
      <c r="U28" s="293">
        <f t="shared" si="6"/>
        <v>0.85</v>
      </c>
      <c r="V28" s="293">
        <f t="shared" si="6"/>
        <v>0.85</v>
      </c>
      <c r="W28" s="293">
        <f t="shared" si="6"/>
        <v>0.85</v>
      </c>
      <c r="X28" s="293">
        <f t="shared" si="6"/>
        <v>0.85</v>
      </c>
    </row>
    <row r="29" spans="1:50" customFormat="1" ht="17.399999999999999" customHeight="1" x14ac:dyDescent="0.3">
      <c r="A29" s="653"/>
      <c r="B29" s="653"/>
      <c r="C29" s="653"/>
      <c r="D29" s="660"/>
      <c r="E29" s="653"/>
      <c r="F29" s="250" t="s">
        <v>255</v>
      </c>
      <c r="G29" s="250">
        <v>2001</v>
      </c>
      <c r="H29" s="243" t="s">
        <v>278</v>
      </c>
      <c r="I29" s="250">
        <v>0.87</v>
      </c>
      <c r="J29" s="250">
        <v>1.1000000000000001</v>
      </c>
      <c r="K29" s="250">
        <v>1.3</v>
      </c>
      <c r="L29" s="250">
        <v>1.3</v>
      </c>
      <c r="M29" s="250">
        <v>1.3</v>
      </c>
      <c r="N29" s="250">
        <v>1.3</v>
      </c>
      <c r="O29" s="250">
        <v>1.3</v>
      </c>
      <c r="P29" s="250">
        <v>1.3</v>
      </c>
      <c r="Q29" s="250">
        <v>1.3</v>
      </c>
      <c r="R29" s="250">
        <v>1.1000000000000001</v>
      </c>
      <c r="S29" s="250">
        <v>1.1000000000000001</v>
      </c>
      <c r="T29" s="250">
        <v>1.1000000000000001</v>
      </c>
      <c r="U29" s="250">
        <v>1.1000000000000001</v>
      </c>
      <c r="V29" s="250">
        <v>1.1000000000000001</v>
      </c>
      <c r="W29" s="250">
        <v>1.1000000000000001</v>
      </c>
      <c r="X29" s="250">
        <v>0.87</v>
      </c>
    </row>
    <row r="30" spans="1:50" customFormat="1" ht="14.4" x14ac:dyDescent="0.3">
      <c r="A30" s="653"/>
      <c r="B30" s="653"/>
      <c r="C30" s="653"/>
      <c r="D30" s="660"/>
      <c r="E30" s="653"/>
      <c r="F30" s="294" t="s">
        <v>257</v>
      </c>
      <c r="G30" s="294">
        <v>2013</v>
      </c>
      <c r="H30" s="353" t="s">
        <v>258</v>
      </c>
      <c r="I30" s="294">
        <v>0.88</v>
      </c>
      <c r="J30" s="294">
        <v>0.88</v>
      </c>
      <c r="K30" s="294">
        <v>0.88</v>
      </c>
      <c r="L30" s="294">
        <v>0.88</v>
      </c>
      <c r="M30" s="294">
        <v>0.88</v>
      </c>
      <c r="N30" s="294">
        <v>0.88</v>
      </c>
      <c r="O30" s="294">
        <v>0.88</v>
      </c>
      <c r="P30" s="294">
        <v>0.88</v>
      </c>
      <c r="Q30" s="294">
        <v>0.88</v>
      </c>
      <c r="R30" s="294">
        <v>0.88</v>
      </c>
      <c r="S30" s="294">
        <v>0.88</v>
      </c>
      <c r="T30" s="294">
        <v>0.88</v>
      </c>
      <c r="U30" s="294">
        <v>0.88</v>
      </c>
      <c r="V30" s="294">
        <v>0.88</v>
      </c>
      <c r="W30" s="294">
        <v>0.88</v>
      </c>
      <c r="X30" s="294">
        <v>0.88</v>
      </c>
    </row>
    <row r="31" spans="1:50" customFormat="1" ht="14.4" x14ac:dyDescent="0.3">
      <c r="A31" s="653"/>
      <c r="B31" s="653"/>
      <c r="C31" s="653"/>
      <c r="D31" s="660"/>
      <c r="E31" s="653"/>
      <c r="F31" s="427" t="s">
        <v>259</v>
      </c>
      <c r="G31" s="428"/>
      <c r="H31" s="429" t="s">
        <v>260</v>
      </c>
      <c r="I31" s="431" cm="1">
        <f t="array" ref="I31:X31">_xlfn.BYCOL(TRANSPOSE(Weights!$C$4:$F$19)*I27:X30,_xlfn.LAMBDA(_xlpm.c,SUM(_xlpm.c)))</f>
        <v>0.85276715000000003</v>
      </c>
      <c r="J31" s="431">
        <v>1.2958875280000002</v>
      </c>
      <c r="K31" s="431">
        <v>1.3067465249999999</v>
      </c>
      <c r="L31" s="431">
        <v>1.306962819</v>
      </c>
      <c r="M31" s="431">
        <v>1.3064071590000002</v>
      </c>
      <c r="N31" s="431">
        <v>1.2889519009999999</v>
      </c>
      <c r="O31" s="431">
        <v>1.2026814560000001</v>
      </c>
      <c r="P31" s="431">
        <v>1.2923431030000001</v>
      </c>
      <c r="Q31" s="431">
        <v>1.2988285469999998</v>
      </c>
      <c r="R31" s="431">
        <v>1.190542142</v>
      </c>
      <c r="S31" s="431">
        <v>0.87151717099999992</v>
      </c>
      <c r="T31" s="431">
        <v>0.87821791299999996</v>
      </c>
      <c r="U31" s="431">
        <v>0.89161340300000003</v>
      </c>
      <c r="V31" s="431">
        <v>0.89091002899999994</v>
      </c>
      <c r="W31" s="431">
        <v>0.983377257</v>
      </c>
      <c r="X31" s="431">
        <v>0.85592829900000011</v>
      </c>
    </row>
    <row r="32" spans="1:50" customFormat="1" ht="14.4" x14ac:dyDescent="0.3">
      <c r="A32" s="653"/>
      <c r="B32" s="653"/>
      <c r="C32" s="653"/>
      <c r="D32" s="660"/>
      <c r="E32" s="653"/>
      <c r="F32" s="437" t="s">
        <v>261</v>
      </c>
      <c r="G32" s="437">
        <v>2025</v>
      </c>
      <c r="H32" s="438" t="s">
        <v>258</v>
      </c>
      <c r="I32" s="437">
        <v>0.88</v>
      </c>
      <c r="J32" s="437">
        <v>0.88</v>
      </c>
      <c r="K32" s="437">
        <v>0.88</v>
      </c>
      <c r="L32" s="437">
        <v>0.88</v>
      </c>
      <c r="M32" s="437">
        <v>0.88</v>
      </c>
      <c r="N32" s="437">
        <v>0.88</v>
      </c>
      <c r="O32" s="437">
        <v>0.88</v>
      </c>
      <c r="P32" s="437">
        <v>0.88</v>
      </c>
      <c r="Q32" s="437">
        <v>0.88</v>
      </c>
      <c r="R32" s="437">
        <v>0.88</v>
      </c>
      <c r="S32" s="437">
        <v>0.88</v>
      </c>
      <c r="T32" s="437">
        <v>0.88</v>
      </c>
      <c r="U32" s="437">
        <v>0.88</v>
      </c>
      <c r="V32" s="437">
        <v>0.88</v>
      </c>
      <c r="W32" s="437">
        <v>0.88</v>
      </c>
      <c r="X32" s="437">
        <v>0.88</v>
      </c>
    </row>
    <row r="33" spans="1:62" ht="14.4" x14ac:dyDescent="0.3">
      <c r="A33" s="653"/>
      <c r="B33" s="653"/>
      <c r="C33" s="653"/>
      <c r="D33" s="660"/>
      <c r="E33" s="653" t="s">
        <v>272</v>
      </c>
      <c r="F33" s="583" t="s">
        <v>250</v>
      </c>
      <c r="G33" s="583">
        <v>1992</v>
      </c>
      <c r="H33" s="646" t="s">
        <v>279</v>
      </c>
      <c r="I33" s="246">
        <v>0.81</v>
      </c>
      <c r="J33" s="246">
        <v>0.86</v>
      </c>
      <c r="K33" s="246">
        <v>0.86</v>
      </c>
      <c r="L33" s="246">
        <v>0.86</v>
      </c>
      <c r="M33" s="246">
        <v>0.86</v>
      </c>
      <c r="N33" s="246">
        <v>0.86</v>
      </c>
      <c r="O33" s="246">
        <v>0.86</v>
      </c>
      <c r="P33" s="246">
        <v>0.86</v>
      </c>
      <c r="Q33" s="246">
        <v>0.86</v>
      </c>
      <c r="R33" s="246">
        <v>0.86</v>
      </c>
      <c r="S33" s="246">
        <v>0.81</v>
      </c>
      <c r="T33" s="246">
        <v>0.81</v>
      </c>
      <c r="U33" s="246">
        <v>0.81</v>
      </c>
      <c r="V33" s="246">
        <v>0.81</v>
      </c>
      <c r="W33" s="246">
        <v>0.81</v>
      </c>
      <c r="X33" s="246">
        <v>0.81</v>
      </c>
      <c r="Y33" s="2"/>
      <c r="Z33"/>
      <c r="AA33"/>
      <c r="AB33"/>
      <c r="AC33"/>
      <c r="AD33"/>
      <c r="AE33"/>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row>
    <row r="34" spans="1:62" ht="14.4" x14ac:dyDescent="0.3">
      <c r="A34" s="653"/>
      <c r="B34" s="653"/>
      <c r="C34" s="653"/>
      <c r="D34" s="660"/>
      <c r="E34" s="653"/>
      <c r="F34" s="292" t="s">
        <v>253</v>
      </c>
      <c r="G34" s="292">
        <v>1992</v>
      </c>
      <c r="H34" s="646"/>
      <c r="I34" s="292">
        <f t="shared" ref="I34:X34" si="7">I33</f>
        <v>0.81</v>
      </c>
      <c r="J34" s="292">
        <f t="shared" si="7"/>
        <v>0.86</v>
      </c>
      <c r="K34" s="292">
        <f t="shared" si="7"/>
        <v>0.86</v>
      </c>
      <c r="L34" s="292">
        <f t="shared" si="7"/>
        <v>0.86</v>
      </c>
      <c r="M34" s="292">
        <f t="shared" si="7"/>
        <v>0.86</v>
      </c>
      <c r="N34" s="292">
        <f t="shared" si="7"/>
        <v>0.86</v>
      </c>
      <c r="O34" s="292">
        <f t="shared" si="7"/>
        <v>0.86</v>
      </c>
      <c r="P34" s="292">
        <f t="shared" si="7"/>
        <v>0.86</v>
      </c>
      <c r="Q34" s="292">
        <f t="shared" si="7"/>
        <v>0.86</v>
      </c>
      <c r="R34" s="292">
        <f t="shared" si="7"/>
        <v>0.86</v>
      </c>
      <c r="S34" s="292">
        <f t="shared" si="7"/>
        <v>0.81</v>
      </c>
      <c r="T34" s="292">
        <f t="shared" si="7"/>
        <v>0.81</v>
      </c>
      <c r="U34" s="292">
        <f t="shared" si="7"/>
        <v>0.81</v>
      </c>
      <c r="V34" s="292">
        <f t="shared" si="7"/>
        <v>0.81</v>
      </c>
      <c r="W34" s="292">
        <f t="shared" si="7"/>
        <v>0.81</v>
      </c>
      <c r="X34" s="292">
        <f t="shared" si="7"/>
        <v>0.81</v>
      </c>
      <c r="Y34" s="2"/>
      <c r="Z34"/>
      <c r="AA34"/>
      <c r="AB34"/>
      <c r="AC34"/>
      <c r="AD34"/>
      <c r="AE34"/>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row>
    <row r="35" spans="1:62" ht="26.4" x14ac:dyDescent="0.3">
      <c r="A35" s="653"/>
      <c r="B35" s="653"/>
      <c r="C35" s="653"/>
      <c r="D35" s="660"/>
      <c r="E35" s="653"/>
      <c r="F35" s="250" t="s">
        <v>255</v>
      </c>
      <c r="G35" s="250">
        <v>2001</v>
      </c>
      <c r="H35" s="243" t="s">
        <v>280</v>
      </c>
      <c r="I35" s="250">
        <v>0.77</v>
      </c>
      <c r="J35" s="250">
        <v>0.77</v>
      </c>
      <c r="K35" s="250">
        <v>0.79</v>
      </c>
      <c r="L35" s="250">
        <v>0.79</v>
      </c>
      <c r="M35" s="250">
        <v>0.79</v>
      </c>
      <c r="N35" s="250">
        <v>0.77</v>
      </c>
      <c r="O35" s="250">
        <v>0.77</v>
      </c>
      <c r="P35" s="250">
        <v>0.77</v>
      </c>
      <c r="Q35" s="250">
        <v>0.77</v>
      </c>
      <c r="R35" s="250">
        <v>0.77</v>
      </c>
      <c r="S35" s="250">
        <v>0.77</v>
      </c>
      <c r="T35" s="250">
        <v>0.77</v>
      </c>
      <c r="U35" s="250">
        <v>0.77</v>
      </c>
      <c r="V35" s="250">
        <v>0.71</v>
      </c>
      <c r="W35" s="250">
        <v>0.71</v>
      </c>
      <c r="X35" s="250">
        <v>0.77</v>
      </c>
      <c r="Y35" s="65"/>
      <c r="Z35"/>
      <c r="AA35"/>
      <c r="AB35"/>
      <c r="AC35"/>
      <c r="AD35"/>
      <c r="AE35"/>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row>
    <row r="36" spans="1:62" ht="14.4" x14ac:dyDescent="0.3">
      <c r="A36" s="653"/>
      <c r="B36" s="653"/>
      <c r="C36" s="653"/>
      <c r="D36" s="660"/>
      <c r="E36" s="653"/>
      <c r="F36" s="294" t="s">
        <v>257</v>
      </c>
      <c r="G36" s="294">
        <v>2013</v>
      </c>
      <c r="H36" s="294" t="s">
        <v>281</v>
      </c>
      <c r="I36" s="294">
        <v>0.77</v>
      </c>
      <c r="J36" s="294">
        <v>0.77</v>
      </c>
      <c r="K36" s="294">
        <v>0.79</v>
      </c>
      <c r="L36" s="294">
        <v>0.79</v>
      </c>
      <c r="M36" s="294">
        <v>0.79</v>
      </c>
      <c r="N36" s="294">
        <v>0.77</v>
      </c>
      <c r="O36" s="294">
        <v>0.77</v>
      </c>
      <c r="P36" s="294">
        <v>0.77</v>
      </c>
      <c r="Q36" s="294">
        <v>0.77</v>
      </c>
      <c r="R36" s="294">
        <v>0.77</v>
      </c>
      <c r="S36" s="294">
        <v>0.77</v>
      </c>
      <c r="T36" s="294">
        <v>0.77</v>
      </c>
      <c r="U36" s="294">
        <v>0.77</v>
      </c>
      <c r="V36" s="294">
        <v>0.71</v>
      </c>
      <c r="W36" s="294">
        <v>0.71</v>
      </c>
      <c r="X36" s="294">
        <v>0.77</v>
      </c>
      <c r="Y36" s="118"/>
      <c r="Z36"/>
      <c r="AA36"/>
      <c r="AB36"/>
      <c r="AC36"/>
      <c r="AD36"/>
      <c r="AE36"/>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row>
    <row r="37" spans="1:62" ht="14.4" x14ac:dyDescent="0.3">
      <c r="A37" s="653"/>
      <c r="B37" s="653"/>
      <c r="C37" s="653"/>
      <c r="D37" s="660"/>
      <c r="E37" s="653"/>
      <c r="F37" s="427" t="s">
        <v>259</v>
      </c>
      <c r="G37" s="428"/>
      <c r="H37" s="429" t="s">
        <v>260</v>
      </c>
      <c r="I37" s="432" cm="1">
        <f t="array" ref="I37:X37">_xlfn.BYCOL(TRANSPOSE(Weights!$C$4:$F$19)*I33:X36,_xlfn.LAMBDA(_xlpm.c,SUM(_xlpm.c)))</f>
        <v>0.80513817600000004</v>
      </c>
      <c r="J37" s="432">
        <v>0.855278019</v>
      </c>
      <c r="K37" s="432">
        <v>0.85834658399999986</v>
      </c>
      <c r="L37" s="432">
        <v>0.85880199899999987</v>
      </c>
      <c r="M37" s="432">
        <v>0.85774918500000008</v>
      </c>
      <c r="N37" s="432">
        <v>0.84601354100000004</v>
      </c>
      <c r="O37" s="432">
        <v>0.82024893900000007</v>
      </c>
      <c r="P37" s="432">
        <v>0.84660658699999991</v>
      </c>
      <c r="Q37" s="432">
        <v>0.84998376499999995</v>
      </c>
      <c r="R37" s="432">
        <v>0.819717103</v>
      </c>
      <c r="S37" s="432">
        <v>0.80587444699999999</v>
      </c>
      <c r="T37" s="432">
        <v>0.80437036400000006</v>
      </c>
      <c r="U37" s="432">
        <v>0.80085057200000009</v>
      </c>
      <c r="V37" s="432">
        <v>0.78453134999999996</v>
      </c>
      <c r="W37" s="432">
        <v>0.75232981900000007</v>
      </c>
      <c r="X37" s="432">
        <v>0.80021858000000012</v>
      </c>
      <c r="Y37" s="118"/>
      <c r="Z37"/>
      <c r="AA37"/>
      <c r="AB37"/>
      <c r="AC37"/>
      <c r="AD37"/>
      <c r="AE37"/>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row>
    <row r="38" spans="1:62" ht="29.25" customHeight="1" x14ac:dyDescent="0.3">
      <c r="A38" s="653"/>
      <c r="B38" s="653"/>
      <c r="C38" s="653"/>
      <c r="D38" s="661"/>
      <c r="E38" s="653"/>
      <c r="F38" s="437" t="s">
        <v>261</v>
      </c>
      <c r="G38" s="437">
        <v>2025</v>
      </c>
      <c r="H38" s="439" t="s">
        <v>282</v>
      </c>
      <c r="I38" s="437">
        <v>0.77</v>
      </c>
      <c r="J38" s="437">
        <v>0.77</v>
      </c>
      <c r="K38" s="437">
        <v>0.79</v>
      </c>
      <c r="L38" s="437">
        <v>0.79</v>
      </c>
      <c r="M38" s="437">
        <v>0.79</v>
      </c>
      <c r="N38" s="437">
        <v>0.77</v>
      </c>
      <c r="O38" s="437">
        <v>0.77</v>
      </c>
      <c r="P38" s="437">
        <v>0.77</v>
      </c>
      <c r="Q38" s="437">
        <v>0.77</v>
      </c>
      <c r="R38" s="437">
        <v>0.77</v>
      </c>
      <c r="S38" s="437">
        <v>0.77</v>
      </c>
      <c r="T38" s="437">
        <v>0.77</v>
      </c>
      <c r="U38" s="437">
        <v>0.77</v>
      </c>
      <c r="V38" s="437">
        <v>0.71</v>
      </c>
      <c r="W38" s="437">
        <v>0.71</v>
      </c>
      <c r="X38" s="437">
        <v>0.77</v>
      </c>
      <c r="Y38" s="8"/>
      <c r="Z38"/>
      <c r="AA38"/>
      <c r="AB38"/>
      <c r="AC38"/>
      <c r="AD38"/>
      <c r="AE38"/>
      <c r="AF38" s="639"/>
      <c r="AG38" s="639"/>
      <c r="AH38" s="639"/>
      <c r="AI38" s="639"/>
      <c r="AJ38" s="639"/>
      <c r="AK38" s="639"/>
      <c r="AL38" s="639"/>
      <c r="AM38" s="639"/>
      <c r="AN38" s="639"/>
      <c r="AO38" s="639"/>
      <c r="AP38" s="639"/>
      <c r="AQ38" s="639"/>
      <c r="AR38" s="639"/>
      <c r="AS38" s="639"/>
      <c r="AT38" s="639"/>
      <c r="AU38" s="639"/>
      <c r="AV38" s="639"/>
      <c r="AW38" s="639"/>
      <c r="AX38" s="2"/>
      <c r="AY38" s="2"/>
      <c r="AZ38" s="2"/>
      <c r="BA38" s="2"/>
      <c r="BB38" s="2"/>
      <c r="BC38" s="2"/>
      <c r="BD38" s="2"/>
      <c r="BE38" s="2"/>
      <c r="BF38" s="2"/>
      <c r="BG38" s="2"/>
      <c r="BH38" s="2"/>
      <c r="BI38" s="2"/>
      <c r="BJ38" s="2"/>
    </row>
    <row r="39" spans="1:62" ht="14.4" x14ac:dyDescent="0.3">
      <c r="A39" s="613" t="s">
        <v>283</v>
      </c>
      <c r="B39" s="613"/>
      <c r="C39" s="613"/>
      <c r="D39" s="613"/>
      <c r="E39" s="613"/>
      <c r="F39" s="613"/>
      <c r="G39" s="613"/>
      <c r="H39" s="613"/>
      <c r="I39" s="613"/>
      <c r="J39" s="613"/>
      <c r="K39" s="613"/>
      <c r="L39" s="613"/>
      <c r="M39"/>
      <c r="N39"/>
      <c r="O39"/>
      <c r="P39"/>
      <c r="Q39"/>
      <c r="R39"/>
      <c r="S39"/>
      <c r="T39"/>
      <c r="U39"/>
      <c r="V39"/>
      <c r="W39"/>
      <c r="X39"/>
      <c r="Y39"/>
      <c r="Z39"/>
      <c r="AA39"/>
      <c r="AB39"/>
      <c r="AC39"/>
      <c r="AD39"/>
      <c r="AE39"/>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row>
    <row r="40" spans="1:62" ht="32.1" customHeight="1" x14ac:dyDescent="0.25">
      <c r="A40" s="2"/>
      <c r="B40" s="141"/>
      <c r="C40" s="2"/>
      <c r="D40" s="2"/>
      <c r="E40" s="2"/>
      <c r="F40" s="2"/>
      <c r="G40" s="66"/>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row>
    <row r="41" spans="1:62" ht="15.6" x14ac:dyDescent="0.25">
      <c r="A41" s="2"/>
      <c r="B41" s="141"/>
      <c r="C41" s="608" t="s">
        <v>284</v>
      </c>
      <c r="D41" s="608"/>
      <c r="E41" s="608"/>
      <c r="F41" s="608"/>
      <c r="G41" s="608"/>
      <c r="H41" s="608"/>
      <c r="I41" s="608"/>
      <c r="J41" s="608"/>
      <c r="K41" s="608"/>
      <c r="L41" s="608"/>
      <c r="M41" s="608"/>
      <c r="N41" s="608"/>
      <c r="O41" s="608"/>
      <c r="P41" s="608"/>
      <c r="Q41" s="608"/>
      <c r="R41" s="608"/>
      <c r="S41" s="608"/>
      <c r="T41" s="608"/>
      <c r="U41" s="608"/>
      <c r="V41" s="608"/>
      <c r="W41" s="608"/>
      <c r="X41" s="608"/>
      <c r="Y41" s="2"/>
      <c r="Z41" s="4"/>
      <c r="AA41" s="4"/>
      <c r="AB41" s="4"/>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row>
    <row r="42" spans="1:62" ht="45" customHeight="1" x14ac:dyDescent="0.25">
      <c r="A42" s="2"/>
      <c r="B42" s="141"/>
      <c r="C42" s="349"/>
      <c r="D42" s="349" t="s">
        <v>102</v>
      </c>
      <c r="E42" s="586" t="s">
        <v>285</v>
      </c>
      <c r="F42" s="595" t="s">
        <v>228</v>
      </c>
      <c r="G42" s="596" t="s">
        <v>286</v>
      </c>
      <c r="H42" s="596" t="s">
        <v>287</v>
      </c>
      <c r="I42" s="662" t="s">
        <v>288</v>
      </c>
      <c r="J42" s="662"/>
      <c r="K42" s="662"/>
      <c r="L42" s="662"/>
      <c r="M42" s="662"/>
      <c r="N42" s="662"/>
      <c r="O42" s="662"/>
      <c r="P42" s="662"/>
      <c r="Q42" s="662"/>
      <c r="R42" s="662"/>
      <c r="S42" s="662"/>
      <c r="T42" s="662"/>
      <c r="U42" s="662"/>
      <c r="V42" s="662"/>
      <c r="W42" s="662"/>
      <c r="X42" s="662"/>
      <c r="Y42" s="2"/>
      <c r="Z42" s="4"/>
      <c r="AA42" s="4"/>
      <c r="AB42" s="4"/>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row>
    <row r="43" spans="1:62" ht="14.4" x14ac:dyDescent="0.3">
      <c r="A43" s="2"/>
      <c r="B43" s="141"/>
      <c r="C43" s="664" t="s">
        <v>284</v>
      </c>
      <c r="D43" s="664" t="s">
        <v>114</v>
      </c>
      <c r="E43" s="658"/>
      <c r="F43" s="581" t="s">
        <v>250</v>
      </c>
      <c r="G43" s="580">
        <v>1.1000000000000001</v>
      </c>
      <c r="H43" s="109" t="s">
        <v>289</v>
      </c>
      <c r="I43" s="654">
        <f>0.112*G43*$AA$48</f>
        <v>0.41666856525447832</v>
      </c>
      <c r="J43" s="654"/>
      <c r="K43" s="654"/>
      <c r="L43" s="654"/>
      <c r="M43" s="654"/>
      <c r="N43" s="654"/>
      <c r="O43" s="654"/>
      <c r="P43" s="654"/>
      <c r="Q43" s="654"/>
      <c r="R43" s="654"/>
      <c r="S43" s="654"/>
      <c r="T43" s="654"/>
      <c r="U43" s="654"/>
      <c r="V43" s="654"/>
      <c r="W43" s="654"/>
      <c r="X43" s="654"/>
      <c r="Y43" s="2"/>
      <c r="Z43" s="575" t="s">
        <v>290</v>
      </c>
      <c r="AA43" s="576">
        <v>16755.34</v>
      </c>
      <c r="AB43" s="4"/>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row>
    <row r="44" spans="1:62" ht="14.4" x14ac:dyDescent="0.3">
      <c r="A44" s="2"/>
      <c r="B44" s="141"/>
      <c r="C44" s="664"/>
      <c r="D44" s="664"/>
      <c r="E44" s="658"/>
      <c r="F44" s="581" t="s">
        <v>253</v>
      </c>
      <c r="G44" s="580">
        <v>1.1000000000000001</v>
      </c>
      <c r="H44" s="109" t="s">
        <v>289</v>
      </c>
      <c r="I44" s="654">
        <f>0.112*G44*$AA$48</f>
        <v>0.41666856525447832</v>
      </c>
      <c r="J44" s="654"/>
      <c r="K44" s="654"/>
      <c r="L44" s="654"/>
      <c r="M44" s="654"/>
      <c r="N44" s="654"/>
      <c r="O44" s="654"/>
      <c r="P44" s="654"/>
      <c r="Q44" s="654"/>
      <c r="R44" s="654"/>
      <c r="S44" s="654"/>
      <c r="T44" s="654"/>
      <c r="U44" s="654"/>
      <c r="V44" s="654"/>
      <c r="W44" s="654"/>
      <c r="X44" s="654"/>
      <c r="Y44" s="2"/>
      <c r="Z44" s="587" t="s">
        <v>291</v>
      </c>
      <c r="AA44" s="386">
        <v>14068</v>
      </c>
      <c r="AB44" s="4"/>
      <c r="AC44" s="2"/>
      <c r="AD44" s="2"/>
      <c r="AE44" s="71"/>
      <c r="AF44" s="4"/>
      <c r="AG44" s="4"/>
      <c r="AH44" s="4"/>
      <c r="AI44" s="4"/>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row>
    <row r="45" spans="1:62" ht="27" x14ac:dyDescent="0.3">
      <c r="A45" s="2"/>
      <c r="B45" s="141"/>
      <c r="C45" s="664"/>
      <c r="D45" s="664"/>
      <c r="E45" s="658"/>
      <c r="F45" s="581" t="s">
        <v>255</v>
      </c>
      <c r="G45" s="580">
        <v>1.1000000000000001</v>
      </c>
      <c r="H45" s="109" t="s">
        <v>289</v>
      </c>
      <c r="I45" s="654">
        <f>0.112*G45*$AA$48</f>
        <v>0.41666856525447832</v>
      </c>
      <c r="J45" s="654"/>
      <c r="K45" s="654"/>
      <c r="L45" s="654"/>
      <c r="M45" s="654"/>
      <c r="N45" s="654"/>
      <c r="O45" s="654"/>
      <c r="P45" s="654"/>
      <c r="Q45" s="654"/>
      <c r="R45" s="654"/>
      <c r="S45" s="654"/>
      <c r="T45" s="654"/>
      <c r="U45" s="654"/>
      <c r="V45" s="654"/>
      <c r="W45" s="654"/>
      <c r="X45" s="654"/>
      <c r="Y45" s="2"/>
      <c r="Z45" s="587" t="s">
        <v>292</v>
      </c>
      <c r="AA45" s="387">
        <f>AA44</f>
        <v>14068</v>
      </c>
      <c r="AB45" s="4"/>
      <c r="AC45" s="348"/>
      <c r="AD45" s="2"/>
      <c r="AE45" s="71"/>
      <c r="AF45" s="71"/>
      <c r="AG45" s="71"/>
      <c r="AH45" s="71"/>
      <c r="AI45" s="71"/>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row>
    <row r="46" spans="1:62" ht="27" x14ac:dyDescent="0.3">
      <c r="A46" s="2"/>
      <c r="B46" s="141"/>
      <c r="C46" s="664"/>
      <c r="D46" s="664"/>
      <c r="E46" s="658"/>
      <c r="F46" s="581" t="s">
        <v>257</v>
      </c>
      <c r="G46" s="580">
        <v>1</v>
      </c>
      <c r="H46" s="580" t="s">
        <v>293</v>
      </c>
      <c r="I46" s="654">
        <f>0.112*G46*$AA$48</f>
        <v>0.37878960477679841</v>
      </c>
      <c r="J46" s="654"/>
      <c r="K46" s="654"/>
      <c r="L46" s="654"/>
      <c r="M46" s="654"/>
      <c r="N46" s="654"/>
      <c r="O46" s="654"/>
      <c r="P46" s="654"/>
      <c r="Q46" s="654"/>
      <c r="R46" s="654"/>
      <c r="S46" s="654"/>
      <c r="T46" s="654"/>
      <c r="U46" s="654"/>
      <c r="V46" s="654"/>
      <c r="W46" s="654"/>
      <c r="X46" s="654"/>
      <c r="Y46" s="2"/>
      <c r="Z46" s="587" t="s">
        <v>294</v>
      </c>
      <c r="AA46" s="386">
        <f>AA44+(2*AA43)</f>
        <v>47578.68</v>
      </c>
      <c r="AB46" s="4"/>
      <c r="AC46" s="2"/>
      <c r="AD46" s="2"/>
      <c r="AE46" s="71"/>
      <c r="AF46" s="356"/>
      <c r="AG46" s="2"/>
      <c r="AH46" s="357"/>
      <c r="AI46" s="663"/>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row>
    <row r="47" spans="1:62" x14ac:dyDescent="0.25">
      <c r="A47" s="2"/>
      <c r="B47" s="141"/>
      <c r="C47" s="664"/>
      <c r="D47" s="664"/>
      <c r="E47" s="658"/>
      <c r="F47" s="390" t="s">
        <v>259</v>
      </c>
      <c r="G47" s="582">
        <v>1.1000000000000001</v>
      </c>
      <c r="H47" s="354" t="s">
        <v>295</v>
      </c>
      <c r="I47" s="655">
        <f>I45</f>
        <v>0.41666856525447832</v>
      </c>
      <c r="J47" s="656"/>
      <c r="K47" s="656"/>
      <c r="L47" s="656"/>
      <c r="M47" s="656"/>
      <c r="N47" s="656"/>
      <c r="O47" s="656"/>
      <c r="P47" s="656"/>
      <c r="Q47" s="656"/>
      <c r="R47" s="656"/>
      <c r="S47" s="656"/>
      <c r="T47" s="656"/>
      <c r="U47" s="656"/>
      <c r="V47" s="656"/>
      <c r="W47" s="656"/>
      <c r="X47" s="657"/>
      <c r="Y47" s="2"/>
      <c r="Z47" s="2"/>
      <c r="AA47" s="2"/>
      <c r="AB47" s="4"/>
      <c r="AC47" s="2"/>
      <c r="AD47" s="2"/>
      <c r="AE47" s="71"/>
      <c r="AF47" s="356"/>
      <c r="AG47" s="2"/>
      <c r="AH47" s="357"/>
      <c r="AI47" s="663"/>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row>
    <row r="48" spans="1:62" ht="26.4" x14ac:dyDescent="0.3">
      <c r="A48" s="2"/>
      <c r="B48" s="141"/>
      <c r="C48" s="664"/>
      <c r="D48" s="664"/>
      <c r="E48" s="658"/>
      <c r="F48" s="581" t="s">
        <v>261</v>
      </c>
      <c r="G48" s="580">
        <v>0.6</v>
      </c>
      <c r="H48" s="580" t="s">
        <v>296</v>
      </c>
      <c r="I48" s="654">
        <f>0.112*G48*$AA$48</f>
        <v>0.22727376286607903</v>
      </c>
      <c r="J48" s="654"/>
      <c r="K48" s="654"/>
      <c r="L48" s="654"/>
      <c r="M48" s="654"/>
      <c r="N48" s="654"/>
      <c r="O48" s="654"/>
      <c r="P48" s="654"/>
      <c r="Q48" s="654"/>
      <c r="R48" s="654"/>
      <c r="S48" s="654"/>
      <c r="T48" s="654"/>
      <c r="U48" s="654"/>
      <c r="V48" s="654"/>
      <c r="W48" s="654"/>
      <c r="X48" s="654"/>
      <c r="Y48" s="2"/>
      <c r="Z48" s="587" t="s">
        <v>297</v>
      </c>
      <c r="AA48" s="388">
        <f>AA46/AA45</f>
        <v>3.3820500426499858</v>
      </c>
      <c r="AB48" s="4"/>
      <c r="AC48" s="2"/>
      <c r="AD48" s="2"/>
      <c r="AE48" s="71"/>
      <c r="AF48" s="2"/>
      <c r="AG48" s="2"/>
      <c r="AH48" s="357"/>
      <c r="AI48" s="663"/>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row>
    <row r="49" spans="1:62" ht="14.4" x14ac:dyDescent="0.3">
      <c r="A49" s="2"/>
      <c r="B49" s="141"/>
      <c r="C49" s="664"/>
      <c r="D49" s="664" t="s">
        <v>157</v>
      </c>
      <c r="E49" s="658"/>
      <c r="F49" s="583" t="s">
        <v>250</v>
      </c>
      <c r="G49" s="582">
        <v>1.1000000000000001</v>
      </c>
      <c r="H49" s="355" t="s">
        <v>289</v>
      </c>
      <c r="I49" s="654">
        <f>0.112*G49*$AA$54</f>
        <v>0.38125721518987338</v>
      </c>
      <c r="J49" s="654"/>
      <c r="K49" s="654"/>
      <c r="L49" s="654"/>
      <c r="M49" s="654"/>
      <c r="N49" s="654"/>
      <c r="O49" s="654"/>
      <c r="P49" s="654"/>
      <c r="Q49" s="654"/>
      <c r="R49" s="654"/>
      <c r="S49" s="654"/>
      <c r="T49" s="654"/>
      <c r="U49" s="654"/>
      <c r="V49" s="654"/>
      <c r="W49" s="654"/>
      <c r="X49" s="654"/>
      <c r="Y49" s="2"/>
      <c r="Z49" s="575" t="s">
        <v>290</v>
      </c>
      <c r="AA49" s="576">
        <v>15753.22</v>
      </c>
      <c r="AB49" s="4"/>
      <c r="AC49" s="2"/>
      <c r="AD49" s="2"/>
      <c r="AE49" s="71"/>
      <c r="AF49" s="356"/>
      <c r="AG49" s="2"/>
      <c r="AH49" s="357"/>
      <c r="AI49" s="663"/>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row>
    <row r="50" spans="1:62" ht="14.4" x14ac:dyDescent="0.3">
      <c r="A50" s="2"/>
      <c r="B50" s="141"/>
      <c r="C50" s="664"/>
      <c r="D50" s="664"/>
      <c r="E50" s="658"/>
      <c r="F50" s="583" t="s">
        <v>253</v>
      </c>
      <c r="G50" s="582">
        <v>1.1000000000000001</v>
      </c>
      <c r="H50" s="355" t="s">
        <v>289</v>
      </c>
      <c r="I50" s="654">
        <f>0.112*G50*$AA$54</f>
        <v>0.38125721518987338</v>
      </c>
      <c r="J50" s="654"/>
      <c r="K50" s="654"/>
      <c r="L50" s="654"/>
      <c r="M50" s="654"/>
      <c r="N50" s="654"/>
      <c r="O50" s="654"/>
      <c r="P50" s="654"/>
      <c r="Q50" s="654"/>
      <c r="R50" s="654"/>
      <c r="S50" s="654"/>
      <c r="T50" s="654"/>
      <c r="U50" s="654"/>
      <c r="V50" s="654"/>
      <c r="W50" s="654"/>
      <c r="X50" s="654"/>
      <c r="Y50" s="2"/>
      <c r="Z50" s="587" t="s">
        <v>291</v>
      </c>
      <c r="AA50" s="386">
        <v>15041.600000000002</v>
      </c>
      <c r="AB50" s="4"/>
      <c r="AC50" s="2"/>
      <c r="AD50" s="2"/>
      <c r="AE50" s="71"/>
      <c r="AF50" s="356"/>
      <c r="AG50" s="356"/>
      <c r="AH50" s="4"/>
      <c r="AI50" s="4"/>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row>
    <row r="51" spans="1:62" ht="27" x14ac:dyDescent="0.3">
      <c r="A51" s="2"/>
      <c r="B51" s="141"/>
      <c r="C51" s="664"/>
      <c r="D51" s="664"/>
      <c r="E51" s="658"/>
      <c r="F51" s="583" t="s">
        <v>255</v>
      </c>
      <c r="G51" s="582">
        <v>1.1000000000000001</v>
      </c>
      <c r="H51" s="355" t="s">
        <v>289</v>
      </c>
      <c r="I51" s="654">
        <f>0.112*G51*$AA$54</f>
        <v>0.38125721518987338</v>
      </c>
      <c r="J51" s="654"/>
      <c r="K51" s="654"/>
      <c r="L51" s="654"/>
      <c r="M51" s="654"/>
      <c r="N51" s="654"/>
      <c r="O51" s="654"/>
      <c r="P51" s="654"/>
      <c r="Q51" s="654"/>
      <c r="R51" s="654"/>
      <c r="S51" s="654"/>
      <c r="T51" s="654"/>
      <c r="U51" s="654"/>
      <c r="V51" s="654"/>
      <c r="W51" s="654"/>
      <c r="X51" s="654"/>
      <c r="Y51" s="2"/>
      <c r="Z51" s="587" t="s">
        <v>292</v>
      </c>
      <c r="AA51" s="387">
        <f>AA50</f>
        <v>15041.600000000002</v>
      </c>
      <c r="AB51" s="4"/>
      <c r="AC51" s="2"/>
      <c r="AD51" s="2"/>
      <c r="AE51" s="4"/>
      <c r="AF51" s="4"/>
      <c r="AG51" s="4"/>
      <c r="AH51" s="4"/>
      <c r="AI51" s="4"/>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row>
    <row r="52" spans="1:62" ht="27" x14ac:dyDescent="0.3">
      <c r="A52" s="2"/>
      <c r="B52" s="141"/>
      <c r="C52" s="664"/>
      <c r="D52" s="664"/>
      <c r="E52" s="658"/>
      <c r="F52" s="583" t="s">
        <v>257</v>
      </c>
      <c r="G52" s="582">
        <v>1</v>
      </c>
      <c r="H52" s="582" t="s">
        <v>293</v>
      </c>
      <c r="I52" s="654">
        <f>0.112*G52*$AA$54</f>
        <v>0.34659746835443034</v>
      </c>
      <c r="J52" s="654"/>
      <c r="K52" s="654"/>
      <c r="L52" s="654"/>
      <c r="M52" s="654"/>
      <c r="N52" s="654"/>
      <c r="O52" s="654"/>
      <c r="P52" s="654"/>
      <c r="Q52" s="654"/>
      <c r="R52" s="654"/>
      <c r="S52" s="654"/>
      <c r="T52" s="654"/>
      <c r="U52" s="654"/>
      <c r="V52" s="654"/>
      <c r="W52" s="654"/>
      <c r="X52" s="654"/>
      <c r="Y52" s="2"/>
      <c r="Z52" s="587" t="s">
        <v>294</v>
      </c>
      <c r="AA52" s="386">
        <f>AA50+(2*AA49)</f>
        <v>46548.04</v>
      </c>
      <c r="AB52" s="4"/>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row>
    <row r="53" spans="1:62" x14ac:dyDescent="0.25">
      <c r="A53" s="2"/>
      <c r="B53" s="141"/>
      <c r="C53" s="664"/>
      <c r="D53" s="664"/>
      <c r="E53" s="658"/>
      <c r="F53" s="390" t="s">
        <v>259</v>
      </c>
      <c r="G53" s="582">
        <v>1.1000000000000001</v>
      </c>
      <c r="H53" s="354" t="s">
        <v>295</v>
      </c>
      <c r="I53" s="654">
        <f>I51</f>
        <v>0.38125721518987338</v>
      </c>
      <c r="J53" s="654"/>
      <c r="K53" s="654"/>
      <c r="L53" s="654"/>
      <c r="M53" s="654"/>
      <c r="N53" s="654"/>
      <c r="O53" s="654"/>
      <c r="P53" s="654"/>
      <c r="Q53" s="654"/>
      <c r="R53" s="654"/>
      <c r="S53" s="654"/>
      <c r="T53" s="654"/>
      <c r="U53" s="654"/>
      <c r="V53" s="654"/>
      <c r="W53" s="654"/>
      <c r="X53" s="654"/>
      <c r="Y53" s="2"/>
      <c r="Z53" s="2"/>
      <c r="AA53" s="2"/>
      <c r="AB53" s="4"/>
      <c r="AC53" s="2"/>
      <c r="AD53" s="2"/>
      <c r="AE53" s="2"/>
      <c r="AF53" s="356"/>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row>
    <row r="54" spans="1:62" ht="26.4" x14ac:dyDescent="0.3">
      <c r="A54" s="2"/>
      <c r="B54" s="141"/>
      <c r="C54" s="664"/>
      <c r="D54" s="664"/>
      <c r="E54" s="658"/>
      <c r="F54" s="583" t="s">
        <v>261</v>
      </c>
      <c r="G54" s="582">
        <v>0.6</v>
      </c>
      <c r="H54" s="582" t="s">
        <v>296</v>
      </c>
      <c r="I54" s="654">
        <f>0.112*G54*$AA$54</f>
        <v>0.20795848101265818</v>
      </c>
      <c r="J54" s="654"/>
      <c r="K54" s="654"/>
      <c r="L54" s="654"/>
      <c r="M54" s="654"/>
      <c r="N54" s="654"/>
      <c r="O54" s="654"/>
      <c r="P54" s="654"/>
      <c r="Q54" s="654"/>
      <c r="R54" s="654"/>
      <c r="S54" s="654"/>
      <c r="T54" s="654"/>
      <c r="U54" s="654"/>
      <c r="V54" s="654"/>
      <c r="W54" s="654"/>
      <c r="X54" s="654"/>
      <c r="Y54" s="2"/>
      <c r="Z54" s="587" t="s">
        <v>297</v>
      </c>
      <c r="AA54" s="388">
        <f>AA52/AA51</f>
        <v>3.0946202531645564</v>
      </c>
      <c r="AB54" s="4"/>
      <c r="AC54" s="2"/>
      <c r="AD54" s="2"/>
      <c r="AE54" s="2"/>
      <c r="AF54" s="356"/>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row>
    <row r="55" spans="1:62" ht="14.4" x14ac:dyDescent="0.3">
      <c r="A55" s="2"/>
      <c r="B55" s="141"/>
      <c r="C55" s="664"/>
      <c r="D55" s="665" t="s">
        <v>176</v>
      </c>
      <c r="E55" s="658"/>
      <c r="F55" s="583" t="s">
        <v>250</v>
      </c>
      <c r="G55" s="582">
        <v>1.1000000000000001</v>
      </c>
      <c r="H55" s="355" t="s">
        <v>289</v>
      </c>
      <c r="I55" s="654">
        <f>0.112*G55*$AA$60</f>
        <v>0.36114573738363548</v>
      </c>
      <c r="J55" s="654"/>
      <c r="K55" s="654"/>
      <c r="L55" s="654"/>
      <c r="M55" s="654"/>
      <c r="N55" s="654"/>
      <c r="O55" s="654"/>
      <c r="P55" s="654"/>
      <c r="Q55" s="654"/>
      <c r="R55" s="654"/>
      <c r="S55" s="654"/>
      <c r="T55" s="654"/>
      <c r="U55" s="654"/>
      <c r="V55" s="654"/>
      <c r="W55" s="654"/>
      <c r="X55" s="654"/>
      <c r="Y55" s="2"/>
      <c r="Z55" s="575" t="s">
        <v>290</v>
      </c>
      <c r="AA55" s="576">
        <v>8829.9500000000007</v>
      </c>
      <c r="AB55" s="4"/>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row>
    <row r="56" spans="1:62" ht="14.4" x14ac:dyDescent="0.3">
      <c r="A56" s="2"/>
      <c r="B56" s="141"/>
      <c r="C56" s="664"/>
      <c r="D56" s="665"/>
      <c r="E56" s="658"/>
      <c r="F56" s="583" t="s">
        <v>253</v>
      </c>
      <c r="G56" s="582">
        <v>1.1000000000000001</v>
      </c>
      <c r="H56" s="355" t="s">
        <v>289</v>
      </c>
      <c r="I56" s="654">
        <f>0.112*G56*$AA$60</f>
        <v>0.36114573738363548</v>
      </c>
      <c r="J56" s="654"/>
      <c r="K56" s="654"/>
      <c r="L56" s="654"/>
      <c r="M56" s="654"/>
      <c r="N56" s="654"/>
      <c r="O56" s="654"/>
      <c r="P56" s="654"/>
      <c r="Q56" s="654"/>
      <c r="R56" s="654"/>
      <c r="S56" s="654"/>
      <c r="T56" s="654"/>
      <c r="U56" s="654"/>
      <c r="V56" s="654"/>
      <c r="W56" s="654"/>
      <c r="X56" s="654"/>
      <c r="Y56" s="2"/>
      <c r="Z56" s="587" t="s">
        <v>291</v>
      </c>
      <c r="AA56" s="386">
        <v>9143.6800000000021</v>
      </c>
      <c r="AB56" s="4"/>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row>
    <row r="57" spans="1:62" ht="27" x14ac:dyDescent="0.3">
      <c r="A57" s="2"/>
      <c r="B57" s="141"/>
      <c r="C57" s="664"/>
      <c r="D57" s="665"/>
      <c r="E57" s="658"/>
      <c r="F57" s="583" t="s">
        <v>255</v>
      </c>
      <c r="G57" s="582">
        <v>1.1000000000000001</v>
      </c>
      <c r="H57" s="355" t="s">
        <v>289</v>
      </c>
      <c r="I57" s="654">
        <f>0.112*G57*$AA$60</f>
        <v>0.36114573738363548</v>
      </c>
      <c r="J57" s="654"/>
      <c r="K57" s="654"/>
      <c r="L57" s="654"/>
      <c r="M57" s="654"/>
      <c r="N57" s="654"/>
      <c r="O57" s="654"/>
      <c r="P57" s="654"/>
      <c r="Q57" s="654"/>
      <c r="R57" s="654"/>
      <c r="S57" s="654"/>
      <c r="T57" s="654"/>
      <c r="U57" s="654"/>
      <c r="V57" s="654"/>
      <c r="W57" s="654"/>
      <c r="X57" s="654"/>
      <c r="Y57" s="2"/>
      <c r="Z57" s="587" t="s">
        <v>292</v>
      </c>
      <c r="AA57" s="387">
        <f>AA56</f>
        <v>9143.6800000000021</v>
      </c>
      <c r="AB57" s="4"/>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row>
    <row r="58" spans="1:62" ht="27" x14ac:dyDescent="0.3">
      <c r="A58" s="2"/>
      <c r="B58" s="141"/>
      <c r="C58" s="664"/>
      <c r="D58" s="665"/>
      <c r="E58" s="658"/>
      <c r="F58" s="583" t="s">
        <v>257</v>
      </c>
      <c r="G58" s="582">
        <v>1</v>
      </c>
      <c r="H58" s="582" t="s">
        <v>293</v>
      </c>
      <c r="I58" s="654">
        <f>0.112*G58*$AA$60</f>
        <v>0.32831430671239586</v>
      </c>
      <c r="J58" s="654"/>
      <c r="K58" s="654"/>
      <c r="L58" s="654"/>
      <c r="M58" s="654"/>
      <c r="N58" s="654"/>
      <c r="O58" s="654"/>
      <c r="P58" s="654"/>
      <c r="Q58" s="654"/>
      <c r="R58" s="654"/>
      <c r="S58" s="654"/>
      <c r="T58" s="654"/>
      <c r="U58" s="654"/>
      <c r="V58" s="654"/>
      <c r="W58" s="654"/>
      <c r="X58" s="654"/>
      <c r="Y58" s="2"/>
      <c r="Z58" s="587" t="s">
        <v>294</v>
      </c>
      <c r="AA58" s="386">
        <f>AA56+(2*AA55)</f>
        <v>26803.58</v>
      </c>
      <c r="AB58" s="4"/>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row>
    <row r="59" spans="1:62" x14ac:dyDescent="0.25">
      <c r="A59" s="2"/>
      <c r="B59" s="141"/>
      <c r="C59" s="664"/>
      <c r="D59" s="665"/>
      <c r="E59" s="658"/>
      <c r="F59" s="390" t="s">
        <v>259</v>
      </c>
      <c r="G59" s="582">
        <v>1.1000000000000001</v>
      </c>
      <c r="H59" s="354" t="s">
        <v>295</v>
      </c>
      <c r="I59" s="654">
        <f>I57</f>
        <v>0.36114573738363548</v>
      </c>
      <c r="J59" s="654"/>
      <c r="K59" s="654"/>
      <c r="L59" s="654"/>
      <c r="M59" s="654"/>
      <c r="N59" s="654"/>
      <c r="O59" s="654"/>
      <c r="P59" s="654"/>
      <c r="Q59" s="654"/>
      <c r="R59" s="654"/>
      <c r="S59" s="654"/>
      <c r="T59" s="654"/>
      <c r="U59" s="654"/>
      <c r="V59" s="654"/>
      <c r="W59" s="654"/>
      <c r="X59" s="654"/>
      <c r="Y59" s="2"/>
      <c r="Z59" s="2"/>
      <c r="AA59" s="2"/>
      <c r="AB59" s="4"/>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row>
    <row r="60" spans="1:62" ht="26.4" x14ac:dyDescent="0.3">
      <c r="A60" s="2"/>
      <c r="B60" s="141"/>
      <c r="C60" s="664"/>
      <c r="D60" s="665"/>
      <c r="E60" s="658"/>
      <c r="F60" s="583" t="s">
        <v>261</v>
      </c>
      <c r="G60" s="582">
        <v>0.6</v>
      </c>
      <c r="H60" s="582" t="s">
        <v>296</v>
      </c>
      <c r="I60" s="654">
        <f>0.112*G60*$AA$60</f>
        <v>0.19698858402743749</v>
      </c>
      <c r="J60" s="654"/>
      <c r="K60" s="654"/>
      <c r="L60" s="654"/>
      <c r="M60" s="654"/>
      <c r="N60" s="654"/>
      <c r="O60" s="654"/>
      <c r="P60" s="654"/>
      <c r="Q60" s="654"/>
      <c r="R60" s="654"/>
      <c r="S60" s="654"/>
      <c r="T60" s="654"/>
      <c r="U60" s="654"/>
      <c r="V60" s="654"/>
      <c r="W60" s="654"/>
      <c r="X60" s="654"/>
      <c r="Y60" s="2"/>
      <c r="Z60" s="587" t="s">
        <v>297</v>
      </c>
      <c r="AA60" s="388">
        <f>AA58/AA57</f>
        <v>2.9313777385035342</v>
      </c>
      <c r="AB60" s="4"/>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row>
    <row r="61" spans="1:62" ht="14.4" x14ac:dyDescent="0.3">
      <c r="A61" s="2"/>
      <c r="B61" s="141"/>
      <c r="C61" s="664"/>
      <c r="D61" s="665" t="s">
        <v>200</v>
      </c>
      <c r="E61" s="658"/>
      <c r="F61" s="583" t="s">
        <v>250</v>
      </c>
      <c r="G61" s="582">
        <v>1.1000000000000001</v>
      </c>
      <c r="H61" s="355" t="s">
        <v>289</v>
      </c>
      <c r="I61" s="654">
        <f>0.112*G61*$AA$66</f>
        <v>0.44404205907172994</v>
      </c>
      <c r="J61" s="654"/>
      <c r="K61" s="654"/>
      <c r="L61" s="654"/>
      <c r="M61" s="654"/>
      <c r="N61" s="654"/>
      <c r="O61" s="654"/>
      <c r="P61" s="654"/>
      <c r="Q61" s="654"/>
      <c r="R61" s="654"/>
      <c r="S61" s="654"/>
      <c r="T61" s="654"/>
      <c r="U61" s="654"/>
      <c r="V61" s="654"/>
      <c r="W61" s="654"/>
      <c r="X61" s="654"/>
      <c r="Y61" s="2"/>
      <c r="Z61" s="575" t="s">
        <v>290</v>
      </c>
      <c r="AA61" s="576">
        <v>8640.8599999999988</v>
      </c>
      <c r="AB61" s="4"/>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row>
    <row r="62" spans="1:62" ht="14.4" x14ac:dyDescent="0.3">
      <c r="A62" s="2"/>
      <c r="B62" s="141"/>
      <c r="C62" s="664"/>
      <c r="D62" s="665"/>
      <c r="E62" s="658"/>
      <c r="F62" s="583" t="s">
        <v>253</v>
      </c>
      <c r="G62" s="582">
        <v>1.1000000000000001</v>
      </c>
      <c r="H62" s="355" t="s">
        <v>289</v>
      </c>
      <c r="I62" s="654">
        <f>0.112*G62*$AA$66</f>
        <v>0.44404205907172994</v>
      </c>
      <c r="J62" s="654"/>
      <c r="K62" s="654"/>
      <c r="L62" s="654"/>
      <c r="M62" s="654"/>
      <c r="N62" s="654"/>
      <c r="O62" s="654"/>
      <c r="P62" s="654"/>
      <c r="Q62" s="654"/>
      <c r="R62" s="654"/>
      <c r="S62" s="654"/>
      <c r="T62" s="654"/>
      <c r="U62" s="654"/>
      <c r="V62" s="654"/>
      <c r="W62" s="654"/>
      <c r="X62" s="654"/>
      <c r="Y62" s="2"/>
      <c r="Z62" s="587" t="s">
        <v>291</v>
      </c>
      <c r="AA62" s="386">
        <v>6636</v>
      </c>
      <c r="AB62" s="4"/>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row>
    <row r="63" spans="1:62" ht="27" x14ac:dyDescent="0.3">
      <c r="A63" s="2"/>
      <c r="B63" s="141"/>
      <c r="C63" s="664"/>
      <c r="D63" s="665"/>
      <c r="E63" s="658"/>
      <c r="F63" s="583" t="s">
        <v>255</v>
      </c>
      <c r="G63" s="582">
        <v>1.1000000000000001</v>
      </c>
      <c r="H63" s="355" t="s">
        <v>289</v>
      </c>
      <c r="I63" s="654">
        <f>0.112*G63*$AA$66</f>
        <v>0.44404205907172994</v>
      </c>
      <c r="J63" s="654"/>
      <c r="K63" s="654"/>
      <c r="L63" s="654"/>
      <c r="M63" s="654"/>
      <c r="N63" s="654"/>
      <c r="O63" s="654"/>
      <c r="P63" s="654"/>
      <c r="Q63" s="654"/>
      <c r="R63" s="654"/>
      <c r="S63" s="654"/>
      <c r="T63" s="654"/>
      <c r="U63" s="654"/>
      <c r="V63" s="654"/>
      <c r="W63" s="654"/>
      <c r="X63" s="654"/>
      <c r="Y63" s="2"/>
      <c r="Z63" s="587" t="s">
        <v>292</v>
      </c>
      <c r="AA63" s="387">
        <f>AA62</f>
        <v>6636</v>
      </c>
      <c r="AB63" s="4"/>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row>
    <row r="64" spans="1:62" ht="27" x14ac:dyDescent="0.3">
      <c r="A64" s="2"/>
      <c r="B64" s="141"/>
      <c r="C64" s="664"/>
      <c r="D64" s="665"/>
      <c r="E64" s="658"/>
      <c r="F64" s="583" t="s">
        <v>257</v>
      </c>
      <c r="G64" s="582">
        <v>1</v>
      </c>
      <c r="H64" s="582" t="s">
        <v>293</v>
      </c>
      <c r="I64" s="654">
        <f>0.112*G64*$AA$66</f>
        <v>0.40367459915611809</v>
      </c>
      <c r="J64" s="654"/>
      <c r="K64" s="654"/>
      <c r="L64" s="654"/>
      <c r="M64" s="654"/>
      <c r="N64" s="654"/>
      <c r="O64" s="654"/>
      <c r="P64" s="654"/>
      <c r="Q64" s="654"/>
      <c r="R64" s="654"/>
      <c r="S64" s="654"/>
      <c r="T64" s="654"/>
      <c r="U64" s="654"/>
      <c r="V64" s="654"/>
      <c r="W64" s="654"/>
      <c r="X64" s="654"/>
      <c r="Y64" s="2"/>
      <c r="Z64" s="587" t="s">
        <v>294</v>
      </c>
      <c r="AA64" s="386">
        <f>AA62+(2*AA61)</f>
        <v>23917.719999999998</v>
      </c>
      <c r="AB64" s="4"/>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row>
    <row r="65" spans="1:62" x14ac:dyDescent="0.25">
      <c r="A65" s="2"/>
      <c r="B65" s="141"/>
      <c r="C65" s="664"/>
      <c r="D65" s="665"/>
      <c r="E65" s="658"/>
      <c r="F65" s="390" t="s">
        <v>259</v>
      </c>
      <c r="G65" s="582">
        <v>1.1000000000000001</v>
      </c>
      <c r="H65" s="354" t="s">
        <v>295</v>
      </c>
      <c r="I65" s="654">
        <f>I63</f>
        <v>0.44404205907172994</v>
      </c>
      <c r="J65" s="654"/>
      <c r="K65" s="654"/>
      <c r="L65" s="654"/>
      <c r="M65" s="654"/>
      <c r="N65" s="654"/>
      <c r="O65" s="654"/>
      <c r="P65" s="654"/>
      <c r="Q65" s="654"/>
      <c r="R65" s="654"/>
      <c r="S65" s="654"/>
      <c r="T65" s="654"/>
      <c r="U65" s="654"/>
      <c r="V65" s="654"/>
      <c r="W65" s="654"/>
      <c r="X65" s="654"/>
      <c r="Y65" s="2"/>
      <c r="Z65" s="2"/>
      <c r="AA65" s="2"/>
      <c r="AB65" s="4"/>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row>
    <row r="66" spans="1:62" ht="26.4" x14ac:dyDescent="0.3">
      <c r="A66" s="2"/>
      <c r="B66" s="141"/>
      <c r="C66" s="664"/>
      <c r="D66" s="665"/>
      <c r="E66" s="658"/>
      <c r="F66" s="583" t="s">
        <v>261</v>
      </c>
      <c r="G66" s="582">
        <v>0.6</v>
      </c>
      <c r="H66" s="582" t="s">
        <v>296</v>
      </c>
      <c r="I66" s="654">
        <f>0.112*G66*$AA$66</f>
        <v>0.24220475949367082</v>
      </c>
      <c r="J66" s="654"/>
      <c r="K66" s="654"/>
      <c r="L66" s="654"/>
      <c r="M66" s="654"/>
      <c r="N66" s="654"/>
      <c r="O66" s="654"/>
      <c r="P66" s="654"/>
      <c r="Q66" s="654"/>
      <c r="R66" s="654"/>
      <c r="S66" s="654"/>
      <c r="T66" s="654"/>
      <c r="U66" s="654"/>
      <c r="V66" s="654"/>
      <c r="W66" s="654"/>
      <c r="X66" s="654"/>
      <c r="Y66" s="2"/>
      <c r="Z66" s="587" t="s">
        <v>297</v>
      </c>
      <c r="AA66" s="388">
        <f>AA64/AA63</f>
        <v>3.60423749246534</v>
      </c>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row>
    <row r="67" spans="1:62" x14ac:dyDescent="0.25">
      <c r="A67" s="2"/>
      <c r="B67" s="141"/>
      <c r="C67" s="2"/>
      <c r="D67" s="2"/>
      <c r="E67" s="4" t="s">
        <v>298</v>
      </c>
      <c r="F67" s="2"/>
      <c r="G67" s="66"/>
      <c r="H67" s="7"/>
      <c r="I67" s="379"/>
      <c r="J67" s="379"/>
      <c r="K67" s="379"/>
      <c r="L67" s="379"/>
      <c r="M67" s="379"/>
      <c r="N67" s="379"/>
      <c r="O67" s="379"/>
      <c r="P67" s="379"/>
      <c r="Q67" s="379"/>
      <c r="R67" s="379"/>
      <c r="S67" s="379"/>
      <c r="T67" s="379"/>
      <c r="U67" s="379"/>
      <c r="V67" s="379"/>
      <c r="W67" s="379"/>
      <c r="X67" s="379"/>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row>
    <row r="68" spans="1:62" ht="14.4" x14ac:dyDescent="0.3">
      <c r="A68" s="2"/>
      <c r="B68" s="141"/>
      <c r="C68" s="2"/>
      <c r="D68" s="2"/>
      <c r="E68" s="4" t="s">
        <v>299</v>
      </c>
      <c r="F68" s="2"/>
      <c r="G68" s="1" t="s">
        <v>300</v>
      </c>
      <c r="H68" s="7"/>
      <c r="I68" s="7"/>
      <c r="J68" s="7"/>
      <c r="K68" s="7"/>
      <c r="L68" s="7"/>
      <c r="M68" s="7"/>
      <c r="N68" s="7"/>
      <c r="O68" s="7"/>
      <c r="P68" s="7"/>
      <c r="Q68" s="7"/>
      <c r="R68" s="7"/>
      <c r="S68" s="7"/>
      <c r="T68" s="7"/>
      <c r="U68" s="7"/>
      <c r="V68" s="7"/>
      <c r="W68" s="7"/>
      <c r="X68" s="7"/>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row>
    <row r="69" spans="1:62" x14ac:dyDescent="0.25">
      <c r="A69" s="2"/>
      <c r="B69" s="141"/>
      <c r="C69" s="2"/>
      <c r="D69" s="2"/>
      <c r="E69" s="588"/>
      <c r="F69" s="601"/>
      <c r="G69" s="7"/>
      <c r="H69" s="7"/>
      <c r="I69" s="7"/>
      <c r="J69" s="7"/>
      <c r="K69" s="7"/>
      <c r="L69" s="7"/>
      <c r="M69" s="7"/>
      <c r="N69" s="7"/>
      <c r="O69" s="7"/>
      <c r="P69" s="7"/>
      <c r="Q69" s="7"/>
      <c r="R69" s="7"/>
      <c r="S69" s="7"/>
      <c r="T69" s="7"/>
      <c r="U69" s="7"/>
      <c r="V69" s="7"/>
      <c r="W69" s="7"/>
      <c r="X69" s="7"/>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70" spans="1:62" x14ac:dyDescent="0.25">
      <c r="A70" s="2"/>
      <c r="B70" s="141"/>
      <c r="C70" s="2"/>
      <c r="D70" s="2"/>
      <c r="E70" s="2"/>
      <c r="F70" s="2"/>
      <c r="G70" s="6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row>
    <row r="71" spans="1:62" x14ac:dyDescent="0.25">
      <c r="A71" s="71" t="s">
        <v>301</v>
      </c>
      <c r="B71" s="587"/>
      <c r="C71" s="71"/>
      <c r="D71" s="71"/>
      <c r="E71" s="71"/>
      <c r="F71" s="71"/>
      <c r="G71" s="71"/>
      <c r="H71" s="71"/>
      <c r="I71" s="71"/>
      <c r="J71" s="71"/>
      <c r="K71" s="71"/>
      <c r="L71" s="71"/>
      <c r="M71" s="71"/>
      <c r="N71" s="71"/>
      <c r="O71" s="71"/>
      <c r="P71" s="71"/>
      <c r="Q71" s="71"/>
      <c r="R71" s="71"/>
      <c r="S71" s="71"/>
      <c r="T71" s="71"/>
      <c r="U71" s="71"/>
      <c r="V71" s="71"/>
      <c r="W71" s="71"/>
      <c r="X71" s="71"/>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row>
    <row r="72" spans="1:62" x14ac:dyDescent="0.25">
      <c r="A72" s="628" t="s">
        <v>246</v>
      </c>
      <c r="B72" s="628" t="s">
        <v>66</v>
      </c>
      <c r="C72" s="636" t="s">
        <v>247</v>
      </c>
      <c r="D72" s="636" t="s">
        <v>302</v>
      </c>
      <c r="E72" s="628" t="s">
        <v>303</v>
      </c>
      <c r="F72" s="628" t="s">
        <v>250</v>
      </c>
      <c r="G72" s="631" t="s">
        <v>251</v>
      </c>
      <c r="H72" s="569" t="s">
        <v>304</v>
      </c>
      <c r="I72" s="570">
        <v>0.35199999999999998</v>
      </c>
      <c r="J72" s="570">
        <v>0.35199999999999998</v>
      </c>
      <c r="K72" s="570">
        <v>0.35199999999999998</v>
      </c>
      <c r="L72" s="570">
        <v>0.35199999999999998</v>
      </c>
      <c r="M72" s="570">
        <v>0.35199999999999998</v>
      </c>
      <c r="N72" s="570">
        <v>0.35199999999999998</v>
      </c>
      <c r="O72" s="570">
        <v>0.35199999999999998</v>
      </c>
      <c r="P72" s="570">
        <v>0.35199999999999998</v>
      </c>
      <c r="Q72" s="570">
        <v>0.35199999999999998</v>
      </c>
      <c r="R72" s="570">
        <v>0.35199999999999998</v>
      </c>
      <c r="S72" s="570">
        <v>0.35199999999999998</v>
      </c>
      <c r="T72" s="570">
        <v>0.35199999999999998</v>
      </c>
      <c r="U72" s="570">
        <v>0.35199999999999998</v>
      </c>
      <c r="V72" s="570">
        <v>0.35199999999999998</v>
      </c>
      <c r="W72" s="570">
        <v>0.35199999999999998</v>
      </c>
      <c r="X72" s="570">
        <v>0.35199999999999998</v>
      </c>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row>
    <row r="73" spans="1:62" x14ac:dyDescent="0.25">
      <c r="A73" s="629"/>
      <c r="B73" s="629"/>
      <c r="C73" s="637"/>
      <c r="D73" s="637"/>
      <c r="E73" s="629"/>
      <c r="F73" s="629"/>
      <c r="G73" s="632"/>
      <c r="H73" s="571" t="s">
        <v>305</v>
      </c>
      <c r="I73" s="568">
        <v>9.8000000000000004E-2</v>
      </c>
      <c r="J73" s="568">
        <v>6.2E-2</v>
      </c>
      <c r="K73" s="568">
        <v>8.2000000000000003E-2</v>
      </c>
      <c r="L73" s="568">
        <v>6.2E-2</v>
      </c>
      <c r="M73" s="568">
        <v>6.2E-2</v>
      </c>
      <c r="N73" s="568">
        <v>9.8000000000000004E-2</v>
      </c>
      <c r="O73" s="568">
        <v>9.8000000000000004E-2</v>
      </c>
      <c r="P73" s="568">
        <v>6.2E-2</v>
      </c>
      <c r="Q73" s="568">
        <v>6.2E-2</v>
      </c>
      <c r="R73" s="568">
        <v>6.2E-2</v>
      </c>
      <c r="S73" s="568">
        <v>6.2E-2</v>
      </c>
      <c r="T73" s="568">
        <v>6.2E-2</v>
      </c>
      <c r="U73" s="568">
        <v>6.2E-2</v>
      </c>
      <c r="V73" s="568">
        <v>6.2E-2</v>
      </c>
      <c r="W73" s="568">
        <v>6.2E-2</v>
      </c>
      <c r="X73" s="568">
        <v>6.2E-2</v>
      </c>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row>
    <row r="74" spans="1:62" ht="14.4" x14ac:dyDescent="0.3">
      <c r="A74" s="629"/>
      <c r="B74" s="629"/>
      <c r="C74" s="637"/>
      <c r="D74" s="637"/>
      <c r="E74" s="629"/>
      <c r="F74" s="629"/>
      <c r="G74" s="632"/>
      <c r="H74" s="571" t="s">
        <v>306</v>
      </c>
      <c r="I74" s="568">
        <v>0.22700000000000001</v>
      </c>
      <c r="J74" s="568">
        <v>0.22700000000000001</v>
      </c>
      <c r="K74" s="568">
        <v>0.22700000000000001</v>
      </c>
      <c r="L74" s="568">
        <v>0.22700000000000001</v>
      </c>
      <c r="M74" s="568">
        <v>0.22700000000000001</v>
      </c>
      <c r="N74" s="568">
        <v>0.22700000000000001</v>
      </c>
      <c r="O74" s="568">
        <v>0.22700000000000001</v>
      </c>
      <c r="P74" s="568">
        <v>0.22700000000000001</v>
      </c>
      <c r="Q74" s="568">
        <v>0.22700000000000001</v>
      </c>
      <c r="R74" s="568">
        <v>0.22700000000000001</v>
      </c>
      <c r="S74" s="568">
        <v>0.22700000000000001</v>
      </c>
      <c r="T74" s="568">
        <v>0.22700000000000001</v>
      </c>
      <c r="U74" s="568">
        <v>0.22700000000000001</v>
      </c>
      <c r="V74" s="568">
        <v>0.22700000000000001</v>
      </c>
      <c r="W74" s="568">
        <v>0.22700000000000001</v>
      </c>
      <c r="X74" s="568">
        <v>0.22700000000000001</v>
      </c>
      <c r="Y74" s="2"/>
      <c r="Z74" s="347"/>
      <c r="AA74"/>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row>
    <row r="75" spans="1:62" ht="26.4" x14ac:dyDescent="0.25">
      <c r="A75" s="630"/>
      <c r="B75" s="630"/>
      <c r="C75" s="638"/>
      <c r="D75" s="638"/>
      <c r="E75" s="630"/>
      <c r="F75" s="630"/>
      <c r="G75" s="633"/>
      <c r="H75" s="572" t="s">
        <v>307</v>
      </c>
      <c r="I75" s="634">
        <v>9.1999999999999998E-2</v>
      </c>
      <c r="J75" s="635"/>
      <c r="K75" s="635"/>
      <c r="L75" s="635"/>
      <c r="M75" s="635"/>
      <c r="N75" s="635"/>
      <c r="O75" s="635"/>
      <c r="P75" s="635"/>
      <c r="Q75" s="635"/>
      <c r="R75" s="635"/>
      <c r="S75" s="635"/>
      <c r="T75" s="635"/>
      <c r="U75" s="635"/>
      <c r="V75" s="635"/>
      <c r="W75" s="635"/>
      <c r="X75" s="635"/>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row>
    <row r="76" spans="1:62" x14ac:dyDescent="0.25">
      <c r="A76" s="2"/>
      <c r="B76" s="141"/>
      <c r="C76" s="2"/>
      <c r="D76" s="2"/>
      <c r="E76" s="2"/>
      <c r="F76" s="2"/>
      <c r="G76" s="66"/>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row>
    <row r="77" spans="1:62" x14ac:dyDescent="0.25">
      <c r="A77" s="73"/>
      <c r="B77" s="290"/>
      <c r="C77" s="290"/>
      <c r="D77" s="290"/>
      <c r="E77" s="290"/>
      <c r="F77" s="290"/>
      <c r="G77" s="290"/>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row>
    <row r="78" spans="1:62" x14ac:dyDescent="0.25">
      <c r="A78" s="2"/>
      <c r="B78" s="141"/>
      <c r="C78" s="2"/>
      <c r="D78" s="2"/>
      <c r="E78" s="2"/>
      <c r="F78" s="2"/>
      <c r="G78" s="66"/>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row>
    <row r="79" spans="1:62" x14ac:dyDescent="0.25">
      <c r="A79" s="2"/>
      <c r="B79" s="141"/>
      <c r="C79" s="2"/>
      <c r="D79" s="2"/>
      <c r="E79" s="2"/>
      <c r="F79" s="2"/>
      <c r="G79" s="66"/>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row>
    <row r="80" spans="1:62" x14ac:dyDescent="0.25">
      <c r="A80" s="2"/>
      <c r="B80" s="141"/>
      <c r="C80" s="2"/>
      <c r="D80" s="2"/>
      <c r="E80" s="2"/>
      <c r="F80" s="2"/>
      <c r="G80" s="66"/>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row>
    <row r="81" spans="1:62" x14ac:dyDescent="0.25">
      <c r="A81" s="2"/>
      <c r="B81" s="141"/>
      <c r="C81" s="2"/>
      <c r="D81" s="2"/>
      <c r="E81" s="2"/>
      <c r="F81" s="2"/>
      <c r="G81" s="66"/>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row>
    <row r="82" spans="1:62" x14ac:dyDescent="0.25">
      <c r="A82" s="2"/>
      <c r="B82" s="141"/>
      <c r="C82" s="2"/>
      <c r="D82" s="2"/>
      <c r="E82" s="2"/>
      <c r="F82" s="2"/>
      <c r="G82" s="66"/>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row>
  </sheetData>
  <mergeCells count="81">
    <mergeCell ref="AI46:AI49"/>
    <mergeCell ref="D49:D54"/>
    <mergeCell ref="D43:D48"/>
    <mergeCell ref="C43:C66"/>
    <mergeCell ref="D55:D60"/>
    <mergeCell ref="D61:D66"/>
    <mergeCell ref="E61:E66"/>
    <mergeCell ref="I61:X61"/>
    <mergeCell ref="I62:X62"/>
    <mergeCell ref="I63:X63"/>
    <mergeCell ref="I64:X64"/>
    <mergeCell ref="I65:X65"/>
    <mergeCell ref="I66:X66"/>
    <mergeCell ref="E55:E60"/>
    <mergeCell ref="I55:X55"/>
    <mergeCell ref="I56:X56"/>
    <mergeCell ref="I57:X57"/>
    <mergeCell ref="I58:X58"/>
    <mergeCell ref="I59:X59"/>
    <mergeCell ref="I60:X60"/>
    <mergeCell ref="E49:E54"/>
    <mergeCell ref="I49:X49"/>
    <mergeCell ref="I50:X50"/>
    <mergeCell ref="I51:X51"/>
    <mergeCell ref="I52:X52"/>
    <mergeCell ref="I53:X53"/>
    <mergeCell ref="I54:X54"/>
    <mergeCell ref="I45:X45"/>
    <mergeCell ref="I46:X46"/>
    <mergeCell ref="I48:X48"/>
    <mergeCell ref="H33:H34"/>
    <mergeCell ref="E33:E38"/>
    <mergeCell ref="I47:X47"/>
    <mergeCell ref="E43:E48"/>
    <mergeCell ref="C41:X41"/>
    <mergeCell ref="D27:D38"/>
    <mergeCell ref="A39:L39"/>
    <mergeCell ref="I42:X42"/>
    <mergeCell ref="I43:X43"/>
    <mergeCell ref="I44:X44"/>
    <mergeCell ref="A27:A38"/>
    <mergeCell ref="B27:B38"/>
    <mergeCell ref="C27:C38"/>
    <mergeCell ref="E27:E32"/>
    <mergeCell ref="H27:H28"/>
    <mergeCell ref="H21:H22"/>
    <mergeCell ref="D23:D26"/>
    <mergeCell ref="E3:E8"/>
    <mergeCell ref="C15:C20"/>
    <mergeCell ref="A9:A14"/>
    <mergeCell ref="B9:B14"/>
    <mergeCell ref="E9:E14"/>
    <mergeCell ref="E15:E20"/>
    <mergeCell ref="D9:D14"/>
    <mergeCell ref="D17:D20"/>
    <mergeCell ref="D15:D16"/>
    <mergeCell ref="B15:B26"/>
    <mergeCell ref="AP38:AS38"/>
    <mergeCell ref="AT38:AW38"/>
    <mergeCell ref="AF38:AJ38"/>
    <mergeCell ref="AK38:AO38"/>
    <mergeCell ref="A1:X1"/>
    <mergeCell ref="D21:D22"/>
    <mergeCell ref="C21:C26"/>
    <mergeCell ref="E21:E26"/>
    <mergeCell ref="A15:A26"/>
    <mergeCell ref="D3:D8"/>
    <mergeCell ref="B3:B8"/>
    <mergeCell ref="A3:A8"/>
    <mergeCell ref="C3:C8"/>
    <mergeCell ref="C9:C14"/>
    <mergeCell ref="H9:H10"/>
    <mergeCell ref="H15:H16"/>
    <mergeCell ref="F72:F75"/>
    <mergeCell ref="G72:G75"/>
    <mergeCell ref="I75:X75"/>
    <mergeCell ref="A72:A75"/>
    <mergeCell ref="B72:B75"/>
    <mergeCell ref="C72:C75"/>
    <mergeCell ref="D72:D75"/>
    <mergeCell ref="E72:E75"/>
  </mergeCells>
  <phoneticPr fontId="5" type="noConversion"/>
  <hyperlinks>
    <hyperlink ref="G68"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43" r:id="rId2" xr:uid="{41AD9FFF-609E-4AE3-98F2-52C38EDBABB6}"/>
    <hyperlink ref="H49" r:id="rId3" xr:uid="{FAC93252-8F2E-4D75-BF52-61318B354327}"/>
    <hyperlink ref="H55" r:id="rId4" xr:uid="{DAFCACFB-75BE-4F61-981C-68DC15C0065B}"/>
    <hyperlink ref="H61" r:id="rId5" xr:uid="{47CF2320-71B4-4B89-BDBF-3C77A76A263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8"/>
  <sheetViews>
    <sheetView zoomScale="80" zoomScaleNormal="80" zoomScaleSheetLayoutView="40" workbookViewId="0">
      <selection sqref="A1:H1"/>
    </sheetView>
  </sheetViews>
  <sheetFormatPr defaultColWidth="8.6640625" defaultRowHeight="13.2" x14ac:dyDescent="0.25"/>
  <cols>
    <col min="1" max="1" width="39" style="4" customWidth="1"/>
    <col min="2" max="2" width="34.6640625" style="4" customWidth="1"/>
    <col min="3" max="3" width="29.109375" style="4" customWidth="1"/>
    <col min="4" max="4" width="29.44140625" style="4" customWidth="1"/>
    <col min="5" max="5" width="37.44140625" style="4" bestFit="1" customWidth="1"/>
    <col min="6" max="6" width="48.33203125" style="4" bestFit="1" customWidth="1"/>
    <col min="7" max="7" width="34" style="4" customWidth="1"/>
    <col min="8" max="8" width="33.88671875" style="4" customWidth="1"/>
    <col min="9" max="11" width="12.6640625" style="4" customWidth="1"/>
    <col min="12" max="19" width="15.33203125" style="4" customWidth="1"/>
    <col min="20" max="20" width="14.6640625" style="4" customWidth="1"/>
    <col min="21" max="21" width="13.5546875" style="4" customWidth="1"/>
    <col min="22" max="22" width="15.6640625" style="4" customWidth="1"/>
    <col min="23" max="29" width="11" style="4" customWidth="1"/>
    <col min="30" max="38" width="6.5546875" style="4" customWidth="1"/>
    <col min="39" max="39" width="8.6640625" style="4" customWidth="1"/>
    <col min="40" max="16384" width="8.6640625" style="4"/>
  </cols>
  <sheetData>
    <row r="1" spans="1:10" ht="27" customHeight="1" x14ac:dyDescent="0.25">
      <c r="A1" s="672" t="str">
        <f>"HVAC system - "&amp;Prototype!A2</f>
        <v>HVAC system - SchoolK-8</v>
      </c>
      <c r="B1" s="673"/>
      <c r="C1" s="673"/>
      <c r="D1" s="673"/>
      <c r="E1" s="673"/>
      <c r="F1" s="673"/>
      <c r="G1" s="673"/>
      <c r="H1" s="673"/>
    </row>
    <row r="2" spans="1:10" ht="19.2" customHeight="1" thickBot="1" x14ac:dyDescent="0.3">
      <c r="A2" s="108" t="s">
        <v>228</v>
      </c>
      <c r="B2" s="62" t="s">
        <v>285</v>
      </c>
      <c r="C2" s="62" t="s">
        <v>308</v>
      </c>
      <c r="D2" s="62" t="s">
        <v>309</v>
      </c>
      <c r="E2" s="62" t="s">
        <v>310</v>
      </c>
      <c r="F2" s="62" t="s">
        <v>311</v>
      </c>
      <c r="G2" s="62" t="s">
        <v>312</v>
      </c>
      <c r="H2" s="62" t="s">
        <v>287</v>
      </c>
    </row>
    <row r="3" spans="1:10" ht="42" customHeight="1" x14ac:dyDescent="0.25">
      <c r="A3" s="666" t="s">
        <v>259</v>
      </c>
      <c r="B3" s="251" t="s">
        <v>313</v>
      </c>
      <c r="C3" s="252" t="s">
        <v>314</v>
      </c>
      <c r="D3" s="252" t="s">
        <v>315</v>
      </c>
      <c r="E3" s="252" t="s">
        <v>316</v>
      </c>
      <c r="F3" s="414" t="s">
        <v>317</v>
      </c>
      <c r="G3" s="253" t="s">
        <v>318</v>
      </c>
      <c r="H3" s="254" t="s">
        <v>319</v>
      </c>
      <c r="I3" s="588"/>
      <c r="J3" s="588"/>
    </row>
    <row r="4" spans="1:10" ht="72" customHeight="1" x14ac:dyDescent="0.25">
      <c r="A4" s="667"/>
      <c r="B4" s="582" t="s">
        <v>320</v>
      </c>
      <c r="C4" s="582" t="s">
        <v>321</v>
      </c>
      <c r="D4" s="582" t="s">
        <v>322</v>
      </c>
      <c r="E4" s="582" t="s">
        <v>323</v>
      </c>
      <c r="F4" s="582" t="s">
        <v>317</v>
      </c>
      <c r="G4" s="583" t="s">
        <v>318</v>
      </c>
      <c r="H4" s="255" t="s">
        <v>324</v>
      </c>
      <c r="I4" s="588"/>
      <c r="J4" s="588"/>
    </row>
    <row r="5" spans="1:10" ht="41.25" customHeight="1" x14ac:dyDescent="0.25">
      <c r="A5" s="668"/>
      <c r="B5" s="256" t="s">
        <v>325</v>
      </c>
      <c r="C5" s="256" t="s">
        <v>326</v>
      </c>
      <c r="D5" s="256" t="s">
        <v>327</v>
      </c>
      <c r="E5" s="256" t="s">
        <v>328</v>
      </c>
      <c r="F5" s="415" t="s">
        <v>329</v>
      </c>
      <c r="G5" s="256" t="s">
        <v>318</v>
      </c>
      <c r="H5" s="257" t="s">
        <v>330</v>
      </c>
      <c r="I5" s="588"/>
      <c r="J5" s="588"/>
    </row>
    <row r="6" spans="1:10" ht="47.25" customHeight="1" x14ac:dyDescent="0.25">
      <c r="A6" s="669" t="s">
        <v>331</v>
      </c>
      <c r="B6" s="251" t="s">
        <v>332</v>
      </c>
      <c r="C6" s="252" t="s">
        <v>333</v>
      </c>
      <c r="D6" s="252" t="s">
        <v>333</v>
      </c>
      <c r="E6" s="251" t="s">
        <v>316</v>
      </c>
      <c r="F6" s="414" t="s">
        <v>317</v>
      </c>
      <c r="G6" s="253" t="s">
        <v>334</v>
      </c>
      <c r="H6" s="254" t="s">
        <v>335</v>
      </c>
      <c r="I6" s="61"/>
      <c r="J6" s="61"/>
    </row>
    <row r="7" spans="1:10" ht="68.25" customHeight="1" x14ac:dyDescent="0.25">
      <c r="A7" s="670"/>
      <c r="B7" s="582" t="s">
        <v>320</v>
      </c>
      <c r="C7" s="582" t="s">
        <v>321</v>
      </c>
      <c r="D7" s="582" t="s">
        <v>322</v>
      </c>
      <c r="E7" s="582" t="s">
        <v>323</v>
      </c>
      <c r="F7" s="582" t="s">
        <v>317</v>
      </c>
      <c r="G7" s="583" t="s">
        <v>318</v>
      </c>
      <c r="H7" s="255" t="s">
        <v>324</v>
      </c>
      <c r="I7" s="61"/>
      <c r="J7" s="61"/>
    </row>
    <row r="8" spans="1:10" ht="45.75" customHeight="1" x14ac:dyDescent="0.25">
      <c r="A8" s="671"/>
      <c r="B8" s="256" t="s">
        <v>325</v>
      </c>
      <c r="C8" s="256" t="s">
        <v>326</v>
      </c>
      <c r="D8" s="256" t="s">
        <v>327</v>
      </c>
      <c r="E8" s="256" t="s">
        <v>328</v>
      </c>
      <c r="F8" s="415" t="s">
        <v>329</v>
      </c>
      <c r="G8" s="256" t="s">
        <v>318</v>
      </c>
      <c r="H8" s="257" t="s">
        <v>330</v>
      </c>
    </row>
    <row r="9" spans="1:10" x14ac:dyDescent="0.25">
      <c r="A9" s="588"/>
      <c r="B9" s="601"/>
      <c r="C9" s="601"/>
      <c r="D9" s="601"/>
      <c r="E9" s="601"/>
    </row>
    <row r="10" spans="1:10" x14ac:dyDescent="0.25">
      <c r="A10" s="601"/>
      <c r="B10" s="601"/>
      <c r="C10" s="601"/>
      <c r="D10" s="601"/>
      <c r="E10" s="601"/>
    </row>
    <row r="11" spans="1:10" ht="40.5" customHeight="1" x14ac:dyDescent="0.25">
      <c r="A11" s="685" t="s">
        <v>336</v>
      </c>
      <c r="B11" s="686"/>
      <c r="C11" s="686"/>
      <c r="D11" s="686"/>
      <c r="E11" s="686"/>
      <c r="F11" s="686"/>
      <c r="G11" s="686"/>
      <c r="H11" s="79"/>
    </row>
    <row r="12" spans="1:10" ht="43.95" customHeight="1" x14ac:dyDescent="0.25">
      <c r="A12" s="99" t="s">
        <v>228</v>
      </c>
      <c r="B12" s="100" t="s">
        <v>337</v>
      </c>
      <c r="C12" s="101" t="s">
        <v>314</v>
      </c>
      <c r="D12" s="600" t="s">
        <v>338</v>
      </c>
      <c r="E12" s="600" t="s">
        <v>339</v>
      </c>
      <c r="F12" s="62" t="s">
        <v>340</v>
      </c>
      <c r="G12" s="102" t="s">
        <v>287</v>
      </c>
    </row>
    <row r="13" spans="1:10" ht="22.2" customHeight="1" x14ac:dyDescent="0.25">
      <c r="A13" s="103" t="s">
        <v>250</v>
      </c>
      <c r="B13" s="693">
        <v>2008</v>
      </c>
      <c r="C13" s="687" t="s">
        <v>341</v>
      </c>
      <c r="D13" s="694" t="s">
        <v>328</v>
      </c>
      <c r="E13" s="690" t="s">
        <v>342</v>
      </c>
      <c r="F13" s="679" t="s">
        <v>343</v>
      </c>
      <c r="G13" s="682"/>
    </row>
    <row r="14" spans="1:10" ht="20.399999999999999" customHeight="1" x14ac:dyDescent="0.25">
      <c r="A14" s="103" t="s">
        <v>253</v>
      </c>
      <c r="B14" s="691"/>
      <c r="C14" s="688"/>
      <c r="D14" s="688"/>
      <c r="E14" s="691"/>
      <c r="F14" s="680"/>
      <c r="G14" s="683"/>
    </row>
    <row r="15" spans="1:10" ht="19.95" customHeight="1" x14ac:dyDescent="0.25">
      <c r="A15" s="103" t="s">
        <v>255</v>
      </c>
      <c r="B15" s="692"/>
      <c r="C15" s="689"/>
      <c r="D15" s="689"/>
      <c r="E15" s="692"/>
      <c r="F15" s="681"/>
      <c r="G15" s="684"/>
    </row>
    <row r="16" spans="1:10" ht="57.6" customHeight="1" x14ac:dyDescent="0.25">
      <c r="A16" s="103" t="s">
        <v>257</v>
      </c>
      <c r="B16" s="63">
        <v>2013</v>
      </c>
      <c r="C16" s="93" t="s">
        <v>341</v>
      </c>
      <c r="D16" s="92" t="s">
        <v>328</v>
      </c>
      <c r="E16" s="287" t="s">
        <v>344</v>
      </c>
      <c r="F16" s="64" t="s">
        <v>345</v>
      </c>
      <c r="G16" s="288" t="s">
        <v>346</v>
      </c>
    </row>
    <row r="17" spans="1:40" ht="118.5" customHeight="1" x14ac:dyDescent="0.25">
      <c r="A17" s="104" t="s">
        <v>331</v>
      </c>
      <c r="B17" s="105">
        <v>2025</v>
      </c>
      <c r="C17" s="106" t="s">
        <v>328</v>
      </c>
      <c r="D17" s="106" t="s">
        <v>347</v>
      </c>
      <c r="E17" s="244" t="s">
        <v>348</v>
      </c>
      <c r="F17" s="258" t="s">
        <v>349</v>
      </c>
      <c r="G17" s="107"/>
    </row>
    <row r="18" spans="1:40" x14ac:dyDescent="0.25">
      <c r="B18" s="6"/>
      <c r="C18" s="6"/>
      <c r="D18" s="34"/>
      <c r="E18" s="6"/>
    </row>
    <row r="19" spans="1:40" x14ac:dyDescent="0.25">
      <c r="A19" s="35"/>
      <c r="B19" s="6"/>
      <c r="C19" s="6" t="s">
        <v>350</v>
      </c>
      <c r="D19" s="6" t="s">
        <v>351</v>
      </c>
      <c r="E19" s="6"/>
    </row>
    <row r="20" spans="1:40" x14ac:dyDescent="0.25">
      <c r="A20" s="577"/>
      <c r="B20" s="577"/>
      <c r="C20" s="577"/>
      <c r="D20" s="577"/>
      <c r="E20" s="577"/>
    </row>
    <row r="21" spans="1:40" ht="22.35" customHeight="1" x14ac:dyDescent="0.3">
      <c r="A21" s="695" t="s">
        <v>352</v>
      </c>
      <c r="B21" s="696"/>
      <c r="C21" s="696"/>
      <c r="D21" s="696"/>
      <c r="E21" s="696"/>
      <c r="F21" s="696"/>
      <c r="G21" s="696"/>
      <c r="H21" s="696"/>
      <c r="I21"/>
    </row>
    <row r="22" spans="1:40" ht="27.6" customHeight="1" x14ac:dyDescent="0.3">
      <c r="A22" s="423" t="s">
        <v>228</v>
      </c>
      <c r="B22" s="398" t="s">
        <v>353</v>
      </c>
      <c r="C22" s="398" t="s">
        <v>354</v>
      </c>
      <c r="D22" s="399" t="s">
        <v>355</v>
      </c>
      <c r="E22" s="399" t="s">
        <v>356</v>
      </c>
      <c r="F22" s="399" t="s">
        <v>357</v>
      </c>
      <c r="G22" s="399" t="s">
        <v>358</v>
      </c>
      <c r="H22" s="423" t="s">
        <v>359</v>
      </c>
      <c r="I22"/>
    </row>
    <row r="23" spans="1:40" ht="60.45" customHeight="1" x14ac:dyDescent="0.25">
      <c r="A23" s="674" t="s">
        <v>259</v>
      </c>
      <c r="B23" s="675" t="s">
        <v>360</v>
      </c>
      <c r="C23" s="591" t="s">
        <v>361</v>
      </c>
      <c r="D23" s="592">
        <v>2.5</v>
      </c>
      <c r="E23" s="676">
        <v>0.65</v>
      </c>
      <c r="F23" s="677" t="s">
        <v>362</v>
      </c>
      <c r="G23" s="678"/>
      <c r="H23" s="677" t="s">
        <v>363</v>
      </c>
      <c r="I23" s="389" t="s">
        <v>364</v>
      </c>
    </row>
    <row r="24" spans="1:40" ht="60.45" customHeight="1" x14ac:dyDescent="0.3">
      <c r="A24" s="674"/>
      <c r="B24" s="675"/>
      <c r="C24" s="591" t="s">
        <v>365</v>
      </c>
      <c r="D24" s="592">
        <v>5.58</v>
      </c>
      <c r="E24" s="676"/>
      <c r="F24" s="677"/>
      <c r="G24" s="678"/>
      <c r="H24" s="677"/>
      <c r="I24"/>
    </row>
    <row r="25" spans="1:40" ht="21.6" customHeight="1" x14ac:dyDescent="0.3">
      <c r="A25" s="400" t="s">
        <v>366</v>
      </c>
      <c r="B25" s="424"/>
      <c r="C25" s="424"/>
      <c r="D25" s="424"/>
      <c r="E25" s="424"/>
      <c r="F25" s="424"/>
      <c r="G25" s="424"/>
      <c r="H25" s="425"/>
      <c r="I25"/>
    </row>
    <row r="26" spans="1:40" ht="19.350000000000001" customHeight="1" x14ac:dyDescent="0.3">
      <c r="A26" s="400" t="s">
        <v>367</v>
      </c>
      <c r="B26" s="424"/>
      <c r="C26" s="424"/>
      <c r="D26" s="424"/>
      <c r="E26" s="424"/>
      <c r="F26" s="424"/>
      <c r="G26" s="424"/>
      <c r="H26" s="425"/>
      <c r="I26"/>
    </row>
    <row r="27" spans="1:40" ht="44.25" customHeight="1" x14ac:dyDescent="0.3">
      <c r="A27" s="698" t="s">
        <v>331</v>
      </c>
      <c r="B27" s="646" t="s">
        <v>334</v>
      </c>
      <c r="C27" s="582" t="s">
        <v>368</v>
      </c>
      <c r="D27" s="582" t="s">
        <v>369</v>
      </c>
      <c r="E27" s="646">
        <v>0.65</v>
      </c>
      <c r="F27" s="646" t="s">
        <v>370</v>
      </c>
      <c r="G27" s="582">
        <v>0.74399999999999999</v>
      </c>
      <c r="H27" s="646" t="s">
        <v>371</v>
      </c>
      <c r="I27" s="426"/>
    </row>
    <row r="28" spans="1:40" ht="44.25" customHeight="1" x14ac:dyDescent="0.3">
      <c r="A28" s="698"/>
      <c r="B28" s="646"/>
      <c r="C28" s="582" t="s">
        <v>372</v>
      </c>
      <c r="D28" s="582" t="s">
        <v>369</v>
      </c>
      <c r="E28" s="646"/>
      <c r="F28" s="646"/>
      <c r="G28" s="582">
        <v>0.67600000000000005</v>
      </c>
      <c r="H28" s="646"/>
      <c r="I28" s="426"/>
      <c r="J28" s="577"/>
      <c r="K28" s="577"/>
      <c r="L28" s="577"/>
      <c r="M28" s="577"/>
      <c r="N28" s="577"/>
      <c r="O28" s="577"/>
      <c r="P28" s="577"/>
      <c r="Q28" s="577"/>
      <c r="R28" s="577"/>
      <c r="S28" s="577"/>
      <c r="T28" s="577"/>
      <c r="U28" s="577"/>
      <c r="V28" s="577"/>
      <c r="W28" s="577"/>
      <c r="X28" s="577"/>
      <c r="Y28" s="577"/>
      <c r="Z28" s="577"/>
      <c r="AA28" s="577"/>
      <c r="AB28" s="577"/>
      <c r="AC28" s="577"/>
      <c r="AD28" s="577"/>
      <c r="AE28" s="697"/>
      <c r="AF28" s="697"/>
      <c r="AG28" s="697"/>
      <c r="AH28" s="697"/>
      <c r="AI28" s="697"/>
      <c r="AJ28" s="697"/>
      <c r="AK28" s="697"/>
      <c r="AL28" s="697"/>
      <c r="AM28" s="697"/>
      <c r="AN28" s="697"/>
    </row>
    <row r="29" spans="1:40" ht="12.75" customHeight="1" x14ac:dyDescent="0.3">
      <c r="A29" s="405"/>
      <c r="B29" s="405"/>
      <c r="C29" s="405"/>
      <c r="D29" s="302"/>
      <c r="E29" s="405"/>
      <c r="F29" s="302"/>
      <c r="G29" s="405"/>
      <c r="H29" s="405"/>
      <c r="I29"/>
      <c r="J29" s="577"/>
      <c r="K29" s="577"/>
      <c r="L29" s="577"/>
      <c r="M29" s="577"/>
      <c r="N29" s="577"/>
      <c r="O29" s="577"/>
      <c r="P29" s="577"/>
      <c r="Q29" s="577"/>
      <c r="R29" s="577"/>
      <c r="S29" s="577"/>
      <c r="T29" s="577"/>
      <c r="U29" s="577"/>
      <c r="V29" s="577"/>
      <c r="W29" s="577"/>
      <c r="X29" s="577"/>
      <c r="Y29" s="577"/>
      <c r="Z29" s="577"/>
      <c r="AA29" s="577"/>
      <c r="AB29" s="577"/>
      <c r="AC29" s="577"/>
      <c r="AD29" s="577"/>
      <c r="AE29" s="697"/>
      <c r="AF29" s="697"/>
      <c r="AG29" s="697"/>
      <c r="AH29" s="697"/>
      <c r="AI29" s="697"/>
      <c r="AJ29" s="697"/>
      <c r="AK29" s="697"/>
      <c r="AL29" s="697"/>
      <c r="AM29" s="697"/>
      <c r="AN29" s="697"/>
    </row>
    <row r="30" spans="1:40" ht="31.5" customHeight="1" x14ac:dyDescent="0.3">
      <c r="A30" s="613" t="s">
        <v>373</v>
      </c>
      <c r="B30" s="613"/>
      <c r="C30" s="613"/>
      <c r="D30" s="613"/>
      <c r="E30" s="613"/>
      <c r="F30" s="613"/>
      <c r="G30" s="613"/>
      <c r="H30" s="613"/>
      <c r="I30"/>
      <c r="J30" s="577"/>
      <c r="K30" s="577"/>
      <c r="L30" s="577"/>
      <c r="M30" s="577"/>
      <c r="N30" s="577"/>
      <c r="O30" s="577"/>
      <c r="P30" s="577"/>
      <c r="Q30" s="577"/>
      <c r="R30" s="577"/>
      <c r="S30" s="577"/>
      <c r="T30" s="577"/>
      <c r="U30" s="577"/>
      <c r="V30" s="577"/>
      <c r="W30" s="577"/>
      <c r="X30" s="577"/>
      <c r="Y30" s="577"/>
      <c r="Z30" s="577"/>
      <c r="AA30" s="577"/>
      <c r="AB30" s="577"/>
      <c r="AC30" s="577"/>
      <c r="AD30" s="577"/>
      <c r="AE30" s="697"/>
      <c r="AF30" s="697"/>
      <c r="AG30" s="697"/>
      <c r="AH30" s="697"/>
      <c r="AI30" s="697"/>
      <c r="AJ30" s="697"/>
      <c r="AK30" s="697"/>
      <c r="AL30" s="697"/>
      <c r="AM30" s="697"/>
      <c r="AN30" s="697"/>
    </row>
    <row r="31" spans="1:40" ht="57" customHeight="1" x14ac:dyDescent="0.3">
      <c r="A31" s="613" t="s">
        <v>374</v>
      </c>
      <c r="B31" s="613"/>
      <c r="C31" s="613"/>
      <c r="D31" s="613"/>
      <c r="E31" s="613"/>
      <c r="F31" s="613"/>
      <c r="G31" s="613"/>
      <c r="H31" s="613"/>
      <c r="I31"/>
    </row>
    <row r="32" spans="1:40" x14ac:dyDescent="0.25">
      <c r="A32" s="289" t="s">
        <v>375</v>
      </c>
      <c r="B32" s="291" t="s">
        <v>376</v>
      </c>
      <c r="C32" s="290"/>
      <c r="D32" s="290"/>
      <c r="E32" s="290"/>
      <c r="F32" s="290"/>
      <c r="G32" s="290"/>
    </row>
    <row r="33" spans="1:38" ht="48" customHeight="1" x14ac:dyDescent="0.25">
      <c r="A33" s="73"/>
      <c r="B33" s="290"/>
      <c r="C33" s="290"/>
      <c r="D33" s="290"/>
      <c r="E33" s="290"/>
      <c r="F33" s="290"/>
      <c r="G33" s="290"/>
    </row>
    <row r="34" spans="1:38" s="22" customFormat="1" hidden="1" x14ac:dyDescent="0.25">
      <c r="A34" s="22" t="s">
        <v>223</v>
      </c>
    </row>
    <row r="35" spans="1:38" x14ac:dyDescent="0.25">
      <c r="U35" s="31"/>
      <c r="V35" s="49"/>
      <c r="W35" s="50"/>
      <c r="X35" s="50"/>
      <c r="Y35" s="50"/>
      <c r="Z35" s="50"/>
      <c r="AA35" s="50"/>
      <c r="AB35" s="50"/>
      <c r="AC35" s="50"/>
      <c r="AD35" s="50"/>
      <c r="AE35" s="50"/>
      <c r="AF35" s="50"/>
      <c r="AG35" s="50"/>
      <c r="AH35" s="50"/>
      <c r="AI35" s="50"/>
      <c r="AJ35" s="50"/>
      <c r="AK35" s="50"/>
      <c r="AL35" s="50"/>
    </row>
    <row r="36" spans="1:38" x14ac:dyDescent="0.25">
      <c r="U36" s="31"/>
      <c r="V36" s="49"/>
      <c r="W36" s="50"/>
      <c r="X36" s="50"/>
      <c r="Y36" s="50"/>
      <c r="Z36" s="50"/>
      <c r="AA36" s="50"/>
      <c r="AB36" s="50"/>
      <c r="AC36" s="50"/>
      <c r="AD36" s="50"/>
      <c r="AE36" s="50"/>
      <c r="AF36" s="50"/>
      <c r="AG36" s="50"/>
      <c r="AH36" s="50"/>
      <c r="AI36" s="50"/>
      <c r="AJ36" s="50"/>
      <c r="AK36" s="50"/>
      <c r="AL36" s="50"/>
    </row>
    <row r="37" spans="1:38" x14ac:dyDescent="0.25">
      <c r="U37" s="31"/>
      <c r="V37" s="49"/>
      <c r="W37" s="50"/>
      <c r="X37" s="50"/>
      <c r="Y37" s="50"/>
      <c r="Z37" s="50"/>
      <c r="AA37" s="50"/>
      <c r="AB37" s="50"/>
      <c r="AC37" s="50"/>
      <c r="AD37" s="50"/>
      <c r="AE37" s="50"/>
      <c r="AF37" s="50"/>
      <c r="AG37" s="50"/>
      <c r="AH37" s="50"/>
      <c r="AI37" s="50"/>
      <c r="AJ37" s="50"/>
      <c r="AK37" s="50"/>
      <c r="AL37" s="50"/>
    </row>
    <row r="38" spans="1:38" x14ac:dyDescent="0.25">
      <c r="U38" s="31"/>
      <c r="V38" s="49"/>
      <c r="W38" s="50"/>
      <c r="X38" s="50"/>
      <c r="Y38" s="50"/>
      <c r="Z38" s="50"/>
      <c r="AA38" s="50"/>
      <c r="AB38" s="50"/>
      <c r="AC38" s="50"/>
      <c r="AD38" s="50"/>
      <c r="AE38" s="50"/>
      <c r="AF38" s="50"/>
      <c r="AG38" s="50"/>
      <c r="AH38" s="50"/>
      <c r="AI38" s="50"/>
      <c r="AJ38" s="50"/>
      <c r="AK38" s="50"/>
      <c r="AL38" s="50"/>
    </row>
    <row r="39" spans="1:38" x14ac:dyDescent="0.25">
      <c r="U39" s="31"/>
      <c r="V39" s="49"/>
      <c r="W39" s="50"/>
      <c r="X39" s="50"/>
      <c r="Y39" s="50"/>
      <c r="Z39" s="50"/>
      <c r="AA39" s="50"/>
      <c r="AB39" s="50"/>
      <c r="AC39" s="50"/>
      <c r="AD39" s="50"/>
      <c r="AE39" s="50"/>
      <c r="AF39" s="50"/>
      <c r="AG39" s="50"/>
      <c r="AH39" s="50"/>
      <c r="AI39" s="50"/>
      <c r="AJ39" s="50"/>
      <c r="AK39" s="50"/>
      <c r="AL39" s="50"/>
    </row>
    <row r="40" spans="1:38" x14ac:dyDescent="0.25">
      <c r="U40" s="31"/>
      <c r="W40" s="30"/>
      <c r="X40" s="30"/>
      <c r="Y40" s="30"/>
      <c r="Z40" s="30"/>
      <c r="AA40" s="30"/>
      <c r="AB40" s="30"/>
      <c r="AC40" s="30"/>
      <c r="AD40" s="30"/>
      <c r="AE40" s="30"/>
      <c r="AF40" s="30"/>
      <c r="AG40" s="30"/>
      <c r="AH40" s="30"/>
      <c r="AI40" s="30"/>
      <c r="AJ40" s="30"/>
      <c r="AK40" s="30"/>
      <c r="AL40" s="30"/>
    </row>
    <row r="41" spans="1:38" x14ac:dyDescent="0.25">
      <c r="U41" s="32"/>
      <c r="W41" s="31"/>
      <c r="X41" s="31"/>
      <c r="Y41" s="31"/>
      <c r="Z41" s="31"/>
      <c r="AA41" s="31"/>
      <c r="AB41" s="31"/>
      <c r="AC41" s="31"/>
      <c r="AD41" s="31"/>
      <c r="AE41" s="31"/>
      <c r="AF41" s="31"/>
      <c r="AG41" s="31"/>
      <c r="AH41" s="31"/>
      <c r="AI41" s="31"/>
      <c r="AJ41" s="31"/>
      <c r="AK41" s="31"/>
      <c r="AL41" s="31"/>
    </row>
    <row r="42" spans="1:38" x14ac:dyDescent="0.25">
      <c r="U42" s="31"/>
    </row>
    <row r="45" spans="1:38" x14ac:dyDescent="0.25">
      <c r="U45" s="29"/>
      <c r="V45" s="29"/>
      <c r="W45" s="48"/>
      <c r="X45" s="48"/>
      <c r="Y45" s="48"/>
      <c r="Z45" s="48"/>
      <c r="AA45" s="48"/>
      <c r="AB45" s="48"/>
      <c r="AC45" s="48"/>
      <c r="AD45" s="48"/>
      <c r="AE45" s="48"/>
      <c r="AF45" s="48"/>
      <c r="AG45" s="48"/>
      <c r="AH45" s="48"/>
      <c r="AI45" s="48"/>
      <c r="AJ45" s="48"/>
      <c r="AK45" s="48"/>
      <c r="AL45" s="48"/>
    </row>
    <row r="46" spans="1:38" x14ac:dyDescent="0.25">
      <c r="V46" s="33"/>
    </row>
    <row r="47" spans="1:38" x14ac:dyDescent="0.25">
      <c r="U47" s="31"/>
      <c r="V47" s="33"/>
    </row>
    <row r="48" spans="1:38" x14ac:dyDescent="0.25">
      <c r="U48" s="31"/>
      <c r="V48" s="33"/>
    </row>
    <row r="49" spans="21:22" x14ac:dyDescent="0.25">
      <c r="U49" s="31"/>
      <c r="V49" s="33"/>
    </row>
    <row r="50" spans="21:22" x14ac:dyDescent="0.25">
      <c r="U50" s="31"/>
      <c r="V50" s="33"/>
    </row>
    <row r="51" spans="21:22" x14ac:dyDescent="0.25">
      <c r="U51" s="31"/>
      <c r="V51" s="33"/>
    </row>
    <row r="52" spans="21:22" x14ac:dyDescent="0.25">
      <c r="U52" s="31"/>
      <c r="V52" s="33"/>
    </row>
    <row r="53" spans="21:22" x14ac:dyDescent="0.25">
      <c r="U53" s="31"/>
      <c r="V53" s="33"/>
    </row>
    <row r="54" spans="21:22" x14ac:dyDescent="0.25">
      <c r="U54" s="31"/>
      <c r="V54" s="33"/>
    </row>
    <row r="55" spans="21:22" x14ac:dyDescent="0.25">
      <c r="U55" s="31"/>
      <c r="V55" s="33"/>
    </row>
    <row r="56" spans="21:22" x14ac:dyDescent="0.25">
      <c r="U56" s="31"/>
      <c r="V56" s="33"/>
    </row>
    <row r="57" spans="21:22" x14ac:dyDescent="0.25">
      <c r="U57" s="31"/>
      <c r="V57" s="33"/>
    </row>
    <row r="58" spans="21:22" x14ac:dyDescent="0.25">
      <c r="U58" s="31"/>
      <c r="V58" s="33"/>
    </row>
    <row r="59" spans="21:22" x14ac:dyDescent="0.25">
      <c r="U59" s="31"/>
      <c r="V59" s="33"/>
    </row>
    <row r="60" spans="21:22" x14ac:dyDescent="0.25">
      <c r="U60" s="31"/>
      <c r="V60" s="33"/>
    </row>
    <row r="61" spans="21:22" x14ac:dyDescent="0.25">
      <c r="U61" s="31"/>
      <c r="V61" s="33"/>
    </row>
    <row r="62" spans="21:22" x14ac:dyDescent="0.25">
      <c r="U62" s="31"/>
      <c r="V62" s="33"/>
    </row>
    <row r="63" spans="21:22" x14ac:dyDescent="0.25">
      <c r="U63" s="31"/>
      <c r="V63" s="33"/>
    </row>
    <row r="64" spans="21:22" x14ac:dyDescent="0.25">
      <c r="U64" s="31"/>
      <c r="V64" s="33"/>
    </row>
    <row r="65" spans="21:38" x14ac:dyDescent="0.25">
      <c r="U65" s="31"/>
      <c r="V65" s="33"/>
    </row>
    <row r="66" spans="21:38" x14ac:dyDescent="0.25">
      <c r="U66" s="31"/>
      <c r="V66" s="33"/>
    </row>
    <row r="67" spans="21:38" x14ac:dyDescent="0.25">
      <c r="U67" s="31"/>
      <c r="W67" s="30"/>
      <c r="X67" s="30"/>
      <c r="Y67" s="30"/>
      <c r="Z67" s="30"/>
      <c r="AA67" s="30"/>
      <c r="AB67" s="30"/>
      <c r="AC67" s="30"/>
      <c r="AD67" s="30"/>
      <c r="AE67" s="30"/>
      <c r="AF67" s="30"/>
      <c r="AG67" s="30"/>
      <c r="AH67" s="30"/>
      <c r="AI67" s="30"/>
      <c r="AJ67" s="30"/>
      <c r="AK67" s="30"/>
      <c r="AL67" s="30"/>
    </row>
    <row r="68" spans="21:38" x14ac:dyDescent="0.25">
      <c r="U68" s="32"/>
      <c r="W68" s="31"/>
      <c r="X68" s="31"/>
      <c r="Y68" s="31"/>
      <c r="Z68" s="31"/>
      <c r="AA68" s="31"/>
      <c r="AB68" s="31"/>
      <c r="AC68" s="31"/>
      <c r="AD68" s="31"/>
      <c r="AE68" s="31"/>
      <c r="AF68" s="31"/>
      <c r="AG68" s="31"/>
      <c r="AH68" s="31"/>
      <c r="AI68" s="31"/>
      <c r="AJ68" s="31"/>
      <c r="AK68" s="31"/>
      <c r="AL68" s="31"/>
    </row>
  </sheetData>
  <mergeCells count="39">
    <mergeCell ref="AE30:AF30"/>
    <mergeCell ref="AG30:AH30"/>
    <mergeCell ref="AI30:AJ30"/>
    <mergeCell ref="AK30:AL30"/>
    <mergeCell ref="AM30:AN30"/>
    <mergeCell ref="AM28:AN28"/>
    <mergeCell ref="AE29:AF29"/>
    <mergeCell ref="AG29:AH29"/>
    <mergeCell ref="AI29:AJ29"/>
    <mergeCell ref="AK29:AL29"/>
    <mergeCell ref="AM29:AN29"/>
    <mergeCell ref="AI28:AJ28"/>
    <mergeCell ref="AK28:AL28"/>
    <mergeCell ref="B13:B15"/>
    <mergeCell ref="D13:D15"/>
    <mergeCell ref="A21:H21"/>
    <mergeCell ref="AE28:AF28"/>
    <mergeCell ref="AG28:AH28"/>
    <mergeCell ref="A27:A28"/>
    <mergeCell ref="B27:B28"/>
    <mergeCell ref="E27:E28"/>
    <mergeCell ref="F27:F28"/>
    <mergeCell ref="H27:H28"/>
    <mergeCell ref="A30:H30"/>
    <mergeCell ref="A31:H31"/>
    <mergeCell ref="A3:A5"/>
    <mergeCell ref="A6:A8"/>
    <mergeCell ref="A1:H1"/>
    <mergeCell ref="A23:A24"/>
    <mergeCell ref="B23:B24"/>
    <mergeCell ref="E23:E24"/>
    <mergeCell ref="F23:F24"/>
    <mergeCell ref="G23:G24"/>
    <mergeCell ref="H23:H24"/>
    <mergeCell ref="F13:F15"/>
    <mergeCell ref="G13:G15"/>
    <mergeCell ref="A11:G11"/>
    <mergeCell ref="C13:C15"/>
    <mergeCell ref="E13:E15"/>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37"/>
  <sheetViews>
    <sheetView zoomScale="80" zoomScaleNormal="80" workbookViewId="0">
      <selection sqref="A1:R1"/>
    </sheetView>
  </sheetViews>
  <sheetFormatPr defaultRowHeight="14.4" x14ac:dyDescent="0.3"/>
  <cols>
    <col min="1" max="1" width="68.5546875" customWidth="1"/>
    <col min="18" max="18" width="61" customWidth="1"/>
  </cols>
  <sheetData>
    <row r="1" spans="1:18" ht="24" customHeight="1" x14ac:dyDescent="0.3">
      <c r="A1" s="640" t="str">
        <f>"Thermostat Setpoints - "&amp;Prototype!A2</f>
        <v>Thermostat Setpoints - SchoolK-8</v>
      </c>
      <c r="B1" s="640"/>
      <c r="C1" s="640"/>
      <c r="D1" s="640"/>
      <c r="E1" s="640"/>
      <c r="F1" s="640"/>
      <c r="G1" s="640"/>
      <c r="H1" s="640"/>
      <c r="I1" s="640"/>
      <c r="J1" s="640"/>
      <c r="K1" s="640"/>
      <c r="L1" s="640"/>
      <c r="M1" s="640"/>
      <c r="N1" s="640"/>
      <c r="O1" s="640"/>
      <c r="P1" s="640"/>
      <c r="Q1" s="640"/>
      <c r="R1" s="640"/>
    </row>
    <row r="2" spans="1:18" ht="22.5" customHeight="1" thickBot="1" x14ac:dyDescent="0.35">
      <c r="A2" s="62" t="s">
        <v>377</v>
      </c>
      <c r="B2" s="599" t="s">
        <v>230</v>
      </c>
      <c r="C2" s="599" t="s">
        <v>231</v>
      </c>
      <c r="D2" s="599" t="s">
        <v>232</v>
      </c>
      <c r="E2" s="599" t="s">
        <v>233</v>
      </c>
      <c r="F2" s="599" t="s">
        <v>234</v>
      </c>
      <c r="G2" s="599" t="s">
        <v>235</v>
      </c>
      <c r="H2" s="599" t="s">
        <v>236</v>
      </c>
      <c r="I2" s="599" t="s">
        <v>237</v>
      </c>
      <c r="J2" s="599" t="s">
        <v>238</v>
      </c>
      <c r="K2" s="599" t="s">
        <v>239</v>
      </c>
      <c r="L2" s="599" t="s">
        <v>240</v>
      </c>
      <c r="M2" s="599" t="s">
        <v>241</v>
      </c>
      <c r="N2" s="599" t="s">
        <v>242</v>
      </c>
      <c r="O2" s="599" t="s">
        <v>243</v>
      </c>
      <c r="P2" s="599" t="s">
        <v>244</v>
      </c>
      <c r="Q2" s="599" t="s">
        <v>245</v>
      </c>
      <c r="R2" s="603" t="s">
        <v>312</v>
      </c>
    </row>
    <row r="3" spans="1:18" x14ac:dyDescent="0.3">
      <c r="A3" s="919" t="s">
        <v>378</v>
      </c>
      <c r="B3" s="920">
        <v>70</v>
      </c>
      <c r="C3" s="920">
        <v>70</v>
      </c>
      <c r="D3" s="920">
        <v>70</v>
      </c>
      <c r="E3" s="920">
        <v>70</v>
      </c>
      <c r="F3" s="920">
        <v>70</v>
      </c>
      <c r="G3" s="920">
        <v>70</v>
      </c>
      <c r="H3" s="920">
        <v>70</v>
      </c>
      <c r="I3" s="920">
        <v>70</v>
      </c>
      <c r="J3" s="920">
        <v>70</v>
      </c>
      <c r="K3" s="920">
        <v>70</v>
      </c>
      <c r="L3" s="920">
        <v>70</v>
      </c>
      <c r="M3" s="920">
        <v>70</v>
      </c>
      <c r="N3" s="920">
        <v>70</v>
      </c>
      <c r="O3" s="920">
        <v>70</v>
      </c>
      <c r="P3" s="920">
        <v>70</v>
      </c>
      <c r="Q3" s="920">
        <v>70</v>
      </c>
      <c r="R3" s="921" t="s">
        <v>379</v>
      </c>
    </row>
    <row r="4" spans="1:18" x14ac:dyDescent="0.3">
      <c r="A4" s="922" t="s">
        <v>380</v>
      </c>
      <c r="B4" s="581">
        <v>60</v>
      </c>
      <c r="C4" s="581">
        <v>60</v>
      </c>
      <c r="D4" s="581">
        <v>60</v>
      </c>
      <c r="E4" s="581">
        <v>60</v>
      </c>
      <c r="F4" s="581">
        <v>60</v>
      </c>
      <c r="G4" s="581">
        <v>60</v>
      </c>
      <c r="H4" s="581">
        <v>60</v>
      </c>
      <c r="I4" s="581">
        <v>60</v>
      </c>
      <c r="J4" s="581">
        <v>60</v>
      </c>
      <c r="K4" s="581">
        <v>60</v>
      </c>
      <c r="L4" s="581">
        <v>60</v>
      </c>
      <c r="M4" s="581">
        <v>60</v>
      </c>
      <c r="N4" s="581">
        <v>60</v>
      </c>
      <c r="O4" s="581">
        <v>60</v>
      </c>
      <c r="P4" s="581">
        <v>60</v>
      </c>
      <c r="Q4" s="581">
        <v>60</v>
      </c>
      <c r="R4" s="923"/>
    </row>
    <row r="5" spans="1:18" x14ac:dyDescent="0.3">
      <c r="A5" s="922" t="s">
        <v>381</v>
      </c>
      <c r="B5" s="581">
        <v>75</v>
      </c>
      <c r="C5" s="581">
        <v>75</v>
      </c>
      <c r="D5" s="581">
        <v>75</v>
      </c>
      <c r="E5" s="581">
        <v>75</v>
      </c>
      <c r="F5" s="581">
        <v>75</v>
      </c>
      <c r="G5" s="581">
        <v>75</v>
      </c>
      <c r="H5" s="581">
        <v>75</v>
      </c>
      <c r="I5" s="581">
        <v>75</v>
      </c>
      <c r="J5" s="581">
        <v>75</v>
      </c>
      <c r="K5" s="581">
        <v>75</v>
      </c>
      <c r="L5" s="581">
        <v>75</v>
      </c>
      <c r="M5" s="581">
        <v>75</v>
      </c>
      <c r="N5" s="581">
        <v>75</v>
      </c>
      <c r="O5" s="581">
        <v>75</v>
      </c>
      <c r="P5" s="581">
        <v>75</v>
      </c>
      <c r="Q5" s="581">
        <v>75</v>
      </c>
      <c r="R5" s="923" t="s">
        <v>379</v>
      </c>
    </row>
    <row r="6" spans="1:18" ht="15" thickBot="1" x14ac:dyDescent="0.35">
      <c r="A6" s="924" t="s">
        <v>382</v>
      </c>
      <c r="B6" s="925">
        <v>85</v>
      </c>
      <c r="C6" s="925">
        <v>85</v>
      </c>
      <c r="D6" s="925">
        <v>85</v>
      </c>
      <c r="E6" s="925">
        <v>85</v>
      </c>
      <c r="F6" s="925">
        <v>85</v>
      </c>
      <c r="G6" s="925">
        <v>85</v>
      </c>
      <c r="H6" s="925">
        <v>85</v>
      </c>
      <c r="I6" s="925">
        <v>85</v>
      </c>
      <c r="J6" s="925">
        <v>85</v>
      </c>
      <c r="K6" s="925">
        <v>85</v>
      </c>
      <c r="L6" s="925">
        <v>85</v>
      </c>
      <c r="M6" s="925">
        <v>85</v>
      </c>
      <c r="N6" s="925">
        <v>85</v>
      </c>
      <c r="O6" s="925">
        <v>85</v>
      </c>
      <c r="P6" s="925">
        <v>85</v>
      </c>
      <c r="Q6" s="925">
        <v>85</v>
      </c>
      <c r="R6" s="926"/>
    </row>
    <row r="7" spans="1:18" x14ac:dyDescent="0.3">
      <c r="A7" s="927" t="s">
        <v>383</v>
      </c>
      <c r="B7" s="928">
        <v>70</v>
      </c>
      <c r="C7" s="928">
        <v>70</v>
      </c>
      <c r="D7" s="928">
        <v>70</v>
      </c>
      <c r="E7" s="928">
        <v>70</v>
      </c>
      <c r="F7" s="928">
        <v>70</v>
      </c>
      <c r="G7" s="928">
        <v>70</v>
      </c>
      <c r="H7" s="928">
        <v>70</v>
      </c>
      <c r="I7" s="928">
        <v>70</v>
      </c>
      <c r="J7" s="928">
        <v>70</v>
      </c>
      <c r="K7" s="928">
        <v>70</v>
      </c>
      <c r="L7" s="928">
        <v>70</v>
      </c>
      <c r="M7" s="928">
        <v>70</v>
      </c>
      <c r="N7" s="928">
        <v>70</v>
      </c>
      <c r="O7" s="928">
        <v>70</v>
      </c>
      <c r="P7" s="928">
        <v>70</v>
      </c>
      <c r="Q7" s="928">
        <v>70</v>
      </c>
      <c r="R7" s="929" t="s">
        <v>384</v>
      </c>
    </row>
    <row r="8" spans="1:18" x14ac:dyDescent="0.3">
      <c r="A8" s="930" t="s">
        <v>385</v>
      </c>
      <c r="B8" s="583">
        <v>60</v>
      </c>
      <c r="C8" s="583">
        <v>60</v>
      </c>
      <c r="D8" s="583">
        <v>60</v>
      </c>
      <c r="E8" s="583">
        <v>60</v>
      </c>
      <c r="F8" s="583">
        <v>60</v>
      </c>
      <c r="G8" s="583">
        <v>60</v>
      </c>
      <c r="H8" s="583">
        <v>60</v>
      </c>
      <c r="I8" s="583">
        <v>60</v>
      </c>
      <c r="J8" s="583">
        <v>60</v>
      </c>
      <c r="K8" s="583">
        <v>60</v>
      </c>
      <c r="L8" s="583">
        <v>60</v>
      </c>
      <c r="M8" s="583">
        <v>60</v>
      </c>
      <c r="N8" s="583">
        <v>60</v>
      </c>
      <c r="O8" s="583">
        <v>60</v>
      </c>
      <c r="P8" s="583">
        <v>60</v>
      </c>
      <c r="Q8" s="583">
        <v>60</v>
      </c>
      <c r="R8" s="931"/>
    </row>
    <row r="9" spans="1:18" x14ac:dyDescent="0.3">
      <c r="A9" s="930" t="s">
        <v>386</v>
      </c>
      <c r="B9" s="583">
        <v>75</v>
      </c>
      <c r="C9" s="583">
        <v>75</v>
      </c>
      <c r="D9" s="583">
        <v>75</v>
      </c>
      <c r="E9" s="583">
        <v>75</v>
      </c>
      <c r="F9" s="583">
        <v>75</v>
      </c>
      <c r="G9" s="583">
        <v>75</v>
      </c>
      <c r="H9" s="583">
        <v>75</v>
      </c>
      <c r="I9" s="583">
        <v>75</v>
      </c>
      <c r="J9" s="583">
        <v>75</v>
      </c>
      <c r="K9" s="583">
        <v>75</v>
      </c>
      <c r="L9" s="583">
        <v>75</v>
      </c>
      <c r="M9" s="583">
        <v>75</v>
      </c>
      <c r="N9" s="583">
        <v>75</v>
      </c>
      <c r="O9" s="583">
        <v>75</v>
      </c>
      <c r="P9" s="583">
        <v>75</v>
      </c>
      <c r="Q9" s="583">
        <v>75</v>
      </c>
      <c r="R9" s="931"/>
    </row>
    <row r="10" spans="1:18" ht="15" thickBot="1" x14ac:dyDescent="0.35">
      <c r="A10" s="932" t="s">
        <v>387</v>
      </c>
      <c r="B10" s="256">
        <v>85</v>
      </c>
      <c r="C10" s="256">
        <v>85</v>
      </c>
      <c r="D10" s="256">
        <v>85</v>
      </c>
      <c r="E10" s="256">
        <v>85</v>
      </c>
      <c r="F10" s="256">
        <v>85</v>
      </c>
      <c r="G10" s="256">
        <v>85</v>
      </c>
      <c r="H10" s="256">
        <v>85</v>
      </c>
      <c r="I10" s="256">
        <v>85</v>
      </c>
      <c r="J10" s="256">
        <v>85</v>
      </c>
      <c r="K10" s="256">
        <v>85</v>
      </c>
      <c r="L10" s="256">
        <v>85</v>
      </c>
      <c r="M10" s="256">
        <v>85</v>
      </c>
      <c r="N10" s="256">
        <v>85</v>
      </c>
      <c r="O10" s="256">
        <v>85</v>
      </c>
      <c r="P10" s="256">
        <v>85</v>
      </c>
      <c r="Q10" s="256">
        <v>85</v>
      </c>
      <c r="R10" s="933"/>
    </row>
    <row r="11" spans="1:18" x14ac:dyDescent="0.3">
      <c r="A11" s="927" t="s">
        <v>388</v>
      </c>
      <c r="B11" s="928">
        <v>70</v>
      </c>
      <c r="C11" s="928">
        <v>70</v>
      </c>
      <c r="D11" s="928">
        <v>70</v>
      </c>
      <c r="E11" s="928">
        <v>70</v>
      </c>
      <c r="F11" s="928">
        <v>70</v>
      </c>
      <c r="G11" s="928">
        <v>70</v>
      </c>
      <c r="H11" s="928">
        <v>70</v>
      </c>
      <c r="I11" s="928">
        <v>70</v>
      </c>
      <c r="J11" s="928">
        <v>70</v>
      </c>
      <c r="K11" s="928">
        <v>70</v>
      </c>
      <c r="L11" s="928">
        <v>70</v>
      </c>
      <c r="M11" s="928">
        <v>70</v>
      </c>
      <c r="N11" s="928">
        <v>70</v>
      </c>
      <c r="O11" s="928">
        <v>70</v>
      </c>
      <c r="P11" s="928">
        <v>70</v>
      </c>
      <c r="Q11" s="928">
        <v>70</v>
      </c>
      <c r="R11" s="929" t="s">
        <v>389</v>
      </c>
    </row>
    <row r="12" spans="1:18" x14ac:dyDescent="0.3">
      <c r="A12" s="930" t="s">
        <v>390</v>
      </c>
      <c r="B12" s="583">
        <v>60</v>
      </c>
      <c r="C12" s="583">
        <v>60</v>
      </c>
      <c r="D12" s="583">
        <v>60</v>
      </c>
      <c r="E12" s="583">
        <v>60</v>
      </c>
      <c r="F12" s="583">
        <v>60</v>
      </c>
      <c r="G12" s="583">
        <v>60</v>
      </c>
      <c r="H12" s="583">
        <v>60</v>
      </c>
      <c r="I12" s="583">
        <v>60</v>
      </c>
      <c r="J12" s="583">
        <v>60</v>
      </c>
      <c r="K12" s="583">
        <v>60</v>
      </c>
      <c r="L12" s="583">
        <v>60</v>
      </c>
      <c r="M12" s="583">
        <v>60</v>
      </c>
      <c r="N12" s="583">
        <v>60</v>
      </c>
      <c r="O12" s="583">
        <v>60</v>
      </c>
      <c r="P12" s="583">
        <v>60</v>
      </c>
      <c r="Q12" s="583">
        <v>60</v>
      </c>
      <c r="R12" s="931"/>
    </row>
    <row r="13" spans="1:18" x14ac:dyDescent="0.3">
      <c r="A13" s="930" t="s">
        <v>391</v>
      </c>
      <c r="B13" s="583">
        <v>75</v>
      </c>
      <c r="C13" s="583">
        <v>75</v>
      </c>
      <c r="D13" s="583">
        <v>75</v>
      </c>
      <c r="E13" s="583">
        <v>75</v>
      </c>
      <c r="F13" s="583">
        <v>75</v>
      </c>
      <c r="G13" s="583">
        <v>75</v>
      </c>
      <c r="H13" s="583">
        <v>75</v>
      </c>
      <c r="I13" s="583">
        <v>75</v>
      </c>
      <c r="J13" s="583">
        <v>75</v>
      </c>
      <c r="K13" s="583">
        <v>75</v>
      </c>
      <c r="L13" s="583">
        <v>75</v>
      </c>
      <c r="M13" s="583">
        <v>75</v>
      </c>
      <c r="N13" s="583">
        <v>75</v>
      </c>
      <c r="O13" s="583">
        <v>75</v>
      </c>
      <c r="P13" s="583">
        <v>75</v>
      </c>
      <c r="Q13" s="583">
        <v>75</v>
      </c>
      <c r="R13" s="931"/>
    </row>
    <row r="14" spans="1:18" ht="15" thickBot="1" x14ac:dyDescent="0.35">
      <c r="A14" s="935" t="s">
        <v>392</v>
      </c>
      <c r="B14" s="416">
        <v>85</v>
      </c>
      <c r="C14" s="416">
        <v>85</v>
      </c>
      <c r="D14" s="416">
        <v>85</v>
      </c>
      <c r="E14" s="416">
        <v>85</v>
      </c>
      <c r="F14" s="416">
        <v>85</v>
      </c>
      <c r="G14" s="416">
        <v>85</v>
      </c>
      <c r="H14" s="416">
        <v>85</v>
      </c>
      <c r="I14" s="416">
        <v>85</v>
      </c>
      <c r="J14" s="416">
        <v>85</v>
      </c>
      <c r="K14" s="416">
        <v>85</v>
      </c>
      <c r="L14" s="416">
        <v>85</v>
      </c>
      <c r="M14" s="416">
        <v>85</v>
      </c>
      <c r="N14" s="416">
        <v>85</v>
      </c>
      <c r="O14" s="416">
        <v>85</v>
      </c>
      <c r="P14" s="416">
        <v>85</v>
      </c>
      <c r="Q14" s="416">
        <v>85</v>
      </c>
      <c r="R14" s="931"/>
    </row>
    <row r="15" spans="1:18" x14ac:dyDescent="0.3">
      <c r="A15" s="927" t="s">
        <v>393</v>
      </c>
      <c r="B15" s="928">
        <v>60</v>
      </c>
      <c r="C15" s="928">
        <v>60</v>
      </c>
      <c r="D15" s="928">
        <v>60</v>
      </c>
      <c r="E15" s="928">
        <v>60</v>
      </c>
      <c r="F15" s="928">
        <v>60</v>
      </c>
      <c r="G15" s="928">
        <v>60</v>
      </c>
      <c r="H15" s="928">
        <v>60</v>
      </c>
      <c r="I15" s="928">
        <v>60</v>
      </c>
      <c r="J15" s="928">
        <v>60</v>
      </c>
      <c r="K15" s="928">
        <v>60</v>
      </c>
      <c r="L15" s="928">
        <v>60</v>
      </c>
      <c r="M15" s="928">
        <v>60</v>
      </c>
      <c r="N15" s="928">
        <v>60</v>
      </c>
      <c r="O15" s="928">
        <v>60</v>
      </c>
      <c r="P15" s="928">
        <v>60</v>
      </c>
      <c r="Q15" s="928">
        <v>60</v>
      </c>
      <c r="R15" s="929" t="s">
        <v>394</v>
      </c>
    </row>
    <row r="16" spans="1:18" x14ac:dyDescent="0.3">
      <c r="A16" s="930" t="s">
        <v>395</v>
      </c>
      <c r="B16" s="583">
        <v>60</v>
      </c>
      <c r="C16" s="583">
        <v>60</v>
      </c>
      <c r="D16" s="583">
        <v>60</v>
      </c>
      <c r="E16" s="583">
        <v>60</v>
      </c>
      <c r="F16" s="583">
        <v>60</v>
      </c>
      <c r="G16" s="583">
        <v>60</v>
      </c>
      <c r="H16" s="583">
        <v>60</v>
      </c>
      <c r="I16" s="583">
        <v>60</v>
      </c>
      <c r="J16" s="583">
        <v>60</v>
      </c>
      <c r="K16" s="583">
        <v>60</v>
      </c>
      <c r="L16" s="583">
        <v>60</v>
      </c>
      <c r="M16" s="583">
        <v>60</v>
      </c>
      <c r="N16" s="583">
        <v>60</v>
      </c>
      <c r="O16" s="583">
        <v>60</v>
      </c>
      <c r="P16" s="583">
        <v>60</v>
      </c>
      <c r="Q16" s="583">
        <v>60</v>
      </c>
      <c r="R16" s="931"/>
    </row>
    <row r="17" spans="1:18" x14ac:dyDescent="0.3">
      <c r="A17" s="930" t="s">
        <v>396</v>
      </c>
      <c r="B17" s="583">
        <v>85</v>
      </c>
      <c r="C17" s="583">
        <v>85</v>
      </c>
      <c r="D17" s="583">
        <v>85</v>
      </c>
      <c r="E17" s="583">
        <v>85</v>
      </c>
      <c r="F17" s="583">
        <v>85</v>
      </c>
      <c r="G17" s="583">
        <v>85</v>
      </c>
      <c r="H17" s="583">
        <v>85</v>
      </c>
      <c r="I17" s="583">
        <v>85</v>
      </c>
      <c r="J17" s="583">
        <v>85</v>
      </c>
      <c r="K17" s="583">
        <v>85</v>
      </c>
      <c r="L17" s="583">
        <v>85</v>
      </c>
      <c r="M17" s="583">
        <v>85</v>
      </c>
      <c r="N17" s="583">
        <v>85</v>
      </c>
      <c r="O17" s="583">
        <v>85</v>
      </c>
      <c r="P17" s="583">
        <v>85</v>
      </c>
      <c r="Q17" s="583">
        <v>85</v>
      </c>
      <c r="R17" s="931"/>
    </row>
    <row r="18" spans="1:18" ht="15" thickBot="1" x14ac:dyDescent="0.35">
      <c r="A18" s="932" t="s">
        <v>397</v>
      </c>
      <c r="B18" s="256">
        <v>85</v>
      </c>
      <c r="C18" s="256">
        <v>85</v>
      </c>
      <c r="D18" s="256">
        <v>85</v>
      </c>
      <c r="E18" s="256">
        <v>85</v>
      </c>
      <c r="F18" s="256">
        <v>85</v>
      </c>
      <c r="G18" s="256">
        <v>85</v>
      </c>
      <c r="H18" s="256">
        <v>85</v>
      </c>
      <c r="I18" s="256">
        <v>85</v>
      </c>
      <c r="J18" s="256">
        <v>85</v>
      </c>
      <c r="K18" s="256">
        <v>85</v>
      </c>
      <c r="L18" s="256">
        <v>85</v>
      </c>
      <c r="M18" s="256">
        <v>85</v>
      </c>
      <c r="N18" s="256">
        <v>85</v>
      </c>
      <c r="O18" s="256">
        <v>85</v>
      </c>
      <c r="P18" s="256">
        <v>85</v>
      </c>
      <c r="Q18" s="256">
        <v>85</v>
      </c>
      <c r="R18" s="933"/>
    </row>
    <row r="19" spans="1:18" x14ac:dyDescent="0.3">
      <c r="A19" s="936" t="s">
        <v>398</v>
      </c>
      <c r="B19" s="934">
        <v>35</v>
      </c>
      <c r="C19" s="934">
        <v>35</v>
      </c>
      <c r="D19" s="934">
        <v>35</v>
      </c>
      <c r="E19" s="934">
        <v>35</v>
      </c>
      <c r="F19" s="934">
        <v>35</v>
      </c>
      <c r="G19" s="934">
        <v>35</v>
      </c>
      <c r="H19" s="934">
        <v>35</v>
      </c>
      <c r="I19" s="934">
        <v>35</v>
      </c>
      <c r="J19" s="934">
        <v>35</v>
      </c>
      <c r="K19" s="934">
        <v>35</v>
      </c>
      <c r="L19" s="934">
        <v>35</v>
      </c>
      <c r="M19" s="934">
        <v>35</v>
      </c>
      <c r="N19" s="934">
        <v>35</v>
      </c>
      <c r="O19" s="934">
        <v>35</v>
      </c>
      <c r="P19" s="934">
        <v>35</v>
      </c>
      <c r="Q19" s="934">
        <v>35</v>
      </c>
      <c r="R19" s="937" t="s">
        <v>399</v>
      </c>
    </row>
    <row r="20" spans="1:18" ht="15" thickBot="1" x14ac:dyDescent="0.35">
      <c r="A20" s="938" t="s">
        <v>400</v>
      </c>
      <c r="B20" s="939">
        <v>35</v>
      </c>
      <c r="C20" s="939">
        <v>35</v>
      </c>
      <c r="D20" s="939">
        <v>35</v>
      </c>
      <c r="E20" s="939">
        <v>35</v>
      </c>
      <c r="F20" s="939">
        <v>35</v>
      </c>
      <c r="G20" s="939">
        <v>35</v>
      </c>
      <c r="H20" s="939">
        <v>35</v>
      </c>
      <c r="I20" s="939">
        <v>35</v>
      </c>
      <c r="J20" s="939">
        <v>35</v>
      </c>
      <c r="K20" s="939">
        <v>35</v>
      </c>
      <c r="L20" s="939">
        <v>35</v>
      </c>
      <c r="M20" s="939">
        <v>35</v>
      </c>
      <c r="N20" s="939">
        <v>35</v>
      </c>
      <c r="O20" s="939">
        <v>35</v>
      </c>
      <c r="P20" s="939">
        <v>35</v>
      </c>
      <c r="Q20" s="939">
        <v>35</v>
      </c>
      <c r="R20" s="940"/>
    </row>
    <row r="21" spans="1:18" x14ac:dyDescent="0.3">
      <c r="A21" s="94"/>
      <c r="B21" s="94"/>
      <c r="C21" s="94"/>
      <c r="D21" s="94"/>
      <c r="E21" s="94"/>
      <c r="F21" s="94"/>
      <c r="G21" s="94"/>
      <c r="H21" s="94"/>
      <c r="I21" s="94"/>
    </row>
    <row r="22" spans="1:18" x14ac:dyDescent="0.3">
      <c r="A22" s="94"/>
      <c r="B22" s="94"/>
      <c r="C22" s="94"/>
      <c r="D22" s="94"/>
      <c r="E22" s="94"/>
      <c r="F22" s="94"/>
      <c r="G22" s="94"/>
      <c r="H22" s="94"/>
      <c r="I22" s="94"/>
    </row>
    <row r="23" spans="1:18" x14ac:dyDescent="0.3">
      <c r="A23" s="142"/>
      <c r="B23" s="142"/>
      <c r="C23" s="142"/>
      <c r="D23" s="142"/>
      <c r="E23" s="142"/>
      <c r="F23" s="142"/>
      <c r="G23" s="142"/>
      <c r="H23" s="142"/>
      <c r="I23" s="142"/>
    </row>
    <row r="24" spans="1:18" x14ac:dyDescent="0.3">
      <c r="A24" s="94"/>
      <c r="B24" s="94"/>
      <c r="C24" s="94"/>
      <c r="D24" s="94"/>
      <c r="E24" s="94"/>
      <c r="F24" s="94"/>
      <c r="G24" s="94"/>
      <c r="H24" s="94"/>
      <c r="I24" s="94"/>
    </row>
    <row r="25" spans="1:18" x14ac:dyDescent="0.3">
      <c r="A25" s="94"/>
      <c r="B25" s="94"/>
      <c r="C25" s="94"/>
      <c r="D25" s="94"/>
      <c r="E25" s="94"/>
      <c r="F25" s="94"/>
      <c r="G25" s="94"/>
      <c r="H25" s="94"/>
      <c r="I25" s="94"/>
    </row>
    <row r="26" spans="1:18" x14ac:dyDescent="0.3">
      <c r="A26" s="94"/>
      <c r="B26" s="94"/>
      <c r="C26" s="94"/>
      <c r="D26" s="94"/>
      <c r="E26" s="94"/>
      <c r="F26" s="94"/>
      <c r="G26" s="94"/>
      <c r="H26" s="94"/>
      <c r="I26" s="94"/>
    </row>
    <row r="27" spans="1:18" x14ac:dyDescent="0.3">
      <c r="A27" s="94"/>
      <c r="B27" s="94"/>
      <c r="C27" s="94"/>
      <c r="D27" s="94"/>
      <c r="E27" s="94"/>
      <c r="F27" s="94"/>
      <c r="G27" s="94"/>
      <c r="H27" s="94"/>
      <c r="I27" s="94"/>
    </row>
    <row r="28" spans="1:18" x14ac:dyDescent="0.3">
      <c r="A28" s="94"/>
      <c r="B28" s="94"/>
      <c r="C28" s="94"/>
      <c r="D28" s="94"/>
      <c r="E28" s="94"/>
      <c r="F28" s="94"/>
      <c r="G28" s="94"/>
      <c r="H28" s="94"/>
      <c r="I28" s="94"/>
    </row>
    <row r="29" spans="1:18" x14ac:dyDescent="0.3">
      <c r="A29" s="94"/>
      <c r="B29" s="94"/>
      <c r="C29" s="94"/>
      <c r="D29" s="94"/>
      <c r="E29" s="94"/>
      <c r="F29" s="94"/>
      <c r="G29" s="94"/>
      <c r="H29" s="94"/>
      <c r="I29" s="94"/>
    </row>
    <row r="30" spans="1:18" x14ac:dyDescent="0.3">
      <c r="A30" s="94"/>
      <c r="B30" s="94"/>
      <c r="C30" s="94"/>
      <c r="D30" s="94"/>
      <c r="E30" s="94"/>
      <c r="F30" s="94"/>
      <c r="G30" s="94"/>
      <c r="H30" s="94"/>
      <c r="I30" s="94"/>
    </row>
    <row r="31" spans="1:18" x14ac:dyDescent="0.3">
      <c r="A31" s="94"/>
      <c r="B31" s="94"/>
      <c r="C31" s="94"/>
      <c r="D31" s="94"/>
      <c r="E31" s="94"/>
      <c r="F31" s="94"/>
      <c r="G31" s="94"/>
      <c r="H31" s="94"/>
      <c r="I31" s="94"/>
    </row>
    <row r="32" spans="1:18" x14ac:dyDescent="0.3">
      <c r="A32" s="94"/>
      <c r="B32" s="94"/>
      <c r="C32" s="94"/>
      <c r="D32" s="94"/>
      <c r="E32" s="94"/>
      <c r="F32" s="94"/>
      <c r="G32" s="94"/>
      <c r="H32" s="94"/>
      <c r="I32" s="94"/>
    </row>
    <row r="33" spans="1:9" x14ac:dyDescent="0.3">
      <c r="A33" s="94"/>
      <c r="B33" s="94"/>
      <c r="C33" s="94"/>
      <c r="D33" s="94"/>
      <c r="E33" s="94"/>
      <c r="F33" s="94"/>
      <c r="G33" s="94"/>
      <c r="H33" s="94"/>
      <c r="I33" s="94"/>
    </row>
    <row r="34" spans="1:9" x14ac:dyDescent="0.3">
      <c r="A34" s="94"/>
      <c r="B34" s="94"/>
      <c r="C34" s="94"/>
      <c r="D34" s="94"/>
      <c r="E34" s="94"/>
      <c r="F34" s="94"/>
      <c r="G34" s="94"/>
      <c r="H34" s="94"/>
      <c r="I34" s="94"/>
    </row>
    <row r="35" spans="1:9" x14ac:dyDescent="0.3">
      <c r="A35" s="94"/>
      <c r="B35" s="94"/>
      <c r="C35" s="94"/>
      <c r="D35" s="94"/>
      <c r="E35" s="94"/>
      <c r="F35" s="94"/>
      <c r="G35" s="94"/>
      <c r="H35" s="94"/>
      <c r="I35" s="94"/>
    </row>
    <row r="36" spans="1:9" x14ac:dyDescent="0.3">
      <c r="A36" s="94"/>
      <c r="B36" s="94"/>
      <c r="C36" s="94"/>
      <c r="D36" s="94"/>
      <c r="E36" s="94"/>
      <c r="F36" s="94"/>
      <c r="G36" s="94"/>
      <c r="H36" s="94"/>
      <c r="I36" s="94"/>
    </row>
    <row r="37" spans="1:9" x14ac:dyDescent="0.3">
      <c r="A37" s="94"/>
      <c r="B37" s="94"/>
      <c r="C37" s="94"/>
      <c r="D37" s="94"/>
      <c r="E37" s="94"/>
      <c r="F37" s="94"/>
      <c r="G37" s="94"/>
      <c r="H37" s="94"/>
      <c r="I37" s="94"/>
    </row>
  </sheetData>
  <mergeCells count="7">
    <mergeCell ref="R3:R4"/>
    <mergeCell ref="A1:R1"/>
    <mergeCell ref="R5:R6"/>
    <mergeCell ref="R19:R20"/>
    <mergeCell ref="R7:R10"/>
    <mergeCell ref="R11:R14"/>
    <mergeCell ref="R15:R18"/>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43"/>
  <sheetViews>
    <sheetView zoomScale="80" zoomScaleNormal="80" workbookViewId="0">
      <pane xSplit="1" topLeftCell="B1" activePane="topRight" state="frozen"/>
      <selection pane="topRight" sqref="A1:L1"/>
    </sheetView>
  </sheetViews>
  <sheetFormatPr defaultColWidth="9.33203125" defaultRowHeight="13.8" x14ac:dyDescent="0.25"/>
  <cols>
    <col min="1" max="1" width="54" style="53" customWidth="1"/>
    <col min="2" max="2" width="49.6640625" style="53" customWidth="1"/>
    <col min="3" max="5" width="20.33203125" style="53" customWidth="1"/>
    <col min="6" max="6" width="25.33203125" style="53" bestFit="1" customWidth="1"/>
    <col min="7" max="7" width="22" style="53" customWidth="1"/>
    <col min="8" max="8" width="23.6640625" style="53" customWidth="1"/>
    <col min="9" max="9" width="13.6640625" style="53" customWidth="1"/>
    <col min="10" max="10" width="11.6640625" style="53" customWidth="1"/>
    <col min="11" max="11" width="13.6640625" style="53" customWidth="1"/>
    <col min="12" max="12" width="50.6640625" style="53" customWidth="1"/>
    <col min="13" max="13" width="12.33203125" style="53" customWidth="1"/>
    <col min="14" max="14" width="13.6640625" style="53" customWidth="1"/>
    <col min="15" max="15" width="12.33203125" style="53" customWidth="1"/>
    <col min="16" max="16" width="18.109375" style="53" customWidth="1"/>
    <col min="17" max="17" width="17.109375" style="53" customWidth="1"/>
    <col min="18" max="18" width="22.44140625" style="53" customWidth="1"/>
    <col min="19" max="19" width="21.6640625" style="53" customWidth="1"/>
    <col min="20" max="20" width="9.33203125" style="53" customWidth="1"/>
    <col min="21" max="21" width="23.33203125" style="53" customWidth="1"/>
    <col min="22" max="25" width="11.33203125" style="53" customWidth="1"/>
    <col min="26" max="16384" width="9.33203125" style="53"/>
  </cols>
  <sheetData>
    <row r="1" spans="1:22" ht="28.2" customHeight="1" thickBot="1" x14ac:dyDescent="0.3">
      <c r="A1" s="699" t="str">
        <f>"Outdoor Airflow Rate - "&amp;Prototype!A2</f>
        <v>Outdoor Airflow Rate - SchoolK-8</v>
      </c>
      <c r="B1" s="700"/>
      <c r="C1" s="700"/>
      <c r="D1" s="700"/>
      <c r="E1" s="700"/>
      <c r="F1" s="700"/>
      <c r="G1" s="700"/>
      <c r="H1" s="700"/>
      <c r="I1" s="700"/>
      <c r="J1" s="700"/>
      <c r="K1" s="700"/>
      <c r="L1" s="700"/>
      <c r="M1" s="2"/>
      <c r="N1" s="2"/>
      <c r="O1" s="2"/>
      <c r="P1" s="2"/>
      <c r="Q1" s="2"/>
      <c r="R1" s="2"/>
      <c r="S1" s="2"/>
      <c r="T1" s="2"/>
      <c r="U1" s="2"/>
      <c r="V1" s="2"/>
    </row>
    <row r="2" spans="1:22" ht="62.4" customHeight="1" x14ac:dyDescent="0.25">
      <c r="A2" s="130" t="s">
        <v>220</v>
      </c>
      <c r="B2" s="131" t="s">
        <v>103</v>
      </c>
      <c r="C2" s="131" t="s">
        <v>112</v>
      </c>
      <c r="D2" s="132" t="s">
        <v>401</v>
      </c>
      <c r="E2" s="133" t="s">
        <v>402</v>
      </c>
      <c r="F2" s="133" t="s">
        <v>403</v>
      </c>
      <c r="G2" s="133" t="s">
        <v>404</v>
      </c>
      <c r="H2" s="133" t="s">
        <v>405</v>
      </c>
      <c r="I2" s="133" t="s">
        <v>406</v>
      </c>
      <c r="J2" s="133" t="s">
        <v>407</v>
      </c>
      <c r="K2" s="134" t="s">
        <v>408</v>
      </c>
      <c r="L2" s="135" t="s">
        <v>49</v>
      </c>
      <c r="M2" s="2"/>
      <c r="N2" s="2"/>
      <c r="O2" s="2"/>
      <c r="P2" s="2"/>
      <c r="Q2" s="2"/>
      <c r="R2" s="2"/>
      <c r="S2" s="2"/>
      <c r="T2" s="2"/>
      <c r="U2" s="2"/>
      <c r="V2" s="2"/>
    </row>
    <row r="3" spans="1:22" x14ac:dyDescent="0.25">
      <c r="A3" s="303" t="str">
        <f>Zones!C3</f>
        <v>Lounge, Breakroom, or Waiting Area</v>
      </c>
      <c r="B3" s="303" t="str">
        <f>Zones!B3</f>
        <v>Admin/MPR_Breakroom_Zn</v>
      </c>
      <c r="C3" s="125">
        <f>Zones!K3</f>
        <v>18.981600000000004</v>
      </c>
      <c r="D3" s="125">
        <f>Zones!H3</f>
        <v>575.20000000000005</v>
      </c>
      <c r="E3" s="581">
        <v>15</v>
      </c>
      <c r="F3" s="581">
        <v>0.15</v>
      </c>
      <c r="G3" s="116"/>
      <c r="H3" s="245">
        <f t="shared" ref="H3" si="0">C3*E3</f>
        <v>284.72400000000005</v>
      </c>
      <c r="I3" s="75">
        <f t="shared" ref="I3" si="1">D3*F3</f>
        <v>86.28</v>
      </c>
      <c r="J3" s="75">
        <f t="shared" ref="J3" si="2">G3*D3</f>
        <v>0</v>
      </c>
      <c r="K3" s="74">
        <f>MAX(H3,I3,J3)</f>
        <v>284.72400000000005</v>
      </c>
      <c r="L3" s="74"/>
      <c r="M3" s="2"/>
      <c r="N3" s="2"/>
      <c r="O3" s="2"/>
      <c r="P3" s="2"/>
      <c r="Q3" s="2"/>
      <c r="R3" s="2"/>
      <c r="S3" s="2"/>
      <c r="T3" s="2"/>
      <c r="U3" s="2"/>
      <c r="V3" s="91"/>
    </row>
    <row r="4" spans="1:22" x14ac:dyDescent="0.25">
      <c r="A4" s="303" t="str">
        <f>Zones!C4</f>
        <v>Convention, Conference, Multipurpose and Meeting Area</v>
      </c>
      <c r="B4" s="303" t="str">
        <f>Zones!B4</f>
        <v>Admin/MPR_Conference Room Zns 3_Zn</v>
      </c>
      <c r="C4" s="125">
        <f>Zones!K4</f>
        <v>55.266419999999997</v>
      </c>
      <c r="D4" s="125">
        <f>Zones!H4</f>
        <v>1674.74</v>
      </c>
      <c r="E4" s="581">
        <v>15</v>
      </c>
      <c r="F4" s="581">
        <v>0.15</v>
      </c>
      <c r="G4" s="116"/>
      <c r="H4" s="245">
        <f t="shared" ref="H4:H40" si="3">C4*E4</f>
        <v>828.99629999999991</v>
      </c>
      <c r="I4" s="75">
        <f t="shared" ref="I4:I40" si="4">D4*F4</f>
        <v>251.21099999999998</v>
      </c>
      <c r="J4" s="75">
        <f t="shared" ref="J4:J40" si="5">G4*D4</f>
        <v>0</v>
      </c>
      <c r="K4" s="74">
        <f t="shared" ref="K4:K40" si="6">MAX(H4,I4,J4)</f>
        <v>828.99629999999991</v>
      </c>
      <c r="L4" s="74"/>
      <c r="M4" s="2"/>
      <c r="N4" s="2"/>
      <c r="O4" s="2"/>
      <c r="P4" s="2"/>
      <c r="Q4" s="2"/>
      <c r="R4" s="2"/>
      <c r="S4" s="2"/>
      <c r="T4" s="2"/>
      <c r="U4" s="2"/>
      <c r="V4" s="91"/>
    </row>
    <row r="5" spans="1:22" x14ac:dyDescent="0.25">
      <c r="A5" s="303" t="str">
        <f>Zones!C5</f>
        <v>Corridor Area</v>
      </c>
      <c r="B5" s="303" t="str">
        <f>Zones!B5</f>
        <v>Admin/MPR_Corridor_Zn</v>
      </c>
      <c r="C5" s="125">
        <f>Zones!K5</f>
        <v>5.8076000000000008</v>
      </c>
      <c r="D5" s="125">
        <f>Zones!H5</f>
        <v>1161.52</v>
      </c>
      <c r="E5" s="583">
        <v>15</v>
      </c>
      <c r="F5" s="581">
        <v>0.15</v>
      </c>
      <c r="G5" s="116"/>
      <c r="H5" s="245">
        <f t="shared" si="3"/>
        <v>87.114000000000004</v>
      </c>
      <c r="I5" s="75">
        <f t="shared" si="4"/>
        <v>174.22799999999998</v>
      </c>
      <c r="J5" s="75">
        <f t="shared" si="5"/>
        <v>0</v>
      </c>
      <c r="K5" s="74">
        <f t="shared" si="6"/>
        <v>174.22799999999998</v>
      </c>
      <c r="L5" s="74"/>
      <c r="M5" s="2"/>
      <c r="N5" s="2"/>
      <c r="O5" s="2"/>
      <c r="P5" s="2"/>
      <c r="Q5" s="2"/>
      <c r="R5" s="2"/>
      <c r="S5" s="2"/>
      <c r="T5" s="2"/>
      <c r="U5" s="2"/>
      <c r="V5" s="91"/>
    </row>
    <row r="6" spans="1:22" x14ac:dyDescent="0.25">
      <c r="A6" s="303" t="str">
        <f>Zones!C6</f>
        <v>Electrical, Mechanical, Telephone Rooms</v>
      </c>
      <c r="B6" s="303" t="str">
        <f>Zones!B6</f>
        <v>Admin/MPR_EMT_Zn</v>
      </c>
      <c r="C6" s="125">
        <f>Zones!K6</f>
        <v>1.3910499999999999</v>
      </c>
      <c r="D6" s="125">
        <f>Zones!H6</f>
        <v>278.20999999999998</v>
      </c>
      <c r="E6" s="583">
        <v>15</v>
      </c>
      <c r="F6" s="581">
        <v>0.15</v>
      </c>
      <c r="G6" s="116"/>
      <c r="H6" s="245">
        <f t="shared" si="3"/>
        <v>20.865749999999998</v>
      </c>
      <c r="I6" s="75">
        <f t="shared" si="4"/>
        <v>41.731499999999997</v>
      </c>
      <c r="J6" s="75">
        <f t="shared" si="5"/>
        <v>0</v>
      </c>
      <c r="K6" s="74">
        <f t="shared" si="6"/>
        <v>41.731499999999997</v>
      </c>
      <c r="L6" s="74"/>
      <c r="M6" s="2"/>
      <c r="N6" s="2"/>
      <c r="O6" s="2"/>
      <c r="P6" s="2"/>
      <c r="Q6" s="2"/>
      <c r="R6" s="2"/>
      <c r="S6" s="2"/>
      <c r="T6" s="2"/>
      <c r="U6" s="2"/>
      <c r="V6" s="91"/>
    </row>
    <row r="7" spans="1:22" x14ac:dyDescent="0.25">
      <c r="A7" s="303" t="str">
        <f>Zones!C7</f>
        <v>Electrical, Mechanical, Telephone Rooms</v>
      </c>
      <c r="B7" s="303" t="str">
        <f>Zones!B7</f>
        <v>Admin/MPR_IDF Room_Zn</v>
      </c>
      <c r="C7" s="125">
        <f>Zones!K7</f>
        <v>1.7011500000000002</v>
      </c>
      <c r="D7" s="125">
        <f>Zones!H7</f>
        <v>340.23</v>
      </c>
      <c r="E7" s="583">
        <v>15</v>
      </c>
      <c r="F7" s="581">
        <v>0.15</v>
      </c>
      <c r="G7" s="116"/>
      <c r="H7" s="245">
        <f t="shared" si="3"/>
        <v>25.517250000000004</v>
      </c>
      <c r="I7" s="75">
        <f t="shared" si="4"/>
        <v>51.034500000000001</v>
      </c>
      <c r="J7" s="75">
        <f t="shared" si="5"/>
        <v>0</v>
      </c>
      <c r="K7" s="74">
        <f t="shared" si="6"/>
        <v>51.034500000000001</v>
      </c>
      <c r="L7" s="74"/>
      <c r="M7" s="2"/>
      <c r="N7" s="2"/>
      <c r="O7" s="2"/>
      <c r="P7" s="2"/>
      <c r="Q7" s="2"/>
      <c r="R7" s="2"/>
      <c r="S7" s="2"/>
      <c r="T7" s="2"/>
      <c r="U7" s="2"/>
      <c r="V7" s="91"/>
    </row>
    <row r="8" spans="1:22" x14ac:dyDescent="0.25">
      <c r="A8" s="303" t="str">
        <f>Zones!C8</f>
        <v>Kitchen/Food Preparation Area</v>
      </c>
      <c r="B8" s="303" t="str">
        <f>Zones!B8</f>
        <v>Admin/MPR_Kitchen_Zn</v>
      </c>
      <c r="C8" s="125">
        <f>Zones!K8</f>
        <v>4.3717499999999996</v>
      </c>
      <c r="D8" s="125">
        <f>Zones!H8</f>
        <v>1457.25</v>
      </c>
      <c r="E8" s="583">
        <v>15</v>
      </c>
      <c r="F8" s="581">
        <v>0.15</v>
      </c>
      <c r="G8" s="246">
        <v>0.7</v>
      </c>
      <c r="H8" s="245">
        <f t="shared" si="3"/>
        <v>65.576249999999987</v>
      </c>
      <c r="I8" s="75">
        <f t="shared" si="4"/>
        <v>218.58750000000001</v>
      </c>
      <c r="J8" s="75">
        <f t="shared" si="5"/>
        <v>1020.0749999999999</v>
      </c>
      <c r="K8" s="74">
        <f t="shared" si="6"/>
        <v>1020.0749999999999</v>
      </c>
      <c r="L8" s="74"/>
      <c r="M8" s="2"/>
      <c r="N8" s="2"/>
      <c r="O8" s="2"/>
      <c r="P8" s="2"/>
      <c r="Q8" s="2"/>
      <c r="R8" s="2"/>
      <c r="S8" s="2"/>
      <c r="T8" s="2"/>
      <c r="U8" s="2"/>
      <c r="V8" s="91"/>
    </row>
    <row r="9" spans="1:22" x14ac:dyDescent="0.25">
      <c r="A9" s="303" t="str">
        <f>Zones!C9</f>
        <v>Lobby, Main Entry</v>
      </c>
      <c r="B9" s="303" t="str">
        <f>Zones!B9</f>
        <v>Admin/MPR_Lobby_Zn</v>
      </c>
      <c r="C9" s="125">
        <f>Zones!K9</f>
        <v>40.968510000000002</v>
      </c>
      <c r="D9" s="125">
        <f>Zones!H9</f>
        <v>1241.47</v>
      </c>
      <c r="E9" s="581">
        <v>15</v>
      </c>
      <c r="F9" s="581">
        <v>0.15</v>
      </c>
      <c r="G9" s="116"/>
      <c r="H9" s="245">
        <f t="shared" si="3"/>
        <v>614.52764999999999</v>
      </c>
      <c r="I9" s="75">
        <f t="shared" si="4"/>
        <v>186.22049999999999</v>
      </c>
      <c r="J9" s="75">
        <f t="shared" si="5"/>
        <v>0</v>
      </c>
      <c r="K9" s="74">
        <f t="shared" si="6"/>
        <v>614.52764999999999</v>
      </c>
      <c r="L9" s="74"/>
      <c r="M9" s="2"/>
      <c r="N9" s="2"/>
      <c r="O9" s="2"/>
      <c r="P9" s="2"/>
      <c r="Q9" s="2"/>
      <c r="R9" s="2"/>
      <c r="S9" s="2"/>
      <c r="T9" s="2"/>
      <c r="U9" s="2"/>
      <c r="V9" s="91"/>
    </row>
    <row r="10" spans="1:22" x14ac:dyDescent="0.25">
      <c r="A10" s="303" t="str">
        <f>Zones!C10</f>
        <v>Convention, Conference, Multipurpose and Meeting Area</v>
      </c>
      <c r="B10" s="303" t="str">
        <f>Zones!B10</f>
        <v>Admin/MPR_Multipurpose Room Zns 3_Zn</v>
      </c>
      <c r="C10" s="125">
        <f>Zones!K10</f>
        <v>181.90226999999999</v>
      </c>
      <c r="D10" s="125">
        <f>Zones!H10</f>
        <v>5512.19</v>
      </c>
      <c r="E10" s="581">
        <v>15</v>
      </c>
      <c r="F10" s="581">
        <v>0.15</v>
      </c>
      <c r="G10" s="116"/>
      <c r="H10" s="245">
        <f t="shared" si="3"/>
        <v>2728.5340499999998</v>
      </c>
      <c r="I10" s="75">
        <f t="shared" si="4"/>
        <v>826.82849999999996</v>
      </c>
      <c r="J10" s="75">
        <f t="shared" si="5"/>
        <v>0</v>
      </c>
      <c r="K10" s="74">
        <f t="shared" si="6"/>
        <v>2728.5340499999998</v>
      </c>
      <c r="L10" s="74"/>
      <c r="M10" s="2"/>
      <c r="N10" s="2"/>
      <c r="O10" s="2"/>
      <c r="P10" s="2"/>
      <c r="Q10" s="2"/>
      <c r="R10" s="2"/>
      <c r="S10" s="2"/>
      <c r="T10" s="2"/>
      <c r="U10" s="2"/>
      <c r="V10" s="91"/>
    </row>
    <row r="11" spans="1:22" x14ac:dyDescent="0.25">
      <c r="A11" s="303" t="str">
        <f>Zones!C11</f>
        <v>Office Area (&lt;250 square feet)</v>
      </c>
      <c r="B11" s="303" t="str">
        <f>Zones!B11</f>
        <v>Admin/MPR_Office - LT 250 sf Zns 6_Zn</v>
      </c>
      <c r="C11" s="125">
        <f>Zones!K11</f>
        <v>5.2417499999999997</v>
      </c>
      <c r="D11" s="125">
        <f>Zones!H11</f>
        <v>1048.3499999999999</v>
      </c>
      <c r="E11" s="583">
        <v>15</v>
      </c>
      <c r="F11" s="581">
        <v>0.15</v>
      </c>
      <c r="G11" s="116"/>
      <c r="H11" s="245">
        <f t="shared" si="3"/>
        <v>78.626249999999999</v>
      </c>
      <c r="I11" s="75">
        <f t="shared" si="4"/>
        <v>157.25249999999997</v>
      </c>
      <c r="J11" s="75">
        <f t="shared" si="5"/>
        <v>0</v>
      </c>
      <c r="K11" s="74">
        <f t="shared" si="6"/>
        <v>157.25249999999997</v>
      </c>
      <c r="L11" s="74"/>
      <c r="M11" s="2"/>
      <c r="N11" s="2"/>
      <c r="O11" s="2"/>
      <c r="P11" s="2"/>
      <c r="Q11" s="2"/>
      <c r="R11" s="2"/>
      <c r="S11" s="2"/>
      <c r="T11" s="2"/>
      <c r="U11" s="2"/>
      <c r="V11" s="91"/>
    </row>
    <row r="12" spans="1:22" x14ac:dyDescent="0.25">
      <c r="A12" s="303" t="str">
        <f>Zones!C12</f>
        <v>Restrooms</v>
      </c>
      <c r="B12" s="303" t="str">
        <f>Zones!B12</f>
        <v>Admin/MPR_Restroom Zns 3_Zn</v>
      </c>
      <c r="C12" s="125">
        <f>Zones!K12</f>
        <v>4.5058499999999997</v>
      </c>
      <c r="D12" s="125">
        <f>Zones!H12</f>
        <v>901.17</v>
      </c>
      <c r="E12" s="583">
        <v>0</v>
      </c>
      <c r="F12" s="583">
        <v>0</v>
      </c>
      <c r="G12" s="246">
        <v>0.5</v>
      </c>
      <c r="H12" s="245">
        <f t="shared" si="3"/>
        <v>0</v>
      </c>
      <c r="I12" s="75">
        <f t="shared" si="4"/>
        <v>0</v>
      </c>
      <c r="J12" s="75">
        <f t="shared" si="5"/>
        <v>450.58499999999998</v>
      </c>
      <c r="K12" s="74">
        <f t="shared" si="6"/>
        <v>450.58499999999998</v>
      </c>
      <c r="L12" s="74"/>
      <c r="M12" s="2"/>
      <c r="N12" s="2"/>
      <c r="O12" s="2"/>
      <c r="P12" s="2"/>
      <c r="Q12" s="2"/>
      <c r="R12" s="2"/>
      <c r="S12" s="2"/>
      <c r="T12" s="2"/>
      <c r="U12" s="2"/>
      <c r="V12" s="91"/>
    </row>
    <row r="13" spans="1:22" x14ac:dyDescent="0.25">
      <c r="A13" s="303" t="str">
        <f>Zones!C13</f>
        <v>Storage (General)</v>
      </c>
      <c r="B13" s="303" t="str">
        <f>Zones!B13</f>
        <v>Admin/MPR_Storage - General_Zn</v>
      </c>
      <c r="C13" s="125">
        <f>Zones!K13</f>
        <v>6.2386499999999998</v>
      </c>
      <c r="D13" s="125">
        <f>Zones!H13</f>
        <v>1247.73</v>
      </c>
      <c r="E13" s="583">
        <v>15</v>
      </c>
      <c r="F13" s="581">
        <v>0.15</v>
      </c>
      <c r="G13" s="116"/>
      <c r="H13" s="245">
        <f t="shared" si="3"/>
        <v>93.57974999999999</v>
      </c>
      <c r="I13" s="75">
        <f t="shared" si="4"/>
        <v>187.15950000000001</v>
      </c>
      <c r="J13" s="75">
        <f t="shared" si="5"/>
        <v>0</v>
      </c>
      <c r="K13" s="74">
        <f t="shared" si="6"/>
        <v>187.15950000000001</v>
      </c>
      <c r="L13" s="74"/>
      <c r="M13" s="2"/>
      <c r="N13" s="2"/>
      <c r="O13" s="2"/>
      <c r="P13" s="2"/>
      <c r="Q13" s="2"/>
      <c r="R13" s="2"/>
      <c r="S13" s="2"/>
      <c r="T13" s="2"/>
      <c r="U13" s="2"/>
      <c r="V13" s="91"/>
    </row>
    <row r="14" spans="1:22" x14ac:dyDescent="0.25">
      <c r="A14" s="303" t="str">
        <f>Zones!C14</f>
        <v>Storage, Commercial/Industrial (Refrigerated)</v>
      </c>
      <c r="B14" s="303" t="str">
        <f>Zones!B14</f>
        <v>Admin/MPR_Storage - Refrigerated_Zn</v>
      </c>
      <c r="C14" s="125">
        <f>Zones!K14</f>
        <v>0</v>
      </c>
      <c r="D14" s="125">
        <f>Zones!H14</f>
        <v>251.72</v>
      </c>
      <c r="E14" s="583">
        <v>0</v>
      </c>
      <c r="F14" s="583">
        <v>0</v>
      </c>
      <c r="G14" s="116"/>
      <c r="H14" s="245">
        <f t="shared" si="3"/>
        <v>0</v>
      </c>
      <c r="I14" s="75">
        <f t="shared" si="4"/>
        <v>0</v>
      </c>
      <c r="J14" s="75">
        <f t="shared" si="5"/>
        <v>0</v>
      </c>
      <c r="K14" s="74">
        <f t="shared" si="6"/>
        <v>0</v>
      </c>
      <c r="L14" s="74"/>
      <c r="M14" s="2"/>
      <c r="N14" s="2"/>
      <c r="O14" s="2"/>
      <c r="P14" s="2"/>
      <c r="Q14" s="2"/>
      <c r="R14" s="2"/>
      <c r="S14" s="2"/>
      <c r="T14" s="2"/>
      <c r="U14" s="2"/>
      <c r="V14" s="91"/>
    </row>
    <row r="15" spans="1:22" x14ac:dyDescent="0.25">
      <c r="A15" s="303" t="str">
        <f>Zones!C15</f>
        <v>Theater Area (Performance)</v>
      </c>
      <c r="B15" s="303" t="str">
        <f>Zones!B15</f>
        <v>Admin/MPR_Theater - Performance_Zn</v>
      </c>
      <c r="C15" s="125">
        <f>Zones!K15</f>
        <v>35.163479999999993</v>
      </c>
      <c r="D15" s="125">
        <f>Zones!H15</f>
        <v>1065.56</v>
      </c>
      <c r="E15" s="581">
        <v>15</v>
      </c>
      <c r="F15" s="581">
        <v>0.15</v>
      </c>
      <c r="G15" s="116"/>
      <c r="H15" s="245">
        <f t="shared" si="3"/>
        <v>527.45219999999995</v>
      </c>
      <c r="I15" s="75">
        <f t="shared" si="4"/>
        <v>159.83399999999997</v>
      </c>
      <c r="J15" s="75">
        <f t="shared" si="5"/>
        <v>0</v>
      </c>
      <c r="K15" s="74">
        <f t="shared" si="6"/>
        <v>527.45219999999995</v>
      </c>
      <c r="L15" s="74"/>
      <c r="M15" s="2"/>
      <c r="N15" s="2"/>
      <c r="O15" s="2"/>
      <c r="P15" s="2"/>
      <c r="Q15" s="2"/>
      <c r="R15" s="2"/>
      <c r="S15" s="2"/>
      <c r="T15" s="2"/>
      <c r="U15" s="2"/>
      <c r="V15" s="91"/>
    </row>
    <row r="16" spans="1:22" x14ac:dyDescent="0.25">
      <c r="A16" s="303" t="str">
        <f>Zones!C16</f>
        <v>Classroom, Lecture, Training, Vocational Areas</v>
      </c>
      <c r="B16" s="303" t="str">
        <f>Zones!B16</f>
        <v>Classrm N_Flr 1_Classroom-01_Zn</v>
      </c>
      <c r="C16" s="125">
        <f>Zones!K16</f>
        <v>25.043749999999999</v>
      </c>
      <c r="D16" s="125">
        <f>Zones!H16</f>
        <v>1001.75</v>
      </c>
      <c r="E16" s="581">
        <v>15</v>
      </c>
      <c r="F16" s="581">
        <v>0.15</v>
      </c>
      <c r="G16" s="116"/>
      <c r="H16" s="245">
        <f t="shared" si="3"/>
        <v>375.65625</v>
      </c>
      <c r="I16" s="75">
        <f t="shared" si="4"/>
        <v>150.26249999999999</v>
      </c>
      <c r="J16" s="75">
        <f t="shared" si="5"/>
        <v>0</v>
      </c>
      <c r="K16" s="74">
        <f t="shared" si="6"/>
        <v>375.65625</v>
      </c>
      <c r="L16" s="74"/>
      <c r="M16" s="2"/>
      <c r="N16" s="2"/>
      <c r="O16" s="2"/>
      <c r="P16" s="2"/>
      <c r="Q16" s="2"/>
      <c r="R16" s="2"/>
      <c r="S16" s="2"/>
      <c r="T16" s="2"/>
      <c r="U16" s="2"/>
      <c r="V16" s="91"/>
    </row>
    <row r="17" spans="1:22" x14ac:dyDescent="0.25">
      <c r="A17" s="303" t="str">
        <f>Zones!C17</f>
        <v>Classroom, Lecture, Training, Vocational Areas</v>
      </c>
      <c r="B17" s="303" t="str">
        <f>Zones!B17</f>
        <v>Classrm N_Flr 1_Classroom-02 Zns 6_Zn</v>
      </c>
      <c r="C17" s="125">
        <f>Zones!K17</f>
        <v>151.35075000000001</v>
      </c>
      <c r="D17" s="125">
        <f>Zones!H17</f>
        <v>6054.03</v>
      </c>
      <c r="E17" s="581">
        <v>15</v>
      </c>
      <c r="F17" s="581">
        <v>0.15</v>
      </c>
      <c r="G17" s="116"/>
      <c r="H17" s="245">
        <f t="shared" si="3"/>
        <v>2270.26125</v>
      </c>
      <c r="I17" s="75">
        <f t="shared" si="4"/>
        <v>908.10449999999992</v>
      </c>
      <c r="J17" s="75">
        <f t="shared" si="5"/>
        <v>0</v>
      </c>
      <c r="K17" s="74">
        <f t="shared" si="6"/>
        <v>2270.26125</v>
      </c>
      <c r="L17" s="74"/>
      <c r="M17" s="2"/>
      <c r="N17" s="2"/>
      <c r="O17" s="2"/>
      <c r="P17" s="2"/>
      <c r="Q17" s="2"/>
      <c r="R17" s="2"/>
      <c r="S17" s="2"/>
      <c r="T17" s="2"/>
      <c r="U17" s="2"/>
      <c r="V17" s="91"/>
    </row>
    <row r="18" spans="1:22" x14ac:dyDescent="0.25">
      <c r="A18" s="303" t="str">
        <f>Zones!C18</f>
        <v>Office Area (&lt;250 square feet)</v>
      </c>
      <c r="B18" s="303" t="str">
        <f>Zones!B18</f>
        <v>Classrm N_Flr 1_Office - LT 250 sf_Zn</v>
      </c>
      <c r="C18" s="125">
        <f>Zones!K18</f>
        <v>1.44065</v>
      </c>
      <c r="D18" s="125">
        <f>Zones!H18</f>
        <v>288.13</v>
      </c>
      <c r="E18" s="583">
        <v>15</v>
      </c>
      <c r="F18" s="581">
        <v>0.15</v>
      </c>
      <c r="G18" s="116"/>
      <c r="H18" s="245">
        <f t="shared" si="3"/>
        <v>21.609749999999998</v>
      </c>
      <c r="I18" s="75">
        <f t="shared" si="4"/>
        <v>43.219499999999996</v>
      </c>
      <c r="J18" s="75">
        <f t="shared" si="5"/>
        <v>0</v>
      </c>
      <c r="K18" s="74">
        <f t="shared" si="6"/>
        <v>43.219499999999996</v>
      </c>
      <c r="L18" s="74"/>
      <c r="M18" s="2"/>
      <c r="N18" s="2"/>
      <c r="O18" s="2"/>
      <c r="P18" s="2"/>
      <c r="Q18" s="2"/>
      <c r="R18" s="2"/>
      <c r="S18" s="2"/>
      <c r="T18" s="2"/>
      <c r="U18" s="2"/>
      <c r="V18" s="91"/>
    </row>
    <row r="19" spans="1:22" x14ac:dyDescent="0.25">
      <c r="A19" s="303" t="str">
        <f>Zones!C19</f>
        <v>Restrooms</v>
      </c>
      <c r="B19" s="303" t="str">
        <f>Zones!B19</f>
        <v>Classrm N_Flr 1_Restroom_Zn</v>
      </c>
      <c r="C19" s="125">
        <f>Zones!K19</f>
        <v>2.6635</v>
      </c>
      <c r="D19" s="125">
        <f>Zones!H19</f>
        <v>532.70000000000005</v>
      </c>
      <c r="E19" s="583">
        <v>0</v>
      </c>
      <c r="F19" s="583">
        <v>0</v>
      </c>
      <c r="G19" s="246">
        <v>0.5</v>
      </c>
      <c r="H19" s="245">
        <f t="shared" si="3"/>
        <v>0</v>
      </c>
      <c r="I19" s="75">
        <f t="shared" si="4"/>
        <v>0</v>
      </c>
      <c r="J19" s="75">
        <f t="shared" si="5"/>
        <v>266.35000000000002</v>
      </c>
      <c r="K19" s="74">
        <f t="shared" si="6"/>
        <v>266.35000000000002</v>
      </c>
      <c r="L19" s="74"/>
      <c r="M19" s="2"/>
      <c r="N19" s="2"/>
      <c r="O19" s="2"/>
      <c r="P19" s="2"/>
      <c r="Q19" s="2"/>
      <c r="R19" s="2"/>
      <c r="S19" s="2"/>
      <c r="T19" s="2"/>
      <c r="U19" s="2"/>
      <c r="V19" s="91"/>
    </row>
    <row r="20" spans="1:22" x14ac:dyDescent="0.25">
      <c r="A20" s="303" t="str">
        <f>Zones!C20</f>
        <v>Classroom, Lecture, Training, Vocational Areas</v>
      </c>
      <c r="B20" s="303" t="str">
        <f>Zones!B20</f>
        <v>Classrm N_Flr 2_Classroom-01 Zns 6_Zn</v>
      </c>
      <c r="C20" s="125">
        <f>Zones!K20</f>
        <v>151.35075000000001</v>
      </c>
      <c r="D20" s="125">
        <f>Zones!H20</f>
        <v>6054.03</v>
      </c>
      <c r="E20" s="581">
        <v>15</v>
      </c>
      <c r="F20" s="581">
        <v>0.15</v>
      </c>
      <c r="G20" s="116"/>
      <c r="H20" s="245">
        <f t="shared" si="3"/>
        <v>2270.26125</v>
      </c>
      <c r="I20" s="75">
        <f t="shared" si="4"/>
        <v>908.10449999999992</v>
      </c>
      <c r="J20" s="75">
        <f t="shared" si="5"/>
        <v>0</v>
      </c>
      <c r="K20" s="74">
        <f t="shared" si="6"/>
        <v>2270.26125</v>
      </c>
      <c r="L20" s="74"/>
      <c r="M20" s="2"/>
      <c r="N20" s="2"/>
      <c r="O20" s="2"/>
      <c r="P20" s="2"/>
      <c r="Q20" s="2"/>
      <c r="R20" s="2"/>
      <c r="S20" s="2"/>
      <c r="T20" s="2"/>
      <c r="U20" s="2"/>
      <c r="V20" s="91"/>
    </row>
    <row r="21" spans="1:22" x14ac:dyDescent="0.25">
      <c r="A21" s="303" t="str">
        <f>Zones!C21</f>
        <v>Classroom, Lecture, Training, Vocational Areas</v>
      </c>
      <c r="B21" s="303" t="str">
        <f>Zones!B21</f>
        <v>Classrm N_Flr 2_Classroom-02_Zn</v>
      </c>
      <c r="C21" s="125">
        <f>Zones!K21</f>
        <v>25.043749999999999</v>
      </c>
      <c r="D21" s="125">
        <f>Zones!H21</f>
        <v>1001.75</v>
      </c>
      <c r="E21" s="581">
        <v>15</v>
      </c>
      <c r="F21" s="581">
        <v>0.15</v>
      </c>
      <c r="G21" s="116"/>
      <c r="H21" s="245">
        <f t="shared" si="3"/>
        <v>375.65625</v>
      </c>
      <c r="I21" s="75">
        <f t="shared" si="4"/>
        <v>150.26249999999999</v>
      </c>
      <c r="J21" s="75">
        <f t="shared" si="5"/>
        <v>0</v>
      </c>
      <c r="K21" s="74">
        <f t="shared" si="6"/>
        <v>375.65625</v>
      </c>
      <c r="L21" s="74"/>
      <c r="M21" s="2"/>
      <c r="N21" s="2"/>
      <c r="O21" s="2"/>
      <c r="P21" s="2"/>
      <c r="Q21" s="2"/>
      <c r="R21" s="2"/>
      <c r="S21" s="2"/>
      <c r="T21" s="2"/>
      <c r="U21" s="2"/>
      <c r="V21" s="91"/>
    </row>
    <row r="22" spans="1:22" x14ac:dyDescent="0.25">
      <c r="A22" s="303" t="str">
        <f>Zones!C22</f>
        <v>Office Area (&lt;250 square feet)</v>
      </c>
      <c r="B22" s="303" t="str">
        <f>Zones!B22</f>
        <v>Classrm N_Flr 2_Office - LT 250 sf_Zn</v>
      </c>
      <c r="C22" s="125">
        <f>Zones!K22</f>
        <v>1.44065</v>
      </c>
      <c r="D22" s="125">
        <f>Zones!H22</f>
        <v>288.13</v>
      </c>
      <c r="E22" s="583">
        <v>15</v>
      </c>
      <c r="F22" s="581">
        <v>0.15</v>
      </c>
      <c r="G22" s="116"/>
      <c r="H22" s="245">
        <f t="shared" si="3"/>
        <v>21.609749999999998</v>
      </c>
      <c r="I22" s="75">
        <f t="shared" si="4"/>
        <v>43.219499999999996</v>
      </c>
      <c r="J22" s="75">
        <f t="shared" si="5"/>
        <v>0</v>
      </c>
      <c r="K22" s="74">
        <f t="shared" si="6"/>
        <v>43.219499999999996</v>
      </c>
      <c r="L22" s="74"/>
      <c r="M22" s="2"/>
      <c r="N22" s="2"/>
      <c r="O22" s="2"/>
      <c r="P22" s="2"/>
      <c r="Q22" s="2"/>
      <c r="R22" s="2"/>
      <c r="S22" s="2"/>
      <c r="T22" s="2"/>
      <c r="U22" s="2"/>
      <c r="V22" s="91"/>
    </row>
    <row r="23" spans="1:22" x14ac:dyDescent="0.25">
      <c r="A23" s="303" t="str">
        <f>Zones!C23</f>
        <v>Restrooms</v>
      </c>
      <c r="B23" s="303" t="str">
        <f>Zones!B23</f>
        <v>Classrm N_Flr 2_Restroom_Zn</v>
      </c>
      <c r="C23" s="125">
        <f>Zones!K23</f>
        <v>2.6635</v>
      </c>
      <c r="D23" s="125">
        <f>Zones!H23</f>
        <v>532.70000000000005</v>
      </c>
      <c r="E23" s="583">
        <v>0</v>
      </c>
      <c r="F23" s="583">
        <v>0</v>
      </c>
      <c r="G23" s="246">
        <v>0.5</v>
      </c>
      <c r="H23" s="245">
        <f t="shared" si="3"/>
        <v>0</v>
      </c>
      <c r="I23" s="75">
        <f t="shared" si="4"/>
        <v>0</v>
      </c>
      <c r="J23" s="75">
        <f t="shared" si="5"/>
        <v>266.35000000000002</v>
      </c>
      <c r="K23" s="74">
        <f t="shared" si="6"/>
        <v>266.35000000000002</v>
      </c>
      <c r="L23" s="74"/>
      <c r="M23" s="2"/>
      <c r="N23" s="2"/>
      <c r="O23" s="2"/>
      <c r="P23" s="2"/>
      <c r="Q23" s="2"/>
      <c r="R23" s="2"/>
      <c r="S23" s="2"/>
      <c r="T23" s="2"/>
      <c r="U23" s="2"/>
      <c r="V23" s="91"/>
    </row>
    <row r="24" spans="1:22" x14ac:dyDescent="0.25">
      <c r="A24" s="303" t="str">
        <f>Zones!C24</f>
        <v>Classroom, Lecture, Training, Vocational Areas</v>
      </c>
      <c r="B24" s="303" t="str">
        <f>Zones!B24</f>
        <v>Classrm W_Flr 1_Classroom Zns 2_Zn</v>
      </c>
      <c r="C24" s="125">
        <f>Zones!K24</f>
        <v>51.3735</v>
      </c>
      <c r="D24" s="125">
        <f>Zones!H24</f>
        <v>2054.94</v>
      </c>
      <c r="E24" s="581">
        <v>15</v>
      </c>
      <c r="F24" s="581">
        <v>0.15</v>
      </c>
      <c r="G24" s="116"/>
      <c r="H24" s="245">
        <f t="shared" si="3"/>
        <v>770.60249999999996</v>
      </c>
      <c r="I24" s="75">
        <f t="shared" si="4"/>
        <v>308.24099999999999</v>
      </c>
      <c r="J24" s="75">
        <f t="shared" si="5"/>
        <v>0</v>
      </c>
      <c r="K24" s="74">
        <f t="shared" si="6"/>
        <v>770.60249999999996</v>
      </c>
      <c r="L24" s="74"/>
      <c r="M24" s="2"/>
      <c r="N24" s="2"/>
      <c r="O24" s="2"/>
      <c r="P24" s="2"/>
      <c r="Q24" s="2"/>
      <c r="R24" s="2"/>
      <c r="S24" s="2"/>
      <c r="T24" s="2"/>
      <c r="U24" s="2"/>
      <c r="V24" s="91"/>
    </row>
    <row r="25" spans="1:22" x14ac:dyDescent="0.25">
      <c r="A25" s="303" t="str">
        <f>Zones!C25</f>
        <v>Electrical, Mechanical, Telephone Rooms</v>
      </c>
      <c r="B25" s="303" t="str">
        <f>Zones!B25</f>
        <v>Classrm W_Flr 1_EMT-01_Zn</v>
      </c>
      <c r="C25" s="125">
        <f>Zones!K25</f>
        <v>0.60505000000000009</v>
      </c>
      <c r="D25" s="125">
        <f>Zones!H25</f>
        <v>121.01</v>
      </c>
      <c r="E25" s="581">
        <v>15</v>
      </c>
      <c r="F25" s="581">
        <v>0.15</v>
      </c>
      <c r="G25" s="116"/>
      <c r="H25" s="245">
        <f t="shared" si="3"/>
        <v>9.0757500000000011</v>
      </c>
      <c r="I25" s="75">
        <f t="shared" si="4"/>
        <v>18.151499999999999</v>
      </c>
      <c r="J25" s="75">
        <f t="shared" si="5"/>
        <v>0</v>
      </c>
      <c r="K25" s="74">
        <f t="shared" si="6"/>
        <v>18.151499999999999</v>
      </c>
      <c r="L25" s="74"/>
      <c r="M25" s="2"/>
      <c r="N25" s="2"/>
      <c r="O25" s="2"/>
      <c r="P25" s="2"/>
      <c r="Q25" s="2"/>
      <c r="R25" s="2"/>
      <c r="S25" s="2"/>
      <c r="T25" s="2"/>
      <c r="U25" s="2"/>
      <c r="V25" s="91"/>
    </row>
    <row r="26" spans="1:22" x14ac:dyDescent="0.25">
      <c r="A26" s="303" t="str">
        <f>Zones!C26</f>
        <v>Electrical, Mechanical, Telephone Rooms</v>
      </c>
      <c r="B26" s="303" t="str">
        <f>Zones!B26</f>
        <v>Classrm W_Flr 1_EMT-02_Zn</v>
      </c>
      <c r="C26" s="125">
        <f>Zones!K26</f>
        <v>0.49004999999999999</v>
      </c>
      <c r="D26" s="125">
        <f>Zones!H26</f>
        <v>98.01</v>
      </c>
      <c r="E26" s="581">
        <v>15</v>
      </c>
      <c r="F26" s="581">
        <v>0.15</v>
      </c>
      <c r="G26" s="116"/>
      <c r="H26" s="245">
        <f t="shared" si="3"/>
        <v>7.3507499999999997</v>
      </c>
      <c r="I26" s="75">
        <f t="shared" si="4"/>
        <v>14.701499999999999</v>
      </c>
      <c r="J26" s="75">
        <f t="shared" si="5"/>
        <v>0</v>
      </c>
      <c r="K26" s="74">
        <f t="shared" si="6"/>
        <v>14.701499999999999</v>
      </c>
      <c r="L26" s="74"/>
      <c r="M26" s="2"/>
      <c r="N26" s="2"/>
      <c r="O26" s="2"/>
      <c r="P26" s="2"/>
      <c r="Q26" s="2"/>
      <c r="R26" s="2"/>
      <c r="S26" s="2"/>
      <c r="T26" s="2"/>
      <c r="U26" s="2"/>
      <c r="V26" s="91"/>
    </row>
    <row r="27" spans="1:22" x14ac:dyDescent="0.25">
      <c r="A27" s="303" t="str">
        <f>Zones!C27</f>
        <v>Library (Reading Area)</v>
      </c>
      <c r="B27" s="303" t="str">
        <f>Zones!B27</f>
        <v>Classrm W_Flr 1_Library - Reading Area_Zn</v>
      </c>
      <c r="C27" s="125">
        <f>Zones!K27</f>
        <v>11.971300000000001</v>
      </c>
      <c r="D27" s="125">
        <f>Zones!H27</f>
        <v>1197.1300000000001</v>
      </c>
      <c r="E27" s="583">
        <v>15</v>
      </c>
      <c r="F27" s="581">
        <v>0.15</v>
      </c>
      <c r="G27" s="116"/>
      <c r="H27" s="245">
        <f t="shared" si="3"/>
        <v>179.56950000000001</v>
      </c>
      <c r="I27" s="75">
        <f t="shared" si="4"/>
        <v>179.56950000000001</v>
      </c>
      <c r="J27" s="75">
        <f t="shared" si="5"/>
        <v>0</v>
      </c>
      <c r="K27" s="74">
        <f t="shared" si="6"/>
        <v>179.56950000000001</v>
      </c>
      <c r="L27" s="74"/>
      <c r="M27" s="2"/>
      <c r="N27" s="2"/>
      <c r="O27" s="2"/>
      <c r="P27" s="2"/>
      <c r="Q27" s="2"/>
      <c r="R27" s="2"/>
      <c r="S27" s="2"/>
      <c r="T27" s="2"/>
      <c r="U27" s="2"/>
      <c r="V27" s="91"/>
    </row>
    <row r="28" spans="1:22" x14ac:dyDescent="0.25">
      <c r="A28" s="303" t="str">
        <f>Zones!C28</f>
        <v>Restrooms</v>
      </c>
      <c r="B28" s="303" t="str">
        <f>Zones!B28</f>
        <v>Classrm W_Flr 1_Restroom_Zn</v>
      </c>
      <c r="C28" s="125">
        <f>Zones!K28</f>
        <v>2.8152499999999998</v>
      </c>
      <c r="D28" s="125">
        <f>Zones!H28</f>
        <v>563.04999999999995</v>
      </c>
      <c r="E28" s="583">
        <v>0</v>
      </c>
      <c r="F28" s="583">
        <v>0</v>
      </c>
      <c r="G28" s="246">
        <v>0.5</v>
      </c>
      <c r="H28" s="245">
        <f t="shared" si="3"/>
        <v>0</v>
      </c>
      <c r="I28" s="75">
        <f t="shared" si="4"/>
        <v>0</v>
      </c>
      <c r="J28" s="75">
        <f t="shared" si="5"/>
        <v>281.52499999999998</v>
      </c>
      <c r="K28" s="74">
        <f t="shared" si="6"/>
        <v>281.52499999999998</v>
      </c>
      <c r="L28" s="74"/>
      <c r="M28" s="2"/>
      <c r="N28" s="2"/>
      <c r="O28" s="2"/>
      <c r="P28" s="2"/>
      <c r="Q28" s="2"/>
      <c r="R28" s="2"/>
      <c r="S28" s="2"/>
      <c r="T28" s="2"/>
      <c r="U28" s="2"/>
      <c r="V28" s="91"/>
    </row>
    <row r="29" spans="1:22" x14ac:dyDescent="0.25">
      <c r="A29" s="303" t="str">
        <f>Zones!C29</f>
        <v>Storage (General)</v>
      </c>
      <c r="B29" s="303" t="str">
        <f>Zones!B29</f>
        <v>Classrm W_Flr 1_Storage - General_Zn</v>
      </c>
      <c r="C29" s="125">
        <f>Zones!K29</f>
        <v>1.9041999999999999</v>
      </c>
      <c r="D29" s="125">
        <f>Zones!H29</f>
        <v>380.84</v>
      </c>
      <c r="E29" s="583">
        <v>15</v>
      </c>
      <c r="F29" s="581">
        <v>0.15</v>
      </c>
      <c r="G29" s="116"/>
      <c r="H29" s="245">
        <f t="shared" si="3"/>
        <v>28.562999999999999</v>
      </c>
      <c r="I29" s="75">
        <f t="shared" si="4"/>
        <v>57.125999999999998</v>
      </c>
      <c r="J29" s="75">
        <f t="shared" si="5"/>
        <v>0</v>
      </c>
      <c r="K29" s="74">
        <f t="shared" si="6"/>
        <v>57.125999999999998</v>
      </c>
      <c r="L29" s="74"/>
      <c r="M29" s="2"/>
      <c r="N29" s="2"/>
      <c r="O29" s="2"/>
      <c r="P29" s="2"/>
      <c r="Q29" s="2"/>
      <c r="R29" s="2"/>
      <c r="S29" s="2"/>
      <c r="T29" s="2"/>
      <c r="U29" s="2"/>
      <c r="V29" s="91"/>
    </row>
    <row r="30" spans="1:22" x14ac:dyDescent="0.25">
      <c r="A30" s="303" t="str">
        <f>Zones!C30</f>
        <v>Classroom, Lecture, Training, Vocational Areas</v>
      </c>
      <c r="B30" s="303" t="str">
        <f>Zones!B30</f>
        <v>Classrm W_Flr 2_Classroom-01 Zns 3_Zn</v>
      </c>
      <c r="C30" s="125">
        <f>Zones!K30</f>
        <v>81.301500000000004</v>
      </c>
      <c r="D30" s="125">
        <f>Zones!H30</f>
        <v>3252.06</v>
      </c>
      <c r="E30" s="581">
        <v>15</v>
      </c>
      <c r="F30" s="581">
        <v>0.15</v>
      </c>
      <c r="G30" s="116"/>
      <c r="H30" s="245">
        <f t="shared" si="3"/>
        <v>1219.5225</v>
      </c>
      <c r="I30" s="75">
        <f t="shared" si="4"/>
        <v>487.80899999999997</v>
      </c>
      <c r="J30" s="75">
        <f t="shared" si="5"/>
        <v>0</v>
      </c>
      <c r="K30" s="74">
        <f t="shared" si="6"/>
        <v>1219.5225</v>
      </c>
      <c r="L30" s="74"/>
      <c r="M30" s="2"/>
      <c r="N30" s="2"/>
      <c r="O30" s="2"/>
      <c r="P30" s="2"/>
      <c r="Q30" s="2"/>
      <c r="R30" s="2"/>
      <c r="S30" s="2"/>
      <c r="T30" s="2"/>
      <c r="U30" s="2"/>
      <c r="V30" s="91"/>
    </row>
    <row r="31" spans="1:22" x14ac:dyDescent="0.25">
      <c r="A31" s="303" t="str">
        <f>Zones!C31</f>
        <v>Classroom, Lecture, Training, Vocational Areas</v>
      </c>
      <c r="B31" s="303" t="str">
        <f>Zones!B31</f>
        <v>Classrm W_Flr 2_Classroom-02_Zn</v>
      </c>
      <c r="C31" s="125">
        <f>Zones!K31</f>
        <v>9.5210000000000008</v>
      </c>
      <c r="D31" s="125">
        <f>Zones!H31</f>
        <v>380.84</v>
      </c>
      <c r="E31" s="581">
        <v>15</v>
      </c>
      <c r="F31" s="581">
        <v>0.15</v>
      </c>
      <c r="G31" s="116"/>
      <c r="H31" s="245">
        <f t="shared" si="3"/>
        <v>142.815</v>
      </c>
      <c r="I31" s="75">
        <f t="shared" si="4"/>
        <v>57.125999999999998</v>
      </c>
      <c r="J31" s="75">
        <f t="shared" si="5"/>
        <v>0</v>
      </c>
      <c r="K31" s="74">
        <f t="shared" si="6"/>
        <v>142.815</v>
      </c>
      <c r="L31" s="74"/>
      <c r="M31" s="2"/>
      <c r="N31" s="2"/>
      <c r="O31" s="2"/>
      <c r="P31" s="2"/>
      <c r="Q31" s="2"/>
      <c r="R31" s="2"/>
      <c r="S31" s="2"/>
      <c r="T31" s="2"/>
      <c r="U31" s="2"/>
      <c r="V31" s="91"/>
    </row>
    <row r="32" spans="1:22" x14ac:dyDescent="0.25">
      <c r="A32" s="303" t="str">
        <f>Zones!C32</f>
        <v>Electrical, Mechanical, Telephone Rooms</v>
      </c>
      <c r="B32" s="303" t="str">
        <f>Zones!B32</f>
        <v>Classrm W_Flr 2_IDF Room_Zn</v>
      </c>
      <c r="C32" s="125">
        <f>Zones!K32</f>
        <v>0.60505000000000009</v>
      </c>
      <c r="D32" s="125">
        <f>Zones!H32</f>
        <v>121.01</v>
      </c>
      <c r="E32" s="583">
        <v>15</v>
      </c>
      <c r="F32" s="581">
        <v>0.15</v>
      </c>
      <c r="G32" s="116"/>
      <c r="H32" s="245">
        <f t="shared" si="3"/>
        <v>9.0757500000000011</v>
      </c>
      <c r="I32" s="75">
        <f t="shared" si="4"/>
        <v>18.151499999999999</v>
      </c>
      <c r="J32" s="75">
        <f t="shared" si="5"/>
        <v>0</v>
      </c>
      <c r="K32" s="74">
        <f t="shared" si="6"/>
        <v>18.151499999999999</v>
      </c>
      <c r="L32" s="74"/>
      <c r="M32" s="2"/>
      <c r="N32" s="2"/>
      <c r="O32" s="2"/>
      <c r="P32" s="2"/>
      <c r="Q32" s="2"/>
      <c r="R32" s="2"/>
      <c r="S32" s="2"/>
      <c r="T32" s="2"/>
      <c r="U32" s="2"/>
      <c r="V32" s="91"/>
    </row>
    <row r="33" spans="1:22" x14ac:dyDescent="0.25">
      <c r="A33" s="303" t="str">
        <f>Zones!C33</f>
        <v>Restrooms</v>
      </c>
      <c r="B33" s="303" t="str">
        <f>Zones!B33</f>
        <v>Classrm W_Flr 2_Restroom_Zn</v>
      </c>
      <c r="C33" s="125">
        <f>Zones!K33</f>
        <v>2.8152499999999998</v>
      </c>
      <c r="D33" s="125">
        <f>Zones!H33</f>
        <v>563.04999999999995</v>
      </c>
      <c r="E33" s="583">
        <v>0</v>
      </c>
      <c r="F33" s="583">
        <v>0</v>
      </c>
      <c r="G33" s="246">
        <v>0.5</v>
      </c>
      <c r="H33" s="245">
        <f t="shared" si="3"/>
        <v>0</v>
      </c>
      <c r="I33" s="75">
        <f t="shared" si="4"/>
        <v>0</v>
      </c>
      <c r="J33" s="75">
        <f t="shared" si="5"/>
        <v>281.52499999999998</v>
      </c>
      <c r="K33" s="74">
        <f t="shared" si="6"/>
        <v>281.52499999999998</v>
      </c>
      <c r="L33" s="74"/>
      <c r="M33" s="2"/>
      <c r="N33" s="2"/>
      <c r="O33" s="2"/>
      <c r="P33" s="2"/>
      <c r="Q33" s="2"/>
      <c r="R33" s="2"/>
      <c r="S33" s="2"/>
      <c r="T33" s="2"/>
      <c r="U33" s="2"/>
      <c r="V33" s="91"/>
    </row>
    <row r="34" spans="1:22" x14ac:dyDescent="0.25">
      <c r="A34" s="303" t="str">
        <f>Zones!C34</f>
        <v>Storage (General)</v>
      </c>
      <c r="B34" s="303" t="str">
        <f>Zones!B34</f>
        <v>Classrm W_Flr 2_Storage - General_Zn</v>
      </c>
      <c r="C34" s="125">
        <f>Zones!K34</f>
        <v>0.49004999999999999</v>
      </c>
      <c r="D34" s="125">
        <f>Zones!H34</f>
        <v>98.01</v>
      </c>
      <c r="E34" s="581">
        <v>15</v>
      </c>
      <c r="F34" s="581">
        <v>0.15</v>
      </c>
      <c r="G34" s="116"/>
      <c r="H34" s="245">
        <f t="shared" si="3"/>
        <v>7.3507499999999997</v>
      </c>
      <c r="I34" s="75">
        <f t="shared" si="4"/>
        <v>14.701499999999999</v>
      </c>
      <c r="J34" s="75">
        <f t="shared" si="5"/>
        <v>0</v>
      </c>
      <c r="K34" s="74">
        <f t="shared" si="6"/>
        <v>14.701499999999999</v>
      </c>
      <c r="L34" s="74"/>
      <c r="M34" s="2"/>
      <c r="N34" s="2"/>
      <c r="O34" s="2"/>
      <c r="P34" s="2"/>
      <c r="Q34" s="2"/>
      <c r="R34" s="2"/>
      <c r="S34" s="2"/>
      <c r="T34" s="2"/>
      <c r="U34" s="2"/>
      <c r="V34" s="91"/>
    </row>
    <row r="35" spans="1:22" x14ac:dyDescent="0.25">
      <c r="A35" s="303" t="str">
        <f>Zones!C35</f>
        <v>Classroom, Lecture, Training, Vocational Areas</v>
      </c>
      <c r="B35" s="303" t="str">
        <f>Zones!B35</f>
        <v>Kindergarten_Classroom-01_Zn</v>
      </c>
      <c r="C35" s="125">
        <f>Zones!K35</f>
        <v>137.36349999999999</v>
      </c>
      <c r="D35" s="125">
        <f>Zones!H35</f>
        <v>5494.54</v>
      </c>
      <c r="E35" s="581">
        <v>15</v>
      </c>
      <c r="F35" s="581">
        <v>0.15</v>
      </c>
      <c r="G35" s="116"/>
      <c r="H35" s="245">
        <f t="shared" si="3"/>
        <v>2060.4524999999999</v>
      </c>
      <c r="I35" s="75">
        <f t="shared" si="4"/>
        <v>824.18099999999993</v>
      </c>
      <c r="J35" s="75">
        <f t="shared" si="5"/>
        <v>0</v>
      </c>
      <c r="K35" s="74">
        <f t="shared" si="6"/>
        <v>2060.4524999999999</v>
      </c>
      <c r="L35" s="74"/>
      <c r="M35" s="2"/>
      <c r="N35" s="2"/>
      <c r="O35" s="2"/>
      <c r="P35" s="2"/>
      <c r="Q35" s="2"/>
      <c r="R35" s="2"/>
      <c r="S35" s="2"/>
      <c r="T35" s="2"/>
      <c r="U35" s="2"/>
      <c r="V35" s="91"/>
    </row>
    <row r="36" spans="1:22" x14ac:dyDescent="0.25">
      <c r="A36" s="303" t="str">
        <f>Zones!C36</f>
        <v>Classroom, Lecture, Training, Vocational Areas</v>
      </c>
      <c r="B36" s="303" t="str">
        <f>Zones!B36</f>
        <v>Kindergarten_Classroom-02_Zn</v>
      </c>
      <c r="C36" s="125">
        <f>Zones!K36</f>
        <v>36.003500000000003</v>
      </c>
      <c r="D36" s="125">
        <f>Zones!H36</f>
        <v>1440.14</v>
      </c>
      <c r="E36" s="583">
        <v>15</v>
      </c>
      <c r="F36" s="581">
        <v>0.15</v>
      </c>
      <c r="G36" s="116"/>
      <c r="H36" s="245">
        <f t="shared" si="3"/>
        <v>540.05250000000001</v>
      </c>
      <c r="I36" s="75">
        <f t="shared" si="4"/>
        <v>216.02100000000002</v>
      </c>
      <c r="J36" s="75">
        <f t="shared" si="5"/>
        <v>0</v>
      </c>
      <c r="K36" s="74">
        <f t="shared" si="6"/>
        <v>540.05250000000001</v>
      </c>
      <c r="L36" s="74"/>
      <c r="M36" s="2"/>
      <c r="N36" s="2"/>
      <c r="O36" s="2"/>
      <c r="P36" s="2"/>
      <c r="Q36" s="2"/>
      <c r="R36" s="2"/>
      <c r="S36" s="2"/>
      <c r="T36" s="2"/>
      <c r="U36" s="2"/>
      <c r="V36" s="2"/>
    </row>
    <row r="37" spans="1:22" x14ac:dyDescent="0.25">
      <c r="A37" s="303" t="str">
        <f>Zones!C37</f>
        <v>Electrical, Mechanical, Telephone Rooms</v>
      </c>
      <c r="B37" s="303" t="str">
        <f>Zones!B37</f>
        <v>Kindergarten_EMT_Zn</v>
      </c>
      <c r="C37" s="125">
        <f>Zones!K37</f>
        <v>0.85435000000000005</v>
      </c>
      <c r="D37" s="125">
        <f>Zones!H37</f>
        <v>170.87</v>
      </c>
      <c r="E37" s="583">
        <v>15</v>
      </c>
      <c r="F37" s="581">
        <v>0.15</v>
      </c>
      <c r="G37" s="116"/>
      <c r="H37" s="245">
        <f t="shared" si="3"/>
        <v>12.815250000000001</v>
      </c>
      <c r="I37" s="75">
        <f t="shared" si="4"/>
        <v>25.630500000000001</v>
      </c>
      <c r="J37" s="75">
        <f t="shared" si="5"/>
        <v>0</v>
      </c>
      <c r="K37" s="74">
        <f t="shared" si="6"/>
        <v>25.630500000000001</v>
      </c>
      <c r="L37" s="74"/>
      <c r="M37" s="2"/>
      <c r="N37" s="2"/>
      <c r="O37" s="2"/>
      <c r="P37" s="2"/>
      <c r="Q37" s="2"/>
      <c r="R37" s="2"/>
      <c r="S37" s="2"/>
      <c r="T37" s="2"/>
      <c r="U37" s="2"/>
      <c r="V37" s="2"/>
    </row>
    <row r="38" spans="1:22" x14ac:dyDescent="0.25">
      <c r="A38" s="303" t="str">
        <f>Zones!C38</f>
        <v>Electrical, Mechanical, Telephone Rooms</v>
      </c>
      <c r="B38" s="303" t="str">
        <f>Zones!B38</f>
        <v>Kindergarten_IDF Room_Zn</v>
      </c>
      <c r="C38" s="125">
        <f>Zones!K38</f>
        <v>0.42740000000000006</v>
      </c>
      <c r="D38" s="125">
        <f>Zones!H38</f>
        <v>85.48</v>
      </c>
      <c r="E38" s="581">
        <v>15</v>
      </c>
      <c r="F38" s="581">
        <v>0.15</v>
      </c>
      <c r="G38" s="116"/>
      <c r="H38" s="245">
        <f t="shared" si="3"/>
        <v>6.4110000000000005</v>
      </c>
      <c r="I38" s="75">
        <f t="shared" si="4"/>
        <v>12.822000000000001</v>
      </c>
      <c r="J38" s="75">
        <f t="shared" si="5"/>
        <v>0</v>
      </c>
      <c r="K38" s="74">
        <f t="shared" si="6"/>
        <v>12.822000000000001</v>
      </c>
      <c r="L38" s="74"/>
      <c r="M38" s="2"/>
      <c r="N38" s="2"/>
      <c r="O38" s="2"/>
      <c r="P38" s="2"/>
      <c r="Q38" s="2"/>
      <c r="R38" s="2"/>
      <c r="S38" s="2"/>
      <c r="T38" s="2"/>
      <c r="U38" s="2"/>
      <c r="V38" s="2"/>
    </row>
    <row r="39" spans="1:22" x14ac:dyDescent="0.25">
      <c r="A39" s="303" t="str">
        <f>Zones!C39</f>
        <v>Restrooms</v>
      </c>
      <c r="B39" s="303" t="str">
        <f>Zones!B39</f>
        <v>Kindergarten_Restroom_Zn</v>
      </c>
      <c r="C39" s="125">
        <f>Zones!K39</f>
        <v>1.3301499999999999</v>
      </c>
      <c r="D39" s="125">
        <f>Zones!H39</f>
        <v>266.02999999999997</v>
      </c>
      <c r="E39" s="583">
        <v>0</v>
      </c>
      <c r="F39" s="583">
        <v>0</v>
      </c>
      <c r="G39" s="246">
        <v>0.5</v>
      </c>
      <c r="H39" s="245">
        <f t="shared" si="3"/>
        <v>0</v>
      </c>
      <c r="I39" s="75">
        <f t="shared" si="4"/>
        <v>0</v>
      </c>
      <c r="J39" s="75">
        <f t="shared" si="5"/>
        <v>133.01499999999999</v>
      </c>
      <c r="K39" s="74">
        <f t="shared" si="6"/>
        <v>133.01499999999999</v>
      </c>
      <c r="L39" s="74"/>
      <c r="M39" s="2"/>
      <c r="N39" s="2"/>
      <c r="O39" s="2"/>
      <c r="P39" s="2"/>
      <c r="Q39" s="2"/>
      <c r="R39" s="2"/>
      <c r="S39" s="2"/>
      <c r="T39" s="2"/>
      <c r="U39" s="2"/>
      <c r="V39" s="2"/>
    </row>
    <row r="40" spans="1:22" x14ac:dyDescent="0.25">
      <c r="A40" s="303" t="str">
        <f>Zones!C40</f>
        <v>Storage (General)</v>
      </c>
      <c r="B40" s="303" t="str">
        <f>Zones!B40</f>
        <v>Kindergarten_Storage - General_Zn</v>
      </c>
      <c r="C40" s="125">
        <f>Zones!K40</f>
        <v>5.9189999999999996</v>
      </c>
      <c r="D40" s="125">
        <f>Zones!H40</f>
        <v>1183.8</v>
      </c>
      <c r="E40" s="583">
        <v>15</v>
      </c>
      <c r="F40" s="581">
        <v>0.15</v>
      </c>
      <c r="G40" s="116"/>
      <c r="H40" s="245">
        <f t="shared" si="3"/>
        <v>88.784999999999997</v>
      </c>
      <c r="I40" s="75">
        <f t="shared" si="4"/>
        <v>177.57</v>
      </c>
      <c r="J40" s="75">
        <f t="shared" si="5"/>
        <v>0</v>
      </c>
      <c r="K40" s="74">
        <f t="shared" si="6"/>
        <v>177.57</v>
      </c>
      <c r="L40" s="74"/>
      <c r="M40" s="2"/>
      <c r="N40" s="2"/>
      <c r="O40" s="2"/>
      <c r="P40" s="2"/>
      <c r="Q40" s="2"/>
      <c r="R40" s="2"/>
      <c r="S40" s="2"/>
      <c r="T40" s="2"/>
      <c r="U40" s="2"/>
      <c r="V40" s="2"/>
    </row>
    <row r="41" spans="1:22" ht="34.799999999999997" customHeight="1" x14ac:dyDescent="0.25">
      <c r="A41" s="303"/>
      <c r="B41" s="303" t="str">
        <f>Zones!B41</f>
        <v>Total (38 spaces)</v>
      </c>
      <c r="C41" s="125">
        <f>Zones!K41</f>
        <v>1068.3274800000004</v>
      </c>
      <c r="D41" s="125">
        <f>Zones!H41</f>
        <v>49979.37000000001</v>
      </c>
      <c r="E41" s="581"/>
      <c r="F41" s="581"/>
      <c r="G41" s="581"/>
      <c r="H41" s="245">
        <f>SUM(H3:H40)</f>
        <v>15773.009699999997</v>
      </c>
      <c r="I41" s="74">
        <f>SUM(I3:I40)</f>
        <v>6955.3424999999988</v>
      </c>
      <c r="J41" s="74">
        <f>SUM(J3:J40)</f>
        <v>2699.4249999999997</v>
      </c>
      <c r="K41" s="74">
        <f>SUM(K3:K40)</f>
        <v>18925.208199999994</v>
      </c>
      <c r="L41" s="581"/>
      <c r="M41" s="2"/>
      <c r="N41" s="2"/>
      <c r="O41" s="2"/>
      <c r="P41" s="2"/>
      <c r="Q41" s="2"/>
      <c r="R41" s="2"/>
      <c r="S41" s="2"/>
      <c r="T41" s="2"/>
      <c r="U41" s="2"/>
      <c r="V41" s="2"/>
    </row>
    <row r="42" spans="1:22" ht="33.6" customHeight="1" x14ac:dyDescent="0.25">
      <c r="A42" s="2"/>
      <c r="B42" s="2"/>
      <c r="C42" s="2"/>
      <c r="D42" s="2"/>
      <c r="E42" s="2"/>
      <c r="F42" s="2"/>
      <c r="G42" s="2"/>
      <c r="H42" s="2"/>
      <c r="I42" s="2"/>
      <c r="J42" s="2"/>
      <c r="K42" s="2"/>
      <c r="L42" s="2"/>
      <c r="M42" s="2"/>
      <c r="N42" s="2"/>
      <c r="O42" s="2"/>
      <c r="P42" s="2"/>
      <c r="Q42" s="2"/>
      <c r="R42" s="2"/>
      <c r="S42" s="2"/>
      <c r="T42" s="2"/>
      <c r="U42" s="2"/>
      <c r="V42" s="2"/>
    </row>
    <row r="43" spans="1:22" ht="31.8" customHeight="1" x14ac:dyDescent="0.25">
      <c r="A43" s="303" t="s">
        <v>409</v>
      </c>
      <c r="B43" s="303" t="str">
        <f>B8</f>
        <v>Admin/MPR_Kitchen_Zn</v>
      </c>
      <c r="C43" s="125"/>
      <c r="D43" s="125">
        <f>D8</f>
        <v>1457.25</v>
      </c>
      <c r="E43" s="583"/>
      <c r="F43" s="581"/>
      <c r="G43" s="246">
        <f>G8</f>
        <v>0.7</v>
      </c>
      <c r="H43" s="245"/>
      <c r="I43" s="75"/>
      <c r="J43" s="75">
        <f>G43*D43</f>
        <v>1020.0749999999999</v>
      </c>
      <c r="K43" s="74">
        <f>J43</f>
        <v>1020.0749999999999</v>
      </c>
      <c r="L43" s="536" t="s">
        <v>410</v>
      </c>
      <c r="M43" s="2"/>
      <c r="N43" s="2"/>
      <c r="O43" s="2"/>
      <c r="P43" s="2"/>
      <c r="Q43" s="2"/>
      <c r="R43" s="2"/>
      <c r="S43" s="2"/>
      <c r="T43" s="2"/>
      <c r="U43" s="2"/>
      <c r="V43" s="2"/>
    </row>
  </sheetData>
  <autoFilter ref="A2:L41" xr:uid="{9B1730C9-5C61-418E-9D38-D82374F9BCB6}"/>
  <mergeCells count="1">
    <mergeCell ref="A1:L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4A1F-75FE-4806-A814-2E6208E1456F}">
  <dimension ref="A1:AM250"/>
  <sheetViews>
    <sheetView zoomScaleNormal="100" workbookViewId="0">
      <selection sqref="A1:G1"/>
    </sheetView>
  </sheetViews>
  <sheetFormatPr defaultColWidth="8.6640625" defaultRowHeight="13.2" x14ac:dyDescent="0.25"/>
  <cols>
    <col min="1" max="1" width="41.33203125" style="4" customWidth="1"/>
    <col min="2" max="3" width="22.5546875" style="4" customWidth="1"/>
    <col min="4" max="4" width="29.21875" style="4" customWidth="1"/>
    <col min="5" max="6" width="31.5546875" style="4" customWidth="1"/>
    <col min="7" max="7" width="26.5546875" style="4" customWidth="1"/>
    <col min="8" max="8" width="20.5546875" style="4" customWidth="1"/>
    <col min="9" max="9" width="23" style="4" customWidth="1"/>
    <col min="10" max="10" width="18.5546875" style="4" customWidth="1"/>
    <col min="11" max="11" width="14.5546875" style="4" customWidth="1"/>
    <col min="12" max="12" width="93" style="4" customWidth="1"/>
    <col min="13" max="13" width="15.33203125" style="4" customWidth="1"/>
    <col min="14" max="14" width="12.33203125" style="4" customWidth="1"/>
    <col min="15" max="15" width="13.33203125" style="4" customWidth="1"/>
    <col min="16" max="16" width="15.33203125" style="4" customWidth="1"/>
    <col min="17" max="17" width="11" style="4" customWidth="1"/>
    <col min="18" max="21" width="15.33203125" style="4" customWidth="1"/>
    <col min="22" max="22" width="7.6640625" style="4" hidden="1" customWidth="1"/>
    <col min="23" max="23" width="12.44140625" style="4" hidden="1" customWidth="1"/>
    <col min="24" max="39" width="6.5546875" style="4" hidden="1" customWidth="1"/>
    <col min="40" max="40" width="15.33203125" style="4" customWidth="1"/>
    <col min="41" max="41" width="11.33203125" style="4" customWidth="1"/>
    <col min="42" max="42" width="6.33203125" style="4" customWidth="1"/>
    <col min="43" max="46" width="4.6640625" style="4" customWidth="1"/>
    <col min="47" max="47" width="6.33203125" style="4" customWidth="1"/>
    <col min="48" max="62" width="4.6640625" style="4" customWidth="1"/>
    <col min="63" max="64" width="8.6640625" style="4" customWidth="1"/>
    <col min="65" max="16384" width="8.6640625" style="4"/>
  </cols>
  <sheetData>
    <row r="1" spans="1:9" ht="23.4" customHeight="1" x14ac:dyDescent="0.25">
      <c r="A1" s="702" t="str">
        <f>"Water Heater - "&amp;Prototype!A2</f>
        <v>Water Heater - SchoolK-8</v>
      </c>
      <c r="B1" s="703"/>
      <c r="C1" s="703"/>
      <c r="D1" s="703"/>
      <c r="E1" s="703"/>
      <c r="F1" s="703"/>
      <c r="G1" s="703"/>
    </row>
    <row r="2" spans="1:9" ht="19.2" customHeight="1" x14ac:dyDescent="0.3">
      <c r="A2" s="202" t="s">
        <v>228</v>
      </c>
      <c r="B2" s="202" t="s">
        <v>411</v>
      </c>
      <c r="C2" s="202" t="s">
        <v>412</v>
      </c>
      <c r="D2" s="404" t="s">
        <v>413</v>
      </c>
      <c r="E2" s="216" t="s">
        <v>414</v>
      </c>
      <c r="F2" s="216" t="s">
        <v>415</v>
      </c>
      <c r="G2" s="216" t="s">
        <v>312</v>
      </c>
      <c r="H2"/>
    </row>
    <row r="3" spans="1:9" ht="52.8" x14ac:dyDescent="0.3">
      <c r="A3" s="580" t="s">
        <v>416</v>
      </c>
      <c r="B3" s="580" t="s">
        <v>417</v>
      </c>
      <c r="C3" s="77">
        <v>0.8</v>
      </c>
      <c r="D3" s="403">
        <v>4</v>
      </c>
      <c r="E3" s="344" t="s">
        <v>418</v>
      </c>
      <c r="F3" s="345" t="s">
        <v>419</v>
      </c>
      <c r="G3" s="582" t="s">
        <v>420</v>
      </c>
      <c r="H3" t="s">
        <v>421</v>
      </c>
    </row>
    <row r="4" spans="1:9" ht="39.6" x14ac:dyDescent="0.3">
      <c r="A4" s="580" t="s">
        <v>331</v>
      </c>
      <c r="B4" s="580" t="s">
        <v>422</v>
      </c>
      <c r="C4" s="77">
        <f>B61</f>
        <v>4.3</v>
      </c>
      <c r="D4" s="403">
        <v>4</v>
      </c>
      <c r="E4" s="344" t="s">
        <v>423</v>
      </c>
      <c r="F4" s="344" t="s">
        <v>424</v>
      </c>
      <c r="G4" s="582" t="s">
        <v>425</v>
      </c>
      <c r="H4"/>
    </row>
    <row r="5" spans="1:9" x14ac:dyDescent="0.25">
      <c r="F5" s="10"/>
    </row>
    <row r="6" spans="1:9" ht="15.75" customHeight="1" x14ac:dyDescent="0.3">
      <c r="A6" s="640" t="s">
        <v>426</v>
      </c>
      <c r="B6" s="724"/>
      <c r="C6" s="724"/>
      <c r="D6" s="724"/>
      <c r="E6" s="724"/>
      <c r="F6" s="724"/>
      <c r="G6" s="725"/>
      <c r="H6" s="79"/>
      <c r="I6" s="79"/>
    </row>
    <row r="7" spans="1:9" ht="66" x14ac:dyDescent="0.25">
      <c r="A7" s="202" t="s">
        <v>427</v>
      </c>
      <c r="B7" s="202" t="s">
        <v>428</v>
      </c>
      <c r="C7" s="202" t="s">
        <v>429</v>
      </c>
      <c r="D7" s="202" t="s">
        <v>430</v>
      </c>
      <c r="E7" s="202" t="s">
        <v>431</v>
      </c>
      <c r="F7" s="202" t="s">
        <v>432</v>
      </c>
      <c r="G7" s="202" t="s">
        <v>433</v>
      </c>
    </row>
    <row r="8" spans="1:9" x14ac:dyDescent="0.25">
      <c r="A8" s="217" t="str">
        <f>Zones!B3</f>
        <v>Admin/MPR_Breakroom_Zn</v>
      </c>
      <c r="B8" s="14" t="s">
        <v>422</v>
      </c>
      <c r="C8" s="218">
        <f>Zones!H3</f>
        <v>575.20000000000005</v>
      </c>
      <c r="D8" s="218">
        <f>Zones!K3</f>
        <v>18.981600000000004</v>
      </c>
      <c r="E8" s="219">
        <v>0.09</v>
      </c>
      <c r="F8" s="143">
        <f t="shared" ref="F8:F45" si="0">E8*D8</f>
        <v>1.7083440000000003</v>
      </c>
      <c r="G8" s="129">
        <f t="shared" ref="G8:G45" si="1">F8/60</f>
        <v>2.8472400000000005E-2</v>
      </c>
    </row>
    <row r="9" spans="1:9" x14ac:dyDescent="0.25">
      <c r="A9" s="217" t="str">
        <f>Zones!B4</f>
        <v>Admin/MPR_Conference Room Zns 3_Zn</v>
      </c>
      <c r="B9" s="14" t="s">
        <v>422</v>
      </c>
      <c r="C9" s="218">
        <f>Zones!H4</f>
        <v>1674.74</v>
      </c>
      <c r="D9" s="218">
        <f>Zones!K4</f>
        <v>55.266419999999997</v>
      </c>
      <c r="E9" s="219">
        <v>0.09</v>
      </c>
      <c r="F9" s="143">
        <f t="shared" si="0"/>
        <v>4.9739777999999992</v>
      </c>
      <c r="G9" s="129">
        <f t="shared" si="1"/>
        <v>8.2899629999999988E-2</v>
      </c>
    </row>
    <row r="10" spans="1:9" x14ac:dyDescent="0.25">
      <c r="A10" s="217" t="str">
        <f>Zones!B5</f>
        <v>Admin/MPR_Corridor_Zn</v>
      </c>
      <c r="B10" s="14" t="s">
        <v>422</v>
      </c>
      <c r="C10" s="218">
        <f>Zones!H5</f>
        <v>1161.52</v>
      </c>
      <c r="D10" s="218">
        <f>Zones!K5</f>
        <v>5.8076000000000008</v>
      </c>
      <c r="E10" s="219">
        <v>0</v>
      </c>
      <c r="F10" s="143">
        <f t="shared" si="0"/>
        <v>0</v>
      </c>
      <c r="G10" s="129">
        <f t="shared" si="1"/>
        <v>0</v>
      </c>
    </row>
    <row r="11" spans="1:9" x14ac:dyDescent="0.25">
      <c r="A11" s="217" t="str">
        <f>Zones!B6</f>
        <v>Admin/MPR_EMT_Zn</v>
      </c>
      <c r="B11" s="14" t="s">
        <v>422</v>
      </c>
      <c r="C11" s="218">
        <f>Zones!H6</f>
        <v>278.20999999999998</v>
      </c>
      <c r="D11" s="218">
        <f>Zones!K6</f>
        <v>1.3910499999999999</v>
      </c>
      <c r="E11" s="219">
        <v>0.18</v>
      </c>
      <c r="F11" s="143">
        <f t="shared" si="0"/>
        <v>0.25038899999999997</v>
      </c>
      <c r="G11" s="129">
        <f t="shared" si="1"/>
        <v>4.1731499999999996E-3</v>
      </c>
    </row>
    <row r="12" spans="1:9" x14ac:dyDescent="0.25">
      <c r="A12" s="217" t="str">
        <f>Zones!B7</f>
        <v>Admin/MPR_IDF Room_Zn</v>
      </c>
      <c r="B12" s="14" t="s">
        <v>422</v>
      </c>
      <c r="C12" s="218">
        <f>Zones!H7</f>
        <v>340.23</v>
      </c>
      <c r="D12" s="218">
        <f>Zones!K7</f>
        <v>1.7011500000000002</v>
      </c>
      <c r="E12" s="219">
        <v>0.18</v>
      </c>
      <c r="F12" s="143">
        <f t="shared" si="0"/>
        <v>0.30620700000000001</v>
      </c>
      <c r="G12" s="129">
        <f t="shared" si="1"/>
        <v>5.1034499999999998E-3</v>
      </c>
    </row>
    <row r="13" spans="1:9" x14ac:dyDescent="0.25">
      <c r="A13" s="217" t="str">
        <f>Zones!B8</f>
        <v>Admin/MPR_Kitchen_Zn</v>
      </c>
      <c r="B13" s="14" t="s">
        <v>422</v>
      </c>
      <c r="C13" s="218">
        <f>Zones!H8</f>
        <v>1457.25</v>
      </c>
      <c r="D13" s="218">
        <f>Zones!K8</f>
        <v>4.3717499999999996</v>
      </c>
      <c r="E13" s="219">
        <v>0.57799999999999996</v>
      </c>
      <c r="F13" s="143">
        <f t="shared" si="0"/>
        <v>2.5268714999999995</v>
      </c>
      <c r="G13" s="129">
        <f t="shared" si="1"/>
        <v>4.2114524999999993E-2</v>
      </c>
    </row>
    <row r="14" spans="1:9" x14ac:dyDescent="0.25">
      <c r="A14" s="217" t="str">
        <f>Zones!B9</f>
        <v>Admin/MPR_Lobby_Zn</v>
      </c>
      <c r="B14" s="14" t="s">
        <v>422</v>
      </c>
      <c r="C14" s="218">
        <f>Zones!H9</f>
        <v>1241.47</v>
      </c>
      <c r="D14" s="218">
        <f>Zones!K9</f>
        <v>40.968510000000002</v>
      </c>
      <c r="E14" s="219">
        <v>0.09</v>
      </c>
      <c r="F14" s="143">
        <f t="shared" si="0"/>
        <v>3.6871659000000001</v>
      </c>
      <c r="G14" s="129">
        <f t="shared" si="1"/>
        <v>6.1452764999999999E-2</v>
      </c>
    </row>
    <row r="15" spans="1:9" x14ac:dyDescent="0.25">
      <c r="A15" s="217" t="str">
        <f>Zones!B10</f>
        <v>Admin/MPR_Multipurpose Room Zns 3_Zn</v>
      </c>
      <c r="B15" s="14" t="s">
        <v>422</v>
      </c>
      <c r="C15" s="218">
        <f>Zones!H10</f>
        <v>5512.19</v>
      </c>
      <c r="D15" s="218">
        <f>Zones!K10</f>
        <v>181.90226999999999</v>
      </c>
      <c r="E15" s="219">
        <v>0.09</v>
      </c>
      <c r="F15" s="143">
        <f t="shared" si="0"/>
        <v>16.371204299999999</v>
      </c>
      <c r="G15" s="129">
        <f t="shared" si="1"/>
        <v>0.27285340499999999</v>
      </c>
    </row>
    <row r="16" spans="1:9" x14ac:dyDescent="0.25">
      <c r="A16" s="217" t="str">
        <f>Zones!B11</f>
        <v>Admin/MPR_Office - LT 250 sf Zns 6_Zn</v>
      </c>
      <c r="B16" s="14" t="s">
        <v>422</v>
      </c>
      <c r="C16" s="218">
        <f>Zones!H11</f>
        <v>1048.3499999999999</v>
      </c>
      <c r="D16" s="218">
        <f>Zones!K11</f>
        <v>5.2417499999999997</v>
      </c>
      <c r="E16" s="219">
        <v>0.18</v>
      </c>
      <c r="F16" s="143">
        <f t="shared" si="0"/>
        <v>0.94351499999999988</v>
      </c>
      <c r="G16" s="129">
        <f t="shared" si="1"/>
        <v>1.572525E-2</v>
      </c>
    </row>
    <row r="17" spans="1:7" x14ac:dyDescent="0.25">
      <c r="A17" s="217" t="str">
        <f>Zones!B12</f>
        <v>Admin/MPR_Restroom Zns 3_Zn</v>
      </c>
      <c r="B17" s="14" t="s">
        <v>422</v>
      </c>
      <c r="C17" s="218">
        <f>Zones!H12</f>
        <v>901.17</v>
      </c>
      <c r="D17" s="218">
        <f>Zones!K12</f>
        <v>4.5058499999999997</v>
      </c>
      <c r="E17" s="219">
        <v>0</v>
      </c>
      <c r="F17" s="143">
        <f t="shared" si="0"/>
        <v>0</v>
      </c>
      <c r="G17" s="129">
        <f t="shared" si="1"/>
        <v>0</v>
      </c>
    </row>
    <row r="18" spans="1:7" x14ac:dyDescent="0.25">
      <c r="A18" s="217" t="str">
        <f>Zones!B13</f>
        <v>Admin/MPR_Storage - General_Zn</v>
      </c>
      <c r="B18" s="14" t="s">
        <v>422</v>
      </c>
      <c r="C18" s="218">
        <f>Zones!H13</f>
        <v>1247.73</v>
      </c>
      <c r="D18" s="218">
        <f>Zones!K13</f>
        <v>6.2386499999999998</v>
      </c>
      <c r="E18" s="219">
        <v>0</v>
      </c>
      <c r="F18" s="143">
        <f t="shared" si="0"/>
        <v>0</v>
      </c>
      <c r="G18" s="129">
        <f t="shared" si="1"/>
        <v>0</v>
      </c>
    </row>
    <row r="19" spans="1:7" x14ac:dyDescent="0.25">
      <c r="A19" s="217" t="str">
        <f>Zones!B14</f>
        <v>Admin/MPR_Storage - Refrigerated_Zn</v>
      </c>
      <c r="B19" s="14" t="s">
        <v>422</v>
      </c>
      <c r="C19" s="218">
        <f>Zones!H14</f>
        <v>251.72</v>
      </c>
      <c r="D19" s="218">
        <f>Zones!K14</f>
        <v>0</v>
      </c>
      <c r="E19" s="219">
        <v>0.18</v>
      </c>
      <c r="F19" s="143">
        <f t="shared" si="0"/>
        <v>0</v>
      </c>
      <c r="G19" s="129">
        <f t="shared" si="1"/>
        <v>0</v>
      </c>
    </row>
    <row r="20" spans="1:7" x14ac:dyDescent="0.25">
      <c r="A20" s="217" t="str">
        <f>Zones!B15</f>
        <v>Admin/MPR_Theater - Performance_Zn</v>
      </c>
      <c r="B20" s="14" t="s">
        <v>422</v>
      </c>
      <c r="C20" s="218">
        <f>Zones!H15</f>
        <v>1065.56</v>
      </c>
      <c r="D20" s="218">
        <f>Zones!K15</f>
        <v>35.163479999999993</v>
      </c>
      <c r="E20" s="219">
        <v>0.09</v>
      </c>
      <c r="F20" s="143">
        <f t="shared" si="0"/>
        <v>3.1647131999999991</v>
      </c>
      <c r="G20" s="129">
        <f t="shared" si="1"/>
        <v>5.2745219999999989E-2</v>
      </c>
    </row>
    <row r="21" spans="1:7" x14ac:dyDescent="0.25">
      <c r="A21" s="217" t="str">
        <f>Zones!B16</f>
        <v>Classrm N_Flr 1_Classroom-01_Zn</v>
      </c>
      <c r="B21" s="14" t="s">
        <v>422</v>
      </c>
      <c r="C21" s="218">
        <f>Zones!H16</f>
        <v>1001.75</v>
      </c>
      <c r="D21" s="218">
        <f>Zones!K16</f>
        <v>25.043749999999999</v>
      </c>
      <c r="E21" s="219">
        <v>0.18</v>
      </c>
      <c r="F21" s="143">
        <f t="shared" si="0"/>
        <v>4.5078749999999994</v>
      </c>
      <c r="G21" s="129">
        <f t="shared" si="1"/>
        <v>7.5131249999999997E-2</v>
      </c>
    </row>
    <row r="22" spans="1:7" x14ac:dyDescent="0.25">
      <c r="A22" s="217" t="str">
        <f>Zones!B17</f>
        <v>Classrm N_Flr 1_Classroom-02 Zns 6_Zn</v>
      </c>
      <c r="B22" s="14" t="s">
        <v>422</v>
      </c>
      <c r="C22" s="218">
        <f>Zones!H17</f>
        <v>6054.03</v>
      </c>
      <c r="D22" s="218">
        <f>Zones!K17</f>
        <v>151.35075000000001</v>
      </c>
      <c r="E22" s="219">
        <v>0.18</v>
      </c>
      <c r="F22" s="143">
        <f t="shared" si="0"/>
        <v>27.243134999999999</v>
      </c>
      <c r="G22" s="129">
        <f t="shared" si="1"/>
        <v>0.45405224999999999</v>
      </c>
    </row>
    <row r="23" spans="1:7" x14ac:dyDescent="0.25">
      <c r="A23" s="217" t="str">
        <f>Zones!B18</f>
        <v>Classrm N_Flr 1_Office - LT 250 sf_Zn</v>
      </c>
      <c r="B23" s="14" t="s">
        <v>422</v>
      </c>
      <c r="C23" s="218">
        <f>Zones!H18</f>
        <v>288.13</v>
      </c>
      <c r="D23" s="218">
        <f>Zones!K18</f>
        <v>1.44065</v>
      </c>
      <c r="E23" s="219">
        <v>0.18</v>
      </c>
      <c r="F23" s="143">
        <f t="shared" si="0"/>
        <v>0.25931699999999996</v>
      </c>
      <c r="G23" s="129">
        <f t="shared" si="1"/>
        <v>4.3219499999999998E-3</v>
      </c>
    </row>
    <row r="24" spans="1:7" x14ac:dyDescent="0.25">
      <c r="A24" s="217" t="str">
        <f>Zones!B19</f>
        <v>Classrm N_Flr 1_Restroom_Zn</v>
      </c>
      <c r="B24" s="14" t="s">
        <v>422</v>
      </c>
      <c r="C24" s="218">
        <f>Zones!H19</f>
        <v>532.70000000000005</v>
      </c>
      <c r="D24" s="218">
        <f>Zones!K19</f>
        <v>2.6635</v>
      </c>
      <c r="E24" s="219">
        <v>0</v>
      </c>
      <c r="F24" s="143">
        <f t="shared" si="0"/>
        <v>0</v>
      </c>
      <c r="G24" s="129">
        <f t="shared" si="1"/>
        <v>0</v>
      </c>
    </row>
    <row r="25" spans="1:7" x14ac:dyDescent="0.25">
      <c r="A25" s="217" t="str">
        <f>Zones!B20</f>
        <v>Classrm N_Flr 2_Classroom-01 Zns 6_Zn</v>
      </c>
      <c r="B25" s="14" t="s">
        <v>422</v>
      </c>
      <c r="C25" s="218">
        <f>Zones!H20</f>
        <v>6054.03</v>
      </c>
      <c r="D25" s="218">
        <f>Zones!K20</f>
        <v>151.35075000000001</v>
      </c>
      <c r="E25" s="219">
        <v>0.18</v>
      </c>
      <c r="F25" s="143">
        <f t="shared" si="0"/>
        <v>27.243134999999999</v>
      </c>
      <c r="G25" s="129">
        <f t="shared" si="1"/>
        <v>0.45405224999999999</v>
      </c>
    </row>
    <row r="26" spans="1:7" x14ac:dyDescent="0.25">
      <c r="A26" s="217" t="str">
        <f>Zones!B21</f>
        <v>Classrm N_Flr 2_Classroom-02_Zn</v>
      </c>
      <c r="B26" s="14" t="s">
        <v>422</v>
      </c>
      <c r="C26" s="218">
        <f>Zones!H21</f>
        <v>1001.75</v>
      </c>
      <c r="D26" s="218">
        <f>Zones!K21</f>
        <v>25.043749999999999</v>
      </c>
      <c r="E26" s="219">
        <v>0.18</v>
      </c>
      <c r="F26" s="143">
        <f t="shared" si="0"/>
        <v>4.5078749999999994</v>
      </c>
      <c r="G26" s="129">
        <f t="shared" si="1"/>
        <v>7.5131249999999997E-2</v>
      </c>
    </row>
    <row r="27" spans="1:7" x14ac:dyDescent="0.25">
      <c r="A27" s="217" t="str">
        <f>Zones!B22</f>
        <v>Classrm N_Flr 2_Office - LT 250 sf_Zn</v>
      </c>
      <c r="B27" s="14" t="s">
        <v>422</v>
      </c>
      <c r="C27" s="218">
        <f>Zones!H22</f>
        <v>288.13</v>
      </c>
      <c r="D27" s="218">
        <f>Zones!K22</f>
        <v>1.44065</v>
      </c>
      <c r="E27" s="219">
        <v>0.18</v>
      </c>
      <c r="F27" s="143">
        <f t="shared" si="0"/>
        <v>0.25931699999999996</v>
      </c>
      <c r="G27" s="129">
        <f t="shared" si="1"/>
        <v>4.3219499999999998E-3</v>
      </c>
    </row>
    <row r="28" spans="1:7" x14ac:dyDescent="0.25">
      <c r="A28" s="217" t="str">
        <f>Zones!B23</f>
        <v>Classrm N_Flr 2_Restroom_Zn</v>
      </c>
      <c r="B28" s="14" t="s">
        <v>422</v>
      </c>
      <c r="C28" s="218">
        <f>Zones!H23</f>
        <v>532.70000000000005</v>
      </c>
      <c r="D28" s="218">
        <f>Zones!K23</f>
        <v>2.6635</v>
      </c>
      <c r="E28" s="219">
        <v>0</v>
      </c>
      <c r="F28" s="143">
        <f t="shared" si="0"/>
        <v>0</v>
      </c>
      <c r="G28" s="129">
        <f t="shared" si="1"/>
        <v>0</v>
      </c>
    </row>
    <row r="29" spans="1:7" x14ac:dyDescent="0.25">
      <c r="A29" s="217" t="str">
        <f>Zones!B24</f>
        <v>Classrm W_Flr 1_Classroom Zns 2_Zn</v>
      </c>
      <c r="B29" s="14" t="s">
        <v>422</v>
      </c>
      <c r="C29" s="218">
        <f>Zones!H24</f>
        <v>2054.94</v>
      </c>
      <c r="D29" s="218">
        <f>Zones!K24</f>
        <v>51.3735</v>
      </c>
      <c r="E29" s="219">
        <v>0.18</v>
      </c>
      <c r="F29" s="143">
        <f t="shared" si="0"/>
        <v>9.2472300000000001</v>
      </c>
      <c r="G29" s="129">
        <f t="shared" si="1"/>
        <v>0.15412049999999999</v>
      </c>
    </row>
    <row r="30" spans="1:7" x14ac:dyDescent="0.25">
      <c r="A30" s="217" t="str">
        <f>Zones!B25</f>
        <v>Classrm W_Flr 1_EMT-01_Zn</v>
      </c>
      <c r="B30" s="14" t="s">
        <v>422</v>
      </c>
      <c r="C30" s="218">
        <f>Zones!H25</f>
        <v>121.01</v>
      </c>
      <c r="D30" s="218">
        <f>Zones!K25</f>
        <v>0.60505000000000009</v>
      </c>
      <c r="E30" s="219">
        <v>0.18</v>
      </c>
      <c r="F30" s="143">
        <f t="shared" si="0"/>
        <v>0.10890900000000001</v>
      </c>
      <c r="G30" s="129">
        <f t="shared" si="1"/>
        <v>1.8151500000000002E-3</v>
      </c>
    </row>
    <row r="31" spans="1:7" x14ac:dyDescent="0.25">
      <c r="A31" s="217" t="str">
        <f>Zones!B26</f>
        <v>Classrm W_Flr 1_EMT-02_Zn</v>
      </c>
      <c r="B31" s="14" t="s">
        <v>422</v>
      </c>
      <c r="C31" s="218">
        <f>Zones!H26</f>
        <v>98.01</v>
      </c>
      <c r="D31" s="218">
        <f>Zones!K26</f>
        <v>0.49004999999999999</v>
      </c>
      <c r="E31" s="219">
        <v>0.18</v>
      </c>
      <c r="F31" s="143">
        <f t="shared" si="0"/>
        <v>8.8208999999999996E-2</v>
      </c>
      <c r="G31" s="129">
        <f t="shared" si="1"/>
        <v>1.4701499999999999E-3</v>
      </c>
    </row>
    <row r="32" spans="1:7" x14ac:dyDescent="0.25">
      <c r="A32" s="217" t="str">
        <f>Zones!B27</f>
        <v>Classrm W_Flr 1_Library - Reading Area_Zn</v>
      </c>
      <c r="B32" s="14" t="s">
        <v>422</v>
      </c>
      <c r="C32" s="218">
        <f>Zones!H27</f>
        <v>1197.1300000000001</v>
      </c>
      <c r="D32" s="218">
        <f>Zones!K27</f>
        <v>11.971300000000001</v>
      </c>
      <c r="E32" s="219">
        <v>0.18</v>
      </c>
      <c r="F32" s="143">
        <f t="shared" si="0"/>
        <v>2.1548340000000001</v>
      </c>
      <c r="G32" s="129">
        <f t="shared" si="1"/>
        <v>3.5913900000000006E-2</v>
      </c>
    </row>
    <row r="33" spans="1:19" x14ac:dyDescent="0.25">
      <c r="A33" s="217" t="str">
        <f>Zones!B28</f>
        <v>Classrm W_Flr 1_Restroom_Zn</v>
      </c>
      <c r="B33" s="14" t="s">
        <v>422</v>
      </c>
      <c r="C33" s="218">
        <f>Zones!H28</f>
        <v>563.04999999999995</v>
      </c>
      <c r="D33" s="218">
        <f>Zones!K28</f>
        <v>2.8152499999999998</v>
      </c>
      <c r="E33" s="219">
        <v>0</v>
      </c>
      <c r="F33" s="143">
        <f t="shared" si="0"/>
        <v>0</v>
      </c>
      <c r="G33" s="129">
        <f t="shared" si="1"/>
        <v>0</v>
      </c>
    </row>
    <row r="34" spans="1:19" x14ac:dyDescent="0.25">
      <c r="A34" s="217" t="str">
        <f>Zones!B29</f>
        <v>Classrm W_Flr 1_Storage - General_Zn</v>
      </c>
      <c r="B34" s="14" t="s">
        <v>422</v>
      </c>
      <c r="C34" s="218">
        <f>Zones!H29</f>
        <v>380.84</v>
      </c>
      <c r="D34" s="218">
        <f>Zones!K29</f>
        <v>1.9041999999999999</v>
      </c>
      <c r="E34" s="219">
        <v>0</v>
      </c>
      <c r="F34" s="143">
        <f t="shared" si="0"/>
        <v>0</v>
      </c>
      <c r="G34" s="129">
        <f t="shared" si="1"/>
        <v>0</v>
      </c>
    </row>
    <row r="35" spans="1:19" x14ac:dyDescent="0.25">
      <c r="A35" s="217" t="str">
        <f>Zones!B30</f>
        <v>Classrm W_Flr 2_Classroom-01 Zns 3_Zn</v>
      </c>
      <c r="B35" s="14" t="s">
        <v>422</v>
      </c>
      <c r="C35" s="218">
        <f>Zones!H30</f>
        <v>3252.06</v>
      </c>
      <c r="D35" s="218">
        <f>Zones!K30</f>
        <v>81.301500000000004</v>
      </c>
      <c r="E35" s="219">
        <v>0.18</v>
      </c>
      <c r="F35" s="143">
        <f t="shared" si="0"/>
        <v>14.634270000000001</v>
      </c>
      <c r="G35" s="129">
        <f t="shared" si="1"/>
        <v>0.24390450000000002</v>
      </c>
    </row>
    <row r="36" spans="1:19" x14ac:dyDescent="0.25">
      <c r="A36" s="217" t="str">
        <f>Zones!B31</f>
        <v>Classrm W_Flr 2_Classroom-02_Zn</v>
      </c>
      <c r="B36" s="14" t="s">
        <v>422</v>
      </c>
      <c r="C36" s="218">
        <f>Zones!H31</f>
        <v>380.84</v>
      </c>
      <c r="D36" s="218">
        <f>Zones!K31</f>
        <v>9.5210000000000008</v>
      </c>
      <c r="E36" s="219">
        <v>0.18</v>
      </c>
      <c r="F36" s="143">
        <f t="shared" si="0"/>
        <v>1.7137800000000001</v>
      </c>
      <c r="G36" s="129">
        <f t="shared" si="1"/>
        <v>2.8563000000000002E-2</v>
      </c>
    </row>
    <row r="37" spans="1:19" x14ac:dyDescent="0.25">
      <c r="A37" s="217" t="str">
        <f>Zones!B32</f>
        <v>Classrm W_Flr 2_IDF Room_Zn</v>
      </c>
      <c r="B37" s="14" t="s">
        <v>422</v>
      </c>
      <c r="C37" s="218">
        <f>Zones!H32</f>
        <v>121.01</v>
      </c>
      <c r="D37" s="218">
        <f>Zones!K32</f>
        <v>0.60505000000000009</v>
      </c>
      <c r="E37" s="219">
        <v>0.18</v>
      </c>
      <c r="F37" s="143">
        <f t="shared" si="0"/>
        <v>0.10890900000000001</v>
      </c>
      <c r="G37" s="129">
        <f t="shared" si="1"/>
        <v>1.8151500000000002E-3</v>
      </c>
    </row>
    <row r="38" spans="1:19" x14ac:dyDescent="0.25">
      <c r="A38" s="217" t="str">
        <f>Zones!B33</f>
        <v>Classrm W_Flr 2_Restroom_Zn</v>
      </c>
      <c r="B38" s="14" t="s">
        <v>422</v>
      </c>
      <c r="C38" s="218">
        <f>Zones!H33</f>
        <v>563.04999999999995</v>
      </c>
      <c r="D38" s="218">
        <f>Zones!K33</f>
        <v>2.8152499999999998</v>
      </c>
      <c r="E38" s="219">
        <v>0</v>
      </c>
      <c r="F38" s="143">
        <f t="shared" si="0"/>
        <v>0</v>
      </c>
      <c r="G38" s="129">
        <f t="shared" si="1"/>
        <v>0</v>
      </c>
    </row>
    <row r="39" spans="1:19" x14ac:dyDescent="0.25">
      <c r="A39" s="217" t="str">
        <f>Zones!B34</f>
        <v>Classrm W_Flr 2_Storage - General_Zn</v>
      </c>
      <c r="B39" s="14" t="s">
        <v>422</v>
      </c>
      <c r="C39" s="218">
        <f>Zones!H34</f>
        <v>98.01</v>
      </c>
      <c r="D39" s="218">
        <f>Zones!K34</f>
        <v>0.49004999999999999</v>
      </c>
      <c r="E39" s="219">
        <v>0</v>
      </c>
      <c r="F39" s="143">
        <f t="shared" si="0"/>
        <v>0</v>
      </c>
      <c r="G39" s="129">
        <f t="shared" si="1"/>
        <v>0</v>
      </c>
    </row>
    <row r="40" spans="1:19" x14ac:dyDescent="0.25">
      <c r="A40" s="217" t="str">
        <f>Zones!B35</f>
        <v>Kindergarten_Classroom-01_Zn</v>
      </c>
      <c r="B40" s="14" t="s">
        <v>422</v>
      </c>
      <c r="C40" s="218">
        <f>Zones!H35</f>
        <v>5494.54</v>
      </c>
      <c r="D40" s="218">
        <f>Zones!K35</f>
        <v>137.36349999999999</v>
      </c>
      <c r="E40" s="219">
        <v>0.18</v>
      </c>
      <c r="F40" s="143">
        <f t="shared" si="0"/>
        <v>24.725429999999996</v>
      </c>
      <c r="G40" s="129">
        <f t="shared" si="1"/>
        <v>0.41209049999999992</v>
      </c>
    </row>
    <row r="41" spans="1:19" x14ac:dyDescent="0.25">
      <c r="A41" s="217" t="str">
        <f>Zones!B36</f>
        <v>Kindergarten_Classroom-02_Zn</v>
      </c>
      <c r="B41" s="14" t="s">
        <v>422</v>
      </c>
      <c r="C41" s="218">
        <f>Zones!H36</f>
        <v>1440.14</v>
      </c>
      <c r="D41" s="218">
        <f>Zones!K36</f>
        <v>36.003500000000003</v>
      </c>
      <c r="E41" s="219">
        <v>0.18</v>
      </c>
      <c r="F41" s="143">
        <f t="shared" si="0"/>
        <v>6.4806300000000006</v>
      </c>
      <c r="G41" s="129">
        <f t="shared" si="1"/>
        <v>0.10801050000000001</v>
      </c>
    </row>
    <row r="42" spans="1:19" x14ac:dyDescent="0.25">
      <c r="A42" s="217" t="str">
        <f>Zones!B37</f>
        <v>Kindergarten_EMT_Zn</v>
      </c>
      <c r="B42" s="14" t="s">
        <v>422</v>
      </c>
      <c r="C42" s="218">
        <f>Zones!H37</f>
        <v>170.87</v>
      </c>
      <c r="D42" s="218">
        <f>Zones!K37</f>
        <v>0.85435000000000005</v>
      </c>
      <c r="E42" s="219">
        <v>0.18</v>
      </c>
      <c r="F42" s="143">
        <f t="shared" si="0"/>
        <v>0.153783</v>
      </c>
      <c r="G42" s="129">
        <f t="shared" si="1"/>
        <v>2.5630499999999999E-3</v>
      </c>
    </row>
    <row r="43" spans="1:19" x14ac:dyDescent="0.25">
      <c r="A43" s="217" t="str">
        <f>Zones!B38</f>
        <v>Kindergarten_IDF Room_Zn</v>
      </c>
      <c r="B43" s="14" t="s">
        <v>422</v>
      </c>
      <c r="C43" s="218">
        <f>Zones!H38</f>
        <v>85.48</v>
      </c>
      <c r="D43" s="218">
        <f>Zones!K38</f>
        <v>0.42740000000000006</v>
      </c>
      <c r="E43" s="219">
        <v>0.18</v>
      </c>
      <c r="F43" s="143">
        <f t="shared" si="0"/>
        <v>7.6932000000000014E-2</v>
      </c>
      <c r="G43" s="129">
        <f t="shared" si="1"/>
        <v>1.2822000000000003E-3</v>
      </c>
    </row>
    <row r="44" spans="1:19" x14ac:dyDescent="0.25">
      <c r="A44" s="217" t="str">
        <f>Zones!B39</f>
        <v>Kindergarten_Restroom_Zn</v>
      </c>
      <c r="B44" s="14" t="s">
        <v>422</v>
      </c>
      <c r="C44" s="218">
        <f>Zones!H39</f>
        <v>266.02999999999997</v>
      </c>
      <c r="D44" s="218">
        <f>Zones!K39</f>
        <v>1.3301499999999999</v>
      </c>
      <c r="E44" s="219">
        <v>0</v>
      </c>
      <c r="F44" s="143">
        <f t="shared" si="0"/>
        <v>0</v>
      </c>
      <c r="G44" s="314">
        <f t="shared" si="1"/>
        <v>0</v>
      </c>
    </row>
    <row r="45" spans="1:19" x14ac:dyDescent="0.25">
      <c r="A45" s="310" t="str">
        <f>Zones!B40</f>
        <v>Kindergarten_Storage - General_Zn</v>
      </c>
      <c r="B45" s="311" t="s">
        <v>422</v>
      </c>
      <c r="C45" s="312">
        <f>Zones!H40</f>
        <v>1183.8</v>
      </c>
      <c r="D45" s="312">
        <f>Zones!K40</f>
        <v>5.9189999999999996</v>
      </c>
      <c r="E45" s="313">
        <v>0</v>
      </c>
      <c r="F45" s="363">
        <f t="shared" si="0"/>
        <v>0</v>
      </c>
      <c r="G45" s="364">
        <f t="shared" si="1"/>
        <v>0</v>
      </c>
    </row>
    <row r="46" spans="1:19" x14ac:dyDescent="0.25">
      <c r="A46" s="358"/>
      <c r="B46" s="359"/>
      <c r="C46" s="360"/>
      <c r="D46" s="360"/>
      <c r="E46" s="361"/>
      <c r="F46" s="362"/>
    </row>
    <row r="47" spans="1:19" ht="21" customHeight="1" x14ac:dyDescent="0.25">
      <c r="A47" s="722" t="s">
        <v>434</v>
      </c>
      <c r="B47" s="723"/>
      <c r="C47" s="723"/>
      <c r="D47" s="723"/>
      <c r="G47" s="366"/>
      <c r="H47" s="366"/>
      <c r="I47" s="366"/>
      <c r="J47" s="366"/>
      <c r="K47" s="365"/>
      <c r="L47" s="365"/>
      <c r="M47" s="365"/>
      <c r="N47" s="365"/>
      <c r="O47" s="365"/>
      <c r="P47" s="365"/>
      <c r="Q47" s="365"/>
      <c r="R47" s="67"/>
      <c r="S47" s="67"/>
    </row>
    <row r="48" spans="1:19" ht="26.4" x14ac:dyDescent="0.25">
      <c r="A48" s="338" t="s">
        <v>435</v>
      </c>
      <c r="B48" s="338" t="s">
        <v>436</v>
      </c>
      <c r="C48" s="338" t="s">
        <v>432</v>
      </c>
      <c r="D48" s="338" t="s">
        <v>49</v>
      </c>
      <c r="G48" s="366"/>
      <c r="H48" s="366"/>
      <c r="I48" s="366"/>
      <c r="J48" s="366"/>
      <c r="K48" s="365"/>
      <c r="L48" s="365"/>
      <c r="M48" s="365"/>
      <c r="N48" s="365"/>
      <c r="O48" s="365"/>
      <c r="P48" s="365"/>
      <c r="Q48" s="365"/>
      <c r="R48" s="67"/>
      <c r="S48" s="67"/>
    </row>
    <row r="49" spans="1:12" x14ac:dyDescent="0.25">
      <c r="A49" s="367" t="s">
        <v>437</v>
      </c>
      <c r="B49" s="367" t="s">
        <v>422</v>
      </c>
      <c r="C49" s="368">
        <f>MAX(SUMIF($B$8:$B$20,"*HPWH*",$F$8:$F$20),75)</f>
        <v>75</v>
      </c>
      <c r="D49" s="721" t="s">
        <v>438</v>
      </c>
      <c r="G49" s="336"/>
    </row>
    <row r="50" spans="1:12" x14ac:dyDescent="0.25">
      <c r="A50" s="367" t="s">
        <v>439</v>
      </c>
      <c r="B50" s="367" t="s">
        <v>422</v>
      </c>
      <c r="C50" s="368">
        <f>MAX(SUMIF($B$21:$B$28,"*HPWH*",$F$21:$F$28),75)</f>
        <v>75</v>
      </c>
      <c r="D50" s="721"/>
      <c r="G50" s="336"/>
    </row>
    <row r="51" spans="1:12" x14ac:dyDescent="0.25">
      <c r="A51" s="367" t="s">
        <v>440</v>
      </c>
      <c r="B51" s="367" t="s">
        <v>422</v>
      </c>
      <c r="C51" s="368">
        <f>MAX(SUMIF($B$29:$B$39,"*HPWH*",$F$29:$F$39),75)</f>
        <v>75</v>
      </c>
      <c r="D51" s="721"/>
      <c r="G51" s="336"/>
    </row>
    <row r="52" spans="1:12" x14ac:dyDescent="0.25">
      <c r="A52" s="367" t="s">
        <v>441</v>
      </c>
      <c r="B52" s="367" t="s">
        <v>422</v>
      </c>
      <c r="C52" s="368">
        <f>MAX(SUMIF($B$40:$B$45,"*HPWH*",$F$40:$F$45),75)</f>
        <v>75</v>
      </c>
      <c r="D52" s="721"/>
      <c r="G52" s="336"/>
    </row>
    <row r="53" spans="1:12" ht="14.4" x14ac:dyDescent="0.3">
      <c r="A53" s="336"/>
      <c r="B53" s="337"/>
      <c r="C53" s="71"/>
      <c r="D53" s="71"/>
      <c r="E53" s="71"/>
      <c r="F53" s="71"/>
      <c r="G53" s="71"/>
      <c r="H53"/>
    </row>
    <row r="54" spans="1:12" s="227" customFormat="1" ht="14.4" x14ac:dyDescent="0.25">
      <c r="A54" s="223" t="s">
        <v>442</v>
      </c>
      <c r="B54" s="224">
        <v>135</v>
      </c>
      <c r="C54" s="225" t="s">
        <v>443</v>
      </c>
      <c r="D54" s="226"/>
      <c r="E54" s="226"/>
    </row>
    <row r="55" spans="1:12" s="227" customFormat="1" ht="14.4" x14ac:dyDescent="0.25">
      <c r="A55" s="226" t="s">
        <v>444</v>
      </c>
      <c r="B55" s="228">
        <v>0.6</v>
      </c>
      <c r="C55" s="225" t="s">
        <v>445</v>
      </c>
      <c r="D55" s="229"/>
      <c r="E55" s="229"/>
    </row>
    <row r="56" spans="1:12" s="227" customFormat="1" x14ac:dyDescent="0.25">
      <c r="A56" s="230" t="s">
        <v>446</v>
      </c>
      <c r="B56" s="304">
        <v>8.2876999999999992</v>
      </c>
      <c r="C56" s="225" t="s">
        <v>445</v>
      </c>
      <c r="D56" s="225"/>
      <c r="E56" s="225"/>
    </row>
    <row r="57" spans="1:12" s="227" customFormat="1" ht="14.4" x14ac:dyDescent="0.3">
      <c r="A57" s="227" t="s">
        <v>447</v>
      </c>
      <c r="B57" s="231">
        <v>0.4</v>
      </c>
      <c r="C57" s="232" t="s">
        <v>448</v>
      </c>
      <c r="D57" s="232"/>
      <c r="F57" s="232"/>
      <c r="G57" s="232"/>
    </row>
    <row r="58" spans="1:12" s="227" customFormat="1" ht="26.4" x14ac:dyDescent="0.25">
      <c r="A58" s="331" t="s">
        <v>449</v>
      </c>
      <c r="B58" s="332" t="s">
        <v>450</v>
      </c>
      <c r="C58" s="333" t="s">
        <v>451</v>
      </c>
      <c r="D58" s="226"/>
      <c r="E58" s="226"/>
    </row>
    <row r="59" spans="1:12" s="227" customFormat="1" ht="14.4" x14ac:dyDescent="0.25">
      <c r="A59" s="331" t="s">
        <v>452</v>
      </c>
      <c r="B59" s="334">
        <v>4.3</v>
      </c>
      <c r="C59" s="335" t="s">
        <v>453</v>
      </c>
      <c r="D59" s="226"/>
      <c r="E59" s="226"/>
    </row>
    <row r="60" spans="1:12" s="227" customFormat="1" ht="14.4" x14ac:dyDescent="0.25">
      <c r="A60" s="331" t="s">
        <v>454</v>
      </c>
      <c r="B60" s="334">
        <v>3</v>
      </c>
      <c r="C60" s="335" t="s">
        <v>455</v>
      </c>
      <c r="D60" s="226"/>
      <c r="E60" s="226"/>
    </row>
    <row r="61" spans="1:12" s="227" customFormat="1" ht="14.4" x14ac:dyDescent="0.25">
      <c r="A61" s="331" t="s">
        <v>456</v>
      </c>
      <c r="B61" s="334">
        <f>B59</f>
        <v>4.3</v>
      </c>
      <c r="C61" s="335" t="s">
        <v>457</v>
      </c>
      <c r="D61" s="226"/>
      <c r="E61" s="226"/>
    </row>
    <row r="62" spans="1:12" s="227" customFormat="1" ht="14.4" x14ac:dyDescent="0.25">
      <c r="A62" s="331"/>
      <c r="B62" s="334"/>
      <c r="C62" s="335"/>
      <c r="D62" s="226"/>
      <c r="E62" s="226"/>
    </row>
    <row r="63" spans="1:12" s="309" customFormat="1" ht="21" customHeight="1" x14ac:dyDescent="0.25">
      <c r="A63" s="714" t="s">
        <v>458</v>
      </c>
      <c r="B63" s="715"/>
      <c r="C63" s="715"/>
      <c r="D63" s="715"/>
      <c r="E63" s="715"/>
      <c r="F63" s="715"/>
      <c r="G63" s="715"/>
      <c r="H63" s="715"/>
      <c r="I63" s="715"/>
      <c r="J63" s="715"/>
      <c r="K63" s="715"/>
      <c r="L63" s="715"/>
    </row>
    <row r="64" spans="1:12" s="309" customFormat="1" ht="87.75" customHeight="1" x14ac:dyDescent="0.3">
      <c r="A64" s="397" t="s">
        <v>459</v>
      </c>
      <c r="B64" s="338" t="s">
        <v>460</v>
      </c>
      <c r="C64" s="338" t="s">
        <v>461</v>
      </c>
      <c r="D64" s="338" t="s">
        <v>462</v>
      </c>
      <c r="E64" s="338" t="s">
        <v>463</v>
      </c>
      <c r="F64" s="338" t="s">
        <v>464</v>
      </c>
      <c r="G64" s="338" t="s">
        <v>465</v>
      </c>
      <c r="H64" s="707" t="s">
        <v>466</v>
      </c>
      <c r="I64" s="708"/>
      <c r="J64" s="709" t="s">
        <v>467</v>
      </c>
      <c r="K64" s="710"/>
      <c r="L64" s="594" t="s">
        <v>468</v>
      </c>
    </row>
    <row r="65" spans="1:12" s="227" customFormat="1" x14ac:dyDescent="0.25">
      <c r="A65" s="496" t="str">
        <f>$A$49</f>
        <v>HPWH - Admin</v>
      </c>
      <c r="B65" s="391" t="s">
        <v>469</v>
      </c>
      <c r="C65" s="320">
        <v>47.9</v>
      </c>
      <c r="D65" s="321">
        <f>$C$49*($B$54-C65)*$B$56</f>
        <v>54139.400249999992</v>
      </c>
      <c r="E65" s="321">
        <f>D65*$B$55</f>
        <v>32483.640149999992</v>
      </c>
      <c r="F65" s="321">
        <f t="shared" ref="F65:F96" si="2">_xlfn.LET(_xlpm.x,_xlfn.XLOOKUP(E65,$C$132:$C$136,$C$132:$C$136,"",1),IF(_xlpm.x="",E65/$B$61,_xlpm.x/$B$61))</f>
        <v>7554.3349186046498</v>
      </c>
      <c r="G65" s="321">
        <f t="shared" ref="G65:G80" si="3">_xlfn.LET(_xlpm.v,MAX(30,$C$49*$B$57),_xlpm.x,_xlfn.XLOOKUP(_xlpm.v,$A$132:$A$136,$A$132:$A$136,"",1),IF(_xlpm.x="",ROUNDUP(_xlpm.v,0),_xlpm.x))</f>
        <v>40</v>
      </c>
      <c r="H65" s="322">
        <f t="shared" ref="H65:H80" si="4">IF(AND(ISNUMBER(J65),G65&gt;0),J65/(0.0834*G65),NA())</f>
        <v>1.3099520383693044</v>
      </c>
      <c r="I65" s="321" t="s">
        <v>470</v>
      </c>
      <c r="J65" s="323">
        <v>4.37</v>
      </c>
      <c r="K65" s="324" t="s">
        <v>471</v>
      </c>
      <c r="L65" s="711" t="s">
        <v>472</v>
      </c>
    </row>
    <row r="66" spans="1:12" s="227" customFormat="1" x14ac:dyDescent="0.25">
      <c r="A66" s="497" t="str">
        <f t="shared" ref="A66:A79" si="5">$A$49</f>
        <v>HPWH - Admin</v>
      </c>
      <c r="B66" s="392" t="s">
        <v>473</v>
      </c>
      <c r="C66" s="276">
        <v>50.8</v>
      </c>
      <c r="D66" s="277">
        <f t="shared" ref="D66:D80" si="6">$C$49*($B$54-C66)*$B$56</f>
        <v>52336.825499999992</v>
      </c>
      <c r="E66" s="277">
        <f t="shared" ref="E66:E80" si="7">D66*$B$55</f>
        <v>31402.095299999994</v>
      </c>
      <c r="F66" s="277">
        <f t="shared" si="2"/>
        <v>7302.8128604651147</v>
      </c>
      <c r="G66" s="277">
        <f t="shared" si="3"/>
        <v>40</v>
      </c>
      <c r="H66" s="278">
        <f t="shared" si="4"/>
        <v>1.3099520383693044</v>
      </c>
      <c r="I66" s="277" t="s">
        <v>470</v>
      </c>
      <c r="J66" s="279">
        <v>4.37</v>
      </c>
      <c r="K66" s="280" t="s">
        <v>471</v>
      </c>
      <c r="L66" s="712"/>
    </row>
    <row r="67" spans="1:12" s="227" customFormat="1" x14ac:dyDescent="0.25">
      <c r="A67" s="497" t="str">
        <f t="shared" si="5"/>
        <v>HPWH - Admin</v>
      </c>
      <c r="B67" s="392" t="s">
        <v>474</v>
      </c>
      <c r="C67" s="276">
        <v>52.2</v>
      </c>
      <c r="D67" s="277">
        <f t="shared" si="6"/>
        <v>51466.616999999998</v>
      </c>
      <c r="E67" s="277">
        <f t="shared" si="7"/>
        <v>30879.970199999996</v>
      </c>
      <c r="F67" s="277">
        <f t="shared" si="2"/>
        <v>7181.3884186046507</v>
      </c>
      <c r="G67" s="277">
        <f t="shared" si="3"/>
        <v>40</v>
      </c>
      <c r="H67" s="278">
        <f t="shared" si="4"/>
        <v>1.3099520383693044</v>
      </c>
      <c r="I67" s="277" t="s">
        <v>470</v>
      </c>
      <c r="J67" s="279">
        <v>4.37</v>
      </c>
      <c r="K67" s="280" t="s">
        <v>471</v>
      </c>
      <c r="L67" s="712"/>
    </row>
    <row r="68" spans="1:12" s="227" customFormat="1" x14ac:dyDescent="0.25">
      <c r="A68" s="497" t="str">
        <f t="shared" si="5"/>
        <v>HPWH - Admin</v>
      </c>
      <c r="B68" s="392" t="s">
        <v>475</v>
      </c>
      <c r="C68" s="276">
        <v>52.7</v>
      </c>
      <c r="D68" s="277">
        <f t="shared" si="6"/>
        <v>51155.828249999991</v>
      </c>
      <c r="E68" s="277">
        <f t="shared" si="7"/>
        <v>30693.496949999993</v>
      </c>
      <c r="F68" s="277">
        <f t="shared" si="2"/>
        <v>7138.0225465116264</v>
      </c>
      <c r="G68" s="277">
        <f t="shared" si="3"/>
        <v>40</v>
      </c>
      <c r="H68" s="278">
        <f t="shared" si="4"/>
        <v>1.3099520383693044</v>
      </c>
      <c r="I68" s="277" t="s">
        <v>470</v>
      </c>
      <c r="J68" s="279">
        <v>4.37</v>
      </c>
      <c r="K68" s="280" t="s">
        <v>471</v>
      </c>
      <c r="L68" s="712"/>
    </row>
    <row r="69" spans="1:12" s="227" customFormat="1" x14ac:dyDescent="0.25">
      <c r="A69" s="497" t="str">
        <f t="shared" si="5"/>
        <v>HPWH - Admin</v>
      </c>
      <c r="B69" s="392" t="s">
        <v>476</v>
      </c>
      <c r="C69" s="276">
        <v>51.6</v>
      </c>
      <c r="D69" s="277">
        <f t="shared" si="6"/>
        <v>51839.563499999997</v>
      </c>
      <c r="E69" s="277">
        <f t="shared" si="7"/>
        <v>31103.738099999995</v>
      </c>
      <c r="F69" s="277">
        <f t="shared" si="2"/>
        <v>7233.4274651162787</v>
      </c>
      <c r="G69" s="277">
        <f t="shared" si="3"/>
        <v>40</v>
      </c>
      <c r="H69" s="278">
        <f t="shared" si="4"/>
        <v>1.3099520383693044</v>
      </c>
      <c r="I69" s="277" t="s">
        <v>470</v>
      </c>
      <c r="J69" s="279">
        <v>4.37</v>
      </c>
      <c r="K69" s="280" t="s">
        <v>471</v>
      </c>
      <c r="L69" s="712"/>
    </row>
    <row r="70" spans="1:12" s="227" customFormat="1" x14ac:dyDescent="0.25">
      <c r="A70" s="497" t="str">
        <f t="shared" si="5"/>
        <v>HPWH - Admin</v>
      </c>
      <c r="B70" s="392" t="s">
        <v>477</v>
      </c>
      <c r="C70" s="276">
        <v>56.8</v>
      </c>
      <c r="D70" s="277">
        <f t="shared" si="6"/>
        <v>48607.360499999995</v>
      </c>
      <c r="E70" s="277">
        <f t="shared" si="7"/>
        <v>29164.416299999997</v>
      </c>
      <c r="F70" s="277">
        <f t="shared" si="2"/>
        <v>6782.4223953488372</v>
      </c>
      <c r="G70" s="277">
        <f t="shared" si="3"/>
        <v>40</v>
      </c>
      <c r="H70" s="278">
        <f t="shared" si="4"/>
        <v>1.3099520383693044</v>
      </c>
      <c r="I70" s="277" t="s">
        <v>470</v>
      </c>
      <c r="J70" s="279">
        <v>4.37</v>
      </c>
      <c r="K70" s="280" t="s">
        <v>471</v>
      </c>
      <c r="L70" s="712"/>
    </row>
    <row r="71" spans="1:12" s="227" customFormat="1" x14ac:dyDescent="0.25">
      <c r="A71" s="497" t="str">
        <f t="shared" si="5"/>
        <v>HPWH - Admin</v>
      </c>
      <c r="B71" s="392" t="s">
        <v>478</v>
      </c>
      <c r="C71" s="276">
        <v>58.4</v>
      </c>
      <c r="D71" s="277">
        <f t="shared" si="6"/>
        <v>47612.836499999998</v>
      </c>
      <c r="E71" s="277">
        <f t="shared" si="7"/>
        <v>28567.701899999996</v>
      </c>
      <c r="F71" s="277">
        <f t="shared" si="2"/>
        <v>6643.6516046511624</v>
      </c>
      <c r="G71" s="277">
        <f t="shared" si="3"/>
        <v>40</v>
      </c>
      <c r="H71" s="278">
        <f t="shared" si="4"/>
        <v>1.3099520383693044</v>
      </c>
      <c r="I71" s="277" t="s">
        <v>470</v>
      </c>
      <c r="J71" s="279">
        <v>4.37</v>
      </c>
      <c r="K71" s="280" t="s">
        <v>471</v>
      </c>
      <c r="L71" s="712"/>
    </row>
    <row r="72" spans="1:12" s="227" customFormat="1" x14ac:dyDescent="0.25">
      <c r="A72" s="497" t="str">
        <f t="shared" si="5"/>
        <v>HPWH - Admin</v>
      </c>
      <c r="B72" s="392" t="s">
        <v>479</v>
      </c>
      <c r="C72" s="276">
        <v>58.4</v>
      </c>
      <c r="D72" s="277">
        <f t="shared" si="6"/>
        <v>47612.836499999998</v>
      </c>
      <c r="E72" s="277">
        <f t="shared" si="7"/>
        <v>28567.701899999996</v>
      </c>
      <c r="F72" s="277">
        <f t="shared" si="2"/>
        <v>6643.6516046511624</v>
      </c>
      <c r="G72" s="277">
        <f t="shared" si="3"/>
        <v>40</v>
      </c>
      <c r="H72" s="278">
        <f t="shared" si="4"/>
        <v>1.3099520383693044</v>
      </c>
      <c r="I72" s="277" t="s">
        <v>470</v>
      </c>
      <c r="J72" s="279">
        <v>4.37</v>
      </c>
      <c r="K72" s="280" t="s">
        <v>471</v>
      </c>
      <c r="L72" s="712"/>
    </row>
    <row r="73" spans="1:12" s="227" customFormat="1" x14ac:dyDescent="0.25">
      <c r="A73" s="497" t="str">
        <f t="shared" si="5"/>
        <v>HPWH - Admin</v>
      </c>
      <c r="B73" s="392" t="s">
        <v>480</v>
      </c>
      <c r="C73" s="276">
        <v>57.6</v>
      </c>
      <c r="D73" s="277">
        <f t="shared" si="6"/>
        <v>48110.098499999993</v>
      </c>
      <c r="E73" s="277">
        <f t="shared" si="7"/>
        <v>28866.059099999995</v>
      </c>
      <c r="F73" s="277">
        <f t="shared" si="2"/>
        <v>6713.0369999999994</v>
      </c>
      <c r="G73" s="277">
        <f t="shared" si="3"/>
        <v>40</v>
      </c>
      <c r="H73" s="278">
        <f t="shared" si="4"/>
        <v>1.3099520383693044</v>
      </c>
      <c r="I73" s="277" t="s">
        <v>470</v>
      </c>
      <c r="J73" s="279">
        <v>4.37</v>
      </c>
      <c r="K73" s="280" t="s">
        <v>471</v>
      </c>
      <c r="L73" s="712"/>
    </row>
    <row r="74" spans="1:12" s="227" customFormat="1" x14ac:dyDescent="0.25">
      <c r="A74" s="497" t="str">
        <f t="shared" si="5"/>
        <v>HPWH - Admin</v>
      </c>
      <c r="B74" s="392" t="s">
        <v>239</v>
      </c>
      <c r="C74" s="276">
        <v>57.1</v>
      </c>
      <c r="D74" s="277">
        <f t="shared" si="6"/>
        <v>48420.887249999992</v>
      </c>
      <c r="E74" s="277">
        <f t="shared" si="7"/>
        <v>29052.532349999994</v>
      </c>
      <c r="F74" s="277">
        <f t="shared" si="2"/>
        <v>6756.4028720930219</v>
      </c>
      <c r="G74" s="277">
        <f t="shared" si="3"/>
        <v>40</v>
      </c>
      <c r="H74" s="278">
        <f t="shared" si="4"/>
        <v>1.3099520383693044</v>
      </c>
      <c r="I74" s="277" t="s">
        <v>470</v>
      </c>
      <c r="J74" s="279">
        <v>4.37</v>
      </c>
      <c r="K74" s="280" t="s">
        <v>471</v>
      </c>
      <c r="L74" s="712"/>
    </row>
    <row r="75" spans="1:12" s="227" customFormat="1" x14ac:dyDescent="0.25">
      <c r="A75" s="497" t="str">
        <f t="shared" si="5"/>
        <v>HPWH - Admin</v>
      </c>
      <c r="B75" s="392" t="s">
        <v>240</v>
      </c>
      <c r="C75" s="276">
        <v>50.5</v>
      </c>
      <c r="D75" s="277">
        <f t="shared" si="6"/>
        <v>52523.298749999994</v>
      </c>
      <c r="E75" s="277">
        <f t="shared" si="7"/>
        <v>31513.979249999997</v>
      </c>
      <c r="F75" s="277">
        <f t="shared" si="2"/>
        <v>7328.83238372093</v>
      </c>
      <c r="G75" s="277">
        <f t="shared" si="3"/>
        <v>40</v>
      </c>
      <c r="H75" s="278">
        <f t="shared" si="4"/>
        <v>1.3099520383693044</v>
      </c>
      <c r="I75" s="277" t="s">
        <v>470</v>
      </c>
      <c r="J75" s="279">
        <v>4.37</v>
      </c>
      <c r="K75" s="280" t="s">
        <v>471</v>
      </c>
      <c r="L75" s="712"/>
    </row>
    <row r="76" spans="1:12" s="227" customFormat="1" x14ac:dyDescent="0.25">
      <c r="A76" s="497" t="str">
        <f t="shared" si="5"/>
        <v>HPWH - Admin</v>
      </c>
      <c r="B76" s="392" t="s">
        <v>241</v>
      </c>
      <c r="C76" s="276">
        <v>51.4</v>
      </c>
      <c r="D76" s="277">
        <f t="shared" si="6"/>
        <v>51963.878999999994</v>
      </c>
      <c r="E76" s="277">
        <f t="shared" si="7"/>
        <v>31178.327399999995</v>
      </c>
      <c r="F76" s="277">
        <f t="shared" si="2"/>
        <v>7250.7738139534877</v>
      </c>
      <c r="G76" s="277">
        <f t="shared" si="3"/>
        <v>40</v>
      </c>
      <c r="H76" s="278">
        <f t="shared" si="4"/>
        <v>1.3099520383693044</v>
      </c>
      <c r="I76" s="277" t="s">
        <v>470</v>
      </c>
      <c r="J76" s="279">
        <v>4.37</v>
      </c>
      <c r="K76" s="280" t="s">
        <v>471</v>
      </c>
      <c r="L76" s="712"/>
    </row>
    <row r="77" spans="1:12" s="227" customFormat="1" x14ac:dyDescent="0.25">
      <c r="A77" s="497" t="str">
        <f t="shared" si="5"/>
        <v>HPWH - Admin</v>
      </c>
      <c r="B77" s="392" t="s">
        <v>242</v>
      </c>
      <c r="C77" s="276">
        <v>51.7</v>
      </c>
      <c r="D77" s="277">
        <f t="shared" si="6"/>
        <v>51777.405749999998</v>
      </c>
      <c r="E77" s="277">
        <f t="shared" si="7"/>
        <v>31066.443449999999</v>
      </c>
      <c r="F77" s="277">
        <f t="shared" si="2"/>
        <v>7224.7542906976742</v>
      </c>
      <c r="G77" s="277">
        <f t="shared" si="3"/>
        <v>40</v>
      </c>
      <c r="H77" s="278">
        <f t="shared" si="4"/>
        <v>1.3099520383693044</v>
      </c>
      <c r="I77" s="277" t="s">
        <v>470</v>
      </c>
      <c r="J77" s="279">
        <v>4.37</v>
      </c>
      <c r="K77" s="280" t="s">
        <v>471</v>
      </c>
      <c r="L77" s="712"/>
    </row>
    <row r="78" spans="1:12" s="227" customFormat="1" x14ac:dyDescent="0.25">
      <c r="A78" s="497" t="str">
        <f t="shared" si="5"/>
        <v>HPWH - Admin</v>
      </c>
      <c r="B78" s="392" t="s">
        <v>243</v>
      </c>
      <c r="C78" s="276">
        <v>50.1</v>
      </c>
      <c r="D78" s="277">
        <f t="shared" si="6"/>
        <v>52771.929749999996</v>
      </c>
      <c r="E78" s="277">
        <f t="shared" si="7"/>
        <v>31663.157849999996</v>
      </c>
      <c r="F78" s="277">
        <f t="shared" si="2"/>
        <v>7363.525081395348</v>
      </c>
      <c r="G78" s="277">
        <f t="shared" si="3"/>
        <v>40</v>
      </c>
      <c r="H78" s="278">
        <f t="shared" si="4"/>
        <v>1.3099520383693044</v>
      </c>
      <c r="I78" s="277" t="s">
        <v>470</v>
      </c>
      <c r="J78" s="279">
        <v>4.37</v>
      </c>
      <c r="K78" s="280" t="s">
        <v>471</v>
      </c>
      <c r="L78" s="712"/>
    </row>
    <row r="79" spans="1:12" s="227" customFormat="1" x14ac:dyDescent="0.25">
      <c r="A79" s="497" t="str">
        <f t="shared" si="5"/>
        <v>HPWH - Admin</v>
      </c>
      <c r="B79" s="392" t="s">
        <v>244</v>
      </c>
      <c r="C79" s="276">
        <v>63.2</v>
      </c>
      <c r="D79" s="277">
        <f t="shared" si="6"/>
        <v>44629.264499999997</v>
      </c>
      <c r="E79" s="277">
        <f t="shared" si="7"/>
        <v>26777.558699999998</v>
      </c>
      <c r="F79" s="277">
        <f t="shared" si="2"/>
        <v>6227.339232558139</v>
      </c>
      <c r="G79" s="277">
        <f t="shared" si="3"/>
        <v>40</v>
      </c>
      <c r="H79" s="278">
        <f t="shared" si="4"/>
        <v>1.3099520383693044</v>
      </c>
      <c r="I79" s="277" t="s">
        <v>470</v>
      </c>
      <c r="J79" s="279">
        <v>4.37</v>
      </c>
      <c r="K79" s="280" t="s">
        <v>471</v>
      </c>
      <c r="L79" s="712"/>
    </row>
    <row r="80" spans="1:12" s="227" customFormat="1" x14ac:dyDescent="0.25">
      <c r="A80" s="498" t="str">
        <f>$A$49</f>
        <v>HPWH - Admin</v>
      </c>
      <c r="B80" s="393" t="s">
        <v>245</v>
      </c>
      <c r="C80" s="325">
        <v>41.4</v>
      </c>
      <c r="D80" s="326">
        <f t="shared" si="6"/>
        <v>58179.653999999995</v>
      </c>
      <c r="E80" s="326">
        <f t="shared" si="7"/>
        <v>34907.792399999998</v>
      </c>
      <c r="F80" s="326">
        <f t="shared" si="2"/>
        <v>8118.0912558139535</v>
      </c>
      <c r="G80" s="326">
        <f t="shared" si="3"/>
        <v>40</v>
      </c>
      <c r="H80" s="327">
        <f t="shared" si="4"/>
        <v>1.3099520383693044</v>
      </c>
      <c r="I80" s="326" t="s">
        <v>470</v>
      </c>
      <c r="J80" s="328">
        <v>4.37</v>
      </c>
      <c r="K80" s="329" t="s">
        <v>471</v>
      </c>
      <c r="L80" s="713"/>
    </row>
    <row r="81" spans="1:12" s="227" customFormat="1" x14ac:dyDescent="0.25">
      <c r="A81" s="496" t="str">
        <f>$A$50</f>
        <v>HPWH - North Classroom</v>
      </c>
      <c r="B81" s="391" t="s">
        <v>469</v>
      </c>
      <c r="C81" s="320">
        <v>47.9</v>
      </c>
      <c r="D81" s="321">
        <f t="shared" ref="D81:D96" si="8">$C$50*($B$54-C81)*$B$56</f>
        <v>54139.400249999992</v>
      </c>
      <c r="E81" s="321">
        <f t="shared" ref="E81:E96" si="9">D81*$B$55</f>
        <v>32483.640149999992</v>
      </c>
      <c r="F81" s="321">
        <f t="shared" si="2"/>
        <v>7554.3349186046498</v>
      </c>
      <c r="G81" s="321">
        <f t="shared" ref="G81:G96" si="10">_xlfn.LET(_xlpm.v,MAX(30,$C$50*$B$57),_xlpm.x,_xlfn.XLOOKUP(_xlpm.v,$A$132:$A$136,$A$132:$A$136,"",1),IF(_xlpm.x="",ROUNDUP(_xlpm.v,0),_xlpm.x))</f>
        <v>40</v>
      </c>
      <c r="H81" s="322">
        <f t="shared" ref="H81:H96" si="11">IF(AND(ISNUMBER(J81),G81&gt;0),J81/(0.0834*G81),NA())</f>
        <v>1.3099520383693044</v>
      </c>
      <c r="I81" s="321" t="s">
        <v>470</v>
      </c>
      <c r="J81" s="323">
        <v>4.37</v>
      </c>
      <c r="K81" s="324" t="s">
        <v>471</v>
      </c>
      <c r="L81" s="716" t="s">
        <v>481</v>
      </c>
    </row>
    <row r="82" spans="1:12" s="227" customFormat="1" x14ac:dyDescent="0.25">
      <c r="A82" s="496" t="str">
        <f t="shared" ref="A82:A96" si="12">$A$50</f>
        <v>HPWH - North Classroom</v>
      </c>
      <c r="B82" s="392" t="s">
        <v>473</v>
      </c>
      <c r="C82" s="276">
        <v>50.8</v>
      </c>
      <c r="D82" s="277">
        <f t="shared" si="8"/>
        <v>52336.825499999992</v>
      </c>
      <c r="E82" s="277">
        <f t="shared" si="9"/>
        <v>31402.095299999994</v>
      </c>
      <c r="F82" s="277">
        <f t="shared" si="2"/>
        <v>7302.8128604651147</v>
      </c>
      <c r="G82" s="277">
        <f t="shared" si="10"/>
        <v>40</v>
      </c>
      <c r="H82" s="278">
        <f t="shared" si="11"/>
        <v>1.3099520383693044</v>
      </c>
      <c r="I82" s="277" t="s">
        <v>470</v>
      </c>
      <c r="J82" s="279">
        <v>4.37</v>
      </c>
      <c r="K82" s="280" t="s">
        <v>471</v>
      </c>
      <c r="L82" s="717"/>
    </row>
    <row r="83" spans="1:12" s="227" customFormat="1" x14ac:dyDescent="0.25">
      <c r="A83" s="496" t="str">
        <f t="shared" si="12"/>
        <v>HPWH - North Classroom</v>
      </c>
      <c r="B83" s="392" t="s">
        <v>474</v>
      </c>
      <c r="C83" s="276">
        <v>52.2</v>
      </c>
      <c r="D83" s="277">
        <f t="shared" si="8"/>
        <v>51466.616999999998</v>
      </c>
      <c r="E83" s="277">
        <f t="shared" si="9"/>
        <v>30879.970199999996</v>
      </c>
      <c r="F83" s="277">
        <f t="shared" si="2"/>
        <v>7181.3884186046507</v>
      </c>
      <c r="G83" s="277">
        <f t="shared" si="10"/>
        <v>40</v>
      </c>
      <c r="H83" s="278">
        <f t="shared" si="11"/>
        <v>1.3099520383693044</v>
      </c>
      <c r="I83" s="277" t="s">
        <v>470</v>
      </c>
      <c r="J83" s="279">
        <v>4.37</v>
      </c>
      <c r="K83" s="280" t="s">
        <v>471</v>
      </c>
      <c r="L83" s="717"/>
    </row>
    <row r="84" spans="1:12" s="227" customFormat="1" x14ac:dyDescent="0.25">
      <c r="A84" s="496" t="str">
        <f t="shared" si="12"/>
        <v>HPWH - North Classroom</v>
      </c>
      <c r="B84" s="392" t="s">
        <v>475</v>
      </c>
      <c r="C84" s="276">
        <v>52.7</v>
      </c>
      <c r="D84" s="277">
        <f t="shared" si="8"/>
        <v>51155.828249999991</v>
      </c>
      <c r="E84" s="277">
        <f t="shared" si="9"/>
        <v>30693.496949999993</v>
      </c>
      <c r="F84" s="277">
        <f t="shared" si="2"/>
        <v>7138.0225465116264</v>
      </c>
      <c r="G84" s="277">
        <f t="shared" si="10"/>
        <v>40</v>
      </c>
      <c r="H84" s="278">
        <f t="shared" si="11"/>
        <v>1.3099520383693044</v>
      </c>
      <c r="I84" s="277" t="s">
        <v>470</v>
      </c>
      <c r="J84" s="279">
        <v>4.37</v>
      </c>
      <c r="K84" s="280" t="s">
        <v>471</v>
      </c>
      <c r="L84" s="717"/>
    </row>
    <row r="85" spans="1:12" s="227" customFormat="1" x14ac:dyDescent="0.25">
      <c r="A85" s="496" t="str">
        <f t="shared" si="12"/>
        <v>HPWH - North Classroom</v>
      </c>
      <c r="B85" s="392" t="s">
        <v>476</v>
      </c>
      <c r="C85" s="276">
        <v>51.6</v>
      </c>
      <c r="D85" s="277">
        <f t="shared" si="8"/>
        <v>51839.563499999997</v>
      </c>
      <c r="E85" s="277">
        <f t="shared" si="9"/>
        <v>31103.738099999995</v>
      </c>
      <c r="F85" s="277">
        <f t="shared" si="2"/>
        <v>7233.4274651162787</v>
      </c>
      <c r="G85" s="277">
        <f t="shared" si="10"/>
        <v>40</v>
      </c>
      <c r="H85" s="278">
        <f t="shared" si="11"/>
        <v>1.3099520383693044</v>
      </c>
      <c r="I85" s="277" t="s">
        <v>470</v>
      </c>
      <c r="J85" s="279">
        <v>4.37</v>
      </c>
      <c r="K85" s="280" t="s">
        <v>471</v>
      </c>
      <c r="L85" s="717"/>
    </row>
    <row r="86" spans="1:12" s="227" customFormat="1" x14ac:dyDescent="0.25">
      <c r="A86" s="496" t="str">
        <f t="shared" si="12"/>
        <v>HPWH - North Classroom</v>
      </c>
      <c r="B86" s="392" t="s">
        <v>477</v>
      </c>
      <c r="C86" s="276">
        <v>56.8</v>
      </c>
      <c r="D86" s="277">
        <f t="shared" si="8"/>
        <v>48607.360499999995</v>
      </c>
      <c r="E86" s="277">
        <f t="shared" si="9"/>
        <v>29164.416299999997</v>
      </c>
      <c r="F86" s="277">
        <f t="shared" si="2"/>
        <v>6782.4223953488372</v>
      </c>
      <c r="G86" s="277">
        <f t="shared" si="10"/>
        <v>40</v>
      </c>
      <c r="H86" s="278">
        <f t="shared" si="11"/>
        <v>1.3099520383693044</v>
      </c>
      <c r="I86" s="277" t="s">
        <v>470</v>
      </c>
      <c r="J86" s="279">
        <v>4.37</v>
      </c>
      <c r="K86" s="280" t="s">
        <v>471</v>
      </c>
      <c r="L86" s="717"/>
    </row>
    <row r="87" spans="1:12" s="227" customFormat="1" x14ac:dyDescent="0.25">
      <c r="A87" s="496" t="str">
        <f t="shared" si="12"/>
        <v>HPWH - North Classroom</v>
      </c>
      <c r="B87" s="392" t="s">
        <v>478</v>
      </c>
      <c r="C87" s="276">
        <v>58.4</v>
      </c>
      <c r="D87" s="277">
        <f t="shared" si="8"/>
        <v>47612.836499999998</v>
      </c>
      <c r="E87" s="277">
        <f t="shared" si="9"/>
        <v>28567.701899999996</v>
      </c>
      <c r="F87" s="277">
        <f t="shared" si="2"/>
        <v>6643.6516046511624</v>
      </c>
      <c r="G87" s="277">
        <f t="shared" si="10"/>
        <v>40</v>
      </c>
      <c r="H87" s="278">
        <f t="shared" si="11"/>
        <v>1.3099520383693044</v>
      </c>
      <c r="I87" s="277" t="s">
        <v>470</v>
      </c>
      <c r="J87" s="279">
        <v>4.37</v>
      </c>
      <c r="K87" s="280" t="s">
        <v>471</v>
      </c>
      <c r="L87" s="717"/>
    </row>
    <row r="88" spans="1:12" s="227" customFormat="1" x14ac:dyDescent="0.25">
      <c r="A88" s="496" t="str">
        <f t="shared" si="12"/>
        <v>HPWH - North Classroom</v>
      </c>
      <c r="B88" s="392" t="s">
        <v>479</v>
      </c>
      <c r="C88" s="276">
        <v>58.4</v>
      </c>
      <c r="D88" s="277">
        <f t="shared" si="8"/>
        <v>47612.836499999998</v>
      </c>
      <c r="E88" s="277">
        <f t="shared" si="9"/>
        <v>28567.701899999996</v>
      </c>
      <c r="F88" s="277">
        <f t="shared" si="2"/>
        <v>6643.6516046511624</v>
      </c>
      <c r="G88" s="277">
        <f t="shared" si="10"/>
        <v>40</v>
      </c>
      <c r="H88" s="278">
        <f t="shared" si="11"/>
        <v>1.3099520383693044</v>
      </c>
      <c r="I88" s="277" t="s">
        <v>470</v>
      </c>
      <c r="J88" s="279">
        <v>4.37</v>
      </c>
      <c r="K88" s="280" t="s">
        <v>471</v>
      </c>
      <c r="L88" s="717"/>
    </row>
    <row r="89" spans="1:12" s="227" customFormat="1" x14ac:dyDescent="0.25">
      <c r="A89" s="496" t="str">
        <f t="shared" si="12"/>
        <v>HPWH - North Classroom</v>
      </c>
      <c r="B89" s="392" t="s">
        <v>480</v>
      </c>
      <c r="C89" s="276">
        <v>57.6</v>
      </c>
      <c r="D89" s="277">
        <f t="shared" si="8"/>
        <v>48110.098499999993</v>
      </c>
      <c r="E89" s="277">
        <f t="shared" si="9"/>
        <v>28866.059099999995</v>
      </c>
      <c r="F89" s="277">
        <f t="shared" si="2"/>
        <v>6713.0369999999994</v>
      </c>
      <c r="G89" s="277">
        <f t="shared" si="10"/>
        <v>40</v>
      </c>
      <c r="H89" s="278">
        <f t="shared" si="11"/>
        <v>1.3099520383693044</v>
      </c>
      <c r="I89" s="277" t="s">
        <v>470</v>
      </c>
      <c r="J89" s="279">
        <v>4.37</v>
      </c>
      <c r="K89" s="280" t="s">
        <v>471</v>
      </c>
      <c r="L89" s="717"/>
    </row>
    <row r="90" spans="1:12" s="227" customFormat="1" x14ac:dyDescent="0.25">
      <c r="A90" s="496" t="str">
        <f t="shared" si="12"/>
        <v>HPWH - North Classroom</v>
      </c>
      <c r="B90" s="392" t="s">
        <v>239</v>
      </c>
      <c r="C90" s="276">
        <v>57.1</v>
      </c>
      <c r="D90" s="277">
        <f t="shared" si="8"/>
        <v>48420.887249999992</v>
      </c>
      <c r="E90" s="277">
        <f t="shared" si="9"/>
        <v>29052.532349999994</v>
      </c>
      <c r="F90" s="277">
        <f t="shared" si="2"/>
        <v>6756.4028720930219</v>
      </c>
      <c r="G90" s="277">
        <f t="shared" si="10"/>
        <v>40</v>
      </c>
      <c r="H90" s="278">
        <f t="shared" si="11"/>
        <v>1.3099520383693044</v>
      </c>
      <c r="I90" s="277" t="s">
        <v>470</v>
      </c>
      <c r="J90" s="279">
        <v>4.37</v>
      </c>
      <c r="K90" s="280" t="s">
        <v>471</v>
      </c>
      <c r="L90" s="717"/>
    </row>
    <row r="91" spans="1:12" s="227" customFormat="1" x14ac:dyDescent="0.25">
      <c r="A91" s="496" t="str">
        <f t="shared" si="12"/>
        <v>HPWH - North Classroom</v>
      </c>
      <c r="B91" s="392" t="s">
        <v>240</v>
      </c>
      <c r="C91" s="276">
        <v>50.5</v>
      </c>
      <c r="D91" s="277">
        <f t="shared" si="8"/>
        <v>52523.298749999994</v>
      </c>
      <c r="E91" s="277">
        <f t="shared" si="9"/>
        <v>31513.979249999997</v>
      </c>
      <c r="F91" s="277">
        <f t="shared" si="2"/>
        <v>7328.83238372093</v>
      </c>
      <c r="G91" s="277">
        <f t="shared" si="10"/>
        <v>40</v>
      </c>
      <c r="H91" s="278">
        <f t="shared" si="11"/>
        <v>1.3099520383693044</v>
      </c>
      <c r="I91" s="277" t="s">
        <v>470</v>
      </c>
      <c r="J91" s="279">
        <v>4.37</v>
      </c>
      <c r="K91" s="280" t="s">
        <v>471</v>
      </c>
      <c r="L91" s="717"/>
    </row>
    <row r="92" spans="1:12" s="227" customFormat="1" x14ac:dyDescent="0.25">
      <c r="A92" s="496" t="str">
        <f t="shared" si="12"/>
        <v>HPWH - North Classroom</v>
      </c>
      <c r="B92" s="392" t="s">
        <v>241</v>
      </c>
      <c r="C92" s="276">
        <v>51.4</v>
      </c>
      <c r="D92" s="277">
        <f t="shared" si="8"/>
        <v>51963.878999999994</v>
      </c>
      <c r="E92" s="277">
        <f t="shared" si="9"/>
        <v>31178.327399999995</v>
      </c>
      <c r="F92" s="277">
        <f t="shared" si="2"/>
        <v>7250.7738139534877</v>
      </c>
      <c r="G92" s="277">
        <f t="shared" si="10"/>
        <v>40</v>
      </c>
      <c r="H92" s="278">
        <f t="shared" si="11"/>
        <v>1.3099520383693044</v>
      </c>
      <c r="I92" s="277" t="s">
        <v>470</v>
      </c>
      <c r="J92" s="279">
        <v>4.37</v>
      </c>
      <c r="K92" s="280" t="s">
        <v>471</v>
      </c>
      <c r="L92" s="717"/>
    </row>
    <row r="93" spans="1:12" s="227" customFormat="1" x14ac:dyDescent="0.25">
      <c r="A93" s="496" t="str">
        <f t="shared" si="12"/>
        <v>HPWH - North Classroom</v>
      </c>
      <c r="B93" s="392" t="s">
        <v>242</v>
      </c>
      <c r="C93" s="276">
        <v>51.7</v>
      </c>
      <c r="D93" s="277">
        <f t="shared" si="8"/>
        <v>51777.405749999998</v>
      </c>
      <c r="E93" s="277">
        <f t="shared" si="9"/>
        <v>31066.443449999999</v>
      </c>
      <c r="F93" s="277">
        <f t="shared" si="2"/>
        <v>7224.7542906976742</v>
      </c>
      <c r="G93" s="277">
        <f t="shared" si="10"/>
        <v>40</v>
      </c>
      <c r="H93" s="278">
        <f t="shared" si="11"/>
        <v>1.3099520383693044</v>
      </c>
      <c r="I93" s="277" t="s">
        <v>470</v>
      </c>
      <c r="J93" s="279">
        <v>4.37</v>
      </c>
      <c r="K93" s="280" t="s">
        <v>471</v>
      </c>
      <c r="L93" s="717"/>
    </row>
    <row r="94" spans="1:12" s="227" customFormat="1" x14ac:dyDescent="0.25">
      <c r="A94" s="496" t="str">
        <f t="shared" si="12"/>
        <v>HPWH - North Classroom</v>
      </c>
      <c r="B94" s="392" t="s">
        <v>243</v>
      </c>
      <c r="C94" s="276">
        <v>50.1</v>
      </c>
      <c r="D94" s="277">
        <f t="shared" si="8"/>
        <v>52771.929749999996</v>
      </c>
      <c r="E94" s="277">
        <f t="shared" si="9"/>
        <v>31663.157849999996</v>
      </c>
      <c r="F94" s="277">
        <f t="shared" si="2"/>
        <v>7363.525081395348</v>
      </c>
      <c r="G94" s="277">
        <f t="shared" si="10"/>
        <v>40</v>
      </c>
      <c r="H94" s="278">
        <f t="shared" si="11"/>
        <v>1.3099520383693044</v>
      </c>
      <c r="I94" s="277" t="s">
        <v>470</v>
      </c>
      <c r="J94" s="279">
        <v>4.37</v>
      </c>
      <c r="K94" s="280" t="s">
        <v>471</v>
      </c>
      <c r="L94" s="717"/>
    </row>
    <row r="95" spans="1:12" s="227" customFormat="1" x14ac:dyDescent="0.25">
      <c r="A95" s="496" t="str">
        <f t="shared" si="12"/>
        <v>HPWH - North Classroom</v>
      </c>
      <c r="B95" s="392" t="s">
        <v>244</v>
      </c>
      <c r="C95" s="276">
        <v>63.2</v>
      </c>
      <c r="D95" s="277">
        <f t="shared" si="8"/>
        <v>44629.264499999997</v>
      </c>
      <c r="E95" s="277">
        <f t="shared" si="9"/>
        <v>26777.558699999998</v>
      </c>
      <c r="F95" s="277">
        <f t="shared" si="2"/>
        <v>6227.339232558139</v>
      </c>
      <c r="G95" s="277">
        <f t="shared" si="10"/>
        <v>40</v>
      </c>
      <c r="H95" s="278">
        <f t="shared" si="11"/>
        <v>1.3099520383693044</v>
      </c>
      <c r="I95" s="277" t="s">
        <v>470</v>
      </c>
      <c r="J95" s="279">
        <v>4.37</v>
      </c>
      <c r="K95" s="280" t="s">
        <v>471</v>
      </c>
      <c r="L95" s="717"/>
    </row>
    <row r="96" spans="1:12" s="227" customFormat="1" x14ac:dyDescent="0.25">
      <c r="A96" s="500" t="str">
        <f t="shared" si="12"/>
        <v>HPWH - North Classroom</v>
      </c>
      <c r="B96" s="393" t="s">
        <v>245</v>
      </c>
      <c r="C96" s="325">
        <v>41.4</v>
      </c>
      <c r="D96" s="326">
        <f t="shared" si="8"/>
        <v>58179.653999999995</v>
      </c>
      <c r="E96" s="326">
        <f t="shared" si="9"/>
        <v>34907.792399999998</v>
      </c>
      <c r="F96" s="326">
        <f t="shared" si="2"/>
        <v>8118.0912558139535</v>
      </c>
      <c r="G96" s="326">
        <f t="shared" si="10"/>
        <v>40</v>
      </c>
      <c r="H96" s="327">
        <f t="shared" si="11"/>
        <v>1.3099520383693044</v>
      </c>
      <c r="I96" s="326" t="s">
        <v>470</v>
      </c>
      <c r="J96" s="328">
        <v>4.37</v>
      </c>
      <c r="K96" s="329" t="s">
        <v>471</v>
      </c>
      <c r="L96" s="718"/>
    </row>
    <row r="97" spans="1:12" s="227" customFormat="1" x14ac:dyDescent="0.25">
      <c r="A97" s="499" t="str">
        <f>$A$51</f>
        <v>HPWH - West Classroom</v>
      </c>
      <c r="B97" s="391" t="s">
        <v>469</v>
      </c>
      <c r="C97" s="320">
        <v>47.9</v>
      </c>
      <c r="D97" s="321">
        <f t="shared" ref="D97:D112" si="13">$C$51*($B$54-C97)*$B$56</f>
        <v>54139.400249999992</v>
      </c>
      <c r="E97" s="321">
        <f t="shared" ref="E97:E112" si="14">D97*$B$55</f>
        <v>32483.640149999992</v>
      </c>
      <c r="F97" s="321">
        <f t="shared" ref="F97:F128" si="15">_xlfn.LET(_xlpm.x,_xlfn.XLOOKUP(E97,$C$132:$C$136,$C$132:$C$136,"",1),IF(_xlpm.x="",E97/$B$61,_xlpm.x/$B$61))</f>
        <v>7554.3349186046498</v>
      </c>
      <c r="G97" s="321">
        <f t="shared" ref="G97:G112" si="16">_xlfn.LET(_xlpm.v,MAX(30,$C$51*$B$57),_xlpm.x,_xlfn.XLOOKUP(_xlpm.v,$A$132:$A$136,$A$132:$A$136,"",1),IF(_xlpm.x="",ROUNDUP(_xlpm.v,0),_xlpm.x))</f>
        <v>40</v>
      </c>
      <c r="H97" s="322">
        <f t="shared" ref="H97:H112" si="17">IF(AND(ISNUMBER(J97),G97&gt;0),J97/(0.0834*G97),NA())</f>
        <v>1.3099520383693044</v>
      </c>
      <c r="I97" s="321" t="s">
        <v>470</v>
      </c>
      <c r="J97" s="323">
        <v>4.37</v>
      </c>
      <c r="K97" s="324" t="s">
        <v>471</v>
      </c>
      <c r="L97" s="711" t="s">
        <v>482</v>
      </c>
    </row>
    <row r="98" spans="1:12" s="227" customFormat="1" x14ac:dyDescent="0.25">
      <c r="A98" s="499" t="str">
        <f t="shared" ref="A98:A112" si="18">$A$51</f>
        <v>HPWH - West Classroom</v>
      </c>
      <c r="B98" s="392" t="s">
        <v>473</v>
      </c>
      <c r="C98" s="276">
        <v>50.8</v>
      </c>
      <c r="D98" s="277">
        <f t="shared" si="13"/>
        <v>52336.825499999992</v>
      </c>
      <c r="E98" s="277">
        <f t="shared" si="14"/>
        <v>31402.095299999994</v>
      </c>
      <c r="F98" s="277">
        <f t="shared" si="15"/>
        <v>7302.8128604651147</v>
      </c>
      <c r="G98" s="277">
        <f t="shared" si="16"/>
        <v>40</v>
      </c>
      <c r="H98" s="278">
        <f t="shared" si="17"/>
        <v>1.3099520383693044</v>
      </c>
      <c r="I98" s="277" t="s">
        <v>470</v>
      </c>
      <c r="J98" s="279">
        <v>4.37</v>
      </c>
      <c r="K98" s="280" t="s">
        <v>471</v>
      </c>
      <c r="L98" s="712"/>
    </row>
    <row r="99" spans="1:12" s="227" customFormat="1" x14ac:dyDescent="0.25">
      <c r="A99" s="499" t="str">
        <f t="shared" si="18"/>
        <v>HPWH - West Classroom</v>
      </c>
      <c r="B99" s="392" t="s">
        <v>474</v>
      </c>
      <c r="C99" s="276">
        <v>52.2</v>
      </c>
      <c r="D99" s="277">
        <f t="shared" si="13"/>
        <v>51466.616999999998</v>
      </c>
      <c r="E99" s="277">
        <f t="shared" si="14"/>
        <v>30879.970199999996</v>
      </c>
      <c r="F99" s="277">
        <f t="shared" si="15"/>
        <v>7181.3884186046507</v>
      </c>
      <c r="G99" s="277">
        <f t="shared" si="16"/>
        <v>40</v>
      </c>
      <c r="H99" s="278">
        <f t="shared" si="17"/>
        <v>1.3099520383693044</v>
      </c>
      <c r="I99" s="277" t="s">
        <v>470</v>
      </c>
      <c r="J99" s="279">
        <v>4.37</v>
      </c>
      <c r="K99" s="280" t="s">
        <v>471</v>
      </c>
      <c r="L99" s="712"/>
    </row>
    <row r="100" spans="1:12" s="227" customFormat="1" x14ac:dyDescent="0.25">
      <c r="A100" s="499" t="str">
        <f t="shared" si="18"/>
        <v>HPWH - West Classroom</v>
      </c>
      <c r="B100" s="392" t="s">
        <v>475</v>
      </c>
      <c r="C100" s="276">
        <v>52.7</v>
      </c>
      <c r="D100" s="277">
        <f t="shared" si="13"/>
        <v>51155.828249999991</v>
      </c>
      <c r="E100" s="277">
        <f t="shared" si="14"/>
        <v>30693.496949999993</v>
      </c>
      <c r="F100" s="277">
        <f t="shared" si="15"/>
        <v>7138.0225465116264</v>
      </c>
      <c r="G100" s="277">
        <f t="shared" si="16"/>
        <v>40</v>
      </c>
      <c r="H100" s="278">
        <f t="shared" si="17"/>
        <v>1.3099520383693044</v>
      </c>
      <c r="I100" s="277" t="s">
        <v>470</v>
      </c>
      <c r="J100" s="279">
        <v>4.37</v>
      </c>
      <c r="K100" s="280" t="s">
        <v>471</v>
      </c>
      <c r="L100" s="712"/>
    </row>
    <row r="101" spans="1:12" s="227" customFormat="1" x14ac:dyDescent="0.25">
      <c r="A101" s="499" t="str">
        <f t="shared" si="18"/>
        <v>HPWH - West Classroom</v>
      </c>
      <c r="B101" s="392" t="s">
        <v>476</v>
      </c>
      <c r="C101" s="276">
        <v>51.6</v>
      </c>
      <c r="D101" s="277">
        <f t="shared" si="13"/>
        <v>51839.563499999997</v>
      </c>
      <c r="E101" s="277">
        <f t="shared" si="14"/>
        <v>31103.738099999995</v>
      </c>
      <c r="F101" s="277">
        <f t="shared" si="15"/>
        <v>7233.4274651162787</v>
      </c>
      <c r="G101" s="277">
        <f t="shared" si="16"/>
        <v>40</v>
      </c>
      <c r="H101" s="278">
        <f t="shared" si="17"/>
        <v>1.3099520383693044</v>
      </c>
      <c r="I101" s="277" t="s">
        <v>470</v>
      </c>
      <c r="J101" s="279">
        <v>4.37</v>
      </c>
      <c r="K101" s="280" t="s">
        <v>471</v>
      </c>
      <c r="L101" s="712"/>
    </row>
    <row r="102" spans="1:12" s="227" customFormat="1" x14ac:dyDescent="0.25">
      <c r="A102" s="499" t="str">
        <f t="shared" si="18"/>
        <v>HPWH - West Classroom</v>
      </c>
      <c r="B102" s="392" t="s">
        <v>477</v>
      </c>
      <c r="C102" s="276">
        <v>56.8</v>
      </c>
      <c r="D102" s="277">
        <f t="shared" si="13"/>
        <v>48607.360499999995</v>
      </c>
      <c r="E102" s="277">
        <f t="shared" si="14"/>
        <v>29164.416299999997</v>
      </c>
      <c r="F102" s="277">
        <f t="shared" si="15"/>
        <v>6782.4223953488372</v>
      </c>
      <c r="G102" s="277">
        <f t="shared" si="16"/>
        <v>40</v>
      </c>
      <c r="H102" s="278">
        <f t="shared" si="17"/>
        <v>1.3099520383693044</v>
      </c>
      <c r="I102" s="277" t="s">
        <v>470</v>
      </c>
      <c r="J102" s="279">
        <v>4.37</v>
      </c>
      <c r="K102" s="280" t="s">
        <v>471</v>
      </c>
      <c r="L102" s="712"/>
    </row>
    <row r="103" spans="1:12" s="227" customFormat="1" x14ac:dyDescent="0.25">
      <c r="A103" s="499" t="str">
        <f t="shared" si="18"/>
        <v>HPWH - West Classroom</v>
      </c>
      <c r="B103" s="392" t="s">
        <v>478</v>
      </c>
      <c r="C103" s="276">
        <v>58.4</v>
      </c>
      <c r="D103" s="277">
        <f t="shared" si="13"/>
        <v>47612.836499999998</v>
      </c>
      <c r="E103" s="277">
        <f t="shared" si="14"/>
        <v>28567.701899999996</v>
      </c>
      <c r="F103" s="277">
        <f t="shared" si="15"/>
        <v>6643.6516046511624</v>
      </c>
      <c r="G103" s="277">
        <f t="shared" si="16"/>
        <v>40</v>
      </c>
      <c r="H103" s="278">
        <f t="shared" si="17"/>
        <v>1.3099520383693044</v>
      </c>
      <c r="I103" s="277" t="s">
        <v>470</v>
      </c>
      <c r="J103" s="279">
        <v>4.37</v>
      </c>
      <c r="K103" s="280" t="s">
        <v>471</v>
      </c>
      <c r="L103" s="712"/>
    </row>
    <row r="104" spans="1:12" s="227" customFormat="1" x14ac:dyDescent="0.25">
      <c r="A104" s="499" t="str">
        <f t="shared" si="18"/>
        <v>HPWH - West Classroom</v>
      </c>
      <c r="B104" s="392" t="s">
        <v>479</v>
      </c>
      <c r="C104" s="276">
        <v>58.4</v>
      </c>
      <c r="D104" s="277">
        <f t="shared" si="13"/>
        <v>47612.836499999998</v>
      </c>
      <c r="E104" s="277">
        <f t="shared" si="14"/>
        <v>28567.701899999996</v>
      </c>
      <c r="F104" s="277">
        <f t="shared" si="15"/>
        <v>6643.6516046511624</v>
      </c>
      <c r="G104" s="277">
        <f t="shared" si="16"/>
        <v>40</v>
      </c>
      <c r="H104" s="278">
        <f t="shared" si="17"/>
        <v>1.3099520383693044</v>
      </c>
      <c r="I104" s="277" t="s">
        <v>470</v>
      </c>
      <c r="J104" s="279">
        <v>4.37</v>
      </c>
      <c r="K104" s="280" t="s">
        <v>471</v>
      </c>
      <c r="L104" s="712"/>
    </row>
    <row r="105" spans="1:12" s="227" customFormat="1" x14ac:dyDescent="0.25">
      <c r="A105" s="499" t="str">
        <f t="shared" si="18"/>
        <v>HPWH - West Classroom</v>
      </c>
      <c r="B105" s="392" t="s">
        <v>480</v>
      </c>
      <c r="C105" s="276">
        <v>57.6</v>
      </c>
      <c r="D105" s="277">
        <f t="shared" si="13"/>
        <v>48110.098499999993</v>
      </c>
      <c r="E105" s="277">
        <f t="shared" si="14"/>
        <v>28866.059099999995</v>
      </c>
      <c r="F105" s="277">
        <f t="shared" si="15"/>
        <v>6713.0369999999994</v>
      </c>
      <c r="G105" s="277">
        <f t="shared" si="16"/>
        <v>40</v>
      </c>
      <c r="H105" s="278">
        <f t="shared" si="17"/>
        <v>1.3099520383693044</v>
      </c>
      <c r="I105" s="277" t="s">
        <v>470</v>
      </c>
      <c r="J105" s="279">
        <v>4.37</v>
      </c>
      <c r="K105" s="280" t="s">
        <v>471</v>
      </c>
      <c r="L105" s="712"/>
    </row>
    <row r="106" spans="1:12" s="227" customFormat="1" x14ac:dyDescent="0.25">
      <c r="A106" s="499" t="str">
        <f t="shared" si="18"/>
        <v>HPWH - West Classroom</v>
      </c>
      <c r="B106" s="392" t="s">
        <v>239</v>
      </c>
      <c r="C106" s="276">
        <v>57.1</v>
      </c>
      <c r="D106" s="277">
        <f t="shared" si="13"/>
        <v>48420.887249999992</v>
      </c>
      <c r="E106" s="277">
        <f t="shared" si="14"/>
        <v>29052.532349999994</v>
      </c>
      <c r="F106" s="277">
        <f t="shared" si="15"/>
        <v>6756.4028720930219</v>
      </c>
      <c r="G106" s="277">
        <f t="shared" si="16"/>
        <v>40</v>
      </c>
      <c r="H106" s="278">
        <f t="shared" si="17"/>
        <v>1.3099520383693044</v>
      </c>
      <c r="I106" s="277" t="s">
        <v>470</v>
      </c>
      <c r="J106" s="279">
        <v>4.37</v>
      </c>
      <c r="K106" s="280" t="s">
        <v>471</v>
      </c>
      <c r="L106" s="712"/>
    </row>
    <row r="107" spans="1:12" s="227" customFormat="1" x14ac:dyDescent="0.25">
      <c r="A107" s="499" t="str">
        <f t="shared" si="18"/>
        <v>HPWH - West Classroom</v>
      </c>
      <c r="B107" s="392" t="s">
        <v>240</v>
      </c>
      <c r="C107" s="276">
        <v>50.5</v>
      </c>
      <c r="D107" s="277">
        <f t="shared" si="13"/>
        <v>52523.298749999994</v>
      </c>
      <c r="E107" s="277">
        <f t="shared" si="14"/>
        <v>31513.979249999997</v>
      </c>
      <c r="F107" s="277">
        <f t="shared" si="15"/>
        <v>7328.83238372093</v>
      </c>
      <c r="G107" s="277">
        <f t="shared" si="16"/>
        <v>40</v>
      </c>
      <c r="H107" s="278">
        <f t="shared" si="17"/>
        <v>1.3099520383693044</v>
      </c>
      <c r="I107" s="277" t="s">
        <v>470</v>
      </c>
      <c r="J107" s="279">
        <v>4.37</v>
      </c>
      <c r="K107" s="280" t="s">
        <v>471</v>
      </c>
      <c r="L107" s="712"/>
    </row>
    <row r="108" spans="1:12" s="227" customFormat="1" x14ac:dyDescent="0.25">
      <c r="A108" s="499" t="str">
        <f t="shared" si="18"/>
        <v>HPWH - West Classroom</v>
      </c>
      <c r="B108" s="392" t="s">
        <v>241</v>
      </c>
      <c r="C108" s="276">
        <v>51.4</v>
      </c>
      <c r="D108" s="277">
        <f t="shared" si="13"/>
        <v>51963.878999999994</v>
      </c>
      <c r="E108" s="277">
        <f t="shared" si="14"/>
        <v>31178.327399999995</v>
      </c>
      <c r="F108" s="277">
        <f t="shared" si="15"/>
        <v>7250.7738139534877</v>
      </c>
      <c r="G108" s="277">
        <f t="shared" si="16"/>
        <v>40</v>
      </c>
      <c r="H108" s="278">
        <f t="shared" si="17"/>
        <v>1.3099520383693044</v>
      </c>
      <c r="I108" s="277" t="s">
        <v>470</v>
      </c>
      <c r="J108" s="279">
        <v>4.37</v>
      </c>
      <c r="K108" s="280" t="s">
        <v>471</v>
      </c>
      <c r="L108" s="712"/>
    </row>
    <row r="109" spans="1:12" s="227" customFormat="1" x14ac:dyDescent="0.25">
      <c r="A109" s="499" t="str">
        <f t="shared" si="18"/>
        <v>HPWH - West Classroom</v>
      </c>
      <c r="B109" s="392" t="s">
        <v>242</v>
      </c>
      <c r="C109" s="276">
        <v>51.7</v>
      </c>
      <c r="D109" s="277">
        <f t="shared" si="13"/>
        <v>51777.405749999998</v>
      </c>
      <c r="E109" s="277">
        <f t="shared" si="14"/>
        <v>31066.443449999999</v>
      </c>
      <c r="F109" s="277">
        <f t="shared" si="15"/>
        <v>7224.7542906976742</v>
      </c>
      <c r="G109" s="277">
        <f t="shared" si="16"/>
        <v>40</v>
      </c>
      <c r="H109" s="278">
        <f t="shared" si="17"/>
        <v>1.3099520383693044</v>
      </c>
      <c r="I109" s="277" t="s">
        <v>470</v>
      </c>
      <c r="J109" s="279">
        <v>4.37</v>
      </c>
      <c r="K109" s="280" t="s">
        <v>471</v>
      </c>
      <c r="L109" s="712"/>
    </row>
    <row r="110" spans="1:12" s="227" customFormat="1" x14ac:dyDescent="0.25">
      <c r="A110" s="499" t="str">
        <f t="shared" si="18"/>
        <v>HPWH - West Classroom</v>
      </c>
      <c r="B110" s="392" t="s">
        <v>243</v>
      </c>
      <c r="C110" s="276">
        <v>50.1</v>
      </c>
      <c r="D110" s="277">
        <f t="shared" si="13"/>
        <v>52771.929749999996</v>
      </c>
      <c r="E110" s="277">
        <f t="shared" si="14"/>
        <v>31663.157849999996</v>
      </c>
      <c r="F110" s="277">
        <f t="shared" si="15"/>
        <v>7363.525081395348</v>
      </c>
      <c r="G110" s="277">
        <f t="shared" si="16"/>
        <v>40</v>
      </c>
      <c r="H110" s="278">
        <f t="shared" si="17"/>
        <v>1.3099520383693044</v>
      </c>
      <c r="I110" s="277" t="s">
        <v>470</v>
      </c>
      <c r="J110" s="279">
        <v>4.37</v>
      </c>
      <c r="K110" s="280" t="s">
        <v>471</v>
      </c>
      <c r="L110" s="712"/>
    </row>
    <row r="111" spans="1:12" s="227" customFormat="1" x14ac:dyDescent="0.25">
      <c r="A111" s="499" t="str">
        <f t="shared" si="18"/>
        <v>HPWH - West Classroom</v>
      </c>
      <c r="B111" s="392" t="s">
        <v>244</v>
      </c>
      <c r="C111" s="276">
        <v>63.2</v>
      </c>
      <c r="D111" s="277">
        <f t="shared" si="13"/>
        <v>44629.264499999997</v>
      </c>
      <c r="E111" s="277">
        <f t="shared" si="14"/>
        <v>26777.558699999998</v>
      </c>
      <c r="F111" s="277">
        <f t="shared" si="15"/>
        <v>6227.339232558139</v>
      </c>
      <c r="G111" s="277">
        <f t="shared" si="16"/>
        <v>40</v>
      </c>
      <c r="H111" s="278">
        <f t="shared" si="17"/>
        <v>1.3099520383693044</v>
      </c>
      <c r="I111" s="277" t="s">
        <v>470</v>
      </c>
      <c r="J111" s="279">
        <v>4.37</v>
      </c>
      <c r="K111" s="280" t="s">
        <v>471</v>
      </c>
      <c r="L111" s="712"/>
    </row>
    <row r="112" spans="1:12" s="227" customFormat="1" x14ac:dyDescent="0.25">
      <c r="A112" s="501" t="str">
        <f t="shared" si="18"/>
        <v>HPWH - West Classroom</v>
      </c>
      <c r="B112" s="394" t="s">
        <v>245</v>
      </c>
      <c r="C112" s="315">
        <v>41.4</v>
      </c>
      <c r="D112" s="316">
        <f t="shared" si="13"/>
        <v>58179.653999999995</v>
      </c>
      <c r="E112" s="316">
        <f t="shared" si="14"/>
        <v>34907.792399999998</v>
      </c>
      <c r="F112" s="316">
        <f t="shared" si="15"/>
        <v>8118.0912558139535</v>
      </c>
      <c r="G112" s="316">
        <f t="shared" si="16"/>
        <v>40</v>
      </c>
      <c r="H112" s="317">
        <f t="shared" si="17"/>
        <v>1.3099520383693044</v>
      </c>
      <c r="I112" s="316" t="s">
        <v>470</v>
      </c>
      <c r="J112" s="318">
        <v>4.37</v>
      </c>
      <c r="K112" s="319" t="s">
        <v>471</v>
      </c>
      <c r="L112" s="712"/>
    </row>
    <row r="113" spans="1:12" s="227" customFormat="1" x14ac:dyDescent="0.25">
      <c r="A113" s="496" t="str">
        <f>$A$52</f>
        <v>HPWH - Kindergarten</v>
      </c>
      <c r="B113" s="395" t="s">
        <v>469</v>
      </c>
      <c r="C113" s="369">
        <v>47.9</v>
      </c>
      <c r="D113" s="370">
        <f t="shared" ref="D113:D128" si="19">$C$52*($B$54-C113)*$B$56</f>
        <v>54139.400249999992</v>
      </c>
      <c r="E113" s="370">
        <f t="shared" ref="E113:E128" si="20">D113*$B$55</f>
        <v>32483.640149999992</v>
      </c>
      <c r="F113" s="370">
        <f t="shared" si="15"/>
        <v>7554.3349186046498</v>
      </c>
      <c r="G113" s="370">
        <f t="shared" ref="G113:G128" si="21">_xlfn.LET(_xlpm.v,MAX(30,$C$52*$B$57),_xlpm.x,_xlfn.XLOOKUP(_xlpm.v,$A$132:$A$136,$A$132:$A$136,"",1),IF(_xlpm.x="",ROUNDUP(_xlpm.v,0),_xlpm.x))</f>
        <v>40</v>
      </c>
      <c r="H113" s="371">
        <f t="shared" ref="H113:H128" si="22">IF(AND(ISNUMBER(J113),G113&gt;0),J113/(0.0834*G113),NA())</f>
        <v>1.3099520383693044</v>
      </c>
      <c r="I113" s="370" t="s">
        <v>470</v>
      </c>
      <c r="J113" s="372">
        <v>4.37</v>
      </c>
      <c r="K113" s="373" t="s">
        <v>471</v>
      </c>
      <c r="L113" s="704" t="s">
        <v>483</v>
      </c>
    </row>
    <row r="114" spans="1:12" s="227" customFormat="1" x14ac:dyDescent="0.25">
      <c r="A114" s="496" t="str">
        <f t="shared" ref="A114:A128" si="23">$A$52</f>
        <v>HPWH - Kindergarten</v>
      </c>
      <c r="B114" s="392" t="s">
        <v>473</v>
      </c>
      <c r="C114" s="276">
        <v>50.8</v>
      </c>
      <c r="D114" s="277">
        <f t="shared" si="19"/>
        <v>52336.825499999992</v>
      </c>
      <c r="E114" s="277">
        <f t="shared" si="20"/>
        <v>31402.095299999994</v>
      </c>
      <c r="F114" s="277">
        <f t="shared" si="15"/>
        <v>7302.8128604651147</v>
      </c>
      <c r="G114" s="277">
        <f t="shared" si="21"/>
        <v>40</v>
      </c>
      <c r="H114" s="278">
        <f t="shared" si="22"/>
        <v>1.3099520383693044</v>
      </c>
      <c r="I114" s="277" t="s">
        <v>470</v>
      </c>
      <c r="J114" s="279">
        <v>4.37</v>
      </c>
      <c r="K114" s="280" t="s">
        <v>471</v>
      </c>
      <c r="L114" s="705"/>
    </row>
    <row r="115" spans="1:12" s="227" customFormat="1" x14ac:dyDescent="0.25">
      <c r="A115" s="496" t="str">
        <f t="shared" si="23"/>
        <v>HPWH - Kindergarten</v>
      </c>
      <c r="B115" s="392" t="s">
        <v>474</v>
      </c>
      <c r="C115" s="276">
        <v>52.2</v>
      </c>
      <c r="D115" s="277">
        <f t="shared" si="19"/>
        <v>51466.616999999998</v>
      </c>
      <c r="E115" s="277">
        <f t="shared" si="20"/>
        <v>30879.970199999996</v>
      </c>
      <c r="F115" s="277">
        <f t="shared" si="15"/>
        <v>7181.3884186046507</v>
      </c>
      <c r="G115" s="277">
        <f t="shared" si="21"/>
        <v>40</v>
      </c>
      <c r="H115" s="278">
        <f t="shared" si="22"/>
        <v>1.3099520383693044</v>
      </c>
      <c r="I115" s="277" t="s">
        <v>470</v>
      </c>
      <c r="J115" s="279">
        <v>4.37</v>
      </c>
      <c r="K115" s="280" t="s">
        <v>471</v>
      </c>
      <c r="L115" s="705"/>
    </row>
    <row r="116" spans="1:12" s="227" customFormat="1" x14ac:dyDescent="0.25">
      <c r="A116" s="496" t="str">
        <f t="shared" si="23"/>
        <v>HPWH - Kindergarten</v>
      </c>
      <c r="B116" s="392" t="s">
        <v>475</v>
      </c>
      <c r="C116" s="276">
        <v>52.7</v>
      </c>
      <c r="D116" s="277">
        <f t="shared" si="19"/>
        <v>51155.828249999991</v>
      </c>
      <c r="E116" s="277">
        <f t="shared" si="20"/>
        <v>30693.496949999993</v>
      </c>
      <c r="F116" s="277">
        <f t="shared" si="15"/>
        <v>7138.0225465116264</v>
      </c>
      <c r="G116" s="277">
        <f t="shared" si="21"/>
        <v>40</v>
      </c>
      <c r="H116" s="278">
        <f t="shared" si="22"/>
        <v>1.3099520383693044</v>
      </c>
      <c r="I116" s="277" t="s">
        <v>470</v>
      </c>
      <c r="J116" s="279">
        <v>4.37</v>
      </c>
      <c r="K116" s="280" t="s">
        <v>471</v>
      </c>
      <c r="L116" s="705"/>
    </row>
    <row r="117" spans="1:12" s="227" customFormat="1" x14ac:dyDescent="0.25">
      <c r="A117" s="496" t="str">
        <f t="shared" si="23"/>
        <v>HPWH - Kindergarten</v>
      </c>
      <c r="B117" s="392" t="s">
        <v>476</v>
      </c>
      <c r="C117" s="276">
        <v>51.6</v>
      </c>
      <c r="D117" s="277">
        <f t="shared" si="19"/>
        <v>51839.563499999997</v>
      </c>
      <c r="E117" s="277">
        <f t="shared" si="20"/>
        <v>31103.738099999995</v>
      </c>
      <c r="F117" s="277">
        <f t="shared" si="15"/>
        <v>7233.4274651162787</v>
      </c>
      <c r="G117" s="277">
        <f t="shared" si="21"/>
        <v>40</v>
      </c>
      <c r="H117" s="278">
        <f t="shared" si="22"/>
        <v>1.3099520383693044</v>
      </c>
      <c r="I117" s="277" t="s">
        <v>470</v>
      </c>
      <c r="J117" s="279">
        <v>4.37</v>
      </c>
      <c r="K117" s="280" t="s">
        <v>471</v>
      </c>
      <c r="L117" s="705"/>
    </row>
    <row r="118" spans="1:12" s="227" customFormat="1" x14ac:dyDescent="0.25">
      <c r="A118" s="496" t="str">
        <f t="shared" si="23"/>
        <v>HPWH - Kindergarten</v>
      </c>
      <c r="B118" s="392" t="s">
        <v>477</v>
      </c>
      <c r="C118" s="276">
        <v>56.8</v>
      </c>
      <c r="D118" s="277">
        <f t="shared" si="19"/>
        <v>48607.360499999995</v>
      </c>
      <c r="E118" s="277">
        <f t="shared" si="20"/>
        <v>29164.416299999997</v>
      </c>
      <c r="F118" s="277">
        <f t="shared" si="15"/>
        <v>6782.4223953488372</v>
      </c>
      <c r="G118" s="277">
        <f t="shared" si="21"/>
        <v>40</v>
      </c>
      <c r="H118" s="278">
        <f t="shared" si="22"/>
        <v>1.3099520383693044</v>
      </c>
      <c r="I118" s="277" t="s">
        <v>470</v>
      </c>
      <c r="J118" s="279">
        <v>4.37</v>
      </c>
      <c r="K118" s="280" t="s">
        <v>471</v>
      </c>
      <c r="L118" s="705"/>
    </row>
    <row r="119" spans="1:12" s="227" customFormat="1" x14ac:dyDescent="0.25">
      <c r="A119" s="496" t="str">
        <f t="shared" si="23"/>
        <v>HPWH - Kindergarten</v>
      </c>
      <c r="B119" s="392" t="s">
        <v>478</v>
      </c>
      <c r="C119" s="276">
        <v>58.4</v>
      </c>
      <c r="D119" s="277">
        <f t="shared" si="19"/>
        <v>47612.836499999998</v>
      </c>
      <c r="E119" s="277">
        <f t="shared" si="20"/>
        <v>28567.701899999996</v>
      </c>
      <c r="F119" s="277">
        <f t="shared" si="15"/>
        <v>6643.6516046511624</v>
      </c>
      <c r="G119" s="277">
        <f t="shared" si="21"/>
        <v>40</v>
      </c>
      <c r="H119" s="278">
        <f t="shared" si="22"/>
        <v>1.3099520383693044</v>
      </c>
      <c r="I119" s="277" t="s">
        <v>470</v>
      </c>
      <c r="J119" s="279">
        <v>4.37</v>
      </c>
      <c r="K119" s="280" t="s">
        <v>471</v>
      </c>
      <c r="L119" s="705"/>
    </row>
    <row r="120" spans="1:12" s="227" customFormat="1" x14ac:dyDescent="0.25">
      <c r="A120" s="496" t="str">
        <f t="shared" si="23"/>
        <v>HPWH - Kindergarten</v>
      </c>
      <c r="B120" s="392" t="s">
        <v>479</v>
      </c>
      <c r="C120" s="276">
        <v>58.4</v>
      </c>
      <c r="D120" s="277">
        <f t="shared" si="19"/>
        <v>47612.836499999998</v>
      </c>
      <c r="E120" s="277">
        <f t="shared" si="20"/>
        <v>28567.701899999996</v>
      </c>
      <c r="F120" s="277">
        <f t="shared" si="15"/>
        <v>6643.6516046511624</v>
      </c>
      <c r="G120" s="277">
        <f t="shared" si="21"/>
        <v>40</v>
      </c>
      <c r="H120" s="278">
        <f t="shared" si="22"/>
        <v>1.3099520383693044</v>
      </c>
      <c r="I120" s="277" t="s">
        <v>470</v>
      </c>
      <c r="J120" s="279">
        <v>4.37</v>
      </c>
      <c r="K120" s="280" t="s">
        <v>471</v>
      </c>
      <c r="L120" s="705"/>
    </row>
    <row r="121" spans="1:12" s="227" customFormat="1" x14ac:dyDescent="0.25">
      <c r="A121" s="496" t="str">
        <f t="shared" si="23"/>
        <v>HPWH - Kindergarten</v>
      </c>
      <c r="B121" s="392" t="s">
        <v>480</v>
      </c>
      <c r="C121" s="276">
        <v>57.6</v>
      </c>
      <c r="D121" s="277">
        <f t="shared" si="19"/>
        <v>48110.098499999993</v>
      </c>
      <c r="E121" s="277">
        <f t="shared" si="20"/>
        <v>28866.059099999995</v>
      </c>
      <c r="F121" s="277">
        <f t="shared" si="15"/>
        <v>6713.0369999999994</v>
      </c>
      <c r="G121" s="277">
        <f t="shared" si="21"/>
        <v>40</v>
      </c>
      <c r="H121" s="278">
        <f t="shared" si="22"/>
        <v>1.3099520383693044</v>
      </c>
      <c r="I121" s="277" t="s">
        <v>470</v>
      </c>
      <c r="J121" s="279">
        <v>4.37</v>
      </c>
      <c r="K121" s="280" t="s">
        <v>471</v>
      </c>
      <c r="L121" s="705"/>
    </row>
    <row r="122" spans="1:12" s="227" customFormat="1" x14ac:dyDescent="0.25">
      <c r="A122" s="496" t="str">
        <f t="shared" si="23"/>
        <v>HPWH - Kindergarten</v>
      </c>
      <c r="B122" s="392" t="s">
        <v>239</v>
      </c>
      <c r="C122" s="276">
        <v>57.1</v>
      </c>
      <c r="D122" s="277">
        <f t="shared" si="19"/>
        <v>48420.887249999992</v>
      </c>
      <c r="E122" s="277">
        <f t="shared" si="20"/>
        <v>29052.532349999994</v>
      </c>
      <c r="F122" s="277">
        <f t="shared" si="15"/>
        <v>6756.4028720930219</v>
      </c>
      <c r="G122" s="277">
        <f t="shared" si="21"/>
        <v>40</v>
      </c>
      <c r="H122" s="278">
        <f t="shared" si="22"/>
        <v>1.3099520383693044</v>
      </c>
      <c r="I122" s="277" t="s">
        <v>470</v>
      </c>
      <c r="J122" s="279">
        <v>4.37</v>
      </c>
      <c r="K122" s="280" t="s">
        <v>471</v>
      </c>
      <c r="L122" s="705"/>
    </row>
    <row r="123" spans="1:12" s="227" customFormat="1" x14ac:dyDescent="0.25">
      <c r="A123" s="496" t="str">
        <f t="shared" si="23"/>
        <v>HPWH - Kindergarten</v>
      </c>
      <c r="B123" s="392" t="s">
        <v>240</v>
      </c>
      <c r="C123" s="276">
        <v>50.5</v>
      </c>
      <c r="D123" s="277">
        <f t="shared" si="19"/>
        <v>52523.298749999994</v>
      </c>
      <c r="E123" s="277">
        <f t="shared" si="20"/>
        <v>31513.979249999997</v>
      </c>
      <c r="F123" s="277">
        <f t="shared" si="15"/>
        <v>7328.83238372093</v>
      </c>
      <c r="G123" s="277">
        <f t="shared" si="21"/>
        <v>40</v>
      </c>
      <c r="H123" s="278">
        <f t="shared" si="22"/>
        <v>1.3099520383693044</v>
      </c>
      <c r="I123" s="277" t="s">
        <v>470</v>
      </c>
      <c r="J123" s="279">
        <v>4.37</v>
      </c>
      <c r="K123" s="280" t="s">
        <v>471</v>
      </c>
      <c r="L123" s="705"/>
    </row>
    <row r="124" spans="1:12" s="227" customFormat="1" x14ac:dyDescent="0.25">
      <c r="A124" s="496" t="str">
        <f t="shared" si="23"/>
        <v>HPWH - Kindergarten</v>
      </c>
      <c r="B124" s="392" t="s">
        <v>241</v>
      </c>
      <c r="C124" s="276">
        <v>51.4</v>
      </c>
      <c r="D124" s="277">
        <f t="shared" si="19"/>
        <v>51963.878999999994</v>
      </c>
      <c r="E124" s="277">
        <f t="shared" si="20"/>
        <v>31178.327399999995</v>
      </c>
      <c r="F124" s="277">
        <f t="shared" si="15"/>
        <v>7250.7738139534877</v>
      </c>
      <c r="G124" s="277">
        <f t="shared" si="21"/>
        <v>40</v>
      </c>
      <c r="H124" s="278">
        <f t="shared" si="22"/>
        <v>1.3099520383693044</v>
      </c>
      <c r="I124" s="277" t="s">
        <v>470</v>
      </c>
      <c r="J124" s="279">
        <v>4.37</v>
      </c>
      <c r="K124" s="280" t="s">
        <v>471</v>
      </c>
      <c r="L124" s="705"/>
    </row>
    <row r="125" spans="1:12" s="227" customFormat="1" x14ac:dyDescent="0.25">
      <c r="A125" s="496" t="str">
        <f t="shared" si="23"/>
        <v>HPWH - Kindergarten</v>
      </c>
      <c r="B125" s="392" t="s">
        <v>242</v>
      </c>
      <c r="C125" s="276">
        <v>51.7</v>
      </c>
      <c r="D125" s="277">
        <f t="shared" si="19"/>
        <v>51777.405749999998</v>
      </c>
      <c r="E125" s="277">
        <f t="shared" si="20"/>
        <v>31066.443449999999</v>
      </c>
      <c r="F125" s="277">
        <f t="shared" si="15"/>
        <v>7224.7542906976742</v>
      </c>
      <c r="G125" s="277">
        <f t="shared" si="21"/>
        <v>40</v>
      </c>
      <c r="H125" s="278">
        <f t="shared" si="22"/>
        <v>1.3099520383693044</v>
      </c>
      <c r="I125" s="277" t="s">
        <v>470</v>
      </c>
      <c r="J125" s="279">
        <v>4.37</v>
      </c>
      <c r="K125" s="280" t="s">
        <v>471</v>
      </c>
      <c r="L125" s="705"/>
    </row>
    <row r="126" spans="1:12" s="227" customFormat="1" x14ac:dyDescent="0.25">
      <c r="A126" s="496" t="str">
        <f t="shared" si="23"/>
        <v>HPWH - Kindergarten</v>
      </c>
      <c r="B126" s="392" t="s">
        <v>243</v>
      </c>
      <c r="C126" s="276">
        <v>50.1</v>
      </c>
      <c r="D126" s="277">
        <f t="shared" si="19"/>
        <v>52771.929749999996</v>
      </c>
      <c r="E126" s="277">
        <f t="shared" si="20"/>
        <v>31663.157849999996</v>
      </c>
      <c r="F126" s="277">
        <f t="shared" si="15"/>
        <v>7363.525081395348</v>
      </c>
      <c r="G126" s="277">
        <f t="shared" si="21"/>
        <v>40</v>
      </c>
      <c r="H126" s="278">
        <f t="shared" si="22"/>
        <v>1.3099520383693044</v>
      </c>
      <c r="I126" s="277" t="s">
        <v>470</v>
      </c>
      <c r="J126" s="279">
        <v>4.37</v>
      </c>
      <c r="K126" s="280" t="s">
        <v>471</v>
      </c>
      <c r="L126" s="705"/>
    </row>
    <row r="127" spans="1:12" s="227" customFormat="1" x14ac:dyDescent="0.25">
      <c r="A127" s="496" t="str">
        <f t="shared" si="23"/>
        <v>HPWH - Kindergarten</v>
      </c>
      <c r="B127" s="392" t="s">
        <v>244</v>
      </c>
      <c r="C127" s="276">
        <v>63.2</v>
      </c>
      <c r="D127" s="277">
        <f t="shared" si="19"/>
        <v>44629.264499999997</v>
      </c>
      <c r="E127" s="277">
        <f t="shared" si="20"/>
        <v>26777.558699999998</v>
      </c>
      <c r="F127" s="277">
        <f t="shared" si="15"/>
        <v>6227.339232558139</v>
      </c>
      <c r="G127" s="277">
        <f t="shared" si="21"/>
        <v>40</v>
      </c>
      <c r="H127" s="278">
        <f t="shared" si="22"/>
        <v>1.3099520383693044</v>
      </c>
      <c r="I127" s="277" t="s">
        <v>470</v>
      </c>
      <c r="J127" s="279">
        <v>4.37</v>
      </c>
      <c r="K127" s="280" t="s">
        <v>471</v>
      </c>
      <c r="L127" s="705"/>
    </row>
    <row r="128" spans="1:12" s="227" customFormat="1" x14ac:dyDescent="0.25">
      <c r="A128" s="500" t="str">
        <f t="shared" si="23"/>
        <v>HPWH - Kindergarten</v>
      </c>
      <c r="B128" s="396" t="s">
        <v>245</v>
      </c>
      <c r="C128" s="374">
        <v>41.4</v>
      </c>
      <c r="D128" s="375">
        <f t="shared" si="19"/>
        <v>58179.653999999995</v>
      </c>
      <c r="E128" s="375">
        <f t="shared" si="20"/>
        <v>34907.792399999998</v>
      </c>
      <c r="F128" s="375">
        <f t="shared" si="15"/>
        <v>8118.0912558139535</v>
      </c>
      <c r="G128" s="375">
        <f t="shared" si="21"/>
        <v>40</v>
      </c>
      <c r="H128" s="376">
        <f t="shared" si="22"/>
        <v>1.3099520383693044</v>
      </c>
      <c r="I128" s="375" t="s">
        <v>470</v>
      </c>
      <c r="J128" s="377">
        <v>4.37</v>
      </c>
      <c r="K128" s="378" t="s">
        <v>471</v>
      </c>
      <c r="L128" s="706"/>
    </row>
    <row r="129" spans="1:11" x14ac:dyDescent="0.25">
      <c r="A129" s="220"/>
      <c r="B129" s="220"/>
      <c r="C129" s="221"/>
      <c r="D129" s="221"/>
      <c r="E129" s="221"/>
      <c r="F129" s="221"/>
      <c r="G129" s="222"/>
      <c r="H129" s="67"/>
      <c r="I129" s="67"/>
    </row>
    <row r="130" spans="1:11" s="227" customFormat="1" ht="14.4" customHeight="1" x14ac:dyDescent="0.25">
      <c r="A130" s="719" t="s">
        <v>484</v>
      </c>
      <c r="B130" s="720"/>
      <c r="C130" s="720"/>
      <c r="D130" s="720"/>
      <c r="E130" s="720"/>
      <c r="F130" s="720"/>
      <c r="G130" s="720"/>
      <c r="H130" s="67"/>
    </row>
    <row r="131" spans="1:11" s="233" customFormat="1" ht="14.4" x14ac:dyDescent="0.25">
      <c r="A131" s="909" t="s">
        <v>485</v>
      </c>
      <c r="B131" s="909" t="s">
        <v>486</v>
      </c>
      <c r="C131" s="909" t="s">
        <v>487</v>
      </c>
      <c r="D131" s="909" t="s">
        <v>488</v>
      </c>
      <c r="E131" s="909" t="s">
        <v>489</v>
      </c>
      <c r="F131" s="910" t="s">
        <v>49</v>
      </c>
      <c r="G131" s="911"/>
      <c r="H131" s="330" t="str">
        <f>HYPERLINK("#'Notes'!A1","Sources and links → Notes tab")</f>
        <v>Sources and links → Notes tab</v>
      </c>
    </row>
    <row r="132" spans="1:11" s="227" customFormat="1" x14ac:dyDescent="0.25">
      <c r="A132" s="339">
        <v>40</v>
      </c>
      <c r="B132" s="912" t="s">
        <v>490</v>
      </c>
      <c r="C132" s="340">
        <v>14000</v>
      </c>
      <c r="D132" s="341" t="s">
        <v>491</v>
      </c>
      <c r="E132" s="342">
        <v>3.5</v>
      </c>
      <c r="F132" s="343" t="s">
        <v>492</v>
      </c>
      <c r="G132" s="343"/>
      <c r="H132" s="67"/>
    </row>
    <row r="133" spans="1:11" s="227" customFormat="1" x14ac:dyDescent="0.25">
      <c r="A133" s="339">
        <v>50</v>
      </c>
      <c r="B133" s="912" t="s">
        <v>490</v>
      </c>
      <c r="C133" s="340">
        <v>16000</v>
      </c>
      <c r="D133" s="341" t="s">
        <v>491</v>
      </c>
      <c r="E133" s="342">
        <v>3.75</v>
      </c>
      <c r="F133" s="343" t="s">
        <v>492</v>
      </c>
      <c r="G133" s="343"/>
      <c r="H133" s="67"/>
    </row>
    <row r="134" spans="1:11" s="227" customFormat="1" x14ac:dyDescent="0.25">
      <c r="A134" s="339">
        <v>66</v>
      </c>
      <c r="B134" s="912" t="s">
        <v>490</v>
      </c>
      <c r="C134" s="340">
        <v>18000</v>
      </c>
      <c r="D134" s="341" t="s">
        <v>491</v>
      </c>
      <c r="E134" s="342">
        <v>3.7</v>
      </c>
      <c r="F134" s="343" t="s">
        <v>492</v>
      </c>
      <c r="G134" s="343"/>
      <c r="H134" s="67"/>
    </row>
    <row r="135" spans="1:11" s="227" customFormat="1" x14ac:dyDescent="0.25">
      <c r="A135" s="339">
        <v>80</v>
      </c>
      <c r="B135" s="912" t="s">
        <v>490</v>
      </c>
      <c r="C135" s="340">
        <v>20000</v>
      </c>
      <c r="D135" s="341" t="s">
        <v>491</v>
      </c>
      <c r="E135" s="342">
        <v>3.88</v>
      </c>
      <c r="F135" s="343" t="s">
        <v>492</v>
      </c>
      <c r="G135" s="343"/>
      <c r="H135" s="67"/>
    </row>
    <row r="136" spans="1:11" s="227" customFormat="1" x14ac:dyDescent="0.25">
      <c r="A136" s="339">
        <v>120</v>
      </c>
      <c r="B136" s="912" t="s">
        <v>490</v>
      </c>
      <c r="C136" s="340">
        <v>25000</v>
      </c>
      <c r="D136" s="341" t="s">
        <v>491</v>
      </c>
      <c r="E136" s="342">
        <v>3.5</v>
      </c>
      <c r="F136" s="343" t="s">
        <v>492</v>
      </c>
      <c r="G136" s="343"/>
      <c r="H136" s="67"/>
    </row>
    <row r="137" spans="1:11" x14ac:dyDescent="0.25">
      <c r="A137" s="220"/>
      <c r="B137" s="220"/>
      <c r="C137" s="221"/>
      <c r="D137" s="221"/>
      <c r="E137" s="221"/>
      <c r="F137" s="221"/>
      <c r="G137" s="222"/>
      <c r="H137" s="67"/>
      <c r="I137" s="67"/>
    </row>
    <row r="138" spans="1:11" ht="14.4" x14ac:dyDescent="0.25">
      <c r="A138" s="69"/>
    </row>
    <row r="139" spans="1:11" ht="48" customHeight="1" x14ac:dyDescent="0.25">
      <c r="A139" s="701" t="s">
        <v>493</v>
      </c>
      <c r="B139" s="701"/>
      <c r="C139" s="701"/>
      <c r="D139" s="701"/>
      <c r="E139" s="701"/>
      <c r="F139" s="701"/>
      <c r="G139" s="701"/>
      <c r="H139" s="701"/>
      <c r="I139" s="701"/>
      <c r="J139" s="701"/>
      <c r="K139" s="701"/>
    </row>
    <row r="140" spans="1:11" ht="14.4" x14ac:dyDescent="0.25">
      <c r="A140" s="70"/>
    </row>
    <row r="141" spans="1:11" ht="16.2" thickBot="1" x14ac:dyDescent="0.35">
      <c r="A141" s="726" t="s">
        <v>494</v>
      </c>
      <c r="B141" s="727"/>
      <c r="C141" s="727"/>
      <c r="D141" s="727"/>
      <c r="E141"/>
      <c r="F141"/>
      <c r="G141"/>
    </row>
    <row r="142" spans="1:11" x14ac:dyDescent="0.25">
      <c r="A142" s="338" t="s">
        <v>495</v>
      </c>
      <c r="B142" s="338" t="s">
        <v>496</v>
      </c>
      <c r="C142" s="338" t="s">
        <v>497</v>
      </c>
      <c r="D142" s="338" t="s">
        <v>486</v>
      </c>
    </row>
    <row r="143" spans="1:11" ht="15" customHeight="1" x14ac:dyDescent="0.25">
      <c r="A143" s="531">
        <v>30000</v>
      </c>
      <c r="B143" s="532" t="s">
        <v>498</v>
      </c>
      <c r="C143" s="530">
        <v>30</v>
      </c>
      <c r="D143" s="592" t="s">
        <v>498</v>
      </c>
    </row>
    <row r="144" spans="1:11" ht="15" customHeight="1" x14ac:dyDescent="0.25">
      <c r="A144" s="531">
        <v>32000</v>
      </c>
      <c r="B144" s="532" t="s">
        <v>498</v>
      </c>
      <c r="C144" s="530">
        <v>40</v>
      </c>
      <c r="D144" s="592" t="s">
        <v>498</v>
      </c>
    </row>
    <row r="145" spans="1:4" ht="15" customHeight="1" x14ac:dyDescent="0.25">
      <c r="A145" s="916">
        <v>34000</v>
      </c>
      <c r="B145" s="917" t="s">
        <v>498</v>
      </c>
      <c r="C145" s="530">
        <v>50</v>
      </c>
      <c r="D145" s="592" t="s">
        <v>499</v>
      </c>
    </row>
    <row r="146" spans="1:4" ht="15" customHeight="1" x14ac:dyDescent="0.25">
      <c r="A146" s="918">
        <v>36000</v>
      </c>
      <c r="B146" s="583" t="s">
        <v>498</v>
      </c>
      <c r="C146" s="913">
        <v>55</v>
      </c>
      <c r="D146" s="592" t="s">
        <v>490</v>
      </c>
    </row>
    <row r="147" spans="1:4" ht="15" customHeight="1" x14ac:dyDescent="0.25">
      <c r="A147" s="918">
        <v>38000</v>
      </c>
      <c r="B147" s="583" t="s">
        <v>498</v>
      </c>
      <c r="C147" s="913">
        <v>60</v>
      </c>
      <c r="D147" s="592" t="s">
        <v>499</v>
      </c>
    </row>
    <row r="148" spans="1:4" ht="15" customHeight="1" x14ac:dyDescent="0.25">
      <c r="A148" s="918">
        <v>40000</v>
      </c>
      <c r="B148" s="583" t="s">
        <v>498</v>
      </c>
      <c r="C148" s="913">
        <v>65</v>
      </c>
      <c r="D148" s="592" t="s">
        <v>499</v>
      </c>
    </row>
    <row r="149" spans="1:4" ht="15" customHeight="1" x14ac:dyDescent="0.25">
      <c r="A149" s="918">
        <v>42000</v>
      </c>
      <c r="B149" s="583" t="s">
        <v>498</v>
      </c>
      <c r="C149" s="913">
        <v>75</v>
      </c>
      <c r="D149" s="592" t="s">
        <v>499</v>
      </c>
    </row>
    <row r="150" spans="1:4" ht="15" customHeight="1" x14ac:dyDescent="0.25">
      <c r="A150" s="918">
        <v>50000</v>
      </c>
      <c r="B150" s="583" t="s">
        <v>498</v>
      </c>
      <c r="C150" s="913">
        <v>80</v>
      </c>
      <c r="D150" s="592" t="s">
        <v>499</v>
      </c>
    </row>
    <row r="151" spans="1:4" ht="15" customHeight="1" x14ac:dyDescent="0.25">
      <c r="A151" s="918">
        <v>60000</v>
      </c>
      <c r="B151" s="583" t="s">
        <v>498</v>
      </c>
      <c r="C151" s="913">
        <v>90</v>
      </c>
      <c r="D151" s="592" t="s">
        <v>490</v>
      </c>
    </row>
    <row r="152" spans="1:4" ht="15" customHeight="1" x14ac:dyDescent="0.25">
      <c r="A152" s="918">
        <v>65000</v>
      </c>
      <c r="B152" s="583" t="s">
        <v>498</v>
      </c>
      <c r="C152" s="913">
        <v>100</v>
      </c>
      <c r="D152" s="592" t="s">
        <v>499</v>
      </c>
    </row>
    <row r="153" spans="1:4" ht="15" customHeight="1" x14ac:dyDescent="0.25">
      <c r="A153" s="918">
        <v>75000</v>
      </c>
      <c r="B153" s="583" t="s">
        <v>498</v>
      </c>
      <c r="C153" s="913">
        <v>110</v>
      </c>
      <c r="D153" s="592" t="s">
        <v>490</v>
      </c>
    </row>
    <row r="154" spans="1:4" ht="15" customHeight="1" x14ac:dyDescent="0.25">
      <c r="A154" s="918">
        <v>75100</v>
      </c>
      <c r="B154" s="583" t="s">
        <v>498</v>
      </c>
      <c r="C154" s="914">
        <v>119</v>
      </c>
      <c r="D154" s="535" t="s">
        <v>499</v>
      </c>
    </row>
    <row r="155" spans="1:4" ht="15" customHeight="1" x14ac:dyDescent="0.25">
      <c r="A155" s="918">
        <v>76000</v>
      </c>
      <c r="B155" s="583" t="s">
        <v>499</v>
      </c>
      <c r="C155" s="915">
        <v>120</v>
      </c>
      <c r="D155" s="582" t="s">
        <v>498</v>
      </c>
    </row>
    <row r="156" spans="1:4" ht="15" customHeight="1" x14ac:dyDescent="0.25">
      <c r="A156" s="918">
        <v>80000</v>
      </c>
      <c r="B156" s="583" t="s">
        <v>498</v>
      </c>
      <c r="C156" s="915">
        <v>125</v>
      </c>
      <c r="D156" s="582" t="s">
        <v>490</v>
      </c>
    </row>
    <row r="157" spans="1:4" ht="15" customHeight="1" x14ac:dyDescent="0.25">
      <c r="A157" s="918">
        <v>99900</v>
      </c>
      <c r="B157" s="583" t="s">
        <v>490</v>
      </c>
      <c r="C157" s="533"/>
      <c r="D157" s="534"/>
    </row>
    <row r="158" spans="1:4" ht="15" customHeight="1" x14ac:dyDescent="0.25">
      <c r="A158" s="918">
        <v>100000</v>
      </c>
      <c r="B158" s="583" t="s">
        <v>499</v>
      </c>
      <c r="C158" s="533"/>
      <c r="D158" s="534"/>
    </row>
    <row r="159" spans="1:4" ht="15" customHeight="1" x14ac:dyDescent="0.25">
      <c r="A159" s="918">
        <v>120000</v>
      </c>
      <c r="B159" s="583" t="s">
        <v>499</v>
      </c>
      <c r="C159" s="533"/>
      <c r="D159" s="534"/>
    </row>
    <row r="160" spans="1:4" ht="15" customHeight="1" x14ac:dyDescent="0.25">
      <c r="A160" s="918">
        <v>125000</v>
      </c>
      <c r="B160" s="583" t="s">
        <v>490</v>
      </c>
      <c r="C160" s="533"/>
      <c r="D160" s="534"/>
    </row>
    <row r="161" spans="1:4" ht="15" customHeight="1" x14ac:dyDescent="0.25">
      <c r="A161" s="918">
        <v>130000</v>
      </c>
      <c r="B161" s="583" t="s">
        <v>499</v>
      </c>
      <c r="C161" s="533"/>
      <c r="D161" s="534"/>
    </row>
    <row r="162" spans="1:4" ht="15" customHeight="1" x14ac:dyDescent="0.25">
      <c r="A162" s="918">
        <v>145000</v>
      </c>
      <c r="B162" s="583" t="s">
        <v>490</v>
      </c>
      <c r="C162" s="533"/>
      <c r="D162" s="534"/>
    </row>
    <row r="163" spans="1:4" ht="15" customHeight="1" x14ac:dyDescent="0.25">
      <c r="A163" s="918">
        <v>150000</v>
      </c>
      <c r="B163" s="583" t="s">
        <v>499</v>
      </c>
      <c r="C163" s="533"/>
      <c r="D163" s="534"/>
    </row>
    <row r="164" spans="1:4" ht="15" customHeight="1" x14ac:dyDescent="0.25">
      <c r="A164" s="918">
        <v>154000</v>
      </c>
      <c r="B164" s="583" t="s">
        <v>498</v>
      </c>
      <c r="C164" s="533"/>
      <c r="D164" s="534"/>
    </row>
    <row r="165" spans="1:4" ht="15" customHeight="1" x14ac:dyDescent="0.25">
      <c r="A165" s="918">
        <v>160000</v>
      </c>
      <c r="B165" s="583" t="s">
        <v>490</v>
      </c>
      <c r="C165" s="533"/>
      <c r="D165" s="534"/>
    </row>
    <row r="166" spans="1:4" ht="15" customHeight="1" x14ac:dyDescent="0.25">
      <c r="A166" s="918">
        <v>175000</v>
      </c>
      <c r="B166" s="583" t="s">
        <v>490</v>
      </c>
      <c r="C166" s="533"/>
      <c r="D166" s="534"/>
    </row>
    <row r="167" spans="1:4" ht="15" customHeight="1" x14ac:dyDescent="0.25">
      <c r="A167" s="918">
        <v>180000</v>
      </c>
      <c r="B167" s="583" t="s">
        <v>498</v>
      </c>
      <c r="C167" s="533"/>
      <c r="D167" s="534"/>
    </row>
    <row r="168" spans="1:4" ht="15" customHeight="1" x14ac:dyDescent="0.25">
      <c r="A168" s="918">
        <v>199000</v>
      </c>
      <c r="B168" s="583" t="s">
        <v>499</v>
      </c>
      <c r="C168" s="533"/>
      <c r="D168" s="534"/>
    </row>
    <row r="169" spans="1:4" ht="15" customHeight="1" x14ac:dyDescent="0.25">
      <c r="A169" s="918">
        <v>199900</v>
      </c>
      <c r="B169" s="583" t="s">
        <v>499</v>
      </c>
      <c r="C169" s="533"/>
      <c r="D169" s="534"/>
    </row>
    <row r="170" spans="1:4" ht="15" customHeight="1" x14ac:dyDescent="0.25">
      <c r="A170" s="918">
        <v>200000</v>
      </c>
      <c r="B170" s="583" t="s">
        <v>490</v>
      </c>
      <c r="C170" s="533"/>
      <c r="D170" s="534"/>
    </row>
    <row r="171" spans="1:4" ht="15" customHeight="1" x14ac:dyDescent="0.25">
      <c r="A171" s="918">
        <v>250000</v>
      </c>
      <c r="B171" s="583" t="s">
        <v>499</v>
      </c>
      <c r="C171" s="533"/>
      <c r="D171" s="534"/>
    </row>
    <row r="172" spans="1:4" ht="15" customHeight="1" x14ac:dyDescent="0.25">
      <c r="A172" s="918">
        <v>251000</v>
      </c>
      <c r="B172" s="583" t="s">
        <v>499</v>
      </c>
      <c r="C172" s="533"/>
      <c r="D172" s="534"/>
    </row>
    <row r="173" spans="1:4" ht="15" customHeight="1" x14ac:dyDescent="0.25">
      <c r="A173" s="918">
        <v>275000</v>
      </c>
      <c r="B173" s="583" t="s">
        <v>498</v>
      </c>
      <c r="C173" s="533"/>
      <c r="D173" s="534"/>
    </row>
    <row r="174" spans="1:4" ht="15" customHeight="1" x14ac:dyDescent="0.25">
      <c r="A174" s="918">
        <v>285000</v>
      </c>
      <c r="B174" s="583" t="s">
        <v>490</v>
      </c>
      <c r="C174" s="533"/>
      <c r="D174" s="534"/>
    </row>
    <row r="175" spans="1:4" ht="15" customHeight="1" x14ac:dyDescent="0.25">
      <c r="A175" s="918">
        <v>300000</v>
      </c>
      <c r="B175" s="583" t="s">
        <v>499</v>
      </c>
      <c r="C175" s="533"/>
      <c r="D175" s="534"/>
    </row>
    <row r="176" spans="1:4" ht="15" customHeight="1" x14ac:dyDescent="0.25">
      <c r="A176" s="918">
        <v>305000</v>
      </c>
      <c r="B176" s="583" t="s">
        <v>498</v>
      </c>
      <c r="C176" s="533"/>
      <c r="D176" s="534"/>
    </row>
    <row r="177" spans="1:12" ht="15" customHeight="1" x14ac:dyDescent="0.25">
      <c r="A177" s="918">
        <v>320000</v>
      </c>
      <c r="B177" s="583" t="s">
        <v>490</v>
      </c>
      <c r="C177" s="533"/>
      <c r="D177" s="534"/>
    </row>
    <row r="178" spans="1:12" ht="15" customHeight="1" x14ac:dyDescent="0.25">
      <c r="A178" s="918">
        <v>365000</v>
      </c>
      <c r="B178" s="583" t="s">
        <v>498</v>
      </c>
      <c r="C178" s="533"/>
      <c r="D178" s="534"/>
    </row>
    <row r="179" spans="1:12" ht="15" customHeight="1" x14ac:dyDescent="0.25">
      <c r="A179" s="918">
        <v>390000</v>
      </c>
      <c r="B179" s="583" t="s">
        <v>498</v>
      </c>
      <c r="C179" s="533"/>
      <c r="D179" s="534"/>
    </row>
    <row r="180" spans="1:12" ht="15" customHeight="1" x14ac:dyDescent="0.25">
      <c r="A180" s="918">
        <v>398000</v>
      </c>
      <c r="B180" s="583" t="s">
        <v>490</v>
      </c>
      <c r="C180" s="533"/>
      <c r="D180" s="534"/>
    </row>
    <row r="181" spans="1:12" ht="15" customHeight="1" x14ac:dyDescent="0.25">
      <c r="A181" s="918">
        <v>399000</v>
      </c>
      <c r="B181" s="583" t="s">
        <v>490</v>
      </c>
      <c r="C181" s="533"/>
      <c r="D181" s="534"/>
    </row>
    <row r="182" spans="1:12" ht="15" customHeight="1" x14ac:dyDescent="0.25">
      <c r="A182" s="918">
        <v>399900</v>
      </c>
      <c r="B182" s="583" t="s">
        <v>499</v>
      </c>
      <c r="C182" s="533"/>
      <c r="D182" s="534"/>
    </row>
    <row r="183" spans="1:12" ht="15" customHeight="1" x14ac:dyDescent="0.25">
      <c r="A183" s="918">
        <v>500000</v>
      </c>
      <c r="B183" s="583" t="s">
        <v>498</v>
      </c>
      <c r="C183" s="533"/>
      <c r="D183" s="534"/>
    </row>
    <row r="184" spans="1:12" ht="14.4" x14ac:dyDescent="0.25">
      <c r="A184" s="68"/>
    </row>
    <row r="185" spans="1:12" ht="21" customHeight="1" x14ac:dyDescent="0.25">
      <c r="A185" s="714" t="s">
        <v>500</v>
      </c>
      <c r="B185" s="715"/>
      <c r="C185" s="715"/>
      <c r="D185" s="715"/>
      <c r="E185" s="715"/>
      <c r="F185" s="715"/>
      <c r="G185" s="715"/>
      <c r="H185" s="715"/>
      <c r="I185" s="715"/>
      <c r="J185" s="715"/>
      <c r="K185" s="715"/>
      <c r="L185" s="715"/>
    </row>
    <row r="186" spans="1:12" ht="48" customHeight="1" thickBot="1" x14ac:dyDescent="0.35">
      <c r="A186" s="522" t="s">
        <v>459</v>
      </c>
      <c r="B186" s="338" t="s">
        <v>460</v>
      </c>
      <c r="C186" s="338" t="s">
        <v>461</v>
      </c>
      <c r="D186" s="338" t="s">
        <v>462</v>
      </c>
      <c r="E186" s="338" t="s">
        <v>463</v>
      </c>
      <c r="F186" s="338" t="s">
        <v>501</v>
      </c>
      <c r="G186" s="338" t="s">
        <v>502</v>
      </c>
      <c r="H186" s="731" t="s">
        <v>503</v>
      </c>
      <c r="I186" s="732"/>
      <c r="J186" s="709" t="s">
        <v>504</v>
      </c>
      <c r="K186" s="710"/>
      <c r="L186" s="594" t="s">
        <v>468</v>
      </c>
    </row>
    <row r="187" spans="1:12" x14ac:dyDescent="0.25">
      <c r="A187" s="502" t="s">
        <v>505</v>
      </c>
      <c r="B187" s="503" t="s">
        <v>469</v>
      </c>
      <c r="C187" s="504">
        <v>47.9</v>
      </c>
      <c r="D187" s="505">
        <f>$C$49*($B$54-C187)*$B$56</f>
        <v>54139.400249999992</v>
      </c>
      <c r="E187" s="505">
        <f>D187*$B$55</f>
        <v>32483.640149999992</v>
      </c>
      <c r="F187" s="505">
        <f>_xlfn.LET(_xlpm.x,_xlfn.XLOOKUP(E187/$C$3,$A$143:$A$183,$A$143:$A$183,"",1),IF(_xlpm.x="",ROUNDUP(E187/$C$3,0),_xlpm.x))</f>
        <v>42000</v>
      </c>
      <c r="G187" s="506">
        <f>_xlfn.LET(_xlpm.v,MAX(30,$C$49*$B$57),_xlpm.x,_xlfn.XLOOKUP(_xlpm.v,$C$143:$C$156,$C$143:$C$156,"",1),IF(_xlpm.x="",ROUNDUP(_xlpm.v,0),_xlpm.x))</f>
        <v>30</v>
      </c>
      <c r="H187" s="507">
        <f t="shared" ref="H187:H218" si="24">(F187/800)+110*SQRT(G187)</f>
        <v>654.99481325568274</v>
      </c>
      <c r="I187" s="503" t="s">
        <v>506</v>
      </c>
      <c r="J187" s="507">
        <f t="shared" ref="J187:J218" si="25">H187/70</f>
        <v>9.3570687607954675</v>
      </c>
      <c r="K187" s="503" t="s">
        <v>471</v>
      </c>
      <c r="L187" s="728" t="s">
        <v>507</v>
      </c>
    </row>
    <row r="188" spans="1:12" x14ac:dyDescent="0.25">
      <c r="A188" s="508" t="s">
        <v>505</v>
      </c>
      <c r="B188" s="440" t="s">
        <v>473</v>
      </c>
      <c r="C188" s="443">
        <v>50.8</v>
      </c>
      <c r="D188" s="441">
        <f t="shared" ref="D188:D202" si="26">$C$49*($B$54-C188)*$B$56</f>
        <v>52336.825499999992</v>
      </c>
      <c r="E188" s="441">
        <f t="shared" ref="E188:E202" si="27">D188*$B$55</f>
        <v>31402.095299999994</v>
      </c>
      <c r="F188" s="441">
        <f>_xlfn.LET(_xlpm.x,_xlfn.XLOOKUP(E188/$C$3,$A$143:$A$183,$A$143:$A$183,"",1),IF(_xlpm.x="",ROUNDUP(E188/$C$3,0),_xlpm.x))</f>
        <v>40000</v>
      </c>
      <c r="G188" s="442">
        <f>_xlfn.LET(_xlpm.v,MAX(30,$C$49*$B$57),_xlpm.x,_xlfn.XLOOKUP(_xlpm.v,$C$143:$C$156,$C$143:$C$156,"",1),IF(_xlpm.x="",ROUNDUP(_xlpm.v,0),_xlpm.x))</f>
        <v>30</v>
      </c>
      <c r="H188" s="444">
        <f t="shared" si="24"/>
        <v>652.49481325568274</v>
      </c>
      <c r="I188" s="440" t="s">
        <v>506</v>
      </c>
      <c r="J188" s="444">
        <f t="shared" si="25"/>
        <v>9.3213544750811828</v>
      </c>
      <c r="K188" s="440" t="s">
        <v>471</v>
      </c>
      <c r="L188" s="729"/>
    </row>
    <row r="189" spans="1:12" x14ac:dyDescent="0.25">
      <c r="A189" s="508" t="s">
        <v>505</v>
      </c>
      <c r="B189" s="440" t="s">
        <v>474</v>
      </c>
      <c r="C189" s="443">
        <v>52.2</v>
      </c>
      <c r="D189" s="441">
        <f t="shared" si="26"/>
        <v>51466.616999999998</v>
      </c>
      <c r="E189" s="441">
        <f t="shared" si="27"/>
        <v>30879.970199999996</v>
      </c>
      <c r="F189" s="441">
        <f>_xlfn.LET(_xlpm.x,_xlfn.XLOOKUP(E189/$C$3,$A$143:$A$183,$A$143:$A$183,"",1),IF(_xlpm.x="",ROUNDUP(E189/$C$3,0),_xlpm.x))</f>
        <v>40000</v>
      </c>
      <c r="G189" s="442">
        <f>_xlfn.LET(_xlpm.v,MAX(30,$C$49*$B$57),_xlpm.x,_xlfn.XLOOKUP(_xlpm.v,$C$143:$C$156,$C$143:$C$156,"",1),IF(_xlpm.x="",ROUNDUP(_xlpm.v,0),_xlpm.x))</f>
        <v>30</v>
      </c>
      <c r="H189" s="444">
        <f t="shared" si="24"/>
        <v>652.49481325568274</v>
      </c>
      <c r="I189" s="440" t="s">
        <v>506</v>
      </c>
      <c r="J189" s="444">
        <f t="shared" si="25"/>
        <v>9.3213544750811828</v>
      </c>
      <c r="K189" s="440" t="s">
        <v>471</v>
      </c>
      <c r="L189" s="729"/>
    </row>
    <row r="190" spans="1:12" x14ac:dyDescent="0.25">
      <c r="A190" s="508" t="s">
        <v>505</v>
      </c>
      <c r="B190" s="440" t="s">
        <v>475</v>
      </c>
      <c r="C190" s="443">
        <v>52.7</v>
      </c>
      <c r="D190" s="441">
        <f t="shared" si="26"/>
        <v>51155.828249999991</v>
      </c>
      <c r="E190" s="441">
        <f t="shared" si="27"/>
        <v>30693.496949999993</v>
      </c>
      <c r="F190" s="441">
        <f>_xlfn.LET(_xlpm.x,_xlfn.XLOOKUP(E190/$C$3,$A$143:$A$183,$A$143:$A$183,"",1),IF(_xlpm.x="",ROUNDUP(E190/$C$3,0),_xlpm.x))</f>
        <v>40000</v>
      </c>
      <c r="G190" s="442">
        <f>_xlfn.LET(_xlpm.v,MAX(30,$C$49*$B$57),_xlpm.x,_xlfn.XLOOKUP(_xlpm.v,$C$143:$C$156,$C$143:$C$156,"",1),IF(_xlpm.x="",ROUNDUP(_xlpm.v,0),_xlpm.x))</f>
        <v>30</v>
      </c>
      <c r="H190" s="444">
        <f t="shared" si="24"/>
        <v>652.49481325568274</v>
      </c>
      <c r="I190" s="440" t="s">
        <v>506</v>
      </c>
      <c r="J190" s="444">
        <f t="shared" si="25"/>
        <v>9.3213544750811828</v>
      </c>
      <c r="K190" s="440" t="s">
        <v>471</v>
      </c>
      <c r="L190" s="729"/>
    </row>
    <row r="191" spans="1:12" x14ac:dyDescent="0.25">
      <c r="A191" s="508" t="s">
        <v>505</v>
      </c>
      <c r="B191" s="440" t="s">
        <v>476</v>
      </c>
      <c r="C191" s="443">
        <v>51.6</v>
      </c>
      <c r="D191" s="441">
        <f t="shared" si="26"/>
        <v>51839.563499999997</v>
      </c>
      <c r="E191" s="441">
        <f t="shared" si="27"/>
        <v>31103.738099999995</v>
      </c>
      <c r="F191" s="441">
        <f>_xlfn.LET(_xlpm.x,_xlfn.XLOOKUP(E191/$C$3,$A$143:$A$183,$A$143:$A$183,"",1),IF(_xlpm.x="",ROUNDUP(E191/$C$3,0),_xlpm.x))</f>
        <v>40000</v>
      </c>
      <c r="G191" s="442">
        <f>_xlfn.LET(_xlpm.v,MAX(30,$C$49*$B$57),_xlpm.x,_xlfn.XLOOKUP(_xlpm.v,$C$143:$C$156,$C$143:$C$156,"",1),IF(_xlpm.x="",ROUNDUP(_xlpm.v,0),_xlpm.x))</f>
        <v>30</v>
      </c>
      <c r="H191" s="444">
        <f t="shared" si="24"/>
        <v>652.49481325568274</v>
      </c>
      <c r="I191" s="440" t="s">
        <v>506</v>
      </c>
      <c r="J191" s="444">
        <f t="shared" si="25"/>
        <v>9.3213544750811828</v>
      </c>
      <c r="K191" s="440" t="s">
        <v>471</v>
      </c>
      <c r="L191" s="729"/>
    </row>
    <row r="192" spans="1:12" x14ac:dyDescent="0.25">
      <c r="A192" s="508" t="s">
        <v>505</v>
      </c>
      <c r="B192" s="440" t="s">
        <v>477</v>
      </c>
      <c r="C192" s="443">
        <v>56.8</v>
      </c>
      <c r="D192" s="441">
        <f t="shared" si="26"/>
        <v>48607.360499999995</v>
      </c>
      <c r="E192" s="441">
        <f t="shared" si="27"/>
        <v>29164.416299999997</v>
      </c>
      <c r="F192" s="441">
        <f>_xlfn.LET(_xlpm.x,_xlfn.XLOOKUP(E192/$C$3,$A$143:$A$183,$A$143:$A$183,"",1),IF(_xlpm.x="",ROUNDUP(E192/$C$3,0),_xlpm.x))</f>
        <v>38000</v>
      </c>
      <c r="G192" s="442">
        <f>_xlfn.LET(_xlpm.v,MAX(30,$C$49*$B$57),_xlpm.x,_xlfn.XLOOKUP(_xlpm.v,$C$143:$C$156,$C$143:$C$156,"",1),IF(_xlpm.x="",ROUNDUP(_xlpm.v,0),_xlpm.x))</f>
        <v>30</v>
      </c>
      <c r="H192" s="444">
        <f t="shared" si="24"/>
        <v>649.99481325568274</v>
      </c>
      <c r="I192" s="440" t="s">
        <v>506</v>
      </c>
      <c r="J192" s="444">
        <f t="shared" si="25"/>
        <v>9.2856401893668963</v>
      </c>
      <c r="K192" s="440" t="s">
        <v>471</v>
      </c>
      <c r="L192" s="729"/>
    </row>
    <row r="193" spans="1:12" x14ac:dyDescent="0.25">
      <c r="A193" s="508" t="s">
        <v>505</v>
      </c>
      <c r="B193" s="440" t="s">
        <v>478</v>
      </c>
      <c r="C193" s="443">
        <v>58.4</v>
      </c>
      <c r="D193" s="441">
        <f t="shared" si="26"/>
        <v>47612.836499999998</v>
      </c>
      <c r="E193" s="441">
        <f t="shared" si="27"/>
        <v>28567.701899999996</v>
      </c>
      <c r="F193" s="441">
        <f>_xlfn.LET(_xlpm.x,_xlfn.XLOOKUP(E193/$C$3,$A$143:$A$183,$A$143:$A$183,"",1),IF(_xlpm.x="",ROUNDUP(E193/$C$3,0),_xlpm.x))</f>
        <v>36000</v>
      </c>
      <c r="G193" s="442">
        <f>_xlfn.LET(_xlpm.v,MAX(30,$C$49*$B$57),_xlpm.x,_xlfn.XLOOKUP(_xlpm.v,$C$143:$C$156,$C$143:$C$156,"",1),IF(_xlpm.x="",ROUNDUP(_xlpm.v,0),_xlpm.x))</f>
        <v>30</v>
      </c>
      <c r="H193" s="444">
        <f t="shared" si="24"/>
        <v>647.49481325568274</v>
      </c>
      <c r="I193" s="440" t="s">
        <v>506</v>
      </c>
      <c r="J193" s="444">
        <f t="shared" si="25"/>
        <v>9.2499259036526098</v>
      </c>
      <c r="K193" s="440" t="s">
        <v>471</v>
      </c>
      <c r="L193" s="729"/>
    </row>
    <row r="194" spans="1:12" x14ac:dyDescent="0.25">
      <c r="A194" s="508" t="s">
        <v>505</v>
      </c>
      <c r="B194" s="440" t="s">
        <v>479</v>
      </c>
      <c r="C194" s="443">
        <v>58.4</v>
      </c>
      <c r="D194" s="441">
        <f t="shared" si="26"/>
        <v>47612.836499999998</v>
      </c>
      <c r="E194" s="441">
        <f t="shared" si="27"/>
        <v>28567.701899999996</v>
      </c>
      <c r="F194" s="441">
        <f>_xlfn.LET(_xlpm.x,_xlfn.XLOOKUP(E194/$C$3,$A$143:$A$183,$A$143:$A$183,"",1),IF(_xlpm.x="",ROUNDUP(E194/$C$3,0),_xlpm.x))</f>
        <v>36000</v>
      </c>
      <c r="G194" s="442">
        <f>_xlfn.LET(_xlpm.v,MAX(30,$C$49*$B$57),_xlpm.x,_xlfn.XLOOKUP(_xlpm.v,$C$143:$C$156,$C$143:$C$156,"",1),IF(_xlpm.x="",ROUNDUP(_xlpm.v,0),_xlpm.x))</f>
        <v>30</v>
      </c>
      <c r="H194" s="444">
        <f t="shared" si="24"/>
        <v>647.49481325568274</v>
      </c>
      <c r="I194" s="440" t="s">
        <v>506</v>
      </c>
      <c r="J194" s="444">
        <f t="shared" si="25"/>
        <v>9.2499259036526098</v>
      </c>
      <c r="K194" s="440" t="s">
        <v>471</v>
      </c>
      <c r="L194" s="729"/>
    </row>
    <row r="195" spans="1:12" x14ac:dyDescent="0.25">
      <c r="A195" s="508" t="s">
        <v>505</v>
      </c>
      <c r="B195" s="440" t="s">
        <v>480</v>
      </c>
      <c r="C195" s="443">
        <v>57.6</v>
      </c>
      <c r="D195" s="441">
        <f t="shared" si="26"/>
        <v>48110.098499999993</v>
      </c>
      <c r="E195" s="441">
        <f t="shared" si="27"/>
        <v>28866.059099999995</v>
      </c>
      <c r="F195" s="441">
        <f>_xlfn.LET(_xlpm.x,_xlfn.XLOOKUP(E195/$C$3,$A$143:$A$183,$A$143:$A$183,"",1),IF(_xlpm.x="",ROUNDUP(E195/$C$3,0),_xlpm.x))</f>
        <v>38000</v>
      </c>
      <c r="G195" s="442">
        <f>_xlfn.LET(_xlpm.v,MAX(30,$C$49*$B$57),_xlpm.x,_xlfn.XLOOKUP(_xlpm.v,$C$143:$C$156,$C$143:$C$156,"",1),IF(_xlpm.x="",ROUNDUP(_xlpm.v,0),_xlpm.x))</f>
        <v>30</v>
      </c>
      <c r="H195" s="444">
        <f t="shared" si="24"/>
        <v>649.99481325568274</v>
      </c>
      <c r="I195" s="440" t="s">
        <v>506</v>
      </c>
      <c r="J195" s="444">
        <f t="shared" si="25"/>
        <v>9.2856401893668963</v>
      </c>
      <c r="K195" s="440" t="s">
        <v>471</v>
      </c>
      <c r="L195" s="729"/>
    </row>
    <row r="196" spans="1:12" x14ac:dyDescent="0.25">
      <c r="A196" s="508" t="s">
        <v>505</v>
      </c>
      <c r="B196" s="440" t="s">
        <v>239</v>
      </c>
      <c r="C196" s="443">
        <v>57.1</v>
      </c>
      <c r="D196" s="441">
        <f t="shared" si="26"/>
        <v>48420.887249999992</v>
      </c>
      <c r="E196" s="441">
        <f t="shared" si="27"/>
        <v>29052.532349999994</v>
      </c>
      <c r="F196" s="441">
        <f>_xlfn.LET(_xlpm.x,_xlfn.XLOOKUP(E196/$C$3,$A$143:$A$183,$A$143:$A$183,"",1),IF(_xlpm.x="",ROUNDUP(E196/$C$3,0),_xlpm.x))</f>
        <v>38000</v>
      </c>
      <c r="G196" s="442">
        <f>_xlfn.LET(_xlpm.v,MAX(30,$C$49*$B$57),_xlpm.x,_xlfn.XLOOKUP(_xlpm.v,$C$143:$C$156,$C$143:$C$156,"",1),IF(_xlpm.x="",ROUNDUP(_xlpm.v,0),_xlpm.x))</f>
        <v>30</v>
      </c>
      <c r="H196" s="444">
        <f t="shared" si="24"/>
        <v>649.99481325568274</v>
      </c>
      <c r="I196" s="440" t="s">
        <v>506</v>
      </c>
      <c r="J196" s="444">
        <f t="shared" si="25"/>
        <v>9.2856401893668963</v>
      </c>
      <c r="K196" s="440" t="s">
        <v>471</v>
      </c>
      <c r="L196" s="729"/>
    </row>
    <row r="197" spans="1:12" x14ac:dyDescent="0.25">
      <c r="A197" s="508" t="s">
        <v>505</v>
      </c>
      <c r="B197" s="440" t="s">
        <v>240</v>
      </c>
      <c r="C197" s="443">
        <v>50.5</v>
      </c>
      <c r="D197" s="441">
        <f t="shared" si="26"/>
        <v>52523.298749999994</v>
      </c>
      <c r="E197" s="441">
        <f t="shared" si="27"/>
        <v>31513.979249999997</v>
      </c>
      <c r="F197" s="441">
        <f>_xlfn.LET(_xlpm.x,_xlfn.XLOOKUP(E197/$C$3,$A$143:$A$183,$A$143:$A$183,"",1),IF(_xlpm.x="",ROUNDUP(E197/$C$3,0),_xlpm.x))</f>
        <v>40000</v>
      </c>
      <c r="G197" s="442">
        <f>_xlfn.LET(_xlpm.v,MAX(30,$C$49*$B$57),_xlpm.x,_xlfn.XLOOKUP(_xlpm.v,$C$143:$C$156,$C$143:$C$156,"",1),IF(_xlpm.x="",ROUNDUP(_xlpm.v,0),_xlpm.x))</f>
        <v>30</v>
      </c>
      <c r="H197" s="444">
        <f t="shared" si="24"/>
        <v>652.49481325568274</v>
      </c>
      <c r="I197" s="440" t="s">
        <v>506</v>
      </c>
      <c r="J197" s="444">
        <f t="shared" si="25"/>
        <v>9.3213544750811828</v>
      </c>
      <c r="K197" s="440" t="s">
        <v>471</v>
      </c>
      <c r="L197" s="729"/>
    </row>
    <row r="198" spans="1:12" x14ac:dyDescent="0.25">
      <c r="A198" s="508" t="s">
        <v>505</v>
      </c>
      <c r="B198" s="440" t="s">
        <v>241</v>
      </c>
      <c r="C198" s="443">
        <v>51.4</v>
      </c>
      <c r="D198" s="441">
        <f t="shared" si="26"/>
        <v>51963.878999999994</v>
      </c>
      <c r="E198" s="441">
        <f t="shared" si="27"/>
        <v>31178.327399999995</v>
      </c>
      <c r="F198" s="441">
        <f>_xlfn.LET(_xlpm.x,_xlfn.XLOOKUP(E198/$C$3,$A$143:$A$183,$A$143:$A$183,"",1),IF(_xlpm.x="",ROUNDUP(E198/$C$3,0),_xlpm.x))</f>
        <v>40000</v>
      </c>
      <c r="G198" s="442">
        <f>_xlfn.LET(_xlpm.v,MAX(30,$C$49*$B$57),_xlpm.x,_xlfn.XLOOKUP(_xlpm.v,$C$143:$C$156,$C$143:$C$156,"",1),IF(_xlpm.x="",ROUNDUP(_xlpm.v,0),_xlpm.x))</f>
        <v>30</v>
      </c>
      <c r="H198" s="444">
        <f t="shared" si="24"/>
        <v>652.49481325568274</v>
      </c>
      <c r="I198" s="440" t="s">
        <v>506</v>
      </c>
      <c r="J198" s="444">
        <f t="shared" si="25"/>
        <v>9.3213544750811828</v>
      </c>
      <c r="K198" s="440" t="s">
        <v>471</v>
      </c>
      <c r="L198" s="729"/>
    </row>
    <row r="199" spans="1:12" x14ac:dyDescent="0.25">
      <c r="A199" s="508" t="s">
        <v>505</v>
      </c>
      <c r="B199" s="440" t="s">
        <v>242</v>
      </c>
      <c r="C199" s="443">
        <v>51.7</v>
      </c>
      <c r="D199" s="441">
        <f t="shared" si="26"/>
        <v>51777.405749999998</v>
      </c>
      <c r="E199" s="441">
        <f t="shared" si="27"/>
        <v>31066.443449999999</v>
      </c>
      <c r="F199" s="441">
        <f>_xlfn.LET(_xlpm.x,_xlfn.XLOOKUP(E199/$C$3,$A$143:$A$183,$A$143:$A$183,"",1),IF(_xlpm.x="",ROUNDUP(E199/$C$3,0),_xlpm.x))</f>
        <v>40000</v>
      </c>
      <c r="G199" s="442">
        <f>_xlfn.LET(_xlpm.v,MAX(30,$C$49*$B$57),_xlpm.x,_xlfn.XLOOKUP(_xlpm.v,$C$143:$C$156,$C$143:$C$156,"",1),IF(_xlpm.x="",ROUNDUP(_xlpm.v,0),_xlpm.x))</f>
        <v>30</v>
      </c>
      <c r="H199" s="444">
        <f t="shared" si="24"/>
        <v>652.49481325568274</v>
      </c>
      <c r="I199" s="440" t="s">
        <v>506</v>
      </c>
      <c r="J199" s="444">
        <f t="shared" si="25"/>
        <v>9.3213544750811828</v>
      </c>
      <c r="K199" s="440" t="s">
        <v>471</v>
      </c>
      <c r="L199" s="729"/>
    </row>
    <row r="200" spans="1:12" x14ac:dyDescent="0.25">
      <c r="A200" s="508" t="s">
        <v>505</v>
      </c>
      <c r="B200" s="440" t="s">
        <v>243</v>
      </c>
      <c r="C200" s="443">
        <v>50.1</v>
      </c>
      <c r="D200" s="441">
        <f t="shared" si="26"/>
        <v>52771.929749999996</v>
      </c>
      <c r="E200" s="441">
        <f t="shared" si="27"/>
        <v>31663.157849999996</v>
      </c>
      <c r="F200" s="441">
        <f>_xlfn.LET(_xlpm.x,_xlfn.XLOOKUP(E200/$C$3,$A$143:$A$183,$A$143:$A$183,"",1),IF(_xlpm.x="",ROUNDUP(E200/$C$3,0),_xlpm.x))</f>
        <v>40000</v>
      </c>
      <c r="G200" s="442">
        <f>_xlfn.LET(_xlpm.v,MAX(30,$C$49*$B$57),_xlpm.x,_xlfn.XLOOKUP(_xlpm.v,$C$143:$C$156,$C$143:$C$156,"",1),IF(_xlpm.x="",ROUNDUP(_xlpm.v,0),_xlpm.x))</f>
        <v>30</v>
      </c>
      <c r="H200" s="444">
        <f t="shared" si="24"/>
        <v>652.49481325568274</v>
      </c>
      <c r="I200" s="440" t="s">
        <v>506</v>
      </c>
      <c r="J200" s="444">
        <f t="shared" si="25"/>
        <v>9.3213544750811828</v>
      </c>
      <c r="K200" s="440" t="s">
        <v>471</v>
      </c>
      <c r="L200" s="729"/>
    </row>
    <row r="201" spans="1:12" x14ac:dyDescent="0.25">
      <c r="A201" s="508" t="s">
        <v>505</v>
      </c>
      <c r="B201" s="440" t="s">
        <v>244</v>
      </c>
      <c r="C201" s="443">
        <v>63.2</v>
      </c>
      <c r="D201" s="441">
        <f t="shared" si="26"/>
        <v>44629.264499999997</v>
      </c>
      <c r="E201" s="441">
        <f t="shared" si="27"/>
        <v>26777.558699999998</v>
      </c>
      <c r="F201" s="441">
        <f>_xlfn.LET(_xlpm.x,_xlfn.XLOOKUP(E201/$C$3,$A$143:$A$183,$A$143:$A$183,"",1),IF(_xlpm.x="",ROUNDUP(E201/$C$3,0),_xlpm.x))</f>
        <v>34000</v>
      </c>
      <c r="G201" s="442">
        <f>_xlfn.LET(_xlpm.v,MAX(30,$C$49*$B$57),_xlpm.x,_xlfn.XLOOKUP(_xlpm.v,$C$143:$C$156,$C$143:$C$156,"",1),IF(_xlpm.x="",ROUNDUP(_xlpm.v,0),_xlpm.x))</f>
        <v>30</v>
      </c>
      <c r="H201" s="444">
        <f t="shared" si="24"/>
        <v>644.99481325568274</v>
      </c>
      <c r="I201" s="440" t="s">
        <v>506</v>
      </c>
      <c r="J201" s="444">
        <f t="shared" si="25"/>
        <v>9.2142116179383251</v>
      </c>
      <c r="K201" s="440" t="s">
        <v>471</v>
      </c>
      <c r="L201" s="729"/>
    </row>
    <row r="202" spans="1:12" ht="13.8" thickBot="1" x14ac:dyDescent="0.3">
      <c r="A202" s="528" t="s">
        <v>505</v>
      </c>
      <c r="B202" s="517" t="s">
        <v>245</v>
      </c>
      <c r="C202" s="518">
        <v>41.4</v>
      </c>
      <c r="D202" s="519">
        <f t="shared" si="26"/>
        <v>58179.653999999995</v>
      </c>
      <c r="E202" s="519">
        <f t="shared" si="27"/>
        <v>34907.792399999998</v>
      </c>
      <c r="F202" s="519">
        <f>_xlfn.LET(_xlpm.x,_xlfn.XLOOKUP(E202/$C$3,$A$143:$A$183,$A$143:$A$183,"",1),IF(_xlpm.x="",ROUNDUP(E202/$C$3,0),_xlpm.x))</f>
        <v>50000</v>
      </c>
      <c r="G202" s="520">
        <f>_xlfn.LET(_xlpm.v,MAX(30,$C$49*$B$57),_xlpm.x,_xlfn.XLOOKUP(_xlpm.v,$C$143:$C$156,$C$143:$C$156,"",1),IF(_xlpm.x="",ROUNDUP(_xlpm.v,0),_xlpm.x))</f>
        <v>30</v>
      </c>
      <c r="H202" s="521">
        <f t="shared" si="24"/>
        <v>664.99481325568274</v>
      </c>
      <c r="I202" s="517" t="s">
        <v>506</v>
      </c>
      <c r="J202" s="521">
        <f t="shared" si="25"/>
        <v>9.4999259036526098</v>
      </c>
      <c r="K202" s="517" t="s">
        <v>471</v>
      </c>
      <c r="L202" s="729"/>
    </row>
    <row r="203" spans="1:12" x14ac:dyDescent="0.25">
      <c r="A203" s="502" t="s">
        <v>508</v>
      </c>
      <c r="B203" s="503" t="s">
        <v>469</v>
      </c>
      <c r="C203" s="504">
        <v>47.9</v>
      </c>
      <c r="D203" s="505">
        <f t="shared" ref="D203:D218" si="28">$C$50*($B$54-C203)*$B$56</f>
        <v>54139.400249999992</v>
      </c>
      <c r="E203" s="505">
        <f t="shared" ref="E203:E218" si="29">D203*$B$55</f>
        <v>32483.640149999992</v>
      </c>
      <c r="F203" s="505">
        <f>_xlfn.LET(_xlpm.x,_xlfn.XLOOKUP(E203/$C$3,$A$143:$A$183,$A$143:$A$183,"",1),IF(_xlpm.x="",ROUNDUP(E203/$C$3,0),_xlpm.x))</f>
        <v>42000</v>
      </c>
      <c r="G203" s="506">
        <f>_xlfn.LET(_xlpm.v,MAX(30,$C$50*$B$57),_xlpm.x,_xlfn.XLOOKUP(_xlpm.v,$C$143:$C$156,$C$143:$C$156,"",1),IF(_xlpm.x="",ROUNDUP(_xlpm.v,0),_xlpm.x))</f>
        <v>30</v>
      </c>
      <c r="H203" s="507">
        <f t="shared" si="24"/>
        <v>654.99481325568274</v>
      </c>
      <c r="I203" s="503" t="s">
        <v>506</v>
      </c>
      <c r="J203" s="507">
        <f t="shared" si="25"/>
        <v>9.3570687607954675</v>
      </c>
      <c r="K203" s="503" t="s">
        <v>471</v>
      </c>
      <c r="L203" s="728" t="s">
        <v>507</v>
      </c>
    </row>
    <row r="204" spans="1:12" x14ac:dyDescent="0.25">
      <c r="A204" s="508" t="s">
        <v>508</v>
      </c>
      <c r="B204" s="440" t="s">
        <v>473</v>
      </c>
      <c r="C204" s="443">
        <v>50.8</v>
      </c>
      <c r="D204" s="441">
        <f t="shared" si="28"/>
        <v>52336.825499999992</v>
      </c>
      <c r="E204" s="441">
        <f t="shared" si="29"/>
        <v>31402.095299999994</v>
      </c>
      <c r="F204" s="441">
        <f>_xlfn.LET(_xlpm.x,_xlfn.XLOOKUP(E204/$C$3,$A$143:$A$183,$A$143:$A$183,"",1),IF(_xlpm.x="",ROUNDUP(E204/$C$3,0),_xlpm.x))</f>
        <v>40000</v>
      </c>
      <c r="G204" s="442">
        <f>_xlfn.LET(_xlpm.v,MAX(30,$C$50*$B$57),_xlpm.x,_xlfn.XLOOKUP(_xlpm.v,$C$143:$C$156,$C$143:$C$156,"",1),IF(_xlpm.x="",ROUNDUP(_xlpm.v,0),_xlpm.x))</f>
        <v>30</v>
      </c>
      <c r="H204" s="444">
        <f t="shared" si="24"/>
        <v>652.49481325568274</v>
      </c>
      <c r="I204" s="440" t="s">
        <v>506</v>
      </c>
      <c r="J204" s="444">
        <f t="shared" si="25"/>
        <v>9.3213544750811828</v>
      </c>
      <c r="K204" s="440" t="s">
        <v>471</v>
      </c>
      <c r="L204" s="729"/>
    </row>
    <row r="205" spans="1:12" x14ac:dyDescent="0.25">
      <c r="A205" s="509" t="s">
        <v>508</v>
      </c>
      <c r="B205" s="440" t="s">
        <v>474</v>
      </c>
      <c r="C205" s="443">
        <v>52.2</v>
      </c>
      <c r="D205" s="441">
        <f t="shared" si="28"/>
        <v>51466.616999999998</v>
      </c>
      <c r="E205" s="441">
        <f t="shared" si="29"/>
        <v>30879.970199999996</v>
      </c>
      <c r="F205" s="441">
        <f>_xlfn.LET(_xlpm.x,_xlfn.XLOOKUP(E205/$C$3,$A$143:$A$183,$A$143:$A$183,"",1),IF(_xlpm.x="",ROUNDUP(E205/$C$3,0),_xlpm.x))</f>
        <v>40000</v>
      </c>
      <c r="G205" s="442">
        <f>_xlfn.LET(_xlpm.v,MAX(30,$C$50*$B$57),_xlpm.x,_xlfn.XLOOKUP(_xlpm.v,$C$143:$C$156,$C$143:$C$156,"",1),IF(_xlpm.x="",ROUNDUP(_xlpm.v,0),_xlpm.x))</f>
        <v>30</v>
      </c>
      <c r="H205" s="444">
        <f t="shared" si="24"/>
        <v>652.49481325568274</v>
      </c>
      <c r="I205" s="440" t="s">
        <v>506</v>
      </c>
      <c r="J205" s="444">
        <f t="shared" si="25"/>
        <v>9.3213544750811828</v>
      </c>
      <c r="K205" s="440" t="s">
        <v>471</v>
      </c>
      <c r="L205" s="729"/>
    </row>
    <row r="206" spans="1:12" x14ac:dyDescent="0.25">
      <c r="A206" s="509" t="s">
        <v>508</v>
      </c>
      <c r="B206" s="440" t="s">
        <v>475</v>
      </c>
      <c r="C206" s="443">
        <v>52.7</v>
      </c>
      <c r="D206" s="441">
        <f t="shared" si="28"/>
        <v>51155.828249999991</v>
      </c>
      <c r="E206" s="441">
        <f t="shared" si="29"/>
        <v>30693.496949999993</v>
      </c>
      <c r="F206" s="441">
        <f>_xlfn.LET(_xlpm.x,_xlfn.XLOOKUP(E206/$C$3,$A$143:$A$183,$A$143:$A$183,"",1),IF(_xlpm.x="",ROUNDUP(E206/$C$3,0),_xlpm.x))</f>
        <v>40000</v>
      </c>
      <c r="G206" s="442">
        <f>_xlfn.LET(_xlpm.v,MAX(30,$C$50*$B$57),_xlpm.x,_xlfn.XLOOKUP(_xlpm.v,$C$143:$C$156,$C$143:$C$156,"",1),IF(_xlpm.x="",ROUNDUP(_xlpm.v,0),_xlpm.x))</f>
        <v>30</v>
      </c>
      <c r="H206" s="444">
        <f t="shared" si="24"/>
        <v>652.49481325568274</v>
      </c>
      <c r="I206" s="440" t="s">
        <v>506</v>
      </c>
      <c r="J206" s="444">
        <f t="shared" si="25"/>
        <v>9.3213544750811828</v>
      </c>
      <c r="K206" s="440" t="s">
        <v>471</v>
      </c>
      <c r="L206" s="729"/>
    </row>
    <row r="207" spans="1:12" x14ac:dyDescent="0.25">
      <c r="A207" s="509" t="s">
        <v>508</v>
      </c>
      <c r="B207" s="440" t="s">
        <v>476</v>
      </c>
      <c r="C207" s="443">
        <v>51.6</v>
      </c>
      <c r="D207" s="441">
        <f t="shared" si="28"/>
        <v>51839.563499999997</v>
      </c>
      <c r="E207" s="441">
        <f t="shared" si="29"/>
        <v>31103.738099999995</v>
      </c>
      <c r="F207" s="441">
        <f>_xlfn.LET(_xlpm.x,_xlfn.XLOOKUP(E207/$C$3,$A$143:$A$183,$A$143:$A$183,"",1),IF(_xlpm.x="",ROUNDUP(E207/$C$3,0),_xlpm.x))</f>
        <v>40000</v>
      </c>
      <c r="G207" s="442">
        <f>_xlfn.LET(_xlpm.v,MAX(30,$C$50*$B$57),_xlpm.x,_xlfn.XLOOKUP(_xlpm.v,$C$143:$C$156,$C$143:$C$156,"",1),IF(_xlpm.x="",ROUNDUP(_xlpm.v,0),_xlpm.x))</f>
        <v>30</v>
      </c>
      <c r="H207" s="444">
        <f t="shared" si="24"/>
        <v>652.49481325568274</v>
      </c>
      <c r="I207" s="440" t="s">
        <v>506</v>
      </c>
      <c r="J207" s="444">
        <f t="shared" si="25"/>
        <v>9.3213544750811828</v>
      </c>
      <c r="K207" s="440" t="s">
        <v>471</v>
      </c>
      <c r="L207" s="729"/>
    </row>
    <row r="208" spans="1:12" x14ac:dyDescent="0.25">
      <c r="A208" s="509" t="s">
        <v>508</v>
      </c>
      <c r="B208" s="440" t="s">
        <v>477</v>
      </c>
      <c r="C208" s="443">
        <v>56.8</v>
      </c>
      <c r="D208" s="441">
        <f t="shared" si="28"/>
        <v>48607.360499999995</v>
      </c>
      <c r="E208" s="441">
        <f t="shared" si="29"/>
        <v>29164.416299999997</v>
      </c>
      <c r="F208" s="441">
        <f>_xlfn.LET(_xlpm.x,_xlfn.XLOOKUP(E208/$C$3,$A$143:$A$183,$A$143:$A$183,"",1),IF(_xlpm.x="",ROUNDUP(E208/$C$3,0),_xlpm.x))</f>
        <v>38000</v>
      </c>
      <c r="G208" s="442">
        <f>_xlfn.LET(_xlpm.v,MAX(30,$C$50*$B$57),_xlpm.x,_xlfn.XLOOKUP(_xlpm.v,$C$143:$C$156,$C$143:$C$156,"",1),IF(_xlpm.x="",ROUNDUP(_xlpm.v,0),_xlpm.x))</f>
        <v>30</v>
      </c>
      <c r="H208" s="444">
        <f t="shared" si="24"/>
        <v>649.99481325568274</v>
      </c>
      <c r="I208" s="440" t="s">
        <v>506</v>
      </c>
      <c r="J208" s="444">
        <f t="shared" si="25"/>
        <v>9.2856401893668963</v>
      </c>
      <c r="K208" s="440" t="s">
        <v>471</v>
      </c>
      <c r="L208" s="729"/>
    </row>
    <row r="209" spans="1:12" x14ac:dyDescent="0.25">
      <c r="A209" s="509" t="s">
        <v>508</v>
      </c>
      <c r="B209" s="440" t="s">
        <v>478</v>
      </c>
      <c r="C209" s="443">
        <v>58.4</v>
      </c>
      <c r="D209" s="441">
        <f t="shared" si="28"/>
        <v>47612.836499999998</v>
      </c>
      <c r="E209" s="441">
        <f t="shared" si="29"/>
        <v>28567.701899999996</v>
      </c>
      <c r="F209" s="441">
        <f>_xlfn.LET(_xlpm.x,_xlfn.XLOOKUP(E209/$C$3,$A$143:$A$183,$A$143:$A$183,"",1),IF(_xlpm.x="",ROUNDUP(E209/$C$3,0),_xlpm.x))</f>
        <v>36000</v>
      </c>
      <c r="G209" s="442">
        <f>_xlfn.LET(_xlpm.v,MAX(30,$C$50*$B$57),_xlpm.x,_xlfn.XLOOKUP(_xlpm.v,$C$143:$C$156,$C$143:$C$156,"",1),IF(_xlpm.x="",ROUNDUP(_xlpm.v,0),_xlpm.x))</f>
        <v>30</v>
      </c>
      <c r="H209" s="444">
        <f t="shared" si="24"/>
        <v>647.49481325568274</v>
      </c>
      <c r="I209" s="440" t="s">
        <v>506</v>
      </c>
      <c r="J209" s="444">
        <f t="shared" si="25"/>
        <v>9.2499259036526098</v>
      </c>
      <c r="K209" s="440" t="s">
        <v>471</v>
      </c>
      <c r="L209" s="729"/>
    </row>
    <row r="210" spans="1:12" x14ac:dyDescent="0.25">
      <c r="A210" s="508" t="s">
        <v>508</v>
      </c>
      <c r="B210" s="440" t="s">
        <v>479</v>
      </c>
      <c r="C210" s="443">
        <v>58.4</v>
      </c>
      <c r="D210" s="441">
        <f t="shared" si="28"/>
        <v>47612.836499999998</v>
      </c>
      <c r="E210" s="441">
        <f t="shared" si="29"/>
        <v>28567.701899999996</v>
      </c>
      <c r="F210" s="441">
        <f>_xlfn.LET(_xlpm.x,_xlfn.XLOOKUP(E210/$C$3,$A$143:$A$183,$A$143:$A$183,"",1),IF(_xlpm.x="",ROUNDUP(E210/$C$3,0),_xlpm.x))</f>
        <v>36000</v>
      </c>
      <c r="G210" s="442">
        <f>_xlfn.LET(_xlpm.v,MAX(30,$C$50*$B$57),_xlpm.x,_xlfn.XLOOKUP(_xlpm.v,$C$143:$C$156,$C$143:$C$156,"",1),IF(_xlpm.x="",ROUNDUP(_xlpm.v,0),_xlpm.x))</f>
        <v>30</v>
      </c>
      <c r="H210" s="444">
        <f t="shared" si="24"/>
        <v>647.49481325568274</v>
      </c>
      <c r="I210" s="440" t="s">
        <v>506</v>
      </c>
      <c r="J210" s="444">
        <f t="shared" si="25"/>
        <v>9.2499259036526098</v>
      </c>
      <c r="K210" s="440" t="s">
        <v>471</v>
      </c>
      <c r="L210" s="729"/>
    </row>
    <row r="211" spans="1:12" x14ac:dyDescent="0.25">
      <c r="A211" s="508" t="s">
        <v>508</v>
      </c>
      <c r="B211" s="440" t="s">
        <v>480</v>
      </c>
      <c r="C211" s="443">
        <v>57.6</v>
      </c>
      <c r="D211" s="441">
        <f t="shared" si="28"/>
        <v>48110.098499999993</v>
      </c>
      <c r="E211" s="441">
        <f t="shared" si="29"/>
        <v>28866.059099999995</v>
      </c>
      <c r="F211" s="441">
        <f>_xlfn.LET(_xlpm.x,_xlfn.XLOOKUP(E211/$C$3,$A$143:$A$183,$A$143:$A$183,"",1),IF(_xlpm.x="",ROUNDUP(E211/$C$3,0),_xlpm.x))</f>
        <v>38000</v>
      </c>
      <c r="G211" s="442">
        <f>_xlfn.LET(_xlpm.v,MAX(30,$C$50*$B$57),_xlpm.x,_xlfn.XLOOKUP(_xlpm.v,$C$143:$C$156,$C$143:$C$156,"",1),IF(_xlpm.x="",ROUNDUP(_xlpm.v,0),_xlpm.x))</f>
        <v>30</v>
      </c>
      <c r="H211" s="444">
        <f t="shared" si="24"/>
        <v>649.99481325568274</v>
      </c>
      <c r="I211" s="440" t="s">
        <v>506</v>
      </c>
      <c r="J211" s="444">
        <f t="shared" si="25"/>
        <v>9.2856401893668963</v>
      </c>
      <c r="K211" s="440" t="s">
        <v>471</v>
      </c>
      <c r="L211" s="729"/>
    </row>
    <row r="212" spans="1:12" x14ac:dyDescent="0.25">
      <c r="A212" s="509" t="s">
        <v>508</v>
      </c>
      <c r="B212" s="440" t="s">
        <v>239</v>
      </c>
      <c r="C212" s="443">
        <v>57.1</v>
      </c>
      <c r="D212" s="441">
        <f t="shared" si="28"/>
        <v>48420.887249999992</v>
      </c>
      <c r="E212" s="441">
        <f t="shared" si="29"/>
        <v>29052.532349999994</v>
      </c>
      <c r="F212" s="441">
        <f>_xlfn.LET(_xlpm.x,_xlfn.XLOOKUP(E212/$C$3,$A$143:$A$183,$A$143:$A$183,"",1),IF(_xlpm.x="",ROUNDUP(E212/$C$3,0),_xlpm.x))</f>
        <v>38000</v>
      </c>
      <c r="G212" s="442">
        <f>_xlfn.LET(_xlpm.v,MAX(30,$C$50*$B$57),_xlpm.x,_xlfn.XLOOKUP(_xlpm.v,$C$143:$C$156,$C$143:$C$156,"",1),IF(_xlpm.x="",ROUNDUP(_xlpm.v,0),_xlpm.x))</f>
        <v>30</v>
      </c>
      <c r="H212" s="444">
        <f t="shared" si="24"/>
        <v>649.99481325568274</v>
      </c>
      <c r="I212" s="440" t="s">
        <v>506</v>
      </c>
      <c r="J212" s="444">
        <f t="shared" si="25"/>
        <v>9.2856401893668963</v>
      </c>
      <c r="K212" s="440" t="s">
        <v>471</v>
      </c>
      <c r="L212" s="729"/>
    </row>
    <row r="213" spans="1:12" x14ac:dyDescent="0.25">
      <c r="A213" s="509" t="s">
        <v>508</v>
      </c>
      <c r="B213" s="440" t="s">
        <v>240</v>
      </c>
      <c r="C213" s="443">
        <v>50.5</v>
      </c>
      <c r="D213" s="441">
        <f t="shared" si="28"/>
        <v>52523.298749999994</v>
      </c>
      <c r="E213" s="441">
        <f t="shared" si="29"/>
        <v>31513.979249999997</v>
      </c>
      <c r="F213" s="441">
        <f>_xlfn.LET(_xlpm.x,_xlfn.XLOOKUP(E213/$C$3,$A$143:$A$183,$A$143:$A$183,"",1),IF(_xlpm.x="",ROUNDUP(E213/$C$3,0),_xlpm.x))</f>
        <v>40000</v>
      </c>
      <c r="G213" s="442">
        <f>_xlfn.LET(_xlpm.v,MAX(30,$C$50*$B$57),_xlpm.x,_xlfn.XLOOKUP(_xlpm.v,$C$143:$C$156,$C$143:$C$156,"",1),IF(_xlpm.x="",ROUNDUP(_xlpm.v,0),_xlpm.x))</f>
        <v>30</v>
      </c>
      <c r="H213" s="444">
        <f t="shared" si="24"/>
        <v>652.49481325568274</v>
      </c>
      <c r="I213" s="440" t="s">
        <v>506</v>
      </c>
      <c r="J213" s="444">
        <f t="shared" si="25"/>
        <v>9.3213544750811828</v>
      </c>
      <c r="K213" s="440" t="s">
        <v>471</v>
      </c>
      <c r="L213" s="729"/>
    </row>
    <row r="214" spans="1:12" x14ac:dyDescent="0.25">
      <c r="A214" s="509" t="s">
        <v>508</v>
      </c>
      <c r="B214" s="440" t="s">
        <v>241</v>
      </c>
      <c r="C214" s="443">
        <v>51.4</v>
      </c>
      <c r="D214" s="441">
        <f t="shared" si="28"/>
        <v>51963.878999999994</v>
      </c>
      <c r="E214" s="441">
        <f t="shared" si="29"/>
        <v>31178.327399999995</v>
      </c>
      <c r="F214" s="441">
        <f>_xlfn.LET(_xlpm.x,_xlfn.XLOOKUP(E214/$C$3,$A$143:$A$183,$A$143:$A$183,"",1),IF(_xlpm.x="",ROUNDUP(E214/$C$3,0),_xlpm.x))</f>
        <v>40000</v>
      </c>
      <c r="G214" s="442">
        <f>_xlfn.LET(_xlpm.v,MAX(30,$C$50*$B$57),_xlpm.x,_xlfn.XLOOKUP(_xlpm.v,$C$143:$C$156,$C$143:$C$156,"",1),IF(_xlpm.x="",ROUNDUP(_xlpm.v,0),_xlpm.x))</f>
        <v>30</v>
      </c>
      <c r="H214" s="444">
        <f t="shared" si="24"/>
        <v>652.49481325568274</v>
      </c>
      <c r="I214" s="440" t="s">
        <v>506</v>
      </c>
      <c r="J214" s="444">
        <f t="shared" si="25"/>
        <v>9.3213544750811828</v>
      </c>
      <c r="K214" s="440" t="s">
        <v>471</v>
      </c>
      <c r="L214" s="729"/>
    </row>
    <row r="215" spans="1:12" x14ac:dyDescent="0.25">
      <c r="A215" s="509" t="s">
        <v>508</v>
      </c>
      <c r="B215" s="440" t="s">
        <v>242</v>
      </c>
      <c r="C215" s="443">
        <v>51.7</v>
      </c>
      <c r="D215" s="441">
        <f t="shared" si="28"/>
        <v>51777.405749999998</v>
      </c>
      <c r="E215" s="441">
        <f t="shared" si="29"/>
        <v>31066.443449999999</v>
      </c>
      <c r="F215" s="441">
        <f>_xlfn.LET(_xlpm.x,_xlfn.XLOOKUP(E215/$C$3,$A$143:$A$183,$A$143:$A$183,"",1),IF(_xlpm.x="",ROUNDUP(E215/$C$3,0),_xlpm.x))</f>
        <v>40000</v>
      </c>
      <c r="G215" s="442">
        <f>_xlfn.LET(_xlpm.v,MAX(30,$C$50*$B$57),_xlpm.x,_xlfn.XLOOKUP(_xlpm.v,$C$143:$C$156,$C$143:$C$156,"",1),IF(_xlpm.x="",ROUNDUP(_xlpm.v,0),_xlpm.x))</f>
        <v>30</v>
      </c>
      <c r="H215" s="444">
        <f t="shared" si="24"/>
        <v>652.49481325568274</v>
      </c>
      <c r="I215" s="440" t="s">
        <v>506</v>
      </c>
      <c r="J215" s="444">
        <f t="shared" si="25"/>
        <v>9.3213544750811828</v>
      </c>
      <c r="K215" s="440" t="s">
        <v>471</v>
      </c>
      <c r="L215" s="729"/>
    </row>
    <row r="216" spans="1:12" x14ac:dyDescent="0.25">
      <c r="A216" s="509" t="s">
        <v>508</v>
      </c>
      <c r="B216" s="440" t="s">
        <v>243</v>
      </c>
      <c r="C216" s="443">
        <v>50.1</v>
      </c>
      <c r="D216" s="441">
        <f t="shared" si="28"/>
        <v>52771.929749999996</v>
      </c>
      <c r="E216" s="441">
        <f t="shared" si="29"/>
        <v>31663.157849999996</v>
      </c>
      <c r="F216" s="441">
        <f>_xlfn.LET(_xlpm.x,_xlfn.XLOOKUP(E216/$C$3,$A$143:$A$183,$A$143:$A$183,"",1),IF(_xlpm.x="",ROUNDUP(E216/$C$3,0),_xlpm.x))</f>
        <v>40000</v>
      </c>
      <c r="G216" s="442">
        <f>_xlfn.LET(_xlpm.v,MAX(30,$C$50*$B$57),_xlpm.x,_xlfn.XLOOKUP(_xlpm.v,$C$143:$C$156,$C$143:$C$156,"",1),IF(_xlpm.x="",ROUNDUP(_xlpm.v,0),_xlpm.x))</f>
        <v>30</v>
      </c>
      <c r="H216" s="444">
        <f t="shared" si="24"/>
        <v>652.49481325568274</v>
      </c>
      <c r="I216" s="440" t="s">
        <v>506</v>
      </c>
      <c r="J216" s="444">
        <f t="shared" si="25"/>
        <v>9.3213544750811828</v>
      </c>
      <c r="K216" s="440" t="s">
        <v>471</v>
      </c>
      <c r="L216" s="729"/>
    </row>
    <row r="217" spans="1:12" x14ac:dyDescent="0.25">
      <c r="A217" s="509" t="s">
        <v>508</v>
      </c>
      <c r="B217" s="440" t="s">
        <v>244</v>
      </c>
      <c r="C217" s="443">
        <v>63.2</v>
      </c>
      <c r="D217" s="441">
        <f t="shared" si="28"/>
        <v>44629.264499999997</v>
      </c>
      <c r="E217" s="441">
        <f t="shared" si="29"/>
        <v>26777.558699999998</v>
      </c>
      <c r="F217" s="441">
        <f>_xlfn.LET(_xlpm.x,_xlfn.XLOOKUP(E217/$C$3,$A$143:$A$183,$A$143:$A$183,"",1),IF(_xlpm.x="",ROUNDUP(E217/$C$3,0),_xlpm.x))</f>
        <v>34000</v>
      </c>
      <c r="G217" s="442">
        <f>_xlfn.LET(_xlpm.v,MAX(30,$C$50*$B$57),_xlpm.x,_xlfn.XLOOKUP(_xlpm.v,$C$143:$C$156,$C$143:$C$156,"",1),IF(_xlpm.x="",ROUNDUP(_xlpm.v,0),_xlpm.x))</f>
        <v>30</v>
      </c>
      <c r="H217" s="444">
        <f t="shared" si="24"/>
        <v>644.99481325568274</v>
      </c>
      <c r="I217" s="440" t="s">
        <v>506</v>
      </c>
      <c r="J217" s="444">
        <f t="shared" si="25"/>
        <v>9.2142116179383251</v>
      </c>
      <c r="K217" s="440" t="s">
        <v>471</v>
      </c>
      <c r="L217" s="729"/>
    </row>
    <row r="218" spans="1:12" ht="13.8" thickBot="1" x14ac:dyDescent="0.3">
      <c r="A218" s="510" t="s">
        <v>508</v>
      </c>
      <c r="B218" s="511" t="s">
        <v>245</v>
      </c>
      <c r="C218" s="512">
        <v>41.4</v>
      </c>
      <c r="D218" s="513">
        <f t="shared" si="28"/>
        <v>58179.653999999995</v>
      </c>
      <c r="E218" s="513">
        <f t="shared" si="29"/>
        <v>34907.792399999998</v>
      </c>
      <c r="F218" s="513">
        <f>_xlfn.LET(_xlpm.x,_xlfn.XLOOKUP(E218/$C$3,$A$143:$A$183,$A$143:$A$183,"",1),IF(_xlpm.x="",ROUNDUP(E218/$C$3,0),_xlpm.x))</f>
        <v>50000</v>
      </c>
      <c r="G218" s="514">
        <f>_xlfn.LET(_xlpm.v,MAX(30,$C$50*$B$57),_xlpm.x,_xlfn.XLOOKUP(_xlpm.v,$C$143:$C$156,$C$143:$C$156,"",1),IF(_xlpm.x="",ROUNDUP(_xlpm.v,0),_xlpm.x))</f>
        <v>30</v>
      </c>
      <c r="H218" s="515">
        <f t="shared" si="24"/>
        <v>664.99481325568274</v>
      </c>
      <c r="I218" s="511" t="s">
        <v>506</v>
      </c>
      <c r="J218" s="515">
        <f t="shared" si="25"/>
        <v>9.4999259036526098</v>
      </c>
      <c r="K218" s="511" t="s">
        <v>471</v>
      </c>
      <c r="L218" s="730"/>
    </row>
    <row r="219" spans="1:12" x14ac:dyDescent="0.25">
      <c r="A219" s="529" t="s">
        <v>509</v>
      </c>
      <c r="B219" s="523" t="s">
        <v>469</v>
      </c>
      <c r="C219" s="524">
        <v>47.9</v>
      </c>
      <c r="D219" s="525">
        <f t="shared" ref="D219:D234" si="30">$C$51*($B$54-C219)*$B$56</f>
        <v>54139.400249999992</v>
      </c>
      <c r="E219" s="525">
        <f t="shared" ref="E219:E234" si="31">D219*$B$55</f>
        <v>32483.640149999992</v>
      </c>
      <c r="F219" s="525">
        <f>_xlfn.LET(_xlpm.x,_xlfn.XLOOKUP(E219/$C$3,$A$143:$A$183,$A$143:$A$183,"",1),IF(_xlpm.x="",ROUNDUP(E219/$C$3,0),_xlpm.x))</f>
        <v>42000</v>
      </c>
      <c r="G219" s="526">
        <f>_xlfn.LET(_xlpm.v,MAX(30,$C$51*$B$57),_xlpm.x,_xlfn.XLOOKUP(_xlpm.v,$C$143:$C$156,$C$143:$C$156,"",1),IF(_xlpm.x="",ROUNDUP(_xlpm.v,0),_xlpm.x))</f>
        <v>30</v>
      </c>
      <c r="H219" s="527">
        <f t="shared" ref="H219:H250" si="32">(F219/800)+110*SQRT(G219)</f>
        <v>654.99481325568274</v>
      </c>
      <c r="I219" s="523" t="s">
        <v>506</v>
      </c>
      <c r="J219" s="527">
        <f t="shared" ref="J219:J250" si="33">H219/70</f>
        <v>9.3570687607954675</v>
      </c>
      <c r="K219" s="523" t="s">
        <v>471</v>
      </c>
      <c r="L219" s="729" t="s">
        <v>507</v>
      </c>
    </row>
    <row r="220" spans="1:12" x14ac:dyDescent="0.25">
      <c r="A220" s="508" t="s">
        <v>509</v>
      </c>
      <c r="B220" s="440" t="s">
        <v>473</v>
      </c>
      <c r="C220" s="443">
        <v>50.8</v>
      </c>
      <c r="D220" s="441">
        <f t="shared" si="30"/>
        <v>52336.825499999992</v>
      </c>
      <c r="E220" s="441">
        <f t="shared" si="31"/>
        <v>31402.095299999994</v>
      </c>
      <c r="F220" s="441">
        <f>_xlfn.LET(_xlpm.x,_xlfn.XLOOKUP(E220/$C$3,$A$143:$A$183,$A$143:$A$183,"",1),IF(_xlpm.x="",ROUNDUP(E220/$C$3,0),_xlpm.x))</f>
        <v>40000</v>
      </c>
      <c r="G220" s="442">
        <f>_xlfn.LET(_xlpm.v,MAX(30,$C$51*$B$57),_xlpm.x,_xlfn.XLOOKUP(_xlpm.v,$C$143:$C$156,$C$143:$C$156,"",1),IF(_xlpm.x="",ROUNDUP(_xlpm.v,0),_xlpm.x))</f>
        <v>30</v>
      </c>
      <c r="H220" s="444">
        <f t="shared" si="32"/>
        <v>652.49481325568274</v>
      </c>
      <c r="I220" s="440" t="s">
        <v>506</v>
      </c>
      <c r="J220" s="444">
        <f t="shared" si="33"/>
        <v>9.3213544750811828</v>
      </c>
      <c r="K220" s="440" t="s">
        <v>471</v>
      </c>
      <c r="L220" s="729"/>
    </row>
    <row r="221" spans="1:12" x14ac:dyDescent="0.25">
      <c r="A221" s="509" t="s">
        <v>509</v>
      </c>
      <c r="B221" s="440" t="s">
        <v>474</v>
      </c>
      <c r="C221" s="443">
        <v>52.2</v>
      </c>
      <c r="D221" s="441">
        <f t="shared" si="30"/>
        <v>51466.616999999998</v>
      </c>
      <c r="E221" s="441">
        <f t="shared" si="31"/>
        <v>30879.970199999996</v>
      </c>
      <c r="F221" s="441">
        <f>_xlfn.LET(_xlpm.x,_xlfn.XLOOKUP(E221/$C$3,$A$143:$A$183,$A$143:$A$183,"",1),IF(_xlpm.x="",ROUNDUP(E221/$C$3,0),_xlpm.x))</f>
        <v>40000</v>
      </c>
      <c r="G221" s="442">
        <f>_xlfn.LET(_xlpm.v,MAX(30,$C$51*$B$57),_xlpm.x,_xlfn.XLOOKUP(_xlpm.v,$C$143:$C$156,$C$143:$C$156,"",1),IF(_xlpm.x="",ROUNDUP(_xlpm.v,0),_xlpm.x))</f>
        <v>30</v>
      </c>
      <c r="H221" s="444">
        <f t="shared" si="32"/>
        <v>652.49481325568274</v>
      </c>
      <c r="I221" s="440" t="s">
        <v>506</v>
      </c>
      <c r="J221" s="444">
        <f t="shared" si="33"/>
        <v>9.3213544750811828</v>
      </c>
      <c r="K221" s="440" t="s">
        <v>471</v>
      </c>
      <c r="L221" s="729"/>
    </row>
    <row r="222" spans="1:12" x14ac:dyDescent="0.25">
      <c r="A222" s="509" t="s">
        <v>509</v>
      </c>
      <c r="B222" s="440" t="s">
        <v>475</v>
      </c>
      <c r="C222" s="443">
        <v>52.7</v>
      </c>
      <c r="D222" s="441">
        <f t="shared" si="30"/>
        <v>51155.828249999991</v>
      </c>
      <c r="E222" s="441">
        <f t="shared" si="31"/>
        <v>30693.496949999993</v>
      </c>
      <c r="F222" s="441">
        <f>_xlfn.LET(_xlpm.x,_xlfn.XLOOKUP(E222/$C$3,$A$143:$A$183,$A$143:$A$183,"",1),IF(_xlpm.x="",ROUNDUP(E222/$C$3,0),_xlpm.x))</f>
        <v>40000</v>
      </c>
      <c r="G222" s="442">
        <f>_xlfn.LET(_xlpm.v,MAX(30,$C$51*$B$57),_xlpm.x,_xlfn.XLOOKUP(_xlpm.v,$C$143:$C$156,$C$143:$C$156,"",1),IF(_xlpm.x="",ROUNDUP(_xlpm.v,0),_xlpm.x))</f>
        <v>30</v>
      </c>
      <c r="H222" s="444">
        <f t="shared" si="32"/>
        <v>652.49481325568274</v>
      </c>
      <c r="I222" s="440" t="s">
        <v>506</v>
      </c>
      <c r="J222" s="444">
        <f t="shared" si="33"/>
        <v>9.3213544750811828</v>
      </c>
      <c r="K222" s="440" t="s">
        <v>471</v>
      </c>
      <c r="L222" s="729"/>
    </row>
    <row r="223" spans="1:12" x14ac:dyDescent="0.25">
      <c r="A223" s="509" t="s">
        <v>509</v>
      </c>
      <c r="B223" s="440" t="s">
        <v>476</v>
      </c>
      <c r="C223" s="443">
        <v>51.6</v>
      </c>
      <c r="D223" s="441">
        <f t="shared" si="30"/>
        <v>51839.563499999997</v>
      </c>
      <c r="E223" s="441">
        <f t="shared" si="31"/>
        <v>31103.738099999995</v>
      </c>
      <c r="F223" s="441">
        <f>_xlfn.LET(_xlpm.x,_xlfn.XLOOKUP(E223/$C$3,$A$143:$A$183,$A$143:$A$183,"",1),IF(_xlpm.x="",ROUNDUP(E223/$C$3,0),_xlpm.x))</f>
        <v>40000</v>
      </c>
      <c r="G223" s="442">
        <f>_xlfn.LET(_xlpm.v,MAX(30,$C$51*$B$57),_xlpm.x,_xlfn.XLOOKUP(_xlpm.v,$C$143:$C$156,$C$143:$C$156,"",1),IF(_xlpm.x="",ROUNDUP(_xlpm.v,0),_xlpm.x))</f>
        <v>30</v>
      </c>
      <c r="H223" s="444">
        <f t="shared" si="32"/>
        <v>652.49481325568274</v>
      </c>
      <c r="I223" s="440" t="s">
        <v>506</v>
      </c>
      <c r="J223" s="444">
        <f t="shared" si="33"/>
        <v>9.3213544750811828</v>
      </c>
      <c r="K223" s="440" t="s">
        <v>471</v>
      </c>
      <c r="L223" s="729"/>
    </row>
    <row r="224" spans="1:12" x14ac:dyDescent="0.25">
      <c r="A224" s="509" t="s">
        <v>509</v>
      </c>
      <c r="B224" s="440" t="s">
        <v>477</v>
      </c>
      <c r="C224" s="443">
        <v>56.8</v>
      </c>
      <c r="D224" s="441">
        <f t="shared" si="30"/>
        <v>48607.360499999995</v>
      </c>
      <c r="E224" s="441">
        <f t="shared" si="31"/>
        <v>29164.416299999997</v>
      </c>
      <c r="F224" s="441">
        <f>_xlfn.LET(_xlpm.x,_xlfn.XLOOKUP(E224/$C$3,$A$143:$A$183,$A$143:$A$183,"",1),IF(_xlpm.x="",ROUNDUP(E224/$C$3,0),_xlpm.x))</f>
        <v>38000</v>
      </c>
      <c r="G224" s="442">
        <f>_xlfn.LET(_xlpm.v,MAX(30,$C$51*$B$57),_xlpm.x,_xlfn.XLOOKUP(_xlpm.v,$C$143:$C$156,$C$143:$C$156,"",1),IF(_xlpm.x="",ROUNDUP(_xlpm.v,0),_xlpm.x))</f>
        <v>30</v>
      </c>
      <c r="H224" s="444">
        <f t="shared" si="32"/>
        <v>649.99481325568274</v>
      </c>
      <c r="I224" s="440" t="s">
        <v>506</v>
      </c>
      <c r="J224" s="444">
        <f t="shared" si="33"/>
        <v>9.2856401893668963</v>
      </c>
      <c r="K224" s="440" t="s">
        <v>471</v>
      </c>
      <c r="L224" s="729"/>
    </row>
    <row r="225" spans="1:12" x14ac:dyDescent="0.25">
      <c r="A225" s="509" t="s">
        <v>509</v>
      </c>
      <c r="B225" s="440" t="s">
        <v>478</v>
      </c>
      <c r="C225" s="443">
        <v>58.4</v>
      </c>
      <c r="D225" s="441">
        <f t="shared" si="30"/>
        <v>47612.836499999998</v>
      </c>
      <c r="E225" s="441">
        <f t="shared" si="31"/>
        <v>28567.701899999996</v>
      </c>
      <c r="F225" s="441">
        <f>_xlfn.LET(_xlpm.x,_xlfn.XLOOKUP(E225/$C$3,$A$143:$A$183,$A$143:$A$183,"",1),IF(_xlpm.x="",ROUNDUP(E225/$C$3,0),_xlpm.x))</f>
        <v>36000</v>
      </c>
      <c r="G225" s="442">
        <f>_xlfn.LET(_xlpm.v,MAX(30,$C$51*$B$57),_xlpm.x,_xlfn.XLOOKUP(_xlpm.v,$C$143:$C$156,$C$143:$C$156,"",1),IF(_xlpm.x="",ROUNDUP(_xlpm.v,0),_xlpm.x))</f>
        <v>30</v>
      </c>
      <c r="H225" s="444">
        <f t="shared" si="32"/>
        <v>647.49481325568274</v>
      </c>
      <c r="I225" s="440" t="s">
        <v>506</v>
      </c>
      <c r="J225" s="444">
        <f t="shared" si="33"/>
        <v>9.2499259036526098</v>
      </c>
      <c r="K225" s="440" t="s">
        <v>471</v>
      </c>
      <c r="L225" s="729"/>
    </row>
    <row r="226" spans="1:12" x14ac:dyDescent="0.25">
      <c r="A226" s="508" t="s">
        <v>509</v>
      </c>
      <c r="B226" s="440" t="s">
        <v>479</v>
      </c>
      <c r="C226" s="443">
        <v>58.4</v>
      </c>
      <c r="D226" s="441">
        <f t="shared" si="30"/>
        <v>47612.836499999998</v>
      </c>
      <c r="E226" s="441">
        <f t="shared" si="31"/>
        <v>28567.701899999996</v>
      </c>
      <c r="F226" s="441">
        <f>_xlfn.LET(_xlpm.x,_xlfn.XLOOKUP(E226/$C$3,$A$143:$A$183,$A$143:$A$183,"",1),IF(_xlpm.x="",ROUNDUP(E226/$C$3,0),_xlpm.x))</f>
        <v>36000</v>
      </c>
      <c r="G226" s="442">
        <f>_xlfn.LET(_xlpm.v,MAX(30,$C$51*$B$57),_xlpm.x,_xlfn.XLOOKUP(_xlpm.v,$C$143:$C$156,$C$143:$C$156,"",1),IF(_xlpm.x="",ROUNDUP(_xlpm.v,0),_xlpm.x))</f>
        <v>30</v>
      </c>
      <c r="H226" s="444">
        <f t="shared" si="32"/>
        <v>647.49481325568274</v>
      </c>
      <c r="I226" s="440" t="s">
        <v>506</v>
      </c>
      <c r="J226" s="444">
        <f t="shared" si="33"/>
        <v>9.2499259036526098</v>
      </c>
      <c r="K226" s="440" t="s">
        <v>471</v>
      </c>
      <c r="L226" s="729"/>
    </row>
    <row r="227" spans="1:12" x14ac:dyDescent="0.25">
      <c r="A227" s="508" t="s">
        <v>509</v>
      </c>
      <c r="B227" s="440" t="s">
        <v>480</v>
      </c>
      <c r="C227" s="443">
        <v>57.6</v>
      </c>
      <c r="D227" s="441">
        <f t="shared" si="30"/>
        <v>48110.098499999993</v>
      </c>
      <c r="E227" s="441">
        <f t="shared" si="31"/>
        <v>28866.059099999995</v>
      </c>
      <c r="F227" s="441">
        <f>_xlfn.LET(_xlpm.x,_xlfn.XLOOKUP(E227/$C$3,$A$143:$A$183,$A$143:$A$183,"",1),IF(_xlpm.x="",ROUNDUP(E227/$C$3,0),_xlpm.x))</f>
        <v>38000</v>
      </c>
      <c r="G227" s="442">
        <f>_xlfn.LET(_xlpm.v,MAX(30,$C$51*$B$57),_xlpm.x,_xlfn.XLOOKUP(_xlpm.v,$C$143:$C$156,$C$143:$C$156,"",1),IF(_xlpm.x="",ROUNDUP(_xlpm.v,0),_xlpm.x))</f>
        <v>30</v>
      </c>
      <c r="H227" s="444">
        <f t="shared" si="32"/>
        <v>649.99481325568274</v>
      </c>
      <c r="I227" s="440" t="s">
        <v>506</v>
      </c>
      <c r="J227" s="444">
        <f t="shared" si="33"/>
        <v>9.2856401893668963</v>
      </c>
      <c r="K227" s="440" t="s">
        <v>471</v>
      </c>
      <c r="L227" s="729"/>
    </row>
    <row r="228" spans="1:12" x14ac:dyDescent="0.25">
      <c r="A228" s="509" t="s">
        <v>509</v>
      </c>
      <c r="B228" s="440" t="s">
        <v>239</v>
      </c>
      <c r="C228" s="443">
        <v>57.1</v>
      </c>
      <c r="D228" s="441">
        <f t="shared" si="30"/>
        <v>48420.887249999992</v>
      </c>
      <c r="E228" s="441">
        <f t="shared" si="31"/>
        <v>29052.532349999994</v>
      </c>
      <c r="F228" s="441">
        <f>_xlfn.LET(_xlpm.x,_xlfn.XLOOKUP(E228/$C$3,$A$143:$A$183,$A$143:$A$183,"",1),IF(_xlpm.x="",ROUNDUP(E228/$C$3,0),_xlpm.x))</f>
        <v>38000</v>
      </c>
      <c r="G228" s="442">
        <f>_xlfn.LET(_xlpm.v,MAX(30,$C$51*$B$57),_xlpm.x,_xlfn.XLOOKUP(_xlpm.v,$C$143:$C$156,$C$143:$C$156,"",1),IF(_xlpm.x="",ROUNDUP(_xlpm.v,0),_xlpm.x))</f>
        <v>30</v>
      </c>
      <c r="H228" s="444">
        <f t="shared" si="32"/>
        <v>649.99481325568274</v>
      </c>
      <c r="I228" s="440" t="s">
        <v>506</v>
      </c>
      <c r="J228" s="444">
        <f t="shared" si="33"/>
        <v>9.2856401893668963</v>
      </c>
      <c r="K228" s="440" t="s">
        <v>471</v>
      </c>
      <c r="L228" s="729"/>
    </row>
    <row r="229" spans="1:12" x14ac:dyDescent="0.25">
      <c r="A229" s="509" t="s">
        <v>509</v>
      </c>
      <c r="B229" s="440" t="s">
        <v>240</v>
      </c>
      <c r="C229" s="443">
        <v>50.5</v>
      </c>
      <c r="D229" s="441">
        <f t="shared" si="30"/>
        <v>52523.298749999994</v>
      </c>
      <c r="E229" s="441">
        <f t="shared" si="31"/>
        <v>31513.979249999997</v>
      </c>
      <c r="F229" s="441">
        <f>_xlfn.LET(_xlpm.x,_xlfn.XLOOKUP(E229/$C$3,$A$143:$A$183,$A$143:$A$183,"",1),IF(_xlpm.x="",ROUNDUP(E229/$C$3,0),_xlpm.x))</f>
        <v>40000</v>
      </c>
      <c r="G229" s="442">
        <f>_xlfn.LET(_xlpm.v,MAX(30,$C$51*$B$57),_xlpm.x,_xlfn.XLOOKUP(_xlpm.v,$C$143:$C$156,$C$143:$C$156,"",1),IF(_xlpm.x="",ROUNDUP(_xlpm.v,0),_xlpm.x))</f>
        <v>30</v>
      </c>
      <c r="H229" s="444">
        <f t="shared" si="32"/>
        <v>652.49481325568274</v>
      </c>
      <c r="I229" s="440" t="s">
        <v>506</v>
      </c>
      <c r="J229" s="444">
        <f t="shared" si="33"/>
        <v>9.3213544750811828</v>
      </c>
      <c r="K229" s="440" t="s">
        <v>471</v>
      </c>
      <c r="L229" s="729"/>
    </row>
    <row r="230" spans="1:12" x14ac:dyDescent="0.25">
      <c r="A230" s="509" t="s">
        <v>509</v>
      </c>
      <c r="B230" s="440" t="s">
        <v>241</v>
      </c>
      <c r="C230" s="443">
        <v>51.4</v>
      </c>
      <c r="D230" s="441">
        <f t="shared" si="30"/>
        <v>51963.878999999994</v>
      </c>
      <c r="E230" s="441">
        <f t="shared" si="31"/>
        <v>31178.327399999995</v>
      </c>
      <c r="F230" s="441">
        <f>_xlfn.LET(_xlpm.x,_xlfn.XLOOKUP(E230/$C$3,$A$143:$A$183,$A$143:$A$183,"",1),IF(_xlpm.x="",ROUNDUP(E230/$C$3,0),_xlpm.x))</f>
        <v>40000</v>
      </c>
      <c r="G230" s="442">
        <f>_xlfn.LET(_xlpm.v,MAX(30,$C$51*$B$57),_xlpm.x,_xlfn.XLOOKUP(_xlpm.v,$C$143:$C$156,$C$143:$C$156,"",1),IF(_xlpm.x="",ROUNDUP(_xlpm.v,0),_xlpm.x))</f>
        <v>30</v>
      </c>
      <c r="H230" s="444">
        <f t="shared" si="32"/>
        <v>652.49481325568274</v>
      </c>
      <c r="I230" s="440" t="s">
        <v>506</v>
      </c>
      <c r="J230" s="444">
        <f t="shared" si="33"/>
        <v>9.3213544750811828</v>
      </c>
      <c r="K230" s="440" t="s">
        <v>471</v>
      </c>
      <c r="L230" s="729"/>
    </row>
    <row r="231" spans="1:12" x14ac:dyDescent="0.25">
      <c r="A231" s="509" t="s">
        <v>509</v>
      </c>
      <c r="B231" s="440" t="s">
        <v>242</v>
      </c>
      <c r="C231" s="443">
        <v>51.7</v>
      </c>
      <c r="D231" s="441">
        <f t="shared" si="30"/>
        <v>51777.405749999998</v>
      </c>
      <c r="E231" s="441">
        <f t="shared" si="31"/>
        <v>31066.443449999999</v>
      </c>
      <c r="F231" s="441">
        <f>_xlfn.LET(_xlpm.x,_xlfn.XLOOKUP(E231/$C$3,$A$143:$A$183,$A$143:$A$183,"",1),IF(_xlpm.x="",ROUNDUP(E231/$C$3,0),_xlpm.x))</f>
        <v>40000</v>
      </c>
      <c r="G231" s="442">
        <f>_xlfn.LET(_xlpm.v,MAX(30,$C$51*$B$57),_xlpm.x,_xlfn.XLOOKUP(_xlpm.v,$C$143:$C$156,$C$143:$C$156,"",1),IF(_xlpm.x="",ROUNDUP(_xlpm.v,0),_xlpm.x))</f>
        <v>30</v>
      </c>
      <c r="H231" s="444">
        <f t="shared" si="32"/>
        <v>652.49481325568274</v>
      </c>
      <c r="I231" s="440" t="s">
        <v>506</v>
      </c>
      <c r="J231" s="444">
        <f t="shared" si="33"/>
        <v>9.3213544750811828</v>
      </c>
      <c r="K231" s="440" t="s">
        <v>471</v>
      </c>
      <c r="L231" s="729"/>
    </row>
    <row r="232" spans="1:12" x14ac:dyDescent="0.25">
      <c r="A232" s="509" t="s">
        <v>509</v>
      </c>
      <c r="B232" s="440" t="s">
        <v>243</v>
      </c>
      <c r="C232" s="443">
        <v>50.1</v>
      </c>
      <c r="D232" s="441">
        <f t="shared" si="30"/>
        <v>52771.929749999996</v>
      </c>
      <c r="E232" s="441">
        <f t="shared" si="31"/>
        <v>31663.157849999996</v>
      </c>
      <c r="F232" s="441">
        <f>_xlfn.LET(_xlpm.x,_xlfn.XLOOKUP(E232/$C$3,$A$143:$A$183,$A$143:$A$183,"",1),IF(_xlpm.x="",ROUNDUP(E232/$C$3,0),_xlpm.x))</f>
        <v>40000</v>
      </c>
      <c r="G232" s="442">
        <f>_xlfn.LET(_xlpm.v,MAX(30,$C$51*$B$57),_xlpm.x,_xlfn.XLOOKUP(_xlpm.v,$C$143:$C$156,$C$143:$C$156,"",1),IF(_xlpm.x="",ROUNDUP(_xlpm.v,0),_xlpm.x))</f>
        <v>30</v>
      </c>
      <c r="H232" s="444">
        <f t="shared" si="32"/>
        <v>652.49481325568274</v>
      </c>
      <c r="I232" s="440" t="s">
        <v>506</v>
      </c>
      <c r="J232" s="444">
        <f t="shared" si="33"/>
        <v>9.3213544750811828</v>
      </c>
      <c r="K232" s="440" t="s">
        <v>471</v>
      </c>
      <c r="L232" s="729"/>
    </row>
    <row r="233" spans="1:12" x14ac:dyDescent="0.25">
      <c r="A233" s="509" t="s">
        <v>509</v>
      </c>
      <c r="B233" s="440" t="s">
        <v>244</v>
      </c>
      <c r="C233" s="443">
        <v>63.2</v>
      </c>
      <c r="D233" s="441">
        <f t="shared" si="30"/>
        <v>44629.264499999997</v>
      </c>
      <c r="E233" s="441">
        <f t="shared" si="31"/>
        <v>26777.558699999998</v>
      </c>
      <c r="F233" s="441">
        <f>_xlfn.LET(_xlpm.x,_xlfn.XLOOKUP(E233/$C$3,$A$143:$A$183,$A$143:$A$183,"",1),IF(_xlpm.x="",ROUNDUP(E233/$C$3,0),_xlpm.x))</f>
        <v>34000</v>
      </c>
      <c r="G233" s="442">
        <f>_xlfn.LET(_xlpm.v,MAX(30,$C$51*$B$57),_xlpm.x,_xlfn.XLOOKUP(_xlpm.v,$C$143:$C$156,$C$143:$C$156,"",1),IF(_xlpm.x="",ROUNDUP(_xlpm.v,0),_xlpm.x))</f>
        <v>30</v>
      </c>
      <c r="H233" s="444">
        <f t="shared" si="32"/>
        <v>644.99481325568274</v>
      </c>
      <c r="I233" s="440" t="s">
        <v>506</v>
      </c>
      <c r="J233" s="444">
        <f t="shared" si="33"/>
        <v>9.2142116179383251</v>
      </c>
      <c r="K233" s="440" t="s">
        <v>471</v>
      </c>
      <c r="L233" s="729"/>
    </row>
    <row r="234" spans="1:12" ht="13.8" thickBot="1" x14ac:dyDescent="0.3">
      <c r="A234" s="516" t="s">
        <v>509</v>
      </c>
      <c r="B234" s="517" t="s">
        <v>245</v>
      </c>
      <c r="C234" s="518">
        <v>41.4</v>
      </c>
      <c r="D234" s="519">
        <f t="shared" si="30"/>
        <v>58179.653999999995</v>
      </c>
      <c r="E234" s="519">
        <f t="shared" si="31"/>
        <v>34907.792399999998</v>
      </c>
      <c r="F234" s="519">
        <f>_xlfn.LET(_xlpm.x,_xlfn.XLOOKUP(E234/$C$3,$A$143:$A$183,$A$143:$A$183,"",1),IF(_xlpm.x="",ROUNDUP(E234/$C$3,0),_xlpm.x))</f>
        <v>50000</v>
      </c>
      <c r="G234" s="520">
        <f>_xlfn.LET(_xlpm.v,MAX(30,$C$51*$B$57),_xlpm.x,_xlfn.XLOOKUP(_xlpm.v,$C$143:$C$156,$C$143:$C$156,"",1),IF(_xlpm.x="",ROUNDUP(_xlpm.v,0),_xlpm.x))</f>
        <v>30</v>
      </c>
      <c r="H234" s="521">
        <f t="shared" si="32"/>
        <v>664.99481325568274</v>
      </c>
      <c r="I234" s="517" t="s">
        <v>506</v>
      </c>
      <c r="J234" s="521">
        <f t="shared" si="33"/>
        <v>9.4999259036526098</v>
      </c>
      <c r="K234" s="517" t="s">
        <v>471</v>
      </c>
      <c r="L234" s="729"/>
    </row>
    <row r="235" spans="1:12" x14ac:dyDescent="0.25">
      <c r="A235" s="502" t="s">
        <v>510</v>
      </c>
      <c r="B235" s="503" t="s">
        <v>469</v>
      </c>
      <c r="C235" s="504">
        <v>47.9</v>
      </c>
      <c r="D235" s="505">
        <f t="shared" ref="D235:D250" si="34">$C$52*($B$54-C235)*$B$56</f>
        <v>54139.400249999992</v>
      </c>
      <c r="E235" s="505">
        <f t="shared" ref="E235:E250" si="35">D235*$B$55</f>
        <v>32483.640149999992</v>
      </c>
      <c r="F235" s="505">
        <f>_xlfn.LET(_xlpm.x,_xlfn.XLOOKUP(E235/$C$3,$A$143:$A$183,$A$143:$A$183,"",1),IF(_xlpm.x="",ROUNDUP(E235/$C$3,0),_xlpm.x))</f>
        <v>42000</v>
      </c>
      <c r="G235" s="506">
        <f>_xlfn.LET(_xlpm.v,MAX(30,$C$52*$B$57),_xlpm.x,_xlfn.XLOOKUP(_xlpm.v,$C$143:$C$156,$C$143:$C$156,"",1),IF(_xlpm.x="",ROUNDUP(_xlpm.v,0),_xlpm.x))</f>
        <v>30</v>
      </c>
      <c r="H235" s="507">
        <f t="shared" si="32"/>
        <v>654.99481325568274</v>
      </c>
      <c r="I235" s="503" t="s">
        <v>506</v>
      </c>
      <c r="J235" s="507">
        <f t="shared" si="33"/>
        <v>9.3570687607954675</v>
      </c>
      <c r="K235" s="503" t="s">
        <v>471</v>
      </c>
      <c r="L235" s="728" t="s">
        <v>507</v>
      </c>
    </row>
    <row r="236" spans="1:12" x14ac:dyDescent="0.25">
      <c r="A236" s="508" t="s">
        <v>510</v>
      </c>
      <c r="B236" s="440" t="s">
        <v>473</v>
      </c>
      <c r="C236" s="443">
        <v>50.8</v>
      </c>
      <c r="D236" s="441">
        <f t="shared" si="34"/>
        <v>52336.825499999992</v>
      </c>
      <c r="E236" s="441">
        <f t="shared" si="35"/>
        <v>31402.095299999994</v>
      </c>
      <c r="F236" s="441">
        <f>_xlfn.LET(_xlpm.x,_xlfn.XLOOKUP(E236/$C$3,$A$143:$A$183,$A$143:$A$183,"",1),IF(_xlpm.x="",ROUNDUP(E236/$C$3,0),_xlpm.x))</f>
        <v>40000</v>
      </c>
      <c r="G236" s="442">
        <f>_xlfn.LET(_xlpm.v,MAX(30,$C$52*$B$57),_xlpm.x,_xlfn.XLOOKUP(_xlpm.v,$C$143:$C$156,$C$143:$C$156,"",1),IF(_xlpm.x="",ROUNDUP(_xlpm.v,0),_xlpm.x))</f>
        <v>30</v>
      </c>
      <c r="H236" s="444">
        <f t="shared" si="32"/>
        <v>652.49481325568274</v>
      </c>
      <c r="I236" s="440" t="s">
        <v>506</v>
      </c>
      <c r="J236" s="444">
        <f t="shared" si="33"/>
        <v>9.3213544750811828</v>
      </c>
      <c r="K236" s="440" t="s">
        <v>471</v>
      </c>
      <c r="L236" s="729"/>
    </row>
    <row r="237" spans="1:12" x14ac:dyDescent="0.25">
      <c r="A237" s="509" t="s">
        <v>510</v>
      </c>
      <c r="B237" s="440" t="s">
        <v>474</v>
      </c>
      <c r="C237" s="443">
        <v>52.2</v>
      </c>
      <c r="D237" s="441">
        <f t="shared" si="34"/>
        <v>51466.616999999998</v>
      </c>
      <c r="E237" s="441">
        <f t="shared" si="35"/>
        <v>30879.970199999996</v>
      </c>
      <c r="F237" s="441">
        <f>_xlfn.LET(_xlpm.x,_xlfn.XLOOKUP(E237/$C$3,$A$143:$A$183,$A$143:$A$183,"",1),IF(_xlpm.x="",ROUNDUP(E237/$C$3,0),_xlpm.x))</f>
        <v>40000</v>
      </c>
      <c r="G237" s="442">
        <f>_xlfn.LET(_xlpm.v,MAX(30,$C$52*$B$57),_xlpm.x,_xlfn.XLOOKUP(_xlpm.v,$C$143:$C$156,$C$143:$C$156,"",1),IF(_xlpm.x="",ROUNDUP(_xlpm.v,0),_xlpm.x))</f>
        <v>30</v>
      </c>
      <c r="H237" s="444">
        <f t="shared" si="32"/>
        <v>652.49481325568274</v>
      </c>
      <c r="I237" s="440" t="s">
        <v>506</v>
      </c>
      <c r="J237" s="444">
        <f t="shared" si="33"/>
        <v>9.3213544750811828</v>
      </c>
      <c r="K237" s="440" t="s">
        <v>471</v>
      </c>
      <c r="L237" s="729"/>
    </row>
    <row r="238" spans="1:12" x14ac:dyDescent="0.25">
      <c r="A238" s="509" t="s">
        <v>510</v>
      </c>
      <c r="B238" s="440" t="s">
        <v>475</v>
      </c>
      <c r="C238" s="443">
        <v>52.7</v>
      </c>
      <c r="D238" s="441">
        <f t="shared" si="34"/>
        <v>51155.828249999991</v>
      </c>
      <c r="E238" s="441">
        <f t="shared" si="35"/>
        <v>30693.496949999993</v>
      </c>
      <c r="F238" s="441">
        <f>_xlfn.LET(_xlpm.x,_xlfn.XLOOKUP(E238/$C$3,$A$143:$A$183,$A$143:$A$183,"",1),IF(_xlpm.x="",ROUNDUP(E238/$C$3,0),_xlpm.x))</f>
        <v>40000</v>
      </c>
      <c r="G238" s="442">
        <f>_xlfn.LET(_xlpm.v,MAX(30,$C$52*$B$57),_xlpm.x,_xlfn.XLOOKUP(_xlpm.v,$C$143:$C$156,$C$143:$C$156,"",1),IF(_xlpm.x="",ROUNDUP(_xlpm.v,0),_xlpm.x))</f>
        <v>30</v>
      </c>
      <c r="H238" s="444">
        <f t="shared" si="32"/>
        <v>652.49481325568274</v>
      </c>
      <c r="I238" s="440" t="s">
        <v>506</v>
      </c>
      <c r="J238" s="444">
        <f t="shared" si="33"/>
        <v>9.3213544750811828</v>
      </c>
      <c r="K238" s="440" t="s">
        <v>471</v>
      </c>
      <c r="L238" s="729"/>
    </row>
    <row r="239" spans="1:12" x14ac:dyDescent="0.25">
      <c r="A239" s="509" t="s">
        <v>510</v>
      </c>
      <c r="B239" s="440" t="s">
        <v>476</v>
      </c>
      <c r="C239" s="443">
        <v>51.6</v>
      </c>
      <c r="D239" s="441">
        <f t="shared" si="34"/>
        <v>51839.563499999997</v>
      </c>
      <c r="E239" s="441">
        <f t="shared" si="35"/>
        <v>31103.738099999995</v>
      </c>
      <c r="F239" s="441">
        <f>_xlfn.LET(_xlpm.x,_xlfn.XLOOKUP(E239/$C$3,$A$143:$A$183,$A$143:$A$183,"",1),IF(_xlpm.x="",ROUNDUP(E239/$C$3,0),_xlpm.x))</f>
        <v>40000</v>
      </c>
      <c r="G239" s="442">
        <f>_xlfn.LET(_xlpm.v,MAX(30,$C$52*$B$57),_xlpm.x,_xlfn.XLOOKUP(_xlpm.v,$C$143:$C$156,$C$143:$C$156,"",1),IF(_xlpm.x="",ROUNDUP(_xlpm.v,0),_xlpm.x))</f>
        <v>30</v>
      </c>
      <c r="H239" s="444">
        <f t="shared" si="32"/>
        <v>652.49481325568274</v>
      </c>
      <c r="I239" s="440" t="s">
        <v>506</v>
      </c>
      <c r="J239" s="444">
        <f t="shared" si="33"/>
        <v>9.3213544750811828</v>
      </c>
      <c r="K239" s="440" t="s">
        <v>471</v>
      </c>
      <c r="L239" s="729"/>
    </row>
    <row r="240" spans="1:12" x14ac:dyDescent="0.25">
      <c r="A240" s="509" t="s">
        <v>510</v>
      </c>
      <c r="B240" s="440" t="s">
        <v>477</v>
      </c>
      <c r="C240" s="443">
        <v>56.8</v>
      </c>
      <c r="D240" s="441">
        <f t="shared" si="34"/>
        <v>48607.360499999995</v>
      </c>
      <c r="E240" s="441">
        <f t="shared" si="35"/>
        <v>29164.416299999997</v>
      </c>
      <c r="F240" s="441">
        <f>_xlfn.LET(_xlpm.x,_xlfn.XLOOKUP(E240/$C$3,$A$143:$A$183,$A$143:$A$183,"",1),IF(_xlpm.x="",ROUNDUP(E240/$C$3,0),_xlpm.x))</f>
        <v>38000</v>
      </c>
      <c r="G240" s="442">
        <f>_xlfn.LET(_xlpm.v,MAX(30,$C$52*$B$57),_xlpm.x,_xlfn.XLOOKUP(_xlpm.v,$C$143:$C$156,$C$143:$C$156,"",1),IF(_xlpm.x="",ROUNDUP(_xlpm.v,0),_xlpm.x))</f>
        <v>30</v>
      </c>
      <c r="H240" s="444">
        <f t="shared" si="32"/>
        <v>649.99481325568274</v>
      </c>
      <c r="I240" s="440" t="s">
        <v>506</v>
      </c>
      <c r="J240" s="444">
        <f t="shared" si="33"/>
        <v>9.2856401893668963</v>
      </c>
      <c r="K240" s="440" t="s">
        <v>471</v>
      </c>
      <c r="L240" s="729"/>
    </row>
    <row r="241" spans="1:12" x14ac:dyDescent="0.25">
      <c r="A241" s="509" t="s">
        <v>510</v>
      </c>
      <c r="B241" s="440" t="s">
        <v>478</v>
      </c>
      <c r="C241" s="443">
        <v>58.4</v>
      </c>
      <c r="D241" s="441">
        <f t="shared" si="34"/>
        <v>47612.836499999998</v>
      </c>
      <c r="E241" s="441">
        <f t="shared" si="35"/>
        <v>28567.701899999996</v>
      </c>
      <c r="F241" s="441">
        <f>_xlfn.LET(_xlpm.x,_xlfn.XLOOKUP(E241/$C$3,$A$143:$A$183,$A$143:$A$183,"",1),IF(_xlpm.x="",ROUNDUP(E241/$C$3,0),_xlpm.x))</f>
        <v>36000</v>
      </c>
      <c r="G241" s="442">
        <f>_xlfn.LET(_xlpm.v,MAX(30,$C$52*$B$57),_xlpm.x,_xlfn.XLOOKUP(_xlpm.v,$C$143:$C$156,$C$143:$C$156,"",1),IF(_xlpm.x="",ROUNDUP(_xlpm.v,0),_xlpm.x))</f>
        <v>30</v>
      </c>
      <c r="H241" s="444">
        <f t="shared" si="32"/>
        <v>647.49481325568274</v>
      </c>
      <c r="I241" s="440" t="s">
        <v>506</v>
      </c>
      <c r="J241" s="444">
        <f t="shared" si="33"/>
        <v>9.2499259036526098</v>
      </c>
      <c r="K241" s="440" t="s">
        <v>471</v>
      </c>
      <c r="L241" s="729"/>
    </row>
    <row r="242" spans="1:12" x14ac:dyDescent="0.25">
      <c r="A242" s="508" t="s">
        <v>510</v>
      </c>
      <c r="B242" s="440" t="s">
        <v>479</v>
      </c>
      <c r="C242" s="443">
        <v>58.4</v>
      </c>
      <c r="D242" s="441">
        <f t="shared" si="34"/>
        <v>47612.836499999998</v>
      </c>
      <c r="E242" s="441">
        <f t="shared" si="35"/>
        <v>28567.701899999996</v>
      </c>
      <c r="F242" s="441">
        <f>_xlfn.LET(_xlpm.x,_xlfn.XLOOKUP(E242/$C$3,$A$143:$A$183,$A$143:$A$183,"",1),IF(_xlpm.x="",ROUNDUP(E242/$C$3,0),_xlpm.x))</f>
        <v>36000</v>
      </c>
      <c r="G242" s="442">
        <f>_xlfn.LET(_xlpm.v,MAX(30,$C$52*$B$57),_xlpm.x,_xlfn.XLOOKUP(_xlpm.v,$C$143:$C$156,$C$143:$C$156,"",1),IF(_xlpm.x="",ROUNDUP(_xlpm.v,0),_xlpm.x))</f>
        <v>30</v>
      </c>
      <c r="H242" s="444">
        <f t="shared" si="32"/>
        <v>647.49481325568274</v>
      </c>
      <c r="I242" s="440" t="s">
        <v>506</v>
      </c>
      <c r="J242" s="444">
        <f t="shared" si="33"/>
        <v>9.2499259036526098</v>
      </c>
      <c r="K242" s="440" t="s">
        <v>471</v>
      </c>
      <c r="L242" s="729"/>
    </row>
    <row r="243" spans="1:12" x14ac:dyDescent="0.25">
      <c r="A243" s="508" t="s">
        <v>510</v>
      </c>
      <c r="B243" s="440" t="s">
        <v>480</v>
      </c>
      <c r="C243" s="443">
        <v>57.6</v>
      </c>
      <c r="D243" s="441">
        <f t="shared" si="34"/>
        <v>48110.098499999993</v>
      </c>
      <c r="E243" s="441">
        <f t="shared" si="35"/>
        <v>28866.059099999995</v>
      </c>
      <c r="F243" s="441">
        <f>_xlfn.LET(_xlpm.x,_xlfn.XLOOKUP(E243/$C$3,$A$143:$A$183,$A$143:$A$183,"",1),IF(_xlpm.x="",ROUNDUP(E243/$C$3,0),_xlpm.x))</f>
        <v>38000</v>
      </c>
      <c r="G243" s="442">
        <f>_xlfn.LET(_xlpm.v,MAX(30,$C$52*$B$57),_xlpm.x,_xlfn.XLOOKUP(_xlpm.v,$C$143:$C$156,$C$143:$C$156,"",1),IF(_xlpm.x="",ROUNDUP(_xlpm.v,0),_xlpm.x))</f>
        <v>30</v>
      </c>
      <c r="H243" s="444">
        <f t="shared" si="32"/>
        <v>649.99481325568274</v>
      </c>
      <c r="I243" s="440" t="s">
        <v>506</v>
      </c>
      <c r="J243" s="444">
        <f t="shared" si="33"/>
        <v>9.2856401893668963</v>
      </c>
      <c r="K243" s="440" t="s">
        <v>471</v>
      </c>
      <c r="L243" s="729"/>
    </row>
    <row r="244" spans="1:12" x14ac:dyDescent="0.25">
      <c r="A244" s="509" t="s">
        <v>510</v>
      </c>
      <c r="B244" s="440" t="s">
        <v>239</v>
      </c>
      <c r="C244" s="443">
        <v>57.1</v>
      </c>
      <c r="D244" s="441">
        <f t="shared" si="34"/>
        <v>48420.887249999992</v>
      </c>
      <c r="E244" s="441">
        <f t="shared" si="35"/>
        <v>29052.532349999994</v>
      </c>
      <c r="F244" s="441">
        <f>_xlfn.LET(_xlpm.x,_xlfn.XLOOKUP(E244/$C$3,$A$143:$A$183,$A$143:$A$183,"",1),IF(_xlpm.x="",ROUNDUP(E244/$C$3,0),_xlpm.x))</f>
        <v>38000</v>
      </c>
      <c r="G244" s="442">
        <f>_xlfn.LET(_xlpm.v,MAX(30,$C$52*$B$57),_xlpm.x,_xlfn.XLOOKUP(_xlpm.v,$C$143:$C$156,$C$143:$C$156,"",1),IF(_xlpm.x="",ROUNDUP(_xlpm.v,0),_xlpm.x))</f>
        <v>30</v>
      </c>
      <c r="H244" s="444">
        <f t="shared" si="32"/>
        <v>649.99481325568274</v>
      </c>
      <c r="I244" s="440" t="s">
        <v>506</v>
      </c>
      <c r="J244" s="444">
        <f t="shared" si="33"/>
        <v>9.2856401893668963</v>
      </c>
      <c r="K244" s="440" t="s">
        <v>471</v>
      </c>
      <c r="L244" s="729"/>
    </row>
    <row r="245" spans="1:12" x14ac:dyDescent="0.25">
      <c r="A245" s="509" t="s">
        <v>510</v>
      </c>
      <c r="B245" s="440" t="s">
        <v>240</v>
      </c>
      <c r="C245" s="443">
        <v>50.5</v>
      </c>
      <c r="D245" s="441">
        <f t="shared" si="34"/>
        <v>52523.298749999994</v>
      </c>
      <c r="E245" s="441">
        <f t="shared" si="35"/>
        <v>31513.979249999997</v>
      </c>
      <c r="F245" s="441">
        <f>_xlfn.LET(_xlpm.x,_xlfn.XLOOKUP(E245/$C$3,$A$143:$A$183,$A$143:$A$183,"",1),IF(_xlpm.x="",ROUNDUP(E245/$C$3,0),_xlpm.x))</f>
        <v>40000</v>
      </c>
      <c r="G245" s="442">
        <f>_xlfn.LET(_xlpm.v,MAX(30,$C$52*$B$57),_xlpm.x,_xlfn.XLOOKUP(_xlpm.v,$C$143:$C$156,$C$143:$C$156,"",1),IF(_xlpm.x="",ROUNDUP(_xlpm.v,0),_xlpm.x))</f>
        <v>30</v>
      </c>
      <c r="H245" s="444">
        <f t="shared" si="32"/>
        <v>652.49481325568274</v>
      </c>
      <c r="I245" s="440" t="s">
        <v>506</v>
      </c>
      <c r="J245" s="444">
        <f t="shared" si="33"/>
        <v>9.3213544750811828</v>
      </c>
      <c r="K245" s="440" t="s">
        <v>471</v>
      </c>
      <c r="L245" s="729"/>
    </row>
    <row r="246" spans="1:12" x14ac:dyDescent="0.25">
      <c r="A246" s="509" t="s">
        <v>510</v>
      </c>
      <c r="B246" s="440" t="s">
        <v>241</v>
      </c>
      <c r="C246" s="443">
        <v>51.4</v>
      </c>
      <c r="D246" s="441">
        <f t="shared" si="34"/>
        <v>51963.878999999994</v>
      </c>
      <c r="E246" s="441">
        <f t="shared" si="35"/>
        <v>31178.327399999995</v>
      </c>
      <c r="F246" s="441">
        <f>_xlfn.LET(_xlpm.x,_xlfn.XLOOKUP(E246/$C$3,$A$143:$A$183,$A$143:$A$183,"",1),IF(_xlpm.x="",ROUNDUP(E246/$C$3,0),_xlpm.x))</f>
        <v>40000</v>
      </c>
      <c r="G246" s="442">
        <f>_xlfn.LET(_xlpm.v,MAX(30,$C$52*$B$57),_xlpm.x,_xlfn.XLOOKUP(_xlpm.v,$C$143:$C$156,$C$143:$C$156,"",1),IF(_xlpm.x="",ROUNDUP(_xlpm.v,0),_xlpm.x))</f>
        <v>30</v>
      </c>
      <c r="H246" s="444">
        <f t="shared" si="32"/>
        <v>652.49481325568274</v>
      </c>
      <c r="I246" s="440" t="s">
        <v>506</v>
      </c>
      <c r="J246" s="444">
        <f t="shared" si="33"/>
        <v>9.3213544750811828</v>
      </c>
      <c r="K246" s="440" t="s">
        <v>471</v>
      </c>
      <c r="L246" s="729"/>
    </row>
    <row r="247" spans="1:12" x14ac:dyDescent="0.25">
      <c r="A247" s="509" t="s">
        <v>510</v>
      </c>
      <c r="B247" s="440" t="s">
        <v>242</v>
      </c>
      <c r="C247" s="443">
        <v>51.7</v>
      </c>
      <c r="D247" s="441">
        <f t="shared" si="34"/>
        <v>51777.405749999998</v>
      </c>
      <c r="E247" s="441">
        <f t="shared" si="35"/>
        <v>31066.443449999999</v>
      </c>
      <c r="F247" s="441">
        <f>_xlfn.LET(_xlpm.x,_xlfn.XLOOKUP(E247/$C$3,$A$143:$A$183,$A$143:$A$183,"",1),IF(_xlpm.x="",ROUNDUP(E247/$C$3,0),_xlpm.x))</f>
        <v>40000</v>
      </c>
      <c r="G247" s="442">
        <f>_xlfn.LET(_xlpm.v,MAX(30,$C$52*$B$57),_xlpm.x,_xlfn.XLOOKUP(_xlpm.v,$C$143:$C$156,$C$143:$C$156,"",1),IF(_xlpm.x="",ROUNDUP(_xlpm.v,0),_xlpm.x))</f>
        <v>30</v>
      </c>
      <c r="H247" s="444">
        <f t="shared" si="32"/>
        <v>652.49481325568274</v>
      </c>
      <c r="I247" s="440" t="s">
        <v>506</v>
      </c>
      <c r="J247" s="444">
        <f t="shared" si="33"/>
        <v>9.3213544750811828</v>
      </c>
      <c r="K247" s="440" t="s">
        <v>471</v>
      </c>
      <c r="L247" s="729"/>
    </row>
    <row r="248" spans="1:12" x14ac:dyDescent="0.25">
      <c r="A248" s="509" t="s">
        <v>510</v>
      </c>
      <c r="B248" s="440" t="s">
        <v>243</v>
      </c>
      <c r="C248" s="443">
        <v>50.1</v>
      </c>
      <c r="D248" s="441">
        <f t="shared" si="34"/>
        <v>52771.929749999996</v>
      </c>
      <c r="E248" s="441">
        <f t="shared" si="35"/>
        <v>31663.157849999996</v>
      </c>
      <c r="F248" s="441">
        <f>_xlfn.LET(_xlpm.x,_xlfn.XLOOKUP(E248/$C$3,$A$143:$A$183,$A$143:$A$183,"",1),IF(_xlpm.x="",ROUNDUP(E248/$C$3,0),_xlpm.x))</f>
        <v>40000</v>
      </c>
      <c r="G248" s="442">
        <f>_xlfn.LET(_xlpm.v,MAX(30,$C$52*$B$57),_xlpm.x,_xlfn.XLOOKUP(_xlpm.v,$C$143:$C$156,$C$143:$C$156,"",1),IF(_xlpm.x="",ROUNDUP(_xlpm.v,0),_xlpm.x))</f>
        <v>30</v>
      </c>
      <c r="H248" s="444">
        <f t="shared" si="32"/>
        <v>652.49481325568274</v>
      </c>
      <c r="I248" s="440" t="s">
        <v>506</v>
      </c>
      <c r="J248" s="444">
        <f t="shared" si="33"/>
        <v>9.3213544750811828</v>
      </c>
      <c r="K248" s="440" t="s">
        <v>471</v>
      </c>
      <c r="L248" s="729"/>
    </row>
    <row r="249" spans="1:12" x14ac:dyDescent="0.25">
      <c r="A249" s="509" t="s">
        <v>510</v>
      </c>
      <c r="B249" s="440" t="s">
        <v>244</v>
      </c>
      <c r="C249" s="443">
        <v>63.2</v>
      </c>
      <c r="D249" s="441">
        <f t="shared" si="34"/>
        <v>44629.264499999997</v>
      </c>
      <c r="E249" s="441">
        <f t="shared" si="35"/>
        <v>26777.558699999998</v>
      </c>
      <c r="F249" s="441">
        <f>_xlfn.LET(_xlpm.x,_xlfn.XLOOKUP(E249/$C$3,$A$143:$A$183,$A$143:$A$183,"",1),IF(_xlpm.x="",ROUNDUP(E249/$C$3,0),_xlpm.x))</f>
        <v>34000</v>
      </c>
      <c r="G249" s="442">
        <f>_xlfn.LET(_xlpm.v,MAX(30,$C$52*$B$57),_xlpm.x,_xlfn.XLOOKUP(_xlpm.v,$C$143:$C$156,$C$143:$C$156,"",1),IF(_xlpm.x="",ROUNDUP(_xlpm.v,0),_xlpm.x))</f>
        <v>30</v>
      </c>
      <c r="H249" s="444">
        <f t="shared" si="32"/>
        <v>644.99481325568274</v>
      </c>
      <c r="I249" s="440" t="s">
        <v>506</v>
      </c>
      <c r="J249" s="444">
        <f t="shared" si="33"/>
        <v>9.2142116179383251</v>
      </c>
      <c r="K249" s="440" t="s">
        <v>471</v>
      </c>
      <c r="L249" s="729"/>
    </row>
    <row r="250" spans="1:12" ht="13.8" thickBot="1" x14ac:dyDescent="0.3">
      <c r="A250" s="510" t="s">
        <v>510</v>
      </c>
      <c r="B250" s="511" t="s">
        <v>245</v>
      </c>
      <c r="C250" s="512">
        <v>41.4</v>
      </c>
      <c r="D250" s="513">
        <f t="shared" si="34"/>
        <v>58179.653999999995</v>
      </c>
      <c r="E250" s="513">
        <f t="shared" si="35"/>
        <v>34907.792399999998</v>
      </c>
      <c r="F250" s="513">
        <f>_xlfn.LET(_xlpm.x,_xlfn.XLOOKUP(E250/$C$3,$A$143:$A$183,$A$143:$A$183,"",1),IF(_xlpm.x="",ROUNDUP(E250/$C$3,0),_xlpm.x))</f>
        <v>50000</v>
      </c>
      <c r="G250" s="514">
        <f>_xlfn.LET(_xlpm.v,MAX(30,$C$52*$B$57),_xlpm.x,_xlfn.XLOOKUP(_xlpm.v,$C$143:$C$156,$C$143:$C$156,"",1),IF(_xlpm.x="",ROUNDUP(_xlpm.v,0),_xlpm.x))</f>
        <v>30</v>
      </c>
      <c r="H250" s="515">
        <f t="shared" si="32"/>
        <v>664.99481325568274</v>
      </c>
      <c r="I250" s="511" t="s">
        <v>506</v>
      </c>
      <c r="J250" s="515">
        <f t="shared" si="33"/>
        <v>9.4999259036526098</v>
      </c>
      <c r="K250" s="511" t="s">
        <v>471</v>
      </c>
      <c r="L250" s="730"/>
    </row>
  </sheetData>
  <mergeCells count="22">
    <mergeCell ref="A141:D141"/>
    <mergeCell ref="L187:L202"/>
    <mergeCell ref="L203:L218"/>
    <mergeCell ref="L235:L250"/>
    <mergeCell ref="L219:L234"/>
    <mergeCell ref="A185:L185"/>
    <mergeCell ref="H186:I186"/>
    <mergeCell ref="J186:K186"/>
    <mergeCell ref="A139:K139"/>
    <mergeCell ref="A1:G1"/>
    <mergeCell ref="L113:L128"/>
    <mergeCell ref="H64:I64"/>
    <mergeCell ref="J64:K64"/>
    <mergeCell ref="L65:L80"/>
    <mergeCell ref="A63:L63"/>
    <mergeCell ref="L97:L112"/>
    <mergeCell ref="L81:L96"/>
    <mergeCell ref="F131:G131"/>
    <mergeCell ref="A130:G130"/>
    <mergeCell ref="D49:D52"/>
    <mergeCell ref="A47:D47"/>
    <mergeCell ref="A6:G6"/>
  </mergeCells>
  <phoneticPr fontId="5" type="noConversion"/>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18"/>
  <sheetViews>
    <sheetView topLeftCell="A8" zoomScale="90" zoomScaleNormal="90" workbookViewId="0">
      <selection sqref="A1:H1"/>
    </sheetView>
  </sheetViews>
  <sheetFormatPr defaultColWidth="8.6640625" defaultRowHeight="13.2" x14ac:dyDescent="0.25"/>
  <cols>
    <col min="1" max="1" width="49.6640625" style="4" bestFit="1" customWidth="1"/>
    <col min="2" max="2" width="21.44140625" style="4" bestFit="1" customWidth="1"/>
    <col min="3" max="3" width="26.5546875" style="4" customWidth="1"/>
    <col min="4" max="4" width="30.109375" style="4" customWidth="1"/>
    <col min="5" max="5" width="18.33203125" style="4" customWidth="1"/>
    <col min="6" max="6" width="28.44140625" style="4" customWidth="1"/>
    <col min="7" max="7" width="30" style="4" customWidth="1"/>
    <col min="8" max="8" width="33.77734375" style="4" customWidth="1"/>
    <col min="9" max="9" width="11.44140625" style="4" customWidth="1"/>
    <col min="10" max="16384" width="8.6640625" style="4"/>
  </cols>
  <sheetData>
    <row r="1" spans="1:8" ht="25.95" customHeight="1" x14ac:dyDescent="0.25">
      <c r="A1" s="722" t="str">
        <f>"Interior Lighting - "&amp;Prototype!A2</f>
        <v>Interior Lighting - SchoolK-8</v>
      </c>
      <c r="B1" s="905"/>
      <c r="C1" s="905"/>
      <c r="D1" s="905"/>
      <c r="E1" s="905"/>
      <c r="F1" s="905"/>
      <c r="G1" s="905"/>
      <c r="H1" s="905"/>
    </row>
    <row r="2" spans="1:8" ht="25.95" customHeight="1" x14ac:dyDescent="0.25">
      <c r="A2" s="733" t="s">
        <v>220</v>
      </c>
      <c r="B2" s="734" t="s">
        <v>511</v>
      </c>
      <c r="C2" s="734"/>
      <c r="D2" s="734"/>
      <c r="E2" s="734" t="s">
        <v>259</v>
      </c>
      <c r="F2" s="734"/>
      <c r="G2" s="734"/>
      <c r="H2" s="903" t="s">
        <v>49</v>
      </c>
    </row>
    <row r="3" spans="1:8" ht="43.2" customHeight="1" x14ac:dyDescent="0.25">
      <c r="A3" s="733"/>
      <c r="B3" s="596" t="s">
        <v>512</v>
      </c>
      <c r="C3" s="596" t="s">
        <v>513</v>
      </c>
      <c r="D3" s="595" t="s">
        <v>312</v>
      </c>
      <c r="E3" s="596" t="s">
        <v>514</v>
      </c>
      <c r="F3" s="596" t="s">
        <v>513</v>
      </c>
      <c r="G3" s="596" t="s">
        <v>312</v>
      </c>
      <c r="H3" s="904"/>
    </row>
    <row r="4" spans="1:8" ht="27" customHeight="1" x14ac:dyDescent="0.25">
      <c r="A4" s="111" t="str">
        <f>Zones!C3</f>
        <v>Lounge, Breakroom, or Waiting Area</v>
      </c>
      <c r="B4" s="77">
        <v>0.55000000000000004</v>
      </c>
      <c r="C4" s="582">
        <v>0.25</v>
      </c>
      <c r="D4" s="650" t="s">
        <v>515</v>
      </c>
      <c r="E4" s="77">
        <v>0.9</v>
      </c>
      <c r="F4" s="582">
        <f>0.5*0.5</f>
        <v>0.25</v>
      </c>
      <c r="G4" s="650" t="s">
        <v>516</v>
      </c>
      <c r="H4" s="311"/>
    </row>
    <row r="5" spans="1:8" ht="24" customHeight="1" x14ac:dyDescent="0.25">
      <c r="A5" s="111" t="str">
        <f>Zones!C4</f>
        <v>Convention, Conference, Multipurpose and Meeting Area</v>
      </c>
      <c r="B5" s="77">
        <v>0.75</v>
      </c>
      <c r="C5" s="582">
        <f>0.25*0.5</f>
        <v>0.125</v>
      </c>
      <c r="D5" s="660"/>
      <c r="E5" s="77">
        <v>1.2</v>
      </c>
      <c r="F5" s="582">
        <v>0.5</v>
      </c>
      <c r="G5" s="660"/>
      <c r="H5" s="906"/>
    </row>
    <row r="6" spans="1:8" ht="22.95" customHeight="1" x14ac:dyDescent="0.25">
      <c r="A6" s="111" t="str">
        <f>Zones!C5</f>
        <v>Corridor Area</v>
      </c>
      <c r="B6" s="77">
        <v>0.4</v>
      </c>
      <c r="C6" s="582">
        <v>0.25</v>
      </c>
      <c r="D6" s="651"/>
      <c r="E6" s="77">
        <v>0.6</v>
      </c>
      <c r="F6" s="582"/>
      <c r="G6" s="651"/>
      <c r="H6" s="907"/>
    </row>
    <row r="7" spans="1:8" ht="21" customHeight="1" x14ac:dyDescent="0.25">
      <c r="A7" s="111" t="str">
        <f>Zones!C6</f>
        <v>Electrical, Mechanical, Telephone Rooms</v>
      </c>
      <c r="B7" s="77">
        <v>0.4</v>
      </c>
      <c r="C7" s="582"/>
      <c r="D7" s="651"/>
      <c r="E7" s="77">
        <v>0.55000000000000004</v>
      </c>
      <c r="F7" s="582">
        <v>0.5</v>
      </c>
      <c r="G7" s="651"/>
      <c r="H7" s="907"/>
    </row>
    <row r="8" spans="1:8" ht="27" customHeight="1" x14ac:dyDescent="0.25">
      <c r="A8" s="111" t="str">
        <f>Zones!C8</f>
        <v>Kitchen/Food Preparation Area</v>
      </c>
      <c r="B8" s="77">
        <v>0.95</v>
      </c>
      <c r="C8" s="584"/>
      <c r="D8" s="651"/>
      <c r="E8" s="77">
        <v>1.2</v>
      </c>
      <c r="F8" s="416"/>
      <c r="G8" s="651"/>
      <c r="H8" s="907"/>
    </row>
    <row r="9" spans="1:8" s="5" customFormat="1" ht="27" customHeight="1" x14ac:dyDescent="0.25">
      <c r="A9" s="111" t="str">
        <f>Zones!C9</f>
        <v>Lobby, Main Entry</v>
      </c>
      <c r="B9" s="77">
        <v>0.7</v>
      </c>
      <c r="C9" s="582">
        <f>0.25*0.5</f>
        <v>0.125</v>
      </c>
      <c r="D9" s="660"/>
      <c r="E9" s="77">
        <v>0.95</v>
      </c>
      <c r="F9" s="583">
        <f>0.5*0.5</f>
        <v>0.25</v>
      </c>
      <c r="G9" s="660"/>
      <c r="H9" s="906"/>
    </row>
    <row r="10" spans="1:8" ht="27" customHeight="1" x14ac:dyDescent="0.25">
      <c r="A10" s="111" t="str">
        <f>Zones!C12</f>
        <v>Restrooms</v>
      </c>
      <c r="B10" s="77">
        <v>0.65</v>
      </c>
      <c r="C10" s="583">
        <f>0.35*0.5</f>
        <v>0.17499999999999999</v>
      </c>
      <c r="D10" s="651"/>
      <c r="E10" s="77">
        <v>0.6</v>
      </c>
      <c r="F10" s="583"/>
      <c r="G10" s="651"/>
      <c r="H10" s="907"/>
    </row>
    <row r="11" spans="1:8" ht="27" customHeight="1" x14ac:dyDescent="0.25">
      <c r="A11" s="111" t="str">
        <f>Zones!C13</f>
        <v>Storage (General)</v>
      </c>
      <c r="B11" s="77">
        <v>0.4</v>
      </c>
      <c r="C11" s="583"/>
      <c r="D11" s="651"/>
      <c r="E11" s="77">
        <v>0.6</v>
      </c>
      <c r="F11" s="583"/>
      <c r="G11" s="651"/>
      <c r="H11" s="907"/>
    </row>
    <row r="12" spans="1:8" ht="27" customHeight="1" x14ac:dyDescent="0.25">
      <c r="A12" s="111" t="str">
        <f>Zones!C14</f>
        <v>Storage, Commercial/Industrial (Refrigerated)</v>
      </c>
      <c r="B12" s="77">
        <v>0.4</v>
      </c>
      <c r="C12" s="583"/>
      <c r="D12" s="651"/>
      <c r="E12" s="77">
        <v>0.7</v>
      </c>
      <c r="F12" s="583"/>
      <c r="G12" s="651"/>
      <c r="H12" s="907"/>
    </row>
    <row r="13" spans="1:8" ht="27" customHeight="1" x14ac:dyDescent="0.25">
      <c r="A13" s="111" t="str">
        <f>Zones!C15</f>
        <v>Theater Area (Performance)</v>
      </c>
      <c r="B13" s="77">
        <v>0.8</v>
      </c>
      <c r="C13" s="583"/>
      <c r="D13" s="651"/>
      <c r="E13" s="77">
        <v>1.4</v>
      </c>
      <c r="F13" s="583"/>
      <c r="G13" s="651"/>
      <c r="H13" s="907"/>
    </row>
    <row r="14" spans="1:8" ht="27" customHeight="1" x14ac:dyDescent="0.25">
      <c r="A14" s="111" t="str">
        <f>Zones!C16</f>
        <v>Classroom, Lecture, Training, Vocational Areas</v>
      </c>
      <c r="B14" s="77">
        <v>0.6</v>
      </c>
      <c r="C14" s="583"/>
      <c r="D14" s="651"/>
      <c r="E14" s="77">
        <v>1.2</v>
      </c>
      <c r="F14" s="583"/>
      <c r="G14" s="651"/>
      <c r="H14" s="907"/>
    </row>
    <row r="15" spans="1:8" ht="27" customHeight="1" x14ac:dyDescent="0.25">
      <c r="A15" s="111" t="str">
        <f>Zones!C22</f>
        <v>Office Area (&lt;250 square feet)</v>
      </c>
      <c r="B15" s="77">
        <v>0.65</v>
      </c>
      <c r="C15" s="583">
        <f>0.2*0.5</f>
        <v>0.1</v>
      </c>
      <c r="D15" s="660"/>
      <c r="E15" s="77">
        <v>1</v>
      </c>
      <c r="F15" s="583"/>
      <c r="G15" s="660"/>
      <c r="H15" s="906"/>
    </row>
    <row r="16" spans="1:8" ht="27" customHeight="1" x14ac:dyDescent="0.25">
      <c r="A16" s="111" t="str">
        <f>Zones!C27</f>
        <v>Library (Reading Area)</v>
      </c>
      <c r="B16" s="77">
        <v>0.8</v>
      </c>
      <c r="C16" s="583">
        <f>0.25*0.5</f>
        <v>0.125</v>
      </c>
      <c r="D16" s="652"/>
      <c r="E16" s="77">
        <v>1.1000000000000001</v>
      </c>
      <c r="F16" s="583">
        <f>0.5*0.5</f>
        <v>0.25</v>
      </c>
      <c r="G16" s="652"/>
      <c r="H16" s="908"/>
    </row>
    <row r="18" spans="1:1" x14ac:dyDescent="0.25">
      <c r="A18" s="4" t="s">
        <v>517</v>
      </c>
    </row>
  </sheetData>
  <autoFilter ref="A2:G16" xr:uid="{B6F6AAB3-37D4-40C4-AD32-87DEB55DC747}">
    <filterColumn colId="1" showButton="0"/>
    <filterColumn colId="2" showButton="0"/>
    <filterColumn colId="4" showButton="0"/>
    <filterColumn colId="5" showButton="0"/>
  </autoFilter>
  <mergeCells count="7">
    <mergeCell ref="A2:A3"/>
    <mergeCell ref="B2:D2"/>
    <mergeCell ref="E2:G2"/>
    <mergeCell ref="D4:D16"/>
    <mergeCell ref="G4:G16"/>
    <mergeCell ref="H2:H3"/>
    <mergeCell ref="A1:H1"/>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29"/>
  <sheetViews>
    <sheetView zoomScale="85" zoomScaleNormal="85" workbookViewId="0">
      <selection sqref="A1:D1"/>
    </sheetView>
  </sheetViews>
  <sheetFormatPr defaultColWidth="8.6640625" defaultRowHeight="13.2" x14ac:dyDescent="0.25"/>
  <cols>
    <col min="1" max="1" width="32" style="4" customWidth="1"/>
    <col min="2" max="2" width="30.33203125" style="4" customWidth="1"/>
    <col min="3" max="3" width="21.33203125" style="4" customWidth="1"/>
    <col min="4" max="4" width="36.33203125" style="4" customWidth="1"/>
    <col min="5" max="5" width="38.88671875" style="4" customWidth="1"/>
    <col min="6" max="6" width="17.109375" style="4" customWidth="1"/>
    <col min="7" max="7" width="17.5546875" style="4" customWidth="1"/>
    <col min="8" max="8" width="15.5546875" style="4" customWidth="1"/>
    <col min="9" max="9" width="13.33203125" style="4" customWidth="1"/>
    <col min="10" max="16384" width="8.6640625" style="4"/>
  </cols>
  <sheetData>
    <row r="1" spans="1:7" ht="25.2" customHeight="1" x14ac:dyDescent="0.25">
      <c r="A1" s="605" t="str">
        <f>"Exterior Lighting - "&amp;Prototype!A2</f>
        <v>Exterior Lighting - SchoolK-8</v>
      </c>
      <c r="B1" s="605"/>
      <c r="C1" s="605"/>
      <c r="D1" s="605"/>
    </row>
    <row r="2" spans="1:7" ht="37.200000000000003" customHeight="1" x14ac:dyDescent="0.25">
      <c r="A2" s="597" t="s">
        <v>518</v>
      </c>
      <c r="B2" s="597" t="s">
        <v>519</v>
      </c>
      <c r="C2" s="597" t="s">
        <v>520</v>
      </c>
      <c r="D2" s="597" t="s">
        <v>312</v>
      </c>
    </row>
    <row r="3" spans="1:7" ht="45.6" customHeight="1" x14ac:dyDescent="0.25">
      <c r="A3" s="38">
        <f>G15</f>
        <v>1375.1198222222222</v>
      </c>
      <c r="B3" s="604">
        <f>G16</f>
        <v>4697.6743880000004</v>
      </c>
      <c r="C3" s="38">
        <f>A3+B3</f>
        <v>6072.7942102222223</v>
      </c>
      <c r="D3" s="580" t="s">
        <v>521</v>
      </c>
      <c r="E3" s="71"/>
    </row>
    <row r="4" spans="1:7" ht="22.2" customHeight="1" x14ac:dyDescent="0.25">
      <c r="A4" s="51"/>
      <c r="B4" s="51"/>
      <c r="C4" s="51"/>
    </row>
    <row r="5" spans="1:7" ht="14.4" x14ac:dyDescent="0.3">
      <c r="A5"/>
      <c r="C5" s="80"/>
      <c r="E5" s="81"/>
    </row>
    <row r="6" spans="1:7" ht="14.4" x14ac:dyDescent="0.3">
      <c r="A6"/>
      <c r="C6" s="80"/>
      <c r="E6" s="81"/>
    </row>
    <row r="7" spans="1:7" ht="15.6" x14ac:dyDescent="0.25">
      <c r="A7" s="605" t="str">
        <f>"Exterior Lighting"</f>
        <v>Exterior Lighting</v>
      </c>
      <c r="B7" s="605"/>
      <c r="C7" s="605"/>
      <c r="D7" s="605"/>
      <c r="E7" s="605"/>
      <c r="F7" s="605"/>
      <c r="G7" s="605"/>
    </row>
    <row r="8" spans="1:7" ht="51.6" customHeight="1" x14ac:dyDescent="0.25">
      <c r="A8" s="119" t="s">
        <v>522</v>
      </c>
      <c r="B8" s="606" t="s">
        <v>523</v>
      </c>
      <c r="C8" s="606"/>
      <c r="D8" s="597" t="s">
        <v>524</v>
      </c>
      <c r="E8" s="597" t="s">
        <v>525</v>
      </c>
      <c r="F8" s="597" t="s">
        <v>524</v>
      </c>
      <c r="G8" s="597" t="s">
        <v>526</v>
      </c>
    </row>
    <row r="9" spans="1:7" ht="21" customHeight="1" x14ac:dyDescent="0.25">
      <c r="A9" s="14" t="s">
        <v>527</v>
      </c>
      <c r="B9" s="14"/>
      <c r="C9" s="82"/>
      <c r="D9" s="581"/>
      <c r="E9" s="581">
        <v>200</v>
      </c>
      <c r="F9" s="593" t="s">
        <v>528</v>
      </c>
      <c r="G9" s="120">
        <f>$E9</f>
        <v>200</v>
      </c>
    </row>
    <row r="10" spans="1:7" ht="39.6" x14ac:dyDescent="0.25">
      <c r="A10" s="14" t="s">
        <v>529</v>
      </c>
      <c r="B10" s="15" t="s">
        <v>530</v>
      </c>
      <c r="C10" s="83">
        <f>B28/360*400</f>
        <v>55532.62222222222</v>
      </c>
      <c r="D10" s="581" t="s">
        <v>531</v>
      </c>
      <c r="E10" s="581">
        <v>1.9E-2</v>
      </c>
      <c r="F10" s="593" t="s">
        <v>532</v>
      </c>
      <c r="G10" s="120">
        <f t="shared" ref="G10:G13" si="0">E10*C10</f>
        <v>1055.1198222222222</v>
      </c>
    </row>
    <row r="11" spans="1:7" ht="39.6" x14ac:dyDescent="0.25">
      <c r="A11" s="14" t="s">
        <v>533</v>
      </c>
      <c r="B11" s="247" t="s">
        <v>534</v>
      </c>
      <c r="C11" s="82">
        <v>8</v>
      </c>
      <c r="D11" s="581" t="s">
        <v>535</v>
      </c>
      <c r="E11" s="581">
        <v>15</v>
      </c>
      <c r="F11" s="593" t="s">
        <v>536</v>
      </c>
      <c r="G11" s="120">
        <f t="shared" si="0"/>
        <v>120</v>
      </c>
    </row>
    <row r="12" spans="1:7" ht="39.6" customHeight="1" x14ac:dyDescent="0.25">
      <c r="A12" s="14" t="s">
        <v>537</v>
      </c>
      <c r="B12" s="15" t="s">
        <v>538</v>
      </c>
      <c r="C12" s="86">
        <f>B28*0.1*0.25</f>
        <v>1249.4840000000002</v>
      </c>
      <c r="D12" s="581" t="s">
        <v>531</v>
      </c>
      <c r="E12" s="581">
        <v>7.0000000000000001E-3</v>
      </c>
      <c r="F12" s="593" t="s">
        <v>532</v>
      </c>
      <c r="G12" s="121">
        <f t="shared" si="0"/>
        <v>8.7463880000000014</v>
      </c>
    </row>
    <row r="13" spans="1:7" ht="118.8" x14ac:dyDescent="0.25">
      <c r="A13" s="14" t="s">
        <v>539</v>
      </c>
      <c r="B13" s="247" t="s">
        <v>540</v>
      </c>
      <c r="C13" s="300">
        <f>0.25*4*(B21*B22+C21*C22+D21*D22+E21*E22)</f>
        <v>44889.280000000006</v>
      </c>
      <c r="D13" s="581" t="s">
        <v>531</v>
      </c>
      <c r="E13" s="581">
        <v>0.1</v>
      </c>
      <c r="F13" s="593" t="s">
        <v>532</v>
      </c>
      <c r="G13" s="121">
        <f t="shared" si="0"/>
        <v>4488.9280000000008</v>
      </c>
    </row>
    <row r="14" spans="1:7" ht="66" x14ac:dyDescent="0.25">
      <c r="A14" s="248" t="s">
        <v>541</v>
      </c>
      <c r="B14" s="247" t="s">
        <v>542</v>
      </c>
      <c r="C14" s="84"/>
      <c r="D14" s="581"/>
      <c r="E14" s="581"/>
      <c r="F14" s="593"/>
      <c r="G14" s="249">
        <v>200</v>
      </c>
    </row>
    <row r="15" spans="1:7" x14ac:dyDescent="0.25">
      <c r="A15" s="14" t="s">
        <v>518</v>
      </c>
      <c r="B15" s="14"/>
      <c r="C15" s="82"/>
      <c r="D15" s="581"/>
      <c r="E15" s="581"/>
      <c r="F15" s="581"/>
      <c r="G15" s="121">
        <f>G10+G9+G11</f>
        <v>1375.1198222222222</v>
      </c>
    </row>
    <row r="16" spans="1:7" x14ac:dyDescent="0.25">
      <c r="A16" s="14" t="s">
        <v>543</v>
      </c>
      <c r="B16" s="14"/>
      <c r="C16" s="82"/>
      <c r="D16" s="581"/>
      <c r="E16" s="581"/>
      <c r="F16" s="581"/>
      <c r="G16" s="121">
        <f>G12+G13+G14</f>
        <v>4697.6743880000004</v>
      </c>
    </row>
    <row r="17" spans="1:9" x14ac:dyDescent="0.25">
      <c r="A17" s="14" t="s">
        <v>222</v>
      </c>
      <c r="B17" s="14"/>
      <c r="C17" s="82"/>
      <c r="D17" s="581"/>
      <c r="E17" s="581"/>
      <c r="F17" s="581"/>
      <c r="G17" s="121">
        <f>G15+G16</f>
        <v>6072.7942102222223</v>
      </c>
    </row>
    <row r="20" spans="1:9" x14ac:dyDescent="0.25">
      <c r="B20" s="85" t="s">
        <v>544</v>
      </c>
      <c r="C20" s="4" t="s">
        <v>545</v>
      </c>
      <c r="D20" s="4" t="s">
        <v>546</v>
      </c>
      <c r="E20" s="4" t="s">
        <v>547</v>
      </c>
    </row>
    <row r="21" spans="1:9" x14ac:dyDescent="0.25">
      <c r="A21" s="4" t="s">
        <v>548</v>
      </c>
      <c r="B21" s="151">
        <f>(235.1+33.5)*2</f>
        <v>537.20000000000005</v>
      </c>
      <c r="C21" s="151">
        <f>(129.08+34.2)*2</f>
        <v>326.56000000000006</v>
      </c>
      <c r="D21" s="151">
        <f>(192+45)*2</f>
        <v>474</v>
      </c>
      <c r="E21" s="151">
        <f>(195.8+85.56)*2</f>
        <v>562.72</v>
      </c>
      <c r="F21" s="282"/>
    </row>
    <row r="22" spans="1:9" ht="27.75" customHeight="1" x14ac:dyDescent="0.25">
      <c r="A22" s="10" t="s">
        <v>549</v>
      </c>
      <c r="B22" s="282">
        <v>28</v>
      </c>
      <c r="C22" s="282">
        <v>28</v>
      </c>
      <c r="D22" s="282">
        <v>14</v>
      </c>
      <c r="E22" s="282">
        <v>25</v>
      </c>
      <c r="F22" s="282"/>
    </row>
    <row r="23" spans="1:9" x14ac:dyDescent="0.25">
      <c r="A23" s="10" t="s">
        <v>550</v>
      </c>
      <c r="B23" s="151">
        <v>7876</v>
      </c>
      <c r="C23" s="151">
        <v>4415</v>
      </c>
      <c r="D23" s="151">
        <v>8640</v>
      </c>
      <c r="E23" s="151">
        <v>16754</v>
      </c>
      <c r="F23" s="282"/>
    </row>
    <row r="24" spans="1:9" x14ac:dyDescent="0.25">
      <c r="A24" s="4" t="s">
        <v>551</v>
      </c>
      <c r="B24" s="4">
        <v>2</v>
      </c>
      <c r="C24" s="4">
        <v>2</v>
      </c>
      <c r="D24" s="4">
        <v>1</v>
      </c>
      <c r="E24" s="4">
        <v>1</v>
      </c>
    </row>
    <row r="25" spans="1:9" x14ac:dyDescent="0.25">
      <c r="A25" s="71" t="s">
        <v>552</v>
      </c>
      <c r="B25" s="71">
        <f>SUMIF(Zones!$A$3:$A$40,"SkoolK-8 North Classrooms",Zones!$H$3:$H$40)</f>
        <v>15753.22</v>
      </c>
      <c r="C25" s="71">
        <f>SUMIF(Zones!$A$3:$A$40,"SkoolK-8 West Classrooms",Zones!$H$3:$H$40)</f>
        <v>8829.9500000000007</v>
      </c>
      <c r="D25" s="71">
        <f>SUMIF(Zones!$A$3:$A$40,"SkoolK-8 Kindergarten",Zones!$H$3:$H$40)</f>
        <v>8640.8599999999988</v>
      </c>
      <c r="E25" s="71">
        <f>SUMIF(Zones!$A$3:$A$40,"SkoolK-8 Admin/MPR",Zones!$H$3:$H$40)</f>
        <v>16755.34</v>
      </c>
    </row>
    <row r="26" spans="1:9" x14ac:dyDescent="0.25">
      <c r="A26" s="71" t="s">
        <v>553</v>
      </c>
      <c r="B26" s="71">
        <f>B21*B22</f>
        <v>15041.600000000002</v>
      </c>
      <c r="C26" s="71">
        <f>C21*C22</f>
        <v>9143.6800000000021</v>
      </c>
      <c r="D26" s="71">
        <f>D21*D22</f>
        <v>6636</v>
      </c>
      <c r="E26" s="71">
        <f>E21*E22</f>
        <v>14068</v>
      </c>
    </row>
    <row r="27" spans="1:9" ht="14.4" x14ac:dyDescent="0.3">
      <c r="A27" s="577" t="s">
        <v>554</v>
      </c>
      <c r="B27" s="150">
        <f>SUM(B21:E21)</f>
        <v>1900.4800000000002</v>
      </c>
      <c r="C27" s="283"/>
      <c r="D27" s="148"/>
      <c r="E27" s="577"/>
      <c r="F27" s="149"/>
      <c r="G27" s="577"/>
      <c r="H27" s="577"/>
      <c r="I27" s="577"/>
    </row>
    <row r="28" spans="1:9" ht="14.4" x14ac:dyDescent="0.3">
      <c r="A28" s="577" t="s">
        <v>555</v>
      </c>
      <c r="B28" s="150">
        <f>Prototype!B9</f>
        <v>49979.360000000001</v>
      </c>
      <c r="C28" s="577"/>
      <c r="D28" s="148"/>
      <c r="E28" s="577"/>
      <c r="F28" s="149"/>
      <c r="G28" s="577"/>
      <c r="H28" s="577"/>
      <c r="I28" s="577"/>
    </row>
    <row r="29" spans="1:9" s="22" customFormat="1" ht="13.2" hidden="1" customHeight="1" x14ac:dyDescent="0.25">
      <c r="A29" s="22" t="s">
        <v>223</v>
      </c>
      <c r="E29" s="23"/>
      <c r="F29" s="24"/>
      <c r="G29" s="25"/>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K56"/>
  <sheetViews>
    <sheetView zoomScale="90" zoomScaleNormal="90" workbookViewId="0">
      <selection sqref="A1:E1"/>
    </sheetView>
  </sheetViews>
  <sheetFormatPr defaultColWidth="8.6640625" defaultRowHeight="13.2" x14ac:dyDescent="0.25"/>
  <cols>
    <col min="1" max="1" width="51.109375" style="4" bestFit="1" customWidth="1"/>
    <col min="2" max="2" width="23.5546875" style="4" customWidth="1"/>
    <col min="3" max="3" width="18.44140625" style="4" bestFit="1" customWidth="1"/>
    <col min="4" max="4" width="23.33203125" style="4" customWidth="1"/>
    <col min="5" max="5" width="68.44140625" style="4" customWidth="1"/>
    <col min="6" max="6" width="63.88671875" style="4" customWidth="1"/>
    <col min="7" max="7" width="16.33203125" style="4" customWidth="1"/>
    <col min="8" max="8" width="10.6640625" style="4" bestFit="1" customWidth="1"/>
    <col min="9" max="9" width="10.5546875" style="4" bestFit="1" customWidth="1"/>
    <col min="10" max="10" width="11.33203125" style="4" customWidth="1"/>
    <col min="11" max="11" width="54.33203125" style="4" customWidth="1"/>
    <col min="12" max="16384" width="8.6640625" style="4"/>
  </cols>
  <sheetData>
    <row r="1" spans="1:5" ht="23.4" customHeight="1" x14ac:dyDescent="0.25">
      <c r="A1" s="736" t="str">
        <f>"Equipment - "&amp;Prototype!A2</f>
        <v>Equipment - SchoolK-8</v>
      </c>
      <c r="B1" s="737"/>
      <c r="C1" s="737"/>
      <c r="D1" s="737"/>
      <c r="E1" s="737"/>
    </row>
    <row r="2" spans="1:5" ht="40.950000000000003" customHeight="1" x14ac:dyDescent="0.25">
      <c r="A2" s="595" t="s">
        <v>220</v>
      </c>
      <c r="B2" s="596" t="s">
        <v>556</v>
      </c>
      <c r="C2" s="596" t="s">
        <v>557</v>
      </c>
      <c r="D2" s="596" t="s">
        <v>558</v>
      </c>
      <c r="E2" s="599" t="s">
        <v>312</v>
      </c>
    </row>
    <row r="3" spans="1:5" ht="20.399999999999999" customHeight="1" x14ac:dyDescent="0.25">
      <c r="A3" s="110" t="str">
        <f>Zones!C3</f>
        <v>Lounge, Breakroom, or Waiting Area</v>
      </c>
      <c r="B3" s="154">
        <v>1</v>
      </c>
      <c r="C3" s="154">
        <v>0</v>
      </c>
      <c r="D3" s="155">
        <v>0</v>
      </c>
      <c r="E3" s="641" t="s">
        <v>559</v>
      </c>
    </row>
    <row r="4" spans="1:5" ht="20.399999999999999" customHeight="1" x14ac:dyDescent="0.25">
      <c r="A4" s="110" t="str">
        <f>Zones!C4</f>
        <v>Convention, Conference, Multipurpose and Meeting Area</v>
      </c>
      <c r="B4" s="154">
        <v>1</v>
      </c>
      <c r="C4" s="154">
        <v>0</v>
      </c>
      <c r="D4" s="155">
        <v>0</v>
      </c>
      <c r="E4" s="641"/>
    </row>
    <row r="5" spans="1:5" ht="20.399999999999999" customHeight="1" x14ac:dyDescent="0.25">
      <c r="A5" s="110" t="str">
        <f>Zones!C5</f>
        <v>Corridor Area</v>
      </c>
      <c r="B5" s="154">
        <v>0</v>
      </c>
      <c r="C5" s="154">
        <v>0</v>
      </c>
      <c r="D5" s="155">
        <v>0</v>
      </c>
      <c r="E5" s="641"/>
    </row>
    <row r="6" spans="1:5" ht="20.399999999999999" customHeight="1" x14ac:dyDescent="0.25">
      <c r="A6" s="110" t="str">
        <f>Zones!C6</f>
        <v>Electrical, Mechanical, Telephone Rooms</v>
      </c>
      <c r="B6" s="154">
        <v>3</v>
      </c>
      <c r="C6" s="154">
        <v>0</v>
      </c>
      <c r="D6" s="155">
        <v>0</v>
      </c>
      <c r="E6" s="641"/>
    </row>
    <row r="7" spans="1:5" ht="54" customHeight="1" x14ac:dyDescent="0.25">
      <c r="A7" s="110" t="str">
        <f>Zones!C8</f>
        <v>Kitchen/Food Preparation Area</v>
      </c>
      <c r="B7" s="154">
        <v>1.5</v>
      </c>
      <c r="C7" s="154">
        <v>17.537679999999998</v>
      </c>
      <c r="D7" s="155">
        <v>1.1200000000000001</v>
      </c>
      <c r="E7" s="582" t="s">
        <v>560</v>
      </c>
    </row>
    <row r="8" spans="1:5" ht="20.399999999999999" customHeight="1" x14ac:dyDescent="0.25">
      <c r="A8" s="110" t="str">
        <f>Zones!C9</f>
        <v>Lobby, Main Entry</v>
      </c>
      <c r="B8" s="154">
        <v>0.5</v>
      </c>
      <c r="C8" s="154">
        <v>0</v>
      </c>
      <c r="D8" s="155">
        <v>0</v>
      </c>
      <c r="E8" s="580" t="s">
        <v>559</v>
      </c>
    </row>
    <row r="9" spans="1:5" ht="68.25" customHeight="1" x14ac:dyDescent="0.25">
      <c r="A9" s="110" t="str">
        <f>Zones!C11</f>
        <v>Office Area (&lt;250 square feet)</v>
      </c>
      <c r="B9" s="154">
        <v>0.7</v>
      </c>
      <c r="C9" s="154">
        <v>0</v>
      </c>
      <c r="D9" s="155">
        <v>0</v>
      </c>
      <c r="E9" s="582" t="s">
        <v>561</v>
      </c>
    </row>
    <row r="10" spans="1:5" ht="20.399999999999999" customHeight="1" x14ac:dyDescent="0.25">
      <c r="A10" s="110" t="str">
        <f>Zones!C12</f>
        <v>Restrooms</v>
      </c>
      <c r="B10" s="154">
        <v>0</v>
      </c>
      <c r="C10" s="154">
        <v>0</v>
      </c>
      <c r="D10" s="155">
        <v>0</v>
      </c>
      <c r="E10" s="641" t="s">
        <v>559</v>
      </c>
    </row>
    <row r="11" spans="1:5" ht="20.399999999999999" customHeight="1" x14ac:dyDescent="0.25">
      <c r="A11" s="110" t="str">
        <f>Zones!C13</f>
        <v>Storage (General)</v>
      </c>
      <c r="B11" s="154">
        <v>0.2</v>
      </c>
      <c r="C11" s="154">
        <v>0</v>
      </c>
      <c r="D11" s="155">
        <v>0</v>
      </c>
      <c r="E11" s="641"/>
    </row>
    <row r="12" spans="1:5" ht="20.399999999999999" customHeight="1" x14ac:dyDescent="0.25">
      <c r="A12" s="110" t="str">
        <f>Zones!C14</f>
        <v>Storage, Commercial/Industrial (Refrigerated)</v>
      </c>
      <c r="B12" s="154">
        <v>0.2</v>
      </c>
      <c r="C12" s="154">
        <v>0</v>
      </c>
      <c r="D12" s="155">
        <v>10</v>
      </c>
      <c r="E12" s="641"/>
    </row>
    <row r="13" spans="1:5" ht="20.399999999999999" customHeight="1" x14ac:dyDescent="0.25">
      <c r="A13" s="110" t="str">
        <f>Zones!C15</f>
        <v>Theater Area (Performance)</v>
      </c>
      <c r="B13" s="154">
        <v>0.5</v>
      </c>
      <c r="C13" s="154">
        <v>0</v>
      </c>
      <c r="D13" s="155">
        <v>0</v>
      </c>
      <c r="E13" s="641"/>
    </row>
    <row r="14" spans="1:5" ht="67.5" customHeight="1" x14ac:dyDescent="0.25">
      <c r="A14" s="110" t="str">
        <f>Zones!C16</f>
        <v>Classroom, Lecture, Training, Vocational Areas</v>
      </c>
      <c r="B14" s="154">
        <v>0.8</v>
      </c>
      <c r="C14" s="154">
        <v>0</v>
      </c>
      <c r="D14" s="155">
        <v>0</v>
      </c>
      <c r="E14" s="582" t="s">
        <v>562</v>
      </c>
    </row>
    <row r="15" spans="1:5" ht="20.399999999999999" customHeight="1" x14ac:dyDescent="0.25">
      <c r="A15" s="110" t="str">
        <f>Zones!C27</f>
        <v>Library (Reading Area)</v>
      </c>
      <c r="B15" s="154">
        <v>1.5</v>
      </c>
      <c r="C15" s="154">
        <v>0</v>
      </c>
      <c r="D15" s="155">
        <v>0</v>
      </c>
      <c r="E15" s="580"/>
    </row>
    <row r="16" spans="1:5" ht="15" customHeight="1" x14ac:dyDescent="0.25">
      <c r="A16" s="136"/>
    </row>
    <row r="17" spans="1:11" ht="18" customHeight="1" x14ac:dyDescent="0.25">
      <c r="A17" s="65"/>
      <c r="B17" s="65"/>
      <c r="C17" s="65"/>
      <c r="D17" s="65"/>
      <c r="E17" s="6"/>
      <c r="F17" s="209"/>
    </row>
    <row r="18" spans="1:11" ht="18" customHeight="1" x14ac:dyDescent="0.3">
      <c r="A18" s="738" t="s">
        <v>563</v>
      </c>
      <c r="B18" s="739"/>
      <c r="C18" s="739"/>
      <c r="D18" s="739"/>
      <c r="E18" s="739"/>
      <c r="F18" s="739"/>
      <c r="G18" s="739"/>
      <c r="H18" s="739"/>
      <c r="I18" s="739"/>
      <c r="J18" s="739"/>
      <c r="K18" s="739"/>
    </row>
    <row r="19" spans="1:11" ht="43.95" customHeight="1" x14ac:dyDescent="0.25">
      <c r="A19" s="238" t="s">
        <v>228</v>
      </c>
      <c r="B19" s="238" t="s">
        <v>564</v>
      </c>
      <c r="C19" s="238" t="s">
        <v>565</v>
      </c>
      <c r="D19" s="238" t="s">
        <v>566</v>
      </c>
      <c r="E19" s="238" t="s">
        <v>567</v>
      </c>
      <c r="F19" s="238" t="s">
        <v>568</v>
      </c>
      <c r="G19" s="238" t="s">
        <v>569</v>
      </c>
      <c r="H19" s="238" t="s">
        <v>570</v>
      </c>
      <c r="I19" s="238" t="s">
        <v>571</v>
      </c>
      <c r="J19" s="238" t="s">
        <v>572</v>
      </c>
      <c r="K19" s="238" t="s">
        <v>287</v>
      </c>
    </row>
    <row r="20" spans="1:11" ht="52.2" customHeight="1" x14ac:dyDescent="0.25">
      <c r="A20" s="598" t="s">
        <v>259</v>
      </c>
      <c r="B20" s="598" t="s">
        <v>573</v>
      </c>
      <c r="C20" s="598">
        <v>2</v>
      </c>
      <c r="D20" s="239">
        <v>1.1399999999999999</v>
      </c>
      <c r="E20" s="239">
        <v>0.33</v>
      </c>
      <c r="F20" s="598" t="s">
        <v>574</v>
      </c>
      <c r="G20" s="239">
        <f>ROUND(INDEX($C:$C,MATCH("Annual energy consumption of the elevator - Existing",$B:$B,0))/INDEX($C:$C,MATCH("Equivalent full load hours",$B:$B,0))*1000,2)</f>
        <v>6379.25</v>
      </c>
      <c r="H20" s="239">
        <f>ROUND(C20*INDEX($C:$C,MATCH("Cab fan airflow",$B:$B,0))*E20,2)</f>
        <v>165</v>
      </c>
      <c r="I20" s="239">
        <f>ROUND(C20*INDEX($C:$C,MATCH("Cab floor area",$B:$B,0))*D20,2)</f>
        <v>68.17</v>
      </c>
      <c r="J20" s="239">
        <f>ROUND(SUM(G20:I20),2)</f>
        <v>6612.42</v>
      </c>
      <c r="K20" s="598" t="s">
        <v>575</v>
      </c>
    </row>
    <row r="21" spans="1:11" ht="52.2" customHeight="1" x14ac:dyDescent="0.25">
      <c r="A21" s="598" t="s">
        <v>331</v>
      </c>
      <c r="B21" s="598" t="s">
        <v>576</v>
      </c>
      <c r="C21" s="598">
        <v>2</v>
      </c>
      <c r="D21" s="239">
        <v>0.6</v>
      </c>
      <c r="E21" s="239">
        <v>0.33</v>
      </c>
      <c r="F21" s="598" t="s">
        <v>577</v>
      </c>
      <c r="G21" s="239">
        <f>ROUND(INDEX($C:$C,MATCH("Annual energy consumption of the elevator - New Construction",$B:$B,0))/INDEX($C:$C,MATCH("Equivalent full load hours",$B:$B,0))*1000,2)</f>
        <v>3329.02</v>
      </c>
      <c r="H21" s="239">
        <f>ROUND(C21*INDEX($C:$C,MATCH("Cab fan airflow",$B:$B,0))*E21,2)</f>
        <v>165</v>
      </c>
      <c r="I21" s="239">
        <f>ROUND(C21*INDEX($C:$C,MATCH("Cab floor area",$B:$B,0))*D21,2)</f>
        <v>35.880000000000003</v>
      </c>
      <c r="J21" s="239">
        <f>ROUND(SUM(G21:I21),2)</f>
        <v>3529.9</v>
      </c>
      <c r="K21" s="598" t="s">
        <v>578</v>
      </c>
    </row>
    <row r="22" spans="1:11" ht="48" customHeight="1" x14ac:dyDescent="0.3">
      <c r="A22" s="742" t="s">
        <v>579</v>
      </c>
      <c r="B22" s="742"/>
      <c r="C22" s="742"/>
      <c r="D22" s="742"/>
      <c r="E22" s="742"/>
      <c r="F22" s="742"/>
      <c r="G22" s="742"/>
      <c r="H22" s="742"/>
      <c r="I22" s="742"/>
      <c r="J22" s="742"/>
      <c r="K22" s="742"/>
    </row>
    <row r="23" spans="1:11" ht="14.4" x14ac:dyDescent="0.3">
      <c r="A23"/>
      <c r="B23"/>
      <c r="C23"/>
      <c r="D23"/>
      <c r="E23"/>
      <c r="F23"/>
      <c r="G23"/>
      <c r="H23"/>
      <c r="I23"/>
      <c r="J23"/>
      <c r="K23"/>
    </row>
    <row r="24" spans="1:11" ht="14.4" x14ac:dyDescent="0.3">
      <c r="A24" s="740" t="s">
        <v>580</v>
      </c>
      <c r="B24" s="741"/>
      <c r="C24" s="741"/>
      <c r="D24" s="741"/>
      <c r="E24" s="741"/>
      <c r="F24"/>
      <c r="G24"/>
      <c r="H24"/>
      <c r="I24"/>
      <c r="J24"/>
      <c r="K24"/>
    </row>
    <row r="25" spans="1:11" ht="14.4" x14ac:dyDescent="0.3">
      <c r="A25" s="238" t="s">
        <v>581</v>
      </c>
      <c r="B25" s="238" t="s">
        <v>582</v>
      </c>
      <c r="C25" s="238" t="s">
        <v>68</v>
      </c>
      <c r="D25" s="238" t="s">
        <v>583</v>
      </c>
      <c r="E25" s="238" t="s">
        <v>312</v>
      </c>
      <c r="F25"/>
      <c r="G25"/>
      <c r="H25"/>
      <c r="I25"/>
      <c r="J25"/>
      <c r="K25"/>
    </row>
    <row r="26" spans="1:11" ht="43.2" x14ac:dyDescent="0.3">
      <c r="A26" s="735" t="s">
        <v>576</v>
      </c>
      <c r="B26" s="598" t="s">
        <v>584</v>
      </c>
      <c r="C26" s="598">
        <v>31634.71</v>
      </c>
      <c r="D26" s="598" t="s">
        <v>585</v>
      </c>
      <c r="E26" s="598" t="s">
        <v>586</v>
      </c>
      <c r="F26"/>
      <c r="G26"/>
      <c r="H26"/>
      <c r="I26"/>
      <c r="J26"/>
      <c r="K26"/>
    </row>
    <row r="27" spans="1:11" ht="57.6" x14ac:dyDescent="0.3">
      <c r="A27" s="735"/>
      <c r="B27" s="598" t="s">
        <v>587</v>
      </c>
      <c r="C27" s="598">
        <v>16508.63</v>
      </c>
      <c r="D27" s="598" t="s">
        <v>585</v>
      </c>
      <c r="E27" s="598" t="s">
        <v>586</v>
      </c>
      <c r="F27"/>
      <c r="G27"/>
      <c r="H27"/>
      <c r="I27"/>
      <c r="J27"/>
      <c r="K27"/>
    </row>
    <row r="28" spans="1:11" ht="28.8" x14ac:dyDescent="0.3">
      <c r="A28" s="598" t="s">
        <v>588</v>
      </c>
      <c r="B28" s="598" t="s">
        <v>589</v>
      </c>
      <c r="C28" s="598" t="s">
        <v>590</v>
      </c>
      <c r="D28" s="598" t="s">
        <v>591</v>
      </c>
      <c r="E28" s="598" t="s">
        <v>592</v>
      </c>
      <c r="F28"/>
      <c r="G28"/>
      <c r="H28"/>
      <c r="I28"/>
      <c r="J28"/>
      <c r="K28"/>
    </row>
    <row r="29" spans="1:11" ht="28.8" x14ac:dyDescent="0.3">
      <c r="A29" s="598" t="s">
        <v>593</v>
      </c>
      <c r="B29" s="598" t="s">
        <v>594</v>
      </c>
      <c r="C29" s="598" t="s">
        <v>595</v>
      </c>
      <c r="D29" s="598" t="s">
        <v>591</v>
      </c>
      <c r="E29" s="598" t="s">
        <v>592</v>
      </c>
      <c r="F29"/>
      <c r="G29"/>
      <c r="H29"/>
      <c r="I29"/>
      <c r="J29"/>
      <c r="K29"/>
    </row>
    <row r="30" spans="1:11" ht="14.4" x14ac:dyDescent="0.3">
      <c r="A30" s="598" t="s">
        <v>596</v>
      </c>
      <c r="B30" s="598" t="s">
        <v>597</v>
      </c>
      <c r="C30" s="598">
        <v>1361</v>
      </c>
      <c r="D30" s="598" t="s">
        <v>598</v>
      </c>
      <c r="E30" s="598" t="s">
        <v>599</v>
      </c>
      <c r="F30"/>
      <c r="G30"/>
      <c r="H30"/>
      <c r="I30"/>
      <c r="J30"/>
      <c r="K30"/>
    </row>
    <row r="31" spans="1:11" ht="14.4" x14ac:dyDescent="0.3">
      <c r="A31" s="598" t="s">
        <v>600</v>
      </c>
      <c r="B31" s="598" t="s">
        <v>601</v>
      </c>
      <c r="C31" s="598">
        <v>29.9</v>
      </c>
      <c r="D31" s="598" t="s">
        <v>602</v>
      </c>
      <c r="E31" s="598" t="s">
        <v>603</v>
      </c>
      <c r="F31"/>
      <c r="G31"/>
      <c r="H31"/>
      <c r="I31"/>
      <c r="J31"/>
      <c r="K31"/>
    </row>
    <row r="32" spans="1:11" ht="14.4" x14ac:dyDescent="0.3">
      <c r="A32" s="598" t="s">
        <v>604</v>
      </c>
      <c r="B32" s="598" t="s">
        <v>605</v>
      </c>
      <c r="C32" s="598">
        <v>250</v>
      </c>
      <c r="D32" s="598" t="s">
        <v>606</v>
      </c>
      <c r="E32" s="598" t="s">
        <v>607</v>
      </c>
      <c r="F32"/>
      <c r="G32"/>
      <c r="H32"/>
      <c r="I32"/>
      <c r="J32"/>
      <c r="K32"/>
    </row>
    <row r="33" spans="1:11" ht="14.4" x14ac:dyDescent="0.3">
      <c r="A33" s="598" t="s">
        <v>608</v>
      </c>
      <c r="B33" s="598" t="s">
        <v>609</v>
      </c>
      <c r="C33" s="598">
        <v>2</v>
      </c>
      <c r="D33" s="598" t="s">
        <v>610</v>
      </c>
      <c r="E33" s="598" t="s">
        <v>611</v>
      </c>
      <c r="F33"/>
      <c r="G33"/>
      <c r="H33"/>
      <c r="I33"/>
      <c r="J33"/>
      <c r="K33"/>
    </row>
    <row r="34" spans="1:11" ht="14.4" x14ac:dyDescent="0.3">
      <c r="A34" s="598" t="s">
        <v>612</v>
      </c>
      <c r="B34" s="598" t="s">
        <v>613</v>
      </c>
      <c r="C34" s="598">
        <v>260</v>
      </c>
      <c r="D34" s="598" t="s">
        <v>614</v>
      </c>
      <c r="E34" s="598" t="s">
        <v>611</v>
      </c>
      <c r="F34"/>
      <c r="G34"/>
      <c r="H34"/>
      <c r="I34"/>
      <c r="J34"/>
      <c r="K34"/>
    </row>
    <row r="35" spans="1:11" ht="14.4" x14ac:dyDescent="0.3">
      <c r="A35" s="598" t="s">
        <v>615</v>
      </c>
      <c r="B35" s="598" t="s">
        <v>616</v>
      </c>
      <c r="C35" s="598">
        <v>2</v>
      </c>
      <c r="D35" s="598" t="s">
        <v>617</v>
      </c>
      <c r="E35" s="598" t="s">
        <v>618</v>
      </c>
      <c r="F35"/>
      <c r="G35"/>
      <c r="H35"/>
      <c r="I35"/>
      <c r="J35"/>
      <c r="K35"/>
    </row>
    <row r="36" spans="1:11" ht="14.4" x14ac:dyDescent="0.3">
      <c r="A36" s="598" t="s">
        <v>619</v>
      </c>
      <c r="B36" s="598" t="s">
        <v>620</v>
      </c>
      <c r="C36" s="598">
        <v>4.2699999999999996</v>
      </c>
      <c r="D36" s="598" t="s">
        <v>621</v>
      </c>
      <c r="E36" s="598" t="s">
        <v>618</v>
      </c>
      <c r="F36"/>
      <c r="G36"/>
      <c r="H36"/>
      <c r="I36"/>
      <c r="J36"/>
      <c r="K36"/>
    </row>
    <row r="37" spans="1:11" ht="14.4" x14ac:dyDescent="0.3">
      <c r="A37" s="598" t="s">
        <v>622</v>
      </c>
      <c r="B37" s="598" t="s">
        <v>623</v>
      </c>
      <c r="C37" s="598">
        <v>1</v>
      </c>
      <c r="D37" s="598" t="s">
        <v>624</v>
      </c>
      <c r="E37" s="598" t="s">
        <v>611</v>
      </c>
      <c r="F37"/>
      <c r="G37"/>
      <c r="H37"/>
      <c r="I37"/>
      <c r="J37"/>
      <c r="K37"/>
    </row>
    <row r="38" spans="1:11" ht="14.4" x14ac:dyDescent="0.3">
      <c r="A38" s="598" t="s">
        <v>625</v>
      </c>
      <c r="B38" s="598" t="s">
        <v>626</v>
      </c>
      <c r="C38" s="598">
        <v>125</v>
      </c>
      <c r="D38" s="598" t="s">
        <v>627</v>
      </c>
      <c r="E38" s="598" t="s">
        <v>611</v>
      </c>
      <c r="F38"/>
      <c r="G38"/>
      <c r="H38"/>
      <c r="I38"/>
      <c r="J38"/>
      <c r="K38"/>
    </row>
    <row r="39" spans="1:11" ht="28.8" x14ac:dyDescent="0.3">
      <c r="A39" s="598" t="s">
        <v>628</v>
      </c>
      <c r="B39" s="598" t="s">
        <v>629</v>
      </c>
      <c r="C39" s="598">
        <v>1</v>
      </c>
      <c r="D39" s="598" t="s">
        <v>630</v>
      </c>
      <c r="E39" s="598" t="s">
        <v>631</v>
      </c>
      <c r="F39"/>
      <c r="G39"/>
      <c r="H39"/>
      <c r="I39"/>
      <c r="J39"/>
      <c r="K39"/>
    </row>
    <row r="40" spans="1:11" ht="14.4" x14ac:dyDescent="0.3">
      <c r="A40" s="598" t="s">
        <v>632</v>
      </c>
      <c r="B40" s="598" t="s">
        <v>633</v>
      </c>
      <c r="C40" s="598">
        <v>1</v>
      </c>
      <c r="D40" s="598" t="s">
        <v>634</v>
      </c>
      <c r="E40" s="598" t="s">
        <v>635</v>
      </c>
      <c r="F40"/>
      <c r="G40"/>
      <c r="H40"/>
      <c r="I40"/>
      <c r="J40"/>
      <c r="K40"/>
    </row>
    <row r="41" spans="1:11" ht="14.4" x14ac:dyDescent="0.3">
      <c r="A41" s="598" t="s">
        <v>636</v>
      </c>
      <c r="B41" s="598" t="s">
        <v>637</v>
      </c>
      <c r="C41" s="598">
        <v>1.25</v>
      </c>
      <c r="D41" s="598" t="s">
        <v>638</v>
      </c>
      <c r="E41" s="598" t="s">
        <v>635</v>
      </c>
      <c r="F41"/>
      <c r="G41"/>
      <c r="H41"/>
      <c r="I41"/>
      <c r="J41"/>
      <c r="K41"/>
    </row>
    <row r="42" spans="1:11" ht="14.4" x14ac:dyDescent="0.3">
      <c r="A42" s="598" t="s">
        <v>639</v>
      </c>
      <c r="B42" s="598" t="s">
        <v>640</v>
      </c>
      <c r="C42" s="598">
        <v>8</v>
      </c>
      <c r="D42" s="598" t="s">
        <v>641</v>
      </c>
      <c r="E42" s="598" t="s">
        <v>635</v>
      </c>
      <c r="F42"/>
      <c r="G42"/>
      <c r="H42"/>
      <c r="I42"/>
      <c r="J42"/>
      <c r="K42"/>
    </row>
    <row r="43" spans="1:11" ht="28.8" x14ac:dyDescent="0.3">
      <c r="A43" s="598" t="s">
        <v>642</v>
      </c>
      <c r="B43" s="598" t="s">
        <v>643</v>
      </c>
      <c r="C43" s="598">
        <v>8.5399999999999991</v>
      </c>
      <c r="D43" s="598" t="s">
        <v>644</v>
      </c>
      <c r="E43" s="598" t="s">
        <v>645</v>
      </c>
      <c r="F43"/>
      <c r="G43"/>
      <c r="H43"/>
      <c r="I43"/>
      <c r="J43"/>
      <c r="K43"/>
    </row>
    <row r="44" spans="1:11" ht="14.4" x14ac:dyDescent="0.3">
      <c r="A44" s="598" t="s">
        <v>646</v>
      </c>
      <c r="B44" s="598" t="s">
        <v>647</v>
      </c>
      <c r="C44" s="598">
        <v>18.34</v>
      </c>
      <c r="D44" s="598" t="s">
        <v>648</v>
      </c>
      <c r="E44" s="598" t="s">
        <v>649</v>
      </c>
      <c r="F44"/>
      <c r="G44"/>
      <c r="H44"/>
      <c r="I44"/>
      <c r="J44"/>
      <c r="K44"/>
    </row>
    <row r="45" spans="1:11" ht="14.4" x14ac:dyDescent="0.3">
      <c r="A45" s="598" t="s">
        <v>650</v>
      </c>
      <c r="B45" s="598" t="s">
        <v>651</v>
      </c>
      <c r="C45" s="598">
        <v>23.36</v>
      </c>
      <c r="D45" s="598" t="s">
        <v>652</v>
      </c>
      <c r="E45" s="598" t="s">
        <v>653</v>
      </c>
      <c r="F45"/>
      <c r="G45"/>
      <c r="H45"/>
      <c r="I45"/>
      <c r="J45"/>
      <c r="K45"/>
    </row>
    <row r="46" spans="1:11" ht="14.4" x14ac:dyDescent="0.3">
      <c r="A46" s="598" t="s">
        <v>654</v>
      </c>
      <c r="B46" s="598" t="s">
        <v>655</v>
      </c>
      <c r="C46" s="598">
        <v>8594.43</v>
      </c>
      <c r="D46" s="598" t="s">
        <v>656</v>
      </c>
      <c r="E46" s="598" t="s">
        <v>657</v>
      </c>
      <c r="F46"/>
      <c r="G46"/>
      <c r="H46"/>
      <c r="I46"/>
      <c r="J46"/>
      <c r="K46"/>
    </row>
    <row r="47" spans="1:11" ht="14.4" x14ac:dyDescent="0.3">
      <c r="A47" s="598" t="s">
        <v>658</v>
      </c>
      <c r="B47" s="598" t="s">
        <v>658</v>
      </c>
      <c r="C47" s="598">
        <v>40</v>
      </c>
      <c r="D47" s="598" t="s">
        <v>659</v>
      </c>
      <c r="E47" s="598" t="s">
        <v>660</v>
      </c>
      <c r="F47"/>
      <c r="G47"/>
      <c r="H47"/>
      <c r="I47"/>
      <c r="J47"/>
      <c r="K47"/>
    </row>
    <row r="48" spans="1:11" ht="14.4" x14ac:dyDescent="0.3">
      <c r="A48" s="598" t="s">
        <v>661</v>
      </c>
      <c r="B48" s="598" t="s">
        <v>662</v>
      </c>
      <c r="C48" s="240">
        <f>Schedules!AD150</f>
        <v>4959</v>
      </c>
      <c r="D48" s="598" t="s">
        <v>663</v>
      </c>
      <c r="E48" s="598" t="s">
        <v>664</v>
      </c>
      <c r="F48"/>
      <c r="G48"/>
      <c r="H48"/>
      <c r="I48"/>
      <c r="J48"/>
      <c r="K48"/>
    </row>
    <row r="50" spans="1:5" x14ac:dyDescent="0.25">
      <c r="A50" s="71"/>
    </row>
    <row r="51" spans="1:5" x14ac:dyDescent="0.25">
      <c r="A51" s="71"/>
      <c r="B51" s="71"/>
      <c r="C51" s="71"/>
      <c r="D51" s="71"/>
      <c r="E51" s="71"/>
    </row>
    <row r="52" spans="1:5" ht="39.6" customHeight="1" x14ac:dyDescent="0.25">
      <c r="A52" s="71"/>
      <c r="B52" s="71"/>
      <c r="C52" s="71"/>
      <c r="D52" s="71"/>
      <c r="E52" s="663"/>
    </row>
    <row r="53" spans="1:5" x14ac:dyDescent="0.25">
      <c r="A53" s="71"/>
      <c r="B53" s="71"/>
      <c r="C53" s="71"/>
      <c r="D53" s="71"/>
      <c r="E53" s="663"/>
    </row>
    <row r="54" spans="1:5" x14ac:dyDescent="0.25">
      <c r="A54" s="71"/>
      <c r="B54" s="71"/>
      <c r="C54" s="71"/>
      <c r="D54" s="71"/>
      <c r="E54" s="663"/>
    </row>
    <row r="55" spans="1:5" x14ac:dyDescent="0.25">
      <c r="A55" s="71"/>
      <c r="B55" s="71"/>
      <c r="C55" s="71"/>
      <c r="D55" s="71"/>
      <c r="E55" s="663"/>
    </row>
    <row r="56" spans="1:5" x14ac:dyDescent="0.25">
      <c r="A56" s="71"/>
      <c r="B56" s="71"/>
      <c r="C56" s="71"/>
    </row>
  </sheetData>
  <autoFilter ref="A2:E15" xr:uid="{84519C81-B0B9-4AE9-9154-3628732CA590}"/>
  <mergeCells count="8">
    <mergeCell ref="E52:E55"/>
    <mergeCell ref="A26:A27"/>
    <mergeCell ref="A1:E1"/>
    <mergeCell ref="E3:E6"/>
    <mergeCell ref="E10:E13"/>
    <mergeCell ref="A18:K18"/>
    <mergeCell ref="A24:E24"/>
    <mergeCell ref="A22:K22"/>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2B4C-25C9-41C7-A8AC-09AC0F00160D}">
  <dimension ref="A1:AO268"/>
  <sheetViews>
    <sheetView zoomScale="90" zoomScaleNormal="90" workbookViewId="0">
      <selection sqref="A1:AC1"/>
    </sheetView>
  </sheetViews>
  <sheetFormatPr defaultColWidth="9.33203125" defaultRowHeight="11.4" x14ac:dyDescent="0.3"/>
  <cols>
    <col min="1" max="1" width="18.109375" style="39" customWidth="1"/>
    <col min="2" max="2" width="25.5546875" style="39" bestFit="1" customWidth="1"/>
    <col min="3" max="3" width="33.109375" style="39" customWidth="1"/>
    <col min="4" max="4" width="23.44140625" style="39" customWidth="1"/>
    <col min="5" max="5" width="24.33203125" style="39" bestFit="1" customWidth="1"/>
    <col min="6" max="6" width="9.33203125" style="39"/>
    <col min="7" max="29" width="5.6640625" style="39" customWidth="1"/>
    <col min="30" max="30" width="8.5546875" style="39" customWidth="1"/>
    <col min="31" max="16384" width="9.33203125" style="39"/>
  </cols>
  <sheetData>
    <row r="1" spans="1:39" ht="24" customHeight="1" x14ac:dyDescent="0.3">
      <c r="A1" s="843" t="str">
        <f>"Schedules - "&amp;Prototype!A2</f>
        <v>Schedules - SchoolK-8</v>
      </c>
      <c r="B1" s="844"/>
      <c r="C1" s="844"/>
      <c r="D1" s="844"/>
      <c r="E1" s="844"/>
      <c r="F1" s="844"/>
      <c r="G1" s="844"/>
      <c r="H1" s="844"/>
      <c r="I1" s="844"/>
      <c r="J1" s="844"/>
      <c r="K1" s="844"/>
      <c r="L1" s="844"/>
      <c r="M1" s="844"/>
      <c r="N1" s="844"/>
      <c r="O1" s="844"/>
      <c r="P1" s="844"/>
      <c r="Q1" s="844"/>
      <c r="R1" s="844"/>
      <c r="S1" s="844"/>
      <c r="T1" s="844"/>
      <c r="U1" s="844"/>
      <c r="V1" s="844"/>
      <c r="W1" s="844"/>
      <c r="X1" s="844"/>
      <c r="Y1" s="844"/>
      <c r="Z1" s="844"/>
      <c r="AA1" s="844"/>
      <c r="AB1" s="844"/>
      <c r="AC1" s="845"/>
      <c r="AD1" s="40"/>
      <c r="AE1" s="40"/>
      <c r="AF1" s="40"/>
      <c r="AG1" s="40"/>
      <c r="AH1" s="40"/>
      <c r="AI1" s="41"/>
      <c r="AJ1" s="41"/>
      <c r="AK1" s="41"/>
    </row>
    <row r="2" spans="1:39" ht="24" customHeight="1" x14ac:dyDescent="0.3">
      <c r="A2" s="733" t="s">
        <v>665</v>
      </c>
      <c r="B2" s="841" t="s">
        <v>106</v>
      </c>
      <c r="C2" s="733" t="s">
        <v>666</v>
      </c>
      <c r="D2" s="733" t="s">
        <v>312</v>
      </c>
      <c r="E2" s="733" t="s">
        <v>667</v>
      </c>
      <c r="F2" s="846" t="s">
        <v>668</v>
      </c>
      <c r="G2" s="846"/>
      <c r="H2" s="846"/>
      <c r="I2" s="846"/>
      <c r="J2" s="846"/>
      <c r="K2" s="846"/>
      <c r="L2" s="846"/>
      <c r="M2" s="846"/>
      <c r="N2" s="846"/>
      <c r="O2" s="846"/>
      <c r="P2" s="846"/>
      <c r="Q2" s="846"/>
      <c r="R2" s="846"/>
      <c r="S2" s="846"/>
      <c r="T2" s="846"/>
      <c r="U2" s="846"/>
      <c r="V2" s="846"/>
      <c r="W2" s="846"/>
      <c r="X2" s="846"/>
      <c r="Y2" s="846"/>
      <c r="Z2" s="846"/>
      <c r="AA2" s="846"/>
      <c r="AB2" s="846"/>
      <c r="AC2" s="846"/>
      <c r="AD2" s="40"/>
      <c r="AE2" s="40"/>
      <c r="AF2" s="40"/>
      <c r="AG2" s="40"/>
      <c r="AH2" s="40"/>
      <c r="AI2" s="41"/>
      <c r="AJ2" s="41"/>
      <c r="AK2" s="41"/>
    </row>
    <row r="3" spans="1:39" ht="21.6" customHeight="1" thickBot="1" x14ac:dyDescent="0.35">
      <c r="A3" s="841"/>
      <c r="B3" s="842"/>
      <c r="C3" s="841"/>
      <c r="D3" s="841"/>
      <c r="E3" s="841"/>
      <c r="F3" s="599">
        <v>1</v>
      </c>
      <c r="G3" s="599">
        <v>2</v>
      </c>
      <c r="H3" s="599">
        <v>3</v>
      </c>
      <c r="I3" s="599">
        <v>4</v>
      </c>
      <c r="J3" s="599">
        <v>5</v>
      </c>
      <c r="K3" s="599">
        <v>6</v>
      </c>
      <c r="L3" s="599">
        <v>7</v>
      </c>
      <c r="M3" s="599">
        <v>8</v>
      </c>
      <c r="N3" s="599">
        <v>9</v>
      </c>
      <c r="O3" s="599">
        <v>10</v>
      </c>
      <c r="P3" s="599">
        <v>11</v>
      </c>
      <c r="Q3" s="599">
        <v>12</v>
      </c>
      <c r="R3" s="599">
        <v>13</v>
      </c>
      <c r="S3" s="599">
        <v>14</v>
      </c>
      <c r="T3" s="599">
        <v>15</v>
      </c>
      <c r="U3" s="599">
        <v>16</v>
      </c>
      <c r="V3" s="599">
        <v>17</v>
      </c>
      <c r="W3" s="599">
        <v>18</v>
      </c>
      <c r="X3" s="599">
        <v>19</v>
      </c>
      <c r="Y3" s="599">
        <v>20</v>
      </c>
      <c r="Z3" s="599">
        <v>21</v>
      </c>
      <c r="AA3" s="599">
        <v>22</v>
      </c>
      <c r="AB3" s="599">
        <v>23</v>
      </c>
      <c r="AC3" s="599">
        <v>24</v>
      </c>
      <c r="AD3" s="41"/>
      <c r="AE3" s="41"/>
      <c r="AF3" s="41"/>
      <c r="AG3" s="41"/>
      <c r="AH3" s="41"/>
      <c r="AI3" s="41"/>
      <c r="AJ3" s="41"/>
      <c r="AK3" s="41"/>
    </row>
    <row r="4" spans="1:39" ht="25.2" customHeight="1" x14ac:dyDescent="0.3">
      <c r="A4" s="746" t="s">
        <v>669</v>
      </c>
      <c r="B4" s="757" t="s">
        <v>670</v>
      </c>
      <c r="C4" s="847" t="s">
        <v>671</v>
      </c>
      <c r="D4" s="879" t="s">
        <v>672</v>
      </c>
      <c r="E4" s="882" t="s">
        <v>673</v>
      </c>
      <c r="F4" s="456">
        <v>0</v>
      </c>
      <c r="G4" s="456">
        <v>0</v>
      </c>
      <c r="H4" s="456">
        <v>0</v>
      </c>
      <c r="I4" s="456">
        <v>0</v>
      </c>
      <c r="J4" s="456">
        <v>0</v>
      </c>
      <c r="K4" s="456">
        <v>0</v>
      </c>
      <c r="L4" s="456">
        <v>0</v>
      </c>
      <c r="M4" s="456">
        <v>0</v>
      </c>
      <c r="N4" s="456">
        <v>0</v>
      </c>
      <c r="O4" s="456">
        <v>0</v>
      </c>
      <c r="P4" s="456">
        <v>0</v>
      </c>
      <c r="Q4" s="456">
        <v>0</v>
      </c>
      <c r="R4" s="456">
        <v>0</v>
      </c>
      <c r="S4" s="456">
        <v>0</v>
      </c>
      <c r="T4" s="456">
        <v>0</v>
      </c>
      <c r="U4" s="456">
        <v>0</v>
      </c>
      <c r="V4" s="456">
        <v>0</v>
      </c>
      <c r="W4" s="456">
        <v>0</v>
      </c>
      <c r="X4" s="456">
        <v>0</v>
      </c>
      <c r="Y4" s="456">
        <v>0</v>
      </c>
      <c r="Z4" s="456">
        <v>0</v>
      </c>
      <c r="AA4" s="456">
        <v>0</v>
      </c>
      <c r="AB4" s="456">
        <v>0</v>
      </c>
      <c r="AC4" s="457">
        <v>0</v>
      </c>
      <c r="AD4" s="41"/>
      <c r="AE4" s="41"/>
      <c r="AF4" s="41"/>
      <c r="AG4" s="41"/>
      <c r="AH4" s="41"/>
      <c r="AI4" s="41"/>
      <c r="AJ4" s="41"/>
      <c r="AK4" s="41"/>
    </row>
    <row r="5" spans="1:39" ht="33" customHeight="1" x14ac:dyDescent="0.3">
      <c r="A5" s="747"/>
      <c r="B5" s="758"/>
      <c r="C5" s="848"/>
      <c r="D5" s="880"/>
      <c r="E5" s="883" t="s">
        <v>674</v>
      </c>
      <c r="F5" s="263">
        <v>0</v>
      </c>
      <c r="G5" s="263">
        <v>0</v>
      </c>
      <c r="H5" s="263">
        <v>0</v>
      </c>
      <c r="I5" s="263">
        <v>0</v>
      </c>
      <c r="J5" s="263">
        <v>0</v>
      </c>
      <c r="K5" s="263">
        <v>0</v>
      </c>
      <c r="L5" s="263">
        <v>0</v>
      </c>
      <c r="M5" s="263">
        <v>0.05</v>
      </c>
      <c r="N5" s="263">
        <v>0.95</v>
      </c>
      <c r="O5" s="263">
        <v>0.95</v>
      </c>
      <c r="P5" s="263">
        <v>0.5</v>
      </c>
      <c r="Q5" s="263">
        <v>0.95</v>
      </c>
      <c r="R5" s="263">
        <v>0.1</v>
      </c>
      <c r="S5" s="263">
        <v>0.95</v>
      </c>
      <c r="T5" s="263">
        <v>0.95</v>
      </c>
      <c r="U5" s="263">
        <v>0.05</v>
      </c>
      <c r="V5" s="263">
        <v>0</v>
      </c>
      <c r="W5" s="263">
        <v>0</v>
      </c>
      <c r="X5" s="263">
        <v>0</v>
      </c>
      <c r="Y5" s="263">
        <v>0</v>
      </c>
      <c r="Z5" s="263">
        <v>0</v>
      </c>
      <c r="AA5" s="263">
        <v>0</v>
      </c>
      <c r="AB5" s="263">
        <v>0</v>
      </c>
      <c r="AC5" s="459">
        <v>0</v>
      </c>
      <c r="AD5" s="41"/>
      <c r="AE5" s="41"/>
      <c r="AF5" s="41"/>
      <c r="AG5" s="41"/>
      <c r="AH5" s="41"/>
      <c r="AI5" s="41"/>
      <c r="AJ5" s="41"/>
      <c r="AK5" s="41"/>
    </row>
    <row r="6" spans="1:39" ht="33" customHeight="1" x14ac:dyDescent="0.3">
      <c r="A6" s="747"/>
      <c r="B6" s="758"/>
      <c r="C6" s="848"/>
      <c r="D6" s="880"/>
      <c r="E6" s="883" t="s">
        <v>675</v>
      </c>
      <c r="F6" s="263">
        <v>0</v>
      </c>
      <c r="G6" s="263">
        <v>0</v>
      </c>
      <c r="H6" s="263">
        <v>0</v>
      </c>
      <c r="I6" s="263">
        <v>0</v>
      </c>
      <c r="J6" s="263">
        <v>0</v>
      </c>
      <c r="K6" s="263">
        <v>0</v>
      </c>
      <c r="L6" s="263">
        <v>0</v>
      </c>
      <c r="M6" s="263">
        <v>0.05</v>
      </c>
      <c r="N6" s="263">
        <v>0.95</v>
      </c>
      <c r="O6" s="263">
        <v>0.95</v>
      </c>
      <c r="P6" s="263">
        <v>0.5</v>
      </c>
      <c r="Q6" s="263">
        <v>0.95</v>
      </c>
      <c r="R6" s="263">
        <v>0.1</v>
      </c>
      <c r="S6" s="263">
        <v>0.95</v>
      </c>
      <c r="T6" s="263">
        <v>0.05</v>
      </c>
      <c r="U6" s="263">
        <v>0</v>
      </c>
      <c r="V6" s="263">
        <v>0</v>
      </c>
      <c r="W6" s="263">
        <v>0</v>
      </c>
      <c r="X6" s="263">
        <v>0</v>
      </c>
      <c r="Y6" s="263">
        <v>0</v>
      </c>
      <c r="Z6" s="263">
        <v>0</v>
      </c>
      <c r="AA6" s="263">
        <v>0</v>
      </c>
      <c r="AB6" s="263">
        <v>0</v>
      </c>
      <c r="AC6" s="459">
        <v>0</v>
      </c>
      <c r="AD6" s="41"/>
      <c r="AE6" s="41"/>
      <c r="AF6" s="41"/>
      <c r="AG6" s="41"/>
      <c r="AH6" s="41"/>
      <c r="AI6" s="41"/>
      <c r="AJ6" s="41"/>
      <c r="AK6" s="41"/>
    </row>
    <row r="7" spans="1:39" ht="33" customHeight="1" x14ac:dyDescent="0.3">
      <c r="A7" s="747"/>
      <c r="B7" s="758"/>
      <c r="C7" s="848"/>
      <c r="D7" s="880"/>
      <c r="E7" s="883" t="s">
        <v>676</v>
      </c>
      <c r="F7" s="263">
        <v>0</v>
      </c>
      <c r="G7" s="263">
        <v>0</v>
      </c>
      <c r="H7" s="263">
        <v>0</v>
      </c>
      <c r="I7" s="263">
        <v>0</v>
      </c>
      <c r="J7" s="263">
        <v>0</v>
      </c>
      <c r="K7" s="263">
        <v>0</v>
      </c>
      <c r="L7" s="263">
        <v>0</v>
      </c>
      <c r="M7" s="263">
        <v>0.05</v>
      </c>
      <c r="N7" s="263">
        <v>0.95</v>
      </c>
      <c r="O7" s="263">
        <v>0.95</v>
      </c>
      <c r="P7" s="263">
        <v>0.5</v>
      </c>
      <c r="Q7" s="263">
        <v>0.95</v>
      </c>
      <c r="R7" s="263">
        <v>0.05</v>
      </c>
      <c r="S7" s="263">
        <v>0</v>
      </c>
      <c r="T7" s="263">
        <v>0</v>
      </c>
      <c r="U7" s="263">
        <v>0</v>
      </c>
      <c r="V7" s="263">
        <v>0</v>
      </c>
      <c r="W7" s="263">
        <v>0.15</v>
      </c>
      <c r="X7" s="263">
        <v>0.15</v>
      </c>
      <c r="Y7" s="263">
        <v>0.15</v>
      </c>
      <c r="Z7" s="263">
        <v>0</v>
      </c>
      <c r="AA7" s="263">
        <v>0</v>
      </c>
      <c r="AB7" s="263">
        <v>0</v>
      </c>
      <c r="AC7" s="459">
        <v>0</v>
      </c>
      <c r="AD7" s="41"/>
      <c r="AE7" s="41"/>
      <c r="AF7" s="41"/>
      <c r="AG7" s="41"/>
      <c r="AH7" s="41"/>
      <c r="AI7" s="41"/>
      <c r="AJ7" s="41"/>
      <c r="AK7" s="41"/>
    </row>
    <row r="8" spans="1:39" ht="33" customHeight="1" thickBot="1" x14ac:dyDescent="0.35">
      <c r="A8" s="751"/>
      <c r="B8" s="759"/>
      <c r="C8" s="849"/>
      <c r="D8" s="881"/>
      <c r="E8" s="885" t="s">
        <v>677</v>
      </c>
      <c r="F8" s="476">
        <v>0</v>
      </c>
      <c r="G8" s="476">
        <v>0</v>
      </c>
      <c r="H8" s="476">
        <v>0</v>
      </c>
      <c r="I8" s="476">
        <v>0</v>
      </c>
      <c r="J8" s="476">
        <v>0</v>
      </c>
      <c r="K8" s="476">
        <v>0</v>
      </c>
      <c r="L8" s="476">
        <v>0</v>
      </c>
      <c r="M8" s="476">
        <v>2.5000000000000001E-2</v>
      </c>
      <c r="N8" s="476">
        <v>0.5</v>
      </c>
      <c r="O8" s="476">
        <v>0.5</v>
      </c>
      <c r="P8" s="476">
        <v>0.5</v>
      </c>
      <c r="Q8" s="476">
        <v>0.5</v>
      </c>
      <c r="R8" s="476">
        <v>2.5000000000000001E-2</v>
      </c>
      <c r="S8" s="476">
        <v>0</v>
      </c>
      <c r="T8" s="476">
        <v>0</v>
      </c>
      <c r="U8" s="476">
        <v>0</v>
      </c>
      <c r="V8" s="476">
        <v>0</v>
      </c>
      <c r="W8" s="476">
        <v>0</v>
      </c>
      <c r="X8" s="476">
        <v>0</v>
      </c>
      <c r="Y8" s="476">
        <v>0</v>
      </c>
      <c r="Z8" s="476">
        <v>0</v>
      </c>
      <c r="AA8" s="476">
        <v>0</v>
      </c>
      <c r="AB8" s="476">
        <v>0</v>
      </c>
      <c r="AC8" s="477">
        <v>0</v>
      </c>
      <c r="AD8" s="41"/>
      <c r="AE8" s="41"/>
      <c r="AF8" s="41"/>
      <c r="AG8" s="41"/>
      <c r="AH8" s="41"/>
      <c r="AI8" s="41"/>
      <c r="AJ8" s="41"/>
      <c r="AK8" s="41"/>
    </row>
    <row r="9" spans="1:39" ht="38.700000000000003" customHeight="1" x14ac:dyDescent="0.3">
      <c r="A9" s="746" t="s">
        <v>669</v>
      </c>
      <c r="B9" s="757" t="s">
        <v>670</v>
      </c>
      <c r="C9" s="847" t="s">
        <v>678</v>
      </c>
      <c r="D9" s="879" t="s">
        <v>672</v>
      </c>
      <c r="E9" s="882" t="s">
        <v>673</v>
      </c>
      <c r="F9" s="456">
        <v>0</v>
      </c>
      <c r="G9" s="456">
        <v>0</v>
      </c>
      <c r="H9" s="456">
        <v>0</v>
      </c>
      <c r="I9" s="456">
        <v>0</v>
      </c>
      <c r="J9" s="456">
        <v>0</v>
      </c>
      <c r="K9" s="456">
        <v>0</v>
      </c>
      <c r="L9" s="456">
        <v>0</v>
      </c>
      <c r="M9" s="456">
        <v>0</v>
      </c>
      <c r="N9" s="456">
        <v>0</v>
      </c>
      <c r="O9" s="456">
        <v>0</v>
      </c>
      <c r="P9" s="456">
        <v>0</v>
      </c>
      <c r="Q9" s="456">
        <v>0</v>
      </c>
      <c r="R9" s="456">
        <v>0</v>
      </c>
      <c r="S9" s="456">
        <v>0</v>
      </c>
      <c r="T9" s="456">
        <v>0</v>
      </c>
      <c r="U9" s="456">
        <v>0</v>
      </c>
      <c r="V9" s="456">
        <v>0</v>
      </c>
      <c r="W9" s="456">
        <v>0</v>
      </c>
      <c r="X9" s="456">
        <v>0</v>
      </c>
      <c r="Y9" s="456">
        <v>0</v>
      </c>
      <c r="Z9" s="456">
        <v>0</v>
      </c>
      <c r="AA9" s="456">
        <v>0</v>
      </c>
      <c r="AB9" s="456">
        <v>0</v>
      </c>
      <c r="AC9" s="457">
        <v>0</v>
      </c>
      <c r="AD9" s="41"/>
      <c r="AE9" s="41"/>
      <c r="AF9" s="41"/>
      <c r="AG9" s="41"/>
      <c r="AH9" s="41"/>
      <c r="AI9" s="41"/>
      <c r="AJ9" s="41"/>
      <c r="AK9" s="41"/>
      <c r="AM9" s="52"/>
    </row>
    <row r="10" spans="1:39" ht="38.700000000000003" customHeight="1" x14ac:dyDescent="0.3">
      <c r="A10" s="747"/>
      <c r="B10" s="758"/>
      <c r="C10" s="848"/>
      <c r="D10" s="880"/>
      <c r="E10" s="883" t="s">
        <v>674</v>
      </c>
      <c r="F10" s="263">
        <v>0</v>
      </c>
      <c r="G10" s="263">
        <v>0</v>
      </c>
      <c r="H10" s="263">
        <v>0</v>
      </c>
      <c r="I10" s="263">
        <v>0</v>
      </c>
      <c r="J10" s="263">
        <v>0</v>
      </c>
      <c r="K10" s="263">
        <v>0</v>
      </c>
      <c r="L10" s="263">
        <v>0</v>
      </c>
      <c r="M10" s="263">
        <v>1</v>
      </c>
      <c r="N10" s="263">
        <v>1</v>
      </c>
      <c r="O10" s="263">
        <v>1</v>
      </c>
      <c r="P10" s="263">
        <v>1</v>
      </c>
      <c r="Q10" s="263">
        <v>1</v>
      </c>
      <c r="R10" s="263">
        <v>1</v>
      </c>
      <c r="S10" s="263">
        <v>1</v>
      </c>
      <c r="T10" s="263">
        <v>1</v>
      </c>
      <c r="U10" s="263">
        <v>1</v>
      </c>
      <c r="V10" s="263">
        <v>0</v>
      </c>
      <c r="W10" s="263">
        <v>0</v>
      </c>
      <c r="X10" s="263">
        <v>0</v>
      </c>
      <c r="Y10" s="263">
        <v>0</v>
      </c>
      <c r="Z10" s="263">
        <v>0</v>
      </c>
      <c r="AA10" s="263">
        <v>0</v>
      </c>
      <c r="AB10" s="263">
        <v>0</v>
      </c>
      <c r="AC10" s="459">
        <v>0</v>
      </c>
      <c r="AD10" s="41"/>
      <c r="AE10" s="41"/>
      <c r="AF10" s="41"/>
      <c r="AG10" s="41"/>
      <c r="AH10" s="41"/>
      <c r="AI10" s="41"/>
      <c r="AJ10" s="41"/>
      <c r="AK10" s="41"/>
      <c r="AM10" s="52"/>
    </row>
    <row r="11" spans="1:39" ht="38.700000000000003" customHeight="1" x14ac:dyDescent="0.3">
      <c r="A11" s="747"/>
      <c r="B11" s="758"/>
      <c r="C11" s="848"/>
      <c r="D11" s="880"/>
      <c r="E11" s="883" t="s">
        <v>675</v>
      </c>
      <c r="F11" s="263">
        <v>0</v>
      </c>
      <c r="G11" s="263">
        <v>0</v>
      </c>
      <c r="H11" s="263">
        <v>0</v>
      </c>
      <c r="I11" s="263">
        <v>0</v>
      </c>
      <c r="J11" s="263">
        <v>0</v>
      </c>
      <c r="K11" s="263">
        <v>0</v>
      </c>
      <c r="L11" s="263">
        <v>0</v>
      </c>
      <c r="M11" s="263">
        <v>1</v>
      </c>
      <c r="N11" s="263">
        <v>1</v>
      </c>
      <c r="O11" s="263">
        <v>1</v>
      </c>
      <c r="P11" s="263">
        <v>1</v>
      </c>
      <c r="Q11" s="263">
        <v>1</v>
      </c>
      <c r="R11" s="263">
        <v>1</v>
      </c>
      <c r="S11" s="263">
        <v>1</v>
      </c>
      <c r="T11" s="263">
        <v>1</v>
      </c>
      <c r="U11" s="263">
        <v>0</v>
      </c>
      <c r="V11" s="263">
        <v>0</v>
      </c>
      <c r="W11" s="263">
        <v>0</v>
      </c>
      <c r="X11" s="263">
        <v>0</v>
      </c>
      <c r="Y11" s="263">
        <v>0</v>
      </c>
      <c r="Z11" s="263">
        <v>0</v>
      </c>
      <c r="AA11" s="263">
        <v>0</v>
      </c>
      <c r="AB11" s="263">
        <v>0</v>
      </c>
      <c r="AC11" s="459">
        <v>0</v>
      </c>
      <c r="AD11" s="41"/>
      <c r="AE11" s="41"/>
      <c r="AF11" s="41"/>
      <c r="AG11" s="41"/>
      <c r="AH11" s="41"/>
      <c r="AI11" s="41"/>
      <c r="AJ11" s="41"/>
      <c r="AK11" s="41"/>
      <c r="AM11" s="52"/>
    </row>
    <row r="12" spans="1:39" ht="38.700000000000003" customHeight="1" x14ac:dyDescent="0.3">
      <c r="A12" s="747"/>
      <c r="B12" s="758"/>
      <c r="C12" s="848"/>
      <c r="D12" s="880"/>
      <c r="E12" s="883" t="s">
        <v>676</v>
      </c>
      <c r="F12" s="263">
        <v>0</v>
      </c>
      <c r="G12" s="263">
        <v>0</v>
      </c>
      <c r="H12" s="263">
        <v>0</v>
      </c>
      <c r="I12" s="263">
        <v>0</v>
      </c>
      <c r="J12" s="263">
        <v>0</v>
      </c>
      <c r="K12" s="263">
        <v>0</v>
      </c>
      <c r="L12" s="263">
        <v>0</v>
      </c>
      <c r="M12" s="263">
        <v>1</v>
      </c>
      <c r="N12" s="263">
        <v>1</v>
      </c>
      <c r="O12" s="263">
        <v>1</v>
      </c>
      <c r="P12" s="263">
        <v>1</v>
      </c>
      <c r="Q12" s="263">
        <v>1</v>
      </c>
      <c r="R12" s="263">
        <v>1</v>
      </c>
      <c r="S12" s="263">
        <v>0</v>
      </c>
      <c r="T12" s="263">
        <v>0</v>
      </c>
      <c r="U12" s="263">
        <v>0</v>
      </c>
      <c r="V12" s="263">
        <v>0</v>
      </c>
      <c r="W12" s="263">
        <v>1</v>
      </c>
      <c r="X12" s="263">
        <v>1</v>
      </c>
      <c r="Y12" s="263">
        <v>1</v>
      </c>
      <c r="Z12" s="263">
        <v>0</v>
      </c>
      <c r="AA12" s="263">
        <v>0</v>
      </c>
      <c r="AB12" s="263">
        <v>0</v>
      </c>
      <c r="AC12" s="459">
        <v>0</v>
      </c>
      <c r="AD12" s="41"/>
      <c r="AE12" s="41"/>
      <c r="AF12" s="41"/>
      <c r="AG12" s="41"/>
      <c r="AH12" s="41"/>
      <c r="AI12" s="41"/>
      <c r="AJ12" s="41"/>
      <c r="AK12" s="41"/>
      <c r="AM12" s="52"/>
    </row>
    <row r="13" spans="1:39" ht="38.700000000000003" customHeight="1" thickBot="1" x14ac:dyDescent="0.35">
      <c r="A13" s="751"/>
      <c r="B13" s="759"/>
      <c r="C13" s="849"/>
      <c r="D13" s="881"/>
      <c r="E13" s="884" t="s">
        <v>677</v>
      </c>
      <c r="F13" s="461">
        <v>0</v>
      </c>
      <c r="G13" s="461">
        <v>0</v>
      </c>
      <c r="H13" s="461">
        <v>0</v>
      </c>
      <c r="I13" s="461">
        <v>0</v>
      </c>
      <c r="J13" s="461">
        <v>0</v>
      </c>
      <c r="K13" s="461">
        <v>0</v>
      </c>
      <c r="L13" s="461">
        <v>0</v>
      </c>
      <c r="M13" s="461">
        <v>1</v>
      </c>
      <c r="N13" s="461">
        <v>1</v>
      </c>
      <c r="O13" s="461">
        <v>1</v>
      </c>
      <c r="P13" s="461">
        <v>1</v>
      </c>
      <c r="Q13" s="461">
        <v>1</v>
      </c>
      <c r="R13" s="461">
        <v>1</v>
      </c>
      <c r="S13" s="461">
        <v>0</v>
      </c>
      <c r="T13" s="461">
        <v>0</v>
      </c>
      <c r="U13" s="461">
        <v>0</v>
      </c>
      <c r="V13" s="461">
        <v>0</v>
      </c>
      <c r="W13" s="461">
        <v>0</v>
      </c>
      <c r="X13" s="461">
        <v>0</v>
      </c>
      <c r="Y13" s="461">
        <v>0</v>
      </c>
      <c r="Z13" s="461">
        <v>0</v>
      </c>
      <c r="AA13" s="461">
        <v>0</v>
      </c>
      <c r="AB13" s="461">
        <v>0</v>
      </c>
      <c r="AC13" s="462">
        <v>0</v>
      </c>
      <c r="AD13" s="41"/>
      <c r="AE13" s="41"/>
      <c r="AF13" s="41"/>
      <c r="AG13" s="41"/>
      <c r="AH13" s="41"/>
      <c r="AI13" s="41"/>
      <c r="AJ13" s="41"/>
      <c r="AK13" s="41"/>
      <c r="AM13" s="52"/>
    </row>
    <row r="14" spans="1:39" ht="36" customHeight="1" x14ac:dyDescent="0.3">
      <c r="A14" s="746" t="s">
        <v>669</v>
      </c>
      <c r="B14" s="757" t="s">
        <v>670</v>
      </c>
      <c r="C14" s="763" t="s">
        <v>679</v>
      </c>
      <c r="D14" s="879" t="s">
        <v>672</v>
      </c>
      <c r="E14" s="887" t="s">
        <v>673</v>
      </c>
      <c r="F14" s="548">
        <v>0</v>
      </c>
      <c r="G14" s="548">
        <v>0</v>
      </c>
      <c r="H14" s="548">
        <v>0</v>
      </c>
      <c r="I14" s="548">
        <v>0</v>
      </c>
      <c r="J14" s="548">
        <v>0</v>
      </c>
      <c r="K14" s="548">
        <v>0</v>
      </c>
      <c r="L14" s="548">
        <v>0</v>
      </c>
      <c r="M14" s="548">
        <v>0</v>
      </c>
      <c r="N14" s="548">
        <v>0</v>
      </c>
      <c r="O14" s="548">
        <v>0</v>
      </c>
      <c r="P14" s="548">
        <v>0</v>
      </c>
      <c r="Q14" s="548">
        <v>0</v>
      </c>
      <c r="R14" s="548">
        <v>0</v>
      </c>
      <c r="S14" s="548">
        <v>0</v>
      </c>
      <c r="T14" s="548">
        <v>0</v>
      </c>
      <c r="U14" s="548">
        <v>0</v>
      </c>
      <c r="V14" s="548">
        <v>0</v>
      </c>
      <c r="W14" s="548">
        <v>0</v>
      </c>
      <c r="X14" s="548">
        <v>0</v>
      </c>
      <c r="Y14" s="548">
        <v>0</v>
      </c>
      <c r="Z14" s="548">
        <v>0</v>
      </c>
      <c r="AA14" s="548">
        <v>0</v>
      </c>
      <c r="AB14" s="548">
        <v>0</v>
      </c>
      <c r="AC14" s="886">
        <v>0</v>
      </c>
      <c r="AD14" s="42"/>
      <c r="AE14" s="41"/>
      <c r="AF14" s="41"/>
      <c r="AG14" s="41"/>
      <c r="AH14" s="41"/>
      <c r="AI14" s="41"/>
      <c r="AJ14" s="41"/>
      <c r="AK14" s="41"/>
      <c r="AM14" s="52"/>
    </row>
    <row r="15" spans="1:39" ht="36" customHeight="1" x14ac:dyDescent="0.3">
      <c r="A15" s="747"/>
      <c r="B15" s="758"/>
      <c r="C15" s="764"/>
      <c r="D15" s="880"/>
      <c r="E15" s="883" t="s">
        <v>674</v>
      </c>
      <c r="F15" s="263">
        <v>0.06</v>
      </c>
      <c r="G15" s="263">
        <v>0.06</v>
      </c>
      <c r="H15" s="263">
        <v>0.06</v>
      </c>
      <c r="I15" s="263">
        <v>0.06</v>
      </c>
      <c r="J15" s="263">
        <v>0.06</v>
      </c>
      <c r="K15" s="263">
        <v>0.06</v>
      </c>
      <c r="L15" s="263">
        <v>0.06</v>
      </c>
      <c r="M15" s="263">
        <v>0.25</v>
      </c>
      <c r="N15" s="263">
        <v>0.5</v>
      </c>
      <c r="O15" s="263">
        <v>0.5</v>
      </c>
      <c r="P15" s="263">
        <v>0.25</v>
      </c>
      <c r="Q15" s="263">
        <v>0.5</v>
      </c>
      <c r="R15" s="263">
        <v>0.25</v>
      </c>
      <c r="S15" s="263">
        <v>0.5</v>
      </c>
      <c r="T15" s="263">
        <v>0.5</v>
      </c>
      <c r="U15" s="263">
        <v>0.5</v>
      </c>
      <c r="V15" s="263">
        <v>0.5</v>
      </c>
      <c r="W15" s="263">
        <v>0.5</v>
      </c>
      <c r="X15" s="263">
        <v>0.5</v>
      </c>
      <c r="Y15" s="263">
        <v>0.2</v>
      </c>
      <c r="Z15" s="263">
        <v>0.06</v>
      </c>
      <c r="AA15" s="263">
        <v>0.06</v>
      </c>
      <c r="AB15" s="263">
        <v>0.06</v>
      </c>
      <c r="AC15" s="459">
        <v>0.06</v>
      </c>
      <c r="AD15" s="42"/>
      <c r="AE15" s="41"/>
      <c r="AF15" s="41"/>
      <c r="AG15" s="41"/>
      <c r="AH15" s="41"/>
      <c r="AI15" s="41"/>
      <c r="AJ15" s="41"/>
      <c r="AK15" s="41"/>
      <c r="AM15" s="52"/>
    </row>
    <row r="16" spans="1:39" ht="36" customHeight="1" x14ac:dyDescent="0.3">
      <c r="A16" s="747"/>
      <c r="B16" s="758"/>
      <c r="C16" s="764"/>
      <c r="D16" s="880"/>
      <c r="E16" s="883" t="s">
        <v>675</v>
      </c>
      <c r="F16" s="263">
        <v>0.06</v>
      </c>
      <c r="G16" s="263">
        <v>0.06</v>
      </c>
      <c r="H16" s="263">
        <v>0.06</v>
      </c>
      <c r="I16" s="263">
        <v>0.06</v>
      </c>
      <c r="J16" s="263">
        <v>0.06</v>
      </c>
      <c r="K16" s="263">
        <v>0.06</v>
      </c>
      <c r="L16" s="263">
        <v>0.06</v>
      </c>
      <c r="M16" s="263">
        <v>0.25</v>
      </c>
      <c r="N16" s="263">
        <v>0.5</v>
      </c>
      <c r="O16" s="263">
        <v>0.5</v>
      </c>
      <c r="P16" s="263">
        <v>0.25</v>
      </c>
      <c r="Q16" s="263">
        <v>0.5</v>
      </c>
      <c r="R16" s="263">
        <v>0.25</v>
      </c>
      <c r="S16" s="263">
        <v>0.5</v>
      </c>
      <c r="T16" s="263">
        <v>0.5</v>
      </c>
      <c r="U16" s="263">
        <v>0.5</v>
      </c>
      <c r="V16" s="263">
        <v>0.5</v>
      </c>
      <c r="W16" s="263">
        <v>0.5</v>
      </c>
      <c r="X16" s="263">
        <v>0.5</v>
      </c>
      <c r="Y16" s="263">
        <v>0.2</v>
      </c>
      <c r="Z16" s="263">
        <v>0.06</v>
      </c>
      <c r="AA16" s="263">
        <v>0.06</v>
      </c>
      <c r="AB16" s="263">
        <v>0.06</v>
      </c>
      <c r="AC16" s="459">
        <v>0.06</v>
      </c>
      <c r="AD16" s="42"/>
      <c r="AE16" s="41"/>
      <c r="AF16" s="41"/>
      <c r="AG16" s="41"/>
      <c r="AH16" s="41"/>
      <c r="AI16" s="41"/>
      <c r="AJ16" s="41"/>
      <c r="AK16" s="41"/>
      <c r="AM16" s="52"/>
    </row>
    <row r="17" spans="1:39" ht="36" customHeight="1" x14ac:dyDescent="0.3">
      <c r="A17" s="747"/>
      <c r="B17" s="758"/>
      <c r="C17" s="764"/>
      <c r="D17" s="880"/>
      <c r="E17" s="883" t="s">
        <v>676</v>
      </c>
      <c r="F17" s="263">
        <v>0.06</v>
      </c>
      <c r="G17" s="263">
        <v>0.06</v>
      </c>
      <c r="H17" s="263">
        <v>0.06</v>
      </c>
      <c r="I17" s="263">
        <v>0.06</v>
      </c>
      <c r="J17" s="263">
        <v>0.06</v>
      </c>
      <c r="K17" s="263">
        <v>0.06</v>
      </c>
      <c r="L17" s="263">
        <v>0.06</v>
      </c>
      <c r="M17" s="263">
        <v>0.25</v>
      </c>
      <c r="N17" s="263">
        <v>0.5</v>
      </c>
      <c r="O17" s="263">
        <v>0.5</v>
      </c>
      <c r="P17" s="263">
        <v>0.25</v>
      </c>
      <c r="Q17" s="263">
        <v>0.5</v>
      </c>
      <c r="R17" s="263">
        <v>0.25</v>
      </c>
      <c r="S17" s="263">
        <v>0.5</v>
      </c>
      <c r="T17" s="263">
        <v>0.5</v>
      </c>
      <c r="U17" s="263">
        <v>0.5</v>
      </c>
      <c r="V17" s="263">
        <v>0.5</v>
      </c>
      <c r="W17" s="263">
        <v>0.5</v>
      </c>
      <c r="X17" s="263">
        <v>0.5</v>
      </c>
      <c r="Y17" s="263">
        <v>0.2</v>
      </c>
      <c r="Z17" s="263">
        <v>0.06</v>
      </c>
      <c r="AA17" s="263">
        <v>0.06</v>
      </c>
      <c r="AB17" s="263">
        <v>0.06</v>
      </c>
      <c r="AC17" s="459">
        <v>0.06</v>
      </c>
      <c r="AD17" s="42"/>
      <c r="AE17" s="41"/>
      <c r="AF17" s="41"/>
      <c r="AG17" s="41"/>
      <c r="AH17" s="41"/>
      <c r="AI17" s="41"/>
      <c r="AJ17" s="41"/>
      <c r="AK17" s="41"/>
      <c r="AM17" s="52"/>
    </row>
    <row r="18" spans="1:39" ht="36" customHeight="1" thickBot="1" x14ac:dyDescent="0.35">
      <c r="A18" s="751"/>
      <c r="B18" s="759"/>
      <c r="C18" s="765"/>
      <c r="D18" s="881"/>
      <c r="E18" s="885" t="s">
        <v>677</v>
      </c>
      <c r="F18" s="476">
        <v>0.06</v>
      </c>
      <c r="G18" s="476">
        <v>0.06</v>
      </c>
      <c r="H18" s="476">
        <v>0.06</v>
      </c>
      <c r="I18" s="476">
        <v>0.06</v>
      </c>
      <c r="J18" s="476">
        <v>0.06</v>
      </c>
      <c r="K18" s="476">
        <v>0.06</v>
      </c>
      <c r="L18" s="476">
        <v>0.06</v>
      </c>
      <c r="M18" s="476">
        <v>0.25</v>
      </c>
      <c r="N18" s="476">
        <v>0.5</v>
      </c>
      <c r="O18" s="476">
        <v>0.5</v>
      </c>
      <c r="P18" s="476">
        <v>0.5</v>
      </c>
      <c r="Q18" s="476">
        <v>0.5</v>
      </c>
      <c r="R18" s="476">
        <v>0.5</v>
      </c>
      <c r="S18" s="476">
        <v>0.5</v>
      </c>
      <c r="T18" s="476">
        <v>0.5</v>
      </c>
      <c r="U18" s="476">
        <v>0.5</v>
      </c>
      <c r="V18" s="476">
        <v>0.2</v>
      </c>
      <c r="W18" s="476">
        <v>0.06</v>
      </c>
      <c r="X18" s="476">
        <v>0.06</v>
      </c>
      <c r="Y18" s="476">
        <v>0.06</v>
      </c>
      <c r="Z18" s="476">
        <v>0.06</v>
      </c>
      <c r="AA18" s="476">
        <v>0.06</v>
      </c>
      <c r="AB18" s="476">
        <v>0.06</v>
      </c>
      <c r="AC18" s="477">
        <v>0.06</v>
      </c>
      <c r="AD18" s="42"/>
      <c r="AE18" s="41"/>
      <c r="AF18" s="41"/>
      <c r="AG18" s="41"/>
      <c r="AH18" s="41"/>
      <c r="AI18" s="41"/>
      <c r="AJ18" s="41"/>
      <c r="AK18" s="41"/>
      <c r="AM18" s="52"/>
    </row>
    <row r="19" spans="1:39" ht="36" customHeight="1" x14ac:dyDescent="0.3">
      <c r="A19" s="746" t="s">
        <v>669</v>
      </c>
      <c r="B19" s="757" t="s">
        <v>670</v>
      </c>
      <c r="C19" s="763" t="s">
        <v>680</v>
      </c>
      <c r="D19" s="879" t="s">
        <v>681</v>
      </c>
      <c r="E19" s="882" t="s">
        <v>673</v>
      </c>
      <c r="F19" s="456">
        <v>0.03</v>
      </c>
      <c r="G19" s="456">
        <v>0.03</v>
      </c>
      <c r="H19" s="456">
        <v>0.03</v>
      </c>
      <c r="I19" s="456">
        <v>0.03</v>
      </c>
      <c r="J19" s="456">
        <v>0.03</v>
      </c>
      <c r="K19" s="456">
        <v>0.03</v>
      </c>
      <c r="L19" s="456">
        <v>0.03</v>
      </c>
      <c r="M19" s="456">
        <v>0.03</v>
      </c>
      <c r="N19" s="456">
        <v>0.05</v>
      </c>
      <c r="O19" s="456">
        <v>0.05</v>
      </c>
      <c r="P19" s="456">
        <v>0.05</v>
      </c>
      <c r="Q19" s="456">
        <v>0.05</v>
      </c>
      <c r="R19" s="456">
        <v>0.05</v>
      </c>
      <c r="S19" s="456">
        <v>0.05</v>
      </c>
      <c r="T19" s="456">
        <v>0.03</v>
      </c>
      <c r="U19" s="456">
        <v>0.03</v>
      </c>
      <c r="V19" s="456">
        <v>0.03</v>
      </c>
      <c r="W19" s="456">
        <v>0.03</v>
      </c>
      <c r="X19" s="456">
        <v>0.03</v>
      </c>
      <c r="Y19" s="456">
        <v>0.03</v>
      </c>
      <c r="Z19" s="456">
        <v>0.03</v>
      </c>
      <c r="AA19" s="456">
        <v>0.03</v>
      </c>
      <c r="AB19" s="456">
        <v>0.03</v>
      </c>
      <c r="AC19" s="457">
        <v>0.03</v>
      </c>
      <c r="AD19" s="41"/>
      <c r="AE19" s="41"/>
      <c r="AF19" s="41"/>
      <c r="AG19" s="41"/>
      <c r="AH19" s="41"/>
      <c r="AI19" s="41"/>
      <c r="AJ19" s="41"/>
      <c r="AK19" s="41"/>
      <c r="AM19" s="52"/>
    </row>
    <row r="20" spans="1:39" ht="36" customHeight="1" x14ac:dyDescent="0.3">
      <c r="A20" s="747"/>
      <c r="B20" s="758"/>
      <c r="C20" s="764"/>
      <c r="D20" s="880"/>
      <c r="E20" s="883" t="s">
        <v>674</v>
      </c>
      <c r="F20" s="263">
        <v>0.05</v>
      </c>
      <c r="G20" s="263">
        <v>0.05</v>
      </c>
      <c r="H20" s="263">
        <v>0.05</v>
      </c>
      <c r="I20" s="263">
        <v>0.05</v>
      </c>
      <c r="J20" s="263">
        <v>0.05</v>
      </c>
      <c r="K20" s="263">
        <v>0.05</v>
      </c>
      <c r="L20" s="263">
        <v>0.05</v>
      </c>
      <c r="M20" s="263">
        <v>0.1</v>
      </c>
      <c r="N20" s="263">
        <v>0.34</v>
      </c>
      <c r="O20" s="263">
        <v>0.6</v>
      </c>
      <c r="P20" s="263">
        <v>0.63</v>
      </c>
      <c r="Q20" s="263">
        <v>0.72</v>
      </c>
      <c r="R20" s="263">
        <v>0.79</v>
      </c>
      <c r="S20" s="263">
        <v>0.83</v>
      </c>
      <c r="T20" s="263">
        <v>0.61</v>
      </c>
      <c r="U20" s="263">
        <v>0.65</v>
      </c>
      <c r="V20" s="263">
        <v>0.1</v>
      </c>
      <c r="W20" s="263">
        <v>0.1</v>
      </c>
      <c r="X20" s="263">
        <v>0.19</v>
      </c>
      <c r="Y20" s="263">
        <v>0.25</v>
      </c>
      <c r="Z20" s="263">
        <v>0.22</v>
      </c>
      <c r="AA20" s="263">
        <v>0.22</v>
      </c>
      <c r="AB20" s="263">
        <v>0.12</v>
      </c>
      <c r="AC20" s="459">
        <v>0.09</v>
      </c>
      <c r="AD20" s="41"/>
      <c r="AE20" s="41"/>
      <c r="AF20" s="41"/>
      <c r="AG20" s="41"/>
      <c r="AH20" s="41"/>
      <c r="AI20" s="41"/>
      <c r="AJ20" s="41"/>
      <c r="AK20" s="41"/>
      <c r="AM20" s="52"/>
    </row>
    <row r="21" spans="1:39" ht="36" customHeight="1" x14ac:dyDescent="0.3">
      <c r="A21" s="747"/>
      <c r="B21" s="758"/>
      <c r="C21" s="764"/>
      <c r="D21" s="880"/>
      <c r="E21" s="883" t="s">
        <v>675</v>
      </c>
      <c r="F21" s="263">
        <v>0.05</v>
      </c>
      <c r="G21" s="263">
        <v>0.05</v>
      </c>
      <c r="H21" s="263">
        <v>0.05</v>
      </c>
      <c r="I21" s="263">
        <v>0.05</v>
      </c>
      <c r="J21" s="263">
        <v>0.05</v>
      </c>
      <c r="K21" s="263">
        <v>0.05</v>
      </c>
      <c r="L21" s="263">
        <v>0.05</v>
      </c>
      <c r="M21" s="263">
        <v>0.1</v>
      </c>
      <c r="N21" s="263">
        <v>0.34</v>
      </c>
      <c r="O21" s="263">
        <v>0.6</v>
      </c>
      <c r="P21" s="263">
        <v>0.63</v>
      </c>
      <c r="Q21" s="263">
        <v>0.72</v>
      </c>
      <c r="R21" s="263">
        <v>0.79</v>
      </c>
      <c r="S21" s="263">
        <v>0.83</v>
      </c>
      <c r="T21" s="263">
        <v>0.61</v>
      </c>
      <c r="U21" s="263">
        <v>0.65</v>
      </c>
      <c r="V21" s="263">
        <v>0.1</v>
      </c>
      <c r="W21" s="263">
        <v>0.1</v>
      </c>
      <c r="X21" s="263">
        <v>0.19</v>
      </c>
      <c r="Y21" s="263">
        <v>0.25</v>
      </c>
      <c r="Z21" s="263">
        <v>0.22</v>
      </c>
      <c r="AA21" s="263">
        <v>0.22</v>
      </c>
      <c r="AB21" s="263">
        <v>0.12</v>
      </c>
      <c r="AC21" s="459">
        <v>0.09</v>
      </c>
      <c r="AD21" s="41"/>
      <c r="AE21" s="41"/>
      <c r="AF21" s="41"/>
      <c r="AG21" s="41"/>
      <c r="AH21" s="41"/>
      <c r="AI21" s="41"/>
      <c r="AJ21" s="41"/>
      <c r="AK21" s="41"/>
      <c r="AM21" s="52"/>
    </row>
    <row r="22" spans="1:39" ht="36" customHeight="1" x14ac:dyDescent="0.3">
      <c r="A22" s="747"/>
      <c r="B22" s="758"/>
      <c r="C22" s="764"/>
      <c r="D22" s="880"/>
      <c r="E22" s="883" t="s">
        <v>676</v>
      </c>
      <c r="F22" s="263">
        <v>0.05</v>
      </c>
      <c r="G22" s="263">
        <v>0.05</v>
      </c>
      <c r="H22" s="263">
        <v>0.05</v>
      </c>
      <c r="I22" s="263">
        <v>0.05</v>
      </c>
      <c r="J22" s="263">
        <v>0.05</v>
      </c>
      <c r="K22" s="263">
        <v>0.05</v>
      </c>
      <c r="L22" s="263">
        <v>0.05</v>
      </c>
      <c r="M22" s="263">
        <v>0.1</v>
      </c>
      <c r="N22" s="263">
        <v>0.34</v>
      </c>
      <c r="O22" s="263">
        <v>0.6</v>
      </c>
      <c r="P22" s="263">
        <v>0.63</v>
      </c>
      <c r="Q22" s="263">
        <v>0.72</v>
      </c>
      <c r="R22" s="263">
        <v>0.79</v>
      </c>
      <c r="S22" s="263">
        <v>0.83</v>
      </c>
      <c r="T22" s="263">
        <v>0.61</v>
      </c>
      <c r="U22" s="263">
        <v>0.65</v>
      </c>
      <c r="V22" s="263">
        <v>0.1</v>
      </c>
      <c r="W22" s="263">
        <v>0.1</v>
      </c>
      <c r="X22" s="263">
        <v>0.19</v>
      </c>
      <c r="Y22" s="263">
        <v>0.25</v>
      </c>
      <c r="Z22" s="263">
        <v>0.22</v>
      </c>
      <c r="AA22" s="263">
        <v>0.22</v>
      </c>
      <c r="AB22" s="263">
        <v>0.12</v>
      </c>
      <c r="AC22" s="459">
        <v>0.09</v>
      </c>
      <c r="AD22" s="41"/>
      <c r="AE22" s="41"/>
      <c r="AF22" s="41"/>
      <c r="AG22" s="41"/>
      <c r="AH22" s="41"/>
      <c r="AI22" s="41"/>
      <c r="AJ22" s="41"/>
      <c r="AK22" s="41"/>
      <c r="AM22" s="52"/>
    </row>
    <row r="23" spans="1:39" ht="36" customHeight="1" thickBot="1" x14ac:dyDescent="0.35">
      <c r="A23" s="751"/>
      <c r="B23" s="759"/>
      <c r="C23" s="765"/>
      <c r="D23" s="881"/>
      <c r="E23" s="885" t="s">
        <v>677</v>
      </c>
      <c r="F23" s="476">
        <v>0.05</v>
      </c>
      <c r="G23" s="476">
        <v>0.05</v>
      </c>
      <c r="H23" s="476">
        <v>0.05</v>
      </c>
      <c r="I23" s="476">
        <v>0.05</v>
      </c>
      <c r="J23" s="476">
        <v>0.05</v>
      </c>
      <c r="K23" s="476">
        <v>0.05</v>
      </c>
      <c r="L23" s="476">
        <v>0.05</v>
      </c>
      <c r="M23" s="476">
        <v>0.1</v>
      </c>
      <c r="N23" s="476">
        <v>0.34</v>
      </c>
      <c r="O23" s="476">
        <v>0.6</v>
      </c>
      <c r="P23" s="476">
        <v>0.63</v>
      </c>
      <c r="Q23" s="476">
        <v>0.72</v>
      </c>
      <c r="R23" s="476">
        <v>0.79</v>
      </c>
      <c r="S23" s="476">
        <v>0.83</v>
      </c>
      <c r="T23" s="476">
        <v>0.61</v>
      </c>
      <c r="U23" s="476">
        <v>0.65</v>
      </c>
      <c r="V23" s="476">
        <v>0.1</v>
      </c>
      <c r="W23" s="476">
        <v>0.1</v>
      </c>
      <c r="X23" s="476">
        <v>0.19</v>
      </c>
      <c r="Y23" s="476">
        <v>0.25</v>
      </c>
      <c r="Z23" s="476">
        <v>0.22</v>
      </c>
      <c r="AA23" s="476">
        <v>0.22</v>
      </c>
      <c r="AB23" s="476">
        <v>0.12</v>
      </c>
      <c r="AC23" s="477">
        <v>0.09</v>
      </c>
      <c r="AD23" s="41"/>
      <c r="AE23" s="41"/>
      <c r="AF23" s="41"/>
      <c r="AG23" s="41"/>
      <c r="AH23" s="41"/>
      <c r="AI23" s="41"/>
      <c r="AJ23" s="41"/>
      <c r="AK23" s="41"/>
      <c r="AM23" s="52"/>
    </row>
    <row r="24" spans="1:39" ht="36" customHeight="1" x14ac:dyDescent="0.3">
      <c r="A24" s="746" t="s">
        <v>669</v>
      </c>
      <c r="B24" s="757" t="s">
        <v>670</v>
      </c>
      <c r="C24" s="763" t="s">
        <v>682</v>
      </c>
      <c r="D24" s="879" t="s">
        <v>681</v>
      </c>
      <c r="E24" s="882" t="s">
        <v>673</v>
      </c>
      <c r="F24" s="456">
        <v>0</v>
      </c>
      <c r="G24" s="456">
        <v>0</v>
      </c>
      <c r="H24" s="456">
        <v>0</v>
      </c>
      <c r="I24" s="456">
        <v>0</v>
      </c>
      <c r="J24" s="456">
        <v>0</v>
      </c>
      <c r="K24" s="456">
        <v>0</v>
      </c>
      <c r="L24" s="456">
        <v>0</v>
      </c>
      <c r="M24" s="456">
        <v>0</v>
      </c>
      <c r="N24" s="456">
        <v>0</v>
      </c>
      <c r="O24" s="456">
        <v>0</v>
      </c>
      <c r="P24" s="456">
        <v>0</v>
      </c>
      <c r="Q24" s="456">
        <v>0</v>
      </c>
      <c r="R24" s="456">
        <v>0</v>
      </c>
      <c r="S24" s="456">
        <v>0</v>
      </c>
      <c r="T24" s="456">
        <v>0</v>
      </c>
      <c r="U24" s="456">
        <v>0</v>
      </c>
      <c r="V24" s="456">
        <v>0</v>
      </c>
      <c r="W24" s="456">
        <v>0</v>
      </c>
      <c r="X24" s="456">
        <v>0</v>
      </c>
      <c r="Y24" s="456">
        <v>0</v>
      </c>
      <c r="Z24" s="456">
        <v>0</v>
      </c>
      <c r="AA24" s="456">
        <v>0</v>
      </c>
      <c r="AB24" s="456">
        <v>0</v>
      </c>
      <c r="AC24" s="457">
        <v>0</v>
      </c>
      <c r="AD24" s="42"/>
      <c r="AE24" s="41"/>
      <c r="AF24" s="41"/>
      <c r="AG24" s="41"/>
      <c r="AH24" s="41"/>
      <c r="AI24" s="41"/>
      <c r="AJ24" s="41"/>
      <c r="AK24" s="41"/>
      <c r="AM24" s="52"/>
    </row>
    <row r="25" spans="1:39" ht="36" customHeight="1" x14ac:dyDescent="0.3">
      <c r="A25" s="747"/>
      <c r="B25" s="758"/>
      <c r="C25" s="764"/>
      <c r="D25" s="880"/>
      <c r="E25" s="883" t="s">
        <v>674</v>
      </c>
      <c r="F25" s="263">
        <v>0</v>
      </c>
      <c r="G25" s="263">
        <v>0</v>
      </c>
      <c r="H25" s="263">
        <v>0</v>
      </c>
      <c r="I25" s="263">
        <v>0</v>
      </c>
      <c r="J25" s="263">
        <v>0</v>
      </c>
      <c r="K25" s="263">
        <v>0</v>
      </c>
      <c r="L25" s="263">
        <v>0</v>
      </c>
      <c r="M25" s="263">
        <v>0.5</v>
      </c>
      <c r="N25" s="263">
        <v>0.5</v>
      </c>
      <c r="O25" s="263">
        <v>0.75</v>
      </c>
      <c r="P25" s="263">
        <v>0.9</v>
      </c>
      <c r="Q25" s="263">
        <v>0.9</v>
      </c>
      <c r="R25" s="263">
        <v>0.9</v>
      </c>
      <c r="S25" s="263">
        <v>0</v>
      </c>
      <c r="T25" s="263">
        <v>0</v>
      </c>
      <c r="U25" s="263">
        <v>0</v>
      </c>
      <c r="V25" s="263">
        <v>0</v>
      </c>
      <c r="W25" s="263">
        <v>0</v>
      </c>
      <c r="X25" s="263">
        <v>0</v>
      </c>
      <c r="Y25" s="263">
        <v>0</v>
      </c>
      <c r="Z25" s="263">
        <v>0</v>
      </c>
      <c r="AA25" s="263">
        <v>0</v>
      </c>
      <c r="AB25" s="263">
        <v>0</v>
      </c>
      <c r="AC25" s="459">
        <v>0</v>
      </c>
      <c r="AD25" s="42"/>
      <c r="AE25" s="41"/>
      <c r="AF25" s="41"/>
      <c r="AG25" s="41"/>
      <c r="AH25" s="41"/>
      <c r="AI25" s="41"/>
      <c r="AJ25" s="41"/>
      <c r="AK25" s="41"/>
      <c r="AM25" s="52"/>
    </row>
    <row r="26" spans="1:39" ht="36" customHeight="1" x14ac:dyDescent="0.3">
      <c r="A26" s="747"/>
      <c r="B26" s="758"/>
      <c r="C26" s="764"/>
      <c r="D26" s="880"/>
      <c r="E26" s="883" t="s">
        <v>675</v>
      </c>
      <c r="F26" s="263">
        <v>0</v>
      </c>
      <c r="G26" s="263">
        <v>0</v>
      </c>
      <c r="H26" s="263">
        <v>0</v>
      </c>
      <c r="I26" s="263">
        <v>0</v>
      </c>
      <c r="J26" s="263">
        <v>0</v>
      </c>
      <c r="K26" s="263">
        <v>0</v>
      </c>
      <c r="L26" s="263">
        <v>0</v>
      </c>
      <c r="M26" s="263">
        <v>0.5</v>
      </c>
      <c r="N26" s="263">
        <v>0.5</v>
      </c>
      <c r="O26" s="263">
        <v>0.75</v>
      </c>
      <c r="P26" s="263">
        <v>0.9</v>
      </c>
      <c r="Q26" s="263">
        <v>0.9</v>
      </c>
      <c r="R26" s="263">
        <v>0.9</v>
      </c>
      <c r="S26" s="263">
        <v>0</v>
      </c>
      <c r="T26" s="263">
        <v>0</v>
      </c>
      <c r="U26" s="263">
        <v>0</v>
      </c>
      <c r="V26" s="263">
        <v>0</v>
      </c>
      <c r="W26" s="263">
        <v>0</v>
      </c>
      <c r="X26" s="263">
        <v>0</v>
      </c>
      <c r="Y26" s="263">
        <v>0</v>
      </c>
      <c r="Z26" s="263">
        <v>0</v>
      </c>
      <c r="AA26" s="263">
        <v>0</v>
      </c>
      <c r="AB26" s="263">
        <v>0</v>
      </c>
      <c r="AC26" s="459">
        <v>0</v>
      </c>
      <c r="AD26" s="42"/>
      <c r="AE26" s="41"/>
      <c r="AF26" s="41"/>
      <c r="AG26" s="41"/>
      <c r="AH26" s="41"/>
      <c r="AI26" s="41"/>
      <c r="AJ26" s="41"/>
      <c r="AK26" s="41"/>
      <c r="AM26" s="52"/>
    </row>
    <row r="27" spans="1:39" ht="36" customHeight="1" x14ac:dyDescent="0.3">
      <c r="A27" s="747"/>
      <c r="B27" s="758"/>
      <c r="C27" s="764"/>
      <c r="D27" s="880"/>
      <c r="E27" s="883" t="s">
        <v>676</v>
      </c>
      <c r="F27" s="263">
        <v>0</v>
      </c>
      <c r="G27" s="263">
        <v>0</v>
      </c>
      <c r="H27" s="263">
        <v>0</v>
      </c>
      <c r="I27" s="263">
        <v>0</v>
      </c>
      <c r="J27" s="263">
        <v>0</v>
      </c>
      <c r="K27" s="263">
        <v>0</v>
      </c>
      <c r="L27" s="263">
        <v>0</v>
      </c>
      <c r="M27" s="263">
        <v>0.5</v>
      </c>
      <c r="N27" s="263">
        <v>0.5</v>
      </c>
      <c r="O27" s="263">
        <v>0.75</v>
      </c>
      <c r="P27" s="263">
        <v>0.9</v>
      </c>
      <c r="Q27" s="263">
        <v>0.9</v>
      </c>
      <c r="R27" s="263">
        <v>0.9</v>
      </c>
      <c r="S27" s="263">
        <v>0</v>
      </c>
      <c r="T27" s="263">
        <v>0</v>
      </c>
      <c r="U27" s="263">
        <v>0</v>
      </c>
      <c r="V27" s="263">
        <v>0</v>
      </c>
      <c r="W27" s="263">
        <v>0</v>
      </c>
      <c r="X27" s="263">
        <v>0</v>
      </c>
      <c r="Y27" s="263">
        <v>0</v>
      </c>
      <c r="Z27" s="263">
        <v>0</v>
      </c>
      <c r="AA27" s="263">
        <v>0</v>
      </c>
      <c r="AB27" s="263">
        <v>0</v>
      </c>
      <c r="AC27" s="459">
        <v>0</v>
      </c>
      <c r="AD27" s="42"/>
      <c r="AE27" s="41"/>
      <c r="AF27" s="41"/>
      <c r="AG27" s="41"/>
      <c r="AH27" s="41"/>
      <c r="AI27" s="41"/>
      <c r="AJ27" s="41"/>
      <c r="AK27" s="41"/>
      <c r="AM27" s="52"/>
    </row>
    <row r="28" spans="1:39" ht="36" customHeight="1" thickBot="1" x14ac:dyDescent="0.35">
      <c r="A28" s="751"/>
      <c r="B28" s="759"/>
      <c r="C28" s="765"/>
      <c r="D28" s="881"/>
      <c r="E28" s="885" t="s">
        <v>677</v>
      </c>
      <c r="F28" s="476">
        <v>0</v>
      </c>
      <c r="G28" s="476">
        <v>0</v>
      </c>
      <c r="H28" s="476">
        <v>0</v>
      </c>
      <c r="I28" s="476">
        <v>0</v>
      </c>
      <c r="J28" s="476">
        <v>0</v>
      </c>
      <c r="K28" s="476">
        <v>0</v>
      </c>
      <c r="L28" s="476">
        <v>0</v>
      </c>
      <c r="M28" s="476">
        <v>0.5</v>
      </c>
      <c r="N28" s="476">
        <v>0.5</v>
      </c>
      <c r="O28" s="476">
        <v>0.75</v>
      </c>
      <c r="P28" s="476">
        <v>0.9</v>
      </c>
      <c r="Q28" s="476">
        <v>0.9</v>
      </c>
      <c r="R28" s="476">
        <v>0.9</v>
      </c>
      <c r="S28" s="476">
        <v>0</v>
      </c>
      <c r="T28" s="476">
        <v>0</v>
      </c>
      <c r="U28" s="476">
        <v>0</v>
      </c>
      <c r="V28" s="476">
        <v>0</v>
      </c>
      <c r="W28" s="476">
        <v>0</v>
      </c>
      <c r="X28" s="476">
        <v>0</v>
      </c>
      <c r="Y28" s="476">
        <v>0</v>
      </c>
      <c r="Z28" s="476">
        <v>0</v>
      </c>
      <c r="AA28" s="476">
        <v>0</v>
      </c>
      <c r="AB28" s="476">
        <v>0</v>
      </c>
      <c r="AC28" s="477">
        <v>0</v>
      </c>
      <c r="AD28" s="42"/>
      <c r="AE28" s="41"/>
      <c r="AF28" s="41"/>
      <c r="AG28" s="41"/>
      <c r="AH28" s="41"/>
      <c r="AI28" s="41"/>
      <c r="AJ28" s="41"/>
      <c r="AK28" s="41"/>
      <c r="AM28" s="52"/>
    </row>
    <row r="29" spans="1:39" ht="36" customHeight="1" x14ac:dyDescent="0.3">
      <c r="A29" s="746" t="s">
        <v>669</v>
      </c>
      <c r="B29" s="757" t="s">
        <v>670</v>
      </c>
      <c r="C29" s="763" t="s">
        <v>683</v>
      </c>
      <c r="D29" s="879" t="s">
        <v>681</v>
      </c>
      <c r="E29" s="882" t="s">
        <v>673</v>
      </c>
      <c r="F29" s="176">
        <v>0.9</v>
      </c>
      <c r="G29" s="176">
        <v>0.9</v>
      </c>
      <c r="H29" s="176">
        <v>0.9</v>
      </c>
      <c r="I29" s="176">
        <v>0.9</v>
      </c>
      <c r="J29" s="176">
        <v>0.9</v>
      </c>
      <c r="K29" s="176">
        <v>0.9</v>
      </c>
      <c r="L29" s="176">
        <v>0.9</v>
      </c>
      <c r="M29" s="176">
        <v>0.9</v>
      </c>
      <c r="N29" s="176">
        <v>0.9</v>
      </c>
      <c r="O29" s="176">
        <v>0.9</v>
      </c>
      <c r="P29" s="176">
        <v>0.9</v>
      </c>
      <c r="Q29" s="176">
        <v>0.9</v>
      </c>
      <c r="R29" s="176">
        <v>0.9</v>
      </c>
      <c r="S29" s="176">
        <v>0.9</v>
      </c>
      <c r="T29" s="176">
        <v>0.9</v>
      </c>
      <c r="U29" s="176">
        <v>0.9</v>
      </c>
      <c r="V29" s="176">
        <v>0.9</v>
      </c>
      <c r="W29" s="176">
        <v>0.9</v>
      </c>
      <c r="X29" s="176">
        <v>0.9</v>
      </c>
      <c r="Y29" s="176">
        <v>0.9</v>
      </c>
      <c r="Z29" s="176">
        <v>0.9</v>
      </c>
      <c r="AA29" s="176">
        <v>0.9</v>
      </c>
      <c r="AB29" s="176">
        <v>0.9</v>
      </c>
      <c r="AC29" s="177">
        <v>0.9</v>
      </c>
      <c r="AD29" s="42"/>
      <c r="AE29" s="41"/>
      <c r="AF29" s="41"/>
      <c r="AG29" s="41"/>
      <c r="AH29" s="41"/>
      <c r="AI29" s="41"/>
      <c r="AJ29" s="41"/>
      <c r="AK29" s="41"/>
      <c r="AM29" s="52"/>
    </row>
    <row r="30" spans="1:39" ht="36" customHeight="1" x14ac:dyDescent="0.3">
      <c r="A30" s="747"/>
      <c r="B30" s="758"/>
      <c r="C30" s="764"/>
      <c r="D30" s="880"/>
      <c r="E30" s="883" t="s">
        <v>674</v>
      </c>
      <c r="F30" s="178">
        <v>0.9</v>
      </c>
      <c r="G30" s="178">
        <v>0.9</v>
      </c>
      <c r="H30" s="178">
        <v>0.9</v>
      </c>
      <c r="I30" s="178">
        <v>0.9</v>
      </c>
      <c r="J30" s="178">
        <v>0.9</v>
      </c>
      <c r="K30" s="178">
        <v>0.9</v>
      </c>
      <c r="L30" s="178">
        <v>0.9</v>
      </c>
      <c r="M30" s="178">
        <v>0.9</v>
      </c>
      <c r="N30" s="178">
        <v>0.9</v>
      </c>
      <c r="O30" s="178">
        <v>0.9</v>
      </c>
      <c r="P30" s="178">
        <v>0.9</v>
      </c>
      <c r="Q30" s="178">
        <v>0.9</v>
      </c>
      <c r="R30" s="178">
        <v>0.9</v>
      </c>
      <c r="S30" s="178">
        <v>0.9</v>
      </c>
      <c r="T30" s="178">
        <v>0.9</v>
      </c>
      <c r="U30" s="178">
        <v>0.9</v>
      </c>
      <c r="V30" s="178">
        <v>0.9</v>
      </c>
      <c r="W30" s="178">
        <v>0.9</v>
      </c>
      <c r="X30" s="178">
        <v>0.9</v>
      </c>
      <c r="Y30" s="178">
        <v>0.9</v>
      </c>
      <c r="Z30" s="178">
        <v>0.9</v>
      </c>
      <c r="AA30" s="178">
        <v>0.9</v>
      </c>
      <c r="AB30" s="178">
        <v>0.9</v>
      </c>
      <c r="AC30" s="179">
        <v>0.9</v>
      </c>
      <c r="AD30" s="42"/>
      <c r="AE30" s="41"/>
      <c r="AF30" s="41"/>
      <c r="AG30" s="41"/>
      <c r="AH30" s="41"/>
      <c r="AI30" s="41"/>
      <c r="AJ30" s="41"/>
      <c r="AK30" s="41"/>
      <c r="AM30" s="52"/>
    </row>
    <row r="31" spans="1:39" ht="36" customHeight="1" x14ac:dyDescent="0.3">
      <c r="A31" s="747"/>
      <c r="B31" s="758"/>
      <c r="C31" s="764"/>
      <c r="D31" s="880"/>
      <c r="E31" s="883" t="s">
        <v>675</v>
      </c>
      <c r="F31" s="178">
        <v>0.9</v>
      </c>
      <c r="G31" s="178">
        <v>0.9</v>
      </c>
      <c r="H31" s="178">
        <v>0.9</v>
      </c>
      <c r="I31" s="178">
        <v>0.9</v>
      </c>
      <c r="J31" s="178">
        <v>0.9</v>
      </c>
      <c r="K31" s="178">
        <v>0.9</v>
      </c>
      <c r="L31" s="178">
        <v>0.9</v>
      </c>
      <c r="M31" s="178">
        <v>0.9</v>
      </c>
      <c r="N31" s="178">
        <v>0.9</v>
      </c>
      <c r="O31" s="178">
        <v>0.9</v>
      </c>
      <c r="P31" s="178">
        <v>0.9</v>
      </c>
      <c r="Q31" s="178">
        <v>0.9</v>
      </c>
      <c r="R31" s="178">
        <v>0.9</v>
      </c>
      <c r="S31" s="178">
        <v>0.9</v>
      </c>
      <c r="T31" s="178">
        <v>0.9</v>
      </c>
      <c r="U31" s="178">
        <v>0.9</v>
      </c>
      <c r="V31" s="178">
        <v>0.9</v>
      </c>
      <c r="W31" s="178">
        <v>0.9</v>
      </c>
      <c r="X31" s="178">
        <v>0.9</v>
      </c>
      <c r="Y31" s="178">
        <v>0.9</v>
      </c>
      <c r="Z31" s="178">
        <v>0.9</v>
      </c>
      <c r="AA31" s="178">
        <v>0.9</v>
      </c>
      <c r="AB31" s="178">
        <v>0.9</v>
      </c>
      <c r="AC31" s="179">
        <v>0.9</v>
      </c>
      <c r="AD31" s="42"/>
      <c r="AE31" s="41"/>
      <c r="AF31" s="41"/>
      <c r="AG31" s="41"/>
      <c r="AH31" s="41"/>
      <c r="AI31" s="41"/>
      <c r="AJ31" s="41"/>
      <c r="AK31" s="41"/>
      <c r="AM31" s="52"/>
    </row>
    <row r="32" spans="1:39" ht="36" customHeight="1" x14ac:dyDescent="0.3">
      <c r="A32" s="747"/>
      <c r="B32" s="758"/>
      <c r="C32" s="764"/>
      <c r="D32" s="880"/>
      <c r="E32" s="883" t="s">
        <v>676</v>
      </c>
      <c r="F32" s="263">
        <v>0.9</v>
      </c>
      <c r="G32" s="263">
        <v>0.9</v>
      </c>
      <c r="H32" s="263">
        <v>0.9</v>
      </c>
      <c r="I32" s="263">
        <v>0.9</v>
      </c>
      <c r="J32" s="263">
        <v>0.9</v>
      </c>
      <c r="K32" s="263">
        <v>0.9</v>
      </c>
      <c r="L32" s="263">
        <v>0.9</v>
      </c>
      <c r="M32" s="263">
        <v>0.9</v>
      </c>
      <c r="N32" s="263">
        <v>0.9</v>
      </c>
      <c r="O32" s="263">
        <v>0.9</v>
      </c>
      <c r="P32" s="263">
        <v>0.9</v>
      </c>
      <c r="Q32" s="263">
        <v>0.9</v>
      </c>
      <c r="R32" s="263">
        <v>0.9</v>
      </c>
      <c r="S32" s="263">
        <v>0.9</v>
      </c>
      <c r="T32" s="263">
        <v>0.9</v>
      </c>
      <c r="U32" s="263">
        <v>0.9</v>
      </c>
      <c r="V32" s="263">
        <v>0.9</v>
      </c>
      <c r="W32" s="263">
        <v>0.9</v>
      </c>
      <c r="X32" s="263">
        <v>0.9</v>
      </c>
      <c r="Y32" s="263">
        <v>0.9</v>
      </c>
      <c r="Z32" s="263">
        <v>0.9</v>
      </c>
      <c r="AA32" s="263">
        <v>0.9</v>
      </c>
      <c r="AB32" s="263">
        <v>0.9</v>
      </c>
      <c r="AC32" s="459">
        <v>0.9</v>
      </c>
      <c r="AD32" s="42"/>
      <c r="AE32" s="41"/>
      <c r="AF32" s="41"/>
      <c r="AG32" s="41"/>
      <c r="AH32" s="41"/>
      <c r="AI32" s="41"/>
      <c r="AJ32" s="41"/>
      <c r="AK32" s="41"/>
      <c r="AM32" s="52"/>
    </row>
    <row r="33" spans="1:39" ht="36" customHeight="1" thickBot="1" x14ac:dyDescent="0.35">
      <c r="A33" s="751"/>
      <c r="B33" s="759"/>
      <c r="C33" s="765"/>
      <c r="D33" s="881"/>
      <c r="E33" s="884" t="s">
        <v>677</v>
      </c>
      <c r="F33" s="461">
        <v>0.9</v>
      </c>
      <c r="G33" s="461">
        <v>0.9</v>
      </c>
      <c r="H33" s="461">
        <v>0.9</v>
      </c>
      <c r="I33" s="461">
        <v>0.9</v>
      </c>
      <c r="J33" s="461">
        <v>0.9</v>
      </c>
      <c r="K33" s="461">
        <v>0.9</v>
      </c>
      <c r="L33" s="461">
        <v>0.9</v>
      </c>
      <c r="M33" s="461">
        <v>0.9</v>
      </c>
      <c r="N33" s="461">
        <v>0.9</v>
      </c>
      <c r="O33" s="461">
        <v>0.9</v>
      </c>
      <c r="P33" s="461">
        <v>0.9</v>
      </c>
      <c r="Q33" s="461">
        <v>0.9</v>
      </c>
      <c r="R33" s="461">
        <v>0.9</v>
      </c>
      <c r="S33" s="461">
        <v>0.9</v>
      </c>
      <c r="T33" s="461">
        <v>0.9</v>
      </c>
      <c r="U33" s="461">
        <v>0.9</v>
      </c>
      <c r="V33" s="461">
        <v>0.9</v>
      </c>
      <c r="W33" s="461">
        <v>0.9</v>
      </c>
      <c r="X33" s="461">
        <v>0.9</v>
      </c>
      <c r="Y33" s="461">
        <v>0.9</v>
      </c>
      <c r="Z33" s="461">
        <v>0.9</v>
      </c>
      <c r="AA33" s="461">
        <v>0.9</v>
      </c>
      <c r="AB33" s="461">
        <v>0.9</v>
      </c>
      <c r="AC33" s="462">
        <v>0.9</v>
      </c>
      <c r="AD33" s="42"/>
      <c r="AE33" s="41"/>
      <c r="AF33" s="41"/>
      <c r="AG33" s="41"/>
      <c r="AH33" s="41"/>
      <c r="AI33" s="41"/>
      <c r="AJ33" s="41"/>
      <c r="AK33" s="41"/>
      <c r="AM33" s="52"/>
    </row>
    <row r="34" spans="1:39" ht="36" customHeight="1" x14ac:dyDescent="0.3">
      <c r="A34" s="746" t="s">
        <v>669</v>
      </c>
      <c r="B34" s="757" t="s">
        <v>670</v>
      </c>
      <c r="C34" s="763" t="s">
        <v>684</v>
      </c>
      <c r="D34" s="879" t="s">
        <v>672</v>
      </c>
      <c r="E34" s="887" t="s">
        <v>673</v>
      </c>
      <c r="F34" s="548">
        <v>0</v>
      </c>
      <c r="G34" s="548">
        <v>0</v>
      </c>
      <c r="H34" s="548">
        <v>0</v>
      </c>
      <c r="I34" s="548">
        <v>0</v>
      </c>
      <c r="J34" s="548">
        <v>0</v>
      </c>
      <c r="K34" s="548">
        <v>0</v>
      </c>
      <c r="L34" s="548">
        <v>0</v>
      </c>
      <c r="M34" s="548">
        <v>0</v>
      </c>
      <c r="N34" s="548">
        <v>0</v>
      </c>
      <c r="O34" s="548">
        <v>0</v>
      </c>
      <c r="P34" s="548">
        <v>0</v>
      </c>
      <c r="Q34" s="548">
        <v>0</v>
      </c>
      <c r="R34" s="548">
        <v>0</v>
      </c>
      <c r="S34" s="548">
        <v>0</v>
      </c>
      <c r="T34" s="548">
        <v>0</v>
      </c>
      <c r="U34" s="548">
        <v>0</v>
      </c>
      <c r="V34" s="548">
        <v>0</v>
      </c>
      <c r="W34" s="548">
        <v>0</v>
      </c>
      <c r="X34" s="548">
        <v>0</v>
      </c>
      <c r="Y34" s="548">
        <v>0</v>
      </c>
      <c r="Z34" s="548">
        <v>0</v>
      </c>
      <c r="AA34" s="548">
        <v>0</v>
      </c>
      <c r="AB34" s="548">
        <v>0</v>
      </c>
      <c r="AC34" s="886">
        <v>0</v>
      </c>
      <c r="AD34" s="42"/>
      <c r="AE34" s="41"/>
      <c r="AF34" s="41"/>
      <c r="AG34" s="41"/>
      <c r="AH34" s="41"/>
      <c r="AI34" s="41"/>
      <c r="AJ34" s="41"/>
      <c r="AK34" s="41"/>
      <c r="AM34" s="52"/>
    </row>
    <row r="35" spans="1:39" ht="36" customHeight="1" x14ac:dyDescent="0.3">
      <c r="A35" s="747"/>
      <c r="B35" s="758"/>
      <c r="C35" s="764"/>
      <c r="D35" s="880"/>
      <c r="E35" s="883" t="s">
        <v>674</v>
      </c>
      <c r="F35" s="263">
        <v>0</v>
      </c>
      <c r="G35" s="263">
        <v>0</v>
      </c>
      <c r="H35" s="263">
        <v>0</v>
      </c>
      <c r="I35" s="263">
        <v>0</v>
      </c>
      <c r="J35" s="263">
        <v>0</v>
      </c>
      <c r="K35" s="263">
        <v>0</v>
      </c>
      <c r="L35" s="263">
        <v>0</v>
      </c>
      <c r="M35" s="263">
        <v>1</v>
      </c>
      <c r="N35" s="263">
        <v>1</v>
      </c>
      <c r="O35" s="263">
        <v>1</v>
      </c>
      <c r="P35" s="263">
        <v>1</v>
      </c>
      <c r="Q35" s="263">
        <v>1</v>
      </c>
      <c r="R35" s="263">
        <v>1</v>
      </c>
      <c r="S35" s="263">
        <v>1</v>
      </c>
      <c r="T35" s="263">
        <v>1</v>
      </c>
      <c r="U35" s="263">
        <v>1</v>
      </c>
      <c r="V35" s="263">
        <v>0</v>
      </c>
      <c r="W35" s="263">
        <v>0</v>
      </c>
      <c r="X35" s="263">
        <v>0</v>
      </c>
      <c r="Y35" s="263">
        <v>0</v>
      </c>
      <c r="Z35" s="263">
        <v>0</v>
      </c>
      <c r="AA35" s="263">
        <v>0</v>
      </c>
      <c r="AB35" s="263">
        <v>0</v>
      </c>
      <c r="AC35" s="459">
        <v>0</v>
      </c>
      <c r="AD35" s="42"/>
      <c r="AE35" s="41"/>
      <c r="AF35" s="41"/>
      <c r="AG35" s="41"/>
      <c r="AH35" s="41"/>
      <c r="AI35" s="41"/>
      <c r="AJ35" s="41"/>
      <c r="AK35" s="41"/>
      <c r="AM35" s="52"/>
    </row>
    <row r="36" spans="1:39" ht="36" customHeight="1" x14ac:dyDescent="0.3">
      <c r="A36" s="747"/>
      <c r="B36" s="758"/>
      <c r="C36" s="764"/>
      <c r="D36" s="880"/>
      <c r="E36" s="883" t="s">
        <v>675</v>
      </c>
      <c r="F36" s="263">
        <v>0</v>
      </c>
      <c r="G36" s="263">
        <v>0</v>
      </c>
      <c r="H36" s="263">
        <v>0</v>
      </c>
      <c r="I36" s="263">
        <v>0</v>
      </c>
      <c r="J36" s="263">
        <v>0</v>
      </c>
      <c r="K36" s="263">
        <v>0</v>
      </c>
      <c r="L36" s="263">
        <v>0</v>
      </c>
      <c r="M36" s="263">
        <v>1</v>
      </c>
      <c r="N36" s="263">
        <v>1</v>
      </c>
      <c r="O36" s="263">
        <v>1</v>
      </c>
      <c r="P36" s="263">
        <v>1</v>
      </c>
      <c r="Q36" s="263">
        <v>1</v>
      </c>
      <c r="R36" s="263">
        <v>1</v>
      </c>
      <c r="S36" s="263">
        <v>1</v>
      </c>
      <c r="T36" s="263">
        <v>1</v>
      </c>
      <c r="U36" s="263">
        <v>0</v>
      </c>
      <c r="V36" s="263">
        <v>0</v>
      </c>
      <c r="W36" s="263">
        <v>0</v>
      </c>
      <c r="X36" s="263">
        <v>0</v>
      </c>
      <c r="Y36" s="263">
        <v>0</v>
      </c>
      <c r="Z36" s="263">
        <v>0</v>
      </c>
      <c r="AA36" s="263">
        <v>0</v>
      </c>
      <c r="AB36" s="263">
        <v>0</v>
      </c>
      <c r="AC36" s="459">
        <v>0</v>
      </c>
      <c r="AD36" s="42"/>
      <c r="AE36" s="41"/>
      <c r="AF36" s="41"/>
      <c r="AG36" s="41"/>
      <c r="AH36" s="41"/>
      <c r="AI36" s="41"/>
      <c r="AJ36" s="41"/>
      <c r="AK36" s="41"/>
      <c r="AM36" s="52"/>
    </row>
    <row r="37" spans="1:39" ht="36" customHeight="1" x14ac:dyDescent="0.3">
      <c r="A37" s="747"/>
      <c r="B37" s="758"/>
      <c r="C37" s="764"/>
      <c r="D37" s="880"/>
      <c r="E37" s="883" t="s">
        <v>676</v>
      </c>
      <c r="F37" s="263">
        <v>0</v>
      </c>
      <c r="G37" s="263">
        <v>0</v>
      </c>
      <c r="H37" s="263">
        <v>0</v>
      </c>
      <c r="I37" s="263">
        <v>0</v>
      </c>
      <c r="J37" s="263">
        <v>0</v>
      </c>
      <c r="K37" s="263">
        <v>0</v>
      </c>
      <c r="L37" s="263">
        <v>0</v>
      </c>
      <c r="M37" s="263">
        <v>1</v>
      </c>
      <c r="N37" s="263">
        <v>1</v>
      </c>
      <c r="O37" s="263">
        <v>1</v>
      </c>
      <c r="P37" s="263">
        <v>1</v>
      </c>
      <c r="Q37" s="263">
        <v>1</v>
      </c>
      <c r="R37" s="263">
        <v>1</v>
      </c>
      <c r="S37" s="263">
        <v>0</v>
      </c>
      <c r="T37" s="263">
        <v>0</v>
      </c>
      <c r="U37" s="263">
        <v>0</v>
      </c>
      <c r="V37" s="263">
        <v>0</v>
      </c>
      <c r="W37" s="263">
        <v>1</v>
      </c>
      <c r="X37" s="263">
        <v>1</v>
      </c>
      <c r="Y37" s="263">
        <v>1</v>
      </c>
      <c r="Z37" s="263">
        <v>0</v>
      </c>
      <c r="AA37" s="263">
        <v>0</v>
      </c>
      <c r="AB37" s="263">
        <v>0</v>
      </c>
      <c r="AC37" s="459">
        <v>0</v>
      </c>
      <c r="AD37" s="42"/>
      <c r="AE37" s="41"/>
      <c r="AF37" s="41"/>
      <c r="AG37" s="41"/>
      <c r="AH37" s="41"/>
      <c r="AI37" s="41"/>
      <c r="AJ37" s="41"/>
      <c r="AK37" s="41"/>
      <c r="AM37" s="52"/>
    </row>
    <row r="38" spans="1:39" ht="36" customHeight="1" thickBot="1" x14ac:dyDescent="0.35">
      <c r="A38" s="751"/>
      <c r="B38" s="759"/>
      <c r="C38" s="765"/>
      <c r="D38" s="881"/>
      <c r="E38" s="885" t="s">
        <v>677</v>
      </c>
      <c r="F38" s="476">
        <v>0</v>
      </c>
      <c r="G38" s="476">
        <v>0</v>
      </c>
      <c r="H38" s="476">
        <v>0</v>
      </c>
      <c r="I38" s="476">
        <v>0</v>
      </c>
      <c r="J38" s="476">
        <v>0</v>
      </c>
      <c r="K38" s="476">
        <v>0</v>
      </c>
      <c r="L38" s="476">
        <v>0</v>
      </c>
      <c r="M38" s="476">
        <v>1</v>
      </c>
      <c r="N38" s="476">
        <v>1</v>
      </c>
      <c r="O38" s="476">
        <v>1</v>
      </c>
      <c r="P38" s="476">
        <v>1</v>
      </c>
      <c r="Q38" s="476">
        <v>1</v>
      </c>
      <c r="R38" s="476">
        <v>1</v>
      </c>
      <c r="S38" s="476">
        <v>0</v>
      </c>
      <c r="T38" s="476">
        <v>0</v>
      </c>
      <c r="U38" s="476">
        <v>0</v>
      </c>
      <c r="V38" s="476">
        <v>0</v>
      </c>
      <c r="W38" s="476">
        <v>0</v>
      </c>
      <c r="X38" s="476">
        <v>0</v>
      </c>
      <c r="Y38" s="476">
        <v>0</v>
      </c>
      <c r="Z38" s="476">
        <v>0</v>
      </c>
      <c r="AA38" s="476">
        <v>0</v>
      </c>
      <c r="AB38" s="476">
        <v>0</v>
      </c>
      <c r="AC38" s="477">
        <v>0</v>
      </c>
      <c r="AD38" s="42"/>
      <c r="AE38" s="41"/>
      <c r="AF38" s="41"/>
      <c r="AG38" s="41"/>
      <c r="AH38" s="41"/>
      <c r="AI38" s="41"/>
      <c r="AJ38" s="41"/>
      <c r="AK38" s="41"/>
      <c r="AM38" s="52"/>
    </row>
    <row r="39" spans="1:39" s="261" customFormat="1" ht="36" customHeight="1" x14ac:dyDescent="0.3">
      <c r="A39" s="748" t="s">
        <v>669</v>
      </c>
      <c r="B39" s="763" t="s">
        <v>670</v>
      </c>
      <c r="C39" s="763" t="s">
        <v>685</v>
      </c>
      <c r="D39" s="879" t="s">
        <v>672</v>
      </c>
      <c r="E39" s="882" t="s">
        <v>673</v>
      </c>
      <c r="F39" s="417">
        <v>60</v>
      </c>
      <c r="G39" s="417">
        <v>60</v>
      </c>
      <c r="H39" s="417">
        <v>60</v>
      </c>
      <c r="I39" s="417">
        <v>60</v>
      </c>
      <c r="J39" s="417">
        <v>60</v>
      </c>
      <c r="K39" s="417">
        <v>60</v>
      </c>
      <c r="L39" s="417">
        <v>60</v>
      </c>
      <c r="M39" s="417">
        <v>60</v>
      </c>
      <c r="N39" s="417">
        <v>60</v>
      </c>
      <c r="O39" s="417">
        <v>60</v>
      </c>
      <c r="P39" s="417">
        <v>60</v>
      </c>
      <c r="Q39" s="417">
        <v>60</v>
      </c>
      <c r="R39" s="417">
        <v>60</v>
      </c>
      <c r="S39" s="417">
        <v>60</v>
      </c>
      <c r="T39" s="417">
        <v>60</v>
      </c>
      <c r="U39" s="417">
        <v>60</v>
      </c>
      <c r="V39" s="417">
        <v>60</v>
      </c>
      <c r="W39" s="417">
        <v>60</v>
      </c>
      <c r="X39" s="417">
        <v>60</v>
      </c>
      <c r="Y39" s="417">
        <v>60</v>
      </c>
      <c r="Z39" s="417">
        <v>60</v>
      </c>
      <c r="AA39" s="417">
        <v>60</v>
      </c>
      <c r="AB39" s="417">
        <v>60</v>
      </c>
      <c r="AC39" s="418">
        <v>60</v>
      </c>
      <c r="AD39" s="259"/>
      <c r="AE39" s="260"/>
      <c r="AF39" s="260"/>
      <c r="AG39" s="260"/>
      <c r="AH39" s="260"/>
      <c r="AI39" s="260"/>
      <c r="AJ39" s="260"/>
      <c r="AK39" s="260"/>
      <c r="AM39" s="262"/>
    </row>
    <row r="40" spans="1:39" s="261" customFormat="1" ht="36" customHeight="1" x14ac:dyDescent="0.3">
      <c r="A40" s="749"/>
      <c r="B40" s="764"/>
      <c r="C40" s="764"/>
      <c r="D40" s="880"/>
      <c r="E40" s="883" t="s">
        <v>674</v>
      </c>
      <c r="F40" s="419">
        <v>60</v>
      </c>
      <c r="G40" s="419">
        <v>60</v>
      </c>
      <c r="H40" s="419">
        <v>60</v>
      </c>
      <c r="I40" s="419">
        <v>60</v>
      </c>
      <c r="J40" s="419">
        <v>60</v>
      </c>
      <c r="K40" s="419">
        <v>60</v>
      </c>
      <c r="L40" s="419">
        <v>60</v>
      </c>
      <c r="M40" s="419">
        <v>70</v>
      </c>
      <c r="N40" s="419">
        <v>70</v>
      </c>
      <c r="O40" s="419">
        <v>70</v>
      </c>
      <c r="P40" s="419">
        <v>70</v>
      </c>
      <c r="Q40" s="419">
        <v>70</v>
      </c>
      <c r="R40" s="419">
        <v>70</v>
      </c>
      <c r="S40" s="419">
        <v>70</v>
      </c>
      <c r="T40" s="419">
        <v>70</v>
      </c>
      <c r="U40" s="419">
        <v>70</v>
      </c>
      <c r="V40" s="419">
        <v>60</v>
      </c>
      <c r="W40" s="419">
        <v>60</v>
      </c>
      <c r="X40" s="419">
        <v>60</v>
      </c>
      <c r="Y40" s="419">
        <v>60</v>
      </c>
      <c r="Z40" s="419">
        <v>60</v>
      </c>
      <c r="AA40" s="419">
        <v>60</v>
      </c>
      <c r="AB40" s="419">
        <v>60</v>
      </c>
      <c r="AC40" s="420">
        <v>60</v>
      </c>
      <c r="AD40" s="259"/>
      <c r="AE40" s="260"/>
      <c r="AF40" s="260"/>
      <c r="AG40" s="260"/>
      <c r="AH40" s="260"/>
      <c r="AI40" s="260"/>
      <c r="AJ40" s="260"/>
      <c r="AK40" s="260"/>
      <c r="AM40" s="262"/>
    </row>
    <row r="41" spans="1:39" s="261" customFormat="1" ht="36" customHeight="1" x14ac:dyDescent="0.3">
      <c r="A41" s="749"/>
      <c r="B41" s="764"/>
      <c r="C41" s="764"/>
      <c r="D41" s="880"/>
      <c r="E41" s="883" t="s">
        <v>675</v>
      </c>
      <c r="F41" s="419">
        <v>60</v>
      </c>
      <c r="G41" s="419">
        <v>60</v>
      </c>
      <c r="H41" s="419">
        <v>60</v>
      </c>
      <c r="I41" s="419">
        <v>60</v>
      </c>
      <c r="J41" s="419">
        <v>60</v>
      </c>
      <c r="K41" s="419">
        <v>60</v>
      </c>
      <c r="L41" s="419">
        <v>60</v>
      </c>
      <c r="M41" s="419">
        <v>70</v>
      </c>
      <c r="N41" s="419">
        <v>70</v>
      </c>
      <c r="O41" s="419">
        <v>70</v>
      </c>
      <c r="P41" s="419">
        <v>70</v>
      </c>
      <c r="Q41" s="419">
        <v>70</v>
      </c>
      <c r="R41" s="419">
        <v>70</v>
      </c>
      <c r="S41" s="419">
        <v>70</v>
      </c>
      <c r="T41" s="419">
        <v>70</v>
      </c>
      <c r="U41" s="419">
        <v>60</v>
      </c>
      <c r="V41" s="419">
        <v>60</v>
      </c>
      <c r="W41" s="419">
        <v>60</v>
      </c>
      <c r="X41" s="419">
        <v>60</v>
      </c>
      <c r="Y41" s="419">
        <v>60</v>
      </c>
      <c r="Z41" s="419">
        <v>60</v>
      </c>
      <c r="AA41" s="419">
        <v>60</v>
      </c>
      <c r="AB41" s="419">
        <v>60</v>
      </c>
      <c r="AC41" s="420">
        <v>60</v>
      </c>
      <c r="AD41" s="259"/>
      <c r="AE41" s="260"/>
      <c r="AF41" s="260"/>
      <c r="AG41" s="260"/>
      <c r="AH41" s="260"/>
      <c r="AI41" s="260"/>
      <c r="AJ41" s="260"/>
      <c r="AK41" s="260"/>
      <c r="AM41" s="262"/>
    </row>
    <row r="42" spans="1:39" s="261" customFormat="1" ht="36" customHeight="1" x14ac:dyDescent="0.3">
      <c r="A42" s="749"/>
      <c r="B42" s="764"/>
      <c r="C42" s="764"/>
      <c r="D42" s="880"/>
      <c r="E42" s="883" t="s">
        <v>676</v>
      </c>
      <c r="F42" s="419">
        <v>60</v>
      </c>
      <c r="G42" s="419">
        <v>60</v>
      </c>
      <c r="H42" s="419">
        <v>60</v>
      </c>
      <c r="I42" s="419">
        <v>60</v>
      </c>
      <c r="J42" s="419">
        <v>60</v>
      </c>
      <c r="K42" s="419">
        <v>60</v>
      </c>
      <c r="L42" s="419">
        <v>60</v>
      </c>
      <c r="M42" s="419">
        <v>70</v>
      </c>
      <c r="N42" s="419">
        <v>70</v>
      </c>
      <c r="O42" s="419">
        <v>70</v>
      </c>
      <c r="P42" s="419">
        <v>70</v>
      </c>
      <c r="Q42" s="419">
        <v>70</v>
      </c>
      <c r="R42" s="419">
        <v>70</v>
      </c>
      <c r="S42" s="419">
        <v>60</v>
      </c>
      <c r="T42" s="419">
        <v>60</v>
      </c>
      <c r="U42" s="419">
        <v>60</v>
      </c>
      <c r="V42" s="419">
        <v>60</v>
      </c>
      <c r="W42" s="419">
        <v>70</v>
      </c>
      <c r="X42" s="419">
        <v>70</v>
      </c>
      <c r="Y42" s="419">
        <v>70</v>
      </c>
      <c r="Z42" s="419">
        <v>60</v>
      </c>
      <c r="AA42" s="419">
        <v>60</v>
      </c>
      <c r="AB42" s="419">
        <v>60</v>
      </c>
      <c r="AC42" s="420">
        <v>60</v>
      </c>
      <c r="AD42" s="259"/>
      <c r="AE42" s="260"/>
      <c r="AF42" s="260"/>
      <c r="AG42" s="260"/>
      <c r="AH42" s="260"/>
      <c r="AI42" s="260"/>
      <c r="AJ42" s="260"/>
      <c r="AK42" s="260"/>
      <c r="AM42" s="262"/>
    </row>
    <row r="43" spans="1:39" s="261" customFormat="1" ht="36" customHeight="1" thickBot="1" x14ac:dyDescent="0.35">
      <c r="A43" s="750"/>
      <c r="B43" s="765"/>
      <c r="C43" s="765"/>
      <c r="D43" s="881"/>
      <c r="E43" s="884" t="s">
        <v>677</v>
      </c>
      <c r="F43" s="421">
        <v>60</v>
      </c>
      <c r="G43" s="421">
        <v>60</v>
      </c>
      <c r="H43" s="421">
        <v>60</v>
      </c>
      <c r="I43" s="421">
        <v>60</v>
      </c>
      <c r="J43" s="421">
        <v>60</v>
      </c>
      <c r="K43" s="421">
        <v>60</v>
      </c>
      <c r="L43" s="421">
        <v>60</v>
      </c>
      <c r="M43" s="421">
        <v>70</v>
      </c>
      <c r="N43" s="421">
        <v>70</v>
      </c>
      <c r="O43" s="421">
        <v>70</v>
      </c>
      <c r="P43" s="421">
        <v>70</v>
      </c>
      <c r="Q43" s="421">
        <v>70</v>
      </c>
      <c r="R43" s="421">
        <v>70</v>
      </c>
      <c r="S43" s="421">
        <v>60</v>
      </c>
      <c r="T43" s="421">
        <v>60</v>
      </c>
      <c r="U43" s="421">
        <v>60</v>
      </c>
      <c r="V43" s="421">
        <v>60</v>
      </c>
      <c r="W43" s="421">
        <v>60</v>
      </c>
      <c r="X43" s="421">
        <v>60</v>
      </c>
      <c r="Y43" s="421">
        <v>60</v>
      </c>
      <c r="Z43" s="421">
        <v>60</v>
      </c>
      <c r="AA43" s="421">
        <v>60</v>
      </c>
      <c r="AB43" s="421">
        <v>60</v>
      </c>
      <c r="AC43" s="422">
        <v>60</v>
      </c>
      <c r="AD43" s="259"/>
      <c r="AE43" s="260"/>
      <c r="AF43" s="260"/>
      <c r="AG43" s="260"/>
      <c r="AH43" s="260"/>
      <c r="AI43" s="260"/>
      <c r="AJ43" s="260"/>
      <c r="AK43" s="260"/>
      <c r="AM43" s="262"/>
    </row>
    <row r="44" spans="1:39" ht="36" customHeight="1" x14ac:dyDescent="0.3">
      <c r="A44" s="746" t="s">
        <v>669</v>
      </c>
      <c r="B44" s="757" t="s">
        <v>670</v>
      </c>
      <c r="C44" s="763" t="s">
        <v>686</v>
      </c>
      <c r="D44" s="879" t="s">
        <v>672</v>
      </c>
      <c r="E44" s="887" t="s">
        <v>673</v>
      </c>
      <c r="F44" s="541">
        <v>85</v>
      </c>
      <c r="G44" s="541">
        <v>85</v>
      </c>
      <c r="H44" s="541">
        <v>85</v>
      </c>
      <c r="I44" s="541">
        <v>85</v>
      </c>
      <c r="J44" s="541">
        <v>85</v>
      </c>
      <c r="K44" s="541">
        <v>85</v>
      </c>
      <c r="L44" s="541">
        <v>85</v>
      </c>
      <c r="M44" s="541">
        <v>85</v>
      </c>
      <c r="N44" s="541">
        <v>85</v>
      </c>
      <c r="O44" s="541">
        <v>85</v>
      </c>
      <c r="P44" s="541">
        <v>85</v>
      </c>
      <c r="Q44" s="541">
        <v>85</v>
      </c>
      <c r="R44" s="541">
        <v>85</v>
      </c>
      <c r="S44" s="541">
        <v>85</v>
      </c>
      <c r="T44" s="541">
        <v>85</v>
      </c>
      <c r="U44" s="541">
        <v>85</v>
      </c>
      <c r="V44" s="541">
        <v>85</v>
      </c>
      <c r="W44" s="541">
        <v>85</v>
      </c>
      <c r="X44" s="541">
        <v>85</v>
      </c>
      <c r="Y44" s="541">
        <v>85</v>
      </c>
      <c r="Z44" s="541">
        <v>85</v>
      </c>
      <c r="AA44" s="541">
        <v>85</v>
      </c>
      <c r="AB44" s="541">
        <v>85</v>
      </c>
      <c r="AC44" s="888">
        <v>85</v>
      </c>
      <c r="AD44" s="42"/>
      <c r="AE44" s="41"/>
      <c r="AF44" s="41"/>
      <c r="AG44" s="41"/>
      <c r="AH44" s="41"/>
      <c r="AI44" s="41"/>
      <c r="AJ44" s="41"/>
      <c r="AK44" s="41"/>
      <c r="AM44" s="52"/>
    </row>
    <row r="45" spans="1:39" ht="36" customHeight="1" x14ac:dyDescent="0.3">
      <c r="A45" s="747"/>
      <c r="B45" s="758"/>
      <c r="C45" s="764"/>
      <c r="D45" s="880"/>
      <c r="E45" s="883" t="s">
        <v>674</v>
      </c>
      <c r="F45" s="419">
        <v>85</v>
      </c>
      <c r="G45" s="419">
        <v>85</v>
      </c>
      <c r="H45" s="419">
        <v>85</v>
      </c>
      <c r="I45" s="419">
        <v>85</v>
      </c>
      <c r="J45" s="419">
        <v>85</v>
      </c>
      <c r="K45" s="419">
        <v>85</v>
      </c>
      <c r="L45" s="419">
        <v>85</v>
      </c>
      <c r="M45" s="419">
        <v>75</v>
      </c>
      <c r="N45" s="419">
        <v>75</v>
      </c>
      <c r="O45" s="419">
        <v>75</v>
      </c>
      <c r="P45" s="419">
        <v>75</v>
      </c>
      <c r="Q45" s="419">
        <v>75</v>
      </c>
      <c r="R45" s="419">
        <v>75</v>
      </c>
      <c r="S45" s="419">
        <v>75</v>
      </c>
      <c r="T45" s="419">
        <v>75</v>
      </c>
      <c r="U45" s="419">
        <v>75</v>
      </c>
      <c r="V45" s="419">
        <v>85</v>
      </c>
      <c r="W45" s="419">
        <v>85</v>
      </c>
      <c r="X45" s="419">
        <v>85</v>
      </c>
      <c r="Y45" s="419">
        <v>85</v>
      </c>
      <c r="Z45" s="419">
        <v>85</v>
      </c>
      <c r="AA45" s="419">
        <v>85</v>
      </c>
      <c r="AB45" s="419">
        <v>85</v>
      </c>
      <c r="AC45" s="420">
        <v>85</v>
      </c>
      <c r="AD45" s="42"/>
      <c r="AE45" s="41"/>
      <c r="AF45" s="41"/>
      <c r="AG45" s="41"/>
      <c r="AH45" s="41"/>
      <c r="AI45" s="41"/>
      <c r="AJ45" s="41"/>
      <c r="AK45" s="41"/>
      <c r="AM45" s="52"/>
    </row>
    <row r="46" spans="1:39" ht="36" customHeight="1" x14ac:dyDescent="0.3">
      <c r="A46" s="747"/>
      <c r="B46" s="758"/>
      <c r="C46" s="764"/>
      <c r="D46" s="880"/>
      <c r="E46" s="883" t="s">
        <v>675</v>
      </c>
      <c r="F46" s="419">
        <v>85</v>
      </c>
      <c r="G46" s="419">
        <v>85</v>
      </c>
      <c r="H46" s="419">
        <v>85</v>
      </c>
      <c r="I46" s="419">
        <v>85</v>
      </c>
      <c r="J46" s="419">
        <v>85</v>
      </c>
      <c r="K46" s="419">
        <v>85</v>
      </c>
      <c r="L46" s="419">
        <v>85</v>
      </c>
      <c r="M46" s="419">
        <v>75</v>
      </c>
      <c r="N46" s="419">
        <v>75</v>
      </c>
      <c r="O46" s="419">
        <v>75</v>
      </c>
      <c r="P46" s="419">
        <v>75</v>
      </c>
      <c r="Q46" s="419">
        <v>75</v>
      </c>
      <c r="R46" s="419">
        <v>75</v>
      </c>
      <c r="S46" s="419">
        <v>75</v>
      </c>
      <c r="T46" s="419">
        <v>75</v>
      </c>
      <c r="U46" s="419">
        <v>85</v>
      </c>
      <c r="V46" s="419">
        <v>85</v>
      </c>
      <c r="W46" s="419">
        <v>85</v>
      </c>
      <c r="X46" s="419">
        <v>85</v>
      </c>
      <c r="Y46" s="419">
        <v>85</v>
      </c>
      <c r="Z46" s="419">
        <v>85</v>
      </c>
      <c r="AA46" s="419">
        <v>85</v>
      </c>
      <c r="AB46" s="419">
        <v>85</v>
      </c>
      <c r="AC46" s="420">
        <v>85</v>
      </c>
      <c r="AD46" s="42"/>
      <c r="AE46" s="41"/>
      <c r="AF46" s="41"/>
      <c r="AG46" s="41"/>
      <c r="AH46" s="41"/>
      <c r="AI46" s="41"/>
      <c r="AJ46" s="41"/>
      <c r="AK46" s="41"/>
      <c r="AM46" s="52"/>
    </row>
    <row r="47" spans="1:39" ht="36" customHeight="1" x14ac:dyDescent="0.3">
      <c r="A47" s="747"/>
      <c r="B47" s="758"/>
      <c r="C47" s="764"/>
      <c r="D47" s="880"/>
      <c r="E47" s="883" t="s">
        <v>676</v>
      </c>
      <c r="F47" s="419">
        <v>85</v>
      </c>
      <c r="G47" s="419">
        <v>85</v>
      </c>
      <c r="H47" s="419">
        <v>85</v>
      </c>
      <c r="I47" s="419">
        <v>85</v>
      </c>
      <c r="J47" s="419">
        <v>85</v>
      </c>
      <c r="K47" s="419">
        <v>85</v>
      </c>
      <c r="L47" s="419">
        <v>85</v>
      </c>
      <c r="M47" s="419">
        <v>75</v>
      </c>
      <c r="N47" s="419">
        <v>75</v>
      </c>
      <c r="O47" s="419">
        <v>75</v>
      </c>
      <c r="P47" s="419">
        <v>75</v>
      </c>
      <c r="Q47" s="419">
        <v>75</v>
      </c>
      <c r="R47" s="419">
        <v>75</v>
      </c>
      <c r="S47" s="419">
        <v>85</v>
      </c>
      <c r="T47" s="419">
        <v>85</v>
      </c>
      <c r="U47" s="419">
        <v>85</v>
      </c>
      <c r="V47" s="419">
        <v>85</v>
      </c>
      <c r="W47" s="419">
        <v>75</v>
      </c>
      <c r="X47" s="419">
        <v>75</v>
      </c>
      <c r="Y47" s="419">
        <v>75</v>
      </c>
      <c r="Z47" s="419">
        <v>85</v>
      </c>
      <c r="AA47" s="419">
        <v>85</v>
      </c>
      <c r="AB47" s="419">
        <v>85</v>
      </c>
      <c r="AC47" s="420">
        <v>85</v>
      </c>
      <c r="AD47" s="42"/>
      <c r="AE47" s="41"/>
      <c r="AF47" s="41"/>
      <c r="AG47" s="41"/>
      <c r="AH47" s="41"/>
      <c r="AI47" s="41"/>
      <c r="AJ47" s="41"/>
      <c r="AK47" s="41"/>
      <c r="AM47" s="52"/>
    </row>
    <row r="48" spans="1:39" ht="36" customHeight="1" thickBot="1" x14ac:dyDescent="0.35">
      <c r="A48" s="747"/>
      <c r="B48" s="758"/>
      <c r="C48" s="764"/>
      <c r="D48" s="880"/>
      <c r="E48" s="884" t="s">
        <v>677</v>
      </c>
      <c r="F48" s="421">
        <v>85</v>
      </c>
      <c r="G48" s="421">
        <v>85</v>
      </c>
      <c r="H48" s="421">
        <v>85</v>
      </c>
      <c r="I48" s="421">
        <v>85</v>
      </c>
      <c r="J48" s="421">
        <v>85</v>
      </c>
      <c r="K48" s="421">
        <v>85</v>
      </c>
      <c r="L48" s="421">
        <v>85</v>
      </c>
      <c r="M48" s="421">
        <v>75</v>
      </c>
      <c r="N48" s="421">
        <v>75</v>
      </c>
      <c r="O48" s="421">
        <v>75</v>
      </c>
      <c r="P48" s="421">
        <v>75</v>
      </c>
      <c r="Q48" s="421">
        <v>75</v>
      </c>
      <c r="R48" s="421">
        <v>75</v>
      </c>
      <c r="S48" s="421">
        <v>85</v>
      </c>
      <c r="T48" s="421">
        <v>85</v>
      </c>
      <c r="U48" s="421">
        <v>85</v>
      </c>
      <c r="V48" s="421">
        <v>85</v>
      </c>
      <c r="W48" s="421">
        <v>85</v>
      </c>
      <c r="X48" s="421">
        <v>85</v>
      </c>
      <c r="Y48" s="421">
        <v>85</v>
      </c>
      <c r="Z48" s="421">
        <v>85</v>
      </c>
      <c r="AA48" s="421">
        <v>85</v>
      </c>
      <c r="AB48" s="421">
        <v>85</v>
      </c>
      <c r="AC48" s="422">
        <v>85</v>
      </c>
      <c r="AD48" s="42"/>
      <c r="AE48" s="41"/>
      <c r="AF48" s="41"/>
      <c r="AG48" s="41"/>
      <c r="AH48" s="41"/>
      <c r="AI48" s="41"/>
      <c r="AJ48" s="41"/>
      <c r="AK48" s="41"/>
      <c r="AM48" s="52"/>
    </row>
    <row r="49" spans="1:39" ht="36" customHeight="1" x14ac:dyDescent="0.3">
      <c r="A49" s="743" t="s">
        <v>669</v>
      </c>
      <c r="B49" s="860" t="s">
        <v>670</v>
      </c>
      <c r="C49" s="850" t="s">
        <v>284</v>
      </c>
      <c r="D49" s="775" t="s">
        <v>672</v>
      </c>
      <c r="E49" s="887" t="s">
        <v>673</v>
      </c>
      <c r="F49" s="548">
        <v>1</v>
      </c>
      <c r="G49" s="548">
        <v>1</v>
      </c>
      <c r="H49" s="548">
        <v>1</v>
      </c>
      <c r="I49" s="548">
        <v>1</v>
      </c>
      <c r="J49" s="548">
        <v>1</v>
      </c>
      <c r="K49" s="548">
        <v>1</v>
      </c>
      <c r="L49" s="548">
        <v>1</v>
      </c>
      <c r="M49" s="548">
        <v>1</v>
      </c>
      <c r="N49" s="548">
        <v>1</v>
      </c>
      <c r="O49" s="548">
        <v>1</v>
      </c>
      <c r="P49" s="548">
        <v>1</v>
      </c>
      <c r="Q49" s="548">
        <v>1</v>
      </c>
      <c r="R49" s="548">
        <v>1</v>
      </c>
      <c r="S49" s="548">
        <v>1</v>
      </c>
      <c r="T49" s="548">
        <v>1</v>
      </c>
      <c r="U49" s="548">
        <v>1</v>
      </c>
      <c r="V49" s="548">
        <v>1</v>
      </c>
      <c r="W49" s="548">
        <v>1</v>
      </c>
      <c r="X49" s="548">
        <v>1</v>
      </c>
      <c r="Y49" s="548">
        <v>1</v>
      </c>
      <c r="Z49" s="548">
        <v>1</v>
      </c>
      <c r="AA49" s="548">
        <v>1</v>
      </c>
      <c r="AB49" s="548">
        <v>1</v>
      </c>
      <c r="AC49" s="886">
        <v>1</v>
      </c>
      <c r="AD49" s="42"/>
      <c r="AE49" s="41"/>
      <c r="AF49" s="41"/>
      <c r="AG49" s="41"/>
      <c r="AH49" s="41"/>
      <c r="AI49" s="41"/>
      <c r="AJ49" s="41"/>
      <c r="AK49" s="41"/>
      <c r="AM49" s="52"/>
    </row>
    <row r="50" spans="1:39" ht="36" customHeight="1" x14ac:dyDescent="0.3">
      <c r="A50" s="744"/>
      <c r="B50" s="804"/>
      <c r="C50" s="851"/>
      <c r="D50" s="776"/>
      <c r="E50" s="883" t="s">
        <v>674</v>
      </c>
      <c r="F50" s="473">
        <v>1</v>
      </c>
      <c r="G50" s="473">
        <v>1</v>
      </c>
      <c r="H50" s="473">
        <v>1</v>
      </c>
      <c r="I50" s="473">
        <v>1</v>
      </c>
      <c r="J50" s="473">
        <v>1</v>
      </c>
      <c r="K50" s="473">
        <v>1</v>
      </c>
      <c r="L50" s="473">
        <v>1</v>
      </c>
      <c r="M50" s="473">
        <v>0.25</v>
      </c>
      <c r="N50" s="473">
        <v>0.25</v>
      </c>
      <c r="O50" s="473">
        <v>0.25</v>
      </c>
      <c r="P50" s="473">
        <v>0.25</v>
      </c>
      <c r="Q50" s="473">
        <v>0.25</v>
      </c>
      <c r="R50" s="473">
        <v>0.25</v>
      </c>
      <c r="S50" s="473">
        <v>0.25</v>
      </c>
      <c r="T50" s="473">
        <v>0.25</v>
      </c>
      <c r="U50" s="473">
        <v>0.25</v>
      </c>
      <c r="V50" s="473">
        <v>1</v>
      </c>
      <c r="W50" s="473">
        <v>1</v>
      </c>
      <c r="X50" s="473">
        <v>1</v>
      </c>
      <c r="Y50" s="473">
        <v>1</v>
      </c>
      <c r="Z50" s="473">
        <v>1</v>
      </c>
      <c r="AA50" s="473">
        <v>1</v>
      </c>
      <c r="AB50" s="473">
        <v>1</v>
      </c>
      <c r="AC50" s="546">
        <v>1</v>
      </c>
      <c r="AD50" s="42"/>
      <c r="AE50" s="41"/>
      <c r="AF50" s="41"/>
      <c r="AG50" s="41"/>
      <c r="AH50" s="41"/>
      <c r="AI50" s="41"/>
      <c r="AJ50" s="41"/>
      <c r="AK50" s="41"/>
      <c r="AM50" s="52"/>
    </row>
    <row r="51" spans="1:39" ht="36" customHeight="1" x14ac:dyDescent="0.3">
      <c r="A51" s="744"/>
      <c r="B51" s="804"/>
      <c r="C51" s="851"/>
      <c r="D51" s="776"/>
      <c r="E51" s="883" t="s">
        <v>675</v>
      </c>
      <c r="F51" s="473">
        <v>1</v>
      </c>
      <c r="G51" s="473">
        <v>1</v>
      </c>
      <c r="H51" s="473">
        <v>1</v>
      </c>
      <c r="I51" s="473">
        <v>1</v>
      </c>
      <c r="J51" s="473">
        <v>1</v>
      </c>
      <c r="K51" s="473">
        <v>1</v>
      </c>
      <c r="L51" s="473">
        <v>1</v>
      </c>
      <c r="M51" s="473">
        <v>0.25</v>
      </c>
      <c r="N51" s="473">
        <v>0.25</v>
      </c>
      <c r="O51" s="473">
        <v>0.25</v>
      </c>
      <c r="P51" s="473">
        <v>0.25</v>
      </c>
      <c r="Q51" s="473">
        <v>0.25</v>
      </c>
      <c r="R51" s="473">
        <v>0.25</v>
      </c>
      <c r="S51" s="473">
        <v>0.25</v>
      </c>
      <c r="T51" s="473">
        <v>0.25</v>
      </c>
      <c r="U51" s="473">
        <v>1</v>
      </c>
      <c r="V51" s="473">
        <v>1</v>
      </c>
      <c r="W51" s="473">
        <v>1</v>
      </c>
      <c r="X51" s="473">
        <v>1</v>
      </c>
      <c r="Y51" s="473">
        <v>1</v>
      </c>
      <c r="Z51" s="473">
        <v>1</v>
      </c>
      <c r="AA51" s="473">
        <v>1</v>
      </c>
      <c r="AB51" s="473">
        <v>1</v>
      </c>
      <c r="AC51" s="546">
        <v>1</v>
      </c>
      <c r="AD51" s="42"/>
      <c r="AE51" s="41"/>
      <c r="AF51" s="41"/>
      <c r="AG51" s="41"/>
      <c r="AH51" s="41"/>
      <c r="AI51" s="41"/>
      <c r="AJ51" s="41"/>
      <c r="AK51" s="41"/>
      <c r="AM51" s="52"/>
    </row>
    <row r="52" spans="1:39" ht="36" customHeight="1" x14ac:dyDescent="0.3">
      <c r="A52" s="744"/>
      <c r="B52" s="804"/>
      <c r="C52" s="851"/>
      <c r="D52" s="776"/>
      <c r="E52" s="883" t="s">
        <v>676</v>
      </c>
      <c r="F52" s="473">
        <v>1</v>
      </c>
      <c r="G52" s="473">
        <v>1</v>
      </c>
      <c r="H52" s="473">
        <v>1</v>
      </c>
      <c r="I52" s="473">
        <v>1</v>
      </c>
      <c r="J52" s="473">
        <v>1</v>
      </c>
      <c r="K52" s="473">
        <v>1</v>
      </c>
      <c r="L52" s="473">
        <v>1</v>
      </c>
      <c r="M52" s="473">
        <v>0.25</v>
      </c>
      <c r="N52" s="473">
        <v>0.25</v>
      </c>
      <c r="O52" s="473">
        <v>0.25</v>
      </c>
      <c r="P52" s="473">
        <v>0.25</v>
      </c>
      <c r="Q52" s="473">
        <v>0.25</v>
      </c>
      <c r="R52" s="473">
        <v>0.25</v>
      </c>
      <c r="S52" s="473">
        <v>1</v>
      </c>
      <c r="T52" s="473">
        <v>1</v>
      </c>
      <c r="U52" s="473">
        <v>1</v>
      </c>
      <c r="V52" s="473">
        <v>1</v>
      </c>
      <c r="W52" s="473">
        <v>0.25</v>
      </c>
      <c r="X52" s="473">
        <v>0.25</v>
      </c>
      <c r="Y52" s="473">
        <v>0.25</v>
      </c>
      <c r="Z52" s="473">
        <v>1</v>
      </c>
      <c r="AA52" s="473">
        <v>1</v>
      </c>
      <c r="AB52" s="473">
        <v>1</v>
      </c>
      <c r="AC52" s="546">
        <v>1</v>
      </c>
      <c r="AD52" s="42"/>
      <c r="AE52" s="41"/>
      <c r="AF52" s="41"/>
      <c r="AG52" s="41"/>
      <c r="AH52" s="41"/>
      <c r="AI52" s="41"/>
      <c r="AJ52" s="41"/>
      <c r="AK52" s="41"/>
      <c r="AM52" s="52"/>
    </row>
    <row r="53" spans="1:39" ht="36" customHeight="1" thickBot="1" x14ac:dyDescent="0.35">
      <c r="A53" s="745"/>
      <c r="B53" s="805"/>
      <c r="C53" s="852"/>
      <c r="D53" s="777"/>
      <c r="E53" s="884" t="s">
        <v>677</v>
      </c>
      <c r="F53" s="537">
        <v>1</v>
      </c>
      <c r="G53" s="537">
        <v>1</v>
      </c>
      <c r="H53" s="537">
        <v>1</v>
      </c>
      <c r="I53" s="537">
        <v>1</v>
      </c>
      <c r="J53" s="537">
        <v>1</v>
      </c>
      <c r="K53" s="537">
        <v>1</v>
      </c>
      <c r="L53" s="537">
        <v>1</v>
      </c>
      <c r="M53" s="537">
        <v>0.25</v>
      </c>
      <c r="N53" s="537">
        <v>0.25</v>
      </c>
      <c r="O53" s="537">
        <v>0.25</v>
      </c>
      <c r="P53" s="537">
        <v>0.25</v>
      </c>
      <c r="Q53" s="537">
        <v>0.25</v>
      </c>
      <c r="R53" s="537">
        <v>0.25</v>
      </c>
      <c r="S53" s="537">
        <v>1</v>
      </c>
      <c r="T53" s="537">
        <v>1</v>
      </c>
      <c r="U53" s="537">
        <v>1</v>
      </c>
      <c r="V53" s="537">
        <v>1</v>
      </c>
      <c r="W53" s="537">
        <v>1</v>
      </c>
      <c r="X53" s="537">
        <v>1</v>
      </c>
      <c r="Y53" s="537">
        <v>1</v>
      </c>
      <c r="Z53" s="537">
        <v>1</v>
      </c>
      <c r="AA53" s="537">
        <v>1</v>
      </c>
      <c r="AB53" s="537">
        <v>1</v>
      </c>
      <c r="AC53" s="547">
        <v>1</v>
      </c>
      <c r="AD53" s="42"/>
      <c r="AE53" s="41"/>
      <c r="AF53" s="41"/>
      <c r="AG53" s="41"/>
      <c r="AH53" s="41"/>
      <c r="AI53" s="41"/>
      <c r="AJ53" s="41"/>
      <c r="AK53" s="41"/>
      <c r="AM53" s="52"/>
    </row>
    <row r="54" spans="1:39" ht="35.25" customHeight="1" thickBot="1" x14ac:dyDescent="0.35">
      <c r="A54" s="755" t="s">
        <v>135</v>
      </c>
      <c r="B54" s="755"/>
      <c r="C54" s="755" t="s">
        <v>26</v>
      </c>
      <c r="D54" s="755"/>
      <c r="E54" s="755"/>
      <c r="F54" s="755"/>
      <c r="G54" s="755"/>
      <c r="H54" s="755"/>
      <c r="I54" s="755"/>
      <c r="J54" s="755"/>
      <c r="K54" s="755"/>
      <c r="L54" s="755"/>
      <c r="M54" s="755"/>
      <c r="N54" s="755"/>
      <c r="O54" s="755"/>
      <c r="P54" s="755"/>
      <c r="Q54" s="755"/>
      <c r="R54" s="755"/>
      <c r="S54" s="755"/>
      <c r="T54" s="755"/>
      <c r="U54" s="755"/>
      <c r="V54" s="755"/>
      <c r="W54" s="755"/>
      <c r="X54" s="755"/>
      <c r="Y54" s="755"/>
      <c r="Z54" s="755"/>
      <c r="AA54" s="755"/>
      <c r="AB54" s="755"/>
      <c r="AC54" s="756"/>
    </row>
    <row r="55" spans="1:39" s="192" customFormat="1" ht="25.2" customHeight="1" x14ac:dyDescent="0.25">
      <c r="A55" s="752" t="s">
        <v>687</v>
      </c>
      <c r="B55" s="757" t="s">
        <v>135</v>
      </c>
      <c r="C55" s="757" t="s">
        <v>671</v>
      </c>
      <c r="D55" s="760" t="s">
        <v>688</v>
      </c>
      <c r="E55" s="472" t="s">
        <v>689</v>
      </c>
      <c r="F55" s="176">
        <v>0</v>
      </c>
      <c r="G55" s="176">
        <v>0</v>
      </c>
      <c r="H55" s="176">
        <v>0</v>
      </c>
      <c r="I55" s="176">
        <v>0</v>
      </c>
      <c r="J55" s="176">
        <v>0</v>
      </c>
      <c r="K55" s="176">
        <v>0.1</v>
      </c>
      <c r="L55" s="176">
        <v>0.5</v>
      </c>
      <c r="M55" s="176">
        <v>0.95</v>
      </c>
      <c r="N55" s="176">
        <v>0.95</v>
      </c>
      <c r="O55" s="176">
        <v>0.95</v>
      </c>
      <c r="P55" s="176">
        <v>0.95</v>
      </c>
      <c r="Q55" s="176">
        <v>0.95</v>
      </c>
      <c r="R55" s="176">
        <v>0.95</v>
      </c>
      <c r="S55" s="176">
        <v>0.95</v>
      </c>
      <c r="T55" s="176">
        <v>0.5</v>
      </c>
      <c r="U55" s="176">
        <v>0</v>
      </c>
      <c r="V55" s="176">
        <v>0</v>
      </c>
      <c r="W55" s="176">
        <v>0</v>
      </c>
      <c r="X55" s="176">
        <v>0</v>
      </c>
      <c r="Y55" s="176">
        <v>0</v>
      </c>
      <c r="Z55" s="176">
        <v>0</v>
      </c>
      <c r="AA55" s="176">
        <v>0</v>
      </c>
      <c r="AB55" s="176">
        <v>0</v>
      </c>
      <c r="AC55" s="177">
        <v>0</v>
      </c>
      <c r="AD55" s="41"/>
      <c r="AE55" s="41"/>
      <c r="AF55" s="41"/>
      <c r="AG55" s="41"/>
      <c r="AH55" s="41"/>
      <c r="AI55" s="41"/>
      <c r="AJ55" s="41"/>
    </row>
    <row r="56" spans="1:39" s="192" customFormat="1" ht="25.2" customHeight="1" x14ac:dyDescent="0.25">
      <c r="A56" s="753"/>
      <c r="B56" s="758"/>
      <c r="C56" s="758"/>
      <c r="D56" s="761"/>
      <c r="E56" s="190" t="s">
        <v>690</v>
      </c>
      <c r="F56" s="178">
        <v>0</v>
      </c>
      <c r="G56" s="178">
        <v>0</v>
      </c>
      <c r="H56" s="178">
        <v>0</v>
      </c>
      <c r="I56" s="178">
        <v>0</v>
      </c>
      <c r="J56" s="178">
        <v>0</v>
      </c>
      <c r="K56" s="178">
        <v>0</v>
      </c>
      <c r="L56" s="178">
        <v>0</v>
      </c>
      <c r="M56" s="178">
        <v>0</v>
      </c>
      <c r="N56" s="178">
        <v>0</v>
      </c>
      <c r="O56" s="178">
        <v>0</v>
      </c>
      <c r="P56" s="178">
        <v>0</v>
      </c>
      <c r="Q56" s="178">
        <v>0</v>
      </c>
      <c r="R56" s="178">
        <v>0</v>
      </c>
      <c r="S56" s="178">
        <v>0</v>
      </c>
      <c r="T56" s="178">
        <v>0</v>
      </c>
      <c r="U56" s="178">
        <v>0</v>
      </c>
      <c r="V56" s="178">
        <v>0</v>
      </c>
      <c r="W56" s="178">
        <v>0</v>
      </c>
      <c r="X56" s="178">
        <v>0</v>
      </c>
      <c r="Y56" s="178">
        <v>0</v>
      </c>
      <c r="Z56" s="178">
        <v>0</v>
      </c>
      <c r="AA56" s="178">
        <v>0</v>
      </c>
      <c r="AB56" s="178">
        <v>0</v>
      </c>
      <c r="AC56" s="179">
        <v>0</v>
      </c>
      <c r="AD56" s="41"/>
      <c r="AE56" s="41"/>
      <c r="AF56" s="41"/>
      <c r="AG56" s="41"/>
      <c r="AH56" s="41"/>
      <c r="AI56" s="41"/>
      <c r="AJ56" s="41"/>
    </row>
    <row r="57" spans="1:39" s="192" customFormat="1" ht="25.2" customHeight="1" thickBot="1" x14ac:dyDescent="0.3">
      <c r="A57" s="754"/>
      <c r="B57" s="759"/>
      <c r="C57" s="759"/>
      <c r="D57" s="762"/>
      <c r="E57" s="191" t="s">
        <v>691</v>
      </c>
      <c r="F57" s="180">
        <v>0</v>
      </c>
      <c r="G57" s="180">
        <v>0</v>
      </c>
      <c r="H57" s="180">
        <v>0</v>
      </c>
      <c r="I57" s="180">
        <v>0</v>
      </c>
      <c r="J57" s="180">
        <v>0</v>
      </c>
      <c r="K57" s="180">
        <v>0</v>
      </c>
      <c r="L57" s="180">
        <v>0</v>
      </c>
      <c r="M57" s="180">
        <v>0</v>
      </c>
      <c r="N57" s="180">
        <v>0</v>
      </c>
      <c r="O57" s="180">
        <v>0</v>
      </c>
      <c r="P57" s="180">
        <v>0</v>
      </c>
      <c r="Q57" s="180">
        <v>0</v>
      </c>
      <c r="R57" s="180">
        <v>0</v>
      </c>
      <c r="S57" s="180">
        <v>0</v>
      </c>
      <c r="T57" s="180">
        <v>0</v>
      </c>
      <c r="U57" s="180">
        <v>0</v>
      </c>
      <c r="V57" s="180">
        <v>0</v>
      </c>
      <c r="W57" s="180">
        <v>0</v>
      </c>
      <c r="X57" s="180">
        <v>0</v>
      </c>
      <c r="Y57" s="180">
        <v>0</v>
      </c>
      <c r="Z57" s="180">
        <v>0</v>
      </c>
      <c r="AA57" s="180">
        <v>0</v>
      </c>
      <c r="AB57" s="180">
        <v>0</v>
      </c>
      <c r="AC57" s="181">
        <v>0</v>
      </c>
      <c r="AD57" s="41"/>
      <c r="AE57" s="41"/>
      <c r="AF57" s="41"/>
      <c r="AG57" s="41"/>
      <c r="AH57" s="41"/>
      <c r="AI57" s="41"/>
      <c r="AJ57" s="41"/>
    </row>
    <row r="58" spans="1:39" s="192" customFormat="1" ht="25.2" customHeight="1" x14ac:dyDescent="0.25">
      <c r="A58" s="752" t="s">
        <v>687</v>
      </c>
      <c r="B58" s="757" t="s">
        <v>135</v>
      </c>
      <c r="C58" s="757" t="s">
        <v>684</v>
      </c>
      <c r="D58" s="760" t="s">
        <v>688</v>
      </c>
      <c r="E58" s="472" t="s">
        <v>689</v>
      </c>
      <c r="F58" s="182">
        <v>0</v>
      </c>
      <c r="G58" s="182">
        <v>0</v>
      </c>
      <c r="H58" s="182">
        <v>0</v>
      </c>
      <c r="I58" s="182">
        <v>0</v>
      </c>
      <c r="J58" s="182">
        <v>0</v>
      </c>
      <c r="K58" s="182">
        <v>1</v>
      </c>
      <c r="L58" s="182">
        <v>1</v>
      </c>
      <c r="M58" s="182">
        <v>1</v>
      </c>
      <c r="N58" s="182">
        <v>1</v>
      </c>
      <c r="O58" s="182">
        <v>1</v>
      </c>
      <c r="P58" s="182">
        <v>1</v>
      </c>
      <c r="Q58" s="182">
        <v>1</v>
      </c>
      <c r="R58" s="182">
        <v>1</v>
      </c>
      <c r="S58" s="182">
        <v>1</v>
      </c>
      <c r="T58" s="182">
        <v>1</v>
      </c>
      <c r="U58" s="182">
        <v>0</v>
      </c>
      <c r="V58" s="182">
        <v>0</v>
      </c>
      <c r="W58" s="182">
        <v>0</v>
      </c>
      <c r="X58" s="182">
        <v>0</v>
      </c>
      <c r="Y58" s="182">
        <v>0</v>
      </c>
      <c r="Z58" s="182">
        <v>0</v>
      </c>
      <c r="AA58" s="182">
        <v>0</v>
      </c>
      <c r="AB58" s="182">
        <v>0</v>
      </c>
      <c r="AC58" s="183">
        <v>0</v>
      </c>
      <c r="AD58" s="41"/>
      <c r="AE58" s="41"/>
      <c r="AF58" s="41"/>
      <c r="AG58" s="41"/>
      <c r="AH58" s="41"/>
      <c r="AI58" s="41"/>
      <c r="AJ58" s="41"/>
    </row>
    <row r="59" spans="1:39" s="192" customFormat="1" ht="25.2" customHeight="1" x14ac:dyDescent="0.25">
      <c r="A59" s="753"/>
      <c r="B59" s="758"/>
      <c r="C59" s="758"/>
      <c r="D59" s="761"/>
      <c r="E59" s="190" t="s">
        <v>690</v>
      </c>
      <c r="F59" s="178">
        <v>0</v>
      </c>
      <c r="G59" s="178">
        <v>0</v>
      </c>
      <c r="H59" s="178">
        <v>0</v>
      </c>
      <c r="I59" s="178">
        <v>0</v>
      </c>
      <c r="J59" s="178">
        <v>0</v>
      </c>
      <c r="K59" s="178">
        <v>0</v>
      </c>
      <c r="L59" s="178">
        <v>0</v>
      </c>
      <c r="M59" s="178">
        <v>0</v>
      </c>
      <c r="N59" s="178">
        <v>0</v>
      </c>
      <c r="O59" s="178">
        <v>0</v>
      </c>
      <c r="P59" s="178">
        <v>0</v>
      </c>
      <c r="Q59" s="178">
        <v>0</v>
      </c>
      <c r="R59" s="178">
        <v>0</v>
      </c>
      <c r="S59" s="178">
        <v>0</v>
      </c>
      <c r="T59" s="178">
        <v>0</v>
      </c>
      <c r="U59" s="178">
        <v>0</v>
      </c>
      <c r="V59" s="178">
        <v>0</v>
      </c>
      <c r="W59" s="178">
        <v>0</v>
      </c>
      <c r="X59" s="178">
        <v>0</v>
      </c>
      <c r="Y59" s="178">
        <v>0</v>
      </c>
      <c r="Z59" s="178">
        <v>0</v>
      </c>
      <c r="AA59" s="178">
        <v>0</v>
      </c>
      <c r="AB59" s="178">
        <v>0</v>
      </c>
      <c r="AC59" s="179">
        <v>0</v>
      </c>
      <c r="AD59" s="41"/>
      <c r="AE59" s="41"/>
      <c r="AF59" s="41"/>
      <c r="AG59" s="41"/>
      <c r="AH59" s="41"/>
      <c r="AI59" s="41"/>
      <c r="AJ59" s="41"/>
    </row>
    <row r="60" spans="1:39" s="192" customFormat="1" ht="25.2" customHeight="1" thickBot="1" x14ac:dyDescent="0.3">
      <c r="A60" s="754"/>
      <c r="B60" s="759"/>
      <c r="C60" s="759"/>
      <c r="D60" s="762"/>
      <c r="E60" s="191" t="s">
        <v>691</v>
      </c>
      <c r="F60" s="180">
        <v>0</v>
      </c>
      <c r="G60" s="180">
        <v>0</v>
      </c>
      <c r="H60" s="180">
        <v>0</v>
      </c>
      <c r="I60" s="180">
        <v>0</v>
      </c>
      <c r="J60" s="180">
        <v>0</v>
      </c>
      <c r="K60" s="180">
        <v>0</v>
      </c>
      <c r="L60" s="180">
        <v>0</v>
      </c>
      <c r="M60" s="180">
        <v>0</v>
      </c>
      <c r="N60" s="180">
        <v>0</v>
      </c>
      <c r="O60" s="180">
        <v>0</v>
      </c>
      <c r="P60" s="180">
        <v>0</v>
      </c>
      <c r="Q60" s="180">
        <v>0</v>
      </c>
      <c r="R60" s="180">
        <v>0</v>
      </c>
      <c r="S60" s="180">
        <v>0</v>
      </c>
      <c r="T60" s="180">
        <v>0</v>
      </c>
      <c r="U60" s="180">
        <v>0</v>
      </c>
      <c r="V60" s="180">
        <v>0</v>
      </c>
      <c r="W60" s="180">
        <v>0</v>
      </c>
      <c r="X60" s="180">
        <v>0</v>
      </c>
      <c r="Y60" s="180">
        <v>0</v>
      </c>
      <c r="Z60" s="180">
        <v>0</v>
      </c>
      <c r="AA60" s="180">
        <v>0</v>
      </c>
      <c r="AB60" s="180">
        <v>0</v>
      </c>
      <c r="AC60" s="181">
        <v>0</v>
      </c>
      <c r="AD60" s="41"/>
      <c r="AE60" s="41"/>
      <c r="AF60" s="41"/>
      <c r="AG60" s="41"/>
      <c r="AH60" s="41"/>
      <c r="AI60" s="41"/>
      <c r="AJ60" s="41"/>
    </row>
    <row r="61" spans="1:39" s="192" customFormat="1" ht="25.2" customHeight="1" x14ac:dyDescent="0.25">
      <c r="A61" s="752" t="s">
        <v>687</v>
      </c>
      <c r="B61" s="757" t="s">
        <v>135</v>
      </c>
      <c r="C61" s="757" t="s">
        <v>678</v>
      </c>
      <c r="D61" s="760" t="s">
        <v>688</v>
      </c>
      <c r="E61" s="472" t="s">
        <v>689</v>
      </c>
      <c r="F61" s="176">
        <v>0</v>
      </c>
      <c r="G61" s="176">
        <v>0</v>
      </c>
      <c r="H61" s="176">
        <v>0</v>
      </c>
      <c r="I61" s="176">
        <v>0</v>
      </c>
      <c r="J61" s="176">
        <v>0</v>
      </c>
      <c r="K61" s="176">
        <v>1</v>
      </c>
      <c r="L61" s="176">
        <v>1</v>
      </c>
      <c r="M61" s="176">
        <v>1</v>
      </c>
      <c r="N61" s="176">
        <v>1</v>
      </c>
      <c r="O61" s="176">
        <v>1</v>
      </c>
      <c r="P61" s="176">
        <v>1</v>
      </c>
      <c r="Q61" s="176">
        <v>1</v>
      </c>
      <c r="R61" s="176">
        <v>1</v>
      </c>
      <c r="S61" s="176">
        <v>1</v>
      </c>
      <c r="T61" s="176">
        <v>1</v>
      </c>
      <c r="U61" s="176">
        <v>0</v>
      </c>
      <c r="V61" s="176">
        <v>0</v>
      </c>
      <c r="W61" s="176">
        <v>0</v>
      </c>
      <c r="X61" s="176">
        <v>0</v>
      </c>
      <c r="Y61" s="176">
        <v>0</v>
      </c>
      <c r="Z61" s="176">
        <v>0</v>
      </c>
      <c r="AA61" s="176">
        <v>0</v>
      </c>
      <c r="AB61" s="176">
        <v>0</v>
      </c>
      <c r="AC61" s="177">
        <v>0</v>
      </c>
      <c r="AD61" s="41"/>
      <c r="AE61" s="41"/>
      <c r="AF61" s="41"/>
      <c r="AG61" s="41"/>
      <c r="AH61" s="41"/>
      <c r="AI61" s="41"/>
      <c r="AJ61" s="41"/>
    </row>
    <row r="62" spans="1:39" s="192" customFormat="1" ht="25.2" customHeight="1" x14ac:dyDescent="0.25">
      <c r="A62" s="753"/>
      <c r="B62" s="758"/>
      <c r="C62" s="758"/>
      <c r="D62" s="761"/>
      <c r="E62" s="190" t="s">
        <v>690</v>
      </c>
      <c r="F62" s="178">
        <v>0</v>
      </c>
      <c r="G62" s="178">
        <v>0</v>
      </c>
      <c r="H62" s="178">
        <v>0</v>
      </c>
      <c r="I62" s="178">
        <v>0</v>
      </c>
      <c r="J62" s="178">
        <v>0</v>
      </c>
      <c r="K62" s="178">
        <v>0</v>
      </c>
      <c r="L62" s="178">
        <v>0</v>
      </c>
      <c r="M62" s="178">
        <v>0</v>
      </c>
      <c r="N62" s="178">
        <v>0</v>
      </c>
      <c r="O62" s="178">
        <v>0</v>
      </c>
      <c r="P62" s="178">
        <v>0</v>
      </c>
      <c r="Q62" s="178">
        <v>0</v>
      </c>
      <c r="R62" s="178">
        <v>0</v>
      </c>
      <c r="S62" s="178">
        <v>0</v>
      </c>
      <c r="T62" s="178">
        <v>0</v>
      </c>
      <c r="U62" s="178">
        <v>0</v>
      </c>
      <c r="V62" s="178">
        <v>0</v>
      </c>
      <c r="W62" s="178">
        <v>0</v>
      </c>
      <c r="X62" s="178">
        <v>0</v>
      </c>
      <c r="Y62" s="178">
        <v>0</v>
      </c>
      <c r="Z62" s="178">
        <v>0</v>
      </c>
      <c r="AA62" s="178">
        <v>0</v>
      </c>
      <c r="AB62" s="178">
        <v>0</v>
      </c>
      <c r="AC62" s="179">
        <v>0</v>
      </c>
      <c r="AD62" s="41"/>
      <c r="AE62" s="41"/>
      <c r="AF62" s="41"/>
      <c r="AG62" s="41"/>
      <c r="AH62" s="41"/>
      <c r="AI62" s="41"/>
      <c r="AJ62" s="41"/>
    </row>
    <row r="63" spans="1:39" s="192" customFormat="1" ht="25.2" customHeight="1" thickBot="1" x14ac:dyDescent="0.3">
      <c r="A63" s="754"/>
      <c r="B63" s="759"/>
      <c r="C63" s="759"/>
      <c r="D63" s="762"/>
      <c r="E63" s="191" t="s">
        <v>691</v>
      </c>
      <c r="F63" s="180">
        <v>0</v>
      </c>
      <c r="G63" s="180">
        <v>0</v>
      </c>
      <c r="H63" s="180">
        <v>0</v>
      </c>
      <c r="I63" s="180">
        <v>0</v>
      </c>
      <c r="J63" s="180">
        <v>0</v>
      </c>
      <c r="K63" s="180">
        <v>0</v>
      </c>
      <c r="L63" s="180">
        <v>0</v>
      </c>
      <c r="M63" s="180">
        <v>0</v>
      </c>
      <c r="N63" s="180">
        <v>0</v>
      </c>
      <c r="O63" s="180">
        <v>0</v>
      </c>
      <c r="P63" s="180">
        <v>0</v>
      </c>
      <c r="Q63" s="180">
        <v>0</v>
      </c>
      <c r="R63" s="180">
        <v>0</v>
      </c>
      <c r="S63" s="180">
        <v>0</v>
      </c>
      <c r="T63" s="180">
        <v>0</v>
      </c>
      <c r="U63" s="180">
        <v>0</v>
      </c>
      <c r="V63" s="180">
        <v>0</v>
      </c>
      <c r="W63" s="180">
        <v>0</v>
      </c>
      <c r="X63" s="180">
        <v>0</v>
      </c>
      <c r="Y63" s="180">
        <v>0</v>
      </c>
      <c r="Z63" s="180">
        <v>0</v>
      </c>
      <c r="AA63" s="180">
        <v>0</v>
      </c>
      <c r="AB63" s="180">
        <v>0</v>
      </c>
      <c r="AC63" s="181">
        <v>0</v>
      </c>
      <c r="AD63" s="41"/>
      <c r="AE63" s="41"/>
      <c r="AF63" s="41"/>
      <c r="AG63" s="41"/>
      <c r="AH63" s="41"/>
      <c r="AI63" s="41"/>
      <c r="AJ63" s="41"/>
    </row>
    <row r="64" spans="1:39" s="192" customFormat="1" ht="25.2" customHeight="1" x14ac:dyDescent="0.25">
      <c r="A64" s="752" t="s">
        <v>687</v>
      </c>
      <c r="B64" s="757" t="s">
        <v>135</v>
      </c>
      <c r="C64" s="757" t="s">
        <v>679</v>
      </c>
      <c r="D64" s="760" t="s">
        <v>688</v>
      </c>
      <c r="E64" s="472" t="s">
        <v>689</v>
      </c>
      <c r="F64" s="182">
        <v>0.15</v>
      </c>
      <c r="G64" s="182">
        <v>0.15</v>
      </c>
      <c r="H64" s="182">
        <v>0.15</v>
      </c>
      <c r="I64" s="182">
        <v>0.15</v>
      </c>
      <c r="J64" s="182">
        <v>0.15</v>
      </c>
      <c r="K64" s="182">
        <v>0.2</v>
      </c>
      <c r="L64" s="182">
        <v>0.3</v>
      </c>
      <c r="M64" s="182">
        <v>0.9</v>
      </c>
      <c r="N64" s="182">
        <v>0.9</v>
      </c>
      <c r="O64" s="182">
        <v>0.8</v>
      </c>
      <c r="P64" s="182">
        <v>0.8</v>
      </c>
      <c r="Q64" s="182">
        <v>0.8</v>
      </c>
      <c r="R64" s="182">
        <v>0.9</v>
      </c>
      <c r="S64" s="182">
        <v>0.9</v>
      </c>
      <c r="T64" s="182">
        <v>0.9</v>
      </c>
      <c r="U64" s="182">
        <v>0.7</v>
      </c>
      <c r="V64" s="182">
        <v>0.2</v>
      </c>
      <c r="W64" s="182">
        <v>0.15</v>
      </c>
      <c r="X64" s="182">
        <v>0.15</v>
      </c>
      <c r="Y64" s="182">
        <v>0.15</v>
      </c>
      <c r="Z64" s="182">
        <v>0.15</v>
      </c>
      <c r="AA64" s="182">
        <v>0.15</v>
      </c>
      <c r="AB64" s="182">
        <v>0.15</v>
      </c>
      <c r="AC64" s="183">
        <v>0.15</v>
      </c>
      <c r="AD64" s="41"/>
      <c r="AE64" s="41"/>
      <c r="AF64" s="41"/>
      <c r="AG64" s="41"/>
      <c r="AH64" s="41"/>
      <c r="AI64" s="41"/>
      <c r="AJ64" s="41"/>
    </row>
    <row r="65" spans="1:39" s="192" customFormat="1" ht="25.2" customHeight="1" x14ac:dyDescent="0.25">
      <c r="A65" s="753"/>
      <c r="B65" s="758"/>
      <c r="C65" s="758"/>
      <c r="D65" s="761"/>
      <c r="E65" s="190" t="s">
        <v>690</v>
      </c>
      <c r="F65" s="178">
        <v>0</v>
      </c>
      <c r="G65" s="178">
        <v>0</v>
      </c>
      <c r="H65" s="178">
        <v>0</v>
      </c>
      <c r="I65" s="178">
        <v>0</v>
      </c>
      <c r="J65" s="178">
        <v>0</v>
      </c>
      <c r="K65" s="178">
        <v>0</v>
      </c>
      <c r="L65" s="178">
        <v>0</v>
      </c>
      <c r="M65" s="178">
        <v>0</v>
      </c>
      <c r="N65" s="178">
        <v>0</v>
      </c>
      <c r="O65" s="178">
        <v>0</v>
      </c>
      <c r="P65" s="178">
        <v>0</v>
      </c>
      <c r="Q65" s="178">
        <v>0</v>
      </c>
      <c r="R65" s="178">
        <v>0</v>
      </c>
      <c r="S65" s="178">
        <v>0</v>
      </c>
      <c r="T65" s="178">
        <v>0</v>
      </c>
      <c r="U65" s="178">
        <v>0</v>
      </c>
      <c r="V65" s="178">
        <v>0</v>
      </c>
      <c r="W65" s="178">
        <v>0</v>
      </c>
      <c r="X65" s="178">
        <v>0</v>
      </c>
      <c r="Y65" s="178">
        <v>0</v>
      </c>
      <c r="Z65" s="178">
        <v>0</v>
      </c>
      <c r="AA65" s="178">
        <v>0</v>
      </c>
      <c r="AB65" s="178">
        <v>0</v>
      </c>
      <c r="AC65" s="179">
        <v>0</v>
      </c>
      <c r="AD65" s="41"/>
      <c r="AE65" s="41"/>
      <c r="AF65" s="41"/>
      <c r="AG65" s="41"/>
      <c r="AH65" s="41"/>
      <c r="AI65" s="41"/>
      <c r="AJ65" s="41"/>
    </row>
    <row r="66" spans="1:39" s="192" customFormat="1" ht="25.2" customHeight="1" thickBot="1" x14ac:dyDescent="0.3">
      <c r="A66" s="754"/>
      <c r="B66" s="759"/>
      <c r="C66" s="759"/>
      <c r="D66" s="762"/>
      <c r="E66" s="193" t="s">
        <v>691</v>
      </c>
      <c r="F66" s="180">
        <v>0</v>
      </c>
      <c r="G66" s="180">
        <v>0</v>
      </c>
      <c r="H66" s="180">
        <v>0</v>
      </c>
      <c r="I66" s="180">
        <v>0</v>
      </c>
      <c r="J66" s="180">
        <v>0</v>
      </c>
      <c r="K66" s="180">
        <v>0</v>
      </c>
      <c r="L66" s="180">
        <v>0</v>
      </c>
      <c r="M66" s="180">
        <v>0</v>
      </c>
      <c r="N66" s="180">
        <v>0</v>
      </c>
      <c r="O66" s="180">
        <v>0</v>
      </c>
      <c r="P66" s="180">
        <v>0</v>
      </c>
      <c r="Q66" s="180">
        <v>0</v>
      </c>
      <c r="R66" s="180">
        <v>0</v>
      </c>
      <c r="S66" s="180">
        <v>0</v>
      </c>
      <c r="T66" s="180">
        <v>0</v>
      </c>
      <c r="U66" s="180">
        <v>0</v>
      </c>
      <c r="V66" s="180">
        <v>0</v>
      </c>
      <c r="W66" s="180">
        <v>0</v>
      </c>
      <c r="X66" s="180">
        <v>0</v>
      </c>
      <c r="Y66" s="180">
        <v>0</v>
      </c>
      <c r="Z66" s="180">
        <v>0</v>
      </c>
      <c r="AA66" s="180">
        <v>0</v>
      </c>
      <c r="AB66" s="180">
        <v>0</v>
      </c>
      <c r="AC66" s="181">
        <v>0</v>
      </c>
      <c r="AD66" s="41"/>
      <c r="AE66" s="41"/>
      <c r="AF66" s="41"/>
      <c r="AG66" s="41"/>
      <c r="AH66" s="41"/>
      <c r="AI66" s="41"/>
      <c r="AJ66" s="41"/>
    </row>
    <row r="67" spans="1:39" s="192" customFormat="1" ht="25.2" customHeight="1" x14ac:dyDescent="0.25">
      <c r="A67" s="752" t="s">
        <v>687</v>
      </c>
      <c r="B67" s="757" t="s">
        <v>135</v>
      </c>
      <c r="C67" s="757" t="s">
        <v>685</v>
      </c>
      <c r="D67" s="760" t="s">
        <v>688</v>
      </c>
      <c r="E67" s="538" t="s">
        <v>689</v>
      </c>
      <c r="F67" s="417">
        <f>IF(F58=0,Thermostat!$B$8,Thermostat!$B$7)</f>
        <v>60</v>
      </c>
      <c r="G67" s="417">
        <f>IF(G58=0,Thermostat!$B$8,Thermostat!$B$7)</f>
        <v>60</v>
      </c>
      <c r="H67" s="417">
        <f>IF(H58=0,Thermostat!$B$8,Thermostat!$B$7)</f>
        <v>60</v>
      </c>
      <c r="I67" s="417">
        <f>IF(I58=0,Thermostat!$B$8,Thermostat!$B$7)</f>
        <v>60</v>
      </c>
      <c r="J67" s="417">
        <f>IF(J58=0,Thermostat!$B$8,Thermostat!$B$7)</f>
        <v>60</v>
      </c>
      <c r="K67" s="417">
        <f>IF(K58=0,Thermostat!$B$8,Thermostat!$B$7)</f>
        <v>70</v>
      </c>
      <c r="L67" s="417">
        <f>IF(L58=0,Thermostat!$B$8,Thermostat!$B$7)</f>
        <v>70</v>
      </c>
      <c r="M67" s="417">
        <f>IF(M58=0,Thermostat!$B$8,Thermostat!$B$7)</f>
        <v>70</v>
      </c>
      <c r="N67" s="417">
        <f>IF(N58=0,Thermostat!$B$8,Thermostat!$B$7)</f>
        <v>70</v>
      </c>
      <c r="O67" s="417">
        <f>IF(O58=0,Thermostat!$B$8,Thermostat!$B$7)</f>
        <v>70</v>
      </c>
      <c r="P67" s="417">
        <f>IF(P58=0,Thermostat!$B$8,Thermostat!$B$7)</f>
        <v>70</v>
      </c>
      <c r="Q67" s="417">
        <f>IF(Q58=0,Thermostat!$B$8,Thermostat!$B$7)</f>
        <v>70</v>
      </c>
      <c r="R67" s="417">
        <f>IF(R58=0,Thermostat!$B$8,Thermostat!$B$7)</f>
        <v>70</v>
      </c>
      <c r="S67" s="417">
        <f>IF(S58=0,Thermostat!$B$8,Thermostat!$B$7)</f>
        <v>70</v>
      </c>
      <c r="T67" s="417">
        <f>IF(T58=0,Thermostat!$B$8,Thermostat!$B$7)</f>
        <v>70</v>
      </c>
      <c r="U67" s="417">
        <f>IF(U58=0,Thermostat!$B$8,Thermostat!$B$7)</f>
        <v>60</v>
      </c>
      <c r="V67" s="417">
        <f>IF(V58=0,Thermostat!$B$8,Thermostat!$B$7)</f>
        <v>60</v>
      </c>
      <c r="W67" s="417">
        <f>IF(W58=0,Thermostat!$B$8,Thermostat!$B$7)</f>
        <v>60</v>
      </c>
      <c r="X67" s="417">
        <f>IF(X58=0,Thermostat!$B$8,Thermostat!$B$7)</f>
        <v>60</v>
      </c>
      <c r="Y67" s="417">
        <f>IF(Y58=0,Thermostat!$B$8,Thermostat!$B$7)</f>
        <v>60</v>
      </c>
      <c r="Z67" s="417">
        <f>IF(Z58=0,Thermostat!$B$8,Thermostat!$B$7)</f>
        <v>60</v>
      </c>
      <c r="AA67" s="417">
        <f>IF(AA58=0,Thermostat!$B$8,Thermostat!$B$7)</f>
        <v>60</v>
      </c>
      <c r="AB67" s="417">
        <f>IF(AB58=0,Thermostat!$B$8,Thermostat!$B$7)</f>
        <v>60</v>
      </c>
      <c r="AC67" s="417">
        <f>IF(AC58=0,Thermostat!$B$8,Thermostat!$B$7)</f>
        <v>60</v>
      </c>
      <c r="AD67" s="41"/>
      <c r="AE67" s="41"/>
      <c r="AF67" s="41"/>
      <c r="AG67" s="41"/>
      <c r="AH67" s="41"/>
      <c r="AI67" s="41"/>
      <c r="AJ67" s="41"/>
    </row>
    <row r="68" spans="1:39" s="192" customFormat="1" ht="25.2" customHeight="1" x14ac:dyDescent="0.25">
      <c r="A68" s="753"/>
      <c r="B68" s="758"/>
      <c r="C68" s="758"/>
      <c r="D68" s="761"/>
      <c r="E68" s="194" t="s">
        <v>690</v>
      </c>
      <c r="F68" s="419">
        <f>IF(F59=0,Thermostat!$B$8,Thermostat!$B$7)</f>
        <v>60</v>
      </c>
      <c r="G68" s="419">
        <f>IF(G59=0,Thermostat!$B$8,Thermostat!$B$7)</f>
        <v>60</v>
      </c>
      <c r="H68" s="419">
        <f>IF(H59=0,Thermostat!$B$8,Thermostat!$B$7)</f>
        <v>60</v>
      </c>
      <c r="I68" s="419">
        <f>IF(I59=0,Thermostat!$B$8,Thermostat!$B$7)</f>
        <v>60</v>
      </c>
      <c r="J68" s="419">
        <f>IF(J59=0,Thermostat!$B$8,Thermostat!$B$7)</f>
        <v>60</v>
      </c>
      <c r="K68" s="419">
        <f>IF(K59=0,Thermostat!$B$8,Thermostat!$B$7)</f>
        <v>60</v>
      </c>
      <c r="L68" s="419">
        <f>IF(L59=0,Thermostat!$B$8,Thermostat!$B$7)</f>
        <v>60</v>
      </c>
      <c r="M68" s="419">
        <f>IF(M59=0,Thermostat!$B$8,Thermostat!$B$7)</f>
        <v>60</v>
      </c>
      <c r="N68" s="419">
        <f>IF(N59=0,Thermostat!$B$8,Thermostat!$B$7)</f>
        <v>60</v>
      </c>
      <c r="O68" s="419">
        <f>IF(O59=0,Thermostat!$B$8,Thermostat!$B$7)</f>
        <v>60</v>
      </c>
      <c r="P68" s="419">
        <f>IF(P59=0,Thermostat!$B$8,Thermostat!$B$7)</f>
        <v>60</v>
      </c>
      <c r="Q68" s="419">
        <f>IF(Q59=0,Thermostat!$B$8,Thermostat!$B$7)</f>
        <v>60</v>
      </c>
      <c r="R68" s="419">
        <f>IF(R59=0,Thermostat!$B$8,Thermostat!$B$7)</f>
        <v>60</v>
      </c>
      <c r="S68" s="419">
        <f>IF(S59=0,Thermostat!$B$8,Thermostat!$B$7)</f>
        <v>60</v>
      </c>
      <c r="T68" s="419">
        <f>IF(T59=0,Thermostat!$B$8,Thermostat!$B$7)</f>
        <v>60</v>
      </c>
      <c r="U68" s="419">
        <f>IF(U59=0,Thermostat!$B$8,Thermostat!$B$7)</f>
        <v>60</v>
      </c>
      <c r="V68" s="419">
        <f>IF(V59=0,Thermostat!$B$8,Thermostat!$B$7)</f>
        <v>60</v>
      </c>
      <c r="W68" s="419">
        <f>IF(W59=0,Thermostat!$B$8,Thermostat!$B$7)</f>
        <v>60</v>
      </c>
      <c r="X68" s="419">
        <f>IF(X59=0,Thermostat!$B$8,Thermostat!$B$7)</f>
        <v>60</v>
      </c>
      <c r="Y68" s="419">
        <f>IF(Y59=0,Thermostat!$B$8,Thermostat!$B$7)</f>
        <v>60</v>
      </c>
      <c r="Z68" s="419">
        <f>IF(Z59=0,Thermostat!$B$8,Thermostat!$B$7)</f>
        <v>60</v>
      </c>
      <c r="AA68" s="419">
        <f>IF(AA59=0,Thermostat!$B$8,Thermostat!$B$7)</f>
        <v>60</v>
      </c>
      <c r="AB68" s="419">
        <f>IF(AB59=0,Thermostat!$B$8,Thermostat!$B$7)</f>
        <v>60</v>
      </c>
      <c r="AC68" s="419">
        <f>IF(AC59=0,Thermostat!$B$8,Thermostat!$B$7)</f>
        <v>60</v>
      </c>
      <c r="AD68" s="41"/>
      <c r="AE68" s="41"/>
      <c r="AF68" s="41"/>
      <c r="AG68" s="41"/>
      <c r="AH68" s="41"/>
      <c r="AI68" s="41"/>
      <c r="AJ68" s="41"/>
    </row>
    <row r="69" spans="1:39" ht="25.2" customHeight="1" thickBot="1" x14ac:dyDescent="0.35">
      <c r="A69" s="754"/>
      <c r="B69" s="759"/>
      <c r="C69" s="759"/>
      <c r="D69" s="762"/>
      <c r="E69" s="195" t="s">
        <v>691</v>
      </c>
      <c r="F69" s="421">
        <f>IF(F60=0,Thermostat!$B$8,Thermostat!$B$7)</f>
        <v>60</v>
      </c>
      <c r="G69" s="421">
        <f>IF(G60=0,Thermostat!$B$8,Thermostat!$B$7)</f>
        <v>60</v>
      </c>
      <c r="H69" s="421">
        <f>IF(H60=0,Thermostat!$B$8,Thermostat!$B$7)</f>
        <v>60</v>
      </c>
      <c r="I69" s="421">
        <f>IF(I60=0,Thermostat!$B$8,Thermostat!$B$7)</f>
        <v>60</v>
      </c>
      <c r="J69" s="421">
        <f>IF(J60=0,Thermostat!$B$8,Thermostat!$B$7)</f>
        <v>60</v>
      </c>
      <c r="K69" s="421">
        <f>IF(K60=0,Thermostat!$B$8,Thermostat!$B$7)</f>
        <v>60</v>
      </c>
      <c r="L69" s="421">
        <f>IF(L60=0,Thermostat!$B$8,Thermostat!$B$7)</f>
        <v>60</v>
      </c>
      <c r="M69" s="421">
        <f>IF(M60=0,Thermostat!$B$8,Thermostat!$B$7)</f>
        <v>60</v>
      </c>
      <c r="N69" s="421">
        <f>IF(N60=0,Thermostat!$B$8,Thermostat!$B$7)</f>
        <v>60</v>
      </c>
      <c r="O69" s="421">
        <f>IF(O60=0,Thermostat!$B$8,Thermostat!$B$7)</f>
        <v>60</v>
      </c>
      <c r="P69" s="421">
        <f>IF(P60=0,Thermostat!$B$8,Thermostat!$B$7)</f>
        <v>60</v>
      </c>
      <c r="Q69" s="421">
        <f>IF(Q60=0,Thermostat!$B$8,Thermostat!$B$7)</f>
        <v>60</v>
      </c>
      <c r="R69" s="421">
        <f>IF(R60=0,Thermostat!$B$8,Thermostat!$B$7)</f>
        <v>60</v>
      </c>
      <c r="S69" s="421">
        <f>IF(S60=0,Thermostat!$B$8,Thermostat!$B$7)</f>
        <v>60</v>
      </c>
      <c r="T69" s="421">
        <f>IF(T60=0,Thermostat!$B$8,Thermostat!$B$7)</f>
        <v>60</v>
      </c>
      <c r="U69" s="421">
        <f>IF(U60=0,Thermostat!$B$8,Thermostat!$B$7)</f>
        <v>60</v>
      </c>
      <c r="V69" s="421">
        <f>IF(V60=0,Thermostat!$B$8,Thermostat!$B$7)</f>
        <v>60</v>
      </c>
      <c r="W69" s="421">
        <f>IF(W60=0,Thermostat!$B$8,Thermostat!$B$7)</f>
        <v>60</v>
      </c>
      <c r="X69" s="421">
        <f>IF(X60=0,Thermostat!$B$8,Thermostat!$B$7)</f>
        <v>60</v>
      </c>
      <c r="Y69" s="421">
        <f>IF(Y60=0,Thermostat!$B$8,Thermostat!$B$7)</f>
        <v>60</v>
      </c>
      <c r="Z69" s="421">
        <f>IF(Z60=0,Thermostat!$B$8,Thermostat!$B$7)</f>
        <v>60</v>
      </c>
      <c r="AA69" s="421">
        <f>IF(AA60=0,Thermostat!$B$8,Thermostat!$B$7)</f>
        <v>60</v>
      </c>
      <c r="AB69" s="421">
        <f>IF(AB60=0,Thermostat!$B$8,Thermostat!$B$7)</f>
        <v>60</v>
      </c>
      <c r="AC69" s="421">
        <f>IF(AC60=0,Thermostat!$B$8,Thermostat!$B$7)</f>
        <v>60</v>
      </c>
    </row>
    <row r="70" spans="1:39" s="192" customFormat="1" ht="25.2" customHeight="1" x14ac:dyDescent="0.25">
      <c r="A70" s="752" t="s">
        <v>687</v>
      </c>
      <c r="B70" s="757" t="s">
        <v>135</v>
      </c>
      <c r="C70" s="757" t="s">
        <v>686</v>
      </c>
      <c r="D70" s="760" t="s">
        <v>688</v>
      </c>
      <c r="E70" s="538" t="s">
        <v>689</v>
      </c>
      <c r="F70" s="417">
        <f>IF(F58=0,Thermostat!$B$10,Thermostat!$B$9)</f>
        <v>85</v>
      </c>
      <c r="G70" s="417">
        <f>IF(G58=0,Thermostat!$B$10,Thermostat!$B$9)</f>
        <v>85</v>
      </c>
      <c r="H70" s="417">
        <f>IF(H58=0,Thermostat!$B$10,Thermostat!$B$9)</f>
        <v>85</v>
      </c>
      <c r="I70" s="417">
        <f>IF(I58=0,Thermostat!$B$10,Thermostat!$B$9)</f>
        <v>85</v>
      </c>
      <c r="J70" s="417">
        <f>IF(J58=0,Thermostat!$B$10,Thermostat!$B$9)</f>
        <v>85</v>
      </c>
      <c r="K70" s="417">
        <f>IF(K58=0,Thermostat!$B$10,Thermostat!$B$9)</f>
        <v>75</v>
      </c>
      <c r="L70" s="417">
        <f>IF(L58=0,Thermostat!$B$10,Thermostat!$B$9)</f>
        <v>75</v>
      </c>
      <c r="M70" s="417">
        <f>IF(M58=0,Thermostat!$B$10,Thermostat!$B$9)</f>
        <v>75</v>
      </c>
      <c r="N70" s="417">
        <f>IF(N58=0,Thermostat!$B$10,Thermostat!$B$9)</f>
        <v>75</v>
      </c>
      <c r="O70" s="417">
        <f>IF(O58=0,Thermostat!$B$10,Thermostat!$B$9)</f>
        <v>75</v>
      </c>
      <c r="P70" s="417">
        <f>IF(P58=0,Thermostat!$B$10,Thermostat!$B$9)</f>
        <v>75</v>
      </c>
      <c r="Q70" s="417">
        <f>IF(Q58=0,Thermostat!$B$10,Thermostat!$B$9)</f>
        <v>75</v>
      </c>
      <c r="R70" s="417">
        <f>IF(R58=0,Thermostat!$B$10,Thermostat!$B$9)</f>
        <v>75</v>
      </c>
      <c r="S70" s="417">
        <f>IF(S58=0,Thermostat!$B$10,Thermostat!$B$9)</f>
        <v>75</v>
      </c>
      <c r="T70" s="417">
        <f>IF(T58=0,Thermostat!$B$10,Thermostat!$B$9)</f>
        <v>75</v>
      </c>
      <c r="U70" s="417">
        <f>IF(U58=0,Thermostat!$B$10,Thermostat!$B$9)</f>
        <v>85</v>
      </c>
      <c r="V70" s="417">
        <f>IF(V58=0,Thermostat!$B$10,Thermostat!$B$9)</f>
        <v>85</v>
      </c>
      <c r="W70" s="417">
        <f>IF(W58=0,Thermostat!$B$10,Thermostat!$B$9)</f>
        <v>85</v>
      </c>
      <c r="X70" s="417">
        <f>IF(X58=0,Thermostat!$B$10,Thermostat!$B$9)</f>
        <v>85</v>
      </c>
      <c r="Y70" s="417">
        <f>IF(Y58=0,Thermostat!$B$10,Thermostat!$B$9)</f>
        <v>85</v>
      </c>
      <c r="Z70" s="417">
        <f>IF(Z58=0,Thermostat!$B$10,Thermostat!$B$9)</f>
        <v>85</v>
      </c>
      <c r="AA70" s="417">
        <f>IF(AA58=0,Thermostat!$B$10,Thermostat!$B$9)</f>
        <v>85</v>
      </c>
      <c r="AB70" s="417">
        <f>IF(AB58=0,Thermostat!$B$10,Thermostat!$B$9)</f>
        <v>85</v>
      </c>
      <c r="AC70" s="418">
        <f>IF(AC58=0,Thermostat!$B$10,Thermostat!$B$9)</f>
        <v>85</v>
      </c>
      <c r="AD70" s="41"/>
      <c r="AE70" s="41"/>
      <c r="AF70" s="41"/>
      <c r="AG70" s="41"/>
      <c r="AH70" s="41"/>
      <c r="AI70" s="41"/>
      <c r="AJ70" s="41"/>
    </row>
    <row r="71" spans="1:39" s="192" customFormat="1" ht="25.2" customHeight="1" x14ac:dyDescent="0.25">
      <c r="A71" s="753"/>
      <c r="B71" s="758"/>
      <c r="C71" s="758"/>
      <c r="D71" s="761"/>
      <c r="E71" s="194" t="s">
        <v>690</v>
      </c>
      <c r="F71" s="419">
        <f>IF(F59=0,Thermostat!$B$10,Thermostat!$B$9)</f>
        <v>85</v>
      </c>
      <c r="G71" s="419">
        <f>IF(G59=0,Thermostat!$B$10,Thermostat!$B$9)</f>
        <v>85</v>
      </c>
      <c r="H71" s="419">
        <f>IF(H59=0,Thermostat!$B$10,Thermostat!$B$9)</f>
        <v>85</v>
      </c>
      <c r="I71" s="419">
        <f>IF(I59=0,Thermostat!$B$10,Thermostat!$B$9)</f>
        <v>85</v>
      </c>
      <c r="J71" s="419">
        <f>IF(J59=0,Thermostat!$B$10,Thermostat!$B$9)</f>
        <v>85</v>
      </c>
      <c r="K71" s="419">
        <f>IF(K59=0,Thermostat!$B$10,Thermostat!$B$9)</f>
        <v>85</v>
      </c>
      <c r="L71" s="419">
        <f>IF(L59=0,Thermostat!$B$10,Thermostat!$B$9)</f>
        <v>85</v>
      </c>
      <c r="M71" s="419">
        <f>IF(M59=0,Thermostat!$B$10,Thermostat!$B$9)</f>
        <v>85</v>
      </c>
      <c r="N71" s="419">
        <f>IF(N59=0,Thermostat!$B$10,Thermostat!$B$9)</f>
        <v>85</v>
      </c>
      <c r="O71" s="419">
        <f>IF(O59=0,Thermostat!$B$10,Thermostat!$B$9)</f>
        <v>85</v>
      </c>
      <c r="P71" s="419">
        <f>IF(P59=0,Thermostat!$B$10,Thermostat!$B$9)</f>
        <v>85</v>
      </c>
      <c r="Q71" s="419">
        <f>IF(Q59=0,Thermostat!$B$10,Thermostat!$B$9)</f>
        <v>85</v>
      </c>
      <c r="R71" s="419">
        <f>IF(R59=0,Thermostat!$B$10,Thermostat!$B$9)</f>
        <v>85</v>
      </c>
      <c r="S71" s="419">
        <f>IF(S59=0,Thermostat!$B$10,Thermostat!$B$9)</f>
        <v>85</v>
      </c>
      <c r="T71" s="419">
        <f>IF(T59=0,Thermostat!$B$10,Thermostat!$B$9)</f>
        <v>85</v>
      </c>
      <c r="U71" s="419">
        <f>IF(U59=0,Thermostat!$B$10,Thermostat!$B$9)</f>
        <v>85</v>
      </c>
      <c r="V71" s="419">
        <f>IF(V59=0,Thermostat!$B$10,Thermostat!$B$9)</f>
        <v>85</v>
      </c>
      <c r="W71" s="419">
        <f>IF(W59=0,Thermostat!$B$10,Thermostat!$B$9)</f>
        <v>85</v>
      </c>
      <c r="X71" s="419">
        <f>IF(X59=0,Thermostat!$B$10,Thermostat!$B$9)</f>
        <v>85</v>
      </c>
      <c r="Y71" s="419">
        <f>IF(Y59=0,Thermostat!$B$10,Thermostat!$B$9)</f>
        <v>85</v>
      </c>
      <c r="Z71" s="419">
        <f>IF(Z59=0,Thermostat!$B$10,Thermostat!$B$9)</f>
        <v>85</v>
      </c>
      <c r="AA71" s="419">
        <f>IF(AA59=0,Thermostat!$B$10,Thermostat!$B$9)</f>
        <v>85</v>
      </c>
      <c r="AB71" s="419">
        <f>IF(AB59=0,Thermostat!$B$10,Thermostat!$B$9)</f>
        <v>85</v>
      </c>
      <c r="AC71" s="420">
        <f>IF(AC59=0,Thermostat!$B$10,Thermostat!$B$9)</f>
        <v>85</v>
      </c>
      <c r="AD71" s="41"/>
      <c r="AE71" s="41"/>
      <c r="AF71" s="41"/>
      <c r="AG71" s="41"/>
      <c r="AH71" s="41"/>
      <c r="AI71" s="41"/>
      <c r="AJ71" s="41"/>
    </row>
    <row r="72" spans="1:39" s="192" customFormat="1" ht="25.2" customHeight="1" thickBot="1" x14ac:dyDescent="0.3">
      <c r="A72" s="754"/>
      <c r="B72" s="759"/>
      <c r="C72" s="759"/>
      <c r="D72" s="762"/>
      <c r="E72" s="195" t="s">
        <v>691</v>
      </c>
      <c r="F72" s="421">
        <f>IF(F60=0,Thermostat!$B$10,Thermostat!$B$9)</f>
        <v>85</v>
      </c>
      <c r="G72" s="421">
        <f>IF(G60=0,Thermostat!$B$10,Thermostat!$B$9)</f>
        <v>85</v>
      </c>
      <c r="H72" s="421">
        <f>IF(H60=0,Thermostat!$B$10,Thermostat!$B$9)</f>
        <v>85</v>
      </c>
      <c r="I72" s="421">
        <f>IF(I60=0,Thermostat!$B$10,Thermostat!$B$9)</f>
        <v>85</v>
      </c>
      <c r="J72" s="421">
        <f>IF(J60=0,Thermostat!$B$10,Thermostat!$B$9)</f>
        <v>85</v>
      </c>
      <c r="K72" s="421">
        <f>IF(K60=0,Thermostat!$B$10,Thermostat!$B$9)</f>
        <v>85</v>
      </c>
      <c r="L72" s="421">
        <f>IF(L60=0,Thermostat!$B$10,Thermostat!$B$9)</f>
        <v>85</v>
      </c>
      <c r="M72" s="421">
        <f>IF(M60=0,Thermostat!$B$10,Thermostat!$B$9)</f>
        <v>85</v>
      </c>
      <c r="N72" s="421">
        <f>IF(N60=0,Thermostat!$B$10,Thermostat!$B$9)</f>
        <v>85</v>
      </c>
      <c r="O72" s="421">
        <f>IF(O60=0,Thermostat!$B$10,Thermostat!$B$9)</f>
        <v>85</v>
      </c>
      <c r="P72" s="421">
        <f>IF(P60=0,Thermostat!$B$10,Thermostat!$B$9)</f>
        <v>85</v>
      </c>
      <c r="Q72" s="421">
        <f>IF(Q60=0,Thermostat!$B$10,Thermostat!$B$9)</f>
        <v>85</v>
      </c>
      <c r="R72" s="421">
        <f>IF(R60=0,Thermostat!$B$10,Thermostat!$B$9)</f>
        <v>85</v>
      </c>
      <c r="S72" s="421">
        <f>IF(S60=0,Thermostat!$B$10,Thermostat!$B$9)</f>
        <v>85</v>
      </c>
      <c r="T72" s="421">
        <f>IF(T60=0,Thermostat!$B$10,Thermostat!$B$9)</f>
        <v>85</v>
      </c>
      <c r="U72" s="421">
        <f>IF(U60=0,Thermostat!$B$10,Thermostat!$B$9)</f>
        <v>85</v>
      </c>
      <c r="V72" s="421">
        <f>IF(V60=0,Thermostat!$B$10,Thermostat!$B$9)</f>
        <v>85</v>
      </c>
      <c r="W72" s="421">
        <f>IF(W60=0,Thermostat!$B$10,Thermostat!$B$9)</f>
        <v>85</v>
      </c>
      <c r="X72" s="421">
        <f>IF(X60=0,Thermostat!$B$10,Thermostat!$B$9)</f>
        <v>85</v>
      </c>
      <c r="Y72" s="421">
        <f>IF(Y60=0,Thermostat!$B$10,Thermostat!$B$9)</f>
        <v>85</v>
      </c>
      <c r="Z72" s="421">
        <f>IF(Z60=0,Thermostat!$B$10,Thermostat!$B$9)</f>
        <v>85</v>
      </c>
      <c r="AA72" s="421">
        <f>IF(AA60=0,Thermostat!$B$10,Thermostat!$B$9)</f>
        <v>85</v>
      </c>
      <c r="AB72" s="421">
        <f>IF(AB60=0,Thermostat!$B$10,Thermostat!$B$9)</f>
        <v>85</v>
      </c>
      <c r="AC72" s="422">
        <f>IF(AC60=0,Thermostat!$B$10,Thermostat!$B$9)</f>
        <v>85</v>
      </c>
      <c r="AD72" s="41"/>
      <c r="AE72" s="41"/>
      <c r="AF72" s="41"/>
      <c r="AG72" s="41"/>
      <c r="AH72" s="41"/>
      <c r="AI72" s="41"/>
      <c r="AJ72" s="41"/>
    </row>
    <row r="73" spans="1:39" s="192" customFormat="1" ht="25.2" customHeight="1" x14ac:dyDescent="0.25">
      <c r="A73" s="752" t="s">
        <v>687</v>
      </c>
      <c r="B73" s="757" t="s">
        <v>135</v>
      </c>
      <c r="C73" s="757" t="s">
        <v>692</v>
      </c>
      <c r="D73" s="760" t="s">
        <v>688</v>
      </c>
      <c r="E73" s="472" t="s">
        <v>689</v>
      </c>
      <c r="F73" s="176">
        <v>0</v>
      </c>
      <c r="G73" s="176">
        <v>0</v>
      </c>
      <c r="H73" s="176">
        <v>0</v>
      </c>
      <c r="I73" s="176">
        <v>0</v>
      </c>
      <c r="J73" s="176">
        <v>0</v>
      </c>
      <c r="K73" s="176">
        <v>1</v>
      </c>
      <c r="L73" s="176">
        <v>1</v>
      </c>
      <c r="M73" s="176">
        <v>1</v>
      </c>
      <c r="N73" s="176">
        <v>1</v>
      </c>
      <c r="O73" s="176">
        <v>1</v>
      </c>
      <c r="P73" s="176">
        <v>1</v>
      </c>
      <c r="Q73" s="176">
        <v>1</v>
      </c>
      <c r="R73" s="176">
        <v>1</v>
      </c>
      <c r="S73" s="176">
        <v>1</v>
      </c>
      <c r="T73" s="176">
        <v>1</v>
      </c>
      <c r="U73" s="176">
        <v>0</v>
      </c>
      <c r="V73" s="176">
        <v>0</v>
      </c>
      <c r="W73" s="176">
        <v>0</v>
      </c>
      <c r="X73" s="176">
        <v>0</v>
      </c>
      <c r="Y73" s="176">
        <v>0</v>
      </c>
      <c r="Z73" s="176">
        <v>0</v>
      </c>
      <c r="AA73" s="176">
        <v>0</v>
      </c>
      <c r="AB73" s="176">
        <v>0</v>
      </c>
      <c r="AC73" s="177">
        <v>0</v>
      </c>
      <c r="AD73" s="41"/>
      <c r="AE73" s="41"/>
      <c r="AF73" s="41"/>
      <c r="AG73" s="41"/>
      <c r="AH73" s="41"/>
      <c r="AI73" s="41"/>
      <c r="AJ73" s="41"/>
    </row>
    <row r="74" spans="1:39" s="192" customFormat="1" ht="25.2" customHeight="1" x14ac:dyDescent="0.25">
      <c r="A74" s="753"/>
      <c r="B74" s="758"/>
      <c r="C74" s="758"/>
      <c r="D74" s="761"/>
      <c r="E74" s="190" t="s">
        <v>690</v>
      </c>
      <c r="F74" s="178">
        <v>0</v>
      </c>
      <c r="G74" s="178">
        <v>0</v>
      </c>
      <c r="H74" s="178">
        <v>0</v>
      </c>
      <c r="I74" s="178">
        <v>0</v>
      </c>
      <c r="J74" s="178">
        <v>0</v>
      </c>
      <c r="K74" s="178">
        <v>0</v>
      </c>
      <c r="L74" s="178">
        <v>0</v>
      </c>
      <c r="M74" s="178">
        <v>0</v>
      </c>
      <c r="N74" s="178">
        <v>0</v>
      </c>
      <c r="O74" s="178">
        <v>0</v>
      </c>
      <c r="P74" s="178">
        <v>0</v>
      </c>
      <c r="Q74" s="178">
        <v>0</v>
      </c>
      <c r="R74" s="178">
        <v>0</v>
      </c>
      <c r="S74" s="178">
        <v>0</v>
      </c>
      <c r="T74" s="178">
        <v>0</v>
      </c>
      <c r="U74" s="178">
        <v>0</v>
      </c>
      <c r="V74" s="178">
        <v>0</v>
      </c>
      <c r="W74" s="178">
        <v>0</v>
      </c>
      <c r="X74" s="178">
        <v>0</v>
      </c>
      <c r="Y74" s="178">
        <v>0</v>
      </c>
      <c r="Z74" s="178">
        <v>0</v>
      </c>
      <c r="AA74" s="178">
        <v>0</v>
      </c>
      <c r="AB74" s="178">
        <v>0</v>
      </c>
      <c r="AC74" s="179">
        <v>0</v>
      </c>
      <c r="AD74" s="41"/>
      <c r="AE74" s="41"/>
      <c r="AF74" s="41"/>
      <c r="AG74" s="41"/>
      <c r="AH74" s="41"/>
      <c r="AI74" s="41"/>
      <c r="AJ74" s="41"/>
    </row>
    <row r="75" spans="1:39" s="192" customFormat="1" ht="25.2" customHeight="1" thickBot="1" x14ac:dyDescent="0.3">
      <c r="A75" s="754"/>
      <c r="B75" s="759"/>
      <c r="C75" s="759"/>
      <c r="D75" s="762"/>
      <c r="E75" s="191" t="s">
        <v>691</v>
      </c>
      <c r="F75" s="180">
        <v>0</v>
      </c>
      <c r="G75" s="180">
        <v>0</v>
      </c>
      <c r="H75" s="180">
        <v>0</v>
      </c>
      <c r="I75" s="180">
        <v>0</v>
      </c>
      <c r="J75" s="180">
        <v>0</v>
      </c>
      <c r="K75" s="180">
        <v>0</v>
      </c>
      <c r="L75" s="180">
        <v>0</v>
      </c>
      <c r="M75" s="180">
        <v>0</v>
      </c>
      <c r="N75" s="180">
        <v>0</v>
      </c>
      <c r="O75" s="180">
        <v>0</v>
      </c>
      <c r="P75" s="180">
        <v>0</v>
      </c>
      <c r="Q75" s="180">
        <v>0</v>
      </c>
      <c r="R75" s="180">
        <v>0</v>
      </c>
      <c r="S75" s="180">
        <v>0</v>
      </c>
      <c r="T75" s="180">
        <v>0</v>
      </c>
      <c r="U75" s="180">
        <v>0</v>
      </c>
      <c r="V75" s="180">
        <v>0</v>
      </c>
      <c r="W75" s="180">
        <v>0</v>
      </c>
      <c r="X75" s="180">
        <v>0</v>
      </c>
      <c r="Y75" s="180">
        <v>0</v>
      </c>
      <c r="Z75" s="180">
        <v>0</v>
      </c>
      <c r="AA75" s="180">
        <v>0</v>
      </c>
      <c r="AB75" s="180">
        <v>0</v>
      </c>
      <c r="AC75" s="181">
        <v>0</v>
      </c>
      <c r="AD75" s="41"/>
      <c r="AE75" s="41"/>
      <c r="AF75" s="41"/>
      <c r="AG75" s="41"/>
      <c r="AH75" s="41"/>
      <c r="AI75" s="41"/>
      <c r="AJ75" s="41"/>
    </row>
    <row r="76" spans="1:39" s="192" customFormat="1" ht="25.2" customHeight="1" x14ac:dyDescent="0.25">
      <c r="A76" s="752" t="s">
        <v>687</v>
      </c>
      <c r="B76" s="757" t="s">
        <v>135</v>
      </c>
      <c r="C76" s="757" t="s">
        <v>284</v>
      </c>
      <c r="D76" s="760" t="s">
        <v>688</v>
      </c>
      <c r="E76" s="472" t="s">
        <v>689</v>
      </c>
      <c r="F76" s="176">
        <v>1</v>
      </c>
      <c r="G76" s="176">
        <v>1</v>
      </c>
      <c r="H76" s="176">
        <v>1</v>
      </c>
      <c r="I76" s="176">
        <v>1</v>
      </c>
      <c r="J76" s="176">
        <v>1</v>
      </c>
      <c r="K76" s="176">
        <v>0.25</v>
      </c>
      <c r="L76" s="176">
        <v>0.25</v>
      </c>
      <c r="M76" s="176">
        <v>0.25</v>
      </c>
      <c r="N76" s="176">
        <v>0.25</v>
      </c>
      <c r="O76" s="176">
        <v>0.25</v>
      </c>
      <c r="P76" s="176">
        <v>0.25</v>
      </c>
      <c r="Q76" s="176">
        <v>0.25</v>
      </c>
      <c r="R76" s="176">
        <v>0.25</v>
      </c>
      <c r="S76" s="176">
        <v>0.25</v>
      </c>
      <c r="T76" s="176">
        <v>0.25</v>
      </c>
      <c r="U76" s="176">
        <v>1</v>
      </c>
      <c r="V76" s="176">
        <v>1</v>
      </c>
      <c r="W76" s="176">
        <v>1</v>
      </c>
      <c r="X76" s="176">
        <v>1</v>
      </c>
      <c r="Y76" s="176">
        <v>1</v>
      </c>
      <c r="Z76" s="176">
        <v>1</v>
      </c>
      <c r="AA76" s="176">
        <v>1</v>
      </c>
      <c r="AB76" s="176">
        <v>1</v>
      </c>
      <c r="AC76" s="177">
        <v>1</v>
      </c>
      <c r="AD76" s="41"/>
      <c r="AE76" s="41"/>
      <c r="AF76" s="41"/>
      <c r="AG76" s="41"/>
      <c r="AH76" s="41"/>
      <c r="AI76" s="41"/>
      <c r="AJ76" s="41"/>
    </row>
    <row r="77" spans="1:39" s="192" customFormat="1" ht="25.2" customHeight="1" x14ac:dyDescent="0.25">
      <c r="A77" s="753"/>
      <c r="B77" s="758"/>
      <c r="C77" s="758"/>
      <c r="D77" s="761"/>
      <c r="E77" s="190" t="s">
        <v>690</v>
      </c>
      <c r="F77" s="178">
        <v>1</v>
      </c>
      <c r="G77" s="178">
        <v>1</v>
      </c>
      <c r="H77" s="178">
        <v>1</v>
      </c>
      <c r="I77" s="178">
        <v>1</v>
      </c>
      <c r="J77" s="178">
        <v>1</v>
      </c>
      <c r="K77" s="178">
        <v>1</v>
      </c>
      <c r="L77" s="178">
        <v>1</v>
      </c>
      <c r="M77" s="178">
        <v>1</v>
      </c>
      <c r="N77" s="178">
        <v>1</v>
      </c>
      <c r="O77" s="178">
        <v>1</v>
      </c>
      <c r="P77" s="178">
        <v>1</v>
      </c>
      <c r="Q77" s="178">
        <v>1</v>
      </c>
      <c r="R77" s="178">
        <v>1</v>
      </c>
      <c r="S77" s="178">
        <v>1</v>
      </c>
      <c r="T77" s="178">
        <v>1</v>
      </c>
      <c r="U77" s="178">
        <v>1</v>
      </c>
      <c r="V77" s="178">
        <v>1</v>
      </c>
      <c r="W77" s="178">
        <v>1</v>
      </c>
      <c r="X77" s="178">
        <v>1</v>
      </c>
      <c r="Y77" s="178">
        <v>1</v>
      </c>
      <c r="Z77" s="178">
        <v>1</v>
      </c>
      <c r="AA77" s="178">
        <v>1</v>
      </c>
      <c r="AB77" s="178">
        <v>1</v>
      </c>
      <c r="AC77" s="179">
        <v>1</v>
      </c>
      <c r="AD77" s="41"/>
      <c r="AE77" s="41"/>
      <c r="AF77" s="41"/>
      <c r="AG77" s="41"/>
      <c r="AH77" s="41"/>
      <c r="AI77" s="41"/>
      <c r="AJ77" s="41"/>
    </row>
    <row r="78" spans="1:39" s="192" customFormat="1" ht="25.2" customHeight="1" thickBot="1" x14ac:dyDescent="0.3">
      <c r="A78" s="754"/>
      <c r="B78" s="759"/>
      <c r="C78" s="759"/>
      <c r="D78" s="762"/>
      <c r="E78" s="191" t="s">
        <v>691</v>
      </c>
      <c r="F78" s="180">
        <v>1</v>
      </c>
      <c r="G78" s="180">
        <v>1</v>
      </c>
      <c r="H78" s="180">
        <v>1</v>
      </c>
      <c r="I78" s="180">
        <v>1</v>
      </c>
      <c r="J78" s="180">
        <v>1</v>
      </c>
      <c r="K78" s="180">
        <v>1</v>
      </c>
      <c r="L78" s="180">
        <v>1</v>
      </c>
      <c r="M78" s="180">
        <v>1</v>
      </c>
      <c r="N78" s="180">
        <v>1</v>
      </c>
      <c r="O78" s="180">
        <v>1</v>
      </c>
      <c r="P78" s="180">
        <v>1</v>
      </c>
      <c r="Q78" s="180">
        <v>1</v>
      </c>
      <c r="R78" s="180">
        <v>1</v>
      </c>
      <c r="S78" s="180">
        <v>1</v>
      </c>
      <c r="T78" s="180">
        <v>1</v>
      </c>
      <c r="U78" s="180">
        <v>1</v>
      </c>
      <c r="V78" s="180">
        <v>1</v>
      </c>
      <c r="W78" s="180">
        <v>1</v>
      </c>
      <c r="X78" s="180">
        <v>1</v>
      </c>
      <c r="Y78" s="180">
        <v>1</v>
      </c>
      <c r="Z78" s="180">
        <v>1</v>
      </c>
      <c r="AA78" s="180">
        <v>1</v>
      </c>
      <c r="AB78" s="180">
        <v>1</v>
      </c>
      <c r="AC78" s="181">
        <v>1</v>
      </c>
      <c r="AD78" s="41"/>
      <c r="AE78" s="41"/>
      <c r="AF78" s="41"/>
      <c r="AG78" s="41"/>
      <c r="AH78" s="41"/>
      <c r="AI78" s="41"/>
      <c r="AJ78" s="41"/>
    </row>
    <row r="79" spans="1:39" ht="36" customHeight="1" x14ac:dyDescent="0.3">
      <c r="A79" s="752" t="s">
        <v>687</v>
      </c>
      <c r="B79" s="757" t="s">
        <v>135</v>
      </c>
      <c r="C79" s="850" t="s">
        <v>683</v>
      </c>
      <c r="D79" s="778" t="s">
        <v>681</v>
      </c>
      <c r="E79" s="472" t="s">
        <v>689</v>
      </c>
      <c r="F79" s="176">
        <v>0.9</v>
      </c>
      <c r="G79" s="176">
        <v>0.9</v>
      </c>
      <c r="H79" s="176">
        <v>0.9</v>
      </c>
      <c r="I79" s="176">
        <v>0.9</v>
      </c>
      <c r="J79" s="176">
        <v>0.9</v>
      </c>
      <c r="K79" s="176">
        <v>0.9</v>
      </c>
      <c r="L79" s="176">
        <v>0.9</v>
      </c>
      <c r="M79" s="176">
        <v>0.9</v>
      </c>
      <c r="N79" s="176">
        <v>0.9</v>
      </c>
      <c r="O79" s="176">
        <v>0.9</v>
      </c>
      <c r="P79" s="176">
        <v>0.9</v>
      </c>
      <c r="Q79" s="176">
        <v>0.9</v>
      </c>
      <c r="R79" s="176">
        <v>0.9</v>
      </c>
      <c r="S79" s="176">
        <v>0.9</v>
      </c>
      <c r="T79" s="176">
        <v>0.9</v>
      </c>
      <c r="U79" s="176">
        <v>0.9</v>
      </c>
      <c r="V79" s="176">
        <v>0.9</v>
      </c>
      <c r="W79" s="176">
        <v>0.9</v>
      </c>
      <c r="X79" s="176">
        <v>0.9</v>
      </c>
      <c r="Y79" s="176">
        <v>0.9</v>
      </c>
      <c r="Z79" s="176">
        <v>0.9</v>
      </c>
      <c r="AA79" s="176">
        <v>0.9</v>
      </c>
      <c r="AB79" s="176">
        <v>0.9</v>
      </c>
      <c r="AC79" s="177">
        <v>0.9</v>
      </c>
      <c r="AD79" s="42"/>
      <c r="AE79" s="41"/>
      <c r="AF79" s="41"/>
      <c r="AG79" s="41"/>
      <c r="AH79" s="41"/>
      <c r="AI79" s="41"/>
      <c r="AJ79" s="41"/>
      <c r="AK79" s="41"/>
      <c r="AM79" s="52"/>
    </row>
    <row r="80" spans="1:39" ht="36" customHeight="1" x14ac:dyDescent="0.3">
      <c r="A80" s="753"/>
      <c r="B80" s="758"/>
      <c r="C80" s="851"/>
      <c r="D80" s="806"/>
      <c r="E80" s="190" t="s">
        <v>690</v>
      </c>
      <c r="F80" s="178">
        <v>0.9</v>
      </c>
      <c r="G80" s="178">
        <v>0.9</v>
      </c>
      <c r="H80" s="178">
        <v>0.9</v>
      </c>
      <c r="I80" s="178">
        <v>0.9</v>
      </c>
      <c r="J80" s="178">
        <v>0.9</v>
      </c>
      <c r="K80" s="178">
        <v>0.9</v>
      </c>
      <c r="L80" s="178">
        <v>0.9</v>
      </c>
      <c r="M80" s="178">
        <v>0.9</v>
      </c>
      <c r="N80" s="178">
        <v>0.9</v>
      </c>
      <c r="O80" s="178">
        <v>0.9</v>
      </c>
      <c r="P80" s="178">
        <v>0.9</v>
      </c>
      <c r="Q80" s="178">
        <v>0.9</v>
      </c>
      <c r="R80" s="178">
        <v>0.9</v>
      </c>
      <c r="S80" s="178">
        <v>0.9</v>
      </c>
      <c r="T80" s="178">
        <v>0.9</v>
      </c>
      <c r="U80" s="178">
        <v>0.9</v>
      </c>
      <c r="V80" s="178">
        <v>0.9</v>
      </c>
      <c r="W80" s="178">
        <v>0.9</v>
      </c>
      <c r="X80" s="178">
        <v>0.9</v>
      </c>
      <c r="Y80" s="178">
        <v>0.9</v>
      </c>
      <c r="Z80" s="178">
        <v>0.9</v>
      </c>
      <c r="AA80" s="178">
        <v>0.9</v>
      </c>
      <c r="AB80" s="178">
        <v>0.9</v>
      </c>
      <c r="AC80" s="179">
        <v>0.9</v>
      </c>
      <c r="AD80" s="42"/>
      <c r="AE80" s="41"/>
      <c r="AF80" s="41"/>
      <c r="AG80" s="41"/>
      <c r="AH80" s="41"/>
      <c r="AI80" s="41"/>
      <c r="AJ80" s="41"/>
      <c r="AK80" s="41"/>
      <c r="AM80" s="52"/>
    </row>
    <row r="81" spans="1:41" ht="36" customHeight="1" thickBot="1" x14ac:dyDescent="0.35">
      <c r="A81" s="754"/>
      <c r="B81" s="759"/>
      <c r="C81" s="852"/>
      <c r="D81" s="807"/>
      <c r="E81" s="191" t="s">
        <v>691</v>
      </c>
      <c r="F81" s="180">
        <v>0.9</v>
      </c>
      <c r="G81" s="180">
        <v>0.9</v>
      </c>
      <c r="H81" s="180">
        <v>0.9</v>
      </c>
      <c r="I81" s="180">
        <v>0.9</v>
      </c>
      <c r="J81" s="180">
        <v>0.9</v>
      </c>
      <c r="K81" s="180">
        <v>0.9</v>
      </c>
      <c r="L81" s="180">
        <v>0.9</v>
      </c>
      <c r="M81" s="180">
        <v>0.9</v>
      </c>
      <c r="N81" s="180">
        <v>0.9</v>
      </c>
      <c r="O81" s="180">
        <v>0.9</v>
      </c>
      <c r="P81" s="180">
        <v>0.9</v>
      </c>
      <c r="Q81" s="180">
        <v>0.9</v>
      </c>
      <c r="R81" s="180">
        <v>0.9</v>
      </c>
      <c r="S81" s="180">
        <v>0.9</v>
      </c>
      <c r="T81" s="180">
        <v>0.9</v>
      </c>
      <c r="U81" s="180">
        <v>0.9</v>
      </c>
      <c r="V81" s="180">
        <v>0.9</v>
      </c>
      <c r="W81" s="180">
        <v>0.9</v>
      </c>
      <c r="X81" s="180">
        <v>0.9</v>
      </c>
      <c r="Y81" s="180">
        <v>0.9</v>
      </c>
      <c r="Z81" s="180">
        <v>0.9</v>
      </c>
      <c r="AA81" s="180">
        <v>0.9</v>
      </c>
      <c r="AB81" s="180">
        <v>0.9</v>
      </c>
      <c r="AC81" s="181">
        <v>0.9</v>
      </c>
      <c r="AD81" s="42"/>
      <c r="AE81" s="41"/>
      <c r="AF81" s="41"/>
      <c r="AG81" s="41"/>
      <c r="AH81" s="41"/>
      <c r="AI81" s="41"/>
      <c r="AJ81" s="41"/>
      <c r="AK81" s="41"/>
      <c r="AM81" s="52"/>
    </row>
    <row r="82" spans="1:41" ht="38.700000000000003" customHeight="1" x14ac:dyDescent="0.3">
      <c r="A82" s="752" t="s">
        <v>687</v>
      </c>
      <c r="B82" s="800" t="s">
        <v>135</v>
      </c>
      <c r="C82" s="803" t="s">
        <v>682</v>
      </c>
      <c r="D82" s="778" t="s">
        <v>681</v>
      </c>
      <c r="E82" s="539" t="s">
        <v>689</v>
      </c>
      <c r="F82" s="182">
        <v>0</v>
      </c>
      <c r="G82" s="182">
        <v>0</v>
      </c>
      <c r="H82" s="182">
        <v>0</v>
      </c>
      <c r="I82" s="182">
        <v>0</v>
      </c>
      <c r="J82" s="182">
        <v>0</v>
      </c>
      <c r="K82" s="182">
        <v>0</v>
      </c>
      <c r="L82" s="182">
        <v>0</v>
      </c>
      <c r="M82" s="182">
        <v>0.5</v>
      </c>
      <c r="N82" s="182">
        <v>0.5</v>
      </c>
      <c r="O82" s="182">
        <v>0.75</v>
      </c>
      <c r="P82" s="182">
        <v>0.9</v>
      </c>
      <c r="Q82" s="182">
        <v>0.9</v>
      </c>
      <c r="R82" s="182">
        <v>0.9</v>
      </c>
      <c r="S82" s="182">
        <v>0</v>
      </c>
      <c r="T82" s="182">
        <v>0</v>
      </c>
      <c r="U82" s="182">
        <v>0</v>
      </c>
      <c r="V82" s="182">
        <v>0</v>
      </c>
      <c r="W82" s="182">
        <v>0</v>
      </c>
      <c r="X82" s="182">
        <v>0</v>
      </c>
      <c r="Y82" s="182">
        <v>0</v>
      </c>
      <c r="Z82" s="182">
        <v>0</v>
      </c>
      <c r="AA82" s="182">
        <v>0</v>
      </c>
      <c r="AB82" s="182">
        <v>0</v>
      </c>
      <c r="AC82" s="183">
        <v>0</v>
      </c>
      <c r="AD82" s="41"/>
      <c r="AE82" s="41"/>
      <c r="AF82" s="41"/>
      <c r="AG82" s="41"/>
      <c r="AH82" s="41"/>
      <c r="AI82" s="41"/>
      <c r="AJ82" s="41"/>
      <c r="AK82" s="41"/>
      <c r="AM82" s="52"/>
      <c r="AO82" s="196"/>
    </row>
    <row r="83" spans="1:41" ht="38.700000000000003" customHeight="1" x14ac:dyDescent="0.3">
      <c r="A83" s="753"/>
      <c r="B83" s="801"/>
      <c r="C83" s="804"/>
      <c r="D83" s="806"/>
      <c r="E83" s="184" t="s">
        <v>690</v>
      </c>
      <c r="F83" s="178">
        <v>0</v>
      </c>
      <c r="G83" s="178">
        <v>0</v>
      </c>
      <c r="H83" s="178">
        <v>0</v>
      </c>
      <c r="I83" s="178">
        <v>0</v>
      </c>
      <c r="J83" s="178">
        <v>0</v>
      </c>
      <c r="K83" s="178">
        <v>0</v>
      </c>
      <c r="L83" s="178">
        <v>0</v>
      </c>
      <c r="M83" s="178">
        <v>0</v>
      </c>
      <c r="N83" s="178">
        <v>0</v>
      </c>
      <c r="O83" s="178">
        <v>0</v>
      </c>
      <c r="P83" s="178">
        <v>0</v>
      </c>
      <c r="Q83" s="178">
        <v>0</v>
      </c>
      <c r="R83" s="178">
        <v>0</v>
      </c>
      <c r="S83" s="178">
        <v>0</v>
      </c>
      <c r="T83" s="178">
        <v>0</v>
      </c>
      <c r="U83" s="178">
        <v>0</v>
      </c>
      <c r="V83" s="178">
        <v>0</v>
      </c>
      <c r="W83" s="178">
        <v>0</v>
      </c>
      <c r="X83" s="178">
        <v>0</v>
      </c>
      <c r="Y83" s="178">
        <v>0</v>
      </c>
      <c r="Z83" s="178">
        <v>0</v>
      </c>
      <c r="AA83" s="178">
        <v>0</v>
      </c>
      <c r="AB83" s="178">
        <v>0</v>
      </c>
      <c r="AC83" s="179">
        <v>0</v>
      </c>
      <c r="AD83" s="41"/>
      <c r="AE83" s="41"/>
      <c r="AF83" s="41"/>
      <c r="AG83" s="41"/>
      <c r="AH83" s="41"/>
      <c r="AI83" s="41"/>
      <c r="AJ83" s="41"/>
      <c r="AK83" s="41"/>
      <c r="AM83" s="52"/>
      <c r="AO83" s="196"/>
    </row>
    <row r="84" spans="1:41" ht="38.700000000000003" customHeight="1" x14ac:dyDescent="0.3">
      <c r="A84" s="754"/>
      <c r="B84" s="802"/>
      <c r="C84" s="805"/>
      <c r="D84" s="807"/>
      <c r="E84" s="452" t="s">
        <v>691</v>
      </c>
      <c r="F84" s="453">
        <v>0</v>
      </c>
      <c r="G84" s="453">
        <v>0</v>
      </c>
      <c r="H84" s="453">
        <v>0</v>
      </c>
      <c r="I84" s="453">
        <v>0</v>
      </c>
      <c r="J84" s="453">
        <v>0</v>
      </c>
      <c r="K84" s="453">
        <v>0</v>
      </c>
      <c r="L84" s="453">
        <v>0</v>
      </c>
      <c r="M84" s="453">
        <v>0</v>
      </c>
      <c r="N84" s="453">
        <v>0</v>
      </c>
      <c r="O84" s="453">
        <v>0</v>
      </c>
      <c r="P84" s="453">
        <v>0</v>
      </c>
      <c r="Q84" s="453">
        <v>0</v>
      </c>
      <c r="R84" s="453">
        <v>0</v>
      </c>
      <c r="S84" s="453">
        <v>0</v>
      </c>
      <c r="T84" s="453">
        <v>0</v>
      </c>
      <c r="U84" s="453">
        <v>0</v>
      </c>
      <c r="V84" s="453">
        <v>0</v>
      </c>
      <c r="W84" s="453">
        <v>0</v>
      </c>
      <c r="X84" s="453">
        <v>0</v>
      </c>
      <c r="Y84" s="453">
        <v>0</v>
      </c>
      <c r="Z84" s="453">
        <v>0</v>
      </c>
      <c r="AA84" s="453">
        <v>0</v>
      </c>
      <c r="AB84" s="453">
        <v>0</v>
      </c>
      <c r="AC84" s="454">
        <v>0</v>
      </c>
      <c r="AD84" s="41"/>
      <c r="AE84" s="41"/>
      <c r="AF84" s="41"/>
      <c r="AG84" s="41"/>
      <c r="AH84" s="41"/>
      <c r="AI84" s="41"/>
      <c r="AJ84" s="41"/>
      <c r="AK84" s="41"/>
      <c r="AM84" s="52"/>
      <c r="AO84" s="196"/>
    </row>
    <row r="85" spans="1:41" ht="38.700000000000003" customHeight="1" x14ac:dyDescent="0.3">
      <c r="A85" s="752" t="s">
        <v>687</v>
      </c>
      <c r="B85" s="808" t="s">
        <v>135</v>
      </c>
      <c r="C85" s="757" t="s">
        <v>680</v>
      </c>
      <c r="D85" s="775" t="s">
        <v>681</v>
      </c>
      <c r="E85" s="540" t="s">
        <v>689</v>
      </c>
      <c r="F85" s="445">
        <v>0.05</v>
      </c>
      <c r="G85" s="445">
        <v>0.05</v>
      </c>
      <c r="H85" s="445">
        <v>0.05</v>
      </c>
      <c r="I85" s="445">
        <v>0.05</v>
      </c>
      <c r="J85" s="445">
        <v>0.05</v>
      </c>
      <c r="K85" s="445">
        <v>0.05</v>
      </c>
      <c r="L85" s="445">
        <v>0.05</v>
      </c>
      <c r="M85" s="445">
        <v>0.1</v>
      </c>
      <c r="N85" s="445">
        <v>0.34</v>
      </c>
      <c r="O85" s="445">
        <v>0.6</v>
      </c>
      <c r="P85" s="445">
        <v>0.63</v>
      </c>
      <c r="Q85" s="445">
        <v>0.72</v>
      </c>
      <c r="R85" s="445">
        <v>0.79</v>
      </c>
      <c r="S85" s="445">
        <v>0.83</v>
      </c>
      <c r="T85" s="445">
        <v>0.61</v>
      </c>
      <c r="U85" s="445">
        <v>0.65</v>
      </c>
      <c r="V85" s="445">
        <v>0.1</v>
      </c>
      <c r="W85" s="445">
        <v>0.1</v>
      </c>
      <c r="X85" s="445">
        <v>0.19</v>
      </c>
      <c r="Y85" s="445">
        <v>0.25</v>
      </c>
      <c r="Z85" s="445">
        <v>0.22</v>
      </c>
      <c r="AA85" s="445">
        <v>0.22</v>
      </c>
      <c r="AB85" s="445">
        <v>0.12</v>
      </c>
      <c r="AC85" s="446">
        <v>0.09</v>
      </c>
      <c r="AD85" s="41"/>
      <c r="AE85" s="41"/>
      <c r="AF85" s="41"/>
      <c r="AG85" s="41"/>
      <c r="AH85" s="41"/>
      <c r="AI85" s="41"/>
      <c r="AJ85" s="41"/>
      <c r="AK85" s="41"/>
      <c r="AM85" s="52"/>
    </row>
    <row r="86" spans="1:41" ht="38.700000000000003" customHeight="1" x14ac:dyDescent="0.3">
      <c r="A86" s="753"/>
      <c r="B86" s="809"/>
      <c r="C86" s="758"/>
      <c r="D86" s="811"/>
      <c r="E86" s="447" t="s">
        <v>690</v>
      </c>
      <c r="F86" s="197">
        <v>0.03</v>
      </c>
      <c r="G86" s="197">
        <v>0.03</v>
      </c>
      <c r="H86" s="197">
        <v>0.03</v>
      </c>
      <c r="I86" s="197">
        <v>0.03</v>
      </c>
      <c r="J86" s="197">
        <v>0.03</v>
      </c>
      <c r="K86" s="197">
        <v>0.03</v>
      </c>
      <c r="L86" s="197">
        <v>0.03</v>
      </c>
      <c r="M86" s="197">
        <v>0.03</v>
      </c>
      <c r="N86" s="197">
        <v>0.03</v>
      </c>
      <c r="O86" s="197">
        <v>0.03</v>
      </c>
      <c r="P86" s="197">
        <v>0.03</v>
      </c>
      <c r="Q86" s="197">
        <v>0.03</v>
      </c>
      <c r="R86" s="197">
        <v>0.03</v>
      </c>
      <c r="S86" s="197">
        <v>0.03</v>
      </c>
      <c r="T86" s="197">
        <v>0.03</v>
      </c>
      <c r="U86" s="197">
        <v>0.03</v>
      </c>
      <c r="V86" s="197">
        <v>0.03</v>
      </c>
      <c r="W86" s="197">
        <v>0.03</v>
      </c>
      <c r="X86" s="197">
        <v>0.03</v>
      </c>
      <c r="Y86" s="197">
        <v>0.03</v>
      </c>
      <c r="Z86" s="197">
        <v>0.03</v>
      </c>
      <c r="AA86" s="197">
        <v>0.03</v>
      </c>
      <c r="AB86" s="197">
        <v>0.03</v>
      </c>
      <c r="AC86" s="448">
        <v>0.03</v>
      </c>
      <c r="AD86" s="41"/>
      <c r="AE86" s="41"/>
      <c r="AF86" s="41"/>
      <c r="AG86" s="41"/>
      <c r="AH86" s="41"/>
      <c r="AI86" s="41"/>
      <c r="AJ86" s="41"/>
      <c r="AK86" s="41"/>
      <c r="AM86" s="52"/>
    </row>
    <row r="87" spans="1:41" ht="38.700000000000003" customHeight="1" x14ac:dyDescent="0.3">
      <c r="A87" s="754"/>
      <c r="B87" s="810"/>
      <c r="C87" s="759"/>
      <c r="D87" s="812"/>
      <c r="E87" s="449" t="s">
        <v>691</v>
      </c>
      <c r="F87" s="450">
        <v>0.03</v>
      </c>
      <c r="G87" s="450">
        <v>0.03</v>
      </c>
      <c r="H87" s="450">
        <v>0.03</v>
      </c>
      <c r="I87" s="450">
        <v>0.03</v>
      </c>
      <c r="J87" s="450">
        <v>0.03</v>
      </c>
      <c r="K87" s="450">
        <v>0.03</v>
      </c>
      <c r="L87" s="450">
        <v>0.03</v>
      </c>
      <c r="M87" s="450">
        <v>0.03</v>
      </c>
      <c r="N87" s="450">
        <v>0.03</v>
      </c>
      <c r="O87" s="450">
        <v>0.03</v>
      </c>
      <c r="P87" s="450">
        <v>0.03</v>
      </c>
      <c r="Q87" s="450">
        <v>0.03</v>
      </c>
      <c r="R87" s="450">
        <v>0.03</v>
      </c>
      <c r="S87" s="450">
        <v>0.03</v>
      </c>
      <c r="T87" s="450">
        <v>0.03</v>
      </c>
      <c r="U87" s="450">
        <v>0.03</v>
      </c>
      <c r="V87" s="450">
        <v>0.03</v>
      </c>
      <c r="W87" s="450">
        <v>0.03</v>
      </c>
      <c r="X87" s="450">
        <v>0.03</v>
      </c>
      <c r="Y87" s="450">
        <v>0.03</v>
      </c>
      <c r="Z87" s="450">
        <v>0.03</v>
      </c>
      <c r="AA87" s="450">
        <v>0.03</v>
      </c>
      <c r="AB87" s="450">
        <v>0.03</v>
      </c>
      <c r="AC87" s="451">
        <v>0.03</v>
      </c>
      <c r="AD87" s="41"/>
      <c r="AE87" s="41"/>
      <c r="AF87" s="41"/>
      <c r="AG87" s="41"/>
      <c r="AH87" s="41"/>
      <c r="AI87" s="41"/>
      <c r="AJ87" s="41"/>
      <c r="AK87" s="41"/>
      <c r="AM87" s="52"/>
    </row>
    <row r="88" spans="1:41" ht="35.25" customHeight="1" thickBot="1" x14ac:dyDescent="0.35">
      <c r="A88" s="853" t="s">
        <v>118</v>
      </c>
      <c r="B88" s="853"/>
      <c r="C88" s="853" t="s">
        <v>26</v>
      </c>
      <c r="D88" s="853"/>
      <c r="E88" s="853"/>
      <c r="F88" s="853"/>
      <c r="G88" s="853"/>
      <c r="H88" s="853"/>
      <c r="I88" s="853"/>
      <c r="J88" s="853"/>
      <c r="K88" s="853"/>
      <c r="L88" s="853"/>
      <c r="M88" s="853"/>
      <c r="N88" s="853"/>
      <c r="O88" s="853"/>
      <c r="P88" s="853"/>
      <c r="Q88" s="853"/>
      <c r="R88" s="853"/>
      <c r="S88" s="853"/>
      <c r="T88" s="853"/>
      <c r="U88" s="853"/>
      <c r="V88" s="853"/>
      <c r="W88" s="853"/>
      <c r="X88" s="853"/>
      <c r="Y88" s="853"/>
      <c r="Z88" s="853"/>
      <c r="AA88" s="853"/>
      <c r="AB88" s="853"/>
      <c r="AC88" s="854"/>
    </row>
    <row r="89" spans="1:41" customFormat="1" ht="26.4" customHeight="1" x14ac:dyDescent="0.3">
      <c r="A89" s="746" t="s">
        <v>693</v>
      </c>
      <c r="B89" s="757" t="s">
        <v>118</v>
      </c>
      <c r="C89" s="757" t="s">
        <v>671</v>
      </c>
      <c r="D89" s="879" t="s">
        <v>672</v>
      </c>
      <c r="E89" s="882" t="s">
        <v>673</v>
      </c>
      <c r="F89" s="456">
        <v>0</v>
      </c>
      <c r="G89" s="456">
        <v>0</v>
      </c>
      <c r="H89" s="456">
        <v>0</v>
      </c>
      <c r="I89" s="456">
        <v>0</v>
      </c>
      <c r="J89" s="456">
        <v>0</v>
      </c>
      <c r="K89" s="456">
        <v>0</v>
      </c>
      <c r="L89" s="456">
        <v>0</v>
      </c>
      <c r="M89" s="456">
        <v>0</v>
      </c>
      <c r="N89" s="456">
        <v>0</v>
      </c>
      <c r="O89" s="456">
        <v>0</v>
      </c>
      <c r="P89" s="456">
        <v>0</v>
      </c>
      <c r="Q89" s="456">
        <v>0</v>
      </c>
      <c r="R89" s="456">
        <v>0</v>
      </c>
      <c r="S89" s="456">
        <v>0</v>
      </c>
      <c r="T89" s="456">
        <v>0</v>
      </c>
      <c r="U89" s="456">
        <v>0</v>
      </c>
      <c r="V89" s="456">
        <v>0</v>
      </c>
      <c r="W89" s="456">
        <v>0</v>
      </c>
      <c r="X89" s="456">
        <v>0</v>
      </c>
      <c r="Y89" s="456">
        <v>0</v>
      </c>
      <c r="Z89" s="456">
        <v>0</v>
      </c>
      <c r="AA89" s="456">
        <v>0</v>
      </c>
      <c r="AB89" s="456">
        <v>0</v>
      </c>
      <c r="AC89" s="457">
        <v>0</v>
      </c>
      <c r="AD89" s="41"/>
      <c r="AE89" s="41"/>
      <c r="AF89" s="41"/>
      <c r="AG89" s="41"/>
      <c r="AH89" s="41"/>
      <c r="AI89" s="41"/>
      <c r="AJ89" s="41"/>
    </row>
    <row r="90" spans="1:41" customFormat="1" ht="26.4" customHeight="1" x14ac:dyDescent="0.3">
      <c r="A90" s="747"/>
      <c r="B90" s="758"/>
      <c r="C90" s="758"/>
      <c r="D90" s="880"/>
      <c r="E90" s="883" t="s">
        <v>694</v>
      </c>
      <c r="F90" s="263">
        <v>0</v>
      </c>
      <c r="G90" s="263">
        <v>0</v>
      </c>
      <c r="H90" s="263">
        <v>0</v>
      </c>
      <c r="I90" s="263">
        <v>0</v>
      </c>
      <c r="J90" s="263">
        <v>0</v>
      </c>
      <c r="K90" s="263">
        <v>0</v>
      </c>
      <c r="L90" s="263">
        <v>0.1</v>
      </c>
      <c r="M90" s="263">
        <v>0.5</v>
      </c>
      <c r="N90" s="263">
        <v>0.25</v>
      </c>
      <c r="O90" s="263">
        <v>0.25</v>
      </c>
      <c r="P90" s="263">
        <v>0.05</v>
      </c>
      <c r="Q90" s="263">
        <v>0.25</v>
      </c>
      <c r="R90" s="263">
        <v>0.95</v>
      </c>
      <c r="S90" s="263">
        <v>0.95</v>
      </c>
      <c r="T90" s="263">
        <v>0.25</v>
      </c>
      <c r="U90" s="263">
        <v>0.1</v>
      </c>
      <c r="V90" s="263">
        <v>0.1</v>
      </c>
      <c r="W90" s="263">
        <v>0.1</v>
      </c>
      <c r="X90" s="263">
        <v>0</v>
      </c>
      <c r="Y90" s="263">
        <v>0</v>
      </c>
      <c r="Z90" s="263">
        <v>0</v>
      </c>
      <c r="AA90" s="263">
        <v>0</v>
      </c>
      <c r="AB90" s="263">
        <v>0</v>
      </c>
      <c r="AC90" s="459">
        <v>0</v>
      </c>
      <c r="AD90" s="41"/>
      <c r="AE90" s="41"/>
      <c r="AF90" s="41"/>
      <c r="AG90" s="41"/>
      <c r="AH90" s="41"/>
      <c r="AI90" s="41"/>
      <c r="AJ90" s="41"/>
    </row>
    <row r="91" spans="1:41" customFormat="1" ht="26.4" customHeight="1" x14ac:dyDescent="0.3">
      <c r="A91" s="747"/>
      <c r="B91" s="758"/>
      <c r="C91" s="758"/>
      <c r="D91" s="880"/>
      <c r="E91" s="883" t="s">
        <v>695</v>
      </c>
      <c r="F91" s="263">
        <v>0</v>
      </c>
      <c r="G91" s="263">
        <v>0</v>
      </c>
      <c r="H91" s="263">
        <v>0</v>
      </c>
      <c r="I91" s="263">
        <v>0</v>
      </c>
      <c r="J91" s="263">
        <v>0</v>
      </c>
      <c r="K91" s="263">
        <v>0</v>
      </c>
      <c r="L91" s="263">
        <v>0.1</v>
      </c>
      <c r="M91" s="263">
        <v>0.5</v>
      </c>
      <c r="N91" s="263">
        <v>0.25</v>
      </c>
      <c r="O91" s="263">
        <v>0.25</v>
      </c>
      <c r="P91" s="263">
        <v>0.05</v>
      </c>
      <c r="Q91" s="263">
        <v>0.25</v>
      </c>
      <c r="R91" s="263">
        <v>0.95</v>
      </c>
      <c r="S91" s="263">
        <v>0.95</v>
      </c>
      <c r="T91" s="263">
        <v>0.25</v>
      </c>
      <c r="U91" s="263">
        <v>0.2</v>
      </c>
      <c r="V91" s="263">
        <v>0.2</v>
      </c>
      <c r="W91" s="263">
        <v>0.2</v>
      </c>
      <c r="X91" s="263">
        <v>0.15</v>
      </c>
      <c r="Y91" s="263">
        <v>0.15</v>
      </c>
      <c r="Z91" s="263">
        <v>0</v>
      </c>
      <c r="AA91" s="263">
        <v>0</v>
      </c>
      <c r="AB91" s="263">
        <v>0</v>
      </c>
      <c r="AC91" s="459">
        <v>0</v>
      </c>
      <c r="AD91" s="41"/>
      <c r="AE91" s="41"/>
      <c r="AF91" s="41"/>
      <c r="AG91" s="41"/>
      <c r="AH91" s="41"/>
      <c r="AI91" s="41"/>
      <c r="AJ91" s="41"/>
    </row>
    <row r="92" spans="1:41" customFormat="1" ht="26.4" customHeight="1" x14ac:dyDescent="0.3">
      <c r="A92" s="747"/>
      <c r="B92" s="758"/>
      <c r="C92" s="758"/>
      <c r="D92" s="880"/>
      <c r="E92" s="883" t="s">
        <v>696</v>
      </c>
      <c r="F92" s="263">
        <v>0</v>
      </c>
      <c r="G92" s="263">
        <v>0</v>
      </c>
      <c r="H92" s="263">
        <v>0</v>
      </c>
      <c r="I92" s="263">
        <v>0</v>
      </c>
      <c r="J92" s="263">
        <v>0</v>
      </c>
      <c r="K92" s="263">
        <v>0</v>
      </c>
      <c r="L92" s="263">
        <v>0</v>
      </c>
      <c r="M92" s="263">
        <v>0.1</v>
      </c>
      <c r="N92" s="263">
        <v>0.2</v>
      </c>
      <c r="O92" s="263">
        <v>0.2</v>
      </c>
      <c r="P92" s="263">
        <v>0.2</v>
      </c>
      <c r="Q92" s="263">
        <v>0.2</v>
      </c>
      <c r="R92" s="263">
        <v>0.2</v>
      </c>
      <c r="S92" s="263">
        <v>0.2</v>
      </c>
      <c r="T92" s="263">
        <v>0.2</v>
      </c>
      <c r="U92" s="263">
        <v>0.2</v>
      </c>
      <c r="V92" s="263">
        <v>0.2</v>
      </c>
      <c r="W92" s="263">
        <v>0.1</v>
      </c>
      <c r="X92" s="263">
        <v>0</v>
      </c>
      <c r="Y92" s="263">
        <v>0</v>
      </c>
      <c r="Z92" s="263">
        <v>0</v>
      </c>
      <c r="AA92" s="263">
        <v>0</v>
      </c>
      <c r="AB92" s="263">
        <v>0</v>
      </c>
      <c r="AC92" s="459">
        <v>0</v>
      </c>
      <c r="AD92" s="41"/>
      <c r="AE92" s="41"/>
      <c r="AF92" s="41"/>
      <c r="AG92" s="41"/>
      <c r="AH92" s="41"/>
      <c r="AI92" s="41"/>
      <c r="AJ92" s="41"/>
    </row>
    <row r="93" spans="1:41" customFormat="1" ht="26.4" customHeight="1" x14ac:dyDescent="0.3">
      <c r="A93" s="747"/>
      <c r="B93" s="758"/>
      <c r="C93" s="758"/>
      <c r="D93" s="880"/>
      <c r="E93" s="883" t="s">
        <v>697</v>
      </c>
      <c r="F93" s="263">
        <v>0</v>
      </c>
      <c r="G93" s="263">
        <v>0</v>
      </c>
      <c r="H93" s="263">
        <v>0</v>
      </c>
      <c r="I93" s="263">
        <v>0</v>
      </c>
      <c r="J93" s="263">
        <v>0</v>
      </c>
      <c r="K93" s="263">
        <v>0</v>
      </c>
      <c r="L93" s="263">
        <v>0</v>
      </c>
      <c r="M93" s="263">
        <v>0.1</v>
      </c>
      <c r="N93" s="263">
        <v>0.2</v>
      </c>
      <c r="O93" s="263">
        <v>0.2</v>
      </c>
      <c r="P93" s="263">
        <v>0.2</v>
      </c>
      <c r="Q93" s="263">
        <v>0.2</v>
      </c>
      <c r="R93" s="263">
        <v>0.2</v>
      </c>
      <c r="S93" s="263">
        <v>0.2</v>
      </c>
      <c r="T93" s="263">
        <v>0.6</v>
      </c>
      <c r="U93" s="263">
        <v>0.6</v>
      </c>
      <c r="V93" s="263">
        <v>0.6</v>
      </c>
      <c r="W93" s="263">
        <v>0.3</v>
      </c>
      <c r="X93" s="263">
        <v>0</v>
      </c>
      <c r="Y93" s="263">
        <v>0</v>
      </c>
      <c r="Z93" s="263">
        <v>0</v>
      </c>
      <c r="AA93" s="263">
        <v>0</v>
      </c>
      <c r="AB93" s="263">
        <v>0</v>
      </c>
      <c r="AC93" s="459">
        <v>0</v>
      </c>
      <c r="AD93" s="41"/>
      <c r="AE93" s="41"/>
      <c r="AF93" s="41"/>
      <c r="AG93" s="41"/>
      <c r="AH93" s="41"/>
      <c r="AI93" s="41"/>
      <c r="AJ93" s="41"/>
    </row>
    <row r="94" spans="1:41" customFormat="1" ht="26.4" customHeight="1" thickBot="1" x14ac:dyDescent="0.35">
      <c r="A94" s="751"/>
      <c r="B94" s="759"/>
      <c r="C94" s="759"/>
      <c r="D94" s="881"/>
      <c r="E94" s="885" t="s">
        <v>698</v>
      </c>
      <c r="F94" s="476">
        <v>0</v>
      </c>
      <c r="G94" s="476">
        <v>0</v>
      </c>
      <c r="H94" s="476">
        <v>0</v>
      </c>
      <c r="I94" s="476">
        <v>0</v>
      </c>
      <c r="J94" s="476">
        <v>0</v>
      </c>
      <c r="K94" s="476">
        <v>0</v>
      </c>
      <c r="L94" s="476">
        <v>0</v>
      </c>
      <c r="M94" s="476">
        <v>0.1</v>
      </c>
      <c r="N94" s="476">
        <v>0.2</v>
      </c>
      <c r="O94" s="476">
        <v>0.2</v>
      </c>
      <c r="P94" s="476">
        <v>0.2</v>
      </c>
      <c r="Q94" s="476">
        <v>0.2</v>
      </c>
      <c r="R94" s="476">
        <v>0.2</v>
      </c>
      <c r="S94" s="476">
        <v>0.2</v>
      </c>
      <c r="T94" s="476">
        <v>0.2</v>
      </c>
      <c r="U94" s="476">
        <v>0.2</v>
      </c>
      <c r="V94" s="476">
        <v>0.2</v>
      </c>
      <c r="W94" s="476">
        <v>1</v>
      </c>
      <c r="X94" s="476">
        <v>1</v>
      </c>
      <c r="Y94" s="476">
        <v>1</v>
      </c>
      <c r="Z94" s="476">
        <v>1</v>
      </c>
      <c r="AA94" s="476">
        <v>0.5</v>
      </c>
      <c r="AB94" s="476">
        <v>0</v>
      </c>
      <c r="AC94" s="477">
        <v>0</v>
      </c>
      <c r="AD94" s="41"/>
      <c r="AE94" s="41"/>
      <c r="AF94" s="41"/>
      <c r="AG94" s="41"/>
      <c r="AH94" s="41"/>
      <c r="AI94" s="41"/>
      <c r="AJ94" s="41"/>
    </row>
    <row r="95" spans="1:41" customFormat="1" ht="26.4" customHeight="1" x14ac:dyDescent="0.3">
      <c r="A95" s="746" t="s">
        <v>693</v>
      </c>
      <c r="B95" s="757" t="s">
        <v>118</v>
      </c>
      <c r="C95" s="757" t="s">
        <v>684</v>
      </c>
      <c r="D95" s="879" t="s">
        <v>672</v>
      </c>
      <c r="E95" s="882" t="s">
        <v>673</v>
      </c>
      <c r="F95" s="456">
        <v>0</v>
      </c>
      <c r="G95" s="456">
        <v>0</v>
      </c>
      <c r="H95" s="456">
        <v>0</v>
      </c>
      <c r="I95" s="456">
        <v>0</v>
      </c>
      <c r="J95" s="456">
        <v>0</v>
      </c>
      <c r="K95" s="456">
        <v>0</v>
      </c>
      <c r="L95" s="456">
        <v>0</v>
      </c>
      <c r="M95" s="456">
        <v>0</v>
      </c>
      <c r="N95" s="456">
        <v>0</v>
      </c>
      <c r="O95" s="456">
        <v>0</v>
      </c>
      <c r="P95" s="456">
        <v>0</v>
      </c>
      <c r="Q95" s="456">
        <v>0</v>
      </c>
      <c r="R95" s="456">
        <v>0</v>
      </c>
      <c r="S95" s="456">
        <v>0</v>
      </c>
      <c r="T95" s="456">
        <v>0</v>
      </c>
      <c r="U95" s="456">
        <v>0</v>
      </c>
      <c r="V95" s="456">
        <v>0</v>
      </c>
      <c r="W95" s="456">
        <v>0</v>
      </c>
      <c r="X95" s="456">
        <v>0</v>
      </c>
      <c r="Y95" s="456">
        <v>0</v>
      </c>
      <c r="Z95" s="456">
        <v>0</v>
      </c>
      <c r="AA95" s="456">
        <v>0</v>
      </c>
      <c r="AB95" s="456">
        <v>0</v>
      </c>
      <c r="AC95" s="457">
        <v>0</v>
      </c>
      <c r="AD95" s="41"/>
      <c r="AE95" s="41"/>
      <c r="AF95" s="41"/>
      <c r="AG95" s="41"/>
      <c r="AH95" s="41"/>
      <c r="AI95" s="41"/>
      <c r="AJ95" s="41"/>
    </row>
    <row r="96" spans="1:41" customFormat="1" ht="26.4" customHeight="1" x14ac:dyDescent="0.3">
      <c r="A96" s="747"/>
      <c r="B96" s="758"/>
      <c r="C96" s="758"/>
      <c r="D96" s="880"/>
      <c r="E96" s="883" t="s">
        <v>694</v>
      </c>
      <c r="F96" s="263">
        <v>0</v>
      </c>
      <c r="G96" s="263">
        <v>0</v>
      </c>
      <c r="H96" s="263">
        <v>0</v>
      </c>
      <c r="I96" s="263">
        <v>0</v>
      </c>
      <c r="J96" s="263">
        <v>0</v>
      </c>
      <c r="K96" s="263">
        <v>0</v>
      </c>
      <c r="L96" s="263">
        <v>1</v>
      </c>
      <c r="M96" s="263">
        <v>1</v>
      </c>
      <c r="N96" s="263">
        <v>1</v>
      </c>
      <c r="O96" s="263">
        <v>1</v>
      </c>
      <c r="P96" s="263">
        <v>1</v>
      </c>
      <c r="Q96" s="263">
        <v>1</v>
      </c>
      <c r="R96" s="263">
        <v>1</v>
      </c>
      <c r="S96" s="263">
        <v>1</v>
      </c>
      <c r="T96" s="263">
        <v>1</v>
      </c>
      <c r="U96" s="263">
        <v>1</v>
      </c>
      <c r="V96" s="263">
        <v>1</v>
      </c>
      <c r="W96" s="263">
        <v>1</v>
      </c>
      <c r="X96" s="263">
        <v>0</v>
      </c>
      <c r="Y96" s="263">
        <v>0</v>
      </c>
      <c r="Z96" s="263">
        <v>0</v>
      </c>
      <c r="AA96" s="263">
        <v>0</v>
      </c>
      <c r="AB96" s="263">
        <v>0</v>
      </c>
      <c r="AC96" s="459">
        <v>0</v>
      </c>
      <c r="AD96" s="41"/>
      <c r="AE96" s="41"/>
      <c r="AF96" s="41"/>
      <c r="AG96" s="41"/>
      <c r="AH96" s="41"/>
      <c r="AI96" s="41"/>
      <c r="AJ96" s="41"/>
    </row>
    <row r="97" spans="1:36" customFormat="1" ht="26.4" customHeight="1" x14ac:dyDescent="0.3">
      <c r="A97" s="747"/>
      <c r="B97" s="758"/>
      <c r="C97" s="758"/>
      <c r="D97" s="880"/>
      <c r="E97" s="883" t="s">
        <v>695</v>
      </c>
      <c r="F97" s="263">
        <v>0</v>
      </c>
      <c r="G97" s="263">
        <v>0</v>
      </c>
      <c r="H97" s="263">
        <v>0</v>
      </c>
      <c r="I97" s="263">
        <v>0</v>
      </c>
      <c r="J97" s="263">
        <v>0</v>
      </c>
      <c r="K97" s="263">
        <v>0</v>
      </c>
      <c r="L97" s="263">
        <v>1</v>
      </c>
      <c r="M97" s="263">
        <v>1</v>
      </c>
      <c r="N97" s="263">
        <v>1</v>
      </c>
      <c r="O97" s="263">
        <v>1</v>
      </c>
      <c r="P97" s="263">
        <v>1</v>
      </c>
      <c r="Q97" s="263">
        <v>1</v>
      </c>
      <c r="R97" s="263">
        <v>1</v>
      </c>
      <c r="S97" s="263">
        <v>1</v>
      </c>
      <c r="T97" s="263">
        <v>1</v>
      </c>
      <c r="U97" s="263">
        <v>1</v>
      </c>
      <c r="V97" s="263">
        <v>1</v>
      </c>
      <c r="W97" s="263">
        <v>1</v>
      </c>
      <c r="X97" s="263">
        <v>1</v>
      </c>
      <c r="Y97" s="263">
        <v>1</v>
      </c>
      <c r="Z97" s="263">
        <v>0</v>
      </c>
      <c r="AA97" s="263">
        <v>0</v>
      </c>
      <c r="AB97" s="263">
        <v>0</v>
      </c>
      <c r="AC97" s="459">
        <v>0</v>
      </c>
      <c r="AD97" s="41"/>
      <c r="AE97" s="41"/>
      <c r="AF97" s="41"/>
      <c r="AG97" s="41"/>
      <c r="AH97" s="41"/>
      <c r="AI97" s="41"/>
      <c r="AJ97" s="41"/>
    </row>
    <row r="98" spans="1:36" customFormat="1" ht="26.4" customHeight="1" x14ac:dyDescent="0.3">
      <c r="A98" s="747"/>
      <c r="B98" s="758"/>
      <c r="C98" s="758"/>
      <c r="D98" s="880"/>
      <c r="E98" s="883" t="s">
        <v>696</v>
      </c>
      <c r="F98" s="263">
        <v>0</v>
      </c>
      <c r="G98" s="263">
        <v>0</v>
      </c>
      <c r="H98" s="263">
        <v>0</v>
      </c>
      <c r="I98" s="263">
        <v>0</v>
      </c>
      <c r="J98" s="263">
        <v>0</v>
      </c>
      <c r="K98" s="263">
        <v>0</v>
      </c>
      <c r="L98" s="263">
        <v>0</v>
      </c>
      <c r="M98" s="263">
        <v>1</v>
      </c>
      <c r="N98" s="263">
        <v>1</v>
      </c>
      <c r="O98" s="263">
        <v>1</v>
      </c>
      <c r="P98" s="263">
        <v>1</v>
      </c>
      <c r="Q98" s="263">
        <v>1</v>
      </c>
      <c r="R98" s="263">
        <v>1</v>
      </c>
      <c r="S98" s="263">
        <v>1</v>
      </c>
      <c r="T98" s="263">
        <v>1</v>
      </c>
      <c r="U98" s="263">
        <v>1</v>
      </c>
      <c r="V98" s="263">
        <v>1</v>
      </c>
      <c r="W98" s="263">
        <v>1</v>
      </c>
      <c r="X98" s="263">
        <v>0</v>
      </c>
      <c r="Y98" s="263">
        <v>0</v>
      </c>
      <c r="Z98" s="263">
        <v>0</v>
      </c>
      <c r="AA98" s="263">
        <v>0</v>
      </c>
      <c r="AB98" s="263">
        <v>0</v>
      </c>
      <c r="AC98" s="459">
        <v>0</v>
      </c>
      <c r="AD98" s="41"/>
      <c r="AE98" s="41"/>
      <c r="AF98" s="41"/>
      <c r="AG98" s="41"/>
      <c r="AH98" s="41"/>
      <c r="AI98" s="41"/>
      <c r="AJ98" s="41"/>
    </row>
    <row r="99" spans="1:36" customFormat="1" ht="26.4" customHeight="1" x14ac:dyDescent="0.3">
      <c r="A99" s="747"/>
      <c r="B99" s="758"/>
      <c r="C99" s="758"/>
      <c r="D99" s="880"/>
      <c r="E99" s="883" t="s">
        <v>697</v>
      </c>
      <c r="F99" s="263">
        <v>0</v>
      </c>
      <c r="G99" s="263">
        <v>0</v>
      </c>
      <c r="H99" s="263">
        <v>0</v>
      </c>
      <c r="I99" s="263">
        <v>0</v>
      </c>
      <c r="J99" s="263">
        <v>0</v>
      </c>
      <c r="K99" s="263">
        <v>0</v>
      </c>
      <c r="L99" s="263">
        <v>0</v>
      </c>
      <c r="M99" s="263">
        <v>1</v>
      </c>
      <c r="N99" s="263">
        <v>1</v>
      </c>
      <c r="O99" s="263">
        <v>1</v>
      </c>
      <c r="P99" s="263">
        <v>1</v>
      </c>
      <c r="Q99" s="263">
        <v>1</v>
      </c>
      <c r="R99" s="263">
        <v>1</v>
      </c>
      <c r="S99" s="263">
        <v>1</v>
      </c>
      <c r="T99" s="263">
        <v>1</v>
      </c>
      <c r="U99" s="263">
        <v>1</v>
      </c>
      <c r="V99" s="263">
        <v>1</v>
      </c>
      <c r="W99" s="263">
        <v>1</v>
      </c>
      <c r="X99" s="263">
        <v>0</v>
      </c>
      <c r="Y99" s="263">
        <v>0</v>
      </c>
      <c r="Z99" s="263">
        <v>0</v>
      </c>
      <c r="AA99" s="263">
        <v>0</v>
      </c>
      <c r="AB99" s="263">
        <v>0</v>
      </c>
      <c r="AC99" s="459">
        <v>0</v>
      </c>
      <c r="AD99" s="41"/>
      <c r="AE99" s="41"/>
      <c r="AF99" s="41"/>
      <c r="AG99" s="41"/>
      <c r="AH99" s="41"/>
      <c r="AI99" s="41"/>
      <c r="AJ99" s="41"/>
    </row>
    <row r="100" spans="1:36" customFormat="1" ht="26.4" customHeight="1" thickBot="1" x14ac:dyDescent="0.35">
      <c r="A100" s="751"/>
      <c r="B100" s="759"/>
      <c r="C100" s="759"/>
      <c r="D100" s="881"/>
      <c r="E100" s="884" t="s">
        <v>698</v>
      </c>
      <c r="F100" s="461">
        <v>0</v>
      </c>
      <c r="G100" s="461">
        <v>0</v>
      </c>
      <c r="H100" s="461">
        <v>0</v>
      </c>
      <c r="I100" s="461">
        <v>0</v>
      </c>
      <c r="J100" s="461">
        <v>0</v>
      </c>
      <c r="K100" s="461">
        <v>0</v>
      </c>
      <c r="L100" s="461">
        <v>0</v>
      </c>
      <c r="M100" s="461">
        <v>1</v>
      </c>
      <c r="N100" s="461">
        <v>1</v>
      </c>
      <c r="O100" s="461">
        <v>1</v>
      </c>
      <c r="P100" s="461">
        <v>1</v>
      </c>
      <c r="Q100" s="461">
        <v>1</v>
      </c>
      <c r="R100" s="461">
        <v>1</v>
      </c>
      <c r="S100" s="461">
        <v>1</v>
      </c>
      <c r="T100" s="461">
        <v>1</v>
      </c>
      <c r="U100" s="461">
        <v>1</v>
      </c>
      <c r="V100" s="461">
        <v>1</v>
      </c>
      <c r="W100" s="461">
        <v>1</v>
      </c>
      <c r="X100" s="461">
        <v>1</v>
      </c>
      <c r="Y100" s="461">
        <v>1</v>
      </c>
      <c r="Z100" s="461">
        <v>1</v>
      </c>
      <c r="AA100" s="461">
        <v>1</v>
      </c>
      <c r="AB100" s="461">
        <v>0</v>
      </c>
      <c r="AC100" s="462">
        <v>0</v>
      </c>
      <c r="AD100" s="41"/>
      <c r="AE100" s="41"/>
      <c r="AF100" s="41"/>
      <c r="AG100" s="41"/>
      <c r="AH100" s="41"/>
      <c r="AI100" s="41"/>
      <c r="AJ100" s="41"/>
    </row>
    <row r="101" spans="1:36" customFormat="1" ht="26.4" customHeight="1" x14ac:dyDescent="0.3">
      <c r="A101" s="746" t="s">
        <v>693</v>
      </c>
      <c r="B101" s="757" t="s">
        <v>118</v>
      </c>
      <c r="C101" s="757" t="s">
        <v>678</v>
      </c>
      <c r="D101" s="879" t="s">
        <v>672</v>
      </c>
      <c r="E101" s="887" t="s">
        <v>673</v>
      </c>
      <c r="F101" s="548">
        <v>0</v>
      </c>
      <c r="G101" s="548">
        <v>0</v>
      </c>
      <c r="H101" s="548">
        <v>0</v>
      </c>
      <c r="I101" s="548">
        <v>0</v>
      </c>
      <c r="J101" s="548">
        <v>0</v>
      </c>
      <c r="K101" s="548">
        <v>0</v>
      </c>
      <c r="L101" s="548">
        <v>0</v>
      </c>
      <c r="M101" s="548">
        <v>0</v>
      </c>
      <c r="N101" s="548">
        <v>0</v>
      </c>
      <c r="O101" s="548">
        <v>0</v>
      </c>
      <c r="P101" s="548">
        <v>0</v>
      </c>
      <c r="Q101" s="548">
        <v>0</v>
      </c>
      <c r="R101" s="548">
        <v>0</v>
      </c>
      <c r="S101" s="548">
        <v>0</v>
      </c>
      <c r="T101" s="548">
        <v>0</v>
      </c>
      <c r="U101" s="548">
        <v>0</v>
      </c>
      <c r="V101" s="548">
        <v>0</v>
      </c>
      <c r="W101" s="548">
        <v>0</v>
      </c>
      <c r="X101" s="548">
        <v>0</v>
      </c>
      <c r="Y101" s="548">
        <v>0</v>
      </c>
      <c r="Z101" s="548">
        <v>0</v>
      </c>
      <c r="AA101" s="548">
        <v>0</v>
      </c>
      <c r="AB101" s="548">
        <v>0</v>
      </c>
      <c r="AC101" s="886">
        <v>0</v>
      </c>
      <c r="AD101" s="41"/>
      <c r="AE101" s="41"/>
      <c r="AF101" s="41"/>
      <c r="AG101" s="41"/>
      <c r="AH101" s="41"/>
      <c r="AI101" s="41"/>
      <c r="AJ101" s="41"/>
    </row>
    <row r="102" spans="1:36" customFormat="1" ht="26.4" customHeight="1" x14ac:dyDescent="0.3">
      <c r="A102" s="747"/>
      <c r="B102" s="758"/>
      <c r="C102" s="758"/>
      <c r="D102" s="880"/>
      <c r="E102" s="883" t="s">
        <v>694</v>
      </c>
      <c r="F102" s="263">
        <v>0</v>
      </c>
      <c r="G102" s="263">
        <v>0</v>
      </c>
      <c r="H102" s="263">
        <v>0</v>
      </c>
      <c r="I102" s="263">
        <v>0</v>
      </c>
      <c r="J102" s="263">
        <v>0</v>
      </c>
      <c r="K102" s="263">
        <v>0</v>
      </c>
      <c r="L102" s="263">
        <v>1</v>
      </c>
      <c r="M102" s="263">
        <v>1</v>
      </c>
      <c r="N102" s="263">
        <v>1</v>
      </c>
      <c r="O102" s="263">
        <v>1</v>
      </c>
      <c r="P102" s="263">
        <v>1</v>
      </c>
      <c r="Q102" s="263">
        <v>1</v>
      </c>
      <c r="R102" s="263">
        <v>1</v>
      </c>
      <c r="S102" s="263">
        <v>1</v>
      </c>
      <c r="T102" s="263">
        <v>1</v>
      </c>
      <c r="U102" s="263">
        <v>1</v>
      </c>
      <c r="V102" s="263">
        <v>1</v>
      </c>
      <c r="W102" s="263">
        <v>1</v>
      </c>
      <c r="X102" s="263">
        <v>0</v>
      </c>
      <c r="Y102" s="263">
        <v>0</v>
      </c>
      <c r="Z102" s="263">
        <v>0</v>
      </c>
      <c r="AA102" s="263">
        <v>0</v>
      </c>
      <c r="AB102" s="263">
        <v>0</v>
      </c>
      <c r="AC102" s="459">
        <v>0</v>
      </c>
      <c r="AD102" s="41"/>
      <c r="AE102" s="41"/>
      <c r="AF102" s="41"/>
      <c r="AG102" s="41"/>
      <c r="AH102" s="41"/>
      <c r="AI102" s="41"/>
      <c r="AJ102" s="41"/>
    </row>
    <row r="103" spans="1:36" customFormat="1" ht="26.4" customHeight="1" x14ac:dyDescent="0.3">
      <c r="A103" s="747"/>
      <c r="B103" s="758"/>
      <c r="C103" s="758"/>
      <c r="D103" s="880"/>
      <c r="E103" s="883" t="s">
        <v>695</v>
      </c>
      <c r="F103" s="263">
        <v>0</v>
      </c>
      <c r="G103" s="263">
        <v>0</v>
      </c>
      <c r="H103" s="263">
        <v>0</v>
      </c>
      <c r="I103" s="263">
        <v>0</v>
      </c>
      <c r="J103" s="263">
        <v>0</v>
      </c>
      <c r="K103" s="263">
        <v>0</v>
      </c>
      <c r="L103" s="263">
        <v>1</v>
      </c>
      <c r="M103" s="263">
        <v>1</v>
      </c>
      <c r="N103" s="263">
        <v>1</v>
      </c>
      <c r="O103" s="263">
        <v>1</v>
      </c>
      <c r="P103" s="263">
        <v>1</v>
      </c>
      <c r="Q103" s="263">
        <v>1</v>
      </c>
      <c r="R103" s="263">
        <v>1</v>
      </c>
      <c r="S103" s="263">
        <v>1</v>
      </c>
      <c r="T103" s="263">
        <v>1</v>
      </c>
      <c r="U103" s="263">
        <v>1</v>
      </c>
      <c r="V103" s="263">
        <v>1</v>
      </c>
      <c r="W103" s="263">
        <v>1</v>
      </c>
      <c r="X103" s="263">
        <v>1</v>
      </c>
      <c r="Y103" s="263">
        <v>1</v>
      </c>
      <c r="Z103" s="263">
        <v>0</v>
      </c>
      <c r="AA103" s="263">
        <v>0</v>
      </c>
      <c r="AB103" s="263">
        <v>0</v>
      </c>
      <c r="AC103" s="459">
        <v>0</v>
      </c>
      <c r="AD103" s="41"/>
      <c r="AE103" s="41"/>
      <c r="AF103" s="41"/>
      <c r="AG103" s="41"/>
      <c r="AH103" s="41"/>
      <c r="AI103" s="41"/>
      <c r="AJ103" s="41"/>
    </row>
    <row r="104" spans="1:36" customFormat="1" ht="26.4" customHeight="1" x14ac:dyDescent="0.3">
      <c r="A104" s="747"/>
      <c r="B104" s="758"/>
      <c r="C104" s="758"/>
      <c r="D104" s="880"/>
      <c r="E104" s="883" t="s">
        <v>696</v>
      </c>
      <c r="F104" s="263">
        <v>0</v>
      </c>
      <c r="G104" s="263">
        <v>0</v>
      </c>
      <c r="H104" s="263">
        <v>0</v>
      </c>
      <c r="I104" s="263">
        <v>0</v>
      </c>
      <c r="J104" s="263">
        <v>0</v>
      </c>
      <c r="K104" s="263">
        <v>0</v>
      </c>
      <c r="L104" s="263">
        <v>0</v>
      </c>
      <c r="M104" s="263">
        <v>1</v>
      </c>
      <c r="N104" s="263">
        <v>1</v>
      </c>
      <c r="O104" s="263">
        <v>1</v>
      </c>
      <c r="P104" s="263">
        <v>1</v>
      </c>
      <c r="Q104" s="263">
        <v>1</v>
      </c>
      <c r="R104" s="263">
        <v>1</v>
      </c>
      <c r="S104" s="263">
        <v>1</v>
      </c>
      <c r="T104" s="263">
        <v>1</v>
      </c>
      <c r="U104" s="263">
        <v>1</v>
      </c>
      <c r="V104" s="263">
        <v>1</v>
      </c>
      <c r="W104" s="263">
        <v>1</v>
      </c>
      <c r="X104" s="263">
        <v>0</v>
      </c>
      <c r="Y104" s="263">
        <v>0</v>
      </c>
      <c r="Z104" s="263">
        <v>0</v>
      </c>
      <c r="AA104" s="263">
        <v>0</v>
      </c>
      <c r="AB104" s="263">
        <v>0</v>
      </c>
      <c r="AC104" s="459">
        <v>0</v>
      </c>
      <c r="AD104" s="41"/>
      <c r="AE104" s="41"/>
      <c r="AF104" s="41"/>
      <c r="AG104" s="41"/>
      <c r="AH104" s="41"/>
      <c r="AI104" s="41"/>
      <c r="AJ104" s="41"/>
    </row>
    <row r="105" spans="1:36" customFormat="1" ht="26.4" customHeight="1" x14ac:dyDescent="0.3">
      <c r="A105" s="747"/>
      <c r="B105" s="758"/>
      <c r="C105" s="758"/>
      <c r="D105" s="880"/>
      <c r="E105" s="883" t="s">
        <v>697</v>
      </c>
      <c r="F105" s="263">
        <v>0</v>
      </c>
      <c r="G105" s="263">
        <v>0</v>
      </c>
      <c r="H105" s="263">
        <v>0</v>
      </c>
      <c r="I105" s="263">
        <v>0</v>
      </c>
      <c r="J105" s="263">
        <v>0</v>
      </c>
      <c r="K105" s="263">
        <v>0</v>
      </c>
      <c r="L105" s="263">
        <v>0</v>
      </c>
      <c r="M105" s="263">
        <v>1</v>
      </c>
      <c r="N105" s="263">
        <v>1</v>
      </c>
      <c r="O105" s="263">
        <v>1</v>
      </c>
      <c r="P105" s="263">
        <v>1</v>
      </c>
      <c r="Q105" s="263">
        <v>1</v>
      </c>
      <c r="R105" s="263">
        <v>1</v>
      </c>
      <c r="S105" s="263">
        <v>1</v>
      </c>
      <c r="T105" s="263">
        <v>1</v>
      </c>
      <c r="U105" s="263">
        <v>1</v>
      </c>
      <c r="V105" s="263">
        <v>1</v>
      </c>
      <c r="W105" s="263">
        <v>1</v>
      </c>
      <c r="X105" s="263">
        <v>0</v>
      </c>
      <c r="Y105" s="263">
        <v>0</v>
      </c>
      <c r="Z105" s="263">
        <v>0</v>
      </c>
      <c r="AA105" s="263">
        <v>0</v>
      </c>
      <c r="AB105" s="263">
        <v>0</v>
      </c>
      <c r="AC105" s="459">
        <v>0</v>
      </c>
      <c r="AD105" s="41"/>
      <c r="AE105" s="41"/>
      <c r="AF105" s="41"/>
      <c r="AG105" s="41"/>
      <c r="AH105" s="41"/>
      <c r="AI105" s="41"/>
      <c r="AJ105" s="41"/>
    </row>
    <row r="106" spans="1:36" customFormat="1" ht="26.4" customHeight="1" thickBot="1" x14ac:dyDescent="0.35">
      <c r="A106" s="751"/>
      <c r="B106" s="759"/>
      <c r="C106" s="759"/>
      <c r="D106" s="881"/>
      <c r="E106" s="884" t="s">
        <v>698</v>
      </c>
      <c r="F106" s="461">
        <v>0</v>
      </c>
      <c r="G106" s="461">
        <v>0</v>
      </c>
      <c r="H106" s="461">
        <v>0</v>
      </c>
      <c r="I106" s="461">
        <v>0</v>
      </c>
      <c r="J106" s="461">
        <v>0</v>
      </c>
      <c r="K106" s="461">
        <v>0</v>
      </c>
      <c r="L106" s="461">
        <v>0</v>
      </c>
      <c r="M106" s="461">
        <v>1</v>
      </c>
      <c r="N106" s="461">
        <v>1</v>
      </c>
      <c r="O106" s="461">
        <v>1</v>
      </c>
      <c r="P106" s="461">
        <v>1</v>
      </c>
      <c r="Q106" s="461">
        <v>1</v>
      </c>
      <c r="R106" s="461">
        <v>1</v>
      </c>
      <c r="S106" s="461">
        <v>1</v>
      </c>
      <c r="T106" s="461">
        <v>1</v>
      </c>
      <c r="U106" s="461">
        <v>1</v>
      </c>
      <c r="V106" s="461">
        <v>1</v>
      </c>
      <c r="W106" s="461">
        <v>1</v>
      </c>
      <c r="X106" s="461">
        <v>1</v>
      </c>
      <c r="Y106" s="461">
        <v>1</v>
      </c>
      <c r="Z106" s="461">
        <v>1</v>
      </c>
      <c r="AA106" s="461">
        <v>1</v>
      </c>
      <c r="AB106" s="461">
        <v>0</v>
      </c>
      <c r="AC106" s="462">
        <v>0</v>
      </c>
      <c r="AD106" s="41"/>
      <c r="AE106" s="41"/>
      <c r="AF106" s="41"/>
      <c r="AG106" s="41"/>
      <c r="AH106" s="41"/>
      <c r="AI106" s="41"/>
      <c r="AJ106" s="41"/>
    </row>
    <row r="107" spans="1:36" customFormat="1" ht="26.4" customHeight="1" x14ac:dyDescent="0.3">
      <c r="A107" s="746" t="s">
        <v>693</v>
      </c>
      <c r="B107" s="757" t="s">
        <v>118</v>
      </c>
      <c r="C107" s="757" t="s">
        <v>679</v>
      </c>
      <c r="D107" s="879" t="s">
        <v>672</v>
      </c>
      <c r="E107" s="887" t="s">
        <v>673</v>
      </c>
      <c r="F107" s="548">
        <v>0</v>
      </c>
      <c r="G107" s="548">
        <v>0</v>
      </c>
      <c r="H107" s="548">
        <v>0</v>
      </c>
      <c r="I107" s="548">
        <v>0</v>
      </c>
      <c r="J107" s="548">
        <v>0</v>
      </c>
      <c r="K107" s="548">
        <v>0</v>
      </c>
      <c r="L107" s="548">
        <v>0</v>
      </c>
      <c r="M107" s="548">
        <v>0</v>
      </c>
      <c r="N107" s="548">
        <v>0</v>
      </c>
      <c r="O107" s="548">
        <v>0</v>
      </c>
      <c r="P107" s="548">
        <v>0</v>
      </c>
      <c r="Q107" s="548">
        <v>0</v>
      </c>
      <c r="R107" s="548">
        <v>0</v>
      </c>
      <c r="S107" s="548">
        <v>0</v>
      </c>
      <c r="T107" s="548">
        <v>0</v>
      </c>
      <c r="U107" s="548">
        <v>0</v>
      </c>
      <c r="V107" s="548">
        <v>0</v>
      </c>
      <c r="W107" s="548">
        <v>0</v>
      </c>
      <c r="X107" s="548">
        <v>0</v>
      </c>
      <c r="Y107" s="548">
        <v>0</v>
      </c>
      <c r="Z107" s="548">
        <v>0</v>
      </c>
      <c r="AA107" s="548">
        <v>0</v>
      </c>
      <c r="AB107" s="548">
        <v>0</v>
      </c>
      <c r="AC107" s="886">
        <v>0</v>
      </c>
      <c r="AD107" s="41"/>
      <c r="AE107" s="41"/>
      <c r="AF107" s="41"/>
      <c r="AG107" s="41"/>
      <c r="AH107" s="41"/>
      <c r="AI107" s="41"/>
      <c r="AJ107" s="41"/>
    </row>
    <row r="108" spans="1:36" customFormat="1" ht="26.4" customHeight="1" x14ac:dyDescent="0.3">
      <c r="A108" s="747"/>
      <c r="B108" s="758"/>
      <c r="C108" s="758"/>
      <c r="D108" s="880"/>
      <c r="E108" s="883" t="s">
        <v>694</v>
      </c>
      <c r="F108" s="263">
        <v>0.05</v>
      </c>
      <c r="G108" s="263">
        <v>0.05</v>
      </c>
      <c r="H108" s="263">
        <v>0.05</v>
      </c>
      <c r="I108" s="263">
        <v>0.05</v>
      </c>
      <c r="J108" s="263">
        <v>0.05</v>
      </c>
      <c r="K108" s="263">
        <v>0.05</v>
      </c>
      <c r="L108" s="263">
        <v>0.4</v>
      </c>
      <c r="M108" s="263">
        <v>0.4</v>
      </c>
      <c r="N108" s="263">
        <v>0.4</v>
      </c>
      <c r="O108" s="263">
        <v>0.75</v>
      </c>
      <c r="P108" s="263">
        <v>0.75</v>
      </c>
      <c r="Q108" s="263">
        <v>0.75</v>
      </c>
      <c r="R108" s="263">
        <v>0.75</v>
      </c>
      <c r="S108" s="263">
        <v>0.75</v>
      </c>
      <c r="T108" s="263">
        <v>0.75</v>
      </c>
      <c r="U108" s="263">
        <v>0.75</v>
      </c>
      <c r="V108" s="263">
        <v>0.25</v>
      </c>
      <c r="W108" s="263">
        <v>0.25</v>
      </c>
      <c r="X108" s="263">
        <v>0.05</v>
      </c>
      <c r="Y108" s="263">
        <v>0.05</v>
      </c>
      <c r="Z108" s="263">
        <v>0.05</v>
      </c>
      <c r="AA108" s="263">
        <v>0.05</v>
      </c>
      <c r="AB108" s="263">
        <v>0.05</v>
      </c>
      <c r="AC108" s="459">
        <v>0.05</v>
      </c>
      <c r="AD108" s="41"/>
      <c r="AE108" s="41"/>
      <c r="AF108" s="41"/>
      <c r="AG108" s="41"/>
      <c r="AH108" s="41"/>
      <c r="AI108" s="41"/>
      <c r="AJ108" s="41"/>
    </row>
    <row r="109" spans="1:36" customFormat="1" ht="26.4" customHeight="1" x14ac:dyDescent="0.3">
      <c r="A109" s="747"/>
      <c r="B109" s="758"/>
      <c r="C109" s="758"/>
      <c r="D109" s="880"/>
      <c r="E109" s="883" t="s">
        <v>695</v>
      </c>
      <c r="F109" s="263">
        <v>0.05</v>
      </c>
      <c r="G109" s="263">
        <v>0.05</v>
      </c>
      <c r="H109" s="263">
        <v>0.05</v>
      </c>
      <c r="I109" s="263">
        <v>0.05</v>
      </c>
      <c r="J109" s="263">
        <v>0.05</v>
      </c>
      <c r="K109" s="263">
        <v>0.05</v>
      </c>
      <c r="L109" s="263">
        <v>0.4</v>
      </c>
      <c r="M109" s="263">
        <v>0.4</v>
      </c>
      <c r="N109" s="263">
        <v>0.4</v>
      </c>
      <c r="O109" s="263">
        <v>0.75</v>
      </c>
      <c r="P109" s="263">
        <v>0.75</v>
      </c>
      <c r="Q109" s="263">
        <v>0.75</v>
      </c>
      <c r="R109" s="263">
        <v>0.75</v>
      </c>
      <c r="S109" s="263">
        <v>0.75</v>
      </c>
      <c r="T109" s="263">
        <v>0.75</v>
      </c>
      <c r="U109" s="263">
        <v>0.75</v>
      </c>
      <c r="V109" s="263">
        <v>0.25</v>
      </c>
      <c r="W109" s="263">
        <v>0.25</v>
      </c>
      <c r="X109" s="263">
        <v>0.25</v>
      </c>
      <c r="Y109" s="263">
        <v>0.25</v>
      </c>
      <c r="Z109" s="263">
        <v>0.05</v>
      </c>
      <c r="AA109" s="263">
        <v>0.05</v>
      </c>
      <c r="AB109" s="263">
        <v>0.05</v>
      </c>
      <c r="AC109" s="459">
        <v>0.05</v>
      </c>
      <c r="AD109" s="41"/>
      <c r="AE109" s="41"/>
      <c r="AF109" s="41"/>
      <c r="AG109" s="41"/>
      <c r="AH109" s="41"/>
      <c r="AI109" s="41"/>
      <c r="AJ109" s="41"/>
    </row>
    <row r="110" spans="1:36" customFormat="1" ht="26.4" customHeight="1" x14ac:dyDescent="0.3">
      <c r="A110" s="747"/>
      <c r="B110" s="758"/>
      <c r="C110" s="758"/>
      <c r="D110" s="880"/>
      <c r="E110" s="883" t="s">
        <v>696</v>
      </c>
      <c r="F110" s="263">
        <v>0.05</v>
      </c>
      <c r="G110" s="263">
        <v>0.05</v>
      </c>
      <c r="H110" s="263">
        <v>0.05</v>
      </c>
      <c r="I110" s="263">
        <v>0.05</v>
      </c>
      <c r="J110" s="263">
        <v>0.05</v>
      </c>
      <c r="K110" s="263">
        <v>0.05</v>
      </c>
      <c r="L110" s="263">
        <v>0.05</v>
      </c>
      <c r="M110" s="263">
        <v>0.3</v>
      </c>
      <c r="N110" s="263">
        <v>0.3</v>
      </c>
      <c r="O110" s="263">
        <v>0.5</v>
      </c>
      <c r="P110" s="263">
        <v>0.5</v>
      </c>
      <c r="Q110" s="263">
        <v>0.5</v>
      </c>
      <c r="R110" s="263">
        <v>0.5</v>
      </c>
      <c r="S110" s="263">
        <v>0.5</v>
      </c>
      <c r="T110" s="263">
        <v>0.5</v>
      </c>
      <c r="U110" s="263">
        <v>0.5</v>
      </c>
      <c r="V110" s="263">
        <v>0.5</v>
      </c>
      <c r="W110" s="263">
        <v>0.5</v>
      </c>
      <c r="X110" s="263">
        <v>0.05</v>
      </c>
      <c r="Y110" s="263">
        <v>0.05</v>
      </c>
      <c r="Z110" s="263">
        <v>0.05</v>
      </c>
      <c r="AA110" s="263">
        <v>0.05</v>
      </c>
      <c r="AB110" s="263">
        <v>0.05</v>
      </c>
      <c r="AC110" s="459">
        <v>0.05</v>
      </c>
      <c r="AD110" s="41"/>
      <c r="AE110" s="41"/>
      <c r="AF110" s="41"/>
      <c r="AG110" s="41"/>
      <c r="AH110" s="41"/>
      <c r="AI110" s="41"/>
      <c r="AJ110" s="41"/>
    </row>
    <row r="111" spans="1:36" customFormat="1" ht="26.4" customHeight="1" x14ac:dyDescent="0.3">
      <c r="A111" s="747"/>
      <c r="B111" s="758"/>
      <c r="C111" s="758"/>
      <c r="D111" s="880"/>
      <c r="E111" s="883" t="s">
        <v>697</v>
      </c>
      <c r="F111" s="263">
        <v>0.05</v>
      </c>
      <c r="G111" s="263">
        <v>0.05</v>
      </c>
      <c r="H111" s="263">
        <v>0.05</v>
      </c>
      <c r="I111" s="263">
        <v>0.05</v>
      </c>
      <c r="J111" s="263">
        <v>0.05</v>
      </c>
      <c r="K111" s="263">
        <v>0.05</v>
      </c>
      <c r="L111" s="263">
        <v>0.05</v>
      </c>
      <c r="M111" s="263">
        <v>0.3</v>
      </c>
      <c r="N111" s="263">
        <v>0.3</v>
      </c>
      <c r="O111" s="263">
        <v>0.5</v>
      </c>
      <c r="P111" s="263">
        <v>0.5</v>
      </c>
      <c r="Q111" s="263">
        <v>0.5</v>
      </c>
      <c r="R111" s="263">
        <v>0.5</v>
      </c>
      <c r="S111" s="263">
        <v>0.5</v>
      </c>
      <c r="T111" s="263">
        <v>0.5</v>
      </c>
      <c r="U111" s="263">
        <v>0.5</v>
      </c>
      <c r="V111" s="263">
        <v>0.5</v>
      </c>
      <c r="W111" s="263">
        <v>0.5</v>
      </c>
      <c r="X111" s="263">
        <v>0.05</v>
      </c>
      <c r="Y111" s="263">
        <v>0.05</v>
      </c>
      <c r="Z111" s="263">
        <v>0.05</v>
      </c>
      <c r="AA111" s="263">
        <v>0.05</v>
      </c>
      <c r="AB111" s="263">
        <v>0.05</v>
      </c>
      <c r="AC111" s="459">
        <v>0.05</v>
      </c>
      <c r="AD111" s="41"/>
      <c r="AE111" s="41"/>
      <c r="AF111" s="41"/>
      <c r="AG111" s="41"/>
      <c r="AH111" s="41"/>
      <c r="AI111" s="41"/>
      <c r="AJ111" s="41"/>
    </row>
    <row r="112" spans="1:36" customFormat="1" ht="26.4" customHeight="1" thickBot="1" x14ac:dyDescent="0.35">
      <c r="A112" s="751"/>
      <c r="B112" s="759"/>
      <c r="C112" s="759"/>
      <c r="D112" s="881"/>
      <c r="E112" s="884" t="s">
        <v>698</v>
      </c>
      <c r="F112" s="461">
        <v>0.05</v>
      </c>
      <c r="G112" s="461">
        <v>0.05</v>
      </c>
      <c r="H112" s="461">
        <v>0.05</v>
      </c>
      <c r="I112" s="461">
        <v>0.05</v>
      </c>
      <c r="J112" s="461">
        <v>0.05</v>
      </c>
      <c r="K112" s="461">
        <v>0.05</v>
      </c>
      <c r="L112" s="461">
        <v>0.05</v>
      </c>
      <c r="M112" s="461">
        <v>0.3</v>
      </c>
      <c r="N112" s="461">
        <v>0.3</v>
      </c>
      <c r="O112" s="461">
        <v>0.5</v>
      </c>
      <c r="P112" s="461">
        <v>0.5</v>
      </c>
      <c r="Q112" s="461">
        <v>0.5</v>
      </c>
      <c r="R112" s="461">
        <v>0.5</v>
      </c>
      <c r="S112" s="461">
        <v>0.5</v>
      </c>
      <c r="T112" s="461">
        <v>0.5</v>
      </c>
      <c r="U112" s="461">
        <v>0.5</v>
      </c>
      <c r="V112" s="461">
        <v>0.5</v>
      </c>
      <c r="W112" s="461">
        <v>0.5</v>
      </c>
      <c r="X112" s="461">
        <v>0.5</v>
      </c>
      <c r="Y112" s="461">
        <v>0.5</v>
      </c>
      <c r="Z112" s="461">
        <v>0.5</v>
      </c>
      <c r="AA112" s="461">
        <v>0.5</v>
      </c>
      <c r="AB112" s="461">
        <v>0.05</v>
      </c>
      <c r="AC112" s="462">
        <v>0.05</v>
      </c>
      <c r="AD112" s="41"/>
      <c r="AE112" s="41"/>
      <c r="AF112" s="41"/>
      <c r="AG112" s="41"/>
      <c r="AH112" s="41"/>
      <c r="AI112" s="41"/>
      <c r="AJ112" s="41"/>
    </row>
    <row r="113" spans="1:36" customFormat="1" ht="23.4" customHeight="1" x14ac:dyDescent="0.3">
      <c r="A113" s="752" t="s">
        <v>693</v>
      </c>
      <c r="B113" s="757" t="s">
        <v>118</v>
      </c>
      <c r="C113" s="757" t="s">
        <v>685</v>
      </c>
      <c r="D113" s="879" t="s">
        <v>672</v>
      </c>
      <c r="E113" s="882" t="s">
        <v>673</v>
      </c>
      <c r="F113" s="417">
        <v>60</v>
      </c>
      <c r="G113" s="417">
        <v>60</v>
      </c>
      <c r="H113" s="417">
        <v>60</v>
      </c>
      <c r="I113" s="417">
        <v>60</v>
      </c>
      <c r="J113" s="417">
        <v>60</v>
      </c>
      <c r="K113" s="417">
        <v>60</v>
      </c>
      <c r="L113" s="417">
        <v>60</v>
      </c>
      <c r="M113" s="417">
        <v>60</v>
      </c>
      <c r="N113" s="417">
        <v>60</v>
      </c>
      <c r="O113" s="417">
        <v>60</v>
      </c>
      <c r="P113" s="417">
        <v>60</v>
      </c>
      <c r="Q113" s="417">
        <v>60</v>
      </c>
      <c r="R113" s="417">
        <v>60</v>
      </c>
      <c r="S113" s="417">
        <v>60</v>
      </c>
      <c r="T113" s="417">
        <v>60</v>
      </c>
      <c r="U113" s="417">
        <v>60</v>
      </c>
      <c r="V113" s="417">
        <v>60</v>
      </c>
      <c r="W113" s="417">
        <v>60</v>
      </c>
      <c r="X113" s="417">
        <v>60</v>
      </c>
      <c r="Y113" s="417">
        <v>60</v>
      </c>
      <c r="Z113" s="417">
        <v>60</v>
      </c>
      <c r="AA113" s="417">
        <v>60</v>
      </c>
      <c r="AB113" s="417">
        <v>60</v>
      </c>
      <c r="AC113" s="418">
        <v>60</v>
      </c>
      <c r="AD113" s="41"/>
      <c r="AE113" s="41"/>
      <c r="AF113" s="41"/>
      <c r="AG113" s="41"/>
      <c r="AH113" s="41"/>
      <c r="AI113" s="41"/>
      <c r="AJ113" s="41"/>
    </row>
    <row r="114" spans="1:36" customFormat="1" ht="23.4" customHeight="1" x14ac:dyDescent="0.3">
      <c r="A114" s="753"/>
      <c r="B114" s="758"/>
      <c r="C114" s="758"/>
      <c r="D114" s="880"/>
      <c r="E114" s="883" t="s">
        <v>694</v>
      </c>
      <c r="F114" s="419">
        <v>60</v>
      </c>
      <c r="G114" s="419">
        <v>60</v>
      </c>
      <c r="H114" s="419">
        <v>60</v>
      </c>
      <c r="I114" s="419">
        <v>60</v>
      </c>
      <c r="J114" s="419">
        <v>60</v>
      </c>
      <c r="K114" s="419">
        <v>60</v>
      </c>
      <c r="L114" s="419">
        <v>70</v>
      </c>
      <c r="M114" s="419">
        <v>70</v>
      </c>
      <c r="N114" s="419">
        <v>70</v>
      </c>
      <c r="O114" s="419">
        <v>70</v>
      </c>
      <c r="P114" s="419">
        <v>70</v>
      </c>
      <c r="Q114" s="419">
        <v>70</v>
      </c>
      <c r="R114" s="419">
        <v>70</v>
      </c>
      <c r="S114" s="419">
        <v>70</v>
      </c>
      <c r="T114" s="419">
        <v>70</v>
      </c>
      <c r="U114" s="419">
        <v>70</v>
      </c>
      <c r="V114" s="419">
        <v>70</v>
      </c>
      <c r="W114" s="419">
        <v>70</v>
      </c>
      <c r="X114" s="419">
        <v>60</v>
      </c>
      <c r="Y114" s="419">
        <v>60</v>
      </c>
      <c r="Z114" s="419">
        <v>60</v>
      </c>
      <c r="AA114" s="419">
        <v>60</v>
      </c>
      <c r="AB114" s="419">
        <v>60</v>
      </c>
      <c r="AC114" s="420">
        <v>60</v>
      </c>
      <c r="AD114" s="41"/>
      <c r="AE114" s="41"/>
      <c r="AF114" s="41"/>
      <c r="AG114" s="41"/>
      <c r="AH114" s="41"/>
      <c r="AI114" s="41"/>
      <c r="AJ114" s="41"/>
    </row>
    <row r="115" spans="1:36" customFormat="1" ht="23.4" customHeight="1" x14ac:dyDescent="0.3">
      <c r="A115" s="753"/>
      <c r="B115" s="758"/>
      <c r="C115" s="758"/>
      <c r="D115" s="880"/>
      <c r="E115" s="883" t="s">
        <v>695</v>
      </c>
      <c r="F115" s="419">
        <v>60</v>
      </c>
      <c r="G115" s="419">
        <v>60</v>
      </c>
      <c r="H115" s="419">
        <v>60</v>
      </c>
      <c r="I115" s="419">
        <v>60</v>
      </c>
      <c r="J115" s="419">
        <v>60</v>
      </c>
      <c r="K115" s="419">
        <v>60</v>
      </c>
      <c r="L115" s="419">
        <v>70</v>
      </c>
      <c r="M115" s="419">
        <v>70</v>
      </c>
      <c r="N115" s="419">
        <v>70</v>
      </c>
      <c r="O115" s="419">
        <v>70</v>
      </c>
      <c r="P115" s="419">
        <v>70</v>
      </c>
      <c r="Q115" s="419">
        <v>70</v>
      </c>
      <c r="R115" s="419">
        <v>70</v>
      </c>
      <c r="S115" s="419">
        <v>70</v>
      </c>
      <c r="T115" s="419">
        <v>70</v>
      </c>
      <c r="U115" s="419">
        <v>70</v>
      </c>
      <c r="V115" s="419">
        <v>70</v>
      </c>
      <c r="W115" s="419">
        <v>70</v>
      </c>
      <c r="X115" s="419">
        <v>70</v>
      </c>
      <c r="Y115" s="419">
        <v>70</v>
      </c>
      <c r="Z115" s="419">
        <v>60</v>
      </c>
      <c r="AA115" s="419">
        <v>60</v>
      </c>
      <c r="AB115" s="419">
        <v>60</v>
      </c>
      <c r="AC115" s="420">
        <v>60</v>
      </c>
      <c r="AD115" s="41"/>
      <c r="AE115" s="41"/>
      <c r="AF115" s="41"/>
      <c r="AG115" s="41"/>
      <c r="AH115" s="41"/>
      <c r="AI115" s="41"/>
      <c r="AJ115" s="41"/>
    </row>
    <row r="116" spans="1:36" customFormat="1" ht="23.4" customHeight="1" x14ac:dyDescent="0.3">
      <c r="A116" s="753"/>
      <c r="B116" s="758"/>
      <c r="C116" s="758"/>
      <c r="D116" s="880"/>
      <c r="E116" s="883" t="s">
        <v>696</v>
      </c>
      <c r="F116" s="419">
        <v>60</v>
      </c>
      <c r="G116" s="419">
        <v>60</v>
      </c>
      <c r="H116" s="419">
        <v>60</v>
      </c>
      <c r="I116" s="419">
        <v>60</v>
      </c>
      <c r="J116" s="419">
        <v>60</v>
      </c>
      <c r="K116" s="419">
        <v>60</v>
      </c>
      <c r="L116" s="419">
        <v>60</v>
      </c>
      <c r="M116" s="419">
        <v>70</v>
      </c>
      <c r="N116" s="419">
        <v>70</v>
      </c>
      <c r="O116" s="419">
        <v>70</v>
      </c>
      <c r="P116" s="419">
        <v>70</v>
      </c>
      <c r="Q116" s="419">
        <v>70</v>
      </c>
      <c r="R116" s="419">
        <v>70</v>
      </c>
      <c r="S116" s="419">
        <v>70</v>
      </c>
      <c r="T116" s="419">
        <v>70</v>
      </c>
      <c r="U116" s="419">
        <v>70</v>
      </c>
      <c r="V116" s="419">
        <v>70</v>
      </c>
      <c r="W116" s="419">
        <v>70</v>
      </c>
      <c r="X116" s="419">
        <v>60</v>
      </c>
      <c r="Y116" s="419">
        <v>60</v>
      </c>
      <c r="Z116" s="419">
        <v>60</v>
      </c>
      <c r="AA116" s="419">
        <v>60</v>
      </c>
      <c r="AB116" s="419">
        <v>60</v>
      </c>
      <c r="AC116" s="420">
        <v>60</v>
      </c>
      <c r="AD116" s="41"/>
      <c r="AE116" s="41"/>
      <c r="AF116" s="41"/>
      <c r="AG116" s="41"/>
      <c r="AH116" s="41"/>
      <c r="AI116" s="41"/>
      <c r="AJ116" s="41"/>
    </row>
    <row r="117" spans="1:36" customFormat="1" ht="23.4" customHeight="1" x14ac:dyDescent="0.3">
      <c r="A117" s="753"/>
      <c r="B117" s="758"/>
      <c r="C117" s="758"/>
      <c r="D117" s="880"/>
      <c r="E117" s="883" t="s">
        <v>697</v>
      </c>
      <c r="F117" s="419">
        <v>60</v>
      </c>
      <c r="G117" s="419">
        <v>60</v>
      </c>
      <c r="H117" s="419">
        <v>60</v>
      </c>
      <c r="I117" s="419">
        <v>60</v>
      </c>
      <c r="J117" s="419">
        <v>60</v>
      </c>
      <c r="K117" s="419">
        <v>60</v>
      </c>
      <c r="L117" s="419">
        <v>60</v>
      </c>
      <c r="M117" s="419">
        <v>70</v>
      </c>
      <c r="N117" s="419">
        <v>70</v>
      </c>
      <c r="O117" s="419">
        <v>70</v>
      </c>
      <c r="P117" s="419">
        <v>70</v>
      </c>
      <c r="Q117" s="419">
        <v>70</v>
      </c>
      <c r="R117" s="419">
        <v>70</v>
      </c>
      <c r="S117" s="419">
        <v>70</v>
      </c>
      <c r="T117" s="419">
        <v>70</v>
      </c>
      <c r="U117" s="419">
        <v>70</v>
      </c>
      <c r="V117" s="419">
        <v>70</v>
      </c>
      <c r="W117" s="419">
        <v>70</v>
      </c>
      <c r="X117" s="419">
        <v>60</v>
      </c>
      <c r="Y117" s="419">
        <v>60</v>
      </c>
      <c r="Z117" s="419">
        <v>60</v>
      </c>
      <c r="AA117" s="419">
        <v>60</v>
      </c>
      <c r="AB117" s="419">
        <v>60</v>
      </c>
      <c r="AC117" s="420">
        <v>60</v>
      </c>
      <c r="AD117" s="41"/>
      <c r="AE117" s="41"/>
      <c r="AF117" s="41"/>
      <c r="AG117" s="41"/>
      <c r="AH117" s="41"/>
      <c r="AI117" s="41"/>
      <c r="AJ117" s="41"/>
    </row>
    <row r="118" spans="1:36" customFormat="1" ht="23.4" customHeight="1" thickBot="1" x14ac:dyDescent="0.35">
      <c r="A118" s="754"/>
      <c r="B118" s="759"/>
      <c r="C118" s="759"/>
      <c r="D118" s="881"/>
      <c r="E118" s="884" t="s">
        <v>698</v>
      </c>
      <c r="F118" s="421">
        <v>60</v>
      </c>
      <c r="G118" s="421">
        <v>60</v>
      </c>
      <c r="H118" s="421">
        <v>60</v>
      </c>
      <c r="I118" s="421">
        <v>60</v>
      </c>
      <c r="J118" s="421">
        <v>60</v>
      </c>
      <c r="K118" s="421">
        <v>60</v>
      </c>
      <c r="L118" s="421">
        <v>60</v>
      </c>
      <c r="M118" s="421">
        <v>70</v>
      </c>
      <c r="N118" s="421">
        <v>70</v>
      </c>
      <c r="O118" s="421">
        <v>70</v>
      </c>
      <c r="P118" s="421">
        <v>70</v>
      </c>
      <c r="Q118" s="421">
        <v>70</v>
      </c>
      <c r="R118" s="421">
        <v>70</v>
      </c>
      <c r="S118" s="421">
        <v>70</v>
      </c>
      <c r="T118" s="421">
        <v>70</v>
      </c>
      <c r="U118" s="421">
        <v>70</v>
      </c>
      <c r="V118" s="421">
        <v>70</v>
      </c>
      <c r="W118" s="421">
        <v>70</v>
      </c>
      <c r="X118" s="421">
        <v>70</v>
      </c>
      <c r="Y118" s="421">
        <v>70</v>
      </c>
      <c r="Z118" s="421">
        <v>70</v>
      </c>
      <c r="AA118" s="421">
        <v>70</v>
      </c>
      <c r="AB118" s="421">
        <v>60</v>
      </c>
      <c r="AC118" s="422">
        <v>60</v>
      </c>
      <c r="AD118" s="41"/>
      <c r="AE118" s="41"/>
      <c r="AF118" s="41"/>
      <c r="AG118" s="41"/>
      <c r="AH118" s="41"/>
      <c r="AI118" s="41"/>
      <c r="AJ118" s="41"/>
    </row>
    <row r="119" spans="1:36" customFormat="1" ht="24.6" customHeight="1" x14ac:dyDescent="0.3">
      <c r="A119" s="747" t="s">
        <v>693</v>
      </c>
      <c r="B119" s="757" t="s">
        <v>118</v>
      </c>
      <c r="C119" s="757" t="s">
        <v>686</v>
      </c>
      <c r="D119" s="879" t="s">
        <v>672</v>
      </c>
      <c r="E119" s="887" t="s">
        <v>673</v>
      </c>
      <c r="F119" s="541">
        <v>85</v>
      </c>
      <c r="G119" s="541">
        <v>85</v>
      </c>
      <c r="H119" s="541">
        <v>85</v>
      </c>
      <c r="I119" s="541">
        <v>85</v>
      </c>
      <c r="J119" s="541">
        <v>85</v>
      </c>
      <c r="K119" s="541">
        <v>85</v>
      </c>
      <c r="L119" s="541">
        <v>85</v>
      </c>
      <c r="M119" s="541">
        <v>85</v>
      </c>
      <c r="N119" s="541">
        <v>85</v>
      </c>
      <c r="O119" s="541">
        <v>85</v>
      </c>
      <c r="P119" s="541">
        <v>85</v>
      </c>
      <c r="Q119" s="541">
        <v>85</v>
      </c>
      <c r="R119" s="541">
        <v>85</v>
      </c>
      <c r="S119" s="541">
        <v>85</v>
      </c>
      <c r="T119" s="541">
        <v>85</v>
      </c>
      <c r="U119" s="541">
        <v>85</v>
      </c>
      <c r="V119" s="541">
        <v>85</v>
      </c>
      <c r="W119" s="541">
        <v>85</v>
      </c>
      <c r="X119" s="541">
        <v>85</v>
      </c>
      <c r="Y119" s="541">
        <v>85</v>
      </c>
      <c r="Z119" s="541">
        <v>85</v>
      </c>
      <c r="AA119" s="541">
        <v>85</v>
      </c>
      <c r="AB119" s="541">
        <v>85</v>
      </c>
      <c r="AC119" s="888">
        <v>85</v>
      </c>
      <c r="AD119" s="41"/>
      <c r="AE119" s="41"/>
      <c r="AF119" s="41"/>
      <c r="AG119" s="41"/>
      <c r="AH119" s="41"/>
      <c r="AI119" s="41"/>
      <c r="AJ119" s="41"/>
    </row>
    <row r="120" spans="1:36" customFormat="1" ht="25.2" customHeight="1" x14ac:dyDescent="0.3">
      <c r="A120" s="747"/>
      <c r="B120" s="758"/>
      <c r="C120" s="758"/>
      <c r="D120" s="880"/>
      <c r="E120" s="883" t="s">
        <v>694</v>
      </c>
      <c r="F120" s="419">
        <v>85</v>
      </c>
      <c r="G120" s="419">
        <v>85</v>
      </c>
      <c r="H120" s="419">
        <v>85</v>
      </c>
      <c r="I120" s="419">
        <v>85</v>
      </c>
      <c r="J120" s="419">
        <v>85</v>
      </c>
      <c r="K120" s="419">
        <v>85</v>
      </c>
      <c r="L120" s="419">
        <v>75</v>
      </c>
      <c r="M120" s="419">
        <v>75</v>
      </c>
      <c r="N120" s="419">
        <v>75</v>
      </c>
      <c r="O120" s="419">
        <v>75</v>
      </c>
      <c r="P120" s="419">
        <v>75</v>
      </c>
      <c r="Q120" s="419">
        <v>75</v>
      </c>
      <c r="R120" s="419">
        <v>75</v>
      </c>
      <c r="S120" s="419">
        <v>75</v>
      </c>
      <c r="T120" s="419">
        <v>75</v>
      </c>
      <c r="U120" s="419">
        <v>75</v>
      </c>
      <c r="V120" s="419">
        <v>75</v>
      </c>
      <c r="W120" s="419">
        <v>75</v>
      </c>
      <c r="X120" s="419">
        <v>85</v>
      </c>
      <c r="Y120" s="419">
        <v>85</v>
      </c>
      <c r="Z120" s="419">
        <v>85</v>
      </c>
      <c r="AA120" s="419">
        <v>85</v>
      </c>
      <c r="AB120" s="419">
        <v>85</v>
      </c>
      <c r="AC120" s="420">
        <v>85</v>
      </c>
      <c r="AD120" s="41"/>
      <c r="AE120" s="41"/>
      <c r="AF120" s="41"/>
      <c r="AG120" s="41"/>
      <c r="AH120" s="41"/>
      <c r="AI120" s="41"/>
      <c r="AJ120" s="41"/>
    </row>
    <row r="121" spans="1:36" customFormat="1" ht="25.2" customHeight="1" x14ac:dyDescent="0.3">
      <c r="A121" s="747"/>
      <c r="B121" s="758"/>
      <c r="C121" s="758"/>
      <c r="D121" s="880"/>
      <c r="E121" s="883" t="s">
        <v>695</v>
      </c>
      <c r="F121" s="419">
        <v>85</v>
      </c>
      <c r="G121" s="419">
        <v>85</v>
      </c>
      <c r="H121" s="419">
        <v>85</v>
      </c>
      <c r="I121" s="419">
        <v>85</v>
      </c>
      <c r="J121" s="419">
        <v>85</v>
      </c>
      <c r="K121" s="419">
        <v>85</v>
      </c>
      <c r="L121" s="419">
        <v>75</v>
      </c>
      <c r="M121" s="419">
        <v>75</v>
      </c>
      <c r="N121" s="419">
        <v>75</v>
      </c>
      <c r="O121" s="419">
        <v>75</v>
      </c>
      <c r="P121" s="419">
        <v>75</v>
      </c>
      <c r="Q121" s="419">
        <v>75</v>
      </c>
      <c r="R121" s="419">
        <v>75</v>
      </c>
      <c r="S121" s="419">
        <v>75</v>
      </c>
      <c r="T121" s="419">
        <v>75</v>
      </c>
      <c r="U121" s="419">
        <v>75</v>
      </c>
      <c r="V121" s="419">
        <v>75</v>
      </c>
      <c r="W121" s="419">
        <v>75</v>
      </c>
      <c r="X121" s="419">
        <v>75</v>
      </c>
      <c r="Y121" s="419">
        <v>75</v>
      </c>
      <c r="Z121" s="419">
        <v>85</v>
      </c>
      <c r="AA121" s="419">
        <v>85</v>
      </c>
      <c r="AB121" s="419">
        <v>85</v>
      </c>
      <c r="AC121" s="420">
        <v>85</v>
      </c>
      <c r="AD121" s="41"/>
      <c r="AE121" s="41"/>
      <c r="AF121" s="41"/>
      <c r="AG121" s="41"/>
      <c r="AH121" s="41"/>
      <c r="AI121" s="41"/>
      <c r="AJ121" s="41"/>
    </row>
    <row r="122" spans="1:36" customFormat="1" ht="25.2" customHeight="1" x14ac:dyDescent="0.3">
      <c r="A122" s="747"/>
      <c r="B122" s="758"/>
      <c r="C122" s="758"/>
      <c r="D122" s="880"/>
      <c r="E122" s="883" t="s">
        <v>696</v>
      </c>
      <c r="F122" s="419">
        <v>85</v>
      </c>
      <c r="G122" s="419">
        <v>85</v>
      </c>
      <c r="H122" s="419">
        <v>85</v>
      </c>
      <c r="I122" s="419">
        <v>85</v>
      </c>
      <c r="J122" s="419">
        <v>85</v>
      </c>
      <c r="K122" s="419">
        <v>85</v>
      </c>
      <c r="L122" s="419">
        <v>85</v>
      </c>
      <c r="M122" s="419">
        <v>75</v>
      </c>
      <c r="N122" s="419">
        <v>75</v>
      </c>
      <c r="O122" s="419">
        <v>75</v>
      </c>
      <c r="P122" s="419">
        <v>75</v>
      </c>
      <c r="Q122" s="419">
        <v>75</v>
      </c>
      <c r="R122" s="419">
        <v>75</v>
      </c>
      <c r="S122" s="419">
        <v>75</v>
      </c>
      <c r="T122" s="419">
        <v>75</v>
      </c>
      <c r="U122" s="419">
        <v>75</v>
      </c>
      <c r="V122" s="419">
        <v>75</v>
      </c>
      <c r="W122" s="419">
        <v>75</v>
      </c>
      <c r="X122" s="419">
        <v>85</v>
      </c>
      <c r="Y122" s="419">
        <v>85</v>
      </c>
      <c r="Z122" s="419">
        <v>85</v>
      </c>
      <c r="AA122" s="419">
        <v>85</v>
      </c>
      <c r="AB122" s="419">
        <v>85</v>
      </c>
      <c r="AC122" s="420">
        <v>85</v>
      </c>
      <c r="AD122" s="41"/>
      <c r="AE122" s="41"/>
      <c r="AF122" s="41"/>
      <c r="AG122" s="41"/>
      <c r="AH122" s="41"/>
      <c r="AI122" s="41"/>
      <c r="AJ122" s="41"/>
    </row>
    <row r="123" spans="1:36" customFormat="1" ht="25.2" customHeight="1" x14ac:dyDescent="0.3">
      <c r="A123" s="747"/>
      <c r="B123" s="758"/>
      <c r="C123" s="758"/>
      <c r="D123" s="880"/>
      <c r="E123" s="883" t="s">
        <v>697</v>
      </c>
      <c r="F123" s="419">
        <v>85</v>
      </c>
      <c r="G123" s="419">
        <v>85</v>
      </c>
      <c r="H123" s="419">
        <v>85</v>
      </c>
      <c r="I123" s="419">
        <v>85</v>
      </c>
      <c r="J123" s="419">
        <v>85</v>
      </c>
      <c r="K123" s="419">
        <v>85</v>
      </c>
      <c r="L123" s="419">
        <v>85</v>
      </c>
      <c r="M123" s="419">
        <v>75</v>
      </c>
      <c r="N123" s="419">
        <v>75</v>
      </c>
      <c r="O123" s="419">
        <v>75</v>
      </c>
      <c r="P123" s="419">
        <v>75</v>
      </c>
      <c r="Q123" s="419">
        <v>75</v>
      </c>
      <c r="R123" s="419">
        <v>75</v>
      </c>
      <c r="S123" s="419">
        <v>75</v>
      </c>
      <c r="T123" s="419">
        <v>75</v>
      </c>
      <c r="U123" s="419">
        <v>75</v>
      </c>
      <c r="V123" s="419">
        <v>75</v>
      </c>
      <c r="W123" s="419">
        <v>75</v>
      </c>
      <c r="X123" s="419">
        <v>85</v>
      </c>
      <c r="Y123" s="419">
        <v>85</v>
      </c>
      <c r="Z123" s="419">
        <v>85</v>
      </c>
      <c r="AA123" s="419">
        <v>85</v>
      </c>
      <c r="AB123" s="419">
        <v>85</v>
      </c>
      <c r="AC123" s="420">
        <v>85</v>
      </c>
      <c r="AD123" s="41"/>
      <c r="AE123" s="41"/>
      <c r="AF123" s="41"/>
      <c r="AG123" s="41"/>
      <c r="AH123" s="41"/>
      <c r="AI123" s="41"/>
      <c r="AJ123" s="41"/>
    </row>
    <row r="124" spans="1:36" customFormat="1" ht="25.2" customHeight="1" thickBot="1" x14ac:dyDescent="0.35">
      <c r="A124" s="751"/>
      <c r="B124" s="759"/>
      <c r="C124" s="759"/>
      <c r="D124" s="881"/>
      <c r="E124" s="885" t="s">
        <v>698</v>
      </c>
      <c r="F124" s="545">
        <v>85</v>
      </c>
      <c r="G124" s="545">
        <v>85</v>
      </c>
      <c r="H124" s="545">
        <v>85</v>
      </c>
      <c r="I124" s="545">
        <v>85</v>
      </c>
      <c r="J124" s="545">
        <v>85</v>
      </c>
      <c r="K124" s="545">
        <v>85</v>
      </c>
      <c r="L124" s="545">
        <v>85</v>
      </c>
      <c r="M124" s="545">
        <v>75</v>
      </c>
      <c r="N124" s="545">
        <v>75</v>
      </c>
      <c r="O124" s="545">
        <v>75</v>
      </c>
      <c r="P124" s="545">
        <v>75</v>
      </c>
      <c r="Q124" s="545">
        <v>75</v>
      </c>
      <c r="R124" s="545">
        <v>75</v>
      </c>
      <c r="S124" s="545">
        <v>75</v>
      </c>
      <c r="T124" s="545">
        <v>75</v>
      </c>
      <c r="U124" s="545">
        <v>75</v>
      </c>
      <c r="V124" s="545">
        <v>75</v>
      </c>
      <c r="W124" s="545">
        <v>75</v>
      </c>
      <c r="X124" s="545">
        <v>75</v>
      </c>
      <c r="Y124" s="545">
        <v>75</v>
      </c>
      <c r="Z124" s="545">
        <v>75</v>
      </c>
      <c r="AA124" s="545">
        <v>75</v>
      </c>
      <c r="AB124" s="545">
        <v>85</v>
      </c>
      <c r="AC124" s="889">
        <v>85</v>
      </c>
      <c r="AD124" s="41"/>
      <c r="AE124" s="41"/>
      <c r="AF124" s="41"/>
      <c r="AG124" s="41"/>
      <c r="AH124" s="41"/>
      <c r="AI124" s="41"/>
      <c r="AJ124" s="41"/>
    </row>
    <row r="125" spans="1:36" customFormat="1" ht="30" customHeight="1" x14ac:dyDescent="0.3">
      <c r="A125" s="752" t="s">
        <v>693</v>
      </c>
      <c r="B125" s="757" t="s">
        <v>118</v>
      </c>
      <c r="C125" s="757" t="s">
        <v>692</v>
      </c>
      <c r="D125" s="879" t="s">
        <v>672</v>
      </c>
      <c r="E125" s="882" t="s">
        <v>673</v>
      </c>
      <c r="F125" s="456">
        <v>0</v>
      </c>
      <c r="G125" s="456">
        <v>0</v>
      </c>
      <c r="H125" s="456">
        <v>0</v>
      </c>
      <c r="I125" s="456">
        <v>0</v>
      </c>
      <c r="J125" s="456">
        <v>0</v>
      </c>
      <c r="K125" s="456">
        <v>0</v>
      </c>
      <c r="L125" s="456">
        <v>0</v>
      </c>
      <c r="M125" s="456">
        <v>0</v>
      </c>
      <c r="N125" s="456">
        <v>0</v>
      </c>
      <c r="O125" s="456">
        <v>0</v>
      </c>
      <c r="P125" s="456">
        <v>0</v>
      </c>
      <c r="Q125" s="456">
        <v>0</v>
      </c>
      <c r="R125" s="456">
        <v>0</v>
      </c>
      <c r="S125" s="456">
        <v>0</v>
      </c>
      <c r="T125" s="456">
        <v>0</v>
      </c>
      <c r="U125" s="456">
        <v>0</v>
      </c>
      <c r="V125" s="456">
        <v>0</v>
      </c>
      <c r="W125" s="456">
        <v>0</v>
      </c>
      <c r="X125" s="456">
        <v>0</v>
      </c>
      <c r="Y125" s="456">
        <v>0</v>
      </c>
      <c r="Z125" s="456">
        <v>0</v>
      </c>
      <c r="AA125" s="456">
        <v>0</v>
      </c>
      <c r="AB125" s="456">
        <v>0</v>
      </c>
      <c r="AC125" s="457">
        <v>0</v>
      </c>
      <c r="AD125" s="41"/>
      <c r="AE125" s="41"/>
      <c r="AF125" s="41"/>
      <c r="AG125" s="41"/>
      <c r="AH125" s="41"/>
      <c r="AI125" s="41"/>
      <c r="AJ125" s="41"/>
    </row>
    <row r="126" spans="1:36" customFormat="1" ht="30" customHeight="1" x14ac:dyDescent="0.3">
      <c r="A126" s="753"/>
      <c r="B126" s="758"/>
      <c r="C126" s="758"/>
      <c r="D126" s="880"/>
      <c r="E126" s="883" t="s">
        <v>694</v>
      </c>
      <c r="F126" s="263">
        <v>0</v>
      </c>
      <c r="G126" s="263">
        <v>0</v>
      </c>
      <c r="H126" s="263">
        <v>0</v>
      </c>
      <c r="I126" s="263">
        <v>0</v>
      </c>
      <c r="J126" s="263">
        <v>0</v>
      </c>
      <c r="K126" s="263">
        <v>0</v>
      </c>
      <c r="L126" s="263">
        <v>1</v>
      </c>
      <c r="M126" s="263">
        <v>1</v>
      </c>
      <c r="N126" s="263">
        <v>1</v>
      </c>
      <c r="O126" s="263">
        <v>1</v>
      </c>
      <c r="P126" s="263">
        <v>1</v>
      </c>
      <c r="Q126" s="263">
        <v>1</v>
      </c>
      <c r="R126" s="263">
        <v>1</v>
      </c>
      <c r="S126" s="263">
        <v>1</v>
      </c>
      <c r="T126" s="263">
        <v>1</v>
      </c>
      <c r="U126" s="263">
        <v>1</v>
      </c>
      <c r="V126" s="263">
        <v>1</v>
      </c>
      <c r="W126" s="263">
        <v>1</v>
      </c>
      <c r="X126" s="263">
        <v>0</v>
      </c>
      <c r="Y126" s="263">
        <v>0</v>
      </c>
      <c r="Z126" s="263">
        <v>0</v>
      </c>
      <c r="AA126" s="263">
        <v>0</v>
      </c>
      <c r="AB126" s="263">
        <v>0</v>
      </c>
      <c r="AC126" s="459">
        <v>0</v>
      </c>
      <c r="AD126" s="41"/>
      <c r="AE126" s="41"/>
      <c r="AF126" s="41"/>
      <c r="AG126" s="41"/>
      <c r="AH126" s="41"/>
      <c r="AI126" s="41"/>
      <c r="AJ126" s="41"/>
    </row>
    <row r="127" spans="1:36" customFormat="1" ht="30" customHeight="1" x14ac:dyDescent="0.3">
      <c r="A127" s="753"/>
      <c r="B127" s="758"/>
      <c r="C127" s="758"/>
      <c r="D127" s="880"/>
      <c r="E127" s="883" t="s">
        <v>695</v>
      </c>
      <c r="F127" s="263">
        <v>0</v>
      </c>
      <c r="G127" s="263">
        <v>0</v>
      </c>
      <c r="H127" s="263">
        <v>0</v>
      </c>
      <c r="I127" s="263">
        <v>0</v>
      </c>
      <c r="J127" s="263">
        <v>0</v>
      </c>
      <c r="K127" s="263">
        <v>0</v>
      </c>
      <c r="L127" s="263">
        <v>1</v>
      </c>
      <c r="M127" s="263">
        <v>1</v>
      </c>
      <c r="N127" s="263">
        <v>1</v>
      </c>
      <c r="O127" s="263">
        <v>1</v>
      </c>
      <c r="P127" s="263">
        <v>1</v>
      </c>
      <c r="Q127" s="263">
        <v>1</v>
      </c>
      <c r="R127" s="263">
        <v>1</v>
      </c>
      <c r="S127" s="263">
        <v>1</v>
      </c>
      <c r="T127" s="263">
        <v>1</v>
      </c>
      <c r="U127" s="263">
        <v>1</v>
      </c>
      <c r="V127" s="263">
        <v>1</v>
      </c>
      <c r="W127" s="263">
        <v>1</v>
      </c>
      <c r="X127" s="263">
        <v>1</v>
      </c>
      <c r="Y127" s="263">
        <v>1</v>
      </c>
      <c r="Z127" s="263">
        <v>0</v>
      </c>
      <c r="AA127" s="263">
        <v>0</v>
      </c>
      <c r="AB127" s="263">
        <v>0</v>
      </c>
      <c r="AC127" s="459">
        <v>0</v>
      </c>
      <c r="AD127" s="41"/>
      <c r="AE127" s="41"/>
      <c r="AF127" s="41"/>
      <c r="AG127" s="41"/>
      <c r="AH127" s="41"/>
      <c r="AI127" s="41"/>
      <c r="AJ127" s="41"/>
    </row>
    <row r="128" spans="1:36" customFormat="1" ht="30" customHeight="1" x14ac:dyDescent="0.3">
      <c r="A128" s="753"/>
      <c r="B128" s="758"/>
      <c r="C128" s="758"/>
      <c r="D128" s="880"/>
      <c r="E128" s="883" t="s">
        <v>696</v>
      </c>
      <c r="F128" s="263">
        <v>0</v>
      </c>
      <c r="G128" s="263">
        <v>0</v>
      </c>
      <c r="H128" s="263">
        <v>0</v>
      </c>
      <c r="I128" s="263">
        <v>0</v>
      </c>
      <c r="J128" s="263">
        <v>0</v>
      </c>
      <c r="K128" s="263">
        <v>0</v>
      </c>
      <c r="L128" s="263">
        <v>0</v>
      </c>
      <c r="M128" s="263">
        <v>1</v>
      </c>
      <c r="N128" s="263">
        <v>1</v>
      </c>
      <c r="O128" s="263">
        <v>1</v>
      </c>
      <c r="P128" s="263">
        <v>1</v>
      </c>
      <c r="Q128" s="263">
        <v>1</v>
      </c>
      <c r="R128" s="263">
        <v>1</v>
      </c>
      <c r="S128" s="263">
        <v>1</v>
      </c>
      <c r="T128" s="263">
        <v>1</v>
      </c>
      <c r="U128" s="263">
        <v>1</v>
      </c>
      <c r="V128" s="263">
        <v>1</v>
      </c>
      <c r="W128" s="263">
        <v>1</v>
      </c>
      <c r="X128" s="263">
        <v>0</v>
      </c>
      <c r="Y128" s="263">
        <v>0</v>
      </c>
      <c r="Z128" s="263">
        <v>0</v>
      </c>
      <c r="AA128" s="263">
        <v>0</v>
      </c>
      <c r="AB128" s="263">
        <v>0</v>
      </c>
      <c r="AC128" s="459">
        <v>0</v>
      </c>
      <c r="AD128" s="41"/>
      <c r="AE128" s="41"/>
      <c r="AF128" s="41"/>
      <c r="AG128" s="41"/>
      <c r="AH128" s="41"/>
      <c r="AI128" s="41"/>
      <c r="AJ128" s="41"/>
    </row>
    <row r="129" spans="1:36" customFormat="1" ht="30" customHeight="1" x14ac:dyDescent="0.3">
      <c r="A129" s="753"/>
      <c r="B129" s="758"/>
      <c r="C129" s="758"/>
      <c r="D129" s="880"/>
      <c r="E129" s="883" t="s">
        <v>697</v>
      </c>
      <c r="F129" s="263">
        <v>0</v>
      </c>
      <c r="G129" s="263">
        <v>0</v>
      </c>
      <c r="H129" s="263">
        <v>0</v>
      </c>
      <c r="I129" s="263">
        <v>0</v>
      </c>
      <c r="J129" s="263">
        <v>0</v>
      </c>
      <c r="K129" s="263">
        <v>0</v>
      </c>
      <c r="L129" s="263">
        <v>0</v>
      </c>
      <c r="M129" s="263">
        <v>1</v>
      </c>
      <c r="N129" s="263">
        <v>1</v>
      </c>
      <c r="O129" s="263">
        <v>1</v>
      </c>
      <c r="P129" s="263">
        <v>1</v>
      </c>
      <c r="Q129" s="263">
        <v>1</v>
      </c>
      <c r="R129" s="263">
        <v>1</v>
      </c>
      <c r="S129" s="263">
        <v>1</v>
      </c>
      <c r="T129" s="263">
        <v>1</v>
      </c>
      <c r="U129" s="263">
        <v>1</v>
      </c>
      <c r="V129" s="263">
        <v>1</v>
      </c>
      <c r="W129" s="263">
        <v>1</v>
      </c>
      <c r="X129" s="263">
        <v>0</v>
      </c>
      <c r="Y129" s="263">
        <v>0</v>
      </c>
      <c r="Z129" s="263">
        <v>0</v>
      </c>
      <c r="AA129" s="263">
        <v>0</v>
      </c>
      <c r="AB129" s="263">
        <v>0</v>
      </c>
      <c r="AC129" s="459">
        <v>0</v>
      </c>
      <c r="AD129" s="41"/>
      <c r="AE129" s="41"/>
      <c r="AF129" s="41"/>
      <c r="AG129" s="41"/>
      <c r="AH129" s="41"/>
      <c r="AI129" s="41"/>
      <c r="AJ129" s="41"/>
    </row>
    <row r="130" spans="1:36" customFormat="1" ht="30" customHeight="1" thickBot="1" x14ac:dyDescent="0.35">
      <c r="A130" s="754"/>
      <c r="B130" s="759"/>
      <c r="C130" s="759"/>
      <c r="D130" s="881"/>
      <c r="E130" s="884" t="s">
        <v>698</v>
      </c>
      <c r="F130" s="461">
        <v>0</v>
      </c>
      <c r="G130" s="461">
        <v>0</v>
      </c>
      <c r="H130" s="461">
        <v>0</v>
      </c>
      <c r="I130" s="461">
        <v>0</v>
      </c>
      <c r="J130" s="461">
        <v>0</v>
      </c>
      <c r="K130" s="461">
        <v>0</v>
      </c>
      <c r="L130" s="461">
        <v>0</v>
      </c>
      <c r="M130" s="461">
        <v>1</v>
      </c>
      <c r="N130" s="461">
        <v>1</v>
      </c>
      <c r="O130" s="461">
        <v>1</v>
      </c>
      <c r="P130" s="461">
        <v>1</v>
      </c>
      <c r="Q130" s="461">
        <v>1</v>
      </c>
      <c r="R130" s="461">
        <v>1</v>
      </c>
      <c r="S130" s="461">
        <v>1</v>
      </c>
      <c r="T130" s="461">
        <v>1</v>
      </c>
      <c r="U130" s="461">
        <v>1</v>
      </c>
      <c r="V130" s="461">
        <v>1</v>
      </c>
      <c r="W130" s="461">
        <v>1</v>
      </c>
      <c r="X130" s="461">
        <v>1</v>
      </c>
      <c r="Y130" s="461">
        <v>1</v>
      </c>
      <c r="Z130" s="461">
        <v>1</v>
      </c>
      <c r="AA130" s="461">
        <v>1</v>
      </c>
      <c r="AB130" s="461">
        <v>0</v>
      </c>
      <c r="AC130" s="462">
        <v>0</v>
      </c>
      <c r="AD130" s="41"/>
      <c r="AE130" s="41"/>
      <c r="AF130" s="41"/>
      <c r="AG130" s="41"/>
      <c r="AH130" s="41"/>
      <c r="AI130" s="41"/>
      <c r="AJ130" s="41"/>
    </row>
    <row r="131" spans="1:36" customFormat="1" ht="26.4" customHeight="1" x14ac:dyDescent="0.3">
      <c r="A131" s="752" t="s">
        <v>693</v>
      </c>
      <c r="B131" s="757" t="s">
        <v>118</v>
      </c>
      <c r="C131" s="757" t="s">
        <v>284</v>
      </c>
      <c r="D131" s="879" t="s">
        <v>672</v>
      </c>
      <c r="E131" s="887" t="s">
        <v>673</v>
      </c>
      <c r="F131" s="548">
        <v>1</v>
      </c>
      <c r="G131" s="548">
        <v>1</v>
      </c>
      <c r="H131" s="548">
        <v>1</v>
      </c>
      <c r="I131" s="548">
        <v>1</v>
      </c>
      <c r="J131" s="548">
        <v>1</v>
      </c>
      <c r="K131" s="548">
        <v>1</v>
      </c>
      <c r="L131" s="548">
        <v>1</v>
      </c>
      <c r="M131" s="548">
        <v>1</v>
      </c>
      <c r="N131" s="548">
        <v>1</v>
      </c>
      <c r="O131" s="548">
        <v>1</v>
      </c>
      <c r="P131" s="548">
        <v>1</v>
      </c>
      <c r="Q131" s="548">
        <v>1</v>
      </c>
      <c r="R131" s="548">
        <v>1</v>
      </c>
      <c r="S131" s="548">
        <v>1</v>
      </c>
      <c r="T131" s="548">
        <v>1</v>
      </c>
      <c r="U131" s="548">
        <v>1</v>
      </c>
      <c r="V131" s="548">
        <v>1</v>
      </c>
      <c r="W131" s="548">
        <v>1</v>
      </c>
      <c r="X131" s="548">
        <v>1</v>
      </c>
      <c r="Y131" s="548">
        <v>1</v>
      </c>
      <c r="Z131" s="548">
        <v>1</v>
      </c>
      <c r="AA131" s="548">
        <v>1</v>
      </c>
      <c r="AB131" s="548">
        <v>1</v>
      </c>
      <c r="AC131" s="886">
        <v>1</v>
      </c>
      <c r="AD131" s="41"/>
      <c r="AE131" s="41"/>
      <c r="AF131" s="41"/>
      <c r="AG131" s="41"/>
      <c r="AH131" s="41"/>
      <c r="AI131" s="41"/>
      <c r="AJ131" s="41"/>
    </row>
    <row r="132" spans="1:36" customFormat="1" ht="26.4" customHeight="1" x14ac:dyDescent="0.3">
      <c r="A132" s="753"/>
      <c r="B132" s="758"/>
      <c r="C132" s="758"/>
      <c r="D132" s="880"/>
      <c r="E132" s="883" t="s">
        <v>694</v>
      </c>
      <c r="F132" s="263">
        <v>1</v>
      </c>
      <c r="G132" s="263">
        <v>1</v>
      </c>
      <c r="H132" s="263">
        <v>1</v>
      </c>
      <c r="I132" s="263">
        <v>1</v>
      </c>
      <c r="J132" s="263">
        <v>1</v>
      </c>
      <c r="K132" s="263">
        <v>1</v>
      </c>
      <c r="L132" s="263">
        <v>0.25</v>
      </c>
      <c r="M132" s="263">
        <v>0.25</v>
      </c>
      <c r="N132" s="263">
        <v>0.25</v>
      </c>
      <c r="O132" s="263">
        <v>0.25</v>
      </c>
      <c r="P132" s="263">
        <v>0.25</v>
      </c>
      <c r="Q132" s="263">
        <v>0.25</v>
      </c>
      <c r="R132" s="263">
        <v>0.25</v>
      </c>
      <c r="S132" s="263">
        <v>0.25</v>
      </c>
      <c r="T132" s="263">
        <v>0.25</v>
      </c>
      <c r="U132" s="263">
        <v>0.25</v>
      </c>
      <c r="V132" s="263">
        <v>0.25</v>
      </c>
      <c r="W132" s="263">
        <v>0.25</v>
      </c>
      <c r="X132" s="263">
        <v>1</v>
      </c>
      <c r="Y132" s="263">
        <v>1</v>
      </c>
      <c r="Z132" s="263">
        <v>1</v>
      </c>
      <c r="AA132" s="263">
        <v>1</v>
      </c>
      <c r="AB132" s="263">
        <v>1</v>
      </c>
      <c r="AC132" s="459">
        <v>1</v>
      </c>
      <c r="AD132" s="41"/>
      <c r="AE132" s="41"/>
      <c r="AF132" s="41"/>
      <c r="AG132" s="41"/>
      <c r="AH132" s="41"/>
      <c r="AI132" s="41"/>
      <c r="AJ132" s="41"/>
    </row>
    <row r="133" spans="1:36" customFormat="1" ht="26.4" customHeight="1" x14ac:dyDescent="0.3">
      <c r="A133" s="753"/>
      <c r="B133" s="758"/>
      <c r="C133" s="758"/>
      <c r="D133" s="880"/>
      <c r="E133" s="883" t="s">
        <v>695</v>
      </c>
      <c r="F133" s="263">
        <v>1</v>
      </c>
      <c r="G133" s="263">
        <v>1</v>
      </c>
      <c r="H133" s="263">
        <v>1</v>
      </c>
      <c r="I133" s="263">
        <v>1</v>
      </c>
      <c r="J133" s="263">
        <v>1</v>
      </c>
      <c r="K133" s="263">
        <v>1</v>
      </c>
      <c r="L133" s="263">
        <v>0.25</v>
      </c>
      <c r="M133" s="263">
        <v>0.25</v>
      </c>
      <c r="N133" s="263">
        <v>0.25</v>
      </c>
      <c r="O133" s="263">
        <v>0.25</v>
      </c>
      <c r="P133" s="263">
        <v>0.25</v>
      </c>
      <c r="Q133" s="263">
        <v>0.25</v>
      </c>
      <c r="R133" s="263">
        <v>0.25</v>
      </c>
      <c r="S133" s="263">
        <v>0.25</v>
      </c>
      <c r="T133" s="263">
        <v>0.25</v>
      </c>
      <c r="U133" s="263">
        <v>0.25</v>
      </c>
      <c r="V133" s="263">
        <v>0.25</v>
      </c>
      <c r="W133" s="263">
        <v>0.25</v>
      </c>
      <c r="X133" s="263">
        <v>0.25</v>
      </c>
      <c r="Y133" s="263">
        <v>0.25</v>
      </c>
      <c r="Z133" s="263">
        <v>1</v>
      </c>
      <c r="AA133" s="263">
        <v>1</v>
      </c>
      <c r="AB133" s="263">
        <v>1</v>
      </c>
      <c r="AC133" s="459">
        <v>1</v>
      </c>
      <c r="AD133" s="41"/>
      <c r="AE133" s="41"/>
      <c r="AF133" s="41"/>
      <c r="AG133" s="41"/>
      <c r="AH133" s="41"/>
      <c r="AI133" s="41"/>
      <c r="AJ133" s="41"/>
    </row>
    <row r="134" spans="1:36" customFormat="1" ht="26.4" customHeight="1" x14ac:dyDescent="0.3">
      <c r="A134" s="753"/>
      <c r="B134" s="758"/>
      <c r="C134" s="758"/>
      <c r="D134" s="880"/>
      <c r="E134" s="883" t="s">
        <v>696</v>
      </c>
      <c r="F134" s="263">
        <v>1</v>
      </c>
      <c r="G134" s="263">
        <v>1</v>
      </c>
      <c r="H134" s="263">
        <v>1</v>
      </c>
      <c r="I134" s="263">
        <v>1</v>
      </c>
      <c r="J134" s="263">
        <v>1</v>
      </c>
      <c r="K134" s="263">
        <v>1</v>
      </c>
      <c r="L134" s="263">
        <v>1</v>
      </c>
      <c r="M134" s="263">
        <v>0.25</v>
      </c>
      <c r="N134" s="263">
        <v>0.25</v>
      </c>
      <c r="O134" s="263">
        <v>0.25</v>
      </c>
      <c r="P134" s="263">
        <v>0.25</v>
      </c>
      <c r="Q134" s="263">
        <v>0.25</v>
      </c>
      <c r="R134" s="263">
        <v>0.25</v>
      </c>
      <c r="S134" s="263">
        <v>0.25</v>
      </c>
      <c r="T134" s="263">
        <v>0.25</v>
      </c>
      <c r="U134" s="263">
        <v>0.25</v>
      </c>
      <c r="V134" s="263">
        <v>0.25</v>
      </c>
      <c r="W134" s="263">
        <v>0.25</v>
      </c>
      <c r="X134" s="263">
        <v>1</v>
      </c>
      <c r="Y134" s="263">
        <v>1</v>
      </c>
      <c r="Z134" s="263">
        <v>1</v>
      </c>
      <c r="AA134" s="263">
        <v>1</v>
      </c>
      <c r="AB134" s="263">
        <v>1</v>
      </c>
      <c r="AC134" s="459">
        <v>1</v>
      </c>
      <c r="AD134" s="41"/>
      <c r="AE134" s="41"/>
      <c r="AF134" s="41"/>
      <c r="AG134" s="41"/>
      <c r="AH134" s="41"/>
      <c r="AI134" s="41"/>
      <c r="AJ134" s="41"/>
    </row>
    <row r="135" spans="1:36" customFormat="1" ht="26.4" customHeight="1" x14ac:dyDescent="0.3">
      <c r="A135" s="753"/>
      <c r="B135" s="758"/>
      <c r="C135" s="758"/>
      <c r="D135" s="880"/>
      <c r="E135" s="883" t="s">
        <v>697</v>
      </c>
      <c r="F135" s="263">
        <v>1</v>
      </c>
      <c r="G135" s="263">
        <v>1</v>
      </c>
      <c r="H135" s="263">
        <v>1</v>
      </c>
      <c r="I135" s="263">
        <v>1</v>
      </c>
      <c r="J135" s="263">
        <v>1</v>
      </c>
      <c r="K135" s="263">
        <v>1</v>
      </c>
      <c r="L135" s="263">
        <v>1</v>
      </c>
      <c r="M135" s="263">
        <v>0.25</v>
      </c>
      <c r="N135" s="263">
        <v>0.25</v>
      </c>
      <c r="O135" s="263">
        <v>0.25</v>
      </c>
      <c r="P135" s="263">
        <v>0.25</v>
      </c>
      <c r="Q135" s="263">
        <v>0.25</v>
      </c>
      <c r="R135" s="263">
        <v>0.25</v>
      </c>
      <c r="S135" s="263">
        <v>0.25</v>
      </c>
      <c r="T135" s="263">
        <v>0.25</v>
      </c>
      <c r="U135" s="263">
        <v>0.25</v>
      </c>
      <c r="V135" s="263">
        <v>0.25</v>
      </c>
      <c r="W135" s="263">
        <v>0.25</v>
      </c>
      <c r="X135" s="263">
        <v>1</v>
      </c>
      <c r="Y135" s="263">
        <v>1</v>
      </c>
      <c r="Z135" s="263">
        <v>1</v>
      </c>
      <c r="AA135" s="263">
        <v>1</v>
      </c>
      <c r="AB135" s="263">
        <v>1</v>
      </c>
      <c r="AC135" s="459">
        <v>1</v>
      </c>
      <c r="AD135" s="41"/>
      <c r="AE135" s="41"/>
      <c r="AF135" s="41"/>
      <c r="AG135" s="41"/>
      <c r="AH135" s="41"/>
      <c r="AI135" s="41"/>
      <c r="AJ135" s="41"/>
    </row>
    <row r="136" spans="1:36" customFormat="1" ht="26.4" customHeight="1" thickBot="1" x14ac:dyDescent="0.35">
      <c r="A136" s="754"/>
      <c r="B136" s="759"/>
      <c r="C136" s="759"/>
      <c r="D136" s="881"/>
      <c r="E136" s="885" t="s">
        <v>698</v>
      </c>
      <c r="F136" s="476">
        <v>1</v>
      </c>
      <c r="G136" s="476">
        <v>1</v>
      </c>
      <c r="H136" s="476">
        <v>1</v>
      </c>
      <c r="I136" s="476">
        <v>1</v>
      </c>
      <c r="J136" s="476">
        <v>1</v>
      </c>
      <c r="K136" s="476">
        <v>1</v>
      </c>
      <c r="L136" s="476">
        <v>1</v>
      </c>
      <c r="M136" s="476">
        <v>0.25</v>
      </c>
      <c r="N136" s="476">
        <v>0.25</v>
      </c>
      <c r="O136" s="476">
        <v>0.25</v>
      </c>
      <c r="P136" s="476">
        <v>0.25</v>
      </c>
      <c r="Q136" s="476">
        <v>0.25</v>
      </c>
      <c r="R136" s="476">
        <v>0.25</v>
      </c>
      <c r="S136" s="476">
        <v>0.25</v>
      </c>
      <c r="T136" s="476">
        <v>0.25</v>
      </c>
      <c r="U136" s="476">
        <v>0.25</v>
      </c>
      <c r="V136" s="476">
        <v>0.25</v>
      </c>
      <c r="W136" s="476">
        <v>0.25</v>
      </c>
      <c r="X136" s="476">
        <v>0.25</v>
      </c>
      <c r="Y136" s="476">
        <v>0.25</v>
      </c>
      <c r="Z136" s="476">
        <v>0.25</v>
      </c>
      <c r="AA136" s="476">
        <v>0.25</v>
      </c>
      <c r="AB136" s="476">
        <v>1</v>
      </c>
      <c r="AC136" s="477">
        <v>1</v>
      </c>
      <c r="AD136" s="41"/>
      <c r="AE136" s="41"/>
      <c r="AF136" s="41"/>
      <c r="AG136" s="41"/>
      <c r="AH136" s="41"/>
      <c r="AI136" s="41"/>
      <c r="AJ136" s="41"/>
    </row>
    <row r="137" spans="1:36" customFormat="1" ht="26.4" customHeight="1" x14ac:dyDescent="0.3">
      <c r="A137" s="752" t="s">
        <v>693</v>
      </c>
      <c r="B137" s="757" t="s">
        <v>118</v>
      </c>
      <c r="C137" s="757" t="s">
        <v>683</v>
      </c>
      <c r="D137" s="879" t="s">
        <v>681</v>
      </c>
      <c r="E137" s="882" t="s">
        <v>673</v>
      </c>
      <c r="F137" s="176">
        <v>0.9</v>
      </c>
      <c r="G137" s="176">
        <v>0.9</v>
      </c>
      <c r="H137" s="176">
        <v>0.9</v>
      </c>
      <c r="I137" s="176">
        <v>0.9</v>
      </c>
      <c r="J137" s="176">
        <v>0.9</v>
      </c>
      <c r="K137" s="176">
        <v>0.9</v>
      </c>
      <c r="L137" s="176">
        <v>0.9</v>
      </c>
      <c r="M137" s="176">
        <v>0.9</v>
      </c>
      <c r="N137" s="176">
        <v>0.9</v>
      </c>
      <c r="O137" s="176">
        <v>0.9</v>
      </c>
      <c r="P137" s="176">
        <v>0.9</v>
      </c>
      <c r="Q137" s="176">
        <v>0.9</v>
      </c>
      <c r="R137" s="176">
        <v>0.9</v>
      </c>
      <c r="S137" s="176">
        <v>0.9</v>
      </c>
      <c r="T137" s="176">
        <v>0.9</v>
      </c>
      <c r="U137" s="176">
        <v>0.9</v>
      </c>
      <c r="V137" s="176">
        <v>0.9</v>
      </c>
      <c r="W137" s="176">
        <v>0.9</v>
      </c>
      <c r="X137" s="176">
        <v>0.9</v>
      </c>
      <c r="Y137" s="176">
        <v>0.9</v>
      </c>
      <c r="Z137" s="176">
        <v>0.9</v>
      </c>
      <c r="AA137" s="176">
        <v>0.9</v>
      </c>
      <c r="AB137" s="176">
        <v>0.9</v>
      </c>
      <c r="AC137" s="177">
        <v>0.9</v>
      </c>
      <c r="AD137" s="41"/>
      <c r="AE137" s="41"/>
      <c r="AF137" s="41"/>
      <c r="AG137" s="41"/>
      <c r="AH137" s="41"/>
      <c r="AI137" s="41"/>
      <c r="AJ137" s="41"/>
    </row>
    <row r="138" spans="1:36" customFormat="1" ht="26.4" customHeight="1" x14ac:dyDescent="0.3">
      <c r="A138" s="753"/>
      <c r="B138" s="758"/>
      <c r="C138" s="758"/>
      <c r="D138" s="880"/>
      <c r="E138" s="883" t="s">
        <v>694</v>
      </c>
      <c r="F138" s="178">
        <v>0.9</v>
      </c>
      <c r="G138" s="178">
        <v>0.9</v>
      </c>
      <c r="H138" s="178">
        <v>0.9</v>
      </c>
      <c r="I138" s="178">
        <v>0.9</v>
      </c>
      <c r="J138" s="178">
        <v>0.9</v>
      </c>
      <c r="K138" s="178">
        <v>0.9</v>
      </c>
      <c r="L138" s="178">
        <v>0.9</v>
      </c>
      <c r="M138" s="178">
        <v>0.9</v>
      </c>
      <c r="N138" s="178">
        <v>0.9</v>
      </c>
      <c r="O138" s="178">
        <v>0.9</v>
      </c>
      <c r="P138" s="178">
        <v>0.9</v>
      </c>
      <c r="Q138" s="178">
        <v>0.9</v>
      </c>
      <c r="R138" s="178">
        <v>0.9</v>
      </c>
      <c r="S138" s="178">
        <v>0.9</v>
      </c>
      <c r="T138" s="178">
        <v>0.9</v>
      </c>
      <c r="U138" s="178">
        <v>0.9</v>
      </c>
      <c r="V138" s="178">
        <v>0.9</v>
      </c>
      <c r="W138" s="178">
        <v>0.9</v>
      </c>
      <c r="X138" s="178">
        <v>0.9</v>
      </c>
      <c r="Y138" s="178">
        <v>0.9</v>
      </c>
      <c r="Z138" s="178">
        <v>0.9</v>
      </c>
      <c r="AA138" s="178">
        <v>0.9</v>
      </c>
      <c r="AB138" s="178">
        <v>0.9</v>
      </c>
      <c r="AC138" s="179">
        <v>0.9</v>
      </c>
      <c r="AD138" s="41"/>
      <c r="AE138" s="41"/>
      <c r="AF138" s="41"/>
      <c r="AG138" s="41"/>
      <c r="AH138" s="41"/>
      <c r="AI138" s="41"/>
      <c r="AJ138" s="41"/>
    </row>
    <row r="139" spans="1:36" customFormat="1" ht="26.4" customHeight="1" x14ac:dyDescent="0.3">
      <c r="A139" s="753"/>
      <c r="B139" s="758"/>
      <c r="C139" s="758"/>
      <c r="D139" s="880"/>
      <c r="E139" s="883" t="s">
        <v>695</v>
      </c>
      <c r="F139" s="178">
        <v>0.9</v>
      </c>
      <c r="G139" s="178">
        <v>0.9</v>
      </c>
      <c r="H139" s="178">
        <v>0.9</v>
      </c>
      <c r="I139" s="178">
        <v>0.9</v>
      </c>
      <c r="J139" s="178">
        <v>0.9</v>
      </c>
      <c r="K139" s="178">
        <v>0.9</v>
      </c>
      <c r="L139" s="178">
        <v>0.9</v>
      </c>
      <c r="M139" s="178">
        <v>0.9</v>
      </c>
      <c r="N139" s="178">
        <v>0.9</v>
      </c>
      <c r="O139" s="178">
        <v>0.9</v>
      </c>
      <c r="P139" s="178">
        <v>0.9</v>
      </c>
      <c r="Q139" s="178">
        <v>0.9</v>
      </c>
      <c r="R139" s="178">
        <v>0.9</v>
      </c>
      <c r="S139" s="178">
        <v>0.9</v>
      </c>
      <c r="T139" s="178">
        <v>0.9</v>
      </c>
      <c r="U139" s="178">
        <v>0.9</v>
      </c>
      <c r="V139" s="178">
        <v>0.9</v>
      </c>
      <c r="W139" s="178">
        <v>0.9</v>
      </c>
      <c r="X139" s="178">
        <v>0.9</v>
      </c>
      <c r="Y139" s="178">
        <v>0.9</v>
      </c>
      <c r="Z139" s="178">
        <v>0.9</v>
      </c>
      <c r="AA139" s="178">
        <v>0.9</v>
      </c>
      <c r="AB139" s="178">
        <v>0.9</v>
      </c>
      <c r="AC139" s="179">
        <v>0.9</v>
      </c>
      <c r="AD139" s="41"/>
      <c r="AE139" s="41"/>
      <c r="AF139" s="41"/>
      <c r="AG139" s="41"/>
      <c r="AH139" s="41"/>
      <c r="AI139" s="41"/>
      <c r="AJ139" s="41"/>
    </row>
    <row r="140" spans="1:36" customFormat="1" ht="26.4" customHeight="1" x14ac:dyDescent="0.3">
      <c r="A140" s="753"/>
      <c r="B140" s="758"/>
      <c r="C140" s="758"/>
      <c r="D140" s="880"/>
      <c r="E140" s="883" t="s">
        <v>696</v>
      </c>
      <c r="F140" s="263">
        <v>0.9</v>
      </c>
      <c r="G140" s="263">
        <v>0.9</v>
      </c>
      <c r="H140" s="263">
        <v>0.9</v>
      </c>
      <c r="I140" s="263">
        <v>0.9</v>
      </c>
      <c r="J140" s="263">
        <v>0.9</v>
      </c>
      <c r="K140" s="263">
        <v>0.9</v>
      </c>
      <c r="L140" s="263">
        <v>0.9</v>
      </c>
      <c r="M140" s="263">
        <v>0.9</v>
      </c>
      <c r="N140" s="263">
        <v>0.9</v>
      </c>
      <c r="O140" s="263">
        <v>0.9</v>
      </c>
      <c r="P140" s="263">
        <v>0.9</v>
      </c>
      <c r="Q140" s="263">
        <v>0.9</v>
      </c>
      <c r="R140" s="263">
        <v>0.9</v>
      </c>
      <c r="S140" s="263">
        <v>0.9</v>
      </c>
      <c r="T140" s="263">
        <v>0.9</v>
      </c>
      <c r="U140" s="263">
        <v>0.9</v>
      </c>
      <c r="V140" s="263">
        <v>0.9</v>
      </c>
      <c r="W140" s="263">
        <v>0.9</v>
      </c>
      <c r="X140" s="263">
        <v>0.9</v>
      </c>
      <c r="Y140" s="263">
        <v>0.9</v>
      </c>
      <c r="Z140" s="263">
        <v>0.9</v>
      </c>
      <c r="AA140" s="263">
        <v>0.9</v>
      </c>
      <c r="AB140" s="263">
        <v>0.9</v>
      </c>
      <c r="AC140" s="459">
        <v>0.9</v>
      </c>
      <c r="AD140" s="41"/>
      <c r="AE140" s="41"/>
      <c r="AF140" s="41"/>
      <c r="AG140" s="41"/>
      <c r="AH140" s="41"/>
      <c r="AI140" s="41"/>
      <c r="AJ140" s="41"/>
    </row>
    <row r="141" spans="1:36" customFormat="1" ht="26.4" customHeight="1" x14ac:dyDescent="0.3">
      <c r="A141" s="753"/>
      <c r="B141" s="758"/>
      <c r="C141" s="758"/>
      <c r="D141" s="880"/>
      <c r="E141" s="883" t="s">
        <v>697</v>
      </c>
      <c r="F141" s="263">
        <v>0.9</v>
      </c>
      <c r="G141" s="263">
        <v>0.9</v>
      </c>
      <c r="H141" s="263">
        <v>0.9</v>
      </c>
      <c r="I141" s="263">
        <v>0.9</v>
      </c>
      <c r="J141" s="263">
        <v>0.9</v>
      </c>
      <c r="K141" s="263">
        <v>0.9</v>
      </c>
      <c r="L141" s="263">
        <v>0.9</v>
      </c>
      <c r="M141" s="263">
        <v>0.9</v>
      </c>
      <c r="N141" s="263">
        <v>0.9</v>
      </c>
      <c r="O141" s="263">
        <v>0.9</v>
      </c>
      <c r="P141" s="263">
        <v>0.9</v>
      </c>
      <c r="Q141" s="263">
        <v>0.9</v>
      </c>
      <c r="R141" s="263">
        <v>0.9</v>
      </c>
      <c r="S141" s="263">
        <v>0.9</v>
      </c>
      <c r="T141" s="263">
        <v>0.9</v>
      </c>
      <c r="U141" s="263">
        <v>0.9</v>
      </c>
      <c r="V141" s="263">
        <v>0.9</v>
      </c>
      <c r="W141" s="263">
        <v>0.9</v>
      </c>
      <c r="X141" s="263">
        <v>0.9</v>
      </c>
      <c r="Y141" s="263">
        <v>0.9</v>
      </c>
      <c r="Z141" s="263">
        <v>0.9</v>
      </c>
      <c r="AA141" s="263">
        <v>0.9</v>
      </c>
      <c r="AB141" s="263">
        <v>0.9</v>
      </c>
      <c r="AC141" s="459">
        <v>0.9</v>
      </c>
      <c r="AD141" s="41"/>
      <c r="AE141" s="41"/>
      <c r="AF141" s="41"/>
      <c r="AG141" s="41"/>
      <c r="AH141" s="41"/>
      <c r="AI141" s="41"/>
      <c r="AJ141" s="41"/>
    </row>
    <row r="142" spans="1:36" customFormat="1" ht="26.4" customHeight="1" thickBot="1" x14ac:dyDescent="0.35">
      <c r="A142" s="753"/>
      <c r="B142" s="758"/>
      <c r="C142" s="758"/>
      <c r="D142" s="880"/>
      <c r="E142" s="884" t="s">
        <v>698</v>
      </c>
      <c r="F142" s="461">
        <v>0.9</v>
      </c>
      <c r="G142" s="461">
        <v>0.9</v>
      </c>
      <c r="H142" s="461">
        <v>0.9</v>
      </c>
      <c r="I142" s="461">
        <v>0.9</v>
      </c>
      <c r="J142" s="461">
        <v>0.9</v>
      </c>
      <c r="K142" s="461">
        <v>0.9</v>
      </c>
      <c r="L142" s="461">
        <v>0.9</v>
      </c>
      <c r="M142" s="461">
        <v>0.9</v>
      </c>
      <c r="N142" s="461">
        <v>0.9</v>
      </c>
      <c r="O142" s="461">
        <v>0.9</v>
      </c>
      <c r="P142" s="461">
        <v>0.9</v>
      </c>
      <c r="Q142" s="461">
        <v>0.9</v>
      </c>
      <c r="R142" s="461">
        <v>0.9</v>
      </c>
      <c r="S142" s="461">
        <v>0.9</v>
      </c>
      <c r="T142" s="461">
        <v>0.9</v>
      </c>
      <c r="U142" s="461">
        <v>0.9</v>
      </c>
      <c r="V142" s="461">
        <v>0.9</v>
      </c>
      <c r="W142" s="461">
        <v>0.9</v>
      </c>
      <c r="X142" s="461">
        <v>0.9</v>
      </c>
      <c r="Y142" s="461">
        <v>0.9</v>
      </c>
      <c r="Z142" s="461">
        <v>0.9</v>
      </c>
      <c r="AA142" s="461">
        <v>0.9</v>
      </c>
      <c r="AB142" s="461">
        <v>0.9</v>
      </c>
      <c r="AC142" s="462">
        <v>0.9</v>
      </c>
      <c r="AD142" s="41"/>
      <c r="AE142" s="41"/>
      <c r="AF142" s="41"/>
      <c r="AG142" s="41"/>
      <c r="AH142" s="41"/>
      <c r="AI142" s="41"/>
      <c r="AJ142" s="41"/>
    </row>
    <row r="143" spans="1:36" customFormat="1" ht="26.4" customHeight="1" x14ac:dyDescent="0.3">
      <c r="A143" s="743" t="s">
        <v>693</v>
      </c>
      <c r="B143" s="860" t="s">
        <v>118</v>
      </c>
      <c r="C143" s="860" t="s">
        <v>680</v>
      </c>
      <c r="D143" s="775" t="s">
        <v>681</v>
      </c>
      <c r="E143" s="887" t="s">
        <v>673</v>
      </c>
      <c r="F143" s="548">
        <v>0.03</v>
      </c>
      <c r="G143" s="548">
        <v>0.03</v>
      </c>
      <c r="H143" s="548">
        <v>0.03</v>
      </c>
      <c r="I143" s="548">
        <v>0.03</v>
      </c>
      <c r="J143" s="548">
        <v>0.03</v>
      </c>
      <c r="K143" s="548">
        <v>0.03</v>
      </c>
      <c r="L143" s="548">
        <v>0.03</v>
      </c>
      <c r="M143" s="548">
        <v>0.03</v>
      </c>
      <c r="N143" s="548">
        <v>0.03</v>
      </c>
      <c r="O143" s="548">
        <v>0.03</v>
      </c>
      <c r="P143" s="548">
        <v>0.03</v>
      </c>
      <c r="Q143" s="548">
        <v>0.03</v>
      </c>
      <c r="R143" s="548">
        <v>0.03</v>
      </c>
      <c r="S143" s="548">
        <v>0.03</v>
      </c>
      <c r="T143" s="548">
        <v>0.03</v>
      </c>
      <c r="U143" s="548">
        <v>0.03</v>
      </c>
      <c r="V143" s="548">
        <v>0.03</v>
      </c>
      <c r="W143" s="548">
        <v>0.03</v>
      </c>
      <c r="X143" s="548">
        <v>0.03</v>
      </c>
      <c r="Y143" s="548">
        <v>0.03</v>
      </c>
      <c r="Z143" s="548">
        <v>0.03</v>
      </c>
      <c r="AA143" s="548">
        <v>0.03</v>
      </c>
      <c r="AB143" s="548">
        <v>0.03</v>
      </c>
      <c r="AC143" s="886">
        <v>0.03</v>
      </c>
      <c r="AD143" s="41"/>
      <c r="AE143" s="41"/>
      <c r="AF143" s="41"/>
      <c r="AG143" s="41"/>
      <c r="AH143" s="41"/>
      <c r="AI143" s="41"/>
      <c r="AJ143" s="41"/>
    </row>
    <row r="144" spans="1:36" customFormat="1" ht="26.4" customHeight="1" x14ac:dyDescent="0.3">
      <c r="A144" s="744"/>
      <c r="B144" s="804"/>
      <c r="C144" s="804"/>
      <c r="D144" s="776"/>
      <c r="E144" s="883" t="s">
        <v>694</v>
      </c>
      <c r="F144" s="263">
        <v>0.05</v>
      </c>
      <c r="G144" s="263">
        <v>0.05</v>
      </c>
      <c r="H144" s="263">
        <v>0.05</v>
      </c>
      <c r="I144" s="263">
        <v>0.05</v>
      </c>
      <c r="J144" s="263">
        <v>0.05</v>
      </c>
      <c r="K144" s="263">
        <v>0.05</v>
      </c>
      <c r="L144" s="263">
        <v>0.05</v>
      </c>
      <c r="M144" s="263">
        <v>0.1</v>
      </c>
      <c r="N144" s="263">
        <v>0.34</v>
      </c>
      <c r="O144" s="263">
        <v>0.6</v>
      </c>
      <c r="P144" s="263">
        <v>0.63</v>
      </c>
      <c r="Q144" s="263">
        <v>0.72</v>
      </c>
      <c r="R144" s="263">
        <v>0.79</v>
      </c>
      <c r="S144" s="263">
        <v>0.83</v>
      </c>
      <c r="T144" s="263">
        <v>0.61</v>
      </c>
      <c r="U144" s="263">
        <v>0.65</v>
      </c>
      <c r="V144" s="263">
        <v>0.1</v>
      </c>
      <c r="W144" s="263">
        <v>0.1</v>
      </c>
      <c r="X144" s="263">
        <v>0.19</v>
      </c>
      <c r="Y144" s="263">
        <v>0.25</v>
      </c>
      <c r="Z144" s="263">
        <v>0.22</v>
      </c>
      <c r="AA144" s="263">
        <v>0.22</v>
      </c>
      <c r="AB144" s="263">
        <v>0.12</v>
      </c>
      <c r="AC144" s="459">
        <v>0.09</v>
      </c>
      <c r="AD144" s="39"/>
      <c r="AE144" s="39"/>
      <c r="AF144" s="41"/>
      <c r="AG144" s="41"/>
      <c r="AH144" s="41"/>
      <c r="AI144" s="41"/>
      <c r="AJ144" s="41"/>
    </row>
    <row r="145" spans="1:36" customFormat="1" ht="26.4" customHeight="1" x14ac:dyDescent="0.3">
      <c r="A145" s="744"/>
      <c r="B145" s="804"/>
      <c r="C145" s="804"/>
      <c r="D145" s="776"/>
      <c r="E145" s="883" t="s">
        <v>695</v>
      </c>
      <c r="F145" s="263">
        <v>0.05</v>
      </c>
      <c r="G145" s="263">
        <v>0.05</v>
      </c>
      <c r="H145" s="263">
        <v>0.05</v>
      </c>
      <c r="I145" s="263">
        <v>0.05</v>
      </c>
      <c r="J145" s="263">
        <v>0.05</v>
      </c>
      <c r="K145" s="263">
        <v>0.05</v>
      </c>
      <c r="L145" s="263">
        <v>0.05</v>
      </c>
      <c r="M145" s="263">
        <v>0.1</v>
      </c>
      <c r="N145" s="263">
        <v>0.34</v>
      </c>
      <c r="O145" s="263">
        <v>0.6</v>
      </c>
      <c r="P145" s="263">
        <v>0.63</v>
      </c>
      <c r="Q145" s="263">
        <v>0.72</v>
      </c>
      <c r="R145" s="263">
        <v>0.79</v>
      </c>
      <c r="S145" s="263">
        <v>0.83</v>
      </c>
      <c r="T145" s="263">
        <v>0.61</v>
      </c>
      <c r="U145" s="263">
        <v>0.65</v>
      </c>
      <c r="V145" s="263">
        <v>0.1</v>
      </c>
      <c r="W145" s="263">
        <v>0.1</v>
      </c>
      <c r="X145" s="263">
        <v>0.19</v>
      </c>
      <c r="Y145" s="263">
        <v>0.25</v>
      </c>
      <c r="Z145" s="263">
        <v>0.22</v>
      </c>
      <c r="AA145" s="263">
        <v>0.22</v>
      </c>
      <c r="AB145" s="263">
        <v>0.12</v>
      </c>
      <c r="AC145" s="459">
        <v>0.09</v>
      </c>
      <c r="AD145" s="39"/>
      <c r="AE145" s="39"/>
      <c r="AF145" s="41"/>
      <c r="AG145" s="41"/>
      <c r="AH145" s="41"/>
      <c r="AI145" s="41"/>
      <c r="AJ145" s="41"/>
    </row>
    <row r="146" spans="1:36" customFormat="1" ht="26.4" customHeight="1" x14ac:dyDescent="0.3">
      <c r="A146" s="744"/>
      <c r="B146" s="804"/>
      <c r="C146" s="804"/>
      <c r="D146" s="776"/>
      <c r="E146" s="883" t="s">
        <v>696</v>
      </c>
      <c r="F146" s="263">
        <v>0.03</v>
      </c>
      <c r="G146" s="263">
        <v>0.03</v>
      </c>
      <c r="H146" s="263">
        <v>0.03</v>
      </c>
      <c r="I146" s="263">
        <v>0.03</v>
      </c>
      <c r="J146" s="263">
        <v>0.03</v>
      </c>
      <c r="K146" s="263">
        <v>0.03</v>
      </c>
      <c r="L146" s="263">
        <v>0.03</v>
      </c>
      <c r="M146" s="263">
        <v>0.03</v>
      </c>
      <c r="N146" s="263">
        <v>0.03</v>
      </c>
      <c r="O146" s="263">
        <v>0.03</v>
      </c>
      <c r="P146" s="263">
        <v>0.03</v>
      </c>
      <c r="Q146" s="263">
        <v>0.03</v>
      </c>
      <c r="R146" s="263">
        <v>0.03</v>
      </c>
      <c r="S146" s="263">
        <v>0.03</v>
      </c>
      <c r="T146" s="263">
        <v>0.03</v>
      </c>
      <c r="U146" s="263">
        <v>0.03</v>
      </c>
      <c r="V146" s="263">
        <v>0.03</v>
      </c>
      <c r="W146" s="263">
        <v>0.03</v>
      </c>
      <c r="X146" s="263">
        <v>0.03</v>
      </c>
      <c r="Y146" s="263">
        <v>0.03</v>
      </c>
      <c r="Z146" s="263">
        <v>0.03</v>
      </c>
      <c r="AA146" s="263">
        <v>0.03</v>
      </c>
      <c r="AB146" s="263">
        <v>0.03</v>
      </c>
      <c r="AC146" s="459">
        <v>0.03</v>
      </c>
      <c r="AD146" s="39"/>
      <c r="AE146" s="39"/>
      <c r="AF146" s="41"/>
      <c r="AG146" s="41"/>
      <c r="AH146" s="41"/>
      <c r="AI146" s="41"/>
      <c r="AJ146" s="41"/>
    </row>
    <row r="147" spans="1:36" customFormat="1" ht="26.4" customHeight="1" x14ac:dyDescent="0.3">
      <c r="A147" s="744"/>
      <c r="B147" s="804"/>
      <c r="C147" s="804"/>
      <c r="D147" s="776"/>
      <c r="E147" s="883" t="s">
        <v>697</v>
      </c>
      <c r="F147" s="263">
        <v>0.03</v>
      </c>
      <c r="G147" s="263">
        <v>0.03</v>
      </c>
      <c r="H147" s="263">
        <v>0.03</v>
      </c>
      <c r="I147" s="263">
        <v>0.03</v>
      </c>
      <c r="J147" s="263">
        <v>0.03</v>
      </c>
      <c r="K147" s="263">
        <v>0.03</v>
      </c>
      <c r="L147" s="263">
        <v>0.03</v>
      </c>
      <c r="M147" s="263">
        <v>0.03</v>
      </c>
      <c r="N147" s="263">
        <v>0.03</v>
      </c>
      <c r="O147" s="263">
        <v>0.03</v>
      </c>
      <c r="P147" s="263">
        <v>0.03</v>
      </c>
      <c r="Q147" s="263">
        <v>0.03</v>
      </c>
      <c r="R147" s="263">
        <v>0.03</v>
      </c>
      <c r="S147" s="263">
        <v>0.03</v>
      </c>
      <c r="T147" s="263">
        <v>0.03</v>
      </c>
      <c r="U147" s="263">
        <v>0.03</v>
      </c>
      <c r="V147" s="263">
        <v>0.03</v>
      </c>
      <c r="W147" s="263">
        <v>0.03</v>
      </c>
      <c r="X147" s="263">
        <v>0.03</v>
      </c>
      <c r="Y147" s="263">
        <v>0.03</v>
      </c>
      <c r="Z147" s="263">
        <v>0.03</v>
      </c>
      <c r="AA147" s="263">
        <v>0.03</v>
      </c>
      <c r="AB147" s="263">
        <v>0.03</v>
      </c>
      <c r="AC147" s="459">
        <v>0.03</v>
      </c>
      <c r="AD147" s="39"/>
      <c r="AE147" s="39"/>
      <c r="AF147" s="41"/>
      <c r="AG147" s="41"/>
      <c r="AH147" s="41"/>
      <c r="AI147" s="41"/>
      <c r="AJ147" s="41"/>
    </row>
    <row r="148" spans="1:36" customFormat="1" ht="26.4" customHeight="1" thickBot="1" x14ac:dyDescent="0.35">
      <c r="A148" s="745"/>
      <c r="B148" s="805"/>
      <c r="C148" s="805"/>
      <c r="D148" s="777"/>
      <c r="E148" s="884" t="s">
        <v>698</v>
      </c>
      <c r="F148" s="461">
        <v>0.03</v>
      </c>
      <c r="G148" s="461">
        <v>0.03</v>
      </c>
      <c r="H148" s="461">
        <v>0.03</v>
      </c>
      <c r="I148" s="461">
        <v>0.03</v>
      </c>
      <c r="J148" s="461">
        <v>0.03</v>
      </c>
      <c r="K148" s="461">
        <v>0.03</v>
      </c>
      <c r="L148" s="461">
        <v>0.03</v>
      </c>
      <c r="M148" s="461">
        <v>0.03</v>
      </c>
      <c r="N148" s="461">
        <v>0.03</v>
      </c>
      <c r="O148" s="461">
        <v>0.03</v>
      </c>
      <c r="P148" s="461">
        <v>0.03</v>
      </c>
      <c r="Q148" s="461">
        <v>0.03</v>
      </c>
      <c r="R148" s="461">
        <v>0.03</v>
      </c>
      <c r="S148" s="461">
        <v>0.03</v>
      </c>
      <c r="T148" s="461">
        <v>0.03</v>
      </c>
      <c r="U148" s="461">
        <v>0.03</v>
      </c>
      <c r="V148" s="461">
        <v>0.03</v>
      </c>
      <c r="W148" s="461">
        <v>0.03</v>
      </c>
      <c r="X148" s="461">
        <v>0.03</v>
      </c>
      <c r="Y148" s="461">
        <v>0.03</v>
      </c>
      <c r="Z148" s="461">
        <v>0.03</v>
      </c>
      <c r="AA148" s="461">
        <v>0.03</v>
      </c>
      <c r="AB148" s="461">
        <v>0.03</v>
      </c>
      <c r="AC148" s="462">
        <v>0.03</v>
      </c>
      <c r="AD148" s="39"/>
      <c r="AE148" s="39"/>
      <c r="AF148" s="41"/>
      <c r="AG148" s="41"/>
      <c r="AH148" s="41"/>
      <c r="AI148" s="41"/>
      <c r="AJ148" s="41"/>
    </row>
    <row r="149" spans="1:36" ht="25.2" customHeight="1" thickBot="1" x14ac:dyDescent="0.35">
      <c r="A149" s="855" t="s">
        <v>26</v>
      </c>
      <c r="B149" s="855"/>
      <c r="C149" s="855" t="s">
        <v>26</v>
      </c>
      <c r="D149" s="855"/>
      <c r="E149" s="855"/>
      <c r="F149" s="855"/>
      <c r="G149" s="855"/>
      <c r="H149" s="855"/>
      <c r="I149" s="855"/>
      <c r="J149" s="855"/>
      <c r="K149" s="855"/>
      <c r="L149" s="855"/>
      <c r="M149" s="855"/>
      <c r="N149" s="855"/>
      <c r="O149" s="855"/>
      <c r="P149" s="855"/>
      <c r="Q149" s="855"/>
      <c r="R149" s="855"/>
      <c r="S149" s="855"/>
      <c r="T149" s="855"/>
      <c r="U149" s="855"/>
      <c r="V149" s="855"/>
      <c r="W149" s="855"/>
      <c r="X149" s="855"/>
      <c r="Y149" s="855"/>
      <c r="Z149" s="855"/>
      <c r="AA149" s="855"/>
      <c r="AB149" s="855"/>
      <c r="AC149" s="856"/>
      <c r="AD149" s="301" t="s">
        <v>661</v>
      </c>
    </row>
    <row r="150" spans="1:36" ht="25.2" customHeight="1" x14ac:dyDescent="0.3">
      <c r="A150" s="831"/>
      <c r="B150" s="834" t="s">
        <v>102</v>
      </c>
      <c r="C150" s="836" t="s">
        <v>563</v>
      </c>
      <c r="D150" s="838" t="s">
        <v>699</v>
      </c>
      <c r="E150" s="169" t="s">
        <v>700</v>
      </c>
      <c r="F150" s="170">
        <v>0</v>
      </c>
      <c r="G150" s="170">
        <v>0</v>
      </c>
      <c r="H150" s="170">
        <v>0</v>
      </c>
      <c r="I150" s="170">
        <v>0</v>
      </c>
      <c r="J150" s="170">
        <v>0</v>
      </c>
      <c r="K150" s="170">
        <v>1</v>
      </c>
      <c r="L150" s="170">
        <v>1</v>
      </c>
      <c r="M150" s="170">
        <v>1</v>
      </c>
      <c r="N150" s="170">
        <v>1</v>
      </c>
      <c r="O150" s="170">
        <v>1</v>
      </c>
      <c r="P150" s="170">
        <v>1</v>
      </c>
      <c r="Q150" s="170">
        <v>1</v>
      </c>
      <c r="R150" s="170">
        <v>1</v>
      </c>
      <c r="S150" s="170">
        <v>1</v>
      </c>
      <c r="T150" s="170">
        <v>1</v>
      </c>
      <c r="U150" s="170">
        <v>1</v>
      </c>
      <c r="V150" s="170">
        <v>1</v>
      </c>
      <c r="W150" s="170">
        <v>1</v>
      </c>
      <c r="X150" s="170">
        <v>1</v>
      </c>
      <c r="Y150" s="170">
        <v>1</v>
      </c>
      <c r="Z150" s="170">
        <v>1</v>
      </c>
      <c r="AA150" s="170">
        <v>1</v>
      </c>
      <c r="AB150" s="170">
        <v>1</v>
      </c>
      <c r="AC150" s="171">
        <v>1</v>
      </c>
      <c r="AD150" s="42">
        <f>SUM(F150:AC150)*261+ SUM(F151:AC151)*52+ SUM(F152:AC152)*52</f>
        <v>4959</v>
      </c>
    </row>
    <row r="151" spans="1:36" ht="33.75" customHeight="1" x14ac:dyDescent="0.3">
      <c r="A151" s="832"/>
      <c r="B151" s="829"/>
      <c r="C151" s="820"/>
      <c r="D151" s="823"/>
      <c r="E151" s="160" t="s">
        <v>690</v>
      </c>
      <c r="F151" s="168">
        <v>0</v>
      </c>
      <c r="G151" s="168">
        <v>0</v>
      </c>
      <c r="H151" s="168">
        <v>0</v>
      </c>
      <c r="I151" s="168">
        <v>0</v>
      </c>
      <c r="J151" s="168">
        <v>0</v>
      </c>
      <c r="K151" s="168">
        <v>0</v>
      </c>
      <c r="L151" s="168">
        <v>0</v>
      </c>
      <c r="M151" s="168">
        <v>0</v>
      </c>
      <c r="N151" s="168">
        <v>0</v>
      </c>
      <c r="O151" s="168">
        <v>0</v>
      </c>
      <c r="P151" s="168">
        <v>0</v>
      </c>
      <c r="Q151" s="168">
        <v>0</v>
      </c>
      <c r="R151" s="168">
        <v>0</v>
      </c>
      <c r="S151" s="168">
        <v>0</v>
      </c>
      <c r="T151" s="168">
        <v>0</v>
      </c>
      <c r="U151" s="168">
        <v>0</v>
      </c>
      <c r="V151" s="168">
        <v>0</v>
      </c>
      <c r="W151" s="168">
        <v>0</v>
      </c>
      <c r="X151" s="168">
        <v>0</v>
      </c>
      <c r="Y151" s="168">
        <v>0</v>
      </c>
      <c r="Z151" s="168">
        <v>0</v>
      </c>
      <c r="AA151" s="168">
        <v>0</v>
      </c>
      <c r="AB151" s="168">
        <v>0</v>
      </c>
      <c r="AC151" s="172">
        <v>0</v>
      </c>
    </row>
    <row r="152" spans="1:36" ht="32.25" customHeight="1" thickBot="1" x14ac:dyDescent="0.35">
      <c r="A152" s="833"/>
      <c r="B152" s="835"/>
      <c r="C152" s="837"/>
      <c r="D152" s="839"/>
      <c r="E152" s="173" t="s">
        <v>691</v>
      </c>
      <c r="F152" s="174">
        <v>0</v>
      </c>
      <c r="G152" s="174">
        <v>0</v>
      </c>
      <c r="H152" s="174">
        <v>0</v>
      </c>
      <c r="I152" s="174">
        <v>0</v>
      </c>
      <c r="J152" s="174">
        <v>0</v>
      </c>
      <c r="K152" s="174">
        <v>0</v>
      </c>
      <c r="L152" s="174">
        <v>0</v>
      </c>
      <c r="M152" s="174">
        <v>0</v>
      </c>
      <c r="N152" s="174">
        <v>0</v>
      </c>
      <c r="O152" s="174">
        <v>0</v>
      </c>
      <c r="P152" s="174">
        <v>0</v>
      </c>
      <c r="Q152" s="174">
        <v>0</v>
      </c>
      <c r="R152" s="174">
        <v>0</v>
      </c>
      <c r="S152" s="174">
        <v>0</v>
      </c>
      <c r="T152" s="174">
        <v>0</v>
      </c>
      <c r="U152" s="174">
        <v>0</v>
      </c>
      <c r="V152" s="174">
        <v>0</v>
      </c>
      <c r="W152" s="174">
        <v>0</v>
      </c>
      <c r="X152" s="174">
        <v>0</v>
      </c>
      <c r="Y152" s="174">
        <v>0</v>
      </c>
      <c r="Z152" s="174">
        <v>0</v>
      </c>
      <c r="AA152" s="174">
        <v>0</v>
      </c>
      <c r="AB152" s="174">
        <v>0</v>
      </c>
      <c r="AC152" s="175">
        <v>0</v>
      </c>
    </row>
    <row r="153" spans="1:36" ht="25.2" customHeight="1" x14ac:dyDescent="0.3">
      <c r="A153" s="831"/>
      <c r="B153" s="834" t="s">
        <v>102</v>
      </c>
      <c r="C153" s="836" t="s">
        <v>701</v>
      </c>
      <c r="D153" s="838"/>
      <c r="E153" s="169" t="s">
        <v>700</v>
      </c>
      <c r="F153" s="185">
        <v>1</v>
      </c>
      <c r="G153" s="185">
        <v>1</v>
      </c>
      <c r="H153" s="185">
        <v>1</v>
      </c>
      <c r="I153" s="185">
        <v>1</v>
      </c>
      <c r="J153" s="185">
        <v>1</v>
      </c>
      <c r="K153" s="185">
        <v>1</v>
      </c>
      <c r="L153" s="185">
        <v>1</v>
      </c>
      <c r="M153" s="185">
        <v>1</v>
      </c>
      <c r="N153" s="185">
        <v>1</v>
      </c>
      <c r="O153" s="185">
        <v>1</v>
      </c>
      <c r="P153" s="185">
        <v>1</v>
      </c>
      <c r="Q153" s="185">
        <v>1</v>
      </c>
      <c r="R153" s="185">
        <v>1</v>
      </c>
      <c r="S153" s="185">
        <v>1</v>
      </c>
      <c r="T153" s="185">
        <v>1</v>
      </c>
      <c r="U153" s="185">
        <v>1</v>
      </c>
      <c r="V153" s="185">
        <v>1</v>
      </c>
      <c r="W153" s="185">
        <v>1</v>
      </c>
      <c r="X153" s="185">
        <v>1</v>
      </c>
      <c r="Y153" s="185">
        <v>1</v>
      </c>
      <c r="Z153" s="185">
        <v>1</v>
      </c>
      <c r="AA153" s="185">
        <v>1</v>
      </c>
      <c r="AB153" s="185">
        <v>1</v>
      </c>
      <c r="AC153" s="186">
        <v>1</v>
      </c>
    </row>
    <row r="154" spans="1:36" ht="25.2" customHeight="1" x14ac:dyDescent="0.3">
      <c r="A154" s="832"/>
      <c r="B154" s="829"/>
      <c r="C154" s="820"/>
      <c r="D154" s="823"/>
      <c r="E154" s="160" t="s">
        <v>690</v>
      </c>
      <c r="F154" s="159">
        <v>1</v>
      </c>
      <c r="G154" s="159">
        <v>1</v>
      </c>
      <c r="H154" s="159">
        <v>1</v>
      </c>
      <c r="I154" s="159">
        <v>1</v>
      </c>
      <c r="J154" s="159">
        <v>1</v>
      </c>
      <c r="K154" s="159">
        <v>1</v>
      </c>
      <c r="L154" s="159">
        <v>1</v>
      </c>
      <c r="M154" s="159">
        <v>1</v>
      </c>
      <c r="N154" s="159">
        <v>1</v>
      </c>
      <c r="O154" s="159">
        <v>1</v>
      </c>
      <c r="P154" s="159">
        <v>1</v>
      </c>
      <c r="Q154" s="159">
        <v>1</v>
      </c>
      <c r="R154" s="159">
        <v>1</v>
      </c>
      <c r="S154" s="159">
        <v>1</v>
      </c>
      <c r="T154" s="159">
        <v>1</v>
      </c>
      <c r="U154" s="159">
        <v>1</v>
      </c>
      <c r="V154" s="159">
        <v>1</v>
      </c>
      <c r="W154" s="159">
        <v>1</v>
      </c>
      <c r="X154" s="159">
        <v>1</v>
      </c>
      <c r="Y154" s="159">
        <v>1</v>
      </c>
      <c r="Z154" s="159">
        <v>1</v>
      </c>
      <c r="AA154" s="159">
        <v>1</v>
      </c>
      <c r="AB154" s="159">
        <v>1</v>
      </c>
      <c r="AC154" s="187">
        <v>1</v>
      </c>
    </row>
    <row r="155" spans="1:36" ht="25.2" customHeight="1" thickBot="1" x14ac:dyDescent="0.35">
      <c r="A155" s="833"/>
      <c r="B155" s="835"/>
      <c r="C155" s="837"/>
      <c r="D155" s="839"/>
      <c r="E155" s="173" t="s">
        <v>691</v>
      </c>
      <c r="F155" s="188">
        <v>1</v>
      </c>
      <c r="G155" s="188">
        <v>1</v>
      </c>
      <c r="H155" s="188">
        <v>1</v>
      </c>
      <c r="I155" s="188">
        <v>1</v>
      </c>
      <c r="J155" s="188">
        <v>1</v>
      </c>
      <c r="K155" s="188">
        <v>1</v>
      </c>
      <c r="L155" s="188">
        <v>1</v>
      </c>
      <c r="M155" s="188">
        <v>1</v>
      </c>
      <c r="N155" s="188">
        <v>1</v>
      </c>
      <c r="O155" s="188">
        <v>1</v>
      </c>
      <c r="P155" s="188">
        <v>1</v>
      </c>
      <c r="Q155" s="188">
        <v>1</v>
      </c>
      <c r="R155" s="188">
        <v>1</v>
      </c>
      <c r="S155" s="188">
        <v>1</v>
      </c>
      <c r="T155" s="188">
        <v>1</v>
      </c>
      <c r="U155" s="188">
        <v>1</v>
      </c>
      <c r="V155" s="188">
        <v>1</v>
      </c>
      <c r="W155" s="188">
        <v>1</v>
      </c>
      <c r="X155" s="188">
        <v>1</v>
      </c>
      <c r="Y155" s="188">
        <v>1</v>
      </c>
      <c r="Z155" s="188">
        <v>1</v>
      </c>
      <c r="AA155" s="188">
        <v>1</v>
      </c>
      <c r="AB155" s="188">
        <v>1</v>
      </c>
      <c r="AC155" s="189">
        <v>1</v>
      </c>
    </row>
    <row r="156" spans="1:36" ht="30.75" customHeight="1" x14ac:dyDescent="0.3">
      <c r="A156" s="831"/>
      <c r="B156" s="834" t="s">
        <v>102</v>
      </c>
      <c r="C156" s="836" t="s">
        <v>702</v>
      </c>
      <c r="D156" s="838"/>
      <c r="E156" s="169" t="s">
        <v>700</v>
      </c>
      <c r="F156" s="185">
        <v>0</v>
      </c>
      <c r="G156" s="185">
        <v>0</v>
      </c>
      <c r="H156" s="185">
        <v>0</v>
      </c>
      <c r="I156" s="185">
        <v>0</v>
      </c>
      <c r="J156" s="185">
        <v>0</v>
      </c>
      <c r="K156" s="185">
        <v>1</v>
      </c>
      <c r="L156" s="185">
        <v>1</v>
      </c>
      <c r="M156" s="185">
        <v>1</v>
      </c>
      <c r="N156" s="185">
        <v>1</v>
      </c>
      <c r="O156" s="185">
        <v>1</v>
      </c>
      <c r="P156" s="185">
        <v>1</v>
      </c>
      <c r="Q156" s="185">
        <v>1</v>
      </c>
      <c r="R156" s="185">
        <v>1</v>
      </c>
      <c r="S156" s="185">
        <v>1</v>
      </c>
      <c r="T156" s="185">
        <v>1</v>
      </c>
      <c r="U156" s="185">
        <v>1</v>
      </c>
      <c r="V156" s="185">
        <v>1</v>
      </c>
      <c r="W156" s="185">
        <v>1</v>
      </c>
      <c r="X156" s="185">
        <v>1</v>
      </c>
      <c r="Y156" s="185">
        <v>1</v>
      </c>
      <c r="Z156" s="185">
        <v>1</v>
      </c>
      <c r="AA156" s="185">
        <v>1</v>
      </c>
      <c r="AB156" s="185">
        <v>0</v>
      </c>
      <c r="AC156" s="186">
        <v>0</v>
      </c>
    </row>
    <row r="157" spans="1:36" ht="30.75" customHeight="1" x14ac:dyDescent="0.3">
      <c r="A157" s="832"/>
      <c r="B157" s="829"/>
      <c r="C157" s="820"/>
      <c r="D157" s="823"/>
      <c r="E157" s="160" t="s">
        <v>690</v>
      </c>
      <c r="F157" s="159">
        <v>0</v>
      </c>
      <c r="G157" s="159">
        <v>0</v>
      </c>
      <c r="H157" s="159">
        <v>0</v>
      </c>
      <c r="I157" s="159">
        <v>0</v>
      </c>
      <c r="J157" s="159">
        <v>0</v>
      </c>
      <c r="K157" s="159">
        <v>1</v>
      </c>
      <c r="L157" s="159">
        <v>1</v>
      </c>
      <c r="M157" s="159">
        <v>1</v>
      </c>
      <c r="N157" s="159">
        <v>1</v>
      </c>
      <c r="O157" s="159">
        <v>1</v>
      </c>
      <c r="P157" s="159">
        <v>1</v>
      </c>
      <c r="Q157" s="159">
        <v>1</v>
      </c>
      <c r="R157" s="159">
        <v>1</v>
      </c>
      <c r="S157" s="159">
        <v>1</v>
      </c>
      <c r="T157" s="159">
        <v>1</v>
      </c>
      <c r="U157" s="159">
        <v>1</v>
      </c>
      <c r="V157" s="159">
        <v>1</v>
      </c>
      <c r="W157" s="159">
        <v>1</v>
      </c>
      <c r="X157" s="159">
        <v>1</v>
      </c>
      <c r="Y157" s="159">
        <v>1</v>
      </c>
      <c r="Z157" s="159">
        <v>1</v>
      </c>
      <c r="AA157" s="159">
        <v>1</v>
      </c>
      <c r="AB157" s="159">
        <v>1</v>
      </c>
      <c r="AC157" s="187">
        <v>1</v>
      </c>
    </row>
    <row r="158" spans="1:36" ht="37.5" customHeight="1" thickBot="1" x14ac:dyDescent="0.35">
      <c r="A158" s="833"/>
      <c r="B158" s="835"/>
      <c r="C158" s="837"/>
      <c r="D158" s="839"/>
      <c r="E158" s="173" t="s">
        <v>691</v>
      </c>
      <c r="F158" s="188">
        <v>0</v>
      </c>
      <c r="G158" s="188">
        <v>0</v>
      </c>
      <c r="H158" s="188">
        <v>0</v>
      </c>
      <c r="I158" s="188">
        <v>0</v>
      </c>
      <c r="J158" s="188">
        <v>0</v>
      </c>
      <c r="K158" s="188">
        <v>1</v>
      </c>
      <c r="L158" s="188">
        <v>1</v>
      </c>
      <c r="M158" s="188">
        <v>1</v>
      </c>
      <c r="N158" s="188">
        <v>1</v>
      </c>
      <c r="O158" s="188">
        <v>1</v>
      </c>
      <c r="P158" s="188">
        <v>1</v>
      </c>
      <c r="Q158" s="188">
        <v>1</v>
      </c>
      <c r="R158" s="188">
        <v>1</v>
      </c>
      <c r="S158" s="188">
        <v>1</v>
      </c>
      <c r="T158" s="188">
        <v>1</v>
      </c>
      <c r="U158" s="188">
        <v>1</v>
      </c>
      <c r="V158" s="188">
        <v>1</v>
      </c>
      <c r="W158" s="188">
        <v>1</v>
      </c>
      <c r="X158" s="188">
        <v>1</v>
      </c>
      <c r="Y158" s="188">
        <v>1</v>
      </c>
      <c r="Z158" s="188">
        <v>1</v>
      </c>
      <c r="AA158" s="188">
        <v>1</v>
      </c>
      <c r="AB158" s="188">
        <v>1</v>
      </c>
      <c r="AC158" s="189">
        <v>1</v>
      </c>
    </row>
    <row r="159" spans="1:36" ht="36" customHeight="1" x14ac:dyDescent="0.3">
      <c r="A159" s="813" t="s">
        <v>703</v>
      </c>
      <c r="B159" s="816" t="s">
        <v>102</v>
      </c>
      <c r="C159" s="840" t="s">
        <v>704</v>
      </c>
      <c r="D159" s="822" t="s">
        <v>705</v>
      </c>
      <c r="E159" s="161" t="s">
        <v>700</v>
      </c>
      <c r="F159" s="167">
        <v>102.6</v>
      </c>
      <c r="G159" s="167">
        <v>102.6</v>
      </c>
      <c r="H159" s="167">
        <v>102.6</v>
      </c>
      <c r="I159" s="167">
        <v>102.6</v>
      </c>
      <c r="J159" s="167">
        <v>102.6</v>
      </c>
      <c r="K159" s="167">
        <v>102.6</v>
      </c>
      <c r="L159" s="167">
        <v>102.6</v>
      </c>
      <c r="M159" s="167">
        <v>102.6</v>
      </c>
      <c r="N159" s="167">
        <v>102.6</v>
      </c>
      <c r="O159" s="167">
        <v>102.6</v>
      </c>
      <c r="P159" s="167">
        <v>102.6</v>
      </c>
      <c r="Q159" s="167">
        <v>102.6</v>
      </c>
      <c r="R159" s="167">
        <v>102.6</v>
      </c>
      <c r="S159" s="167">
        <v>102.6</v>
      </c>
      <c r="T159" s="167">
        <v>102.6</v>
      </c>
      <c r="U159" s="167">
        <v>102.6</v>
      </c>
      <c r="V159" s="167">
        <v>102.6</v>
      </c>
      <c r="W159" s="167">
        <v>102.6</v>
      </c>
      <c r="X159" s="167">
        <v>102.6</v>
      </c>
      <c r="Y159" s="167">
        <v>102.6</v>
      </c>
      <c r="Z159" s="167">
        <v>102.6</v>
      </c>
      <c r="AA159" s="167">
        <v>102.6</v>
      </c>
      <c r="AB159" s="167">
        <v>102.6</v>
      </c>
      <c r="AC159" s="166">
        <v>102.6</v>
      </c>
    </row>
    <row r="160" spans="1:36" ht="36" customHeight="1" x14ac:dyDescent="0.3">
      <c r="A160" s="814"/>
      <c r="B160" s="817"/>
      <c r="C160" s="820"/>
      <c r="D160" s="823"/>
      <c r="E160" s="160" t="s">
        <v>690</v>
      </c>
      <c r="F160" s="165">
        <v>102.6</v>
      </c>
      <c r="G160" s="165">
        <v>102.6</v>
      </c>
      <c r="H160" s="165">
        <v>102.6</v>
      </c>
      <c r="I160" s="165">
        <v>102.6</v>
      </c>
      <c r="J160" s="165">
        <v>102.6</v>
      </c>
      <c r="K160" s="165">
        <v>102.6</v>
      </c>
      <c r="L160" s="165">
        <v>102.6</v>
      </c>
      <c r="M160" s="165">
        <v>102.6</v>
      </c>
      <c r="N160" s="165">
        <v>102.6</v>
      </c>
      <c r="O160" s="165">
        <v>102.6</v>
      </c>
      <c r="P160" s="165">
        <v>102.6</v>
      </c>
      <c r="Q160" s="165">
        <v>102.6</v>
      </c>
      <c r="R160" s="165">
        <v>102.6</v>
      </c>
      <c r="S160" s="165">
        <v>102.6</v>
      </c>
      <c r="T160" s="165">
        <v>102.6</v>
      </c>
      <c r="U160" s="165">
        <v>102.6</v>
      </c>
      <c r="V160" s="165">
        <v>102.6</v>
      </c>
      <c r="W160" s="165">
        <v>102.6</v>
      </c>
      <c r="X160" s="165">
        <v>102.6</v>
      </c>
      <c r="Y160" s="165">
        <v>102.6</v>
      </c>
      <c r="Z160" s="165">
        <v>102.6</v>
      </c>
      <c r="AA160" s="165">
        <v>102.6</v>
      </c>
      <c r="AB160" s="165">
        <v>102.6</v>
      </c>
      <c r="AC160" s="164">
        <v>102.6</v>
      </c>
    </row>
    <row r="161" spans="1:29" ht="36" customHeight="1" thickBot="1" x14ac:dyDescent="0.35">
      <c r="A161" s="815"/>
      <c r="B161" s="818"/>
      <c r="C161" s="821"/>
      <c r="D161" s="824"/>
      <c r="E161" s="158" t="s">
        <v>691</v>
      </c>
      <c r="F161" s="163">
        <v>102.6</v>
      </c>
      <c r="G161" s="163">
        <v>102.6</v>
      </c>
      <c r="H161" s="163">
        <v>102.6</v>
      </c>
      <c r="I161" s="163">
        <v>102.6</v>
      </c>
      <c r="J161" s="163">
        <v>102.6</v>
      </c>
      <c r="K161" s="163">
        <v>102.6</v>
      </c>
      <c r="L161" s="163">
        <v>102.6</v>
      </c>
      <c r="M161" s="163">
        <v>102.6</v>
      </c>
      <c r="N161" s="163">
        <v>102.6</v>
      </c>
      <c r="O161" s="163">
        <v>102.6</v>
      </c>
      <c r="P161" s="163">
        <v>102.6</v>
      </c>
      <c r="Q161" s="163">
        <v>102.6</v>
      </c>
      <c r="R161" s="163">
        <v>102.6</v>
      </c>
      <c r="S161" s="163">
        <v>102.6</v>
      </c>
      <c r="T161" s="163">
        <v>102.6</v>
      </c>
      <c r="U161" s="163">
        <v>102.6</v>
      </c>
      <c r="V161" s="163">
        <v>102.6</v>
      </c>
      <c r="W161" s="163">
        <v>102.6</v>
      </c>
      <c r="X161" s="163">
        <v>102.6</v>
      </c>
      <c r="Y161" s="163">
        <v>102.6</v>
      </c>
      <c r="Z161" s="163">
        <v>102.6</v>
      </c>
      <c r="AA161" s="163">
        <v>102.6</v>
      </c>
      <c r="AB161" s="163">
        <v>102.6</v>
      </c>
      <c r="AC161" s="162">
        <v>102.6</v>
      </c>
    </row>
    <row r="162" spans="1:29" ht="36" customHeight="1" x14ac:dyDescent="0.3">
      <c r="A162" s="825" t="s">
        <v>706</v>
      </c>
      <c r="B162" s="828" t="s">
        <v>102</v>
      </c>
      <c r="C162" s="819" t="s">
        <v>707</v>
      </c>
      <c r="D162" s="822" t="s">
        <v>705</v>
      </c>
      <c r="E162" s="161" t="s">
        <v>700</v>
      </c>
      <c r="F162" s="167">
        <v>331.2</v>
      </c>
      <c r="G162" s="167">
        <v>331.2</v>
      </c>
      <c r="H162" s="167">
        <v>331.2</v>
      </c>
      <c r="I162" s="167">
        <v>331.2</v>
      </c>
      <c r="J162" s="167">
        <v>331.2</v>
      </c>
      <c r="K162" s="167">
        <v>331.2</v>
      </c>
      <c r="L162" s="167">
        <v>331.2</v>
      </c>
      <c r="M162" s="167">
        <v>331.2</v>
      </c>
      <c r="N162" s="167">
        <v>331.2</v>
      </c>
      <c r="O162" s="167">
        <v>331.2</v>
      </c>
      <c r="P162" s="167">
        <v>331.2</v>
      </c>
      <c r="Q162" s="167">
        <v>331.2</v>
      </c>
      <c r="R162" s="167">
        <v>331.2</v>
      </c>
      <c r="S162" s="167">
        <v>331.2</v>
      </c>
      <c r="T162" s="167">
        <v>331.2</v>
      </c>
      <c r="U162" s="167">
        <v>331.2</v>
      </c>
      <c r="V162" s="167">
        <v>331.2</v>
      </c>
      <c r="W162" s="167">
        <v>331.2</v>
      </c>
      <c r="X162" s="167">
        <v>331.2</v>
      </c>
      <c r="Y162" s="167">
        <v>331.2</v>
      </c>
      <c r="Z162" s="167">
        <v>331.2</v>
      </c>
      <c r="AA162" s="167">
        <v>331.2</v>
      </c>
      <c r="AB162" s="167">
        <v>331.2</v>
      </c>
      <c r="AC162" s="166">
        <v>331.2</v>
      </c>
    </row>
    <row r="163" spans="1:29" ht="36" customHeight="1" x14ac:dyDescent="0.3">
      <c r="A163" s="826"/>
      <c r="B163" s="829"/>
      <c r="C163" s="820"/>
      <c r="D163" s="823"/>
      <c r="E163" s="160" t="s">
        <v>690</v>
      </c>
      <c r="F163" s="165">
        <v>331.2</v>
      </c>
      <c r="G163" s="165">
        <v>331.2</v>
      </c>
      <c r="H163" s="165">
        <v>331.2</v>
      </c>
      <c r="I163" s="165">
        <v>331.2</v>
      </c>
      <c r="J163" s="165">
        <v>331.2</v>
      </c>
      <c r="K163" s="165">
        <v>331.2</v>
      </c>
      <c r="L163" s="165">
        <v>331.2</v>
      </c>
      <c r="M163" s="165">
        <v>331.2</v>
      </c>
      <c r="N163" s="165">
        <v>331.2</v>
      </c>
      <c r="O163" s="165">
        <v>331.2</v>
      </c>
      <c r="P163" s="165">
        <v>331.2</v>
      </c>
      <c r="Q163" s="165">
        <v>331.2</v>
      </c>
      <c r="R163" s="165">
        <v>331.2</v>
      </c>
      <c r="S163" s="165">
        <v>331.2</v>
      </c>
      <c r="T163" s="165">
        <v>331.2</v>
      </c>
      <c r="U163" s="165">
        <v>331.2</v>
      </c>
      <c r="V163" s="165">
        <v>331.2</v>
      </c>
      <c r="W163" s="165">
        <v>331.2</v>
      </c>
      <c r="X163" s="165">
        <v>331.2</v>
      </c>
      <c r="Y163" s="165">
        <v>331.2</v>
      </c>
      <c r="Z163" s="165">
        <v>331.2</v>
      </c>
      <c r="AA163" s="165">
        <v>331.2</v>
      </c>
      <c r="AB163" s="165">
        <v>331.2</v>
      </c>
      <c r="AC163" s="164">
        <v>331.2</v>
      </c>
    </row>
    <row r="164" spans="1:29" ht="36" customHeight="1" thickBot="1" x14ac:dyDescent="0.35">
      <c r="A164" s="827"/>
      <c r="B164" s="830"/>
      <c r="C164" s="821"/>
      <c r="D164" s="824"/>
      <c r="E164" s="158" t="s">
        <v>691</v>
      </c>
      <c r="F164" s="163">
        <v>331.2</v>
      </c>
      <c r="G164" s="163">
        <v>331.2</v>
      </c>
      <c r="H164" s="163">
        <v>331.2</v>
      </c>
      <c r="I164" s="163">
        <v>331.2</v>
      </c>
      <c r="J164" s="163">
        <v>331.2</v>
      </c>
      <c r="K164" s="163">
        <v>331.2</v>
      </c>
      <c r="L164" s="163">
        <v>331.2</v>
      </c>
      <c r="M164" s="163">
        <v>331.2</v>
      </c>
      <c r="N164" s="163">
        <v>331.2</v>
      </c>
      <c r="O164" s="163">
        <v>331.2</v>
      </c>
      <c r="P164" s="163">
        <v>331.2</v>
      </c>
      <c r="Q164" s="163">
        <v>331.2</v>
      </c>
      <c r="R164" s="163">
        <v>331.2</v>
      </c>
      <c r="S164" s="163">
        <v>331.2</v>
      </c>
      <c r="T164" s="163">
        <v>331.2</v>
      </c>
      <c r="U164" s="163">
        <v>331.2</v>
      </c>
      <c r="V164" s="163">
        <v>331.2</v>
      </c>
      <c r="W164" s="163">
        <v>331.2</v>
      </c>
      <c r="X164" s="163">
        <v>331.2</v>
      </c>
      <c r="Y164" s="163">
        <v>331.2</v>
      </c>
      <c r="Z164" s="163">
        <v>331.2</v>
      </c>
      <c r="AA164" s="163">
        <v>331.2</v>
      </c>
      <c r="AB164" s="163">
        <v>331.2</v>
      </c>
      <c r="AC164" s="162">
        <v>331.2</v>
      </c>
    </row>
    <row r="165" spans="1:29" ht="36" customHeight="1" x14ac:dyDescent="0.3">
      <c r="A165" s="813" t="s">
        <v>708</v>
      </c>
      <c r="B165" s="816" t="s">
        <v>102</v>
      </c>
      <c r="C165" s="840" t="s">
        <v>709</v>
      </c>
      <c r="D165" s="822" t="s">
        <v>705</v>
      </c>
      <c r="E165" s="161" t="s">
        <v>700</v>
      </c>
      <c r="F165" s="167">
        <v>146.5</v>
      </c>
      <c r="G165" s="167">
        <v>146.5</v>
      </c>
      <c r="H165" s="167">
        <v>146.5</v>
      </c>
      <c r="I165" s="167">
        <v>146.5</v>
      </c>
      <c r="J165" s="167">
        <v>146.5</v>
      </c>
      <c r="K165" s="167">
        <v>146.5</v>
      </c>
      <c r="L165" s="167">
        <v>146.5</v>
      </c>
      <c r="M165" s="167">
        <v>146.5</v>
      </c>
      <c r="N165" s="167">
        <v>146.5</v>
      </c>
      <c r="O165" s="167">
        <v>146.5</v>
      </c>
      <c r="P165" s="167">
        <v>146.5</v>
      </c>
      <c r="Q165" s="167">
        <v>146.5</v>
      </c>
      <c r="R165" s="167">
        <v>146.5</v>
      </c>
      <c r="S165" s="167">
        <v>146.5</v>
      </c>
      <c r="T165" s="167">
        <v>146.5</v>
      </c>
      <c r="U165" s="167">
        <v>146.5</v>
      </c>
      <c r="V165" s="167">
        <v>146.5</v>
      </c>
      <c r="W165" s="167">
        <v>146.5</v>
      </c>
      <c r="X165" s="167">
        <v>146.5</v>
      </c>
      <c r="Y165" s="167">
        <v>146.5</v>
      </c>
      <c r="Z165" s="167">
        <v>146.5</v>
      </c>
      <c r="AA165" s="167">
        <v>146.5</v>
      </c>
      <c r="AB165" s="167">
        <v>146.5</v>
      </c>
      <c r="AC165" s="166">
        <v>146.5</v>
      </c>
    </row>
    <row r="166" spans="1:29" ht="36" customHeight="1" x14ac:dyDescent="0.3">
      <c r="A166" s="814"/>
      <c r="B166" s="817"/>
      <c r="C166" s="820"/>
      <c r="D166" s="823"/>
      <c r="E166" s="160" t="s">
        <v>690</v>
      </c>
      <c r="F166" s="165">
        <v>146.5</v>
      </c>
      <c r="G166" s="165">
        <v>146.5</v>
      </c>
      <c r="H166" s="165">
        <v>146.5</v>
      </c>
      <c r="I166" s="165">
        <v>146.5</v>
      </c>
      <c r="J166" s="165">
        <v>146.5</v>
      </c>
      <c r="K166" s="165">
        <v>146.5</v>
      </c>
      <c r="L166" s="165">
        <v>146.5</v>
      </c>
      <c r="M166" s="165">
        <v>146.5</v>
      </c>
      <c r="N166" s="165">
        <v>146.5</v>
      </c>
      <c r="O166" s="165">
        <v>146.5</v>
      </c>
      <c r="P166" s="165">
        <v>146.5</v>
      </c>
      <c r="Q166" s="165">
        <v>146.5</v>
      </c>
      <c r="R166" s="165">
        <v>146.5</v>
      </c>
      <c r="S166" s="165">
        <v>146.5</v>
      </c>
      <c r="T166" s="165">
        <v>146.5</v>
      </c>
      <c r="U166" s="165">
        <v>146.5</v>
      </c>
      <c r="V166" s="165">
        <v>146.5</v>
      </c>
      <c r="W166" s="165">
        <v>146.5</v>
      </c>
      <c r="X166" s="165">
        <v>146.5</v>
      </c>
      <c r="Y166" s="165">
        <v>146.5</v>
      </c>
      <c r="Z166" s="165">
        <v>146.5</v>
      </c>
      <c r="AA166" s="165">
        <v>146.5</v>
      </c>
      <c r="AB166" s="165">
        <v>146.5</v>
      </c>
      <c r="AC166" s="164">
        <v>146.5</v>
      </c>
    </row>
    <row r="167" spans="1:29" ht="36" customHeight="1" thickBot="1" x14ac:dyDescent="0.35">
      <c r="A167" s="815"/>
      <c r="B167" s="818"/>
      <c r="C167" s="821"/>
      <c r="D167" s="824"/>
      <c r="E167" s="158" t="s">
        <v>691</v>
      </c>
      <c r="F167" s="163">
        <v>146.5</v>
      </c>
      <c r="G167" s="163">
        <v>146.5</v>
      </c>
      <c r="H167" s="163">
        <v>146.5</v>
      </c>
      <c r="I167" s="163">
        <v>146.5</v>
      </c>
      <c r="J167" s="163">
        <v>146.5</v>
      </c>
      <c r="K167" s="163">
        <v>146.5</v>
      </c>
      <c r="L167" s="163">
        <v>146.5</v>
      </c>
      <c r="M167" s="163">
        <v>146.5</v>
      </c>
      <c r="N167" s="163">
        <v>146.5</v>
      </c>
      <c r="O167" s="163">
        <v>146.5</v>
      </c>
      <c r="P167" s="163">
        <v>146.5</v>
      </c>
      <c r="Q167" s="163">
        <v>146.5</v>
      </c>
      <c r="R167" s="163">
        <v>146.5</v>
      </c>
      <c r="S167" s="163">
        <v>146.5</v>
      </c>
      <c r="T167" s="163">
        <v>146.5</v>
      </c>
      <c r="U167" s="163">
        <v>146.5</v>
      </c>
      <c r="V167" s="163">
        <v>146.5</v>
      </c>
      <c r="W167" s="163">
        <v>146.5</v>
      </c>
      <c r="X167" s="163">
        <v>146.5</v>
      </c>
      <c r="Y167" s="163">
        <v>146.5</v>
      </c>
      <c r="Z167" s="163">
        <v>146.5</v>
      </c>
      <c r="AA167" s="163">
        <v>146.5</v>
      </c>
      <c r="AB167" s="163">
        <v>146.5</v>
      </c>
      <c r="AC167" s="162">
        <v>146.5</v>
      </c>
    </row>
    <row r="168" spans="1:29" ht="36" customHeight="1" x14ac:dyDescent="0.3">
      <c r="A168" s="813" t="s">
        <v>161</v>
      </c>
      <c r="B168" s="816" t="s">
        <v>102</v>
      </c>
      <c r="C168" s="840" t="s">
        <v>710</v>
      </c>
      <c r="D168" s="822" t="s">
        <v>705</v>
      </c>
      <c r="E168" s="161" t="s">
        <v>700</v>
      </c>
      <c r="F168" s="167">
        <v>117.2</v>
      </c>
      <c r="G168" s="167">
        <v>117.2</v>
      </c>
      <c r="H168" s="167">
        <v>117.2</v>
      </c>
      <c r="I168" s="167">
        <v>117.2</v>
      </c>
      <c r="J168" s="167">
        <v>117.2</v>
      </c>
      <c r="K168" s="167">
        <v>117.2</v>
      </c>
      <c r="L168" s="167">
        <v>117.2</v>
      </c>
      <c r="M168" s="167">
        <v>117.2</v>
      </c>
      <c r="N168" s="167">
        <v>117.2</v>
      </c>
      <c r="O168" s="167">
        <v>117.2</v>
      </c>
      <c r="P168" s="167">
        <v>117.2</v>
      </c>
      <c r="Q168" s="167">
        <v>117.2</v>
      </c>
      <c r="R168" s="167">
        <v>117.2</v>
      </c>
      <c r="S168" s="167">
        <v>117.2</v>
      </c>
      <c r="T168" s="167">
        <v>117.2</v>
      </c>
      <c r="U168" s="167">
        <v>117.2</v>
      </c>
      <c r="V168" s="167">
        <v>117.2</v>
      </c>
      <c r="W168" s="167">
        <v>117.2</v>
      </c>
      <c r="X168" s="167">
        <v>117.2</v>
      </c>
      <c r="Y168" s="167">
        <v>117.2</v>
      </c>
      <c r="Z168" s="167">
        <v>117.2</v>
      </c>
      <c r="AA168" s="167">
        <v>117.2</v>
      </c>
      <c r="AB168" s="167">
        <v>117.2</v>
      </c>
      <c r="AC168" s="166">
        <v>117.2</v>
      </c>
    </row>
    <row r="169" spans="1:29" ht="36" customHeight="1" x14ac:dyDescent="0.3">
      <c r="A169" s="814"/>
      <c r="B169" s="817"/>
      <c r="C169" s="820"/>
      <c r="D169" s="823"/>
      <c r="E169" s="160" t="s">
        <v>690</v>
      </c>
      <c r="F169" s="165">
        <v>117.2</v>
      </c>
      <c r="G169" s="165">
        <v>117.2</v>
      </c>
      <c r="H169" s="165">
        <v>117.2</v>
      </c>
      <c r="I169" s="165">
        <v>117.2</v>
      </c>
      <c r="J169" s="165">
        <v>117.2</v>
      </c>
      <c r="K169" s="165">
        <v>117.2</v>
      </c>
      <c r="L169" s="165">
        <v>117.2</v>
      </c>
      <c r="M169" s="165">
        <v>117.2</v>
      </c>
      <c r="N169" s="165">
        <v>117.2</v>
      </c>
      <c r="O169" s="165">
        <v>117.2</v>
      </c>
      <c r="P169" s="165">
        <v>117.2</v>
      </c>
      <c r="Q169" s="165">
        <v>117.2</v>
      </c>
      <c r="R169" s="165">
        <v>117.2</v>
      </c>
      <c r="S169" s="165">
        <v>117.2</v>
      </c>
      <c r="T169" s="165">
        <v>117.2</v>
      </c>
      <c r="U169" s="165">
        <v>117.2</v>
      </c>
      <c r="V169" s="165">
        <v>117.2</v>
      </c>
      <c r="W169" s="165">
        <v>117.2</v>
      </c>
      <c r="X169" s="165">
        <v>117.2</v>
      </c>
      <c r="Y169" s="165">
        <v>117.2</v>
      </c>
      <c r="Z169" s="165">
        <v>117.2</v>
      </c>
      <c r="AA169" s="165">
        <v>117.2</v>
      </c>
      <c r="AB169" s="165">
        <v>117.2</v>
      </c>
      <c r="AC169" s="164">
        <v>117.2</v>
      </c>
    </row>
    <row r="170" spans="1:29" ht="36" customHeight="1" thickBot="1" x14ac:dyDescent="0.35">
      <c r="A170" s="815"/>
      <c r="B170" s="818"/>
      <c r="C170" s="821"/>
      <c r="D170" s="824"/>
      <c r="E170" s="158" t="s">
        <v>691</v>
      </c>
      <c r="F170" s="163">
        <v>117.2</v>
      </c>
      <c r="G170" s="163">
        <v>117.2</v>
      </c>
      <c r="H170" s="163">
        <v>117.2</v>
      </c>
      <c r="I170" s="163">
        <v>117.2</v>
      </c>
      <c r="J170" s="163">
        <v>117.2</v>
      </c>
      <c r="K170" s="163">
        <v>117.2</v>
      </c>
      <c r="L170" s="163">
        <v>117.2</v>
      </c>
      <c r="M170" s="163">
        <v>117.2</v>
      </c>
      <c r="N170" s="163">
        <v>117.2</v>
      </c>
      <c r="O170" s="163">
        <v>117.2</v>
      </c>
      <c r="P170" s="163">
        <v>117.2</v>
      </c>
      <c r="Q170" s="163">
        <v>117.2</v>
      </c>
      <c r="R170" s="163">
        <v>117.2</v>
      </c>
      <c r="S170" s="163">
        <v>117.2</v>
      </c>
      <c r="T170" s="163">
        <v>117.2</v>
      </c>
      <c r="U170" s="163">
        <v>117.2</v>
      </c>
      <c r="V170" s="163">
        <v>117.2</v>
      </c>
      <c r="W170" s="163">
        <v>117.2</v>
      </c>
      <c r="X170" s="163">
        <v>117.2</v>
      </c>
      <c r="Y170" s="163">
        <v>117.2</v>
      </c>
      <c r="Z170" s="163">
        <v>117.2</v>
      </c>
      <c r="AA170" s="163">
        <v>117.2</v>
      </c>
      <c r="AB170" s="163">
        <v>117.2</v>
      </c>
      <c r="AC170" s="162">
        <v>117.2</v>
      </c>
    </row>
    <row r="171" spans="1:29" ht="36" customHeight="1" x14ac:dyDescent="0.3">
      <c r="A171" s="825" t="s">
        <v>711</v>
      </c>
      <c r="B171" s="828" t="s">
        <v>102</v>
      </c>
      <c r="C171" s="819" t="s">
        <v>712</v>
      </c>
      <c r="D171" s="822" t="s">
        <v>705</v>
      </c>
      <c r="E171" s="161" t="s">
        <v>700</v>
      </c>
      <c r="F171" s="167">
        <v>161.19999999999999</v>
      </c>
      <c r="G171" s="167">
        <v>161.19999999999999</v>
      </c>
      <c r="H171" s="167">
        <v>161.19999999999999</v>
      </c>
      <c r="I171" s="167">
        <v>161.19999999999999</v>
      </c>
      <c r="J171" s="167">
        <v>161.19999999999999</v>
      </c>
      <c r="K171" s="167">
        <v>161.19999999999999</v>
      </c>
      <c r="L171" s="167">
        <v>161.19999999999999</v>
      </c>
      <c r="M171" s="167">
        <v>161.19999999999999</v>
      </c>
      <c r="N171" s="167">
        <v>161.19999999999999</v>
      </c>
      <c r="O171" s="167">
        <v>161.19999999999999</v>
      </c>
      <c r="P171" s="167">
        <v>161.19999999999999</v>
      </c>
      <c r="Q171" s="167">
        <v>161.19999999999999</v>
      </c>
      <c r="R171" s="167">
        <v>161.19999999999999</v>
      </c>
      <c r="S171" s="167">
        <v>161.19999999999999</v>
      </c>
      <c r="T171" s="167">
        <v>161.19999999999999</v>
      </c>
      <c r="U171" s="167">
        <v>161.19999999999999</v>
      </c>
      <c r="V171" s="167">
        <v>161.19999999999999</v>
      </c>
      <c r="W171" s="167">
        <v>161.19999999999999</v>
      </c>
      <c r="X171" s="167">
        <v>161.19999999999999</v>
      </c>
      <c r="Y171" s="167">
        <v>161.19999999999999</v>
      </c>
      <c r="Z171" s="167">
        <v>161.19999999999999</v>
      </c>
      <c r="AA171" s="167">
        <v>161.19999999999999</v>
      </c>
      <c r="AB171" s="167">
        <v>161.19999999999999</v>
      </c>
      <c r="AC171" s="166">
        <v>161.19999999999999</v>
      </c>
    </row>
    <row r="172" spans="1:29" ht="36" customHeight="1" x14ac:dyDescent="0.3">
      <c r="A172" s="826"/>
      <c r="B172" s="829"/>
      <c r="C172" s="820"/>
      <c r="D172" s="823"/>
      <c r="E172" s="160" t="s">
        <v>690</v>
      </c>
      <c r="F172" s="165">
        <v>161.19999999999999</v>
      </c>
      <c r="G172" s="165">
        <v>161.19999999999999</v>
      </c>
      <c r="H172" s="165">
        <v>161.19999999999999</v>
      </c>
      <c r="I172" s="165">
        <v>161.19999999999999</v>
      </c>
      <c r="J172" s="165">
        <v>161.19999999999999</v>
      </c>
      <c r="K172" s="165">
        <v>161.19999999999999</v>
      </c>
      <c r="L172" s="165">
        <v>161.19999999999999</v>
      </c>
      <c r="M172" s="165">
        <v>161.19999999999999</v>
      </c>
      <c r="N172" s="165">
        <v>161.19999999999999</v>
      </c>
      <c r="O172" s="165">
        <v>161.19999999999999</v>
      </c>
      <c r="P172" s="165">
        <v>161.19999999999999</v>
      </c>
      <c r="Q172" s="165">
        <v>161.19999999999999</v>
      </c>
      <c r="R172" s="165">
        <v>161.19999999999999</v>
      </c>
      <c r="S172" s="165">
        <v>161.19999999999999</v>
      </c>
      <c r="T172" s="165">
        <v>161.19999999999999</v>
      </c>
      <c r="U172" s="165">
        <v>161.19999999999999</v>
      </c>
      <c r="V172" s="165">
        <v>161.19999999999999</v>
      </c>
      <c r="W172" s="165">
        <v>161.19999999999999</v>
      </c>
      <c r="X172" s="165">
        <v>161.19999999999999</v>
      </c>
      <c r="Y172" s="165">
        <v>161.19999999999999</v>
      </c>
      <c r="Z172" s="165">
        <v>161.19999999999999</v>
      </c>
      <c r="AA172" s="165">
        <v>161.19999999999999</v>
      </c>
      <c r="AB172" s="165">
        <v>161.19999999999999</v>
      </c>
      <c r="AC172" s="164">
        <v>161.19999999999999</v>
      </c>
    </row>
    <row r="173" spans="1:29" ht="36" customHeight="1" thickBot="1" x14ac:dyDescent="0.35">
      <c r="A173" s="827"/>
      <c r="B173" s="830"/>
      <c r="C173" s="821"/>
      <c r="D173" s="824"/>
      <c r="E173" s="158" t="s">
        <v>691</v>
      </c>
      <c r="F173" s="163">
        <v>161.19999999999999</v>
      </c>
      <c r="G173" s="163">
        <v>161.19999999999999</v>
      </c>
      <c r="H173" s="163">
        <v>161.19999999999999</v>
      </c>
      <c r="I173" s="163">
        <v>161.19999999999999</v>
      </c>
      <c r="J173" s="163">
        <v>161.19999999999999</v>
      </c>
      <c r="K173" s="163">
        <v>161.19999999999999</v>
      </c>
      <c r="L173" s="163">
        <v>161.19999999999999</v>
      </c>
      <c r="M173" s="163">
        <v>161.19999999999999</v>
      </c>
      <c r="N173" s="163">
        <v>161.19999999999999</v>
      </c>
      <c r="O173" s="163">
        <v>161.19999999999999</v>
      </c>
      <c r="P173" s="163">
        <v>161.19999999999999</v>
      </c>
      <c r="Q173" s="163">
        <v>161.19999999999999</v>
      </c>
      <c r="R173" s="163">
        <v>161.19999999999999</v>
      </c>
      <c r="S173" s="163">
        <v>161.19999999999999</v>
      </c>
      <c r="T173" s="163">
        <v>161.19999999999999</v>
      </c>
      <c r="U173" s="163">
        <v>161.19999999999999</v>
      </c>
      <c r="V173" s="163">
        <v>161.19999999999999</v>
      </c>
      <c r="W173" s="163">
        <v>161.19999999999999</v>
      </c>
      <c r="X173" s="163">
        <v>161.19999999999999</v>
      </c>
      <c r="Y173" s="163">
        <v>161.19999999999999</v>
      </c>
      <c r="Z173" s="163">
        <v>161.19999999999999</v>
      </c>
      <c r="AA173" s="163">
        <v>161.19999999999999</v>
      </c>
      <c r="AB173" s="163">
        <v>161.19999999999999</v>
      </c>
      <c r="AC173" s="162">
        <v>161.19999999999999</v>
      </c>
    </row>
    <row r="174" spans="1:29" ht="36" customHeight="1" x14ac:dyDescent="0.3">
      <c r="A174" s="825" t="s">
        <v>713</v>
      </c>
      <c r="B174" s="828" t="s">
        <v>102</v>
      </c>
      <c r="C174" s="819" t="s">
        <v>714</v>
      </c>
      <c r="D174" s="822" t="s">
        <v>705</v>
      </c>
      <c r="E174" s="161" t="s">
        <v>700</v>
      </c>
      <c r="F174" s="167">
        <v>131.9</v>
      </c>
      <c r="G174" s="167">
        <v>131.9</v>
      </c>
      <c r="H174" s="167">
        <v>131.9</v>
      </c>
      <c r="I174" s="167">
        <v>131.9</v>
      </c>
      <c r="J174" s="167">
        <v>131.9</v>
      </c>
      <c r="K174" s="167">
        <v>131.9</v>
      </c>
      <c r="L174" s="167">
        <v>131.9</v>
      </c>
      <c r="M174" s="167">
        <v>131.9</v>
      </c>
      <c r="N174" s="167">
        <v>131.9</v>
      </c>
      <c r="O174" s="167">
        <v>131.9</v>
      </c>
      <c r="P174" s="167">
        <v>131.9</v>
      </c>
      <c r="Q174" s="167">
        <v>131.9</v>
      </c>
      <c r="R174" s="167">
        <v>131.9</v>
      </c>
      <c r="S174" s="167">
        <v>131.9</v>
      </c>
      <c r="T174" s="167">
        <v>131.9</v>
      </c>
      <c r="U174" s="167">
        <v>131.9</v>
      </c>
      <c r="V174" s="167">
        <v>131.9</v>
      </c>
      <c r="W174" s="167">
        <v>131.9</v>
      </c>
      <c r="X174" s="167">
        <v>131.9</v>
      </c>
      <c r="Y174" s="167">
        <v>131.9</v>
      </c>
      <c r="Z174" s="167">
        <v>131.9</v>
      </c>
      <c r="AA174" s="167">
        <v>131.9</v>
      </c>
      <c r="AB174" s="167">
        <v>131.9</v>
      </c>
      <c r="AC174" s="166">
        <v>131.9</v>
      </c>
    </row>
    <row r="175" spans="1:29" ht="36" customHeight="1" x14ac:dyDescent="0.3">
      <c r="A175" s="826"/>
      <c r="B175" s="829"/>
      <c r="C175" s="820"/>
      <c r="D175" s="823"/>
      <c r="E175" s="160" t="s">
        <v>690</v>
      </c>
      <c r="F175" s="165">
        <v>131.9</v>
      </c>
      <c r="G175" s="165">
        <v>131.9</v>
      </c>
      <c r="H175" s="165">
        <v>131.9</v>
      </c>
      <c r="I175" s="165">
        <v>131.9</v>
      </c>
      <c r="J175" s="165">
        <v>131.9</v>
      </c>
      <c r="K175" s="165">
        <v>131.9</v>
      </c>
      <c r="L175" s="165">
        <v>131.9</v>
      </c>
      <c r="M175" s="165">
        <v>131.9</v>
      </c>
      <c r="N175" s="165">
        <v>131.9</v>
      </c>
      <c r="O175" s="165">
        <v>131.9</v>
      </c>
      <c r="P175" s="165">
        <v>131.9</v>
      </c>
      <c r="Q175" s="165">
        <v>131.9</v>
      </c>
      <c r="R175" s="165">
        <v>131.9</v>
      </c>
      <c r="S175" s="165">
        <v>131.9</v>
      </c>
      <c r="T175" s="165">
        <v>131.9</v>
      </c>
      <c r="U175" s="165">
        <v>131.9</v>
      </c>
      <c r="V175" s="165">
        <v>131.9</v>
      </c>
      <c r="W175" s="165">
        <v>131.9</v>
      </c>
      <c r="X175" s="165">
        <v>131.9</v>
      </c>
      <c r="Y175" s="165">
        <v>131.9</v>
      </c>
      <c r="Z175" s="165">
        <v>131.9</v>
      </c>
      <c r="AA175" s="165">
        <v>131.9</v>
      </c>
      <c r="AB175" s="165">
        <v>131.9</v>
      </c>
      <c r="AC175" s="164">
        <v>131.9</v>
      </c>
    </row>
    <row r="176" spans="1:29" ht="36" customHeight="1" thickBot="1" x14ac:dyDescent="0.35">
      <c r="A176" s="827"/>
      <c r="B176" s="830"/>
      <c r="C176" s="821"/>
      <c r="D176" s="824"/>
      <c r="E176" s="158" t="s">
        <v>691</v>
      </c>
      <c r="F176" s="163">
        <v>131.9</v>
      </c>
      <c r="G176" s="163">
        <v>131.9</v>
      </c>
      <c r="H176" s="163">
        <v>131.9</v>
      </c>
      <c r="I176" s="163">
        <v>131.9</v>
      </c>
      <c r="J176" s="163">
        <v>131.9</v>
      </c>
      <c r="K176" s="163">
        <v>131.9</v>
      </c>
      <c r="L176" s="163">
        <v>131.9</v>
      </c>
      <c r="M176" s="163">
        <v>131.9</v>
      </c>
      <c r="N176" s="163">
        <v>131.9</v>
      </c>
      <c r="O176" s="163">
        <v>131.9</v>
      </c>
      <c r="P176" s="163">
        <v>131.9</v>
      </c>
      <c r="Q176" s="163">
        <v>131.9</v>
      </c>
      <c r="R176" s="163">
        <v>131.9</v>
      </c>
      <c r="S176" s="163">
        <v>131.9</v>
      </c>
      <c r="T176" s="163">
        <v>131.9</v>
      </c>
      <c r="U176" s="163">
        <v>131.9</v>
      </c>
      <c r="V176" s="163">
        <v>131.9</v>
      </c>
      <c r="W176" s="163">
        <v>131.9</v>
      </c>
      <c r="X176" s="163">
        <v>131.9</v>
      </c>
      <c r="Y176" s="163">
        <v>131.9</v>
      </c>
      <c r="Z176" s="163">
        <v>131.9</v>
      </c>
      <c r="AA176" s="163">
        <v>131.9</v>
      </c>
      <c r="AB176" s="163">
        <v>131.9</v>
      </c>
      <c r="AC176" s="162">
        <v>131.9</v>
      </c>
    </row>
    <row r="177" spans="1:29" ht="36" customHeight="1" x14ac:dyDescent="0.3">
      <c r="A177" s="813" t="s">
        <v>715</v>
      </c>
      <c r="B177" s="816" t="s">
        <v>102</v>
      </c>
      <c r="C177" s="819" t="s">
        <v>716</v>
      </c>
      <c r="D177" s="822" t="s">
        <v>705</v>
      </c>
      <c r="E177" s="161" t="s">
        <v>700</v>
      </c>
      <c r="F177" s="167">
        <v>219.8</v>
      </c>
      <c r="G177" s="167">
        <v>219.8</v>
      </c>
      <c r="H177" s="167">
        <v>219.8</v>
      </c>
      <c r="I177" s="167">
        <v>219.8</v>
      </c>
      <c r="J177" s="167">
        <v>219.8</v>
      </c>
      <c r="K177" s="167">
        <v>219.8</v>
      </c>
      <c r="L177" s="167">
        <v>219.8</v>
      </c>
      <c r="M177" s="167">
        <v>219.8</v>
      </c>
      <c r="N177" s="167">
        <v>219.8</v>
      </c>
      <c r="O177" s="167">
        <v>219.8</v>
      </c>
      <c r="P177" s="167">
        <v>219.8</v>
      </c>
      <c r="Q177" s="167">
        <v>219.8</v>
      </c>
      <c r="R177" s="167">
        <v>219.8</v>
      </c>
      <c r="S177" s="167">
        <v>219.8</v>
      </c>
      <c r="T177" s="167">
        <v>219.8</v>
      </c>
      <c r="U177" s="167">
        <v>219.8</v>
      </c>
      <c r="V177" s="167">
        <v>219.8</v>
      </c>
      <c r="W177" s="167">
        <v>219.8</v>
      </c>
      <c r="X177" s="167">
        <v>219.8</v>
      </c>
      <c r="Y177" s="167">
        <v>219.8</v>
      </c>
      <c r="Z177" s="167">
        <v>219.8</v>
      </c>
      <c r="AA177" s="167">
        <v>219.8</v>
      </c>
      <c r="AB177" s="167">
        <v>219.8</v>
      </c>
      <c r="AC177" s="166">
        <v>219.8</v>
      </c>
    </row>
    <row r="178" spans="1:29" ht="36" customHeight="1" x14ac:dyDescent="0.3">
      <c r="A178" s="814"/>
      <c r="B178" s="817"/>
      <c r="C178" s="820"/>
      <c r="D178" s="823"/>
      <c r="E178" s="160" t="s">
        <v>690</v>
      </c>
      <c r="F178" s="165">
        <v>219.8</v>
      </c>
      <c r="G178" s="165">
        <v>219.8</v>
      </c>
      <c r="H178" s="165">
        <v>219.8</v>
      </c>
      <c r="I178" s="165">
        <v>219.8</v>
      </c>
      <c r="J178" s="165">
        <v>219.8</v>
      </c>
      <c r="K178" s="165">
        <v>219.8</v>
      </c>
      <c r="L178" s="165">
        <v>219.8</v>
      </c>
      <c r="M178" s="165">
        <v>219.8</v>
      </c>
      <c r="N178" s="165">
        <v>219.8</v>
      </c>
      <c r="O178" s="165">
        <v>219.8</v>
      </c>
      <c r="P178" s="165">
        <v>219.8</v>
      </c>
      <c r="Q178" s="165">
        <v>219.8</v>
      </c>
      <c r="R178" s="165">
        <v>219.8</v>
      </c>
      <c r="S178" s="165">
        <v>219.8</v>
      </c>
      <c r="T178" s="165">
        <v>219.8</v>
      </c>
      <c r="U178" s="165">
        <v>219.8</v>
      </c>
      <c r="V178" s="165">
        <v>219.8</v>
      </c>
      <c r="W178" s="165">
        <v>219.8</v>
      </c>
      <c r="X178" s="165">
        <v>219.8</v>
      </c>
      <c r="Y178" s="165">
        <v>219.8</v>
      </c>
      <c r="Z178" s="165">
        <v>219.8</v>
      </c>
      <c r="AA178" s="165">
        <v>219.8</v>
      </c>
      <c r="AB178" s="165">
        <v>219.8</v>
      </c>
      <c r="AC178" s="164">
        <v>219.8</v>
      </c>
    </row>
    <row r="179" spans="1:29" ht="36" customHeight="1" thickBot="1" x14ac:dyDescent="0.35">
      <c r="A179" s="815"/>
      <c r="B179" s="818"/>
      <c r="C179" s="821"/>
      <c r="D179" s="824"/>
      <c r="E179" s="158" t="s">
        <v>691</v>
      </c>
      <c r="F179" s="163">
        <v>219.8</v>
      </c>
      <c r="G179" s="163">
        <v>219.8</v>
      </c>
      <c r="H179" s="163">
        <v>219.8</v>
      </c>
      <c r="I179" s="163">
        <v>219.8</v>
      </c>
      <c r="J179" s="163">
        <v>219.8</v>
      </c>
      <c r="K179" s="163">
        <v>219.8</v>
      </c>
      <c r="L179" s="163">
        <v>219.8</v>
      </c>
      <c r="M179" s="163">
        <v>219.8</v>
      </c>
      <c r="N179" s="163">
        <v>219.8</v>
      </c>
      <c r="O179" s="163">
        <v>219.8</v>
      </c>
      <c r="P179" s="163">
        <v>219.8</v>
      </c>
      <c r="Q179" s="163">
        <v>219.8</v>
      </c>
      <c r="R179" s="163">
        <v>219.8</v>
      </c>
      <c r="S179" s="163">
        <v>219.8</v>
      </c>
      <c r="T179" s="163">
        <v>219.8</v>
      </c>
      <c r="U179" s="163">
        <v>219.8</v>
      </c>
      <c r="V179" s="163">
        <v>219.8</v>
      </c>
      <c r="W179" s="163">
        <v>219.8</v>
      </c>
      <c r="X179" s="163">
        <v>219.8</v>
      </c>
      <c r="Y179" s="163">
        <v>219.8</v>
      </c>
      <c r="Z179" s="163">
        <v>219.8</v>
      </c>
      <c r="AA179" s="163">
        <v>219.8</v>
      </c>
      <c r="AB179" s="163">
        <v>219.8</v>
      </c>
      <c r="AC179" s="162">
        <v>219.8</v>
      </c>
    </row>
    <row r="180" spans="1:29" ht="37.5" customHeight="1" thickBot="1" x14ac:dyDescent="0.35">
      <c r="A180" s="786" t="s">
        <v>717</v>
      </c>
      <c r="B180" s="786"/>
      <c r="C180" s="786" t="s">
        <v>26</v>
      </c>
      <c r="D180" s="786"/>
      <c r="E180" s="786"/>
      <c r="F180" s="786"/>
      <c r="G180" s="786"/>
      <c r="H180" s="786"/>
      <c r="I180" s="786"/>
      <c r="J180" s="786"/>
      <c r="K180" s="786"/>
      <c r="L180" s="786"/>
      <c r="M180" s="786"/>
      <c r="N180" s="786"/>
      <c r="O180" s="786"/>
      <c r="P180" s="786"/>
      <c r="Q180" s="786"/>
      <c r="R180" s="786"/>
      <c r="S180" s="786"/>
      <c r="T180" s="786"/>
      <c r="U180" s="786"/>
      <c r="V180" s="786"/>
      <c r="W180" s="786"/>
      <c r="X180" s="786"/>
      <c r="Y180" s="786"/>
      <c r="Z180" s="786"/>
      <c r="AA180" s="786"/>
      <c r="AB180" s="786"/>
      <c r="AC180" s="787"/>
    </row>
    <row r="181" spans="1:29" ht="30" customHeight="1" x14ac:dyDescent="0.3">
      <c r="A181" s="788" t="s">
        <v>718</v>
      </c>
      <c r="B181" s="791" t="s">
        <v>719</v>
      </c>
      <c r="C181" s="794" t="s">
        <v>684</v>
      </c>
      <c r="D181" s="797" t="s">
        <v>720</v>
      </c>
      <c r="E181" s="267" t="s">
        <v>700</v>
      </c>
      <c r="F181" s="270">
        <v>1</v>
      </c>
      <c r="G181" s="270">
        <v>1</v>
      </c>
      <c r="H181" s="270">
        <v>1</v>
      </c>
      <c r="I181" s="270">
        <v>1</v>
      </c>
      <c r="J181" s="270">
        <v>1</v>
      </c>
      <c r="K181" s="270">
        <v>1</v>
      </c>
      <c r="L181" s="270">
        <v>1</v>
      </c>
      <c r="M181" s="270">
        <v>1</v>
      </c>
      <c r="N181" s="270">
        <v>1</v>
      </c>
      <c r="O181" s="270">
        <v>1</v>
      </c>
      <c r="P181" s="270">
        <v>1</v>
      </c>
      <c r="Q181" s="270">
        <v>1</v>
      </c>
      <c r="R181" s="270">
        <v>1</v>
      </c>
      <c r="S181" s="270">
        <v>1</v>
      </c>
      <c r="T181" s="270">
        <v>1</v>
      </c>
      <c r="U181" s="270">
        <v>1</v>
      </c>
      <c r="V181" s="270">
        <v>1</v>
      </c>
      <c r="W181" s="270">
        <v>1</v>
      </c>
      <c r="X181" s="270">
        <v>1</v>
      </c>
      <c r="Y181" s="270">
        <v>1</v>
      </c>
      <c r="Z181" s="270">
        <v>1</v>
      </c>
      <c r="AA181" s="270">
        <v>1</v>
      </c>
      <c r="AB181" s="270">
        <v>1</v>
      </c>
      <c r="AC181" s="271">
        <v>1</v>
      </c>
    </row>
    <row r="182" spans="1:29" ht="30" customHeight="1" x14ac:dyDescent="0.3">
      <c r="A182" s="789"/>
      <c r="B182" s="792"/>
      <c r="C182" s="795"/>
      <c r="D182" s="798"/>
      <c r="E182" s="268" t="s">
        <v>690</v>
      </c>
      <c r="F182" s="272">
        <v>1</v>
      </c>
      <c r="G182" s="272">
        <v>1</v>
      </c>
      <c r="H182" s="272">
        <v>1</v>
      </c>
      <c r="I182" s="272">
        <v>1</v>
      </c>
      <c r="J182" s="272">
        <v>1</v>
      </c>
      <c r="K182" s="272">
        <v>1</v>
      </c>
      <c r="L182" s="272">
        <v>1</v>
      </c>
      <c r="M182" s="272">
        <v>1</v>
      </c>
      <c r="N182" s="272">
        <v>1</v>
      </c>
      <c r="O182" s="272">
        <v>1</v>
      </c>
      <c r="P182" s="272">
        <v>1</v>
      </c>
      <c r="Q182" s="272">
        <v>1</v>
      </c>
      <c r="R182" s="272">
        <v>1</v>
      </c>
      <c r="S182" s="272">
        <v>1</v>
      </c>
      <c r="T182" s="272">
        <v>1</v>
      </c>
      <c r="U182" s="272">
        <v>1</v>
      </c>
      <c r="V182" s="272">
        <v>1</v>
      </c>
      <c r="W182" s="272">
        <v>1</v>
      </c>
      <c r="X182" s="272">
        <v>1</v>
      </c>
      <c r="Y182" s="272">
        <v>1</v>
      </c>
      <c r="Z182" s="272">
        <v>1</v>
      </c>
      <c r="AA182" s="272">
        <v>1</v>
      </c>
      <c r="AB182" s="272">
        <v>1</v>
      </c>
      <c r="AC182" s="273">
        <v>1</v>
      </c>
    </row>
    <row r="183" spans="1:29" ht="30" customHeight="1" x14ac:dyDescent="0.3">
      <c r="A183" s="790"/>
      <c r="B183" s="793"/>
      <c r="C183" s="796"/>
      <c r="D183" s="799"/>
      <c r="E183" s="269" t="s">
        <v>691</v>
      </c>
      <c r="F183" s="274">
        <v>1</v>
      </c>
      <c r="G183" s="274">
        <v>1</v>
      </c>
      <c r="H183" s="274">
        <v>1</v>
      </c>
      <c r="I183" s="274">
        <v>1</v>
      </c>
      <c r="J183" s="274">
        <v>1</v>
      </c>
      <c r="K183" s="274">
        <v>1</v>
      </c>
      <c r="L183" s="274">
        <v>1</v>
      </c>
      <c r="M183" s="274">
        <v>1</v>
      </c>
      <c r="N183" s="274">
        <v>1</v>
      </c>
      <c r="O183" s="274">
        <v>1</v>
      </c>
      <c r="P183" s="274">
        <v>1</v>
      </c>
      <c r="Q183" s="274">
        <v>1</v>
      </c>
      <c r="R183" s="274">
        <v>1</v>
      </c>
      <c r="S183" s="274">
        <v>1</v>
      </c>
      <c r="T183" s="274">
        <v>1</v>
      </c>
      <c r="U183" s="274">
        <v>1</v>
      </c>
      <c r="V183" s="274">
        <v>1</v>
      </c>
      <c r="W183" s="274">
        <v>1</v>
      </c>
      <c r="X183" s="274">
        <v>1</v>
      </c>
      <c r="Y183" s="274">
        <v>1</v>
      </c>
      <c r="Z183" s="274">
        <v>1</v>
      </c>
      <c r="AA183" s="274">
        <v>1</v>
      </c>
      <c r="AB183" s="274">
        <v>1</v>
      </c>
      <c r="AC183" s="275">
        <v>1</v>
      </c>
    </row>
    <row r="184" spans="1:29" ht="30" customHeight="1" x14ac:dyDescent="0.3">
      <c r="A184" s="788" t="str">
        <f>A181</f>
        <v>Refrigerated storage zone</v>
      </c>
      <c r="B184" s="791" t="str">
        <f>B181</f>
        <v>Refrigerated storage</v>
      </c>
      <c r="C184" s="794" t="s">
        <v>685</v>
      </c>
      <c r="D184" s="797" t="s">
        <v>720</v>
      </c>
      <c r="E184" s="267" t="s">
        <v>700</v>
      </c>
      <c r="F184" s="270">
        <f>Thermostat!$B$19</f>
        <v>35</v>
      </c>
      <c r="G184" s="270">
        <f>Thermostat!$B$19</f>
        <v>35</v>
      </c>
      <c r="H184" s="270">
        <f>Thermostat!$B$19</f>
        <v>35</v>
      </c>
      <c r="I184" s="270">
        <f>Thermostat!$B$19</f>
        <v>35</v>
      </c>
      <c r="J184" s="270">
        <f>Thermostat!$B$19</f>
        <v>35</v>
      </c>
      <c r="K184" s="270">
        <f>Thermostat!$B$19</f>
        <v>35</v>
      </c>
      <c r="L184" s="270">
        <f>Thermostat!$B$19</f>
        <v>35</v>
      </c>
      <c r="M184" s="270">
        <f>Thermostat!$B$19</f>
        <v>35</v>
      </c>
      <c r="N184" s="270">
        <f>Thermostat!$B$19</f>
        <v>35</v>
      </c>
      <c r="O184" s="270">
        <f>Thermostat!$B$19</f>
        <v>35</v>
      </c>
      <c r="P184" s="270">
        <f>Thermostat!$B$19</f>
        <v>35</v>
      </c>
      <c r="Q184" s="270">
        <f>Thermostat!$B$19</f>
        <v>35</v>
      </c>
      <c r="R184" s="270">
        <f>Thermostat!$B$19</f>
        <v>35</v>
      </c>
      <c r="S184" s="270">
        <f>Thermostat!$B$19</f>
        <v>35</v>
      </c>
      <c r="T184" s="270">
        <f>Thermostat!$B$19</f>
        <v>35</v>
      </c>
      <c r="U184" s="270">
        <f>Thermostat!$B$19</f>
        <v>35</v>
      </c>
      <c r="V184" s="270">
        <f>Thermostat!$B$19</f>
        <v>35</v>
      </c>
      <c r="W184" s="270">
        <f>Thermostat!$B$19</f>
        <v>35</v>
      </c>
      <c r="X184" s="270">
        <f>Thermostat!$B$19</f>
        <v>35</v>
      </c>
      <c r="Y184" s="270">
        <f>Thermostat!$B$19</f>
        <v>35</v>
      </c>
      <c r="Z184" s="270">
        <f>Thermostat!$B$19</f>
        <v>35</v>
      </c>
      <c r="AA184" s="270">
        <f>Thermostat!$B$19</f>
        <v>35</v>
      </c>
      <c r="AB184" s="270">
        <f>Thermostat!$B$19</f>
        <v>35</v>
      </c>
      <c r="AC184" s="271">
        <f>Thermostat!$B$19</f>
        <v>35</v>
      </c>
    </row>
    <row r="185" spans="1:29" ht="30" customHeight="1" x14ac:dyDescent="0.3">
      <c r="A185" s="789"/>
      <c r="B185" s="792"/>
      <c r="C185" s="795"/>
      <c r="D185" s="798"/>
      <c r="E185" s="268" t="s">
        <v>690</v>
      </c>
      <c r="F185" s="272">
        <f>Thermostat!$B$19</f>
        <v>35</v>
      </c>
      <c r="G185" s="272">
        <f>Thermostat!$B$19</f>
        <v>35</v>
      </c>
      <c r="H185" s="272">
        <f>Thermostat!$B$19</f>
        <v>35</v>
      </c>
      <c r="I185" s="272">
        <f>Thermostat!$B$19</f>
        <v>35</v>
      </c>
      <c r="J185" s="272">
        <f>Thermostat!$B$19</f>
        <v>35</v>
      </c>
      <c r="K185" s="272">
        <f>Thermostat!$B$19</f>
        <v>35</v>
      </c>
      <c r="L185" s="272">
        <f>Thermostat!$B$19</f>
        <v>35</v>
      </c>
      <c r="M185" s="272">
        <f>Thermostat!$B$19</f>
        <v>35</v>
      </c>
      <c r="N185" s="272">
        <f>Thermostat!$B$19</f>
        <v>35</v>
      </c>
      <c r="O185" s="272">
        <f>Thermostat!$B$19</f>
        <v>35</v>
      </c>
      <c r="P185" s="272">
        <f>Thermostat!$B$19</f>
        <v>35</v>
      </c>
      <c r="Q185" s="272">
        <f>Thermostat!$B$19</f>
        <v>35</v>
      </c>
      <c r="R185" s="272">
        <f>Thermostat!$B$19</f>
        <v>35</v>
      </c>
      <c r="S185" s="272">
        <f>Thermostat!$B$19</f>
        <v>35</v>
      </c>
      <c r="T185" s="272">
        <f>Thermostat!$B$19</f>
        <v>35</v>
      </c>
      <c r="U185" s="272">
        <f>Thermostat!$B$19</f>
        <v>35</v>
      </c>
      <c r="V185" s="272">
        <f>Thermostat!$B$19</f>
        <v>35</v>
      </c>
      <c r="W185" s="272">
        <f>Thermostat!$B$19</f>
        <v>35</v>
      </c>
      <c r="X185" s="272">
        <f>Thermostat!$B$19</f>
        <v>35</v>
      </c>
      <c r="Y185" s="272">
        <f>Thermostat!$B$19</f>
        <v>35</v>
      </c>
      <c r="Z185" s="272">
        <f>Thermostat!$B$19</f>
        <v>35</v>
      </c>
      <c r="AA185" s="272">
        <f>Thermostat!$B$19</f>
        <v>35</v>
      </c>
      <c r="AB185" s="272">
        <f>Thermostat!$B$19</f>
        <v>35</v>
      </c>
      <c r="AC185" s="273">
        <f>Thermostat!$B$19</f>
        <v>35</v>
      </c>
    </row>
    <row r="186" spans="1:29" ht="30" customHeight="1" x14ac:dyDescent="0.3">
      <c r="A186" s="790"/>
      <c r="B186" s="793"/>
      <c r="C186" s="796"/>
      <c r="D186" s="799"/>
      <c r="E186" s="269" t="s">
        <v>691</v>
      </c>
      <c r="F186" s="274">
        <f>Thermostat!$B$19</f>
        <v>35</v>
      </c>
      <c r="G186" s="274">
        <f>Thermostat!$B$19</f>
        <v>35</v>
      </c>
      <c r="H186" s="274">
        <f>Thermostat!$B$19</f>
        <v>35</v>
      </c>
      <c r="I186" s="274">
        <f>Thermostat!$B$19</f>
        <v>35</v>
      </c>
      <c r="J186" s="274">
        <f>Thermostat!$B$19</f>
        <v>35</v>
      </c>
      <c r="K186" s="274">
        <f>Thermostat!$B$19</f>
        <v>35</v>
      </c>
      <c r="L186" s="274">
        <f>Thermostat!$B$19</f>
        <v>35</v>
      </c>
      <c r="M186" s="274">
        <f>Thermostat!$B$19</f>
        <v>35</v>
      </c>
      <c r="N186" s="274">
        <f>Thermostat!$B$19</f>
        <v>35</v>
      </c>
      <c r="O186" s="274">
        <f>Thermostat!$B$19</f>
        <v>35</v>
      </c>
      <c r="P186" s="274">
        <f>Thermostat!$B$19</f>
        <v>35</v>
      </c>
      <c r="Q186" s="274">
        <f>Thermostat!$B$19</f>
        <v>35</v>
      </c>
      <c r="R186" s="274">
        <f>Thermostat!$B$19</f>
        <v>35</v>
      </c>
      <c r="S186" s="274">
        <f>Thermostat!$B$19</f>
        <v>35</v>
      </c>
      <c r="T186" s="274">
        <f>Thermostat!$B$19</f>
        <v>35</v>
      </c>
      <c r="U186" s="274">
        <f>Thermostat!$B$19</f>
        <v>35</v>
      </c>
      <c r="V186" s="274">
        <f>Thermostat!$B$19</f>
        <v>35</v>
      </c>
      <c r="W186" s="274">
        <f>Thermostat!$B$19</f>
        <v>35</v>
      </c>
      <c r="X186" s="274">
        <f>Thermostat!$B$19</f>
        <v>35</v>
      </c>
      <c r="Y186" s="274">
        <f>Thermostat!$B$19</f>
        <v>35</v>
      </c>
      <c r="Z186" s="274">
        <f>Thermostat!$B$19</f>
        <v>35</v>
      </c>
      <c r="AA186" s="274">
        <f>Thermostat!$B$19</f>
        <v>35</v>
      </c>
      <c r="AB186" s="274">
        <f>Thermostat!$B$19</f>
        <v>35</v>
      </c>
      <c r="AC186" s="275">
        <f>Thermostat!$B$19</f>
        <v>35</v>
      </c>
    </row>
    <row r="187" spans="1:29" ht="30" customHeight="1" x14ac:dyDescent="0.3">
      <c r="A187" s="788" t="str">
        <f>A181</f>
        <v>Refrigerated storage zone</v>
      </c>
      <c r="B187" s="791" t="str">
        <f>B181</f>
        <v>Refrigerated storage</v>
      </c>
      <c r="C187" s="794" t="s">
        <v>686</v>
      </c>
      <c r="D187" s="797" t="s">
        <v>720</v>
      </c>
      <c r="E187" s="267" t="s">
        <v>700</v>
      </c>
      <c r="F187" s="270">
        <f>Thermostat!$B$20</f>
        <v>35</v>
      </c>
      <c r="G187" s="270">
        <f>Thermostat!$B$20</f>
        <v>35</v>
      </c>
      <c r="H187" s="270">
        <f>Thermostat!$B$20</f>
        <v>35</v>
      </c>
      <c r="I187" s="270">
        <f>Thermostat!$B$20</f>
        <v>35</v>
      </c>
      <c r="J187" s="270">
        <f>Thermostat!$B$20</f>
        <v>35</v>
      </c>
      <c r="K187" s="270">
        <f>Thermostat!$B$20</f>
        <v>35</v>
      </c>
      <c r="L187" s="270">
        <f>Thermostat!$B$20</f>
        <v>35</v>
      </c>
      <c r="M187" s="270">
        <f>Thermostat!$B$20</f>
        <v>35</v>
      </c>
      <c r="N187" s="270">
        <f>Thermostat!$B$20</f>
        <v>35</v>
      </c>
      <c r="O187" s="270">
        <f>Thermostat!$B$20</f>
        <v>35</v>
      </c>
      <c r="P187" s="270">
        <f>Thermostat!$B$20</f>
        <v>35</v>
      </c>
      <c r="Q187" s="270">
        <f>Thermostat!$B$20</f>
        <v>35</v>
      </c>
      <c r="R187" s="270">
        <f>Thermostat!$B$20</f>
        <v>35</v>
      </c>
      <c r="S187" s="270">
        <f>Thermostat!$B$20</f>
        <v>35</v>
      </c>
      <c r="T187" s="270">
        <f>Thermostat!$B$20</f>
        <v>35</v>
      </c>
      <c r="U187" s="270">
        <f>Thermostat!$B$20</f>
        <v>35</v>
      </c>
      <c r="V187" s="270">
        <f>Thermostat!$B$20</f>
        <v>35</v>
      </c>
      <c r="W187" s="270">
        <f>Thermostat!$B$20</f>
        <v>35</v>
      </c>
      <c r="X187" s="270">
        <f>Thermostat!$B$20</f>
        <v>35</v>
      </c>
      <c r="Y187" s="270">
        <f>Thermostat!$B$20</f>
        <v>35</v>
      </c>
      <c r="Z187" s="270">
        <f>Thermostat!$B$20</f>
        <v>35</v>
      </c>
      <c r="AA187" s="270">
        <f>Thermostat!$B$20</f>
        <v>35</v>
      </c>
      <c r="AB187" s="270">
        <f>Thermostat!$B$20</f>
        <v>35</v>
      </c>
      <c r="AC187" s="271">
        <f>Thermostat!$B$20</f>
        <v>35</v>
      </c>
    </row>
    <row r="188" spans="1:29" ht="30" customHeight="1" x14ac:dyDescent="0.3">
      <c r="A188" s="789"/>
      <c r="B188" s="792"/>
      <c r="C188" s="795"/>
      <c r="D188" s="798"/>
      <c r="E188" s="268" t="s">
        <v>690</v>
      </c>
      <c r="F188" s="272">
        <f>Thermostat!$B$20</f>
        <v>35</v>
      </c>
      <c r="G188" s="272">
        <f>Thermostat!$B$20</f>
        <v>35</v>
      </c>
      <c r="H188" s="272">
        <f>Thermostat!$B$20</f>
        <v>35</v>
      </c>
      <c r="I188" s="272">
        <f>Thermostat!$B$20</f>
        <v>35</v>
      </c>
      <c r="J188" s="272">
        <f>Thermostat!$B$20</f>
        <v>35</v>
      </c>
      <c r="K188" s="272">
        <f>Thermostat!$B$20</f>
        <v>35</v>
      </c>
      <c r="L188" s="272">
        <f>Thermostat!$B$20</f>
        <v>35</v>
      </c>
      <c r="M188" s="272">
        <f>Thermostat!$B$20</f>
        <v>35</v>
      </c>
      <c r="N188" s="272">
        <f>Thermostat!$B$20</f>
        <v>35</v>
      </c>
      <c r="O188" s="272">
        <f>Thermostat!$B$20</f>
        <v>35</v>
      </c>
      <c r="P188" s="272">
        <f>Thermostat!$B$20</f>
        <v>35</v>
      </c>
      <c r="Q188" s="272">
        <f>Thermostat!$B$20</f>
        <v>35</v>
      </c>
      <c r="R188" s="272">
        <f>Thermostat!$B$20</f>
        <v>35</v>
      </c>
      <c r="S188" s="272">
        <f>Thermostat!$B$20</f>
        <v>35</v>
      </c>
      <c r="T188" s="272">
        <f>Thermostat!$B$20</f>
        <v>35</v>
      </c>
      <c r="U188" s="272">
        <f>Thermostat!$B$20</f>
        <v>35</v>
      </c>
      <c r="V188" s="272">
        <f>Thermostat!$B$20</f>
        <v>35</v>
      </c>
      <c r="W188" s="272">
        <f>Thermostat!$B$20</f>
        <v>35</v>
      </c>
      <c r="X188" s="272">
        <f>Thermostat!$B$20</f>
        <v>35</v>
      </c>
      <c r="Y188" s="272">
        <f>Thermostat!$B$20</f>
        <v>35</v>
      </c>
      <c r="Z188" s="272">
        <f>Thermostat!$B$20</f>
        <v>35</v>
      </c>
      <c r="AA188" s="272">
        <f>Thermostat!$B$20</f>
        <v>35</v>
      </c>
      <c r="AB188" s="272">
        <f>Thermostat!$B$20</f>
        <v>35</v>
      </c>
      <c r="AC188" s="273">
        <f>Thermostat!$B$20</f>
        <v>35</v>
      </c>
    </row>
    <row r="189" spans="1:29" ht="30" customHeight="1" thickBot="1" x14ac:dyDescent="0.35">
      <c r="A189" s="790"/>
      <c r="B189" s="793"/>
      <c r="C189" s="796"/>
      <c r="D189" s="799"/>
      <c r="E189" s="542" t="s">
        <v>691</v>
      </c>
      <c r="F189" s="543">
        <f>Thermostat!$B$20</f>
        <v>35</v>
      </c>
      <c r="G189" s="543">
        <f>Thermostat!$B$20</f>
        <v>35</v>
      </c>
      <c r="H189" s="543">
        <f>Thermostat!$B$20</f>
        <v>35</v>
      </c>
      <c r="I189" s="543">
        <f>Thermostat!$B$20</f>
        <v>35</v>
      </c>
      <c r="J189" s="543">
        <f>Thermostat!$B$20</f>
        <v>35</v>
      </c>
      <c r="K189" s="543">
        <f>Thermostat!$B$20</f>
        <v>35</v>
      </c>
      <c r="L189" s="543">
        <f>Thermostat!$B$20</f>
        <v>35</v>
      </c>
      <c r="M189" s="543">
        <f>Thermostat!$B$20</f>
        <v>35</v>
      </c>
      <c r="N189" s="543">
        <f>Thermostat!$B$20</f>
        <v>35</v>
      </c>
      <c r="O189" s="543">
        <f>Thermostat!$B$20</f>
        <v>35</v>
      </c>
      <c r="P189" s="543">
        <f>Thermostat!$B$20</f>
        <v>35</v>
      </c>
      <c r="Q189" s="543">
        <f>Thermostat!$B$20</f>
        <v>35</v>
      </c>
      <c r="R189" s="543">
        <f>Thermostat!$B$20</f>
        <v>35</v>
      </c>
      <c r="S189" s="543">
        <f>Thermostat!$B$20</f>
        <v>35</v>
      </c>
      <c r="T189" s="543">
        <f>Thermostat!$B$20</f>
        <v>35</v>
      </c>
      <c r="U189" s="543">
        <f>Thermostat!$B$20</f>
        <v>35</v>
      </c>
      <c r="V189" s="543">
        <f>Thermostat!$B$20</f>
        <v>35</v>
      </c>
      <c r="W189" s="543">
        <f>Thermostat!$B$20</f>
        <v>35</v>
      </c>
      <c r="X189" s="543">
        <f>Thermostat!$B$20</f>
        <v>35</v>
      </c>
      <c r="Y189" s="543">
        <f>Thermostat!$B$20</f>
        <v>35</v>
      </c>
      <c r="Z189" s="543">
        <f>Thermostat!$B$20</f>
        <v>35</v>
      </c>
      <c r="AA189" s="543">
        <f>Thermostat!$B$20</f>
        <v>35</v>
      </c>
      <c r="AB189" s="543">
        <f>Thermostat!$B$20</f>
        <v>35</v>
      </c>
      <c r="AC189" s="544">
        <f>Thermostat!$B$20</f>
        <v>35</v>
      </c>
    </row>
    <row r="190" spans="1:29" ht="30" customHeight="1" x14ac:dyDescent="0.3">
      <c r="A190" s="857" t="s">
        <v>718</v>
      </c>
      <c r="B190" s="794" t="s">
        <v>719</v>
      </c>
      <c r="C190" s="794" t="s">
        <v>678</v>
      </c>
      <c r="D190" s="890" t="s">
        <v>721</v>
      </c>
      <c r="E190" s="882" t="s">
        <v>673</v>
      </c>
      <c r="F190" s="894">
        <f t="shared" ref="F190:AC190" si="0">F101</f>
        <v>0</v>
      </c>
      <c r="G190" s="894">
        <f t="shared" si="0"/>
        <v>0</v>
      </c>
      <c r="H190" s="894">
        <f t="shared" si="0"/>
        <v>0</v>
      </c>
      <c r="I190" s="894">
        <f t="shared" si="0"/>
        <v>0</v>
      </c>
      <c r="J190" s="894">
        <f t="shared" si="0"/>
        <v>0</v>
      </c>
      <c r="K190" s="894">
        <f t="shared" si="0"/>
        <v>0</v>
      </c>
      <c r="L190" s="894">
        <f t="shared" si="0"/>
        <v>0</v>
      </c>
      <c r="M190" s="894">
        <f t="shared" si="0"/>
        <v>0</v>
      </c>
      <c r="N190" s="894">
        <f t="shared" si="0"/>
        <v>0</v>
      </c>
      <c r="O190" s="894">
        <f t="shared" si="0"/>
        <v>0</v>
      </c>
      <c r="P190" s="894">
        <f t="shared" si="0"/>
        <v>0</v>
      </c>
      <c r="Q190" s="894">
        <f t="shared" si="0"/>
        <v>0</v>
      </c>
      <c r="R190" s="894">
        <f t="shared" si="0"/>
        <v>0</v>
      </c>
      <c r="S190" s="894">
        <f t="shared" si="0"/>
        <v>0</v>
      </c>
      <c r="T190" s="894">
        <f t="shared" si="0"/>
        <v>0</v>
      </c>
      <c r="U190" s="894">
        <f t="shared" si="0"/>
        <v>0</v>
      </c>
      <c r="V190" s="894">
        <f t="shared" si="0"/>
        <v>0</v>
      </c>
      <c r="W190" s="894">
        <f t="shared" si="0"/>
        <v>0</v>
      </c>
      <c r="X190" s="894">
        <f t="shared" si="0"/>
        <v>0</v>
      </c>
      <c r="Y190" s="894">
        <f t="shared" si="0"/>
        <v>0</v>
      </c>
      <c r="Z190" s="894">
        <f t="shared" si="0"/>
        <v>0</v>
      </c>
      <c r="AA190" s="894">
        <f t="shared" si="0"/>
        <v>0</v>
      </c>
      <c r="AB190" s="894">
        <f t="shared" si="0"/>
        <v>0</v>
      </c>
      <c r="AC190" s="895">
        <f t="shared" si="0"/>
        <v>0</v>
      </c>
    </row>
    <row r="191" spans="1:29" ht="30" customHeight="1" x14ac:dyDescent="0.3">
      <c r="A191" s="858"/>
      <c r="B191" s="795"/>
      <c r="C191" s="795"/>
      <c r="D191" s="891"/>
      <c r="E191" s="883" t="s">
        <v>694</v>
      </c>
      <c r="F191" s="893">
        <f t="shared" ref="F191:AC191" si="1">F102</f>
        <v>0</v>
      </c>
      <c r="G191" s="893">
        <f t="shared" si="1"/>
        <v>0</v>
      </c>
      <c r="H191" s="893">
        <f t="shared" si="1"/>
        <v>0</v>
      </c>
      <c r="I191" s="893">
        <f t="shared" si="1"/>
        <v>0</v>
      </c>
      <c r="J191" s="893">
        <f t="shared" si="1"/>
        <v>0</v>
      </c>
      <c r="K191" s="893">
        <f t="shared" si="1"/>
        <v>0</v>
      </c>
      <c r="L191" s="893">
        <f t="shared" si="1"/>
        <v>1</v>
      </c>
      <c r="M191" s="893">
        <f t="shared" si="1"/>
        <v>1</v>
      </c>
      <c r="N191" s="893">
        <f t="shared" si="1"/>
        <v>1</v>
      </c>
      <c r="O191" s="893">
        <f t="shared" si="1"/>
        <v>1</v>
      </c>
      <c r="P191" s="893">
        <f t="shared" si="1"/>
        <v>1</v>
      </c>
      <c r="Q191" s="893">
        <f t="shared" si="1"/>
        <v>1</v>
      </c>
      <c r="R191" s="893">
        <f t="shared" si="1"/>
        <v>1</v>
      </c>
      <c r="S191" s="893">
        <f t="shared" si="1"/>
        <v>1</v>
      </c>
      <c r="T191" s="893">
        <f t="shared" si="1"/>
        <v>1</v>
      </c>
      <c r="U191" s="893">
        <f t="shared" si="1"/>
        <v>1</v>
      </c>
      <c r="V191" s="893">
        <f t="shared" si="1"/>
        <v>1</v>
      </c>
      <c r="W191" s="893">
        <f t="shared" si="1"/>
        <v>1</v>
      </c>
      <c r="X191" s="893">
        <f t="shared" si="1"/>
        <v>0</v>
      </c>
      <c r="Y191" s="893">
        <f t="shared" si="1"/>
        <v>0</v>
      </c>
      <c r="Z191" s="893">
        <f t="shared" si="1"/>
        <v>0</v>
      </c>
      <c r="AA191" s="893">
        <f t="shared" si="1"/>
        <v>0</v>
      </c>
      <c r="AB191" s="893">
        <f t="shared" si="1"/>
        <v>0</v>
      </c>
      <c r="AC191" s="896">
        <f t="shared" si="1"/>
        <v>0</v>
      </c>
    </row>
    <row r="192" spans="1:29" ht="30" customHeight="1" x14ac:dyDescent="0.3">
      <c r="A192" s="858"/>
      <c r="B192" s="795"/>
      <c r="C192" s="795"/>
      <c r="D192" s="891"/>
      <c r="E192" s="883" t="s">
        <v>695</v>
      </c>
      <c r="F192" s="893">
        <f t="shared" ref="F192:AC192" si="2">F103</f>
        <v>0</v>
      </c>
      <c r="G192" s="893">
        <f t="shared" si="2"/>
        <v>0</v>
      </c>
      <c r="H192" s="893">
        <f t="shared" si="2"/>
        <v>0</v>
      </c>
      <c r="I192" s="893">
        <f t="shared" si="2"/>
        <v>0</v>
      </c>
      <c r="J192" s="893">
        <f t="shared" si="2"/>
        <v>0</v>
      </c>
      <c r="K192" s="893">
        <f t="shared" si="2"/>
        <v>0</v>
      </c>
      <c r="L192" s="893">
        <f t="shared" si="2"/>
        <v>1</v>
      </c>
      <c r="M192" s="893">
        <f t="shared" si="2"/>
        <v>1</v>
      </c>
      <c r="N192" s="893">
        <f t="shared" si="2"/>
        <v>1</v>
      </c>
      <c r="O192" s="893">
        <f t="shared" si="2"/>
        <v>1</v>
      </c>
      <c r="P192" s="893">
        <f t="shared" si="2"/>
        <v>1</v>
      </c>
      <c r="Q192" s="893">
        <f t="shared" si="2"/>
        <v>1</v>
      </c>
      <c r="R192" s="893">
        <f t="shared" si="2"/>
        <v>1</v>
      </c>
      <c r="S192" s="893">
        <f t="shared" si="2"/>
        <v>1</v>
      </c>
      <c r="T192" s="893">
        <f t="shared" si="2"/>
        <v>1</v>
      </c>
      <c r="U192" s="893">
        <f t="shared" si="2"/>
        <v>1</v>
      </c>
      <c r="V192" s="893">
        <f t="shared" si="2"/>
        <v>1</v>
      </c>
      <c r="W192" s="893">
        <f t="shared" si="2"/>
        <v>1</v>
      </c>
      <c r="X192" s="893">
        <f t="shared" si="2"/>
        <v>1</v>
      </c>
      <c r="Y192" s="893">
        <f t="shared" si="2"/>
        <v>1</v>
      </c>
      <c r="Z192" s="893">
        <f t="shared" si="2"/>
        <v>0</v>
      </c>
      <c r="AA192" s="893">
        <f t="shared" si="2"/>
        <v>0</v>
      </c>
      <c r="AB192" s="893">
        <f t="shared" si="2"/>
        <v>0</v>
      </c>
      <c r="AC192" s="896">
        <f t="shared" si="2"/>
        <v>0</v>
      </c>
    </row>
    <row r="193" spans="1:29" ht="30" customHeight="1" x14ac:dyDescent="0.3">
      <c r="A193" s="858"/>
      <c r="B193" s="795"/>
      <c r="C193" s="795"/>
      <c r="D193" s="891"/>
      <c r="E193" s="883" t="s">
        <v>696</v>
      </c>
      <c r="F193" s="893">
        <f t="shared" ref="F193:AC193" si="3">F104</f>
        <v>0</v>
      </c>
      <c r="G193" s="893">
        <f t="shared" si="3"/>
        <v>0</v>
      </c>
      <c r="H193" s="893">
        <f t="shared" si="3"/>
        <v>0</v>
      </c>
      <c r="I193" s="893">
        <f t="shared" si="3"/>
        <v>0</v>
      </c>
      <c r="J193" s="893">
        <f t="shared" si="3"/>
        <v>0</v>
      </c>
      <c r="K193" s="893">
        <f t="shared" si="3"/>
        <v>0</v>
      </c>
      <c r="L193" s="893">
        <f t="shared" si="3"/>
        <v>0</v>
      </c>
      <c r="M193" s="893">
        <f t="shared" si="3"/>
        <v>1</v>
      </c>
      <c r="N193" s="893">
        <f t="shared" si="3"/>
        <v>1</v>
      </c>
      <c r="O193" s="893">
        <f t="shared" si="3"/>
        <v>1</v>
      </c>
      <c r="P193" s="893">
        <f t="shared" si="3"/>
        <v>1</v>
      </c>
      <c r="Q193" s="893">
        <f t="shared" si="3"/>
        <v>1</v>
      </c>
      <c r="R193" s="893">
        <f t="shared" si="3"/>
        <v>1</v>
      </c>
      <c r="S193" s="893">
        <f t="shared" si="3"/>
        <v>1</v>
      </c>
      <c r="T193" s="893">
        <f t="shared" si="3"/>
        <v>1</v>
      </c>
      <c r="U193" s="893">
        <f t="shared" si="3"/>
        <v>1</v>
      </c>
      <c r="V193" s="893">
        <f t="shared" si="3"/>
        <v>1</v>
      </c>
      <c r="W193" s="893">
        <f t="shared" si="3"/>
        <v>1</v>
      </c>
      <c r="X193" s="893">
        <f t="shared" si="3"/>
        <v>0</v>
      </c>
      <c r="Y193" s="893">
        <f t="shared" si="3"/>
        <v>0</v>
      </c>
      <c r="Z193" s="893">
        <f t="shared" si="3"/>
        <v>0</v>
      </c>
      <c r="AA193" s="893">
        <f t="shared" si="3"/>
        <v>0</v>
      </c>
      <c r="AB193" s="893">
        <f t="shared" si="3"/>
        <v>0</v>
      </c>
      <c r="AC193" s="896">
        <f t="shared" si="3"/>
        <v>0</v>
      </c>
    </row>
    <row r="194" spans="1:29" ht="30" customHeight="1" x14ac:dyDescent="0.3">
      <c r="A194" s="858"/>
      <c r="B194" s="795"/>
      <c r="C194" s="795"/>
      <c r="D194" s="891"/>
      <c r="E194" s="883" t="s">
        <v>697</v>
      </c>
      <c r="F194" s="893">
        <f t="shared" ref="F194:AC194" si="4">F105</f>
        <v>0</v>
      </c>
      <c r="G194" s="893">
        <f t="shared" si="4"/>
        <v>0</v>
      </c>
      <c r="H194" s="893">
        <f t="shared" si="4"/>
        <v>0</v>
      </c>
      <c r="I194" s="893">
        <f t="shared" si="4"/>
        <v>0</v>
      </c>
      <c r="J194" s="893">
        <f t="shared" si="4"/>
        <v>0</v>
      </c>
      <c r="K194" s="893">
        <f t="shared" si="4"/>
        <v>0</v>
      </c>
      <c r="L194" s="893">
        <f t="shared" si="4"/>
        <v>0</v>
      </c>
      <c r="M194" s="893">
        <f t="shared" si="4"/>
        <v>1</v>
      </c>
      <c r="N194" s="893">
        <f t="shared" si="4"/>
        <v>1</v>
      </c>
      <c r="O194" s="893">
        <f t="shared" si="4"/>
        <v>1</v>
      </c>
      <c r="P194" s="893">
        <f t="shared" si="4"/>
        <v>1</v>
      </c>
      <c r="Q194" s="893">
        <f t="shared" si="4"/>
        <v>1</v>
      </c>
      <c r="R194" s="893">
        <f t="shared" si="4"/>
        <v>1</v>
      </c>
      <c r="S194" s="893">
        <f t="shared" si="4"/>
        <v>1</v>
      </c>
      <c r="T194" s="893">
        <f t="shared" si="4"/>
        <v>1</v>
      </c>
      <c r="U194" s="893">
        <f t="shared" si="4"/>
        <v>1</v>
      </c>
      <c r="V194" s="893">
        <f t="shared" si="4"/>
        <v>1</v>
      </c>
      <c r="W194" s="893">
        <f t="shared" si="4"/>
        <v>1</v>
      </c>
      <c r="X194" s="893">
        <f t="shared" si="4"/>
        <v>0</v>
      </c>
      <c r="Y194" s="893">
        <f t="shared" si="4"/>
        <v>0</v>
      </c>
      <c r="Z194" s="893">
        <f t="shared" si="4"/>
        <v>0</v>
      </c>
      <c r="AA194" s="893">
        <f t="shared" si="4"/>
        <v>0</v>
      </c>
      <c r="AB194" s="893">
        <f t="shared" si="4"/>
        <v>0</v>
      </c>
      <c r="AC194" s="896">
        <f t="shared" si="4"/>
        <v>0</v>
      </c>
    </row>
    <row r="195" spans="1:29" ht="30" customHeight="1" thickBot="1" x14ac:dyDescent="0.35">
      <c r="A195" s="859"/>
      <c r="B195" s="796"/>
      <c r="C195" s="796"/>
      <c r="D195" s="892"/>
      <c r="E195" s="885" t="s">
        <v>698</v>
      </c>
      <c r="F195" s="899">
        <f t="shared" ref="F195:AC195" si="5">F106</f>
        <v>0</v>
      </c>
      <c r="G195" s="899">
        <f t="shared" si="5"/>
        <v>0</v>
      </c>
      <c r="H195" s="899">
        <f t="shared" si="5"/>
        <v>0</v>
      </c>
      <c r="I195" s="899">
        <f t="shared" si="5"/>
        <v>0</v>
      </c>
      <c r="J195" s="899">
        <f t="shared" si="5"/>
        <v>0</v>
      </c>
      <c r="K195" s="899">
        <f t="shared" si="5"/>
        <v>0</v>
      </c>
      <c r="L195" s="899">
        <f t="shared" si="5"/>
        <v>0</v>
      </c>
      <c r="M195" s="899">
        <f t="shared" si="5"/>
        <v>1</v>
      </c>
      <c r="N195" s="899">
        <f t="shared" si="5"/>
        <v>1</v>
      </c>
      <c r="O195" s="899">
        <f t="shared" si="5"/>
        <v>1</v>
      </c>
      <c r="P195" s="899">
        <f t="shared" si="5"/>
        <v>1</v>
      </c>
      <c r="Q195" s="899">
        <f t="shared" si="5"/>
        <v>1</v>
      </c>
      <c r="R195" s="899">
        <f t="shared" si="5"/>
        <v>1</v>
      </c>
      <c r="S195" s="899">
        <f t="shared" si="5"/>
        <v>1</v>
      </c>
      <c r="T195" s="899">
        <f t="shared" si="5"/>
        <v>1</v>
      </c>
      <c r="U195" s="899">
        <f t="shared" si="5"/>
        <v>1</v>
      </c>
      <c r="V195" s="899">
        <f t="shared" si="5"/>
        <v>1</v>
      </c>
      <c r="W195" s="899">
        <f t="shared" si="5"/>
        <v>1</v>
      </c>
      <c r="X195" s="899">
        <f t="shared" si="5"/>
        <v>1</v>
      </c>
      <c r="Y195" s="899">
        <f t="shared" si="5"/>
        <v>1</v>
      </c>
      <c r="Z195" s="899">
        <f t="shared" si="5"/>
        <v>1</v>
      </c>
      <c r="AA195" s="899">
        <f t="shared" si="5"/>
        <v>1</v>
      </c>
      <c r="AB195" s="899">
        <f t="shared" si="5"/>
        <v>0</v>
      </c>
      <c r="AC195" s="900">
        <f t="shared" si="5"/>
        <v>0</v>
      </c>
    </row>
    <row r="196" spans="1:29" ht="30" customHeight="1" x14ac:dyDescent="0.3">
      <c r="A196" s="857" t="s">
        <v>718</v>
      </c>
      <c r="B196" s="794" t="s">
        <v>719</v>
      </c>
      <c r="C196" s="794" t="s">
        <v>679</v>
      </c>
      <c r="D196" s="890" t="s">
        <v>722</v>
      </c>
      <c r="E196" s="882" t="s">
        <v>673</v>
      </c>
      <c r="F196" s="894">
        <f t="shared" ref="F196:AC196" si="6">F107</f>
        <v>0</v>
      </c>
      <c r="G196" s="894">
        <f t="shared" si="6"/>
        <v>0</v>
      </c>
      <c r="H196" s="894">
        <f t="shared" si="6"/>
        <v>0</v>
      </c>
      <c r="I196" s="894">
        <f t="shared" si="6"/>
        <v>0</v>
      </c>
      <c r="J196" s="894">
        <f t="shared" si="6"/>
        <v>0</v>
      </c>
      <c r="K196" s="894">
        <f t="shared" si="6"/>
        <v>0</v>
      </c>
      <c r="L196" s="894">
        <f t="shared" si="6"/>
        <v>0</v>
      </c>
      <c r="M196" s="894">
        <f t="shared" si="6"/>
        <v>0</v>
      </c>
      <c r="N196" s="894">
        <f t="shared" si="6"/>
        <v>0</v>
      </c>
      <c r="O196" s="894">
        <f t="shared" si="6"/>
        <v>0</v>
      </c>
      <c r="P196" s="894">
        <f t="shared" si="6"/>
        <v>0</v>
      </c>
      <c r="Q196" s="894">
        <f t="shared" si="6"/>
        <v>0</v>
      </c>
      <c r="R196" s="894">
        <f t="shared" si="6"/>
        <v>0</v>
      </c>
      <c r="S196" s="894">
        <f t="shared" si="6"/>
        <v>0</v>
      </c>
      <c r="T196" s="894">
        <f t="shared" si="6"/>
        <v>0</v>
      </c>
      <c r="U196" s="894">
        <f t="shared" si="6"/>
        <v>0</v>
      </c>
      <c r="V196" s="894">
        <f t="shared" si="6"/>
        <v>0</v>
      </c>
      <c r="W196" s="894">
        <f t="shared" si="6"/>
        <v>0</v>
      </c>
      <c r="X196" s="894">
        <f t="shared" si="6"/>
        <v>0</v>
      </c>
      <c r="Y196" s="894">
        <f t="shared" si="6"/>
        <v>0</v>
      </c>
      <c r="Z196" s="894">
        <f t="shared" si="6"/>
        <v>0</v>
      </c>
      <c r="AA196" s="894">
        <f t="shared" si="6"/>
        <v>0</v>
      </c>
      <c r="AB196" s="894">
        <f t="shared" si="6"/>
        <v>0</v>
      </c>
      <c r="AC196" s="895">
        <f t="shared" si="6"/>
        <v>0</v>
      </c>
    </row>
    <row r="197" spans="1:29" ht="30" customHeight="1" x14ac:dyDescent="0.3">
      <c r="A197" s="858"/>
      <c r="B197" s="795"/>
      <c r="C197" s="795"/>
      <c r="D197" s="891"/>
      <c r="E197" s="883" t="s">
        <v>694</v>
      </c>
      <c r="F197" s="893">
        <f t="shared" ref="F197:AC197" si="7">F108</f>
        <v>0.05</v>
      </c>
      <c r="G197" s="893">
        <f t="shared" si="7"/>
        <v>0.05</v>
      </c>
      <c r="H197" s="893">
        <f t="shared" si="7"/>
        <v>0.05</v>
      </c>
      <c r="I197" s="893">
        <f t="shared" si="7"/>
        <v>0.05</v>
      </c>
      <c r="J197" s="893">
        <f t="shared" si="7"/>
        <v>0.05</v>
      </c>
      <c r="K197" s="893">
        <f t="shared" si="7"/>
        <v>0.05</v>
      </c>
      <c r="L197" s="893">
        <f t="shared" si="7"/>
        <v>0.4</v>
      </c>
      <c r="M197" s="893">
        <f t="shared" si="7"/>
        <v>0.4</v>
      </c>
      <c r="N197" s="893">
        <f t="shared" si="7"/>
        <v>0.4</v>
      </c>
      <c r="O197" s="893">
        <f t="shared" si="7"/>
        <v>0.75</v>
      </c>
      <c r="P197" s="893">
        <f t="shared" si="7"/>
        <v>0.75</v>
      </c>
      <c r="Q197" s="893">
        <f t="shared" si="7"/>
        <v>0.75</v>
      </c>
      <c r="R197" s="893">
        <f t="shared" si="7"/>
        <v>0.75</v>
      </c>
      <c r="S197" s="893">
        <f t="shared" si="7"/>
        <v>0.75</v>
      </c>
      <c r="T197" s="893">
        <f t="shared" si="7"/>
        <v>0.75</v>
      </c>
      <c r="U197" s="893">
        <f t="shared" si="7"/>
        <v>0.75</v>
      </c>
      <c r="V197" s="893">
        <f t="shared" si="7"/>
        <v>0.25</v>
      </c>
      <c r="W197" s="893">
        <f t="shared" si="7"/>
        <v>0.25</v>
      </c>
      <c r="X197" s="893">
        <f t="shared" si="7"/>
        <v>0.05</v>
      </c>
      <c r="Y197" s="893">
        <f t="shared" si="7"/>
        <v>0.05</v>
      </c>
      <c r="Z197" s="893">
        <f t="shared" si="7"/>
        <v>0.05</v>
      </c>
      <c r="AA197" s="893">
        <f t="shared" si="7"/>
        <v>0.05</v>
      </c>
      <c r="AB197" s="893">
        <f t="shared" si="7"/>
        <v>0.05</v>
      </c>
      <c r="AC197" s="896">
        <f t="shared" si="7"/>
        <v>0.05</v>
      </c>
    </row>
    <row r="198" spans="1:29" ht="30" customHeight="1" x14ac:dyDescent="0.3">
      <c r="A198" s="858"/>
      <c r="B198" s="795"/>
      <c r="C198" s="795"/>
      <c r="D198" s="891"/>
      <c r="E198" s="883" t="s">
        <v>695</v>
      </c>
      <c r="F198" s="893">
        <f t="shared" ref="F198:AC198" si="8">F109</f>
        <v>0.05</v>
      </c>
      <c r="G198" s="893">
        <f t="shared" si="8"/>
        <v>0.05</v>
      </c>
      <c r="H198" s="893">
        <f t="shared" si="8"/>
        <v>0.05</v>
      </c>
      <c r="I198" s="893">
        <f t="shared" si="8"/>
        <v>0.05</v>
      </c>
      <c r="J198" s="893">
        <f t="shared" si="8"/>
        <v>0.05</v>
      </c>
      <c r="K198" s="893">
        <f t="shared" si="8"/>
        <v>0.05</v>
      </c>
      <c r="L198" s="893">
        <f t="shared" si="8"/>
        <v>0.4</v>
      </c>
      <c r="M198" s="893">
        <f t="shared" si="8"/>
        <v>0.4</v>
      </c>
      <c r="N198" s="893">
        <f t="shared" si="8"/>
        <v>0.4</v>
      </c>
      <c r="O198" s="893">
        <f t="shared" si="8"/>
        <v>0.75</v>
      </c>
      <c r="P198" s="893">
        <f t="shared" si="8"/>
        <v>0.75</v>
      </c>
      <c r="Q198" s="893">
        <f t="shared" si="8"/>
        <v>0.75</v>
      </c>
      <c r="R198" s="893">
        <f t="shared" si="8"/>
        <v>0.75</v>
      </c>
      <c r="S198" s="893">
        <f t="shared" si="8"/>
        <v>0.75</v>
      </c>
      <c r="T198" s="893">
        <f t="shared" si="8"/>
        <v>0.75</v>
      </c>
      <c r="U198" s="893">
        <f t="shared" si="8"/>
        <v>0.75</v>
      </c>
      <c r="V198" s="893">
        <f t="shared" si="8"/>
        <v>0.25</v>
      </c>
      <c r="W198" s="893">
        <f t="shared" si="8"/>
        <v>0.25</v>
      </c>
      <c r="X198" s="893">
        <f t="shared" si="8"/>
        <v>0.25</v>
      </c>
      <c r="Y198" s="893">
        <f t="shared" si="8"/>
        <v>0.25</v>
      </c>
      <c r="Z198" s="893">
        <f t="shared" si="8"/>
        <v>0.05</v>
      </c>
      <c r="AA198" s="893">
        <f t="shared" si="8"/>
        <v>0.05</v>
      </c>
      <c r="AB198" s="893">
        <f t="shared" si="8"/>
        <v>0.05</v>
      </c>
      <c r="AC198" s="896">
        <f t="shared" si="8"/>
        <v>0.05</v>
      </c>
    </row>
    <row r="199" spans="1:29" ht="30" customHeight="1" x14ac:dyDescent="0.3">
      <c r="A199" s="858"/>
      <c r="B199" s="795"/>
      <c r="C199" s="795"/>
      <c r="D199" s="891"/>
      <c r="E199" s="883" t="s">
        <v>696</v>
      </c>
      <c r="F199" s="893">
        <f t="shared" ref="F199:AC199" si="9">F110</f>
        <v>0.05</v>
      </c>
      <c r="G199" s="893">
        <f t="shared" si="9"/>
        <v>0.05</v>
      </c>
      <c r="H199" s="893">
        <f t="shared" si="9"/>
        <v>0.05</v>
      </c>
      <c r="I199" s="893">
        <f t="shared" si="9"/>
        <v>0.05</v>
      </c>
      <c r="J199" s="893">
        <f t="shared" si="9"/>
        <v>0.05</v>
      </c>
      <c r="K199" s="893">
        <f t="shared" si="9"/>
        <v>0.05</v>
      </c>
      <c r="L199" s="893">
        <f t="shared" si="9"/>
        <v>0.05</v>
      </c>
      <c r="M199" s="893">
        <f t="shared" si="9"/>
        <v>0.3</v>
      </c>
      <c r="N199" s="893">
        <f t="shared" si="9"/>
        <v>0.3</v>
      </c>
      <c r="O199" s="893">
        <f t="shared" si="9"/>
        <v>0.5</v>
      </c>
      <c r="P199" s="893">
        <f t="shared" si="9"/>
        <v>0.5</v>
      </c>
      <c r="Q199" s="893">
        <f t="shared" si="9"/>
        <v>0.5</v>
      </c>
      <c r="R199" s="893">
        <f t="shared" si="9"/>
        <v>0.5</v>
      </c>
      <c r="S199" s="893">
        <f t="shared" si="9"/>
        <v>0.5</v>
      </c>
      <c r="T199" s="893">
        <f t="shared" si="9"/>
        <v>0.5</v>
      </c>
      <c r="U199" s="893">
        <f t="shared" si="9"/>
        <v>0.5</v>
      </c>
      <c r="V199" s="893">
        <f t="shared" si="9"/>
        <v>0.5</v>
      </c>
      <c r="W199" s="893">
        <f t="shared" si="9"/>
        <v>0.5</v>
      </c>
      <c r="X199" s="893">
        <f t="shared" si="9"/>
        <v>0.05</v>
      </c>
      <c r="Y199" s="893">
        <f t="shared" si="9"/>
        <v>0.05</v>
      </c>
      <c r="Z199" s="893">
        <f t="shared" si="9"/>
        <v>0.05</v>
      </c>
      <c r="AA199" s="893">
        <f t="shared" si="9"/>
        <v>0.05</v>
      </c>
      <c r="AB199" s="893">
        <f t="shared" si="9"/>
        <v>0.05</v>
      </c>
      <c r="AC199" s="896">
        <f t="shared" si="9"/>
        <v>0.05</v>
      </c>
    </row>
    <row r="200" spans="1:29" ht="30" customHeight="1" x14ac:dyDescent="0.3">
      <c r="A200" s="858"/>
      <c r="B200" s="795"/>
      <c r="C200" s="795"/>
      <c r="D200" s="891"/>
      <c r="E200" s="883" t="s">
        <v>697</v>
      </c>
      <c r="F200" s="893">
        <f t="shared" ref="F200:AC200" si="10">F111</f>
        <v>0.05</v>
      </c>
      <c r="G200" s="893">
        <f t="shared" si="10"/>
        <v>0.05</v>
      </c>
      <c r="H200" s="893">
        <f t="shared" si="10"/>
        <v>0.05</v>
      </c>
      <c r="I200" s="893">
        <f t="shared" si="10"/>
        <v>0.05</v>
      </c>
      <c r="J200" s="893">
        <f t="shared" si="10"/>
        <v>0.05</v>
      </c>
      <c r="K200" s="893">
        <f t="shared" si="10"/>
        <v>0.05</v>
      </c>
      <c r="L200" s="893">
        <f t="shared" si="10"/>
        <v>0.05</v>
      </c>
      <c r="M200" s="893">
        <f t="shared" si="10"/>
        <v>0.3</v>
      </c>
      <c r="N200" s="893">
        <f t="shared" si="10"/>
        <v>0.3</v>
      </c>
      <c r="O200" s="893">
        <f t="shared" si="10"/>
        <v>0.5</v>
      </c>
      <c r="P200" s="893">
        <f t="shared" si="10"/>
        <v>0.5</v>
      </c>
      <c r="Q200" s="893">
        <f t="shared" si="10"/>
        <v>0.5</v>
      </c>
      <c r="R200" s="893">
        <f t="shared" si="10"/>
        <v>0.5</v>
      </c>
      <c r="S200" s="893">
        <f t="shared" si="10"/>
        <v>0.5</v>
      </c>
      <c r="T200" s="893">
        <f t="shared" si="10"/>
        <v>0.5</v>
      </c>
      <c r="U200" s="893">
        <f t="shared" si="10"/>
        <v>0.5</v>
      </c>
      <c r="V200" s="893">
        <f t="shared" si="10"/>
        <v>0.5</v>
      </c>
      <c r="W200" s="893">
        <f t="shared" si="10"/>
        <v>0.5</v>
      </c>
      <c r="X200" s="893">
        <f t="shared" si="10"/>
        <v>0.05</v>
      </c>
      <c r="Y200" s="893">
        <f t="shared" si="10"/>
        <v>0.05</v>
      </c>
      <c r="Z200" s="893">
        <f t="shared" si="10"/>
        <v>0.05</v>
      </c>
      <c r="AA200" s="893">
        <f t="shared" si="10"/>
        <v>0.05</v>
      </c>
      <c r="AB200" s="893">
        <f t="shared" si="10"/>
        <v>0.05</v>
      </c>
      <c r="AC200" s="896">
        <f t="shared" si="10"/>
        <v>0.05</v>
      </c>
    </row>
    <row r="201" spans="1:29" ht="30" customHeight="1" thickBot="1" x14ac:dyDescent="0.35">
      <c r="A201" s="858"/>
      <c r="B201" s="795"/>
      <c r="C201" s="795"/>
      <c r="D201" s="891"/>
      <c r="E201" s="884" t="s">
        <v>698</v>
      </c>
      <c r="F201" s="897">
        <f t="shared" ref="F201:AC201" si="11">F112</f>
        <v>0.05</v>
      </c>
      <c r="G201" s="897">
        <f t="shared" si="11"/>
        <v>0.05</v>
      </c>
      <c r="H201" s="897">
        <f t="shared" si="11"/>
        <v>0.05</v>
      </c>
      <c r="I201" s="897">
        <f t="shared" si="11"/>
        <v>0.05</v>
      </c>
      <c r="J201" s="897">
        <f t="shared" si="11"/>
        <v>0.05</v>
      </c>
      <c r="K201" s="897">
        <f t="shared" si="11"/>
        <v>0.05</v>
      </c>
      <c r="L201" s="897">
        <f t="shared" si="11"/>
        <v>0.05</v>
      </c>
      <c r="M201" s="897">
        <f t="shared" si="11"/>
        <v>0.3</v>
      </c>
      <c r="N201" s="897">
        <f t="shared" si="11"/>
        <v>0.3</v>
      </c>
      <c r="O201" s="897">
        <f t="shared" si="11"/>
        <v>0.5</v>
      </c>
      <c r="P201" s="897">
        <f t="shared" si="11"/>
        <v>0.5</v>
      </c>
      <c r="Q201" s="897">
        <f t="shared" si="11"/>
        <v>0.5</v>
      </c>
      <c r="R201" s="897">
        <f t="shared" si="11"/>
        <v>0.5</v>
      </c>
      <c r="S201" s="897">
        <f t="shared" si="11"/>
        <v>0.5</v>
      </c>
      <c r="T201" s="897">
        <f t="shared" si="11"/>
        <v>0.5</v>
      </c>
      <c r="U201" s="897">
        <f t="shared" si="11"/>
        <v>0.5</v>
      </c>
      <c r="V201" s="897">
        <f t="shared" si="11"/>
        <v>0.5</v>
      </c>
      <c r="W201" s="897">
        <f t="shared" si="11"/>
        <v>0.5</v>
      </c>
      <c r="X201" s="897">
        <f t="shared" si="11"/>
        <v>0.5</v>
      </c>
      <c r="Y201" s="897">
        <f t="shared" si="11"/>
        <v>0.5</v>
      </c>
      <c r="Z201" s="897">
        <f t="shared" si="11"/>
        <v>0.5</v>
      </c>
      <c r="AA201" s="897">
        <f t="shared" si="11"/>
        <v>0.5</v>
      </c>
      <c r="AB201" s="897">
        <f t="shared" si="11"/>
        <v>0.05</v>
      </c>
      <c r="AC201" s="898">
        <f t="shared" si="11"/>
        <v>0.05</v>
      </c>
    </row>
    <row r="202" spans="1:29" ht="30" customHeight="1" x14ac:dyDescent="0.3">
      <c r="A202" s="766" t="s">
        <v>718</v>
      </c>
      <c r="B202" s="772" t="s">
        <v>719</v>
      </c>
      <c r="C202" s="772" t="s">
        <v>683</v>
      </c>
      <c r="D202" s="775" t="s">
        <v>723</v>
      </c>
      <c r="E202" s="887" t="s">
        <v>673</v>
      </c>
      <c r="F202" s="901">
        <f t="shared" ref="F202:AC202" si="12">F137</f>
        <v>0.9</v>
      </c>
      <c r="G202" s="901">
        <f t="shared" si="12"/>
        <v>0.9</v>
      </c>
      <c r="H202" s="901">
        <f t="shared" si="12"/>
        <v>0.9</v>
      </c>
      <c r="I202" s="901">
        <f t="shared" si="12"/>
        <v>0.9</v>
      </c>
      <c r="J202" s="901">
        <f t="shared" si="12"/>
        <v>0.9</v>
      </c>
      <c r="K202" s="901">
        <f t="shared" si="12"/>
        <v>0.9</v>
      </c>
      <c r="L202" s="901">
        <f t="shared" si="12"/>
        <v>0.9</v>
      </c>
      <c r="M202" s="901">
        <f t="shared" si="12"/>
        <v>0.9</v>
      </c>
      <c r="N202" s="901">
        <f t="shared" si="12"/>
        <v>0.9</v>
      </c>
      <c r="O202" s="901">
        <f t="shared" si="12"/>
        <v>0.9</v>
      </c>
      <c r="P202" s="901">
        <f t="shared" si="12"/>
        <v>0.9</v>
      </c>
      <c r="Q202" s="901">
        <f t="shared" si="12"/>
        <v>0.9</v>
      </c>
      <c r="R202" s="901">
        <f t="shared" si="12"/>
        <v>0.9</v>
      </c>
      <c r="S202" s="901">
        <f t="shared" si="12"/>
        <v>0.9</v>
      </c>
      <c r="T202" s="901">
        <f t="shared" si="12"/>
        <v>0.9</v>
      </c>
      <c r="U202" s="901">
        <f t="shared" si="12"/>
        <v>0.9</v>
      </c>
      <c r="V202" s="901">
        <f t="shared" si="12"/>
        <v>0.9</v>
      </c>
      <c r="W202" s="901">
        <f t="shared" si="12"/>
        <v>0.9</v>
      </c>
      <c r="X202" s="901">
        <f t="shared" si="12"/>
        <v>0.9</v>
      </c>
      <c r="Y202" s="901">
        <f t="shared" si="12"/>
        <v>0.9</v>
      </c>
      <c r="Z202" s="901">
        <f t="shared" si="12"/>
        <v>0.9</v>
      </c>
      <c r="AA202" s="901">
        <f t="shared" si="12"/>
        <v>0.9</v>
      </c>
      <c r="AB202" s="901">
        <f t="shared" si="12"/>
        <v>0.9</v>
      </c>
      <c r="AC202" s="902">
        <f t="shared" si="12"/>
        <v>0.9</v>
      </c>
    </row>
    <row r="203" spans="1:29" ht="30" customHeight="1" x14ac:dyDescent="0.3">
      <c r="A203" s="767"/>
      <c r="B203" s="773"/>
      <c r="C203" s="773"/>
      <c r="D203" s="776"/>
      <c r="E203" s="883" t="s">
        <v>694</v>
      </c>
      <c r="F203" s="893">
        <f t="shared" ref="F203:AC203" si="13">F138</f>
        <v>0.9</v>
      </c>
      <c r="G203" s="893">
        <f t="shared" si="13"/>
        <v>0.9</v>
      </c>
      <c r="H203" s="893">
        <f t="shared" si="13"/>
        <v>0.9</v>
      </c>
      <c r="I203" s="893">
        <f t="shared" si="13"/>
        <v>0.9</v>
      </c>
      <c r="J203" s="893">
        <f t="shared" si="13"/>
        <v>0.9</v>
      </c>
      <c r="K203" s="893">
        <f t="shared" si="13"/>
        <v>0.9</v>
      </c>
      <c r="L203" s="893">
        <f t="shared" si="13"/>
        <v>0.9</v>
      </c>
      <c r="M203" s="893">
        <f t="shared" si="13"/>
        <v>0.9</v>
      </c>
      <c r="N203" s="893">
        <f t="shared" si="13"/>
        <v>0.9</v>
      </c>
      <c r="O203" s="893">
        <f t="shared" si="13"/>
        <v>0.9</v>
      </c>
      <c r="P203" s="893">
        <f t="shared" si="13"/>
        <v>0.9</v>
      </c>
      <c r="Q203" s="893">
        <f t="shared" si="13"/>
        <v>0.9</v>
      </c>
      <c r="R203" s="893">
        <f t="shared" si="13"/>
        <v>0.9</v>
      </c>
      <c r="S203" s="893">
        <f t="shared" si="13"/>
        <v>0.9</v>
      </c>
      <c r="T203" s="893">
        <f t="shared" si="13"/>
        <v>0.9</v>
      </c>
      <c r="U203" s="893">
        <f t="shared" si="13"/>
        <v>0.9</v>
      </c>
      <c r="V203" s="893">
        <f t="shared" si="13"/>
        <v>0.9</v>
      </c>
      <c r="W203" s="893">
        <f t="shared" si="13"/>
        <v>0.9</v>
      </c>
      <c r="X203" s="893">
        <f t="shared" si="13"/>
        <v>0.9</v>
      </c>
      <c r="Y203" s="893">
        <f t="shared" si="13"/>
        <v>0.9</v>
      </c>
      <c r="Z203" s="893">
        <f t="shared" si="13"/>
        <v>0.9</v>
      </c>
      <c r="AA203" s="893">
        <f t="shared" si="13"/>
        <v>0.9</v>
      </c>
      <c r="AB203" s="893">
        <f t="shared" si="13"/>
        <v>0.9</v>
      </c>
      <c r="AC203" s="896">
        <f t="shared" si="13"/>
        <v>0.9</v>
      </c>
    </row>
    <row r="204" spans="1:29" ht="30" customHeight="1" x14ac:dyDescent="0.3">
      <c r="A204" s="767"/>
      <c r="B204" s="773"/>
      <c r="C204" s="773"/>
      <c r="D204" s="776"/>
      <c r="E204" s="883" t="s">
        <v>695</v>
      </c>
      <c r="F204" s="893">
        <f t="shared" ref="F204:AC204" si="14">F139</f>
        <v>0.9</v>
      </c>
      <c r="G204" s="893">
        <f t="shared" si="14"/>
        <v>0.9</v>
      </c>
      <c r="H204" s="893">
        <f t="shared" si="14"/>
        <v>0.9</v>
      </c>
      <c r="I204" s="893">
        <f t="shared" si="14"/>
        <v>0.9</v>
      </c>
      <c r="J204" s="893">
        <f t="shared" si="14"/>
        <v>0.9</v>
      </c>
      <c r="K204" s="893">
        <f t="shared" si="14"/>
        <v>0.9</v>
      </c>
      <c r="L204" s="893">
        <f t="shared" si="14"/>
        <v>0.9</v>
      </c>
      <c r="M204" s="893">
        <f t="shared" si="14"/>
        <v>0.9</v>
      </c>
      <c r="N204" s="893">
        <f t="shared" si="14"/>
        <v>0.9</v>
      </c>
      <c r="O204" s="893">
        <f t="shared" si="14"/>
        <v>0.9</v>
      </c>
      <c r="P204" s="893">
        <f t="shared" si="14"/>
        <v>0.9</v>
      </c>
      <c r="Q204" s="893">
        <f t="shared" si="14"/>
        <v>0.9</v>
      </c>
      <c r="R204" s="893">
        <f t="shared" si="14"/>
        <v>0.9</v>
      </c>
      <c r="S204" s="893">
        <f t="shared" si="14"/>
        <v>0.9</v>
      </c>
      <c r="T204" s="893">
        <f t="shared" si="14"/>
        <v>0.9</v>
      </c>
      <c r="U204" s="893">
        <f t="shared" si="14"/>
        <v>0.9</v>
      </c>
      <c r="V204" s="893">
        <f t="shared" si="14"/>
        <v>0.9</v>
      </c>
      <c r="W204" s="893">
        <f t="shared" si="14"/>
        <v>0.9</v>
      </c>
      <c r="X204" s="893">
        <f t="shared" si="14"/>
        <v>0.9</v>
      </c>
      <c r="Y204" s="893">
        <f t="shared" si="14"/>
        <v>0.9</v>
      </c>
      <c r="Z204" s="893">
        <f t="shared" si="14"/>
        <v>0.9</v>
      </c>
      <c r="AA204" s="893">
        <f t="shared" si="14"/>
        <v>0.9</v>
      </c>
      <c r="AB204" s="893">
        <f t="shared" si="14"/>
        <v>0.9</v>
      </c>
      <c r="AC204" s="896">
        <f t="shared" si="14"/>
        <v>0.9</v>
      </c>
    </row>
    <row r="205" spans="1:29" ht="30" customHeight="1" x14ac:dyDescent="0.3">
      <c r="A205" s="767"/>
      <c r="B205" s="773"/>
      <c r="C205" s="773"/>
      <c r="D205" s="776"/>
      <c r="E205" s="883" t="s">
        <v>696</v>
      </c>
      <c r="F205" s="893">
        <f t="shared" ref="F205:AC205" si="15">F140</f>
        <v>0.9</v>
      </c>
      <c r="G205" s="893">
        <f t="shared" si="15"/>
        <v>0.9</v>
      </c>
      <c r="H205" s="893">
        <f t="shared" si="15"/>
        <v>0.9</v>
      </c>
      <c r="I205" s="893">
        <f t="shared" si="15"/>
        <v>0.9</v>
      </c>
      <c r="J205" s="893">
        <f t="shared" si="15"/>
        <v>0.9</v>
      </c>
      <c r="K205" s="893">
        <f t="shared" si="15"/>
        <v>0.9</v>
      </c>
      <c r="L205" s="893">
        <f t="shared" si="15"/>
        <v>0.9</v>
      </c>
      <c r="M205" s="893">
        <f t="shared" si="15"/>
        <v>0.9</v>
      </c>
      <c r="N205" s="893">
        <f t="shared" si="15"/>
        <v>0.9</v>
      </c>
      <c r="O205" s="893">
        <f t="shared" si="15"/>
        <v>0.9</v>
      </c>
      <c r="P205" s="893">
        <f t="shared" si="15"/>
        <v>0.9</v>
      </c>
      <c r="Q205" s="893">
        <f t="shared" si="15"/>
        <v>0.9</v>
      </c>
      <c r="R205" s="893">
        <f t="shared" si="15"/>
        <v>0.9</v>
      </c>
      <c r="S205" s="893">
        <f t="shared" si="15"/>
        <v>0.9</v>
      </c>
      <c r="T205" s="893">
        <f t="shared" si="15"/>
        <v>0.9</v>
      </c>
      <c r="U205" s="893">
        <f t="shared" si="15"/>
        <v>0.9</v>
      </c>
      <c r="V205" s="893">
        <f t="shared" si="15"/>
        <v>0.9</v>
      </c>
      <c r="W205" s="893">
        <f t="shared" si="15"/>
        <v>0.9</v>
      </c>
      <c r="X205" s="893">
        <f t="shared" si="15"/>
        <v>0.9</v>
      </c>
      <c r="Y205" s="893">
        <f t="shared" si="15"/>
        <v>0.9</v>
      </c>
      <c r="Z205" s="893">
        <f t="shared" si="15"/>
        <v>0.9</v>
      </c>
      <c r="AA205" s="893">
        <f t="shared" si="15"/>
        <v>0.9</v>
      </c>
      <c r="AB205" s="893">
        <f t="shared" si="15"/>
        <v>0.9</v>
      </c>
      <c r="AC205" s="896">
        <f t="shared" si="15"/>
        <v>0.9</v>
      </c>
    </row>
    <row r="206" spans="1:29" ht="30" customHeight="1" x14ac:dyDescent="0.3">
      <c r="A206" s="767"/>
      <c r="B206" s="773"/>
      <c r="C206" s="773"/>
      <c r="D206" s="776"/>
      <c r="E206" s="883" t="s">
        <v>697</v>
      </c>
      <c r="F206" s="893">
        <f t="shared" ref="F206:AC206" si="16">F141</f>
        <v>0.9</v>
      </c>
      <c r="G206" s="893">
        <f t="shared" si="16"/>
        <v>0.9</v>
      </c>
      <c r="H206" s="893">
        <f t="shared" si="16"/>
        <v>0.9</v>
      </c>
      <c r="I206" s="893">
        <f t="shared" si="16"/>
        <v>0.9</v>
      </c>
      <c r="J206" s="893">
        <f t="shared" si="16"/>
        <v>0.9</v>
      </c>
      <c r="K206" s="893">
        <f t="shared" si="16"/>
        <v>0.9</v>
      </c>
      <c r="L206" s="893">
        <f t="shared" si="16"/>
        <v>0.9</v>
      </c>
      <c r="M206" s="893">
        <f t="shared" si="16"/>
        <v>0.9</v>
      </c>
      <c r="N206" s="893">
        <f t="shared" si="16"/>
        <v>0.9</v>
      </c>
      <c r="O206" s="893">
        <f t="shared" si="16"/>
        <v>0.9</v>
      </c>
      <c r="P206" s="893">
        <f t="shared" si="16"/>
        <v>0.9</v>
      </c>
      <c r="Q206" s="893">
        <f t="shared" si="16"/>
        <v>0.9</v>
      </c>
      <c r="R206" s="893">
        <f t="shared" si="16"/>
        <v>0.9</v>
      </c>
      <c r="S206" s="893">
        <f t="shared" si="16"/>
        <v>0.9</v>
      </c>
      <c r="T206" s="893">
        <f t="shared" si="16"/>
        <v>0.9</v>
      </c>
      <c r="U206" s="893">
        <f t="shared" si="16"/>
        <v>0.9</v>
      </c>
      <c r="V206" s="893">
        <f t="shared" si="16"/>
        <v>0.9</v>
      </c>
      <c r="W206" s="893">
        <f t="shared" si="16"/>
        <v>0.9</v>
      </c>
      <c r="X206" s="893">
        <f t="shared" si="16"/>
        <v>0.9</v>
      </c>
      <c r="Y206" s="893">
        <f t="shared" si="16"/>
        <v>0.9</v>
      </c>
      <c r="Z206" s="893">
        <f t="shared" si="16"/>
        <v>0.9</v>
      </c>
      <c r="AA206" s="893">
        <f t="shared" si="16"/>
        <v>0.9</v>
      </c>
      <c r="AB206" s="893">
        <f t="shared" si="16"/>
        <v>0.9</v>
      </c>
      <c r="AC206" s="896">
        <f t="shared" si="16"/>
        <v>0.9</v>
      </c>
    </row>
    <row r="207" spans="1:29" ht="30" customHeight="1" thickBot="1" x14ac:dyDescent="0.35">
      <c r="A207" s="768"/>
      <c r="B207" s="774"/>
      <c r="C207" s="774"/>
      <c r="D207" s="777"/>
      <c r="E207" s="884" t="s">
        <v>698</v>
      </c>
      <c r="F207" s="897">
        <f t="shared" ref="F207:AC207" si="17">F142</f>
        <v>0.9</v>
      </c>
      <c r="G207" s="897">
        <f t="shared" si="17"/>
        <v>0.9</v>
      </c>
      <c r="H207" s="897">
        <f t="shared" si="17"/>
        <v>0.9</v>
      </c>
      <c r="I207" s="897">
        <f t="shared" si="17"/>
        <v>0.9</v>
      </c>
      <c r="J207" s="897">
        <f t="shared" si="17"/>
        <v>0.9</v>
      </c>
      <c r="K207" s="897">
        <f t="shared" si="17"/>
        <v>0.9</v>
      </c>
      <c r="L207" s="897">
        <f t="shared" si="17"/>
        <v>0.9</v>
      </c>
      <c r="M207" s="897">
        <f t="shared" si="17"/>
        <v>0.9</v>
      </c>
      <c r="N207" s="897">
        <f t="shared" si="17"/>
        <v>0.9</v>
      </c>
      <c r="O207" s="897">
        <f t="shared" si="17"/>
        <v>0.9</v>
      </c>
      <c r="P207" s="897">
        <f t="shared" si="17"/>
        <v>0.9</v>
      </c>
      <c r="Q207" s="897">
        <f t="shared" si="17"/>
        <v>0.9</v>
      </c>
      <c r="R207" s="897">
        <f t="shared" si="17"/>
        <v>0.9</v>
      </c>
      <c r="S207" s="897">
        <f t="shared" si="17"/>
        <v>0.9</v>
      </c>
      <c r="T207" s="897">
        <f t="shared" si="17"/>
        <v>0.9</v>
      </c>
      <c r="U207" s="897">
        <f t="shared" si="17"/>
        <v>0.9</v>
      </c>
      <c r="V207" s="897">
        <f t="shared" si="17"/>
        <v>0.9</v>
      </c>
      <c r="W207" s="897">
        <f t="shared" si="17"/>
        <v>0.9</v>
      </c>
      <c r="X207" s="897">
        <f t="shared" si="17"/>
        <v>0.9</v>
      </c>
      <c r="Y207" s="897">
        <f t="shared" si="17"/>
        <v>0.9</v>
      </c>
      <c r="Z207" s="897">
        <f t="shared" si="17"/>
        <v>0.9</v>
      </c>
      <c r="AA207" s="897">
        <f t="shared" si="17"/>
        <v>0.9</v>
      </c>
      <c r="AB207" s="897">
        <f t="shared" si="17"/>
        <v>0.9</v>
      </c>
      <c r="AC207" s="898">
        <f t="shared" si="17"/>
        <v>0.9</v>
      </c>
    </row>
    <row r="208" spans="1:29" ht="28.5" customHeight="1" thickBot="1" x14ac:dyDescent="0.35">
      <c r="A208" s="784" t="s">
        <v>129</v>
      </c>
      <c r="B208" s="784"/>
      <c r="C208" s="784" t="s">
        <v>26</v>
      </c>
      <c r="D208" s="784"/>
      <c r="E208" s="784"/>
      <c r="F208" s="784"/>
      <c r="G208" s="784"/>
      <c r="H208" s="784"/>
      <c r="I208" s="784"/>
      <c r="J208" s="784"/>
      <c r="K208" s="784"/>
      <c r="L208" s="784"/>
      <c r="M208" s="784"/>
      <c r="N208" s="784"/>
      <c r="O208" s="784"/>
      <c r="P208" s="784"/>
      <c r="Q208" s="784"/>
      <c r="R208" s="784"/>
      <c r="S208" s="784"/>
      <c r="T208" s="784"/>
      <c r="U208" s="784"/>
      <c r="V208" s="784"/>
      <c r="W208" s="784"/>
      <c r="X208" s="784"/>
      <c r="Y208" s="784"/>
      <c r="Z208" s="784"/>
      <c r="AA208" s="784"/>
      <c r="AB208" s="784"/>
      <c r="AC208" s="785"/>
    </row>
    <row r="209" spans="1:29" ht="38.4" customHeight="1" x14ac:dyDescent="0.3">
      <c r="A209" s="766" t="s">
        <v>724</v>
      </c>
      <c r="B209" s="769" t="s">
        <v>129</v>
      </c>
      <c r="C209" s="781" t="s">
        <v>671</v>
      </c>
      <c r="D209" s="778" t="s">
        <v>725</v>
      </c>
      <c r="E209" s="455" t="s">
        <v>700</v>
      </c>
      <c r="F209" s="456">
        <v>0</v>
      </c>
      <c r="G209" s="456">
        <v>0</v>
      </c>
      <c r="H209" s="456">
        <v>0</v>
      </c>
      <c r="I209" s="456">
        <v>0</v>
      </c>
      <c r="J209" s="456">
        <v>0</v>
      </c>
      <c r="K209" s="456">
        <v>0</v>
      </c>
      <c r="L209" s="456">
        <v>0</v>
      </c>
      <c r="M209" s="456">
        <v>0.05</v>
      </c>
      <c r="N209" s="456">
        <v>0.75</v>
      </c>
      <c r="O209" s="456">
        <v>0.9</v>
      </c>
      <c r="P209" s="456">
        <v>0.9</v>
      </c>
      <c r="Q209" s="456">
        <v>0.8</v>
      </c>
      <c r="R209" s="456">
        <v>0.8</v>
      </c>
      <c r="S209" s="456">
        <v>0.8</v>
      </c>
      <c r="T209" s="456">
        <v>0.8</v>
      </c>
      <c r="U209" s="456">
        <v>0.45</v>
      </c>
      <c r="V209" s="456">
        <v>0.15</v>
      </c>
      <c r="W209" s="456">
        <v>0.05</v>
      </c>
      <c r="X209" s="456">
        <v>0.15</v>
      </c>
      <c r="Y209" s="456">
        <v>0.2</v>
      </c>
      <c r="Z209" s="456">
        <v>0.2</v>
      </c>
      <c r="AA209" s="456">
        <v>0.1</v>
      </c>
      <c r="AB209" s="456">
        <v>0</v>
      </c>
      <c r="AC209" s="457">
        <v>0</v>
      </c>
    </row>
    <row r="210" spans="1:29" ht="38.4" customHeight="1" x14ac:dyDescent="0.3">
      <c r="A210" s="767"/>
      <c r="B210" s="770"/>
      <c r="C210" s="782"/>
      <c r="D210" s="779"/>
      <c r="E210" s="458" t="s">
        <v>690</v>
      </c>
      <c r="F210" s="263">
        <v>0</v>
      </c>
      <c r="G210" s="263">
        <v>0</v>
      </c>
      <c r="H210" s="263">
        <v>0</v>
      </c>
      <c r="I210" s="263">
        <v>0</v>
      </c>
      <c r="J210" s="263">
        <v>0</v>
      </c>
      <c r="K210" s="263">
        <v>0</v>
      </c>
      <c r="L210" s="263">
        <v>0</v>
      </c>
      <c r="M210" s="263">
        <v>0</v>
      </c>
      <c r="N210" s="263">
        <v>0.1</v>
      </c>
      <c r="O210" s="263">
        <v>0.1</v>
      </c>
      <c r="P210" s="263">
        <v>0.1</v>
      </c>
      <c r="Q210" s="263">
        <v>0.1</v>
      </c>
      <c r="R210" s="263">
        <v>0.1</v>
      </c>
      <c r="S210" s="263">
        <v>0</v>
      </c>
      <c r="T210" s="263">
        <v>0</v>
      </c>
      <c r="U210" s="263">
        <v>0</v>
      </c>
      <c r="V210" s="263">
        <v>0</v>
      </c>
      <c r="W210" s="263">
        <v>0</v>
      </c>
      <c r="X210" s="263">
        <v>0</v>
      </c>
      <c r="Y210" s="263">
        <v>0</v>
      </c>
      <c r="Z210" s="263">
        <v>0</v>
      </c>
      <c r="AA210" s="263">
        <v>0</v>
      </c>
      <c r="AB210" s="263">
        <v>0</v>
      </c>
      <c r="AC210" s="459">
        <v>0</v>
      </c>
    </row>
    <row r="211" spans="1:29" ht="38.4" customHeight="1" x14ac:dyDescent="0.3">
      <c r="A211" s="768"/>
      <c r="B211" s="771"/>
      <c r="C211" s="783"/>
      <c r="D211" s="780"/>
      <c r="E211" s="460" t="s">
        <v>691</v>
      </c>
      <c r="F211" s="461">
        <v>0</v>
      </c>
      <c r="G211" s="461">
        <v>0</v>
      </c>
      <c r="H211" s="461">
        <v>0</v>
      </c>
      <c r="I211" s="461">
        <v>0</v>
      </c>
      <c r="J211" s="461">
        <v>0</v>
      </c>
      <c r="K211" s="461">
        <v>0</v>
      </c>
      <c r="L211" s="461">
        <v>0</v>
      </c>
      <c r="M211" s="461">
        <v>0</v>
      </c>
      <c r="N211" s="461">
        <v>0</v>
      </c>
      <c r="O211" s="461">
        <v>0</v>
      </c>
      <c r="P211" s="461">
        <v>0</v>
      </c>
      <c r="Q211" s="461">
        <v>0</v>
      </c>
      <c r="R211" s="461">
        <v>0</v>
      </c>
      <c r="S211" s="461">
        <v>0</v>
      </c>
      <c r="T211" s="461">
        <v>0</v>
      </c>
      <c r="U211" s="461">
        <v>0</v>
      </c>
      <c r="V211" s="461">
        <v>0</v>
      </c>
      <c r="W211" s="461">
        <v>0</v>
      </c>
      <c r="X211" s="461">
        <v>0</v>
      </c>
      <c r="Y211" s="461">
        <v>0</v>
      </c>
      <c r="Z211" s="461">
        <v>0</v>
      </c>
      <c r="AA211" s="461">
        <v>0</v>
      </c>
      <c r="AB211" s="461">
        <v>0</v>
      </c>
      <c r="AC211" s="462">
        <v>0</v>
      </c>
    </row>
    <row r="212" spans="1:29" ht="38.4" customHeight="1" x14ac:dyDescent="0.3">
      <c r="A212" s="766" t="str">
        <f>A209</f>
        <v>Mechanical room</v>
      </c>
      <c r="B212" s="769" t="str">
        <f>B209</f>
        <v>Ancillary</v>
      </c>
      <c r="C212" s="781" t="s">
        <v>678</v>
      </c>
      <c r="D212" s="778" t="s">
        <v>725</v>
      </c>
      <c r="E212" s="463" t="s">
        <v>700</v>
      </c>
      <c r="F212" s="464">
        <v>0.05</v>
      </c>
      <c r="G212" s="464">
        <v>0.05</v>
      </c>
      <c r="H212" s="464">
        <v>0.05</v>
      </c>
      <c r="I212" s="464">
        <v>0.05</v>
      </c>
      <c r="J212" s="464">
        <v>0.05</v>
      </c>
      <c r="K212" s="464">
        <v>0.05</v>
      </c>
      <c r="L212" s="464">
        <v>0.05</v>
      </c>
      <c r="M212" s="464">
        <v>0.3</v>
      </c>
      <c r="N212" s="464">
        <v>0.6</v>
      </c>
      <c r="O212" s="464">
        <v>0.65</v>
      </c>
      <c r="P212" s="464">
        <v>0.65</v>
      </c>
      <c r="Q212" s="464">
        <v>0.65</v>
      </c>
      <c r="R212" s="464">
        <v>0.55000000000000004</v>
      </c>
      <c r="S212" s="464">
        <v>0.55000000000000004</v>
      </c>
      <c r="T212" s="464">
        <v>0.55000000000000004</v>
      </c>
      <c r="U212" s="464">
        <v>0.5</v>
      </c>
      <c r="V212" s="464">
        <v>0.35</v>
      </c>
      <c r="W212" s="464">
        <v>0.35</v>
      </c>
      <c r="X212" s="464">
        <v>0.35</v>
      </c>
      <c r="Y212" s="464">
        <v>0.35</v>
      </c>
      <c r="Z212" s="464">
        <v>0.35</v>
      </c>
      <c r="AA212" s="464">
        <v>0.3</v>
      </c>
      <c r="AB212" s="464">
        <v>0.05</v>
      </c>
      <c r="AC212" s="465">
        <v>0.05</v>
      </c>
    </row>
    <row r="213" spans="1:29" ht="38.4" customHeight="1" x14ac:dyDescent="0.3">
      <c r="A213" s="767"/>
      <c r="B213" s="770"/>
      <c r="C213" s="782"/>
      <c r="D213" s="779"/>
      <c r="E213" s="466" t="s">
        <v>690</v>
      </c>
      <c r="F213" s="467">
        <v>0.05</v>
      </c>
      <c r="G213" s="467">
        <v>0.05</v>
      </c>
      <c r="H213" s="467">
        <v>0.05</v>
      </c>
      <c r="I213" s="467">
        <v>0.05</v>
      </c>
      <c r="J213" s="467">
        <v>0.05</v>
      </c>
      <c r="K213" s="467">
        <v>0.05</v>
      </c>
      <c r="L213" s="467">
        <v>0.05</v>
      </c>
      <c r="M213" s="467">
        <v>0.05</v>
      </c>
      <c r="N213" s="467">
        <v>0.15</v>
      </c>
      <c r="O213" s="467">
        <v>0.15</v>
      </c>
      <c r="P213" s="467">
        <v>0.15</v>
      </c>
      <c r="Q213" s="467">
        <v>0.15</v>
      </c>
      <c r="R213" s="467">
        <v>0.15</v>
      </c>
      <c r="S213" s="467">
        <v>0.05</v>
      </c>
      <c r="T213" s="467">
        <v>0.05</v>
      </c>
      <c r="U213" s="467">
        <v>0.05</v>
      </c>
      <c r="V213" s="467">
        <v>0.05</v>
      </c>
      <c r="W213" s="467">
        <v>0.05</v>
      </c>
      <c r="X213" s="467">
        <v>0.05</v>
      </c>
      <c r="Y213" s="467">
        <v>0.05</v>
      </c>
      <c r="Z213" s="467">
        <v>0.05</v>
      </c>
      <c r="AA213" s="467">
        <v>0.05</v>
      </c>
      <c r="AB213" s="467">
        <v>0.05</v>
      </c>
      <c r="AC213" s="468">
        <v>0.05</v>
      </c>
    </row>
    <row r="214" spans="1:29" ht="38.4" customHeight="1" x14ac:dyDescent="0.3">
      <c r="A214" s="768"/>
      <c r="B214" s="771"/>
      <c r="C214" s="783"/>
      <c r="D214" s="780"/>
      <c r="E214" s="469" t="s">
        <v>691</v>
      </c>
      <c r="F214" s="470">
        <v>0.05</v>
      </c>
      <c r="G214" s="470">
        <v>0.05</v>
      </c>
      <c r="H214" s="470">
        <v>0.05</v>
      </c>
      <c r="I214" s="470">
        <v>0.05</v>
      </c>
      <c r="J214" s="470">
        <v>0.05</v>
      </c>
      <c r="K214" s="470">
        <v>0.05</v>
      </c>
      <c r="L214" s="470">
        <v>0.05</v>
      </c>
      <c r="M214" s="470">
        <v>0.05</v>
      </c>
      <c r="N214" s="470">
        <v>0.05</v>
      </c>
      <c r="O214" s="470">
        <v>0.05</v>
      </c>
      <c r="P214" s="470">
        <v>0.05</v>
      </c>
      <c r="Q214" s="470">
        <v>0.05</v>
      </c>
      <c r="R214" s="470">
        <v>0.05</v>
      </c>
      <c r="S214" s="470">
        <v>0.05</v>
      </c>
      <c r="T214" s="470">
        <v>0.05</v>
      </c>
      <c r="U214" s="470">
        <v>0.05</v>
      </c>
      <c r="V214" s="470">
        <v>0.05</v>
      </c>
      <c r="W214" s="470">
        <v>0.05</v>
      </c>
      <c r="X214" s="470">
        <v>0.05</v>
      </c>
      <c r="Y214" s="470">
        <v>0.05</v>
      </c>
      <c r="Z214" s="470">
        <v>0.05</v>
      </c>
      <c r="AA214" s="470">
        <v>0.05</v>
      </c>
      <c r="AB214" s="470">
        <v>0.05</v>
      </c>
      <c r="AC214" s="471">
        <v>0.05</v>
      </c>
    </row>
    <row r="215" spans="1:29" ht="38.4" customHeight="1" x14ac:dyDescent="0.3">
      <c r="A215" s="766" t="str">
        <f t="shared" ref="A215:B215" si="18">A212</f>
        <v>Mechanical room</v>
      </c>
      <c r="B215" s="769" t="str">
        <f t="shared" si="18"/>
        <v>Ancillary</v>
      </c>
      <c r="C215" s="772" t="s">
        <v>679</v>
      </c>
      <c r="D215" s="778" t="s">
        <v>725</v>
      </c>
      <c r="E215" s="472" t="s">
        <v>700</v>
      </c>
      <c r="F215" s="456">
        <v>0.05</v>
      </c>
      <c r="G215" s="456">
        <v>0.05</v>
      </c>
      <c r="H215" s="456">
        <v>0.05</v>
      </c>
      <c r="I215" s="456">
        <v>0.05</v>
      </c>
      <c r="J215" s="456">
        <v>0.05</v>
      </c>
      <c r="K215" s="456">
        <v>0.05</v>
      </c>
      <c r="L215" s="456">
        <v>0.05</v>
      </c>
      <c r="M215" s="456">
        <v>0.3</v>
      </c>
      <c r="N215" s="456">
        <v>0.85</v>
      </c>
      <c r="O215" s="456">
        <v>0.95</v>
      </c>
      <c r="P215" s="456">
        <v>0.95</v>
      </c>
      <c r="Q215" s="456">
        <v>0.95</v>
      </c>
      <c r="R215" s="456">
        <v>0.8</v>
      </c>
      <c r="S215" s="456">
        <v>0.8</v>
      </c>
      <c r="T215" s="456">
        <v>0.8</v>
      </c>
      <c r="U215" s="456">
        <v>0.7</v>
      </c>
      <c r="V215" s="456">
        <v>0.5</v>
      </c>
      <c r="W215" s="456">
        <v>0.5</v>
      </c>
      <c r="X215" s="456">
        <v>0.35</v>
      </c>
      <c r="Y215" s="456">
        <v>0.35</v>
      </c>
      <c r="Z215" s="456">
        <v>0.35</v>
      </c>
      <c r="AA215" s="456">
        <v>0.3</v>
      </c>
      <c r="AB215" s="456">
        <v>0.05</v>
      </c>
      <c r="AC215" s="457">
        <v>0.05</v>
      </c>
    </row>
    <row r="216" spans="1:29" ht="38.4" customHeight="1" x14ac:dyDescent="0.3">
      <c r="A216" s="767"/>
      <c r="B216" s="770"/>
      <c r="C216" s="773"/>
      <c r="D216" s="779"/>
      <c r="E216" s="466" t="s">
        <v>690</v>
      </c>
      <c r="F216" s="263">
        <v>0.05</v>
      </c>
      <c r="G216" s="263">
        <v>0.05</v>
      </c>
      <c r="H216" s="263">
        <v>0.05</v>
      </c>
      <c r="I216" s="263">
        <v>0.05</v>
      </c>
      <c r="J216" s="263">
        <v>0.05</v>
      </c>
      <c r="K216" s="263">
        <v>0.05</v>
      </c>
      <c r="L216" s="263">
        <v>0.05</v>
      </c>
      <c r="M216" s="263">
        <v>0.05</v>
      </c>
      <c r="N216" s="263">
        <v>0.15</v>
      </c>
      <c r="O216" s="263">
        <v>0.15</v>
      </c>
      <c r="P216" s="263">
        <v>0.15</v>
      </c>
      <c r="Q216" s="263">
        <v>0.15</v>
      </c>
      <c r="R216" s="263">
        <v>0.15</v>
      </c>
      <c r="S216" s="263">
        <v>0.05</v>
      </c>
      <c r="T216" s="263">
        <v>0.05</v>
      </c>
      <c r="U216" s="263">
        <v>0.05</v>
      </c>
      <c r="V216" s="263">
        <v>0.05</v>
      </c>
      <c r="W216" s="263">
        <v>0.05</v>
      </c>
      <c r="X216" s="263">
        <v>0.05</v>
      </c>
      <c r="Y216" s="263">
        <v>0.05</v>
      </c>
      <c r="Z216" s="263">
        <v>0.05</v>
      </c>
      <c r="AA216" s="263">
        <v>0.05</v>
      </c>
      <c r="AB216" s="263">
        <v>0.05</v>
      </c>
      <c r="AC216" s="459">
        <v>0.05</v>
      </c>
    </row>
    <row r="217" spans="1:29" ht="38.4" customHeight="1" x14ac:dyDescent="0.3">
      <c r="A217" s="768"/>
      <c r="B217" s="771"/>
      <c r="C217" s="774"/>
      <c r="D217" s="780"/>
      <c r="E217" s="469" t="s">
        <v>691</v>
      </c>
      <c r="F217" s="461">
        <v>0.05</v>
      </c>
      <c r="G217" s="461">
        <v>0.05</v>
      </c>
      <c r="H217" s="461">
        <v>0.05</v>
      </c>
      <c r="I217" s="461">
        <v>0.05</v>
      </c>
      <c r="J217" s="461">
        <v>0.05</v>
      </c>
      <c r="K217" s="461">
        <v>0.05</v>
      </c>
      <c r="L217" s="461">
        <v>0.05</v>
      </c>
      <c r="M217" s="461">
        <v>0.05</v>
      </c>
      <c r="N217" s="461">
        <v>0.05</v>
      </c>
      <c r="O217" s="461">
        <v>0.05</v>
      </c>
      <c r="P217" s="461">
        <v>0.05</v>
      </c>
      <c r="Q217" s="461">
        <v>0.05</v>
      </c>
      <c r="R217" s="461">
        <v>0.05</v>
      </c>
      <c r="S217" s="461">
        <v>0.05</v>
      </c>
      <c r="T217" s="461">
        <v>0.05</v>
      </c>
      <c r="U217" s="461">
        <v>0.05</v>
      </c>
      <c r="V217" s="461">
        <v>0.05</v>
      </c>
      <c r="W217" s="461">
        <v>0.05</v>
      </c>
      <c r="X217" s="461">
        <v>0.05</v>
      </c>
      <c r="Y217" s="461">
        <v>0.05</v>
      </c>
      <c r="Z217" s="461">
        <v>0.05</v>
      </c>
      <c r="AA217" s="461">
        <v>0.05</v>
      </c>
      <c r="AB217" s="461">
        <v>0.05</v>
      </c>
      <c r="AC217" s="462">
        <v>0.05</v>
      </c>
    </row>
    <row r="218" spans="1:29" ht="38.4" customHeight="1" x14ac:dyDescent="0.3">
      <c r="A218" s="766" t="str">
        <f t="shared" ref="A218:B218" si="19">A215</f>
        <v>Mechanical room</v>
      </c>
      <c r="B218" s="769" t="str">
        <f t="shared" si="19"/>
        <v>Ancillary</v>
      </c>
      <c r="C218" s="772" t="s">
        <v>680</v>
      </c>
      <c r="D218" s="778" t="s">
        <v>725</v>
      </c>
      <c r="E218" s="455" t="s">
        <v>700</v>
      </c>
      <c r="F218" s="456">
        <v>0.05</v>
      </c>
      <c r="G218" s="456">
        <v>0.05</v>
      </c>
      <c r="H218" s="456">
        <v>0.05</v>
      </c>
      <c r="I218" s="456">
        <v>0.05</v>
      </c>
      <c r="J218" s="456">
        <v>0.05</v>
      </c>
      <c r="K218" s="456">
        <v>0.05</v>
      </c>
      <c r="L218" s="456">
        <v>0.05</v>
      </c>
      <c r="M218" s="456">
        <v>0.1</v>
      </c>
      <c r="N218" s="456">
        <v>0.34</v>
      </c>
      <c r="O218" s="456">
        <v>0.6</v>
      </c>
      <c r="P218" s="456">
        <v>0.63</v>
      </c>
      <c r="Q218" s="456">
        <v>0.72</v>
      </c>
      <c r="R218" s="456">
        <v>0.79</v>
      </c>
      <c r="S218" s="456">
        <v>0.83</v>
      </c>
      <c r="T218" s="456">
        <v>0.61</v>
      </c>
      <c r="U218" s="456">
        <v>0.65</v>
      </c>
      <c r="V218" s="456">
        <v>0.1</v>
      </c>
      <c r="W218" s="456">
        <v>0.1</v>
      </c>
      <c r="X218" s="456">
        <v>0.19</v>
      </c>
      <c r="Y218" s="456">
        <v>0.25</v>
      </c>
      <c r="Z218" s="456">
        <v>0.22</v>
      </c>
      <c r="AA218" s="456">
        <v>0.22</v>
      </c>
      <c r="AB218" s="456">
        <v>0.12</v>
      </c>
      <c r="AC218" s="457">
        <v>0.09</v>
      </c>
    </row>
    <row r="219" spans="1:29" ht="38.4" customHeight="1" x14ac:dyDescent="0.3">
      <c r="A219" s="767"/>
      <c r="B219" s="770"/>
      <c r="C219" s="773"/>
      <c r="D219" s="779"/>
      <c r="E219" s="458" t="s">
        <v>690</v>
      </c>
      <c r="F219" s="263">
        <v>0.03</v>
      </c>
      <c r="G219" s="263">
        <v>0.03</v>
      </c>
      <c r="H219" s="263">
        <v>0.03</v>
      </c>
      <c r="I219" s="263">
        <v>0.03</v>
      </c>
      <c r="J219" s="263">
        <v>0.03</v>
      </c>
      <c r="K219" s="263">
        <v>0.03</v>
      </c>
      <c r="L219" s="263">
        <v>0.03</v>
      </c>
      <c r="M219" s="263">
        <v>0.03</v>
      </c>
      <c r="N219" s="263">
        <v>0.03</v>
      </c>
      <c r="O219" s="263">
        <v>0.05</v>
      </c>
      <c r="P219" s="263">
        <v>0.05</v>
      </c>
      <c r="Q219" s="263">
        <v>0.05</v>
      </c>
      <c r="R219" s="263">
        <v>0.05</v>
      </c>
      <c r="S219" s="263">
        <v>0.03</v>
      </c>
      <c r="T219" s="263">
        <v>0.03</v>
      </c>
      <c r="U219" s="263">
        <v>0.03</v>
      </c>
      <c r="V219" s="263">
        <v>0.03</v>
      </c>
      <c r="W219" s="263">
        <v>0.03</v>
      </c>
      <c r="X219" s="263">
        <v>0.03</v>
      </c>
      <c r="Y219" s="263">
        <v>0.03</v>
      </c>
      <c r="Z219" s="263">
        <v>0.03</v>
      </c>
      <c r="AA219" s="263">
        <v>0.03</v>
      </c>
      <c r="AB219" s="263">
        <v>0.03</v>
      </c>
      <c r="AC219" s="459">
        <v>0.03</v>
      </c>
    </row>
    <row r="220" spans="1:29" ht="38.4" customHeight="1" x14ac:dyDescent="0.3">
      <c r="A220" s="768"/>
      <c r="B220" s="771"/>
      <c r="C220" s="774"/>
      <c r="D220" s="780"/>
      <c r="E220" s="460" t="s">
        <v>691</v>
      </c>
      <c r="F220" s="461">
        <v>0.03</v>
      </c>
      <c r="G220" s="461">
        <v>0.03</v>
      </c>
      <c r="H220" s="461">
        <v>0.03</v>
      </c>
      <c r="I220" s="461">
        <v>0.03</v>
      </c>
      <c r="J220" s="461">
        <v>0.03</v>
      </c>
      <c r="K220" s="461">
        <v>0.03</v>
      </c>
      <c r="L220" s="461">
        <v>0.03</v>
      </c>
      <c r="M220" s="461">
        <v>0.03</v>
      </c>
      <c r="N220" s="461">
        <v>0.05</v>
      </c>
      <c r="O220" s="461">
        <v>0.05</v>
      </c>
      <c r="P220" s="461">
        <v>0.05</v>
      </c>
      <c r="Q220" s="461">
        <v>0.05</v>
      </c>
      <c r="R220" s="461">
        <v>0.05</v>
      </c>
      <c r="S220" s="461">
        <v>0.05</v>
      </c>
      <c r="T220" s="461">
        <v>0.03</v>
      </c>
      <c r="U220" s="461">
        <v>0.03</v>
      </c>
      <c r="V220" s="461">
        <v>0.03</v>
      </c>
      <c r="W220" s="461">
        <v>0.03</v>
      </c>
      <c r="X220" s="461">
        <v>0.03</v>
      </c>
      <c r="Y220" s="461">
        <v>0.03</v>
      </c>
      <c r="Z220" s="461">
        <v>0.03</v>
      </c>
      <c r="AA220" s="461">
        <v>0.03</v>
      </c>
      <c r="AB220" s="461">
        <v>0.03</v>
      </c>
      <c r="AC220" s="462">
        <v>0.03</v>
      </c>
    </row>
    <row r="221" spans="1:29" ht="38.4" customHeight="1" x14ac:dyDescent="0.3">
      <c r="A221" s="766" t="str">
        <f t="shared" ref="A221:B221" si="20">A218</f>
        <v>Mechanical room</v>
      </c>
      <c r="B221" s="769" t="str">
        <f t="shared" si="20"/>
        <v>Ancillary</v>
      </c>
      <c r="C221" s="772" t="s">
        <v>684</v>
      </c>
      <c r="D221" s="778" t="s">
        <v>725</v>
      </c>
      <c r="E221" s="472" t="s">
        <v>700</v>
      </c>
      <c r="F221" s="456">
        <v>0</v>
      </c>
      <c r="G221" s="456">
        <v>0</v>
      </c>
      <c r="H221" s="456">
        <v>0</v>
      </c>
      <c r="I221" s="456">
        <v>0</v>
      </c>
      <c r="J221" s="456">
        <v>0</v>
      </c>
      <c r="K221" s="456">
        <v>0</v>
      </c>
      <c r="L221" s="456">
        <v>1</v>
      </c>
      <c r="M221" s="456">
        <v>1</v>
      </c>
      <c r="N221" s="456">
        <v>1</v>
      </c>
      <c r="O221" s="456">
        <v>1</v>
      </c>
      <c r="P221" s="456">
        <v>1</v>
      </c>
      <c r="Q221" s="456">
        <v>1</v>
      </c>
      <c r="R221" s="456">
        <v>1</v>
      </c>
      <c r="S221" s="456">
        <v>1</v>
      </c>
      <c r="T221" s="456">
        <v>1</v>
      </c>
      <c r="U221" s="456">
        <v>1</v>
      </c>
      <c r="V221" s="456">
        <v>1</v>
      </c>
      <c r="W221" s="456">
        <v>1</v>
      </c>
      <c r="X221" s="456">
        <v>1</v>
      </c>
      <c r="Y221" s="456">
        <v>1</v>
      </c>
      <c r="Z221" s="456">
        <v>1</v>
      </c>
      <c r="AA221" s="456">
        <v>1</v>
      </c>
      <c r="AB221" s="456">
        <v>0</v>
      </c>
      <c r="AC221" s="457">
        <v>0</v>
      </c>
    </row>
    <row r="222" spans="1:29" ht="38.4" customHeight="1" x14ac:dyDescent="0.3">
      <c r="A222" s="767"/>
      <c r="B222" s="770"/>
      <c r="C222" s="773"/>
      <c r="D222" s="779"/>
      <c r="E222" s="466" t="s">
        <v>690</v>
      </c>
      <c r="F222" s="263">
        <v>0</v>
      </c>
      <c r="G222" s="263">
        <v>0</v>
      </c>
      <c r="H222" s="263">
        <v>0</v>
      </c>
      <c r="I222" s="263">
        <v>0</v>
      </c>
      <c r="J222" s="263">
        <v>0</v>
      </c>
      <c r="K222" s="263">
        <v>0</v>
      </c>
      <c r="L222" s="263">
        <v>0</v>
      </c>
      <c r="M222" s="263">
        <v>1</v>
      </c>
      <c r="N222" s="263">
        <v>1</v>
      </c>
      <c r="O222" s="263">
        <v>1</v>
      </c>
      <c r="P222" s="263">
        <v>1</v>
      </c>
      <c r="Q222" s="263">
        <v>1</v>
      </c>
      <c r="R222" s="263">
        <v>1</v>
      </c>
      <c r="S222" s="263">
        <v>0</v>
      </c>
      <c r="T222" s="263">
        <v>0</v>
      </c>
      <c r="U222" s="263">
        <v>0</v>
      </c>
      <c r="V222" s="263">
        <v>0</v>
      </c>
      <c r="W222" s="263">
        <v>0</v>
      </c>
      <c r="X222" s="263">
        <v>0</v>
      </c>
      <c r="Y222" s="263">
        <v>0</v>
      </c>
      <c r="Z222" s="263">
        <v>0</v>
      </c>
      <c r="AA222" s="263">
        <v>0</v>
      </c>
      <c r="AB222" s="263">
        <v>0</v>
      </c>
      <c r="AC222" s="459">
        <v>0</v>
      </c>
    </row>
    <row r="223" spans="1:29" ht="38.4" customHeight="1" x14ac:dyDescent="0.3">
      <c r="A223" s="768"/>
      <c r="B223" s="771"/>
      <c r="C223" s="774"/>
      <c r="D223" s="780"/>
      <c r="E223" s="475" t="s">
        <v>691</v>
      </c>
      <c r="F223" s="476">
        <v>0</v>
      </c>
      <c r="G223" s="476">
        <v>0</v>
      </c>
      <c r="H223" s="476">
        <v>0</v>
      </c>
      <c r="I223" s="476">
        <v>0</v>
      </c>
      <c r="J223" s="476">
        <v>0</v>
      </c>
      <c r="K223" s="476">
        <v>0</v>
      </c>
      <c r="L223" s="476">
        <v>0</v>
      </c>
      <c r="M223" s="476">
        <v>0</v>
      </c>
      <c r="N223" s="476">
        <v>0</v>
      </c>
      <c r="O223" s="476">
        <v>0</v>
      </c>
      <c r="P223" s="476">
        <v>0</v>
      </c>
      <c r="Q223" s="476">
        <v>0</v>
      </c>
      <c r="R223" s="476">
        <v>0</v>
      </c>
      <c r="S223" s="476">
        <v>0</v>
      </c>
      <c r="T223" s="476">
        <v>0</v>
      </c>
      <c r="U223" s="476">
        <v>0</v>
      </c>
      <c r="V223" s="476">
        <v>0</v>
      </c>
      <c r="W223" s="476">
        <v>0</v>
      </c>
      <c r="X223" s="476">
        <v>0</v>
      </c>
      <c r="Y223" s="476">
        <v>0</v>
      </c>
      <c r="Z223" s="476">
        <v>0</v>
      </c>
      <c r="AA223" s="476">
        <v>0</v>
      </c>
      <c r="AB223" s="476">
        <v>0</v>
      </c>
      <c r="AC223" s="477">
        <v>0</v>
      </c>
    </row>
    <row r="224" spans="1:29" ht="38.4" customHeight="1" x14ac:dyDescent="0.3">
      <c r="A224" s="766" t="str">
        <f t="shared" ref="A224:B224" si="21">A221</f>
        <v>Mechanical room</v>
      </c>
      <c r="B224" s="769" t="str">
        <f t="shared" si="21"/>
        <v>Ancillary</v>
      </c>
      <c r="C224" s="772" t="s">
        <v>685</v>
      </c>
      <c r="D224" s="775" t="s">
        <v>726</v>
      </c>
      <c r="E224" s="478" t="s">
        <v>700</v>
      </c>
      <c r="F224" s="479">
        <f>IF(F221=0,Thermostat!$B$15,Thermostat!$B$16)</f>
        <v>60</v>
      </c>
      <c r="G224" s="479">
        <f>IF(G221=0,Thermostat!$B$15,Thermostat!$B$16)</f>
        <v>60</v>
      </c>
      <c r="H224" s="479">
        <f>IF(H221=0,Thermostat!$B$15,Thermostat!$B$16)</f>
        <v>60</v>
      </c>
      <c r="I224" s="479">
        <f>IF(I221=0,Thermostat!$B$15,Thermostat!$B$16)</f>
        <v>60</v>
      </c>
      <c r="J224" s="479">
        <f>IF(J221=0,Thermostat!$B$15,Thermostat!$B$16)</f>
        <v>60</v>
      </c>
      <c r="K224" s="479">
        <f>IF(K221=0,Thermostat!$B$15,Thermostat!$B$16)</f>
        <v>60</v>
      </c>
      <c r="L224" s="479">
        <f>IF(L221=0,Thermostat!$B$15,Thermostat!$B$16)</f>
        <v>60</v>
      </c>
      <c r="M224" s="479">
        <f>IF(M221=0,Thermostat!$B$15,Thermostat!$B$16)</f>
        <v>60</v>
      </c>
      <c r="N224" s="479">
        <f>IF(N221=0,Thermostat!$B$15,Thermostat!$B$16)</f>
        <v>60</v>
      </c>
      <c r="O224" s="479">
        <f>IF(O221=0,Thermostat!$B$15,Thermostat!$B$16)</f>
        <v>60</v>
      </c>
      <c r="P224" s="479">
        <f>IF(P221=0,Thermostat!$B$15,Thermostat!$B$16)</f>
        <v>60</v>
      </c>
      <c r="Q224" s="479">
        <f>IF(Q221=0,Thermostat!$B$15,Thermostat!$B$16)</f>
        <v>60</v>
      </c>
      <c r="R224" s="479">
        <f>IF(R221=0,Thermostat!$B$15,Thermostat!$B$16)</f>
        <v>60</v>
      </c>
      <c r="S224" s="479">
        <f>IF(S221=0,Thermostat!$B$15,Thermostat!$B$16)</f>
        <v>60</v>
      </c>
      <c r="T224" s="479">
        <f>IF(T221=0,Thermostat!$B$15,Thermostat!$B$16)</f>
        <v>60</v>
      </c>
      <c r="U224" s="479">
        <f>IF(U221=0,Thermostat!$B$15,Thermostat!$B$16)</f>
        <v>60</v>
      </c>
      <c r="V224" s="479">
        <f>IF(V221=0,Thermostat!$B$15,Thermostat!$B$16)</f>
        <v>60</v>
      </c>
      <c r="W224" s="479">
        <f>IF(W221=0,Thermostat!$B$15,Thermostat!$B$16)</f>
        <v>60</v>
      </c>
      <c r="X224" s="479">
        <f>IF(X221=0,Thermostat!$B$15,Thermostat!$B$16)</f>
        <v>60</v>
      </c>
      <c r="Y224" s="479">
        <f>IF(Y221=0,Thermostat!$B$15,Thermostat!$B$16)</f>
        <v>60</v>
      </c>
      <c r="Z224" s="479">
        <f>IF(Z221=0,Thermostat!$B$15,Thermostat!$B$16)</f>
        <v>60</v>
      </c>
      <c r="AA224" s="479">
        <f>IF(AA221=0,Thermostat!$B$15,Thermostat!$B$16)</f>
        <v>60</v>
      </c>
      <c r="AB224" s="479">
        <f>IF(AB221=0,Thermostat!$B$15,Thermostat!$B$16)</f>
        <v>60</v>
      </c>
      <c r="AC224" s="480">
        <f>IF(AC221=0,Thermostat!$B$15,Thermostat!$B$16)</f>
        <v>60</v>
      </c>
    </row>
    <row r="225" spans="1:29" ht="38.4" customHeight="1" x14ac:dyDescent="0.3">
      <c r="A225" s="767"/>
      <c r="B225" s="770"/>
      <c r="C225" s="773"/>
      <c r="D225" s="776"/>
      <c r="E225" s="481" t="s">
        <v>690</v>
      </c>
      <c r="F225" s="474">
        <f>IF(F222=0,Thermostat!$B$15,Thermostat!$B$16)</f>
        <v>60</v>
      </c>
      <c r="G225" s="474">
        <f>IF(G222=0,Thermostat!$B$15,Thermostat!$B$16)</f>
        <v>60</v>
      </c>
      <c r="H225" s="474">
        <f>IF(H222=0,Thermostat!$B$15,Thermostat!$B$16)</f>
        <v>60</v>
      </c>
      <c r="I225" s="474">
        <f>IF(I222=0,Thermostat!$B$15,Thermostat!$B$16)</f>
        <v>60</v>
      </c>
      <c r="J225" s="474">
        <f>IF(J222=0,Thermostat!$B$15,Thermostat!$B$16)</f>
        <v>60</v>
      </c>
      <c r="K225" s="474">
        <f>IF(K222=0,Thermostat!$B$15,Thermostat!$B$16)</f>
        <v>60</v>
      </c>
      <c r="L225" s="474">
        <f>IF(L222=0,Thermostat!$B$15,Thermostat!$B$16)</f>
        <v>60</v>
      </c>
      <c r="M225" s="474">
        <f>IF(M222=0,Thermostat!$B$15,Thermostat!$B$16)</f>
        <v>60</v>
      </c>
      <c r="N225" s="474">
        <f>IF(N222=0,Thermostat!$B$15,Thermostat!$B$16)</f>
        <v>60</v>
      </c>
      <c r="O225" s="474">
        <f>IF(O222=0,Thermostat!$B$15,Thermostat!$B$16)</f>
        <v>60</v>
      </c>
      <c r="P225" s="474">
        <f>IF(P222=0,Thermostat!$B$15,Thermostat!$B$16)</f>
        <v>60</v>
      </c>
      <c r="Q225" s="474">
        <f>IF(Q222=0,Thermostat!$B$15,Thermostat!$B$16)</f>
        <v>60</v>
      </c>
      <c r="R225" s="474">
        <f>IF(R222=0,Thermostat!$B$15,Thermostat!$B$16)</f>
        <v>60</v>
      </c>
      <c r="S225" s="474">
        <f>IF(S222=0,Thermostat!$B$15,Thermostat!$B$16)</f>
        <v>60</v>
      </c>
      <c r="T225" s="474">
        <f>IF(T222=0,Thermostat!$B$15,Thermostat!$B$16)</f>
        <v>60</v>
      </c>
      <c r="U225" s="474">
        <f>IF(U222=0,Thermostat!$B$15,Thermostat!$B$16)</f>
        <v>60</v>
      </c>
      <c r="V225" s="474">
        <f>IF(V222=0,Thermostat!$B$15,Thermostat!$B$16)</f>
        <v>60</v>
      </c>
      <c r="W225" s="474">
        <f>IF(W222=0,Thermostat!$B$15,Thermostat!$B$16)</f>
        <v>60</v>
      </c>
      <c r="X225" s="474">
        <f>IF(X222=0,Thermostat!$B$15,Thermostat!$B$16)</f>
        <v>60</v>
      </c>
      <c r="Y225" s="474">
        <f>IF(Y222=0,Thermostat!$B$15,Thermostat!$B$16)</f>
        <v>60</v>
      </c>
      <c r="Z225" s="474">
        <f>IF(Z222=0,Thermostat!$B$15,Thermostat!$B$16)</f>
        <v>60</v>
      </c>
      <c r="AA225" s="474">
        <f>IF(AA222=0,Thermostat!$B$15,Thermostat!$B$16)</f>
        <v>60</v>
      </c>
      <c r="AB225" s="474">
        <f>IF(AB222=0,Thermostat!$B$15,Thermostat!$B$16)</f>
        <v>60</v>
      </c>
      <c r="AC225" s="482">
        <f>IF(AC222=0,Thermostat!$B$15,Thermostat!$B$16)</f>
        <v>60</v>
      </c>
    </row>
    <row r="226" spans="1:29" ht="38.4" customHeight="1" x14ac:dyDescent="0.3">
      <c r="A226" s="768"/>
      <c r="B226" s="771"/>
      <c r="C226" s="774"/>
      <c r="D226" s="777"/>
      <c r="E226" s="484" t="s">
        <v>691</v>
      </c>
      <c r="F226" s="485">
        <f>IF(F223=0,Thermostat!$B$15,Thermostat!$B$16)</f>
        <v>60</v>
      </c>
      <c r="G226" s="485">
        <f>IF(G223=0,Thermostat!$B$15,Thermostat!$B$16)</f>
        <v>60</v>
      </c>
      <c r="H226" s="485">
        <f>IF(H223=0,Thermostat!$B$15,Thermostat!$B$16)</f>
        <v>60</v>
      </c>
      <c r="I226" s="485">
        <f>IF(I223=0,Thermostat!$B$15,Thermostat!$B$16)</f>
        <v>60</v>
      </c>
      <c r="J226" s="485">
        <f>IF(J223=0,Thermostat!$B$15,Thermostat!$B$16)</f>
        <v>60</v>
      </c>
      <c r="K226" s="485">
        <f>IF(K223=0,Thermostat!$B$15,Thermostat!$B$16)</f>
        <v>60</v>
      </c>
      <c r="L226" s="485">
        <f>IF(L223=0,Thermostat!$B$15,Thermostat!$B$16)</f>
        <v>60</v>
      </c>
      <c r="M226" s="485">
        <f>IF(M223=0,Thermostat!$B$15,Thermostat!$B$16)</f>
        <v>60</v>
      </c>
      <c r="N226" s="485">
        <f>IF(N223=0,Thermostat!$B$15,Thermostat!$B$16)</f>
        <v>60</v>
      </c>
      <c r="O226" s="485">
        <f>IF(O223=0,Thermostat!$B$15,Thermostat!$B$16)</f>
        <v>60</v>
      </c>
      <c r="P226" s="485">
        <f>IF(P223=0,Thermostat!$B$15,Thermostat!$B$16)</f>
        <v>60</v>
      </c>
      <c r="Q226" s="485">
        <f>IF(Q223=0,Thermostat!$B$15,Thermostat!$B$16)</f>
        <v>60</v>
      </c>
      <c r="R226" s="485">
        <f>IF(R223=0,Thermostat!$B$15,Thermostat!$B$16)</f>
        <v>60</v>
      </c>
      <c r="S226" s="485">
        <f>IF(S223=0,Thermostat!$B$15,Thermostat!$B$16)</f>
        <v>60</v>
      </c>
      <c r="T226" s="485">
        <f>IF(T223=0,Thermostat!$B$15,Thermostat!$B$16)</f>
        <v>60</v>
      </c>
      <c r="U226" s="485">
        <f>IF(U223=0,Thermostat!$B$15,Thermostat!$B$16)</f>
        <v>60</v>
      </c>
      <c r="V226" s="485">
        <f>IF(V223=0,Thermostat!$B$15,Thermostat!$B$16)</f>
        <v>60</v>
      </c>
      <c r="W226" s="485">
        <f>IF(W223=0,Thermostat!$B$15,Thermostat!$B$16)</f>
        <v>60</v>
      </c>
      <c r="X226" s="485">
        <f>IF(X223=0,Thermostat!$B$15,Thermostat!$B$16)</f>
        <v>60</v>
      </c>
      <c r="Y226" s="485">
        <f>IF(Y223=0,Thermostat!$B$15,Thermostat!$B$16)</f>
        <v>60</v>
      </c>
      <c r="Z226" s="485">
        <f>IF(Z223=0,Thermostat!$B$15,Thermostat!$B$16)</f>
        <v>60</v>
      </c>
      <c r="AA226" s="485">
        <f>IF(AA223=0,Thermostat!$B$15,Thermostat!$B$16)</f>
        <v>60</v>
      </c>
      <c r="AB226" s="485">
        <f>IF(AB223=0,Thermostat!$B$15,Thermostat!$B$16)</f>
        <v>60</v>
      </c>
      <c r="AC226" s="486">
        <f>IF(AC223=0,Thermostat!$B$15,Thermostat!$B$16)</f>
        <v>60</v>
      </c>
    </row>
    <row r="227" spans="1:29" ht="38.4" customHeight="1" x14ac:dyDescent="0.3">
      <c r="A227" s="766" t="str">
        <f t="shared" ref="A227:B227" si="22">A224</f>
        <v>Mechanical room</v>
      </c>
      <c r="B227" s="769" t="str">
        <f t="shared" si="22"/>
        <v>Ancillary</v>
      </c>
      <c r="C227" s="772" t="s">
        <v>686</v>
      </c>
      <c r="D227" s="775" t="s">
        <v>726</v>
      </c>
      <c r="E227" s="478" t="s">
        <v>700</v>
      </c>
      <c r="F227" s="479">
        <f>IF(F221=0,Thermostat!$B$17,Thermostat!$B$18)</f>
        <v>85</v>
      </c>
      <c r="G227" s="479">
        <f>IF(G221=0,Thermostat!$B$17,Thermostat!$B$18)</f>
        <v>85</v>
      </c>
      <c r="H227" s="479">
        <f>IF(H221=0,Thermostat!$B$17,Thermostat!$B$18)</f>
        <v>85</v>
      </c>
      <c r="I227" s="479">
        <f>IF(I221=0,Thermostat!$B$17,Thermostat!$B$18)</f>
        <v>85</v>
      </c>
      <c r="J227" s="479">
        <f>IF(J221=0,Thermostat!$B$17,Thermostat!$B$18)</f>
        <v>85</v>
      </c>
      <c r="K227" s="479">
        <f>IF(K221=0,Thermostat!$B$17,Thermostat!$B$18)</f>
        <v>85</v>
      </c>
      <c r="L227" s="479">
        <f>IF(L221=0,Thermostat!$B$17,Thermostat!$B$18)</f>
        <v>85</v>
      </c>
      <c r="M227" s="479">
        <f>IF(M221=0,Thermostat!$B$17,Thermostat!$B$18)</f>
        <v>85</v>
      </c>
      <c r="N227" s="479">
        <f>IF(N221=0,Thermostat!$B$17,Thermostat!$B$18)</f>
        <v>85</v>
      </c>
      <c r="O227" s="479">
        <f>IF(O221=0,Thermostat!$B$17,Thermostat!$B$18)</f>
        <v>85</v>
      </c>
      <c r="P227" s="479">
        <f>IF(P221=0,Thermostat!$B$17,Thermostat!$B$18)</f>
        <v>85</v>
      </c>
      <c r="Q227" s="479">
        <f>IF(Q221=0,Thermostat!$B$17,Thermostat!$B$18)</f>
        <v>85</v>
      </c>
      <c r="R227" s="479">
        <f>IF(R221=0,Thermostat!$B$17,Thermostat!$B$18)</f>
        <v>85</v>
      </c>
      <c r="S227" s="479">
        <f>IF(S221=0,Thermostat!$B$17,Thermostat!$B$18)</f>
        <v>85</v>
      </c>
      <c r="T227" s="479">
        <f>IF(T221=0,Thermostat!$B$17,Thermostat!$B$18)</f>
        <v>85</v>
      </c>
      <c r="U227" s="479">
        <f>IF(U221=0,Thermostat!$B$17,Thermostat!$B$18)</f>
        <v>85</v>
      </c>
      <c r="V227" s="479">
        <f>IF(V221=0,Thermostat!$B$17,Thermostat!$B$18)</f>
        <v>85</v>
      </c>
      <c r="W227" s="479">
        <f>IF(W221=0,Thermostat!$B$17,Thermostat!$B$18)</f>
        <v>85</v>
      </c>
      <c r="X227" s="479">
        <f>IF(X221=0,Thermostat!$B$17,Thermostat!$B$18)</f>
        <v>85</v>
      </c>
      <c r="Y227" s="479">
        <f>IF(Y221=0,Thermostat!$B$17,Thermostat!$B$18)</f>
        <v>85</v>
      </c>
      <c r="Z227" s="479">
        <f>IF(Z221=0,Thermostat!$B$17,Thermostat!$B$18)</f>
        <v>85</v>
      </c>
      <c r="AA227" s="479">
        <f>IF(AA221=0,Thermostat!$B$17,Thermostat!$B$18)</f>
        <v>85</v>
      </c>
      <c r="AB227" s="479">
        <f>IF(AB221=0,Thermostat!$B$17,Thermostat!$B$18)</f>
        <v>85</v>
      </c>
      <c r="AC227" s="480">
        <f>IF(AC221=0,Thermostat!$B$17,Thermostat!$B$18)</f>
        <v>85</v>
      </c>
    </row>
    <row r="228" spans="1:29" ht="38.4" customHeight="1" x14ac:dyDescent="0.3">
      <c r="A228" s="767"/>
      <c r="B228" s="770"/>
      <c r="C228" s="773"/>
      <c r="D228" s="776"/>
      <c r="E228" s="481" t="s">
        <v>690</v>
      </c>
      <c r="F228" s="474">
        <f>IF(F222=0,Thermostat!$B$17,Thermostat!$B$18)</f>
        <v>85</v>
      </c>
      <c r="G228" s="474">
        <f>IF(G222=0,Thermostat!$B$17,Thermostat!$B$18)</f>
        <v>85</v>
      </c>
      <c r="H228" s="474">
        <f>IF(H222=0,Thermostat!$B$17,Thermostat!$B$18)</f>
        <v>85</v>
      </c>
      <c r="I228" s="474">
        <f>IF(I222=0,Thermostat!$B$17,Thermostat!$B$18)</f>
        <v>85</v>
      </c>
      <c r="J228" s="474">
        <f>IF(J222=0,Thermostat!$B$17,Thermostat!$B$18)</f>
        <v>85</v>
      </c>
      <c r="K228" s="474">
        <f>IF(K222=0,Thermostat!$B$17,Thermostat!$B$18)</f>
        <v>85</v>
      </c>
      <c r="L228" s="474">
        <f>IF(L222=0,Thermostat!$B$17,Thermostat!$B$18)</f>
        <v>85</v>
      </c>
      <c r="M228" s="474">
        <f>IF(M222=0,Thermostat!$B$17,Thermostat!$B$18)</f>
        <v>85</v>
      </c>
      <c r="N228" s="474">
        <f>IF(N222=0,Thermostat!$B$17,Thermostat!$B$18)</f>
        <v>85</v>
      </c>
      <c r="O228" s="474">
        <f>IF(O222=0,Thermostat!$B$17,Thermostat!$B$18)</f>
        <v>85</v>
      </c>
      <c r="P228" s="474">
        <f>IF(P222=0,Thermostat!$B$17,Thermostat!$B$18)</f>
        <v>85</v>
      </c>
      <c r="Q228" s="474">
        <f>IF(Q222=0,Thermostat!$B$17,Thermostat!$B$18)</f>
        <v>85</v>
      </c>
      <c r="R228" s="474">
        <f>IF(R222=0,Thermostat!$B$17,Thermostat!$B$18)</f>
        <v>85</v>
      </c>
      <c r="S228" s="474">
        <f>IF(S222=0,Thermostat!$B$17,Thermostat!$B$18)</f>
        <v>85</v>
      </c>
      <c r="T228" s="474">
        <f>IF(T222=0,Thermostat!$B$17,Thermostat!$B$18)</f>
        <v>85</v>
      </c>
      <c r="U228" s="474">
        <f>IF(U222=0,Thermostat!$B$17,Thermostat!$B$18)</f>
        <v>85</v>
      </c>
      <c r="V228" s="474">
        <f>IF(V222=0,Thermostat!$B$17,Thermostat!$B$18)</f>
        <v>85</v>
      </c>
      <c r="W228" s="474">
        <f>IF(W222=0,Thermostat!$B$17,Thermostat!$B$18)</f>
        <v>85</v>
      </c>
      <c r="X228" s="474">
        <f>IF(X222=0,Thermostat!$B$17,Thermostat!$B$18)</f>
        <v>85</v>
      </c>
      <c r="Y228" s="474">
        <f>IF(Y222=0,Thermostat!$B$17,Thermostat!$B$18)</f>
        <v>85</v>
      </c>
      <c r="Z228" s="474">
        <f>IF(Z222=0,Thermostat!$B$17,Thermostat!$B$18)</f>
        <v>85</v>
      </c>
      <c r="AA228" s="474">
        <f>IF(AA222=0,Thermostat!$B$17,Thermostat!$B$18)</f>
        <v>85</v>
      </c>
      <c r="AB228" s="474">
        <f>IF(AB222=0,Thermostat!$B$17,Thermostat!$B$18)</f>
        <v>85</v>
      </c>
      <c r="AC228" s="482">
        <f>IF(AC222=0,Thermostat!$B$17,Thermostat!$B$18)</f>
        <v>85</v>
      </c>
    </row>
    <row r="229" spans="1:29" ht="38.4" customHeight="1" x14ac:dyDescent="0.3">
      <c r="A229" s="768"/>
      <c r="B229" s="771"/>
      <c r="C229" s="774"/>
      <c r="D229" s="777"/>
      <c r="E229" s="484" t="s">
        <v>691</v>
      </c>
      <c r="F229" s="485">
        <f>IF(F223=0,Thermostat!$B$17,Thermostat!$B$18)</f>
        <v>85</v>
      </c>
      <c r="G229" s="485">
        <f>IF(G223=0,Thermostat!$B$17,Thermostat!$B$18)</f>
        <v>85</v>
      </c>
      <c r="H229" s="485">
        <f>IF(H223=0,Thermostat!$B$17,Thermostat!$B$18)</f>
        <v>85</v>
      </c>
      <c r="I229" s="485">
        <f>IF(I223=0,Thermostat!$B$17,Thermostat!$B$18)</f>
        <v>85</v>
      </c>
      <c r="J229" s="485">
        <f>IF(J223=0,Thermostat!$B$17,Thermostat!$B$18)</f>
        <v>85</v>
      </c>
      <c r="K229" s="485">
        <f>IF(K223=0,Thermostat!$B$17,Thermostat!$B$18)</f>
        <v>85</v>
      </c>
      <c r="L229" s="485">
        <f>IF(L223=0,Thermostat!$B$17,Thermostat!$B$18)</f>
        <v>85</v>
      </c>
      <c r="M229" s="485">
        <f>IF(M223=0,Thermostat!$B$17,Thermostat!$B$18)</f>
        <v>85</v>
      </c>
      <c r="N229" s="485">
        <f>IF(N223=0,Thermostat!$B$17,Thermostat!$B$18)</f>
        <v>85</v>
      </c>
      <c r="O229" s="485">
        <f>IF(O223=0,Thermostat!$B$17,Thermostat!$B$18)</f>
        <v>85</v>
      </c>
      <c r="P229" s="485">
        <f>IF(P223=0,Thermostat!$B$17,Thermostat!$B$18)</f>
        <v>85</v>
      </c>
      <c r="Q229" s="485">
        <f>IF(Q223=0,Thermostat!$B$17,Thermostat!$B$18)</f>
        <v>85</v>
      </c>
      <c r="R229" s="485">
        <f>IF(R223=0,Thermostat!$B$17,Thermostat!$B$18)</f>
        <v>85</v>
      </c>
      <c r="S229" s="485">
        <f>IF(S223=0,Thermostat!$B$17,Thermostat!$B$18)</f>
        <v>85</v>
      </c>
      <c r="T229" s="485">
        <f>IF(T223=0,Thermostat!$B$17,Thermostat!$B$18)</f>
        <v>85</v>
      </c>
      <c r="U229" s="485">
        <f>IF(U223=0,Thermostat!$B$17,Thermostat!$B$18)</f>
        <v>85</v>
      </c>
      <c r="V229" s="485">
        <f>IF(V223=0,Thermostat!$B$17,Thermostat!$B$18)</f>
        <v>85</v>
      </c>
      <c r="W229" s="485">
        <f>IF(W223=0,Thermostat!$B$17,Thermostat!$B$18)</f>
        <v>85</v>
      </c>
      <c r="X229" s="485">
        <f>IF(X223=0,Thermostat!$B$17,Thermostat!$B$18)</f>
        <v>85</v>
      </c>
      <c r="Y229" s="485">
        <f>IF(Y223=0,Thermostat!$B$17,Thermostat!$B$18)</f>
        <v>85</v>
      </c>
      <c r="Z229" s="485">
        <f>IF(Z223=0,Thermostat!$B$17,Thermostat!$B$18)</f>
        <v>85</v>
      </c>
      <c r="AA229" s="485">
        <f>IF(AA223=0,Thermostat!$B$17,Thermostat!$B$18)</f>
        <v>85</v>
      </c>
      <c r="AB229" s="485">
        <f>IF(AB223=0,Thermostat!$B$17,Thermostat!$B$18)</f>
        <v>85</v>
      </c>
      <c r="AC229" s="486">
        <f>IF(AC223=0,Thermostat!$B$17,Thermostat!$B$18)</f>
        <v>85</v>
      </c>
    </row>
    <row r="230" spans="1:29" ht="38.4" customHeight="1" x14ac:dyDescent="0.3">
      <c r="A230" s="766" t="str">
        <f t="shared" ref="A230:B230" si="23">A227</f>
        <v>Mechanical room</v>
      </c>
      <c r="B230" s="769" t="str">
        <f t="shared" si="23"/>
        <v>Ancillary</v>
      </c>
      <c r="C230" s="772" t="s">
        <v>284</v>
      </c>
      <c r="D230" s="775" t="s">
        <v>727</v>
      </c>
      <c r="E230" s="478" t="s">
        <v>700</v>
      </c>
      <c r="F230" s="553">
        <v>1</v>
      </c>
      <c r="G230" s="553">
        <v>1</v>
      </c>
      <c r="H230" s="553">
        <v>1</v>
      </c>
      <c r="I230" s="553">
        <v>1</v>
      </c>
      <c r="J230" s="553">
        <v>1</v>
      </c>
      <c r="K230" s="553">
        <v>1</v>
      </c>
      <c r="L230" s="553">
        <v>0.25</v>
      </c>
      <c r="M230" s="553">
        <v>0.25</v>
      </c>
      <c r="N230" s="553">
        <v>0.25</v>
      </c>
      <c r="O230" s="553">
        <v>0.25</v>
      </c>
      <c r="P230" s="553">
        <v>0.25</v>
      </c>
      <c r="Q230" s="553">
        <v>0.25</v>
      </c>
      <c r="R230" s="553">
        <v>0.25</v>
      </c>
      <c r="S230" s="553">
        <v>0.25</v>
      </c>
      <c r="T230" s="553">
        <v>0.25</v>
      </c>
      <c r="U230" s="553">
        <v>0.25</v>
      </c>
      <c r="V230" s="553">
        <v>0.25</v>
      </c>
      <c r="W230" s="553">
        <v>0.25</v>
      </c>
      <c r="X230" s="553">
        <v>0.25</v>
      </c>
      <c r="Y230" s="553">
        <v>0.25</v>
      </c>
      <c r="Z230" s="553">
        <v>0.25</v>
      </c>
      <c r="AA230" s="553">
        <v>0.25</v>
      </c>
      <c r="AB230" s="553">
        <v>1</v>
      </c>
      <c r="AC230" s="554">
        <v>1</v>
      </c>
    </row>
    <row r="231" spans="1:29" ht="38.4" customHeight="1" x14ac:dyDescent="0.3">
      <c r="A231" s="767"/>
      <c r="B231" s="770"/>
      <c r="C231" s="773"/>
      <c r="D231" s="776"/>
      <c r="E231" s="481" t="s">
        <v>690</v>
      </c>
      <c r="F231" s="263">
        <v>1</v>
      </c>
      <c r="G231" s="263">
        <v>1</v>
      </c>
      <c r="H231" s="263">
        <v>1</v>
      </c>
      <c r="I231" s="263">
        <v>1</v>
      </c>
      <c r="J231" s="263">
        <v>1</v>
      </c>
      <c r="K231" s="263">
        <v>1</v>
      </c>
      <c r="L231" s="263">
        <v>1</v>
      </c>
      <c r="M231" s="263">
        <v>0.25</v>
      </c>
      <c r="N231" s="263">
        <v>0.25</v>
      </c>
      <c r="O231" s="263">
        <v>0.25</v>
      </c>
      <c r="P231" s="263">
        <v>0.25</v>
      </c>
      <c r="Q231" s="263">
        <v>0.25</v>
      </c>
      <c r="R231" s="263">
        <v>0.25</v>
      </c>
      <c r="S231" s="263">
        <v>1</v>
      </c>
      <c r="T231" s="263">
        <v>1</v>
      </c>
      <c r="U231" s="263">
        <v>1</v>
      </c>
      <c r="V231" s="263">
        <v>1</v>
      </c>
      <c r="W231" s="263">
        <v>1</v>
      </c>
      <c r="X231" s="263">
        <v>1</v>
      </c>
      <c r="Y231" s="263">
        <v>1</v>
      </c>
      <c r="Z231" s="263">
        <v>1</v>
      </c>
      <c r="AA231" s="263">
        <v>1</v>
      </c>
      <c r="AB231" s="263">
        <v>1</v>
      </c>
      <c r="AC231" s="550">
        <v>1</v>
      </c>
    </row>
    <row r="232" spans="1:29" ht="38.4" customHeight="1" x14ac:dyDescent="0.3">
      <c r="A232" s="768"/>
      <c r="B232" s="771"/>
      <c r="C232" s="774"/>
      <c r="D232" s="777"/>
      <c r="E232" s="483" t="s">
        <v>691</v>
      </c>
      <c r="F232" s="551">
        <v>1</v>
      </c>
      <c r="G232" s="551">
        <v>1</v>
      </c>
      <c r="H232" s="551">
        <v>1</v>
      </c>
      <c r="I232" s="551">
        <v>1</v>
      </c>
      <c r="J232" s="551">
        <v>1</v>
      </c>
      <c r="K232" s="551">
        <v>1</v>
      </c>
      <c r="L232" s="551">
        <v>1</v>
      </c>
      <c r="M232" s="551">
        <v>1</v>
      </c>
      <c r="N232" s="551">
        <v>1</v>
      </c>
      <c r="O232" s="551">
        <v>1</v>
      </c>
      <c r="P232" s="551">
        <v>1</v>
      </c>
      <c r="Q232" s="551">
        <v>1</v>
      </c>
      <c r="R232" s="551">
        <v>1</v>
      </c>
      <c r="S232" s="551">
        <v>1</v>
      </c>
      <c r="T232" s="551">
        <v>1</v>
      </c>
      <c r="U232" s="551">
        <v>1</v>
      </c>
      <c r="V232" s="551">
        <v>1</v>
      </c>
      <c r="W232" s="551">
        <v>1</v>
      </c>
      <c r="X232" s="551">
        <v>1</v>
      </c>
      <c r="Y232" s="551">
        <v>1</v>
      </c>
      <c r="Z232" s="551">
        <v>1</v>
      </c>
      <c r="AA232" s="551">
        <v>1</v>
      </c>
      <c r="AB232" s="551">
        <v>1</v>
      </c>
      <c r="AC232" s="552">
        <v>1</v>
      </c>
    </row>
    <row r="233" spans="1:29" ht="38.4" customHeight="1" x14ac:dyDescent="0.3">
      <c r="A233" s="786" t="s">
        <v>147</v>
      </c>
      <c r="B233" s="786"/>
      <c r="C233" s="786" t="s">
        <v>26</v>
      </c>
      <c r="D233" s="786"/>
      <c r="E233" s="786"/>
      <c r="F233" s="786"/>
      <c r="G233" s="786"/>
      <c r="H233" s="786"/>
      <c r="I233" s="786"/>
      <c r="J233" s="786"/>
      <c r="K233" s="786"/>
      <c r="L233" s="786"/>
      <c r="M233" s="786"/>
      <c r="N233" s="786"/>
      <c r="O233" s="786"/>
      <c r="P233" s="786"/>
      <c r="Q233" s="786"/>
      <c r="R233" s="786"/>
      <c r="S233" s="786"/>
      <c r="T233" s="786"/>
      <c r="U233" s="786"/>
      <c r="V233" s="786"/>
      <c r="W233" s="786"/>
      <c r="X233" s="786"/>
      <c r="Y233" s="786"/>
      <c r="Z233" s="786"/>
      <c r="AA233" s="786"/>
      <c r="AB233" s="786"/>
      <c r="AC233" s="787"/>
    </row>
    <row r="234" spans="1:29" ht="38.4" customHeight="1" x14ac:dyDescent="0.3">
      <c r="A234" s="766" t="s">
        <v>728</v>
      </c>
      <c r="B234" s="769" t="s">
        <v>147</v>
      </c>
      <c r="C234" s="781" t="s">
        <v>671</v>
      </c>
      <c r="D234" s="778" t="s">
        <v>725</v>
      </c>
      <c r="E234" s="455" t="s">
        <v>700</v>
      </c>
      <c r="F234" s="456">
        <v>0</v>
      </c>
      <c r="G234" s="456">
        <v>0</v>
      </c>
      <c r="H234" s="456">
        <v>0</v>
      </c>
      <c r="I234" s="456">
        <v>0</v>
      </c>
      <c r="J234" s="456">
        <v>0</v>
      </c>
      <c r="K234" s="456">
        <v>0</v>
      </c>
      <c r="L234" s="456">
        <v>0</v>
      </c>
      <c r="M234" s="456">
        <v>0.05</v>
      </c>
      <c r="N234" s="456">
        <v>0.75</v>
      </c>
      <c r="O234" s="456">
        <v>0.9</v>
      </c>
      <c r="P234" s="456">
        <v>0.9</v>
      </c>
      <c r="Q234" s="456">
        <v>0.8</v>
      </c>
      <c r="R234" s="456">
        <v>0.8</v>
      </c>
      <c r="S234" s="456">
        <v>0.8</v>
      </c>
      <c r="T234" s="456">
        <v>0.8</v>
      </c>
      <c r="U234" s="456">
        <v>0.45</v>
      </c>
      <c r="V234" s="456">
        <v>0.15</v>
      </c>
      <c r="W234" s="456">
        <v>0.05</v>
      </c>
      <c r="X234" s="456">
        <v>0.15</v>
      </c>
      <c r="Y234" s="456">
        <v>0.2</v>
      </c>
      <c r="Z234" s="456">
        <v>0.2</v>
      </c>
      <c r="AA234" s="456">
        <v>0.1</v>
      </c>
      <c r="AB234" s="456">
        <v>0</v>
      </c>
      <c r="AC234" s="457">
        <v>0</v>
      </c>
    </row>
    <row r="235" spans="1:29" ht="38.4" customHeight="1" x14ac:dyDescent="0.3">
      <c r="A235" s="767"/>
      <c r="B235" s="770"/>
      <c r="C235" s="782"/>
      <c r="D235" s="779"/>
      <c r="E235" s="458" t="s">
        <v>690</v>
      </c>
      <c r="F235" s="263">
        <v>0</v>
      </c>
      <c r="G235" s="263">
        <v>0</v>
      </c>
      <c r="H235" s="263">
        <v>0</v>
      </c>
      <c r="I235" s="263">
        <v>0</v>
      </c>
      <c r="J235" s="263">
        <v>0</v>
      </c>
      <c r="K235" s="263">
        <v>0</v>
      </c>
      <c r="L235" s="263">
        <v>0</v>
      </c>
      <c r="M235" s="263">
        <v>0</v>
      </c>
      <c r="N235" s="263">
        <v>0.1</v>
      </c>
      <c r="O235" s="263">
        <v>0.1</v>
      </c>
      <c r="P235" s="263">
        <v>0.1</v>
      </c>
      <c r="Q235" s="263">
        <v>0.1</v>
      </c>
      <c r="R235" s="263">
        <v>0.1</v>
      </c>
      <c r="S235" s="263">
        <v>0</v>
      </c>
      <c r="T235" s="263">
        <v>0</v>
      </c>
      <c r="U235" s="263">
        <v>0</v>
      </c>
      <c r="V235" s="263">
        <v>0</v>
      </c>
      <c r="W235" s="263">
        <v>0</v>
      </c>
      <c r="X235" s="263">
        <v>0</v>
      </c>
      <c r="Y235" s="263">
        <v>0</v>
      </c>
      <c r="Z235" s="263">
        <v>0</v>
      </c>
      <c r="AA235" s="263">
        <v>0</v>
      </c>
      <c r="AB235" s="263">
        <v>0</v>
      </c>
      <c r="AC235" s="459">
        <v>0</v>
      </c>
    </row>
    <row r="236" spans="1:29" ht="38.4" customHeight="1" x14ac:dyDescent="0.3">
      <c r="A236" s="768"/>
      <c r="B236" s="771"/>
      <c r="C236" s="783"/>
      <c r="D236" s="780"/>
      <c r="E236" s="460" t="s">
        <v>691</v>
      </c>
      <c r="F236" s="461">
        <v>0</v>
      </c>
      <c r="G236" s="461">
        <v>0</v>
      </c>
      <c r="H236" s="461">
        <v>0</v>
      </c>
      <c r="I236" s="461">
        <v>0</v>
      </c>
      <c r="J236" s="461">
        <v>0</v>
      </c>
      <c r="K236" s="461">
        <v>0</v>
      </c>
      <c r="L236" s="461">
        <v>0</v>
      </c>
      <c r="M236" s="461">
        <v>0</v>
      </c>
      <c r="N236" s="461">
        <v>0</v>
      </c>
      <c r="O236" s="461">
        <v>0</v>
      </c>
      <c r="P236" s="461">
        <v>0</v>
      </c>
      <c r="Q236" s="461">
        <v>0</v>
      </c>
      <c r="R236" s="461">
        <v>0</v>
      </c>
      <c r="S236" s="461">
        <v>0</v>
      </c>
      <c r="T236" s="461">
        <v>0</v>
      </c>
      <c r="U236" s="461">
        <v>0</v>
      </c>
      <c r="V236" s="461">
        <v>0</v>
      </c>
      <c r="W236" s="461">
        <v>0</v>
      </c>
      <c r="X236" s="461">
        <v>0</v>
      </c>
      <c r="Y236" s="461">
        <v>0</v>
      </c>
      <c r="Z236" s="461">
        <v>0</v>
      </c>
      <c r="AA236" s="461">
        <v>0</v>
      </c>
      <c r="AB236" s="461">
        <v>0</v>
      </c>
      <c r="AC236" s="462">
        <v>0</v>
      </c>
    </row>
    <row r="237" spans="1:29" ht="38.4" customHeight="1" x14ac:dyDescent="0.3">
      <c r="A237" s="766" t="str">
        <f>A234</f>
        <v>Restroom</v>
      </c>
      <c r="B237" s="769" t="str">
        <f>B234</f>
        <v>AncillaryRestroom</v>
      </c>
      <c r="C237" s="781" t="s">
        <v>678</v>
      </c>
      <c r="D237" s="778" t="s">
        <v>725</v>
      </c>
      <c r="E237" s="463" t="s">
        <v>700</v>
      </c>
      <c r="F237" s="464">
        <v>0.05</v>
      </c>
      <c r="G237" s="464">
        <v>0.05</v>
      </c>
      <c r="H237" s="464">
        <v>0.05</v>
      </c>
      <c r="I237" s="464">
        <v>0.05</v>
      </c>
      <c r="J237" s="464">
        <v>0.05</v>
      </c>
      <c r="K237" s="464">
        <v>0.05</v>
      </c>
      <c r="L237" s="464">
        <v>0.05</v>
      </c>
      <c r="M237" s="464">
        <v>0.3</v>
      </c>
      <c r="N237" s="464">
        <v>0.6</v>
      </c>
      <c r="O237" s="464">
        <v>0.65</v>
      </c>
      <c r="P237" s="464">
        <v>0.65</v>
      </c>
      <c r="Q237" s="464">
        <v>0.65</v>
      </c>
      <c r="R237" s="464">
        <v>0.55000000000000004</v>
      </c>
      <c r="S237" s="464">
        <v>0.55000000000000004</v>
      </c>
      <c r="T237" s="464">
        <v>0.55000000000000004</v>
      </c>
      <c r="U237" s="464">
        <v>0.5</v>
      </c>
      <c r="V237" s="464">
        <v>0.35</v>
      </c>
      <c r="W237" s="464">
        <v>0.35</v>
      </c>
      <c r="X237" s="464">
        <v>0.35</v>
      </c>
      <c r="Y237" s="464">
        <v>0.35</v>
      </c>
      <c r="Z237" s="464">
        <v>0.35</v>
      </c>
      <c r="AA237" s="464">
        <v>0.3</v>
      </c>
      <c r="AB237" s="464">
        <v>0.05</v>
      </c>
      <c r="AC237" s="465">
        <v>0.05</v>
      </c>
    </row>
    <row r="238" spans="1:29" ht="38.4" customHeight="1" x14ac:dyDescent="0.3">
      <c r="A238" s="767"/>
      <c r="B238" s="770"/>
      <c r="C238" s="782"/>
      <c r="D238" s="779"/>
      <c r="E238" s="466" t="s">
        <v>690</v>
      </c>
      <c r="F238" s="467">
        <v>0.05</v>
      </c>
      <c r="G238" s="467">
        <v>0.05</v>
      </c>
      <c r="H238" s="467">
        <v>0.05</v>
      </c>
      <c r="I238" s="467">
        <v>0.05</v>
      </c>
      <c r="J238" s="467">
        <v>0.05</v>
      </c>
      <c r="K238" s="467">
        <v>0.05</v>
      </c>
      <c r="L238" s="467">
        <v>0.05</v>
      </c>
      <c r="M238" s="467">
        <v>0.05</v>
      </c>
      <c r="N238" s="467">
        <v>0.15</v>
      </c>
      <c r="O238" s="467">
        <v>0.15</v>
      </c>
      <c r="P238" s="467">
        <v>0.15</v>
      </c>
      <c r="Q238" s="467">
        <v>0.15</v>
      </c>
      <c r="R238" s="467">
        <v>0.15</v>
      </c>
      <c r="S238" s="467">
        <v>0.05</v>
      </c>
      <c r="T238" s="467">
        <v>0.05</v>
      </c>
      <c r="U238" s="467">
        <v>0.05</v>
      </c>
      <c r="V238" s="467">
        <v>0.05</v>
      </c>
      <c r="W238" s="467">
        <v>0.05</v>
      </c>
      <c r="X238" s="467">
        <v>0.05</v>
      </c>
      <c r="Y238" s="467">
        <v>0.05</v>
      </c>
      <c r="Z238" s="467">
        <v>0.05</v>
      </c>
      <c r="AA238" s="467">
        <v>0.05</v>
      </c>
      <c r="AB238" s="467">
        <v>0.05</v>
      </c>
      <c r="AC238" s="468">
        <v>0.05</v>
      </c>
    </row>
    <row r="239" spans="1:29" ht="38.4" customHeight="1" x14ac:dyDescent="0.3">
      <c r="A239" s="768"/>
      <c r="B239" s="771"/>
      <c r="C239" s="783"/>
      <c r="D239" s="780"/>
      <c r="E239" s="469" t="s">
        <v>691</v>
      </c>
      <c r="F239" s="470">
        <v>0.05</v>
      </c>
      <c r="G239" s="470">
        <v>0.05</v>
      </c>
      <c r="H239" s="470">
        <v>0.05</v>
      </c>
      <c r="I239" s="470">
        <v>0.05</v>
      </c>
      <c r="J239" s="470">
        <v>0.05</v>
      </c>
      <c r="K239" s="470">
        <v>0.05</v>
      </c>
      <c r="L239" s="470">
        <v>0.05</v>
      </c>
      <c r="M239" s="470">
        <v>0.05</v>
      </c>
      <c r="N239" s="470">
        <v>0.05</v>
      </c>
      <c r="O239" s="470">
        <v>0.05</v>
      </c>
      <c r="P239" s="470">
        <v>0.05</v>
      </c>
      <c r="Q239" s="470">
        <v>0.05</v>
      </c>
      <c r="R239" s="470">
        <v>0.05</v>
      </c>
      <c r="S239" s="470">
        <v>0.05</v>
      </c>
      <c r="T239" s="470">
        <v>0.05</v>
      </c>
      <c r="U239" s="470">
        <v>0.05</v>
      </c>
      <c r="V239" s="470">
        <v>0.05</v>
      </c>
      <c r="W239" s="470">
        <v>0.05</v>
      </c>
      <c r="X239" s="470">
        <v>0.05</v>
      </c>
      <c r="Y239" s="470">
        <v>0.05</v>
      </c>
      <c r="Z239" s="470">
        <v>0.05</v>
      </c>
      <c r="AA239" s="470">
        <v>0.05</v>
      </c>
      <c r="AB239" s="470">
        <v>0.05</v>
      </c>
      <c r="AC239" s="471">
        <v>0.05</v>
      </c>
    </row>
    <row r="240" spans="1:29" ht="38.4" customHeight="1" x14ac:dyDescent="0.3">
      <c r="A240" s="766" t="str">
        <f t="shared" ref="A240:B240" si="24">A237</f>
        <v>Restroom</v>
      </c>
      <c r="B240" s="769" t="str">
        <f t="shared" si="24"/>
        <v>AncillaryRestroom</v>
      </c>
      <c r="C240" s="772" t="s">
        <v>679</v>
      </c>
      <c r="D240" s="778" t="s">
        <v>725</v>
      </c>
      <c r="E240" s="472" t="s">
        <v>700</v>
      </c>
      <c r="F240" s="456">
        <v>0.05</v>
      </c>
      <c r="G240" s="456">
        <v>0.05</v>
      </c>
      <c r="H240" s="456">
        <v>0.05</v>
      </c>
      <c r="I240" s="456">
        <v>0.05</v>
      </c>
      <c r="J240" s="456">
        <v>0.05</v>
      </c>
      <c r="K240" s="456">
        <v>0.05</v>
      </c>
      <c r="L240" s="456">
        <v>0.05</v>
      </c>
      <c r="M240" s="456">
        <v>0.3</v>
      </c>
      <c r="N240" s="456">
        <v>0.85</v>
      </c>
      <c r="O240" s="456">
        <v>0.95</v>
      </c>
      <c r="P240" s="456">
        <v>0.95</v>
      </c>
      <c r="Q240" s="456">
        <v>0.95</v>
      </c>
      <c r="R240" s="456">
        <v>0.8</v>
      </c>
      <c r="S240" s="456">
        <v>0.8</v>
      </c>
      <c r="T240" s="456">
        <v>0.8</v>
      </c>
      <c r="U240" s="456">
        <v>0.7</v>
      </c>
      <c r="V240" s="456">
        <v>0.5</v>
      </c>
      <c r="W240" s="456">
        <v>0.5</v>
      </c>
      <c r="X240" s="456">
        <v>0.35</v>
      </c>
      <c r="Y240" s="456">
        <v>0.35</v>
      </c>
      <c r="Z240" s="456">
        <v>0.35</v>
      </c>
      <c r="AA240" s="456">
        <v>0.3</v>
      </c>
      <c r="AB240" s="456">
        <v>0.05</v>
      </c>
      <c r="AC240" s="457">
        <v>0.05</v>
      </c>
    </row>
    <row r="241" spans="1:29" ht="38.4" customHeight="1" x14ac:dyDescent="0.3">
      <c r="A241" s="767"/>
      <c r="B241" s="770"/>
      <c r="C241" s="773"/>
      <c r="D241" s="779"/>
      <c r="E241" s="466" t="s">
        <v>690</v>
      </c>
      <c r="F241" s="263">
        <v>0.05</v>
      </c>
      <c r="G241" s="263">
        <v>0.05</v>
      </c>
      <c r="H241" s="263">
        <v>0.05</v>
      </c>
      <c r="I241" s="263">
        <v>0.05</v>
      </c>
      <c r="J241" s="263">
        <v>0.05</v>
      </c>
      <c r="K241" s="263">
        <v>0.05</v>
      </c>
      <c r="L241" s="263">
        <v>0.05</v>
      </c>
      <c r="M241" s="263">
        <v>0.05</v>
      </c>
      <c r="N241" s="263">
        <v>0.15</v>
      </c>
      <c r="O241" s="263">
        <v>0.15</v>
      </c>
      <c r="P241" s="263">
        <v>0.15</v>
      </c>
      <c r="Q241" s="263">
        <v>0.15</v>
      </c>
      <c r="R241" s="263">
        <v>0.15</v>
      </c>
      <c r="S241" s="263">
        <v>0.05</v>
      </c>
      <c r="T241" s="263">
        <v>0.05</v>
      </c>
      <c r="U241" s="263">
        <v>0.05</v>
      </c>
      <c r="V241" s="263">
        <v>0.05</v>
      </c>
      <c r="W241" s="263">
        <v>0.05</v>
      </c>
      <c r="X241" s="263">
        <v>0.05</v>
      </c>
      <c r="Y241" s="263">
        <v>0.05</v>
      </c>
      <c r="Z241" s="263">
        <v>0.05</v>
      </c>
      <c r="AA241" s="263">
        <v>0.05</v>
      </c>
      <c r="AB241" s="263">
        <v>0.05</v>
      </c>
      <c r="AC241" s="459">
        <v>0.05</v>
      </c>
    </row>
    <row r="242" spans="1:29" ht="38.4" customHeight="1" x14ac:dyDescent="0.3">
      <c r="A242" s="768"/>
      <c r="B242" s="771"/>
      <c r="C242" s="774"/>
      <c r="D242" s="780"/>
      <c r="E242" s="469" t="s">
        <v>691</v>
      </c>
      <c r="F242" s="461">
        <v>0.05</v>
      </c>
      <c r="G242" s="461">
        <v>0.05</v>
      </c>
      <c r="H242" s="461">
        <v>0.05</v>
      </c>
      <c r="I242" s="461">
        <v>0.05</v>
      </c>
      <c r="J242" s="461">
        <v>0.05</v>
      </c>
      <c r="K242" s="461">
        <v>0.05</v>
      </c>
      <c r="L242" s="461">
        <v>0.05</v>
      </c>
      <c r="M242" s="461">
        <v>0.05</v>
      </c>
      <c r="N242" s="461">
        <v>0.05</v>
      </c>
      <c r="O242" s="461">
        <v>0.05</v>
      </c>
      <c r="P242" s="461">
        <v>0.05</v>
      </c>
      <c r="Q242" s="461">
        <v>0.05</v>
      </c>
      <c r="R242" s="461">
        <v>0.05</v>
      </c>
      <c r="S242" s="461">
        <v>0.05</v>
      </c>
      <c r="T242" s="461">
        <v>0.05</v>
      </c>
      <c r="U242" s="461">
        <v>0.05</v>
      </c>
      <c r="V242" s="461">
        <v>0.05</v>
      </c>
      <c r="W242" s="461">
        <v>0.05</v>
      </c>
      <c r="X242" s="461">
        <v>0.05</v>
      </c>
      <c r="Y242" s="461">
        <v>0.05</v>
      </c>
      <c r="Z242" s="461">
        <v>0.05</v>
      </c>
      <c r="AA242" s="461">
        <v>0.05</v>
      </c>
      <c r="AB242" s="461">
        <v>0.05</v>
      </c>
      <c r="AC242" s="462">
        <v>0.05</v>
      </c>
    </row>
    <row r="243" spans="1:29" ht="38.4" customHeight="1" x14ac:dyDescent="0.3">
      <c r="A243" s="766" t="str">
        <f t="shared" ref="A243:B243" si="25">A240</f>
        <v>Restroom</v>
      </c>
      <c r="B243" s="769" t="str">
        <f t="shared" si="25"/>
        <v>AncillaryRestroom</v>
      </c>
      <c r="C243" s="772" t="s">
        <v>680</v>
      </c>
      <c r="D243" s="778" t="s">
        <v>725</v>
      </c>
      <c r="E243" s="455" t="s">
        <v>700</v>
      </c>
      <c r="F243" s="456">
        <v>0.05</v>
      </c>
      <c r="G243" s="456">
        <v>0.05</v>
      </c>
      <c r="H243" s="456">
        <v>0.05</v>
      </c>
      <c r="I243" s="456">
        <v>0.05</v>
      </c>
      <c r="J243" s="456">
        <v>0.05</v>
      </c>
      <c r="K243" s="456">
        <v>0.05</v>
      </c>
      <c r="L243" s="456">
        <v>0.05</v>
      </c>
      <c r="M243" s="456">
        <v>0.1</v>
      </c>
      <c r="N243" s="456">
        <v>0.34</v>
      </c>
      <c r="O243" s="456">
        <v>0.6</v>
      </c>
      <c r="P243" s="456">
        <v>0.63</v>
      </c>
      <c r="Q243" s="456">
        <v>0.72</v>
      </c>
      <c r="R243" s="456">
        <v>0.79</v>
      </c>
      <c r="S243" s="456">
        <v>0.83</v>
      </c>
      <c r="T243" s="456">
        <v>0.61</v>
      </c>
      <c r="U243" s="456">
        <v>0.65</v>
      </c>
      <c r="V243" s="456">
        <v>0.1</v>
      </c>
      <c r="W243" s="456">
        <v>0.1</v>
      </c>
      <c r="X243" s="456">
        <v>0.19</v>
      </c>
      <c r="Y243" s="456">
        <v>0.25</v>
      </c>
      <c r="Z243" s="456">
        <v>0.22</v>
      </c>
      <c r="AA243" s="456">
        <v>0.22</v>
      </c>
      <c r="AB243" s="456">
        <v>0.12</v>
      </c>
      <c r="AC243" s="457">
        <v>0.09</v>
      </c>
    </row>
    <row r="244" spans="1:29" ht="38.4" customHeight="1" x14ac:dyDescent="0.3">
      <c r="A244" s="767"/>
      <c r="B244" s="770"/>
      <c r="C244" s="773"/>
      <c r="D244" s="779"/>
      <c r="E244" s="458" t="s">
        <v>690</v>
      </c>
      <c r="F244" s="263">
        <v>0.03</v>
      </c>
      <c r="G244" s="263">
        <v>0.03</v>
      </c>
      <c r="H244" s="263">
        <v>0.03</v>
      </c>
      <c r="I244" s="263">
        <v>0.03</v>
      </c>
      <c r="J244" s="263">
        <v>0.03</v>
      </c>
      <c r="K244" s="263">
        <v>0.03</v>
      </c>
      <c r="L244" s="263">
        <v>0.03</v>
      </c>
      <c r="M244" s="263">
        <v>0.03</v>
      </c>
      <c r="N244" s="263">
        <v>0.03</v>
      </c>
      <c r="O244" s="263">
        <v>0.05</v>
      </c>
      <c r="P244" s="263">
        <v>0.05</v>
      </c>
      <c r="Q244" s="263">
        <v>0.05</v>
      </c>
      <c r="R244" s="263">
        <v>0.05</v>
      </c>
      <c r="S244" s="263">
        <v>0.03</v>
      </c>
      <c r="T244" s="263">
        <v>0.03</v>
      </c>
      <c r="U244" s="263">
        <v>0.03</v>
      </c>
      <c r="V244" s="263">
        <v>0.03</v>
      </c>
      <c r="W244" s="263">
        <v>0.03</v>
      </c>
      <c r="X244" s="263">
        <v>0.03</v>
      </c>
      <c r="Y244" s="263">
        <v>0.03</v>
      </c>
      <c r="Z244" s="263">
        <v>0.03</v>
      </c>
      <c r="AA244" s="263">
        <v>0.03</v>
      </c>
      <c r="AB244" s="263">
        <v>0.03</v>
      </c>
      <c r="AC244" s="459">
        <v>0.03</v>
      </c>
    </row>
    <row r="245" spans="1:29" ht="38.4" customHeight="1" x14ac:dyDescent="0.3">
      <c r="A245" s="768"/>
      <c r="B245" s="771"/>
      <c r="C245" s="774"/>
      <c r="D245" s="780"/>
      <c r="E245" s="460" t="s">
        <v>691</v>
      </c>
      <c r="F245" s="461">
        <v>0.03</v>
      </c>
      <c r="G245" s="461">
        <v>0.03</v>
      </c>
      <c r="H245" s="461">
        <v>0.03</v>
      </c>
      <c r="I245" s="461">
        <v>0.03</v>
      </c>
      <c r="J245" s="461">
        <v>0.03</v>
      </c>
      <c r="K245" s="461">
        <v>0.03</v>
      </c>
      <c r="L245" s="461">
        <v>0.03</v>
      </c>
      <c r="M245" s="461">
        <v>0.03</v>
      </c>
      <c r="N245" s="461">
        <v>0.05</v>
      </c>
      <c r="O245" s="461">
        <v>0.05</v>
      </c>
      <c r="P245" s="461">
        <v>0.05</v>
      </c>
      <c r="Q245" s="461">
        <v>0.05</v>
      </c>
      <c r="R245" s="461">
        <v>0.05</v>
      </c>
      <c r="S245" s="461">
        <v>0.05</v>
      </c>
      <c r="T245" s="461">
        <v>0.03</v>
      </c>
      <c r="U245" s="461">
        <v>0.03</v>
      </c>
      <c r="V245" s="461">
        <v>0.03</v>
      </c>
      <c r="W245" s="461">
        <v>0.03</v>
      </c>
      <c r="X245" s="461">
        <v>0.03</v>
      </c>
      <c r="Y245" s="461">
        <v>0.03</v>
      </c>
      <c r="Z245" s="461">
        <v>0.03</v>
      </c>
      <c r="AA245" s="461">
        <v>0.03</v>
      </c>
      <c r="AB245" s="461">
        <v>0.03</v>
      </c>
      <c r="AC245" s="462">
        <v>0.03</v>
      </c>
    </row>
    <row r="246" spans="1:29" ht="38.4" customHeight="1" x14ac:dyDescent="0.3">
      <c r="A246" s="766" t="str">
        <f t="shared" ref="A246:B246" si="26">A243</f>
        <v>Restroom</v>
      </c>
      <c r="B246" s="769" t="str">
        <f t="shared" si="26"/>
        <v>AncillaryRestroom</v>
      </c>
      <c r="C246" s="772" t="s">
        <v>684</v>
      </c>
      <c r="D246" s="778" t="s">
        <v>725</v>
      </c>
      <c r="E246" s="472" t="s">
        <v>700</v>
      </c>
      <c r="F246" s="456">
        <v>0</v>
      </c>
      <c r="G246" s="456">
        <v>0</v>
      </c>
      <c r="H246" s="456">
        <v>0</v>
      </c>
      <c r="I246" s="456">
        <v>0</v>
      </c>
      <c r="J246" s="456">
        <v>0</v>
      </c>
      <c r="K246" s="456">
        <v>0</v>
      </c>
      <c r="L246" s="456">
        <v>1</v>
      </c>
      <c r="M246" s="456">
        <v>1</v>
      </c>
      <c r="N246" s="456">
        <v>1</v>
      </c>
      <c r="O246" s="456">
        <v>1</v>
      </c>
      <c r="P246" s="456">
        <v>1</v>
      </c>
      <c r="Q246" s="456">
        <v>1</v>
      </c>
      <c r="R246" s="456">
        <v>1</v>
      </c>
      <c r="S246" s="456">
        <v>1</v>
      </c>
      <c r="T246" s="456">
        <v>1</v>
      </c>
      <c r="U246" s="456">
        <v>1</v>
      </c>
      <c r="V246" s="456">
        <v>1</v>
      </c>
      <c r="W246" s="456">
        <v>1</v>
      </c>
      <c r="X246" s="456">
        <v>1</v>
      </c>
      <c r="Y246" s="456">
        <v>1</v>
      </c>
      <c r="Z246" s="456">
        <v>1</v>
      </c>
      <c r="AA246" s="456">
        <v>1</v>
      </c>
      <c r="AB246" s="456">
        <v>0</v>
      </c>
      <c r="AC246" s="457">
        <v>0</v>
      </c>
    </row>
    <row r="247" spans="1:29" ht="38.4" customHeight="1" x14ac:dyDescent="0.3">
      <c r="A247" s="767"/>
      <c r="B247" s="770"/>
      <c r="C247" s="773"/>
      <c r="D247" s="779"/>
      <c r="E247" s="466" t="s">
        <v>690</v>
      </c>
      <c r="F247" s="263">
        <v>0</v>
      </c>
      <c r="G247" s="263">
        <v>0</v>
      </c>
      <c r="H247" s="263">
        <v>0</v>
      </c>
      <c r="I247" s="263">
        <v>0</v>
      </c>
      <c r="J247" s="263">
        <v>0</v>
      </c>
      <c r="K247" s="263">
        <v>0</v>
      </c>
      <c r="L247" s="263">
        <v>0</v>
      </c>
      <c r="M247" s="263">
        <v>1</v>
      </c>
      <c r="N247" s="263">
        <v>1</v>
      </c>
      <c r="O247" s="263">
        <v>1</v>
      </c>
      <c r="P247" s="263">
        <v>1</v>
      </c>
      <c r="Q247" s="263">
        <v>1</v>
      </c>
      <c r="R247" s="263">
        <v>1</v>
      </c>
      <c r="S247" s="263">
        <v>0</v>
      </c>
      <c r="T247" s="263">
        <v>0</v>
      </c>
      <c r="U247" s="263">
        <v>0</v>
      </c>
      <c r="V247" s="263">
        <v>0</v>
      </c>
      <c r="W247" s="263">
        <v>0</v>
      </c>
      <c r="X247" s="263">
        <v>0</v>
      </c>
      <c r="Y247" s="263">
        <v>0</v>
      </c>
      <c r="Z247" s="263">
        <v>0</v>
      </c>
      <c r="AA247" s="263">
        <v>0</v>
      </c>
      <c r="AB247" s="263">
        <v>0</v>
      </c>
      <c r="AC247" s="459">
        <v>0</v>
      </c>
    </row>
    <row r="248" spans="1:29" ht="38.4" customHeight="1" x14ac:dyDescent="0.3">
      <c r="A248" s="768"/>
      <c r="B248" s="771"/>
      <c r="C248" s="774"/>
      <c r="D248" s="780"/>
      <c r="E248" s="475" t="s">
        <v>691</v>
      </c>
      <c r="F248" s="476">
        <v>0</v>
      </c>
      <c r="G248" s="476">
        <v>0</v>
      </c>
      <c r="H248" s="476">
        <v>0</v>
      </c>
      <c r="I248" s="476">
        <v>0</v>
      </c>
      <c r="J248" s="476">
        <v>0</v>
      </c>
      <c r="K248" s="476">
        <v>0</v>
      </c>
      <c r="L248" s="476">
        <v>0</v>
      </c>
      <c r="M248" s="476">
        <v>0</v>
      </c>
      <c r="N248" s="476">
        <v>0</v>
      </c>
      <c r="O248" s="476">
        <v>0</v>
      </c>
      <c r="P248" s="476">
        <v>0</v>
      </c>
      <c r="Q248" s="476">
        <v>0</v>
      </c>
      <c r="R248" s="476">
        <v>0</v>
      </c>
      <c r="S248" s="476">
        <v>0</v>
      </c>
      <c r="T248" s="476">
        <v>0</v>
      </c>
      <c r="U248" s="476">
        <v>0</v>
      </c>
      <c r="V248" s="476">
        <v>0</v>
      </c>
      <c r="W248" s="476">
        <v>0</v>
      </c>
      <c r="X248" s="476">
        <v>0</v>
      </c>
      <c r="Y248" s="476">
        <v>0</v>
      </c>
      <c r="Z248" s="476">
        <v>0</v>
      </c>
      <c r="AA248" s="476">
        <v>0</v>
      </c>
      <c r="AB248" s="476">
        <v>0</v>
      </c>
      <c r="AC248" s="477">
        <v>0</v>
      </c>
    </row>
    <row r="249" spans="1:29" ht="38.4" customHeight="1" x14ac:dyDescent="0.3">
      <c r="A249" s="766" t="str">
        <f t="shared" ref="A249:B249" si="27">A246</f>
        <v>Restroom</v>
      </c>
      <c r="B249" s="769" t="str">
        <f t="shared" si="27"/>
        <v>AncillaryRestroom</v>
      </c>
      <c r="C249" s="772" t="s">
        <v>685</v>
      </c>
      <c r="D249" s="775" t="s">
        <v>729</v>
      </c>
      <c r="E249" s="487" t="s">
        <v>700</v>
      </c>
      <c r="F249" s="479">
        <v>60</v>
      </c>
      <c r="G249" s="479">
        <v>60</v>
      </c>
      <c r="H249" s="479">
        <v>60</v>
      </c>
      <c r="I249" s="479">
        <v>60</v>
      </c>
      <c r="J249" s="479">
        <v>60</v>
      </c>
      <c r="K249" s="479">
        <v>60</v>
      </c>
      <c r="L249" s="479">
        <v>70</v>
      </c>
      <c r="M249" s="479">
        <v>70</v>
      </c>
      <c r="N249" s="479">
        <v>70</v>
      </c>
      <c r="O249" s="479">
        <v>70</v>
      </c>
      <c r="P249" s="479">
        <v>70</v>
      </c>
      <c r="Q249" s="479">
        <v>70</v>
      </c>
      <c r="R249" s="479">
        <v>70</v>
      </c>
      <c r="S249" s="479">
        <v>70</v>
      </c>
      <c r="T249" s="479">
        <v>70</v>
      </c>
      <c r="U249" s="479">
        <v>70</v>
      </c>
      <c r="V249" s="479">
        <v>70</v>
      </c>
      <c r="W249" s="479">
        <v>70</v>
      </c>
      <c r="X249" s="479">
        <v>70</v>
      </c>
      <c r="Y249" s="479">
        <v>70</v>
      </c>
      <c r="Z249" s="479">
        <v>70</v>
      </c>
      <c r="AA249" s="479">
        <v>70</v>
      </c>
      <c r="AB249" s="479">
        <v>60</v>
      </c>
      <c r="AC249" s="480">
        <v>60</v>
      </c>
    </row>
    <row r="250" spans="1:29" ht="38.4" customHeight="1" x14ac:dyDescent="0.3">
      <c r="A250" s="767"/>
      <c r="B250" s="770"/>
      <c r="C250" s="773"/>
      <c r="D250" s="776"/>
      <c r="E250" s="488" t="s">
        <v>690</v>
      </c>
      <c r="F250" s="474">
        <v>60</v>
      </c>
      <c r="G250" s="474">
        <v>60</v>
      </c>
      <c r="H250" s="474">
        <v>60</v>
      </c>
      <c r="I250" s="474">
        <v>60</v>
      </c>
      <c r="J250" s="474">
        <v>60</v>
      </c>
      <c r="K250" s="474">
        <v>60</v>
      </c>
      <c r="L250" s="474">
        <v>60</v>
      </c>
      <c r="M250" s="474">
        <v>70</v>
      </c>
      <c r="N250" s="474">
        <v>70</v>
      </c>
      <c r="O250" s="474">
        <v>70</v>
      </c>
      <c r="P250" s="474">
        <v>70</v>
      </c>
      <c r="Q250" s="474">
        <v>70</v>
      </c>
      <c r="R250" s="474">
        <v>70</v>
      </c>
      <c r="S250" s="474">
        <v>60</v>
      </c>
      <c r="T250" s="474">
        <v>60</v>
      </c>
      <c r="U250" s="474">
        <v>60</v>
      </c>
      <c r="V250" s="474">
        <v>60</v>
      </c>
      <c r="W250" s="474">
        <v>60</v>
      </c>
      <c r="X250" s="474">
        <v>60</v>
      </c>
      <c r="Y250" s="474">
        <v>60</v>
      </c>
      <c r="Z250" s="474">
        <v>60</v>
      </c>
      <c r="AA250" s="474">
        <v>60</v>
      </c>
      <c r="AB250" s="474">
        <v>60</v>
      </c>
      <c r="AC250" s="482">
        <v>60</v>
      </c>
    </row>
    <row r="251" spans="1:29" ht="38.4" customHeight="1" x14ac:dyDescent="0.3">
      <c r="A251" s="768"/>
      <c r="B251" s="771"/>
      <c r="C251" s="774"/>
      <c r="D251" s="777"/>
      <c r="E251" s="489" t="s">
        <v>691</v>
      </c>
      <c r="F251" s="490">
        <v>60</v>
      </c>
      <c r="G251" s="490">
        <v>60</v>
      </c>
      <c r="H251" s="490">
        <v>60</v>
      </c>
      <c r="I251" s="490">
        <v>60</v>
      </c>
      <c r="J251" s="490">
        <v>60</v>
      </c>
      <c r="K251" s="490">
        <v>60</v>
      </c>
      <c r="L251" s="490">
        <v>60</v>
      </c>
      <c r="M251" s="490">
        <v>60</v>
      </c>
      <c r="N251" s="490">
        <v>60</v>
      </c>
      <c r="O251" s="490">
        <v>60</v>
      </c>
      <c r="P251" s="490">
        <v>60</v>
      </c>
      <c r="Q251" s="490">
        <v>60</v>
      </c>
      <c r="R251" s="490">
        <v>60</v>
      </c>
      <c r="S251" s="490">
        <v>60</v>
      </c>
      <c r="T251" s="490">
        <v>60</v>
      </c>
      <c r="U251" s="490">
        <v>60</v>
      </c>
      <c r="V251" s="490">
        <v>60</v>
      </c>
      <c r="W251" s="490">
        <v>60</v>
      </c>
      <c r="X251" s="490">
        <v>60</v>
      </c>
      <c r="Y251" s="490">
        <v>60</v>
      </c>
      <c r="Z251" s="490">
        <v>60</v>
      </c>
      <c r="AA251" s="490">
        <v>60</v>
      </c>
      <c r="AB251" s="490">
        <v>60</v>
      </c>
      <c r="AC251" s="491">
        <v>60</v>
      </c>
    </row>
    <row r="252" spans="1:29" ht="38.4" customHeight="1" x14ac:dyDescent="0.3">
      <c r="A252" s="766" t="str">
        <f t="shared" ref="A252:B252" si="28">A249</f>
        <v>Restroom</v>
      </c>
      <c r="B252" s="769" t="str">
        <f t="shared" si="28"/>
        <v>AncillaryRestroom</v>
      </c>
      <c r="C252" s="772" t="s">
        <v>686</v>
      </c>
      <c r="D252" s="775" t="s">
        <v>729</v>
      </c>
      <c r="E252" s="493" t="s">
        <v>700</v>
      </c>
      <c r="F252" s="494">
        <v>85</v>
      </c>
      <c r="G252" s="494">
        <v>85</v>
      </c>
      <c r="H252" s="494">
        <v>85</v>
      </c>
      <c r="I252" s="494">
        <v>85</v>
      </c>
      <c r="J252" s="494">
        <v>85</v>
      </c>
      <c r="K252" s="494">
        <v>85</v>
      </c>
      <c r="L252" s="494">
        <v>75</v>
      </c>
      <c r="M252" s="494">
        <v>75</v>
      </c>
      <c r="N252" s="494">
        <v>75</v>
      </c>
      <c r="O252" s="494">
        <v>75</v>
      </c>
      <c r="P252" s="494">
        <v>75</v>
      </c>
      <c r="Q252" s="494">
        <v>75</v>
      </c>
      <c r="R252" s="494">
        <v>75</v>
      </c>
      <c r="S252" s="494">
        <v>75</v>
      </c>
      <c r="T252" s="494">
        <v>75</v>
      </c>
      <c r="U252" s="494">
        <v>75</v>
      </c>
      <c r="V252" s="494">
        <v>75</v>
      </c>
      <c r="W252" s="494">
        <v>75</v>
      </c>
      <c r="X252" s="494">
        <v>75</v>
      </c>
      <c r="Y252" s="494">
        <v>75</v>
      </c>
      <c r="Z252" s="494">
        <v>75</v>
      </c>
      <c r="AA252" s="494">
        <v>75</v>
      </c>
      <c r="AB252" s="494">
        <v>85</v>
      </c>
      <c r="AC252" s="495">
        <v>85</v>
      </c>
    </row>
    <row r="253" spans="1:29" ht="38.4" customHeight="1" x14ac:dyDescent="0.3">
      <c r="A253" s="767"/>
      <c r="B253" s="770"/>
      <c r="C253" s="773"/>
      <c r="D253" s="776"/>
      <c r="E253" s="488" t="s">
        <v>690</v>
      </c>
      <c r="F253" s="474">
        <v>85</v>
      </c>
      <c r="G253" s="474">
        <v>85</v>
      </c>
      <c r="H253" s="474">
        <v>85</v>
      </c>
      <c r="I253" s="474">
        <v>85</v>
      </c>
      <c r="J253" s="474">
        <v>85</v>
      </c>
      <c r="K253" s="474">
        <v>85</v>
      </c>
      <c r="L253" s="474">
        <v>85</v>
      </c>
      <c r="M253" s="474">
        <v>75</v>
      </c>
      <c r="N253" s="474">
        <v>75</v>
      </c>
      <c r="O253" s="474">
        <v>75</v>
      </c>
      <c r="P253" s="474">
        <v>75</v>
      </c>
      <c r="Q253" s="474">
        <v>75</v>
      </c>
      <c r="R253" s="474">
        <v>75</v>
      </c>
      <c r="S253" s="474">
        <v>85</v>
      </c>
      <c r="T253" s="474">
        <v>85</v>
      </c>
      <c r="U253" s="474">
        <v>85</v>
      </c>
      <c r="V253" s="474">
        <v>85</v>
      </c>
      <c r="W253" s="474">
        <v>85</v>
      </c>
      <c r="X253" s="474">
        <v>85</v>
      </c>
      <c r="Y253" s="474">
        <v>85</v>
      </c>
      <c r="Z253" s="474">
        <v>85</v>
      </c>
      <c r="AA253" s="474">
        <v>85</v>
      </c>
      <c r="AB253" s="474">
        <v>85</v>
      </c>
      <c r="AC253" s="482">
        <v>85</v>
      </c>
    </row>
    <row r="254" spans="1:29" ht="38.4" customHeight="1" x14ac:dyDescent="0.3">
      <c r="A254" s="768"/>
      <c r="B254" s="771"/>
      <c r="C254" s="774"/>
      <c r="D254" s="777"/>
      <c r="E254" s="489" t="s">
        <v>691</v>
      </c>
      <c r="F254" s="490">
        <v>85</v>
      </c>
      <c r="G254" s="490">
        <v>85</v>
      </c>
      <c r="H254" s="490">
        <v>85</v>
      </c>
      <c r="I254" s="490">
        <v>85</v>
      </c>
      <c r="J254" s="490">
        <v>85</v>
      </c>
      <c r="K254" s="490">
        <v>85</v>
      </c>
      <c r="L254" s="490">
        <v>85</v>
      </c>
      <c r="M254" s="490">
        <v>85</v>
      </c>
      <c r="N254" s="490">
        <v>85</v>
      </c>
      <c r="O254" s="490">
        <v>85</v>
      </c>
      <c r="P254" s="490">
        <v>85</v>
      </c>
      <c r="Q254" s="490">
        <v>85</v>
      </c>
      <c r="R254" s="490">
        <v>85</v>
      </c>
      <c r="S254" s="490">
        <v>85</v>
      </c>
      <c r="T254" s="490">
        <v>85</v>
      </c>
      <c r="U254" s="490">
        <v>85</v>
      </c>
      <c r="V254" s="490">
        <v>85</v>
      </c>
      <c r="W254" s="490">
        <v>85</v>
      </c>
      <c r="X254" s="490">
        <v>85</v>
      </c>
      <c r="Y254" s="490">
        <v>85</v>
      </c>
      <c r="Z254" s="490">
        <v>85</v>
      </c>
      <c r="AA254" s="490">
        <v>85</v>
      </c>
      <c r="AB254" s="490">
        <v>85</v>
      </c>
      <c r="AC254" s="491">
        <v>85</v>
      </c>
    </row>
    <row r="255" spans="1:29" ht="38.4" customHeight="1" x14ac:dyDescent="0.3">
      <c r="A255" s="766" t="str">
        <f t="shared" ref="A255:B255" si="29">A252</f>
        <v>Restroom</v>
      </c>
      <c r="B255" s="769" t="str">
        <f t="shared" si="29"/>
        <v>AncillaryRestroom</v>
      </c>
      <c r="C255" s="772" t="s">
        <v>284</v>
      </c>
      <c r="D255" s="775" t="s">
        <v>727</v>
      </c>
      <c r="E255" s="492" t="s">
        <v>700</v>
      </c>
      <c r="F255" s="548">
        <v>1</v>
      </c>
      <c r="G255" s="548">
        <v>1</v>
      </c>
      <c r="H255" s="548">
        <v>1</v>
      </c>
      <c r="I255" s="548">
        <v>1</v>
      </c>
      <c r="J255" s="548">
        <v>1</v>
      </c>
      <c r="K255" s="548">
        <v>1</v>
      </c>
      <c r="L255" s="548">
        <v>0.25</v>
      </c>
      <c r="M255" s="548">
        <v>0.25</v>
      </c>
      <c r="N255" s="548">
        <v>0.25</v>
      </c>
      <c r="O255" s="548">
        <v>0.25</v>
      </c>
      <c r="P255" s="548">
        <v>0.25</v>
      </c>
      <c r="Q255" s="548">
        <v>0.25</v>
      </c>
      <c r="R255" s="548">
        <v>0.25</v>
      </c>
      <c r="S255" s="548">
        <v>0.25</v>
      </c>
      <c r="T255" s="548">
        <v>0.25</v>
      </c>
      <c r="U255" s="548">
        <v>0.25</v>
      </c>
      <c r="V255" s="548">
        <v>0.25</v>
      </c>
      <c r="W255" s="548">
        <v>0.25</v>
      </c>
      <c r="X255" s="548">
        <v>0.25</v>
      </c>
      <c r="Y255" s="548">
        <v>0.25</v>
      </c>
      <c r="Z255" s="548">
        <v>0.25</v>
      </c>
      <c r="AA255" s="548">
        <v>0.25</v>
      </c>
      <c r="AB255" s="548">
        <v>1</v>
      </c>
      <c r="AC255" s="549">
        <v>1</v>
      </c>
    </row>
    <row r="256" spans="1:29" ht="38.4" customHeight="1" x14ac:dyDescent="0.3">
      <c r="A256" s="767"/>
      <c r="B256" s="770"/>
      <c r="C256" s="773"/>
      <c r="D256" s="776"/>
      <c r="E256" s="481" t="s">
        <v>690</v>
      </c>
      <c r="F256" s="263">
        <v>1</v>
      </c>
      <c r="G256" s="263">
        <v>1</v>
      </c>
      <c r="H256" s="263">
        <v>1</v>
      </c>
      <c r="I256" s="263">
        <v>1</v>
      </c>
      <c r="J256" s="263">
        <v>1</v>
      </c>
      <c r="K256" s="263">
        <v>1</v>
      </c>
      <c r="L256" s="263">
        <v>1</v>
      </c>
      <c r="M256" s="263">
        <v>0.25</v>
      </c>
      <c r="N256" s="263">
        <v>0.25</v>
      </c>
      <c r="O256" s="263">
        <v>0.25</v>
      </c>
      <c r="P256" s="263">
        <v>0.25</v>
      </c>
      <c r="Q256" s="263">
        <v>0.25</v>
      </c>
      <c r="R256" s="263">
        <v>0.25</v>
      </c>
      <c r="S256" s="263">
        <v>1</v>
      </c>
      <c r="T256" s="263">
        <v>1</v>
      </c>
      <c r="U256" s="263">
        <v>1</v>
      </c>
      <c r="V256" s="263">
        <v>1</v>
      </c>
      <c r="W256" s="263">
        <v>1</v>
      </c>
      <c r="X256" s="263">
        <v>1</v>
      </c>
      <c r="Y256" s="263">
        <v>1</v>
      </c>
      <c r="Z256" s="263">
        <v>1</v>
      </c>
      <c r="AA256" s="263">
        <v>1</v>
      </c>
      <c r="AB256" s="263">
        <v>1</v>
      </c>
      <c r="AC256" s="550">
        <v>1</v>
      </c>
    </row>
    <row r="257" spans="1:29" ht="38.4" customHeight="1" x14ac:dyDescent="0.3">
      <c r="A257" s="768"/>
      <c r="B257" s="771"/>
      <c r="C257" s="774"/>
      <c r="D257" s="777"/>
      <c r="E257" s="483" t="s">
        <v>691</v>
      </c>
      <c r="F257" s="551">
        <v>1</v>
      </c>
      <c r="G257" s="551">
        <v>1</v>
      </c>
      <c r="H257" s="551">
        <v>1</v>
      </c>
      <c r="I257" s="551">
        <v>1</v>
      </c>
      <c r="J257" s="551">
        <v>1</v>
      </c>
      <c r="K257" s="551">
        <v>1</v>
      </c>
      <c r="L257" s="551">
        <v>1</v>
      </c>
      <c r="M257" s="551">
        <v>1</v>
      </c>
      <c r="N257" s="551">
        <v>1</v>
      </c>
      <c r="O257" s="551">
        <v>1</v>
      </c>
      <c r="P257" s="551">
        <v>1</v>
      </c>
      <c r="Q257" s="551">
        <v>1</v>
      </c>
      <c r="R257" s="551">
        <v>1</v>
      </c>
      <c r="S257" s="551">
        <v>1</v>
      </c>
      <c r="T257" s="551">
        <v>1</v>
      </c>
      <c r="U257" s="551">
        <v>1</v>
      </c>
      <c r="V257" s="551">
        <v>1</v>
      </c>
      <c r="W257" s="551">
        <v>1</v>
      </c>
      <c r="X257" s="551">
        <v>1</v>
      </c>
      <c r="Y257" s="551">
        <v>1</v>
      </c>
      <c r="Z257" s="551">
        <v>1</v>
      </c>
      <c r="AA257" s="551">
        <v>1</v>
      </c>
      <c r="AB257" s="551">
        <v>1</v>
      </c>
      <c r="AC257" s="552">
        <v>1</v>
      </c>
    </row>
    <row r="258" spans="1:29" x14ac:dyDescent="0.3">
      <c r="A258" s="264"/>
      <c r="C258" s="265"/>
      <c r="D258" s="264"/>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row>
    <row r="259" spans="1:29" x14ac:dyDescent="0.3">
      <c r="A259" s="264"/>
      <c r="C259" s="265"/>
      <c r="D259" s="264"/>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row>
    <row r="260" spans="1:29" x14ac:dyDescent="0.3">
      <c r="A260" s="264"/>
      <c r="C260" s="265"/>
      <c r="D260" s="264"/>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row>
    <row r="261" spans="1:29" customFormat="1" ht="14.4" x14ac:dyDescent="0.3"/>
    <row r="262" spans="1:29" customFormat="1" ht="14.4" x14ac:dyDescent="0.3"/>
    <row r="263" spans="1:29" customFormat="1" ht="14.4" x14ac:dyDescent="0.3"/>
    <row r="264" spans="1:29" customFormat="1" ht="14.4" x14ac:dyDescent="0.3"/>
    <row r="265" spans="1:29" customFormat="1" ht="14.4" x14ac:dyDescent="0.3"/>
    <row r="266" spans="1:29" customFormat="1" ht="14.4" x14ac:dyDescent="0.3"/>
    <row r="267" spans="1:29" customFormat="1" ht="14.4" x14ac:dyDescent="0.3"/>
    <row r="268" spans="1:29" customFormat="1" ht="14.4" x14ac:dyDescent="0.3"/>
  </sheetData>
  <mergeCells count="265">
    <mergeCell ref="D44:D48"/>
    <mergeCell ref="B49:B53"/>
    <mergeCell ref="C49:C53"/>
    <mergeCell ref="D49:D53"/>
    <mergeCell ref="D29:D33"/>
    <mergeCell ref="C29:C33"/>
    <mergeCell ref="B29:B33"/>
    <mergeCell ref="B34:B38"/>
    <mergeCell ref="C34:C38"/>
    <mergeCell ref="D34:D38"/>
    <mergeCell ref="D39:D43"/>
    <mergeCell ref="C39:C43"/>
    <mergeCell ref="B39:B43"/>
    <mergeCell ref="B131:B136"/>
    <mergeCell ref="C131:C136"/>
    <mergeCell ref="D131:D136"/>
    <mergeCell ref="B137:B142"/>
    <mergeCell ref="C137:C142"/>
    <mergeCell ref="D137:D142"/>
    <mergeCell ref="B143:B148"/>
    <mergeCell ref="C143:C148"/>
    <mergeCell ref="D143:D148"/>
    <mergeCell ref="B113:B118"/>
    <mergeCell ref="C113:C118"/>
    <mergeCell ref="D113:D118"/>
    <mergeCell ref="B119:B124"/>
    <mergeCell ref="C119:C124"/>
    <mergeCell ref="D119:D124"/>
    <mergeCell ref="B125:B130"/>
    <mergeCell ref="C125:C130"/>
    <mergeCell ref="D125:D130"/>
    <mergeCell ref="A190:A195"/>
    <mergeCell ref="B190:B195"/>
    <mergeCell ref="C190:C195"/>
    <mergeCell ref="D190:D195"/>
    <mergeCell ref="D196:D201"/>
    <mergeCell ref="C196:C201"/>
    <mergeCell ref="B196:B201"/>
    <mergeCell ref="A196:A201"/>
    <mergeCell ref="A202:A207"/>
    <mergeCell ref="B202:B207"/>
    <mergeCell ref="C202:C207"/>
    <mergeCell ref="D202:D207"/>
    <mergeCell ref="C162:C164"/>
    <mergeCell ref="D162:D164"/>
    <mergeCell ref="A165:A167"/>
    <mergeCell ref="B165:B167"/>
    <mergeCell ref="C165:C167"/>
    <mergeCell ref="D165:D167"/>
    <mergeCell ref="C171:C173"/>
    <mergeCell ref="D171:D173"/>
    <mergeCell ref="A168:A170"/>
    <mergeCell ref="B168:B170"/>
    <mergeCell ref="C168:C170"/>
    <mergeCell ref="D168:D170"/>
    <mergeCell ref="C79:C81"/>
    <mergeCell ref="A150:A152"/>
    <mergeCell ref="A67:A69"/>
    <mergeCell ref="A79:A81"/>
    <mergeCell ref="A70:A72"/>
    <mergeCell ref="B89:B94"/>
    <mergeCell ref="B95:B100"/>
    <mergeCell ref="C95:C100"/>
    <mergeCell ref="D95:D100"/>
    <mergeCell ref="B101:B106"/>
    <mergeCell ref="C101:C106"/>
    <mergeCell ref="D101:D106"/>
    <mergeCell ref="A88:AC88"/>
    <mergeCell ref="A149:AC149"/>
    <mergeCell ref="B150:B152"/>
    <mergeCell ref="C150:C152"/>
    <mergeCell ref="D150:D152"/>
    <mergeCell ref="B67:B69"/>
    <mergeCell ref="B79:B81"/>
    <mergeCell ref="B70:B72"/>
    <mergeCell ref="D79:D81"/>
    <mergeCell ref="D89:D94"/>
    <mergeCell ref="C89:C94"/>
    <mergeCell ref="B107:B112"/>
    <mergeCell ref="C70:C72"/>
    <mergeCell ref="D70:D72"/>
    <mergeCell ref="C67:C69"/>
    <mergeCell ref="D67:D69"/>
    <mergeCell ref="A55:A57"/>
    <mergeCell ref="B55:B57"/>
    <mergeCell ref="C55:C57"/>
    <mergeCell ref="B2:B3"/>
    <mergeCell ref="A1:AC1"/>
    <mergeCell ref="C2:C3"/>
    <mergeCell ref="F2:AC2"/>
    <mergeCell ref="E2:E3"/>
    <mergeCell ref="A2:A3"/>
    <mergeCell ref="D2:D3"/>
    <mergeCell ref="A9:A13"/>
    <mergeCell ref="A4:A8"/>
    <mergeCell ref="D9:D13"/>
    <mergeCell ref="C9:C13"/>
    <mergeCell ref="B9:B13"/>
    <mergeCell ref="B4:B8"/>
    <mergeCell ref="C4:C8"/>
    <mergeCell ref="D4:D8"/>
    <mergeCell ref="C64:C66"/>
    <mergeCell ref="D64:D66"/>
    <mergeCell ref="A177:A179"/>
    <mergeCell ref="B177:B179"/>
    <mergeCell ref="C177:C179"/>
    <mergeCell ref="D177:D179"/>
    <mergeCell ref="A171:A173"/>
    <mergeCell ref="B171:B173"/>
    <mergeCell ref="A153:A155"/>
    <mergeCell ref="B153:B155"/>
    <mergeCell ref="C153:C155"/>
    <mergeCell ref="D153:D155"/>
    <mergeCell ref="A156:A158"/>
    <mergeCell ref="B156:B158"/>
    <mergeCell ref="C156:C158"/>
    <mergeCell ref="D156:D158"/>
    <mergeCell ref="A174:A176"/>
    <mergeCell ref="B174:B176"/>
    <mergeCell ref="C174:C176"/>
    <mergeCell ref="D174:D176"/>
    <mergeCell ref="A159:A161"/>
    <mergeCell ref="B159:B161"/>
    <mergeCell ref="C159:C161"/>
    <mergeCell ref="D159:D161"/>
    <mergeCell ref="A162:A164"/>
    <mergeCell ref="B162:B164"/>
    <mergeCell ref="D55:D57"/>
    <mergeCell ref="A58:A60"/>
    <mergeCell ref="B58:B60"/>
    <mergeCell ref="C58:C60"/>
    <mergeCell ref="A187:A189"/>
    <mergeCell ref="B187:B189"/>
    <mergeCell ref="C187:C189"/>
    <mergeCell ref="D187:D189"/>
    <mergeCell ref="A82:A84"/>
    <mergeCell ref="B82:B84"/>
    <mergeCell ref="C82:C84"/>
    <mergeCell ref="D82:D84"/>
    <mergeCell ref="A85:A87"/>
    <mergeCell ref="B85:B87"/>
    <mergeCell ref="C85:C87"/>
    <mergeCell ref="D85:D87"/>
    <mergeCell ref="A73:A75"/>
    <mergeCell ref="B73:B75"/>
    <mergeCell ref="C73:C75"/>
    <mergeCell ref="A76:A78"/>
    <mergeCell ref="B76:B78"/>
    <mergeCell ref="C76:C78"/>
    <mergeCell ref="D76:D78"/>
    <mergeCell ref="D73:D75"/>
    <mergeCell ref="D58:D60"/>
    <mergeCell ref="A180:AC180"/>
    <mergeCell ref="A181:A183"/>
    <mergeCell ref="B181:B183"/>
    <mergeCell ref="C181:C183"/>
    <mergeCell ref="D181:D183"/>
    <mergeCell ref="A184:A186"/>
    <mergeCell ref="B184:B186"/>
    <mergeCell ref="C184:C186"/>
    <mergeCell ref="D184:D186"/>
    <mergeCell ref="A143:A148"/>
    <mergeCell ref="A137:A142"/>
    <mergeCell ref="A131:A136"/>
    <mergeCell ref="A125:A130"/>
    <mergeCell ref="A119:A124"/>
    <mergeCell ref="A113:A118"/>
    <mergeCell ref="A107:A112"/>
    <mergeCell ref="A101:A106"/>
    <mergeCell ref="A95:A100"/>
    <mergeCell ref="A89:A94"/>
    <mergeCell ref="A64:A66"/>
    <mergeCell ref="B64:B66"/>
    <mergeCell ref="D107:D112"/>
    <mergeCell ref="C107:C112"/>
    <mergeCell ref="C218:C220"/>
    <mergeCell ref="D218:D220"/>
    <mergeCell ref="A209:A211"/>
    <mergeCell ref="B209:B211"/>
    <mergeCell ref="C209:C211"/>
    <mergeCell ref="D209:D211"/>
    <mergeCell ref="A212:A214"/>
    <mergeCell ref="B212:B214"/>
    <mergeCell ref="C212:C214"/>
    <mergeCell ref="D212:D214"/>
    <mergeCell ref="A215:A217"/>
    <mergeCell ref="B215:B217"/>
    <mergeCell ref="C215:C217"/>
    <mergeCell ref="D215:D217"/>
    <mergeCell ref="A230:A232"/>
    <mergeCell ref="B230:B232"/>
    <mergeCell ref="C230:C232"/>
    <mergeCell ref="D230:D232"/>
    <mergeCell ref="A208:AC208"/>
    <mergeCell ref="A233:AC233"/>
    <mergeCell ref="A234:A236"/>
    <mergeCell ref="B234:B236"/>
    <mergeCell ref="C234:C236"/>
    <mergeCell ref="D234:D236"/>
    <mergeCell ref="A221:A223"/>
    <mergeCell ref="B221:B223"/>
    <mergeCell ref="C221:C223"/>
    <mergeCell ref="D221:D223"/>
    <mergeCell ref="A224:A226"/>
    <mergeCell ref="B224:B226"/>
    <mergeCell ref="C224:C226"/>
    <mergeCell ref="D224:D226"/>
    <mergeCell ref="A227:A229"/>
    <mergeCell ref="B227:B229"/>
    <mergeCell ref="C227:C229"/>
    <mergeCell ref="D227:D229"/>
    <mergeCell ref="A218:A220"/>
    <mergeCell ref="B218:B220"/>
    <mergeCell ref="A237:A239"/>
    <mergeCell ref="B237:B239"/>
    <mergeCell ref="C237:C239"/>
    <mergeCell ref="D237:D239"/>
    <mergeCell ref="A240:A242"/>
    <mergeCell ref="B240:B242"/>
    <mergeCell ref="C240:C242"/>
    <mergeCell ref="D240:D242"/>
    <mergeCell ref="A243:A245"/>
    <mergeCell ref="B243:B245"/>
    <mergeCell ref="C243:C245"/>
    <mergeCell ref="D243:D245"/>
    <mergeCell ref="A255:A257"/>
    <mergeCell ref="B255:B257"/>
    <mergeCell ref="C255:C257"/>
    <mergeCell ref="D255:D257"/>
    <mergeCell ref="A246:A248"/>
    <mergeCell ref="B246:B248"/>
    <mergeCell ref="C246:C248"/>
    <mergeCell ref="D246:D248"/>
    <mergeCell ref="A249:A251"/>
    <mergeCell ref="B249:B251"/>
    <mergeCell ref="C249:C251"/>
    <mergeCell ref="D249:D251"/>
    <mergeCell ref="A252:A254"/>
    <mergeCell ref="B252:B254"/>
    <mergeCell ref="C252:C254"/>
    <mergeCell ref="D252:D254"/>
    <mergeCell ref="A49:A53"/>
    <mergeCell ref="A44:A48"/>
    <mergeCell ref="A39:A43"/>
    <mergeCell ref="A34:A38"/>
    <mergeCell ref="A29:A33"/>
    <mergeCell ref="A24:A28"/>
    <mergeCell ref="A19:A23"/>
    <mergeCell ref="A14:A18"/>
    <mergeCell ref="A61:A63"/>
    <mergeCell ref="A54:AC54"/>
    <mergeCell ref="B61:B63"/>
    <mergeCell ref="C61:C63"/>
    <mergeCell ref="D61:D63"/>
    <mergeCell ref="B24:B28"/>
    <mergeCell ref="C24:C28"/>
    <mergeCell ref="D24:D28"/>
    <mergeCell ref="B19:B23"/>
    <mergeCell ref="C19:C23"/>
    <mergeCell ref="D19:D23"/>
    <mergeCell ref="B14:B18"/>
    <mergeCell ref="C14:C18"/>
    <mergeCell ref="D14:D18"/>
    <mergeCell ref="B44:B48"/>
    <mergeCell ref="C44:C4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zoomScaleNormal="100" workbookViewId="0">
      <selection activeCell="C3" sqref="C3:L18"/>
    </sheetView>
  </sheetViews>
  <sheetFormatPr defaultColWidth="8.6640625" defaultRowHeight="13.2" x14ac:dyDescent="0.25"/>
  <cols>
    <col min="1" max="1" width="17.33203125" style="4" bestFit="1" customWidth="1"/>
    <col min="2" max="2" width="15.44140625" style="4" customWidth="1"/>
    <col min="3" max="3" width="19.33203125" style="4" customWidth="1"/>
    <col min="4" max="5" width="18.33203125" style="4" customWidth="1"/>
    <col min="6" max="8" width="13.6640625" style="4" customWidth="1"/>
    <col min="9" max="9" width="10.6640625" style="4" customWidth="1"/>
    <col min="10" max="10" width="13" style="4" customWidth="1"/>
    <col min="11" max="11" width="11.109375" style="4" customWidth="1"/>
    <col min="12" max="12" width="13.6640625" style="4" customWidth="1"/>
    <col min="13" max="13" width="8.6640625" style="4"/>
    <col min="14" max="14" width="17.33203125" style="4" bestFit="1" customWidth="1"/>
    <col min="15" max="15" width="10.5546875" style="4" customWidth="1"/>
    <col min="16" max="16" width="11" style="4" customWidth="1"/>
    <col min="17" max="17" width="17.88671875" style="4" customWidth="1"/>
    <col min="18" max="19" width="10.5546875" style="4" bestFit="1" customWidth="1"/>
    <col min="20" max="21" width="11.44140625" style="4" bestFit="1" customWidth="1"/>
    <col min="22" max="22" width="14.88671875" style="4" bestFit="1" customWidth="1"/>
    <col min="23" max="16384" width="8.6640625" style="4"/>
  </cols>
  <sheetData>
    <row r="1" spans="1:24" ht="33" customHeight="1" x14ac:dyDescent="0.3">
      <c r="A1" s="861" t="str">
        <f>"CalBEM Energy Consumption - "&amp;Prototype!B4</f>
        <v>CalBEM Energy Consumption - K-8 School</v>
      </c>
      <c r="B1" s="862"/>
      <c r="C1" s="862"/>
      <c r="D1" s="862"/>
      <c r="E1" s="862"/>
      <c r="F1" s="862"/>
      <c r="G1" s="862"/>
      <c r="H1" s="862"/>
      <c r="I1" s="862"/>
      <c r="J1" s="862"/>
      <c r="K1" s="862"/>
      <c r="L1" s="862"/>
      <c r="M1"/>
      <c r="N1" s="863" t="str">
        <f>"Energy Consumption - "&amp;Prototype!A2</f>
        <v>Energy Consumption - SchoolK-8</v>
      </c>
      <c r="O1" s="864"/>
      <c r="P1" s="864"/>
      <c r="Q1" s="864"/>
      <c r="R1" s="864"/>
      <c r="S1" s="864"/>
      <c r="T1" s="864"/>
      <c r="U1" s="864"/>
      <c r="V1" s="864"/>
      <c r="W1"/>
      <c r="X1"/>
    </row>
    <row r="2" spans="1:24" ht="62.25" customHeight="1" x14ac:dyDescent="0.3">
      <c r="A2" s="600" t="s">
        <v>8</v>
      </c>
      <c r="B2" s="600" t="s">
        <v>730</v>
      </c>
      <c r="C2" s="600" t="s">
        <v>731</v>
      </c>
      <c r="D2" s="600" t="s">
        <v>732</v>
      </c>
      <c r="E2" s="600" t="s">
        <v>733</v>
      </c>
      <c r="F2" s="600" t="s">
        <v>734</v>
      </c>
      <c r="G2" s="600" t="s">
        <v>735</v>
      </c>
      <c r="H2" s="600" t="s">
        <v>736</v>
      </c>
      <c r="I2" s="201" t="s">
        <v>737</v>
      </c>
      <c r="J2" s="201" t="s">
        <v>738</v>
      </c>
      <c r="K2" s="201" t="s">
        <v>739</v>
      </c>
      <c r="L2" s="201" t="s">
        <v>740</v>
      </c>
      <c r="N2" s="200" t="s">
        <v>8</v>
      </c>
      <c r="O2" s="600" t="s">
        <v>730</v>
      </c>
      <c r="P2" s="600" t="s">
        <v>741</v>
      </c>
      <c r="Q2" s="600" t="s">
        <v>742</v>
      </c>
      <c r="R2" s="600" t="s">
        <v>743</v>
      </c>
      <c r="S2" s="202" t="s">
        <v>744</v>
      </c>
      <c r="T2" s="202" t="s">
        <v>745</v>
      </c>
      <c r="U2" s="202" t="s">
        <v>746</v>
      </c>
      <c r="V2" s="202" t="s">
        <v>747</v>
      </c>
      <c r="W2"/>
      <c r="X2"/>
    </row>
    <row r="3" spans="1:24" ht="19.2" customHeight="1" x14ac:dyDescent="0.3">
      <c r="A3" s="698" t="str">
        <f>Prototype!B4</f>
        <v>K-8 School</v>
      </c>
      <c r="B3" s="593">
        <v>1</v>
      </c>
      <c r="C3" s="198"/>
      <c r="D3" s="198"/>
      <c r="E3" s="198"/>
      <c r="F3" s="593"/>
      <c r="G3" s="593"/>
      <c r="H3" s="593"/>
      <c r="I3" s="593"/>
      <c r="J3" s="198"/>
      <c r="K3" s="198"/>
      <c r="L3" s="198"/>
      <c r="N3" s="645" t="str">
        <f>Prototype!B4</f>
        <v>K-8 School</v>
      </c>
      <c r="O3" s="203">
        <v>1</v>
      </c>
      <c r="P3" s="125">
        <v>7618.5336979987769</v>
      </c>
      <c r="Q3" s="204">
        <v>32.349175832782279</v>
      </c>
      <c r="R3" s="204">
        <v>12.848136512515758</v>
      </c>
      <c r="S3" s="205">
        <v>55.364803618873651</v>
      </c>
      <c r="T3" s="206">
        <f>S3*1.25</f>
        <v>69.206004523592071</v>
      </c>
      <c r="U3" s="206">
        <f>S3*0.75</f>
        <v>41.523602714155238</v>
      </c>
      <c r="V3" s="207">
        <f>T3-U3</f>
        <v>27.682401809436833</v>
      </c>
      <c r="W3"/>
      <c r="X3"/>
    </row>
    <row r="4" spans="1:24" ht="19.2" customHeight="1" x14ac:dyDescent="0.3">
      <c r="A4" s="698"/>
      <c r="B4" s="593">
        <v>2</v>
      </c>
      <c r="C4" s="198"/>
      <c r="D4" s="198"/>
      <c r="E4" s="198"/>
      <c r="F4" s="593"/>
      <c r="G4" s="593"/>
      <c r="H4" s="593"/>
      <c r="I4" s="593"/>
      <c r="J4" s="198"/>
      <c r="K4" s="198"/>
      <c r="L4" s="198"/>
      <c r="N4" s="645"/>
      <c r="O4" s="203">
        <v>2</v>
      </c>
      <c r="P4" s="125">
        <v>11477.670560957027</v>
      </c>
      <c r="Q4" s="204">
        <v>15.421598301121483</v>
      </c>
      <c r="R4" s="204">
        <v>12.913999186871132</v>
      </c>
      <c r="S4" s="205">
        <v>47.89328303362015</v>
      </c>
      <c r="T4" s="206">
        <f t="shared" ref="T4:T18" si="0">S4*1.25</f>
        <v>59.866603792025188</v>
      </c>
      <c r="U4" s="206">
        <f t="shared" ref="U4:U18" si="1">S4*0.75</f>
        <v>35.919962275215113</v>
      </c>
      <c r="V4" s="207">
        <f t="shared" ref="V4:V18" si="2">T4-U4</f>
        <v>23.946641516810075</v>
      </c>
      <c r="W4"/>
      <c r="X4"/>
    </row>
    <row r="5" spans="1:24" ht="19.2" customHeight="1" x14ac:dyDescent="0.3">
      <c r="A5" s="698"/>
      <c r="B5" s="593">
        <v>3</v>
      </c>
      <c r="C5" s="198"/>
      <c r="D5" s="198"/>
      <c r="E5" s="198"/>
      <c r="F5" s="593"/>
      <c r="G5" s="593"/>
      <c r="H5" s="593"/>
      <c r="I5" s="593"/>
      <c r="J5" s="198"/>
      <c r="K5" s="198"/>
      <c r="L5" s="198"/>
      <c r="N5" s="645"/>
      <c r="O5" s="203">
        <v>3</v>
      </c>
      <c r="P5" s="125">
        <v>46411.860464613921</v>
      </c>
      <c r="Q5" s="204">
        <v>20.479594859366287</v>
      </c>
      <c r="R5" s="204">
        <v>12.79924807855271</v>
      </c>
      <c r="S5" s="205">
        <v>100.09497401574612</v>
      </c>
      <c r="T5" s="206">
        <f t="shared" si="0"/>
        <v>125.11871751968265</v>
      </c>
      <c r="U5" s="206">
        <f t="shared" si="1"/>
        <v>75.071230511809588</v>
      </c>
      <c r="V5" s="207">
        <f t="shared" si="2"/>
        <v>50.047487007873059</v>
      </c>
      <c r="W5"/>
      <c r="X5"/>
    </row>
    <row r="6" spans="1:24" ht="19.2" customHeight="1" x14ac:dyDescent="0.3">
      <c r="A6" s="698"/>
      <c r="B6" s="593">
        <v>4</v>
      </c>
      <c r="C6" s="198"/>
      <c r="D6" s="198"/>
      <c r="E6" s="198"/>
      <c r="F6" s="593"/>
      <c r="G6" s="593"/>
      <c r="H6" s="593"/>
      <c r="I6" s="593"/>
      <c r="J6" s="198"/>
      <c r="K6" s="198"/>
      <c r="L6" s="198"/>
      <c r="N6" s="645"/>
      <c r="O6" s="203">
        <v>4</v>
      </c>
      <c r="P6" s="125">
        <v>23032.968012628033</v>
      </c>
      <c r="Q6" s="204">
        <v>21.493730276699399</v>
      </c>
      <c r="R6" s="204">
        <v>13.019766805689686</v>
      </c>
      <c r="S6" s="205">
        <v>106.62132635774194</v>
      </c>
      <c r="T6" s="206">
        <f t="shared" si="0"/>
        <v>133.27665794717743</v>
      </c>
      <c r="U6" s="206">
        <f t="shared" si="1"/>
        <v>79.965994768306444</v>
      </c>
      <c r="V6" s="207">
        <f t="shared" si="2"/>
        <v>53.310663178870982</v>
      </c>
      <c r="W6"/>
      <c r="X6"/>
    </row>
    <row r="7" spans="1:24" ht="19.2" customHeight="1" x14ac:dyDescent="0.3">
      <c r="A7" s="698"/>
      <c r="B7" s="593">
        <v>5</v>
      </c>
      <c r="C7" s="198"/>
      <c r="D7" s="198"/>
      <c r="E7" s="198"/>
      <c r="F7" s="593"/>
      <c r="G7" s="593"/>
      <c r="H7" s="593"/>
      <c r="I7" s="593"/>
      <c r="J7" s="198"/>
      <c r="K7" s="198"/>
      <c r="L7" s="198"/>
      <c r="N7" s="645"/>
      <c r="O7" s="203">
        <v>5</v>
      </c>
      <c r="P7" s="125">
        <v>5978.4428422392912</v>
      </c>
      <c r="Q7" s="204">
        <v>11.998072326077015</v>
      </c>
      <c r="R7" s="204">
        <v>11.585185132606563</v>
      </c>
      <c r="S7" s="205">
        <v>59.149270516191649</v>
      </c>
      <c r="T7" s="206">
        <f t="shared" si="0"/>
        <v>73.936588145239568</v>
      </c>
      <c r="U7" s="206">
        <f t="shared" si="1"/>
        <v>44.361952887143737</v>
      </c>
      <c r="V7" s="207">
        <f t="shared" si="2"/>
        <v>29.574635258095832</v>
      </c>
      <c r="W7"/>
      <c r="X7"/>
    </row>
    <row r="8" spans="1:24" ht="19.2" customHeight="1" x14ac:dyDescent="0.3">
      <c r="A8" s="698"/>
      <c r="B8" s="593">
        <v>6</v>
      </c>
      <c r="C8" s="198"/>
      <c r="D8" s="198"/>
      <c r="E8" s="198"/>
      <c r="F8" s="593"/>
      <c r="G8" s="593"/>
      <c r="H8" s="593"/>
      <c r="I8" s="593"/>
      <c r="J8" s="198"/>
      <c r="K8" s="198"/>
      <c r="L8" s="198"/>
      <c r="N8" s="645"/>
      <c r="O8" s="203">
        <v>6</v>
      </c>
      <c r="P8" s="125">
        <v>57755.958884938154</v>
      </c>
      <c r="Q8" s="204">
        <v>22.607348922099643</v>
      </c>
      <c r="R8" s="204">
        <v>9.9467421462334809</v>
      </c>
      <c r="S8" s="205">
        <v>82.347487870533669</v>
      </c>
      <c r="T8" s="206">
        <f t="shared" si="0"/>
        <v>102.93435983816708</v>
      </c>
      <c r="U8" s="206">
        <f t="shared" si="1"/>
        <v>61.760615902900255</v>
      </c>
      <c r="V8" s="207">
        <f t="shared" si="2"/>
        <v>41.173743935266828</v>
      </c>
      <c r="W8"/>
      <c r="X8"/>
    </row>
    <row r="9" spans="1:24" ht="19.2" customHeight="1" x14ac:dyDescent="0.3">
      <c r="A9" s="698"/>
      <c r="B9" s="593">
        <v>7</v>
      </c>
      <c r="C9" s="198"/>
      <c r="D9" s="198"/>
      <c r="E9" s="198"/>
      <c r="F9" s="593"/>
      <c r="G9" s="593"/>
      <c r="H9" s="593"/>
      <c r="I9" s="593"/>
      <c r="J9" s="198"/>
      <c r="K9" s="198"/>
      <c r="L9" s="198"/>
      <c r="N9" s="645"/>
      <c r="O9" s="203">
        <v>7</v>
      </c>
      <c r="P9" s="125">
        <v>35149.992570854702</v>
      </c>
      <c r="Q9" s="204">
        <v>24.848388187104383</v>
      </c>
      <c r="R9" s="204">
        <v>6.9700357314851695</v>
      </c>
      <c r="S9" s="205">
        <v>88.553475966326303</v>
      </c>
      <c r="T9" s="206">
        <f t="shared" si="0"/>
        <v>110.69184495790788</v>
      </c>
      <c r="U9" s="206">
        <f t="shared" si="1"/>
        <v>66.415106974744731</v>
      </c>
      <c r="V9" s="207">
        <f t="shared" si="2"/>
        <v>44.276737983163144</v>
      </c>
      <c r="W9"/>
      <c r="X9"/>
    </row>
    <row r="10" spans="1:24" ht="19.2" customHeight="1" x14ac:dyDescent="0.3">
      <c r="A10" s="698"/>
      <c r="B10" s="593">
        <v>8</v>
      </c>
      <c r="C10" s="198"/>
      <c r="D10" s="198"/>
      <c r="E10" s="198"/>
      <c r="F10" s="593"/>
      <c r="G10" s="593"/>
      <c r="H10" s="593"/>
      <c r="I10" s="593"/>
      <c r="J10" s="198"/>
      <c r="K10" s="198"/>
      <c r="L10" s="198"/>
      <c r="N10" s="645"/>
      <c r="O10" s="203">
        <v>8</v>
      </c>
      <c r="P10" s="125">
        <v>92353.411344595792</v>
      </c>
      <c r="Q10" s="204">
        <v>22.935329040550439</v>
      </c>
      <c r="R10" s="204">
        <v>8.842202966161631</v>
      </c>
      <c r="S10" s="205">
        <v>103.44180549732351</v>
      </c>
      <c r="T10" s="206">
        <f t="shared" si="0"/>
        <v>129.30225687165438</v>
      </c>
      <c r="U10" s="206">
        <f t="shared" si="1"/>
        <v>77.581354122992636</v>
      </c>
      <c r="V10" s="207">
        <f t="shared" si="2"/>
        <v>51.720902748661743</v>
      </c>
      <c r="W10"/>
      <c r="X10"/>
    </row>
    <row r="11" spans="1:24" ht="19.2" customHeight="1" x14ac:dyDescent="0.3">
      <c r="A11" s="698"/>
      <c r="B11" s="593">
        <v>9</v>
      </c>
      <c r="C11" s="198"/>
      <c r="D11" s="198"/>
      <c r="E11" s="198"/>
      <c r="F11" s="593"/>
      <c r="G11" s="593"/>
      <c r="H11" s="593"/>
      <c r="I11" s="593"/>
      <c r="J11" s="198"/>
      <c r="K11" s="198"/>
      <c r="L11" s="198"/>
      <c r="N11" s="645"/>
      <c r="O11" s="203">
        <v>9</v>
      </c>
      <c r="P11" s="125">
        <v>141795.4505918849</v>
      </c>
      <c r="Q11" s="204">
        <v>26.79734320498693</v>
      </c>
      <c r="R11" s="204">
        <v>10.089066914098808</v>
      </c>
      <c r="S11" s="205">
        <v>119.15131578438451</v>
      </c>
      <c r="T11" s="206">
        <f t="shared" si="0"/>
        <v>148.93914473048062</v>
      </c>
      <c r="U11" s="206">
        <f t="shared" si="1"/>
        <v>89.363486838288381</v>
      </c>
      <c r="V11" s="207">
        <f t="shared" si="2"/>
        <v>59.57565789219224</v>
      </c>
      <c r="W11"/>
      <c r="X11"/>
    </row>
    <row r="12" spans="1:24" ht="19.2" customHeight="1" x14ac:dyDescent="0.3">
      <c r="A12" s="698"/>
      <c r="B12" s="593">
        <v>10</v>
      </c>
      <c r="C12" s="198"/>
      <c r="D12" s="198"/>
      <c r="E12" s="198"/>
      <c r="F12" s="593"/>
      <c r="G12" s="593"/>
      <c r="H12" s="593"/>
      <c r="I12" s="593"/>
      <c r="J12" s="198"/>
      <c r="K12" s="198"/>
      <c r="L12" s="198"/>
      <c r="N12" s="645"/>
      <c r="O12" s="203">
        <v>10</v>
      </c>
      <c r="P12" s="125">
        <v>92589.866923099296</v>
      </c>
      <c r="Q12" s="204">
        <v>22.490400741547862</v>
      </c>
      <c r="R12" s="204">
        <v>10.108975274600024</v>
      </c>
      <c r="S12" s="205">
        <v>67.419104208774073</v>
      </c>
      <c r="T12" s="206">
        <f t="shared" si="0"/>
        <v>84.273880260967587</v>
      </c>
      <c r="U12" s="206">
        <f t="shared" si="1"/>
        <v>50.564328156580558</v>
      </c>
      <c r="V12" s="207">
        <f t="shared" si="2"/>
        <v>33.709552104387029</v>
      </c>
      <c r="W12"/>
      <c r="X12"/>
    </row>
    <row r="13" spans="1:24" ht="19.2" customHeight="1" x14ac:dyDescent="0.3">
      <c r="A13" s="698"/>
      <c r="B13" s="593">
        <v>11</v>
      </c>
      <c r="C13" s="198"/>
      <c r="D13" s="198"/>
      <c r="E13" s="198"/>
      <c r="F13" s="593"/>
      <c r="G13" s="593"/>
      <c r="H13" s="593"/>
      <c r="I13" s="593"/>
      <c r="J13" s="198"/>
      <c r="K13" s="198"/>
      <c r="L13" s="198"/>
      <c r="N13" s="645"/>
      <c r="O13" s="203">
        <v>11</v>
      </c>
      <c r="P13" s="125">
        <v>33810.488428667806</v>
      </c>
      <c r="Q13" s="204">
        <v>26.928661316570114</v>
      </c>
      <c r="R13" s="204">
        <v>8.7604369989222359</v>
      </c>
      <c r="S13" s="205">
        <v>68.839252987034271</v>
      </c>
      <c r="T13" s="206">
        <f t="shared" si="0"/>
        <v>86.049066233792843</v>
      </c>
      <c r="U13" s="206">
        <f t="shared" si="1"/>
        <v>51.6294397402757</v>
      </c>
      <c r="V13" s="207">
        <f t="shared" si="2"/>
        <v>34.419626493517143</v>
      </c>
      <c r="W13"/>
      <c r="X13"/>
    </row>
    <row r="14" spans="1:24" ht="19.2" customHeight="1" x14ac:dyDescent="0.3">
      <c r="A14" s="698"/>
      <c r="B14" s="593">
        <v>12</v>
      </c>
      <c r="C14" s="198"/>
      <c r="D14" s="198"/>
      <c r="E14" s="198"/>
      <c r="F14" s="593"/>
      <c r="G14" s="593"/>
      <c r="H14" s="593"/>
      <c r="I14" s="593"/>
      <c r="J14" s="198"/>
      <c r="K14" s="198"/>
      <c r="L14" s="198"/>
      <c r="N14" s="645"/>
      <c r="O14" s="203">
        <v>12</v>
      </c>
      <c r="P14" s="125">
        <v>108342.43412674296</v>
      </c>
      <c r="Q14" s="204">
        <v>31.799593721150607</v>
      </c>
      <c r="R14" s="204">
        <v>12.230299256797961</v>
      </c>
      <c r="S14" s="205">
        <v>85.58737128246608</v>
      </c>
      <c r="T14" s="206">
        <f t="shared" si="0"/>
        <v>106.98421410308259</v>
      </c>
      <c r="U14" s="206">
        <f t="shared" si="1"/>
        <v>64.190528461849567</v>
      </c>
      <c r="V14" s="207">
        <f t="shared" si="2"/>
        <v>42.793685641233026</v>
      </c>
      <c r="W14"/>
      <c r="X14"/>
    </row>
    <row r="15" spans="1:24" ht="19.2" customHeight="1" x14ac:dyDescent="0.3">
      <c r="A15" s="698"/>
      <c r="B15" s="593">
        <v>13</v>
      </c>
      <c r="C15" s="198"/>
      <c r="D15" s="198"/>
      <c r="E15" s="198"/>
      <c r="F15" s="593"/>
      <c r="G15" s="593"/>
      <c r="H15" s="593"/>
      <c r="I15" s="593"/>
      <c r="J15" s="198"/>
      <c r="K15" s="198"/>
      <c r="L15" s="198"/>
      <c r="N15" s="645"/>
      <c r="O15" s="203">
        <v>13</v>
      </c>
      <c r="P15" s="125">
        <v>46676.807804914482</v>
      </c>
      <c r="Q15" s="204">
        <v>32.656044140076112</v>
      </c>
      <c r="R15" s="204">
        <v>15.473533802907214</v>
      </c>
      <c r="S15" s="205">
        <v>57.735690126779041</v>
      </c>
      <c r="T15" s="206">
        <f t="shared" si="0"/>
        <v>72.169612658473795</v>
      </c>
      <c r="U15" s="206">
        <f t="shared" si="1"/>
        <v>43.301767595084279</v>
      </c>
      <c r="V15" s="207">
        <f t="shared" si="2"/>
        <v>28.867845063389517</v>
      </c>
      <c r="W15"/>
      <c r="X15"/>
    </row>
    <row r="16" spans="1:24" ht="19.2" customHeight="1" x14ac:dyDescent="0.3">
      <c r="A16" s="698"/>
      <c r="B16" s="593">
        <v>14</v>
      </c>
      <c r="C16" s="198"/>
      <c r="D16" s="198"/>
      <c r="E16" s="198"/>
      <c r="F16" s="593"/>
      <c r="G16" s="593"/>
      <c r="H16" s="593"/>
      <c r="I16" s="593"/>
      <c r="J16" s="198"/>
      <c r="K16" s="198"/>
      <c r="L16" s="198"/>
      <c r="N16" s="645"/>
      <c r="O16" s="203">
        <v>14</v>
      </c>
      <c r="P16" s="125">
        <v>22787.738910986311</v>
      </c>
      <c r="Q16" s="204">
        <v>21.807169831743543</v>
      </c>
      <c r="R16" s="204">
        <v>11.433166078385915</v>
      </c>
      <c r="S16" s="205">
        <v>68.502534470485045</v>
      </c>
      <c r="T16" s="206">
        <f t="shared" si="0"/>
        <v>85.628168088106307</v>
      </c>
      <c r="U16" s="206">
        <f t="shared" si="1"/>
        <v>51.376900852863784</v>
      </c>
      <c r="V16" s="207">
        <f t="shared" si="2"/>
        <v>34.251267235242523</v>
      </c>
      <c r="W16"/>
      <c r="X16"/>
    </row>
    <row r="17" spans="1:24" ht="19.2" customHeight="1" x14ac:dyDescent="0.3">
      <c r="A17" s="698"/>
      <c r="B17" s="593">
        <v>15</v>
      </c>
      <c r="C17" s="198"/>
      <c r="D17" s="198"/>
      <c r="E17" s="198"/>
      <c r="F17" s="593"/>
      <c r="G17" s="593"/>
      <c r="H17" s="593"/>
      <c r="I17" s="593"/>
      <c r="J17" s="198"/>
      <c r="K17" s="198"/>
      <c r="L17" s="198"/>
      <c r="N17" s="645"/>
      <c r="O17" s="203">
        <v>15</v>
      </c>
      <c r="P17" s="125">
        <v>54746.00286987007</v>
      </c>
      <c r="Q17" s="204">
        <v>21.954275213561427</v>
      </c>
      <c r="R17" s="204">
        <v>10.439126469769764</v>
      </c>
      <c r="S17" s="205">
        <v>47.715256155256746</v>
      </c>
      <c r="T17" s="206">
        <f t="shared" si="0"/>
        <v>59.644070194070935</v>
      </c>
      <c r="U17" s="206">
        <f t="shared" si="1"/>
        <v>35.786442116442558</v>
      </c>
      <c r="V17" s="207">
        <f t="shared" si="2"/>
        <v>23.857628077628377</v>
      </c>
      <c r="W17"/>
      <c r="X17"/>
    </row>
    <row r="18" spans="1:24" ht="19.2" customHeight="1" x14ac:dyDescent="0.3">
      <c r="A18" s="698"/>
      <c r="B18" s="593">
        <v>16</v>
      </c>
      <c r="C18" s="198"/>
      <c r="D18" s="198"/>
      <c r="E18" s="198"/>
      <c r="F18" s="593"/>
      <c r="G18" s="593"/>
      <c r="H18" s="593"/>
      <c r="I18" s="593"/>
      <c r="J18" s="198"/>
      <c r="K18" s="198"/>
      <c r="L18" s="198"/>
      <c r="N18" s="645"/>
      <c r="O18" s="203">
        <v>16</v>
      </c>
      <c r="P18" s="125">
        <v>85267.890424747078</v>
      </c>
      <c r="Q18" s="204">
        <v>27.026910677602114</v>
      </c>
      <c r="R18" s="204">
        <v>11.652926502476937</v>
      </c>
      <c r="S18" s="205">
        <v>67.576478394300892</v>
      </c>
      <c r="T18" s="206">
        <f t="shared" si="0"/>
        <v>84.470597992876122</v>
      </c>
      <c r="U18" s="206">
        <f t="shared" si="1"/>
        <v>50.682358795725669</v>
      </c>
      <c r="V18" s="207">
        <f t="shared" si="2"/>
        <v>33.788239197150453</v>
      </c>
      <c r="W18"/>
      <c r="X18"/>
    </row>
    <row r="19" spans="1:24" ht="12.75" customHeight="1" x14ac:dyDescent="0.25"/>
    <row r="20" spans="1:24" x14ac:dyDescent="0.25">
      <c r="Q20" s="4" t="s">
        <v>748</v>
      </c>
    </row>
    <row r="21" spans="1:24" ht="14.4" x14ac:dyDescent="0.3">
      <c r="A21"/>
      <c r="B21"/>
      <c r="Q21" s="4" t="s">
        <v>749</v>
      </c>
    </row>
    <row r="22" spans="1:24" ht="14.4" x14ac:dyDescent="0.3">
      <c r="A22"/>
      <c r="B22"/>
    </row>
    <row r="23" spans="1:24" ht="14.4" x14ac:dyDescent="0.3">
      <c r="A23"/>
      <c r="B23"/>
    </row>
    <row r="24" spans="1:24" ht="14.4" x14ac:dyDescent="0.3">
      <c r="A24"/>
      <c r="B24"/>
      <c r="O24"/>
      <c r="P24"/>
      <c r="Q24"/>
      <c r="R24"/>
      <c r="S24"/>
      <c r="T24"/>
      <c r="U24"/>
    </row>
    <row r="25" spans="1:24" customFormat="1" ht="14.4" x14ac:dyDescent="0.3"/>
    <row r="26" spans="1:24" ht="14.4" x14ac:dyDescent="0.3">
      <c r="A26"/>
      <c r="B26"/>
      <c r="O26"/>
      <c r="P26"/>
      <c r="Q26"/>
      <c r="R26"/>
      <c r="S26"/>
      <c r="T26"/>
      <c r="U26"/>
    </row>
    <row r="27" spans="1:24" ht="14.4" x14ac:dyDescent="0.3">
      <c r="A27"/>
      <c r="B27"/>
      <c r="O27"/>
      <c r="P27"/>
      <c r="Q27"/>
      <c r="R27"/>
      <c r="S27"/>
      <c r="T27"/>
      <c r="U27"/>
    </row>
    <row r="28" spans="1:24" ht="14.4" x14ac:dyDescent="0.3">
      <c r="A28"/>
      <c r="B28"/>
      <c r="O28"/>
      <c r="P28"/>
      <c r="Q28"/>
      <c r="R28"/>
      <c r="S28"/>
      <c r="T28"/>
      <c r="U28"/>
    </row>
    <row r="29" spans="1:24" ht="14.4" x14ac:dyDescent="0.3">
      <c r="A29"/>
      <c r="B29"/>
      <c r="O29"/>
      <c r="P29"/>
      <c r="Q29"/>
      <c r="R29"/>
      <c r="S29"/>
      <c r="T29"/>
      <c r="U29"/>
    </row>
    <row r="30" spans="1:24" ht="14.4" x14ac:dyDescent="0.3">
      <c r="A30"/>
      <c r="B30"/>
      <c r="O30"/>
      <c r="P30"/>
      <c r="Q30"/>
      <c r="R30"/>
      <c r="S30"/>
      <c r="T30"/>
      <c r="U30"/>
    </row>
    <row r="31" spans="1:24" ht="14.4" x14ac:dyDescent="0.3">
      <c r="A31"/>
      <c r="B31"/>
      <c r="O31"/>
      <c r="P31"/>
      <c r="Q31"/>
      <c r="R31"/>
      <c r="S31"/>
      <c r="T31"/>
      <c r="U31"/>
    </row>
    <row r="32" spans="1:24" ht="14.4" x14ac:dyDescent="0.3">
      <c r="A32"/>
      <c r="B32"/>
      <c r="O32"/>
      <c r="P32"/>
      <c r="Q32"/>
      <c r="R32"/>
      <c r="S32"/>
      <c r="T32"/>
      <c r="U32"/>
    </row>
    <row r="33" spans="1:21" ht="14.4" x14ac:dyDescent="0.3">
      <c r="A33"/>
      <c r="B33"/>
      <c r="O33"/>
      <c r="P33"/>
      <c r="Q33"/>
      <c r="R33"/>
      <c r="S33"/>
      <c r="T33"/>
      <c r="U33"/>
    </row>
    <row r="34" spans="1:21" ht="14.4" x14ac:dyDescent="0.3">
      <c r="A34"/>
      <c r="B34"/>
      <c r="O34"/>
      <c r="P34"/>
      <c r="Q34"/>
      <c r="R34"/>
      <c r="S34"/>
      <c r="T34"/>
      <c r="U34"/>
    </row>
    <row r="35" spans="1:21" ht="14.4" x14ac:dyDescent="0.3">
      <c r="A35"/>
      <c r="B35"/>
      <c r="O35"/>
      <c r="P35"/>
      <c r="Q35"/>
      <c r="R35"/>
      <c r="S35"/>
      <c r="T35"/>
      <c r="U35"/>
    </row>
    <row r="36" spans="1:21" ht="14.4" x14ac:dyDescent="0.3">
      <c r="A36"/>
      <c r="B36"/>
      <c r="O36"/>
      <c r="P36"/>
      <c r="Q36"/>
      <c r="R36"/>
      <c r="S36"/>
      <c r="T36"/>
      <c r="U36"/>
    </row>
    <row r="37" spans="1:21" ht="14.4" x14ac:dyDescent="0.3">
      <c r="A37"/>
      <c r="B37"/>
      <c r="O37"/>
      <c r="P37"/>
      <c r="Q37"/>
      <c r="R37"/>
      <c r="S37"/>
      <c r="T37"/>
      <c r="U37"/>
    </row>
    <row r="38" spans="1:21" ht="14.4" x14ac:dyDescent="0.3">
      <c r="O38"/>
      <c r="P38"/>
      <c r="Q38"/>
      <c r="R38"/>
      <c r="S38"/>
      <c r="T38"/>
      <c r="U38"/>
    </row>
    <row r="39" spans="1:21" ht="14.4" x14ac:dyDescent="0.3">
      <c r="O39"/>
      <c r="P39"/>
      <c r="Q39"/>
      <c r="R39"/>
      <c r="S39"/>
      <c r="T39"/>
      <c r="U39"/>
    </row>
    <row r="40" spans="1:21" ht="14.4" x14ac:dyDescent="0.3">
      <c r="O40"/>
      <c r="P40"/>
      <c r="Q40"/>
      <c r="R40"/>
      <c r="S40"/>
      <c r="T40"/>
      <c r="U40"/>
    </row>
    <row r="41" spans="1:21" ht="14.4" x14ac:dyDescent="0.3">
      <c r="O41"/>
      <c r="P41"/>
      <c r="Q41"/>
      <c r="R41"/>
      <c r="S41"/>
      <c r="T41"/>
      <c r="U41"/>
    </row>
    <row r="42" spans="1:21" ht="14.4" x14ac:dyDescent="0.3">
      <c r="O42"/>
      <c r="P42"/>
      <c r="Q42"/>
      <c r="R42"/>
      <c r="S42"/>
      <c r="T42"/>
      <c r="U42"/>
    </row>
    <row r="43" spans="1:21" ht="14.4" x14ac:dyDescent="0.3">
      <c r="O43"/>
      <c r="P43"/>
      <c r="Q43"/>
      <c r="R43"/>
      <c r="S43"/>
      <c r="T43"/>
      <c r="U43"/>
    </row>
    <row r="44" spans="1:21" ht="14.4" x14ac:dyDescent="0.3">
      <c r="O44"/>
      <c r="P44"/>
      <c r="Q44"/>
      <c r="R44"/>
      <c r="S44"/>
      <c r="T44"/>
      <c r="U44"/>
    </row>
    <row r="45" spans="1:21" ht="14.4" x14ac:dyDescent="0.3">
      <c r="O45"/>
      <c r="P45"/>
      <c r="Q45"/>
      <c r="R45"/>
      <c r="S45"/>
      <c r="T45"/>
      <c r="U45"/>
    </row>
    <row r="46" spans="1:21" ht="14.4" x14ac:dyDescent="0.3">
      <c r="O46"/>
      <c r="P46"/>
      <c r="Q46"/>
      <c r="R46"/>
      <c r="S46"/>
      <c r="T46"/>
      <c r="U46"/>
    </row>
    <row r="47" spans="1:21" ht="14.4" x14ac:dyDescent="0.3">
      <c r="O47"/>
      <c r="P47"/>
      <c r="Q47"/>
      <c r="R47"/>
      <c r="S47"/>
      <c r="T47"/>
      <c r="U47"/>
    </row>
    <row r="48" spans="1:21" ht="14.4" x14ac:dyDescent="0.3">
      <c r="O48"/>
      <c r="P48"/>
      <c r="Q48"/>
      <c r="R48"/>
      <c r="S48"/>
      <c r="T48"/>
      <c r="U48"/>
    </row>
    <row r="49" spans="15:21" ht="14.4" x14ac:dyDescent="0.3">
      <c r="O49"/>
      <c r="P49"/>
      <c r="Q49"/>
      <c r="R49"/>
      <c r="S49"/>
      <c r="T49"/>
      <c r="U49"/>
    </row>
    <row r="50" spans="15:21" ht="14.4" x14ac:dyDescent="0.3">
      <c r="O50"/>
      <c r="P50"/>
      <c r="Q50"/>
      <c r="R50"/>
      <c r="S50"/>
      <c r="T50"/>
      <c r="U50"/>
    </row>
    <row r="51" spans="15:21" ht="14.4" x14ac:dyDescent="0.3">
      <c r="O51"/>
      <c r="P51"/>
      <c r="Q51"/>
      <c r="R51"/>
      <c r="S51"/>
      <c r="T51"/>
      <c r="U51"/>
    </row>
    <row r="52" spans="15:21" ht="14.4" x14ac:dyDescent="0.3">
      <c r="O52"/>
      <c r="P52"/>
      <c r="Q52"/>
      <c r="R52"/>
      <c r="S52"/>
      <c r="T52"/>
      <c r="U52"/>
    </row>
    <row r="53" spans="15:21" ht="14.4" x14ac:dyDescent="0.3">
      <c r="O53"/>
      <c r="P53"/>
      <c r="Q53"/>
      <c r="R53"/>
      <c r="S53"/>
      <c r="T53"/>
      <c r="U53"/>
    </row>
    <row r="54" spans="15:21" ht="14.4" x14ac:dyDescent="0.3">
      <c r="O54"/>
      <c r="P54"/>
      <c r="Q54"/>
      <c r="R54"/>
      <c r="S54"/>
      <c r="T54"/>
      <c r="U54"/>
    </row>
    <row r="55" spans="15:21" ht="14.4" x14ac:dyDescent="0.3">
      <c r="O55"/>
      <c r="P55"/>
      <c r="Q55"/>
      <c r="R55"/>
      <c r="S55"/>
      <c r="T55"/>
      <c r="U55"/>
    </row>
    <row r="56" spans="15:21" ht="14.4" x14ac:dyDescent="0.3">
      <c r="O56"/>
      <c r="P56"/>
      <c r="Q56"/>
      <c r="R56"/>
      <c r="S56"/>
      <c r="T56"/>
      <c r="U56"/>
    </row>
    <row r="57" spans="15:21" ht="14.4" x14ac:dyDescent="0.3">
      <c r="O57"/>
      <c r="P57"/>
      <c r="Q57"/>
      <c r="R57"/>
      <c r="S57"/>
      <c r="T57"/>
      <c r="U57"/>
    </row>
    <row r="58" spans="15:21" ht="14.4" x14ac:dyDescent="0.3">
      <c r="O58"/>
      <c r="P58"/>
      <c r="Q58"/>
      <c r="R58"/>
      <c r="S58"/>
      <c r="T58"/>
      <c r="U58"/>
    </row>
    <row r="59" spans="15:21" ht="14.4" x14ac:dyDescent="0.3">
      <c r="O59"/>
      <c r="P59"/>
      <c r="Q59"/>
      <c r="R59"/>
      <c r="S59"/>
      <c r="T59"/>
      <c r="U59"/>
    </row>
    <row r="60" spans="15:21" ht="14.4" x14ac:dyDescent="0.3">
      <c r="O60"/>
      <c r="P60"/>
      <c r="Q60"/>
      <c r="R60"/>
      <c r="S60"/>
      <c r="T60"/>
      <c r="U60"/>
    </row>
    <row r="61" spans="15:21" ht="14.4" x14ac:dyDescent="0.3">
      <c r="O61"/>
      <c r="P61"/>
      <c r="Q61"/>
      <c r="R61"/>
      <c r="S61"/>
      <c r="T61"/>
      <c r="U61"/>
    </row>
    <row r="62" spans="15:21" ht="14.4" x14ac:dyDescent="0.3">
      <c r="O62"/>
      <c r="P62"/>
      <c r="Q62"/>
      <c r="R62"/>
      <c r="S62"/>
      <c r="T62"/>
      <c r="U62"/>
    </row>
    <row r="63" spans="15:21" ht="14.4" x14ac:dyDescent="0.3">
      <c r="O63"/>
      <c r="P63"/>
      <c r="Q63"/>
      <c r="R63"/>
      <c r="S63"/>
      <c r="T63"/>
      <c r="U63"/>
    </row>
    <row r="64" spans="15:21" ht="14.4" x14ac:dyDescent="0.3">
      <c r="O64"/>
      <c r="P64"/>
      <c r="Q64"/>
      <c r="R64"/>
      <c r="S64"/>
      <c r="T64"/>
      <c r="U64"/>
    </row>
    <row r="65" spans="15:21" ht="14.4" x14ac:dyDescent="0.3">
      <c r="O65"/>
      <c r="P65"/>
      <c r="Q65"/>
      <c r="R65"/>
      <c r="S65"/>
      <c r="T65"/>
      <c r="U65"/>
    </row>
    <row r="66" spans="15:21" ht="14.4" x14ac:dyDescent="0.3">
      <c r="O66"/>
      <c r="P66"/>
      <c r="Q66"/>
      <c r="R66"/>
      <c r="S66"/>
      <c r="T66"/>
      <c r="U66"/>
    </row>
    <row r="67" spans="15:21" ht="14.4" x14ac:dyDescent="0.3">
      <c r="O67"/>
      <c r="P67"/>
      <c r="Q67"/>
      <c r="R67"/>
      <c r="S67"/>
      <c r="T67"/>
      <c r="U67"/>
    </row>
    <row r="68" spans="15:21" ht="14.4" x14ac:dyDescent="0.3">
      <c r="O68"/>
      <c r="P68"/>
      <c r="Q68"/>
      <c r="R68"/>
      <c r="S68"/>
      <c r="T68"/>
      <c r="U68"/>
    </row>
    <row r="69" spans="15:21" ht="14.4" x14ac:dyDescent="0.3">
      <c r="O69"/>
      <c r="P69"/>
      <c r="Q69"/>
      <c r="R69"/>
      <c r="S69"/>
      <c r="T69"/>
      <c r="U69"/>
    </row>
    <row r="70" spans="15:21" ht="14.4" x14ac:dyDescent="0.3">
      <c r="O70"/>
      <c r="P70"/>
      <c r="Q70"/>
      <c r="R70"/>
      <c r="S70"/>
      <c r="T70"/>
      <c r="U70"/>
    </row>
    <row r="71" spans="15:21" ht="14.4" x14ac:dyDescent="0.3">
      <c r="O71"/>
      <c r="P71"/>
      <c r="Q71"/>
      <c r="R71"/>
      <c r="S71"/>
      <c r="T71"/>
      <c r="U71"/>
    </row>
    <row r="72" spans="15:21" ht="14.4" x14ac:dyDescent="0.3">
      <c r="O72"/>
      <c r="P72"/>
      <c r="Q72"/>
      <c r="R72"/>
      <c r="S72"/>
      <c r="T72"/>
      <c r="U72"/>
    </row>
    <row r="73" spans="15:21" ht="14.4" x14ac:dyDescent="0.3">
      <c r="O73"/>
      <c r="P73"/>
      <c r="Q73"/>
      <c r="R73"/>
      <c r="S73"/>
      <c r="T73"/>
      <c r="U73"/>
    </row>
    <row r="74" spans="15:21" ht="14.4" x14ac:dyDescent="0.3">
      <c r="O74"/>
      <c r="P74"/>
      <c r="Q74"/>
      <c r="R74"/>
      <c r="S74"/>
      <c r="T74"/>
      <c r="U74"/>
    </row>
    <row r="75" spans="15:21" ht="14.4" x14ac:dyDescent="0.3">
      <c r="O75"/>
      <c r="P75"/>
      <c r="Q75"/>
      <c r="R75"/>
      <c r="S75"/>
      <c r="T75"/>
      <c r="U75"/>
    </row>
    <row r="76" spans="15:21" ht="14.4" x14ac:dyDescent="0.3">
      <c r="O76"/>
      <c r="P76"/>
      <c r="Q76"/>
      <c r="R76"/>
      <c r="S76"/>
      <c r="T76"/>
      <c r="U76"/>
    </row>
    <row r="77" spans="15:21" ht="14.4" x14ac:dyDescent="0.3">
      <c r="O77"/>
      <c r="P77"/>
      <c r="Q77"/>
      <c r="R77"/>
      <c r="S77"/>
      <c r="T77"/>
      <c r="U77"/>
    </row>
    <row r="78" spans="15:21" ht="14.4" x14ac:dyDescent="0.3">
      <c r="O78"/>
      <c r="P78"/>
      <c r="Q78"/>
      <c r="R78"/>
      <c r="S78"/>
      <c r="T78"/>
      <c r="U78"/>
    </row>
    <row r="79" spans="15:21" ht="14.4" x14ac:dyDescent="0.3">
      <c r="O79"/>
      <c r="P79"/>
      <c r="Q79"/>
      <c r="R79"/>
      <c r="S79"/>
      <c r="T79"/>
      <c r="U79"/>
    </row>
    <row r="80" spans="15:21" ht="14.4" x14ac:dyDescent="0.3">
      <c r="O80"/>
      <c r="P80"/>
      <c r="Q80"/>
      <c r="R80"/>
      <c r="S80"/>
      <c r="T80"/>
      <c r="U80"/>
    </row>
    <row r="81" spans="15:21" ht="14.4" x14ac:dyDescent="0.3">
      <c r="O81"/>
      <c r="P81"/>
      <c r="Q81"/>
      <c r="R81"/>
      <c r="S81"/>
      <c r="T81"/>
      <c r="U81"/>
    </row>
    <row r="82" spans="15:21" ht="14.4" x14ac:dyDescent="0.3">
      <c r="O82"/>
      <c r="P82"/>
      <c r="Q82"/>
      <c r="R82"/>
      <c r="S82"/>
      <c r="T82"/>
      <c r="U82"/>
    </row>
    <row r="83" spans="15:21" ht="14.4" x14ac:dyDescent="0.3">
      <c r="O83"/>
      <c r="P83"/>
      <c r="Q83"/>
      <c r="R83"/>
      <c r="S83"/>
      <c r="T83"/>
      <c r="U83"/>
    </row>
    <row r="84" spans="15:21" ht="14.4" x14ac:dyDescent="0.3">
      <c r="O84"/>
      <c r="P84"/>
      <c r="Q84"/>
      <c r="R84"/>
      <c r="S84"/>
      <c r="T84"/>
      <c r="U84"/>
    </row>
    <row r="85" spans="15:21" ht="14.4" x14ac:dyDescent="0.3">
      <c r="O85"/>
      <c r="P85"/>
      <c r="Q85"/>
      <c r="R85"/>
      <c r="S85"/>
      <c r="T85"/>
      <c r="U85"/>
    </row>
    <row r="86" spans="15:21" ht="14.4" x14ac:dyDescent="0.3">
      <c r="O86"/>
      <c r="P86"/>
      <c r="Q86"/>
      <c r="R86"/>
      <c r="S86"/>
      <c r="T86"/>
      <c r="U86"/>
    </row>
    <row r="87" spans="15:21" ht="14.4" x14ac:dyDescent="0.3">
      <c r="O87"/>
      <c r="P87"/>
      <c r="Q87"/>
      <c r="R87"/>
      <c r="S87"/>
      <c r="T87"/>
      <c r="U87"/>
    </row>
    <row r="88" spans="15:21" ht="14.4" x14ac:dyDescent="0.3">
      <c r="O88"/>
      <c r="P88"/>
      <c r="Q88"/>
      <c r="R88"/>
      <c r="S88"/>
      <c r="T88"/>
      <c r="U88"/>
    </row>
    <row r="89" spans="15:21" ht="14.4" x14ac:dyDescent="0.3">
      <c r="O89"/>
      <c r="P89"/>
      <c r="Q89"/>
      <c r="R89"/>
      <c r="S89"/>
      <c r="T89"/>
      <c r="U89"/>
    </row>
    <row r="90" spans="15:21" ht="14.4" x14ac:dyDescent="0.3">
      <c r="O90"/>
      <c r="P90"/>
      <c r="Q90"/>
      <c r="R90"/>
      <c r="S90"/>
      <c r="T90"/>
      <c r="U90"/>
    </row>
    <row r="91" spans="15:21" ht="14.4" x14ac:dyDescent="0.3">
      <c r="O91"/>
      <c r="P91"/>
      <c r="Q91"/>
      <c r="R91"/>
      <c r="S91"/>
      <c r="T91"/>
      <c r="U91"/>
    </row>
    <row r="92" spans="15:21" ht="14.4" x14ac:dyDescent="0.3">
      <c r="O92"/>
      <c r="P92"/>
      <c r="Q92"/>
      <c r="R92"/>
      <c r="S92"/>
      <c r="T92"/>
      <c r="U92"/>
    </row>
    <row r="93" spans="15:21" ht="14.4" x14ac:dyDescent="0.3">
      <c r="O93"/>
      <c r="P93"/>
      <c r="Q93"/>
      <c r="R93"/>
      <c r="S93"/>
      <c r="T93"/>
      <c r="U93"/>
    </row>
    <row r="94" spans="15:21" ht="14.4" x14ac:dyDescent="0.3">
      <c r="O94"/>
      <c r="P94"/>
      <c r="Q94"/>
      <c r="R94"/>
      <c r="S94"/>
      <c r="T94"/>
      <c r="U94"/>
    </row>
    <row r="95" spans="15:21" ht="14.4" x14ac:dyDescent="0.3">
      <c r="O95"/>
      <c r="P95"/>
      <c r="Q95"/>
      <c r="R95"/>
      <c r="S95"/>
      <c r="T95"/>
      <c r="U95"/>
    </row>
    <row r="96" spans="15:21" ht="14.4" x14ac:dyDescent="0.3">
      <c r="O96"/>
      <c r="P96"/>
      <c r="Q96"/>
      <c r="R96"/>
      <c r="S96"/>
      <c r="T96"/>
      <c r="U96"/>
    </row>
    <row r="97" spans="15:21" ht="14.4" x14ac:dyDescent="0.3">
      <c r="O97"/>
      <c r="P97"/>
      <c r="Q97"/>
      <c r="R97"/>
      <c r="S97"/>
      <c r="T97"/>
      <c r="U97"/>
    </row>
    <row r="98" spans="15:21" ht="14.4" x14ac:dyDescent="0.3">
      <c r="O98"/>
      <c r="P98"/>
      <c r="Q98"/>
      <c r="R98"/>
      <c r="S98"/>
      <c r="T98"/>
      <c r="U98"/>
    </row>
    <row r="99" spans="15:21" ht="14.4" x14ac:dyDescent="0.3">
      <c r="O99"/>
      <c r="P99"/>
      <c r="Q99"/>
      <c r="R99"/>
      <c r="S99"/>
      <c r="T99"/>
      <c r="U99"/>
    </row>
    <row r="100" spans="15:21" ht="14.4" x14ac:dyDescent="0.3">
      <c r="O100"/>
      <c r="P100"/>
      <c r="Q100"/>
      <c r="R100"/>
      <c r="S100"/>
      <c r="T100"/>
      <c r="U100"/>
    </row>
    <row r="101" spans="15:21" ht="14.4" x14ac:dyDescent="0.3">
      <c r="O101"/>
      <c r="P101"/>
      <c r="Q101"/>
      <c r="R101"/>
      <c r="S101"/>
      <c r="T101"/>
      <c r="U101"/>
    </row>
    <row r="102" spans="15:21" ht="14.4" x14ac:dyDescent="0.3">
      <c r="O102"/>
      <c r="P102"/>
      <c r="Q102"/>
      <c r="R102"/>
      <c r="S102"/>
      <c r="T102"/>
      <c r="U102"/>
    </row>
    <row r="103" spans="15:21" ht="14.4" x14ac:dyDescent="0.3">
      <c r="O103"/>
      <c r="P103"/>
      <c r="Q103"/>
      <c r="R103"/>
      <c r="S103"/>
      <c r="T103"/>
      <c r="U103"/>
    </row>
    <row r="104" spans="15:21" ht="14.4" x14ac:dyDescent="0.3">
      <c r="O104"/>
      <c r="P104"/>
      <c r="Q104"/>
      <c r="R104"/>
      <c r="S104"/>
      <c r="T104"/>
      <c r="U104"/>
    </row>
    <row r="105" spans="15:21" ht="14.4" x14ac:dyDescent="0.3">
      <c r="O105"/>
      <c r="P105"/>
      <c r="Q105"/>
      <c r="R105"/>
      <c r="S105"/>
      <c r="T105"/>
      <c r="U105"/>
    </row>
    <row r="106" spans="15:21" ht="14.4" x14ac:dyDescent="0.3">
      <c r="O106"/>
      <c r="P106"/>
      <c r="Q106"/>
      <c r="R106"/>
      <c r="S106"/>
      <c r="T106"/>
      <c r="U106"/>
    </row>
    <row r="107" spans="15:21" ht="14.4" x14ac:dyDescent="0.3">
      <c r="O107"/>
      <c r="P107"/>
      <c r="Q107"/>
      <c r="R107"/>
      <c r="S107"/>
      <c r="T107"/>
      <c r="U107"/>
    </row>
    <row r="108" spans="15:21" ht="14.4" x14ac:dyDescent="0.3">
      <c r="O108"/>
      <c r="P108"/>
      <c r="Q108"/>
      <c r="R108"/>
      <c r="S108"/>
      <c r="T108"/>
      <c r="U108"/>
    </row>
    <row r="109" spans="15:21" ht="14.4" x14ac:dyDescent="0.3">
      <c r="O109"/>
      <c r="P109"/>
      <c r="Q109"/>
      <c r="R109"/>
      <c r="S109"/>
      <c r="T109"/>
      <c r="U109"/>
    </row>
    <row r="110" spans="15:21" ht="14.4" x14ac:dyDescent="0.3">
      <c r="O110"/>
      <c r="P110"/>
      <c r="Q110"/>
      <c r="R110"/>
      <c r="S110"/>
      <c r="T110"/>
      <c r="U110"/>
    </row>
    <row r="111" spans="15:21" ht="14.4" x14ac:dyDescent="0.3">
      <c r="O111"/>
      <c r="P111"/>
      <c r="Q111"/>
      <c r="R111"/>
      <c r="S111"/>
      <c r="T111"/>
      <c r="U111"/>
    </row>
    <row r="112" spans="15:21" ht="14.4" x14ac:dyDescent="0.3">
      <c r="O112"/>
      <c r="P112"/>
      <c r="Q112"/>
      <c r="R112"/>
      <c r="S112"/>
      <c r="T112"/>
      <c r="U112"/>
    </row>
    <row r="113" spans="15:21" ht="14.4" x14ac:dyDescent="0.3">
      <c r="O113"/>
      <c r="P113"/>
      <c r="Q113"/>
      <c r="R113"/>
      <c r="S113"/>
      <c r="T113"/>
      <c r="U113"/>
    </row>
    <row r="114" spans="15:21" ht="14.4" x14ac:dyDescent="0.3">
      <c r="O114"/>
      <c r="P114"/>
      <c r="Q114"/>
      <c r="R114"/>
      <c r="S114"/>
      <c r="T114"/>
      <c r="U114"/>
    </row>
    <row r="115" spans="15:21" ht="14.4" x14ac:dyDescent="0.3">
      <c r="O115"/>
      <c r="P115"/>
      <c r="Q115"/>
      <c r="R115"/>
      <c r="S115"/>
      <c r="T115"/>
      <c r="U115"/>
    </row>
    <row r="116" spans="15:21" ht="14.4" x14ac:dyDescent="0.3">
      <c r="O116"/>
      <c r="P116"/>
      <c r="Q116"/>
      <c r="R116"/>
      <c r="S116"/>
      <c r="T116"/>
      <c r="U116"/>
    </row>
    <row r="117" spans="15:21" ht="14.4" x14ac:dyDescent="0.3">
      <c r="O117"/>
      <c r="P117"/>
      <c r="Q117"/>
      <c r="R117"/>
      <c r="S117"/>
      <c r="T117"/>
      <c r="U117"/>
    </row>
    <row r="118" spans="15:21" ht="14.4" x14ac:dyDescent="0.3">
      <c r="O118"/>
      <c r="P118"/>
      <c r="Q118"/>
      <c r="R118"/>
      <c r="S118"/>
      <c r="T118"/>
      <c r="U118"/>
    </row>
    <row r="119" spans="15:21" ht="14.4" x14ac:dyDescent="0.3">
      <c r="O119"/>
      <c r="P119"/>
      <c r="Q119"/>
      <c r="R119"/>
      <c r="S119"/>
      <c r="T119"/>
      <c r="U119"/>
    </row>
    <row r="120" spans="15:21" ht="14.4" x14ac:dyDescent="0.3">
      <c r="O120"/>
      <c r="P120"/>
      <c r="Q120"/>
      <c r="R120"/>
      <c r="S120"/>
      <c r="T120"/>
      <c r="U120"/>
    </row>
    <row r="121" spans="15:21" ht="14.4" x14ac:dyDescent="0.3">
      <c r="O121"/>
      <c r="P121"/>
      <c r="Q121"/>
      <c r="R121"/>
      <c r="S121"/>
      <c r="T121"/>
      <c r="U121"/>
    </row>
    <row r="122" spans="15:21" ht="14.4" x14ac:dyDescent="0.3">
      <c r="O122"/>
      <c r="P122"/>
      <c r="Q122"/>
      <c r="R122"/>
      <c r="S122"/>
      <c r="T122"/>
      <c r="U122"/>
    </row>
    <row r="123" spans="15:21" ht="14.4" x14ac:dyDescent="0.3">
      <c r="O123"/>
      <c r="P123"/>
      <c r="Q123"/>
      <c r="R123"/>
      <c r="S123"/>
      <c r="T123"/>
      <c r="U123"/>
    </row>
    <row r="124" spans="15:21" ht="14.4" x14ac:dyDescent="0.3">
      <c r="O124"/>
      <c r="P124"/>
      <c r="Q124"/>
      <c r="R124"/>
      <c r="S124"/>
      <c r="T124"/>
      <c r="U124"/>
    </row>
    <row r="125" spans="15:21" ht="14.4" x14ac:dyDescent="0.3">
      <c r="O125"/>
      <c r="P125"/>
      <c r="Q125"/>
      <c r="R125"/>
      <c r="S125"/>
      <c r="T125"/>
      <c r="U125"/>
    </row>
    <row r="126" spans="15:21" ht="14.4" x14ac:dyDescent="0.3">
      <c r="O126"/>
      <c r="P126"/>
      <c r="Q126"/>
      <c r="R126"/>
      <c r="S126"/>
      <c r="T126"/>
      <c r="U126"/>
    </row>
    <row r="127" spans="15:21" ht="14.4" x14ac:dyDescent="0.3">
      <c r="O127"/>
      <c r="P127"/>
      <c r="Q127"/>
      <c r="R127"/>
      <c r="S127"/>
      <c r="T127"/>
      <c r="U127"/>
    </row>
    <row r="128" spans="15:21" ht="14.4" x14ac:dyDescent="0.3">
      <c r="O128"/>
      <c r="P128"/>
      <c r="Q128"/>
      <c r="R128"/>
      <c r="S128"/>
      <c r="T128"/>
      <c r="U128"/>
    </row>
    <row r="129" spans="15:21" ht="14.4" x14ac:dyDescent="0.3">
      <c r="O129"/>
      <c r="P129"/>
      <c r="Q129"/>
      <c r="R129"/>
      <c r="S129"/>
      <c r="T129"/>
      <c r="U129"/>
    </row>
    <row r="130" spans="15:21" ht="14.4" x14ac:dyDescent="0.3">
      <c r="O130"/>
      <c r="P130"/>
      <c r="Q130"/>
      <c r="R130"/>
      <c r="S130"/>
      <c r="T130"/>
      <c r="U130"/>
    </row>
    <row r="131" spans="15:21" ht="14.4" x14ac:dyDescent="0.3">
      <c r="O131"/>
      <c r="P131"/>
      <c r="Q131"/>
      <c r="R131"/>
      <c r="S131"/>
      <c r="T131"/>
      <c r="U131"/>
    </row>
    <row r="132" spans="15:21" ht="14.4" x14ac:dyDescent="0.3">
      <c r="O132"/>
      <c r="P132"/>
      <c r="Q132"/>
      <c r="R132"/>
      <c r="S132"/>
      <c r="T132"/>
      <c r="U132"/>
    </row>
    <row r="133" spans="15:21" ht="14.4" x14ac:dyDescent="0.3">
      <c r="O133"/>
      <c r="P133"/>
      <c r="Q133"/>
      <c r="R133"/>
      <c r="S133"/>
      <c r="T133"/>
      <c r="U133"/>
    </row>
    <row r="134" spans="15:21" ht="14.4" x14ac:dyDescent="0.3">
      <c r="O134"/>
      <c r="P134"/>
      <c r="Q134"/>
      <c r="R134"/>
      <c r="S134"/>
      <c r="T134"/>
      <c r="U134"/>
    </row>
    <row r="135" spans="15:21" ht="14.4" x14ac:dyDescent="0.3">
      <c r="O135"/>
      <c r="P135"/>
      <c r="Q135"/>
      <c r="R135"/>
      <c r="S135"/>
      <c r="T135"/>
      <c r="U135"/>
    </row>
    <row r="136" spans="15:21" ht="14.4" x14ac:dyDescent="0.3">
      <c r="O136"/>
      <c r="P136"/>
      <c r="Q136"/>
      <c r="R136"/>
      <c r="S136"/>
      <c r="T136"/>
      <c r="U136"/>
    </row>
    <row r="137" spans="15:21" ht="14.4" x14ac:dyDescent="0.3">
      <c r="O137"/>
      <c r="P137"/>
      <c r="Q137"/>
      <c r="R137"/>
      <c r="S137"/>
      <c r="T137"/>
      <c r="U137"/>
    </row>
    <row r="138" spans="15:21" ht="14.4" x14ac:dyDescent="0.3">
      <c r="O138"/>
      <c r="P138"/>
      <c r="Q138"/>
      <c r="R138"/>
      <c r="S138"/>
      <c r="T138"/>
      <c r="U138"/>
    </row>
    <row r="139" spans="15:21" ht="14.4" x14ac:dyDescent="0.3">
      <c r="O139"/>
      <c r="P139"/>
      <c r="Q139"/>
      <c r="R139"/>
      <c r="S139"/>
      <c r="T139"/>
      <c r="U139"/>
    </row>
    <row r="140" spans="15:21" ht="14.4" x14ac:dyDescent="0.3">
      <c r="O140"/>
      <c r="P140"/>
      <c r="Q140"/>
      <c r="R140"/>
      <c r="S140"/>
      <c r="T140"/>
      <c r="U140"/>
    </row>
    <row r="141" spans="15:21" ht="14.4" x14ac:dyDescent="0.3">
      <c r="O141"/>
      <c r="P141"/>
      <c r="Q141"/>
      <c r="R141"/>
      <c r="S141"/>
      <c r="T141"/>
      <c r="U141"/>
    </row>
    <row r="142" spans="15:21" ht="14.4" x14ac:dyDescent="0.3">
      <c r="O142"/>
      <c r="P142"/>
      <c r="Q142"/>
      <c r="R142"/>
      <c r="S142"/>
      <c r="T142"/>
      <c r="U142"/>
    </row>
    <row r="143" spans="15:21" ht="14.4" x14ac:dyDescent="0.3">
      <c r="O143"/>
      <c r="P143"/>
      <c r="Q143"/>
      <c r="R143"/>
      <c r="S143"/>
      <c r="T143"/>
      <c r="U143"/>
    </row>
    <row r="144" spans="15:21" ht="14.4" x14ac:dyDescent="0.3">
      <c r="O144"/>
      <c r="P144"/>
      <c r="Q144"/>
      <c r="R144"/>
      <c r="S144"/>
      <c r="T144"/>
      <c r="U144"/>
    </row>
    <row r="145" spans="15:21" ht="14.4" x14ac:dyDescent="0.3">
      <c r="O145"/>
      <c r="P145"/>
      <c r="Q145"/>
      <c r="R145"/>
      <c r="S145"/>
      <c r="T145"/>
      <c r="U145"/>
    </row>
    <row r="146" spans="15:21" ht="14.4" x14ac:dyDescent="0.3">
      <c r="O146"/>
      <c r="P146"/>
      <c r="Q146"/>
      <c r="R146"/>
      <c r="S146"/>
      <c r="T146"/>
      <c r="U146"/>
    </row>
    <row r="147" spans="15:21" ht="14.4" x14ac:dyDescent="0.3">
      <c r="O147"/>
      <c r="P147"/>
      <c r="Q147"/>
      <c r="R147"/>
      <c r="S147"/>
      <c r="T147"/>
      <c r="U147"/>
    </row>
    <row r="148" spans="15:21" ht="14.4" x14ac:dyDescent="0.3">
      <c r="O148"/>
      <c r="P148"/>
      <c r="Q148"/>
      <c r="R148"/>
      <c r="S148"/>
      <c r="T148"/>
      <c r="U148"/>
    </row>
    <row r="149" spans="15:21" ht="14.4" x14ac:dyDescent="0.3">
      <c r="O149"/>
      <c r="P149"/>
      <c r="Q149"/>
      <c r="R149"/>
      <c r="S149"/>
      <c r="T149"/>
      <c r="U149"/>
    </row>
    <row r="150" spans="15:21" ht="14.4" x14ac:dyDescent="0.3">
      <c r="O150"/>
      <c r="P150"/>
      <c r="Q150"/>
      <c r="R150"/>
      <c r="S150"/>
      <c r="T150"/>
      <c r="U150"/>
    </row>
    <row r="151" spans="15:21" ht="14.4" x14ac:dyDescent="0.3">
      <c r="O151"/>
      <c r="P151"/>
      <c r="Q151"/>
      <c r="R151"/>
      <c r="S151"/>
      <c r="T151"/>
      <c r="U151"/>
    </row>
    <row r="152" spans="15:21" ht="14.4" x14ac:dyDescent="0.3">
      <c r="O152"/>
      <c r="P152"/>
      <c r="Q152"/>
      <c r="R152"/>
      <c r="S152"/>
      <c r="T152"/>
      <c r="U152"/>
    </row>
    <row r="153" spans="15:21" ht="14.4" x14ac:dyDescent="0.3">
      <c r="O153"/>
      <c r="P153"/>
      <c r="Q153"/>
      <c r="R153"/>
      <c r="S153"/>
      <c r="T153"/>
      <c r="U153"/>
    </row>
    <row r="154" spans="15:21" ht="14.4" x14ac:dyDescent="0.3">
      <c r="O154"/>
      <c r="P154"/>
      <c r="Q154"/>
      <c r="R154"/>
      <c r="S154"/>
      <c r="T154"/>
      <c r="U154"/>
    </row>
    <row r="155" spans="15:21" ht="14.4" x14ac:dyDescent="0.3">
      <c r="O155"/>
      <c r="P155"/>
      <c r="Q155"/>
      <c r="R155"/>
      <c r="S155"/>
      <c r="T155"/>
      <c r="U155"/>
    </row>
    <row r="156" spans="15:21" ht="14.4" x14ac:dyDescent="0.3">
      <c r="O156"/>
      <c r="P156"/>
      <c r="Q156"/>
      <c r="R156"/>
      <c r="S156"/>
      <c r="T156"/>
      <c r="U156"/>
    </row>
    <row r="157" spans="15:21" ht="14.4" x14ac:dyDescent="0.3">
      <c r="O157"/>
      <c r="P157"/>
      <c r="Q157"/>
      <c r="R157"/>
      <c r="S157"/>
      <c r="T157"/>
      <c r="U157"/>
    </row>
    <row r="158" spans="15:21" ht="14.4" x14ac:dyDescent="0.3">
      <c r="O158"/>
      <c r="P158"/>
      <c r="Q158"/>
      <c r="R158"/>
      <c r="S158"/>
      <c r="T158"/>
      <c r="U158"/>
    </row>
    <row r="159" spans="15:21" ht="14.4" x14ac:dyDescent="0.3">
      <c r="O159"/>
      <c r="P159"/>
      <c r="Q159"/>
      <c r="R159"/>
      <c r="S159"/>
      <c r="T159"/>
      <c r="U159"/>
    </row>
    <row r="160" spans="15:21" ht="14.4" x14ac:dyDescent="0.3">
      <c r="O160"/>
      <c r="P160"/>
      <c r="Q160"/>
      <c r="R160"/>
      <c r="S160"/>
      <c r="T160"/>
      <c r="U160"/>
    </row>
    <row r="161" spans="15:21" ht="14.4" x14ac:dyDescent="0.3">
      <c r="O161"/>
      <c r="P161"/>
      <c r="Q161"/>
      <c r="R161"/>
      <c r="S161"/>
      <c r="T161"/>
      <c r="U161"/>
    </row>
    <row r="162" spans="15:21" ht="14.4" x14ac:dyDescent="0.3">
      <c r="O162"/>
      <c r="P162"/>
      <c r="Q162"/>
      <c r="R162"/>
      <c r="S162"/>
      <c r="T162"/>
      <c r="U162"/>
    </row>
    <row r="163" spans="15:21" ht="14.4" x14ac:dyDescent="0.3">
      <c r="O163"/>
      <c r="P163"/>
      <c r="Q163"/>
      <c r="R163"/>
      <c r="S163"/>
      <c r="T163"/>
      <c r="U163"/>
    </row>
    <row r="164" spans="15:21" ht="14.4" x14ac:dyDescent="0.3">
      <c r="O164"/>
      <c r="P164"/>
      <c r="Q164"/>
      <c r="R164"/>
      <c r="S164"/>
      <c r="T164"/>
      <c r="U164"/>
    </row>
    <row r="165" spans="15:21" ht="14.4" x14ac:dyDescent="0.3">
      <c r="O165"/>
      <c r="P165"/>
      <c r="Q165"/>
      <c r="R165"/>
      <c r="S165"/>
      <c r="T165"/>
      <c r="U165"/>
    </row>
    <row r="166" spans="15:21" ht="14.4" x14ac:dyDescent="0.3">
      <c r="O166"/>
      <c r="P166"/>
      <c r="Q166"/>
      <c r="R166"/>
      <c r="S166"/>
      <c r="T166"/>
      <c r="U166"/>
    </row>
    <row r="167" spans="15:21" ht="14.4" x14ac:dyDescent="0.3">
      <c r="O167"/>
      <c r="P167"/>
      <c r="Q167"/>
      <c r="R167"/>
      <c r="S167"/>
      <c r="T167"/>
      <c r="U167"/>
    </row>
    <row r="168" spans="15:21" ht="14.4" x14ac:dyDescent="0.3">
      <c r="O168"/>
      <c r="P168"/>
      <c r="Q168"/>
      <c r="R168"/>
      <c r="S168"/>
      <c r="T168"/>
      <c r="U168"/>
    </row>
    <row r="169" spans="15:21" ht="14.4" x14ac:dyDescent="0.3">
      <c r="O169"/>
      <c r="P169"/>
      <c r="Q169"/>
      <c r="R169"/>
      <c r="S169"/>
      <c r="T169"/>
      <c r="U169"/>
    </row>
    <row r="170" spans="15:21" ht="14.4" x14ac:dyDescent="0.3">
      <c r="O170"/>
      <c r="P170"/>
      <c r="Q170"/>
      <c r="R170"/>
      <c r="S170"/>
      <c r="T170"/>
      <c r="U170"/>
    </row>
    <row r="171" spans="15:21" ht="14.4" x14ac:dyDescent="0.3">
      <c r="O171"/>
      <c r="P171"/>
      <c r="Q171"/>
      <c r="R171"/>
      <c r="S171"/>
      <c r="T171"/>
      <c r="U171"/>
    </row>
    <row r="172" spans="15:21" ht="14.4" x14ac:dyDescent="0.3">
      <c r="O172"/>
      <c r="P172"/>
      <c r="Q172"/>
      <c r="R172"/>
      <c r="S172"/>
      <c r="T172"/>
      <c r="U172"/>
    </row>
    <row r="173" spans="15:21" ht="14.4" x14ac:dyDescent="0.3">
      <c r="O173"/>
      <c r="P173"/>
      <c r="Q173"/>
      <c r="R173"/>
      <c r="S173"/>
      <c r="T173"/>
      <c r="U173"/>
    </row>
    <row r="174" spans="15:21" ht="14.4" x14ac:dyDescent="0.3">
      <c r="O174"/>
      <c r="P174"/>
      <c r="Q174"/>
      <c r="R174"/>
      <c r="S174"/>
      <c r="T174"/>
      <c r="U174"/>
    </row>
    <row r="175" spans="15:21" ht="14.4" x14ac:dyDescent="0.3">
      <c r="O175"/>
      <c r="P175"/>
      <c r="Q175"/>
      <c r="R175"/>
      <c r="S175"/>
      <c r="T175"/>
      <c r="U175"/>
    </row>
    <row r="176" spans="15:21" ht="14.4" x14ac:dyDescent="0.3">
      <c r="O176"/>
      <c r="P176"/>
      <c r="Q176"/>
      <c r="R176"/>
      <c r="S176"/>
      <c r="T176"/>
      <c r="U176"/>
    </row>
    <row r="177" spans="15:21" ht="14.4" x14ac:dyDescent="0.3">
      <c r="O177"/>
      <c r="P177"/>
      <c r="Q177"/>
      <c r="R177"/>
      <c r="S177"/>
      <c r="T177"/>
      <c r="U177"/>
    </row>
    <row r="178" spans="15:21" ht="14.4" x14ac:dyDescent="0.3">
      <c r="O178"/>
      <c r="P178"/>
      <c r="Q178"/>
      <c r="R178"/>
      <c r="S178"/>
      <c r="T178"/>
      <c r="U178"/>
    </row>
    <row r="179" spans="15:21" ht="14.4" x14ac:dyDescent="0.3">
      <c r="O179"/>
      <c r="P179"/>
      <c r="Q179"/>
      <c r="R179"/>
      <c r="S179"/>
      <c r="T179"/>
      <c r="U179"/>
    </row>
    <row r="180" spans="15:21" ht="14.4" x14ac:dyDescent="0.3">
      <c r="O180"/>
      <c r="P180"/>
      <c r="Q180"/>
      <c r="R180"/>
      <c r="S180"/>
      <c r="T180"/>
      <c r="U180"/>
    </row>
    <row r="181" spans="15:21" ht="14.4" x14ac:dyDescent="0.3">
      <c r="O181"/>
      <c r="P181"/>
      <c r="Q181"/>
      <c r="R181"/>
      <c r="S181"/>
      <c r="T181"/>
      <c r="U181"/>
    </row>
    <row r="182" spans="15:21" ht="14.4" x14ac:dyDescent="0.3">
      <c r="O182"/>
      <c r="P182"/>
      <c r="Q182"/>
      <c r="R182"/>
      <c r="S182"/>
      <c r="T182"/>
      <c r="U182"/>
    </row>
    <row r="183" spans="15:21" ht="14.4" x14ac:dyDescent="0.3">
      <c r="O183"/>
      <c r="P183"/>
      <c r="Q183"/>
      <c r="R183"/>
      <c r="S183"/>
      <c r="T183"/>
      <c r="U183"/>
    </row>
    <row r="184" spans="15:21" ht="14.4" x14ac:dyDescent="0.3">
      <c r="O184"/>
      <c r="P184"/>
      <c r="Q184"/>
      <c r="R184"/>
      <c r="S184"/>
      <c r="T184"/>
      <c r="U184"/>
    </row>
    <row r="185" spans="15:21" ht="14.4" x14ac:dyDescent="0.3">
      <c r="O185"/>
      <c r="P185"/>
      <c r="Q185"/>
      <c r="R185"/>
      <c r="S185"/>
      <c r="T185"/>
      <c r="U185"/>
    </row>
    <row r="186" spans="15:21" ht="14.4" x14ac:dyDescent="0.3">
      <c r="O186"/>
      <c r="P186"/>
      <c r="Q186"/>
      <c r="R186"/>
      <c r="S186"/>
      <c r="T186"/>
      <c r="U186"/>
    </row>
    <row r="187" spans="15:21" ht="14.4" x14ac:dyDescent="0.3">
      <c r="O187"/>
      <c r="P187"/>
      <c r="Q187"/>
      <c r="R187"/>
      <c r="S187"/>
      <c r="T187"/>
      <c r="U187"/>
    </row>
    <row r="188" spans="15:21" ht="14.4" x14ac:dyDescent="0.3">
      <c r="O188"/>
      <c r="P188"/>
      <c r="Q188"/>
      <c r="R188"/>
      <c r="S188"/>
      <c r="T188"/>
      <c r="U188"/>
    </row>
    <row r="189" spans="15:21" ht="14.4" x14ac:dyDescent="0.3">
      <c r="O189"/>
      <c r="P189"/>
      <c r="Q189"/>
      <c r="R189"/>
      <c r="S189"/>
      <c r="T189"/>
      <c r="U189"/>
    </row>
    <row r="190" spans="15:21" ht="14.4" x14ac:dyDescent="0.3">
      <c r="O190"/>
      <c r="P190"/>
      <c r="Q190"/>
      <c r="R190"/>
      <c r="S190"/>
      <c r="T190"/>
      <c r="U190"/>
    </row>
    <row r="191" spans="15:21" ht="14.4" x14ac:dyDescent="0.3">
      <c r="O191"/>
      <c r="P191"/>
      <c r="Q191"/>
      <c r="R191"/>
      <c r="S191"/>
      <c r="T191"/>
      <c r="U191"/>
    </row>
    <row r="192" spans="15:21" ht="14.4" x14ac:dyDescent="0.3">
      <c r="O192"/>
      <c r="P192"/>
      <c r="Q192"/>
      <c r="R192"/>
      <c r="S192"/>
      <c r="T192"/>
      <c r="U192"/>
    </row>
    <row r="193" spans="15:21" ht="14.4" x14ac:dyDescent="0.3">
      <c r="O193"/>
      <c r="P193"/>
      <c r="Q193"/>
      <c r="R193"/>
      <c r="S193"/>
      <c r="T193"/>
      <c r="U193"/>
    </row>
    <row r="194" spans="15:21" ht="14.4" x14ac:dyDescent="0.3">
      <c r="O194"/>
      <c r="P194"/>
      <c r="Q194"/>
      <c r="R194"/>
      <c r="S194"/>
      <c r="T194"/>
      <c r="U194"/>
    </row>
    <row r="195" spans="15:21" ht="14.4" x14ac:dyDescent="0.3">
      <c r="O195"/>
      <c r="P195"/>
      <c r="Q195"/>
      <c r="R195"/>
      <c r="S195"/>
      <c r="T195"/>
      <c r="U195"/>
    </row>
    <row r="196" spans="15:21" ht="14.4" x14ac:dyDescent="0.3">
      <c r="O196"/>
      <c r="P196"/>
      <c r="Q196"/>
      <c r="R196"/>
      <c r="S196"/>
      <c r="T196"/>
      <c r="U196"/>
    </row>
    <row r="197" spans="15:21" ht="14.4" x14ac:dyDescent="0.3">
      <c r="O197"/>
      <c r="P197"/>
      <c r="Q197"/>
      <c r="R197"/>
      <c r="S197"/>
      <c r="T197"/>
      <c r="U197"/>
    </row>
    <row r="198" spans="15:21" ht="14.4" x14ac:dyDescent="0.3">
      <c r="O198"/>
      <c r="P198"/>
      <c r="Q198"/>
      <c r="R198"/>
      <c r="S198"/>
      <c r="T198"/>
      <c r="U198"/>
    </row>
    <row r="199" spans="15:21" ht="14.4" x14ac:dyDescent="0.3">
      <c r="O199"/>
      <c r="P199"/>
      <c r="Q199"/>
      <c r="R199"/>
      <c r="S199"/>
      <c r="T199"/>
      <c r="U199"/>
    </row>
    <row r="200" spans="15:21" ht="14.4" x14ac:dyDescent="0.3">
      <c r="O200"/>
      <c r="P200"/>
      <c r="Q200"/>
      <c r="R200"/>
      <c r="S200"/>
      <c r="T200"/>
      <c r="U200"/>
    </row>
    <row r="201" spans="15:21" ht="14.4" x14ac:dyDescent="0.3">
      <c r="O201"/>
      <c r="P201"/>
      <c r="Q201"/>
      <c r="R201"/>
      <c r="S201"/>
      <c r="T201"/>
      <c r="U201"/>
    </row>
    <row r="202" spans="15:21" ht="14.4" x14ac:dyDescent="0.3">
      <c r="O202"/>
      <c r="P202"/>
      <c r="Q202"/>
      <c r="R202"/>
      <c r="S202"/>
      <c r="T202"/>
      <c r="U202"/>
    </row>
    <row r="203" spans="15:21" ht="14.4" x14ac:dyDescent="0.3">
      <c r="O203"/>
      <c r="P203"/>
      <c r="Q203"/>
      <c r="R203"/>
      <c r="S203"/>
      <c r="T203"/>
      <c r="U203"/>
    </row>
    <row r="204" spans="15:21" ht="14.4" x14ac:dyDescent="0.3">
      <c r="O204"/>
      <c r="P204"/>
      <c r="Q204"/>
      <c r="R204"/>
      <c r="S204"/>
      <c r="T204"/>
      <c r="U204"/>
    </row>
    <row r="205" spans="15:21" ht="14.4" x14ac:dyDescent="0.3">
      <c r="O205"/>
      <c r="P205"/>
      <c r="Q205"/>
      <c r="R205"/>
      <c r="S205"/>
      <c r="T205"/>
      <c r="U205"/>
    </row>
    <row r="206" spans="15:21" ht="14.4" x14ac:dyDescent="0.3">
      <c r="O206"/>
      <c r="P206"/>
      <c r="Q206"/>
      <c r="R206"/>
      <c r="S206"/>
      <c r="T206"/>
      <c r="U206"/>
    </row>
    <row r="207" spans="15:21" ht="14.4" x14ac:dyDescent="0.3">
      <c r="O207"/>
      <c r="P207"/>
      <c r="Q207"/>
      <c r="R207"/>
      <c r="S207"/>
      <c r="T207"/>
      <c r="U207"/>
    </row>
    <row r="208" spans="15:21" ht="14.4" x14ac:dyDescent="0.3">
      <c r="O208"/>
      <c r="P208"/>
      <c r="Q208"/>
      <c r="R208"/>
      <c r="S208"/>
      <c r="T208"/>
      <c r="U208"/>
    </row>
    <row r="209" spans="15:21" ht="14.4" x14ac:dyDescent="0.3">
      <c r="O209"/>
      <c r="P209"/>
      <c r="Q209"/>
      <c r="R209"/>
      <c r="S209"/>
      <c r="T209"/>
      <c r="U209"/>
    </row>
    <row r="210" spans="15:21" ht="14.4" x14ac:dyDescent="0.3">
      <c r="O210"/>
      <c r="P210"/>
      <c r="Q210"/>
      <c r="R210"/>
      <c r="S210"/>
      <c r="T210"/>
      <c r="U210"/>
    </row>
    <row r="211" spans="15:21" ht="14.4" x14ac:dyDescent="0.3">
      <c r="O211"/>
      <c r="P211"/>
      <c r="Q211"/>
      <c r="R211"/>
      <c r="S211"/>
      <c r="T211"/>
      <c r="U211"/>
    </row>
    <row r="212" spans="15:21" ht="14.4" x14ac:dyDescent="0.3">
      <c r="O212"/>
      <c r="P212"/>
      <c r="Q212"/>
      <c r="R212"/>
      <c r="S212"/>
      <c r="T212"/>
      <c r="U212"/>
    </row>
    <row r="213" spans="15:21" ht="14.4" x14ac:dyDescent="0.3">
      <c r="O213"/>
      <c r="P213"/>
      <c r="Q213"/>
      <c r="R213"/>
      <c r="S213"/>
      <c r="T213"/>
      <c r="U213"/>
    </row>
    <row r="214" spans="15:21" ht="14.4" x14ac:dyDescent="0.3">
      <c r="O214"/>
      <c r="P214"/>
      <c r="Q214"/>
      <c r="R214"/>
      <c r="S214"/>
      <c r="T214"/>
      <c r="U214"/>
    </row>
    <row r="215" spans="15:21" ht="14.4" x14ac:dyDescent="0.3">
      <c r="O215"/>
      <c r="P215"/>
      <c r="Q215"/>
      <c r="R215"/>
      <c r="S215"/>
      <c r="T215"/>
      <c r="U215"/>
    </row>
    <row r="216" spans="15:21" ht="14.4" x14ac:dyDescent="0.3">
      <c r="O216"/>
      <c r="P216"/>
      <c r="Q216"/>
      <c r="R216"/>
      <c r="S216"/>
      <c r="T216"/>
      <c r="U216"/>
    </row>
    <row r="217" spans="15:21" ht="14.4" x14ac:dyDescent="0.3">
      <c r="O217"/>
      <c r="P217"/>
      <c r="Q217"/>
      <c r="R217"/>
      <c r="S217"/>
      <c r="T217"/>
      <c r="U217"/>
    </row>
    <row r="218" spans="15:21" ht="14.4" x14ac:dyDescent="0.3">
      <c r="O218"/>
      <c r="P218"/>
      <c r="Q218"/>
      <c r="R218"/>
      <c r="S218"/>
      <c r="T218"/>
      <c r="U218"/>
    </row>
    <row r="219" spans="15:21" ht="14.4" x14ac:dyDescent="0.3">
      <c r="O219"/>
      <c r="P219"/>
      <c r="Q219"/>
      <c r="R219"/>
      <c r="S219"/>
      <c r="T219"/>
      <c r="U219"/>
    </row>
    <row r="220" spans="15:21" ht="14.4" x14ac:dyDescent="0.3">
      <c r="O220"/>
      <c r="P220"/>
      <c r="Q220"/>
      <c r="R220"/>
      <c r="S220"/>
      <c r="T220"/>
      <c r="U220"/>
    </row>
    <row r="221" spans="15:21" ht="14.4" x14ac:dyDescent="0.3">
      <c r="O221"/>
      <c r="P221"/>
      <c r="Q221"/>
      <c r="R221"/>
      <c r="S221"/>
      <c r="T221"/>
      <c r="U221"/>
    </row>
    <row r="222" spans="15:21" ht="14.4" x14ac:dyDescent="0.3">
      <c r="O222"/>
      <c r="P222"/>
      <c r="Q222"/>
      <c r="R222"/>
      <c r="S222"/>
      <c r="T222"/>
      <c r="U222"/>
    </row>
    <row r="223" spans="15:21" ht="14.4" x14ac:dyDescent="0.3">
      <c r="O223"/>
      <c r="P223"/>
      <c r="Q223"/>
      <c r="R223"/>
      <c r="S223"/>
      <c r="T223"/>
      <c r="U223"/>
    </row>
    <row r="224" spans="15:21" ht="14.4" x14ac:dyDescent="0.3">
      <c r="O224"/>
      <c r="P224"/>
      <c r="Q224"/>
      <c r="R224"/>
      <c r="S224"/>
      <c r="T224"/>
      <c r="U224"/>
    </row>
    <row r="225" spans="15:21" ht="14.4" x14ac:dyDescent="0.3">
      <c r="O225"/>
      <c r="P225"/>
      <c r="Q225"/>
      <c r="R225"/>
      <c r="S225"/>
      <c r="T225"/>
      <c r="U225"/>
    </row>
    <row r="226" spans="15:21" ht="14.4" x14ac:dyDescent="0.3">
      <c r="O226"/>
      <c r="P226"/>
      <c r="Q226"/>
      <c r="R226"/>
      <c r="S226"/>
      <c r="T226"/>
      <c r="U226"/>
    </row>
    <row r="227" spans="15:21" ht="14.4" x14ac:dyDescent="0.3">
      <c r="O227"/>
      <c r="P227"/>
      <c r="Q227"/>
      <c r="R227"/>
      <c r="S227"/>
      <c r="T227"/>
      <c r="U227"/>
    </row>
    <row r="228" spans="15:21" ht="14.4" x14ac:dyDescent="0.3">
      <c r="O228"/>
      <c r="P228"/>
      <c r="Q228"/>
      <c r="R228"/>
      <c r="S228"/>
      <c r="T228"/>
      <c r="U228"/>
    </row>
    <row r="229" spans="15:21" ht="14.4" x14ac:dyDescent="0.3">
      <c r="O229"/>
      <c r="P229"/>
      <c r="Q229"/>
      <c r="R229"/>
      <c r="S229"/>
      <c r="T229"/>
      <c r="U229"/>
    </row>
    <row r="230" spans="15:21" ht="14.4" x14ac:dyDescent="0.3">
      <c r="O230"/>
      <c r="P230"/>
      <c r="Q230"/>
      <c r="R230"/>
      <c r="S230"/>
      <c r="T230"/>
      <c r="U230"/>
    </row>
    <row r="231" spans="15:21" ht="14.4" x14ac:dyDescent="0.3">
      <c r="O231"/>
      <c r="P231"/>
      <c r="Q231"/>
      <c r="R231"/>
      <c r="S231"/>
      <c r="T231"/>
      <c r="U231"/>
    </row>
    <row r="232" spans="15:21" ht="14.4" x14ac:dyDescent="0.3">
      <c r="O232"/>
      <c r="P232"/>
      <c r="Q232"/>
      <c r="R232"/>
      <c r="S232"/>
      <c r="T232"/>
      <c r="U232"/>
    </row>
    <row r="233" spans="15:21" ht="14.4" x14ac:dyDescent="0.3">
      <c r="O233"/>
      <c r="P233"/>
      <c r="Q233"/>
      <c r="R233"/>
      <c r="S233"/>
      <c r="T233"/>
      <c r="U233"/>
    </row>
    <row r="234" spans="15:21" ht="14.4" x14ac:dyDescent="0.3">
      <c r="O234"/>
      <c r="P234"/>
      <c r="Q234"/>
      <c r="R234"/>
      <c r="S234"/>
      <c r="T234"/>
      <c r="U234"/>
    </row>
    <row r="235" spans="15:21" ht="14.4" x14ac:dyDescent="0.3">
      <c r="O235"/>
      <c r="P235"/>
      <c r="Q235"/>
      <c r="R235"/>
      <c r="S235"/>
      <c r="T235"/>
      <c r="U235"/>
    </row>
    <row r="236" spans="15:21" ht="14.4" x14ac:dyDescent="0.3">
      <c r="O236"/>
      <c r="P236"/>
      <c r="Q236"/>
      <c r="R236"/>
      <c r="S236"/>
      <c r="T236"/>
      <c r="U236"/>
    </row>
    <row r="237" spans="15:21" ht="14.4" x14ac:dyDescent="0.3">
      <c r="O237"/>
      <c r="P237"/>
      <c r="Q237"/>
      <c r="R237"/>
      <c r="S237"/>
      <c r="T237"/>
      <c r="U237"/>
    </row>
    <row r="238" spans="15:21" ht="14.4" x14ac:dyDescent="0.3">
      <c r="O238"/>
      <c r="P238"/>
      <c r="Q238"/>
      <c r="R238"/>
      <c r="S238"/>
      <c r="T238"/>
      <c r="U238"/>
    </row>
    <row r="239" spans="15:21" ht="14.4" x14ac:dyDescent="0.3">
      <c r="O239"/>
      <c r="P239"/>
      <c r="Q239"/>
      <c r="R239"/>
      <c r="S239"/>
      <c r="T239"/>
      <c r="U239"/>
    </row>
    <row r="240" spans="15:21" ht="14.4" x14ac:dyDescent="0.3">
      <c r="O240"/>
      <c r="P240"/>
      <c r="Q240"/>
      <c r="R240"/>
      <c r="S240"/>
      <c r="T240"/>
      <c r="U240"/>
    </row>
    <row r="241" spans="15:21" ht="14.4" x14ac:dyDescent="0.3">
      <c r="O241"/>
      <c r="P241"/>
      <c r="Q241"/>
      <c r="R241"/>
      <c r="S241"/>
      <c r="T241"/>
      <c r="U241"/>
    </row>
    <row r="242" spans="15:21" ht="14.4" x14ac:dyDescent="0.3">
      <c r="O242"/>
      <c r="P242"/>
      <c r="Q242"/>
      <c r="R242"/>
      <c r="S242"/>
      <c r="T242"/>
      <c r="U242"/>
    </row>
    <row r="243" spans="15:21" ht="14.4" x14ac:dyDescent="0.3">
      <c r="O243"/>
      <c r="P243"/>
      <c r="Q243"/>
      <c r="R243"/>
      <c r="S243"/>
      <c r="T243"/>
      <c r="U243"/>
    </row>
    <row r="244" spans="15:21" ht="14.4" x14ac:dyDescent="0.3">
      <c r="O244"/>
      <c r="P244"/>
      <c r="Q244"/>
      <c r="R244"/>
      <c r="S244"/>
      <c r="T244"/>
      <c r="U244"/>
    </row>
    <row r="245" spans="15:21" ht="14.4" x14ac:dyDescent="0.3">
      <c r="O245"/>
      <c r="P245"/>
      <c r="Q245"/>
      <c r="R245"/>
      <c r="S245"/>
      <c r="T245"/>
      <c r="U245"/>
    </row>
    <row r="246" spans="15:21" ht="14.4" x14ac:dyDescent="0.3">
      <c r="O246"/>
      <c r="P246"/>
      <c r="Q246"/>
      <c r="R246"/>
      <c r="S246"/>
      <c r="T246"/>
      <c r="U246"/>
    </row>
    <row r="247" spans="15:21" ht="14.4" x14ac:dyDescent="0.3">
      <c r="O247"/>
      <c r="P247"/>
      <c r="Q247"/>
      <c r="R247"/>
      <c r="S247"/>
      <c r="T247"/>
      <c r="U247"/>
    </row>
    <row r="248" spans="15:21" ht="14.4" x14ac:dyDescent="0.3">
      <c r="O248"/>
      <c r="P248"/>
      <c r="Q248"/>
      <c r="R248"/>
      <c r="S248"/>
      <c r="T248"/>
      <c r="U248"/>
    </row>
    <row r="249" spans="15:21" ht="14.4" x14ac:dyDescent="0.3">
      <c r="O249"/>
      <c r="P249"/>
      <c r="Q249"/>
      <c r="R249"/>
      <c r="S249"/>
      <c r="T249"/>
      <c r="U249"/>
    </row>
    <row r="250" spans="15:21" ht="14.4" x14ac:dyDescent="0.3">
      <c r="O250"/>
      <c r="P250"/>
      <c r="Q250"/>
      <c r="R250"/>
      <c r="S250"/>
      <c r="T250"/>
      <c r="U250"/>
    </row>
    <row r="251" spans="15:21" ht="14.4" x14ac:dyDescent="0.3">
      <c r="O251"/>
      <c r="P251"/>
      <c r="Q251"/>
      <c r="R251"/>
      <c r="S251"/>
      <c r="T251"/>
      <c r="U251"/>
    </row>
    <row r="252" spans="15:21" ht="14.4" x14ac:dyDescent="0.3">
      <c r="O252"/>
      <c r="P252"/>
      <c r="Q252"/>
      <c r="R252"/>
      <c r="S252"/>
      <c r="T252"/>
      <c r="U252"/>
    </row>
    <row r="253" spans="15:21" ht="14.4" x14ac:dyDescent="0.3">
      <c r="O253"/>
      <c r="P253"/>
      <c r="Q253"/>
      <c r="R253"/>
      <c r="S253"/>
      <c r="T253"/>
      <c r="U253"/>
    </row>
    <row r="254" spans="15:21" ht="14.4" x14ac:dyDescent="0.3">
      <c r="O254"/>
      <c r="P254"/>
      <c r="Q254"/>
      <c r="R254"/>
      <c r="S254"/>
      <c r="T254"/>
      <c r="U254"/>
    </row>
    <row r="255" spans="15:21" ht="14.4" x14ac:dyDescent="0.3">
      <c r="O255"/>
      <c r="P255"/>
      <c r="Q255"/>
      <c r="R255"/>
      <c r="S255"/>
      <c r="T255"/>
      <c r="U255"/>
    </row>
    <row r="256" spans="15:21" ht="14.4" x14ac:dyDescent="0.3">
      <c r="O256"/>
      <c r="P256"/>
      <c r="Q256"/>
      <c r="R256"/>
      <c r="S256"/>
      <c r="T256"/>
      <c r="U256"/>
    </row>
    <row r="257" spans="15:21" ht="14.4" x14ac:dyDescent="0.3">
      <c r="O257"/>
      <c r="P257"/>
      <c r="Q257"/>
      <c r="R257"/>
      <c r="S257"/>
      <c r="T257"/>
      <c r="U257"/>
    </row>
    <row r="258" spans="15:21" ht="14.4" x14ac:dyDescent="0.3">
      <c r="O258"/>
      <c r="P258"/>
      <c r="Q258"/>
      <c r="R258"/>
      <c r="S258"/>
      <c r="T258"/>
      <c r="U258"/>
    </row>
    <row r="259" spans="15:21" ht="14.4" x14ac:dyDescent="0.3">
      <c r="O259"/>
      <c r="P259"/>
      <c r="Q259"/>
      <c r="R259"/>
      <c r="S259"/>
      <c r="T259"/>
      <c r="U259"/>
    </row>
    <row r="260" spans="15:21" ht="14.4" x14ac:dyDescent="0.3">
      <c r="O260"/>
      <c r="P260"/>
      <c r="Q260"/>
      <c r="R260"/>
      <c r="S260"/>
      <c r="T260"/>
      <c r="U260"/>
    </row>
    <row r="261" spans="15:21" ht="14.4" x14ac:dyDescent="0.3">
      <c r="O261"/>
      <c r="P261"/>
      <c r="Q261"/>
      <c r="R261"/>
      <c r="S261"/>
      <c r="T261"/>
      <c r="U261"/>
    </row>
    <row r="262" spans="15:21" ht="14.4" x14ac:dyDescent="0.3">
      <c r="O262"/>
      <c r="P262"/>
      <c r="Q262"/>
      <c r="R262"/>
      <c r="S262"/>
      <c r="T262"/>
      <c r="U262"/>
    </row>
    <row r="263" spans="15:21" ht="14.4" x14ac:dyDescent="0.3">
      <c r="O263"/>
      <c r="P263"/>
      <c r="Q263"/>
      <c r="R263"/>
      <c r="S263"/>
      <c r="T263"/>
      <c r="U263"/>
    </row>
    <row r="264" spans="15:21" ht="14.4" x14ac:dyDescent="0.3">
      <c r="O264"/>
      <c r="P264"/>
      <c r="Q264"/>
      <c r="R264"/>
      <c r="S264"/>
      <c r="T264"/>
      <c r="U264"/>
    </row>
    <row r="265" spans="15:21" ht="14.4" x14ac:dyDescent="0.3">
      <c r="O265"/>
      <c r="P265"/>
      <c r="Q265"/>
      <c r="R265"/>
      <c r="S265"/>
      <c r="T265"/>
      <c r="U265"/>
    </row>
    <row r="266" spans="15:21" ht="14.4" x14ac:dyDescent="0.3">
      <c r="O266"/>
      <c r="P266"/>
      <c r="Q266"/>
      <c r="R266"/>
      <c r="S266"/>
      <c r="T266"/>
      <c r="U266"/>
    </row>
    <row r="267" spans="15:21" ht="14.4" x14ac:dyDescent="0.3">
      <c r="O267"/>
      <c r="P267"/>
      <c r="Q267"/>
      <c r="R267"/>
      <c r="S267"/>
      <c r="T267"/>
      <c r="U267"/>
    </row>
    <row r="268" spans="15:21" ht="14.4" x14ac:dyDescent="0.3">
      <c r="O268"/>
      <c r="P268"/>
      <c r="Q268"/>
      <c r="R268"/>
      <c r="S268"/>
      <c r="T268"/>
      <c r="U268"/>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43"/>
  <sheetViews>
    <sheetView topLeftCell="A4" zoomScaleNormal="100" workbookViewId="0">
      <selection activeCell="A24" sqref="A24:XFD26"/>
    </sheetView>
  </sheetViews>
  <sheetFormatPr defaultColWidth="8.6640625" defaultRowHeight="13.2" x14ac:dyDescent="0.25"/>
  <cols>
    <col min="1" max="2" width="12" style="4" customWidth="1"/>
    <col min="3" max="6" width="13.6640625" style="4" customWidth="1"/>
    <col min="7" max="7" width="13.33203125" style="4" customWidth="1"/>
    <col min="8" max="8" width="12.6640625" style="4" bestFit="1" customWidth="1"/>
    <col min="9" max="9" width="20.44140625" style="4" bestFit="1" customWidth="1"/>
    <col min="10" max="10" width="12" style="4" customWidth="1"/>
    <col min="11" max="11" width="14.109375" style="4" customWidth="1"/>
    <col min="12" max="12" width="10.33203125" style="4" customWidth="1"/>
    <col min="13" max="27" width="5.6640625" style="4" customWidth="1"/>
    <col min="28" max="16384" width="8.6640625" style="4"/>
  </cols>
  <sheetData>
    <row r="1" spans="1:29" ht="28.95" customHeight="1" x14ac:dyDescent="0.3">
      <c r="A1" s="703" t="str">
        <f>"% of Floor Area per CZ and Vintage Bin - "&amp;Prototype!A2</f>
        <v>% of Floor Area per CZ and Vintage Bin - SchoolK-8</v>
      </c>
      <c r="B1" s="703"/>
      <c r="C1" s="703"/>
      <c r="D1" s="703"/>
      <c r="E1" s="703"/>
      <c r="F1" s="703"/>
      <c r="G1" s="703"/>
      <c r="I1"/>
      <c r="J1" s="865" t="str">
        <f>"% of floor area per CZ and vintage bin - "&amp;Prototype!A2</f>
        <v>% of floor area per CZ and vintage bin - SchoolK-8</v>
      </c>
      <c r="K1" s="865"/>
      <c r="L1" s="865"/>
      <c r="M1" s="865"/>
      <c r="N1" s="865"/>
      <c r="O1" s="865"/>
      <c r="P1" s="865"/>
      <c r="Q1" s="865"/>
      <c r="R1" s="865"/>
      <c r="S1" s="865"/>
      <c r="T1" s="865"/>
      <c r="U1" s="865"/>
      <c r="V1" s="865"/>
      <c r="W1" s="865"/>
      <c r="X1" s="865"/>
      <c r="Y1" s="865"/>
      <c r="Z1" s="865"/>
      <c r="AA1" s="865"/>
      <c r="AB1"/>
      <c r="AC1"/>
    </row>
    <row r="2" spans="1:29" ht="21" customHeight="1" x14ac:dyDescent="0.3">
      <c r="A2" s="872" t="s">
        <v>8</v>
      </c>
      <c r="B2" s="872" t="s">
        <v>730</v>
      </c>
      <c r="C2" s="874" t="s">
        <v>750</v>
      </c>
      <c r="D2" s="875"/>
      <c r="E2" s="875"/>
      <c r="F2" s="875"/>
      <c r="G2" s="876"/>
      <c r="H2"/>
      <c r="I2"/>
      <c r="J2" s="866" t="s">
        <v>8</v>
      </c>
      <c r="K2" s="866" t="s">
        <v>750</v>
      </c>
      <c r="L2" s="868" t="s">
        <v>730</v>
      </c>
      <c r="M2" s="869"/>
      <c r="N2" s="869"/>
      <c r="O2" s="869"/>
      <c r="P2" s="869"/>
      <c r="Q2" s="869"/>
      <c r="R2" s="869"/>
      <c r="S2" s="869"/>
      <c r="T2" s="869"/>
      <c r="U2" s="869"/>
      <c r="V2" s="869"/>
      <c r="W2" s="869"/>
      <c r="X2" s="869"/>
      <c r="Y2" s="869"/>
      <c r="Z2" s="869"/>
      <c r="AA2" s="869"/>
      <c r="AB2"/>
    </row>
    <row r="3" spans="1:29" ht="21" customHeight="1" x14ac:dyDescent="0.3">
      <c r="A3" s="873"/>
      <c r="B3" s="873"/>
      <c r="C3" s="200" t="s">
        <v>751</v>
      </c>
      <c r="D3" s="200" t="s">
        <v>253</v>
      </c>
      <c r="E3" s="200" t="s">
        <v>255</v>
      </c>
      <c r="F3" s="200" t="s">
        <v>257</v>
      </c>
      <c r="G3" s="602"/>
      <c r="H3"/>
      <c r="I3"/>
      <c r="J3" s="867"/>
      <c r="K3" s="867"/>
      <c r="L3" s="76">
        <v>1</v>
      </c>
      <c r="M3" s="76">
        <v>2</v>
      </c>
      <c r="N3" s="76">
        <v>3</v>
      </c>
      <c r="O3" s="76">
        <v>4</v>
      </c>
      <c r="P3" s="76">
        <v>5</v>
      </c>
      <c r="Q3" s="76">
        <v>6</v>
      </c>
      <c r="R3" s="76">
        <v>7</v>
      </c>
      <c r="S3" s="76">
        <v>8</v>
      </c>
      <c r="T3" s="76">
        <v>9</v>
      </c>
      <c r="U3" s="76">
        <v>10</v>
      </c>
      <c r="V3" s="76">
        <v>11</v>
      </c>
      <c r="W3" s="76">
        <v>12</v>
      </c>
      <c r="X3" s="76">
        <v>13</v>
      </c>
      <c r="Y3" s="76">
        <v>14</v>
      </c>
      <c r="Z3" s="76">
        <v>15</v>
      </c>
      <c r="AA3" s="76">
        <v>16</v>
      </c>
      <c r="AB3"/>
    </row>
    <row r="4" spans="1:29" ht="16.95" customHeight="1" x14ac:dyDescent="0.3">
      <c r="A4" s="870" t="str">
        <f>Prototype!B4</f>
        <v>K-8 School</v>
      </c>
      <c r="B4" s="95">
        <v>1</v>
      </c>
      <c r="C4" s="199">
        <v>0.5614751</v>
      </c>
      <c r="D4" s="199">
        <v>0.31697930000000002</v>
      </c>
      <c r="E4" s="199">
        <v>8.7921799999999994E-2</v>
      </c>
      <c r="F4" s="564">
        <v>3.3623800000000002E-2</v>
      </c>
      <c r="G4" s="563"/>
      <c r="H4" s="60">
        <f>SUM(C4:F4)</f>
        <v>1</v>
      </c>
      <c r="I4"/>
      <c r="J4" s="674" t="s">
        <v>752</v>
      </c>
      <c r="K4" s="567" t="s">
        <v>751</v>
      </c>
      <c r="L4" s="561">
        <v>8.9770000000000006E-3</v>
      </c>
      <c r="M4" s="561">
        <v>2.1094000000000002E-2</v>
      </c>
      <c r="N4" s="561">
        <v>7.2234999999999994E-2</v>
      </c>
      <c r="O4" s="561">
        <v>3.7624999999999999E-2</v>
      </c>
      <c r="P4" s="561">
        <v>6.8019999999999999E-3</v>
      </c>
      <c r="Q4" s="561">
        <v>8.4541000000000005E-2</v>
      </c>
      <c r="R4" s="561">
        <v>2.215E-2</v>
      </c>
      <c r="S4" s="561">
        <v>0.138845</v>
      </c>
      <c r="T4" s="561">
        <v>0.21124399999999999</v>
      </c>
      <c r="U4" s="561">
        <v>6.6480999999999998E-2</v>
      </c>
      <c r="V4" s="561">
        <v>3.8748999999999999E-2</v>
      </c>
      <c r="W4" s="561">
        <v>0.115342</v>
      </c>
      <c r="X4" s="561">
        <v>3.6419E-2</v>
      </c>
      <c r="Y4" s="561">
        <v>2.6537999999999999E-2</v>
      </c>
      <c r="Z4" s="561">
        <v>2.4347000000000001E-2</v>
      </c>
      <c r="AA4" s="561">
        <v>8.8610999999999995E-2</v>
      </c>
      <c r="AB4" s="560">
        <f>SUM(L4:AA4)</f>
        <v>0.99999999999999989</v>
      </c>
    </row>
    <row r="5" spans="1:29" ht="16.95" customHeight="1" x14ac:dyDescent="0.3">
      <c r="A5" s="871"/>
      <c r="B5" s="36">
        <v>2</v>
      </c>
      <c r="C5" s="37">
        <v>0.87573939999999995</v>
      </c>
      <c r="D5" s="37">
        <v>7.1794999999999998E-2</v>
      </c>
      <c r="E5" s="37">
        <v>3.8399200000000001E-2</v>
      </c>
      <c r="F5" s="565">
        <v>1.40663E-2</v>
      </c>
      <c r="G5" s="563"/>
      <c r="H5" s="60">
        <f t="shared" ref="H5:H19" si="0">SUM(C5:F5)</f>
        <v>0.99999989999999983</v>
      </c>
      <c r="I5"/>
      <c r="J5" s="674"/>
      <c r="K5" s="567" t="s">
        <v>253</v>
      </c>
      <c r="L5" s="561">
        <v>1.1899E-2</v>
      </c>
      <c r="M5" s="561">
        <v>4.0600000000000002E-3</v>
      </c>
      <c r="N5" s="561">
        <v>5.3679999999999999E-2</v>
      </c>
      <c r="O5" s="561">
        <v>2.3209E-2</v>
      </c>
      <c r="P5" s="561">
        <v>1.2539E-2</v>
      </c>
      <c r="Q5" s="561">
        <v>4.1864999999999999E-2</v>
      </c>
      <c r="R5" s="561">
        <v>4.4692000000000003E-2</v>
      </c>
      <c r="S5" s="561">
        <v>6.1343000000000002E-2</v>
      </c>
      <c r="T5" s="561">
        <v>0.12493700000000001</v>
      </c>
      <c r="U5" s="561">
        <v>9.5931000000000002E-2</v>
      </c>
      <c r="V5" s="561">
        <v>5.8408000000000002E-2</v>
      </c>
      <c r="W5" s="561">
        <v>0.18781</v>
      </c>
      <c r="X5" s="561">
        <v>9.1875999999999999E-2</v>
      </c>
      <c r="Y5" s="561">
        <v>2.1377E-2</v>
      </c>
      <c r="Z5" s="561">
        <v>5.7022000000000003E-2</v>
      </c>
      <c r="AA5" s="561">
        <v>0.109352</v>
      </c>
      <c r="AB5" s="560">
        <f t="shared" ref="AB5:AB9" si="1">SUM(L5:AA5)</f>
        <v>1</v>
      </c>
    </row>
    <row r="6" spans="1:29" ht="16.95" customHeight="1" x14ac:dyDescent="0.3">
      <c r="A6" s="871"/>
      <c r="B6" s="36">
        <v>3</v>
      </c>
      <c r="C6" s="37">
        <v>0.74164269999999999</v>
      </c>
      <c r="D6" s="37">
        <v>0.23473820000000001</v>
      </c>
      <c r="E6" s="37">
        <v>1.64353E-2</v>
      </c>
      <c r="F6" s="565">
        <v>7.1837000000000003E-3</v>
      </c>
      <c r="G6" s="563"/>
      <c r="H6" s="60">
        <f t="shared" si="0"/>
        <v>0.99999990000000005</v>
      </c>
      <c r="I6"/>
      <c r="J6" s="674"/>
      <c r="K6" s="567" t="s">
        <v>255</v>
      </c>
      <c r="L6" s="561">
        <v>4.9569999999999996E-3</v>
      </c>
      <c r="M6" s="561">
        <v>3.2620000000000001E-3</v>
      </c>
      <c r="N6" s="561">
        <v>5.6449999999999998E-3</v>
      </c>
      <c r="O6" s="561">
        <v>1.7539999999999999E-3</v>
      </c>
      <c r="P6" s="561">
        <v>1.078E-3</v>
      </c>
      <c r="Q6" s="561">
        <v>4.6588999999999998E-2</v>
      </c>
      <c r="R6" s="561">
        <v>5.1164000000000001E-2</v>
      </c>
      <c r="S6" s="561">
        <v>7.5403999999999999E-2</v>
      </c>
      <c r="T6" s="561">
        <v>9.1660000000000005E-2</v>
      </c>
      <c r="U6" s="561">
        <v>0.22739899999999999</v>
      </c>
      <c r="V6" s="561">
        <v>2.0951000000000001E-2</v>
      </c>
      <c r="W6" s="561">
        <v>8.7443000000000007E-2</v>
      </c>
      <c r="X6" s="561">
        <v>5.4568999999999999E-2</v>
      </c>
      <c r="Y6" s="561">
        <v>2.5505E-2</v>
      </c>
      <c r="Z6" s="561">
        <v>0.21378</v>
      </c>
      <c r="AA6" s="561">
        <v>8.8840000000000002E-2</v>
      </c>
      <c r="AB6" s="560">
        <f t="shared" si="1"/>
        <v>1</v>
      </c>
    </row>
    <row r="7" spans="1:29" ht="16.95" customHeight="1" x14ac:dyDescent="0.3">
      <c r="A7" s="871"/>
      <c r="B7" s="36">
        <v>4</v>
      </c>
      <c r="C7" s="37">
        <v>0.77838629999999998</v>
      </c>
      <c r="D7" s="37">
        <v>0.2044994</v>
      </c>
      <c r="E7" s="37">
        <v>1.02904E-2</v>
      </c>
      <c r="F7" s="565">
        <v>6.8238999999999999E-3</v>
      </c>
      <c r="G7" s="563"/>
      <c r="H7" s="60">
        <f t="shared" si="0"/>
        <v>1</v>
      </c>
      <c r="I7"/>
      <c r="J7" s="674"/>
      <c r="K7" s="567" t="s">
        <v>257</v>
      </c>
      <c r="L7" s="561">
        <v>5.0029999999999996E-3</v>
      </c>
      <c r="M7" s="561">
        <v>3.153E-3</v>
      </c>
      <c r="N7" s="561">
        <v>6.5120000000000004E-3</v>
      </c>
      <c r="O7" s="561">
        <v>3.0699999999999998E-3</v>
      </c>
      <c r="P7" s="561">
        <v>9.1E-4</v>
      </c>
      <c r="Q7" s="561">
        <v>5.2359999999999997E-2</v>
      </c>
      <c r="R7" s="561">
        <v>0.16821</v>
      </c>
      <c r="S7" s="561">
        <v>6.9444000000000006E-2</v>
      </c>
      <c r="T7" s="561">
        <v>6.6328999999999999E-2</v>
      </c>
      <c r="U7" s="561">
        <v>0.20932799999999999</v>
      </c>
      <c r="V7" s="561">
        <v>1.2806E-2</v>
      </c>
      <c r="W7" s="561">
        <v>6.7005999999999996E-2</v>
      </c>
      <c r="X7" s="561">
        <v>6.4526E-2</v>
      </c>
      <c r="Y7" s="561">
        <v>4.6051000000000002E-2</v>
      </c>
      <c r="Z7" s="561">
        <v>5.2484000000000003E-2</v>
      </c>
      <c r="AA7" s="561">
        <v>0.17280699999999999</v>
      </c>
      <c r="AB7" s="560">
        <f t="shared" si="1"/>
        <v>0.99999899999999986</v>
      </c>
    </row>
    <row r="8" spans="1:29" ht="16.95" customHeight="1" x14ac:dyDescent="0.3">
      <c r="A8" s="871"/>
      <c r="B8" s="36">
        <v>5</v>
      </c>
      <c r="C8" s="37">
        <v>0.54217349999999997</v>
      </c>
      <c r="D8" s="37">
        <v>0.42567199999999999</v>
      </c>
      <c r="E8" s="37">
        <v>2.4365700000000001E-2</v>
      </c>
      <c r="F8" s="565">
        <v>7.7888000000000002E-3</v>
      </c>
      <c r="G8" s="563"/>
      <c r="H8" s="60">
        <f t="shared" si="0"/>
        <v>1</v>
      </c>
      <c r="I8"/>
      <c r="J8" s="674"/>
      <c r="K8" s="567"/>
      <c r="L8" s="562"/>
      <c r="M8" s="562"/>
      <c r="N8" s="562"/>
      <c r="O8" s="562"/>
      <c r="P8" s="562"/>
      <c r="Q8" s="562"/>
      <c r="R8" s="562"/>
      <c r="S8" s="562"/>
      <c r="T8" s="562"/>
      <c r="U8" s="562"/>
      <c r="V8" s="562"/>
      <c r="W8" s="562"/>
      <c r="X8" s="562"/>
      <c r="Y8" s="562"/>
      <c r="Z8" s="562"/>
      <c r="AA8" s="562"/>
      <c r="AB8" s="560"/>
    </row>
    <row r="9" spans="1:29" ht="16.95" customHeight="1" x14ac:dyDescent="0.3">
      <c r="A9" s="871"/>
      <c r="B9" s="36">
        <v>6</v>
      </c>
      <c r="C9" s="37">
        <v>0.69748379999999999</v>
      </c>
      <c r="D9" s="37">
        <v>0.14711109999999999</v>
      </c>
      <c r="E9" s="37">
        <v>0.1089907</v>
      </c>
      <c r="F9" s="565">
        <v>4.6414400000000001E-2</v>
      </c>
      <c r="G9" s="563"/>
      <c r="H9" s="60">
        <f t="shared" si="0"/>
        <v>0.99999999999999989</v>
      </c>
      <c r="I9"/>
      <c r="J9" s="674"/>
      <c r="K9" s="567" t="s">
        <v>222</v>
      </c>
      <c r="L9" s="561">
        <v>8.8000000000000005E-3</v>
      </c>
      <c r="M9" s="561">
        <v>1.3257E-2</v>
      </c>
      <c r="N9" s="561">
        <v>5.3607000000000002E-2</v>
      </c>
      <c r="O9" s="561">
        <v>2.6603999999999999E-2</v>
      </c>
      <c r="P9" s="561">
        <v>6.9049999999999997E-3</v>
      </c>
      <c r="Q9" s="561">
        <v>6.6711000000000006E-2</v>
      </c>
      <c r="R9" s="561">
        <v>4.0599999999999997E-2</v>
      </c>
      <c r="S9" s="561">
        <v>0.106672</v>
      </c>
      <c r="T9" s="561">
        <v>0.16378000000000001</v>
      </c>
      <c r="U9" s="561">
        <v>0.106945</v>
      </c>
      <c r="V9" s="561">
        <v>3.9045999999999997E-2</v>
      </c>
      <c r="W9" s="561">
        <v>0.12511700000000001</v>
      </c>
      <c r="X9" s="561">
        <v>5.3913999999999997E-2</v>
      </c>
      <c r="Y9" s="561">
        <v>2.6321000000000001E-2</v>
      </c>
      <c r="Z9" s="561">
        <v>6.3233999999999999E-2</v>
      </c>
      <c r="AA9" s="561">
        <v>9.8488000000000006E-2</v>
      </c>
      <c r="AB9" s="560">
        <f t="shared" si="1"/>
        <v>1.0000010000000001</v>
      </c>
    </row>
    <row r="10" spans="1:29" ht="16.95" customHeight="1" x14ac:dyDescent="0.3">
      <c r="A10" s="871"/>
      <c r="B10" s="36">
        <v>7</v>
      </c>
      <c r="C10" s="37">
        <v>0.30027799999999999</v>
      </c>
      <c r="D10" s="37">
        <v>0.25804440000000001</v>
      </c>
      <c r="E10" s="37">
        <v>0.1966736</v>
      </c>
      <c r="F10" s="565">
        <v>0.2450039</v>
      </c>
      <c r="G10" s="563"/>
      <c r="H10" s="60">
        <f t="shared" si="0"/>
        <v>0.99999989999999994</v>
      </c>
      <c r="I10"/>
      <c r="J10"/>
      <c r="K10"/>
      <c r="L10"/>
      <c r="M10"/>
      <c r="N10"/>
      <c r="O10"/>
      <c r="P10"/>
      <c r="Q10"/>
      <c r="R10"/>
      <c r="S10"/>
      <c r="T10"/>
      <c r="U10"/>
      <c r="V10"/>
      <c r="W10"/>
      <c r="X10"/>
      <c r="Y10"/>
      <c r="Z10"/>
      <c r="AA10"/>
      <c r="AB10"/>
    </row>
    <row r="11" spans="1:29" ht="16.95" customHeight="1" x14ac:dyDescent="0.25">
      <c r="A11" s="871"/>
      <c r="B11" s="36">
        <v>8</v>
      </c>
      <c r="C11" s="37">
        <v>0.71638029999999997</v>
      </c>
      <c r="D11" s="37">
        <v>0.13480400000000001</v>
      </c>
      <c r="E11" s="37">
        <v>0.11031870000000001</v>
      </c>
      <c r="F11" s="565">
        <v>3.8497000000000003E-2</v>
      </c>
      <c r="G11" s="563"/>
      <c r="H11" s="60">
        <f t="shared" si="0"/>
        <v>1</v>
      </c>
      <c r="I11" s="6"/>
      <c r="J11" s="58"/>
      <c r="K11" s="28"/>
      <c r="L11" s="28"/>
      <c r="M11" s="28"/>
      <c r="N11" s="28"/>
      <c r="O11" s="59"/>
    </row>
    <row r="12" spans="1:29" ht="16.95" customHeight="1" x14ac:dyDescent="0.25">
      <c r="A12" s="871"/>
      <c r="B12" s="36">
        <v>9</v>
      </c>
      <c r="C12" s="37">
        <v>0.70988580000000001</v>
      </c>
      <c r="D12" s="37">
        <v>0.1788227</v>
      </c>
      <c r="E12" s="37">
        <v>8.7342600000000006E-2</v>
      </c>
      <c r="F12" s="565">
        <v>2.3948899999999999E-2</v>
      </c>
      <c r="G12" s="563"/>
      <c r="H12" s="60">
        <f t="shared" si="0"/>
        <v>1</v>
      </c>
      <c r="I12" s="6"/>
      <c r="J12" s="58"/>
      <c r="K12" s="28"/>
      <c r="L12" s="28"/>
      <c r="M12" s="28"/>
      <c r="N12" s="28"/>
      <c r="O12" s="59"/>
    </row>
    <row r="13" spans="1:29" ht="16.95" customHeight="1" x14ac:dyDescent="0.25">
      <c r="A13" s="871"/>
      <c r="B13" s="36">
        <v>10</v>
      </c>
      <c r="C13" s="37">
        <v>0.3421363</v>
      </c>
      <c r="D13" s="37">
        <v>0.21027509999999999</v>
      </c>
      <c r="E13" s="37">
        <v>0.33184160000000001</v>
      </c>
      <c r="F13" s="565">
        <v>0.11574710000000001</v>
      </c>
      <c r="G13" s="563"/>
      <c r="H13" s="60">
        <f t="shared" si="0"/>
        <v>1.0000001000000001</v>
      </c>
      <c r="I13" s="6"/>
      <c r="J13" s="58"/>
      <c r="K13" s="28"/>
      <c r="L13" s="28"/>
      <c r="M13" s="28"/>
      <c r="N13" s="28"/>
      <c r="O13" s="59"/>
    </row>
    <row r="14" spans="1:29" ht="16.95" customHeight="1" x14ac:dyDescent="0.25">
      <c r="A14" s="871"/>
      <c r="B14" s="36">
        <v>11</v>
      </c>
      <c r="C14" s="37">
        <v>0.54620089999999999</v>
      </c>
      <c r="D14" s="37">
        <v>0.35066219999999998</v>
      </c>
      <c r="E14" s="37">
        <v>8.3741599999999999E-2</v>
      </c>
      <c r="F14" s="565">
        <v>1.9395200000000001E-2</v>
      </c>
      <c r="G14" s="563"/>
      <c r="H14" s="60">
        <f t="shared" si="0"/>
        <v>0.99999989999999994</v>
      </c>
      <c r="I14" s="6"/>
      <c r="J14" s="58"/>
      <c r="K14" s="28"/>
      <c r="L14" s="28"/>
      <c r="M14" s="28"/>
      <c r="N14" s="28"/>
      <c r="O14" s="59"/>
    </row>
    <row r="15" spans="1:29" ht="16.95" customHeight="1" x14ac:dyDescent="0.25">
      <c r="A15" s="871"/>
      <c r="B15" s="36">
        <v>12</v>
      </c>
      <c r="C15" s="37">
        <v>0.50738139999999998</v>
      </c>
      <c r="D15" s="37">
        <v>0.35187770000000002</v>
      </c>
      <c r="E15" s="37">
        <v>0.1090713</v>
      </c>
      <c r="F15" s="565">
        <v>3.1669599999999999E-2</v>
      </c>
      <c r="G15" s="563"/>
      <c r="H15" s="60">
        <f t="shared" si="0"/>
        <v>1</v>
      </c>
      <c r="I15" s="6"/>
      <c r="J15" s="58"/>
      <c r="K15" s="28"/>
      <c r="L15" s="28"/>
      <c r="M15" s="28"/>
      <c r="N15" s="28"/>
      <c r="O15" s="59"/>
    </row>
    <row r="16" spans="1:29" ht="16.95" customHeight="1" x14ac:dyDescent="0.25">
      <c r="A16" s="871"/>
      <c r="B16" s="36">
        <v>13</v>
      </c>
      <c r="C16" s="37">
        <v>0.3717839</v>
      </c>
      <c r="D16" s="37">
        <v>0.39948040000000001</v>
      </c>
      <c r="E16" s="37">
        <v>0.15796060000000001</v>
      </c>
      <c r="F16" s="565">
        <v>7.0775099999999994E-2</v>
      </c>
      <c r="G16" s="563"/>
      <c r="H16" s="60">
        <f t="shared" si="0"/>
        <v>1</v>
      </c>
      <c r="I16" s="6"/>
      <c r="J16" s="58"/>
      <c r="K16" s="28"/>
      <c r="L16" s="28"/>
      <c r="M16" s="28"/>
      <c r="N16" s="28"/>
      <c r="O16" s="59"/>
    </row>
    <row r="17" spans="1:15" ht="16.95" customHeight="1" x14ac:dyDescent="0.25">
      <c r="A17" s="871"/>
      <c r="B17" s="36">
        <v>14</v>
      </c>
      <c r="C17" s="37">
        <v>0.55492209999999997</v>
      </c>
      <c r="D17" s="37">
        <v>0.19039139999999999</v>
      </c>
      <c r="E17" s="37">
        <v>0.15122469999999999</v>
      </c>
      <c r="F17" s="565">
        <v>0.10346180000000001</v>
      </c>
      <c r="G17" s="563"/>
      <c r="H17" s="60">
        <f t="shared" si="0"/>
        <v>1</v>
      </c>
      <c r="I17" s="6"/>
      <c r="J17" s="58"/>
      <c r="K17" s="28"/>
      <c r="L17" s="28"/>
      <c r="M17" s="28"/>
      <c r="N17" s="28"/>
      <c r="O17" s="59"/>
    </row>
    <row r="18" spans="1:15" ht="16.95" customHeight="1" x14ac:dyDescent="0.25">
      <c r="A18" s="871"/>
      <c r="B18" s="36">
        <v>15</v>
      </c>
      <c r="C18" s="37">
        <v>0.2119104</v>
      </c>
      <c r="D18" s="37">
        <v>0.21138850000000001</v>
      </c>
      <c r="E18" s="37">
        <v>0.52761959999999997</v>
      </c>
      <c r="F18" s="565">
        <v>4.9081399999999997E-2</v>
      </c>
      <c r="G18" s="563"/>
      <c r="H18" s="60">
        <f t="shared" si="0"/>
        <v>0.99999989999999994</v>
      </c>
      <c r="I18" s="6"/>
      <c r="J18" s="58"/>
      <c r="K18" s="28"/>
      <c r="L18" s="28"/>
      <c r="M18" s="28"/>
      <c r="N18" s="28"/>
      <c r="O18" s="59"/>
    </row>
    <row r="19" spans="1:15" ht="16.95" customHeight="1" x14ac:dyDescent="0.25">
      <c r="A19" s="871"/>
      <c r="B19" s="36">
        <v>16</v>
      </c>
      <c r="C19" s="47">
        <v>0.49518800000000002</v>
      </c>
      <c r="D19" s="47">
        <v>0.26027650000000002</v>
      </c>
      <c r="E19" s="47">
        <v>0.1407766</v>
      </c>
      <c r="F19" s="566">
        <v>0.1037589</v>
      </c>
      <c r="G19" s="563"/>
      <c r="H19" s="60">
        <f t="shared" si="0"/>
        <v>1</v>
      </c>
      <c r="I19" s="6"/>
      <c r="J19" s="58"/>
      <c r="K19" s="28"/>
      <c r="L19" s="28"/>
      <c r="M19" s="28"/>
      <c r="N19" s="28"/>
      <c r="O19" s="59"/>
    </row>
    <row r="20" spans="1:15" x14ac:dyDescent="0.25">
      <c r="A20" s="871"/>
      <c r="B20" s="47" t="s">
        <v>753</v>
      </c>
      <c r="C20" s="47">
        <v>0.55038240000000005</v>
      </c>
      <c r="D20" s="47">
        <v>0.23441790000000001</v>
      </c>
      <c r="E20" s="47">
        <v>0.1560647</v>
      </c>
      <c r="F20" s="566">
        <v>5.9135E-2</v>
      </c>
      <c r="G20" s="563"/>
      <c r="H20" s="60">
        <f>SUM(C20:F20)</f>
        <v>1</v>
      </c>
    </row>
    <row r="22" spans="1:15" x14ac:dyDescent="0.25">
      <c r="A22" s="4" t="s">
        <v>754</v>
      </c>
    </row>
    <row r="25" spans="1:15" x14ac:dyDescent="0.25">
      <c r="A25" s="555"/>
      <c r="B25" s="555"/>
      <c r="C25" s="555"/>
      <c r="D25" s="555"/>
      <c r="E25" s="555"/>
      <c r="F25" s="555"/>
      <c r="G25" s="555"/>
    </row>
    <row r="26" spans="1:15" x14ac:dyDescent="0.25">
      <c r="A26" s="555"/>
      <c r="B26" s="555"/>
      <c r="C26" s="555"/>
      <c r="D26" s="555"/>
      <c r="E26" s="555"/>
      <c r="F26" s="555"/>
      <c r="G26" s="555"/>
      <c r="I26" s="555"/>
      <c r="J26" s="555"/>
      <c r="K26" s="555"/>
      <c r="L26" s="555"/>
    </row>
    <row r="27" spans="1:15" x14ac:dyDescent="0.25">
      <c r="A27" s="6"/>
      <c r="B27" s="556"/>
      <c r="C27" s="557"/>
      <c r="D27" s="557"/>
      <c r="E27" s="557"/>
      <c r="F27" s="557"/>
      <c r="G27" s="558"/>
      <c r="I27" s="559"/>
      <c r="J27" s="559"/>
      <c r="K27" s="559"/>
      <c r="L27" s="559"/>
      <c r="M27" s="558"/>
    </row>
    <row r="28" spans="1:15" x14ac:dyDescent="0.25">
      <c r="A28" s="6"/>
      <c r="B28" s="556"/>
      <c r="C28" s="557"/>
      <c r="D28" s="557"/>
      <c r="E28" s="557"/>
      <c r="F28" s="557"/>
      <c r="G28" s="558"/>
      <c r="I28" s="559"/>
      <c r="J28" s="559"/>
      <c r="K28" s="559"/>
      <c r="L28" s="559"/>
      <c r="M28" s="558"/>
    </row>
    <row r="29" spans="1:15" x14ac:dyDescent="0.25">
      <c r="A29" s="6"/>
      <c r="B29" s="556"/>
      <c r="C29" s="557"/>
      <c r="D29" s="557"/>
      <c r="E29" s="557"/>
      <c r="F29" s="557"/>
      <c r="G29" s="558"/>
      <c r="I29" s="559"/>
      <c r="J29" s="559"/>
      <c r="K29" s="559"/>
      <c r="L29" s="559"/>
      <c r="M29" s="558"/>
    </row>
    <row r="30" spans="1:15" x14ac:dyDescent="0.25">
      <c r="A30" s="6"/>
      <c r="B30" s="556"/>
      <c r="C30" s="557"/>
      <c r="D30" s="557"/>
      <c r="E30" s="557"/>
      <c r="F30" s="557"/>
      <c r="G30" s="558"/>
      <c r="I30" s="559"/>
      <c r="J30" s="559"/>
      <c r="K30" s="559"/>
      <c r="L30" s="559"/>
      <c r="M30" s="558"/>
    </row>
    <row r="31" spans="1:15" x14ac:dyDescent="0.25">
      <c r="A31" s="6"/>
      <c r="B31" s="556"/>
      <c r="C31" s="557"/>
      <c r="D31" s="557"/>
      <c r="E31" s="557"/>
      <c r="F31" s="557"/>
      <c r="G31" s="558"/>
      <c r="I31" s="559"/>
      <c r="J31" s="559"/>
      <c r="K31" s="559"/>
      <c r="L31" s="559"/>
      <c r="M31" s="558"/>
    </row>
    <row r="32" spans="1:15" x14ac:dyDescent="0.25">
      <c r="A32" s="6"/>
      <c r="B32" s="556"/>
      <c r="C32" s="557"/>
      <c r="D32" s="557"/>
      <c r="E32" s="557"/>
      <c r="F32" s="557"/>
      <c r="G32" s="558"/>
      <c r="I32" s="559"/>
      <c r="J32" s="559"/>
      <c r="K32" s="559"/>
      <c r="L32" s="559"/>
      <c r="M32" s="558"/>
    </row>
    <row r="33" spans="1:13" x14ac:dyDescent="0.25">
      <c r="A33" s="6"/>
      <c r="B33" s="556"/>
      <c r="C33" s="557"/>
      <c r="D33" s="557"/>
      <c r="E33" s="557"/>
      <c r="F33" s="557"/>
      <c r="G33" s="558"/>
      <c r="I33" s="559"/>
      <c r="J33" s="559"/>
      <c r="K33" s="559"/>
      <c r="L33" s="559"/>
      <c r="M33" s="558"/>
    </row>
    <row r="34" spans="1:13" x14ac:dyDescent="0.25">
      <c r="A34" s="6"/>
      <c r="B34" s="556"/>
      <c r="C34" s="557"/>
      <c r="D34" s="557"/>
      <c r="E34" s="557"/>
      <c r="F34" s="557"/>
      <c r="G34" s="558"/>
      <c r="I34" s="559"/>
      <c r="J34" s="559"/>
      <c r="K34" s="559"/>
      <c r="L34" s="559"/>
      <c r="M34" s="558"/>
    </row>
    <row r="35" spans="1:13" x14ac:dyDescent="0.25">
      <c r="A35" s="6"/>
      <c r="B35" s="556"/>
      <c r="C35" s="557"/>
      <c r="D35" s="557"/>
      <c r="E35" s="557"/>
      <c r="F35" s="557"/>
      <c r="G35" s="558"/>
      <c r="I35" s="559"/>
      <c r="J35" s="559"/>
      <c r="K35" s="559"/>
      <c r="L35" s="559"/>
      <c r="M35" s="558"/>
    </row>
    <row r="36" spans="1:13" x14ac:dyDescent="0.25">
      <c r="A36" s="6"/>
      <c r="B36" s="556"/>
      <c r="C36" s="557"/>
      <c r="D36" s="557"/>
      <c r="E36" s="557"/>
      <c r="F36" s="557"/>
      <c r="G36" s="558"/>
      <c r="I36" s="559"/>
      <c r="J36" s="559"/>
      <c r="K36" s="559"/>
      <c r="L36" s="559"/>
      <c r="M36" s="558"/>
    </row>
    <row r="37" spans="1:13" x14ac:dyDescent="0.25">
      <c r="A37" s="6"/>
      <c r="B37" s="556"/>
      <c r="C37" s="557"/>
      <c r="D37" s="557"/>
      <c r="E37" s="557"/>
      <c r="F37" s="557"/>
      <c r="G37" s="558"/>
      <c r="I37" s="559"/>
      <c r="J37" s="559"/>
      <c r="K37" s="559"/>
      <c r="L37" s="559"/>
      <c r="M37" s="558"/>
    </row>
    <row r="38" spans="1:13" x14ac:dyDescent="0.25">
      <c r="A38" s="6"/>
      <c r="B38" s="556"/>
      <c r="C38" s="557"/>
      <c r="D38" s="557"/>
      <c r="E38" s="557"/>
      <c r="F38" s="557"/>
      <c r="G38" s="558"/>
      <c r="I38" s="559"/>
      <c r="J38" s="559"/>
      <c r="K38" s="559"/>
      <c r="L38" s="559"/>
      <c r="M38" s="558"/>
    </row>
    <row r="39" spans="1:13" x14ac:dyDescent="0.25">
      <c r="A39" s="6"/>
      <c r="B39" s="556"/>
      <c r="C39" s="557"/>
      <c r="D39" s="557"/>
      <c r="E39" s="557"/>
      <c r="F39" s="557"/>
      <c r="G39" s="558"/>
      <c r="I39" s="559"/>
      <c r="J39" s="559"/>
      <c r="K39" s="559"/>
      <c r="L39" s="559"/>
      <c r="M39" s="558"/>
    </row>
    <row r="40" spans="1:13" x14ac:dyDescent="0.25">
      <c r="A40" s="6"/>
      <c r="B40" s="556"/>
      <c r="C40" s="557"/>
      <c r="D40" s="557"/>
      <c r="E40" s="557"/>
      <c r="F40" s="557"/>
      <c r="G40" s="558"/>
      <c r="I40" s="559"/>
      <c r="J40" s="559"/>
      <c r="K40" s="559"/>
      <c r="L40" s="559"/>
      <c r="M40" s="558"/>
    </row>
    <row r="41" spans="1:13" x14ac:dyDescent="0.25">
      <c r="A41" s="6"/>
      <c r="B41" s="556"/>
      <c r="C41" s="557"/>
      <c r="D41" s="557"/>
      <c r="E41" s="557"/>
      <c r="F41" s="557"/>
      <c r="G41" s="558"/>
      <c r="I41" s="559"/>
      <c r="J41" s="559"/>
      <c r="K41" s="559"/>
      <c r="L41" s="559"/>
      <c r="M41" s="558"/>
    </row>
    <row r="42" spans="1:13" x14ac:dyDescent="0.25">
      <c r="A42" s="6"/>
      <c r="B42" s="556"/>
      <c r="C42" s="558"/>
      <c r="D42" s="558"/>
      <c r="E42" s="558"/>
      <c r="F42" s="558"/>
      <c r="G42" s="558"/>
      <c r="I42" s="559"/>
      <c r="J42" s="559"/>
      <c r="K42" s="559"/>
      <c r="L42" s="559"/>
      <c r="M42" s="558"/>
    </row>
    <row r="43" spans="1:13" x14ac:dyDescent="0.25">
      <c r="A43" s="6"/>
      <c r="B43" s="558"/>
      <c r="C43" s="558"/>
      <c r="D43" s="558"/>
      <c r="E43" s="558"/>
      <c r="F43" s="558"/>
      <c r="G43" s="558"/>
    </row>
  </sheetData>
  <mergeCells count="10">
    <mergeCell ref="A4:A20"/>
    <mergeCell ref="B2:B3"/>
    <mergeCell ref="A2:A3"/>
    <mergeCell ref="A1:G1"/>
    <mergeCell ref="C2:G2"/>
    <mergeCell ref="J1:AA1"/>
    <mergeCell ref="J2:J3"/>
    <mergeCell ref="K2:K3"/>
    <mergeCell ref="L2:AA2"/>
    <mergeCell ref="J4:J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x14ac:dyDescent="0.3"/>
  <sheetData>
    <row r="1" spans="1:10" ht="21.6" customHeight="1" x14ac:dyDescent="0.3">
      <c r="A1" s="877" t="str">
        <f>"PV - "&amp;Prototype!A2</f>
        <v>PV - SchoolK-8</v>
      </c>
      <c r="B1" s="877"/>
      <c r="C1" s="877"/>
      <c r="D1" s="877"/>
      <c r="E1" s="877"/>
      <c r="F1" s="877"/>
      <c r="G1" s="877"/>
      <c r="H1" s="877"/>
      <c r="I1" s="877"/>
      <c r="J1" s="877"/>
    </row>
    <row r="2" spans="1:10" x14ac:dyDescent="0.3">
      <c r="A2" t="s">
        <v>755</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6640625" defaultRowHeight="13.2" x14ac:dyDescent="0.25"/>
  <cols>
    <col min="1" max="1" width="21" style="4" customWidth="1"/>
    <col min="2" max="2" width="14.33203125" style="4" customWidth="1"/>
    <col min="3" max="3" width="14.5546875" style="4" customWidth="1"/>
    <col min="4" max="8" width="8.6640625" style="4"/>
    <col min="9" max="9" width="13.6640625" style="4" customWidth="1"/>
    <col min="10" max="10" width="14.44140625" style="4" customWidth="1"/>
    <col min="11" max="16384" width="8.6640625" style="4"/>
  </cols>
  <sheetData>
    <row r="1" spans="1:8" ht="20.399999999999999" customHeight="1" x14ac:dyDescent="0.25">
      <c r="A1" s="723" t="str">
        <f>"EV Charger - "&amp;Prototype!A2</f>
        <v>EV Charger - SchoolK-8</v>
      </c>
      <c r="B1" s="723"/>
      <c r="C1" s="723"/>
      <c r="D1" s="723"/>
      <c r="E1" s="723"/>
      <c r="F1" s="723"/>
      <c r="G1" s="723"/>
      <c r="H1" s="723"/>
    </row>
    <row r="2" spans="1:8" ht="14.4" x14ac:dyDescent="0.3">
      <c r="A2" t="s">
        <v>755</v>
      </c>
      <c r="B2" s="43"/>
      <c r="C2" s="44"/>
      <c r="D2" s="45"/>
      <c r="E2" s="45"/>
    </row>
    <row r="3" spans="1:8" x14ac:dyDescent="0.25">
      <c r="A3" s="589"/>
      <c r="B3" s="153"/>
      <c r="C3" s="282"/>
      <c r="D3" s="46"/>
      <c r="E3" s="46"/>
    </row>
    <row r="11" spans="1:8" s="22" customFormat="1" hidden="1" x14ac:dyDescent="0.25">
      <c r="A11" s="22" t="s">
        <v>223</v>
      </c>
      <c r="E11" s="23"/>
      <c r="F11" s="24"/>
      <c r="G11" s="25"/>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B304-56AE-48A9-ACB2-6F3F57726C56}">
  <dimension ref="A1:G82"/>
  <sheetViews>
    <sheetView workbookViewId="0"/>
  </sheetViews>
  <sheetFormatPr defaultRowHeight="14.4" x14ac:dyDescent="0.3"/>
  <cols>
    <col min="1" max="1" width="58.6640625" customWidth="1"/>
    <col min="2" max="2" width="30.88671875" customWidth="1"/>
    <col min="3" max="3" width="30.33203125" customWidth="1"/>
  </cols>
  <sheetData>
    <row r="1" spans="1:7" x14ac:dyDescent="0.3">
      <c r="A1" t="s">
        <v>756</v>
      </c>
      <c r="B1" t="s">
        <v>757</v>
      </c>
      <c r="C1" t="s">
        <v>757</v>
      </c>
      <c r="D1" s="878" t="s">
        <v>758</v>
      </c>
      <c r="E1" s="878"/>
      <c r="F1" s="878"/>
      <c r="G1" s="878"/>
    </row>
    <row r="2" spans="1:7" x14ac:dyDescent="0.3">
      <c r="A2" s="588" t="s">
        <v>759</v>
      </c>
      <c r="D2">
        <v>2013</v>
      </c>
      <c r="E2">
        <v>2016</v>
      </c>
      <c r="F2">
        <v>2019</v>
      </c>
      <c r="G2">
        <v>2025</v>
      </c>
    </row>
    <row r="3" spans="1:7" x14ac:dyDescent="0.3">
      <c r="A3" s="588" t="s">
        <v>760</v>
      </c>
    </row>
    <row r="4" spans="1:7" x14ac:dyDescent="0.3">
      <c r="A4" t="s">
        <v>761</v>
      </c>
    </row>
    <row r="5" spans="1:7" x14ac:dyDescent="0.3">
      <c r="A5" t="s">
        <v>762</v>
      </c>
    </row>
    <row r="6" spans="1:7" x14ac:dyDescent="0.3">
      <c r="A6" t="s">
        <v>763</v>
      </c>
    </row>
    <row r="7" spans="1:7" x14ac:dyDescent="0.3">
      <c r="A7" t="s">
        <v>764</v>
      </c>
    </row>
    <row r="8" spans="1:7" x14ac:dyDescent="0.3">
      <c r="A8" t="s">
        <v>765</v>
      </c>
    </row>
    <row r="9" spans="1:7" x14ac:dyDescent="0.3">
      <c r="A9" t="s">
        <v>766</v>
      </c>
    </row>
    <row r="10" spans="1:7" x14ac:dyDescent="0.3">
      <c r="A10" t="s">
        <v>767</v>
      </c>
    </row>
    <row r="11" spans="1:7" x14ac:dyDescent="0.3">
      <c r="A11" t="s">
        <v>768</v>
      </c>
    </row>
    <row r="12" spans="1:7" x14ac:dyDescent="0.3">
      <c r="A12" t="s">
        <v>769</v>
      </c>
    </row>
    <row r="13" spans="1:7" x14ac:dyDescent="0.3">
      <c r="A13" t="s">
        <v>770</v>
      </c>
    </row>
    <row r="14" spans="1:7" x14ac:dyDescent="0.3">
      <c r="A14" t="s">
        <v>771</v>
      </c>
    </row>
    <row r="15" spans="1:7" x14ac:dyDescent="0.3">
      <c r="A15" t="s">
        <v>159</v>
      </c>
    </row>
    <row r="16" spans="1:7" x14ac:dyDescent="0.3">
      <c r="A16" t="s">
        <v>772</v>
      </c>
    </row>
    <row r="17" spans="1:1" x14ac:dyDescent="0.3">
      <c r="A17" t="s">
        <v>121</v>
      </c>
    </row>
    <row r="18" spans="1:1" x14ac:dyDescent="0.3">
      <c r="A18" t="s">
        <v>773</v>
      </c>
    </row>
    <row r="19" spans="1:1" x14ac:dyDescent="0.3">
      <c r="A19" t="s">
        <v>124</v>
      </c>
    </row>
    <row r="20" spans="1:1" x14ac:dyDescent="0.3">
      <c r="A20" t="s">
        <v>774</v>
      </c>
    </row>
    <row r="21" spans="1:1" x14ac:dyDescent="0.3">
      <c r="A21" t="s">
        <v>775</v>
      </c>
    </row>
    <row r="22" spans="1:1" x14ac:dyDescent="0.3">
      <c r="A22" t="s">
        <v>776</v>
      </c>
    </row>
    <row r="23" spans="1:1" x14ac:dyDescent="0.3">
      <c r="A23" t="s">
        <v>127</v>
      </c>
    </row>
    <row r="24" spans="1:1" x14ac:dyDescent="0.3">
      <c r="A24" t="s">
        <v>777</v>
      </c>
    </row>
    <row r="25" spans="1:1" x14ac:dyDescent="0.3">
      <c r="A25" t="s">
        <v>778</v>
      </c>
    </row>
    <row r="26" spans="1:1" x14ac:dyDescent="0.3">
      <c r="A26" t="s">
        <v>779</v>
      </c>
    </row>
    <row r="27" spans="1:1" x14ac:dyDescent="0.3">
      <c r="A27" t="s">
        <v>780</v>
      </c>
    </row>
    <row r="28" spans="1:1" x14ac:dyDescent="0.3">
      <c r="A28" t="s">
        <v>781</v>
      </c>
    </row>
    <row r="29" spans="1:1" x14ac:dyDescent="0.3">
      <c r="A29" t="s">
        <v>782</v>
      </c>
    </row>
    <row r="30" spans="1:1" x14ac:dyDescent="0.3">
      <c r="A30" t="s">
        <v>783</v>
      </c>
    </row>
    <row r="31" spans="1:1" x14ac:dyDescent="0.3">
      <c r="A31" t="s">
        <v>784</v>
      </c>
    </row>
    <row r="32" spans="1:1" x14ac:dyDescent="0.3">
      <c r="A32" t="s">
        <v>785</v>
      </c>
    </row>
    <row r="33" spans="1:1" x14ac:dyDescent="0.3">
      <c r="A33" t="s">
        <v>786</v>
      </c>
    </row>
    <row r="34" spans="1:1" x14ac:dyDescent="0.3">
      <c r="A34" t="s">
        <v>787</v>
      </c>
    </row>
    <row r="35" spans="1:1" x14ac:dyDescent="0.3">
      <c r="A35" t="s">
        <v>788</v>
      </c>
    </row>
    <row r="36" spans="1:1" x14ac:dyDescent="0.3">
      <c r="A36" t="s">
        <v>133</v>
      </c>
    </row>
    <row r="37" spans="1:1" x14ac:dyDescent="0.3">
      <c r="A37" t="s">
        <v>789</v>
      </c>
    </row>
    <row r="38" spans="1:1" x14ac:dyDescent="0.3">
      <c r="A38" t="s">
        <v>790</v>
      </c>
    </row>
    <row r="39" spans="1:1" x14ac:dyDescent="0.3">
      <c r="A39" t="s">
        <v>791</v>
      </c>
    </row>
    <row r="40" spans="1:1" x14ac:dyDescent="0.3">
      <c r="A40" t="s">
        <v>184</v>
      </c>
    </row>
    <row r="41" spans="1:1" x14ac:dyDescent="0.3">
      <c r="A41" t="s">
        <v>792</v>
      </c>
    </row>
    <row r="42" spans="1:1" x14ac:dyDescent="0.3">
      <c r="A42" t="s">
        <v>137</v>
      </c>
    </row>
    <row r="43" spans="1:1" x14ac:dyDescent="0.3">
      <c r="A43" t="s">
        <v>793</v>
      </c>
    </row>
    <row r="44" spans="1:1" x14ac:dyDescent="0.3">
      <c r="A44" t="s">
        <v>116</v>
      </c>
    </row>
    <row r="45" spans="1:1" x14ac:dyDescent="0.3">
      <c r="A45" t="s">
        <v>794</v>
      </c>
    </row>
    <row r="46" spans="1:1" x14ac:dyDescent="0.3">
      <c r="A46" t="s">
        <v>795</v>
      </c>
    </row>
    <row r="47" spans="1:1" x14ac:dyDescent="0.3">
      <c r="A47" t="s">
        <v>796</v>
      </c>
    </row>
    <row r="48" spans="1:1" x14ac:dyDescent="0.3">
      <c r="A48" t="s">
        <v>797</v>
      </c>
    </row>
    <row r="49" spans="1:1" x14ac:dyDescent="0.3">
      <c r="A49" t="s">
        <v>798</v>
      </c>
    </row>
    <row r="50" spans="1:1" x14ac:dyDescent="0.3">
      <c r="A50" t="s">
        <v>799</v>
      </c>
    </row>
    <row r="51" spans="1:1" x14ac:dyDescent="0.3">
      <c r="A51" t="s">
        <v>142</v>
      </c>
    </row>
    <row r="52" spans="1:1" x14ac:dyDescent="0.3">
      <c r="A52" t="s">
        <v>800</v>
      </c>
    </row>
    <row r="53" spans="1:1" x14ac:dyDescent="0.3">
      <c r="A53" t="s">
        <v>801</v>
      </c>
    </row>
    <row r="54" spans="1:1" x14ac:dyDescent="0.3">
      <c r="A54" t="s">
        <v>802</v>
      </c>
    </row>
    <row r="55" spans="1:1" x14ac:dyDescent="0.3">
      <c r="A55" t="s">
        <v>803</v>
      </c>
    </row>
    <row r="56" spans="1:1" x14ac:dyDescent="0.3">
      <c r="A56" t="s">
        <v>804</v>
      </c>
    </row>
    <row r="57" spans="1:1" x14ac:dyDescent="0.3">
      <c r="A57" t="s">
        <v>805</v>
      </c>
    </row>
    <row r="58" spans="1:1" x14ac:dyDescent="0.3">
      <c r="A58" t="s">
        <v>806</v>
      </c>
    </row>
    <row r="59" spans="1:1" x14ac:dyDescent="0.3">
      <c r="A59" t="s">
        <v>145</v>
      </c>
    </row>
    <row r="60" spans="1:1" x14ac:dyDescent="0.3">
      <c r="A60" t="s">
        <v>807</v>
      </c>
    </row>
    <row r="61" spans="1:1" x14ac:dyDescent="0.3">
      <c r="A61" t="s">
        <v>808</v>
      </c>
    </row>
    <row r="62" spans="1:1" x14ac:dyDescent="0.3">
      <c r="A62" t="s">
        <v>152</v>
      </c>
    </row>
    <row r="63" spans="1:1" x14ac:dyDescent="0.3">
      <c r="A63" t="s">
        <v>809</v>
      </c>
    </row>
    <row r="64" spans="1:1" x14ac:dyDescent="0.3">
      <c r="A64" t="s">
        <v>149</v>
      </c>
    </row>
    <row r="65" spans="1:1" x14ac:dyDescent="0.3">
      <c r="A65" t="s">
        <v>810</v>
      </c>
    </row>
    <row r="66" spans="1:1" x14ac:dyDescent="0.3">
      <c r="A66" t="s">
        <v>811</v>
      </c>
    </row>
    <row r="67" spans="1:1" x14ac:dyDescent="0.3">
      <c r="A67" t="s">
        <v>812</v>
      </c>
    </row>
    <row r="68" spans="1:1" x14ac:dyDescent="0.3">
      <c r="A68" t="s">
        <v>813</v>
      </c>
    </row>
    <row r="69" spans="1:1" x14ac:dyDescent="0.3">
      <c r="A69" t="s">
        <v>814</v>
      </c>
    </row>
    <row r="70" spans="1:1" x14ac:dyDescent="0.3">
      <c r="A70" t="s">
        <v>155</v>
      </c>
    </row>
    <row r="71" spans="1:1" x14ac:dyDescent="0.3">
      <c r="A71" t="s">
        <v>815</v>
      </c>
    </row>
    <row r="72" spans="1:1" x14ac:dyDescent="0.3">
      <c r="A72" t="s">
        <v>816</v>
      </c>
    </row>
    <row r="73" spans="1:1" x14ac:dyDescent="0.3">
      <c r="A73" t="s">
        <v>817</v>
      </c>
    </row>
    <row r="74" spans="1:1" x14ac:dyDescent="0.3">
      <c r="A74" t="s">
        <v>818</v>
      </c>
    </row>
    <row r="75" spans="1:1" x14ac:dyDescent="0.3">
      <c r="A75" t="s">
        <v>819</v>
      </c>
    </row>
    <row r="76" spans="1:1" x14ac:dyDescent="0.3">
      <c r="A76" t="s">
        <v>820</v>
      </c>
    </row>
    <row r="77" spans="1:1" x14ac:dyDescent="0.3">
      <c r="A77" t="s">
        <v>821</v>
      </c>
    </row>
    <row r="78" spans="1:1" x14ac:dyDescent="0.3">
      <c r="A78" t="s">
        <v>822</v>
      </c>
    </row>
    <row r="79" spans="1:1" x14ac:dyDescent="0.3">
      <c r="A79" t="s">
        <v>563</v>
      </c>
    </row>
    <row r="80" spans="1:1" x14ac:dyDescent="0.3">
      <c r="A80" t="s">
        <v>823</v>
      </c>
    </row>
    <row r="81" spans="1:1" x14ac:dyDescent="0.3">
      <c r="A81" t="s">
        <v>824</v>
      </c>
    </row>
    <row r="82" spans="1:1" x14ac:dyDescent="0.3">
      <c r="A82" t="s">
        <v>825</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706E3D4-CBD4-49C5-B359-604AA8990E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2026-10-28T00:32:25Z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