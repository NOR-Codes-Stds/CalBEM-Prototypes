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02E7F8D0-588A-4686-8F03-BEDD97BDD080}" xr6:coauthVersionLast="47" xr6:coauthVersionMax="47" xr10:uidLastSave="{00000000-0000-0000-0000-000000000000}"/>
  <bookViews>
    <workbookView xWindow="-108" yWindow="-108" windowWidth="23256" windowHeight="13896"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0" hidden="1">Equipment!$A$2:$E$4</definedName>
    <definedName name="_xlnm._FilterDatabase" localSheetId="11" hidden="1">Schedules!$A$2:$AP$3</definedName>
    <definedName name="_xlnm._FilterDatabase" localSheetId="2" hidden="1">Zones!$J$13:$J$13</definedName>
    <definedName name="nonparticipating_forecastzone_scale_factor" localSheetId="16">#REF!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21" l="1"/>
  <c r="J3" i="1"/>
  <c r="K3" i="1"/>
  <c r="L3" i="1"/>
  <c r="M3" i="1"/>
  <c r="N3" i="1"/>
  <c r="O3" i="1"/>
  <c r="P3" i="1"/>
  <c r="Q3" i="1"/>
  <c r="R3" i="1"/>
  <c r="S3" i="1"/>
  <c r="T3" i="1"/>
  <c r="U3" i="1"/>
  <c r="V3" i="1"/>
  <c r="W3" i="1"/>
  <c r="X3" i="1"/>
  <c r="I3" i="1"/>
  <c r="B52" i="1"/>
  <c r="H20" i="21"/>
  <c r="H5" i="21"/>
  <c r="H6" i="21"/>
  <c r="H7" i="21"/>
  <c r="H8" i="21"/>
  <c r="H9" i="21"/>
  <c r="H10" i="21"/>
  <c r="H11" i="21"/>
  <c r="H12" i="21"/>
  <c r="H13" i="21"/>
  <c r="H14" i="21"/>
  <c r="H15" i="21"/>
  <c r="H16" i="21"/>
  <c r="H17" i="21"/>
  <c r="H18" i="21"/>
  <c r="H19" i="21"/>
  <c r="H4" i="21"/>
  <c r="I35" i="1"/>
  <c r="I13" i="1" a="1"/>
  <c r="I13" i="1" s="1"/>
  <c r="I7" i="1" a="1"/>
  <c r="I7" i="1" s="1"/>
  <c r="B15" i="1"/>
  <c r="B49" i="7"/>
  <c r="B48" i="7"/>
  <c r="B47" i="7"/>
  <c r="B46" i="7"/>
  <c r="B45" i="7"/>
  <c r="B44" i="7"/>
  <c r="B43" i="7"/>
  <c r="F37" i="7"/>
  <c r="C37" i="7"/>
  <c r="D37" i="7" s="1"/>
  <c r="F36" i="7"/>
  <c r="C36" i="7"/>
  <c r="D36" i="7" s="1"/>
  <c r="F35" i="7"/>
  <c r="C35" i="7"/>
  <c r="D35" i="7" s="1"/>
  <c r="F34" i="7"/>
  <c r="C34" i="7"/>
  <c r="D34" i="7" s="1"/>
  <c r="F33" i="7"/>
  <c r="C33" i="7"/>
  <c r="D33" i="7" s="1"/>
  <c r="F32" i="7"/>
  <c r="C32" i="7"/>
  <c r="D32" i="7" s="1"/>
  <c r="F31" i="7"/>
  <c r="C31" i="7"/>
  <c r="D31" i="7" s="1"/>
  <c r="F30" i="7"/>
  <c r="C30" i="7"/>
  <c r="D30" i="7" s="1"/>
  <c r="F29" i="7"/>
  <c r="C29" i="7"/>
  <c r="D29" i="7" s="1"/>
  <c r="F28" i="7"/>
  <c r="C28" i="7"/>
  <c r="D28" i="7" s="1"/>
  <c r="F27" i="7"/>
  <c r="C27" i="7"/>
  <c r="D27" i="7" s="1"/>
  <c r="F26" i="7"/>
  <c r="C26" i="7"/>
  <c r="D26" i="7" s="1"/>
  <c r="F25" i="7"/>
  <c r="C25" i="7"/>
  <c r="D25" i="7" s="1"/>
  <c r="F24" i="7"/>
  <c r="C24" i="7"/>
  <c r="D24" i="7" s="1"/>
  <c r="F23" i="7"/>
  <c r="C23" i="7"/>
  <c r="D23" i="7" s="1"/>
  <c r="F22" i="7"/>
  <c r="C22" i="7"/>
  <c r="D22" i="7" s="1"/>
  <c r="E27" i="7" l="1"/>
  <c r="E28" i="7"/>
  <c r="E29" i="7"/>
  <c r="E31" i="7"/>
  <c r="E32" i="7"/>
  <c r="E22" i="7"/>
  <c r="E33" i="7"/>
  <c r="E23" i="7"/>
  <c r="E34" i="7"/>
  <c r="E24" i="7"/>
  <c r="E35" i="7"/>
  <c r="E25" i="7"/>
  <c r="E36" i="7"/>
  <c r="E26" i="7"/>
  <c r="E37" i="7"/>
  <c r="E30" i="7"/>
  <c r="E3" i="7" l="1"/>
  <c r="E4" i="7" s="1"/>
  <c r="F42" i="7" l="1"/>
  <c r="G12" i="7"/>
  <c r="G11" i="7"/>
  <c r="I15" i="1" l="1"/>
  <c r="X22" i="1"/>
  <c r="W22" i="1"/>
  <c r="V22" i="1"/>
  <c r="U22" i="1"/>
  <c r="T22" i="1"/>
  <c r="S22" i="1"/>
  <c r="R22" i="1"/>
  <c r="Q22" i="1"/>
  <c r="P22" i="1"/>
  <c r="O22" i="1"/>
  <c r="N22" i="1"/>
  <c r="M22" i="1"/>
  <c r="L22" i="1"/>
  <c r="K22" i="1"/>
  <c r="J22" i="1"/>
  <c r="I22" i="1"/>
  <c r="X21" i="1"/>
  <c r="W21" i="1"/>
  <c r="V21" i="1"/>
  <c r="U21" i="1"/>
  <c r="T21" i="1"/>
  <c r="S21" i="1"/>
  <c r="R21" i="1"/>
  <c r="Q21" i="1"/>
  <c r="P21" i="1"/>
  <c r="O21" i="1"/>
  <c r="N21" i="1"/>
  <c r="M21" i="1"/>
  <c r="L21" i="1"/>
  <c r="K21" i="1"/>
  <c r="J21" i="1"/>
  <c r="I21" i="1"/>
  <c r="X16" i="1"/>
  <c r="W16" i="1"/>
  <c r="V16" i="1"/>
  <c r="U16" i="1"/>
  <c r="T16" i="1"/>
  <c r="S16" i="1"/>
  <c r="R16" i="1"/>
  <c r="Q16" i="1"/>
  <c r="P16" i="1"/>
  <c r="O16" i="1"/>
  <c r="N16" i="1"/>
  <c r="M16" i="1"/>
  <c r="L16" i="1"/>
  <c r="K16" i="1"/>
  <c r="J16" i="1"/>
  <c r="X15" i="1"/>
  <c r="W15" i="1"/>
  <c r="V15" i="1"/>
  <c r="U15" i="1"/>
  <c r="T15" i="1"/>
  <c r="S15" i="1"/>
  <c r="R15" i="1"/>
  <c r="Q15" i="1"/>
  <c r="P15" i="1"/>
  <c r="O15" i="1"/>
  <c r="N15" i="1"/>
  <c r="M15" i="1"/>
  <c r="L15" i="1"/>
  <c r="K15" i="1"/>
  <c r="J15" i="1"/>
  <c r="I16" i="1"/>
  <c r="I25" i="1" l="1" a="1"/>
  <c r="I25" i="1" s="1"/>
  <c r="I19" i="1" a="1"/>
  <c r="I19" i="1" s="1"/>
  <c r="A1" i="21"/>
  <c r="T14"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S4" i="20"/>
  <c r="U4" i="20" s="1"/>
  <c r="S5" i="20"/>
  <c r="T5" i="20" s="1"/>
  <c r="S6" i="20"/>
  <c r="T6" i="20" s="1"/>
  <c r="S7" i="20"/>
  <c r="U7" i="20" s="1"/>
  <c r="S8" i="20"/>
  <c r="T8" i="20" s="1"/>
  <c r="S9" i="20"/>
  <c r="T9" i="20" s="1"/>
  <c r="S10" i="20"/>
  <c r="U10" i="20" s="1"/>
  <c r="S11" i="20"/>
  <c r="T11" i="20" s="1"/>
  <c r="S12" i="20"/>
  <c r="T12" i="20" s="1"/>
  <c r="S13" i="20"/>
  <c r="T13" i="20" s="1"/>
  <c r="S14" i="20"/>
  <c r="U14" i="20" s="1"/>
  <c r="S15" i="20"/>
  <c r="U15" i="20" s="1"/>
  <c r="S16" i="20"/>
  <c r="T16" i="20" s="1"/>
  <c r="S17" i="20"/>
  <c r="T17" i="20" s="1"/>
  <c r="S18" i="20"/>
  <c r="T18" i="20" s="1"/>
  <c r="S3" i="20"/>
  <c r="T3" i="20" s="1"/>
  <c r="A3" i="20"/>
  <c r="N1" i="20"/>
  <c r="U12" i="20" l="1"/>
  <c r="U11" i="20"/>
  <c r="T15" i="20"/>
  <c r="U13" i="20"/>
  <c r="T10" i="20"/>
  <c r="U9" i="20"/>
  <c r="T7" i="20"/>
  <c r="U8" i="20"/>
  <c r="T4" i="20"/>
  <c r="U3" i="20"/>
  <c r="U18" i="20"/>
  <c r="U6" i="20"/>
  <c r="U17" i="20"/>
  <c r="U16" i="20"/>
  <c r="U5" i="20"/>
  <c r="N3" i="20"/>
  <c r="A1" i="20" l="1"/>
  <c r="L18" i="20"/>
  <c r="L17" i="20"/>
  <c r="L16" i="20"/>
  <c r="L15" i="20"/>
  <c r="L13" i="20"/>
  <c r="L12" i="20"/>
  <c r="L11" i="20"/>
  <c r="L9" i="20"/>
  <c r="L8" i="20"/>
  <c r="L7" i="20"/>
  <c r="L6" i="20"/>
  <c r="L5" i="20"/>
  <c r="L4" i="20"/>
  <c r="L3" i="20"/>
  <c r="L14" i="20" l="1"/>
  <c r="L10" i="20"/>
  <c r="V7" i="20"/>
  <c r="V12" i="20"/>
  <c r="V18" i="20"/>
  <c r="V10" i="20"/>
  <c r="V16" i="20"/>
  <c r="V5" i="20"/>
  <c r="V8" i="20"/>
  <c r="V11" i="20"/>
  <c r="V3" i="20"/>
  <c r="V14" i="20"/>
  <c r="V6" i="20"/>
  <c r="V17" i="20"/>
  <c r="V9" i="20"/>
  <c r="V4" i="20"/>
  <c r="V15" i="20"/>
  <c r="V13" i="20"/>
  <c r="A4" i="18" l="1"/>
  <c r="A3" i="18"/>
  <c r="A1" i="1" l="1"/>
  <c r="A1" i="13"/>
  <c r="B21" i="1" l="1"/>
  <c r="B9" i="1"/>
  <c r="B3" i="1"/>
  <c r="M5" i="13" l="1"/>
  <c r="J5" i="13"/>
  <c r="I5" i="13"/>
  <c r="H5" i="13" s="1"/>
  <c r="L3" i="13"/>
  <c r="L5" i="13" s="1"/>
  <c r="A1" i="28"/>
  <c r="A1" i="14"/>
  <c r="A1" i="22"/>
  <c r="A1" i="27"/>
  <c r="A1" i="29"/>
  <c r="A1" i="9"/>
  <c r="A1" i="25"/>
  <c r="A1" i="7"/>
  <c r="H3" i="13" l="1"/>
  <c r="H4" i="13"/>
  <c r="F10" i="7" l="1"/>
  <c r="B24" i="9"/>
  <c r="B23" i="9"/>
  <c r="C13" i="9" s="1"/>
  <c r="B24" i="2"/>
  <c r="B22" i="2" s="1"/>
  <c r="B10" i="2" l="1"/>
  <c r="A9" i="7" l="1"/>
  <c r="E9" i="7" l="1"/>
  <c r="E10" i="7" l="1"/>
  <c r="G9" i="7"/>
  <c r="C12" i="9"/>
  <c r="B21" i="9"/>
  <c r="H9" i="7" l="1"/>
  <c r="G10" i="7"/>
  <c r="H10" i="7" s="1"/>
  <c r="A4" i="29"/>
  <c r="A3" i="29"/>
  <c r="A5" i="25"/>
  <c r="A4" i="25"/>
  <c r="D9" i="7"/>
  <c r="C4" i="18"/>
  <c r="H4" i="18" s="1"/>
  <c r="D4" i="18"/>
  <c r="J4" i="18" s="1"/>
  <c r="D3" i="18"/>
  <c r="C3" i="18"/>
  <c r="B4" i="18"/>
  <c r="B3" i="18"/>
  <c r="I4" i="18" l="1"/>
  <c r="K4" i="18" s="1"/>
  <c r="D10" i="7"/>
  <c r="C5" i="18" l="1"/>
  <c r="D5" i="18" l="1"/>
  <c r="G11" i="9"/>
  <c r="G10" i="9"/>
  <c r="B5" i="18" l="1"/>
  <c r="G13" i="9" l="1"/>
  <c r="A7" i="9" l="1"/>
  <c r="A1" i="18"/>
  <c r="G12" i="9" l="1"/>
  <c r="G15" i="9" s="1"/>
  <c r="G9" i="9" l="1"/>
  <c r="A1" i="31"/>
  <c r="G14" i="9" l="1"/>
  <c r="A3" i="9" s="1"/>
  <c r="G16" i="9" l="1"/>
  <c r="B3" i="9"/>
  <c r="C3" i="9" l="1"/>
  <c r="J3" i="18"/>
  <c r="J5" i="18" s="1"/>
  <c r="I3" i="18" l="1"/>
  <c r="I5" i="18" s="1"/>
  <c r="H3" i="18"/>
  <c r="H5" i="18" s="1"/>
  <c r="K3" i="18" l="1"/>
  <c r="K5"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<sst xmlns="http://schemas.openxmlformats.org/spreadsheetml/2006/main" count="767" uniqueCount="459">
  <si>
    <t>Data Sources</t>
  </si>
  <si>
    <t>Dataset</t>
  </si>
  <si>
    <t>DSA Drawings for relocatable schools</t>
  </si>
  <si>
    <t>Berkeley Lab article</t>
  </si>
  <si>
    <t>https://www2.lbl.gov/Science-Articles/Archive/EETD-portable-classrooms.html</t>
  </si>
  <si>
    <t>California Portable Classroom Study</t>
  </si>
  <si>
    <t>https://ww2.arb.ca.gov/sites/default/files/classic/research/apr/reports/l3006.pdf</t>
  </si>
  <si>
    <t>California Legislature Environmental Health Conditions in California's Portable Classrooms</t>
  </si>
  <si>
    <t>https://ww2.arb.ca.gov/sites/default/files/2020-05/pcs_v3_es_03-23-04.pdf</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</si>
  <si>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</si>
  <si>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</si>
  <si>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</si>
  <si>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</si>
  <si>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</si>
  <si>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</si>
  <si>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</si>
  <si>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</si>
  <si>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</si>
  <si>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</si>
  <si>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</si>
  <si>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</si>
  <si>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</si>
  <si>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</si>
  <si>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</si>
  <si>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</si>
  <si>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Other</t>
  </si>
  <si>
    <t>Air leakage Memo, NORESCO, 2025</t>
  </si>
  <si>
    <t>Infiltration_rate_report_14May2025-Short-Version.docx</t>
  </si>
  <si>
    <t>BARD Engineering Specification Guide for SPVHP</t>
  </si>
  <si>
    <t>Construction Rate</t>
  </si>
  <si>
    <t>Notes</t>
  </si>
  <si>
    <t>SchoolRelocatable</t>
  </si>
  <si>
    <t>Characteristic</t>
  </si>
  <si>
    <t>Value</t>
  </si>
  <si>
    <t>Building Type</t>
  </si>
  <si>
    <t>Relocatable School</t>
  </si>
  <si>
    <t>Building Category</t>
  </si>
  <si>
    <t>Nonresidential</t>
  </si>
  <si>
    <t>Version</t>
  </si>
  <si>
    <t>v2-0</t>
  </si>
  <si>
    <t>Vintages</t>
  </si>
  <si>
    <t>4 Vintages: Pre-1978, 1978-1997,1998-2007, 2008-2018
New Construction (2019+)</t>
  </si>
  <si>
    <t>Shape</t>
  </si>
  <si>
    <t xml:space="preserve">The analysis uses prototype geometry originally developed by CEC. </t>
  </si>
  <si>
    <t>Total Floor Area (ft²)</t>
  </si>
  <si>
    <t>Aspect Ratio</t>
  </si>
  <si>
    <t>Number of Floors</t>
  </si>
  <si>
    <t>Roof type</t>
  </si>
  <si>
    <t>Flat</t>
  </si>
  <si>
    <t>WWR</t>
  </si>
  <si>
    <t>Shading Geometry</t>
  </si>
  <si>
    <t xml:space="preserve">No Shades </t>
  </si>
  <si>
    <t>Floor to floor height (feet)</t>
  </si>
  <si>
    <t>12 ft</t>
  </si>
  <si>
    <t>Floor to ceiling height (feet)</t>
  </si>
  <si>
    <t>Glazing sill height (feet)</t>
  </si>
  <si>
    <t>2.9 ft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</si>
  <si>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</si>
  <si>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</si>
  <si>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</si>
  <si>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</si>
  <si>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</si>
  <si>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</si>
  <si>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</si>
  <si>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</si>
  <si>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</si>
  <si>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</si>
  <si>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</si>
  <si>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</si>
  <si>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</si>
  <si>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</si>
  <si>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</si>
  <si>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</si>
  <si>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Classroom</t>
  </si>
  <si>
    <t>Classroom, Lecture, Training, Vocational Areas</t>
  </si>
  <si>
    <t>System 5</t>
  </si>
  <si>
    <t>Yes</t>
  </si>
  <si>
    <t>Crawlspace</t>
  </si>
  <si>
    <t>Unoccupied-Exclude from Gross Floor Area</t>
  </si>
  <si>
    <t>No</t>
  </si>
  <si>
    <t>Total (1 Building)</t>
  </si>
  <si>
    <t>Total (2 spaces)</t>
  </si>
  <si>
    <t>Total (2 Space types)</t>
  </si>
  <si>
    <t>Total ( 1 HVAC zone)</t>
  </si>
  <si>
    <t>Total (1 Schedule categories)</t>
  </si>
  <si>
    <t xml:space="preserve"> Total (1 Conditioned zones)</t>
  </si>
  <si>
    <t>Background Data [To be deleted prior to publication]</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</si>
  <si>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</si>
  <si>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</si>
  <si>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</si>
  <si>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</si>
  <si>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</si>
  <si>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</si>
  <si>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</si>
  <si>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</si>
  <si>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</si>
  <si>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</si>
  <si>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</si>
  <si>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</si>
  <si>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</si>
  <si>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</si>
  <si>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</si>
  <si>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</si>
  <si>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</si>
  <si>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</si>
  <si>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</si>
  <si>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</si>
  <si>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</si>
  <si>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</si>
  <si>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</si>
  <si>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</si>
  <si>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</si>
  <si>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framed wall:
 Metal frame+ insulation + Gypsum board</t>
  </si>
  <si>
    <t>U-factor IP</t>
  </si>
  <si>
    <t>Pre 1978</t>
  </si>
  <si>
    <t>N/A</t>
  </si>
  <si>
    <t>Using DOE pre-1980 U-value of 0.227 for school and a 9.2% cumulative wall renovation rate through 2028, based on the average annual rate from CBECS 2003 and 2012 projected over 48 years.</t>
  </si>
  <si>
    <t>1978-1997</t>
  </si>
  <si>
    <t>TABLE NO. 1-I metal-framed</t>
  </si>
  <si>
    <t>1998-2007</t>
  </si>
  <si>
    <t>TABLE 1-H-NonRes Bldgs</t>
  </si>
  <si>
    <t>2008-2018</t>
  </si>
  <si>
    <t>TABLE 140.3-B-NonRes Bldgs</t>
  </si>
  <si>
    <t>Existing</t>
  </si>
  <si>
    <t>Weighted average of all 4 vintages</t>
  </si>
  <si>
    <t>2019+</t>
  </si>
  <si>
    <t>Roof</t>
  </si>
  <si>
    <t>FlatRoof_WoodFramedAndOther_NonRes</t>
  </si>
  <si>
    <t>Metal framed roof:
steel truss + cavity insulation + plywood deck + above deck insulation + membrane + coverboard</t>
  </si>
  <si>
    <t>U-value IP</t>
  </si>
  <si>
    <t>Considering 30 years for roof/ insulation replacement.</t>
  </si>
  <si>
    <t>Table 1-H</t>
  </si>
  <si>
    <t>Table 140.3-B</t>
  </si>
  <si>
    <t>Windows_Nonrs</t>
  </si>
  <si>
    <t>OperableWindow_NonRes</t>
  </si>
  <si>
    <t>Single pane</t>
  </si>
  <si>
    <r>
      <t>ASHRAE Handbook of Fundamentals</t>
    </r>
    <r>
      <rPr>
        <sz val="10"/>
        <color rgb="FF000000"/>
        <rFont val="Arial"/>
        <family val="2"/>
      </rPr>
      <t xml:space="preserve"> (Table 4-Ch15) for operable single pane </t>
    </r>
    <r>
      <rPr>
        <sz val="10"/>
        <color theme="1"/>
        <rFont val="Arial"/>
        <family val="2"/>
      </rPr>
      <t>&amp; T24, 2013  for double pane (58%-42%)</t>
    </r>
  </si>
  <si>
    <t>Double pane</t>
  </si>
  <si>
    <t>Table1-H</t>
  </si>
  <si>
    <t xml:space="preserve">Table 140.3-B </t>
  </si>
  <si>
    <t>SHGC</t>
  </si>
  <si>
    <r>
      <t xml:space="preserve">ASHRAE Handbook of Fundamentals </t>
    </r>
    <r>
      <rPr>
        <sz val="10"/>
        <color rgb="FF000000"/>
        <rFont val="Arial"/>
        <family val="2"/>
      </rPr>
      <t xml:space="preserve">(Table 4-Ch15) for operable single pane </t>
    </r>
    <r>
      <rPr>
        <sz val="10"/>
        <color theme="1"/>
        <rFont val="Arial"/>
        <family val="2"/>
      </rPr>
      <t>&amp; T24, 2013  for double pane (58%-42%)</t>
    </r>
  </si>
  <si>
    <t>Table 1-H (based on non north with WWR 30-40% )</t>
  </si>
  <si>
    <t>Table 140.3-B  (100% fixed, 0% operable)</t>
  </si>
  <si>
    <t>* California Legislature Environmental Health Conditions in California's Portable Classrooms</t>
  </si>
  <si>
    <t>Infiltration</t>
  </si>
  <si>
    <t>Zones</t>
  </si>
  <si>
    <t>I_75
6-Sided Infiltration rate 
@ 75 pa</t>
  </si>
  <si>
    <t>Note</t>
  </si>
  <si>
    <t xml:space="preserve"> I-design (cfm/ft²) 
(4-sided Infiltration rate at normal pressure) 
(Design flow rate approach and Flow/Exterior Wall Area calculation method) </t>
  </si>
  <si>
    <t>2022 CASE report (Table 38)</t>
  </si>
  <si>
    <t>2022 CASE report (Table 38) &amp;
T24, 2008-2016 (Table 140.3-B)--Air barrier is required in CZ 10-16</t>
  </si>
  <si>
    <t>Same as Pre 2008 because of their higher weights</t>
  </si>
  <si>
    <t>2022 CASE report (Table 38) &amp;  
T24, 2025 (Table 140.3-B)--Air barrier is required in all CZs</t>
  </si>
  <si>
    <t>Source:  T24 air barrier requirements (all editions) and the standardized infiltration rate reported in the 2022 CASE report and Dodge 2023 data</t>
  </si>
  <si>
    <t xml:space="preserve">Air Leakage Memo: </t>
  </si>
  <si>
    <t>Pre-1978 exterior wall U value calculation:</t>
  </si>
  <si>
    <t>Metal framed wall:
Metal frame + insulation + Gypsum board</t>
  </si>
  <si>
    <t>ASHRAE 90.1-2022 Table A3.3.3.1 (metal-framed), 3.5 in., R-0</t>
  </si>
  <si>
    <t>T24 2008 (U value): Metal framed wall Nonres</t>
  </si>
  <si>
    <t>DOE pre 1980 prototype LA (U value)</t>
  </si>
  <si>
    <t>ASHRAE 90.1-2022 Table A3.3.3.1 (metal-framed), 3.5 in., R-0, U-0.352 all CZ. Was U-0.292 (A3.4.3.1 wood/mass); construction C3 is ExtWall_MetalFramed_NonRes.</t>
  </si>
  <si>
    <t>Heat Capacity was considered 10.0-14.99 (Btu/F-ft²)</t>
  </si>
  <si>
    <t xml:space="preserve">Heating </t>
  </si>
  <si>
    <t>Cooling</t>
  </si>
  <si>
    <t>Air Distribution</t>
  </si>
  <si>
    <t>Other System</t>
  </si>
  <si>
    <t>Source</t>
  </si>
  <si>
    <t>SPVHP</t>
  </si>
  <si>
    <t>DX Coil</t>
  </si>
  <si>
    <t>CAV</t>
  </si>
  <si>
    <t xml:space="preserve">Economizer*
Fix Dry bulb; integrated; 
High DB Temperature Lockout: 75 °F </t>
  </si>
  <si>
    <t>ACM 2025</t>
  </si>
  <si>
    <t>System 3b</t>
  </si>
  <si>
    <t>New Construction</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</si>
  <si>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</si>
  <si>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</si>
  <si>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</si>
  <si>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Supplementary Heating Coil</t>
  </si>
  <si>
    <t>Cooling DX</t>
  </si>
  <si>
    <t>COP = 3</t>
  </si>
  <si>
    <t>Efficiency: 100% (Electric)</t>
  </si>
  <si>
    <t>EER = 9.0</t>
  </si>
  <si>
    <t>10 CFR 431.97, Table 10 to paragraph (e)(2): SPVHP &lt;65,000 Btu/h → EER 9.0, COP 3.0 (federal standard effective Jan 1, 2010; used here for legacy/vintage modeling consistency)</t>
  </si>
  <si>
    <t>10 CFR 431.97, Table 10 to paragraph (e)(2): SPVHP &lt;65,000 Btu/h → EER 9.0, COP 3.0 (still governing in 2013; later update came in 2019)</t>
  </si>
  <si>
    <t>COP = 3.3</t>
  </si>
  <si>
    <t>EER = 11.0</t>
  </si>
  <si>
    <t>CEC 2025 Space-Conditioning Efficiency Tables, Table 5 (row: SPVHP &lt;65,000 Btu/h → EER 11.0, COP 3.3, test AHRI 390). The table cites 10 CFR 431 Subpart F as the federal basis</t>
  </si>
  <si>
    <t>Fan power</t>
  </si>
  <si>
    <t>Approach</t>
  </si>
  <si>
    <t>System</t>
  </si>
  <si>
    <t>Total Static Pressure (TSP)
(in w.c.)</t>
  </si>
  <si>
    <t>Fan Efficiency
[ACM 2025]</t>
  </si>
  <si>
    <t xml:space="preserve">Motor Efficiency </t>
  </si>
  <si>
    <t xml:space="preserve"> Fan Power Index 
(W/cfm)</t>
  </si>
  <si>
    <t>Data Source</t>
  </si>
  <si>
    <t>PNNL 90.1-2011, TSP</t>
  </si>
  <si>
    <t>CAV, SPVHP classroom, design airflow &lt; 7,437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</si>
  <si>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</si>
  <si>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</si>
  <si>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</si>
  <si>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</si>
  <si>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</si>
  <si>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SPVHP (System 3b), CAV classroom, ≤5,000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</si>
  <si>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</si>
  <si>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</si>
  <si>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</si>
  <si>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</si>
  <si>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Same index as Hotel Small System 3b SZHP ≤5,000 cfm.</t>
  </si>
  <si>
    <t>Setpoint</t>
  </si>
  <si>
    <t>School Heating Setpoint (F)</t>
  </si>
  <si>
    <t>T24 2022 - Appendix 5.4B</t>
  </si>
  <si>
    <t>School Heating Setback (F)</t>
  </si>
  <si>
    <t>School Cooling Setpoint (F)</t>
  </si>
  <si>
    <t>School Cooling Setback (F)</t>
  </si>
  <si>
    <t>Space Type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</si>
  <si>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</si>
  <si>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</si>
  <si>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</si>
  <si>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</si>
  <si>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</si>
  <si>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</si>
  <si>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</si>
  <si>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</si>
  <si>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</si>
  <si>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</si>
  <si>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Number of WH</t>
  </si>
  <si>
    <t>Tank Volume (gal)</t>
  </si>
  <si>
    <t>Tank Loss</t>
  </si>
  <si>
    <t xml:space="preserve">Existing  </t>
  </si>
  <si>
    <t>Electric</t>
  </si>
  <si>
    <t>See Climate Zone Water Heater Sizing and Loss Coefficients Table, Standby Loss column (col G)</t>
  </si>
  <si>
    <t>Electric kept for Existing: a relocatable classroom normally has no gas service, so the gas storage water heater used for the permanent school prototypes (CEUS 2022) is not applied here.</t>
  </si>
  <si>
    <r>
      <t xml:space="preserve">Section 1605.1. Federal and State Standards for Federally-Regulated Appliances. </t>
    </r>
    <r>
      <rPr>
        <sz val="10"/>
        <color rgb="FF000000"/>
        <rFont val="Arial"/>
        <family val="2"/>
      </rPr>
      <t>Electric storage standby loss: Title 20 Table F-4 (0.30 + 27/Vm %/hr).</t>
    </r>
  </si>
  <si>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</si>
  <si>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</si>
  <si>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</si>
  <si>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</si>
  <si>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</si>
  <si>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</si>
  <si>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</si>
  <si>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</si>
  <si>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Total</t>
  </si>
  <si>
    <t>Gas storage</t>
  </si>
  <si>
    <t>Minimum peak hot water usage is 75 gal according to ACM 2025</t>
  </si>
  <si>
    <t>Electric resistance</t>
  </si>
  <si>
    <t>Maximum flow rate (GPM)</t>
  </si>
  <si>
    <t>CALGreen §5.303.3.4.1 (Title 24, Part 11, 2025)</t>
  </si>
  <si>
    <t>Design supply temperature (°F)</t>
  </si>
  <si>
    <t>Title 24 2022 Reference Appendices, Appendix 5.4B</t>
  </si>
  <si>
    <t>WH system factor</t>
  </si>
  <si>
    <t>Not used for tankless (column D = C). 2025 ACM §5.9.2 storage system factor.</t>
  </si>
  <si>
    <t>Water mass conversion (lb/gal)</t>
  </si>
  <si>
    <t>2025 ACM §5.9.2 Rated Capacity</t>
  </si>
  <si>
    <t>Tankless storage volume (gal)</t>
  </si>
  <si>
    <t>Title 20 instantaneous class (storage typically &lt;2 gal); scorecard uses 2.</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</si>
  <si>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</si>
  <si>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</si>
  <si>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</si>
  <si>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</si>
  <si>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</si>
  <si>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</si>
  <si>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</si>
  <si>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</si>
  <si>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</si>
  <si>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</si>
  <si>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</si>
  <si>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</si>
  <si>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</si>
  <si>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</si>
  <si>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</si>
  <si>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</si>
  <si>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</si>
  <si>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</si>
  <si>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</si>
  <si>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</si>
  <si>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</si>
  <si>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</si>
  <si>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</si>
  <si>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input (kW)</t>
  </si>
  <si>
    <t>Input (Btu/h)</t>
  </si>
  <si>
    <t>Max GPM</t>
  </si>
  <si>
    <t>UEF</t>
  </si>
  <si>
    <t>Grainger</t>
  </si>
  <si>
    <t xml:space="preserve">New Construction </t>
  </si>
  <si>
    <t>Lighting density 
(W/ft²)</t>
  </si>
  <si>
    <t>Additional lighting power allowance (W/ftÂ²) [Table 140.6-C footnoted allowance]</t>
  </si>
  <si>
    <t xml:space="preserve">LPD (W/ft²) </t>
  </si>
  <si>
    <t xml:space="preserve">T24, 2025, Table 140.6 C  (Area category method) </t>
  </si>
  <si>
    <t xml:space="preserve">T24, 2016, Table 140.6 C   (Area category method) </t>
  </si>
  <si>
    <t>Additional allowances are the full Table 140.6-C value for the footnoted lighting system (New Construction: T24 2025; Existing: T24 2016). The allowance only applies where that lighting system is installed. White board/chalk board allowances are per linear foot and are not included.</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</si>
  <si>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</si>
  <si>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</si>
  <si>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</si>
  <si>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</si>
  <si>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</si>
  <si>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</si>
  <si>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</si>
  <si>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</si>
  <si>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</si>
  <si>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</si>
  <si>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</si>
  <si>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</si>
  <si>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</si>
  <si>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</si>
  <si>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</si>
  <si>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</si>
  <si>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</si>
  <si>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</si>
  <si>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</si>
  <si>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</si>
  <si>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</si>
  <si>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</si>
  <si>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is developed based on the 2019 Outdoor Lighting CASE report</t>
  </si>
  <si>
    <t>Non-motion-controlled Luminaires</t>
  </si>
  <si>
    <t>Max Height (ft)</t>
  </si>
  <si>
    <t>Building footprint</t>
  </si>
  <si>
    <t>Floors</t>
  </si>
  <si>
    <t>Perimeter(ft)</t>
  </si>
  <si>
    <t>Total floor area (ft²)</t>
  </si>
  <si>
    <t>Plug load Power Density (W/ft²)</t>
  </si>
  <si>
    <t>Gas Power Density (Btu/hr-ft²)</t>
  </si>
  <si>
    <t>Refrigeration Power Density (W/ft²)</t>
  </si>
  <si>
    <t>T24 2022 - Appendix 5.4A</t>
  </si>
  <si>
    <t>Zone</t>
  </si>
  <si>
    <t>Schedule</t>
  </si>
  <si>
    <t>Type</t>
  </si>
  <si>
    <t>Hour</t>
  </si>
  <si>
    <t>All zones (single classroom zone)</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</si>
  <si>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</si>
  <si>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</si>
  <si>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</si>
  <si>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</si>
  <si>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</si>
  <si>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</si>
  <si>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</si>
  <si>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</si>
  <si>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</si>
  <si>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</si>
  <si>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</si>
  <si>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</si>
  <si>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</si>
  <si>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t>ClgSetpt</t>
  </si>
  <si>
    <t>T24 2022 - Appendix 5.4B [School] (0.25 while the HVAC is on, 1.0 otherwise)</t>
  </si>
  <si>
    <t>ExtLightingNonMotionCtrl</t>
  </si>
  <si>
    <t>ExtLightingMotionCtrl</t>
  </si>
  <si>
    <t>MeetingPeopleActivityLevel</t>
  </si>
  <si>
    <t>Constant activity level from the CEC prototype schedule library (as used in the SCE K-8 model, SchoolK8.idf)</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</si>
  <si>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</si>
  <si>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</si>
  <si>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</si>
  <si>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</si>
  <si>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</si>
  <si>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</si>
  <si>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</si>
  <si>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</si>
  <si>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</si>
  <si>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</si>
  <si>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</si>
  <si>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</si>
  <si>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</si>
  <si>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</si>
  <si>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</si>
  <si>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</si>
  <si>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</si>
  <si>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</si>
  <si>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</si>
  <si>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</si>
  <si>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</si>
  <si>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</si>
  <si>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Not available</t>
  </si>
  <si>
    <t>School</t>
  </si>
  <si>
    <t>Statewide</t>
  </si>
  <si>
    <t>Ref: CEUS 2022 dataset: School group</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</si>
  <si>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</si>
  <si>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</si>
  <si>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</si>
  <si>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</si>
  <si>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</si>
  <si>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</si>
  <si>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</si>
  <si>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</si>
  <si>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</si>
  <si>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</si>
  <si>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</si>
  <si>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</si>
  <si>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</si>
  <si>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</si>
  <si>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</si>
  <si>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</si>
  <si>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</si>
  <si>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</si>
  <si>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</si>
  <si>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</si>
  <si>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</si>
  <si>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</si>
  <si>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</si>
  <si>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</si>
  <si>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</si>
  <si>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</si>
  <si>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</si>
  <si>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</si>
  <si>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</si>
  <si>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</si>
  <si>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</si>
  <si>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</si>
  <si>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</si>
  <si>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</si>
  <si>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</si>
  <si>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</si>
  <si>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</si>
  <si>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</si>
  <si>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</si>
  <si>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</si>
  <si>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</si>
  <si>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</si>
  <si>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</si>
  <si>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</si>
  <si>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</si>
  <si>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</si>
  <si>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</si>
  <si>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</si>
  <si>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</si>
  <si>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</si>
  <si>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</si>
  <si>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</si>
  <si>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</si>
  <si>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</si>
  <si>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</si>
  <si>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</si>
  <si>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</si>
  <si>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</si>
  <si>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</si>
  <si>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</si>
  <si>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</si>
  <si>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</si>
  <si>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</si>
  <si>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</si>
  <si>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</si>
  <si>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</si>
  <si>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</si>
  <si>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</si>
  <si>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</si>
  <si>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</si>
  <si>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</si>
  <si>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</si>
  <si>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</si>
  <si>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</si>
  <si>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</si>
  <si>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</si>
  <si>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</si>
  <si>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</si>
  <si>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</si>
  <si>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NORESCO, Updated September 2026</t>
  </si>
  <si>
    <t>Based on the vintage bin analysis. 
A summary of the findings is presented in the following paper, with a link provided in the Notes tab:
Yousefi, F., Athalye, R. (2025). “Determining Vintage Bins for Prototype Development: An Analysis of California Commercial Buildings.” ASHRAE Annual Conference.</t>
  </si>
  <si>
    <t xml:space="preserve">Same as CEC prototype  </t>
  </si>
  <si>
    <t>Typical height</t>
  </si>
  <si>
    <t>Typical sill height</t>
  </si>
  <si>
    <t xml:space="preserve">Renovation rate since 1980  (yearly school renovation rate was calculated from CBECS 2003 and 2012 and then projected over 48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</si>
</sst>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 numFmtId="171" formatCode="_(* #,##0.0_);_(* \(#,##0.0\);_(* &quot;-&quot;??_);_(@_)"/>
  </numFmts>
  <fonts count="44"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sz val="9"/>
      <name val="Arial"/>
      <family val="2"/>
    </font>
    <font>
      <b/>
      <sz val="10"/>
      <color rgb="FF000000"/>
      <name val="Arial"/>
      <family val="2"/>
    </font>
    <font>
      <sz val="11"/>
      <color rgb="FF000000"/>
      <name val="Calibri"/>
      <family val="2"/>
      <scheme val="minor"/>
    </font>
    <font>
      <sz val="11"/>
      <color theme="1"/>
      <name val="Calibri"/>
      <family val="2"/>
    </font>
    <font>
      <sz val="11"/>
      <color rgb="FF000000"/>
      <name val="Calibri"/>
      <family val="2"/>
    </font>
    <font>
      <sz val="11"/>
      <color rgb="FF000000"/>
      <name val="Arial"/>
      <family val="2"/>
    </font>
    <font>
      <b/>
      <sz val="11"/>
      <color rgb="FF000000"/>
      <name val="Arial"/>
      <family val="2"/>
    </font>
    <font>
      <sz val="10"/>
      <color rgb="FFFFFFFF"/>
      <name val="Arial"/>
      <family val="2"/>
    </font>
    <font>
      <sz val="11"/>
      <color rgb="FF0563C1"/>
      <name val="Calibri"/>
      <family val="2"/>
    </font>
    <font>
      <sz val="11"/>
      <color rgb="FF0563C1"/>
      <name val="Calibri"/>
      <family val="2"/>
      <scheme val="minor"/>
    </font>
    <font>
      <b/>
      <sz val="12"/>
      <color rgb="FFFFFFFF"/>
      <name val="Calibri"/>
      <family val="2"/>
      <scheme val="minor"/>
    </font>
  </fonts>
  <fills count="2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D9E1F2"/>
        <bgColor indexed="64"/>
      </patternFill>
    </fill>
    <fill>
      <patternFill patternType="solid">
        <fgColor rgb="FF203764"/>
        <bgColor indexed="64"/>
      </patternFill>
    </fill>
    <fill>
      <patternFill patternType="solid">
        <fgColor rgb="FFFFFFFF"/>
        <bgColor rgb="FF000000"/>
      </patternFill>
    </fill>
    <fill>
      <patternFill patternType="solid">
        <fgColor rgb="FFC2BCBC"/>
        <bgColor indexed="64"/>
      </patternFill>
    </fill>
    <fill>
      <patternFill patternType="solid">
        <fgColor rgb="FFA6A6A6"/>
        <bgColor indexed="64"/>
      </patternFill>
    </fill>
    <fill>
      <patternFill patternType="solid">
        <fgColor rgb="FF8A8A8A"/>
        <bgColor indexed="64"/>
      </patternFill>
    </fill>
  </fills>
  <borders count="12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bottom style="thin">
        <color rgb="FF808080"/>
      </bottom>
      <diagonal/>
    </border>
    <border>
      <left style="thin">
        <color theme="0" tint="-0.499984740745262"/>
      </left>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indexed="64"/>
      </left>
      <right/>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top/>
      <bottom style="thin">
        <color theme="0" tint="-0.499984740745262"/>
      </bottom>
      <diagonal/>
    </border>
    <border>
      <left/>
      <right/>
      <top/>
      <bottom style="thin">
        <color theme="0" tint="-0.499984740745262"/>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style="thin">
        <color indexed="64"/>
      </right>
      <top/>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rgb="FF000000"/>
      </bottom>
      <diagonal/>
    </border>
    <border>
      <left style="thin">
        <color rgb="FF595959"/>
      </left>
      <right style="thin">
        <color rgb="FF595959"/>
      </right>
      <top style="thin">
        <color rgb="FF595959"/>
      </top>
      <bottom/>
      <diagonal/>
    </border>
    <border>
      <left style="thin">
        <color rgb="FF595959"/>
      </left>
      <right/>
      <top style="thin">
        <color rgb="FF595959"/>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bottom/>
      <diagonal/>
    </border>
    <border>
      <left style="thin">
        <color rgb="FF595959"/>
      </left>
      <right/>
      <top/>
      <bottom/>
      <diagonal/>
    </border>
    <border>
      <left style="thin">
        <color rgb="FF595959"/>
      </left>
      <right style="thin">
        <color rgb="FF595959"/>
      </right>
      <top/>
      <bottom style="thin">
        <color indexed="64"/>
      </bottom>
      <diagonal/>
    </border>
    <border>
      <left style="thin">
        <color rgb="FF595959"/>
      </left>
      <right/>
      <top/>
      <bottom style="thin">
        <color indexed="64"/>
      </bottom>
      <diagonal/>
    </border>
    <border>
      <left/>
      <right style="thin">
        <color rgb="FF808080"/>
      </right>
      <top style="thin">
        <color rgb="FF808080"/>
      </top>
      <bottom style="thin">
        <color rgb="FF808080"/>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xf numFmtId="0" fontId="36" fillId="0" borderId="0"/>
  </cellStyleXfs>
  <cellXfs count="549">
    <xf numFmtId="0" fontId="0" fillId="0" borderId="0" xfId="0"/>
    <xf numFmtId="0" fontId="0" fillId="0" borderId="0" xfId="0" applyAlignment="1">
      <alignment vertical="center"/>
    </xf>
    <xf numFmtId="0" fontId="8" fillId="0" borderId="0" xfId="5"/>
    <xf numFmtId="0" fontId="10" fillId="0" borderId="0" xfId="0" applyFont="1"/>
    <xf numFmtId="0" fontId="10" fillId="0" borderId="0" xfId="0" applyFont="1" applyAlignment="1">
      <alignment horizontal="center" vertical="center"/>
    </xf>
    <xf numFmtId="0" fontId="6"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13"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6" fillId="0" borderId="0" xfId="0" applyFont="1" applyAlignment="1">
      <alignment horizontal="center" vertical="top" wrapText="1"/>
    </xf>
    <xf numFmtId="0" fontId="6" fillId="0" borderId="0" xfId="0" applyFont="1" applyAlignment="1">
      <alignment horizontal="left"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8" fontId="22" fillId="0" borderId="0" xfId="0" applyNumberFormat="1" applyFont="1" applyAlignment="1">
      <alignment horizontal="center" vertical="center"/>
    </xf>
    <xf numFmtId="9" fontId="6" fillId="0" borderId="22" xfId="0" applyNumberFormat="1" applyFont="1" applyBorder="1" applyAlignment="1">
      <alignment horizontal="center"/>
    </xf>
    <xf numFmtId="0" fontId="26" fillId="0" borderId="0" xfId="0" applyFont="1"/>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1" fillId="0" borderId="0" xfId="0" applyFont="1" applyAlignment="1">
      <alignment horizontal="left" vertical="center" wrapText="1"/>
    </xf>
    <xf numFmtId="0" fontId="18" fillId="6" borderId="12" xfId="0" applyFont="1" applyFill="1" applyBorder="1" applyAlignment="1">
      <alignment horizontal="center" vertical="center" wrapText="1"/>
    </xf>
    <xf numFmtId="0" fontId="10" fillId="0" borderId="0" xfId="0" applyFont="1" applyAlignment="1">
      <alignment horizontal="center"/>
    </xf>
    <xf numFmtId="43" fontId="6" fillId="0" borderId="0" xfId="0" applyNumberFormat="1" applyFont="1"/>
    <xf numFmtId="0" fontId="9"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20" fillId="0" borderId="0" xfId="0" applyFont="1"/>
    <xf numFmtId="16" fontId="0" fillId="0" borderId="0" xfId="0" applyNumberFormat="1" applyAlignment="1">
      <alignment horizontal="left"/>
    </xf>
    <xf numFmtId="0" fontId="18" fillId="9" borderId="2" xfId="0" applyFont="1" applyFill="1" applyBorder="1" applyAlignment="1">
      <alignment horizontal="center" vertical="center"/>
    </xf>
    <xf numFmtId="169" fontId="23" fillId="0" borderId="2" xfId="6" applyNumberFormat="1" applyFont="1" applyBorder="1" applyAlignment="1">
      <alignment horizontal="center" vertical="center"/>
    </xf>
    <xf numFmtId="169" fontId="23" fillId="0" borderId="2" xfId="6" applyNumberFormat="1" applyFont="1" applyBorder="1" applyAlignment="1">
      <alignment horizontal="center" vertical="center" wrapText="1"/>
    </xf>
    <xf numFmtId="0" fontId="24" fillId="9" borderId="2" xfId="0" applyFont="1" applyFill="1" applyBorder="1" applyAlignment="1">
      <alignment horizontal="center"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1" fillId="0" borderId="0" xfId="0" applyFont="1" applyAlignment="1">
      <alignment vertical="center" wrapText="1"/>
    </xf>
    <xf numFmtId="0" fontId="28" fillId="10" borderId="0" xfId="0" applyFont="1" applyFill="1" applyAlignment="1">
      <alignment horizontal="center" vertical="center"/>
    </xf>
    <xf numFmtId="169" fontId="6" fillId="0" borderId="0" xfId="0" applyNumberFormat="1" applyFont="1"/>
    <xf numFmtId="0" fontId="16" fillId="0" borderId="0" xfId="0" applyFont="1"/>
    <xf numFmtId="170" fontId="29" fillId="0" borderId="0" xfId="0" applyNumberFormat="1" applyFont="1"/>
    <xf numFmtId="0" fontId="6" fillId="0" borderId="2" xfId="0" applyFont="1" applyBorder="1" applyAlignment="1">
      <alignment horizontal="right" vertical="center"/>
    </xf>
    <xf numFmtId="169" fontId="6" fillId="0" borderId="2" xfId="6" applyNumberFormat="1" applyFont="1" applyBorder="1" applyAlignment="1">
      <alignment horizontal="right" vertical="center" wrapText="1"/>
    </xf>
    <xf numFmtId="169" fontId="6" fillId="0" borderId="2" xfId="0" applyNumberFormat="1" applyFont="1" applyBorder="1" applyAlignment="1">
      <alignment horizontal="right" vertical="center"/>
    </xf>
    <xf numFmtId="3" fontId="6" fillId="0" borderId="0" xfId="0" applyNumberFormat="1" applyFont="1"/>
    <xf numFmtId="169" fontId="6" fillId="0" borderId="2" xfId="6" applyNumberFormat="1" applyFont="1" applyBorder="1" applyAlignment="1">
      <alignment horizontal="right" vertical="center"/>
    </xf>
    <xf numFmtId="0" fontId="10" fillId="0" borderId="0" xfId="0" applyFont="1" applyAlignment="1">
      <alignment vertical="center"/>
    </xf>
    <xf numFmtId="165" fontId="10" fillId="0" borderId="0" xfId="2" applyNumberFormat="1" applyFont="1"/>
    <xf numFmtId="0" fontId="0" fillId="0" borderId="0" xfId="0" applyAlignment="1">
      <alignment horizontal="left"/>
    </xf>
    <xf numFmtId="0" fontId="6" fillId="0" borderId="22" xfId="4" applyBorder="1" applyAlignment="1">
      <alignment horizontal="center" vertical="center"/>
    </xf>
    <xf numFmtId="0" fontId="24" fillId="9" borderId="34" xfId="0" applyFont="1" applyFill="1" applyBorder="1" applyAlignment="1">
      <alignment horizontal="center" vertical="center" wrapText="1"/>
    </xf>
    <xf numFmtId="0" fontId="9" fillId="0" borderId="2" xfId="3" applyFont="1" applyFill="1" applyBorder="1" applyAlignment="1">
      <alignment horizontal="center" vertical="center" wrapText="1"/>
    </xf>
    <xf numFmtId="3" fontId="9" fillId="0" borderId="2" xfId="3" applyNumberFormat="1" applyFont="1" applyFill="1" applyBorder="1" applyAlignment="1">
      <alignment horizontal="center" vertical="center" wrapText="1"/>
    </xf>
    <xf numFmtId="0" fontId="7" fillId="6" borderId="35" xfId="0" applyFont="1" applyFill="1" applyBorder="1" applyAlignment="1">
      <alignment horizontal="center" vertical="center"/>
    </xf>
    <xf numFmtId="1" fontId="9"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23" fillId="0" borderId="0" xfId="0" applyFont="1" applyAlignment="1">
      <alignment wrapText="1"/>
    </xf>
    <xf numFmtId="0" fontId="1" fillId="0" borderId="2" xfId="1" applyBorder="1" applyAlignment="1">
      <alignment vertical="center" wrapText="1"/>
    </xf>
    <xf numFmtId="2" fontId="6" fillId="0" borderId="2" xfId="0" applyNumberFormat="1" applyFont="1" applyBorder="1" applyAlignment="1">
      <alignment horizontal="center" vertical="center"/>
    </xf>
    <xf numFmtId="0" fontId="9" fillId="0" borderId="2" xfId="3" applyFont="1" applyBorder="1" applyAlignment="1">
      <alignment horizontal="left" vertical="center" wrapText="1"/>
    </xf>
    <xf numFmtId="0" fontId="24" fillId="6" borderId="2" xfId="0" applyFont="1" applyFill="1" applyBorder="1" applyAlignment="1">
      <alignment horizontal="left" vertical="center" wrapText="1"/>
    </xf>
    <xf numFmtId="170" fontId="6" fillId="0" borderId="2" xfId="0" applyNumberFormat="1" applyFont="1" applyBorder="1" applyAlignment="1">
      <alignment vertical="center"/>
    </xf>
    <xf numFmtId="170" fontId="1" fillId="0" borderId="2" xfId="0" applyNumberFormat="1" applyFont="1" applyBorder="1" applyAlignment="1">
      <alignment vertical="center"/>
    </xf>
    <xf numFmtId="0" fontId="18" fillId="6" borderId="2" xfId="0" applyFont="1" applyFill="1" applyBorder="1" applyAlignment="1">
      <alignment vertical="center"/>
    </xf>
    <xf numFmtId="0" fontId="1" fillId="0" borderId="2" xfId="1" applyBorder="1" applyAlignment="1">
      <alignment vertical="center"/>
    </xf>
    <xf numFmtId="0" fontId="30" fillId="0" borderId="2" xfId="0" applyFont="1" applyBorder="1" applyAlignment="1">
      <alignment horizontal="left" vertical="top" wrapText="1"/>
    </xf>
    <xf numFmtId="169" fontId="6" fillId="0" borderId="2" xfId="6" applyNumberFormat="1" applyFont="1" applyBorder="1" applyAlignment="1">
      <alignment horizontal="center" vertical="center"/>
    </xf>
    <xf numFmtId="169" fontId="30" fillId="0" borderId="2" xfId="6" applyNumberFormat="1" applyFont="1" applyBorder="1" applyAlignment="1">
      <alignment horizontal="center" vertical="center" wrapText="1"/>
    </xf>
    <xf numFmtId="0" fontId="32" fillId="0" borderId="0" xfId="0" applyFont="1" applyAlignment="1">
      <alignment horizontal="right" vertical="center" wrapText="1"/>
    </xf>
    <xf numFmtId="0" fontId="18" fillId="9" borderId="38" xfId="0" applyFont="1" applyFill="1" applyBorder="1" applyAlignment="1">
      <alignment horizontal="center" vertical="center"/>
    </xf>
    <xf numFmtId="0" fontId="18" fillId="9" borderId="39" xfId="0" applyFont="1" applyFill="1" applyBorder="1" applyAlignment="1">
      <alignment horizontal="center" vertical="center"/>
    </xf>
    <xf numFmtId="0" fontId="18" fillId="9" borderId="40" xfId="0" applyFont="1" applyFill="1" applyBorder="1" applyAlignment="1">
      <alignment horizontal="center" vertical="center" wrapText="1"/>
    </xf>
    <xf numFmtId="0" fontId="24" fillId="9" borderId="39" xfId="0" applyFont="1" applyFill="1" applyBorder="1" applyAlignment="1">
      <alignment horizontal="center" vertical="center" wrapText="1"/>
    </xf>
    <xf numFmtId="0" fontId="24" fillId="9" borderId="39" xfId="0" applyFont="1" applyFill="1" applyBorder="1" applyAlignment="1">
      <alignment horizontal="center" vertical="center"/>
    </xf>
    <xf numFmtId="0" fontId="24" fillId="9" borderId="33" xfId="0" applyFont="1" applyFill="1" applyBorder="1" applyAlignment="1">
      <alignment horizontal="center" vertical="center"/>
    </xf>
    <xf numFmtId="1" fontId="6" fillId="0" borderId="0" xfId="0" applyNumberFormat="1" applyFont="1" applyAlignment="1">
      <alignment horizontal="left" vertical="center"/>
    </xf>
    <xf numFmtId="0" fontId="10" fillId="0" borderId="0" xfId="0" applyFont="1" applyAlignment="1">
      <alignment wrapText="1"/>
    </xf>
    <xf numFmtId="0" fontId="6" fillId="0" borderId="24" xfId="0" applyFont="1" applyBorder="1" applyAlignment="1">
      <alignment horizontal="center" vertical="center" wrapText="1"/>
    </xf>
    <xf numFmtId="0" fontId="27" fillId="0" borderId="0" xfId="0" applyFont="1" applyAlignment="1">
      <alignment vertical="center" wrapText="1"/>
    </xf>
    <xf numFmtId="0" fontId="6" fillId="0" borderId="24" xfId="0" applyFont="1" applyBorder="1" applyAlignment="1">
      <alignment vertical="center" wrapText="1"/>
    </xf>
    <xf numFmtId="166" fontId="6" fillId="0" borderId="2" xfId="7" applyNumberFormat="1" applyFont="1" applyBorder="1" applyAlignment="1">
      <alignment horizontal="center"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15" fillId="0" borderId="0" xfId="0" applyFont="1"/>
    <xf numFmtId="0" fontId="29" fillId="0" borderId="0" xfId="0" applyFont="1"/>
    <xf numFmtId="3" fontId="23" fillId="0" borderId="0" xfId="0" applyNumberFormat="1" applyFont="1" applyAlignment="1">
      <alignment horizontal="left"/>
    </xf>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9" fillId="0" borderId="2" xfId="6" applyNumberFormat="1" applyFont="1" applyFill="1" applyBorder="1" applyAlignment="1">
      <alignment horizontal="center" vertical="center" wrapText="1"/>
    </xf>
    <xf numFmtId="0" fontId="6" fillId="0" borderId="24" xfId="0" applyFont="1" applyBorder="1" applyAlignment="1">
      <alignment horizontal="left"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0" fontId="23" fillId="0" borderId="0" xfId="0" applyFont="1" applyAlignment="1">
      <alignment horizontal="left"/>
    </xf>
    <xf numFmtId="1" fontId="6" fillId="0" borderId="2" xfId="6" applyNumberFormat="1" applyFont="1" applyBorder="1" applyAlignment="1">
      <alignment horizontal="center" vertical="center" wrapText="1"/>
    </xf>
    <xf numFmtId="1" fontId="6" fillId="0" borderId="2" xfId="6" applyNumberFormat="1" applyFont="1" applyBorder="1" applyAlignment="1">
      <alignment horizontal="center" vertical="center"/>
    </xf>
    <xf numFmtId="165" fontId="6" fillId="0" borderId="2" xfId="6" applyNumberFormat="1" applyFont="1" applyBorder="1" applyAlignment="1">
      <alignment horizontal="center" vertical="center"/>
    </xf>
    <xf numFmtId="0" fontId="23" fillId="0" borderId="17" xfId="0" applyFont="1" applyBorder="1" applyAlignment="1">
      <alignment horizontal="center" vertical="center"/>
    </xf>
    <xf numFmtId="3" fontId="1" fillId="0" borderId="2" xfId="7" applyNumberFormat="1" applyFont="1" applyBorder="1" applyAlignment="1">
      <alignment horizontal="center" vertical="center"/>
    </xf>
    <xf numFmtId="0" fontId="6" fillId="0" borderId="42" xfId="0" applyFont="1" applyBorder="1" applyAlignment="1">
      <alignment horizontal="center" vertical="center"/>
    </xf>
    <xf numFmtId="0" fontId="1" fillId="0" borderId="43" xfId="0" applyFont="1" applyBorder="1" applyAlignment="1">
      <alignment horizontal="center" vertical="center"/>
    </xf>
    <xf numFmtId="0" fontId="6" fillId="0" borderId="43" xfId="0" applyFont="1" applyBorder="1" applyAlignment="1">
      <alignment horizontal="center" vertical="center" wrapText="1"/>
    </xf>
    <xf numFmtId="0" fontId="23" fillId="0" borderId="44" xfId="0" applyFont="1" applyBorder="1" applyAlignment="1">
      <alignment horizontal="center" vertical="center" wrapText="1"/>
    </xf>
    <xf numFmtId="0" fontId="7" fillId="6" borderId="21" xfId="0" applyFont="1" applyFill="1" applyBorder="1" applyAlignment="1">
      <alignment horizontal="center" vertical="center"/>
    </xf>
    <xf numFmtId="3" fontId="20" fillId="0" borderId="2" xfId="7" applyNumberFormat="1" applyFont="1" applyBorder="1" applyAlignment="1">
      <alignment horizontal="center" vertical="center"/>
    </xf>
    <xf numFmtId="0" fontId="6" fillId="0" borderId="36" xfId="0" applyFont="1" applyBorder="1" applyAlignment="1">
      <alignment horizontal="center" vertical="center"/>
    </xf>
    <xf numFmtId="2" fontId="6" fillId="0" borderId="1" xfId="0" applyNumberFormat="1" applyFont="1" applyBorder="1" applyAlignment="1">
      <alignment horizontal="center" vertical="center"/>
    </xf>
    <xf numFmtId="2" fontId="6" fillId="0" borderId="5" xfId="0" applyNumberFormat="1" applyFont="1" applyBorder="1" applyAlignment="1">
      <alignment horizontal="center" vertical="center"/>
    </xf>
    <xf numFmtId="0" fontId="6" fillId="0" borderId="11" xfId="0" applyFont="1" applyBorder="1" applyAlignment="1">
      <alignment horizontal="center" vertical="center"/>
    </xf>
    <xf numFmtId="2" fontId="6" fillId="0" borderId="7" xfId="0" applyNumberFormat="1" applyFont="1" applyBorder="1" applyAlignment="1">
      <alignment horizontal="center" vertical="center"/>
    </xf>
    <xf numFmtId="0" fontId="6" fillId="0" borderId="37" xfId="0" applyFont="1" applyBorder="1" applyAlignment="1">
      <alignment horizontal="center" vertical="center"/>
    </xf>
    <xf numFmtId="2" fontId="6" fillId="0" borderId="30" xfId="0" applyNumberFormat="1" applyFont="1" applyBorder="1" applyAlignment="1">
      <alignment horizontal="center" vertical="center"/>
    </xf>
    <xf numFmtId="2" fontId="6" fillId="0" borderId="9" xfId="0" applyNumberFormat="1" applyFont="1" applyBorder="1" applyAlignment="1">
      <alignment horizontal="center" vertical="center"/>
    </xf>
    <xf numFmtId="0" fontId="6" fillId="0" borderId="47"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0" fontId="6" fillId="0" borderId="48" xfId="0" applyFont="1" applyBorder="1" applyAlignment="1">
      <alignment horizontal="center" vertical="center"/>
    </xf>
    <xf numFmtId="2" fontId="6" fillId="0" borderId="24" xfId="0" applyNumberFormat="1" applyFont="1" applyBorder="1" applyAlignment="1">
      <alignment horizontal="center" vertical="center"/>
    </xf>
    <xf numFmtId="2" fontId="6" fillId="0" borderId="26" xfId="0" applyNumberFormat="1" applyFont="1" applyBorder="1" applyAlignment="1">
      <alignment horizontal="center" vertical="center"/>
    </xf>
    <xf numFmtId="0" fontId="6" fillId="0" borderId="49" xfId="0" applyFont="1" applyBorder="1" applyAlignment="1">
      <alignment horizontal="center" vertical="center"/>
    </xf>
    <xf numFmtId="2" fontId="6" fillId="0" borderId="27" xfId="0" applyNumberFormat="1" applyFont="1" applyBorder="1" applyAlignment="1">
      <alignment horizontal="center" vertical="center"/>
    </xf>
    <xf numFmtId="2" fontId="6" fillId="0" borderId="28" xfId="0" applyNumberFormat="1" applyFont="1" applyBorder="1" applyAlignment="1">
      <alignment horizontal="center" vertical="center"/>
    </xf>
    <xf numFmtId="0" fontId="6" fillId="0" borderId="50" xfId="0" applyFont="1" applyBorder="1" applyAlignment="1">
      <alignment horizontal="center" vertical="center"/>
    </xf>
    <xf numFmtId="0" fontId="7" fillId="6" borderId="23" xfId="0" applyFont="1" applyFill="1" applyBorder="1" applyAlignment="1">
      <alignment horizontal="center" vertical="center"/>
    </xf>
    <xf numFmtId="0" fontId="7" fillId="6" borderId="23" xfId="0" applyFont="1" applyFill="1" applyBorder="1" applyAlignment="1">
      <alignment horizontal="center" vertical="center" wrapText="1"/>
    </xf>
    <xf numFmtId="0" fontId="22" fillId="0" borderId="59" xfId="0" applyFont="1" applyBorder="1" applyAlignment="1">
      <alignment horizontal="center" vertical="center"/>
    </xf>
    <xf numFmtId="0" fontId="22" fillId="0" borderId="64" xfId="0" applyFont="1" applyBorder="1" applyAlignment="1">
      <alignment horizontal="center" vertical="center"/>
    </xf>
    <xf numFmtId="0" fontId="22" fillId="0" borderId="69" xfId="0" applyFont="1" applyBorder="1" applyAlignment="1">
      <alignment horizontal="center" vertical="center"/>
    </xf>
    <xf numFmtId="0" fontId="8" fillId="0" borderId="2" xfId="5" applyBorder="1" applyAlignment="1">
      <alignment horizontal="center" vertical="center"/>
    </xf>
    <xf numFmtId="168" fontId="6" fillId="0" borderId="62" xfId="0" applyNumberFormat="1" applyFont="1" applyBorder="1" applyAlignment="1">
      <alignment horizontal="center" vertical="center"/>
    </xf>
    <xf numFmtId="0" fontId="6" fillId="7" borderId="62" xfId="0" applyFont="1" applyFill="1" applyBorder="1" applyAlignment="1">
      <alignment horizontal="center" vertical="center"/>
    </xf>
    <xf numFmtId="0" fontId="6" fillId="7" borderId="62" xfId="0" applyFont="1" applyFill="1" applyBorder="1" applyAlignment="1">
      <alignment horizontal="center" vertical="center" wrapText="1"/>
    </xf>
    <xf numFmtId="0" fontId="6" fillId="5" borderId="62" xfId="0" applyFont="1" applyFill="1" applyBorder="1" applyAlignment="1">
      <alignment horizontal="center" vertical="center"/>
    </xf>
    <xf numFmtId="0" fontId="6" fillId="3" borderId="62" xfId="0" applyFont="1" applyFill="1" applyBorder="1" applyAlignment="1">
      <alignment horizontal="center" vertical="center"/>
    </xf>
    <xf numFmtId="168" fontId="6" fillId="3" borderId="62" xfId="0" applyNumberFormat="1" applyFont="1" applyFill="1" applyBorder="1" applyAlignment="1">
      <alignment horizontal="center" vertical="center"/>
    </xf>
    <xf numFmtId="168" fontId="6" fillId="7" borderId="62" xfId="0" applyNumberFormat="1" applyFont="1" applyFill="1" applyBorder="1" applyAlignment="1">
      <alignment horizontal="center" vertical="center"/>
    </xf>
    <xf numFmtId="168" fontId="6" fillId="5" borderId="62" xfId="0" applyNumberFormat="1" applyFont="1" applyFill="1" applyBorder="1" applyAlignment="1">
      <alignment horizontal="center" vertical="center"/>
    </xf>
    <xf numFmtId="0" fontId="6" fillId="0" borderId="4" xfId="0" applyFont="1" applyBorder="1" applyAlignment="1">
      <alignment horizontal="center" vertical="center"/>
    </xf>
    <xf numFmtId="1" fontId="6" fillId="0" borderId="1" xfId="0" applyNumberFormat="1" applyFont="1" applyBorder="1" applyAlignment="1">
      <alignment horizontal="center" vertical="center"/>
    </xf>
    <xf numFmtId="1" fontId="6" fillId="0" borderId="5" xfId="0" applyNumberFormat="1" applyFont="1" applyBorder="1" applyAlignment="1">
      <alignment horizontal="center" vertical="center"/>
    </xf>
    <xf numFmtId="0" fontId="6" fillId="0" borderId="6" xfId="0" applyFont="1" applyBorder="1" applyAlignment="1">
      <alignment horizontal="center" vertical="center"/>
    </xf>
    <xf numFmtId="1" fontId="6" fillId="0" borderId="2" xfId="0" applyNumberFormat="1" applyFont="1" applyBorder="1" applyAlignment="1">
      <alignment horizontal="center" vertical="center"/>
    </xf>
    <xf numFmtId="1" fontId="6" fillId="0" borderId="7" xfId="0" applyNumberFormat="1" applyFont="1" applyBorder="1" applyAlignment="1">
      <alignment horizontal="center" vertical="center"/>
    </xf>
    <xf numFmtId="0" fontId="6" fillId="0" borderId="8" xfId="0" applyFont="1" applyBorder="1" applyAlignment="1">
      <alignment horizontal="center" vertical="center"/>
    </xf>
    <xf numFmtId="1" fontId="6" fillId="0" borderId="30" xfId="0" applyNumberFormat="1" applyFont="1" applyBorder="1" applyAlignment="1">
      <alignment horizontal="center" vertical="center"/>
    </xf>
    <xf numFmtId="1" fontId="6" fillId="0" borderId="9" xfId="0" applyNumberFormat="1" applyFont="1" applyBorder="1" applyAlignment="1">
      <alignment horizontal="center" vertical="center"/>
    </xf>
    <xf numFmtId="1" fontId="33" fillId="0" borderId="54" xfId="0" applyNumberFormat="1" applyFont="1" applyBorder="1" applyAlignment="1">
      <alignment horizontal="center" vertical="center"/>
    </xf>
    <xf numFmtId="1" fontId="33" fillId="0" borderId="60" xfId="0" applyNumberFormat="1" applyFont="1" applyBorder="1" applyAlignment="1">
      <alignment horizontal="center" vertical="center"/>
    </xf>
    <xf numFmtId="1" fontId="33" fillId="0" borderId="62" xfId="0" applyNumberFormat="1" applyFont="1" applyBorder="1" applyAlignment="1">
      <alignment horizontal="center" vertical="center"/>
    </xf>
    <xf numFmtId="1" fontId="33" fillId="0" borderId="65" xfId="0" applyNumberFormat="1" applyFont="1" applyBorder="1" applyAlignment="1">
      <alignment horizontal="center" vertical="center"/>
    </xf>
    <xf numFmtId="1" fontId="33" fillId="0" borderId="67" xfId="0" applyNumberFormat="1" applyFont="1" applyBorder="1" applyAlignment="1">
      <alignment horizontal="center" vertical="center"/>
    </xf>
    <xf numFmtId="1" fontId="33" fillId="0" borderId="70" xfId="0" applyNumberFormat="1" applyFont="1" applyBorder="1" applyAlignment="1">
      <alignment horizontal="center" vertical="center"/>
    </xf>
    <xf numFmtId="0" fontId="22" fillId="0" borderId="50" xfId="0" applyFont="1" applyBorder="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0" xfId="0" applyNumberFormat="1" applyFont="1" applyBorder="1" applyAlignment="1">
      <alignment horizontal="center" vertical="center"/>
    </xf>
    <xf numFmtId="0" fontId="22" fillId="0" borderId="84" xfId="0" applyFont="1" applyBorder="1" applyAlignment="1">
      <alignment horizontal="center" vertical="center"/>
    </xf>
    <xf numFmtId="1" fontId="33" fillId="0" borderId="82" xfId="0" applyNumberFormat="1" applyFont="1" applyBorder="1" applyAlignment="1">
      <alignment horizontal="center" vertical="center"/>
    </xf>
    <xf numFmtId="1" fontId="33" fillId="0" borderId="85" xfId="0" applyNumberFormat="1" applyFont="1" applyBorder="1" applyAlignment="1">
      <alignment horizontal="center" vertical="center"/>
    </xf>
    <xf numFmtId="1" fontId="33" fillId="0" borderId="87" xfId="0" applyNumberFormat="1" applyFont="1" applyBorder="1" applyAlignment="1">
      <alignment horizontal="center" vertical="center"/>
    </xf>
    <xf numFmtId="0" fontId="22" fillId="0" borderId="92" xfId="0" applyFont="1" applyBorder="1" applyAlignment="1">
      <alignment horizontal="center" vertical="center"/>
    </xf>
    <xf numFmtId="1" fontId="33" fillId="0" borderId="89" xfId="0" applyNumberFormat="1" applyFont="1" applyBorder="1" applyAlignment="1">
      <alignment horizontal="center" vertical="center"/>
    </xf>
    <xf numFmtId="1" fontId="33" fillId="0" borderId="93" xfId="0" applyNumberFormat="1" applyFont="1" applyBorder="1" applyAlignment="1">
      <alignment horizontal="center" vertical="center"/>
    </xf>
    <xf numFmtId="0" fontId="22" fillId="0" borderId="75" xfId="0" applyFont="1" applyBorder="1" applyAlignment="1">
      <alignment horizontal="center" vertical="center"/>
    </xf>
    <xf numFmtId="1" fontId="33" fillId="0" borderId="74" xfId="0" applyNumberFormat="1" applyFont="1" applyBorder="1" applyAlignment="1">
      <alignment horizontal="center" vertical="center"/>
    </xf>
    <xf numFmtId="1" fontId="33" fillId="0" borderId="76" xfId="0" applyNumberFormat="1" applyFont="1" applyBorder="1" applyAlignment="1">
      <alignment horizontal="center" vertical="center"/>
    </xf>
    <xf numFmtId="9" fontId="6" fillId="0" borderId="22" xfId="2" applyFont="1" applyFill="1" applyBorder="1" applyAlignment="1">
      <alignment horizontal="center" vertical="center"/>
    </xf>
    <xf numFmtId="0" fontId="24" fillId="6" borderId="2" xfId="0" applyFont="1" applyFill="1" applyBorder="1" applyAlignment="1">
      <alignment horizontal="center" vertical="center"/>
    </xf>
    <xf numFmtId="0" fontId="3" fillId="0" borderId="0" xfId="0" applyFont="1" applyAlignment="1">
      <alignment vertical="center" wrapText="1"/>
    </xf>
    <xf numFmtId="10" fontId="0" fillId="0" borderId="0" xfId="0" applyNumberFormat="1" applyAlignment="1">
      <alignment vertical="center" wrapText="1"/>
    </xf>
    <xf numFmtId="0" fontId="18" fillId="0" borderId="2" xfId="0" applyFont="1" applyBorder="1" applyAlignment="1">
      <alignment horizontal="center" vertical="center" wrapText="1"/>
    </xf>
    <xf numFmtId="165" fontId="23" fillId="0" borderId="2" xfId="0" applyNumberFormat="1" applyFont="1" applyBorder="1" applyAlignment="1">
      <alignment horizontal="center" vertical="center"/>
    </xf>
    <xf numFmtId="0" fontId="6" fillId="0" borderId="2" xfId="4" applyBorder="1" applyAlignment="1">
      <alignment horizontal="center" vertical="center"/>
    </xf>
    <xf numFmtId="171" fontId="6" fillId="0" borderId="2" xfId="6" applyNumberFormat="1" applyFont="1" applyBorder="1" applyAlignment="1">
      <alignment vertical="center"/>
    </xf>
    <xf numFmtId="171" fontId="6" fillId="0" borderId="2" xfId="0" applyNumberFormat="1" applyFont="1" applyBorder="1"/>
    <xf numFmtId="171" fontId="23" fillId="0" borderId="2" xfId="0" applyNumberFormat="1" applyFont="1" applyBorder="1" applyAlignment="1">
      <alignment vertical="center"/>
    </xf>
    <xf numFmtId="171" fontId="6" fillId="0" borderId="2" xfId="0" applyNumberFormat="1" applyFont="1" applyBorder="1" applyAlignment="1">
      <alignment vertical="center"/>
    </xf>
    <xf numFmtId="0" fontId="20" fillId="0" borderId="2" xfId="0" applyFont="1" applyBorder="1" applyAlignment="1">
      <alignment horizontal="center" vertical="center"/>
    </xf>
    <xf numFmtId="165" fontId="20" fillId="0" borderId="24" xfId="0" applyNumberFormat="1" applyFont="1" applyBorder="1" applyAlignment="1">
      <alignment horizontal="center" vertical="center" wrapText="1"/>
    </xf>
    <xf numFmtId="0" fontId="20" fillId="0" borderId="24" xfId="0" applyFont="1" applyBorder="1" applyAlignment="1">
      <alignment horizontal="center" vertical="center" wrapText="1"/>
    </xf>
    <xf numFmtId="2" fontId="34" fillId="0" borderId="2" xfId="0" applyNumberFormat="1" applyFont="1" applyBorder="1" applyAlignment="1">
      <alignment horizontal="center" vertical="center" wrapText="1"/>
    </xf>
    <xf numFmtId="0" fontId="35" fillId="0" borderId="0" xfId="0" applyFont="1"/>
    <xf numFmtId="0" fontId="37" fillId="0" borderId="0" xfId="13" applyFont="1" applyAlignment="1">
      <alignment vertical="center" wrapText="1"/>
    </xf>
    <xf numFmtId="0" fontId="6" fillId="0" borderId="0" xfId="13" applyFont="1"/>
    <xf numFmtId="0" fontId="23" fillId="0" borderId="0" xfId="13" applyFont="1" applyAlignment="1">
      <alignment vertical="center"/>
    </xf>
    <xf numFmtId="0" fontId="37" fillId="0" borderId="0" xfId="13" applyFont="1" applyAlignment="1">
      <alignment vertical="center"/>
    </xf>
    <xf numFmtId="0" fontId="6" fillId="0" borderId="0" xfId="13" applyFont="1" applyAlignment="1">
      <alignment horizontal="left"/>
    </xf>
    <xf numFmtId="0" fontId="36" fillId="0" borderId="0" xfId="13"/>
    <xf numFmtId="0" fontId="8" fillId="0" borderId="0" xfId="5" applyAlignment="1">
      <alignment horizontal="left" vertical="top"/>
    </xf>
    <xf numFmtId="0" fontId="6" fillId="0" borderId="0" xfId="13" applyFont="1" applyAlignment="1">
      <alignment wrapText="1"/>
    </xf>
    <xf numFmtId="3" fontId="20" fillId="0" borderId="44" xfId="13" applyNumberFormat="1" applyFont="1" applyBorder="1" applyAlignment="1">
      <alignment horizontal="center" vertical="center" wrapText="1"/>
    </xf>
    <xf numFmtId="165" fontId="20" fillId="0" borderId="44" xfId="13" applyNumberFormat="1" applyFont="1" applyBorder="1" applyAlignment="1">
      <alignment horizontal="center" vertical="center" wrapText="1"/>
    </xf>
    <xf numFmtId="2" fontId="20" fillId="0" borderId="44" xfId="13" applyNumberFormat="1" applyFont="1" applyBorder="1" applyAlignment="1">
      <alignment horizontal="center" vertical="center" wrapText="1"/>
    </xf>
    <xf numFmtId="2" fontId="20" fillId="15" borderId="96" xfId="13" applyNumberFormat="1" applyFont="1" applyFill="1" applyBorder="1" applyAlignment="1">
      <alignment horizontal="center" vertical="center" wrapText="1"/>
    </xf>
    <xf numFmtId="2" fontId="20" fillId="15" borderId="44" xfId="13" applyNumberFormat="1" applyFont="1" applyFill="1" applyBorder="1" applyAlignment="1">
      <alignment horizontal="center" vertical="center" wrapText="1"/>
    </xf>
    <xf numFmtId="165" fontId="20" fillId="17" borderId="13" xfId="6" applyNumberFormat="1" applyFont="1" applyFill="1" applyBorder="1" applyAlignment="1">
      <alignment horizontal="left" vertical="center"/>
    </xf>
    <xf numFmtId="3" fontId="38" fillId="7" borderId="14" xfId="13" applyNumberFormat="1" applyFont="1" applyFill="1" applyBorder="1" applyAlignment="1">
      <alignment horizontal="left" vertical="center"/>
    </xf>
    <xf numFmtId="165" fontId="20" fillId="17" borderId="102" xfId="13" applyNumberFormat="1" applyFont="1" applyFill="1" applyBorder="1" applyAlignment="1">
      <alignment horizontal="left" vertical="center"/>
    </xf>
    <xf numFmtId="2" fontId="20" fillId="17" borderId="0" xfId="6" applyNumberFormat="1" applyFont="1" applyFill="1" applyBorder="1" applyAlignment="1">
      <alignment horizontal="left" vertical="center"/>
    </xf>
    <xf numFmtId="165" fontId="20" fillId="17" borderId="102" xfId="6" applyNumberFormat="1" applyFont="1" applyFill="1" applyBorder="1" applyAlignment="1">
      <alignment horizontal="left" vertical="center"/>
    </xf>
    <xf numFmtId="0" fontId="34" fillId="5" borderId="100" xfId="13" applyFont="1" applyFill="1" applyBorder="1" applyAlignment="1">
      <alignment vertical="center" wrapText="1"/>
    </xf>
    <xf numFmtId="0" fontId="39" fillId="5" borderId="101" xfId="13" applyFont="1" applyFill="1" applyBorder="1" applyAlignment="1">
      <alignment vertical="center" wrapText="1"/>
    </xf>
    <xf numFmtId="0" fontId="39" fillId="16" borderId="3" xfId="13" applyFont="1" applyFill="1" applyBorder="1" applyAlignment="1">
      <alignment vertical="center" wrapText="1"/>
    </xf>
    <xf numFmtId="0" fontId="39" fillId="16" borderId="10" xfId="13" applyFont="1" applyFill="1" applyBorder="1" applyAlignment="1">
      <alignment vertical="center" wrapText="1"/>
    </xf>
    <xf numFmtId="0" fontId="34" fillId="16" borderId="11" xfId="13" applyFont="1" applyFill="1" applyBorder="1" applyAlignment="1">
      <alignment vertical="center" wrapText="1"/>
    </xf>
    <xf numFmtId="165" fontId="20" fillId="17" borderId="13" xfId="13" applyNumberFormat="1" applyFont="1" applyFill="1" applyBorder="1" applyAlignment="1">
      <alignment horizontal="left" vertical="center"/>
    </xf>
    <xf numFmtId="2" fontId="20" fillId="17" borderId="14" xfId="6" applyNumberFormat="1" applyFont="1" applyFill="1" applyBorder="1" applyAlignment="1">
      <alignment horizontal="left" vertical="center"/>
    </xf>
    <xf numFmtId="0" fontId="20" fillId="17" borderId="15" xfId="13" applyFont="1" applyFill="1" applyBorder="1" applyAlignment="1">
      <alignment horizontal="left" vertical="center"/>
    </xf>
    <xf numFmtId="3" fontId="38" fillId="7" borderId="0" xfId="13" applyNumberFormat="1" applyFont="1" applyFill="1" applyAlignment="1">
      <alignment horizontal="left" vertical="center"/>
    </xf>
    <xf numFmtId="0" fontId="20" fillId="17" borderId="94" xfId="13" applyFont="1" applyFill="1" applyBorder="1" applyAlignment="1">
      <alignment horizontal="left" vertical="center"/>
    </xf>
    <xf numFmtId="165" fontId="20" fillId="17" borderId="18" xfId="6" applyNumberFormat="1" applyFont="1" applyFill="1" applyBorder="1" applyAlignment="1">
      <alignment horizontal="left" vertical="center"/>
    </xf>
    <xf numFmtId="3" fontId="38" fillId="7" borderId="19" xfId="13" applyNumberFormat="1" applyFont="1" applyFill="1" applyBorder="1" applyAlignment="1">
      <alignment horizontal="left" vertical="center"/>
    </xf>
    <xf numFmtId="165" fontId="20" fillId="17" borderId="18" xfId="13" applyNumberFormat="1" applyFont="1" applyFill="1" applyBorder="1" applyAlignment="1">
      <alignment horizontal="left" vertical="center"/>
    </xf>
    <xf numFmtId="2" fontId="20" fillId="17" borderId="19" xfId="6" applyNumberFormat="1" applyFont="1" applyFill="1" applyBorder="1" applyAlignment="1">
      <alignment horizontal="left" vertical="center"/>
    </xf>
    <xf numFmtId="0" fontId="20" fillId="17" borderId="20" xfId="13" applyFont="1" applyFill="1" applyBorder="1" applyAlignment="1">
      <alignment horizontal="left" vertical="center"/>
    </xf>
    <xf numFmtId="165" fontId="35" fillId="0" borderId="0" xfId="0" applyNumberFormat="1" applyFont="1"/>
    <xf numFmtId="168" fontId="20" fillId="0" borderId="62" xfId="0" applyNumberFormat="1" applyFont="1" applyBorder="1" applyAlignment="1">
      <alignment horizontal="center" vertical="center"/>
    </xf>
    <xf numFmtId="0" fontId="20" fillId="0" borderId="2" xfId="0" applyFont="1" applyBorder="1" applyAlignment="1">
      <alignment horizontal="center" vertical="center" wrapText="1"/>
    </xf>
    <xf numFmtId="0" fontId="42" fillId="0" borderId="0" xfId="0" applyFont="1" applyAlignment="1">
      <alignment horizontal="center" vertical="center"/>
    </xf>
    <xf numFmtId="0" fontId="7" fillId="6" borderId="77" xfId="0" applyFont="1" applyFill="1" applyBorder="1" applyAlignment="1">
      <alignment horizontal="center" vertical="center"/>
    </xf>
    <xf numFmtId="0" fontId="7" fillId="9" borderId="77" xfId="0" applyFont="1" applyFill="1" applyBorder="1" applyAlignment="1">
      <alignment horizontal="center" vertical="center" wrapText="1"/>
    </xf>
    <xf numFmtId="0" fontId="31" fillId="21" borderId="103" xfId="0" applyFont="1" applyFill="1" applyBorder="1" applyAlignment="1">
      <alignment horizontal="left" vertical="center"/>
    </xf>
    <xf numFmtId="0" fontId="24" fillId="19" borderId="12" xfId="0" applyFont="1" applyFill="1" applyBorder="1" applyAlignment="1">
      <alignment horizontal="center" vertical="center"/>
    </xf>
    <xf numFmtId="0" fontId="23" fillId="18" borderId="0" xfId="0" applyFont="1" applyFill="1" applyAlignment="1">
      <alignment vertical="center"/>
    </xf>
    <xf numFmtId="0" fontId="23" fillId="18" borderId="94" xfId="0" applyFont="1" applyFill="1" applyBorder="1" applyAlignment="1">
      <alignment vertical="center"/>
    </xf>
    <xf numFmtId="0" fontId="41" fillId="0" borderId="24" xfId="0" applyFont="1" applyBorder="1" applyAlignment="1">
      <alignment horizontal="center" vertical="center"/>
    </xf>
    <xf numFmtId="0" fontId="23" fillId="0" borderId="24" xfId="0" applyFont="1" applyBorder="1" applyAlignment="1">
      <alignment horizontal="center" vertical="center" wrapText="1"/>
    </xf>
    <xf numFmtId="0" fontId="20" fillId="22" borderId="24" xfId="0" applyFont="1" applyFill="1" applyBorder="1" applyAlignment="1">
      <alignment horizontal="center" vertical="center" wrapText="1"/>
    </xf>
    <xf numFmtId="0" fontId="35" fillId="0" borderId="0" xfId="0" applyFont="1" applyAlignment="1">
      <alignment wrapText="1"/>
    </xf>
    <xf numFmtId="0" fontId="23" fillId="0" borderId="0" xfId="0" applyFont="1" applyAlignment="1">
      <alignment vertical="center"/>
    </xf>
    <xf numFmtId="0" fontId="20" fillId="0" borderId="0" xfId="0" applyFont="1" applyAlignment="1">
      <alignment vertical="center" wrapText="1"/>
    </xf>
    <xf numFmtId="0" fontId="12" fillId="0" borderId="0" xfId="0" applyFont="1" applyAlignment="1">
      <alignment wrapText="1"/>
    </xf>
    <xf numFmtId="0" fontId="20" fillId="0" borderId="24" xfId="0" applyFont="1" applyBorder="1" applyAlignment="1">
      <alignment horizontal="center" vertical="top" wrapText="1"/>
    </xf>
    <xf numFmtId="0" fontId="23" fillId="0" borderId="104" xfId="0" applyFont="1" applyBorder="1" applyAlignment="1">
      <alignment horizontal="center" vertical="center"/>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0" fontId="20" fillId="0" borderId="2" xfId="0" applyFont="1" applyBorder="1" applyAlignment="1">
      <alignment vertical="center"/>
    </xf>
    <xf numFmtId="0" fontId="7" fillId="0" borderId="0" xfId="0" applyFont="1"/>
    <xf numFmtId="164" fontId="6" fillId="0" borderId="2" xfId="2" applyNumberFormat="1" applyFont="1" applyFill="1" applyBorder="1" applyAlignment="1">
      <alignment horizontal="center" vertical="center"/>
    </xf>
    <xf numFmtId="1" fontId="1" fillId="0" borderId="0" xfId="7" applyNumberFormat="1" applyFont="1" applyAlignment="1">
      <alignment horizontal="center" vertical="center"/>
    </xf>
    <xf numFmtId="1" fontId="1" fillId="0" borderId="24" xfId="7" applyNumberFormat="1" applyFont="1" applyBorder="1" applyAlignment="1">
      <alignment horizontal="center" vertical="center"/>
    </xf>
    <xf numFmtId="1" fontId="20" fillId="0" borderId="3" xfId="7" applyNumberFormat="1" applyFont="1" applyBorder="1" applyAlignment="1">
      <alignment horizontal="center" vertical="center"/>
    </xf>
    <xf numFmtId="1" fontId="1" fillId="0" borderId="3" xfId="7" applyNumberFormat="1" applyFont="1" applyBorder="1" applyAlignment="1">
      <alignment horizontal="center" vertical="center"/>
    </xf>
    <xf numFmtId="0" fontId="19" fillId="6" borderId="24" xfId="0" applyFont="1" applyFill="1" applyBorder="1" applyAlignment="1">
      <alignment horizontal="center" vertical="center" wrapText="1"/>
    </xf>
    <xf numFmtId="0" fontId="19" fillId="6" borderId="3" xfId="0" applyFont="1" applyFill="1" applyBorder="1" applyAlignment="1">
      <alignment horizontal="center" vertical="center" wrapText="1"/>
    </xf>
    <xf numFmtId="1" fontId="20" fillId="0" borderId="25" xfId="7" applyNumberFormat="1" applyFont="1" applyBorder="1" applyAlignment="1">
      <alignment horizontal="center" vertical="center"/>
    </xf>
    <xf numFmtId="0" fontId="9" fillId="0" borderId="11" xfId="3" applyFont="1" applyFill="1" applyBorder="1" applyAlignment="1">
      <alignment horizontal="center" vertical="center" wrapText="1"/>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34" fillId="9" borderId="12" xfId="0" applyFont="1" applyFill="1" applyBorder="1" applyAlignment="1">
      <alignment horizontal="center" vertical="center"/>
    </xf>
    <xf numFmtId="0" fontId="20" fillId="0" borderId="24" xfId="0" applyFont="1" applyBorder="1" applyAlignment="1">
      <alignment horizontal="center" vertical="center"/>
    </xf>
    <xf numFmtId="165" fontId="6" fillId="0" borderId="0" xfId="0" applyNumberFormat="1" applyFont="1" applyAlignment="1">
      <alignment horizontal="center" vertical="center" wrapText="1"/>
    </xf>
    <xf numFmtId="0" fontId="18" fillId="6" borderId="41" xfId="0" applyFont="1" applyFill="1" applyBorder="1" applyAlignment="1">
      <alignment vertical="center" wrapText="1"/>
    </xf>
    <xf numFmtId="0" fontId="6" fillId="0" borderId="24" xfId="0" applyFont="1" applyBorder="1"/>
    <xf numFmtId="0" fontId="6" fillId="0" borderId="107" xfId="0" applyFont="1" applyBorder="1" applyAlignment="1">
      <alignment vertical="center"/>
    </xf>
    <xf numFmtId="0" fontId="6" fillId="0" borderId="25" xfId="0" applyFont="1" applyBorder="1" applyAlignment="1">
      <alignment vertical="center" wrapText="1"/>
    </xf>
    <xf numFmtId="165" fontId="6" fillId="0" borderId="107" xfId="0" applyNumberFormat="1" applyFont="1" applyBorder="1" applyAlignment="1">
      <alignment horizontal="center" vertical="center" wrapText="1"/>
    </xf>
    <xf numFmtId="1" fontId="20" fillId="0" borderId="24" xfId="0" applyNumberFormat="1" applyFont="1" applyBorder="1" applyAlignment="1">
      <alignment horizontal="center" vertical="center" wrapText="1"/>
    </xf>
    <xf numFmtId="3" fontId="20" fillId="0" borderId="11" xfId="0" applyNumberFormat="1" applyFont="1" applyBorder="1" applyAlignment="1">
      <alignment horizontal="center" vertical="center" wrapText="1"/>
    </xf>
    <xf numFmtId="0" fontId="34" fillId="6" borderId="12" xfId="0" applyFont="1" applyFill="1" applyBorder="1" applyAlignment="1">
      <alignment horizontal="center" vertical="center" wrapText="1"/>
    </xf>
    <xf numFmtId="0" fontId="34" fillId="13" borderId="44" xfId="13" applyFont="1" applyFill="1" applyBorder="1" applyAlignment="1">
      <alignment horizontal="center" vertical="center" wrapText="1"/>
    </xf>
    <xf numFmtId="0" fontId="34" fillId="13" borderId="12" xfId="13" applyFont="1" applyFill="1" applyBorder="1" applyAlignment="1">
      <alignment vertical="center" wrapText="1"/>
    </xf>
    <xf numFmtId="0" fontId="20" fillId="0" borderId="44" xfId="13" applyFont="1" applyBorder="1" applyAlignment="1">
      <alignment horizontal="center" vertical="center" wrapText="1"/>
    </xf>
    <xf numFmtId="165" fontId="20" fillId="14" borderId="44" xfId="13" applyNumberFormat="1" applyFont="1" applyFill="1" applyBorder="1" applyAlignment="1">
      <alignment horizontal="center" vertical="center" wrapText="1"/>
    </xf>
    <xf numFmtId="3" fontId="20" fillId="0" borderId="97" xfId="13" applyNumberFormat="1" applyFont="1" applyBorder="1" applyAlignment="1">
      <alignment horizontal="center" vertical="center" wrapText="1"/>
    </xf>
    <xf numFmtId="1" fontId="20" fillId="0" borderId="0" xfId="0" applyNumberFormat="1" applyFont="1" applyAlignment="1">
      <alignment horizontal="center" vertical="center" wrapText="1"/>
    </xf>
    <xf numFmtId="3" fontId="20" fillId="0" borderId="0" xfId="0" applyNumberFormat="1" applyFont="1" applyAlignment="1">
      <alignment horizontal="center" vertical="center" wrapText="1"/>
    </xf>
    <xf numFmtId="165" fontId="20" fillId="0" borderId="0" xfId="0" applyNumberFormat="1" applyFont="1" applyAlignment="1">
      <alignment horizontal="center" vertical="center" wrapText="1"/>
    </xf>
    <xf numFmtId="0" fontId="20" fillId="11" borderId="108" xfId="0" applyFont="1" applyFill="1" applyBorder="1" applyAlignment="1">
      <alignment horizontal="center" vertical="center"/>
    </xf>
    <xf numFmtId="0" fontId="20" fillId="11" borderId="109" xfId="0" applyFont="1" applyFill="1" applyBorder="1" applyAlignment="1">
      <alignment horizontal="center" vertical="center"/>
    </xf>
    <xf numFmtId="0" fontId="20" fillId="23" borderId="109" xfId="0" applyFont="1" applyFill="1" applyBorder="1" applyAlignment="1">
      <alignment horizontal="center" vertical="center"/>
    </xf>
    <xf numFmtId="0" fontId="6" fillId="24" borderId="62" xfId="0" applyFont="1" applyFill="1" applyBorder="1" applyAlignment="1">
      <alignment horizontal="center" vertical="center"/>
    </xf>
    <xf numFmtId="0" fontId="1" fillId="24" borderId="62" xfId="0" applyFont="1" applyFill="1" applyBorder="1" applyAlignment="1">
      <alignment horizontal="center" vertical="center"/>
    </xf>
    <xf numFmtId="0" fontId="1" fillId="24" borderId="62" xfId="0" applyFont="1" applyFill="1" applyBorder="1" applyAlignment="1">
      <alignment horizontal="center" vertical="center" wrapText="1"/>
    </xf>
    <xf numFmtId="168" fontId="1" fillId="24" borderId="62" xfId="0" applyNumberFormat="1" applyFont="1" applyFill="1" applyBorder="1" applyAlignment="1">
      <alignment horizontal="center" vertical="center"/>
    </xf>
    <xf numFmtId="168" fontId="20" fillId="23" borderId="62" xfId="0" applyNumberFormat="1" applyFont="1" applyFill="1" applyBorder="1" applyAlignment="1">
      <alignment horizontal="center" vertical="center"/>
    </xf>
    <xf numFmtId="2" fontId="20" fillId="0" borderId="62" xfId="0" applyNumberFormat="1" applyFont="1" applyBorder="1" applyAlignment="1">
      <alignment horizontal="center" vertical="center"/>
    </xf>
    <xf numFmtId="2" fontId="6" fillId="5" borderId="62" xfId="0" applyNumberFormat="1" applyFont="1" applyFill="1" applyBorder="1" applyAlignment="1">
      <alignment horizontal="center" vertical="center"/>
    </xf>
    <xf numFmtId="2" fontId="6" fillId="3" borderId="62" xfId="0" applyNumberFormat="1" applyFont="1" applyFill="1" applyBorder="1" applyAlignment="1">
      <alignment horizontal="center" vertical="center"/>
    </xf>
    <xf numFmtId="2" fontId="20" fillId="23" borderId="62" xfId="0" applyNumberFormat="1" applyFont="1" applyFill="1" applyBorder="1" applyAlignment="1">
      <alignment horizontal="center" vertical="center"/>
    </xf>
    <xf numFmtId="2" fontId="1" fillId="24" borderId="62" xfId="0" applyNumberFormat="1" applyFont="1" applyFill="1" applyBorder="1" applyAlignment="1">
      <alignment horizontal="center" vertical="center"/>
    </xf>
    <xf numFmtId="0" fontId="34" fillId="9" borderId="44" xfId="0" applyFont="1" applyFill="1" applyBorder="1" applyAlignment="1">
      <alignment horizontal="center" vertical="center" wrapText="1"/>
    </xf>
    <xf numFmtId="0" fontId="20" fillId="0" borderId="21" xfId="0" applyFont="1" applyBorder="1" applyAlignment="1">
      <alignment horizontal="center" vertical="center" wrapText="1"/>
    </xf>
    <xf numFmtId="0" fontId="20" fillId="0" borderId="2" xfId="3" applyFont="1" applyFill="1" applyBorder="1" applyAlignment="1">
      <alignment horizontal="center" vertical="center" wrapText="1"/>
    </xf>
    <xf numFmtId="168" fontId="20" fillId="7" borderId="62" xfId="0" applyNumberFormat="1" applyFont="1" applyFill="1" applyBorder="1" applyAlignment="1">
      <alignment horizontal="center" vertical="center"/>
    </xf>
    <xf numFmtId="0" fontId="20" fillId="0" borderId="0" xfId="0" applyFont="1" applyAlignment="1">
      <alignment wrapText="1"/>
    </xf>
    <xf numFmtId="168" fontId="20" fillId="0" borderId="62" xfId="0" applyNumberFormat="1" applyFont="1" applyBorder="1" applyAlignment="1">
      <alignment horizontal="left" vertical="center" wrapText="1"/>
    </xf>
    <xf numFmtId="0" fontId="20" fillId="0" borderId="117" xfId="0" applyFont="1" applyBorder="1"/>
    <xf numFmtId="0" fontId="20" fillId="0" borderId="107" xfId="0" applyFont="1" applyBorder="1" applyAlignment="1">
      <alignment wrapText="1"/>
    </xf>
    <xf numFmtId="0" fontId="20" fillId="0" borderId="2" xfId="0" applyFont="1" applyBorder="1"/>
    <xf numFmtId="0" fontId="20" fillId="0" borderId="12" xfId="0" applyFont="1" applyBorder="1"/>
    <xf numFmtId="168" fontId="20" fillId="0" borderId="62" xfId="0" applyNumberFormat="1" applyFont="1" applyBorder="1" applyAlignment="1">
      <alignment horizontal="center" vertical="center" wrapText="1"/>
    </xf>
    <xf numFmtId="9" fontId="6" fillId="0" borderId="0" xfId="0" applyNumberFormat="1" applyFont="1"/>
    <xf numFmtId="0" fontId="23" fillId="0" borderId="122" xfId="0" applyFont="1" applyBorder="1" applyAlignment="1">
      <alignment horizontal="center" vertical="center"/>
    </xf>
    <xf numFmtId="9" fontId="23" fillId="0" borderId="44" xfId="0" applyNumberFormat="1" applyFont="1" applyBorder="1" applyAlignment="1">
      <alignment horizontal="center" vertical="center"/>
    </xf>
    <xf numFmtId="10" fontId="23" fillId="0" borderId="44" xfId="0" applyNumberFormat="1" applyFont="1" applyBorder="1" applyAlignment="1">
      <alignment horizontal="center" vertical="center"/>
    </xf>
    <xf numFmtId="0" fontId="23" fillId="0" borderId="0" xfId="0" applyFont="1"/>
    <xf numFmtId="0" fontId="20" fillId="7" borderId="62" xfId="0" applyFont="1" applyFill="1" applyBorder="1" applyAlignment="1">
      <alignment horizontal="center" vertical="center"/>
    </xf>
    <xf numFmtId="0" fontId="20" fillId="7" borderId="62" xfId="0" applyFont="1" applyFill="1" applyBorder="1" applyAlignment="1">
      <alignment horizontal="center" vertical="center" wrapText="1"/>
    </xf>
    <xf numFmtId="0" fontId="20" fillId="0" borderId="62" xfId="0" applyFont="1" applyBorder="1" applyAlignment="1">
      <alignment horizontal="center" vertical="center" wrapText="1"/>
    </xf>
    <xf numFmtId="0" fontId="6" fillId="0" borderId="62" xfId="0" applyFont="1" applyBorder="1" applyAlignment="1">
      <alignment horizontal="center" vertical="center"/>
    </xf>
    <xf numFmtId="0" fontId="6" fillId="0" borderId="2" xfId="0" applyFont="1" applyBorder="1" applyAlignment="1">
      <alignment horizontal="center" vertical="center" wrapText="1"/>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6" fillId="0" borderId="0" xfId="0" applyFont="1" applyAlignment="1">
      <alignment horizontal="center"/>
    </xf>
    <xf numFmtId="0" fontId="8" fillId="0" borderId="0" xfId="5" applyBorder="1" applyAlignment="1">
      <alignment horizontal="left"/>
    </xf>
    <xf numFmtId="0" fontId="23" fillId="0" borderId="0" xfId="0" applyFont="1" applyAlignment="1">
      <alignment horizontal="left" vertical="center"/>
    </xf>
    <xf numFmtId="0" fontId="6" fillId="0" borderId="0" xfId="0" applyFont="1" applyAlignment="1">
      <alignment horizontal="left"/>
    </xf>
    <xf numFmtId="0" fontId="23" fillId="0" borderId="0" xfId="0" applyFont="1" applyAlignment="1">
      <alignment horizontal="center"/>
    </xf>
    <xf numFmtId="0" fontId="6" fillId="0" borderId="0" xfId="0" applyFont="1" applyAlignment="1">
      <alignment horizontal="left" vertical="center"/>
    </xf>
    <xf numFmtId="0" fontId="18" fillId="9"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7" fillId="6" borderId="2" xfId="0" applyFont="1" applyFill="1" applyBorder="1" applyAlignment="1">
      <alignment horizontal="center" vertical="center"/>
    </xf>
    <xf numFmtId="0" fontId="24"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1" fillId="0" borderId="2" xfId="0" applyFont="1" applyBorder="1" applyAlignment="1">
      <alignment horizontal="center" vertical="center"/>
    </xf>
    <xf numFmtId="0" fontId="18" fillId="6" borderId="2" xfId="0" applyFont="1" applyFill="1" applyBorder="1" applyAlignment="1">
      <alignment horizontal="center" vertical="center" wrapText="1"/>
    </xf>
    <xf numFmtId="0" fontId="23" fillId="0" borderId="2" xfId="0" applyFont="1" applyBorder="1" applyAlignment="1">
      <alignment horizontal="center" vertical="center"/>
    </xf>
    <xf numFmtId="0" fontId="23" fillId="0" borderId="24" xfId="0" applyFont="1" applyBorder="1" applyAlignment="1">
      <alignment horizontal="center" vertical="center"/>
    </xf>
    <xf numFmtId="0" fontId="24" fillId="0" borderId="0" xfId="0" applyFont="1" applyAlignment="1">
      <alignment horizontal="center" vertical="center"/>
    </xf>
    <xf numFmtId="0" fontId="6" fillId="0" borderId="0" xfId="0" applyFont="1" applyAlignment="1">
      <alignment horizontal="center" vertical="center"/>
    </xf>
    <xf numFmtId="0" fontId="8" fillId="0" borderId="0" xfId="5" applyAlignment="1">
      <alignment horizontal="center"/>
    </xf>
    <xf numFmtId="0" fontId="8" fillId="0" borderId="0" xfId="5" applyBorder="1" applyAlignment="1">
      <alignment horizontal="center"/>
    </xf>
    <xf numFmtId="0" fontId="28" fillId="8" borderId="0" xfId="0" applyFont="1" applyFill="1" applyAlignment="1">
      <alignment horizontal="center" vertical="center"/>
    </xf>
    <xf numFmtId="0" fontId="23"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17" fillId="0" borderId="19" xfId="0" applyFont="1" applyBorder="1" applyAlignment="1">
      <alignment horizontal="left" vertical="center"/>
    </xf>
    <xf numFmtId="0" fontId="28" fillId="8" borderId="2" xfId="1" applyFont="1" applyFill="1" applyBorder="1" applyAlignment="1">
      <alignment horizontal="center" vertical="center" wrapText="1"/>
    </xf>
    <xf numFmtId="0" fontId="20" fillId="0" borderId="115" xfId="0" applyFont="1" applyBorder="1" applyAlignment="1">
      <alignment vertical="center"/>
    </xf>
    <xf numFmtId="0" fontId="20" fillId="0" borderId="118" xfId="0" applyFont="1" applyBorder="1" applyAlignment="1">
      <alignment vertical="center"/>
    </xf>
    <xf numFmtId="0" fontId="20" fillId="0" borderId="120" xfId="0" applyFont="1" applyBorder="1" applyAlignment="1">
      <alignment vertical="center"/>
    </xf>
    <xf numFmtId="0" fontId="20" fillId="0" borderId="116" xfId="0" applyFont="1" applyBorder="1" applyAlignment="1">
      <alignment vertical="center"/>
    </xf>
    <xf numFmtId="0" fontId="20" fillId="0" borderId="119" xfId="0" applyFont="1" applyBorder="1" applyAlignment="1">
      <alignment vertical="center"/>
    </xf>
    <xf numFmtId="0" fontId="20" fillId="0" borderId="121" xfId="0" applyFont="1" applyBorder="1" applyAlignment="1">
      <alignment vertical="center"/>
    </xf>
    <xf numFmtId="10" fontId="20" fillId="0" borderId="107" xfId="0" applyNumberFormat="1" applyFont="1" applyBorder="1" applyAlignment="1">
      <alignment horizontal="left" vertical="center"/>
    </xf>
    <xf numFmtId="0" fontId="20" fillId="0" borderId="113" xfId="0" applyFont="1" applyBorder="1" applyAlignment="1">
      <alignment horizontal="left" vertical="center"/>
    </xf>
    <xf numFmtId="0" fontId="20" fillId="0" borderId="48" xfId="0" applyFont="1" applyBorder="1" applyAlignment="1">
      <alignment horizontal="left" vertical="center"/>
    </xf>
    <xf numFmtId="0" fontId="20" fillId="0" borderId="115" xfId="0" applyFont="1" applyBorder="1" applyAlignment="1">
      <alignment vertical="center" wrapText="1"/>
    </xf>
    <xf numFmtId="0" fontId="20" fillId="0" borderId="118" xfId="0" applyFont="1" applyBorder="1" applyAlignment="1">
      <alignment vertical="center" wrapText="1"/>
    </xf>
    <xf numFmtId="0" fontId="20" fillId="0" borderId="120" xfId="0" applyFont="1" applyBorder="1" applyAlignment="1">
      <alignment vertical="center" wrapText="1"/>
    </xf>
    <xf numFmtId="0" fontId="6" fillId="0" borderId="12" xfId="0" applyFont="1" applyBorder="1" applyAlignment="1">
      <alignment horizontal="center" vertical="center"/>
    </xf>
    <xf numFmtId="0" fontId="6" fillId="0" borderId="114" xfId="0" applyFont="1" applyBorder="1" applyAlignment="1">
      <alignment horizontal="center" vertical="center"/>
    </xf>
    <xf numFmtId="0" fontId="6" fillId="0" borderId="12" xfId="0" applyFont="1" applyBorder="1" applyAlignment="1">
      <alignment horizontal="center" vertical="center" wrapText="1"/>
    </xf>
    <xf numFmtId="0" fontId="6" fillId="0" borderId="114" xfId="0" applyFont="1" applyBorder="1" applyAlignment="1">
      <alignment horizontal="center" vertical="center" wrapText="1"/>
    </xf>
    <xf numFmtId="0" fontId="6" fillId="0" borderId="16" xfId="0" applyFont="1" applyBorder="1" applyAlignment="1">
      <alignment horizontal="center" vertical="center" wrapText="1"/>
    </xf>
    <xf numFmtId="0" fontId="20" fillId="0" borderId="62"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62" xfId="0" applyFont="1" applyBorder="1" applyAlignment="1">
      <alignment horizontal="center" vertical="center"/>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20" fillId="0" borderId="110" xfId="0" applyFont="1" applyBorder="1" applyAlignment="1">
      <alignment horizontal="center" vertical="center"/>
    </xf>
    <xf numFmtId="0" fontId="20" fillId="0" borderId="111" xfId="0" applyFont="1" applyBorder="1" applyAlignment="1">
      <alignment horizontal="center" vertical="center"/>
    </xf>
    <xf numFmtId="0" fontId="20" fillId="0" borderId="112" xfId="0" applyFont="1" applyBorder="1" applyAlignment="1">
      <alignment horizontal="center" vertical="center"/>
    </xf>
    <xf numFmtId="167"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167" fontId="20" fillId="0" borderId="107" xfId="0" applyNumberFormat="1" applyFont="1" applyBorder="1" applyAlignment="1">
      <alignment horizontal="center" vertical="center" wrapText="1"/>
    </xf>
    <xf numFmtId="167" fontId="20" fillId="0" borderId="113" xfId="0" applyNumberFormat="1" applyFont="1" applyBorder="1" applyAlignment="1">
      <alignment horizontal="center" vertical="center" wrapText="1"/>
    </xf>
    <xf numFmtId="167" fontId="20" fillId="0" borderId="48" xfId="0" applyNumberFormat="1" applyFont="1" applyBorder="1" applyAlignment="1">
      <alignment horizontal="center" vertical="center" wrapText="1"/>
    </xf>
    <xf numFmtId="0" fontId="6" fillId="0" borderId="77" xfId="0" applyFont="1" applyBorder="1" applyAlignment="1">
      <alignment horizontal="center" vertical="center" wrapText="1"/>
    </xf>
    <xf numFmtId="0" fontId="6" fillId="0" borderId="74" xfId="0" applyFont="1" applyBorder="1" applyAlignment="1">
      <alignment horizontal="center" vertical="center" wrapText="1"/>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28" fillId="8" borderId="71" xfId="0" applyFont="1" applyFill="1" applyBorder="1" applyAlignment="1">
      <alignment horizontal="center" vertical="center" wrapText="1"/>
    </xf>
    <xf numFmtId="0" fontId="28" fillId="8" borderId="72" xfId="0" applyFont="1" applyFill="1" applyBorder="1" applyAlignment="1">
      <alignment horizontal="center" vertical="center" wrapText="1"/>
    </xf>
    <xf numFmtId="0" fontId="6" fillId="0" borderId="2" xfId="0" applyFont="1" applyBorder="1" applyAlignment="1">
      <alignment horizontal="center" vertical="center"/>
    </xf>
    <xf numFmtId="0" fontId="20" fillId="0" borderId="0" xfId="0" applyFont="1" applyAlignment="1">
      <alignment horizontal="left" vertical="top" wrapText="1"/>
    </xf>
    <xf numFmtId="0" fontId="0" fillId="0" borderId="0" xfId="0" applyAlignment="1">
      <alignment horizontal="left" vertical="top" wrapText="1"/>
    </xf>
    <xf numFmtId="0" fontId="23" fillId="0" borderId="0" xfId="0" applyFont="1"/>
    <xf numFmtId="0" fontId="28" fillId="8" borderId="56" xfId="0" applyFont="1" applyFill="1" applyBorder="1" applyAlignment="1">
      <alignment horizontal="center" vertical="center" wrapText="1"/>
    </xf>
    <xf numFmtId="0" fontId="28" fillId="8" borderId="0" xfId="0" applyFont="1" applyFill="1" applyAlignment="1">
      <alignment horizontal="center" vertical="center" wrapText="1"/>
    </xf>
    <xf numFmtId="0" fontId="28" fillId="20" borderId="2" xfId="0" applyFont="1" applyFill="1" applyBorder="1" applyAlignment="1">
      <alignment horizontal="center" vertical="center"/>
    </xf>
    <xf numFmtId="0" fontId="28" fillId="20" borderId="0" xfId="0" applyFont="1" applyFill="1" applyAlignment="1">
      <alignment horizontal="center" vertical="center"/>
    </xf>
    <xf numFmtId="0" fontId="18" fillId="9" borderId="2" xfId="0" applyFont="1" applyFill="1" applyBorder="1" applyAlignment="1">
      <alignment horizontal="center" vertical="center" wrapText="1"/>
    </xf>
    <xf numFmtId="0" fontId="28" fillId="8" borderId="2" xfId="0" applyFont="1" applyFill="1" applyBorder="1" applyAlignment="1">
      <alignment horizontal="center" vertical="center" wrapText="1"/>
    </xf>
    <xf numFmtId="0" fontId="23" fillId="0" borderId="12"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11" xfId="0" applyFont="1" applyBorder="1" applyAlignment="1">
      <alignment horizontal="center" vertical="center" wrapText="1"/>
    </xf>
    <xf numFmtId="0" fontId="23"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23" fillId="0" borderId="12" xfId="0" applyFont="1" applyBorder="1" applyAlignment="1">
      <alignment horizontal="center" vertical="center"/>
    </xf>
    <xf numFmtId="0" fontId="23" fillId="0" borderId="16" xfId="0" applyFont="1" applyBorder="1" applyAlignment="1">
      <alignment horizontal="center" vertical="center"/>
    </xf>
    <xf numFmtId="0" fontId="23" fillId="0" borderId="45" xfId="0" applyFont="1" applyBorder="1" applyAlignment="1">
      <alignment horizontal="center" vertical="center"/>
    </xf>
    <xf numFmtId="0" fontId="35" fillId="0" borderId="0" xfId="0" applyFont="1" applyAlignment="1">
      <alignment horizontal="left" vertical="top" wrapText="1"/>
    </xf>
    <xf numFmtId="0" fontId="0" fillId="0" borderId="2" xfId="0" applyBorder="1" applyAlignment="1">
      <alignment horizontal="center" vertical="center" wrapText="1"/>
    </xf>
    <xf numFmtId="0" fontId="28" fillId="10" borderId="31" xfId="0" applyFont="1" applyFill="1" applyBorder="1" applyAlignment="1">
      <alignment horizontal="center" vertical="center"/>
    </xf>
    <xf numFmtId="0" fontId="28" fillId="10" borderId="32" xfId="0" applyFont="1" applyFill="1" applyBorder="1" applyAlignment="1">
      <alignment horizontal="center" vertical="center"/>
    </xf>
    <xf numFmtId="0" fontId="28" fillId="8" borderId="102" xfId="0" applyFont="1" applyFill="1" applyBorder="1" applyAlignment="1">
      <alignment horizontal="center" vertical="center" wrapText="1"/>
    </xf>
    <xf numFmtId="0" fontId="28" fillId="8" borderId="18" xfId="0" applyFont="1" applyFill="1" applyBorder="1" applyAlignment="1">
      <alignment horizontal="center" vertical="center" wrapText="1"/>
    </xf>
    <xf numFmtId="0" fontId="28" fillId="8" borderId="19" xfId="0" applyFont="1" applyFill="1" applyBorder="1" applyAlignment="1">
      <alignment horizontal="center" vertical="center" wrapText="1"/>
    </xf>
    <xf numFmtId="0" fontId="28" fillId="12" borderId="95" xfId="13" applyFont="1" applyFill="1" applyBorder="1" applyAlignment="1">
      <alignment horizontal="center" vertical="center" wrapText="1"/>
    </xf>
    <xf numFmtId="0" fontId="28" fillId="12" borderId="0" xfId="13" applyFont="1" applyFill="1" applyAlignment="1">
      <alignment horizontal="center" vertical="center" wrapText="1"/>
    </xf>
    <xf numFmtId="0" fontId="34" fillId="0" borderId="95" xfId="13" applyFont="1" applyBorder="1" applyAlignment="1">
      <alignment horizontal="center" vertical="center" wrapText="1"/>
    </xf>
    <xf numFmtId="0" fontId="34" fillId="13" borderId="2" xfId="13" applyFont="1" applyFill="1" applyBorder="1" applyAlignment="1">
      <alignment horizontal="center" vertical="center" wrapText="1"/>
    </xf>
    <xf numFmtId="0" fontId="20" fillId="0" borderId="40" xfId="0" applyFont="1" applyBorder="1" applyAlignment="1">
      <alignment horizontal="center" vertical="center" wrapText="1"/>
    </xf>
    <xf numFmtId="0" fontId="20" fillId="0" borderId="98" xfId="0" applyFont="1" applyBorder="1" applyAlignment="1">
      <alignment horizontal="center" vertical="center" wrapText="1"/>
    </xf>
    <xf numFmtId="0" fontId="20" fillId="0" borderId="99" xfId="0" applyFont="1" applyBorder="1" applyAlignment="1">
      <alignment horizontal="center" vertical="center" wrapText="1"/>
    </xf>
    <xf numFmtId="43" fontId="20" fillId="0" borderId="16" xfId="6" applyFont="1" applyBorder="1" applyAlignment="1">
      <alignment horizontal="center" vertical="center" wrapText="1"/>
    </xf>
    <xf numFmtId="43" fontId="20" fillId="0" borderId="17" xfId="6" applyFont="1" applyBorder="1" applyAlignment="1">
      <alignment horizontal="center" vertical="center" wrapText="1"/>
    </xf>
    <xf numFmtId="0" fontId="9" fillId="0" borderId="12" xfId="3" applyFont="1" applyBorder="1" applyAlignment="1">
      <alignment horizontal="center" vertical="center" wrapText="1"/>
    </xf>
    <xf numFmtId="0" fontId="9" fillId="0" borderId="16" xfId="3" applyFont="1" applyBorder="1" applyAlignment="1">
      <alignment horizontal="center" vertical="center" wrapText="1"/>
    </xf>
    <xf numFmtId="0" fontId="9" fillId="0" borderId="17" xfId="3" applyFont="1" applyBorder="1" applyAlignment="1">
      <alignment horizontal="center" vertical="center" wrapText="1"/>
    </xf>
    <xf numFmtId="43" fontId="7" fillId="0" borderId="13" xfId="6" applyFont="1" applyBorder="1" applyAlignment="1">
      <alignment horizontal="left" vertical="center"/>
    </xf>
    <xf numFmtId="43" fontId="7" fillId="0" borderId="14" xfId="6" applyFont="1" applyBorder="1" applyAlignment="1">
      <alignment horizontal="left" vertical="center"/>
    </xf>
    <xf numFmtId="43" fontId="7" fillId="0" borderId="15" xfId="6" applyFont="1" applyBorder="1" applyAlignment="1">
      <alignment horizontal="left" vertical="center"/>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7" fillId="0" borderId="11" xfId="6" applyFont="1" applyBorder="1" applyAlignment="1">
      <alignment horizontal="left" vertical="center"/>
    </xf>
    <xf numFmtId="0" fontId="7" fillId="6" borderId="2" xfId="0" applyFont="1" applyFill="1" applyBorder="1" applyAlignment="1">
      <alignment horizontal="center" vertical="center"/>
    </xf>
    <xf numFmtId="0" fontId="28" fillId="8" borderId="2" xfId="0" applyFont="1" applyFill="1" applyBorder="1" applyAlignment="1">
      <alignment horizontal="center" vertical="center"/>
    </xf>
    <xf numFmtId="0" fontId="24" fillId="6" borderId="2" xfId="0" applyFont="1" applyFill="1" applyBorder="1" applyAlignment="1">
      <alignment horizontal="center" vertical="center" wrapText="1"/>
    </xf>
    <xf numFmtId="0" fontId="28" fillId="8" borderId="13" xfId="0" applyFont="1" applyFill="1" applyBorder="1" applyAlignment="1">
      <alignment horizontal="center" vertical="center"/>
    </xf>
    <xf numFmtId="0" fontId="28" fillId="8" borderId="14" xfId="0" applyFont="1" applyFill="1" applyBorder="1" applyAlignment="1">
      <alignment horizontal="center" vertical="center"/>
    </xf>
    <xf numFmtId="0" fontId="28" fillId="8" borderId="15" xfId="0" applyFont="1" applyFill="1" applyBorder="1" applyAlignment="1">
      <alignment horizontal="center" vertical="center"/>
    </xf>
    <xf numFmtId="0" fontId="22" fillId="0" borderId="81"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2" xfId="0" applyFont="1" applyBorder="1" applyAlignment="1">
      <alignment horizontal="center" vertical="center"/>
    </xf>
    <xf numFmtId="0" fontId="22" fillId="0" borderId="62" xfId="0" applyFont="1" applyBorder="1" applyAlignment="1">
      <alignment horizontal="center" vertical="center"/>
    </xf>
    <xf numFmtId="0" fontId="22" fillId="0" borderId="89" xfId="0" applyFont="1" applyBorder="1" applyAlignment="1">
      <alignment horizontal="center" vertical="center"/>
    </xf>
    <xf numFmtId="0" fontId="33" fillId="0" borderId="82" xfId="0" applyFont="1" applyBorder="1" applyAlignment="1">
      <alignment horizontal="center" vertical="center" wrapText="1"/>
    </xf>
    <xf numFmtId="0" fontId="33" fillId="0" borderId="52" xfId="0" applyFont="1" applyBorder="1" applyAlignment="1">
      <alignment horizontal="center" vertical="center" wrapText="1"/>
    </xf>
    <xf numFmtId="0" fontId="33" fillId="0" borderId="90"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61" xfId="0" applyFont="1" applyBorder="1" applyAlignment="1">
      <alignment horizontal="center" vertical="center" wrapText="1"/>
    </xf>
    <xf numFmtId="0" fontId="22" fillId="0" borderId="66" xfId="0" applyFont="1" applyBorder="1" applyAlignment="1">
      <alignment horizontal="center" vertical="center" wrapText="1"/>
    </xf>
    <xf numFmtId="0" fontId="22" fillId="0" borderId="74" xfId="0" applyFont="1" applyBorder="1" applyAlignment="1">
      <alignment horizontal="center" vertical="center"/>
    </xf>
    <xf numFmtId="0" fontId="22" fillId="0" borderId="67" xfId="0" applyFont="1" applyBorder="1" applyAlignment="1">
      <alignment horizontal="center" vertical="center"/>
    </xf>
    <xf numFmtId="0" fontId="33" fillId="0" borderId="74" xfId="0" applyFont="1" applyBorder="1" applyAlignment="1">
      <alignment horizontal="center" vertical="center" wrapText="1"/>
    </xf>
    <xf numFmtId="0" fontId="33" fillId="0" borderId="53" xfId="0" applyFont="1" applyBorder="1" applyAlignment="1">
      <alignment horizontal="center" vertical="center" wrapText="1"/>
    </xf>
    <xf numFmtId="0" fontId="22" fillId="0" borderId="68" xfId="0" applyFont="1" applyBorder="1" applyAlignment="1">
      <alignment horizontal="center" vertical="center" wrapText="1"/>
    </xf>
    <xf numFmtId="0" fontId="28" fillId="8" borderId="20"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0"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7" fillId="6" borderId="12" xfId="0" applyFont="1" applyFill="1" applyBorder="1" applyAlignment="1">
      <alignment horizontal="center" vertical="center"/>
    </xf>
    <xf numFmtId="0" fontId="7" fillId="6" borderId="16"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0" xfId="0" applyFont="1" applyBorder="1" applyAlignment="1">
      <alignment horizontal="center" vertical="center"/>
    </xf>
    <xf numFmtId="0" fontId="18" fillId="6" borderId="2" xfId="0" applyFont="1" applyFill="1" applyBorder="1" applyAlignment="1">
      <alignment horizontal="center" vertical="center" wrapText="1"/>
    </xf>
    <xf numFmtId="0" fontId="7" fillId="6" borderId="51" xfId="0" applyFont="1" applyFill="1" applyBorder="1" applyAlignment="1">
      <alignment horizontal="center" vertical="center"/>
    </xf>
    <xf numFmtId="0" fontId="6" fillId="0" borderId="39" xfId="0" applyFont="1" applyBorder="1" applyAlignment="1">
      <alignment horizontal="center" vertical="center" wrapText="1"/>
    </xf>
    <xf numFmtId="0" fontId="6" fillId="0" borderId="51" xfId="0" applyFont="1" applyBorder="1" applyAlignment="1">
      <alignment horizontal="center" vertical="center" wrapText="1"/>
    </xf>
    <xf numFmtId="0" fontId="22" fillId="0" borderId="57" xfId="0" applyFont="1" applyBorder="1" applyAlignment="1">
      <alignment horizontal="center" vertical="center" wrapText="1"/>
    </xf>
    <xf numFmtId="0" fontId="18" fillId="6" borderId="0" xfId="0" applyFont="1" applyFill="1" applyAlignment="1">
      <alignment horizontal="center" vertical="center" wrapText="1"/>
    </xf>
    <xf numFmtId="0" fontId="22" fillId="0" borderId="55" xfId="0" applyFont="1" applyBorder="1" applyAlignment="1">
      <alignment horizontal="center" vertical="center"/>
    </xf>
    <xf numFmtId="0" fontId="22" fillId="0" borderId="52" xfId="0" applyFont="1" applyBorder="1" applyAlignment="1">
      <alignment horizontal="center" vertical="center"/>
    </xf>
    <xf numFmtId="0" fontId="22" fillId="0" borderId="53" xfId="0" applyFont="1" applyBorder="1" applyAlignment="1">
      <alignment horizontal="center" vertical="center"/>
    </xf>
    <xf numFmtId="0" fontId="33" fillId="0" borderId="55"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51"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30"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78"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0"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2" xfId="0" applyFont="1" applyBorder="1" applyAlignment="1">
      <alignment horizontal="center" vertical="center"/>
    </xf>
    <xf numFmtId="0" fontId="28" fillId="10" borderId="18" xfId="0" applyFont="1" applyFill="1" applyBorder="1" applyAlignment="1">
      <alignment horizontal="center" vertical="center"/>
    </xf>
    <xf numFmtId="0" fontId="28" fillId="10" borderId="19" xfId="0" applyFont="1" applyFill="1" applyBorder="1" applyAlignment="1">
      <alignment horizontal="center" vertical="center"/>
    </xf>
    <xf numFmtId="0" fontId="28" fillId="8" borderId="18" xfId="0" applyFont="1" applyFill="1" applyBorder="1" applyAlignment="1">
      <alignment horizontal="center" vertical="center"/>
    </xf>
    <xf numFmtId="0" fontId="28" fillId="8" borderId="19" xfId="0" applyFont="1" applyFill="1" applyBorder="1" applyAlignment="1">
      <alignment horizontal="center" vertical="center"/>
    </xf>
    <xf numFmtId="0" fontId="28" fillId="10" borderId="19" xfId="0" applyFont="1" applyFill="1" applyBorder="1" applyAlignment="1">
      <alignment horizontal="center" vertical="center" wrapText="1"/>
    </xf>
    <xf numFmtId="0" fontId="24" fillId="9" borderId="12" xfId="0" applyFont="1" applyFill="1" applyBorder="1" applyAlignment="1">
      <alignment horizontal="center" vertical="center"/>
    </xf>
    <xf numFmtId="0" fontId="24" fillId="9" borderId="16" xfId="0" applyFont="1" applyFill="1" applyBorder="1" applyAlignment="1">
      <alignment horizontal="center" vertical="center"/>
    </xf>
    <xf numFmtId="0" fontId="24" fillId="9" borderId="3" xfId="0" applyFont="1" applyFill="1" applyBorder="1" applyAlignment="1">
      <alignment horizontal="center" vertical="center"/>
    </xf>
    <xf numFmtId="0" fontId="24" fillId="9" borderId="10" xfId="0" applyFont="1" applyFill="1" applyBorder="1" applyAlignment="1">
      <alignment horizontal="center" vertical="center"/>
    </xf>
    <xf numFmtId="0" fontId="23" fillId="0" borderId="24" xfId="0" applyFont="1" applyBorder="1" applyAlignment="1">
      <alignment horizontal="center" vertical="center"/>
    </xf>
    <xf numFmtId="0" fontId="24" fillId="0" borderId="0" xfId="0" applyFont="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4" fillId="6" borderId="3" xfId="0" applyFont="1" applyFill="1" applyBorder="1" applyAlignment="1">
      <alignment horizontal="center" vertical="center"/>
    </xf>
    <xf numFmtId="0" fontId="24" fillId="6" borderId="10" xfId="0" applyFont="1" applyFill="1" applyBorder="1" applyAlignment="1">
      <alignment horizontal="center" vertical="center"/>
    </xf>
    <xf numFmtId="0" fontId="24" fillId="6" borderId="11" xfId="0" applyFont="1" applyFill="1" applyBorder="1" applyAlignment="1">
      <alignment horizontal="center" vertical="center"/>
    </xf>
    <xf numFmtId="0" fontId="24" fillId="6" borderId="12" xfId="0" applyFont="1" applyFill="1" applyBorder="1" applyAlignment="1">
      <alignment horizontal="center" vertical="center"/>
    </xf>
    <xf numFmtId="0" fontId="24" fillId="6" borderId="17" xfId="0" applyFont="1" applyFill="1" applyBorder="1" applyAlignment="1">
      <alignment horizontal="center" vertical="center"/>
    </xf>
    <xf numFmtId="0" fontId="43" fillId="8" borderId="0" xfId="0" applyFont="1" applyFill="1" applyAlignment="1">
      <alignment horizontal="center" vertical="center" wrapText="1"/>
    </xf>
    <xf numFmtId="0" fontId="6" fillId="0" borderId="12" xfId="0" applyFont="1" applyBorder="1" applyAlignment="1">
      <alignment vertical="center"/>
    </xf>
    <xf numFmtId="0" fontId="6" fillId="0" borderId="17" xfId="0" applyFont="1" applyBorder="1" applyAlignment="1">
      <alignment vertical="center"/>
    </xf>
    <xf numFmtId="0" fontId="7" fillId="6" borderId="102"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28" fillId="8" borderId="0" xfId="0" applyFont="1" applyFill="1" applyBorder="1" applyAlignment="1">
      <alignment horizontal="center" vertical="center" wrapText="1"/>
    </xf>
    <xf numFmtId="0" fontId="6" fillId="0" borderId="12" xfId="0" applyFont="1" applyBorder="1" applyAlignment="1">
      <alignment horizontal="left" vertical="center"/>
    </xf>
    <xf numFmtId="0" fontId="6" fillId="0" borderId="17" xfId="0" applyFont="1" applyBorder="1" applyAlignment="1">
      <alignment horizontal="left" vertic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2" xfId="13" xr:uid="{890D7D96-04F9-4C80-8A30-95F086BAF328}"/>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A8A8A"/>
      <color rgb="FFA6A6A6"/>
      <color rgb="FFFF9900"/>
      <color rgb="FFCCCCFF"/>
      <color rgb="FF8238BA"/>
      <color rgb="FFFFEBCD"/>
      <color rgb="FF002F8E"/>
      <color rgb="FF0000CC"/>
      <color rgb="FF2E9F17"/>
      <color rgb="FFFFFA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5A3B-49A1-A875-9F5C778398A2}"/>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5A3B-49A1-A875-9F5C778398A2}"/>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A3B-49A1-A875-9F5C778398A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98A4-41BC-9F02-23CD8D4B60E1}"/>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8A4-41BC-9F02-23CD8D4B60E1}"/>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8A4-41BC-9F02-23CD8D4B60E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Scool Relocatable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33.89798425897353</c:v>
                </c:pt>
                <c:pt idx="1">
                  <c:v>21.251698115994461</c:v>
                </c:pt>
                <c:pt idx="2">
                  <c:v>24.959132203439246</c:v>
                </c:pt>
                <c:pt idx="3">
                  <c:v>25.885122811791817</c:v>
                </c:pt>
                <c:pt idx="4">
                  <c:v>17.687443094012682</c:v>
                </c:pt>
                <c:pt idx="5">
                  <c:v>24.415568301249841</c:v>
                </c:pt>
                <c:pt idx="6">
                  <c:v>23.863817938942162</c:v>
                </c:pt>
                <c:pt idx="7">
                  <c:v>23.833149005034052</c:v>
                </c:pt>
                <c:pt idx="8">
                  <c:v>27.664807589314304</c:v>
                </c:pt>
                <c:pt idx="9">
                  <c:v>24.449532012110915</c:v>
                </c:pt>
                <c:pt idx="10">
                  <c:v>26.766823736619266</c:v>
                </c:pt>
                <c:pt idx="11">
                  <c:v>33.022419733461426</c:v>
                </c:pt>
                <c:pt idx="12">
                  <c:v>36.097183457237492</c:v>
                </c:pt>
                <c:pt idx="13">
                  <c:v>24.930251932597095</c:v>
                </c:pt>
                <c:pt idx="14">
                  <c:v>24.295051262498394</c:v>
                </c:pt>
                <c:pt idx="15">
                  <c:v>29.009877885059286</c:v>
                </c:pt>
              </c:numCache>
            </c:numRef>
          </c:val>
          <c:extLst>
            <c:ext xmlns:c16="http://schemas.microsoft.com/office/drawing/2014/chart" uri="{C3380CC4-5D6E-409C-BE32-E72D297353CC}">
              <c16:uniqueId val="{00000000-F627-4DFD-9875-8929C2D60210}"/>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22.598656172649015</c:v>
                </c:pt>
                <c:pt idx="1">
                  <c:v>14.167798743996311</c:v>
                </c:pt>
                <c:pt idx="2">
                  <c:v>16.639421468959497</c:v>
                </c:pt>
                <c:pt idx="3">
                  <c:v>17.25674854119454</c:v>
                </c:pt>
                <c:pt idx="4">
                  <c:v>11.791628729341788</c:v>
                </c:pt>
                <c:pt idx="5">
                  <c:v>16.277045534166561</c:v>
                </c:pt>
                <c:pt idx="6">
                  <c:v>15.90921195929478</c:v>
                </c:pt>
                <c:pt idx="7">
                  <c:v>15.888766003356039</c:v>
                </c:pt>
                <c:pt idx="8">
                  <c:v>18.443205059542866</c:v>
                </c:pt>
                <c:pt idx="9">
                  <c:v>16.299688008073943</c:v>
                </c:pt>
                <c:pt idx="10">
                  <c:v>17.844549157746172</c:v>
                </c:pt>
                <c:pt idx="11">
                  <c:v>22.014946488974289</c:v>
                </c:pt>
                <c:pt idx="12">
                  <c:v>24.064788971491666</c:v>
                </c:pt>
                <c:pt idx="13">
                  <c:v>16.62016795506473</c:v>
                </c:pt>
                <c:pt idx="14">
                  <c:v>16.196700841665599</c:v>
                </c:pt>
                <c:pt idx="15">
                  <c:v>19.339918590039527</c:v>
                </c:pt>
              </c:numCache>
            </c:numRef>
          </c:val>
          <c:extLst>
            <c:ext xmlns:c16="http://schemas.microsoft.com/office/drawing/2014/chart" uri="{C3380CC4-5D6E-409C-BE32-E72D297353CC}">
              <c16:uniqueId val="{00000001-F627-4DFD-9875-8929C2D60210}"/>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627-4DFD-9875-8929C2D60210}"/>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627-4DFD-9875-8929C2D6021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Relocatable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38.474999999999994</c:v>
                </c:pt>
                <c:pt idx="1">
                  <c:v>38.474999999999994</c:v>
                </c:pt>
                <c:pt idx="2">
                  <c:v>38.474999999999994</c:v>
                </c:pt>
                <c:pt idx="3">
                  <c:v>38.474999999999994</c:v>
                </c:pt>
                <c:pt idx="4">
                  <c:v>38.474999999999994</c:v>
                </c:pt>
                <c:pt idx="5">
                  <c:v>38.474999999999994</c:v>
                </c:pt>
                <c:pt idx="6">
                  <c:v>38.474999999999994</c:v>
                </c:pt>
                <c:pt idx="7">
                  <c:v>38.474999999999994</c:v>
                </c:pt>
                <c:pt idx="8">
                  <c:v>38.474999999999994</c:v>
                </c:pt>
                <c:pt idx="9">
                  <c:v>38.474999999999994</c:v>
                </c:pt>
                <c:pt idx="10">
                  <c:v>38.474999999999994</c:v>
                </c:pt>
                <c:pt idx="11">
                  <c:v>38.474999999999994</c:v>
                </c:pt>
                <c:pt idx="12">
                  <c:v>38.474999999999994</c:v>
                </c:pt>
                <c:pt idx="13">
                  <c:v>38.474999999999994</c:v>
                </c:pt>
                <c:pt idx="14">
                  <c:v>38.474999999999994</c:v>
                </c:pt>
                <c:pt idx="15">
                  <c:v>38.474999999999994</c:v>
                </c:pt>
              </c:numCache>
            </c:numRef>
          </c:val>
          <c:extLst>
            <c:ext xmlns:c16="http://schemas.microsoft.com/office/drawing/2014/chart" uri="{C3380CC4-5D6E-409C-BE32-E72D297353CC}">
              <c16:uniqueId val="{00000000-8D34-45DF-9A5E-AA11CAA723D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25.650000000000006</c:v>
                </c:pt>
                <c:pt idx="1">
                  <c:v>25.650000000000006</c:v>
                </c:pt>
                <c:pt idx="2">
                  <c:v>25.650000000000006</c:v>
                </c:pt>
                <c:pt idx="3">
                  <c:v>25.650000000000006</c:v>
                </c:pt>
                <c:pt idx="4">
                  <c:v>25.650000000000006</c:v>
                </c:pt>
                <c:pt idx="5">
                  <c:v>25.650000000000006</c:v>
                </c:pt>
                <c:pt idx="6">
                  <c:v>25.650000000000006</c:v>
                </c:pt>
                <c:pt idx="7">
                  <c:v>25.650000000000006</c:v>
                </c:pt>
                <c:pt idx="8">
                  <c:v>25.650000000000006</c:v>
                </c:pt>
                <c:pt idx="9">
                  <c:v>25.650000000000006</c:v>
                </c:pt>
                <c:pt idx="10">
                  <c:v>25.650000000000006</c:v>
                </c:pt>
                <c:pt idx="11">
                  <c:v>25.650000000000006</c:v>
                </c:pt>
                <c:pt idx="12">
                  <c:v>25.650000000000006</c:v>
                </c:pt>
                <c:pt idx="13">
                  <c:v>25.650000000000006</c:v>
                </c:pt>
                <c:pt idx="14">
                  <c:v>25.650000000000006</c:v>
                </c:pt>
                <c:pt idx="15">
                  <c:v>25.650000000000006</c:v>
                </c:pt>
              </c:numCache>
            </c:numRef>
          </c:val>
          <c:extLst>
            <c:ext xmlns:c16="http://schemas.microsoft.com/office/drawing/2014/chart" uri="{C3380CC4-5D6E-409C-BE32-E72D297353CC}">
              <c16:uniqueId val="{00000001-8D34-45DF-9A5E-AA11CAA723D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8D34-45DF-9A5E-AA11CAA723D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8D34-45DF-9A5E-AA11CAA723D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3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gearypacific.com/ASSETS/DOCUMENTS/CMS/EN/W3VH-W5VH%20(WVH)%20F2082%20(2024%2002).pdf"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874058</xdr:colOff>
      <xdr:row>7</xdr:row>
      <xdr:rowOff>11205</xdr:rowOff>
    </xdr:from>
    <xdr:to>
      <xdr:col>1</xdr:col>
      <xdr:colOff>2657138</xdr:colOff>
      <xdr:row>7</xdr:row>
      <xdr:rowOff>1199925</xdr:rowOff>
    </xdr:to>
    <xdr:pic>
      <xdr:nvPicPr>
        <xdr:cNvPr id="2" name="Picture 1">
          <a:extLst>
            <a:ext uri="{FF2B5EF4-FFF2-40B4-BE49-F238E27FC236}">
              <a16:creationId xmlns:a16="http://schemas.microsoft.com/office/drawing/2014/main" id="{BA7DC77D-8635-CEC1-8D2C-C6C3C680B9BA}"/>
            </a:ext>
          </a:extLst>
        </xdr:cNvPr>
        <xdr:cNvPicPr>
          <a:picLocks noChangeAspect="1"/>
        </xdr:cNvPicPr>
      </xdr:nvPicPr>
      <xdr:blipFill>
        <a:blip xmlns:r="http://schemas.openxmlformats.org/officeDocument/2006/relationships" r:embed="rId1"/>
        <a:stretch>
          <a:fillRect/>
        </a:stretch>
      </xdr:blipFill>
      <xdr:spPr>
        <a:xfrm>
          <a:off x="2543734" y="1568823"/>
          <a:ext cx="1783080" cy="11887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2" name="Straight Arrow Connector 1">
          <a:extLst>
            <a:ext uri="{FF2B5EF4-FFF2-40B4-BE49-F238E27FC236}">
              <a16:creationId xmlns:a16="http://schemas.microsoft.com/office/drawing/2014/main" id="{E25E12E1-1BEA-4E12-A1D9-4EE8176A81A5}"/>
            </a:ext>
          </a:extLst>
        </xdr:cNvPr>
        <xdr:cNvCxnSpPr/>
      </xdr:nvCxnSpPr>
      <xdr:spPr>
        <a:xfrm flipV="1">
          <a:off x="17275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3" name="TextBox 2">
          <a:extLst>
            <a:ext uri="{FF2B5EF4-FFF2-40B4-BE49-F238E27FC236}">
              <a16:creationId xmlns:a16="http://schemas.microsoft.com/office/drawing/2014/main" id="{B94B5AF4-8723-404B-ABC5-FEF9E4F057E3}"/>
            </a:ext>
          </a:extLst>
        </xdr:cNvPr>
        <xdr:cNvSpPr txBox="1"/>
      </xdr:nvSpPr>
      <xdr:spPr>
        <a:xfrm>
          <a:off x="17317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1563158</xdr:colOff>
      <xdr:row>1</xdr:row>
      <xdr:rowOff>155575</xdr:rowOff>
    </xdr:from>
    <xdr:to>
      <xdr:col>16</xdr:col>
      <xdr:colOff>1044576</xdr:colOff>
      <xdr:row>20</xdr:row>
      <xdr:rowOff>116886</xdr:rowOff>
    </xdr:to>
    <xdr:pic>
      <xdr:nvPicPr>
        <xdr:cNvPr id="5" name="Picture 4">
          <a:extLst>
            <a:ext uri="{FF2B5EF4-FFF2-40B4-BE49-F238E27FC236}">
              <a16:creationId xmlns:a16="http://schemas.microsoft.com/office/drawing/2014/main" id="{C4E0E889-3663-4CEA-8A87-AC76D281DB5D}"/>
            </a:ext>
            <a:ext uri="{147F2762-F138-4A5C-976F-8EAC2B608ADB}">
              <a16:predDERef xmlns:a16="http://schemas.microsoft.com/office/drawing/2014/main" pred="{B94B5AF4-8723-404B-ABC5-FEF9E4F057E3}"/>
            </a:ext>
          </a:extLst>
        </xdr:cNvPr>
        <xdr:cNvPicPr>
          <a:picLocks noChangeAspect="1"/>
        </xdr:cNvPicPr>
      </xdr:nvPicPr>
      <xdr:blipFill>
        <a:blip xmlns:r="http://schemas.openxmlformats.org/officeDocument/2006/relationships" r:embed="rId1"/>
        <a:stretch>
          <a:fillRect/>
        </a:stretch>
      </xdr:blipFill>
      <xdr:spPr>
        <a:xfrm>
          <a:off x="22527683" y="479425"/>
          <a:ext cx="2738968" cy="43809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191619</xdr:colOff>
      <xdr:row>19</xdr:row>
      <xdr:rowOff>1893794</xdr:rowOff>
    </xdr:from>
    <xdr:to>
      <xdr:col>7</xdr:col>
      <xdr:colOff>1493743</xdr:colOff>
      <xdr:row>19</xdr:row>
      <xdr:rowOff>2196353</xdr:rowOff>
    </xdr:to>
    <xdr:sp macro="" textlink="">
      <xdr:nvSpPr>
        <xdr:cNvPr id="2" name="TextBox 1">
          <a:hlinkClick xmlns:r="http://schemas.openxmlformats.org/officeDocument/2006/relationships" r:id="rId1" tooltip="Link"/>
          <a:extLst>
            <a:ext uri="{FF2B5EF4-FFF2-40B4-BE49-F238E27FC236}">
              <a16:creationId xmlns:a16="http://schemas.microsoft.com/office/drawing/2014/main" id="{FFB0FB5B-A866-4891-B277-7F1F0182F9F4}"/>
            </a:ext>
          </a:extLst>
        </xdr:cNvPr>
        <xdr:cNvSpPr txBox="1"/>
      </xdr:nvSpPr>
      <xdr:spPr>
        <a:xfrm>
          <a:off x="16989237" y="8079441"/>
          <a:ext cx="1302124"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BARD Engineering Specification Guide for SPVHP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104774</xdr:rowOff>
    </xdr:from>
    <xdr:to>
      <xdr:col>1</xdr:col>
      <xdr:colOff>1358500</xdr:colOff>
      <xdr:row>30</xdr:row>
      <xdr:rowOff>176106</xdr:rowOff>
    </xdr:to>
    <xdr:pic>
      <xdr:nvPicPr>
        <xdr:cNvPr id="10"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24024"/>
          <a:ext cx="4724000" cy="294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10"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1"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14"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15"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13"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1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326372</xdr:colOff>
      <xdr:row>24</xdr:row>
      <xdr:rowOff>57431</xdr:rowOff>
    </xdr:from>
    <xdr:to>
      <xdr:col>36</xdr:col>
      <xdr:colOff>51828</xdr:colOff>
      <xdr:row>26</xdr:row>
      <xdr:rowOff>366111</xdr:rowOff>
    </xdr:to>
    <xdr:graphicFrame macro="">
      <xdr:nvGraphicFramePr>
        <xdr:cNvPr id="17" name="Chart 38">
          <a:extLst>
            <a:ext uri="{FF2B5EF4-FFF2-40B4-BE49-F238E27FC236}">
              <a16:creationId xmlns:a16="http://schemas.microsoft.com/office/drawing/2014/main" id="{434293DA-7FB9-4397-9A0A-FDAE3FAA48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297656</xdr:colOff>
      <xdr:row>27</xdr:row>
      <xdr:rowOff>71437</xdr:rowOff>
    </xdr:from>
    <xdr:to>
      <xdr:col>35</xdr:col>
      <xdr:colOff>598812</xdr:colOff>
      <xdr:row>30</xdr:row>
      <xdr:rowOff>130969</xdr:rowOff>
    </xdr:to>
    <xdr:graphicFrame macro="">
      <xdr:nvGraphicFramePr>
        <xdr:cNvPr id="20" name="Chart 39">
          <a:extLst>
            <a:ext uri="{FF2B5EF4-FFF2-40B4-BE49-F238E27FC236}">
              <a16:creationId xmlns:a16="http://schemas.microsoft.com/office/drawing/2014/main" id="{83D15056-68EA-4946-81F1-6E343F58CB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3" name="Chart 2">
          <a:extLst>
            <a:ext uri="{FF2B5EF4-FFF2-40B4-BE49-F238E27FC236}">
              <a16:creationId xmlns:a16="http://schemas.microsoft.com/office/drawing/2014/main" id="{81C11E23-7E89-4B97-96EF-C5DADC00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4" name="Chart 3">
          <a:extLst>
            <a:ext uri="{FF2B5EF4-FFF2-40B4-BE49-F238E27FC236}">
              <a16:creationId xmlns:a16="http://schemas.microsoft.com/office/drawing/2014/main" id="{61A226E4-E113-4EE3-B3C5-34B18E38D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2.arb.ca.gov/sites/default/files/classic/research/apr/reports/l3006.pdf" TargetMode="External"/><Relationship Id="rId3" Type="http://schemas.openxmlformats.org/officeDocument/2006/relationships/hyperlink" Target="https://title24stakeholders.com/wp-content/uploads/2016/10/T24-2019-CASE-Study-Results-Report-Outdoor-Sources_Final_with-Attachments.pdf" TargetMode="External"/><Relationship Id="rId7" Type="http://schemas.openxmlformats.org/officeDocument/2006/relationships/hyperlink" Target="https://ww2.arb.ca.gov/sites/default/files/2020-05/pcs_v3_es_03-23-04.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energy.ca.gov/publications/2022/2022-nonresidential-and-multifamily-alternative-calculation-method-reference" TargetMode="External"/><Relationship Id="rId6" Type="http://schemas.openxmlformats.org/officeDocument/2006/relationships/hyperlink" Target="https://www2.lbl.gov/Science-Articles/Archive/EETD-portable-classrooms.html" TargetMode="External"/><Relationship Id="rId5" Type="http://schemas.openxmlformats.org/officeDocument/2006/relationships/hyperlink" Target="https://title24stakeholders.com/wp-content/uploads/2017/09/2019-T24-CASE-Report_Fume-Hoods_Final_September-2017.pdf?" TargetMode="External"/><Relationship Id="rId10" Type="http://schemas.openxmlformats.org/officeDocument/2006/relationships/hyperlink" Target="https://www.pnnl.gov/main/publications/external/technical_reports/PNNL-20405.pdf" TargetMode="External"/><Relationship Id="rId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9" Type="http://schemas.openxmlformats.org/officeDocument/2006/relationships/hyperlink" Target="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ww2.arb.ca.gov/sites/default/files/classic/research/apr/reports/l3006.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47"/>
  <sheetViews>
    <sheetView zoomScaleNormal="100" workbookViewId="0">
      <selection sqref="A1:C1"/>
    </sheetView>
  </sheetViews>
  <sheetFormatPr defaultColWidth="9.33203125" defaultRowHeight="13.2" x14ac:dyDescent="0.25"/>
  <cols>
    <col min="1" max="1" width="16.109375" style="5" bestFit="1" customWidth="1"/>
    <col min="2" max="2" width="83.6640625" style="5" customWidth="1"/>
    <col min="3" max="3" width="34.109375" style="5" customWidth="1"/>
    <col min="4" max="4" width="9.33203125" style="5"/>
    <col min="5" max="5" width="21.6640625" style="5" customWidth="1"/>
    <col min="6" max="6" width="10.6640625" style="5" customWidth="1"/>
    <col min="7" max="7" width="9.6640625" style="5" customWidth="1"/>
    <col min="8" max="8" width="9.6640625" style="5" bestFit="1" customWidth="1"/>
    <col min="9" max="16384" width="9.33203125" style="5"/>
  </cols>
  <sheetData>
    <row r="1" spans="1:4" ht="20.399999999999999" customHeight="1" x14ac:dyDescent="0.25">
      <c r="A1" s="364" t="s">
        <v>0</v>
      </c>
      <c r="B1" s="364"/>
      <c r="C1" s="364"/>
    </row>
    <row r="2" spans="1:4" ht="20.25" customHeight="1" x14ac:dyDescent="0.25">
      <c r="A2" s="349" t="s">
        <v>1</v>
      </c>
      <c r="C2" s="347" t="s">
        <v>2</v>
      </c>
      <c r="D2" s="5" t="s">
        <v>16</v>
      </c>
    </row>
    <row r="3" spans="1:4" ht="14.4" x14ac:dyDescent="0.3">
      <c r="A3" s="366"/>
      <c r="B3" s="5" t="s">
        <v>3</v>
      </c>
      <c r="C3" s="345" t="s">
        <v>4</v>
      </c>
      <c r="D3" s="5" t="s">
        <v>16</v>
      </c>
    </row>
    <row r="4" spans="1:4" ht="14.4" x14ac:dyDescent="0.3">
      <c r="A4" s="366"/>
      <c r="B4" s="5" t="s">
        <v>5</v>
      </c>
      <c r="C4" s="363" t="s">
        <v>6</v>
      </c>
      <c r="D4" s="5" t="s">
        <v>16</v>
      </c>
    </row>
    <row r="5" spans="1:4" ht="14.4" x14ac:dyDescent="0.3">
      <c r="A5" s="366"/>
      <c r="B5" s="5" t="s">
        <v>7</v>
      </c>
      <c r="C5" s="345" t="s">
        <v>8</v>
      </c>
      <c r="D5" s="5" t="s">
        <v>16</v>
      </c>
    </row>
    <row r="6" spans="1:4" x14ac:dyDescent="0.25">
      <c r="A6" s="365" t="s">
        <v>9</v>
      </c>
      <c r="B6" s="335" t="s">
        <v>10</v>
      </c>
      <c r="C6" s="348"/>
      <c r="D6" s="5" t="s">
        <v>16</v>
      </c>
    </row>
    <row r="7" spans="1:4" x14ac:dyDescent="0.25">
      <c r="A7" s="365"/>
      <c r="B7" s="335" t="s">
        <v>11</v>
      </c>
      <c r="C7" s="348"/>
      <c r="D7" s="5" t="s">
        <v>16</v>
      </c>
    </row>
    <row r="8" spans="1:4" x14ac:dyDescent="0.25">
      <c r="A8" s="365"/>
      <c r="B8" s="335" t="s">
        <v>12</v>
      </c>
      <c r="C8" s="348"/>
      <c r="D8" s="5" t="s">
        <v>16</v>
      </c>
    </row>
    <row r="9" spans="1:4" ht="14.4" customHeight="1" x14ac:dyDescent="0.25">
      <c r="A9" s="365" t="s">
        <v>25</v>
      </c>
      <c r="B9" s="335" t="s">
        <v>13</v>
      </c>
      <c r="C9" s="348"/>
    </row>
    <row r="10" spans="1:4" ht="14.4" x14ac:dyDescent="0.3">
      <c r="A10" s="365"/>
      <c r="B10" s="335" t="s">
        <v>14</v>
      </c>
      <c r="C10" s="91" t="s">
        <v>15</v>
      </c>
      <c r="D10" s="5" t="s">
        <v>16</v>
      </c>
    </row>
    <row r="11" spans="1:4" ht="14.4" x14ac:dyDescent="0.3">
      <c r="A11" s="365"/>
      <c r="B11" s="92" t="s">
        <v>17</v>
      </c>
      <c r="C11" s="345" t="s">
        <v>18</v>
      </c>
      <c r="D11" s="5" t="s">
        <v>16</v>
      </c>
    </row>
    <row r="12" spans="1:4" ht="14.4" x14ac:dyDescent="0.3">
      <c r="A12" s="365"/>
      <c r="B12" s="335" t="s">
        <v>19</v>
      </c>
      <c r="C12" s="345" t="s">
        <v>20</v>
      </c>
      <c r="D12" s="5" t="s">
        <v>16</v>
      </c>
    </row>
    <row r="13" spans="1:4" ht="14.4" x14ac:dyDescent="0.3">
      <c r="A13" s="365"/>
      <c r="B13" s="92" t="s">
        <v>21</v>
      </c>
      <c r="C13" s="362" t="s">
        <v>22</v>
      </c>
      <c r="D13" s="5" t="s">
        <v>16</v>
      </c>
    </row>
    <row r="14" spans="1:4" ht="14.4" x14ac:dyDescent="0.3">
      <c r="A14" s="365"/>
      <c r="B14" s="335" t="s">
        <v>23</v>
      </c>
      <c r="C14" s="345" t="s">
        <v>24</v>
      </c>
      <c r="D14" s="5" t="s">
        <v>16</v>
      </c>
    </row>
    <row r="15" spans="1:4" ht="14.4" x14ac:dyDescent="0.3">
      <c r="A15" s="365"/>
      <c r="B15" s="335" t="s">
        <v>26</v>
      </c>
      <c r="C15" s="345" t="s">
        <v>27</v>
      </c>
      <c r="D15" s="5" t="s">
        <v>16</v>
      </c>
    </row>
    <row r="16" spans="1:4" ht="14.4" x14ac:dyDescent="0.3">
      <c r="A16" s="365"/>
      <c r="B16" s="335" t="s">
        <v>28</v>
      </c>
      <c r="C16" s="2" t="s">
        <v>28</v>
      </c>
      <c r="D16" s="5" t="s">
        <v>16</v>
      </c>
    </row>
    <row r="17" spans="1:4" ht="14.4" x14ac:dyDescent="0.3">
      <c r="A17" s="346"/>
      <c r="B17" s="335"/>
      <c r="C17" s="2"/>
      <c r="D17" s="5" t="s">
        <v>16</v>
      </c>
    </row>
    <row r="18" spans="1:4" ht="18.600000000000001" customHeight="1" x14ac:dyDescent="0.25">
      <c r="A18" s="364" t="s">
        <v>29</v>
      </c>
      <c r="B18" s="364"/>
      <c r="C18" s="364"/>
    </row>
    <row r="19" spans="1:4" x14ac:dyDescent="0.25">
      <c r="C19" s="344"/>
    </row>
    <row r="20" spans="1:4" ht="14.4" x14ac:dyDescent="0.3">
      <c r="B20"/>
      <c r="C20" s="344"/>
    </row>
    <row r="21" spans="1:4" x14ac:dyDescent="0.25">
      <c r="C21" s="344"/>
    </row>
    <row r="22" spans="1:4" ht="14.4" x14ac:dyDescent="0.3">
      <c r="B22"/>
      <c r="C22" s="344"/>
    </row>
    <row r="23" spans="1:4" x14ac:dyDescent="0.25">
      <c r="C23" s="344"/>
    </row>
    <row r="24" spans="1:4" x14ac:dyDescent="0.25">
      <c r="C24" s="344"/>
    </row>
    <row r="25" spans="1:4" x14ac:dyDescent="0.25">
      <c r="C25" s="344"/>
    </row>
    <row r="26" spans="1:4" x14ac:dyDescent="0.25">
      <c r="C26" s="344"/>
    </row>
    <row r="27" spans="1:4" x14ac:dyDescent="0.25">
      <c r="C27" s="344"/>
    </row>
    <row r="28" spans="1:4" x14ac:dyDescent="0.25">
      <c r="C28" s="344"/>
    </row>
    <row r="29" spans="1:4" x14ac:dyDescent="0.25">
      <c r="C29" s="344"/>
    </row>
    <row r="30" spans="1:4" x14ac:dyDescent="0.25">
      <c r="C30" s="344"/>
    </row>
    <row r="31" spans="1:4" ht="19.2" customHeight="1" x14ac:dyDescent="0.25">
      <c r="A31" s="364" t="s">
        <v>30</v>
      </c>
      <c r="B31" s="364"/>
      <c r="C31" s="364"/>
    </row>
    <row r="32" spans="1:4" customFormat="1" ht="37.950000000000003" customHeight="1" x14ac:dyDescent="0.3"/>
    <row r="33" spans="1:8" ht="18" customHeight="1" x14ac:dyDescent="0.25">
      <c r="A33" s="8"/>
      <c r="B33" s="367"/>
      <c r="C33" s="367"/>
      <c r="E33" s="8"/>
      <c r="F33" s="24"/>
      <c r="G33" s="24"/>
      <c r="H33" s="24"/>
    </row>
    <row r="34" spans="1:8" ht="13.95" customHeight="1" x14ac:dyDescent="0.25">
      <c r="A34" s="8"/>
      <c r="B34" s="367"/>
      <c r="C34" s="367"/>
    </row>
    <row r="35" spans="1:8" ht="14.4" x14ac:dyDescent="0.3">
      <c r="A35" s="7"/>
      <c r="B35" s="8"/>
      <c r="C35" s="8"/>
      <c r="E35"/>
    </row>
    <row r="47" spans="1:8" ht="14.4" x14ac:dyDescent="0.3">
      <c r="D47"/>
    </row>
  </sheetData>
  <mergeCells count="8">
    <mergeCell ref="B33:C33"/>
    <mergeCell ref="B34:C34"/>
    <mergeCell ref="A31:C31"/>
    <mergeCell ref="A18:C18"/>
    <mergeCell ref="A9:A16"/>
    <mergeCell ref="A1:C1"/>
    <mergeCell ref="A3:A5"/>
    <mergeCell ref="A6:A8"/>
  </mergeCells>
  <phoneticPr fontId="5" type="noConversion"/>
  <hyperlinks>
    <hyperlink ref="C10" r:id="rId1" xr:uid="{6FE21833-FF0D-4A82-8C97-373AFD399D80}"/>
    <hyperlink ref="C11" r:id="rId2" xr:uid="{F882414A-41AA-48DB-ABE7-A2D351DA9456}"/>
    <hyperlink ref="C12" r:id="rId3" xr:uid="{45860262-F5B2-43E2-AF00-0011D1E7F7A2}"/>
    <hyperlink ref="C15" r:id="rId4" display="https://2050partners.sharepoint.com/:w:/r/sites/CalBEMCollaborativeEfforts/_layouts/15/Doc.aspx?sourcedoc=%7B3BEF8F74-7FAC-44F2-A70C-D76617660066%7D&amp;file=Infiltration_rate_report_14May2025-Short-Version.docx&amp;wdLOR=c494C5A60-5F8A-438B-874B-578DCB850072&amp;action=default&amp;mobileredirect=true" xr:uid="{ECEFF5DB-08D9-46F0-A169-50EEF678F01F}"/>
    <hyperlink ref="C13" r:id="rId5" xr:uid="{87C1ADF4-0583-4536-B2E6-9D4E36217E34}"/>
    <hyperlink ref="C3" r:id="rId6" xr:uid="{6FF7AC46-34FB-47DE-B28A-F1E36A0E2135}"/>
    <hyperlink ref="C5" r:id="rId7" xr:uid="{D484A7F5-CFCC-493D-BAEB-54C1A064BCC2}"/>
    <hyperlink ref="C4" r:id="rId8" xr:uid="{8AC86969-A458-4907-AFA2-23224647FE18}"/>
    <hyperlink ref="C16" r:id="rId9" display="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xr:uid="{5B130112-24E5-4BA2-817F-B775732BE706}"/>
    <hyperlink ref="C14" r:id="rId10" xr:uid="{93D60F3D-435B-476B-91D3-DAEEA28110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6"/>
  <sheetViews>
    <sheetView tabSelected="1" zoomScale="85" zoomScaleNormal="85" workbookViewId="0">
      <selection sqref="A1:C1"/>
    </sheetView>
  </sheetViews>
  <sheetFormatPr defaultColWidth="9.33203125" defaultRowHeight="13.8" x14ac:dyDescent="0.25"/>
  <cols>
    <col min="1" max="1" width="25" style="3" customWidth="1"/>
    <col min="2" max="2" width="51.33203125" style="3" customWidth="1"/>
    <col min="3" max="3" width="49.6640625" style="3" customWidth="1"/>
    <col min="4" max="9" width="8.6640625" style="3" customWidth="1"/>
    <col min="10" max="16384" width="9.33203125" style="3"/>
  </cols>
  <sheetData>
    <row r="1" spans="1:9" ht="17.399999999999999" x14ac:dyDescent="0.25">
      <c r="A1" s="368" t="s">
        <v>453</v>
      </c>
      <c r="B1" s="368"/>
      <c r="C1" s="368"/>
      <c r="D1" s="10"/>
      <c r="E1" s="10"/>
      <c r="F1" s="10"/>
    </row>
    <row r="2" spans="1:9" ht="25.2" customHeight="1" x14ac:dyDescent="0.25">
      <c r="A2" s="369" t="s">
        <v>31</v>
      </c>
      <c r="B2" s="369"/>
      <c r="C2" s="369"/>
      <c r="D2" s="10"/>
      <c r="E2" s="10"/>
      <c r="F2" s="10"/>
    </row>
    <row r="3" spans="1:9" ht="20.399999999999999" customHeight="1" x14ac:dyDescent="0.25">
      <c r="A3" s="99" t="s">
        <v>32</v>
      </c>
      <c r="B3" s="353" t="s">
        <v>33</v>
      </c>
      <c r="C3" s="353" t="s">
        <v>0</v>
      </c>
    </row>
    <row r="4" spans="1:9" ht="16.2" customHeight="1" x14ac:dyDescent="0.25">
      <c r="A4" s="13" t="s">
        <v>34</v>
      </c>
      <c r="B4" s="343" t="s">
        <v>35</v>
      </c>
      <c r="C4" s="13"/>
    </row>
    <row r="5" spans="1:9" ht="16.2" customHeight="1" x14ac:dyDescent="0.25">
      <c r="A5" s="13" t="s">
        <v>36</v>
      </c>
      <c r="B5" s="343" t="s">
        <v>37</v>
      </c>
      <c r="C5" s="13"/>
    </row>
    <row r="6" spans="1:9" ht="16.2" customHeight="1" x14ac:dyDescent="0.25">
      <c r="A6" s="275" t="s">
        <v>38</v>
      </c>
      <c r="B6" s="216" t="s">
        <v>39</v>
      </c>
      <c r="C6" s="13"/>
    </row>
    <row r="7" spans="1:9" ht="82.2" customHeight="1" x14ac:dyDescent="0.25">
      <c r="A7" s="13" t="s">
        <v>40</v>
      </c>
      <c r="B7" s="340" t="s">
        <v>41</v>
      </c>
      <c r="C7" s="14" t="s">
        <v>454</v>
      </c>
      <c r="D7" s="52"/>
    </row>
    <row r="8" spans="1:9" ht="97.2" customHeight="1" x14ac:dyDescent="0.3">
      <c r="A8" s="13" t="s">
        <v>42</v>
      </c>
      <c r="B8"/>
      <c r="C8" s="14" t="s">
        <v>43</v>
      </c>
      <c r="D8"/>
      <c r="I8" s="4"/>
    </row>
    <row r="9" spans="1:9" ht="19.2" customHeight="1" x14ac:dyDescent="0.25">
      <c r="A9" s="93" t="s">
        <v>44</v>
      </c>
      <c r="B9" s="11">
        <v>1920.19</v>
      </c>
      <c r="C9" s="547" t="s">
        <v>455</v>
      </c>
    </row>
    <row r="10" spans="1:9" ht="19.2" customHeight="1" x14ac:dyDescent="0.25">
      <c r="A10" s="93" t="s">
        <v>45</v>
      </c>
      <c r="B10" s="51">
        <f>40/24</f>
        <v>1.6666666666666667</v>
      </c>
      <c r="C10" s="548"/>
    </row>
    <row r="11" spans="1:9" ht="19.2" customHeight="1" x14ac:dyDescent="0.25">
      <c r="A11" s="100" t="s">
        <v>46</v>
      </c>
      <c r="B11" s="51">
        <v>1</v>
      </c>
      <c r="C11" s="13"/>
    </row>
    <row r="12" spans="1:9" ht="19.2" customHeight="1" x14ac:dyDescent="0.25">
      <c r="A12" s="100" t="s">
        <v>47</v>
      </c>
      <c r="B12" s="343" t="s">
        <v>48</v>
      </c>
      <c r="C12" s="13"/>
    </row>
    <row r="13" spans="1:9" ht="19.2" customHeight="1" x14ac:dyDescent="0.25">
      <c r="A13" s="100" t="s">
        <v>49</v>
      </c>
      <c r="B13" s="125">
        <v>5.1499999999999997E-2</v>
      </c>
      <c r="C13" s="13" t="s">
        <v>455</v>
      </c>
    </row>
    <row r="14" spans="1:9" ht="20.100000000000001" customHeight="1" x14ac:dyDescent="0.25">
      <c r="A14" s="93" t="s">
        <v>50</v>
      </c>
      <c r="B14" s="12" t="s">
        <v>51</v>
      </c>
      <c r="C14" s="13"/>
    </row>
    <row r="15" spans="1:9" ht="20.100000000000001" customHeight="1" x14ac:dyDescent="0.25">
      <c r="A15" s="93" t="s">
        <v>52</v>
      </c>
      <c r="B15" s="51" t="s">
        <v>53</v>
      </c>
      <c r="C15" s="13" t="s">
        <v>456</v>
      </c>
    </row>
    <row r="16" spans="1:9" ht="20.100000000000001" customHeight="1" x14ac:dyDescent="0.25">
      <c r="A16" s="93" t="s">
        <v>54</v>
      </c>
      <c r="B16" s="340" t="s">
        <v>53</v>
      </c>
      <c r="C16" s="13" t="s">
        <v>456</v>
      </c>
    </row>
    <row r="17" spans="1:3" ht="20.100000000000001" customHeight="1" x14ac:dyDescent="0.25">
      <c r="A17" s="93" t="s">
        <v>55</v>
      </c>
      <c r="B17" s="51" t="s">
        <v>56</v>
      </c>
      <c r="C17" s="13" t="s">
        <v>457</v>
      </c>
    </row>
    <row r="18" spans="1:3" x14ac:dyDescent="0.25">
      <c r="A18" s="69"/>
      <c r="B18" s="7"/>
      <c r="C18" s="6"/>
    </row>
    <row r="19" spans="1:3" x14ac:dyDescent="0.25">
      <c r="A19" s="69"/>
      <c r="B19" s="7"/>
      <c r="C19" s="6"/>
    </row>
    <row r="21" spans="1:3" ht="18" x14ac:dyDescent="0.25">
      <c r="A21" s="101" t="s">
        <v>57</v>
      </c>
      <c r="B21" s="103">
        <v>1536.15</v>
      </c>
      <c r="C21" s="104"/>
    </row>
    <row r="22" spans="1:3" ht="18" x14ac:dyDescent="0.25">
      <c r="A22" s="101" t="s">
        <v>58</v>
      </c>
      <c r="B22" s="103">
        <f>B21+B24</f>
        <v>1920.15</v>
      </c>
      <c r="C22" s="104"/>
    </row>
    <row r="23" spans="1:3" ht="22.2" customHeight="1" x14ac:dyDescent="0.25">
      <c r="A23" s="101" t="s">
        <v>59</v>
      </c>
      <c r="B23" s="103">
        <v>960.09</v>
      </c>
      <c r="C23" s="6"/>
    </row>
    <row r="24" spans="1:3" ht="26.4" x14ac:dyDescent="0.25">
      <c r="A24" s="101" t="s">
        <v>60</v>
      </c>
      <c r="B24" s="103">
        <f>(72+120)*2</f>
        <v>384</v>
      </c>
      <c r="C24" s="6"/>
    </row>
    <row r="25" spans="1:3" x14ac:dyDescent="0.25">
      <c r="A25" s="69"/>
      <c r="B25" s="7"/>
      <c r="C25" s="6"/>
    </row>
    <row r="26" spans="1:3" x14ac:dyDescent="0.25">
      <c r="A26" s="69"/>
      <c r="B26" s="7"/>
      <c r="C26" s="6"/>
    </row>
  </sheetData>
  <mergeCells count="3">
    <mergeCell ref="A1:C1"/>
    <mergeCell ref="A2:C2"/>
    <mergeCell ref="C9:C1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P126"/>
  <sheetViews>
    <sheetView zoomScale="90" zoomScaleNormal="90" workbookViewId="0">
      <pane xSplit="2" topLeftCell="E1" activePane="topRight" state="frozen"/>
      <selection pane="topRight" sqref="A1:N1"/>
    </sheetView>
  </sheetViews>
  <sheetFormatPr defaultColWidth="8.6640625" defaultRowHeight="13.2" x14ac:dyDescent="0.25"/>
  <cols>
    <col min="1" max="1" width="25.6640625" style="5" customWidth="1"/>
    <col min="2" max="2" width="35.109375" style="5" customWidth="1"/>
    <col min="3" max="3" width="44.5546875" style="5" customWidth="1"/>
    <col min="4" max="4" width="21.5546875" style="5" customWidth="1"/>
    <col min="5" max="5" width="22.88671875" style="5" customWidth="1"/>
    <col min="6" max="6" width="19" style="5" customWidth="1"/>
    <col min="7" max="7" width="14.6640625" style="5" customWidth="1"/>
    <col min="8" max="8" width="12.6640625" style="5" customWidth="1"/>
    <col min="9" max="9" width="12.109375" style="5" customWidth="1"/>
    <col min="10" max="11" width="11.33203125" style="5" customWidth="1"/>
    <col min="12" max="12" width="17.44140625" style="5" customWidth="1"/>
    <col min="13" max="13" width="28.88671875" style="5" customWidth="1"/>
    <col min="14" max="16" width="24.44140625" style="5" customWidth="1"/>
    <col min="17" max="18" width="25.33203125" style="5" customWidth="1"/>
    <col min="19" max="19" width="22.33203125" style="5" bestFit="1" customWidth="1"/>
    <col min="20" max="20" width="25.6640625" style="5" customWidth="1"/>
    <col min="21" max="16384" width="8.6640625" style="5"/>
  </cols>
  <sheetData>
    <row r="1" spans="1:30" ht="25.95" customHeight="1" x14ac:dyDescent="0.25">
      <c r="A1" s="364" t="str">
        <f>"Proposed Layout - "&amp;Prototype!A2</f>
        <v>Proposed Layout - SchoolRelocatable</v>
      </c>
      <c r="B1" s="364"/>
      <c r="C1" s="364"/>
      <c r="D1" s="364"/>
      <c r="E1" s="364"/>
      <c r="F1" s="364"/>
      <c r="G1" s="364"/>
      <c r="H1" s="364"/>
      <c r="I1" s="364"/>
      <c r="J1" s="364"/>
      <c r="K1" s="364"/>
      <c r="L1" s="364"/>
      <c r="M1" s="364"/>
      <c r="N1" s="364"/>
    </row>
    <row r="2" spans="1:30" ht="53.4" customHeight="1" x14ac:dyDescent="0.25">
      <c r="A2" s="288" t="s">
        <v>61</v>
      </c>
      <c r="B2" s="64" t="s">
        <v>62</v>
      </c>
      <c r="C2" s="350" t="s">
        <v>63</v>
      </c>
      <c r="D2" s="64" t="s">
        <v>62</v>
      </c>
      <c r="E2" s="357" t="s">
        <v>64</v>
      </c>
      <c r="F2" s="64" t="s">
        <v>65</v>
      </c>
      <c r="G2" s="22" t="s">
        <v>66</v>
      </c>
      <c r="H2" s="23" t="s">
        <v>67</v>
      </c>
      <c r="I2" s="23" t="s">
        <v>68</v>
      </c>
      <c r="J2" s="22" t="s">
        <v>69</v>
      </c>
      <c r="K2" s="22" t="s">
        <v>70</v>
      </c>
      <c r="L2" s="84" t="s">
        <v>71</v>
      </c>
      <c r="M2" s="283" t="s">
        <v>72</v>
      </c>
      <c r="N2" s="282" t="s">
        <v>30</v>
      </c>
      <c r="Q2" s="118"/>
      <c r="R2" s="118"/>
      <c r="S2" s="118"/>
    </row>
    <row r="3" spans="1:30" ht="17.7" customHeight="1" x14ac:dyDescent="0.25">
      <c r="A3" s="289" t="s">
        <v>31</v>
      </c>
      <c r="B3" s="287" t="s">
        <v>73</v>
      </c>
      <c r="C3" s="286" t="s">
        <v>74</v>
      </c>
      <c r="D3" s="286" t="s">
        <v>73</v>
      </c>
      <c r="E3" s="322" t="s">
        <v>75</v>
      </c>
      <c r="F3" s="135" t="s">
        <v>73</v>
      </c>
      <c r="G3" s="85" t="s">
        <v>76</v>
      </c>
      <c r="H3" s="117">
        <f>I3/$I$5</f>
        <v>0.5</v>
      </c>
      <c r="I3" s="126">
        <v>960</v>
      </c>
      <c r="J3" s="15">
        <v>11521.69</v>
      </c>
      <c r="K3" s="15">
        <v>1</v>
      </c>
      <c r="L3" s="15">
        <f>M3*I3/1000</f>
        <v>24</v>
      </c>
      <c r="M3" s="280">
        <v>25</v>
      </c>
      <c r="N3" s="284"/>
      <c r="P3" s="118"/>
      <c r="Q3" s="118"/>
      <c r="R3" s="118"/>
      <c r="S3" s="118"/>
      <c r="T3" s="118"/>
    </row>
    <row r="4" spans="1:30" ht="17.399999999999999" customHeight="1" x14ac:dyDescent="0.25">
      <c r="A4" s="289" t="s">
        <v>31</v>
      </c>
      <c r="B4" s="287" t="s">
        <v>77</v>
      </c>
      <c r="C4" s="286" t="s">
        <v>78</v>
      </c>
      <c r="D4" s="286" t="s">
        <v>77</v>
      </c>
      <c r="E4" s="85"/>
      <c r="F4" s="141"/>
      <c r="G4" s="85" t="s">
        <v>79</v>
      </c>
      <c r="H4" s="117">
        <f>I4/$I$5</f>
        <v>0.5</v>
      </c>
      <c r="I4" s="126">
        <v>960</v>
      </c>
      <c r="J4" s="15">
        <v>2884</v>
      </c>
      <c r="K4" s="15">
        <v>1</v>
      </c>
      <c r="L4" s="116"/>
      <c r="M4" s="281"/>
      <c r="N4" s="279"/>
      <c r="O4" s="278"/>
      <c r="P4" s="118"/>
      <c r="Q4" s="118"/>
      <c r="R4" s="118"/>
      <c r="S4" s="118"/>
      <c r="T4" s="118"/>
    </row>
    <row r="5" spans="1:30" s="276" customFormat="1" ht="42" customHeight="1" x14ac:dyDescent="0.3">
      <c r="A5" s="289" t="s">
        <v>80</v>
      </c>
      <c r="B5" s="285" t="s">
        <v>81</v>
      </c>
      <c r="C5" s="85" t="s">
        <v>82</v>
      </c>
      <c r="D5" s="85" t="s">
        <v>81</v>
      </c>
      <c r="E5" s="85" t="s">
        <v>83</v>
      </c>
      <c r="F5" s="85" t="s">
        <v>84</v>
      </c>
      <c r="G5" s="86" t="s">
        <v>85</v>
      </c>
      <c r="H5" s="277">
        <f>I5/$I$5</f>
        <v>1</v>
      </c>
      <c r="I5" s="86">
        <f>SUM(I3:I4)</f>
        <v>1920</v>
      </c>
      <c r="J5" s="86">
        <f>SUM(J3:J4)</f>
        <v>14405.69</v>
      </c>
      <c r="K5" s="86"/>
      <c r="L5" s="86">
        <f>SUM(L3:L4)</f>
        <v>24</v>
      </c>
      <c r="M5" s="280">
        <f>M3</f>
        <v>25</v>
      </c>
      <c r="N5" s="279"/>
      <c r="O5" s="278"/>
      <c r="P5"/>
      <c r="Q5"/>
      <c r="R5" s="118"/>
      <c r="S5" s="118"/>
      <c r="T5" s="118"/>
      <c r="U5" s="118"/>
      <c r="V5" s="118"/>
      <c r="W5" s="118"/>
      <c r="X5" s="104"/>
      <c r="Y5" s="104"/>
      <c r="Z5" s="104"/>
      <c r="AA5" s="104"/>
      <c r="AB5" s="104"/>
      <c r="AC5" s="104"/>
      <c r="AD5" s="104"/>
    </row>
    <row r="6" spans="1:30" ht="18" x14ac:dyDescent="0.3">
      <c r="H6" s="16"/>
      <c r="I6" s="16"/>
      <c r="J6" s="16"/>
      <c r="K6" s="16"/>
      <c r="L6" s="17"/>
      <c r="M6"/>
      <c r="N6"/>
      <c r="O6"/>
      <c r="P6"/>
      <c r="Q6" s="118"/>
      <c r="R6" s="118"/>
      <c r="S6" s="118"/>
      <c r="T6" s="118"/>
      <c r="U6" s="118"/>
      <c r="V6" s="118"/>
      <c r="W6" s="104"/>
      <c r="X6" s="104"/>
      <c r="Y6" s="104"/>
      <c r="Z6" s="104"/>
      <c r="AA6" s="104"/>
      <c r="AB6" s="104"/>
      <c r="AC6" s="104"/>
    </row>
    <row r="7" spans="1:30" ht="14.4" customHeight="1" x14ac:dyDescent="0.25">
      <c r="H7" s="16"/>
      <c r="I7" s="16"/>
      <c r="J7" s="16"/>
      <c r="K7" s="16"/>
      <c r="L7" s="16"/>
      <c r="Q7" s="31"/>
      <c r="R7" s="31"/>
      <c r="S7" s="31"/>
    </row>
    <row r="8" spans="1:30" customFormat="1" ht="14.4" customHeight="1" x14ac:dyDescent="0.3">
      <c r="A8" s="5"/>
      <c r="B8" s="5"/>
    </row>
    <row r="9" spans="1:30" customFormat="1" ht="14.4" customHeight="1" x14ac:dyDescent="0.3"/>
    <row r="10" spans="1:30" customFormat="1" ht="14.4" customHeight="1" x14ac:dyDescent="0.3"/>
    <row r="11" spans="1:30" customFormat="1" ht="14.4" customHeight="1" x14ac:dyDescent="0.3"/>
    <row r="12" spans="1:30" customFormat="1" ht="14.4" customHeight="1" x14ac:dyDescent="0.3"/>
    <row r="13" spans="1:30" customFormat="1" ht="14.4" customHeight="1" x14ac:dyDescent="0.3"/>
    <row r="14" spans="1:30" customFormat="1" ht="14.4" customHeight="1" x14ac:dyDescent="0.3"/>
    <row r="15" spans="1:30" customFormat="1" ht="14.4" customHeight="1" x14ac:dyDescent="0.3"/>
    <row r="16" spans="1:30" customFormat="1" ht="14.4" customHeight="1" x14ac:dyDescent="0.3"/>
    <row r="17" spans="1:42" customFormat="1" ht="14.4" customHeight="1" x14ac:dyDescent="0.3"/>
    <row r="18" spans="1:42" customFormat="1" ht="14.4" customHeight="1" x14ac:dyDescent="0.3"/>
    <row r="19" spans="1:42" customFormat="1" ht="14.4" customHeight="1" x14ac:dyDescent="0.3"/>
    <row r="20" spans="1:42" customFormat="1" ht="14.4" customHeight="1" x14ac:dyDescent="0.3"/>
    <row r="21" spans="1:42" customFormat="1" ht="14.4" customHeight="1" x14ac:dyDescent="0.3"/>
    <row r="22" spans="1:42" customFormat="1" ht="14.4" customHeight="1" x14ac:dyDescent="0.3"/>
    <row r="23" spans="1:42" customFormat="1" ht="14.4" customHeight="1" x14ac:dyDescent="0.3"/>
    <row r="24" spans="1:42" customFormat="1" ht="14.4" customHeight="1" x14ac:dyDescent="0.3"/>
    <row r="25" spans="1:42" customFormat="1" ht="14.4" customHeight="1" x14ac:dyDescent="0.3">
      <c r="A25" s="270"/>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spans="1:42" customFormat="1" ht="14.4" customHeight="1" x14ac:dyDescent="0.3">
      <c r="A26" s="5"/>
      <c r="B26" s="5"/>
      <c r="C26" s="5"/>
      <c r="D26" s="5"/>
      <c r="E26" s="5"/>
      <c r="F26" s="5"/>
      <c r="G26" s="5"/>
      <c r="H26" s="5"/>
      <c r="I26" s="5"/>
      <c r="J26" s="5"/>
      <c r="K26" s="5"/>
      <c r="L26" s="5"/>
      <c r="M26" s="5"/>
      <c r="N26" s="5"/>
      <c r="O26" s="5"/>
      <c r="P26" s="5"/>
      <c r="Q26" s="5"/>
      <c r="R26" s="5"/>
      <c r="S26" s="5"/>
      <c r="T26" s="5"/>
      <c r="U26" s="5"/>
      <c r="V26" s="5"/>
      <c r="W26" s="27"/>
      <c r="X26" s="45"/>
      <c r="Y26" s="46"/>
      <c r="Z26" s="46"/>
      <c r="AA26" s="46"/>
      <c r="AB26" s="46"/>
      <c r="AC26" s="46"/>
      <c r="AD26" s="46"/>
      <c r="AE26" s="46"/>
      <c r="AF26" s="46"/>
      <c r="AG26" s="46"/>
      <c r="AH26" s="46"/>
      <c r="AI26" s="46"/>
      <c r="AJ26" s="46"/>
      <c r="AK26" s="46"/>
      <c r="AL26" s="46"/>
      <c r="AM26" s="46"/>
      <c r="AN26" s="46"/>
      <c r="AO26" s="5"/>
      <c r="AP26" s="5"/>
    </row>
    <row r="27" spans="1:42" customFormat="1" ht="14.4" customHeight="1" x14ac:dyDescent="0.3"/>
    <row r="28" spans="1:42" customFormat="1" ht="14.4" customHeight="1" x14ac:dyDescent="0.3"/>
    <row r="29" spans="1:42" customFormat="1" ht="14.4" customHeight="1" x14ac:dyDescent="0.3"/>
    <row r="30" spans="1:42" customFormat="1" ht="14.4" x14ac:dyDescent="0.3"/>
    <row r="31" spans="1:42" customFormat="1" ht="14.4" x14ac:dyDescent="0.3"/>
    <row r="32" spans="1:42" customFormat="1" ht="14.4" x14ac:dyDescent="0.3"/>
    <row r="33" spans="3:31" customFormat="1" ht="14.4" x14ac:dyDescent="0.3"/>
    <row r="34" spans="3:31" customFormat="1" ht="14.4" x14ac:dyDescent="0.3"/>
    <row r="35" spans="3:31" customFormat="1" ht="14.4" x14ac:dyDescent="0.3"/>
    <row r="36" spans="3:31" ht="14.4" x14ac:dyDescent="0.3">
      <c r="C36"/>
      <c r="D36"/>
      <c r="E36"/>
      <c r="F36"/>
      <c r="G36"/>
      <c r="H36"/>
      <c r="I36"/>
      <c r="J36"/>
      <c r="K36"/>
      <c r="L36"/>
      <c r="M36"/>
      <c r="N36"/>
      <c r="O36"/>
      <c r="P36"/>
      <c r="Q36"/>
      <c r="R36"/>
      <c r="S36"/>
      <c r="T36"/>
      <c r="U36"/>
      <c r="V36"/>
      <c r="W36"/>
      <c r="X36"/>
      <c r="Y36"/>
      <c r="Z36"/>
      <c r="AA36"/>
      <c r="AB36"/>
      <c r="AC36"/>
      <c r="AD36"/>
      <c r="AE36"/>
    </row>
    <row r="37" spans="3:31" ht="14.4" x14ac:dyDescent="0.3">
      <c r="C37"/>
      <c r="D37"/>
      <c r="E37"/>
      <c r="F37"/>
      <c r="G37"/>
      <c r="H37"/>
      <c r="I37"/>
      <c r="J37"/>
      <c r="K37"/>
      <c r="L37"/>
      <c r="M37"/>
      <c r="N37"/>
      <c r="O37"/>
      <c r="P37"/>
      <c r="Q37"/>
      <c r="R37"/>
      <c r="S37"/>
      <c r="T37"/>
      <c r="U37"/>
      <c r="V37"/>
      <c r="W37"/>
      <c r="X37"/>
      <c r="Y37"/>
      <c r="Z37"/>
      <c r="AA37"/>
      <c r="AB37"/>
      <c r="AC37"/>
      <c r="AD37"/>
      <c r="AE37"/>
    </row>
    <row r="38" spans="3:31" ht="14.4" x14ac:dyDescent="0.3">
      <c r="C38"/>
      <c r="D38"/>
      <c r="E38"/>
      <c r="F38"/>
      <c r="G38"/>
      <c r="H38"/>
      <c r="I38"/>
      <c r="J38"/>
      <c r="K38"/>
      <c r="L38"/>
      <c r="M38"/>
      <c r="N38"/>
      <c r="O38"/>
      <c r="P38"/>
      <c r="Q38"/>
      <c r="R38"/>
      <c r="S38"/>
      <c r="T38"/>
      <c r="U38"/>
      <c r="V38"/>
      <c r="W38"/>
      <c r="X38"/>
      <c r="Y38"/>
      <c r="Z38"/>
      <c r="AA38"/>
      <c r="AB38"/>
      <c r="AC38"/>
      <c r="AD38"/>
      <c r="AE38"/>
    </row>
    <row r="39" spans="3:31" ht="14.4" x14ac:dyDescent="0.3">
      <c r="C39"/>
      <c r="D39"/>
      <c r="E39"/>
      <c r="F39"/>
      <c r="G39"/>
      <c r="H39"/>
      <c r="I39"/>
      <c r="J39"/>
      <c r="K39"/>
      <c r="L39"/>
      <c r="M39"/>
      <c r="N39"/>
      <c r="O39"/>
      <c r="P39"/>
      <c r="Q39"/>
      <c r="R39"/>
      <c r="S39"/>
      <c r="T39"/>
      <c r="U39"/>
      <c r="V39"/>
      <c r="W39"/>
      <c r="X39"/>
      <c r="Y39"/>
      <c r="Z39"/>
      <c r="AA39"/>
      <c r="AB39"/>
      <c r="AC39"/>
      <c r="AD39"/>
      <c r="AE39"/>
    </row>
    <row r="40" spans="3:31" ht="14.4" x14ac:dyDescent="0.3">
      <c r="C40"/>
      <c r="D40"/>
      <c r="E40"/>
      <c r="F40"/>
      <c r="G40"/>
      <c r="H40"/>
      <c r="I40"/>
      <c r="J40"/>
      <c r="K40"/>
      <c r="L40"/>
      <c r="M40"/>
      <c r="N40"/>
      <c r="O40"/>
      <c r="P40"/>
      <c r="Q40"/>
      <c r="R40"/>
      <c r="S40"/>
      <c r="T40"/>
      <c r="U40"/>
      <c r="V40"/>
      <c r="W40"/>
      <c r="X40"/>
      <c r="Y40"/>
      <c r="Z40"/>
      <c r="AA40"/>
      <c r="AB40"/>
      <c r="AC40"/>
      <c r="AD40"/>
      <c r="AE40"/>
    </row>
    <row r="41" spans="3:31" ht="14.4" x14ac:dyDescent="0.3">
      <c r="C41"/>
      <c r="D41"/>
      <c r="E41"/>
      <c r="F41"/>
      <c r="G41"/>
      <c r="H41"/>
      <c r="I41"/>
      <c r="J41"/>
      <c r="K41"/>
      <c r="L41"/>
      <c r="M41"/>
      <c r="N41"/>
      <c r="O41"/>
      <c r="P41"/>
      <c r="Q41"/>
      <c r="R41"/>
      <c r="S41"/>
      <c r="T41"/>
      <c r="U41"/>
      <c r="V41"/>
      <c r="W41"/>
      <c r="X41"/>
      <c r="Y41"/>
      <c r="Z41"/>
      <c r="AA41"/>
      <c r="AB41"/>
      <c r="AC41"/>
      <c r="AD41"/>
      <c r="AE41"/>
    </row>
    <row r="42" spans="3:31" ht="14.4" x14ac:dyDescent="0.3">
      <c r="C42"/>
      <c r="D42"/>
      <c r="E42"/>
      <c r="F42"/>
      <c r="G42"/>
      <c r="H42"/>
      <c r="I42"/>
      <c r="J42"/>
      <c r="K42"/>
      <c r="L42"/>
      <c r="M42"/>
      <c r="N42"/>
      <c r="O42"/>
      <c r="P42"/>
      <c r="Q42"/>
      <c r="R42"/>
      <c r="S42"/>
      <c r="T42"/>
      <c r="U42"/>
      <c r="V42"/>
      <c r="W42"/>
      <c r="X42"/>
      <c r="Y42"/>
      <c r="Z42"/>
      <c r="AA42"/>
      <c r="AB42"/>
      <c r="AC42"/>
      <c r="AD42"/>
      <c r="AE42"/>
    </row>
    <row r="43" spans="3:31" ht="14.4" x14ac:dyDescent="0.3">
      <c r="C43"/>
      <c r="D43"/>
      <c r="E43"/>
      <c r="F43"/>
      <c r="G43"/>
      <c r="H43"/>
      <c r="I43"/>
      <c r="J43"/>
      <c r="K43"/>
      <c r="L43"/>
      <c r="M43"/>
      <c r="N43"/>
      <c r="O43"/>
      <c r="P43"/>
      <c r="Q43"/>
      <c r="R43"/>
      <c r="S43"/>
      <c r="T43"/>
      <c r="U43"/>
      <c r="V43"/>
      <c r="W43"/>
      <c r="X43"/>
      <c r="Y43"/>
      <c r="Z43"/>
      <c r="AA43"/>
      <c r="AB43"/>
      <c r="AC43"/>
      <c r="AD43"/>
      <c r="AE43"/>
    </row>
    <row r="44" spans="3:31" ht="14.4" x14ac:dyDescent="0.3">
      <c r="C44"/>
      <c r="D44"/>
      <c r="E44"/>
      <c r="F44"/>
      <c r="G44"/>
      <c r="H44"/>
      <c r="I44"/>
      <c r="J44"/>
      <c r="K44"/>
      <c r="L44"/>
      <c r="M44"/>
      <c r="N44"/>
      <c r="O44"/>
      <c r="P44"/>
      <c r="Q44"/>
      <c r="R44"/>
      <c r="S44"/>
      <c r="T44"/>
      <c r="U44"/>
      <c r="V44"/>
      <c r="W44"/>
      <c r="X44"/>
      <c r="Y44"/>
      <c r="Z44"/>
      <c r="AA44"/>
      <c r="AB44"/>
      <c r="AC44"/>
      <c r="AD44"/>
      <c r="AE44"/>
    </row>
    <row r="45" spans="3:31" ht="14.4" x14ac:dyDescent="0.3">
      <c r="C45"/>
      <c r="D45"/>
      <c r="E45"/>
      <c r="F45"/>
      <c r="G45"/>
      <c r="H45"/>
      <c r="I45"/>
      <c r="J45"/>
      <c r="K45"/>
      <c r="L45"/>
      <c r="M45"/>
      <c r="N45"/>
      <c r="O45"/>
      <c r="P45"/>
      <c r="Q45"/>
      <c r="R45"/>
      <c r="S45"/>
      <c r="T45"/>
      <c r="U45"/>
      <c r="V45"/>
      <c r="W45"/>
      <c r="X45"/>
      <c r="Y45"/>
      <c r="Z45"/>
      <c r="AA45"/>
      <c r="AB45"/>
      <c r="AC45"/>
      <c r="AD45"/>
      <c r="AE45"/>
    </row>
    <row r="46" spans="3:31" ht="14.4" x14ac:dyDescent="0.3">
      <c r="C46"/>
      <c r="D46"/>
      <c r="E46"/>
      <c r="F46"/>
      <c r="G46"/>
      <c r="H46"/>
      <c r="I46"/>
      <c r="J46"/>
      <c r="K46"/>
      <c r="L46"/>
      <c r="M46"/>
      <c r="N46"/>
      <c r="O46"/>
      <c r="P46"/>
      <c r="Q46"/>
      <c r="R46"/>
      <c r="S46"/>
      <c r="T46"/>
      <c r="U46"/>
      <c r="V46"/>
      <c r="W46"/>
      <c r="X46"/>
      <c r="Y46"/>
      <c r="Z46"/>
      <c r="AA46"/>
      <c r="AB46"/>
      <c r="AC46"/>
      <c r="AD46"/>
      <c r="AE46"/>
    </row>
    <row r="47" spans="3:31" ht="14.4" x14ac:dyDescent="0.3">
      <c r="C47"/>
      <c r="D47"/>
      <c r="E47"/>
      <c r="F47"/>
      <c r="G47"/>
      <c r="H47"/>
      <c r="I47"/>
      <c r="J47"/>
      <c r="K47"/>
      <c r="L47"/>
      <c r="M47"/>
      <c r="N47"/>
      <c r="O47"/>
      <c r="P47"/>
      <c r="Q47"/>
      <c r="R47"/>
      <c r="S47"/>
      <c r="T47"/>
      <c r="U47"/>
      <c r="V47"/>
      <c r="W47"/>
      <c r="X47"/>
      <c r="Y47"/>
      <c r="Z47"/>
      <c r="AA47"/>
      <c r="AB47"/>
      <c r="AC47"/>
      <c r="AD47"/>
      <c r="AE47"/>
    </row>
    <row r="48" spans="3:31" ht="14.4" x14ac:dyDescent="0.3">
      <c r="C48"/>
      <c r="D48"/>
      <c r="E48"/>
      <c r="F48"/>
      <c r="G48"/>
      <c r="H48"/>
      <c r="I48"/>
      <c r="J48"/>
      <c r="K48"/>
      <c r="L48"/>
      <c r="M48"/>
      <c r="N48"/>
      <c r="O48"/>
      <c r="P48"/>
      <c r="Q48"/>
      <c r="R48"/>
      <c r="S48"/>
      <c r="T48"/>
      <c r="U48"/>
      <c r="V48"/>
      <c r="W48"/>
      <c r="X48"/>
      <c r="Y48"/>
      <c r="Z48"/>
      <c r="AA48"/>
      <c r="AB48"/>
      <c r="AC48"/>
      <c r="AD48"/>
      <c r="AE48"/>
    </row>
    <row r="49" spans="3:31" ht="14.4" x14ac:dyDescent="0.3">
      <c r="C49"/>
      <c r="D49"/>
      <c r="E49"/>
      <c r="F49"/>
      <c r="G49"/>
      <c r="H49"/>
      <c r="I49"/>
      <c r="J49"/>
      <c r="K49"/>
      <c r="L49"/>
      <c r="M49"/>
      <c r="N49"/>
      <c r="O49"/>
      <c r="P49"/>
      <c r="Q49"/>
      <c r="R49"/>
      <c r="S49"/>
      <c r="T49"/>
      <c r="U49"/>
      <c r="V49"/>
      <c r="W49"/>
      <c r="X49"/>
      <c r="Y49"/>
      <c r="Z49"/>
      <c r="AA49"/>
      <c r="AB49"/>
      <c r="AC49"/>
      <c r="AD49"/>
      <c r="AE49"/>
    </row>
    <row r="50" spans="3:31" ht="14.4" x14ac:dyDescent="0.3">
      <c r="C50"/>
      <c r="D50"/>
      <c r="E50"/>
      <c r="F50"/>
      <c r="G50"/>
      <c r="H50"/>
      <c r="I50"/>
      <c r="J50"/>
      <c r="K50"/>
      <c r="L50"/>
      <c r="M50"/>
      <c r="N50"/>
      <c r="O50"/>
      <c r="P50"/>
      <c r="Q50"/>
      <c r="R50"/>
      <c r="S50"/>
      <c r="T50"/>
      <c r="U50"/>
      <c r="V50"/>
      <c r="W50"/>
      <c r="X50"/>
      <c r="Y50"/>
      <c r="Z50"/>
      <c r="AA50"/>
      <c r="AB50"/>
      <c r="AC50"/>
      <c r="AD50"/>
      <c r="AE50"/>
    </row>
    <row r="51" spans="3:31" ht="14.4" x14ac:dyDescent="0.3">
      <c r="C51"/>
      <c r="D51"/>
      <c r="E51"/>
      <c r="F51"/>
      <c r="G51"/>
      <c r="H51"/>
      <c r="I51"/>
      <c r="J51"/>
      <c r="K51"/>
      <c r="L51"/>
      <c r="M51"/>
      <c r="N51"/>
      <c r="O51"/>
      <c r="P51"/>
      <c r="Q51"/>
      <c r="R51"/>
      <c r="S51"/>
      <c r="T51"/>
      <c r="U51"/>
      <c r="V51"/>
      <c r="W51"/>
      <c r="X51"/>
      <c r="Y51"/>
      <c r="Z51"/>
      <c r="AA51"/>
      <c r="AB51"/>
      <c r="AC51"/>
      <c r="AD51"/>
      <c r="AE51"/>
    </row>
    <row r="52" spans="3:31" ht="14.4" x14ac:dyDescent="0.3">
      <c r="C52"/>
      <c r="D52"/>
      <c r="E52"/>
      <c r="F52"/>
      <c r="G52"/>
      <c r="H52"/>
      <c r="I52"/>
      <c r="J52"/>
      <c r="K52"/>
      <c r="L52"/>
      <c r="M52"/>
      <c r="N52"/>
      <c r="O52"/>
      <c r="P52"/>
      <c r="Q52"/>
      <c r="R52"/>
      <c r="S52"/>
      <c r="T52"/>
      <c r="U52"/>
      <c r="V52"/>
      <c r="W52"/>
      <c r="X52"/>
      <c r="Y52"/>
      <c r="Z52"/>
      <c r="AA52"/>
      <c r="AB52"/>
      <c r="AC52"/>
      <c r="AD52"/>
      <c r="AE52"/>
    </row>
    <row r="53" spans="3:31" ht="14.4" x14ac:dyDescent="0.3">
      <c r="C53"/>
      <c r="D53"/>
      <c r="E53"/>
      <c r="F53"/>
      <c r="G53"/>
      <c r="H53"/>
      <c r="I53"/>
      <c r="J53"/>
      <c r="K53"/>
      <c r="L53"/>
      <c r="M53"/>
      <c r="N53"/>
      <c r="O53"/>
      <c r="P53"/>
      <c r="Q53"/>
      <c r="R53"/>
      <c r="S53"/>
      <c r="T53"/>
      <c r="U53"/>
      <c r="V53"/>
      <c r="W53"/>
      <c r="X53"/>
      <c r="Y53"/>
      <c r="Z53"/>
      <c r="AA53"/>
      <c r="AB53"/>
      <c r="AC53"/>
      <c r="AD53"/>
      <c r="AE53"/>
    </row>
    <row r="54" spans="3:31" ht="14.4" x14ac:dyDescent="0.3">
      <c r="C54"/>
      <c r="D54"/>
      <c r="E54"/>
      <c r="F54"/>
      <c r="G54"/>
      <c r="H54"/>
      <c r="I54"/>
      <c r="J54"/>
      <c r="K54"/>
      <c r="L54"/>
      <c r="M54"/>
      <c r="N54"/>
      <c r="O54"/>
      <c r="P54"/>
      <c r="Q54"/>
      <c r="R54"/>
      <c r="S54"/>
      <c r="T54"/>
      <c r="U54"/>
      <c r="V54"/>
      <c r="W54"/>
      <c r="X54"/>
      <c r="Y54"/>
      <c r="Z54"/>
      <c r="AA54"/>
      <c r="AB54"/>
      <c r="AC54"/>
      <c r="AD54"/>
      <c r="AE54"/>
    </row>
    <row r="55" spans="3:31" ht="14.4" x14ac:dyDescent="0.3">
      <c r="C55"/>
      <c r="D55"/>
      <c r="E55"/>
      <c r="F55"/>
      <c r="G55"/>
      <c r="H55"/>
      <c r="I55"/>
      <c r="J55"/>
      <c r="K55"/>
      <c r="L55"/>
      <c r="M55"/>
      <c r="N55"/>
      <c r="O55"/>
      <c r="P55"/>
      <c r="Q55"/>
      <c r="R55"/>
      <c r="S55"/>
      <c r="T55"/>
      <c r="U55"/>
      <c r="V55"/>
      <c r="W55"/>
      <c r="X55"/>
      <c r="Y55"/>
      <c r="Z55"/>
      <c r="AA55"/>
      <c r="AB55"/>
      <c r="AC55"/>
      <c r="AD55"/>
      <c r="AE55"/>
    </row>
    <row r="56" spans="3:31" ht="14.4" x14ac:dyDescent="0.3">
      <c r="C56"/>
      <c r="D56"/>
      <c r="E56"/>
      <c r="F56"/>
      <c r="G56"/>
      <c r="H56"/>
      <c r="I56"/>
      <c r="J56"/>
      <c r="K56"/>
      <c r="L56"/>
      <c r="M56"/>
      <c r="N56"/>
      <c r="O56"/>
      <c r="P56"/>
      <c r="Q56"/>
      <c r="R56"/>
      <c r="S56"/>
      <c r="T56"/>
      <c r="U56"/>
      <c r="V56"/>
      <c r="W56"/>
      <c r="X56"/>
      <c r="Y56"/>
      <c r="Z56"/>
      <c r="AA56"/>
      <c r="AB56"/>
      <c r="AC56"/>
      <c r="AD56"/>
      <c r="AE56"/>
    </row>
    <row r="57" spans="3:31" ht="14.4" x14ac:dyDescent="0.3">
      <c r="C57"/>
      <c r="D57"/>
      <c r="E57"/>
      <c r="F57"/>
      <c r="G57"/>
      <c r="H57"/>
      <c r="I57"/>
      <c r="J57"/>
      <c r="K57"/>
      <c r="L57"/>
      <c r="M57"/>
      <c r="N57"/>
      <c r="O57"/>
      <c r="P57"/>
      <c r="Q57"/>
      <c r="R57"/>
      <c r="S57"/>
      <c r="T57"/>
      <c r="U57"/>
      <c r="V57"/>
      <c r="W57"/>
      <c r="X57"/>
      <c r="Y57"/>
      <c r="Z57"/>
      <c r="AA57"/>
      <c r="AB57"/>
      <c r="AC57"/>
      <c r="AD57"/>
      <c r="AE57"/>
    </row>
    <row r="58" spans="3:31" ht="14.4" x14ac:dyDescent="0.3">
      <c r="C58"/>
      <c r="D58"/>
      <c r="E58"/>
      <c r="F58"/>
      <c r="G58"/>
      <c r="H58"/>
      <c r="I58"/>
      <c r="J58"/>
      <c r="K58"/>
      <c r="L58"/>
      <c r="M58"/>
      <c r="N58"/>
      <c r="O58"/>
      <c r="P58"/>
      <c r="Q58"/>
      <c r="R58"/>
      <c r="S58"/>
      <c r="T58"/>
      <c r="U58"/>
      <c r="V58"/>
      <c r="W58"/>
      <c r="X58"/>
      <c r="Y58"/>
      <c r="Z58"/>
      <c r="AA58"/>
      <c r="AB58"/>
      <c r="AC58"/>
      <c r="AD58"/>
      <c r="AE58"/>
    </row>
    <row r="59" spans="3:31" ht="14.4" x14ac:dyDescent="0.3">
      <c r="C59"/>
      <c r="D59"/>
      <c r="E59"/>
      <c r="F59"/>
      <c r="G59"/>
      <c r="H59"/>
      <c r="I59"/>
      <c r="J59"/>
      <c r="K59"/>
      <c r="L59"/>
      <c r="M59"/>
      <c r="N59"/>
      <c r="O59"/>
      <c r="P59"/>
      <c r="Q59"/>
      <c r="R59"/>
      <c r="S59"/>
      <c r="T59"/>
      <c r="U59"/>
      <c r="V59"/>
      <c r="W59"/>
      <c r="X59"/>
      <c r="Y59"/>
      <c r="Z59"/>
      <c r="AA59"/>
      <c r="AB59"/>
      <c r="AC59"/>
      <c r="AD59"/>
      <c r="AE59"/>
    </row>
    <row r="60" spans="3:31" ht="14.4" x14ac:dyDescent="0.3">
      <c r="C60"/>
      <c r="D60"/>
      <c r="E60"/>
      <c r="F60"/>
      <c r="G60"/>
      <c r="H60"/>
      <c r="I60"/>
      <c r="J60"/>
      <c r="K60"/>
      <c r="L60"/>
      <c r="M60"/>
      <c r="N60"/>
      <c r="O60"/>
      <c r="P60"/>
      <c r="Q60"/>
      <c r="R60"/>
      <c r="S60"/>
      <c r="T60"/>
      <c r="U60"/>
      <c r="V60"/>
      <c r="W60"/>
      <c r="X60"/>
      <c r="Y60"/>
      <c r="Z60"/>
      <c r="AA60"/>
      <c r="AB60"/>
      <c r="AC60"/>
      <c r="AD60"/>
      <c r="AE60"/>
    </row>
    <row r="61" spans="3:31" ht="14.4" x14ac:dyDescent="0.3">
      <c r="C61"/>
      <c r="D61"/>
      <c r="E61"/>
      <c r="F61"/>
      <c r="G61"/>
      <c r="H61"/>
      <c r="I61"/>
      <c r="J61"/>
      <c r="K61"/>
      <c r="L61"/>
      <c r="M61"/>
      <c r="N61"/>
      <c r="O61"/>
      <c r="P61"/>
      <c r="Q61"/>
      <c r="R61"/>
      <c r="S61"/>
      <c r="T61"/>
      <c r="U61"/>
      <c r="V61"/>
      <c r="W61"/>
      <c r="X61"/>
      <c r="Y61"/>
      <c r="Z61"/>
      <c r="AA61"/>
      <c r="AB61"/>
      <c r="AC61"/>
      <c r="AD61"/>
      <c r="AE61"/>
    </row>
    <row r="62" spans="3:31" ht="14.4" x14ac:dyDescent="0.3">
      <c r="C62"/>
      <c r="D62"/>
      <c r="E62"/>
      <c r="F62"/>
      <c r="G62"/>
      <c r="H62"/>
      <c r="I62"/>
      <c r="J62"/>
      <c r="K62"/>
      <c r="L62"/>
      <c r="M62"/>
      <c r="N62"/>
      <c r="O62"/>
      <c r="P62"/>
      <c r="Q62"/>
      <c r="R62"/>
      <c r="S62"/>
      <c r="T62"/>
      <c r="U62"/>
      <c r="V62"/>
      <c r="W62"/>
      <c r="X62"/>
      <c r="Y62"/>
      <c r="Z62"/>
      <c r="AA62"/>
      <c r="AB62"/>
      <c r="AC62"/>
      <c r="AD62"/>
      <c r="AE62"/>
    </row>
    <row r="63" spans="3:31" ht="14.4" x14ac:dyDescent="0.3">
      <c r="C63"/>
      <c r="D63"/>
      <c r="E63"/>
      <c r="F63"/>
      <c r="G63"/>
      <c r="H63"/>
      <c r="I63"/>
      <c r="J63"/>
      <c r="K63"/>
      <c r="L63"/>
      <c r="M63"/>
      <c r="N63"/>
      <c r="O63"/>
      <c r="P63"/>
      <c r="Q63"/>
      <c r="R63"/>
      <c r="S63"/>
      <c r="T63"/>
      <c r="U63"/>
      <c r="V63"/>
      <c r="W63"/>
      <c r="X63"/>
      <c r="Y63"/>
      <c r="Z63"/>
      <c r="AA63"/>
      <c r="AB63"/>
      <c r="AC63"/>
      <c r="AD63"/>
      <c r="AE63"/>
    </row>
    <row r="64" spans="3:31" ht="14.4" x14ac:dyDescent="0.3">
      <c r="C64"/>
      <c r="D64"/>
      <c r="E64"/>
      <c r="F64"/>
      <c r="G64"/>
      <c r="H64"/>
      <c r="I64"/>
      <c r="J64"/>
      <c r="K64"/>
      <c r="L64"/>
      <c r="M64"/>
      <c r="N64"/>
      <c r="O64"/>
      <c r="P64"/>
      <c r="Q64"/>
      <c r="R64"/>
      <c r="S64"/>
      <c r="T64"/>
      <c r="U64"/>
      <c r="V64"/>
      <c r="W64"/>
      <c r="X64"/>
      <c r="Y64"/>
      <c r="Z64"/>
      <c r="AA64"/>
      <c r="AB64"/>
      <c r="AC64"/>
      <c r="AD64"/>
      <c r="AE64"/>
    </row>
    <row r="65" spans="3:31" ht="14.4" x14ac:dyDescent="0.3">
      <c r="C65"/>
      <c r="D65"/>
      <c r="E65"/>
      <c r="F65"/>
      <c r="G65"/>
      <c r="H65"/>
      <c r="I65"/>
      <c r="J65"/>
      <c r="K65"/>
      <c r="L65"/>
      <c r="M65"/>
      <c r="N65"/>
      <c r="O65"/>
      <c r="P65"/>
      <c r="Q65"/>
      <c r="R65"/>
      <c r="S65"/>
      <c r="T65"/>
      <c r="U65"/>
      <c r="V65"/>
      <c r="W65"/>
      <c r="X65"/>
      <c r="Y65"/>
      <c r="Z65"/>
      <c r="AA65"/>
      <c r="AB65"/>
      <c r="AC65"/>
      <c r="AD65"/>
      <c r="AE65"/>
    </row>
    <row r="66" spans="3:31" ht="14.4" x14ac:dyDescent="0.3">
      <c r="C66"/>
      <c r="D66"/>
      <c r="E66"/>
      <c r="F66"/>
      <c r="G66"/>
      <c r="H66"/>
      <c r="I66"/>
      <c r="J66"/>
      <c r="K66"/>
      <c r="L66"/>
      <c r="M66"/>
      <c r="N66"/>
      <c r="O66"/>
      <c r="P66"/>
      <c r="Q66"/>
      <c r="R66"/>
      <c r="S66"/>
      <c r="T66"/>
      <c r="U66"/>
      <c r="V66"/>
      <c r="W66"/>
      <c r="X66"/>
      <c r="Y66"/>
      <c r="Z66"/>
      <c r="AA66"/>
      <c r="AB66"/>
      <c r="AC66"/>
      <c r="AD66"/>
      <c r="AE66"/>
    </row>
    <row r="67" spans="3:31" ht="14.4" x14ac:dyDescent="0.3">
      <c r="C67"/>
      <c r="D67"/>
      <c r="E67"/>
      <c r="F67"/>
      <c r="G67"/>
      <c r="H67"/>
      <c r="I67"/>
      <c r="J67"/>
      <c r="K67"/>
      <c r="L67"/>
      <c r="M67"/>
      <c r="N67"/>
      <c r="O67"/>
      <c r="P67"/>
      <c r="Q67"/>
      <c r="R67"/>
      <c r="S67"/>
      <c r="T67"/>
      <c r="U67"/>
      <c r="V67"/>
      <c r="W67"/>
      <c r="X67"/>
      <c r="Y67"/>
      <c r="Z67"/>
      <c r="AA67"/>
      <c r="AB67"/>
      <c r="AC67"/>
      <c r="AD67"/>
      <c r="AE67"/>
    </row>
    <row r="68" spans="3:31" ht="14.4" x14ac:dyDescent="0.3">
      <c r="C68"/>
      <c r="D68"/>
      <c r="E68"/>
      <c r="F68"/>
      <c r="G68"/>
      <c r="H68"/>
      <c r="I68"/>
      <c r="J68"/>
      <c r="K68"/>
      <c r="L68"/>
      <c r="M68"/>
      <c r="N68"/>
      <c r="O68"/>
      <c r="P68"/>
      <c r="Q68"/>
      <c r="R68"/>
      <c r="S68"/>
      <c r="T68"/>
      <c r="U68"/>
      <c r="V68"/>
      <c r="W68"/>
      <c r="X68"/>
      <c r="Y68"/>
      <c r="Z68"/>
      <c r="AA68"/>
      <c r="AB68"/>
      <c r="AC68"/>
      <c r="AD68"/>
      <c r="AE68"/>
    </row>
    <row r="69" spans="3:31" ht="14.4" x14ac:dyDescent="0.3">
      <c r="C69"/>
      <c r="D69"/>
      <c r="E69"/>
      <c r="F69"/>
      <c r="G69"/>
      <c r="H69"/>
      <c r="I69"/>
      <c r="J69"/>
      <c r="K69"/>
      <c r="L69"/>
      <c r="M69"/>
      <c r="N69"/>
      <c r="O69"/>
      <c r="P69"/>
      <c r="Q69"/>
      <c r="R69"/>
      <c r="S69"/>
      <c r="T69"/>
      <c r="U69"/>
      <c r="V69"/>
      <c r="W69"/>
      <c r="X69"/>
      <c r="Y69"/>
      <c r="Z69"/>
      <c r="AA69"/>
      <c r="AB69"/>
      <c r="AC69"/>
      <c r="AD69"/>
      <c r="AE69"/>
    </row>
    <row r="70" spans="3:31" ht="14.4" x14ac:dyDescent="0.3">
      <c r="C70"/>
      <c r="D70"/>
      <c r="E70"/>
      <c r="F70"/>
      <c r="G70"/>
      <c r="H70"/>
      <c r="I70"/>
      <c r="J70"/>
      <c r="K70"/>
      <c r="L70"/>
      <c r="M70"/>
      <c r="N70"/>
      <c r="O70"/>
      <c r="P70"/>
      <c r="Q70"/>
      <c r="R70"/>
      <c r="S70"/>
      <c r="T70"/>
      <c r="U70"/>
      <c r="V70"/>
      <c r="W70"/>
      <c r="X70"/>
      <c r="Y70"/>
      <c r="Z70"/>
      <c r="AA70"/>
      <c r="AB70"/>
      <c r="AC70"/>
      <c r="AD70"/>
      <c r="AE70"/>
    </row>
    <row r="71" spans="3:31" ht="14.4" x14ac:dyDescent="0.3">
      <c r="C71"/>
      <c r="D71"/>
      <c r="E71"/>
      <c r="F71"/>
      <c r="G71"/>
      <c r="H71"/>
      <c r="I71"/>
      <c r="J71"/>
      <c r="K71"/>
      <c r="L71"/>
      <c r="M71"/>
      <c r="N71"/>
      <c r="O71"/>
      <c r="P71"/>
      <c r="Q71"/>
      <c r="R71"/>
      <c r="S71"/>
      <c r="T71"/>
      <c r="U71"/>
      <c r="V71"/>
      <c r="W71"/>
      <c r="X71"/>
      <c r="Y71"/>
      <c r="Z71"/>
      <c r="AA71"/>
      <c r="AB71"/>
      <c r="AC71"/>
      <c r="AD71"/>
      <c r="AE71"/>
    </row>
    <row r="72" spans="3:31" ht="14.4" x14ac:dyDescent="0.3">
      <c r="C72"/>
      <c r="D72"/>
      <c r="E72"/>
      <c r="F72"/>
      <c r="G72"/>
      <c r="H72"/>
      <c r="I72"/>
      <c r="J72"/>
      <c r="K72"/>
      <c r="L72"/>
      <c r="M72"/>
      <c r="N72"/>
      <c r="O72"/>
      <c r="P72"/>
      <c r="Q72"/>
      <c r="R72"/>
      <c r="S72"/>
      <c r="T72"/>
      <c r="U72"/>
      <c r="V72"/>
      <c r="W72"/>
      <c r="X72"/>
      <c r="Y72"/>
      <c r="Z72"/>
      <c r="AA72"/>
      <c r="AB72"/>
      <c r="AC72"/>
      <c r="AD72"/>
      <c r="AE72"/>
    </row>
    <row r="73" spans="3:31" ht="14.4" x14ac:dyDescent="0.3">
      <c r="C73"/>
      <c r="D73"/>
      <c r="E73"/>
      <c r="F73"/>
      <c r="G73"/>
      <c r="H73"/>
      <c r="I73"/>
      <c r="J73"/>
      <c r="K73"/>
      <c r="L73"/>
      <c r="M73"/>
      <c r="N73"/>
      <c r="O73"/>
      <c r="P73"/>
      <c r="Q73"/>
      <c r="R73"/>
      <c r="S73"/>
      <c r="T73"/>
      <c r="U73"/>
      <c r="V73"/>
      <c r="W73"/>
      <c r="X73"/>
      <c r="Y73"/>
      <c r="Z73"/>
      <c r="AA73"/>
      <c r="AB73"/>
      <c r="AC73"/>
      <c r="AD73"/>
      <c r="AE73"/>
    </row>
    <row r="74" spans="3:31" ht="14.4" x14ac:dyDescent="0.3">
      <c r="C74"/>
      <c r="D74"/>
      <c r="E74"/>
      <c r="F74"/>
      <c r="G74"/>
      <c r="H74"/>
      <c r="I74"/>
      <c r="J74"/>
      <c r="K74"/>
      <c r="L74"/>
      <c r="M74"/>
      <c r="N74"/>
      <c r="O74"/>
      <c r="P74"/>
      <c r="Q74"/>
      <c r="R74"/>
      <c r="S74"/>
      <c r="T74"/>
      <c r="U74"/>
      <c r="V74"/>
      <c r="W74"/>
      <c r="X74"/>
      <c r="Y74"/>
      <c r="Z74"/>
      <c r="AA74"/>
      <c r="AB74"/>
      <c r="AC74"/>
      <c r="AD74"/>
      <c r="AE74"/>
    </row>
    <row r="75" spans="3:31" ht="14.4" x14ac:dyDescent="0.3">
      <c r="C75"/>
      <c r="D75"/>
      <c r="E75"/>
      <c r="F75"/>
      <c r="G75"/>
      <c r="H75"/>
      <c r="I75"/>
      <c r="J75"/>
      <c r="K75"/>
      <c r="L75"/>
      <c r="M75"/>
      <c r="N75"/>
      <c r="O75"/>
      <c r="P75"/>
      <c r="Q75"/>
      <c r="R75"/>
      <c r="S75"/>
      <c r="T75"/>
      <c r="U75"/>
      <c r="V75"/>
      <c r="W75"/>
      <c r="X75"/>
      <c r="Y75"/>
      <c r="Z75"/>
      <c r="AA75"/>
      <c r="AB75"/>
      <c r="AC75"/>
      <c r="AD75"/>
      <c r="AE75"/>
    </row>
    <row r="76" spans="3:31" ht="14.4" x14ac:dyDescent="0.3">
      <c r="C76"/>
      <c r="D76"/>
      <c r="E76"/>
      <c r="F76"/>
      <c r="G76"/>
      <c r="H76"/>
      <c r="I76"/>
      <c r="J76"/>
      <c r="K76"/>
      <c r="L76"/>
      <c r="M76"/>
      <c r="N76"/>
      <c r="O76"/>
      <c r="P76"/>
      <c r="Q76"/>
      <c r="R76"/>
      <c r="S76"/>
      <c r="T76"/>
      <c r="U76"/>
      <c r="V76"/>
      <c r="W76"/>
      <c r="X76"/>
      <c r="Y76"/>
      <c r="Z76"/>
      <c r="AA76"/>
      <c r="AB76"/>
      <c r="AC76"/>
      <c r="AD76"/>
      <c r="AE76"/>
    </row>
    <row r="77" spans="3:31" ht="14.4" x14ac:dyDescent="0.3">
      <c r="C77"/>
      <c r="D77"/>
      <c r="E77"/>
      <c r="F77"/>
      <c r="G77"/>
      <c r="H77"/>
      <c r="I77"/>
      <c r="J77"/>
      <c r="K77"/>
      <c r="L77"/>
      <c r="M77"/>
      <c r="N77"/>
      <c r="O77"/>
      <c r="P77"/>
      <c r="Q77"/>
      <c r="R77"/>
      <c r="S77"/>
      <c r="T77"/>
      <c r="U77"/>
      <c r="V77"/>
      <c r="W77"/>
      <c r="X77"/>
      <c r="Y77"/>
      <c r="Z77"/>
      <c r="AA77"/>
      <c r="AB77"/>
      <c r="AC77"/>
      <c r="AD77"/>
      <c r="AE77"/>
    </row>
    <row r="78" spans="3:31" ht="14.4" x14ac:dyDescent="0.3">
      <c r="C78"/>
      <c r="D78"/>
      <c r="E78"/>
      <c r="F78"/>
      <c r="G78"/>
      <c r="H78"/>
      <c r="I78"/>
      <c r="J78"/>
      <c r="K78"/>
      <c r="L78"/>
      <c r="M78"/>
      <c r="N78"/>
      <c r="O78"/>
      <c r="P78"/>
      <c r="Q78"/>
      <c r="R78"/>
      <c r="S78"/>
      <c r="T78"/>
      <c r="U78"/>
      <c r="V78"/>
      <c r="W78"/>
      <c r="X78"/>
      <c r="Y78"/>
      <c r="Z78"/>
      <c r="AA78"/>
      <c r="AB78"/>
      <c r="AC78"/>
      <c r="AD78"/>
      <c r="AE78"/>
    </row>
    <row r="79" spans="3:31" ht="14.4" x14ac:dyDescent="0.3">
      <c r="C79"/>
      <c r="D79"/>
      <c r="E79"/>
      <c r="F79"/>
      <c r="G79"/>
      <c r="H79"/>
      <c r="I79"/>
      <c r="J79"/>
      <c r="K79"/>
      <c r="L79"/>
      <c r="M79"/>
      <c r="N79"/>
      <c r="O79"/>
      <c r="P79"/>
      <c r="Q79"/>
      <c r="R79"/>
      <c r="S79"/>
      <c r="T79"/>
      <c r="U79"/>
      <c r="V79"/>
      <c r="W79"/>
      <c r="X79"/>
      <c r="Y79"/>
      <c r="Z79"/>
      <c r="AA79"/>
      <c r="AB79"/>
      <c r="AC79"/>
      <c r="AD79"/>
      <c r="AE79"/>
    </row>
    <row r="80" spans="3:31" ht="14.4" x14ac:dyDescent="0.3">
      <c r="C80"/>
      <c r="D80"/>
      <c r="E80"/>
      <c r="F80"/>
      <c r="G80"/>
      <c r="H80"/>
      <c r="I80"/>
      <c r="J80"/>
      <c r="K80"/>
      <c r="L80"/>
      <c r="M80"/>
      <c r="N80"/>
      <c r="O80"/>
      <c r="P80"/>
      <c r="Q80"/>
      <c r="R80"/>
      <c r="S80"/>
      <c r="T80"/>
      <c r="U80"/>
      <c r="V80"/>
      <c r="W80"/>
      <c r="X80"/>
      <c r="Y80"/>
      <c r="Z80"/>
      <c r="AA80"/>
      <c r="AB80"/>
      <c r="AC80"/>
      <c r="AD80"/>
      <c r="AE80"/>
    </row>
    <row r="81" spans="3:31" ht="14.4" x14ac:dyDescent="0.3">
      <c r="C81"/>
      <c r="D81"/>
      <c r="E81"/>
      <c r="F81"/>
      <c r="G81"/>
      <c r="H81"/>
      <c r="I81"/>
      <c r="J81"/>
      <c r="K81"/>
      <c r="L81"/>
      <c r="M81"/>
      <c r="N81"/>
      <c r="O81"/>
      <c r="P81"/>
      <c r="Q81"/>
      <c r="R81"/>
      <c r="S81"/>
      <c r="T81"/>
      <c r="U81"/>
      <c r="V81"/>
      <c r="W81"/>
      <c r="X81"/>
      <c r="Y81"/>
      <c r="Z81"/>
      <c r="AA81"/>
      <c r="AB81"/>
      <c r="AC81"/>
      <c r="AD81"/>
      <c r="AE81"/>
    </row>
    <row r="82" spans="3:31" ht="14.4" x14ac:dyDescent="0.3">
      <c r="C82"/>
      <c r="D82"/>
      <c r="E82"/>
      <c r="F82"/>
      <c r="G82"/>
      <c r="H82"/>
      <c r="I82"/>
      <c r="J82"/>
      <c r="K82"/>
      <c r="L82"/>
      <c r="M82"/>
      <c r="N82"/>
      <c r="O82"/>
      <c r="P82"/>
      <c r="Q82"/>
      <c r="R82"/>
      <c r="S82"/>
      <c r="T82"/>
      <c r="U82"/>
      <c r="V82"/>
      <c r="W82"/>
      <c r="X82"/>
      <c r="Y82"/>
      <c r="Z82"/>
      <c r="AA82"/>
      <c r="AB82"/>
      <c r="AC82"/>
      <c r="AD82"/>
      <c r="AE82"/>
    </row>
    <row r="83" spans="3:31" ht="14.4" x14ac:dyDescent="0.3">
      <c r="C83"/>
      <c r="D83"/>
      <c r="E83"/>
      <c r="F83"/>
      <c r="G83"/>
      <c r="H83"/>
      <c r="I83"/>
      <c r="J83"/>
      <c r="K83"/>
      <c r="L83"/>
      <c r="M83"/>
      <c r="N83"/>
      <c r="O83"/>
      <c r="P83"/>
      <c r="Q83"/>
      <c r="R83"/>
      <c r="S83"/>
      <c r="T83"/>
      <c r="U83"/>
      <c r="V83"/>
      <c r="W83"/>
      <c r="X83"/>
      <c r="Y83"/>
      <c r="Z83"/>
      <c r="AA83"/>
      <c r="AB83"/>
      <c r="AC83"/>
      <c r="AD83"/>
      <c r="AE83"/>
    </row>
    <row r="84" spans="3:31" ht="14.4" x14ac:dyDescent="0.3">
      <c r="C84"/>
      <c r="D84"/>
      <c r="E84"/>
      <c r="F84"/>
      <c r="G84"/>
      <c r="H84"/>
      <c r="I84"/>
      <c r="J84"/>
      <c r="K84"/>
      <c r="L84"/>
      <c r="M84"/>
      <c r="N84"/>
      <c r="O84"/>
      <c r="P84"/>
      <c r="Q84"/>
      <c r="R84"/>
      <c r="S84"/>
      <c r="T84"/>
      <c r="U84"/>
      <c r="V84"/>
      <c r="W84"/>
      <c r="X84"/>
      <c r="Y84"/>
      <c r="Z84"/>
      <c r="AA84"/>
      <c r="AB84"/>
      <c r="AC84"/>
      <c r="AD84"/>
      <c r="AE84"/>
    </row>
    <row r="85" spans="3:31" ht="14.4" x14ac:dyDescent="0.3">
      <c r="C85"/>
      <c r="D85"/>
      <c r="E85"/>
      <c r="F85"/>
      <c r="G85"/>
      <c r="H85"/>
      <c r="I85"/>
      <c r="J85"/>
      <c r="K85"/>
      <c r="L85"/>
      <c r="M85"/>
      <c r="N85"/>
      <c r="O85"/>
      <c r="P85"/>
      <c r="Q85"/>
      <c r="R85"/>
      <c r="S85"/>
      <c r="T85"/>
      <c r="U85"/>
      <c r="V85"/>
      <c r="W85"/>
      <c r="X85"/>
      <c r="Y85"/>
      <c r="Z85"/>
      <c r="AA85"/>
      <c r="AB85"/>
      <c r="AC85"/>
      <c r="AD85"/>
      <c r="AE85"/>
    </row>
    <row r="86" spans="3:31" ht="14.4" x14ac:dyDescent="0.3">
      <c r="C86"/>
      <c r="D86"/>
      <c r="E86"/>
      <c r="F86"/>
      <c r="G86"/>
      <c r="H86"/>
      <c r="I86"/>
      <c r="J86"/>
      <c r="K86"/>
      <c r="L86"/>
      <c r="M86"/>
      <c r="N86"/>
      <c r="O86"/>
      <c r="P86"/>
      <c r="Q86"/>
      <c r="R86"/>
      <c r="S86"/>
      <c r="T86"/>
      <c r="U86"/>
      <c r="V86"/>
      <c r="W86"/>
      <c r="X86"/>
      <c r="Y86"/>
      <c r="Z86"/>
      <c r="AA86"/>
      <c r="AB86"/>
      <c r="AC86"/>
      <c r="AD86"/>
      <c r="AE86"/>
    </row>
    <row r="87" spans="3:31" ht="14.4" x14ac:dyDescent="0.3">
      <c r="C87"/>
      <c r="D87"/>
      <c r="E87"/>
      <c r="F87"/>
      <c r="G87"/>
      <c r="H87"/>
      <c r="I87"/>
      <c r="J87"/>
      <c r="K87"/>
      <c r="L87"/>
      <c r="M87"/>
      <c r="N87"/>
      <c r="O87"/>
      <c r="P87"/>
      <c r="Q87"/>
      <c r="R87"/>
      <c r="S87"/>
      <c r="T87"/>
      <c r="U87"/>
      <c r="V87"/>
      <c r="W87"/>
      <c r="X87"/>
      <c r="Y87"/>
      <c r="Z87"/>
      <c r="AA87"/>
      <c r="AB87"/>
      <c r="AC87"/>
      <c r="AD87"/>
      <c r="AE87"/>
    </row>
    <row r="88" spans="3:31" ht="14.4" x14ac:dyDescent="0.3">
      <c r="C88"/>
      <c r="D88"/>
      <c r="E88"/>
      <c r="F88"/>
      <c r="G88"/>
      <c r="H88"/>
      <c r="I88"/>
      <c r="J88"/>
      <c r="K88"/>
      <c r="L88"/>
      <c r="M88"/>
      <c r="N88"/>
      <c r="O88"/>
      <c r="P88"/>
      <c r="Q88"/>
      <c r="R88"/>
      <c r="S88"/>
      <c r="T88"/>
      <c r="U88"/>
      <c r="V88"/>
      <c r="W88"/>
      <c r="X88"/>
      <c r="Y88"/>
      <c r="Z88"/>
      <c r="AA88"/>
      <c r="AB88"/>
      <c r="AC88"/>
      <c r="AD88"/>
      <c r="AE88"/>
    </row>
    <row r="89" spans="3:31" ht="14.4" x14ac:dyDescent="0.3">
      <c r="C89"/>
      <c r="D89"/>
      <c r="E89"/>
      <c r="F89"/>
      <c r="G89"/>
      <c r="H89"/>
      <c r="I89"/>
      <c r="J89"/>
      <c r="K89"/>
      <c r="L89"/>
      <c r="M89"/>
      <c r="N89"/>
      <c r="O89"/>
      <c r="P89"/>
      <c r="Q89"/>
      <c r="R89"/>
      <c r="S89"/>
      <c r="T89"/>
      <c r="U89"/>
      <c r="V89"/>
      <c r="W89"/>
      <c r="X89"/>
      <c r="Y89"/>
      <c r="Z89"/>
      <c r="AA89"/>
      <c r="AB89"/>
      <c r="AC89"/>
      <c r="AD89"/>
      <c r="AE89"/>
    </row>
    <row r="90" spans="3:31" ht="14.4" x14ac:dyDescent="0.3">
      <c r="C90"/>
      <c r="D90"/>
      <c r="E90"/>
      <c r="F90"/>
      <c r="G90"/>
      <c r="H90"/>
      <c r="I90"/>
      <c r="J90"/>
      <c r="K90"/>
      <c r="L90"/>
      <c r="M90"/>
      <c r="N90"/>
      <c r="O90"/>
      <c r="P90"/>
      <c r="Q90"/>
      <c r="R90"/>
      <c r="S90"/>
      <c r="T90"/>
      <c r="U90"/>
      <c r="V90"/>
      <c r="W90"/>
      <c r="X90"/>
      <c r="Y90"/>
      <c r="Z90"/>
      <c r="AA90"/>
      <c r="AB90"/>
      <c r="AC90"/>
      <c r="AD90"/>
      <c r="AE90"/>
    </row>
    <row r="91" spans="3:31" ht="14.4" x14ac:dyDescent="0.3">
      <c r="C91"/>
      <c r="D91"/>
      <c r="E91"/>
      <c r="F91"/>
      <c r="G91"/>
      <c r="H91"/>
      <c r="I91"/>
      <c r="J91"/>
      <c r="K91"/>
      <c r="L91"/>
      <c r="M91"/>
      <c r="N91"/>
      <c r="O91"/>
      <c r="P91"/>
      <c r="Q91"/>
      <c r="R91"/>
      <c r="S91"/>
      <c r="T91"/>
      <c r="U91"/>
      <c r="V91"/>
      <c r="W91"/>
      <c r="X91"/>
      <c r="Y91"/>
      <c r="Z91"/>
      <c r="AA91"/>
      <c r="AB91"/>
      <c r="AC91"/>
      <c r="AD91"/>
      <c r="AE91"/>
    </row>
    <row r="92" spans="3:31" ht="14.4" x14ac:dyDescent="0.3">
      <c r="C92"/>
      <c r="D92"/>
      <c r="E92"/>
      <c r="F92"/>
      <c r="G92"/>
      <c r="H92"/>
      <c r="I92"/>
      <c r="J92"/>
      <c r="K92"/>
      <c r="L92"/>
      <c r="M92"/>
      <c r="N92"/>
      <c r="O92"/>
      <c r="P92"/>
      <c r="Q92"/>
      <c r="R92"/>
      <c r="S92"/>
      <c r="T92"/>
      <c r="U92"/>
      <c r="V92"/>
      <c r="W92"/>
      <c r="X92"/>
      <c r="Y92"/>
      <c r="Z92"/>
      <c r="AA92"/>
      <c r="AB92"/>
      <c r="AC92"/>
      <c r="AD92"/>
      <c r="AE92"/>
    </row>
    <row r="93" spans="3:31" ht="14.4" x14ac:dyDescent="0.3">
      <c r="C93"/>
      <c r="D93"/>
      <c r="E93"/>
      <c r="F93"/>
      <c r="G93"/>
      <c r="H93"/>
      <c r="I93"/>
      <c r="J93"/>
      <c r="K93"/>
      <c r="L93"/>
      <c r="M93"/>
      <c r="N93"/>
      <c r="O93"/>
      <c r="P93"/>
      <c r="Q93"/>
      <c r="R93"/>
      <c r="S93"/>
      <c r="T93"/>
      <c r="U93"/>
      <c r="V93"/>
      <c r="W93"/>
      <c r="X93"/>
      <c r="Y93"/>
      <c r="Z93"/>
      <c r="AA93"/>
      <c r="AB93"/>
      <c r="AC93"/>
      <c r="AD93"/>
      <c r="AE93"/>
    </row>
    <row r="94" spans="3:31" ht="14.4" x14ac:dyDescent="0.3">
      <c r="C94"/>
      <c r="D94"/>
      <c r="E94"/>
      <c r="F94"/>
      <c r="G94"/>
      <c r="H94"/>
      <c r="I94"/>
      <c r="J94"/>
      <c r="K94"/>
      <c r="L94"/>
      <c r="M94"/>
      <c r="N94"/>
      <c r="O94"/>
      <c r="P94"/>
      <c r="Q94"/>
      <c r="R94"/>
      <c r="S94"/>
      <c r="T94"/>
      <c r="U94"/>
      <c r="V94"/>
      <c r="W94"/>
      <c r="X94"/>
      <c r="Y94"/>
      <c r="Z94"/>
      <c r="AA94"/>
      <c r="AB94"/>
      <c r="AC94"/>
      <c r="AD94"/>
      <c r="AE94"/>
    </row>
    <row r="95" spans="3:31" ht="14.4" x14ac:dyDescent="0.3">
      <c r="C95"/>
      <c r="D95"/>
      <c r="E95"/>
      <c r="F95"/>
      <c r="G95"/>
      <c r="H95"/>
      <c r="I95"/>
      <c r="J95"/>
      <c r="K95"/>
      <c r="L95"/>
      <c r="M95"/>
      <c r="N95"/>
      <c r="O95"/>
      <c r="P95"/>
      <c r="Q95"/>
      <c r="R95"/>
      <c r="S95"/>
      <c r="T95"/>
      <c r="U95"/>
      <c r="V95"/>
      <c r="W95"/>
      <c r="X95"/>
      <c r="Y95"/>
      <c r="Z95"/>
      <c r="AA95"/>
      <c r="AB95"/>
      <c r="AC95"/>
      <c r="AD95"/>
      <c r="AE95"/>
    </row>
    <row r="96" spans="3:31" ht="14.4" x14ac:dyDescent="0.3">
      <c r="C96"/>
      <c r="D96"/>
      <c r="E96"/>
      <c r="F96"/>
      <c r="G96"/>
      <c r="H96"/>
      <c r="I96"/>
      <c r="J96"/>
      <c r="K96"/>
      <c r="L96"/>
      <c r="M96"/>
      <c r="N96"/>
      <c r="O96"/>
      <c r="P96"/>
      <c r="Q96"/>
      <c r="R96"/>
      <c r="S96"/>
      <c r="T96"/>
      <c r="U96"/>
      <c r="V96"/>
      <c r="W96"/>
      <c r="X96"/>
      <c r="Y96"/>
      <c r="Z96"/>
      <c r="AA96"/>
      <c r="AB96"/>
      <c r="AC96"/>
      <c r="AD96"/>
      <c r="AE96"/>
    </row>
    <row r="97" spans="3:31" ht="14.4" x14ac:dyDescent="0.3">
      <c r="C97"/>
      <c r="D97"/>
      <c r="E97"/>
      <c r="F97"/>
      <c r="G97"/>
      <c r="H97"/>
      <c r="I97"/>
      <c r="J97"/>
      <c r="K97"/>
      <c r="L97"/>
      <c r="M97"/>
      <c r="N97"/>
      <c r="O97"/>
      <c r="P97"/>
      <c r="Q97"/>
      <c r="R97"/>
      <c r="S97"/>
      <c r="T97"/>
      <c r="U97"/>
      <c r="V97"/>
      <c r="W97"/>
      <c r="X97"/>
      <c r="Y97"/>
      <c r="Z97"/>
      <c r="AA97"/>
      <c r="AB97"/>
      <c r="AC97"/>
      <c r="AD97"/>
      <c r="AE97"/>
    </row>
    <row r="98" spans="3:31" ht="14.4" x14ac:dyDescent="0.3">
      <c r="C98"/>
      <c r="D98"/>
      <c r="E98"/>
      <c r="F98"/>
      <c r="G98"/>
      <c r="H98"/>
      <c r="I98"/>
      <c r="J98"/>
      <c r="K98"/>
      <c r="L98"/>
      <c r="M98"/>
      <c r="N98"/>
      <c r="O98"/>
      <c r="P98"/>
      <c r="Q98"/>
      <c r="R98"/>
      <c r="S98"/>
      <c r="T98"/>
      <c r="U98"/>
      <c r="V98"/>
      <c r="W98"/>
      <c r="X98"/>
      <c r="Y98"/>
      <c r="Z98"/>
      <c r="AA98"/>
      <c r="AB98"/>
      <c r="AC98"/>
      <c r="AD98"/>
      <c r="AE98"/>
    </row>
    <row r="99" spans="3:31" ht="14.4" x14ac:dyDescent="0.3">
      <c r="C99"/>
      <c r="D99"/>
      <c r="E99"/>
      <c r="F99"/>
      <c r="G99"/>
      <c r="H99"/>
      <c r="I99"/>
      <c r="J99"/>
      <c r="K99"/>
      <c r="L99"/>
      <c r="M99"/>
      <c r="N99"/>
      <c r="O99"/>
      <c r="P99"/>
      <c r="Q99"/>
      <c r="R99"/>
      <c r="S99"/>
      <c r="T99"/>
      <c r="U99"/>
      <c r="V99"/>
      <c r="W99"/>
      <c r="X99"/>
      <c r="Y99"/>
      <c r="Z99"/>
      <c r="AA99"/>
      <c r="AB99"/>
      <c r="AC99"/>
      <c r="AD99"/>
      <c r="AE99"/>
    </row>
    <row r="100" spans="3:31" ht="14.4" x14ac:dyDescent="0.3">
      <c r="C100"/>
      <c r="D100"/>
      <c r="E100"/>
      <c r="F100"/>
      <c r="G100"/>
      <c r="H100"/>
      <c r="I100"/>
      <c r="J100"/>
      <c r="K100"/>
      <c r="L100"/>
      <c r="M100"/>
      <c r="N100"/>
      <c r="O100"/>
      <c r="P100"/>
      <c r="Q100"/>
      <c r="R100"/>
      <c r="S100"/>
      <c r="T100"/>
      <c r="U100"/>
      <c r="V100"/>
      <c r="W100"/>
      <c r="X100"/>
      <c r="Y100"/>
      <c r="Z100"/>
      <c r="AA100"/>
      <c r="AB100"/>
      <c r="AC100"/>
      <c r="AD100"/>
      <c r="AE100"/>
    </row>
    <row r="101" spans="3:31" ht="14.4" x14ac:dyDescent="0.3">
      <c r="C101"/>
      <c r="D101"/>
      <c r="E101"/>
      <c r="F101"/>
      <c r="G101"/>
      <c r="H101"/>
      <c r="I101"/>
      <c r="J101"/>
      <c r="K101"/>
      <c r="L101"/>
      <c r="M101"/>
      <c r="N101"/>
      <c r="O101"/>
      <c r="P101"/>
      <c r="Q101"/>
      <c r="R101"/>
      <c r="S101"/>
      <c r="T101"/>
      <c r="U101"/>
      <c r="V101"/>
      <c r="W101"/>
      <c r="X101"/>
      <c r="Y101"/>
      <c r="Z101"/>
      <c r="AA101"/>
      <c r="AB101"/>
      <c r="AC101"/>
      <c r="AD101"/>
      <c r="AE101"/>
    </row>
    <row r="102" spans="3:31" ht="14.4" x14ac:dyDescent="0.3">
      <c r="C102"/>
      <c r="D102"/>
      <c r="E102"/>
      <c r="F102"/>
      <c r="G102"/>
      <c r="H102"/>
      <c r="I102"/>
      <c r="J102"/>
      <c r="K102"/>
      <c r="L102"/>
      <c r="M102"/>
      <c r="N102"/>
      <c r="O102"/>
      <c r="P102"/>
      <c r="Q102"/>
      <c r="R102"/>
      <c r="S102"/>
      <c r="T102"/>
      <c r="U102"/>
      <c r="V102"/>
      <c r="W102"/>
      <c r="X102"/>
      <c r="Y102"/>
      <c r="Z102"/>
      <c r="AA102"/>
      <c r="AB102"/>
      <c r="AC102"/>
      <c r="AD102"/>
      <c r="AE102"/>
    </row>
    <row r="103" spans="3:31" ht="14.4" x14ac:dyDescent="0.3">
      <c r="C103"/>
      <c r="D103"/>
      <c r="E103"/>
      <c r="F103"/>
      <c r="G103"/>
      <c r="H103"/>
      <c r="I103"/>
      <c r="J103"/>
      <c r="K103"/>
      <c r="L103"/>
      <c r="M103"/>
      <c r="N103"/>
      <c r="O103"/>
      <c r="P103"/>
      <c r="Q103"/>
      <c r="R103"/>
      <c r="S103"/>
      <c r="T103"/>
      <c r="U103"/>
      <c r="V103"/>
      <c r="W103"/>
      <c r="X103"/>
      <c r="Y103"/>
      <c r="Z103"/>
      <c r="AA103"/>
      <c r="AB103"/>
      <c r="AC103"/>
      <c r="AD103"/>
      <c r="AE103"/>
    </row>
    <row r="104" spans="3:31" ht="14.4" x14ac:dyDescent="0.3">
      <c r="C104"/>
      <c r="D104"/>
      <c r="E104"/>
      <c r="F104"/>
      <c r="G104"/>
      <c r="H104"/>
      <c r="I104"/>
      <c r="J104"/>
      <c r="K104"/>
      <c r="L104"/>
      <c r="M104"/>
      <c r="N104"/>
      <c r="O104"/>
      <c r="P104"/>
      <c r="Q104"/>
      <c r="R104"/>
      <c r="S104"/>
      <c r="T104"/>
      <c r="U104"/>
      <c r="V104"/>
      <c r="W104"/>
      <c r="X104"/>
      <c r="Y104"/>
      <c r="Z104"/>
      <c r="AA104"/>
      <c r="AB104"/>
      <c r="AC104"/>
      <c r="AD104"/>
      <c r="AE104"/>
    </row>
    <row r="105" spans="3:31" ht="14.4" x14ac:dyDescent="0.3">
      <c r="C105"/>
      <c r="D105"/>
      <c r="E105"/>
      <c r="F105"/>
      <c r="G105"/>
      <c r="H105"/>
      <c r="I105"/>
      <c r="J105"/>
      <c r="K105"/>
      <c r="L105"/>
      <c r="M105"/>
      <c r="N105"/>
      <c r="O105"/>
      <c r="P105"/>
      <c r="Q105"/>
      <c r="R105"/>
      <c r="S105"/>
      <c r="T105"/>
      <c r="U105"/>
      <c r="V105"/>
      <c r="W105"/>
      <c r="X105"/>
      <c r="Y105"/>
      <c r="Z105"/>
      <c r="AA105"/>
      <c r="AB105"/>
      <c r="AC105"/>
      <c r="AD105"/>
      <c r="AE105"/>
    </row>
    <row r="106" spans="3:31" ht="14.4" x14ac:dyDescent="0.3">
      <c r="C106"/>
      <c r="D106"/>
      <c r="E106"/>
      <c r="F106"/>
      <c r="G106"/>
      <c r="H106"/>
      <c r="I106"/>
      <c r="J106"/>
      <c r="K106"/>
      <c r="L106"/>
      <c r="M106"/>
      <c r="N106"/>
      <c r="O106"/>
      <c r="P106"/>
      <c r="Q106"/>
      <c r="R106"/>
      <c r="S106"/>
      <c r="T106"/>
      <c r="U106"/>
      <c r="V106"/>
      <c r="W106"/>
      <c r="X106"/>
      <c r="Y106"/>
      <c r="Z106"/>
      <c r="AA106"/>
      <c r="AB106"/>
      <c r="AC106"/>
      <c r="AD106"/>
      <c r="AE106"/>
    </row>
    <row r="107" spans="3:31" ht="14.4" x14ac:dyDescent="0.3">
      <c r="C107"/>
      <c r="D107"/>
      <c r="E107"/>
      <c r="F107"/>
      <c r="G107"/>
      <c r="H107"/>
      <c r="I107"/>
      <c r="J107"/>
      <c r="K107"/>
      <c r="L107"/>
      <c r="M107"/>
      <c r="N107"/>
      <c r="O107"/>
      <c r="P107"/>
      <c r="Q107"/>
      <c r="R107"/>
      <c r="S107"/>
      <c r="T107"/>
      <c r="U107"/>
      <c r="V107"/>
      <c r="W107"/>
      <c r="X107"/>
      <c r="Y107"/>
      <c r="Z107"/>
      <c r="AA107"/>
      <c r="AB107"/>
      <c r="AC107"/>
      <c r="AD107"/>
      <c r="AE107"/>
    </row>
    <row r="108" spans="3:31" ht="14.4" x14ac:dyDescent="0.3">
      <c r="C108"/>
      <c r="D108"/>
      <c r="E108"/>
      <c r="F108"/>
      <c r="G108"/>
      <c r="H108"/>
      <c r="I108"/>
      <c r="J108"/>
      <c r="K108"/>
      <c r="L108"/>
      <c r="M108"/>
      <c r="N108"/>
      <c r="O108"/>
      <c r="P108"/>
      <c r="Q108"/>
      <c r="R108"/>
      <c r="S108"/>
      <c r="T108"/>
      <c r="U108"/>
      <c r="V108"/>
      <c r="W108"/>
      <c r="X108"/>
      <c r="Y108"/>
      <c r="Z108"/>
      <c r="AA108"/>
      <c r="AB108"/>
      <c r="AC108"/>
      <c r="AD108"/>
      <c r="AE108"/>
    </row>
    <row r="109" spans="3:31" ht="14.4" x14ac:dyDescent="0.3">
      <c r="C109"/>
      <c r="D109"/>
      <c r="E109"/>
      <c r="F109"/>
      <c r="G109"/>
      <c r="H109"/>
      <c r="I109"/>
      <c r="J109"/>
      <c r="K109"/>
      <c r="L109"/>
      <c r="M109"/>
      <c r="N109"/>
      <c r="O109"/>
      <c r="P109"/>
      <c r="Q109"/>
      <c r="R109"/>
      <c r="S109"/>
      <c r="T109"/>
      <c r="U109"/>
      <c r="V109"/>
      <c r="W109"/>
      <c r="X109"/>
      <c r="Y109"/>
      <c r="Z109"/>
      <c r="AA109"/>
      <c r="AB109"/>
      <c r="AC109"/>
      <c r="AD109"/>
      <c r="AE109"/>
    </row>
    <row r="110" spans="3:31" ht="14.4" x14ac:dyDescent="0.3">
      <c r="C110"/>
      <c r="D110"/>
      <c r="E110"/>
      <c r="F110"/>
      <c r="G110"/>
      <c r="H110"/>
      <c r="I110"/>
      <c r="J110"/>
      <c r="K110"/>
      <c r="L110"/>
      <c r="M110"/>
      <c r="N110"/>
      <c r="O110"/>
      <c r="P110"/>
      <c r="Q110"/>
      <c r="R110"/>
      <c r="S110"/>
      <c r="T110"/>
      <c r="U110"/>
      <c r="V110"/>
      <c r="W110"/>
      <c r="X110"/>
      <c r="Y110"/>
      <c r="Z110"/>
      <c r="AA110"/>
      <c r="AB110"/>
      <c r="AC110"/>
      <c r="AD110"/>
      <c r="AE110"/>
    </row>
    <row r="111" spans="3:31" ht="14.4" x14ac:dyDescent="0.3">
      <c r="C111"/>
      <c r="D111"/>
      <c r="E111"/>
      <c r="F111"/>
      <c r="G111"/>
      <c r="H111"/>
      <c r="I111"/>
      <c r="J111"/>
      <c r="K111"/>
      <c r="L111"/>
      <c r="M111"/>
      <c r="N111"/>
      <c r="O111"/>
      <c r="P111"/>
      <c r="Q111"/>
      <c r="R111"/>
      <c r="S111"/>
      <c r="T111"/>
      <c r="U111"/>
      <c r="V111"/>
      <c r="W111"/>
      <c r="X111"/>
      <c r="Y111"/>
      <c r="Z111"/>
      <c r="AA111"/>
      <c r="AB111"/>
      <c r="AC111"/>
      <c r="AD111"/>
      <c r="AE111"/>
    </row>
    <row r="112" spans="3:31" ht="14.4" x14ac:dyDescent="0.3">
      <c r="C112"/>
      <c r="D112"/>
      <c r="E112"/>
      <c r="F112"/>
      <c r="G112"/>
      <c r="H112"/>
      <c r="I112"/>
      <c r="J112"/>
      <c r="K112"/>
      <c r="L112"/>
      <c r="M112"/>
      <c r="N112"/>
      <c r="O112"/>
      <c r="P112"/>
      <c r="Q112"/>
      <c r="R112"/>
      <c r="S112"/>
      <c r="T112"/>
      <c r="U112"/>
      <c r="V112"/>
      <c r="W112"/>
      <c r="X112"/>
      <c r="Y112"/>
      <c r="Z112"/>
      <c r="AA112"/>
      <c r="AB112"/>
      <c r="AC112"/>
      <c r="AD112"/>
      <c r="AE112"/>
    </row>
    <row r="113" spans="3:31" ht="14.4" x14ac:dyDescent="0.3">
      <c r="C113"/>
      <c r="D113"/>
      <c r="E113"/>
      <c r="F113"/>
      <c r="G113"/>
      <c r="H113"/>
      <c r="I113"/>
      <c r="J113"/>
      <c r="K113"/>
      <c r="L113"/>
      <c r="M113"/>
      <c r="N113"/>
      <c r="O113"/>
      <c r="P113"/>
      <c r="Q113"/>
      <c r="R113"/>
      <c r="S113"/>
      <c r="T113"/>
      <c r="U113"/>
      <c r="V113"/>
      <c r="W113"/>
      <c r="X113"/>
      <c r="Y113"/>
      <c r="Z113"/>
      <c r="AA113"/>
      <c r="AB113"/>
      <c r="AC113"/>
      <c r="AD113"/>
      <c r="AE113"/>
    </row>
    <row r="114" spans="3:31" ht="14.4" x14ac:dyDescent="0.3">
      <c r="C114"/>
      <c r="D114"/>
      <c r="E114"/>
      <c r="F114"/>
      <c r="G114"/>
      <c r="H114"/>
      <c r="I114"/>
      <c r="J114"/>
      <c r="K114"/>
      <c r="L114"/>
      <c r="M114"/>
      <c r="N114"/>
      <c r="O114"/>
      <c r="P114"/>
      <c r="Q114"/>
      <c r="R114"/>
      <c r="S114"/>
      <c r="T114"/>
      <c r="U114"/>
      <c r="V114"/>
      <c r="W114"/>
      <c r="X114"/>
      <c r="Y114"/>
      <c r="Z114"/>
      <c r="AA114"/>
      <c r="AB114"/>
      <c r="AC114"/>
      <c r="AD114"/>
      <c r="AE114"/>
    </row>
    <row r="115" spans="3:31" ht="14.4" x14ac:dyDescent="0.3">
      <c r="C115"/>
      <c r="D115"/>
      <c r="E115"/>
      <c r="F115"/>
      <c r="G115"/>
      <c r="H115"/>
      <c r="I115"/>
      <c r="J115"/>
      <c r="K115"/>
      <c r="L115"/>
      <c r="M115"/>
      <c r="N115"/>
      <c r="O115"/>
      <c r="P115"/>
      <c r="Q115"/>
      <c r="R115"/>
      <c r="S115"/>
      <c r="T115"/>
      <c r="U115"/>
      <c r="V115"/>
      <c r="W115"/>
      <c r="X115"/>
      <c r="Y115"/>
      <c r="Z115"/>
      <c r="AA115"/>
      <c r="AB115"/>
      <c r="AC115"/>
      <c r="AD115"/>
      <c r="AE115"/>
    </row>
    <row r="116" spans="3:31" ht="14.4" x14ac:dyDescent="0.3">
      <c r="C116"/>
      <c r="D116"/>
      <c r="E116"/>
      <c r="F116"/>
      <c r="G116"/>
      <c r="H116"/>
      <c r="I116"/>
      <c r="J116"/>
      <c r="K116"/>
      <c r="L116"/>
      <c r="M116"/>
      <c r="N116"/>
      <c r="O116"/>
      <c r="P116"/>
      <c r="Q116"/>
      <c r="R116"/>
      <c r="S116"/>
      <c r="T116"/>
      <c r="U116"/>
      <c r="V116"/>
      <c r="W116"/>
      <c r="X116"/>
      <c r="Y116"/>
      <c r="Z116"/>
      <c r="AA116"/>
      <c r="AB116"/>
      <c r="AC116"/>
      <c r="AD116"/>
      <c r="AE116"/>
    </row>
    <row r="117" spans="3:31" ht="14.4" x14ac:dyDescent="0.3">
      <c r="C117"/>
      <c r="D117"/>
      <c r="E117"/>
      <c r="F117"/>
      <c r="G117"/>
      <c r="H117"/>
      <c r="I117"/>
      <c r="J117"/>
      <c r="K117"/>
      <c r="L117"/>
      <c r="M117"/>
      <c r="N117"/>
      <c r="O117"/>
      <c r="P117"/>
      <c r="Q117"/>
      <c r="R117"/>
      <c r="S117"/>
      <c r="T117"/>
      <c r="U117"/>
      <c r="V117"/>
      <c r="W117"/>
      <c r="X117"/>
      <c r="Y117"/>
      <c r="Z117"/>
      <c r="AA117"/>
      <c r="AB117"/>
      <c r="AC117"/>
      <c r="AD117"/>
      <c r="AE117"/>
    </row>
    <row r="118" spans="3:31" ht="14.4" x14ac:dyDescent="0.3">
      <c r="C118"/>
      <c r="D118"/>
      <c r="E118"/>
      <c r="F118"/>
      <c r="G118"/>
      <c r="H118"/>
      <c r="I118"/>
      <c r="J118"/>
      <c r="K118"/>
      <c r="L118"/>
      <c r="M118"/>
      <c r="N118"/>
      <c r="O118"/>
      <c r="P118"/>
      <c r="Q118"/>
      <c r="R118"/>
      <c r="S118"/>
      <c r="T118"/>
      <c r="U118"/>
      <c r="V118"/>
      <c r="W118"/>
      <c r="X118"/>
      <c r="Y118"/>
      <c r="Z118"/>
      <c r="AA118"/>
      <c r="AB118"/>
      <c r="AC118"/>
      <c r="AD118"/>
      <c r="AE118"/>
    </row>
    <row r="119" spans="3:31" ht="14.4" x14ac:dyDescent="0.3">
      <c r="C119"/>
      <c r="D119"/>
      <c r="E119"/>
      <c r="F119"/>
      <c r="G119"/>
      <c r="H119"/>
      <c r="I119"/>
      <c r="J119"/>
      <c r="K119"/>
      <c r="L119"/>
      <c r="M119"/>
      <c r="N119"/>
      <c r="O119"/>
      <c r="P119"/>
      <c r="Q119"/>
      <c r="R119"/>
      <c r="S119"/>
      <c r="T119"/>
      <c r="U119"/>
      <c r="V119"/>
      <c r="W119"/>
      <c r="X119"/>
      <c r="Y119"/>
      <c r="Z119"/>
      <c r="AA119"/>
      <c r="AB119"/>
      <c r="AC119"/>
      <c r="AD119"/>
      <c r="AE119"/>
    </row>
    <row r="120" spans="3:31" ht="14.4" x14ac:dyDescent="0.3">
      <c r="C120"/>
      <c r="D120"/>
      <c r="E120"/>
      <c r="F120"/>
      <c r="G120"/>
      <c r="H120"/>
      <c r="I120"/>
      <c r="J120"/>
      <c r="K120"/>
      <c r="L120"/>
      <c r="M120"/>
      <c r="N120"/>
      <c r="O120"/>
      <c r="P120"/>
      <c r="Q120"/>
      <c r="R120"/>
      <c r="S120"/>
      <c r="T120"/>
      <c r="U120"/>
      <c r="V120"/>
      <c r="W120"/>
      <c r="X120"/>
      <c r="Y120"/>
      <c r="Z120"/>
      <c r="AA120"/>
      <c r="AB120"/>
      <c r="AC120"/>
      <c r="AD120"/>
      <c r="AE120"/>
    </row>
    <row r="121" spans="3:31" ht="14.4" x14ac:dyDescent="0.3">
      <c r="C121"/>
      <c r="D121"/>
      <c r="E121"/>
      <c r="F121"/>
      <c r="G121"/>
      <c r="H121"/>
      <c r="I121"/>
      <c r="J121"/>
      <c r="K121"/>
      <c r="L121"/>
      <c r="M121"/>
      <c r="N121"/>
      <c r="O121"/>
      <c r="P121"/>
      <c r="Q121"/>
      <c r="R121"/>
      <c r="S121"/>
      <c r="T121"/>
      <c r="U121"/>
      <c r="V121"/>
      <c r="W121"/>
      <c r="X121"/>
      <c r="Y121"/>
      <c r="Z121"/>
      <c r="AA121"/>
      <c r="AB121"/>
      <c r="AC121"/>
      <c r="AD121"/>
      <c r="AE121"/>
    </row>
    <row r="122" spans="3:31" ht="14.4" x14ac:dyDescent="0.3">
      <c r="C122"/>
      <c r="D122"/>
      <c r="E122"/>
      <c r="F122"/>
      <c r="G122"/>
      <c r="H122"/>
      <c r="I122"/>
      <c r="J122"/>
      <c r="K122"/>
      <c r="L122"/>
      <c r="M122"/>
      <c r="N122"/>
      <c r="O122"/>
      <c r="P122"/>
      <c r="Q122"/>
      <c r="R122"/>
      <c r="S122"/>
      <c r="T122"/>
      <c r="U122"/>
      <c r="V122"/>
      <c r="W122"/>
      <c r="X122"/>
      <c r="Y122"/>
      <c r="Z122"/>
      <c r="AA122"/>
      <c r="AB122"/>
      <c r="AC122"/>
      <c r="AD122"/>
      <c r="AE122"/>
    </row>
    <row r="123" spans="3:31" ht="14.4" x14ac:dyDescent="0.3">
      <c r="C123"/>
      <c r="D123"/>
      <c r="E123"/>
      <c r="F123"/>
      <c r="G123"/>
      <c r="H123"/>
      <c r="I123"/>
      <c r="J123"/>
      <c r="K123"/>
      <c r="L123"/>
      <c r="M123"/>
      <c r="N123"/>
      <c r="O123"/>
      <c r="P123"/>
      <c r="Q123"/>
      <c r="R123"/>
      <c r="S123"/>
      <c r="T123"/>
      <c r="U123"/>
      <c r="V123"/>
      <c r="W123"/>
      <c r="X123"/>
      <c r="Y123"/>
      <c r="Z123"/>
      <c r="AA123"/>
      <c r="AB123"/>
      <c r="AC123"/>
      <c r="AD123"/>
      <c r="AE123"/>
    </row>
    <row r="124" spans="3:31" ht="14.4" x14ac:dyDescent="0.3">
      <c r="C124"/>
      <c r="D124"/>
      <c r="E124"/>
      <c r="F124"/>
      <c r="G124"/>
      <c r="H124"/>
      <c r="I124"/>
      <c r="J124"/>
      <c r="K124"/>
      <c r="L124"/>
      <c r="M124"/>
      <c r="N124"/>
      <c r="O124"/>
      <c r="P124"/>
      <c r="Q124"/>
      <c r="R124"/>
      <c r="S124"/>
      <c r="T124"/>
      <c r="U124"/>
      <c r="V124"/>
      <c r="W124"/>
      <c r="X124"/>
      <c r="Y124"/>
      <c r="Z124"/>
      <c r="AA124"/>
      <c r="AB124"/>
      <c r="AC124"/>
      <c r="AD124"/>
      <c r="AE124"/>
    </row>
    <row r="125" spans="3:31" ht="14.4" x14ac:dyDescent="0.3">
      <c r="C125"/>
      <c r="D125"/>
      <c r="E125"/>
      <c r="F125"/>
      <c r="G125"/>
      <c r="H125"/>
      <c r="I125"/>
      <c r="J125"/>
      <c r="K125"/>
      <c r="L125"/>
      <c r="M125"/>
      <c r="N125"/>
      <c r="O125"/>
      <c r="P125"/>
      <c r="Q125"/>
      <c r="R125"/>
      <c r="S125"/>
      <c r="T125"/>
      <c r="U125"/>
      <c r="V125"/>
      <c r="W125"/>
      <c r="X125"/>
      <c r="Y125"/>
      <c r="Z125"/>
      <c r="AA125"/>
      <c r="AB125"/>
      <c r="AC125"/>
      <c r="AD125"/>
      <c r="AE125"/>
    </row>
    <row r="126" spans="3:31" ht="14.4" x14ac:dyDescent="0.3">
      <c r="C126"/>
      <c r="D126"/>
      <c r="E126"/>
      <c r="F126"/>
      <c r="G126"/>
      <c r="H126"/>
      <c r="I126"/>
      <c r="J126"/>
      <c r="K126"/>
      <c r="L126"/>
      <c r="M126"/>
      <c r="N126"/>
      <c r="O126"/>
      <c r="P126"/>
      <c r="Q126"/>
      <c r="R126"/>
      <c r="S126"/>
      <c r="T126"/>
      <c r="U126"/>
      <c r="V126"/>
      <c r="W126"/>
      <c r="X126"/>
      <c r="Y126"/>
      <c r="Z126"/>
      <c r="AA126"/>
      <c r="AB126"/>
      <c r="AC126"/>
      <c r="AD126"/>
      <c r="AE126"/>
    </row>
  </sheetData>
  <autoFilter ref="J13" xr:uid="{2E9DC9C1-ABE9-4C74-8C0A-F769CBEC5074}"/>
  <mergeCells count="1">
    <mergeCell ref="A1:N1"/>
  </mergeCells>
  <phoneticPr fontId="5" type="noConversion"/>
  <dataValidations count="1">
    <dataValidation type="list" allowBlank="1" showInputMessage="1" showErrorMessage="1" sqref="C3:C4" xr:uid="{98A112F3-6E90-47D9-AC6B-9BA235861C7D}">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W57"/>
  <sheetViews>
    <sheetView zoomScale="80" zoomScaleNormal="80" workbookViewId="0">
      <selection sqref="A1:X1"/>
    </sheetView>
  </sheetViews>
  <sheetFormatPr defaultColWidth="9.33203125" defaultRowHeight="13.8" x14ac:dyDescent="0.25"/>
  <cols>
    <col min="1" max="1" width="15.44140625" style="3" customWidth="1"/>
    <col min="2" max="2" width="17.88671875" style="112" bestFit="1" customWidth="1"/>
    <col min="3" max="3" width="26.88671875" style="3" customWidth="1"/>
    <col min="4" max="4" width="47.33203125" style="3" customWidth="1"/>
    <col min="5" max="5" width="15" style="3" customWidth="1"/>
    <col min="6" max="6" width="20" style="3" customWidth="1"/>
    <col min="7" max="7" width="23.33203125" style="58" customWidth="1"/>
    <col min="8" max="8" width="43.88671875" style="3" customWidth="1"/>
    <col min="9" max="9" width="6.88671875" style="3" customWidth="1"/>
    <col min="10" max="12" width="7" style="3" customWidth="1"/>
    <col min="13" max="13" width="7.88671875" style="3" customWidth="1"/>
    <col min="14" max="14" width="8.6640625" style="3" customWidth="1"/>
    <col min="15" max="15" width="7" style="3" customWidth="1"/>
    <col min="16" max="16" width="7.109375" style="3" customWidth="1"/>
    <col min="17" max="17" width="7.5546875" style="3" customWidth="1"/>
    <col min="18" max="21" width="7" style="3" customWidth="1"/>
    <col min="22" max="22" width="7.6640625" style="3" customWidth="1"/>
    <col min="23" max="24" width="7" style="3" customWidth="1"/>
    <col min="25" max="26" width="9.33203125" style="3"/>
    <col min="27" max="30" width="7.6640625" style="3" customWidth="1"/>
    <col min="31" max="31" width="9.6640625" style="3" customWidth="1"/>
    <col min="32" max="32" width="7.5546875" style="3" customWidth="1"/>
    <col min="33" max="33" width="11.44140625" style="3" customWidth="1"/>
    <col min="34" max="42" width="7.6640625" style="3" customWidth="1"/>
    <col min="43" max="46" width="10.44140625" style="3" customWidth="1"/>
    <col min="47" max="47" width="9.88671875" style="3" customWidth="1"/>
    <col min="48" max="48" width="10.44140625" style="3" customWidth="1"/>
    <col min="49" max="49" width="21.6640625" style="3" customWidth="1"/>
    <col min="50" max="50" width="10.44140625" style="3" customWidth="1"/>
    <col min="51" max="53" width="7.44140625" style="3" customWidth="1"/>
    <col min="54" max="54" width="7.6640625" style="3" customWidth="1"/>
    <col min="55" max="55" width="7.44140625" style="3" customWidth="1"/>
    <col min="56" max="56" width="13.6640625" style="3" customWidth="1"/>
    <col min="57" max="60" width="7.44140625" style="3" customWidth="1"/>
    <col min="61" max="62" width="9.6640625" style="3" bestFit="1" customWidth="1"/>
    <col min="63" max="16384" width="9.33203125" style="3"/>
  </cols>
  <sheetData>
    <row r="1" spans="1:25" ht="31.95" customHeight="1" x14ac:dyDescent="0.25">
      <c r="A1" s="407" t="str">
        <f>"Envelope - "&amp;Prototype!A2</f>
        <v>Envelope - SchoolRelocatable</v>
      </c>
      <c r="B1" s="408"/>
      <c r="C1" s="408"/>
      <c r="D1" s="408"/>
      <c r="E1" s="408"/>
      <c r="F1" s="408"/>
      <c r="G1" s="408"/>
      <c r="H1" s="408"/>
      <c r="I1" s="408"/>
      <c r="J1" s="408"/>
      <c r="K1" s="408"/>
      <c r="L1" s="408"/>
      <c r="M1" s="408"/>
      <c r="N1" s="408"/>
      <c r="O1" s="408"/>
      <c r="P1" s="408"/>
      <c r="Q1" s="408"/>
      <c r="R1" s="408"/>
      <c r="S1" s="408"/>
      <c r="T1" s="408"/>
      <c r="U1" s="408"/>
      <c r="V1" s="408"/>
      <c r="W1" s="408"/>
      <c r="X1" s="408"/>
    </row>
    <row r="2" spans="1:25" ht="31.2" customHeight="1" x14ac:dyDescent="0.25">
      <c r="A2" s="160" t="s">
        <v>87</v>
      </c>
      <c r="B2" s="160" t="s">
        <v>88</v>
      </c>
      <c r="C2" s="160" t="s">
        <v>89</v>
      </c>
      <c r="D2" s="160" t="s">
        <v>90</v>
      </c>
      <c r="E2" s="161" t="s">
        <v>91</v>
      </c>
      <c r="F2" s="161" t="s">
        <v>92</v>
      </c>
      <c r="G2" s="161" t="s">
        <v>93</v>
      </c>
      <c r="H2" s="140" t="s">
        <v>30</v>
      </c>
      <c r="I2" s="140" t="s">
        <v>94</v>
      </c>
      <c r="J2" s="140" t="s">
        <v>95</v>
      </c>
      <c r="K2" s="140" t="s">
        <v>96</v>
      </c>
      <c r="L2" s="140" t="s">
        <v>97</v>
      </c>
      <c r="M2" s="140" t="s">
        <v>98</v>
      </c>
      <c r="N2" s="140" t="s">
        <v>99</v>
      </c>
      <c r="O2" s="140" t="s">
        <v>100</v>
      </c>
      <c r="P2" s="140" t="s">
        <v>101</v>
      </c>
      <c r="Q2" s="140" t="s">
        <v>102</v>
      </c>
      <c r="R2" s="140" t="s">
        <v>103</v>
      </c>
      <c r="S2" s="140" t="s">
        <v>104</v>
      </c>
      <c r="T2" s="140" t="s">
        <v>105</v>
      </c>
      <c r="U2" s="140" t="s">
        <v>106</v>
      </c>
      <c r="V2" s="140" t="s">
        <v>107</v>
      </c>
      <c r="W2" s="140" t="s">
        <v>108</v>
      </c>
      <c r="X2" s="140" t="s">
        <v>109</v>
      </c>
    </row>
    <row r="3" spans="1:25" ht="60" customHeight="1" x14ac:dyDescent="0.25">
      <c r="A3" s="382" t="s">
        <v>110</v>
      </c>
      <c r="B3" s="382" t="str">
        <f>Prototype!$A$2</f>
        <v>SchoolRelocatable</v>
      </c>
      <c r="C3" s="384" t="s">
        <v>111</v>
      </c>
      <c r="D3" s="384" t="s">
        <v>112</v>
      </c>
      <c r="E3" s="382" t="s">
        <v>113</v>
      </c>
      <c r="F3" s="339" t="s">
        <v>114</v>
      </c>
      <c r="G3" s="339" t="s">
        <v>115</v>
      </c>
      <c r="H3" s="330" t="s">
        <v>116</v>
      </c>
      <c r="I3" s="255">
        <f>I45*(1-$I$46)-I44*$I$46</f>
        <v>0.19710000000000003</v>
      </c>
      <c r="J3" s="255">
        <f t="shared" ref="J3:X3" si="0">J45*(1-$I$46)-J44*$I$46</f>
        <v>0.20041200000000003</v>
      </c>
      <c r="K3" s="255">
        <f t="shared" si="0"/>
        <v>0.19857200000000003</v>
      </c>
      <c r="L3" s="255">
        <f t="shared" si="0"/>
        <v>0.20041200000000003</v>
      </c>
      <c r="M3" s="255">
        <f t="shared" si="0"/>
        <v>0.20041200000000003</v>
      </c>
      <c r="N3" s="255">
        <f t="shared" si="0"/>
        <v>0.19710000000000003</v>
      </c>
      <c r="O3" s="255">
        <f t="shared" si="0"/>
        <v>0.19710000000000003</v>
      </c>
      <c r="P3" s="255">
        <f t="shared" si="0"/>
        <v>0.20041200000000003</v>
      </c>
      <c r="Q3" s="255">
        <f t="shared" si="0"/>
        <v>0.20041200000000003</v>
      </c>
      <c r="R3" s="255">
        <f t="shared" si="0"/>
        <v>0.20041200000000003</v>
      </c>
      <c r="S3" s="255">
        <f t="shared" si="0"/>
        <v>0.20041200000000003</v>
      </c>
      <c r="T3" s="255">
        <f t="shared" si="0"/>
        <v>0.20041200000000003</v>
      </c>
      <c r="U3" s="255">
        <f t="shared" si="0"/>
        <v>0.20041200000000003</v>
      </c>
      <c r="V3" s="255">
        <f t="shared" si="0"/>
        <v>0.20041200000000003</v>
      </c>
      <c r="W3" s="255">
        <f t="shared" si="0"/>
        <v>0.20041200000000003</v>
      </c>
      <c r="X3" s="255">
        <f t="shared" si="0"/>
        <v>0.20041200000000003</v>
      </c>
      <c r="Y3" s="80"/>
    </row>
    <row r="4" spans="1:25" ht="23.25" customHeight="1" x14ac:dyDescent="0.25">
      <c r="A4" s="393"/>
      <c r="B4" s="393"/>
      <c r="C4" s="386"/>
      <c r="D4" s="386"/>
      <c r="E4" s="393"/>
      <c r="F4" s="167" t="s">
        <v>117</v>
      </c>
      <c r="G4" s="336">
        <v>1992</v>
      </c>
      <c r="H4" s="337" t="s">
        <v>118</v>
      </c>
      <c r="I4" s="323">
        <v>0.182</v>
      </c>
      <c r="J4" s="323">
        <v>0.189</v>
      </c>
      <c r="K4" s="323">
        <v>0.189</v>
      </c>
      <c r="L4" s="323">
        <v>0.189</v>
      </c>
      <c r="M4" s="323">
        <v>0.189</v>
      </c>
      <c r="N4" s="323">
        <v>0.189</v>
      </c>
      <c r="O4" s="323">
        <v>0.189</v>
      </c>
      <c r="P4" s="323">
        <v>0.189</v>
      </c>
      <c r="Q4" s="323">
        <v>0.189</v>
      </c>
      <c r="R4" s="323">
        <v>0.189</v>
      </c>
      <c r="S4" s="323">
        <v>0.182</v>
      </c>
      <c r="T4" s="323">
        <v>0.182</v>
      </c>
      <c r="U4" s="323">
        <v>0.182</v>
      </c>
      <c r="V4" s="323">
        <v>0.182</v>
      </c>
      <c r="W4" s="323">
        <v>0.182</v>
      </c>
      <c r="X4" s="323">
        <v>0.182</v>
      </c>
      <c r="Y4" s="80"/>
    </row>
    <row r="5" spans="1:25" ht="16.5" customHeight="1" x14ac:dyDescent="0.25">
      <c r="A5" s="393"/>
      <c r="B5" s="393"/>
      <c r="C5" s="386"/>
      <c r="D5" s="386"/>
      <c r="E5" s="393"/>
      <c r="F5" s="169" t="s">
        <v>119</v>
      </c>
      <c r="G5" s="169">
        <v>2001</v>
      </c>
      <c r="H5" s="169" t="s">
        <v>120</v>
      </c>
      <c r="I5" s="173">
        <v>0.182</v>
      </c>
      <c r="J5" s="173">
        <v>0.182</v>
      </c>
      <c r="K5" s="173">
        <v>0.189</v>
      </c>
      <c r="L5" s="173">
        <v>0.189</v>
      </c>
      <c r="M5" s="173">
        <v>0.189</v>
      </c>
      <c r="N5" s="173">
        <v>0.189</v>
      </c>
      <c r="O5" s="173">
        <v>0.189</v>
      </c>
      <c r="P5" s="173">
        <v>0.189</v>
      </c>
      <c r="Q5" s="173">
        <v>0.189</v>
      </c>
      <c r="R5" s="173">
        <v>0.182</v>
      </c>
      <c r="S5" s="173">
        <v>0.182</v>
      </c>
      <c r="T5" s="173">
        <v>0.182</v>
      </c>
      <c r="U5" s="173">
        <v>0.182</v>
      </c>
      <c r="V5" s="173">
        <v>0.182</v>
      </c>
      <c r="W5" s="173">
        <v>0.182</v>
      </c>
      <c r="X5" s="173">
        <v>0.182</v>
      </c>
      <c r="Y5" s="80"/>
    </row>
    <row r="6" spans="1:25" ht="16.5" customHeight="1" x14ac:dyDescent="0.25">
      <c r="A6" s="393"/>
      <c r="B6" s="393"/>
      <c r="C6" s="386"/>
      <c r="D6" s="386"/>
      <c r="E6" s="393"/>
      <c r="F6" s="170" t="s">
        <v>121</v>
      </c>
      <c r="G6" s="170">
        <v>2013</v>
      </c>
      <c r="H6" s="170" t="s">
        <v>122</v>
      </c>
      <c r="I6" s="171">
        <v>9.8000000000000004E-2</v>
      </c>
      <c r="J6" s="171">
        <v>6.2E-2</v>
      </c>
      <c r="K6" s="171">
        <v>8.2000000000000003E-2</v>
      </c>
      <c r="L6" s="171">
        <v>6.2E-2</v>
      </c>
      <c r="M6" s="171">
        <v>6.2E-2</v>
      </c>
      <c r="N6" s="171">
        <v>9.8000000000000004E-2</v>
      </c>
      <c r="O6" s="171">
        <v>9.8000000000000004E-2</v>
      </c>
      <c r="P6" s="171">
        <v>6.2E-2</v>
      </c>
      <c r="Q6" s="171">
        <v>6.2E-2</v>
      </c>
      <c r="R6" s="171">
        <v>6.2E-2</v>
      </c>
      <c r="S6" s="171">
        <v>6.2E-2</v>
      </c>
      <c r="T6" s="171">
        <v>6.2E-2</v>
      </c>
      <c r="U6" s="171">
        <v>6.2E-2</v>
      </c>
      <c r="V6" s="171">
        <v>6.2E-2</v>
      </c>
      <c r="W6" s="171">
        <v>6.2E-2</v>
      </c>
      <c r="X6" s="171">
        <v>6.2E-2</v>
      </c>
      <c r="Y6" s="80"/>
    </row>
    <row r="7" spans="1:25" ht="16.5" customHeight="1" x14ac:dyDescent="0.25">
      <c r="A7" s="393"/>
      <c r="B7" s="393"/>
      <c r="C7" s="386"/>
      <c r="D7" s="386"/>
      <c r="E7" s="393"/>
      <c r="F7" s="307" t="s">
        <v>123</v>
      </c>
      <c r="G7" s="307"/>
      <c r="H7" s="309" t="s">
        <v>124</v>
      </c>
      <c r="I7" s="314" cm="1">
        <f t="array" ref="I7:X7">_xlfn.BYCOL(TRANSPOSE(Weights!$C$4:$F$19)*I3:X6,_xlfn.LAMBDA(_xlpm.c,SUM(_xlpm.c)))</f>
        <v>0.18765387481000001</v>
      </c>
      <c r="J7" s="314">
        <v>0.19693870463280003</v>
      </c>
      <c r="K7" s="314">
        <v>0.19533032912440002</v>
      </c>
      <c r="L7" s="314">
        <v>0.19701630915560003</v>
      </c>
      <c r="M7" s="314">
        <v>0.19419810638200002</v>
      </c>
      <c r="N7" s="314">
        <v>0.19042590838000001</v>
      </c>
      <c r="O7" s="314">
        <v>0.16913687800000005</v>
      </c>
      <c r="P7" s="314">
        <v>0.19228621298359999</v>
      </c>
      <c r="Q7" s="314">
        <v>0.19405970644960002</v>
      </c>
      <c r="R7" s="314">
        <v>0.17588170545560003</v>
      </c>
      <c r="S7" s="314">
        <v>0.18972920877080002</v>
      </c>
      <c r="T7" s="314">
        <v>0.18754155433680003</v>
      </c>
      <c r="U7" s="314">
        <v>0.1803522731668</v>
      </c>
      <c r="V7" s="314">
        <v>0.17980180970520002</v>
      </c>
      <c r="W7" s="314">
        <v>0.1800119080848</v>
      </c>
      <c r="X7" s="314">
        <v>0.17866633345600003</v>
      </c>
      <c r="Y7" s="80"/>
    </row>
    <row r="8" spans="1:25" ht="16.5" customHeight="1" x14ac:dyDescent="0.25">
      <c r="A8" s="394"/>
      <c r="B8" s="393"/>
      <c r="C8" s="392"/>
      <c r="D8" s="392"/>
      <c r="E8" s="394"/>
      <c r="F8" s="310" t="s">
        <v>125</v>
      </c>
      <c r="G8" s="311">
        <v>2025</v>
      </c>
      <c r="H8" s="312" t="s">
        <v>122</v>
      </c>
      <c r="I8" s="313">
        <v>0.06</v>
      </c>
      <c r="J8" s="313">
        <v>5.5E-2</v>
      </c>
      <c r="K8" s="313">
        <v>7.0999999999999994E-2</v>
      </c>
      <c r="L8" s="313">
        <v>5.5E-2</v>
      </c>
      <c r="M8" s="313">
        <v>5.5E-2</v>
      </c>
      <c r="N8" s="313">
        <v>0.06</v>
      </c>
      <c r="O8" s="313">
        <v>0.06</v>
      </c>
      <c r="P8" s="313">
        <v>5.5E-2</v>
      </c>
      <c r="Q8" s="313">
        <v>5.5E-2</v>
      </c>
      <c r="R8" s="313">
        <v>5.5E-2</v>
      </c>
      <c r="S8" s="313">
        <v>5.5E-2</v>
      </c>
      <c r="T8" s="313">
        <v>5.5E-2</v>
      </c>
      <c r="U8" s="313">
        <v>5.5E-2</v>
      </c>
      <c r="V8" s="313">
        <v>5.5E-2</v>
      </c>
      <c r="W8" s="313">
        <v>5.5E-2</v>
      </c>
      <c r="X8" s="313">
        <v>5.5E-2</v>
      </c>
    </row>
    <row r="9" spans="1:25" ht="16.5" customHeight="1" x14ac:dyDescent="0.25">
      <c r="A9" s="382" t="s">
        <v>126</v>
      </c>
      <c r="B9" s="382" t="str">
        <f>Prototype!$A$2</f>
        <v>SchoolRelocatable</v>
      </c>
      <c r="C9" s="384" t="s">
        <v>127</v>
      </c>
      <c r="D9" s="390" t="s">
        <v>128</v>
      </c>
      <c r="E9" s="382" t="s">
        <v>129</v>
      </c>
      <c r="F9" s="339" t="s">
        <v>114</v>
      </c>
      <c r="G9" s="339" t="s">
        <v>115</v>
      </c>
      <c r="H9" s="403" t="s">
        <v>130</v>
      </c>
      <c r="I9" s="166">
        <v>5.7000000000000002E-2</v>
      </c>
      <c r="J9" s="166">
        <v>5.7000000000000002E-2</v>
      </c>
      <c r="K9" s="166">
        <v>5.7000000000000002E-2</v>
      </c>
      <c r="L9" s="166">
        <v>5.7000000000000002E-2</v>
      </c>
      <c r="M9" s="166">
        <v>5.7000000000000002E-2</v>
      </c>
      <c r="N9" s="166">
        <v>7.8E-2</v>
      </c>
      <c r="O9" s="166">
        <v>7.8E-2</v>
      </c>
      <c r="P9" s="166">
        <v>7.8E-2</v>
      </c>
      <c r="Q9" s="166">
        <v>7.8E-2</v>
      </c>
      <c r="R9" s="166">
        <v>7.8E-2</v>
      </c>
      <c r="S9" s="166">
        <v>5.7000000000000002E-2</v>
      </c>
      <c r="T9" s="166">
        <v>5.7000000000000002E-2</v>
      </c>
      <c r="U9" s="166">
        <v>5.7000000000000002E-2</v>
      </c>
      <c r="V9" s="166">
        <v>5.7000000000000002E-2</v>
      </c>
      <c r="W9" s="166">
        <v>5.7000000000000002E-2</v>
      </c>
      <c r="X9" s="166">
        <v>5.7000000000000002E-2</v>
      </c>
    </row>
    <row r="10" spans="1:25" ht="16.5" customHeight="1" x14ac:dyDescent="0.25">
      <c r="A10" s="393"/>
      <c r="B10" s="393"/>
      <c r="C10" s="386"/>
      <c r="D10" s="391"/>
      <c r="E10" s="393"/>
      <c r="F10" s="167" t="s">
        <v>117</v>
      </c>
      <c r="G10" s="167">
        <v>1986</v>
      </c>
      <c r="H10" s="404"/>
      <c r="I10" s="167">
        <v>5.7000000000000002E-2</v>
      </c>
      <c r="J10" s="167">
        <v>5.7000000000000002E-2</v>
      </c>
      <c r="K10" s="167">
        <v>5.7000000000000002E-2</v>
      </c>
      <c r="L10" s="167">
        <v>5.7000000000000002E-2</v>
      </c>
      <c r="M10" s="167">
        <v>5.7000000000000002E-2</v>
      </c>
      <c r="N10" s="167">
        <v>7.8E-2</v>
      </c>
      <c r="O10" s="167">
        <v>7.8E-2</v>
      </c>
      <c r="P10" s="167">
        <v>7.8E-2</v>
      </c>
      <c r="Q10" s="167">
        <v>7.8E-2</v>
      </c>
      <c r="R10" s="167">
        <v>7.8E-2</v>
      </c>
      <c r="S10" s="167">
        <v>5.7000000000000002E-2</v>
      </c>
      <c r="T10" s="167">
        <v>5.7000000000000002E-2</v>
      </c>
      <c r="U10" s="167">
        <v>5.7000000000000002E-2</v>
      </c>
      <c r="V10" s="167">
        <v>5.7000000000000002E-2</v>
      </c>
      <c r="W10" s="167">
        <v>5.7000000000000002E-2</v>
      </c>
      <c r="X10" s="167">
        <v>5.7000000000000002E-2</v>
      </c>
    </row>
    <row r="11" spans="1:25" ht="16.5" customHeight="1" x14ac:dyDescent="0.25">
      <c r="A11" s="393"/>
      <c r="B11" s="393"/>
      <c r="C11" s="386"/>
      <c r="D11" s="391"/>
      <c r="E11" s="393"/>
      <c r="F11" s="169" t="s">
        <v>119</v>
      </c>
      <c r="G11" s="169">
        <v>2001</v>
      </c>
      <c r="H11" s="169" t="s">
        <v>131</v>
      </c>
      <c r="I11" s="169">
        <v>5.7000000000000002E-2</v>
      </c>
      <c r="J11" s="169">
        <v>5.7000000000000002E-2</v>
      </c>
      <c r="K11" s="169">
        <v>5.7000000000000002E-2</v>
      </c>
      <c r="L11" s="169">
        <v>5.7000000000000002E-2</v>
      </c>
      <c r="M11" s="169">
        <v>5.7000000000000002E-2</v>
      </c>
      <c r="N11" s="169">
        <v>7.8E-2</v>
      </c>
      <c r="O11" s="169">
        <v>7.8E-2</v>
      </c>
      <c r="P11" s="169">
        <v>7.8E-2</v>
      </c>
      <c r="Q11" s="169">
        <v>7.8E-2</v>
      </c>
      <c r="R11" s="169">
        <v>5.7000000000000002E-2</v>
      </c>
      <c r="S11" s="169">
        <v>5.7000000000000002E-2</v>
      </c>
      <c r="T11" s="169">
        <v>5.7000000000000002E-2</v>
      </c>
      <c r="U11" s="169">
        <v>5.7000000000000002E-2</v>
      </c>
      <c r="V11" s="169">
        <v>5.7000000000000002E-2</v>
      </c>
      <c r="W11" s="169">
        <v>5.7000000000000002E-2</v>
      </c>
      <c r="X11" s="169">
        <v>5.7000000000000002E-2</v>
      </c>
    </row>
    <row r="12" spans="1:25" ht="16.5" customHeight="1" x14ac:dyDescent="0.25">
      <c r="A12" s="393"/>
      <c r="B12" s="393"/>
      <c r="C12" s="386"/>
      <c r="D12" s="391"/>
      <c r="E12" s="393"/>
      <c r="F12" s="170" t="s">
        <v>121</v>
      </c>
      <c r="G12" s="170">
        <v>2013</v>
      </c>
      <c r="H12" s="170" t="s">
        <v>132</v>
      </c>
      <c r="I12" s="171">
        <v>4.9000000000000002E-2</v>
      </c>
      <c r="J12" s="171">
        <v>3.9E-2</v>
      </c>
      <c r="K12" s="171">
        <v>3.9E-2</v>
      </c>
      <c r="L12" s="171">
        <v>3.9E-2</v>
      </c>
      <c r="M12" s="171">
        <v>4.9000000000000002E-2</v>
      </c>
      <c r="N12" s="171">
        <v>7.4999999999999997E-2</v>
      </c>
      <c r="O12" s="171">
        <v>6.7000000000000004E-2</v>
      </c>
      <c r="P12" s="171">
        <v>6.7000000000000004E-2</v>
      </c>
      <c r="Q12" s="171">
        <v>3.9E-2</v>
      </c>
      <c r="R12" s="171">
        <v>3.9E-2</v>
      </c>
      <c r="S12" s="171">
        <v>3.9E-2</v>
      </c>
      <c r="T12" s="171">
        <v>3.9E-2</v>
      </c>
      <c r="U12" s="171">
        <v>3.9E-2</v>
      </c>
      <c r="V12" s="171">
        <v>3.9E-2</v>
      </c>
      <c r="W12" s="171">
        <v>3.9E-2</v>
      </c>
      <c r="X12" s="171">
        <v>3.9E-2</v>
      </c>
    </row>
    <row r="13" spans="1:25" ht="16.5" customHeight="1" x14ac:dyDescent="0.25">
      <c r="A13" s="393"/>
      <c r="B13" s="393"/>
      <c r="C13" s="386"/>
      <c r="D13" s="391"/>
      <c r="E13" s="393"/>
      <c r="F13" s="307" t="s">
        <v>123</v>
      </c>
      <c r="G13" s="307"/>
      <c r="H13" s="308" t="s">
        <v>124</v>
      </c>
      <c r="I13" s="314" cm="1">
        <f t="array" ref="I13:X13">_xlfn.BYCOL(TRANSPOSE(Weights!$C$4:$F$19)*I9:X12,_xlfn.LAMBDA(_xlpm.c,SUM(_xlpm.c)))</f>
        <v>5.67310096E-2</v>
      </c>
      <c r="J13" s="314">
        <v>5.6746800899999998E-2</v>
      </c>
      <c r="K13" s="314">
        <v>5.6870687700000012E-2</v>
      </c>
      <c r="L13" s="314">
        <v>5.6877169800000002E-2</v>
      </c>
      <c r="M13" s="314">
        <v>5.6937689600000001E-2</v>
      </c>
      <c r="N13" s="314">
        <v>7.7860756799999986E-2</v>
      </c>
      <c r="O13" s="314">
        <v>7.5304949299999993E-2</v>
      </c>
      <c r="P13" s="314">
        <v>7.7576533000000003E-2</v>
      </c>
      <c r="Q13" s="314">
        <v>7.7065992900000005E-2</v>
      </c>
      <c r="R13" s="314">
        <v>6.6517197299999997E-2</v>
      </c>
      <c r="S13" s="314">
        <v>5.6650880699999996E-2</v>
      </c>
      <c r="T13" s="314">
        <v>5.6429947200000011E-2</v>
      </c>
      <c r="U13" s="314">
        <v>5.5726048200000003E-2</v>
      </c>
      <c r="V13" s="314">
        <v>5.5137687599999999E-2</v>
      </c>
      <c r="W13" s="314">
        <v>5.61165291E-2</v>
      </c>
      <c r="X13" s="314">
        <v>5.5132339799999999E-2</v>
      </c>
    </row>
    <row r="14" spans="1:25" ht="16.5" customHeight="1" x14ac:dyDescent="0.25">
      <c r="A14" s="394"/>
      <c r="B14" s="393"/>
      <c r="C14" s="386"/>
      <c r="D14" s="391"/>
      <c r="E14" s="393"/>
      <c r="F14" s="310" t="s">
        <v>125</v>
      </c>
      <c r="G14" s="311">
        <v>2025</v>
      </c>
      <c r="H14" s="312" t="s">
        <v>132</v>
      </c>
      <c r="I14" s="311">
        <v>2.8000000000000001E-2</v>
      </c>
      <c r="J14" s="311">
        <v>2.8000000000000001E-2</v>
      </c>
      <c r="K14" s="311">
        <v>2.8000000000000001E-2</v>
      </c>
      <c r="L14" s="311">
        <v>2.8000000000000001E-2</v>
      </c>
      <c r="M14" s="311">
        <v>2.8000000000000001E-2</v>
      </c>
      <c r="N14" s="311">
        <v>4.7E-2</v>
      </c>
      <c r="O14" s="311">
        <v>4.7E-2</v>
      </c>
      <c r="P14" s="311">
        <v>4.7E-2</v>
      </c>
      <c r="Q14" s="311">
        <v>2.8000000000000001E-2</v>
      </c>
      <c r="R14" s="311">
        <v>2.8000000000000001E-2</v>
      </c>
      <c r="S14" s="311">
        <v>2.8000000000000001E-2</v>
      </c>
      <c r="T14" s="311">
        <v>2.8000000000000001E-2</v>
      </c>
      <c r="U14" s="311">
        <v>2.8000000000000001E-2</v>
      </c>
      <c r="V14" s="311">
        <v>2.8000000000000001E-2</v>
      </c>
      <c r="W14" s="311">
        <v>2.8000000000000001E-2</v>
      </c>
      <c r="X14" s="311">
        <v>2.8000000000000001E-2</v>
      </c>
    </row>
    <row r="15" spans="1:25" ht="16.5" customHeight="1" x14ac:dyDescent="0.25">
      <c r="A15" s="406" t="s">
        <v>133</v>
      </c>
      <c r="B15" s="382" t="str">
        <f>Prototype!$A$2</f>
        <v>SchoolRelocatable</v>
      </c>
      <c r="C15" s="384" t="s">
        <v>134</v>
      </c>
      <c r="D15" s="387" t="s">
        <v>135</v>
      </c>
      <c r="E15" s="382" t="s">
        <v>113</v>
      </c>
      <c r="F15" s="339" t="s">
        <v>114</v>
      </c>
      <c r="G15" s="339" t="s">
        <v>115</v>
      </c>
      <c r="H15" s="403" t="s">
        <v>136</v>
      </c>
      <c r="I15" s="315">
        <f t="shared" ref="I15" si="1">0.58*1.23+0.42*I18</f>
        <v>0.90659999999999996</v>
      </c>
      <c r="J15" s="315">
        <f t="shared" ref="J15:X15" si="2">0.58*1.23+0.42*J18</f>
        <v>0.90659999999999996</v>
      </c>
      <c r="K15" s="315">
        <f t="shared" si="2"/>
        <v>0.90659999999999996</v>
      </c>
      <c r="L15" s="315">
        <f t="shared" si="2"/>
        <v>0.90659999999999996</v>
      </c>
      <c r="M15" s="315">
        <f t="shared" si="2"/>
        <v>0.90659999999999996</v>
      </c>
      <c r="N15" s="315">
        <f t="shared" si="2"/>
        <v>0.90659999999999996</v>
      </c>
      <c r="O15" s="315">
        <f t="shared" si="2"/>
        <v>0.90659999999999996</v>
      </c>
      <c r="P15" s="315">
        <f t="shared" si="2"/>
        <v>0.90659999999999996</v>
      </c>
      <c r="Q15" s="315">
        <f t="shared" si="2"/>
        <v>0.90659999999999996</v>
      </c>
      <c r="R15" s="315">
        <f t="shared" si="2"/>
        <v>0.90659999999999996</v>
      </c>
      <c r="S15" s="315">
        <f t="shared" si="2"/>
        <v>0.90659999999999996</v>
      </c>
      <c r="T15" s="315">
        <f t="shared" si="2"/>
        <v>0.90659999999999996</v>
      </c>
      <c r="U15" s="315">
        <f t="shared" si="2"/>
        <v>0.90659999999999996</v>
      </c>
      <c r="V15" s="315">
        <f t="shared" si="2"/>
        <v>0.90659999999999996</v>
      </c>
      <c r="W15" s="315">
        <f t="shared" si="2"/>
        <v>0.90659999999999996</v>
      </c>
      <c r="X15" s="315">
        <f t="shared" si="2"/>
        <v>0.90659999999999996</v>
      </c>
    </row>
    <row r="16" spans="1:25" ht="28.5" customHeight="1" x14ac:dyDescent="0.25">
      <c r="A16" s="406"/>
      <c r="B16" s="393"/>
      <c r="C16" s="386"/>
      <c r="D16" s="388"/>
      <c r="E16" s="393"/>
      <c r="F16" s="167" t="s">
        <v>117</v>
      </c>
      <c r="G16" s="167" t="s">
        <v>115</v>
      </c>
      <c r="H16" s="404"/>
      <c r="I16" s="315">
        <f>0.58*1.23+0.42*I18</f>
        <v>0.90659999999999996</v>
      </c>
      <c r="J16" s="315">
        <f t="shared" ref="J16:X16" si="3">0.58*1.23+0.42*J18</f>
        <v>0.90659999999999996</v>
      </c>
      <c r="K16" s="315">
        <f t="shared" si="3"/>
        <v>0.90659999999999996</v>
      </c>
      <c r="L16" s="315">
        <f t="shared" si="3"/>
        <v>0.90659999999999996</v>
      </c>
      <c r="M16" s="315">
        <f t="shared" si="3"/>
        <v>0.90659999999999996</v>
      </c>
      <c r="N16" s="315">
        <f t="shared" si="3"/>
        <v>0.90659999999999996</v>
      </c>
      <c r="O16" s="315">
        <f t="shared" si="3"/>
        <v>0.90659999999999996</v>
      </c>
      <c r="P16" s="315">
        <f t="shared" si="3"/>
        <v>0.90659999999999996</v>
      </c>
      <c r="Q16" s="315">
        <f t="shared" si="3"/>
        <v>0.90659999999999996</v>
      </c>
      <c r="R16" s="315">
        <f t="shared" si="3"/>
        <v>0.90659999999999996</v>
      </c>
      <c r="S16" s="315">
        <f t="shared" si="3"/>
        <v>0.90659999999999996</v>
      </c>
      <c r="T16" s="315">
        <f t="shared" si="3"/>
        <v>0.90659999999999996</v>
      </c>
      <c r="U16" s="315">
        <f t="shared" si="3"/>
        <v>0.90659999999999996</v>
      </c>
      <c r="V16" s="315">
        <f t="shared" si="3"/>
        <v>0.90659999999999996</v>
      </c>
      <c r="W16" s="315">
        <f t="shared" si="3"/>
        <v>0.90659999999999996</v>
      </c>
      <c r="X16" s="315">
        <f t="shared" si="3"/>
        <v>0.90659999999999996</v>
      </c>
    </row>
    <row r="17" spans="1:49" ht="16.5" customHeight="1" x14ac:dyDescent="0.25">
      <c r="A17" s="406"/>
      <c r="B17" s="393"/>
      <c r="C17" s="386"/>
      <c r="D17" s="389" t="s">
        <v>137</v>
      </c>
      <c r="E17" s="393"/>
      <c r="F17" s="169" t="s">
        <v>119</v>
      </c>
      <c r="G17" s="169">
        <v>2001</v>
      </c>
      <c r="H17" s="169" t="s">
        <v>138</v>
      </c>
      <c r="I17" s="316">
        <v>0.49</v>
      </c>
      <c r="J17" s="316">
        <v>0.49</v>
      </c>
      <c r="K17" s="316">
        <v>0.81</v>
      </c>
      <c r="L17" s="316">
        <v>0.81</v>
      </c>
      <c r="M17" s="316">
        <v>0.81</v>
      </c>
      <c r="N17" s="316">
        <v>0.81</v>
      </c>
      <c r="O17" s="316">
        <v>0.81</v>
      </c>
      <c r="P17" s="316">
        <v>0.81</v>
      </c>
      <c r="Q17" s="316">
        <v>0.81</v>
      </c>
      <c r="R17" s="316">
        <v>0.49</v>
      </c>
      <c r="S17" s="316">
        <v>0.49</v>
      </c>
      <c r="T17" s="316">
        <v>0.49</v>
      </c>
      <c r="U17" s="316">
        <v>0.49</v>
      </c>
      <c r="V17" s="316">
        <v>0.49</v>
      </c>
      <c r="W17" s="316">
        <v>0.49</v>
      </c>
      <c r="X17" s="316">
        <v>0.49</v>
      </c>
    </row>
    <row r="18" spans="1:49" ht="16.5" customHeight="1" x14ac:dyDescent="0.25">
      <c r="A18" s="406"/>
      <c r="B18" s="393"/>
      <c r="C18" s="386"/>
      <c r="D18" s="389"/>
      <c r="E18" s="393"/>
      <c r="F18" s="170" t="s">
        <v>121</v>
      </c>
      <c r="G18" s="170">
        <v>2013</v>
      </c>
      <c r="H18" s="170" t="s">
        <v>139</v>
      </c>
      <c r="I18" s="317">
        <v>0.46</v>
      </c>
      <c r="J18" s="317">
        <v>0.46</v>
      </c>
      <c r="K18" s="317">
        <v>0.46</v>
      </c>
      <c r="L18" s="317">
        <v>0.46</v>
      </c>
      <c r="M18" s="317">
        <v>0.46</v>
      </c>
      <c r="N18" s="317">
        <v>0.46</v>
      </c>
      <c r="O18" s="317">
        <v>0.46</v>
      </c>
      <c r="P18" s="317">
        <v>0.46</v>
      </c>
      <c r="Q18" s="317">
        <v>0.46</v>
      </c>
      <c r="R18" s="317">
        <v>0.46</v>
      </c>
      <c r="S18" s="317">
        <v>0.46</v>
      </c>
      <c r="T18" s="317">
        <v>0.46</v>
      </c>
      <c r="U18" s="317">
        <v>0.46</v>
      </c>
      <c r="V18" s="317">
        <v>0.46</v>
      </c>
      <c r="W18" s="317">
        <v>0.46</v>
      </c>
      <c r="X18" s="317">
        <v>0.46</v>
      </c>
    </row>
    <row r="19" spans="1:49" ht="16.5" customHeight="1" x14ac:dyDescent="0.25">
      <c r="A19" s="406"/>
      <c r="B19" s="393"/>
      <c r="C19" s="386"/>
      <c r="D19" s="389"/>
      <c r="E19" s="393"/>
      <c r="F19" s="307" t="s">
        <v>123</v>
      </c>
      <c r="G19" s="307"/>
      <c r="H19" s="308" t="s">
        <v>124</v>
      </c>
      <c r="I19" s="318" cm="1">
        <f t="array" ref="I19:X19">_xlfn.BYCOL(TRANSPOSE(Weights!$C$4:$F$19)*I15:X18,_xlfn.LAMBDA(_xlpm.c,SUM(_xlpm.c)))</f>
        <v>0.85495538904000001</v>
      </c>
      <c r="J19" s="318">
        <v>0.88432079304</v>
      </c>
      <c r="K19" s="318">
        <v>0.90180401893999995</v>
      </c>
      <c r="L19" s="318">
        <v>0.9025583936199999</v>
      </c>
      <c r="M19" s="318">
        <v>0.90076779529999995</v>
      </c>
      <c r="N19" s="318">
        <v>0.87534282733999991</v>
      </c>
      <c r="O19" s="318">
        <v>0.77818249784000004</v>
      </c>
      <c r="P19" s="318">
        <v>0.8787504533799998</v>
      </c>
      <c r="Q19" s="318">
        <v>0.8874671261</v>
      </c>
      <c r="R19" s="318">
        <v>0.71666222524000001</v>
      </c>
      <c r="S19" s="318">
        <v>0.86305126245999986</v>
      </c>
      <c r="T19" s="318">
        <v>0.84701725305999997</v>
      </c>
      <c r="U19" s="318">
        <v>0.80918545438</v>
      </c>
      <c r="V19" s="318">
        <v>0.79739375010000002</v>
      </c>
      <c r="W19" s="318">
        <v>0.66487383073999995</v>
      </c>
      <c r="X19" s="318">
        <v>0.80161374370000005</v>
      </c>
    </row>
    <row r="20" spans="1:49" ht="16.5" customHeight="1" x14ac:dyDescent="0.25">
      <c r="A20" s="406"/>
      <c r="B20" s="393"/>
      <c r="C20" s="386"/>
      <c r="D20" s="389"/>
      <c r="E20" s="394"/>
      <c r="F20" s="310" t="s">
        <v>125</v>
      </c>
      <c r="G20" s="311">
        <v>2025</v>
      </c>
      <c r="H20" s="312" t="s">
        <v>132</v>
      </c>
      <c r="I20" s="319">
        <v>0.46</v>
      </c>
      <c r="J20" s="319">
        <v>0.46</v>
      </c>
      <c r="K20" s="319">
        <v>0.46</v>
      </c>
      <c r="L20" s="319">
        <v>0.46</v>
      </c>
      <c r="M20" s="319">
        <v>0.46</v>
      </c>
      <c r="N20" s="319">
        <v>0.46</v>
      </c>
      <c r="O20" s="319">
        <v>0.46</v>
      </c>
      <c r="P20" s="319">
        <v>0.46</v>
      </c>
      <c r="Q20" s="319">
        <v>0.46</v>
      </c>
      <c r="R20" s="319">
        <v>0.46</v>
      </c>
      <c r="S20" s="319">
        <v>0.46</v>
      </c>
      <c r="T20" s="319">
        <v>0.46</v>
      </c>
      <c r="U20" s="319">
        <v>0.46</v>
      </c>
      <c r="V20" s="319">
        <v>0.46</v>
      </c>
      <c r="W20" s="319">
        <v>0.46</v>
      </c>
      <c r="X20" s="319">
        <v>0.46</v>
      </c>
    </row>
    <row r="21" spans="1:49" ht="16.5" customHeight="1" x14ac:dyDescent="0.25">
      <c r="A21" s="406"/>
      <c r="B21" s="409" t="str">
        <f>Prototype!$A$2</f>
        <v>SchoolRelocatable</v>
      </c>
      <c r="C21" s="384" t="s">
        <v>134</v>
      </c>
      <c r="D21" s="387" t="s">
        <v>135</v>
      </c>
      <c r="E21" s="382" t="s">
        <v>140</v>
      </c>
      <c r="F21" s="339" t="s">
        <v>114</v>
      </c>
      <c r="G21" s="339" t="s">
        <v>115</v>
      </c>
      <c r="H21" s="403" t="s">
        <v>141</v>
      </c>
      <c r="I21" s="315">
        <f t="shared" ref="I21:X21" si="4">0.79*0.58+0.42*I24</f>
        <v>0.55059999999999998</v>
      </c>
      <c r="J21" s="315">
        <f t="shared" si="4"/>
        <v>0.55059999999999998</v>
      </c>
      <c r="K21" s="315">
        <f t="shared" si="4"/>
        <v>0.55059999999999998</v>
      </c>
      <c r="L21" s="315">
        <f t="shared" si="4"/>
        <v>0.55059999999999998</v>
      </c>
      <c r="M21" s="315">
        <f t="shared" si="4"/>
        <v>0.55059999999999998</v>
      </c>
      <c r="N21" s="315">
        <f t="shared" si="4"/>
        <v>0.55059999999999998</v>
      </c>
      <c r="O21" s="315">
        <f t="shared" si="4"/>
        <v>0.55059999999999998</v>
      </c>
      <c r="P21" s="315">
        <f t="shared" si="4"/>
        <v>0.55059999999999998</v>
      </c>
      <c r="Q21" s="315">
        <f t="shared" si="4"/>
        <v>0.55059999999999998</v>
      </c>
      <c r="R21" s="315">
        <f t="shared" si="4"/>
        <v>0.55059999999999998</v>
      </c>
      <c r="S21" s="315">
        <f t="shared" si="4"/>
        <v>0.55059999999999998</v>
      </c>
      <c r="T21" s="315">
        <f t="shared" si="4"/>
        <v>0.55059999999999998</v>
      </c>
      <c r="U21" s="315">
        <f t="shared" si="4"/>
        <v>0.55059999999999998</v>
      </c>
      <c r="V21" s="315">
        <f t="shared" si="4"/>
        <v>0.55059999999999998</v>
      </c>
      <c r="W21" s="315">
        <f t="shared" si="4"/>
        <v>0.55059999999999998</v>
      </c>
      <c r="X21" s="315">
        <f t="shared" si="4"/>
        <v>0.55059999999999998</v>
      </c>
    </row>
    <row r="22" spans="1:49" ht="26.25" customHeight="1" x14ac:dyDescent="0.25">
      <c r="A22" s="406"/>
      <c r="B22" s="409"/>
      <c r="C22" s="386"/>
      <c r="D22" s="388"/>
      <c r="E22" s="393"/>
      <c r="F22" s="167" t="s">
        <v>117</v>
      </c>
      <c r="G22" s="167" t="s">
        <v>115</v>
      </c>
      <c r="H22" s="404"/>
      <c r="I22" s="315">
        <f t="shared" ref="I22:X22" si="5">0.79*0.58+0.42*I24</f>
        <v>0.55059999999999998</v>
      </c>
      <c r="J22" s="315">
        <f t="shared" si="5"/>
        <v>0.55059999999999998</v>
      </c>
      <c r="K22" s="315">
        <f t="shared" si="5"/>
        <v>0.55059999999999998</v>
      </c>
      <c r="L22" s="315">
        <f t="shared" si="5"/>
        <v>0.55059999999999998</v>
      </c>
      <c r="M22" s="315">
        <f t="shared" si="5"/>
        <v>0.55059999999999998</v>
      </c>
      <c r="N22" s="315">
        <f t="shared" si="5"/>
        <v>0.55059999999999998</v>
      </c>
      <c r="O22" s="315">
        <f t="shared" si="5"/>
        <v>0.55059999999999998</v>
      </c>
      <c r="P22" s="315">
        <f t="shared" si="5"/>
        <v>0.55059999999999998</v>
      </c>
      <c r="Q22" s="315">
        <f t="shared" si="5"/>
        <v>0.55059999999999998</v>
      </c>
      <c r="R22" s="315">
        <f t="shared" si="5"/>
        <v>0.55059999999999998</v>
      </c>
      <c r="S22" s="315">
        <f t="shared" si="5"/>
        <v>0.55059999999999998</v>
      </c>
      <c r="T22" s="315">
        <f t="shared" si="5"/>
        <v>0.55059999999999998</v>
      </c>
      <c r="U22" s="315">
        <f t="shared" si="5"/>
        <v>0.55059999999999998</v>
      </c>
      <c r="V22" s="315">
        <f t="shared" si="5"/>
        <v>0.55059999999999998</v>
      </c>
      <c r="W22" s="315">
        <f t="shared" si="5"/>
        <v>0.55059999999999998</v>
      </c>
      <c r="X22" s="315">
        <f t="shared" si="5"/>
        <v>0.55059999999999998</v>
      </c>
    </row>
    <row r="23" spans="1:49" ht="16.5" customHeight="1" x14ac:dyDescent="0.25">
      <c r="A23" s="406"/>
      <c r="B23" s="409"/>
      <c r="C23" s="386"/>
      <c r="D23" s="389" t="s">
        <v>137</v>
      </c>
      <c r="E23" s="393"/>
      <c r="F23" s="169" t="s">
        <v>119</v>
      </c>
      <c r="G23" s="169">
        <v>2001</v>
      </c>
      <c r="H23" s="169" t="s">
        <v>142</v>
      </c>
      <c r="I23" s="316">
        <v>0.44999999999999996</v>
      </c>
      <c r="J23" s="316">
        <v>0.39</v>
      </c>
      <c r="K23" s="316">
        <v>0.51</v>
      </c>
      <c r="L23" s="316">
        <v>0.51</v>
      </c>
      <c r="M23" s="316">
        <v>0.51</v>
      </c>
      <c r="N23" s="316">
        <v>0.47499999999999998</v>
      </c>
      <c r="O23" s="316">
        <v>0.47499999999999998</v>
      </c>
      <c r="P23" s="316">
        <v>0.47499999999999998</v>
      </c>
      <c r="Q23" s="316">
        <v>0.47499999999999998</v>
      </c>
      <c r="R23" s="316">
        <v>0.39</v>
      </c>
      <c r="S23" s="316">
        <v>0.39</v>
      </c>
      <c r="T23" s="316">
        <v>0.39</v>
      </c>
      <c r="U23" s="316">
        <v>0.39</v>
      </c>
      <c r="V23" s="316">
        <v>0.39</v>
      </c>
      <c r="W23" s="316">
        <v>0.39</v>
      </c>
      <c r="X23" s="316">
        <v>0.44999999999999996</v>
      </c>
    </row>
    <row r="24" spans="1:49" ht="16.5" customHeight="1" x14ac:dyDescent="0.25">
      <c r="A24" s="406"/>
      <c r="B24" s="409"/>
      <c r="C24" s="386"/>
      <c r="D24" s="389"/>
      <c r="E24" s="393"/>
      <c r="F24" s="170" t="s">
        <v>121</v>
      </c>
      <c r="G24" s="170">
        <v>2013</v>
      </c>
      <c r="H24" s="170" t="s">
        <v>143</v>
      </c>
      <c r="I24" s="317">
        <v>0.22</v>
      </c>
      <c r="J24" s="317">
        <v>0.22</v>
      </c>
      <c r="K24" s="317">
        <v>0.22</v>
      </c>
      <c r="L24" s="317">
        <v>0.22</v>
      </c>
      <c r="M24" s="317">
        <v>0.22</v>
      </c>
      <c r="N24" s="317">
        <v>0.22</v>
      </c>
      <c r="O24" s="317">
        <v>0.22</v>
      </c>
      <c r="P24" s="317">
        <v>0.22</v>
      </c>
      <c r="Q24" s="317">
        <v>0.22</v>
      </c>
      <c r="R24" s="317">
        <v>0.22</v>
      </c>
      <c r="S24" s="317">
        <v>0.22</v>
      </c>
      <c r="T24" s="317">
        <v>0.22</v>
      </c>
      <c r="U24" s="317">
        <v>0.22</v>
      </c>
      <c r="V24" s="317">
        <v>0.22</v>
      </c>
      <c r="W24" s="317">
        <v>0.22</v>
      </c>
      <c r="X24" s="317">
        <v>0.22</v>
      </c>
    </row>
    <row r="25" spans="1:49" ht="16.5" customHeight="1" x14ac:dyDescent="0.25">
      <c r="A25" s="406"/>
      <c r="B25" s="409"/>
      <c r="C25" s="386"/>
      <c r="D25" s="389"/>
      <c r="E25" s="393"/>
      <c r="F25" s="307" t="s">
        <v>123</v>
      </c>
      <c r="G25" s="307"/>
      <c r="H25" s="308" t="s">
        <v>124</v>
      </c>
      <c r="I25" s="318" cm="1">
        <f t="array" ref="I25:X25">_xlfn.BYCOL(TRANSPOSE(Weights!$C$4:$F$19)*I21:X24,_xlfn.LAMBDA(_xlpm.c,SUM(_xlpm.c)))</f>
        <v>0.53063903863999995</v>
      </c>
      <c r="J25" s="318">
        <v>0.53978271464000005</v>
      </c>
      <c r="K25" s="318">
        <v>0.54755774053999995</v>
      </c>
      <c r="L25" s="318">
        <v>0.54792622841999994</v>
      </c>
      <c r="M25" s="318">
        <v>0.54703577530000003</v>
      </c>
      <c r="N25" s="318">
        <v>0.52701570243999996</v>
      </c>
      <c r="O25" s="318">
        <v>0.45473313143999994</v>
      </c>
      <c r="P25" s="318">
        <v>0.52953279807999998</v>
      </c>
      <c r="Q25" s="318">
        <v>0.53607939309999997</v>
      </c>
      <c r="R25" s="318">
        <v>0.45904030283999997</v>
      </c>
      <c r="S25" s="318">
        <v>0.53073899085999998</v>
      </c>
      <c r="T25" s="318">
        <v>0.52261317945999997</v>
      </c>
      <c r="U25" s="318">
        <v>0.50183327958000001</v>
      </c>
      <c r="V25" s="318">
        <v>0.49210884209999994</v>
      </c>
      <c r="W25" s="318">
        <v>0.44963792633999999</v>
      </c>
      <c r="X25" s="318">
        <v>0.50213518170000004</v>
      </c>
    </row>
    <row r="26" spans="1:49" ht="16.5" customHeight="1" x14ac:dyDescent="0.25">
      <c r="A26" s="406"/>
      <c r="B26" s="409"/>
      <c r="C26" s="385"/>
      <c r="D26" s="389"/>
      <c r="E26" s="394"/>
      <c r="F26" s="310" t="s">
        <v>125</v>
      </c>
      <c r="G26" s="311">
        <v>2025</v>
      </c>
      <c r="H26" s="312" t="s">
        <v>143</v>
      </c>
      <c r="I26" s="319">
        <v>0.22</v>
      </c>
      <c r="J26" s="319">
        <v>0.22</v>
      </c>
      <c r="K26" s="319">
        <v>0.22</v>
      </c>
      <c r="L26" s="319">
        <v>0.22</v>
      </c>
      <c r="M26" s="319">
        <v>0.22</v>
      </c>
      <c r="N26" s="319">
        <v>0.22</v>
      </c>
      <c r="O26" s="319">
        <v>0.22</v>
      </c>
      <c r="P26" s="319">
        <v>0.22</v>
      </c>
      <c r="Q26" s="319">
        <v>0.22</v>
      </c>
      <c r="R26" s="319">
        <v>0.22</v>
      </c>
      <c r="S26" s="319">
        <v>0.22</v>
      </c>
      <c r="T26" s="319">
        <v>0.22</v>
      </c>
      <c r="U26" s="319">
        <v>0.22</v>
      </c>
      <c r="V26" s="319">
        <v>0.22</v>
      </c>
      <c r="W26" s="319">
        <v>0.22</v>
      </c>
      <c r="X26" s="319">
        <v>0.22</v>
      </c>
    </row>
    <row r="27" spans="1:49" ht="14.4" x14ac:dyDescent="0.3">
      <c r="A27" s="2" t="s">
        <v>144</v>
      </c>
      <c r="B27" s="9"/>
      <c r="C27" s="5"/>
      <c r="D27"/>
      <c r="E27"/>
      <c r="F27"/>
      <c r="G27"/>
      <c r="H27"/>
      <c r="I27"/>
      <c r="J27"/>
      <c r="K27"/>
      <c r="L27"/>
      <c r="M27"/>
      <c r="N27"/>
      <c r="O27"/>
      <c r="P27"/>
      <c r="Q27"/>
      <c r="R27"/>
      <c r="S27"/>
      <c r="T27"/>
      <c r="U27"/>
      <c r="V27"/>
      <c r="W27"/>
      <c r="X27"/>
      <c r="Y27"/>
    </row>
    <row r="28" spans="1:49" ht="14.4" x14ac:dyDescent="0.3">
      <c r="L28"/>
      <c r="M28"/>
      <c r="N28"/>
      <c r="O28"/>
      <c r="P28"/>
      <c r="Q28"/>
      <c r="R28"/>
      <c r="S28"/>
      <c r="T28"/>
      <c r="U28"/>
      <c r="V28"/>
      <c r="W28"/>
      <c r="X28"/>
      <c r="Y28"/>
      <c r="Z28"/>
      <c r="AA28"/>
      <c r="AB28"/>
      <c r="AC28"/>
      <c r="AD28"/>
      <c r="AE28"/>
      <c r="AF28"/>
      <c r="AG28"/>
      <c r="AH28"/>
      <c r="AI28"/>
      <c r="AJ28"/>
    </row>
    <row r="29" spans="1:49" ht="15.6" x14ac:dyDescent="0.3">
      <c r="C29" s="364" t="s">
        <v>145</v>
      </c>
      <c r="D29" s="364"/>
      <c r="E29" s="364"/>
      <c r="F29" s="364"/>
      <c r="G29" s="364"/>
      <c r="H29" s="364"/>
      <c r="I29" s="364"/>
      <c r="J29" s="364"/>
      <c r="K29" s="364"/>
      <c r="L29" s="364"/>
      <c r="M29" s="364"/>
      <c r="N29" s="364"/>
      <c r="O29" s="364"/>
      <c r="P29" s="364"/>
      <c r="Q29" s="364"/>
      <c r="R29" s="364"/>
      <c r="S29" s="364"/>
      <c r="T29" s="364"/>
      <c r="U29" s="364"/>
      <c r="V29" s="364"/>
      <c r="W29" s="364"/>
      <c r="X29" s="364"/>
      <c r="Y29"/>
      <c r="Z29"/>
      <c r="AA29"/>
      <c r="AB29"/>
      <c r="AC29"/>
      <c r="AD29"/>
      <c r="AE29"/>
      <c r="AF29"/>
      <c r="AG29"/>
      <c r="AH29"/>
      <c r="AI29"/>
      <c r="AJ29"/>
    </row>
    <row r="30" spans="1:49" ht="38.25" customHeight="1" x14ac:dyDescent="0.3">
      <c r="C30" s="320"/>
      <c r="D30" s="320" t="s">
        <v>61</v>
      </c>
      <c r="E30" s="320" t="s">
        <v>146</v>
      </c>
      <c r="F30" s="353" t="s">
        <v>92</v>
      </c>
      <c r="G30" s="341" t="s">
        <v>147</v>
      </c>
      <c r="H30" s="341" t="s">
        <v>148</v>
      </c>
      <c r="I30" s="405" t="s">
        <v>149</v>
      </c>
      <c r="J30" s="405"/>
      <c r="K30" s="405"/>
      <c r="L30" s="405"/>
      <c r="M30" s="405"/>
      <c r="N30" s="405"/>
      <c r="O30" s="405"/>
      <c r="P30" s="405"/>
      <c r="Q30" s="405"/>
      <c r="R30" s="405"/>
      <c r="S30" s="405"/>
      <c r="T30" s="405"/>
      <c r="U30" s="405"/>
      <c r="V30" s="405"/>
      <c r="W30" s="405"/>
      <c r="X30" s="405"/>
      <c r="Y30"/>
      <c r="Z30"/>
      <c r="AA30"/>
      <c r="AB30"/>
      <c r="AC30"/>
      <c r="AD30"/>
      <c r="AE30"/>
      <c r="AF30"/>
      <c r="AG30"/>
      <c r="AH30"/>
      <c r="AI30"/>
      <c r="AJ30"/>
      <c r="AL30" s="3" t="s">
        <v>16</v>
      </c>
      <c r="AN30" s="3" t="s">
        <v>16</v>
      </c>
      <c r="AP30" s="3" t="s">
        <v>16</v>
      </c>
      <c r="AR30" s="3" t="s">
        <v>16</v>
      </c>
      <c r="AT30" s="3" t="s">
        <v>16</v>
      </c>
      <c r="AU30" s="3">
        <v>2.8000000000000001E-2</v>
      </c>
      <c r="AV30" s="3" t="s">
        <v>16</v>
      </c>
      <c r="AW30" s="3">
        <v>2.8000000000000001E-2</v>
      </c>
    </row>
    <row r="31" spans="1:49" ht="14.4" x14ac:dyDescent="0.3">
      <c r="C31" s="395" t="s">
        <v>145</v>
      </c>
      <c r="D31" s="395" t="s">
        <v>31</v>
      </c>
      <c r="E31" s="395" t="s">
        <v>73</v>
      </c>
      <c r="F31" s="343" t="s">
        <v>114</v>
      </c>
      <c r="G31" s="340">
        <v>1.1000000000000001</v>
      </c>
      <c r="H31" s="165" t="s">
        <v>150</v>
      </c>
      <c r="I31" s="398">
        <v>0.308</v>
      </c>
      <c r="J31" s="398"/>
      <c r="K31" s="398"/>
      <c r="L31" s="398"/>
      <c r="M31" s="398"/>
      <c r="N31" s="398"/>
      <c r="O31" s="398"/>
      <c r="P31" s="398"/>
      <c r="Q31" s="398"/>
      <c r="R31" s="398"/>
      <c r="S31" s="398"/>
      <c r="T31" s="398"/>
      <c r="U31" s="398"/>
      <c r="V31" s="398"/>
      <c r="W31" s="398"/>
      <c r="X31" s="398"/>
      <c r="Y31"/>
      <c r="Z31"/>
      <c r="AA31"/>
      <c r="AB31"/>
      <c r="AC31"/>
      <c r="AD31"/>
      <c r="AE31"/>
      <c r="AF31"/>
      <c r="AG31"/>
      <c r="AH31"/>
      <c r="AI31"/>
      <c r="AJ31"/>
    </row>
    <row r="32" spans="1:49" ht="14.4" x14ac:dyDescent="0.3">
      <c r="C32" s="396"/>
      <c r="D32" s="396"/>
      <c r="E32" s="396"/>
      <c r="F32" s="343" t="s">
        <v>117</v>
      </c>
      <c r="G32" s="340">
        <v>1.1000000000000001</v>
      </c>
      <c r="H32" s="165" t="s">
        <v>150</v>
      </c>
      <c r="I32" s="398">
        <v>0.308</v>
      </c>
      <c r="J32" s="398"/>
      <c r="K32" s="398"/>
      <c r="L32" s="398"/>
      <c r="M32" s="398"/>
      <c r="N32" s="398"/>
      <c r="O32" s="398"/>
      <c r="P32" s="398"/>
      <c r="Q32" s="398"/>
      <c r="R32" s="398"/>
      <c r="S32" s="398"/>
      <c r="T32" s="398"/>
      <c r="U32" s="398"/>
      <c r="V32" s="398"/>
      <c r="W32" s="398"/>
      <c r="X32" s="398"/>
      <c r="Y32"/>
      <c r="Z32"/>
      <c r="AA32"/>
      <c r="AB32"/>
      <c r="AC32"/>
      <c r="AD32"/>
      <c r="AE32"/>
      <c r="AF32"/>
      <c r="AG32"/>
      <c r="AH32"/>
      <c r="AI32"/>
      <c r="AJ32"/>
    </row>
    <row r="33" spans="1:40" ht="14.4" x14ac:dyDescent="0.3">
      <c r="C33" s="396"/>
      <c r="D33" s="396"/>
      <c r="E33" s="396"/>
      <c r="F33" s="343" t="s">
        <v>119</v>
      </c>
      <c r="G33" s="340">
        <v>1.1000000000000001</v>
      </c>
      <c r="H33" s="165" t="s">
        <v>150</v>
      </c>
      <c r="I33" s="398">
        <v>0.308</v>
      </c>
      <c r="J33" s="398"/>
      <c r="K33" s="398"/>
      <c r="L33" s="398"/>
      <c r="M33" s="398"/>
      <c r="N33" s="398"/>
      <c r="O33" s="398"/>
      <c r="P33" s="398"/>
      <c r="Q33" s="398"/>
      <c r="R33" s="398"/>
      <c r="S33" s="398"/>
      <c r="T33" s="398"/>
      <c r="U33" s="398"/>
      <c r="V33" s="398"/>
      <c r="W33" s="398"/>
      <c r="X33" s="398"/>
      <c r="Y33"/>
      <c r="Z33"/>
      <c r="AA33"/>
      <c r="AB33"/>
      <c r="AC33"/>
      <c r="AD33"/>
      <c r="AE33"/>
      <c r="AF33"/>
      <c r="AG33"/>
      <c r="AH33"/>
      <c r="AI33"/>
      <c r="AJ33"/>
    </row>
    <row r="34" spans="1:40" ht="39.6" x14ac:dyDescent="0.3">
      <c r="C34" s="396"/>
      <c r="D34" s="396"/>
      <c r="E34" s="396"/>
      <c r="F34" s="343" t="s">
        <v>121</v>
      </c>
      <c r="G34" s="340">
        <v>1</v>
      </c>
      <c r="H34" s="340" t="s">
        <v>151</v>
      </c>
      <c r="I34" s="399">
        <v>0.28179999999999999</v>
      </c>
      <c r="J34" s="399"/>
      <c r="K34" s="399"/>
      <c r="L34" s="399"/>
      <c r="M34" s="399"/>
      <c r="N34" s="399"/>
      <c r="O34" s="399"/>
      <c r="P34" s="399"/>
      <c r="Q34" s="399"/>
      <c r="R34" s="399"/>
      <c r="S34" s="399"/>
      <c r="T34" s="399"/>
      <c r="U34" s="399"/>
      <c r="V34" s="399"/>
      <c r="W34" s="399"/>
      <c r="X34" s="399"/>
      <c r="Y34"/>
      <c r="Z34"/>
      <c r="AA34"/>
      <c r="AB34"/>
      <c r="AC34"/>
      <c r="AD34"/>
      <c r="AE34"/>
      <c r="AF34"/>
      <c r="AG34"/>
      <c r="AH34"/>
      <c r="AI34"/>
      <c r="AJ34"/>
    </row>
    <row r="35" spans="1:40" ht="14.4" x14ac:dyDescent="0.3">
      <c r="C35" s="396"/>
      <c r="D35" s="396"/>
      <c r="E35" s="396"/>
      <c r="F35" s="289" t="s">
        <v>123</v>
      </c>
      <c r="G35" s="113"/>
      <c r="H35" s="321" t="s">
        <v>152</v>
      </c>
      <c r="I35" s="400">
        <f>I33</f>
        <v>0.308</v>
      </c>
      <c r="J35" s="401"/>
      <c r="K35" s="401"/>
      <c r="L35" s="401"/>
      <c r="M35" s="401"/>
      <c r="N35" s="401"/>
      <c r="O35" s="401"/>
      <c r="P35" s="401"/>
      <c r="Q35" s="401"/>
      <c r="R35" s="401"/>
      <c r="S35" s="401"/>
      <c r="T35" s="401"/>
      <c r="U35" s="401"/>
      <c r="V35" s="401"/>
      <c r="W35" s="401"/>
      <c r="X35" s="402"/>
      <c r="Y35"/>
      <c r="Z35"/>
      <c r="AA35"/>
      <c r="AB35"/>
      <c r="AC35"/>
      <c r="AD35"/>
      <c r="AE35"/>
      <c r="AF35"/>
      <c r="AG35"/>
      <c r="AH35"/>
      <c r="AI35"/>
      <c r="AJ35"/>
    </row>
    <row r="36" spans="1:40" ht="39.6" x14ac:dyDescent="0.3">
      <c r="C36" s="397"/>
      <c r="D36" s="397"/>
      <c r="E36" s="397"/>
      <c r="F36" s="343" t="s">
        <v>125</v>
      </c>
      <c r="G36" s="340">
        <v>0.6</v>
      </c>
      <c r="H36" s="340" t="s">
        <v>153</v>
      </c>
      <c r="I36" s="398">
        <v>0.16800000000000001</v>
      </c>
      <c r="J36" s="398"/>
      <c r="K36" s="398"/>
      <c r="L36" s="398"/>
      <c r="M36" s="398"/>
      <c r="N36" s="398"/>
      <c r="O36" s="398"/>
      <c r="P36" s="398"/>
      <c r="Q36" s="398"/>
      <c r="R36" s="398"/>
      <c r="S36" s="398"/>
      <c r="T36" s="398"/>
      <c r="U36" s="398"/>
      <c r="V36" s="398"/>
      <c r="W36" s="398"/>
      <c r="X36" s="398"/>
      <c r="Y36"/>
      <c r="Z36"/>
      <c r="AA36"/>
      <c r="AB36"/>
      <c r="AC36"/>
      <c r="AD36"/>
      <c r="AE36"/>
      <c r="AF36"/>
      <c r="AG36"/>
      <c r="AH36"/>
      <c r="AI36"/>
      <c r="AJ36"/>
    </row>
    <row r="37" spans="1:40" ht="14.4" x14ac:dyDescent="0.3">
      <c r="E37" s="5" t="s">
        <v>154</v>
      </c>
      <c r="Y37"/>
      <c r="Z37"/>
      <c r="AA37"/>
      <c r="AB37"/>
      <c r="AC37"/>
      <c r="AD37"/>
      <c r="AE37"/>
      <c r="AF37"/>
      <c r="AG37"/>
      <c r="AH37"/>
      <c r="AI37"/>
      <c r="AJ37"/>
    </row>
    <row r="38" spans="1:40" ht="14.4" x14ac:dyDescent="0.3">
      <c r="E38" s="5" t="s">
        <v>155</v>
      </c>
      <c r="G38" s="2" t="s">
        <v>27</v>
      </c>
      <c r="Y38"/>
      <c r="Z38"/>
      <c r="AA38"/>
      <c r="AB38"/>
      <c r="AC38"/>
      <c r="AD38"/>
      <c r="AE38"/>
      <c r="AF38"/>
      <c r="AG38"/>
      <c r="AH38"/>
      <c r="AI38"/>
      <c r="AJ38"/>
    </row>
    <row r="39" spans="1:40" ht="14.4" x14ac:dyDescent="0.3">
      <c r="G39"/>
      <c r="H39"/>
      <c r="I39"/>
      <c r="J39"/>
      <c r="K39"/>
      <c r="L39"/>
      <c r="M39"/>
      <c r="N39"/>
      <c r="O39"/>
      <c r="P39"/>
      <c r="Q39"/>
      <c r="R39"/>
      <c r="S39"/>
      <c r="T39"/>
      <c r="U39"/>
      <c r="V39"/>
      <c r="W39"/>
      <c r="X39"/>
      <c r="Y39"/>
      <c r="Z39"/>
      <c r="AA39"/>
      <c r="AB39"/>
      <c r="AC39"/>
      <c r="AD39"/>
      <c r="AE39"/>
      <c r="AF39"/>
      <c r="AG39"/>
      <c r="AH39"/>
      <c r="AI39"/>
      <c r="AJ39"/>
    </row>
    <row r="40" spans="1:40" ht="14.4" x14ac:dyDescent="0.3">
      <c r="G40"/>
      <c r="H40"/>
      <c r="I40"/>
      <c r="J40"/>
      <c r="K40"/>
      <c r="L40"/>
      <c r="M40"/>
      <c r="N40"/>
      <c r="O40"/>
      <c r="P40"/>
      <c r="Q40"/>
      <c r="R40"/>
      <c r="S40"/>
      <c r="T40"/>
      <c r="U40"/>
      <c r="V40"/>
      <c r="W40"/>
      <c r="X40"/>
      <c r="Y40"/>
      <c r="Z40"/>
      <c r="AA40"/>
      <c r="AB40"/>
      <c r="AC40"/>
      <c r="AD40"/>
      <c r="AE40"/>
      <c r="AF40"/>
      <c r="AG40"/>
      <c r="AH40"/>
      <c r="AI40"/>
      <c r="AJ40"/>
    </row>
    <row r="41" spans="1:40" ht="14.4" x14ac:dyDescent="0.3">
      <c r="G41"/>
      <c r="H41"/>
      <c r="I41"/>
      <c r="J41"/>
      <c r="K41"/>
      <c r="L41"/>
      <c r="M41"/>
      <c r="N41"/>
      <c r="O41"/>
      <c r="P41"/>
      <c r="Q41"/>
      <c r="R41"/>
      <c r="S41"/>
      <c r="T41"/>
      <c r="U41"/>
      <c r="V41"/>
      <c r="W41"/>
      <c r="X41"/>
      <c r="Y41"/>
      <c r="Z41"/>
      <c r="AA41"/>
      <c r="AB41"/>
      <c r="AC41"/>
      <c r="AD41"/>
      <c r="AE41"/>
      <c r="AF41"/>
      <c r="AG41"/>
      <c r="AH41"/>
      <c r="AI41"/>
      <c r="AJ41"/>
    </row>
    <row r="42" spans="1:40" ht="14.4" x14ac:dyDescent="0.3">
      <c r="A42" s="62" t="s">
        <v>156</v>
      </c>
      <c r="B42" s="324"/>
      <c r="C42" s="62"/>
      <c r="D42" s="62"/>
      <c r="E42" s="62"/>
      <c r="F42" s="62"/>
      <c r="G42" s="62"/>
      <c r="H42" s="62"/>
      <c r="I42" s="62"/>
      <c r="J42" s="62"/>
      <c r="K42" s="62"/>
      <c r="L42" s="62"/>
      <c r="M42" s="62"/>
      <c r="N42" s="62"/>
      <c r="O42" s="62"/>
      <c r="P42" s="62"/>
      <c r="Q42" s="62"/>
      <c r="R42" s="62"/>
      <c r="S42" s="62"/>
      <c r="T42" s="62"/>
      <c r="U42" s="62"/>
      <c r="V42" s="62"/>
      <c r="W42" s="62"/>
      <c r="X42" s="62"/>
      <c r="Y42"/>
      <c r="Z42"/>
      <c r="AA42"/>
      <c r="AB42"/>
      <c r="AC42"/>
      <c r="AD42"/>
      <c r="AE42"/>
      <c r="AF42"/>
      <c r="AG42"/>
      <c r="AH42"/>
      <c r="AI42"/>
      <c r="AJ42"/>
    </row>
    <row r="43" spans="1:40" ht="26.4" x14ac:dyDescent="0.3">
      <c r="A43" s="370" t="s">
        <v>110</v>
      </c>
      <c r="B43" s="370" t="s">
        <v>31</v>
      </c>
      <c r="C43" s="379" t="s">
        <v>111</v>
      </c>
      <c r="D43" s="379" t="s">
        <v>157</v>
      </c>
      <c r="E43" s="370" t="s">
        <v>129</v>
      </c>
      <c r="F43" s="370" t="s">
        <v>114</v>
      </c>
      <c r="G43" s="373" t="s">
        <v>115</v>
      </c>
      <c r="H43" s="325" t="s">
        <v>158</v>
      </c>
      <c r="I43" s="326">
        <v>0.35199999999999998</v>
      </c>
      <c r="J43" s="326">
        <v>0.35199999999999998</v>
      </c>
      <c r="K43" s="326">
        <v>0.35199999999999998</v>
      </c>
      <c r="L43" s="326">
        <v>0.35199999999999998</v>
      </c>
      <c r="M43" s="326">
        <v>0.35199999999999998</v>
      </c>
      <c r="N43" s="326">
        <v>0.35199999999999998</v>
      </c>
      <c r="O43" s="326">
        <v>0.35199999999999998</v>
      </c>
      <c r="P43" s="326">
        <v>0.35199999999999998</v>
      </c>
      <c r="Q43" s="326">
        <v>0.35199999999999998</v>
      </c>
      <c r="R43" s="326">
        <v>0.35199999999999998</v>
      </c>
      <c r="S43" s="326">
        <v>0.35199999999999998</v>
      </c>
      <c r="T43" s="326">
        <v>0.35199999999999998</v>
      </c>
      <c r="U43" s="326">
        <v>0.35199999999999998</v>
      </c>
      <c r="V43" s="326">
        <v>0.35199999999999998</v>
      </c>
      <c r="W43" s="326">
        <v>0.35199999999999998</v>
      </c>
      <c r="X43" s="326">
        <v>0.35199999999999998</v>
      </c>
      <c r="Y43"/>
      <c r="Z43"/>
      <c r="AA43"/>
      <c r="AB43"/>
      <c r="AC43"/>
      <c r="AD43"/>
      <c r="AE43"/>
      <c r="AF43"/>
      <c r="AG43"/>
      <c r="AH43"/>
      <c r="AI43"/>
      <c r="AJ43"/>
    </row>
    <row r="44" spans="1:40" ht="14.4" x14ac:dyDescent="0.3">
      <c r="A44" s="371"/>
      <c r="B44" s="371"/>
      <c r="C44" s="380"/>
      <c r="D44" s="380"/>
      <c r="E44" s="371"/>
      <c r="F44" s="371"/>
      <c r="G44" s="374"/>
      <c r="H44" s="327" t="s">
        <v>159</v>
      </c>
      <c r="I44" s="328">
        <v>9.8000000000000004E-2</v>
      </c>
      <c r="J44" s="328">
        <v>6.2E-2</v>
      </c>
      <c r="K44" s="328">
        <v>8.2000000000000003E-2</v>
      </c>
      <c r="L44" s="328">
        <v>6.2E-2</v>
      </c>
      <c r="M44" s="328">
        <v>6.2E-2</v>
      </c>
      <c r="N44" s="328">
        <v>9.8000000000000004E-2</v>
      </c>
      <c r="O44" s="328">
        <v>9.8000000000000004E-2</v>
      </c>
      <c r="P44" s="328">
        <v>6.2E-2</v>
      </c>
      <c r="Q44" s="328">
        <v>6.2E-2</v>
      </c>
      <c r="R44" s="328">
        <v>6.2E-2</v>
      </c>
      <c r="S44" s="328">
        <v>6.2E-2</v>
      </c>
      <c r="T44" s="328">
        <v>6.2E-2</v>
      </c>
      <c r="U44" s="328">
        <v>6.2E-2</v>
      </c>
      <c r="V44" s="328">
        <v>6.2E-2</v>
      </c>
      <c r="W44" s="328">
        <v>6.2E-2</v>
      </c>
      <c r="X44" s="328">
        <v>6.2E-2</v>
      </c>
      <c r="Y44"/>
      <c r="Z44"/>
      <c r="AA44"/>
      <c r="AB44"/>
      <c r="AC44"/>
      <c r="AD44"/>
      <c r="AE44"/>
      <c r="AF44"/>
      <c r="AG44"/>
      <c r="AH44"/>
      <c r="AI44"/>
      <c r="AJ44"/>
    </row>
    <row r="45" spans="1:40" ht="14.4" x14ac:dyDescent="0.3">
      <c r="A45" s="371"/>
      <c r="B45" s="371"/>
      <c r="C45" s="380"/>
      <c r="D45" s="380"/>
      <c r="E45" s="371"/>
      <c r="F45" s="371"/>
      <c r="G45" s="374"/>
      <c r="H45" s="327" t="s">
        <v>160</v>
      </c>
      <c r="I45" s="329">
        <v>0.22700000000000001</v>
      </c>
      <c r="J45" s="329">
        <v>0.22700000000000001</v>
      </c>
      <c r="K45" s="329">
        <v>0.22700000000000001</v>
      </c>
      <c r="L45" s="329">
        <v>0.22700000000000001</v>
      </c>
      <c r="M45" s="329">
        <v>0.22700000000000001</v>
      </c>
      <c r="N45" s="329">
        <v>0.22700000000000001</v>
      </c>
      <c r="O45" s="329">
        <v>0.22700000000000001</v>
      </c>
      <c r="P45" s="329">
        <v>0.22700000000000001</v>
      </c>
      <c r="Q45" s="329">
        <v>0.22700000000000001</v>
      </c>
      <c r="R45" s="329">
        <v>0.22700000000000001</v>
      </c>
      <c r="S45" s="329">
        <v>0.22700000000000001</v>
      </c>
      <c r="T45" s="329">
        <v>0.22700000000000001</v>
      </c>
      <c r="U45" s="329">
        <v>0.22700000000000001</v>
      </c>
      <c r="V45" s="329">
        <v>0.22700000000000001</v>
      </c>
      <c r="W45" s="329">
        <v>0.22700000000000001</v>
      </c>
      <c r="X45" s="329">
        <v>0.22700000000000001</v>
      </c>
      <c r="Y45"/>
      <c r="Z45"/>
      <c r="AA45"/>
      <c r="AB45"/>
      <c r="AC45"/>
      <c r="AD45"/>
      <c r="AE45"/>
      <c r="AF45"/>
      <c r="AG45"/>
      <c r="AH45"/>
      <c r="AI45"/>
      <c r="AJ45"/>
    </row>
    <row r="46" spans="1:40" ht="40.200000000000003" x14ac:dyDescent="0.3">
      <c r="A46" s="372"/>
      <c r="B46" s="372"/>
      <c r="C46" s="381"/>
      <c r="D46" s="381"/>
      <c r="E46" s="372"/>
      <c r="F46" s="372"/>
      <c r="G46" s="375"/>
      <c r="H46" s="327" t="s">
        <v>458</v>
      </c>
      <c r="I46" s="376">
        <v>9.1999999999999998E-2</v>
      </c>
      <c r="J46" s="377"/>
      <c r="K46" s="377"/>
      <c r="L46" s="377"/>
      <c r="M46" s="377"/>
      <c r="N46" s="377"/>
      <c r="O46" s="377"/>
      <c r="P46" s="377"/>
      <c r="Q46" s="377"/>
      <c r="R46" s="377"/>
      <c r="S46" s="377"/>
      <c r="T46" s="377"/>
      <c r="U46" s="377"/>
      <c r="V46" s="377"/>
      <c r="W46" s="377"/>
      <c r="X46" s="378"/>
      <c r="Y46"/>
      <c r="Z46"/>
      <c r="AA46"/>
      <c r="AB46"/>
      <c r="AC46"/>
      <c r="AD46"/>
      <c r="AE46"/>
      <c r="AF46"/>
      <c r="AG46"/>
      <c r="AH46"/>
      <c r="AI46"/>
      <c r="AJ46"/>
    </row>
    <row r="47" spans="1:40" ht="14.4" x14ac:dyDescent="0.3">
      <c r="L47"/>
      <c r="M47"/>
      <c r="N47"/>
      <c r="O47"/>
      <c r="P47"/>
      <c r="Q47"/>
      <c r="R47"/>
      <c r="S47"/>
      <c r="T47"/>
      <c r="U47"/>
      <c r="V47"/>
      <c r="W47"/>
      <c r="X47"/>
      <c r="Y47"/>
      <c r="Z47"/>
      <c r="AA47"/>
      <c r="AB47"/>
      <c r="AC47"/>
      <c r="AD47"/>
      <c r="AE47"/>
      <c r="AF47"/>
      <c r="AG47"/>
      <c r="AH47"/>
      <c r="AI47"/>
      <c r="AJ47"/>
    </row>
    <row r="48" spans="1:40" ht="14.4" x14ac:dyDescent="0.3">
      <c r="A48" s="270"/>
      <c r="B48"/>
      <c r="C48"/>
      <c r="D48"/>
      <c r="E48"/>
      <c r="F48"/>
      <c r="G48"/>
      <c r="H48"/>
      <c r="I48"/>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spans="1:40" hidden="1" x14ac:dyDescent="0.25">
      <c r="A49" s="18" t="s">
        <v>86</v>
      </c>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hidden="1" x14ac:dyDescent="0.25">
      <c r="A50" s="5"/>
      <c r="B50" s="5"/>
      <c r="C50" s="5"/>
      <c r="D50" s="5"/>
      <c r="E50" s="5"/>
      <c r="F50" s="5"/>
      <c r="G50" s="5"/>
      <c r="H50" s="5"/>
      <c r="I50" s="5"/>
      <c r="J50" s="5"/>
      <c r="K50" s="5"/>
      <c r="L50" s="5"/>
      <c r="M50" s="5"/>
      <c r="N50" s="5"/>
      <c r="O50" s="5"/>
      <c r="P50" s="5"/>
      <c r="Q50" s="5"/>
      <c r="R50" s="5"/>
      <c r="S50" s="5"/>
      <c r="T50" s="5"/>
      <c r="U50" s="27"/>
      <c r="V50" s="45"/>
      <c r="W50" s="46"/>
      <c r="X50" s="46"/>
      <c r="Y50" s="46"/>
      <c r="Z50" s="46"/>
      <c r="AA50" s="46"/>
      <c r="AB50" s="46"/>
      <c r="AC50" s="46"/>
      <c r="AD50" s="46"/>
      <c r="AE50" s="46"/>
      <c r="AF50" s="46"/>
      <c r="AG50" s="46"/>
      <c r="AH50" s="46"/>
      <c r="AI50" s="46"/>
      <c r="AJ50" s="46"/>
      <c r="AK50" s="46"/>
      <c r="AL50" s="46"/>
      <c r="AM50" s="5"/>
      <c r="AN50" s="5"/>
    </row>
    <row r="51" spans="1:40" ht="14.4" hidden="1" x14ac:dyDescent="0.3">
      <c r="L51"/>
      <c r="M51"/>
      <c r="N51"/>
      <c r="O51"/>
      <c r="P51"/>
      <c r="Q51"/>
      <c r="R51"/>
      <c r="S51"/>
      <c r="T51"/>
      <c r="U51"/>
      <c r="V51"/>
      <c r="W51"/>
      <c r="X51"/>
      <c r="Y51"/>
      <c r="Z51"/>
      <c r="AA51"/>
      <c r="AB51"/>
      <c r="AC51"/>
      <c r="AD51"/>
      <c r="AE51"/>
      <c r="AF51"/>
      <c r="AG51"/>
      <c r="AH51"/>
      <c r="AI51"/>
      <c r="AJ51"/>
    </row>
    <row r="52" spans="1:40" ht="52.8" hidden="1" x14ac:dyDescent="0.3">
      <c r="A52" s="382" t="s">
        <v>110</v>
      </c>
      <c r="B52" s="382" t="str">
        <f>Prototype!$A$2</f>
        <v>SchoolRelocatable</v>
      </c>
      <c r="C52" s="384" t="s">
        <v>111</v>
      </c>
      <c r="D52" s="384" t="s">
        <v>112</v>
      </c>
      <c r="E52" s="382" t="s">
        <v>113</v>
      </c>
      <c r="F52" s="339" t="s">
        <v>114</v>
      </c>
      <c r="G52" s="339" t="s">
        <v>115</v>
      </c>
      <c r="H52" s="338" t="s">
        <v>161</v>
      </c>
      <c r="I52" s="255">
        <v>0.35199999999999998</v>
      </c>
      <c r="J52" s="255">
        <v>0.35199999999999998</v>
      </c>
      <c r="K52" s="255">
        <v>0.35199999999999998</v>
      </c>
      <c r="L52" s="255">
        <v>0.35199999999999998</v>
      </c>
      <c r="M52" s="255">
        <v>0.35199999999999998</v>
      </c>
      <c r="N52" s="255">
        <v>0.35199999999999998</v>
      </c>
      <c r="O52" s="255">
        <v>0.35199999999999998</v>
      </c>
      <c r="P52" s="255">
        <v>0.35199999999999998</v>
      </c>
      <c r="Q52" s="255">
        <v>0.35199999999999998</v>
      </c>
      <c r="R52" s="255">
        <v>0.35199999999999998</v>
      </c>
      <c r="S52" s="255">
        <v>0.35199999999999998</v>
      </c>
      <c r="T52" s="255">
        <v>0.35199999999999998</v>
      </c>
      <c r="U52" s="255">
        <v>0.35199999999999998</v>
      </c>
      <c r="V52" s="255">
        <v>0.35199999999999998</v>
      </c>
      <c r="W52" s="255">
        <v>0.35199999999999998</v>
      </c>
      <c r="X52" s="255">
        <v>0.35199999999999998</v>
      </c>
      <c r="Y52"/>
      <c r="Z52"/>
      <c r="AA52"/>
      <c r="AB52"/>
      <c r="AC52"/>
      <c r="AD52"/>
      <c r="AE52"/>
      <c r="AF52"/>
      <c r="AG52"/>
      <c r="AH52"/>
      <c r="AI52"/>
      <c r="AJ52"/>
    </row>
    <row r="53" spans="1:40" ht="26.4" hidden="1" x14ac:dyDescent="0.3">
      <c r="A53" s="383"/>
      <c r="B53" s="383"/>
      <c r="C53" s="385"/>
      <c r="D53" s="385"/>
      <c r="E53" s="383"/>
      <c r="F53" s="167" t="s">
        <v>117</v>
      </c>
      <c r="G53" s="167">
        <v>1986</v>
      </c>
      <c r="H53" s="168" t="s">
        <v>162</v>
      </c>
      <c r="I53" s="172">
        <v>0.150829562594268</v>
      </c>
      <c r="J53" s="172">
        <v>0.15748031496062992</v>
      </c>
      <c r="K53" s="172">
        <v>0.15748031496062992</v>
      </c>
      <c r="L53" s="172">
        <v>0.14367816091954022</v>
      </c>
      <c r="M53" s="172">
        <v>0.14367816091954022</v>
      </c>
      <c r="N53" s="172">
        <v>0.21645021645021645</v>
      </c>
      <c r="O53" s="172">
        <v>0.21645021645021645</v>
      </c>
      <c r="P53" s="172">
        <v>0.21645021645021645</v>
      </c>
      <c r="Q53" s="172">
        <v>0.21645021645021645</v>
      </c>
      <c r="R53" s="172">
        <v>0.21645021645021645</v>
      </c>
      <c r="S53" s="172">
        <v>0.18621973929236499</v>
      </c>
      <c r="T53" s="172">
        <v>0.18621973929236499</v>
      </c>
      <c r="U53" s="172">
        <v>0.18621973929236499</v>
      </c>
      <c r="V53" s="172">
        <v>0.15873015873015872</v>
      </c>
      <c r="W53" s="172">
        <v>0.15873015873015872</v>
      </c>
      <c r="X53" s="172">
        <v>0.15082956259426847</v>
      </c>
      <c r="Y53"/>
      <c r="Z53"/>
      <c r="AA53"/>
      <c r="AB53"/>
      <c r="AC53"/>
      <c r="AD53"/>
      <c r="AE53"/>
      <c r="AF53"/>
      <c r="AG53"/>
      <c r="AH53"/>
      <c r="AI53"/>
      <c r="AJ53"/>
    </row>
    <row r="54" spans="1:40" ht="14.4" x14ac:dyDescent="0.3">
      <c r="L54"/>
      <c r="M54"/>
      <c r="N54"/>
      <c r="O54"/>
      <c r="P54"/>
      <c r="Q54"/>
      <c r="R54"/>
      <c r="S54"/>
      <c r="T54"/>
      <c r="U54"/>
      <c r="V54"/>
      <c r="W54"/>
      <c r="X54"/>
      <c r="Y54"/>
      <c r="Z54"/>
      <c r="AA54"/>
      <c r="AB54"/>
      <c r="AC54"/>
      <c r="AD54"/>
      <c r="AE54"/>
      <c r="AF54"/>
      <c r="AG54"/>
      <c r="AH54"/>
      <c r="AI54"/>
      <c r="AJ54"/>
    </row>
    <row r="55" spans="1:40" ht="14.4" x14ac:dyDescent="0.3">
      <c r="L55"/>
      <c r="M55"/>
      <c r="N55"/>
      <c r="O55"/>
      <c r="P55"/>
      <c r="Q55"/>
      <c r="R55"/>
      <c r="S55"/>
      <c r="T55"/>
      <c r="U55"/>
      <c r="V55"/>
      <c r="W55"/>
      <c r="X55"/>
      <c r="Y55"/>
      <c r="Z55"/>
      <c r="AA55"/>
      <c r="AB55"/>
      <c r="AC55"/>
      <c r="AD55"/>
      <c r="AE55"/>
      <c r="AF55"/>
      <c r="AG55"/>
      <c r="AH55"/>
      <c r="AI55"/>
      <c r="AJ55"/>
    </row>
    <row r="56" spans="1:40" ht="14.4" x14ac:dyDescent="0.3">
      <c r="L56"/>
      <c r="M56"/>
      <c r="N56"/>
      <c r="O56"/>
      <c r="P56"/>
      <c r="Q56"/>
      <c r="R56"/>
      <c r="S56"/>
      <c r="T56"/>
      <c r="U56"/>
      <c r="V56"/>
      <c r="W56"/>
      <c r="X56"/>
      <c r="Y56"/>
      <c r="Z56"/>
      <c r="AA56"/>
      <c r="AB56"/>
      <c r="AC56"/>
      <c r="AD56"/>
      <c r="AE56"/>
      <c r="AF56"/>
      <c r="AG56"/>
      <c r="AH56"/>
      <c r="AI56"/>
      <c r="AJ56"/>
    </row>
    <row r="57" spans="1:40" ht="14.4" x14ac:dyDescent="0.3">
      <c r="L57"/>
      <c r="M57"/>
      <c r="N57"/>
      <c r="O57"/>
      <c r="P57"/>
      <c r="Q57"/>
      <c r="R57"/>
      <c r="S57"/>
      <c r="T57"/>
      <c r="U57"/>
      <c r="V57"/>
      <c r="W57"/>
      <c r="X57"/>
      <c r="Y57"/>
      <c r="Z57"/>
      <c r="AA57"/>
      <c r="AB57"/>
      <c r="AC57"/>
      <c r="AD57"/>
      <c r="AE57"/>
      <c r="AF57"/>
      <c r="AG57"/>
      <c r="AH57"/>
      <c r="AI57"/>
      <c r="AJ57"/>
    </row>
  </sheetData>
  <mergeCells count="49">
    <mergeCell ref="C31:C36"/>
    <mergeCell ref="D31:D36"/>
    <mergeCell ref="C29:X29"/>
    <mergeCell ref="A15:A26"/>
    <mergeCell ref="A1:X1"/>
    <mergeCell ref="D21:D22"/>
    <mergeCell ref="D23:D26"/>
    <mergeCell ref="B9:B14"/>
    <mergeCell ref="B15:B20"/>
    <mergeCell ref="B21:B26"/>
    <mergeCell ref="A9:A14"/>
    <mergeCell ref="H15:H16"/>
    <mergeCell ref="H21:H22"/>
    <mergeCell ref="A3:A8"/>
    <mergeCell ref="B3:B8"/>
    <mergeCell ref="C3:C8"/>
    <mergeCell ref="D3:D8"/>
    <mergeCell ref="E3:E8"/>
    <mergeCell ref="E9:E14"/>
    <mergeCell ref="E31:E36"/>
    <mergeCell ref="I31:X31"/>
    <mergeCell ref="I32:X32"/>
    <mergeCell ref="I33:X33"/>
    <mergeCell ref="I34:X34"/>
    <mergeCell ref="I36:X36"/>
    <mergeCell ref="I35:X35"/>
    <mergeCell ref="H9:H10"/>
    <mergeCell ref="E15:E20"/>
    <mergeCell ref="I30:X30"/>
    <mergeCell ref="E21:E26"/>
    <mergeCell ref="C15:C20"/>
    <mergeCell ref="C21:C26"/>
    <mergeCell ref="D15:D16"/>
    <mergeCell ref="D17:D20"/>
    <mergeCell ref="C9:C14"/>
    <mergeCell ref="D9:D14"/>
    <mergeCell ref="A52:A53"/>
    <mergeCell ref="B52:B53"/>
    <mergeCell ref="C52:C53"/>
    <mergeCell ref="D52:D53"/>
    <mergeCell ref="E52:E53"/>
    <mergeCell ref="F43:F46"/>
    <mergeCell ref="G43:G46"/>
    <mergeCell ref="I46:X46"/>
    <mergeCell ref="A43:A46"/>
    <mergeCell ref="B43:B46"/>
    <mergeCell ref="C43:C46"/>
    <mergeCell ref="D43:D46"/>
    <mergeCell ref="E43:E46"/>
  </mergeCells>
  <phoneticPr fontId="5" type="noConversion"/>
  <hyperlinks>
    <hyperlink ref="A27" r:id="rId1" display="* California Legislature Environmental Health Condions in California's Portable Classrooms" xr:uid="{2E871B48-82C0-4F9C-B33B-C8EAE5D9D2BA}"/>
    <hyperlink ref="G38"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59D0099C-57CC-4AC6-A0D2-B2D1DDCBC5C0}"/>
    <hyperlink ref="H31" r:id="rId3" xr:uid="{CDE28D04-D138-44A0-9744-C344451F93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5"/>
  <sheetViews>
    <sheetView zoomScale="85" zoomScaleNormal="85" zoomScaleSheetLayoutView="40" workbookViewId="0">
      <selection sqref="A1:H1"/>
    </sheetView>
  </sheetViews>
  <sheetFormatPr defaultColWidth="8.6640625" defaultRowHeight="13.2" x14ac:dyDescent="0.25"/>
  <cols>
    <col min="1" max="1" width="39" style="5" customWidth="1"/>
    <col min="2" max="2" width="34.6640625" style="5" customWidth="1"/>
    <col min="3" max="3" width="29.109375" style="5" customWidth="1"/>
    <col min="4" max="4" width="29.44140625" style="5" customWidth="1"/>
    <col min="5" max="5" width="37.44140625" style="5" bestFit="1" customWidth="1"/>
    <col min="6" max="6" width="48.33203125" style="5" bestFit="1" customWidth="1"/>
    <col min="7" max="7" width="34" style="5" customWidth="1"/>
    <col min="8" max="8" width="25.109375" style="5" bestFit="1" customWidth="1"/>
    <col min="9" max="9" width="51.33203125" style="5" bestFit="1"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x14ac:dyDescent="0.25">
      <c r="A1" s="413" t="str">
        <f>"HVAC system - "&amp;Prototype!A2</f>
        <v>HVAC system - SchoolRelocatable</v>
      </c>
      <c r="B1" s="414"/>
      <c r="C1" s="414"/>
      <c r="D1" s="414"/>
      <c r="E1" s="414"/>
      <c r="F1" s="414"/>
      <c r="G1" s="414"/>
      <c r="H1" s="414"/>
    </row>
    <row r="2" spans="1:9" ht="19.2" customHeight="1" x14ac:dyDescent="0.25">
      <c r="A2" s="87" t="s">
        <v>92</v>
      </c>
      <c r="B2" s="57" t="s">
        <v>146</v>
      </c>
      <c r="C2" s="57" t="s">
        <v>163</v>
      </c>
      <c r="D2" s="57" t="s">
        <v>164</v>
      </c>
      <c r="E2" s="57" t="s">
        <v>165</v>
      </c>
      <c r="F2" s="57" t="s">
        <v>166</v>
      </c>
      <c r="G2" s="57" t="s">
        <v>167</v>
      </c>
      <c r="H2" s="57" t="s">
        <v>148</v>
      </c>
    </row>
    <row r="3" spans="1:9" ht="42" customHeight="1" x14ac:dyDescent="0.25">
      <c r="A3" s="352" t="s">
        <v>123</v>
      </c>
      <c r="B3" s="352" t="s">
        <v>74</v>
      </c>
      <c r="C3" s="352" t="s">
        <v>168</v>
      </c>
      <c r="D3" s="352" t="s">
        <v>169</v>
      </c>
      <c r="E3" s="352" t="s">
        <v>170</v>
      </c>
      <c r="F3" s="352" t="s">
        <v>171</v>
      </c>
      <c r="G3" s="358" t="s">
        <v>172</v>
      </c>
      <c r="H3" s="352" t="s">
        <v>173</v>
      </c>
      <c r="I3" s="349"/>
    </row>
    <row r="4" spans="1:9" ht="47.25" customHeight="1" x14ac:dyDescent="0.25">
      <c r="A4" s="134" t="s">
        <v>174</v>
      </c>
      <c r="B4" s="352" t="s">
        <v>74</v>
      </c>
      <c r="C4" s="352" t="s">
        <v>168</v>
      </c>
      <c r="D4" s="352" t="s">
        <v>169</v>
      </c>
      <c r="E4" s="352" t="s">
        <v>170</v>
      </c>
      <c r="F4" s="352" t="s">
        <v>171</v>
      </c>
      <c r="G4" s="358" t="s">
        <v>172</v>
      </c>
      <c r="H4" s="352" t="s">
        <v>173</v>
      </c>
      <c r="I4" s="56"/>
    </row>
    <row r="5" spans="1:9" ht="25.95" customHeight="1" x14ac:dyDescent="0.25">
      <c r="A5" s="8"/>
      <c r="B5" s="8"/>
      <c r="C5" s="361"/>
      <c r="D5" s="361"/>
      <c r="E5" s="361"/>
      <c r="F5" s="56"/>
      <c r="G5" s="56"/>
      <c r="H5" s="56"/>
      <c r="I5" s="56"/>
    </row>
    <row r="6" spans="1:9" ht="15.6" customHeight="1" x14ac:dyDescent="0.25">
      <c r="A6" s="361"/>
      <c r="B6" s="361"/>
      <c r="C6" s="361"/>
      <c r="D6" s="361"/>
      <c r="E6" s="361"/>
    </row>
    <row r="7" spans="1:9" x14ac:dyDescent="0.25">
      <c r="A7" s="349"/>
      <c r="B7" s="361"/>
      <c r="C7" s="361"/>
      <c r="D7" s="361"/>
      <c r="E7" s="361"/>
    </row>
    <row r="8" spans="1:9" x14ac:dyDescent="0.25">
      <c r="A8" s="361"/>
      <c r="B8" s="361"/>
      <c r="C8" s="361"/>
      <c r="D8" s="361"/>
      <c r="E8" s="361"/>
    </row>
    <row r="9" spans="1:9" ht="43.5" customHeight="1" x14ac:dyDescent="0.25">
      <c r="A9" s="418" t="s">
        <v>175</v>
      </c>
      <c r="B9" s="418"/>
      <c r="C9" s="418"/>
      <c r="D9" s="418"/>
      <c r="E9" s="418"/>
      <c r="F9" s="418"/>
      <c r="G9" s="418"/>
      <c r="H9" s="418"/>
    </row>
    <row r="10" spans="1:9" ht="43.95" customHeight="1" x14ac:dyDescent="0.25">
      <c r="A10" s="353" t="s">
        <v>92</v>
      </c>
      <c r="B10" s="353" t="s">
        <v>176</v>
      </c>
      <c r="C10" s="341" t="s">
        <v>177</v>
      </c>
      <c r="D10" s="341" t="s">
        <v>178</v>
      </c>
      <c r="E10" s="350" t="s">
        <v>179</v>
      </c>
      <c r="F10" s="417" t="s">
        <v>167</v>
      </c>
      <c r="G10" s="417"/>
      <c r="H10" s="353" t="s">
        <v>148</v>
      </c>
    </row>
    <row r="11" spans="1:9" ht="22.2" customHeight="1" x14ac:dyDescent="0.25">
      <c r="A11" s="343" t="s">
        <v>114</v>
      </c>
      <c r="B11" s="409">
        <v>2008</v>
      </c>
      <c r="C11" s="426" t="s">
        <v>180</v>
      </c>
      <c r="D11" s="425" t="s">
        <v>181</v>
      </c>
      <c r="E11" s="427" t="s">
        <v>182</v>
      </c>
      <c r="F11" s="422" t="s">
        <v>183</v>
      </c>
      <c r="G11" s="422"/>
      <c r="H11" s="419" t="s">
        <v>173</v>
      </c>
    </row>
    <row r="12" spans="1:9" ht="20.399999999999999" customHeight="1" x14ac:dyDescent="0.25">
      <c r="A12" s="343" t="s">
        <v>117</v>
      </c>
      <c r="B12" s="409"/>
      <c r="C12" s="426"/>
      <c r="D12" s="425"/>
      <c r="E12" s="428"/>
      <c r="F12" s="422"/>
      <c r="G12" s="422"/>
      <c r="H12" s="420"/>
    </row>
    <row r="13" spans="1:9" ht="19.95" customHeight="1" x14ac:dyDescent="0.25">
      <c r="A13" s="343" t="s">
        <v>119</v>
      </c>
      <c r="B13" s="409"/>
      <c r="C13" s="426"/>
      <c r="D13" s="425"/>
      <c r="E13" s="429"/>
      <c r="F13" s="422"/>
      <c r="G13" s="422"/>
      <c r="H13" s="420"/>
    </row>
    <row r="14" spans="1:9" ht="30" customHeight="1" x14ac:dyDescent="0.25">
      <c r="A14" s="343" t="s">
        <v>121</v>
      </c>
      <c r="B14" s="356">
        <v>2013</v>
      </c>
      <c r="C14" s="351" t="s">
        <v>180</v>
      </c>
      <c r="D14" s="352" t="s">
        <v>181</v>
      </c>
      <c r="E14" s="139" t="s">
        <v>182</v>
      </c>
      <c r="F14" s="422" t="s">
        <v>184</v>
      </c>
      <c r="G14" s="422"/>
      <c r="H14" s="421"/>
    </row>
    <row r="15" spans="1:9" ht="33.75" customHeight="1" x14ac:dyDescent="0.3">
      <c r="A15" s="136" t="s">
        <v>174</v>
      </c>
      <c r="B15" s="137">
        <v>2025</v>
      </c>
      <c r="C15" s="138" t="s">
        <v>185</v>
      </c>
      <c r="D15" s="138" t="s">
        <v>181</v>
      </c>
      <c r="E15" s="138" t="s">
        <v>186</v>
      </c>
      <c r="F15" s="423" t="s">
        <v>187</v>
      </c>
      <c r="G15" s="424"/>
      <c r="H15" s="352" t="s">
        <v>173</v>
      </c>
      <c r="I15"/>
    </row>
    <row r="16" spans="1:9" x14ac:dyDescent="0.25">
      <c r="B16" s="6"/>
      <c r="C16" s="6"/>
      <c r="D16" s="30"/>
      <c r="E16" s="6"/>
    </row>
    <row r="17" spans="1:40" x14ac:dyDescent="0.25">
      <c r="A17" s="335"/>
      <c r="B17" s="335"/>
      <c r="C17" s="335"/>
      <c r="D17" s="335"/>
      <c r="E17" s="335"/>
    </row>
    <row r="18" spans="1:40" ht="22.35" customHeight="1" x14ac:dyDescent="0.3">
      <c r="A18" s="415" t="s">
        <v>188</v>
      </c>
      <c r="B18" s="416"/>
      <c r="C18" s="416"/>
      <c r="D18" s="416"/>
      <c r="E18" s="416"/>
      <c r="F18" s="416"/>
      <c r="G18" s="416"/>
      <c r="H18" s="416"/>
      <c r="I18"/>
    </row>
    <row r="19" spans="1:40" ht="27.6" customHeight="1" x14ac:dyDescent="0.3">
      <c r="A19" s="261" t="s">
        <v>92</v>
      </c>
      <c r="B19" s="258" t="s">
        <v>189</v>
      </c>
      <c r="C19" s="258" t="s">
        <v>190</v>
      </c>
      <c r="D19" s="259" t="s">
        <v>191</v>
      </c>
      <c r="E19" s="259" t="s">
        <v>192</v>
      </c>
      <c r="F19" s="259" t="s">
        <v>193</v>
      </c>
      <c r="G19" s="259" t="s">
        <v>194</v>
      </c>
      <c r="H19" s="261" t="s">
        <v>195</v>
      </c>
      <c r="I19"/>
    </row>
    <row r="20" spans="1:40" ht="176.1" customHeight="1" x14ac:dyDescent="0.25">
      <c r="A20" s="359" t="s">
        <v>123</v>
      </c>
      <c r="B20" s="264" t="s">
        <v>196</v>
      </c>
      <c r="C20" s="265" t="s">
        <v>197</v>
      </c>
      <c r="D20" s="218">
        <v>2.5</v>
      </c>
      <c r="E20" s="265">
        <v>0.65</v>
      </c>
      <c r="F20" s="218" t="s">
        <v>198</v>
      </c>
      <c r="G20" s="266"/>
      <c r="H20" s="271" t="s">
        <v>199</v>
      </c>
      <c r="I20" s="257" t="s">
        <v>200</v>
      </c>
    </row>
    <row r="21" spans="1:40" ht="21.6" customHeight="1" x14ac:dyDescent="0.3">
      <c r="A21" s="260" t="s">
        <v>201</v>
      </c>
      <c r="B21" s="262"/>
      <c r="C21" s="262"/>
      <c r="D21" s="262"/>
      <c r="E21" s="262"/>
      <c r="F21" s="262"/>
      <c r="G21" s="262"/>
      <c r="H21" s="263"/>
      <c r="I21"/>
    </row>
    <row r="22" spans="1:40" ht="19.350000000000001" customHeight="1" x14ac:dyDescent="0.3">
      <c r="A22" s="260" t="s">
        <v>202</v>
      </c>
      <c r="B22" s="262"/>
      <c r="C22" s="262"/>
      <c r="D22" s="262"/>
      <c r="E22" s="262"/>
      <c r="F22" s="262"/>
      <c r="G22" s="262"/>
      <c r="H22" s="263"/>
      <c r="I22"/>
    </row>
    <row r="23" spans="1:40" ht="69.75" customHeight="1" x14ac:dyDescent="0.3">
      <c r="A23" s="272" t="s">
        <v>174</v>
      </c>
      <c r="B23" s="273" t="s">
        <v>172</v>
      </c>
      <c r="C23" s="273" t="s">
        <v>203</v>
      </c>
      <c r="D23" s="273" t="s">
        <v>204</v>
      </c>
      <c r="E23" s="273">
        <v>0.65</v>
      </c>
      <c r="F23" s="273" t="s">
        <v>205</v>
      </c>
      <c r="G23" s="273">
        <v>0.74399999999999999</v>
      </c>
      <c r="H23" s="274" t="s">
        <v>206</v>
      </c>
      <c r="I23" s="267"/>
    </row>
    <row r="24" spans="1:40" ht="12.75" customHeight="1" x14ac:dyDescent="0.3">
      <c r="A24" s="268"/>
      <c r="B24" s="268"/>
      <c r="C24" s="268"/>
      <c r="D24" s="269"/>
      <c r="E24" s="268"/>
      <c r="F24" s="269"/>
      <c r="G24" s="268"/>
      <c r="H24" s="268"/>
      <c r="I24"/>
    </row>
    <row r="25" spans="1:40" ht="31.5" customHeight="1" x14ac:dyDescent="0.3">
      <c r="A25" s="410" t="s">
        <v>207</v>
      </c>
      <c r="B25" s="430"/>
      <c r="C25" s="430"/>
      <c r="D25" s="430"/>
      <c r="E25" s="430"/>
      <c r="F25" s="430"/>
      <c r="G25" s="430"/>
      <c r="H25" s="430"/>
      <c r="I25"/>
      <c r="J25" s="335"/>
      <c r="K25" s="335"/>
      <c r="L25" s="335"/>
      <c r="M25" s="335"/>
      <c r="N25" s="335"/>
      <c r="O25" s="335"/>
      <c r="P25" s="335"/>
      <c r="Q25" s="335"/>
      <c r="R25" s="335"/>
      <c r="S25" s="335"/>
      <c r="T25" s="335"/>
      <c r="U25" s="335"/>
      <c r="V25" s="335"/>
      <c r="W25" s="335"/>
      <c r="X25" s="335"/>
      <c r="Y25" s="335"/>
      <c r="Z25" s="335"/>
      <c r="AA25" s="335"/>
      <c r="AB25" s="335"/>
      <c r="AC25" s="335"/>
      <c r="AD25" s="335"/>
      <c r="AE25" s="412"/>
      <c r="AF25" s="412"/>
      <c r="AG25" s="412"/>
      <c r="AH25" s="412"/>
      <c r="AI25" s="412"/>
      <c r="AJ25" s="412"/>
      <c r="AK25" s="412"/>
      <c r="AL25" s="412"/>
      <c r="AM25" s="412"/>
      <c r="AN25" s="412"/>
    </row>
    <row r="26" spans="1:40" ht="44.25" customHeight="1" x14ac:dyDescent="0.3">
      <c r="A26" s="410" t="s">
        <v>208</v>
      </c>
      <c r="B26" s="411"/>
      <c r="C26" s="411"/>
      <c r="D26" s="411"/>
      <c r="E26" s="411"/>
      <c r="F26" s="411"/>
      <c r="G26" s="411"/>
      <c r="H26" s="411"/>
      <c r="I26"/>
      <c r="J26" s="335"/>
      <c r="K26" s="335"/>
      <c r="L26" s="335"/>
      <c r="M26" s="335"/>
      <c r="N26" s="335"/>
      <c r="O26" s="335"/>
      <c r="P26" s="335"/>
      <c r="Q26" s="335"/>
      <c r="R26" s="335"/>
      <c r="S26" s="335"/>
      <c r="T26" s="335"/>
      <c r="U26" s="335"/>
      <c r="V26" s="335"/>
      <c r="W26" s="335"/>
      <c r="X26" s="335"/>
      <c r="Y26" s="335"/>
      <c r="Z26" s="335"/>
      <c r="AA26" s="335"/>
      <c r="AB26" s="335"/>
      <c r="AC26" s="335"/>
      <c r="AD26" s="335"/>
      <c r="AE26" s="412"/>
      <c r="AF26" s="412"/>
      <c r="AG26" s="412"/>
      <c r="AH26" s="412"/>
      <c r="AI26" s="412"/>
      <c r="AJ26" s="412"/>
      <c r="AK26" s="412"/>
      <c r="AL26" s="412"/>
      <c r="AM26" s="412"/>
      <c r="AN26" s="412"/>
    </row>
    <row r="27" spans="1:40" ht="12.75" customHeight="1" x14ac:dyDescent="0.3">
      <c r="A27"/>
      <c r="B27"/>
      <c r="C27"/>
      <c r="D27"/>
      <c r="E27"/>
      <c r="F27"/>
      <c r="G27"/>
      <c r="H27"/>
      <c r="I27"/>
      <c r="J27" s="335"/>
      <c r="K27" s="335"/>
      <c r="L27" s="335"/>
      <c r="M27" s="335"/>
      <c r="N27" s="335"/>
      <c r="O27" s="335"/>
      <c r="P27" s="335"/>
      <c r="Q27" s="335"/>
      <c r="R27" s="335"/>
      <c r="S27" s="335"/>
      <c r="T27" s="335"/>
      <c r="U27" s="335"/>
      <c r="V27" s="335"/>
      <c r="W27" s="335"/>
      <c r="X27" s="335"/>
      <c r="Y27" s="335"/>
      <c r="Z27" s="335"/>
      <c r="AA27" s="335"/>
      <c r="AB27" s="335"/>
      <c r="AC27" s="335"/>
      <c r="AD27" s="335"/>
      <c r="AE27" s="412"/>
      <c r="AF27" s="412"/>
      <c r="AG27" s="412"/>
      <c r="AH27" s="412"/>
      <c r="AI27" s="412"/>
      <c r="AJ27" s="412"/>
      <c r="AK27" s="412"/>
      <c r="AL27" s="412"/>
      <c r="AM27" s="412"/>
      <c r="AN27" s="412"/>
    </row>
    <row r="28" spans="1:40" ht="12.75" customHeight="1" x14ac:dyDescent="0.3">
      <c r="A28"/>
      <c r="B28"/>
      <c r="C28"/>
      <c r="D28"/>
      <c r="E28"/>
      <c r="F28"/>
      <c r="G28"/>
      <c r="H28"/>
      <c r="I28"/>
    </row>
    <row r="29" spans="1:40" ht="12.75" customHeight="1" x14ac:dyDescent="0.3">
      <c r="A29"/>
      <c r="B29"/>
      <c r="C29"/>
      <c r="D29"/>
      <c r="E29"/>
      <c r="F29"/>
      <c r="G29"/>
      <c r="H29"/>
      <c r="I29"/>
    </row>
    <row r="30" spans="1:40" ht="12.75" customHeight="1" x14ac:dyDescent="0.3">
      <c r="A30" s="270"/>
      <c r="B30"/>
      <c r="C30"/>
      <c r="D30"/>
      <c r="E30"/>
      <c r="F30"/>
      <c r="G30"/>
      <c r="H30"/>
      <c r="I30"/>
    </row>
    <row r="31" spans="1:40" s="18" customFormat="1" hidden="1" x14ac:dyDescent="0.25">
      <c r="A31" s="18" t="s">
        <v>86</v>
      </c>
    </row>
    <row r="32" spans="1:40" x14ac:dyDescent="0.25">
      <c r="U32" s="27"/>
      <c r="V32" s="45"/>
      <c r="W32" s="46"/>
      <c r="X32" s="46"/>
      <c r="Y32" s="46"/>
      <c r="Z32" s="46"/>
      <c r="AA32" s="46"/>
      <c r="AB32" s="46"/>
      <c r="AC32" s="46"/>
      <c r="AD32" s="46"/>
      <c r="AE32" s="46"/>
      <c r="AF32" s="46"/>
      <c r="AG32" s="46"/>
      <c r="AH32" s="46"/>
      <c r="AI32" s="46"/>
      <c r="AJ32" s="46"/>
      <c r="AK32" s="46"/>
      <c r="AL32" s="46"/>
    </row>
    <row r="33" spans="21:38" x14ac:dyDescent="0.25">
      <c r="U33" s="27"/>
      <c r="V33" s="45"/>
      <c r="W33" s="46"/>
      <c r="X33" s="46"/>
      <c r="Y33" s="46"/>
      <c r="Z33" s="46"/>
      <c r="AA33" s="46"/>
      <c r="AB33" s="46"/>
      <c r="AC33" s="46"/>
      <c r="AD33" s="46"/>
      <c r="AE33" s="46"/>
      <c r="AF33" s="46"/>
      <c r="AG33" s="46"/>
      <c r="AH33" s="46"/>
      <c r="AI33" s="46"/>
      <c r="AJ33" s="46"/>
      <c r="AK33" s="46"/>
      <c r="AL33" s="46"/>
    </row>
    <row r="34" spans="21:38" x14ac:dyDescent="0.25">
      <c r="U34" s="27"/>
      <c r="V34" s="45"/>
      <c r="W34" s="46"/>
      <c r="X34" s="46"/>
      <c r="Y34" s="46"/>
      <c r="Z34" s="46"/>
      <c r="AA34" s="46"/>
      <c r="AB34" s="46"/>
      <c r="AC34" s="46"/>
      <c r="AD34" s="46"/>
      <c r="AE34" s="46"/>
      <c r="AF34" s="46"/>
      <c r="AG34" s="46"/>
      <c r="AH34" s="46"/>
      <c r="AI34" s="46"/>
      <c r="AJ34" s="46"/>
      <c r="AK34" s="46"/>
      <c r="AL34" s="46"/>
    </row>
    <row r="35" spans="21:38" x14ac:dyDescent="0.25">
      <c r="U35" s="27"/>
      <c r="V35" s="45"/>
      <c r="W35" s="46"/>
      <c r="X35" s="46"/>
      <c r="Y35" s="46"/>
      <c r="Z35" s="46"/>
      <c r="AA35" s="46"/>
      <c r="AB35" s="46"/>
      <c r="AC35" s="46"/>
      <c r="AD35" s="46"/>
      <c r="AE35" s="46"/>
      <c r="AF35" s="46"/>
      <c r="AG35" s="46"/>
      <c r="AH35" s="46"/>
      <c r="AI35" s="46"/>
      <c r="AJ35" s="46"/>
      <c r="AK35" s="46"/>
      <c r="AL35" s="46"/>
    </row>
    <row r="36" spans="21:38" x14ac:dyDescent="0.25">
      <c r="U36" s="27"/>
      <c r="V36" s="45"/>
      <c r="W36" s="46"/>
      <c r="X36" s="46"/>
      <c r="Y36" s="46"/>
      <c r="Z36" s="46"/>
      <c r="AA36" s="46"/>
      <c r="AB36" s="46"/>
      <c r="AC36" s="46"/>
      <c r="AD36" s="46"/>
      <c r="AE36" s="46"/>
      <c r="AF36" s="46"/>
      <c r="AG36" s="46"/>
      <c r="AH36" s="46"/>
      <c r="AI36" s="46"/>
      <c r="AJ36" s="46"/>
      <c r="AK36" s="46"/>
      <c r="AL36" s="46"/>
    </row>
    <row r="37" spans="21:38" x14ac:dyDescent="0.25">
      <c r="U37" s="27"/>
      <c r="W37" s="26"/>
      <c r="X37" s="26"/>
      <c r="Y37" s="26"/>
      <c r="Z37" s="26"/>
      <c r="AA37" s="26"/>
      <c r="AB37" s="26"/>
      <c r="AC37" s="26"/>
      <c r="AD37" s="26"/>
      <c r="AE37" s="26"/>
      <c r="AF37" s="26"/>
      <c r="AG37" s="26"/>
      <c r="AH37" s="26"/>
      <c r="AI37" s="26"/>
      <c r="AJ37" s="26"/>
      <c r="AK37" s="26"/>
      <c r="AL37" s="26"/>
    </row>
    <row r="38" spans="21:38" x14ac:dyDescent="0.25">
      <c r="U38" s="28"/>
      <c r="W38" s="27"/>
      <c r="X38" s="27"/>
      <c r="Y38" s="27"/>
      <c r="Z38" s="27"/>
      <c r="AA38" s="27"/>
      <c r="AB38" s="27"/>
      <c r="AC38" s="27"/>
      <c r="AD38" s="27"/>
      <c r="AE38" s="27"/>
      <c r="AF38" s="27"/>
      <c r="AG38" s="27"/>
      <c r="AH38" s="27"/>
      <c r="AI38" s="27"/>
      <c r="AJ38" s="27"/>
      <c r="AK38" s="27"/>
      <c r="AL38" s="27"/>
    </row>
    <row r="39" spans="21:38" x14ac:dyDescent="0.25">
      <c r="U39" s="27"/>
    </row>
    <row r="42" spans="21:38" x14ac:dyDescent="0.25">
      <c r="U42" s="25"/>
      <c r="V42" s="25"/>
      <c r="W42" s="44"/>
      <c r="X42" s="44"/>
      <c r="Y42" s="44"/>
      <c r="Z42" s="44"/>
      <c r="AA42" s="44"/>
      <c r="AB42" s="44"/>
      <c r="AC42" s="44"/>
      <c r="AD42" s="44"/>
      <c r="AE42" s="44"/>
      <c r="AF42" s="44"/>
      <c r="AG42" s="44"/>
      <c r="AH42" s="44"/>
      <c r="AI42" s="44"/>
      <c r="AJ42" s="44"/>
      <c r="AK42" s="44"/>
      <c r="AL42" s="44"/>
    </row>
    <row r="43" spans="21:38" x14ac:dyDescent="0.25">
      <c r="V43" s="29"/>
    </row>
    <row r="44" spans="21:38" x14ac:dyDescent="0.25">
      <c r="U44" s="27"/>
      <c r="V44" s="29"/>
    </row>
    <row r="45" spans="21:38" x14ac:dyDescent="0.25">
      <c r="U45" s="27"/>
      <c r="V45" s="29"/>
    </row>
    <row r="46" spans="21:38" x14ac:dyDescent="0.25">
      <c r="U46" s="27"/>
      <c r="V46" s="29"/>
    </row>
    <row r="47" spans="21:38" x14ac:dyDescent="0.25">
      <c r="U47" s="27"/>
      <c r="V47" s="29"/>
    </row>
    <row r="48" spans="21:38" x14ac:dyDescent="0.25">
      <c r="U48" s="27"/>
      <c r="V48" s="29"/>
    </row>
    <row r="49" spans="21:38" x14ac:dyDescent="0.25">
      <c r="U49" s="27"/>
      <c r="V49" s="29"/>
    </row>
    <row r="50" spans="21:38" x14ac:dyDescent="0.25">
      <c r="U50" s="27"/>
      <c r="V50" s="29"/>
    </row>
    <row r="51" spans="21:38" x14ac:dyDescent="0.25">
      <c r="U51" s="27"/>
      <c r="V51" s="29"/>
    </row>
    <row r="52" spans="21:38" x14ac:dyDescent="0.25">
      <c r="U52" s="27"/>
      <c r="V52" s="29"/>
    </row>
    <row r="53" spans="21:38" x14ac:dyDescent="0.25">
      <c r="U53" s="27"/>
      <c r="V53" s="29"/>
    </row>
    <row r="54" spans="21:38" x14ac:dyDescent="0.25">
      <c r="U54" s="27"/>
      <c r="V54" s="29"/>
    </row>
    <row r="55" spans="21:38" x14ac:dyDescent="0.25">
      <c r="U55" s="27"/>
      <c r="V55" s="29"/>
    </row>
    <row r="56" spans="21:38" x14ac:dyDescent="0.25">
      <c r="U56" s="27"/>
      <c r="V56" s="29"/>
    </row>
    <row r="57" spans="21:38" x14ac:dyDescent="0.25">
      <c r="U57" s="27"/>
      <c r="V57" s="29"/>
    </row>
    <row r="58" spans="21:38" x14ac:dyDescent="0.25">
      <c r="U58" s="27"/>
      <c r="V58" s="29"/>
    </row>
    <row r="59" spans="21:38" x14ac:dyDescent="0.25">
      <c r="U59" s="27"/>
      <c r="V59" s="29"/>
    </row>
    <row r="60" spans="21:38" x14ac:dyDescent="0.25">
      <c r="U60" s="27"/>
      <c r="V60" s="29"/>
    </row>
    <row r="61" spans="21:38" x14ac:dyDescent="0.25">
      <c r="U61" s="27"/>
      <c r="V61" s="29"/>
    </row>
    <row r="62" spans="21:38" x14ac:dyDescent="0.25">
      <c r="U62" s="27"/>
      <c r="V62" s="29"/>
    </row>
    <row r="63" spans="21:38" x14ac:dyDescent="0.25">
      <c r="U63" s="27"/>
      <c r="V63" s="29"/>
    </row>
    <row r="64" spans="21:38" x14ac:dyDescent="0.25">
      <c r="U64" s="27"/>
      <c r="W64" s="26"/>
      <c r="X64" s="26"/>
      <c r="Y64" s="26"/>
      <c r="Z64" s="26"/>
      <c r="AA64" s="26"/>
      <c r="AB64" s="26"/>
      <c r="AC64" s="26"/>
      <c r="AD64" s="26"/>
      <c r="AE64" s="26"/>
      <c r="AF64" s="26"/>
      <c r="AG64" s="26"/>
      <c r="AH64" s="26"/>
      <c r="AI64" s="26"/>
      <c r="AJ64" s="26"/>
      <c r="AK64" s="26"/>
      <c r="AL64" s="26"/>
    </row>
    <row r="65" spans="21:38" x14ac:dyDescent="0.25">
      <c r="U65" s="28"/>
      <c r="W65" s="27"/>
      <c r="X65" s="27"/>
      <c r="Y65" s="27"/>
      <c r="Z65" s="27"/>
      <c r="AA65" s="27"/>
      <c r="AB65" s="27"/>
      <c r="AC65" s="27"/>
      <c r="AD65" s="27"/>
      <c r="AE65" s="27"/>
      <c r="AF65" s="27"/>
      <c r="AG65" s="27"/>
      <c r="AH65" s="27"/>
      <c r="AI65" s="27"/>
      <c r="AJ65" s="27"/>
      <c r="AK65" s="27"/>
      <c r="AL65" s="27"/>
    </row>
  </sheetData>
  <mergeCells count="29">
    <mergeCell ref="A1:H1"/>
    <mergeCell ref="A18:H18"/>
    <mergeCell ref="AE25:AF25"/>
    <mergeCell ref="AG25:AH25"/>
    <mergeCell ref="AI25:AJ25"/>
    <mergeCell ref="F10:G10"/>
    <mergeCell ref="A9:H9"/>
    <mergeCell ref="H11:H14"/>
    <mergeCell ref="F11:G13"/>
    <mergeCell ref="F14:G14"/>
    <mergeCell ref="F15:G15"/>
    <mergeCell ref="D11:D13"/>
    <mergeCell ref="C11:C13"/>
    <mergeCell ref="B11:B13"/>
    <mergeCell ref="E11:E13"/>
    <mergeCell ref="A25:H25"/>
    <mergeCell ref="AM27:AN27"/>
    <mergeCell ref="AK25:AL25"/>
    <mergeCell ref="AM25:AN25"/>
    <mergeCell ref="AE26:AF26"/>
    <mergeCell ref="AG26:AH26"/>
    <mergeCell ref="AI26:AJ26"/>
    <mergeCell ref="AK26:AL26"/>
    <mergeCell ref="AM26:AN26"/>
    <mergeCell ref="A26:H26"/>
    <mergeCell ref="AE27:AF27"/>
    <mergeCell ref="AG27:AH27"/>
    <mergeCell ref="AI27:AJ27"/>
    <mergeCell ref="AK27:AL27"/>
  </mergeCells>
  <phoneticPr fontId="5"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5"/>
  <sheetViews>
    <sheetView zoomScale="80" zoomScaleNormal="80" workbookViewId="0">
      <selection sqref="A1:R1"/>
    </sheetView>
  </sheetViews>
  <sheetFormatPr defaultRowHeight="14.4" x14ac:dyDescent="0.3"/>
  <cols>
    <col min="1" max="1" width="57.88671875" customWidth="1"/>
    <col min="18" max="18" width="17.6640625" customWidth="1"/>
  </cols>
  <sheetData>
    <row r="1" spans="1:18" ht="24" customHeight="1" x14ac:dyDescent="0.3">
      <c r="A1" s="418" t="str">
        <f>"Thermostat Setpoints - "&amp;Prototype!A2</f>
        <v>Thermostat Setpoints - SchoolRelocatable</v>
      </c>
      <c r="B1" s="418"/>
      <c r="C1" s="418"/>
      <c r="D1" s="418"/>
      <c r="E1" s="418"/>
      <c r="F1" s="418"/>
      <c r="G1" s="418"/>
      <c r="H1" s="418"/>
      <c r="I1" s="418"/>
      <c r="J1" s="418"/>
      <c r="K1" s="418"/>
      <c r="L1" s="418"/>
      <c r="M1" s="418"/>
      <c r="N1" s="418"/>
      <c r="O1" s="418"/>
      <c r="P1" s="418"/>
      <c r="Q1" s="418"/>
      <c r="R1" s="418"/>
    </row>
    <row r="2" spans="1:18" ht="21.6" customHeight="1" x14ac:dyDescent="0.3">
      <c r="A2" s="357" t="s">
        <v>209</v>
      </c>
      <c r="B2" s="353" t="s">
        <v>94</v>
      </c>
      <c r="C2" s="353" t="s">
        <v>95</v>
      </c>
      <c r="D2" s="353" t="s">
        <v>96</v>
      </c>
      <c r="E2" s="353" t="s">
        <v>97</v>
      </c>
      <c r="F2" s="353" t="s">
        <v>98</v>
      </c>
      <c r="G2" s="353" t="s">
        <v>99</v>
      </c>
      <c r="H2" s="353" t="s">
        <v>100</v>
      </c>
      <c r="I2" s="353" t="s">
        <v>101</v>
      </c>
      <c r="J2" s="353" t="s">
        <v>102</v>
      </c>
      <c r="K2" s="353" t="s">
        <v>103</v>
      </c>
      <c r="L2" s="353" t="s">
        <v>104</v>
      </c>
      <c r="M2" s="353" t="s">
        <v>105</v>
      </c>
      <c r="N2" s="353" t="s">
        <v>106</v>
      </c>
      <c r="O2" s="353" t="s">
        <v>107</v>
      </c>
      <c r="P2" s="353" t="s">
        <v>108</v>
      </c>
      <c r="Q2" s="353" t="s">
        <v>109</v>
      </c>
      <c r="R2" s="67" t="s">
        <v>167</v>
      </c>
    </row>
    <row r="3" spans="1:18" ht="26.4" customHeight="1" x14ac:dyDescent="0.3">
      <c r="A3" s="342" t="s">
        <v>210</v>
      </c>
      <c r="B3" s="343">
        <v>70</v>
      </c>
      <c r="C3" s="343">
        <v>70</v>
      </c>
      <c r="D3" s="343">
        <v>70</v>
      </c>
      <c r="E3" s="343">
        <v>70</v>
      </c>
      <c r="F3" s="343">
        <v>70</v>
      </c>
      <c r="G3" s="343">
        <v>70</v>
      </c>
      <c r="H3" s="343">
        <v>70</v>
      </c>
      <c r="I3" s="343">
        <v>70</v>
      </c>
      <c r="J3" s="343">
        <v>70</v>
      </c>
      <c r="K3" s="343">
        <v>70</v>
      </c>
      <c r="L3" s="343">
        <v>70</v>
      </c>
      <c r="M3" s="343">
        <v>70</v>
      </c>
      <c r="N3" s="343">
        <v>70</v>
      </c>
      <c r="O3" s="343">
        <v>70</v>
      </c>
      <c r="P3" s="343">
        <v>70</v>
      </c>
      <c r="Q3" s="343">
        <v>70</v>
      </c>
      <c r="R3" s="431" t="s">
        <v>211</v>
      </c>
    </row>
    <row r="4" spans="1:18" ht="26.4" customHeight="1" x14ac:dyDescent="0.3">
      <c r="A4" s="342" t="s">
        <v>212</v>
      </c>
      <c r="B4" s="343">
        <v>60</v>
      </c>
      <c r="C4" s="343">
        <v>60</v>
      </c>
      <c r="D4" s="343">
        <v>60</v>
      </c>
      <c r="E4" s="343">
        <v>60</v>
      </c>
      <c r="F4" s="343">
        <v>60</v>
      </c>
      <c r="G4" s="343">
        <v>60</v>
      </c>
      <c r="H4" s="343">
        <v>60</v>
      </c>
      <c r="I4" s="343">
        <v>60</v>
      </c>
      <c r="J4" s="343">
        <v>60</v>
      </c>
      <c r="K4" s="343">
        <v>60</v>
      </c>
      <c r="L4" s="343">
        <v>60</v>
      </c>
      <c r="M4" s="343">
        <v>60</v>
      </c>
      <c r="N4" s="343">
        <v>60</v>
      </c>
      <c r="O4" s="343">
        <v>60</v>
      </c>
      <c r="P4" s="343">
        <v>60</v>
      </c>
      <c r="Q4" s="343">
        <v>60</v>
      </c>
      <c r="R4" s="431"/>
    </row>
    <row r="5" spans="1:18" ht="22.95" customHeight="1" x14ac:dyDescent="0.3">
      <c r="A5" s="342" t="s">
        <v>213</v>
      </c>
      <c r="B5" s="343">
        <v>75</v>
      </c>
      <c r="C5" s="343">
        <v>75</v>
      </c>
      <c r="D5" s="343">
        <v>75</v>
      </c>
      <c r="E5" s="343">
        <v>75</v>
      </c>
      <c r="F5" s="343">
        <v>75</v>
      </c>
      <c r="G5" s="343">
        <v>75</v>
      </c>
      <c r="H5" s="343">
        <v>75</v>
      </c>
      <c r="I5" s="343">
        <v>75</v>
      </c>
      <c r="J5" s="343">
        <v>75</v>
      </c>
      <c r="K5" s="343">
        <v>75</v>
      </c>
      <c r="L5" s="343">
        <v>75</v>
      </c>
      <c r="M5" s="343">
        <v>75</v>
      </c>
      <c r="N5" s="343">
        <v>75</v>
      </c>
      <c r="O5" s="343">
        <v>75</v>
      </c>
      <c r="P5" s="343">
        <v>75</v>
      </c>
      <c r="Q5" s="343">
        <v>75</v>
      </c>
      <c r="R5" s="431" t="s">
        <v>211</v>
      </c>
    </row>
    <row r="6" spans="1:18" ht="22.95" customHeight="1" x14ac:dyDescent="0.3">
      <c r="A6" s="342" t="s">
        <v>214</v>
      </c>
      <c r="B6" s="343">
        <v>85</v>
      </c>
      <c r="C6" s="343">
        <v>85</v>
      </c>
      <c r="D6" s="343">
        <v>85</v>
      </c>
      <c r="E6" s="343">
        <v>85</v>
      </c>
      <c r="F6" s="343">
        <v>85</v>
      </c>
      <c r="G6" s="343">
        <v>85</v>
      </c>
      <c r="H6" s="343">
        <v>85</v>
      </c>
      <c r="I6" s="343">
        <v>85</v>
      </c>
      <c r="J6" s="343">
        <v>85</v>
      </c>
      <c r="K6" s="343">
        <v>85</v>
      </c>
      <c r="L6" s="343">
        <v>85</v>
      </c>
      <c r="M6" s="343">
        <v>85</v>
      </c>
      <c r="N6" s="343">
        <v>85</v>
      </c>
      <c r="O6" s="343">
        <v>85</v>
      </c>
      <c r="P6" s="343">
        <v>85</v>
      </c>
      <c r="Q6" s="343">
        <v>85</v>
      </c>
      <c r="R6" s="431"/>
    </row>
    <row r="7" spans="1:18" ht="22.95" customHeight="1" x14ac:dyDescent="0.3">
      <c r="A7" s="1"/>
      <c r="B7" s="63"/>
      <c r="C7" s="82"/>
      <c r="D7" s="82"/>
      <c r="E7" s="63"/>
      <c r="F7" s="82"/>
      <c r="G7" s="82"/>
      <c r="H7" s="82"/>
      <c r="I7" s="82"/>
    </row>
    <row r="8" spans="1:18" ht="22.95" customHeight="1" x14ac:dyDescent="0.3">
      <c r="A8" s="1"/>
      <c r="B8" s="82"/>
      <c r="C8" s="82"/>
      <c r="D8" s="82"/>
      <c r="E8" s="82"/>
      <c r="F8" s="82"/>
      <c r="G8" s="82"/>
      <c r="H8" s="82"/>
      <c r="I8" s="82"/>
    </row>
    <row r="9" spans="1:18" ht="22.95" customHeight="1" x14ac:dyDescent="0.3">
      <c r="A9" s="82"/>
      <c r="B9" s="82"/>
      <c r="C9" s="82"/>
      <c r="D9" s="82"/>
      <c r="E9" s="82"/>
      <c r="F9" s="82"/>
      <c r="G9" s="82"/>
      <c r="H9" s="82"/>
      <c r="I9" s="82"/>
    </row>
    <row r="10" spans="1:18" ht="22.95" customHeight="1" x14ac:dyDescent="0.3">
      <c r="A10" s="82"/>
      <c r="B10" s="82"/>
      <c r="C10" s="82"/>
      <c r="D10" s="82"/>
      <c r="E10" s="82"/>
      <c r="F10" s="82"/>
      <c r="G10" s="82"/>
      <c r="H10" s="82"/>
      <c r="I10" s="82"/>
    </row>
    <row r="11" spans="1:18" ht="22.95" customHeight="1" x14ac:dyDescent="0.3">
      <c r="A11" s="114"/>
      <c r="B11" s="114"/>
      <c r="C11" s="114"/>
      <c r="D11" s="114"/>
      <c r="E11" s="114"/>
      <c r="F11" s="114"/>
      <c r="G11" s="114"/>
      <c r="H11" s="114"/>
      <c r="I11" s="114"/>
    </row>
    <row r="12" spans="1:18" ht="22.95" customHeight="1" x14ac:dyDescent="0.3">
      <c r="A12" s="82"/>
      <c r="B12" s="82"/>
      <c r="C12" s="82"/>
      <c r="D12" s="82"/>
      <c r="E12" s="82"/>
      <c r="F12" s="82"/>
      <c r="G12" s="82"/>
      <c r="H12" s="82"/>
      <c r="I12" s="82"/>
    </row>
    <row r="13" spans="1:18" ht="22.95" customHeight="1" x14ac:dyDescent="0.3">
      <c r="A13" s="82"/>
      <c r="B13" s="82"/>
      <c r="C13" s="82"/>
      <c r="D13" s="82"/>
      <c r="E13" s="82"/>
      <c r="F13" s="82"/>
      <c r="G13" s="82"/>
      <c r="H13" s="82"/>
      <c r="I13" s="82"/>
    </row>
    <row r="14" spans="1:18" ht="22.95" customHeight="1" x14ac:dyDescent="0.3">
      <c r="A14" s="82"/>
      <c r="B14" s="82"/>
      <c r="C14" s="82"/>
      <c r="D14" s="82"/>
      <c r="E14" s="82"/>
      <c r="F14" s="82"/>
      <c r="G14" s="82"/>
      <c r="H14" s="82"/>
      <c r="I14" s="82"/>
    </row>
    <row r="15" spans="1:18" ht="22.95" customHeight="1" x14ac:dyDescent="0.3">
      <c r="A15" s="82"/>
      <c r="B15" s="82"/>
      <c r="C15" s="82"/>
      <c r="D15" s="82"/>
      <c r="E15" s="82"/>
      <c r="F15" s="82"/>
      <c r="G15" s="82"/>
      <c r="H15" s="82"/>
      <c r="I15" s="82"/>
    </row>
    <row r="16" spans="1:18" ht="22.95" customHeight="1" x14ac:dyDescent="0.3">
      <c r="A16" s="82"/>
      <c r="B16" s="82"/>
      <c r="C16" s="82"/>
      <c r="D16" s="82"/>
      <c r="E16" s="82"/>
      <c r="F16" s="82"/>
      <c r="G16" s="82"/>
      <c r="H16" s="82"/>
      <c r="I16" s="82"/>
    </row>
    <row r="17" spans="1:9" ht="22.95" customHeight="1" x14ac:dyDescent="0.3">
      <c r="A17" s="82"/>
      <c r="B17" s="82"/>
      <c r="C17" s="82"/>
      <c r="D17" s="82"/>
      <c r="E17" s="82"/>
      <c r="F17" s="82"/>
      <c r="G17" s="82"/>
      <c r="H17" s="82"/>
      <c r="I17" s="82"/>
    </row>
    <row r="18" spans="1:9" ht="22.95" customHeight="1" x14ac:dyDescent="0.3">
      <c r="A18" s="82"/>
      <c r="B18" s="82"/>
      <c r="C18" s="82"/>
      <c r="D18" s="82"/>
      <c r="E18" s="82"/>
      <c r="F18" s="82"/>
      <c r="G18" s="82"/>
      <c r="H18" s="82"/>
      <c r="I18" s="82"/>
    </row>
    <row r="19" spans="1:9" ht="22.95" customHeight="1" x14ac:dyDescent="0.3">
      <c r="A19" s="82"/>
      <c r="B19" s="82"/>
      <c r="C19" s="82"/>
      <c r="D19" s="82"/>
      <c r="E19" s="82"/>
      <c r="F19" s="82"/>
      <c r="G19" s="82"/>
      <c r="H19" s="82"/>
      <c r="I19" s="82"/>
    </row>
    <row r="20" spans="1:9" ht="22.95" customHeight="1" x14ac:dyDescent="0.3">
      <c r="A20" s="82"/>
      <c r="B20" s="82"/>
      <c r="C20" s="82"/>
      <c r="D20" s="82"/>
      <c r="E20" s="82"/>
      <c r="F20" s="82"/>
      <c r="G20" s="82"/>
      <c r="H20" s="82"/>
      <c r="I20" s="82"/>
    </row>
    <row r="21" spans="1:9" ht="22.95" customHeight="1" x14ac:dyDescent="0.3">
      <c r="A21" s="82"/>
      <c r="B21" s="82"/>
      <c r="C21" s="82"/>
      <c r="D21" s="82"/>
      <c r="E21" s="82"/>
      <c r="F21" s="82"/>
      <c r="G21" s="82"/>
      <c r="H21" s="82"/>
      <c r="I21" s="82"/>
    </row>
    <row r="22" spans="1:9" ht="22.95" customHeight="1" x14ac:dyDescent="0.3">
      <c r="A22" s="82"/>
      <c r="B22" s="82"/>
      <c r="C22" s="82"/>
      <c r="D22" s="82"/>
      <c r="E22" s="82"/>
      <c r="F22" s="82"/>
      <c r="G22" s="82"/>
      <c r="H22" s="82"/>
      <c r="I22" s="82"/>
    </row>
    <row r="23" spans="1:9" ht="22.95" customHeight="1" x14ac:dyDescent="0.3">
      <c r="A23" s="82"/>
      <c r="B23" s="82"/>
      <c r="C23" s="82"/>
      <c r="D23" s="82"/>
      <c r="E23" s="82"/>
      <c r="F23" s="82"/>
      <c r="G23" s="82"/>
      <c r="H23" s="82"/>
      <c r="I23" s="82"/>
    </row>
    <row r="24" spans="1:9" ht="22.95" customHeight="1" x14ac:dyDescent="0.3">
      <c r="A24" s="82"/>
      <c r="B24" s="82"/>
      <c r="C24" s="82"/>
      <c r="D24" s="82"/>
      <c r="E24" s="82"/>
      <c r="F24" s="82"/>
      <c r="G24" s="82"/>
      <c r="H24" s="82"/>
      <c r="I24" s="82"/>
    </row>
    <row r="25" spans="1:9" ht="22.95" customHeight="1" x14ac:dyDescent="0.3">
      <c r="A25" s="82"/>
      <c r="B25" s="82"/>
      <c r="C25" s="82"/>
      <c r="D25" s="82"/>
      <c r="E25" s="82"/>
      <c r="F25" s="82"/>
      <c r="G25" s="82"/>
      <c r="H25" s="82"/>
      <c r="I25" s="82"/>
    </row>
  </sheetData>
  <mergeCells count="3">
    <mergeCell ref="R3:R4"/>
    <mergeCell ref="A1:R1"/>
    <mergeCell ref="R5: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17"/>
  <sheetViews>
    <sheetView zoomScale="80" zoomScaleNormal="80" workbookViewId="0">
      <pane xSplit="1" topLeftCell="B1" activePane="topRight" state="frozen"/>
      <selection pane="topRight" sqref="A1:K1"/>
    </sheetView>
  </sheetViews>
  <sheetFormatPr defaultColWidth="9.33203125" defaultRowHeight="13.8" x14ac:dyDescent="0.25"/>
  <cols>
    <col min="1" max="1" width="54" style="50" customWidth="1"/>
    <col min="2" max="2" width="49.6640625" style="50" customWidth="1"/>
    <col min="3" max="5" width="20.33203125" style="50" customWidth="1"/>
    <col min="6" max="6" width="25.33203125" style="50" bestFit="1" customWidth="1"/>
    <col min="7" max="7" width="19.6640625" style="50" customWidth="1"/>
    <col min="8" max="8" width="23.6640625" style="50" customWidth="1"/>
    <col min="9" max="9" width="13.6640625" style="50" customWidth="1"/>
    <col min="10" max="10" width="11.6640625" style="50" customWidth="1"/>
    <col min="11" max="11" width="13.6640625" style="50" customWidth="1"/>
    <col min="12" max="12" width="68.33203125" style="50" customWidth="1"/>
    <col min="13" max="13" width="12.33203125" style="50" customWidth="1"/>
    <col min="14" max="14" width="13.6640625" style="50" customWidth="1"/>
    <col min="15" max="15" width="12.33203125" style="50" customWidth="1"/>
    <col min="16" max="16" width="18.109375" style="50" customWidth="1"/>
    <col min="17" max="17" width="17.109375" style="50" customWidth="1"/>
    <col min="18" max="18" width="22.44140625" style="50" customWidth="1"/>
    <col min="19" max="19" width="21.6640625" style="50" customWidth="1"/>
    <col min="20" max="20" width="9.33203125" style="50" customWidth="1"/>
    <col min="21" max="21" width="23.33203125" style="50" customWidth="1"/>
    <col min="22" max="25" width="11.33203125" style="50" customWidth="1"/>
    <col min="26" max="16384" width="9.33203125" style="50"/>
  </cols>
  <sheetData>
    <row r="1" spans="1:22" ht="24.6" customHeight="1" thickBot="1" x14ac:dyDescent="0.3">
      <c r="A1" s="432" t="str">
        <f>"Outdoor Airflow Rate - "&amp;Prototype!A2</f>
        <v>Outdoor Airflow Rate - SchoolRelocatable</v>
      </c>
      <c r="B1" s="433"/>
      <c r="C1" s="433"/>
      <c r="D1" s="433"/>
      <c r="E1" s="433"/>
      <c r="F1" s="433"/>
      <c r="G1" s="433"/>
      <c r="H1" s="433"/>
      <c r="I1" s="433"/>
      <c r="J1" s="433"/>
      <c r="K1" s="433"/>
      <c r="L1" s="71"/>
      <c r="M1" s="3"/>
      <c r="N1" s="3"/>
      <c r="O1" s="3"/>
      <c r="P1" s="3"/>
      <c r="Q1" s="3"/>
      <c r="R1" s="3"/>
      <c r="S1" s="3"/>
      <c r="T1" s="3"/>
      <c r="U1" s="3"/>
      <c r="V1" s="3"/>
    </row>
    <row r="2" spans="1:22" ht="76.2" customHeight="1" x14ac:dyDescent="0.25">
      <c r="A2" s="105" t="s">
        <v>215</v>
      </c>
      <c r="B2" s="106" t="s">
        <v>62</v>
      </c>
      <c r="C2" s="106" t="s">
        <v>71</v>
      </c>
      <c r="D2" s="107" t="s">
        <v>216</v>
      </c>
      <c r="E2" s="108" t="s">
        <v>217</v>
      </c>
      <c r="F2" s="108" t="s">
        <v>218</v>
      </c>
      <c r="G2" s="108" t="s">
        <v>219</v>
      </c>
      <c r="H2" s="108" t="s">
        <v>220</v>
      </c>
      <c r="I2" s="108" t="s">
        <v>221</v>
      </c>
      <c r="J2" s="108" t="s">
        <v>222</v>
      </c>
      <c r="K2" s="109" t="s">
        <v>223</v>
      </c>
      <c r="L2" s="110" t="s">
        <v>30</v>
      </c>
      <c r="M2" s="3"/>
      <c r="N2" s="3"/>
      <c r="O2" s="3"/>
      <c r="P2" s="3"/>
      <c r="Q2" s="3"/>
      <c r="R2" s="3"/>
      <c r="S2" s="3"/>
      <c r="T2" s="3"/>
      <c r="U2" s="3"/>
      <c r="V2" s="3"/>
    </row>
    <row r="3" spans="1:22" ht="23.4" customHeight="1" x14ac:dyDescent="0.25">
      <c r="A3" s="342" t="str">
        <f>Zones!C3</f>
        <v>Classroom, Lecture, Training, Vocational Areas</v>
      </c>
      <c r="B3" s="342" t="str">
        <f>Zones!D3</f>
        <v>Classroom</v>
      </c>
      <c r="C3" s="102">
        <f>Zones!L3</f>
        <v>24</v>
      </c>
      <c r="D3" s="102">
        <f>Zones!I3</f>
        <v>960</v>
      </c>
      <c r="E3" s="343">
        <v>15</v>
      </c>
      <c r="F3" s="94">
        <v>0.15</v>
      </c>
      <c r="G3" s="94"/>
      <c r="H3" s="65">
        <f t="shared" ref="H3" si="0">C3*E3</f>
        <v>360</v>
      </c>
      <c r="I3" s="66">
        <f t="shared" ref="I3" si="1">D3*F3</f>
        <v>144</v>
      </c>
      <c r="J3" s="66">
        <f t="shared" ref="J3" si="2">G3*D3</f>
        <v>0</v>
      </c>
      <c r="K3" s="65">
        <f>MAX(H3,I3,J3)</f>
        <v>360</v>
      </c>
      <c r="L3" s="65"/>
      <c r="M3" s="3"/>
      <c r="N3" s="3"/>
      <c r="O3" s="3"/>
      <c r="P3" s="3"/>
      <c r="Q3" s="3"/>
      <c r="R3" s="3"/>
      <c r="S3" s="3"/>
      <c r="T3" s="3"/>
      <c r="U3" s="3"/>
      <c r="V3" s="81"/>
    </row>
    <row r="4" spans="1:22" ht="23.4" customHeight="1" x14ac:dyDescent="0.25">
      <c r="A4" s="342" t="str">
        <f>Zones!C4</f>
        <v>Unoccupied-Exclude from Gross Floor Area</v>
      </c>
      <c r="B4" s="342" t="str">
        <f>Zones!D4</f>
        <v>Crawlspace</v>
      </c>
      <c r="C4" s="102">
        <f>Zones!L4</f>
        <v>0</v>
      </c>
      <c r="D4" s="102">
        <f>Zones!I4</f>
        <v>960</v>
      </c>
      <c r="E4" s="343"/>
      <c r="F4" s="94"/>
      <c r="G4" s="94"/>
      <c r="H4" s="65">
        <f t="shared" ref="H4" si="3">C4*E4</f>
        <v>0</v>
      </c>
      <c r="I4" s="66">
        <f t="shared" ref="I4" si="4">D4*F4</f>
        <v>0</v>
      </c>
      <c r="J4" s="66">
        <f t="shared" ref="J4" si="5">G4*D4</f>
        <v>0</v>
      </c>
      <c r="K4" s="65">
        <f t="shared" ref="K4" si="6">MAX(H4,I4,J4)</f>
        <v>0</v>
      </c>
      <c r="L4" s="65"/>
      <c r="M4" s="3"/>
      <c r="N4" s="3"/>
      <c r="O4" s="3"/>
      <c r="P4" s="3"/>
      <c r="Q4" s="3"/>
      <c r="R4" s="3"/>
      <c r="S4" s="3"/>
      <c r="T4" s="3"/>
      <c r="U4" s="3"/>
      <c r="V4" s="81"/>
    </row>
    <row r="5" spans="1:22" ht="24.6" customHeight="1" x14ac:dyDescent="0.25">
      <c r="A5" s="342"/>
      <c r="B5" s="342" t="str">
        <f>Zones!D5</f>
        <v>Total (2 spaces)</v>
      </c>
      <c r="C5" s="102">
        <f>Zones!L5</f>
        <v>24</v>
      </c>
      <c r="D5" s="102">
        <f>Zones!I5</f>
        <v>1920</v>
      </c>
      <c r="E5" s="343"/>
      <c r="F5" s="343"/>
      <c r="G5" s="343"/>
      <c r="H5" s="65">
        <f>SUM(H3:H4)</f>
        <v>360</v>
      </c>
      <c r="I5" s="65">
        <f>SUM(I3:I4)</f>
        <v>144</v>
      </c>
      <c r="J5" s="65">
        <f>SUM(J3:J4)</f>
        <v>0</v>
      </c>
      <c r="K5" s="65">
        <f>SUM(K3:K4)</f>
        <v>360</v>
      </c>
      <c r="L5" s="343"/>
      <c r="M5" s="3"/>
      <c r="N5" s="3"/>
      <c r="O5" s="3"/>
      <c r="P5" s="3"/>
      <c r="Q5" s="3"/>
      <c r="R5" s="3"/>
      <c r="S5" s="3"/>
      <c r="T5" s="3"/>
      <c r="U5" s="3"/>
      <c r="V5" s="3"/>
    </row>
    <row r="6" spans="1:22" ht="24.6" customHeight="1" x14ac:dyDescent="0.25">
      <c r="A6" s="3"/>
      <c r="B6" s="3"/>
      <c r="C6" s="3"/>
      <c r="D6" s="3"/>
      <c r="E6" s="3"/>
      <c r="F6" s="3"/>
      <c r="G6" s="3"/>
      <c r="H6" s="3"/>
      <c r="I6" s="3"/>
      <c r="J6" s="3"/>
      <c r="K6" s="3"/>
      <c r="L6" s="3"/>
      <c r="M6" s="3"/>
      <c r="N6" s="3"/>
      <c r="O6" s="3"/>
      <c r="P6" s="3"/>
      <c r="Q6" s="3"/>
      <c r="R6" s="3"/>
      <c r="S6" s="3"/>
      <c r="T6" s="3"/>
      <c r="U6" s="3"/>
      <c r="V6" s="3"/>
    </row>
    <row r="7" spans="1:22" ht="24.6" customHeight="1" x14ac:dyDescent="0.25">
      <c r="A7" s="3"/>
      <c r="B7" s="3"/>
      <c r="C7" s="3"/>
      <c r="D7" s="3"/>
      <c r="E7" s="3"/>
      <c r="F7" s="3"/>
      <c r="G7" s="3"/>
      <c r="H7" s="3"/>
      <c r="I7" s="3"/>
      <c r="J7" s="3"/>
      <c r="K7" s="3"/>
      <c r="L7" s="3"/>
      <c r="M7" s="3"/>
      <c r="N7" s="3"/>
      <c r="O7" s="3"/>
      <c r="P7" s="3"/>
      <c r="Q7" s="3"/>
      <c r="R7" s="3"/>
      <c r="S7" s="3"/>
      <c r="T7" s="3"/>
      <c r="U7" s="3"/>
      <c r="V7" s="3"/>
    </row>
    <row r="17" spans="1:12" x14ac:dyDescent="0.25">
      <c r="A17" s="3"/>
      <c r="B17" s="3"/>
      <c r="C17" s="3"/>
      <c r="D17" s="3"/>
      <c r="E17" s="3"/>
      <c r="F17" s="3"/>
      <c r="G17" s="3"/>
      <c r="H17" s="3"/>
      <c r="I17" s="3"/>
      <c r="J17" s="3"/>
      <c r="K17" s="3"/>
      <c r="L17" s="3"/>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51"/>
  <sheetViews>
    <sheetView zoomScale="80" zoomScaleNormal="80" workbookViewId="0">
      <selection sqref="A1:H1"/>
    </sheetView>
  </sheetViews>
  <sheetFormatPr defaultColWidth="8.6640625" defaultRowHeight="12.75" customHeight="1" x14ac:dyDescent="0.25"/>
  <cols>
    <col min="1" max="1" width="55.33203125" style="5" customWidth="1"/>
    <col min="2" max="3" width="22.5546875" style="5" customWidth="1"/>
    <col min="4" max="4" width="20.88671875" style="5" customWidth="1"/>
    <col min="5" max="5" width="21.44140625" style="5" customWidth="1"/>
    <col min="6" max="6" width="31.5546875" style="5" customWidth="1"/>
    <col min="7" max="7" width="30.88671875" style="5" customWidth="1"/>
    <col min="8" max="8" width="30.5546875" style="5" bestFit="1" customWidth="1"/>
    <col min="9" max="9" width="25.88671875" style="5" customWidth="1"/>
    <col min="10" max="10" width="50.109375" style="5" customWidth="1"/>
    <col min="11" max="13" width="15.33203125" style="5" customWidth="1"/>
    <col min="14" max="14" width="12.33203125" style="5" customWidth="1"/>
    <col min="15" max="15" width="13.33203125" style="5" customWidth="1"/>
    <col min="16" max="16" width="15.33203125" style="5" customWidth="1"/>
    <col min="17" max="17" width="11" style="5" customWidth="1"/>
    <col min="18" max="21" width="15.33203125" style="5" customWidth="1"/>
    <col min="22" max="22" width="7.6640625" style="5" hidden="1" customWidth="1"/>
    <col min="23" max="23" width="12.44140625" style="5" hidden="1" customWidth="1"/>
    <col min="24" max="39" width="6.5546875" style="5" hidden="1" customWidth="1"/>
    <col min="40" max="40" width="15.33203125" style="5" customWidth="1"/>
    <col min="41" max="41" width="11.33203125" style="5" customWidth="1"/>
    <col min="42" max="42" width="6.33203125" style="5" customWidth="1"/>
    <col min="43" max="46" width="4.6640625" style="5" customWidth="1"/>
    <col min="47" max="47" width="6.33203125" style="5" customWidth="1"/>
    <col min="48" max="62" width="4.6640625" style="5" customWidth="1"/>
    <col min="63" max="16384" width="8.6640625" style="5"/>
  </cols>
  <sheetData>
    <row r="1" spans="1:18" ht="30" customHeight="1" x14ac:dyDescent="0.25">
      <c r="A1" s="435" t="str">
        <f>"Water Heater -"&amp;Prototype!A2</f>
        <v>Water Heater -SchoolRelocatable</v>
      </c>
      <c r="B1" s="436"/>
      <c r="C1" s="436"/>
      <c r="D1" s="436"/>
      <c r="E1" s="436"/>
      <c r="F1" s="436"/>
      <c r="G1" s="436"/>
      <c r="H1" s="436"/>
    </row>
    <row r="2" spans="1:18" ht="22.2" customHeight="1" x14ac:dyDescent="0.25">
      <c r="A2" s="357" t="s">
        <v>92</v>
      </c>
      <c r="B2" s="357" t="s">
        <v>224</v>
      </c>
      <c r="C2" s="357" t="s">
        <v>225</v>
      </c>
      <c r="D2" s="298" t="s">
        <v>226</v>
      </c>
      <c r="E2" s="357" t="s">
        <v>227</v>
      </c>
      <c r="F2" s="291" t="s">
        <v>228</v>
      </c>
      <c r="G2" s="357" t="s">
        <v>167</v>
      </c>
      <c r="H2" s="57" t="s">
        <v>30</v>
      </c>
    </row>
    <row r="3" spans="1:18" ht="75" customHeight="1" x14ac:dyDescent="0.25">
      <c r="A3" s="127" t="s">
        <v>229</v>
      </c>
      <c r="B3" s="113" t="s">
        <v>230</v>
      </c>
      <c r="C3" s="295">
        <v>1</v>
      </c>
      <c r="D3" s="296">
        <v>1</v>
      </c>
      <c r="E3" s="297" t="str">
        <f>"See "&amp;A26&amp;" Table, Storage Volume column (col F)"</f>
        <v>See CZ05 Table, Storage Volume column (col F)</v>
      </c>
      <c r="F3" s="217" t="s">
        <v>231</v>
      </c>
      <c r="G3" s="293"/>
      <c r="H3" s="292" t="s">
        <v>232</v>
      </c>
    </row>
    <row r="4" spans="1:18" ht="85.5" customHeight="1" x14ac:dyDescent="0.25">
      <c r="A4" s="115" t="s">
        <v>174</v>
      </c>
      <c r="B4" s="113" t="s">
        <v>230</v>
      </c>
      <c r="C4" s="295">
        <v>1</v>
      </c>
      <c r="D4" s="296">
        <v>1</v>
      </c>
      <c r="E4" s="297" t="str">
        <f>E3</f>
        <v>See CZ05 Table, Storage Volume column (col F)</v>
      </c>
      <c r="F4" s="217" t="s">
        <v>231</v>
      </c>
      <c r="G4" s="115"/>
      <c r="H4" s="294" t="s">
        <v>233</v>
      </c>
    </row>
    <row r="5" spans="1:18" ht="13.2" x14ac:dyDescent="0.25">
      <c r="A5" s="8"/>
      <c r="B5" s="7"/>
      <c r="C5" s="290"/>
      <c r="D5" s="304"/>
      <c r="E5" s="305"/>
      <c r="F5" s="306"/>
      <c r="G5" s="8"/>
      <c r="H5" s="8"/>
    </row>
    <row r="6" spans="1:18" ht="13.95" customHeight="1" x14ac:dyDescent="0.25">
      <c r="F6" s="9"/>
    </row>
    <row r="7" spans="1:18" ht="25.5" customHeight="1" x14ac:dyDescent="0.25">
      <c r="A7" s="435" t="s">
        <v>234</v>
      </c>
      <c r="B7" s="436"/>
      <c r="C7" s="436"/>
      <c r="D7" s="436"/>
      <c r="E7" s="436"/>
      <c r="F7" s="436"/>
      <c r="G7" s="436"/>
      <c r="H7" s="436"/>
      <c r="I7" s="70"/>
    </row>
    <row r="8" spans="1:18" ht="78.75" customHeight="1" x14ac:dyDescent="0.3">
      <c r="A8" s="357" t="s">
        <v>235</v>
      </c>
      <c r="B8" s="357" t="s">
        <v>236</v>
      </c>
      <c r="C8" s="357" t="s">
        <v>237</v>
      </c>
      <c r="D8" s="357" t="s">
        <v>238</v>
      </c>
      <c r="E8" s="357" t="s">
        <v>71</v>
      </c>
      <c r="F8" s="357" t="s">
        <v>239</v>
      </c>
      <c r="G8" s="357" t="s">
        <v>240</v>
      </c>
      <c r="H8" s="357" t="s">
        <v>241</v>
      </c>
      <c r="K8"/>
      <c r="L8"/>
      <c r="M8"/>
      <c r="N8"/>
      <c r="O8"/>
      <c r="P8"/>
      <c r="Q8"/>
      <c r="R8"/>
    </row>
    <row r="9" spans="1:18" ht="22.2" customHeight="1" x14ac:dyDescent="0.3">
      <c r="A9" s="88" t="str">
        <f>Zones!D3</f>
        <v>Classroom</v>
      </c>
      <c r="B9" s="343" t="s">
        <v>230</v>
      </c>
      <c r="C9" s="216" t="s">
        <v>230</v>
      </c>
      <c r="D9" s="131">
        <f>Zones!I3</f>
        <v>960</v>
      </c>
      <c r="E9" s="131">
        <f>Zones!L3</f>
        <v>24</v>
      </c>
      <c r="F9" s="133">
        <v>0.18</v>
      </c>
      <c r="G9" s="128">
        <f>F9*E9</f>
        <v>4.32</v>
      </c>
      <c r="H9" s="128">
        <f>G9/60</f>
        <v>7.2000000000000008E-2</v>
      </c>
      <c r="K9"/>
      <c r="L9"/>
      <c r="M9"/>
      <c r="N9"/>
      <c r="O9"/>
      <c r="P9"/>
      <c r="Q9"/>
      <c r="R9"/>
    </row>
    <row r="10" spans="1:18" ht="33" customHeight="1" x14ac:dyDescent="0.25">
      <c r="A10" s="446" t="s">
        <v>242</v>
      </c>
      <c r="B10" s="95"/>
      <c r="C10" s="95"/>
      <c r="D10" s="132">
        <f>SUM(D9:D9)</f>
        <v>960</v>
      </c>
      <c r="E10" s="132">
        <f>SUM(E9:E9)</f>
        <v>24</v>
      </c>
      <c r="F10" s="133">
        <f>F9</f>
        <v>0.18</v>
      </c>
      <c r="G10" s="133">
        <f>SUM(G9:G9)</f>
        <v>4.32</v>
      </c>
      <c r="H10" s="128">
        <f>G10/60</f>
        <v>7.2000000000000008E-2</v>
      </c>
      <c r="I10" s="59"/>
      <c r="J10" s="59"/>
    </row>
    <row r="11" spans="1:18" ht="20.25" customHeight="1" x14ac:dyDescent="0.25">
      <c r="A11" s="447"/>
      <c r="B11" s="449" t="s">
        <v>243</v>
      </c>
      <c r="C11" s="450"/>
      <c r="D11" s="450"/>
      <c r="E11" s="450"/>
      <c r="F11" s="451"/>
      <c r="G11" s="219">
        <f>_xlfn.LET(
  _xlpm.g,SUMIF($B$9:$B$10,"Gas*",$F$9:$F$10),
  _xlpm.e,SUMIF($B$9:$B$10,"Electric*",$F$9:$F$10),
  IF(AND(_xlpm.g&gt;0,_xlpm.e&gt;0),_xlpm.g,IF(_xlpm.g&gt;0,MAX(75,_xlpm.g),0)))</f>
        <v>0</v>
      </c>
      <c r="H11" s="444" t="s">
        <v>244</v>
      </c>
    </row>
    <row r="12" spans="1:18" ht="18.75" customHeight="1" x14ac:dyDescent="0.25">
      <c r="A12" s="448"/>
      <c r="B12" s="452" t="s">
        <v>245</v>
      </c>
      <c r="C12" s="453"/>
      <c r="D12" s="453"/>
      <c r="E12" s="453"/>
      <c r="F12" s="454"/>
      <c r="G12" s="219">
        <f>_xlfn.LET(
  _xlpm.g,SUMIF($B$9:$B$10,"Gas*",$F$9:$F$10),
  _xlpm.e,SUMIF($B$9:$B$10,"Electric*",$F$9:$F$10),
  IF(AND(_xlpm.g&gt;0,_xlpm.e&gt;0),_xlpm.e,IF(_xlpm.e&gt;0,MAX(75,_xlpm.e),0)))</f>
        <v>75</v>
      </c>
      <c r="H12" s="445"/>
    </row>
    <row r="13" spans="1:18" ht="13.2" x14ac:dyDescent="0.25">
      <c r="A13" s="60"/>
      <c r="E13" s="61"/>
    </row>
    <row r="14" spans="1:18" ht="49.5" customHeight="1" x14ac:dyDescent="0.3">
      <c r="A14" s="60" t="s">
        <v>246</v>
      </c>
      <c r="B14" s="130">
        <v>0.5</v>
      </c>
      <c r="C14" s="5" t="s">
        <v>247</v>
      </c>
      <c r="E14" s="61"/>
      <c r="F14" s="72"/>
      <c r="I14"/>
      <c r="J14"/>
    </row>
    <row r="15" spans="1:18" ht="21" customHeight="1" x14ac:dyDescent="0.3">
      <c r="A15" s="220" t="s">
        <v>248</v>
      </c>
      <c r="B15" s="220">
        <v>135</v>
      </c>
      <c r="C15" s="220" t="s">
        <v>249</v>
      </c>
      <c r="D15"/>
      <c r="E15" s="61"/>
      <c r="F15" s="72"/>
    </row>
    <row r="16" spans="1:18" s="222" customFormat="1" ht="15" customHeight="1" x14ac:dyDescent="0.3">
      <c r="A16" s="220" t="s">
        <v>250</v>
      </c>
      <c r="B16" s="220">
        <v>0.6</v>
      </c>
      <c r="C16" s="220" t="s">
        <v>251</v>
      </c>
      <c r="D16"/>
      <c r="E16" s="221"/>
      <c r="F16"/>
      <c r="G16"/>
      <c r="H16"/>
      <c r="I16"/>
      <c r="J16"/>
    </row>
    <row r="17" spans="1:12" s="222" customFormat="1" ht="15" customHeight="1" x14ac:dyDescent="0.3">
      <c r="A17" s="220" t="s">
        <v>252</v>
      </c>
      <c r="B17" s="220">
        <v>8.2876999999999992</v>
      </c>
      <c r="C17" s="220" t="s">
        <v>253</v>
      </c>
      <c r="D17"/>
      <c r="E17" s="224"/>
      <c r="F17"/>
      <c r="G17"/>
      <c r="H17"/>
      <c r="I17"/>
      <c r="J17"/>
    </row>
    <row r="18" spans="1:12" s="222" customFormat="1" ht="14.4" x14ac:dyDescent="0.3">
      <c r="A18" s="220" t="s">
        <v>254</v>
      </c>
      <c r="B18" s="254">
        <v>2</v>
      </c>
      <c r="C18" s="220" t="s">
        <v>255</v>
      </c>
      <c r="D18"/>
      <c r="E18" s="223"/>
      <c r="F18"/>
      <c r="G18"/>
      <c r="H18"/>
      <c r="I18"/>
      <c r="J18"/>
    </row>
    <row r="19" spans="1:12" s="222" customFormat="1" ht="14.4" x14ac:dyDescent="0.3">
      <c r="B19" s="225"/>
      <c r="C19" s="226"/>
      <c r="D19" s="226"/>
      <c r="F19" s="226"/>
      <c r="G19" s="226"/>
    </row>
    <row r="20" spans="1:12" s="222" customFormat="1" ht="26.1" customHeight="1" x14ac:dyDescent="0.25">
      <c r="A20" s="437" t="s">
        <v>256</v>
      </c>
      <c r="B20" s="438"/>
      <c r="C20" s="438"/>
      <c r="D20" s="438"/>
      <c r="E20" s="438"/>
      <c r="F20" s="438"/>
      <c r="G20" s="438"/>
      <c r="H20" s="438"/>
      <c r="I20" s="438"/>
      <c r="J20" s="438"/>
      <c r="K20" s="438"/>
    </row>
    <row r="21" spans="1:12" s="222" customFormat="1" ht="48.75" customHeight="1" x14ac:dyDescent="0.3">
      <c r="A21" s="299" t="s">
        <v>257</v>
      </c>
      <c r="B21" s="299" t="s">
        <v>258</v>
      </c>
      <c r="C21" s="299" t="s">
        <v>259</v>
      </c>
      <c r="D21" s="299" t="s">
        <v>260</v>
      </c>
      <c r="E21" s="299" t="s">
        <v>261</v>
      </c>
      <c r="F21" s="299" t="s">
        <v>262</v>
      </c>
      <c r="G21" s="439" t="s">
        <v>263</v>
      </c>
      <c r="H21" s="439"/>
      <c r="I21" s="440" t="s">
        <v>264</v>
      </c>
      <c r="J21" s="440"/>
      <c r="K21" s="300" t="s">
        <v>265</v>
      </c>
      <c r="L21"/>
    </row>
    <row r="22" spans="1:12" s="222" customFormat="1" ht="18.75" customHeight="1" x14ac:dyDescent="0.25">
      <c r="A22" s="301" t="s">
        <v>266</v>
      </c>
      <c r="B22" s="302">
        <v>47.9</v>
      </c>
      <c r="C22" s="229">
        <f t="shared" ref="C22:C37" si="0">$B$14*60*($B$15-B22)*$B$17</f>
        <v>21655.7601</v>
      </c>
      <c r="D22" s="229">
        <f t="shared" ref="D22:D37" si="1">C22</f>
        <v>21655.7601</v>
      </c>
      <c r="E22" s="229">
        <f t="shared" ref="E22:E37" si="2">_xlfn.LET(_xlpm.x,_xlfn.XLOOKUP(D22,$B$43:$B$49,$B$43:$B$49,"",1),IF(_xlpm.x="",D22,_xlpm.x))</f>
        <v>27296</v>
      </c>
      <c r="F22" s="230">
        <f t="shared" ref="F22:F37" si="3">$B$18</f>
        <v>2</v>
      </c>
      <c r="G22" s="231">
        <v>0</v>
      </c>
      <c r="H22" s="229" t="s">
        <v>267</v>
      </c>
      <c r="I22" s="232">
        <v>0</v>
      </c>
      <c r="J22" s="303" t="s">
        <v>268</v>
      </c>
      <c r="K22" s="441" t="s">
        <v>269</v>
      </c>
    </row>
    <row r="23" spans="1:12" s="222" customFormat="1" ht="18.75" customHeight="1" x14ac:dyDescent="0.25">
      <c r="A23" s="301" t="s">
        <v>270</v>
      </c>
      <c r="B23" s="302">
        <v>50.8</v>
      </c>
      <c r="C23" s="229">
        <f t="shared" si="0"/>
        <v>20934.730199999998</v>
      </c>
      <c r="D23" s="229">
        <f t="shared" si="1"/>
        <v>20934.730199999998</v>
      </c>
      <c r="E23" s="229">
        <f t="shared" si="2"/>
        <v>27296</v>
      </c>
      <c r="F23" s="230">
        <f t="shared" si="3"/>
        <v>2</v>
      </c>
      <c r="G23" s="231">
        <v>0</v>
      </c>
      <c r="H23" s="229" t="s">
        <v>267</v>
      </c>
      <c r="I23" s="233">
        <v>0</v>
      </c>
      <c r="J23" s="303" t="s">
        <v>268</v>
      </c>
      <c r="K23" s="442"/>
    </row>
    <row r="24" spans="1:12" s="222" customFormat="1" ht="18.75" customHeight="1" x14ac:dyDescent="0.25">
      <c r="A24" s="301" t="s">
        <v>271</v>
      </c>
      <c r="B24" s="302">
        <v>52.2</v>
      </c>
      <c r="C24" s="229">
        <f t="shared" si="0"/>
        <v>20586.646799999999</v>
      </c>
      <c r="D24" s="229">
        <f t="shared" si="1"/>
        <v>20586.646799999999</v>
      </c>
      <c r="E24" s="229">
        <f t="shared" si="2"/>
        <v>27296</v>
      </c>
      <c r="F24" s="230">
        <f t="shared" si="3"/>
        <v>2</v>
      </c>
      <c r="G24" s="231">
        <v>0</v>
      </c>
      <c r="H24" s="229" t="s">
        <v>267</v>
      </c>
      <c r="I24" s="233">
        <v>0</v>
      </c>
      <c r="J24" s="303" t="s">
        <v>268</v>
      </c>
      <c r="K24" s="442"/>
    </row>
    <row r="25" spans="1:12" s="222" customFormat="1" ht="18.75" customHeight="1" x14ac:dyDescent="0.25">
      <c r="A25" s="301" t="s">
        <v>272</v>
      </c>
      <c r="B25" s="302">
        <v>52.7</v>
      </c>
      <c r="C25" s="229">
        <f t="shared" si="0"/>
        <v>20462.331299999998</v>
      </c>
      <c r="D25" s="229">
        <f t="shared" si="1"/>
        <v>20462.331299999998</v>
      </c>
      <c r="E25" s="229">
        <f t="shared" si="2"/>
        <v>20472</v>
      </c>
      <c r="F25" s="230">
        <f t="shared" si="3"/>
        <v>2</v>
      </c>
      <c r="G25" s="231">
        <v>0</v>
      </c>
      <c r="H25" s="229" t="s">
        <v>267</v>
      </c>
      <c r="I25" s="233">
        <v>0</v>
      </c>
      <c r="J25" s="303" t="s">
        <v>268</v>
      </c>
      <c r="K25" s="442"/>
    </row>
    <row r="26" spans="1:12" s="222" customFormat="1" ht="18.75" customHeight="1" x14ac:dyDescent="0.25">
      <c r="A26" s="301" t="s">
        <v>273</v>
      </c>
      <c r="B26" s="302">
        <v>51.6</v>
      </c>
      <c r="C26" s="229">
        <f t="shared" si="0"/>
        <v>20735.825399999998</v>
      </c>
      <c r="D26" s="229">
        <f t="shared" si="1"/>
        <v>20735.825399999998</v>
      </c>
      <c r="E26" s="229">
        <f t="shared" si="2"/>
        <v>27296</v>
      </c>
      <c r="F26" s="230">
        <f t="shared" si="3"/>
        <v>2</v>
      </c>
      <c r="G26" s="231">
        <v>0</v>
      </c>
      <c r="H26" s="229" t="s">
        <v>267</v>
      </c>
      <c r="I26" s="233">
        <v>0</v>
      </c>
      <c r="J26" s="303" t="s">
        <v>268</v>
      </c>
      <c r="K26" s="442"/>
    </row>
    <row r="27" spans="1:12" s="222" customFormat="1" ht="18.75" customHeight="1" x14ac:dyDescent="0.25">
      <c r="A27" s="301" t="s">
        <v>274</v>
      </c>
      <c r="B27" s="302">
        <v>56.8</v>
      </c>
      <c r="C27" s="229">
        <f t="shared" si="0"/>
        <v>19442.944199999998</v>
      </c>
      <c r="D27" s="229">
        <f t="shared" si="1"/>
        <v>19442.944199999998</v>
      </c>
      <c r="E27" s="229">
        <f t="shared" si="2"/>
        <v>20472</v>
      </c>
      <c r="F27" s="230">
        <f t="shared" si="3"/>
        <v>2</v>
      </c>
      <c r="G27" s="231">
        <v>0</v>
      </c>
      <c r="H27" s="229" t="s">
        <v>267</v>
      </c>
      <c r="I27" s="233">
        <v>0</v>
      </c>
      <c r="J27" s="303" t="s">
        <v>268</v>
      </c>
      <c r="K27" s="442"/>
    </row>
    <row r="28" spans="1:12" s="222" customFormat="1" ht="18.75" customHeight="1" x14ac:dyDescent="0.25">
      <c r="A28" s="301" t="s">
        <v>275</v>
      </c>
      <c r="B28" s="302">
        <v>58.4</v>
      </c>
      <c r="C28" s="229">
        <f t="shared" si="0"/>
        <v>19045.134599999998</v>
      </c>
      <c r="D28" s="229">
        <f t="shared" si="1"/>
        <v>19045.134599999998</v>
      </c>
      <c r="E28" s="229">
        <f t="shared" si="2"/>
        <v>20472</v>
      </c>
      <c r="F28" s="230">
        <f t="shared" si="3"/>
        <v>2</v>
      </c>
      <c r="G28" s="231">
        <v>0</v>
      </c>
      <c r="H28" s="229" t="s">
        <v>267</v>
      </c>
      <c r="I28" s="233">
        <v>0</v>
      </c>
      <c r="J28" s="303" t="s">
        <v>268</v>
      </c>
      <c r="K28" s="442"/>
    </row>
    <row r="29" spans="1:12" s="222" customFormat="1" ht="18.75" customHeight="1" x14ac:dyDescent="0.25">
      <c r="A29" s="301" t="s">
        <v>276</v>
      </c>
      <c r="B29" s="302">
        <v>58.4</v>
      </c>
      <c r="C29" s="229">
        <f t="shared" si="0"/>
        <v>19045.134599999998</v>
      </c>
      <c r="D29" s="229">
        <f t="shared" si="1"/>
        <v>19045.134599999998</v>
      </c>
      <c r="E29" s="229">
        <f t="shared" si="2"/>
        <v>20472</v>
      </c>
      <c r="F29" s="230">
        <f t="shared" si="3"/>
        <v>2</v>
      </c>
      <c r="G29" s="231">
        <v>0</v>
      </c>
      <c r="H29" s="229" t="s">
        <v>267</v>
      </c>
      <c r="I29" s="233">
        <v>0</v>
      </c>
      <c r="J29" s="303" t="s">
        <v>268</v>
      </c>
      <c r="K29" s="442"/>
    </row>
    <row r="30" spans="1:12" s="222" customFormat="1" ht="18.75" customHeight="1" x14ac:dyDescent="0.25">
      <c r="A30" s="301" t="s">
        <v>277</v>
      </c>
      <c r="B30" s="302">
        <v>57.6</v>
      </c>
      <c r="C30" s="229">
        <f t="shared" si="0"/>
        <v>19244.039399999998</v>
      </c>
      <c r="D30" s="229">
        <f t="shared" si="1"/>
        <v>19244.039399999998</v>
      </c>
      <c r="E30" s="229">
        <f t="shared" si="2"/>
        <v>20472</v>
      </c>
      <c r="F30" s="230">
        <f t="shared" si="3"/>
        <v>2</v>
      </c>
      <c r="G30" s="231">
        <v>0</v>
      </c>
      <c r="H30" s="229" t="s">
        <v>267</v>
      </c>
      <c r="I30" s="233">
        <v>0</v>
      </c>
      <c r="J30" s="303" t="s">
        <v>268</v>
      </c>
      <c r="K30" s="442"/>
    </row>
    <row r="31" spans="1:12" s="222" customFormat="1" ht="18.75" customHeight="1" x14ac:dyDescent="0.25">
      <c r="A31" s="301" t="s">
        <v>103</v>
      </c>
      <c r="B31" s="302">
        <v>57.1</v>
      </c>
      <c r="C31" s="229">
        <f t="shared" si="0"/>
        <v>19368.354899999998</v>
      </c>
      <c r="D31" s="229">
        <f t="shared" si="1"/>
        <v>19368.354899999998</v>
      </c>
      <c r="E31" s="229">
        <f t="shared" si="2"/>
        <v>20472</v>
      </c>
      <c r="F31" s="230">
        <f t="shared" si="3"/>
        <v>2</v>
      </c>
      <c r="G31" s="231">
        <v>0</v>
      </c>
      <c r="H31" s="229" t="s">
        <v>267</v>
      </c>
      <c r="I31" s="233">
        <v>0</v>
      </c>
      <c r="J31" s="303" t="s">
        <v>268</v>
      </c>
      <c r="K31" s="442"/>
    </row>
    <row r="32" spans="1:12" s="222" customFormat="1" ht="18.75" customHeight="1" x14ac:dyDescent="0.25">
      <c r="A32" s="301" t="s">
        <v>104</v>
      </c>
      <c r="B32" s="302">
        <v>50.5</v>
      </c>
      <c r="C32" s="229">
        <f t="shared" si="0"/>
        <v>21009.319499999998</v>
      </c>
      <c r="D32" s="229">
        <f t="shared" si="1"/>
        <v>21009.319499999998</v>
      </c>
      <c r="E32" s="229">
        <f t="shared" si="2"/>
        <v>27296</v>
      </c>
      <c r="F32" s="230">
        <f t="shared" si="3"/>
        <v>2</v>
      </c>
      <c r="G32" s="231">
        <v>0</v>
      </c>
      <c r="H32" s="229" t="s">
        <v>267</v>
      </c>
      <c r="I32" s="233">
        <v>0</v>
      </c>
      <c r="J32" s="303" t="s">
        <v>268</v>
      </c>
      <c r="K32" s="442"/>
    </row>
    <row r="33" spans="1:11" s="222" customFormat="1" ht="18.75" customHeight="1" x14ac:dyDescent="0.25">
      <c r="A33" s="301" t="s">
        <v>105</v>
      </c>
      <c r="B33" s="302">
        <v>51.4</v>
      </c>
      <c r="C33" s="229">
        <f t="shared" si="0"/>
        <v>20785.551599999999</v>
      </c>
      <c r="D33" s="229">
        <f t="shared" si="1"/>
        <v>20785.551599999999</v>
      </c>
      <c r="E33" s="229">
        <f t="shared" si="2"/>
        <v>27296</v>
      </c>
      <c r="F33" s="230">
        <f t="shared" si="3"/>
        <v>2</v>
      </c>
      <c r="G33" s="231">
        <v>0</v>
      </c>
      <c r="H33" s="229" t="s">
        <v>267</v>
      </c>
      <c r="I33" s="233">
        <v>0</v>
      </c>
      <c r="J33" s="303" t="s">
        <v>268</v>
      </c>
      <c r="K33" s="442"/>
    </row>
    <row r="34" spans="1:11" s="222" customFormat="1" ht="18.75" customHeight="1" x14ac:dyDescent="0.25">
      <c r="A34" s="301" t="s">
        <v>106</v>
      </c>
      <c r="B34" s="302">
        <v>51.7</v>
      </c>
      <c r="C34" s="229">
        <f t="shared" si="0"/>
        <v>20710.962299999999</v>
      </c>
      <c r="D34" s="229">
        <f t="shared" si="1"/>
        <v>20710.962299999999</v>
      </c>
      <c r="E34" s="229">
        <f t="shared" si="2"/>
        <v>27296</v>
      </c>
      <c r="F34" s="230">
        <f t="shared" si="3"/>
        <v>2</v>
      </c>
      <c r="G34" s="231">
        <v>0</v>
      </c>
      <c r="H34" s="229" t="s">
        <v>267</v>
      </c>
      <c r="I34" s="233">
        <v>0</v>
      </c>
      <c r="J34" s="303" t="s">
        <v>268</v>
      </c>
      <c r="K34" s="442"/>
    </row>
    <row r="35" spans="1:11" s="222" customFormat="1" ht="18.75" customHeight="1" x14ac:dyDescent="0.25">
      <c r="A35" s="301" t="s">
        <v>107</v>
      </c>
      <c r="B35" s="302">
        <v>50.1</v>
      </c>
      <c r="C35" s="229">
        <f t="shared" si="0"/>
        <v>21108.771899999996</v>
      </c>
      <c r="D35" s="229">
        <f t="shared" si="1"/>
        <v>21108.771899999996</v>
      </c>
      <c r="E35" s="229">
        <f t="shared" si="2"/>
        <v>27296</v>
      </c>
      <c r="F35" s="230">
        <f t="shared" si="3"/>
        <v>2</v>
      </c>
      <c r="G35" s="231">
        <v>0</v>
      </c>
      <c r="H35" s="229" t="s">
        <v>267</v>
      </c>
      <c r="I35" s="233">
        <v>0</v>
      </c>
      <c r="J35" s="303" t="s">
        <v>268</v>
      </c>
      <c r="K35" s="442"/>
    </row>
    <row r="36" spans="1:11" s="222" customFormat="1" ht="18.75" customHeight="1" x14ac:dyDescent="0.25">
      <c r="A36" s="301" t="s">
        <v>108</v>
      </c>
      <c r="B36" s="302">
        <v>63.2</v>
      </c>
      <c r="C36" s="229">
        <f t="shared" si="0"/>
        <v>17851.7058</v>
      </c>
      <c r="D36" s="229">
        <f t="shared" si="1"/>
        <v>17851.7058</v>
      </c>
      <c r="E36" s="229">
        <f t="shared" si="2"/>
        <v>20472</v>
      </c>
      <c r="F36" s="230">
        <f t="shared" si="3"/>
        <v>2</v>
      </c>
      <c r="G36" s="231">
        <v>0</v>
      </c>
      <c r="H36" s="229" t="s">
        <v>267</v>
      </c>
      <c r="I36" s="233">
        <v>0</v>
      </c>
      <c r="J36" s="303" t="s">
        <v>268</v>
      </c>
      <c r="K36" s="442"/>
    </row>
    <row r="37" spans="1:11" s="222" customFormat="1" ht="18.75" customHeight="1" x14ac:dyDescent="0.25">
      <c r="A37" s="301" t="s">
        <v>109</v>
      </c>
      <c r="B37" s="302">
        <v>41.4</v>
      </c>
      <c r="C37" s="229">
        <f t="shared" si="0"/>
        <v>23271.861599999997</v>
      </c>
      <c r="D37" s="229">
        <f t="shared" si="1"/>
        <v>23271.861599999997</v>
      </c>
      <c r="E37" s="229">
        <f t="shared" si="2"/>
        <v>27296</v>
      </c>
      <c r="F37" s="230">
        <f t="shared" si="3"/>
        <v>2</v>
      </c>
      <c r="G37" s="231">
        <v>0</v>
      </c>
      <c r="H37" s="229" t="s">
        <v>267</v>
      </c>
      <c r="I37" s="233">
        <v>0</v>
      </c>
      <c r="J37" s="303" t="s">
        <v>268</v>
      </c>
      <c r="K37" s="443"/>
    </row>
    <row r="38" spans="1:11" s="222" customFormat="1" ht="14.4" x14ac:dyDescent="0.3">
      <c r="C38" s="226"/>
      <c r="D38" s="226"/>
      <c r="F38" s="226"/>
      <c r="G38" s="226"/>
    </row>
    <row r="39" spans="1:11" s="222" customFormat="1" ht="14.4" x14ac:dyDescent="0.3">
      <c r="C39" s="226"/>
      <c r="D39" s="226"/>
      <c r="F39" s="226"/>
      <c r="G39" s="226"/>
    </row>
    <row r="40" spans="1:11" s="222" customFormat="1" ht="14.4" x14ac:dyDescent="0.3">
      <c r="C40" s="226"/>
      <c r="D40" s="226"/>
      <c r="F40" s="226"/>
      <c r="G40" s="226"/>
    </row>
    <row r="41" spans="1:11" s="222" customFormat="1" ht="24.75" customHeight="1" x14ac:dyDescent="0.3">
      <c r="A41" s="434" t="s">
        <v>278</v>
      </c>
      <c r="B41" s="414"/>
      <c r="C41" s="414"/>
      <c r="D41" s="414"/>
      <c r="E41" s="414"/>
      <c r="F41"/>
      <c r="G41"/>
      <c r="H41"/>
    </row>
    <row r="42" spans="1:11" s="228" customFormat="1" ht="23.25" customHeight="1" x14ac:dyDescent="0.3">
      <c r="A42" s="239" t="s">
        <v>279</v>
      </c>
      <c r="B42" s="240" t="s">
        <v>280</v>
      </c>
      <c r="C42" s="241" t="s">
        <v>281</v>
      </c>
      <c r="D42" s="242" t="s">
        <v>282</v>
      </c>
      <c r="E42" s="243" t="s">
        <v>167</v>
      </c>
      <c r="F42" s="227" t="str">
        <f>HYPERLINK("#'Note'!A1","Sources and links → Note tab")</f>
        <v>Sources and links → Note tab</v>
      </c>
      <c r="G42"/>
      <c r="H42"/>
    </row>
    <row r="43" spans="1:11" s="222" customFormat="1" ht="14.4" x14ac:dyDescent="0.3">
      <c r="A43" s="234">
        <v>2.5</v>
      </c>
      <c r="B43" s="235">
        <f t="shared" ref="B43:B49" si="4">A43*3412</f>
        <v>8530</v>
      </c>
      <c r="C43" s="244">
        <v>0.5</v>
      </c>
      <c r="D43" s="245">
        <v>0.99</v>
      </c>
      <c r="E43" s="246" t="s">
        <v>283</v>
      </c>
      <c r="F43"/>
      <c r="G43"/>
      <c r="H43"/>
    </row>
    <row r="44" spans="1:11" s="222" customFormat="1" ht="14.4" x14ac:dyDescent="0.3">
      <c r="A44" s="238">
        <v>4.5</v>
      </c>
      <c r="B44" s="247">
        <f t="shared" si="4"/>
        <v>15354</v>
      </c>
      <c r="C44" s="236">
        <v>0.5</v>
      </c>
      <c r="D44" s="237">
        <v>0.99</v>
      </c>
      <c r="E44" s="248" t="s">
        <v>283</v>
      </c>
      <c r="F44"/>
      <c r="G44"/>
      <c r="H44"/>
    </row>
    <row r="45" spans="1:11" s="222" customFormat="1" ht="14.4" x14ac:dyDescent="0.3">
      <c r="A45" s="238">
        <v>6</v>
      </c>
      <c r="B45" s="247">
        <f t="shared" si="4"/>
        <v>20472</v>
      </c>
      <c r="C45" s="236">
        <v>0.7</v>
      </c>
      <c r="D45" s="237">
        <v>0.99</v>
      </c>
      <c r="E45" s="248" t="s">
        <v>283</v>
      </c>
      <c r="F45"/>
      <c r="G45"/>
      <c r="H45"/>
    </row>
    <row r="46" spans="1:11" s="222" customFormat="1" ht="14.4" x14ac:dyDescent="0.3">
      <c r="A46" s="238">
        <v>8</v>
      </c>
      <c r="B46" s="247">
        <f t="shared" si="4"/>
        <v>27296</v>
      </c>
      <c r="C46" s="236">
        <v>1</v>
      </c>
      <c r="D46" s="237">
        <v>0.93</v>
      </c>
      <c r="E46" s="248" t="s">
        <v>283</v>
      </c>
      <c r="F46"/>
      <c r="G46"/>
      <c r="H46"/>
    </row>
    <row r="47" spans="1:11" s="222" customFormat="1" ht="14.4" x14ac:dyDescent="0.3">
      <c r="A47" s="238">
        <v>11</v>
      </c>
      <c r="B47" s="247">
        <f t="shared" si="4"/>
        <v>37532</v>
      </c>
      <c r="C47" s="236">
        <v>1.5</v>
      </c>
      <c r="D47" s="237">
        <v>0.93</v>
      </c>
      <c r="E47" s="248" t="s">
        <v>283</v>
      </c>
      <c r="F47"/>
      <c r="G47"/>
      <c r="H47"/>
    </row>
    <row r="48" spans="1:11" s="222" customFormat="1" ht="14.4" x14ac:dyDescent="0.3">
      <c r="A48" s="238">
        <v>18</v>
      </c>
      <c r="B48" s="247">
        <f t="shared" si="4"/>
        <v>61416</v>
      </c>
      <c r="C48" s="236">
        <v>2</v>
      </c>
      <c r="D48" s="237">
        <v>0.93</v>
      </c>
      <c r="E48" s="248" t="s">
        <v>283</v>
      </c>
      <c r="F48"/>
      <c r="G48"/>
      <c r="H48"/>
    </row>
    <row r="49" spans="1:8" s="222" customFormat="1" ht="14.4" x14ac:dyDescent="0.3">
      <c r="A49" s="249">
        <v>27</v>
      </c>
      <c r="B49" s="250">
        <f t="shared" si="4"/>
        <v>92124</v>
      </c>
      <c r="C49" s="251">
        <v>2.5</v>
      </c>
      <c r="D49" s="252">
        <v>0.93</v>
      </c>
      <c r="E49" s="253" t="s">
        <v>283</v>
      </c>
      <c r="F49"/>
      <c r="G49"/>
      <c r="H49"/>
    </row>
    <row r="50" spans="1:8" ht="13.2" x14ac:dyDescent="0.25"/>
    <row r="51" spans="1:8" ht="13.2" x14ac:dyDescent="0.25"/>
  </sheetData>
  <mergeCells count="11">
    <mergeCell ref="A41:E41"/>
    <mergeCell ref="A1:H1"/>
    <mergeCell ref="A20:K20"/>
    <mergeCell ref="G21:H21"/>
    <mergeCell ref="I21:J21"/>
    <mergeCell ref="K22:K37"/>
    <mergeCell ref="A7:H7"/>
    <mergeCell ref="H11:H12"/>
    <mergeCell ref="A10:A12"/>
    <mergeCell ref="B11:F11"/>
    <mergeCell ref="B12:F1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38"/>
  <sheetViews>
    <sheetView zoomScale="90" zoomScaleNormal="90" workbookViewId="0">
      <selection sqref="A1:H1"/>
    </sheetView>
  </sheetViews>
  <sheetFormatPr defaultColWidth="8.6640625" defaultRowHeight="13.2" x14ac:dyDescent="0.25"/>
  <cols>
    <col min="1" max="1" width="49.6640625" style="5" bestFit="1" customWidth="1"/>
    <col min="2" max="2" width="21.44140625" style="5" bestFit="1" customWidth="1"/>
    <col min="3" max="3" width="26.5546875" style="5" customWidth="1"/>
    <col min="4" max="4" width="30.109375" style="5" customWidth="1"/>
    <col min="5" max="5" width="18.33203125" style="5" customWidth="1"/>
    <col min="6" max="6" width="28.44140625" style="5" customWidth="1"/>
    <col min="7" max="7" width="30" style="5" customWidth="1"/>
    <col min="8" max="8" width="40" style="5" customWidth="1"/>
    <col min="9" max="9" width="11.44140625" style="5" customWidth="1"/>
    <col min="10" max="16384" width="8.6640625" style="5"/>
  </cols>
  <sheetData>
    <row r="1" spans="1:29" ht="25.95" customHeight="1" x14ac:dyDescent="0.25">
      <c r="A1" s="434" t="str">
        <f>"Interior Lighting - "&amp;Prototype!A2</f>
        <v>Interior Lighting - SchoolRelocatable</v>
      </c>
      <c r="B1" s="546"/>
      <c r="C1" s="546"/>
      <c r="D1" s="546"/>
      <c r="E1" s="546"/>
      <c r="F1" s="546"/>
      <c r="G1" s="546"/>
      <c r="H1" s="546"/>
    </row>
    <row r="2" spans="1:29" ht="25.95" customHeight="1" x14ac:dyDescent="0.25">
      <c r="A2" s="455" t="s">
        <v>215</v>
      </c>
      <c r="B2" s="405" t="s">
        <v>284</v>
      </c>
      <c r="C2" s="405"/>
      <c r="D2" s="405"/>
      <c r="E2" s="405" t="s">
        <v>123</v>
      </c>
      <c r="F2" s="405"/>
      <c r="G2" s="405"/>
      <c r="H2" s="544" t="s">
        <v>30</v>
      </c>
    </row>
    <row r="3" spans="1:29" ht="43.2" customHeight="1" x14ac:dyDescent="0.25">
      <c r="A3" s="455"/>
      <c r="B3" s="341" t="s">
        <v>285</v>
      </c>
      <c r="C3" s="341" t="s">
        <v>286</v>
      </c>
      <c r="D3" s="353" t="s">
        <v>167</v>
      </c>
      <c r="E3" s="341" t="s">
        <v>287</v>
      </c>
      <c r="F3" s="341" t="s">
        <v>286</v>
      </c>
      <c r="G3" s="341" t="s">
        <v>167</v>
      </c>
      <c r="H3" s="545"/>
    </row>
    <row r="4" spans="1:29" ht="27" customHeight="1" x14ac:dyDescent="0.25">
      <c r="A4" s="90" t="str">
        <f>Zones!C3</f>
        <v>Classroom, Lecture, Training, Vocational Areas</v>
      </c>
      <c r="B4" s="68">
        <v>0.6</v>
      </c>
      <c r="C4" s="256"/>
      <c r="D4" s="384" t="s">
        <v>288</v>
      </c>
      <c r="E4" s="68">
        <v>1.2</v>
      </c>
      <c r="F4" s="256"/>
      <c r="G4" s="384" t="s">
        <v>289</v>
      </c>
      <c r="H4" s="542"/>
    </row>
    <row r="5" spans="1:29" ht="24" customHeight="1" x14ac:dyDescent="0.3">
      <c r="A5" s="90" t="str">
        <f>Zones!C4</f>
        <v>Unoccupied-Exclude from Gross Floor Area</v>
      </c>
      <c r="B5" s="68">
        <v>0</v>
      </c>
      <c r="C5" s="256"/>
      <c r="D5" s="392"/>
      <c r="E5" s="68">
        <v>0</v>
      </c>
      <c r="F5" s="256"/>
      <c r="G5" s="392"/>
      <c r="H5" s="543"/>
      <c r="L5"/>
      <c r="M5"/>
      <c r="N5"/>
      <c r="O5"/>
      <c r="P5"/>
      <c r="Q5"/>
      <c r="R5"/>
      <c r="S5"/>
      <c r="T5"/>
      <c r="U5"/>
      <c r="V5"/>
      <c r="W5"/>
      <c r="X5"/>
      <c r="Y5"/>
      <c r="Z5"/>
      <c r="AA5"/>
      <c r="AB5"/>
      <c r="AC5"/>
    </row>
    <row r="6" spans="1:29" ht="14.4" x14ac:dyDescent="0.3">
      <c r="J6"/>
      <c r="K6"/>
      <c r="L6"/>
      <c r="M6"/>
      <c r="N6"/>
      <c r="O6"/>
      <c r="P6"/>
      <c r="Q6"/>
      <c r="R6"/>
      <c r="S6"/>
      <c r="T6"/>
      <c r="U6"/>
      <c r="V6"/>
      <c r="W6"/>
      <c r="X6"/>
      <c r="Y6"/>
      <c r="Z6"/>
      <c r="AA6"/>
      <c r="AB6"/>
      <c r="AC6"/>
    </row>
    <row r="7" spans="1:29" ht="14.4" x14ac:dyDescent="0.3">
      <c r="A7" s="5" t="s">
        <v>290</v>
      </c>
      <c r="J7"/>
      <c r="K7"/>
      <c r="L7"/>
      <c r="M7"/>
      <c r="N7"/>
      <c r="O7"/>
      <c r="P7"/>
      <c r="Q7"/>
      <c r="R7"/>
      <c r="S7"/>
      <c r="T7"/>
      <c r="U7"/>
      <c r="V7"/>
      <c r="W7"/>
      <c r="X7"/>
      <c r="Y7"/>
      <c r="Z7"/>
      <c r="AA7"/>
      <c r="AB7"/>
      <c r="AC7"/>
    </row>
    <row r="8" spans="1:29" ht="14.4" x14ac:dyDescent="0.3">
      <c r="J8"/>
      <c r="K8"/>
      <c r="L8"/>
      <c r="M8"/>
      <c r="N8"/>
      <c r="O8"/>
      <c r="P8"/>
      <c r="Q8"/>
      <c r="R8"/>
      <c r="S8"/>
      <c r="T8"/>
      <c r="U8"/>
      <c r="V8"/>
      <c r="W8"/>
      <c r="X8"/>
      <c r="Y8"/>
      <c r="Z8"/>
      <c r="AA8"/>
      <c r="AB8"/>
      <c r="AC8"/>
    </row>
    <row r="9" spans="1:29" ht="14.4" x14ac:dyDescent="0.3">
      <c r="J9"/>
      <c r="K9"/>
      <c r="L9"/>
      <c r="M9"/>
      <c r="N9"/>
      <c r="O9"/>
      <c r="P9"/>
      <c r="Q9"/>
      <c r="R9"/>
      <c r="S9"/>
      <c r="T9"/>
      <c r="U9"/>
      <c r="V9"/>
      <c r="W9"/>
      <c r="X9"/>
      <c r="Y9"/>
      <c r="Z9"/>
      <c r="AA9"/>
      <c r="AB9"/>
      <c r="AC9"/>
    </row>
    <row r="10" spans="1:29" ht="14.4" x14ac:dyDescent="0.3">
      <c r="J10"/>
      <c r="K10"/>
      <c r="L10"/>
      <c r="M10"/>
      <c r="N10"/>
      <c r="O10"/>
      <c r="P10"/>
      <c r="Q10"/>
      <c r="R10"/>
      <c r="S10"/>
      <c r="T10"/>
      <c r="U10"/>
      <c r="V10"/>
      <c r="W10"/>
      <c r="X10"/>
      <c r="Y10"/>
      <c r="Z10"/>
      <c r="AA10"/>
      <c r="AB10"/>
      <c r="AC10"/>
    </row>
    <row r="11" spans="1:29" ht="14.4" x14ac:dyDescent="0.3">
      <c r="J11"/>
      <c r="K11"/>
      <c r="L11"/>
      <c r="M11"/>
      <c r="N11"/>
      <c r="O11"/>
      <c r="P11"/>
      <c r="Q11"/>
      <c r="R11"/>
      <c r="S11"/>
      <c r="T11"/>
      <c r="U11"/>
      <c r="V11"/>
      <c r="W11"/>
      <c r="X11"/>
      <c r="Y11"/>
      <c r="Z11"/>
      <c r="AA11"/>
      <c r="AB11"/>
      <c r="AC11"/>
    </row>
    <row r="12" spans="1:29" ht="14.4" x14ac:dyDescent="0.3">
      <c r="J12"/>
      <c r="K12"/>
      <c r="L12"/>
      <c r="M12"/>
      <c r="N12"/>
      <c r="O12"/>
      <c r="P12"/>
      <c r="Q12"/>
      <c r="R12"/>
      <c r="S12"/>
      <c r="T12"/>
      <c r="U12"/>
      <c r="V12"/>
      <c r="W12"/>
      <c r="X12"/>
      <c r="Y12"/>
      <c r="Z12"/>
      <c r="AA12"/>
      <c r="AB12"/>
      <c r="AC12"/>
    </row>
    <row r="13" spans="1:29" ht="14.4" x14ac:dyDescent="0.3">
      <c r="J13"/>
      <c r="K13"/>
      <c r="L13"/>
      <c r="M13"/>
      <c r="N13"/>
      <c r="O13"/>
      <c r="P13"/>
      <c r="Q13"/>
      <c r="R13"/>
      <c r="S13"/>
      <c r="T13"/>
      <c r="U13"/>
      <c r="V13"/>
      <c r="W13"/>
      <c r="X13"/>
      <c r="Y13"/>
      <c r="Z13"/>
      <c r="AA13"/>
      <c r="AB13"/>
      <c r="AC13"/>
    </row>
    <row r="14" spans="1:29" ht="14.4" x14ac:dyDescent="0.3">
      <c r="J14"/>
      <c r="K14"/>
      <c r="L14"/>
      <c r="M14"/>
      <c r="N14"/>
      <c r="O14"/>
      <c r="P14"/>
      <c r="Q14"/>
      <c r="R14"/>
      <c r="S14"/>
      <c r="T14"/>
      <c r="U14"/>
      <c r="V14"/>
      <c r="W14"/>
      <c r="X14"/>
      <c r="Y14"/>
      <c r="Z14"/>
      <c r="AA14"/>
      <c r="AB14"/>
      <c r="AC14"/>
    </row>
    <row r="15" spans="1:29" ht="14.4" x14ac:dyDescent="0.3">
      <c r="J15"/>
      <c r="K15"/>
      <c r="L15"/>
      <c r="M15"/>
      <c r="N15"/>
      <c r="O15"/>
      <c r="P15"/>
      <c r="Q15"/>
      <c r="R15"/>
      <c r="S15"/>
      <c r="T15"/>
      <c r="U15"/>
      <c r="V15"/>
      <c r="W15"/>
      <c r="X15"/>
      <c r="Y15"/>
      <c r="Z15"/>
      <c r="AA15"/>
      <c r="AB15"/>
      <c r="AC15"/>
    </row>
    <row r="16" spans="1:29" ht="14.4" x14ac:dyDescent="0.3">
      <c r="J16"/>
      <c r="K16"/>
      <c r="L16"/>
      <c r="M16"/>
      <c r="N16"/>
      <c r="O16"/>
      <c r="P16"/>
      <c r="Q16"/>
      <c r="R16"/>
      <c r="S16"/>
      <c r="T16"/>
      <c r="U16"/>
      <c r="V16"/>
      <c r="W16"/>
      <c r="X16"/>
      <c r="Y16"/>
      <c r="Z16"/>
      <c r="AA16"/>
      <c r="AB16"/>
      <c r="AC16"/>
    </row>
    <row r="17" spans="10:29" ht="14.4" x14ac:dyDescent="0.3">
      <c r="J17"/>
      <c r="K17"/>
      <c r="L17"/>
      <c r="M17"/>
      <c r="N17"/>
      <c r="O17"/>
      <c r="P17"/>
      <c r="Q17"/>
      <c r="R17"/>
      <c r="S17"/>
      <c r="T17"/>
      <c r="U17"/>
      <c r="V17"/>
      <c r="W17"/>
      <c r="X17"/>
      <c r="Y17"/>
      <c r="Z17"/>
      <c r="AA17"/>
      <c r="AB17"/>
      <c r="AC17"/>
    </row>
    <row r="18" spans="10:29" ht="14.4" x14ac:dyDescent="0.3">
      <c r="J18"/>
      <c r="K18"/>
      <c r="L18"/>
      <c r="M18"/>
      <c r="N18"/>
      <c r="O18"/>
      <c r="P18"/>
      <c r="Q18"/>
      <c r="R18"/>
      <c r="S18"/>
      <c r="T18"/>
      <c r="U18"/>
      <c r="V18"/>
      <c r="W18"/>
      <c r="X18"/>
      <c r="Y18"/>
      <c r="Z18"/>
      <c r="AA18"/>
      <c r="AB18"/>
      <c r="AC18"/>
    </row>
    <row r="19" spans="10:29" ht="14.4" x14ac:dyDescent="0.3">
      <c r="J19"/>
      <c r="K19"/>
      <c r="L19"/>
      <c r="M19"/>
      <c r="N19"/>
      <c r="O19"/>
      <c r="P19"/>
      <c r="Q19"/>
      <c r="R19"/>
      <c r="S19"/>
      <c r="T19"/>
      <c r="U19"/>
      <c r="V19"/>
      <c r="W19"/>
      <c r="X19"/>
      <c r="Y19"/>
      <c r="Z19"/>
      <c r="AA19"/>
      <c r="AB19"/>
      <c r="AC19"/>
    </row>
    <row r="20" spans="10:29" ht="14.4" x14ac:dyDescent="0.3">
      <c r="J20"/>
      <c r="K20"/>
      <c r="L20"/>
      <c r="M20"/>
      <c r="N20"/>
      <c r="O20"/>
      <c r="P20"/>
      <c r="Q20"/>
      <c r="R20"/>
      <c r="S20"/>
      <c r="T20"/>
      <c r="U20"/>
      <c r="V20"/>
      <c r="W20"/>
      <c r="X20"/>
      <c r="Y20"/>
      <c r="Z20"/>
      <c r="AA20"/>
      <c r="AB20"/>
      <c r="AC20"/>
    </row>
    <row r="21" spans="10:29" ht="14.4" x14ac:dyDescent="0.3">
      <c r="J21"/>
      <c r="K21"/>
      <c r="L21"/>
      <c r="M21"/>
      <c r="N21"/>
      <c r="O21"/>
      <c r="P21"/>
      <c r="Q21"/>
      <c r="R21"/>
      <c r="S21"/>
      <c r="T21"/>
      <c r="U21"/>
      <c r="V21"/>
      <c r="W21"/>
      <c r="X21"/>
      <c r="Y21"/>
      <c r="Z21"/>
      <c r="AA21"/>
      <c r="AB21"/>
      <c r="AC21"/>
    </row>
    <row r="22" spans="10:29" ht="14.4" x14ac:dyDescent="0.3">
      <c r="J22"/>
      <c r="K22"/>
      <c r="L22"/>
      <c r="M22"/>
      <c r="N22"/>
      <c r="O22"/>
      <c r="P22"/>
      <c r="Q22"/>
      <c r="R22"/>
      <c r="S22"/>
      <c r="T22"/>
      <c r="U22"/>
      <c r="V22"/>
      <c r="W22"/>
      <c r="X22"/>
      <c r="Y22"/>
      <c r="Z22"/>
      <c r="AA22"/>
      <c r="AB22"/>
      <c r="AC22"/>
    </row>
    <row r="23" spans="10:29" ht="14.4" x14ac:dyDescent="0.3">
      <c r="J23"/>
      <c r="K23"/>
      <c r="L23"/>
      <c r="M23"/>
      <c r="N23"/>
      <c r="O23"/>
      <c r="P23"/>
      <c r="Q23"/>
      <c r="R23"/>
      <c r="S23"/>
      <c r="T23"/>
      <c r="U23"/>
      <c r="V23"/>
      <c r="W23"/>
      <c r="X23"/>
      <c r="Y23"/>
      <c r="Z23"/>
      <c r="AA23"/>
      <c r="AB23"/>
      <c r="AC23"/>
    </row>
    <row r="24" spans="10:29" ht="14.4" x14ac:dyDescent="0.3">
      <c r="J24"/>
      <c r="K24"/>
      <c r="L24"/>
      <c r="M24"/>
      <c r="N24"/>
      <c r="O24"/>
      <c r="P24"/>
      <c r="Q24"/>
      <c r="R24"/>
      <c r="S24"/>
      <c r="T24"/>
      <c r="U24"/>
      <c r="V24"/>
      <c r="W24"/>
      <c r="X24"/>
      <c r="Y24"/>
      <c r="Z24"/>
      <c r="AA24"/>
      <c r="AB24"/>
      <c r="AC24"/>
    </row>
    <row r="25" spans="10:29" ht="14.4" x14ac:dyDescent="0.3">
      <c r="J25"/>
      <c r="K25"/>
      <c r="L25"/>
      <c r="M25"/>
      <c r="N25"/>
      <c r="O25"/>
      <c r="P25"/>
      <c r="Q25"/>
      <c r="R25"/>
      <c r="S25"/>
      <c r="T25"/>
      <c r="U25"/>
      <c r="V25"/>
      <c r="W25"/>
      <c r="X25"/>
      <c r="Y25"/>
      <c r="Z25"/>
      <c r="AA25"/>
      <c r="AB25"/>
      <c r="AC25"/>
    </row>
    <row r="26" spans="10:29" ht="14.4" x14ac:dyDescent="0.3">
      <c r="J26"/>
      <c r="K26"/>
      <c r="L26"/>
      <c r="M26"/>
      <c r="N26"/>
      <c r="O26"/>
      <c r="P26"/>
      <c r="Q26"/>
      <c r="R26"/>
      <c r="S26"/>
      <c r="T26"/>
      <c r="U26"/>
      <c r="V26"/>
      <c r="W26"/>
      <c r="X26"/>
      <c r="Y26"/>
      <c r="Z26"/>
      <c r="AA26"/>
      <c r="AB26"/>
      <c r="AC26"/>
    </row>
    <row r="27" spans="10:29" ht="14.4" x14ac:dyDescent="0.3">
      <c r="J27"/>
      <c r="K27"/>
      <c r="L27"/>
      <c r="M27"/>
      <c r="N27"/>
      <c r="O27"/>
      <c r="P27"/>
      <c r="Q27"/>
      <c r="R27"/>
      <c r="S27"/>
      <c r="T27"/>
      <c r="U27"/>
      <c r="V27"/>
      <c r="W27"/>
      <c r="X27"/>
      <c r="Y27"/>
      <c r="Z27"/>
      <c r="AA27"/>
      <c r="AB27"/>
      <c r="AC27"/>
    </row>
    <row r="28" spans="10:29" ht="14.4" x14ac:dyDescent="0.3">
      <c r="J28"/>
      <c r="K28"/>
      <c r="L28"/>
      <c r="M28"/>
      <c r="N28"/>
      <c r="O28"/>
      <c r="P28"/>
      <c r="Q28"/>
      <c r="R28"/>
      <c r="S28"/>
      <c r="T28"/>
      <c r="U28"/>
      <c r="V28"/>
      <c r="W28"/>
      <c r="X28"/>
      <c r="Y28"/>
      <c r="Z28"/>
      <c r="AA28"/>
      <c r="AB28"/>
      <c r="AC28"/>
    </row>
    <row r="29" spans="10:29" ht="14.4" x14ac:dyDescent="0.3">
      <c r="J29"/>
      <c r="K29"/>
      <c r="L29"/>
      <c r="M29"/>
      <c r="N29"/>
      <c r="O29"/>
      <c r="P29"/>
      <c r="Q29"/>
      <c r="R29"/>
      <c r="S29"/>
      <c r="T29"/>
      <c r="U29"/>
      <c r="V29"/>
      <c r="W29"/>
      <c r="X29"/>
      <c r="Y29"/>
      <c r="Z29"/>
      <c r="AA29"/>
      <c r="AB29"/>
      <c r="AC29"/>
    </row>
    <row r="30" spans="10:29" ht="14.4" x14ac:dyDescent="0.3">
      <c r="J30"/>
      <c r="K30"/>
      <c r="L30"/>
      <c r="M30"/>
      <c r="N30"/>
      <c r="O30"/>
      <c r="P30"/>
      <c r="Q30"/>
      <c r="R30"/>
      <c r="S30"/>
      <c r="T30"/>
      <c r="U30"/>
      <c r="V30"/>
      <c r="W30"/>
      <c r="X30"/>
      <c r="Y30"/>
      <c r="Z30"/>
      <c r="AA30"/>
      <c r="AB30"/>
      <c r="AC30"/>
    </row>
    <row r="31" spans="10:29" ht="14.4" x14ac:dyDescent="0.3">
      <c r="J31"/>
      <c r="K31"/>
      <c r="L31"/>
      <c r="M31"/>
      <c r="N31"/>
      <c r="O31"/>
      <c r="P31"/>
      <c r="Q31"/>
      <c r="R31"/>
      <c r="S31"/>
      <c r="T31"/>
      <c r="U31"/>
      <c r="V31"/>
      <c r="W31"/>
      <c r="X31"/>
      <c r="Y31"/>
      <c r="Z31"/>
      <c r="AA31"/>
      <c r="AB31"/>
      <c r="AC31"/>
    </row>
    <row r="32" spans="10:29" ht="14.4" x14ac:dyDescent="0.3">
      <c r="J32"/>
      <c r="K32"/>
      <c r="L32"/>
      <c r="M32"/>
      <c r="N32"/>
      <c r="O32"/>
      <c r="P32"/>
      <c r="Q32"/>
      <c r="R32"/>
      <c r="S32"/>
      <c r="T32"/>
      <c r="U32"/>
      <c r="V32"/>
      <c r="W32"/>
      <c r="X32"/>
      <c r="Y32"/>
      <c r="Z32"/>
      <c r="AA32"/>
      <c r="AB32"/>
      <c r="AC32"/>
    </row>
    <row r="33" spans="10:29" ht="14.4" x14ac:dyDescent="0.3">
      <c r="J33"/>
      <c r="K33"/>
      <c r="L33"/>
      <c r="M33"/>
      <c r="N33"/>
      <c r="O33"/>
      <c r="P33"/>
      <c r="Q33"/>
      <c r="R33"/>
      <c r="S33"/>
      <c r="T33"/>
      <c r="U33"/>
      <c r="V33"/>
      <c r="W33"/>
      <c r="X33"/>
      <c r="Y33"/>
      <c r="Z33"/>
      <c r="AA33"/>
      <c r="AB33"/>
      <c r="AC33"/>
    </row>
    <row r="34" spans="10:29" ht="14.4" x14ac:dyDescent="0.3">
      <c r="J34"/>
      <c r="K34"/>
      <c r="L34"/>
      <c r="M34"/>
      <c r="N34"/>
      <c r="O34"/>
      <c r="P34"/>
      <c r="Q34"/>
      <c r="R34"/>
      <c r="S34"/>
      <c r="T34"/>
      <c r="U34"/>
      <c r="V34"/>
      <c r="W34"/>
      <c r="X34"/>
      <c r="Y34"/>
      <c r="Z34"/>
      <c r="AA34"/>
      <c r="AB34"/>
      <c r="AC34"/>
    </row>
    <row r="35" spans="10:29" ht="14.4" x14ac:dyDescent="0.3">
      <c r="J35"/>
      <c r="K35"/>
      <c r="L35"/>
      <c r="M35"/>
      <c r="N35"/>
      <c r="O35"/>
      <c r="P35"/>
      <c r="Q35"/>
      <c r="R35"/>
      <c r="S35"/>
      <c r="T35"/>
      <c r="U35"/>
      <c r="V35"/>
      <c r="W35"/>
      <c r="X35"/>
      <c r="Y35"/>
      <c r="Z35"/>
      <c r="AA35"/>
      <c r="AB35"/>
      <c r="AC35"/>
    </row>
    <row r="36" spans="10:29" ht="14.4" x14ac:dyDescent="0.3">
      <c r="J36"/>
      <c r="K36"/>
      <c r="L36"/>
      <c r="M36"/>
      <c r="N36"/>
      <c r="O36"/>
      <c r="P36"/>
      <c r="Q36"/>
      <c r="R36"/>
      <c r="S36"/>
      <c r="T36"/>
      <c r="U36"/>
      <c r="V36"/>
      <c r="W36"/>
      <c r="X36"/>
      <c r="Y36"/>
      <c r="Z36"/>
      <c r="AA36"/>
      <c r="AB36"/>
      <c r="AC36"/>
    </row>
    <row r="37" spans="10:29" ht="14.4" x14ac:dyDescent="0.3">
      <c r="J37"/>
      <c r="K37"/>
      <c r="L37"/>
      <c r="M37"/>
      <c r="N37"/>
      <c r="O37"/>
      <c r="P37"/>
      <c r="Q37"/>
      <c r="R37"/>
      <c r="S37"/>
      <c r="T37"/>
      <c r="U37"/>
      <c r="V37"/>
      <c r="W37"/>
      <c r="X37"/>
      <c r="Y37"/>
      <c r="Z37"/>
      <c r="AA37"/>
      <c r="AB37"/>
      <c r="AC37"/>
    </row>
    <row r="38" spans="10:29" ht="14.4" x14ac:dyDescent="0.3">
      <c r="J38"/>
      <c r="K38"/>
      <c r="L38"/>
      <c r="M38"/>
      <c r="N38"/>
      <c r="O38"/>
      <c r="P38"/>
      <c r="Q38"/>
      <c r="R38"/>
      <c r="S38"/>
      <c r="T38"/>
      <c r="U38"/>
      <c r="V38"/>
      <c r="W38"/>
      <c r="X38"/>
      <c r="Y38"/>
      <c r="Z38"/>
      <c r="AA38"/>
      <c r="AB38"/>
      <c r="AC38"/>
    </row>
  </sheetData>
  <mergeCells count="7">
    <mergeCell ref="A2:A3"/>
    <mergeCell ref="B2:D2"/>
    <mergeCell ref="E2:G2"/>
    <mergeCell ref="D4:D5"/>
    <mergeCell ref="G4:G5"/>
    <mergeCell ref="H2:H3"/>
    <mergeCell ref="A1:H1"/>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4"/>
  <sheetViews>
    <sheetView zoomScale="90" zoomScaleNormal="90" workbookViewId="0">
      <selection sqref="A1:D1"/>
    </sheetView>
  </sheetViews>
  <sheetFormatPr defaultColWidth="8.6640625" defaultRowHeight="13.2" x14ac:dyDescent="0.25"/>
  <cols>
    <col min="1" max="1" width="32" style="5" customWidth="1"/>
    <col min="2" max="2" width="34.5546875" style="5" customWidth="1"/>
    <col min="3" max="3" width="21.33203125" style="5" customWidth="1"/>
    <col min="4" max="4" width="36.33203125" style="5" customWidth="1"/>
    <col min="5" max="5" width="38.8867187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456" t="str">
        <f>"Exterior Lighting - "&amp;Prototype!A2</f>
        <v>Exterior Lighting - SchoolRelocatable</v>
      </c>
      <c r="B1" s="456"/>
      <c r="C1" s="456"/>
      <c r="D1" s="456"/>
    </row>
    <row r="2" spans="1:7" ht="37.200000000000003" customHeight="1" x14ac:dyDescent="0.25">
      <c r="A2" s="354" t="s">
        <v>291</v>
      </c>
      <c r="B2" s="354" t="s">
        <v>292</v>
      </c>
      <c r="C2" s="354" t="s">
        <v>293</v>
      </c>
      <c r="D2" s="354" t="s">
        <v>167</v>
      </c>
    </row>
    <row r="3" spans="1:7" ht="45.6" customHeight="1" x14ac:dyDescent="0.25">
      <c r="A3" s="34">
        <f>G14</f>
        <v>200</v>
      </c>
      <c r="B3" s="34">
        <f>G15</f>
        <v>307.87206650000007</v>
      </c>
      <c r="C3" s="34">
        <f>A3+B3</f>
        <v>507.87206650000007</v>
      </c>
      <c r="D3" s="340" t="s">
        <v>294</v>
      </c>
      <c r="E3" s="62"/>
    </row>
    <row r="4" spans="1:7" ht="22.2" customHeight="1" x14ac:dyDescent="0.25">
      <c r="A4" s="47"/>
      <c r="B4" s="47"/>
      <c r="C4" s="47"/>
    </row>
    <row r="5" spans="1:7" ht="14.4" x14ac:dyDescent="0.3">
      <c r="A5"/>
      <c r="C5" s="73"/>
      <c r="E5" s="74"/>
    </row>
    <row r="6" spans="1:7" ht="14.4" x14ac:dyDescent="0.3">
      <c r="A6"/>
      <c r="C6" s="73"/>
      <c r="E6" s="74"/>
    </row>
    <row r="7" spans="1:7" ht="15.6" x14ac:dyDescent="0.25">
      <c r="A7" s="456" t="str">
        <f>"Exterior Lighting"</f>
        <v>Exterior Lighting</v>
      </c>
      <c r="B7" s="456"/>
      <c r="C7" s="456"/>
      <c r="D7" s="456"/>
      <c r="E7" s="456"/>
      <c r="F7" s="456"/>
      <c r="G7" s="456"/>
    </row>
    <row r="8" spans="1:7" ht="51.6" customHeight="1" x14ac:dyDescent="0.25">
      <c r="A8" s="96" t="s">
        <v>295</v>
      </c>
      <c r="B8" s="457" t="s">
        <v>296</v>
      </c>
      <c r="C8" s="457"/>
      <c r="D8" s="354" t="s">
        <v>297</v>
      </c>
      <c r="E8" s="354" t="s">
        <v>298</v>
      </c>
      <c r="F8" s="354" t="s">
        <v>297</v>
      </c>
      <c r="G8" s="354" t="s">
        <v>299</v>
      </c>
    </row>
    <row r="9" spans="1:7" ht="21" customHeight="1" x14ac:dyDescent="0.25">
      <c r="A9" s="13" t="s">
        <v>300</v>
      </c>
      <c r="B9" s="13"/>
      <c r="C9" s="75"/>
      <c r="D9" s="343"/>
      <c r="E9" s="343">
        <v>200</v>
      </c>
      <c r="F9" s="358" t="s">
        <v>301</v>
      </c>
      <c r="G9" s="97">
        <f>$E9</f>
        <v>200</v>
      </c>
    </row>
    <row r="10" spans="1:7" ht="39.6" x14ac:dyDescent="0.25">
      <c r="A10" s="13" t="s">
        <v>302</v>
      </c>
      <c r="B10" s="14" t="s">
        <v>303</v>
      </c>
      <c r="C10" s="76">
        <v>0</v>
      </c>
      <c r="D10" s="343" t="s">
        <v>304</v>
      </c>
      <c r="E10" s="343">
        <v>1.9E-2</v>
      </c>
      <c r="F10" s="358" t="s">
        <v>305</v>
      </c>
      <c r="G10" s="97">
        <f t="shared" ref="G10:G13" si="0">E10*C10</f>
        <v>0</v>
      </c>
    </row>
    <row r="11" spans="1:7" ht="26.4" x14ac:dyDescent="0.25">
      <c r="A11" s="13" t="s">
        <v>306</v>
      </c>
      <c r="B11" s="14" t="s">
        <v>307</v>
      </c>
      <c r="C11" s="75">
        <v>0</v>
      </c>
      <c r="D11" s="343" t="s">
        <v>308</v>
      </c>
      <c r="E11" s="343">
        <v>15</v>
      </c>
      <c r="F11" s="358" t="s">
        <v>309</v>
      </c>
      <c r="G11" s="97">
        <f t="shared" si="0"/>
        <v>0</v>
      </c>
    </row>
    <row r="12" spans="1:7" ht="39.6" customHeight="1" x14ac:dyDescent="0.25">
      <c r="A12" s="13" t="s">
        <v>310</v>
      </c>
      <c r="B12" s="14" t="s">
        <v>311</v>
      </c>
      <c r="C12" s="79">
        <f>B24*0.1</f>
        <v>96.009500000000003</v>
      </c>
      <c r="D12" s="343" t="s">
        <v>304</v>
      </c>
      <c r="E12" s="343">
        <v>7.0000000000000001E-3</v>
      </c>
      <c r="F12" s="358" t="s">
        <v>305</v>
      </c>
      <c r="G12" s="98">
        <f t="shared" si="0"/>
        <v>0.67206650000000001</v>
      </c>
    </row>
    <row r="13" spans="1:7" ht="105.6" x14ac:dyDescent="0.25">
      <c r="A13" s="13" t="s">
        <v>312</v>
      </c>
      <c r="B13" s="14" t="s">
        <v>313</v>
      </c>
      <c r="C13" s="77">
        <f>0.5*4*(B23*B20)</f>
        <v>3072</v>
      </c>
      <c r="D13" s="343" t="s">
        <v>304</v>
      </c>
      <c r="E13" s="343">
        <v>0.1</v>
      </c>
      <c r="F13" s="358" t="s">
        <v>305</v>
      </c>
      <c r="G13" s="98">
        <f t="shared" si="0"/>
        <v>307.20000000000005</v>
      </c>
    </row>
    <row r="14" spans="1:7" x14ac:dyDescent="0.25">
      <c r="A14" s="13" t="s">
        <v>291</v>
      </c>
      <c r="B14" s="13"/>
      <c r="C14" s="75"/>
      <c r="D14" s="343"/>
      <c r="E14" s="343"/>
      <c r="F14" s="343"/>
      <c r="G14" s="98">
        <f>G10+G9+G11</f>
        <v>200</v>
      </c>
    </row>
    <row r="15" spans="1:7" x14ac:dyDescent="0.25">
      <c r="A15" s="13" t="s">
        <v>314</v>
      </c>
      <c r="B15" s="13"/>
      <c r="C15" s="75"/>
      <c r="D15" s="343"/>
      <c r="E15" s="343"/>
      <c r="F15" s="343"/>
      <c r="G15" s="98">
        <f>G12+G13</f>
        <v>307.87206650000007</v>
      </c>
    </row>
    <row r="16" spans="1:7" x14ac:dyDescent="0.25">
      <c r="A16" s="13" t="s">
        <v>242</v>
      </c>
      <c r="B16" s="13"/>
      <c r="C16" s="75"/>
      <c r="D16" s="343"/>
      <c r="E16" s="343"/>
      <c r="F16" s="343"/>
      <c r="G16" s="98">
        <f>G14+G15</f>
        <v>507.87206650000007</v>
      </c>
    </row>
    <row r="19" spans="1:9" x14ac:dyDescent="0.25">
      <c r="B19" s="78"/>
    </row>
    <row r="20" spans="1:9" x14ac:dyDescent="0.25">
      <c r="A20" s="9" t="s">
        <v>315</v>
      </c>
      <c r="B20" s="347">
        <v>12</v>
      </c>
      <c r="C20" s="347"/>
      <c r="D20" s="347"/>
      <c r="E20" s="347"/>
      <c r="F20" s="347"/>
    </row>
    <row r="21" spans="1:9" x14ac:dyDescent="0.25">
      <c r="A21" s="9" t="s">
        <v>316</v>
      </c>
      <c r="B21" s="122">
        <f>B24/2</f>
        <v>480.04750000000001</v>
      </c>
      <c r="C21" s="122"/>
      <c r="D21" s="122"/>
      <c r="E21" s="122"/>
      <c r="F21" s="347"/>
    </row>
    <row r="22" spans="1:9" x14ac:dyDescent="0.25">
      <c r="A22" s="5" t="s">
        <v>317</v>
      </c>
      <c r="B22" s="347">
        <v>1</v>
      </c>
    </row>
    <row r="23" spans="1:9" ht="14.4" x14ac:dyDescent="0.3">
      <c r="A23" s="5" t="s">
        <v>318</v>
      </c>
      <c r="B23" s="122">
        <f>(24+40)*2</f>
        <v>128</v>
      </c>
      <c r="C23" s="335"/>
      <c r="D23" s="119"/>
      <c r="E23" s="335"/>
      <c r="F23" s="120"/>
      <c r="G23" s="335"/>
      <c r="H23" s="335"/>
      <c r="I23" s="335"/>
    </row>
    <row r="24" spans="1:9" x14ac:dyDescent="0.25">
      <c r="A24" s="335" t="s">
        <v>319</v>
      </c>
      <c r="B24" s="121">
        <f>Prototype!B9/2</f>
        <v>960.09500000000003</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37"/>
  <sheetViews>
    <sheetView zoomScale="90" zoomScaleNormal="90" workbookViewId="0">
      <selection sqref="A1:E1"/>
    </sheetView>
  </sheetViews>
  <sheetFormatPr defaultColWidth="8.6640625" defaultRowHeight="14.4" x14ac:dyDescent="0.3"/>
  <cols>
    <col min="1" max="1" width="49" style="5" customWidth="1"/>
    <col min="2" max="2" width="23.5546875" style="5" customWidth="1"/>
    <col min="3" max="3" width="18.44140625" style="5" bestFit="1" customWidth="1"/>
    <col min="4" max="4" width="23.33203125" style="5" customWidth="1"/>
    <col min="5" max="5" width="59.5546875" style="5" customWidth="1"/>
    <col min="6" max="6" width="18.33203125" customWidth="1"/>
    <col min="7" max="7" width="21.44140625" style="5" customWidth="1"/>
    <col min="8" max="8" width="33.88671875" style="5" bestFit="1" customWidth="1"/>
    <col min="9" max="9" width="10.6640625" style="5" bestFit="1" customWidth="1"/>
    <col min="10" max="10" width="10.5546875" style="5" bestFit="1" customWidth="1"/>
    <col min="11" max="16384" width="8.6640625" style="5"/>
  </cols>
  <sheetData>
    <row r="1" spans="1:16" ht="23.4" customHeight="1" x14ac:dyDescent="0.3">
      <c r="A1" s="458" t="str">
        <f>"Equipment - "&amp;Prototype!A2</f>
        <v>Equipment - SchoolRelocatable</v>
      </c>
      <c r="B1" s="459"/>
      <c r="C1" s="459"/>
      <c r="D1" s="459"/>
      <c r="E1" s="460"/>
    </row>
    <row r="2" spans="1:16" ht="40.950000000000003" customHeight="1" x14ac:dyDescent="0.3">
      <c r="A2" s="353" t="s">
        <v>215</v>
      </c>
      <c r="B2" s="341" t="s">
        <v>320</v>
      </c>
      <c r="C2" s="341" t="s">
        <v>321</v>
      </c>
      <c r="D2" s="341" t="s">
        <v>322</v>
      </c>
      <c r="E2" s="355" t="s">
        <v>167</v>
      </c>
      <c r="H2"/>
      <c r="I2"/>
      <c r="J2"/>
      <c r="K2"/>
      <c r="L2"/>
      <c r="M2"/>
      <c r="N2"/>
      <c r="O2"/>
      <c r="P2"/>
    </row>
    <row r="3" spans="1:16" ht="20.399999999999999" customHeight="1" x14ac:dyDescent="0.3">
      <c r="A3" s="89" t="str">
        <f>Zones!C3</f>
        <v>Classroom, Lecture, Training, Vocational Areas</v>
      </c>
      <c r="B3" s="128">
        <v>0.8</v>
      </c>
      <c r="C3" s="128">
        <v>0</v>
      </c>
      <c r="D3" s="129">
        <v>0</v>
      </c>
      <c r="E3" s="384" t="s">
        <v>323</v>
      </c>
      <c r="H3"/>
      <c r="I3"/>
      <c r="J3"/>
      <c r="K3"/>
      <c r="L3"/>
      <c r="M3"/>
      <c r="N3"/>
      <c r="O3"/>
      <c r="P3"/>
    </row>
    <row r="4" spans="1:16" ht="20.399999999999999" customHeight="1" x14ac:dyDescent="0.3">
      <c r="A4" s="89" t="str">
        <f>Zones!C4</f>
        <v>Unoccupied-Exclude from Gross Floor Area</v>
      </c>
      <c r="B4" s="128">
        <v>0</v>
      </c>
      <c r="C4" s="128">
        <v>0</v>
      </c>
      <c r="D4" s="129">
        <v>0</v>
      </c>
      <c r="E4" s="392"/>
      <c r="H4"/>
      <c r="I4"/>
      <c r="J4"/>
      <c r="K4"/>
      <c r="L4"/>
      <c r="M4"/>
      <c r="N4"/>
      <c r="O4"/>
      <c r="P4"/>
    </row>
    <row r="5" spans="1:16" ht="15" customHeight="1" x14ac:dyDescent="0.3">
      <c r="A5" s="111"/>
      <c r="H5"/>
      <c r="I5"/>
      <c r="J5"/>
      <c r="K5"/>
      <c r="L5"/>
      <c r="M5"/>
      <c r="N5"/>
      <c r="O5"/>
      <c r="P5"/>
    </row>
    <row r="6" spans="1:16" customFormat="1" ht="15" customHeight="1" x14ac:dyDescent="0.3"/>
    <row r="7" spans="1:16" customFormat="1" x14ac:dyDescent="0.3"/>
    <row r="8" spans="1:16" customFormat="1" x14ac:dyDescent="0.3"/>
    <row r="9" spans="1:16" customFormat="1" x14ac:dyDescent="0.3"/>
    <row r="10" spans="1:16" customFormat="1" x14ac:dyDescent="0.3"/>
    <row r="11" spans="1:16" customFormat="1" x14ac:dyDescent="0.3"/>
    <row r="12" spans="1:16" customFormat="1" x14ac:dyDescent="0.3"/>
    <row r="13" spans="1:16" customFormat="1" x14ac:dyDescent="0.3"/>
    <row r="14" spans="1:16" customFormat="1" x14ac:dyDescent="0.3"/>
    <row r="15" spans="1:16" customFormat="1" hidden="1" x14ac:dyDescent="0.3"/>
    <row r="16" spans="1:16" customFormat="1" hidden="1" x14ac:dyDescent="0.3"/>
    <row r="17" customFormat="1" hidden="1" x14ac:dyDescent="0.3"/>
    <row r="18" customFormat="1" hidden="1" x14ac:dyDescent="0.3"/>
    <row r="19" customFormat="1" hidden="1" x14ac:dyDescent="0.3"/>
    <row r="20" customFormat="1" hidden="1" x14ac:dyDescent="0.3"/>
    <row r="21" customFormat="1" hidden="1" x14ac:dyDescent="0.3"/>
    <row r="22" customFormat="1" hidden="1" x14ac:dyDescent="0.3"/>
    <row r="23" customFormat="1" hidden="1" x14ac:dyDescent="0.3"/>
    <row r="24" customFormat="1" hidden="1" x14ac:dyDescent="0.3"/>
    <row r="25" customFormat="1" hidden="1" x14ac:dyDescent="0.3"/>
    <row r="26" customFormat="1" hidden="1" x14ac:dyDescent="0.3"/>
    <row r="27" customFormat="1" hidden="1" x14ac:dyDescent="0.3"/>
    <row r="28" customFormat="1" hidden="1" x14ac:dyDescent="0.3"/>
    <row r="29" customFormat="1" hidden="1" x14ac:dyDescent="0.3"/>
    <row r="30" customFormat="1" hidden="1" x14ac:dyDescent="0.3"/>
    <row r="31" customFormat="1" hidden="1" x14ac:dyDescent="0.3"/>
    <row r="32" customFormat="1" hidden="1" x14ac:dyDescent="0.3"/>
    <row r="33" customFormat="1" x14ac:dyDescent="0.3"/>
    <row r="34" customFormat="1" x14ac:dyDescent="0.3"/>
    <row r="35" customFormat="1" x14ac:dyDescent="0.3"/>
    <row r="36" customFormat="1" x14ac:dyDescent="0.3"/>
    <row r="37" customFormat="1" x14ac:dyDescent="0.3"/>
  </sheetData>
  <autoFilter ref="A2:E4" xr:uid="{84519C81-B0B9-4AE9-9154-3628732CA590}"/>
  <mergeCells count="2">
    <mergeCell ref="A1:E1"/>
    <mergeCell ref="E3:E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17"/>
  <sheetViews>
    <sheetView zoomScale="80" zoomScaleNormal="80" workbookViewId="0">
      <selection sqref="A1:AC1"/>
    </sheetView>
  </sheetViews>
  <sheetFormatPr defaultColWidth="9.33203125" defaultRowHeight="11.4" x14ac:dyDescent="0.3"/>
  <cols>
    <col min="1" max="1" width="13.109375" style="35" bestFit="1" customWidth="1"/>
    <col min="2" max="2" width="33.109375" style="35" customWidth="1"/>
    <col min="3" max="3" width="16" style="35" bestFit="1" customWidth="1"/>
    <col min="4" max="4" width="24.33203125" style="35" bestFit="1" customWidth="1"/>
    <col min="5" max="6" width="9.33203125" style="35"/>
    <col min="7" max="30" width="5.6640625" style="35" customWidth="1"/>
    <col min="31" max="16384" width="9.33203125" style="35"/>
  </cols>
  <sheetData>
    <row r="1" spans="1:39" ht="24" customHeight="1" x14ac:dyDescent="0.3">
      <c r="A1" s="436" t="str">
        <f>"Schedules - "&amp;Prototype!A2</f>
        <v>Schedules - SchoolRelocatable</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81"/>
      <c r="AD1"/>
      <c r="AE1" s="36"/>
      <c r="AF1" s="36"/>
      <c r="AG1" s="36"/>
      <c r="AH1" s="36"/>
      <c r="AI1" s="36"/>
      <c r="AJ1" s="37"/>
      <c r="AK1" s="37"/>
      <c r="AL1" s="37"/>
    </row>
    <row r="2" spans="1:39" ht="24" customHeight="1" x14ac:dyDescent="0.3">
      <c r="A2" s="455" t="s">
        <v>324</v>
      </c>
      <c r="B2" s="490" t="s">
        <v>65</v>
      </c>
      <c r="C2" s="490" t="s">
        <v>325</v>
      </c>
      <c r="D2" s="490" t="s">
        <v>167</v>
      </c>
      <c r="E2" s="455" t="s">
        <v>326</v>
      </c>
      <c r="F2" s="495" t="s">
        <v>327</v>
      </c>
      <c r="G2" s="495"/>
      <c r="H2" s="495"/>
      <c r="I2" s="495"/>
      <c r="J2" s="495"/>
      <c r="K2" s="495"/>
      <c r="L2" s="495"/>
      <c r="M2" s="495"/>
      <c r="N2" s="495"/>
      <c r="O2" s="495"/>
      <c r="P2" s="495"/>
      <c r="Q2" s="495"/>
      <c r="R2" s="495"/>
      <c r="S2" s="495"/>
      <c r="T2" s="495"/>
      <c r="U2" s="495"/>
      <c r="V2" s="495"/>
      <c r="W2" s="495"/>
      <c r="X2" s="495"/>
      <c r="Y2" s="495"/>
      <c r="Z2" s="495"/>
      <c r="AA2" s="495"/>
      <c r="AB2" s="495"/>
      <c r="AC2" s="495"/>
      <c r="AD2" s="36"/>
      <c r="AE2" s="36"/>
      <c r="AF2" s="36"/>
      <c r="AG2" s="36"/>
      <c r="AH2" s="36"/>
      <c r="AI2" s="37"/>
      <c r="AJ2" s="37"/>
      <c r="AK2" s="37"/>
    </row>
    <row r="3" spans="1:39" ht="25.2" customHeight="1" thickBot="1" x14ac:dyDescent="0.35">
      <c r="A3" s="490"/>
      <c r="B3" s="496"/>
      <c r="C3" s="491"/>
      <c r="D3" s="491"/>
      <c r="E3" s="490"/>
      <c r="F3" s="355">
        <v>1</v>
      </c>
      <c r="G3" s="355">
        <v>2</v>
      </c>
      <c r="H3" s="355">
        <v>3</v>
      </c>
      <c r="I3" s="355">
        <v>4</v>
      </c>
      <c r="J3" s="355">
        <v>5</v>
      </c>
      <c r="K3" s="355">
        <v>6</v>
      </c>
      <c r="L3" s="355">
        <v>7</v>
      </c>
      <c r="M3" s="355">
        <v>8</v>
      </c>
      <c r="N3" s="355">
        <v>9</v>
      </c>
      <c r="O3" s="355">
        <v>10</v>
      </c>
      <c r="P3" s="355">
        <v>11</v>
      </c>
      <c r="Q3" s="355">
        <v>12</v>
      </c>
      <c r="R3" s="355">
        <v>13</v>
      </c>
      <c r="S3" s="355">
        <v>14</v>
      </c>
      <c r="T3" s="355">
        <v>15</v>
      </c>
      <c r="U3" s="355">
        <v>16</v>
      </c>
      <c r="V3" s="355">
        <v>17</v>
      </c>
      <c r="W3" s="355">
        <v>18</v>
      </c>
      <c r="X3" s="355">
        <v>19</v>
      </c>
      <c r="Y3" s="355">
        <v>20</v>
      </c>
      <c r="Z3" s="355">
        <v>21</v>
      </c>
      <c r="AA3" s="355">
        <v>22</v>
      </c>
      <c r="AB3" s="355">
        <v>23</v>
      </c>
      <c r="AC3" s="355">
        <v>24</v>
      </c>
      <c r="AD3" s="37"/>
      <c r="AE3" s="37"/>
      <c r="AF3" s="37"/>
      <c r="AG3" s="37"/>
      <c r="AH3" s="37"/>
      <c r="AI3" s="37"/>
      <c r="AJ3" s="37"/>
      <c r="AK3" s="37"/>
    </row>
    <row r="4" spans="1:39" ht="29.25" customHeight="1" x14ac:dyDescent="0.3">
      <c r="A4" s="487" t="s">
        <v>328</v>
      </c>
      <c r="B4" s="497" t="s">
        <v>329</v>
      </c>
      <c r="C4" s="492" t="s">
        <v>330</v>
      </c>
      <c r="D4" s="482" t="s">
        <v>331</v>
      </c>
      <c r="E4" s="142" t="s">
        <v>332</v>
      </c>
      <c r="F4" s="143">
        <v>0</v>
      </c>
      <c r="G4" s="143">
        <v>0</v>
      </c>
      <c r="H4" s="143">
        <v>0</v>
      </c>
      <c r="I4" s="143">
        <v>0</v>
      </c>
      <c r="J4" s="143">
        <v>0</v>
      </c>
      <c r="K4" s="143">
        <v>0</v>
      </c>
      <c r="L4" s="143">
        <v>0</v>
      </c>
      <c r="M4" s="143">
        <v>0.05</v>
      </c>
      <c r="N4" s="143">
        <v>0.75</v>
      </c>
      <c r="O4" s="143">
        <v>0.9</v>
      </c>
      <c r="P4" s="143">
        <v>0.9</v>
      </c>
      <c r="Q4" s="143">
        <v>0.8</v>
      </c>
      <c r="R4" s="143">
        <v>0.8</v>
      </c>
      <c r="S4" s="143">
        <v>0.8</v>
      </c>
      <c r="T4" s="143">
        <v>0.8</v>
      </c>
      <c r="U4" s="143">
        <v>0.45</v>
      </c>
      <c r="V4" s="143">
        <v>0.15</v>
      </c>
      <c r="W4" s="143">
        <v>0.05</v>
      </c>
      <c r="X4" s="143">
        <v>0.15</v>
      </c>
      <c r="Y4" s="143">
        <v>0.2</v>
      </c>
      <c r="Z4" s="143">
        <v>0.2</v>
      </c>
      <c r="AA4" s="143">
        <v>0.1</v>
      </c>
      <c r="AB4" s="143">
        <v>0</v>
      </c>
      <c r="AC4" s="144">
        <v>0</v>
      </c>
      <c r="AD4" s="37"/>
      <c r="AE4" s="37"/>
      <c r="AF4" s="37"/>
      <c r="AG4" s="37"/>
      <c r="AH4" s="37"/>
      <c r="AI4" s="37"/>
      <c r="AJ4" s="37"/>
      <c r="AK4" s="37"/>
    </row>
    <row r="5" spans="1:39" ht="33" customHeight="1" x14ac:dyDescent="0.3">
      <c r="A5" s="488"/>
      <c r="B5" s="386"/>
      <c r="C5" s="493"/>
      <c r="D5" s="483"/>
      <c r="E5" s="145" t="s">
        <v>333</v>
      </c>
      <c r="F5" s="94">
        <v>0</v>
      </c>
      <c r="G5" s="94">
        <v>0</v>
      </c>
      <c r="H5" s="94">
        <v>0</v>
      </c>
      <c r="I5" s="94">
        <v>0</v>
      </c>
      <c r="J5" s="94">
        <v>0</v>
      </c>
      <c r="K5" s="94">
        <v>0</v>
      </c>
      <c r="L5" s="94">
        <v>0</v>
      </c>
      <c r="M5" s="94">
        <v>0</v>
      </c>
      <c r="N5" s="94">
        <v>0.1</v>
      </c>
      <c r="O5" s="94">
        <v>0.1</v>
      </c>
      <c r="P5" s="94">
        <v>0.1</v>
      </c>
      <c r="Q5" s="94">
        <v>0.1</v>
      </c>
      <c r="R5" s="94">
        <v>0.1</v>
      </c>
      <c r="S5" s="94">
        <v>0</v>
      </c>
      <c r="T5" s="94">
        <v>0</v>
      </c>
      <c r="U5" s="94">
        <v>0</v>
      </c>
      <c r="V5" s="94">
        <v>0</v>
      </c>
      <c r="W5" s="94">
        <v>0</v>
      </c>
      <c r="X5" s="94">
        <v>0</v>
      </c>
      <c r="Y5" s="94">
        <v>0</v>
      </c>
      <c r="Z5" s="94">
        <v>0</v>
      </c>
      <c r="AA5" s="94">
        <v>0</v>
      </c>
      <c r="AB5" s="94">
        <v>0</v>
      </c>
      <c r="AC5" s="146">
        <v>0</v>
      </c>
      <c r="AD5" s="37"/>
      <c r="AE5" s="37"/>
      <c r="AF5" s="37"/>
      <c r="AG5" s="37"/>
      <c r="AH5" s="37"/>
      <c r="AI5" s="37"/>
      <c r="AJ5" s="37"/>
      <c r="AK5" s="37"/>
    </row>
    <row r="6" spans="1:39" ht="33" customHeight="1" thickBot="1" x14ac:dyDescent="0.35">
      <c r="A6" s="489"/>
      <c r="B6" s="498"/>
      <c r="C6" s="494"/>
      <c r="D6" s="484"/>
      <c r="E6" s="147" t="s">
        <v>334</v>
      </c>
      <c r="F6" s="148">
        <v>0</v>
      </c>
      <c r="G6" s="148">
        <v>0</v>
      </c>
      <c r="H6" s="148">
        <v>0</v>
      </c>
      <c r="I6" s="148">
        <v>0</v>
      </c>
      <c r="J6" s="148">
        <v>0</v>
      </c>
      <c r="K6" s="148">
        <v>0</v>
      </c>
      <c r="L6" s="148">
        <v>0</v>
      </c>
      <c r="M6" s="148">
        <v>0</v>
      </c>
      <c r="N6" s="148">
        <v>0</v>
      </c>
      <c r="O6" s="148">
        <v>0</v>
      </c>
      <c r="P6" s="148">
        <v>0</v>
      </c>
      <c r="Q6" s="148">
        <v>0</v>
      </c>
      <c r="R6" s="148">
        <v>0</v>
      </c>
      <c r="S6" s="148">
        <v>0</v>
      </c>
      <c r="T6" s="148">
        <v>0</v>
      </c>
      <c r="U6" s="148">
        <v>0</v>
      </c>
      <c r="V6" s="148">
        <v>0</v>
      </c>
      <c r="W6" s="148">
        <v>0</v>
      </c>
      <c r="X6" s="148">
        <v>0</v>
      </c>
      <c r="Y6" s="148">
        <v>0</v>
      </c>
      <c r="Z6" s="148">
        <v>0</v>
      </c>
      <c r="AA6" s="148">
        <v>0</v>
      </c>
      <c r="AB6" s="148">
        <v>0</v>
      </c>
      <c r="AC6" s="149">
        <v>0</v>
      </c>
      <c r="AD6" s="37"/>
      <c r="AE6" s="37"/>
      <c r="AF6" s="37"/>
      <c r="AG6" s="37"/>
      <c r="AH6" s="37"/>
      <c r="AI6" s="37"/>
      <c r="AJ6" s="37"/>
      <c r="AK6" s="37"/>
    </row>
    <row r="7" spans="1:39" ht="38.700000000000003" customHeight="1" x14ac:dyDescent="0.3">
      <c r="A7" s="487" t="s">
        <v>328</v>
      </c>
      <c r="B7" s="497" t="s">
        <v>329</v>
      </c>
      <c r="C7" s="492" t="s">
        <v>335</v>
      </c>
      <c r="D7" s="482" t="s">
        <v>331</v>
      </c>
      <c r="E7" s="150" t="s">
        <v>332</v>
      </c>
      <c r="F7" s="151">
        <v>0.05</v>
      </c>
      <c r="G7" s="151">
        <v>0.05</v>
      </c>
      <c r="H7" s="151">
        <v>0.05</v>
      </c>
      <c r="I7" s="151">
        <v>0.05</v>
      </c>
      <c r="J7" s="151">
        <v>0.05</v>
      </c>
      <c r="K7" s="151">
        <v>0.05</v>
      </c>
      <c r="L7" s="151">
        <v>0.05</v>
      </c>
      <c r="M7" s="151">
        <v>0.3</v>
      </c>
      <c r="N7" s="151">
        <v>0.6</v>
      </c>
      <c r="O7" s="151">
        <v>0.65</v>
      </c>
      <c r="P7" s="151">
        <v>0.65</v>
      </c>
      <c r="Q7" s="151">
        <v>0.65</v>
      </c>
      <c r="R7" s="151">
        <v>0.55000000000000004</v>
      </c>
      <c r="S7" s="151">
        <v>0.55000000000000004</v>
      </c>
      <c r="T7" s="151">
        <v>0.55000000000000004</v>
      </c>
      <c r="U7" s="151">
        <v>0.5</v>
      </c>
      <c r="V7" s="151">
        <v>0.35</v>
      </c>
      <c r="W7" s="151">
        <v>0.35</v>
      </c>
      <c r="X7" s="151">
        <v>0.35</v>
      </c>
      <c r="Y7" s="151">
        <v>0.35</v>
      </c>
      <c r="Z7" s="151">
        <v>0.35</v>
      </c>
      <c r="AA7" s="151">
        <v>0.3</v>
      </c>
      <c r="AB7" s="151">
        <v>0.05</v>
      </c>
      <c r="AC7" s="152">
        <v>0.05</v>
      </c>
      <c r="AD7" s="37"/>
      <c r="AE7" s="37"/>
      <c r="AF7" s="37"/>
      <c r="AG7" s="37"/>
      <c r="AH7" s="37"/>
      <c r="AI7" s="37"/>
      <c r="AJ7" s="37"/>
      <c r="AK7" s="37"/>
      <c r="AM7" s="48"/>
    </row>
    <row r="8" spans="1:39" ht="38.700000000000003" customHeight="1" x14ac:dyDescent="0.3">
      <c r="A8" s="488"/>
      <c r="B8" s="386"/>
      <c r="C8" s="493"/>
      <c r="D8" s="483"/>
      <c r="E8" s="153" t="s">
        <v>333</v>
      </c>
      <c r="F8" s="154">
        <v>0.05</v>
      </c>
      <c r="G8" s="154">
        <v>0.05</v>
      </c>
      <c r="H8" s="154">
        <v>0.05</v>
      </c>
      <c r="I8" s="154">
        <v>0.05</v>
      </c>
      <c r="J8" s="154">
        <v>0.05</v>
      </c>
      <c r="K8" s="154">
        <v>0.05</v>
      </c>
      <c r="L8" s="154">
        <v>0.05</v>
      </c>
      <c r="M8" s="154">
        <v>0.05</v>
      </c>
      <c r="N8" s="154">
        <v>0.15</v>
      </c>
      <c r="O8" s="154">
        <v>0.15</v>
      </c>
      <c r="P8" s="154">
        <v>0.15</v>
      </c>
      <c r="Q8" s="154">
        <v>0.15</v>
      </c>
      <c r="R8" s="154">
        <v>0.15</v>
      </c>
      <c r="S8" s="154">
        <v>0.05</v>
      </c>
      <c r="T8" s="154">
        <v>0.05</v>
      </c>
      <c r="U8" s="154">
        <v>0.05</v>
      </c>
      <c r="V8" s="154">
        <v>0.05</v>
      </c>
      <c r="W8" s="154">
        <v>0.05</v>
      </c>
      <c r="X8" s="154">
        <v>0.05</v>
      </c>
      <c r="Y8" s="154">
        <v>0.05</v>
      </c>
      <c r="Z8" s="154">
        <v>0.05</v>
      </c>
      <c r="AA8" s="154">
        <v>0.05</v>
      </c>
      <c r="AB8" s="154">
        <v>0.05</v>
      </c>
      <c r="AC8" s="155">
        <v>0.05</v>
      </c>
      <c r="AD8" s="37"/>
      <c r="AE8" s="37"/>
      <c r="AF8" s="37"/>
      <c r="AG8" s="37"/>
      <c r="AH8" s="37"/>
      <c r="AI8" s="37"/>
      <c r="AJ8" s="37"/>
      <c r="AK8" s="37"/>
      <c r="AM8" s="48"/>
    </row>
    <row r="9" spans="1:39" ht="38.700000000000003" customHeight="1" thickBot="1" x14ac:dyDescent="0.35">
      <c r="A9" s="489"/>
      <c r="B9" s="498"/>
      <c r="C9" s="494"/>
      <c r="D9" s="484"/>
      <c r="E9" s="156" t="s">
        <v>334</v>
      </c>
      <c r="F9" s="157">
        <v>0.05</v>
      </c>
      <c r="G9" s="157">
        <v>0.05</v>
      </c>
      <c r="H9" s="157">
        <v>0.05</v>
      </c>
      <c r="I9" s="157">
        <v>0.05</v>
      </c>
      <c r="J9" s="157">
        <v>0.05</v>
      </c>
      <c r="K9" s="157">
        <v>0.05</v>
      </c>
      <c r="L9" s="157">
        <v>0.05</v>
      </c>
      <c r="M9" s="157">
        <v>0.05</v>
      </c>
      <c r="N9" s="157">
        <v>0.05</v>
      </c>
      <c r="O9" s="157">
        <v>0.05</v>
      </c>
      <c r="P9" s="157">
        <v>0.05</v>
      </c>
      <c r="Q9" s="157">
        <v>0.05</v>
      </c>
      <c r="R9" s="157">
        <v>0.05</v>
      </c>
      <c r="S9" s="157">
        <v>0.05</v>
      </c>
      <c r="T9" s="157">
        <v>0.05</v>
      </c>
      <c r="U9" s="157">
        <v>0.05</v>
      </c>
      <c r="V9" s="157">
        <v>0.05</v>
      </c>
      <c r="W9" s="157">
        <v>0.05</v>
      </c>
      <c r="X9" s="157">
        <v>0.05</v>
      </c>
      <c r="Y9" s="157">
        <v>0.05</v>
      </c>
      <c r="Z9" s="157">
        <v>0.05</v>
      </c>
      <c r="AA9" s="157">
        <v>0.05</v>
      </c>
      <c r="AB9" s="157">
        <v>0.05</v>
      </c>
      <c r="AC9" s="158">
        <v>0.05</v>
      </c>
      <c r="AD9" s="37"/>
      <c r="AE9" s="37"/>
      <c r="AF9" s="37"/>
      <c r="AG9" s="37"/>
      <c r="AH9" s="37"/>
      <c r="AI9" s="37"/>
      <c r="AJ9" s="37"/>
      <c r="AK9" s="37"/>
      <c r="AM9" s="48"/>
    </row>
    <row r="10" spans="1:39" ht="36" customHeight="1" x14ac:dyDescent="0.3">
      <c r="A10" s="487" t="s">
        <v>328</v>
      </c>
      <c r="B10" s="497" t="s">
        <v>329</v>
      </c>
      <c r="C10" s="485" t="s">
        <v>336</v>
      </c>
      <c r="D10" s="482" t="s">
        <v>331</v>
      </c>
      <c r="E10" s="159" t="s">
        <v>332</v>
      </c>
      <c r="F10" s="143">
        <v>0.05</v>
      </c>
      <c r="G10" s="143">
        <v>0.05</v>
      </c>
      <c r="H10" s="143">
        <v>0.05</v>
      </c>
      <c r="I10" s="143">
        <v>0.05</v>
      </c>
      <c r="J10" s="143">
        <v>0.05</v>
      </c>
      <c r="K10" s="143">
        <v>0.05</v>
      </c>
      <c r="L10" s="143">
        <v>0.05</v>
      </c>
      <c r="M10" s="143">
        <v>0.3</v>
      </c>
      <c r="N10" s="143">
        <v>0.85</v>
      </c>
      <c r="O10" s="143">
        <v>0.95</v>
      </c>
      <c r="P10" s="143">
        <v>0.95</v>
      </c>
      <c r="Q10" s="143">
        <v>0.95</v>
      </c>
      <c r="R10" s="143">
        <v>0.8</v>
      </c>
      <c r="S10" s="143">
        <v>0.8</v>
      </c>
      <c r="T10" s="143">
        <v>0.8</v>
      </c>
      <c r="U10" s="143">
        <v>0.7</v>
      </c>
      <c r="V10" s="143">
        <v>0.5</v>
      </c>
      <c r="W10" s="143">
        <v>0.5</v>
      </c>
      <c r="X10" s="143">
        <v>0.35</v>
      </c>
      <c r="Y10" s="143">
        <v>0.35</v>
      </c>
      <c r="Z10" s="143">
        <v>0.35</v>
      </c>
      <c r="AA10" s="143">
        <v>0.3</v>
      </c>
      <c r="AB10" s="143">
        <v>0.05</v>
      </c>
      <c r="AC10" s="144">
        <v>0.05</v>
      </c>
      <c r="AD10" s="38"/>
      <c r="AE10" s="37"/>
      <c r="AF10" s="37"/>
      <c r="AG10" s="37"/>
      <c r="AH10" s="37"/>
      <c r="AI10" s="37"/>
      <c r="AJ10" s="37"/>
      <c r="AK10" s="37"/>
      <c r="AM10" s="48"/>
    </row>
    <row r="11" spans="1:39" ht="36" customHeight="1" x14ac:dyDescent="0.3">
      <c r="A11" s="488"/>
      <c r="B11" s="386"/>
      <c r="C11" s="422"/>
      <c r="D11" s="483"/>
      <c r="E11" s="153" t="s">
        <v>333</v>
      </c>
      <c r="F11" s="94">
        <v>0.05</v>
      </c>
      <c r="G11" s="94">
        <v>0.05</v>
      </c>
      <c r="H11" s="94">
        <v>0.05</v>
      </c>
      <c r="I11" s="94">
        <v>0.05</v>
      </c>
      <c r="J11" s="94">
        <v>0.05</v>
      </c>
      <c r="K11" s="94">
        <v>0.05</v>
      </c>
      <c r="L11" s="94">
        <v>0.05</v>
      </c>
      <c r="M11" s="94">
        <v>0.05</v>
      </c>
      <c r="N11" s="94">
        <v>0.15</v>
      </c>
      <c r="O11" s="94">
        <v>0.15</v>
      </c>
      <c r="P11" s="94">
        <v>0.15</v>
      </c>
      <c r="Q11" s="94">
        <v>0.15</v>
      </c>
      <c r="R11" s="94">
        <v>0.15</v>
      </c>
      <c r="S11" s="94">
        <v>0.05</v>
      </c>
      <c r="T11" s="94">
        <v>0.05</v>
      </c>
      <c r="U11" s="94">
        <v>0.05</v>
      </c>
      <c r="V11" s="94">
        <v>0.05</v>
      </c>
      <c r="W11" s="94">
        <v>0.05</v>
      </c>
      <c r="X11" s="94">
        <v>0.05</v>
      </c>
      <c r="Y11" s="94">
        <v>0.05</v>
      </c>
      <c r="Z11" s="94">
        <v>0.05</v>
      </c>
      <c r="AA11" s="94">
        <v>0.05</v>
      </c>
      <c r="AB11" s="94">
        <v>0.05</v>
      </c>
      <c r="AC11" s="146">
        <v>0.05</v>
      </c>
      <c r="AD11" s="38"/>
      <c r="AE11" s="37"/>
      <c r="AF11" s="37"/>
      <c r="AG11" s="37"/>
      <c r="AH11" s="37"/>
      <c r="AI11" s="37"/>
      <c r="AJ11" s="37"/>
      <c r="AK11" s="37"/>
      <c r="AM11" s="48"/>
    </row>
    <row r="12" spans="1:39" ht="36" customHeight="1" thickBot="1" x14ac:dyDescent="0.35">
      <c r="A12" s="489"/>
      <c r="B12" s="498"/>
      <c r="C12" s="486"/>
      <c r="D12" s="484"/>
      <c r="E12" s="156" t="s">
        <v>334</v>
      </c>
      <c r="F12" s="148">
        <v>0.05</v>
      </c>
      <c r="G12" s="148">
        <v>0.05</v>
      </c>
      <c r="H12" s="148">
        <v>0.05</v>
      </c>
      <c r="I12" s="148">
        <v>0.05</v>
      </c>
      <c r="J12" s="148">
        <v>0.05</v>
      </c>
      <c r="K12" s="148">
        <v>0.05</v>
      </c>
      <c r="L12" s="148">
        <v>0.05</v>
      </c>
      <c r="M12" s="148">
        <v>0.05</v>
      </c>
      <c r="N12" s="148">
        <v>0.05</v>
      </c>
      <c r="O12" s="148">
        <v>0.05</v>
      </c>
      <c r="P12" s="148">
        <v>0.05</v>
      </c>
      <c r="Q12" s="148">
        <v>0.05</v>
      </c>
      <c r="R12" s="148">
        <v>0.05</v>
      </c>
      <c r="S12" s="148">
        <v>0.05</v>
      </c>
      <c r="T12" s="148">
        <v>0.05</v>
      </c>
      <c r="U12" s="148">
        <v>0.05</v>
      </c>
      <c r="V12" s="148">
        <v>0.05</v>
      </c>
      <c r="W12" s="148">
        <v>0.05</v>
      </c>
      <c r="X12" s="148">
        <v>0.05</v>
      </c>
      <c r="Y12" s="148">
        <v>0.05</v>
      </c>
      <c r="Z12" s="148">
        <v>0.05</v>
      </c>
      <c r="AA12" s="148">
        <v>0.05</v>
      </c>
      <c r="AB12" s="148">
        <v>0.05</v>
      </c>
      <c r="AC12" s="149">
        <v>0.05</v>
      </c>
      <c r="AD12" s="38"/>
      <c r="AE12" s="37"/>
      <c r="AF12" s="37"/>
      <c r="AG12" s="37"/>
      <c r="AH12" s="37"/>
      <c r="AI12" s="37"/>
      <c r="AJ12" s="37"/>
      <c r="AK12" s="37"/>
      <c r="AM12" s="48"/>
    </row>
    <row r="13" spans="1:39" ht="36" customHeight="1" x14ac:dyDescent="0.3">
      <c r="A13" s="487" t="s">
        <v>328</v>
      </c>
      <c r="B13" s="497" t="s">
        <v>329</v>
      </c>
      <c r="C13" s="485" t="s">
        <v>337</v>
      </c>
      <c r="D13" s="482" t="s">
        <v>331</v>
      </c>
      <c r="E13" s="142" t="s">
        <v>332</v>
      </c>
      <c r="F13" s="143">
        <v>0.05</v>
      </c>
      <c r="G13" s="143">
        <v>0.05</v>
      </c>
      <c r="H13" s="143">
        <v>0.05</v>
      </c>
      <c r="I13" s="143">
        <v>0.05</v>
      </c>
      <c r="J13" s="143">
        <v>0.05</v>
      </c>
      <c r="K13" s="143">
        <v>0.05</v>
      </c>
      <c r="L13" s="143">
        <v>0.05</v>
      </c>
      <c r="M13" s="143">
        <v>0.1</v>
      </c>
      <c r="N13" s="143">
        <v>0.34</v>
      </c>
      <c r="O13" s="143">
        <v>0.6</v>
      </c>
      <c r="P13" s="143">
        <v>0.63</v>
      </c>
      <c r="Q13" s="143">
        <v>0.72</v>
      </c>
      <c r="R13" s="143">
        <v>0.79</v>
      </c>
      <c r="S13" s="143">
        <v>0.83</v>
      </c>
      <c r="T13" s="143">
        <v>0.61</v>
      </c>
      <c r="U13" s="143">
        <v>0.65</v>
      </c>
      <c r="V13" s="143">
        <v>0.1</v>
      </c>
      <c r="W13" s="143">
        <v>0.1</v>
      </c>
      <c r="X13" s="143">
        <v>0.19</v>
      </c>
      <c r="Y13" s="143">
        <v>0.25</v>
      </c>
      <c r="Z13" s="143">
        <v>0.22</v>
      </c>
      <c r="AA13" s="143">
        <v>0.22</v>
      </c>
      <c r="AB13" s="143">
        <v>0.12</v>
      </c>
      <c r="AC13" s="144">
        <v>0.09</v>
      </c>
      <c r="AD13" s="37"/>
      <c r="AE13" s="37"/>
      <c r="AF13" s="37"/>
      <c r="AG13" s="37"/>
      <c r="AH13" s="37"/>
      <c r="AI13" s="37"/>
      <c r="AJ13" s="37"/>
      <c r="AK13" s="37"/>
      <c r="AM13" s="48"/>
    </row>
    <row r="14" spans="1:39" ht="36" customHeight="1" x14ac:dyDescent="0.3">
      <c r="A14" s="488"/>
      <c r="B14" s="386"/>
      <c r="C14" s="422"/>
      <c r="D14" s="483"/>
      <c r="E14" s="145" t="s">
        <v>333</v>
      </c>
      <c r="F14" s="94">
        <v>0.03</v>
      </c>
      <c r="G14" s="94">
        <v>0.03</v>
      </c>
      <c r="H14" s="94">
        <v>0.03</v>
      </c>
      <c r="I14" s="94">
        <v>0.03</v>
      </c>
      <c r="J14" s="94">
        <v>0.03</v>
      </c>
      <c r="K14" s="94">
        <v>0.03</v>
      </c>
      <c r="L14" s="94">
        <v>0.03</v>
      </c>
      <c r="M14" s="94">
        <v>0.03</v>
      </c>
      <c r="N14" s="94">
        <v>0.03</v>
      </c>
      <c r="O14" s="94">
        <v>0.05</v>
      </c>
      <c r="P14" s="94">
        <v>0.05</v>
      </c>
      <c r="Q14" s="94">
        <v>0.05</v>
      </c>
      <c r="R14" s="94">
        <v>0.05</v>
      </c>
      <c r="S14" s="94">
        <v>0.03</v>
      </c>
      <c r="T14" s="94">
        <v>0.03</v>
      </c>
      <c r="U14" s="94">
        <v>0.03</v>
      </c>
      <c r="V14" s="94">
        <v>0.03</v>
      </c>
      <c r="W14" s="94">
        <v>0.03</v>
      </c>
      <c r="X14" s="94">
        <v>0.03</v>
      </c>
      <c r="Y14" s="94">
        <v>0.03</v>
      </c>
      <c r="Z14" s="94">
        <v>0.03</v>
      </c>
      <c r="AA14" s="94">
        <v>0.03</v>
      </c>
      <c r="AB14" s="94">
        <v>0.03</v>
      </c>
      <c r="AC14" s="146">
        <v>0.03</v>
      </c>
      <c r="AD14" s="37"/>
      <c r="AE14" s="37"/>
      <c r="AF14" s="37"/>
      <c r="AG14" s="37"/>
      <c r="AH14" s="37"/>
      <c r="AI14" s="37"/>
      <c r="AJ14" s="37"/>
      <c r="AK14" s="37"/>
      <c r="AM14" s="48"/>
    </row>
    <row r="15" spans="1:39" ht="36" customHeight="1" thickBot="1" x14ac:dyDescent="0.35">
      <c r="A15" s="489"/>
      <c r="B15" s="498"/>
      <c r="C15" s="486"/>
      <c r="D15" s="484"/>
      <c r="E15" s="147" t="s">
        <v>334</v>
      </c>
      <c r="F15" s="148">
        <v>0.03</v>
      </c>
      <c r="G15" s="148">
        <v>0.03</v>
      </c>
      <c r="H15" s="148">
        <v>0.03</v>
      </c>
      <c r="I15" s="148">
        <v>0.03</v>
      </c>
      <c r="J15" s="148">
        <v>0.03</v>
      </c>
      <c r="K15" s="148">
        <v>0.03</v>
      </c>
      <c r="L15" s="148">
        <v>0.03</v>
      </c>
      <c r="M15" s="148">
        <v>0.03</v>
      </c>
      <c r="N15" s="148">
        <v>0.05</v>
      </c>
      <c r="O15" s="148">
        <v>0.05</v>
      </c>
      <c r="P15" s="148">
        <v>0.05</v>
      </c>
      <c r="Q15" s="148">
        <v>0.05</v>
      </c>
      <c r="R15" s="148">
        <v>0.05</v>
      </c>
      <c r="S15" s="148">
        <v>0.05</v>
      </c>
      <c r="T15" s="148">
        <v>0.03</v>
      </c>
      <c r="U15" s="148">
        <v>0.03</v>
      </c>
      <c r="V15" s="148">
        <v>0.03</v>
      </c>
      <c r="W15" s="148">
        <v>0.03</v>
      </c>
      <c r="X15" s="148">
        <v>0.03</v>
      </c>
      <c r="Y15" s="148">
        <v>0.03</v>
      </c>
      <c r="Z15" s="148">
        <v>0.03</v>
      </c>
      <c r="AA15" s="148">
        <v>0.03</v>
      </c>
      <c r="AB15" s="148">
        <v>0.03</v>
      </c>
      <c r="AC15" s="149">
        <v>0.03</v>
      </c>
      <c r="AD15" s="37"/>
      <c r="AE15" s="37"/>
      <c r="AF15" s="37"/>
      <c r="AG15" s="37"/>
      <c r="AH15" s="37"/>
      <c r="AI15" s="37"/>
      <c r="AJ15" s="37"/>
      <c r="AK15" s="37"/>
      <c r="AM15" s="48"/>
    </row>
    <row r="16" spans="1:39" ht="36" customHeight="1" x14ac:dyDescent="0.3">
      <c r="A16" s="487" t="s">
        <v>328</v>
      </c>
      <c r="B16" s="497" t="s">
        <v>329</v>
      </c>
      <c r="C16" s="485" t="s">
        <v>338</v>
      </c>
      <c r="D16" s="482" t="s">
        <v>331</v>
      </c>
      <c r="E16" s="159" t="s">
        <v>332</v>
      </c>
      <c r="F16" s="143">
        <v>0</v>
      </c>
      <c r="G16" s="143">
        <v>0</v>
      </c>
      <c r="H16" s="143">
        <v>0</v>
      </c>
      <c r="I16" s="143">
        <v>0</v>
      </c>
      <c r="J16" s="143">
        <v>0</v>
      </c>
      <c r="K16" s="143">
        <v>0</v>
      </c>
      <c r="L16" s="143">
        <v>0</v>
      </c>
      <c r="M16" s="143">
        <v>0.5</v>
      </c>
      <c r="N16" s="143">
        <v>0.5</v>
      </c>
      <c r="O16" s="143">
        <v>0.75</v>
      </c>
      <c r="P16" s="143">
        <v>0.9</v>
      </c>
      <c r="Q16" s="143">
        <v>0.9</v>
      </c>
      <c r="R16" s="143">
        <v>0.9</v>
      </c>
      <c r="S16" s="143">
        <v>0</v>
      </c>
      <c r="T16" s="143">
        <v>0</v>
      </c>
      <c r="U16" s="143">
        <v>0</v>
      </c>
      <c r="V16" s="143">
        <v>0</v>
      </c>
      <c r="W16" s="143">
        <v>0</v>
      </c>
      <c r="X16" s="143">
        <v>0</v>
      </c>
      <c r="Y16" s="143">
        <v>0</v>
      </c>
      <c r="Z16" s="143">
        <v>0</v>
      </c>
      <c r="AA16" s="143">
        <v>0</v>
      </c>
      <c r="AB16" s="143">
        <v>0</v>
      </c>
      <c r="AC16" s="144">
        <v>0</v>
      </c>
      <c r="AD16" s="38"/>
      <c r="AE16" s="37"/>
      <c r="AF16" s="37"/>
      <c r="AG16" s="37"/>
      <c r="AH16" s="37"/>
      <c r="AI16" s="37"/>
      <c r="AJ16" s="37"/>
      <c r="AK16" s="37"/>
      <c r="AM16" s="48"/>
    </row>
    <row r="17" spans="1:39" ht="36" customHeight="1" x14ac:dyDescent="0.3">
      <c r="A17" s="488"/>
      <c r="B17" s="386"/>
      <c r="C17" s="422"/>
      <c r="D17" s="483"/>
      <c r="E17" s="153" t="s">
        <v>333</v>
      </c>
      <c r="F17" s="94">
        <v>0</v>
      </c>
      <c r="G17" s="94">
        <v>0</v>
      </c>
      <c r="H17" s="94">
        <v>0</v>
      </c>
      <c r="I17" s="94">
        <v>0</v>
      </c>
      <c r="J17" s="94">
        <v>0</v>
      </c>
      <c r="K17" s="94">
        <v>0</v>
      </c>
      <c r="L17" s="94">
        <v>0</v>
      </c>
      <c r="M17" s="94">
        <v>0</v>
      </c>
      <c r="N17" s="94">
        <v>0</v>
      </c>
      <c r="O17" s="94">
        <v>0</v>
      </c>
      <c r="P17" s="94">
        <v>0</v>
      </c>
      <c r="Q17" s="94">
        <v>0</v>
      </c>
      <c r="R17" s="94">
        <v>0</v>
      </c>
      <c r="S17" s="94">
        <v>0</v>
      </c>
      <c r="T17" s="94">
        <v>0</v>
      </c>
      <c r="U17" s="94">
        <v>0</v>
      </c>
      <c r="V17" s="94">
        <v>0</v>
      </c>
      <c r="W17" s="94">
        <v>0</v>
      </c>
      <c r="X17" s="94">
        <v>0</v>
      </c>
      <c r="Y17" s="94">
        <v>0</v>
      </c>
      <c r="Z17" s="94">
        <v>0</v>
      </c>
      <c r="AA17" s="94">
        <v>0</v>
      </c>
      <c r="AB17" s="94">
        <v>0</v>
      </c>
      <c r="AC17" s="146">
        <v>0</v>
      </c>
      <c r="AD17" s="38"/>
      <c r="AE17" s="37"/>
      <c r="AF17" s="37"/>
      <c r="AG17" s="37"/>
      <c r="AH17" s="37"/>
      <c r="AI17" s="37"/>
      <c r="AJ17" s="37"/>
      <c r="AK17" s="37"/>
      <c r="AM17" s="48"/>
    </row>
    <row r="18" spans="1:39" ht="36" customHeight="1" thickBot="1" x14ac:dyDescent="0.35">
      <c r="A18" s="489"/>
      <c r="B18" s="498"/>
      <c r="C18" s="486"/>
      <c r="D18" s="484"/>
      <c r="E18" s="156" t="s">
        <v>334</v>
      </c>
      <c r="F18" s="148">
        <v>0</v>
      </c>
      <c r="G18" s="148">
        <v>0</v>
      </c>
      <c r="H18" s="148">
        <v>0</v>
      </c>
      <c r="I18" s="148">
        <v>0</v>
      </c>
      <c r="J18" s="148">
        <v>0</v>
      </c>
      <c r="K18" s="148">
        <v>0</v>
      </c>
      <c r="L18" s="148">
        <v>0</v>
      </c>
      <c r="M18" s="148">
        <v>0</v>
      </c>
      <c r="N18" s="148">
        <v>0</v>
      </c>
      <c r="O18" s="148">
        <v>0</v>
      </c>
      <c r="P18" s="148">
        <v>0</v>
      </c>
      <c r="Q18" s="148">
        <v>0</v>
      </c>
      <c r="R18" s="148">
        <v>0</v>
      </c>
      <c r="S18" s="148">
        <v>0</v>
      </c>
      <c r="T18" s="148">
        <v>0</v>
      </c>
      <c r="U18" s="148">
        <v>0</v>
      </c>
      <c r="V18" s="148">
        <v>0</v>
      </c>
      <c r="W18" s="148">
        <v>0</v>
      </c>
      <c r="X18" s="148">
        <v>0</v>
      </c>
      <c r="Y18" s="148">
        <v>0</v>
      </c>
      <c r="Z18" s="148">
        <v>0</v>
      </c>
      <c r="AA18" s="148">
        <v>0</v>
      </c>
      <c r="AB18" s="148">
        <v>0</v>
      </c>
      <c r="AC18" s="149">
        <v>0</v>
      </c>
      <c r="AD18" s="38"/>
      <c r="AE18" s="37"/>
      <c r="AF18" s="37"/>
      <c r="AG18" s="37"/>
      <c r="AH18" s="37"/>
      <c r="AI18" s="37"/>
      <c r="AJ18" s="37"/>
      <c r="AK18" s="37"/>
      <c r="AM18" s="48"/>
    </row>
    <row r="19" spans="1:39" ht="36" customHeight="1" x14ac:dyDescent="0.3">
      <c r="A19" s="487" t="s">
        <v>328</v>
      </c>
      <c r="B19" s="497" t="s">
        <v>329</v>
      </c>
      <c r="C19" s="485" t="s">
        <v>339</v>
      </c>
      <c r="D19" s="482" t="s">
        <v>331</v>
      </c>
      <c r="E19" s="159" t="s">
        <v>332</v>
      </c>
      <c r="F19" s="143">
        <v>0.9</v>
      </c>
      <c r="G19" s="143">
        <v>0.9</v>
      </c>
      <c r="H19" s="143">
        <v>0.9</v>
      </c>
      <c r="I19" s="143">
        <v>0.9</v>
      </c>
      <c r="J19" s="143">
        <v>0.9</v>
      </c>
      <c r="K19" s="143">
        <v>0.9</v>
      </c>
      <c r="L19" s="143">
        <v>0.9</v>
      </c>
      <c r="M19" s="143">
        <v>0.9</v>
      </c>
      <c r="N19" s="143">
        <v>0.9</v>
      </c>
      <c r="O19" s="143">
        <v>0.9</v>
      </c>
      <c r="P19" s="143">
        <v>0.9</v>
      </c>
      <c r="Q19" s="143">
        <v>0.9</v>
      </c>
      <c r="R19" s="143">
        <v>0.9</v>
      </c>
      <c r="S19" s="143">
        <v>0.9</v>
      </c>
      <c r="T19" s="143">
        <v>0.9</v>
      </c>
      <c r="U19" s="143">
        <v>0.9</v>
      </c>
      <c r="V19" s="143">
        <v>0.9</v>
      </c>
      <c r="W19" s="143">
        <v>0.9</v>
      </c>
      <c r="X19" s="143">
        <v>0.9</v>
      </c>
      <c r="Y19" s="143">
        <v>0.9</v>
      </c>
      <c r="Z19" s="143">
        <v>0.9</v>
      </c>
      <c r="AA19" s="143">
        <v>0.9</v>
      </c>
      <c r="AB19" s="143">
        <v>0.9</v>
      </c>
      <c r="AC19" s="144">
        <v>0.9</v>
      </c>
      <c r="AD19" s="38"/>
      <c r="AE19" s="37"/>
      <c r="AF19" s="37"/>
      <c r="AG19" s="37"/>
      <c r="AH19" s="37"/>
      <c r="AI19" s="37"/>
      <c r="AJ19" s="37"/>
      <c r="AK19" s="37"/>
      <c r="AM19" s="48"/>
    </row>
    <row r="20" spans="1:39" ht="36" customHeight="1" x14ac:dyDescent="0.3">
      <c r="A20" s="488"/>
      <c r="B20" s="386"/>
      <c r="C20" s="422"/>
      <c r="D20" s="483"/>
      <c r="E20" s="153" t="s">
        <v>333</v>
      </c>
      <c r="F20" s="94">
        <v>0.9</v>
      </c>
      <c r="G20" s="94">
        <v>0.9</v>
      </c>
      <c r="H20" s="94">
        <v>0.9</v>
      </c>
      <c r="I20" s="94">
        <v>0.9</v>
      </c>
      <c r="J20" s="94">
        <v>0.9</v>
      </c>
      <c r="K20" s="94">
        <v>0.9</v>
      </c>
      <c r="L20" s="94">
        <v>0.9</v>
      </c>
      <c r="M20" s="94">
        <v>0.9</v>
      </c>
      <c r="N20" s="94">
        <v>0.9</v>
      </c>
      <c r="O20" s="94">
        <v>0.9</v>
      </c>
      <c r="P20" s="94">
        <v>0.9</v>
      </c>
      <c r="Q20" s="94">
        <v>0.9</v>
      </c>
      <c r="R20" s="94">
        <v>0.9</v>
      </c>
      <c r="S20" s="94">
        <v>0.9</v>
      </c>
      <c r="T20" s="94">
        <v>0.9</v>
      </c>
      <c r="U20" s="94">
        <v>0.9</v>
      </c>
      <c r="V20" s="94">
        <v>0.9</v>
      </c>
      <c r="W20" s="94">
        <v>0.9</v>
      </c>
      <c r="X20" s="94">
        <v>0.9</v>
      </c>
      <c r="Y20" s="94">
        <v>0.9</v>
      </c>
      <c r="Z20" s="94">
        <v>0.9</v>
      </c>
      <c r="AA20" s="94">
        <v>0.9</v>
      </c>
      <c r="AB20" s="94">
        <v>0.9</v>
      </c>
      <c r="AC20" s="146">
        <v>0.9</v>
      </c>
      <c r="AD20" s="38"/>
      <c r="AE20" s="37"/>
      <c r="AF20" s="37"/>
      <c r="AG20" s="37"/>
      <c r="AH20" s="37"/>
      <c r="AI20" s="37"/>
      <c r="AJ20" s="37"/>
      <c r="AK20" s="37"/>
      <c r="AM20" s="48"/>
    </row>
    <row r="21" spans="1:39" ht="36" customHeight="1" thickBot="1" x14ac:dyDescent="0.35">
      <c r="A21" s="489"/>
      <c r="B21" s="498"/>
      <c r="C21" s="486"/>
      <c r="D21" s="484"/>
      <c r="E21" s="156" t="s">
        <v>334</v>
      </c>
      <c r="F21" s="148">
        <v>0.9</v>
      </c>
      <c r="G21" s="148">
        <v>0.9</v>
      </c>
      <c r="H21" s="148">
        <v>0.9</v>
      </c>
      <c r="I21" s="148">
        <v>0.9</v>
      </c>
      <c r="J21" s="148">
        <v>0.9</v>
      </c>
      <c r="K21" s="148">
        <v>0.9</v>
      </c>
      <c r="L21" s="148">
        <v>0.9</v>
      </c>
      <c r="M21" s="148">
        <v>0.9</v>
      </c>
      <c r="N21" s="148">
        <v>0.9</v>
      </c>
      <c r="O21" s="148">
        <v>0.9</v>
      </c>
      <c r="P21" s="148">
        <v>0.9</v>
      </c>
      <c r="Q21" s="148">
        <v>0.9</v>
      </c>
      <c r="R21" s="148">
        <v>0.9</v>
      </c>
      <c r="S21" s="148">
        <v>0.9</v>
      </c>
      <c r="T21" s="148">
        <v>0.9</v>
      </c>
      <c r="U21" s="148">
        <v>0.9</v>
      </c>
      <c r="V21" s="148">
        <v>0.9</v>
      </c>
      <c r="W21" s="148">
        <v>0.9</v>
      </c>
      <c r="X21" s="148">
        <v>0.9</v>
      </c>
      <c r="Y21" s="148">
        <v>0.9</v>
      </c>
      <c r="Z21" s="148">
        <v>0.9</v>
      </c>
      <c r="AA21" s="148">
        <v>0.9</v>
      </c>
      <c r="AB21" s="148">
        <v>0.9</v>
      </c>
      <c r="AC21" s="149">
        <v>0.9</v>
      </c>
      <c r="AD21" s="38"/>
      <c r="AE21" s="37"/>
      <c r="AF21" s="37"/>
      <c r="AG21" s="37"/>
      <c r="AH21" s="37"/>
      <c r="AI21" s="37"/>
      <c r="AJ21" s="37"/>
      <c r="AK21" s="37"/>
      <c r="AM21" s="48"/>
    </row>
    <row r="22" spans="1:39" ht="36" customHeight="1" x14ac:dyDescent="0.3">
      <c r="A22" s="487" t="s">
        <v>328</v>
      </c>
      <c r="B22" s="497" t="s">
        <v>329</v>
      </c>
      <c r="C22" s="485" t="s">
        <v>340</v>
      </c>
      <c r="D22" s="482" t="s">
        <v>331</v>
      </c>
      <c r="E22" s="159" t="s">
        <v>332</v>
      </c>
      <c r="F22" s="143">
        <v>0</v>
      </c>
      <c r="G22" s="143">
        <v>0</v>
      </c>
      <c r="H22" s="143">
        <v>0</v>
      </c>
      <c r="I22" s="143">
        <v>0</v>
      </c>
      <c r="J22" s="143">
        <v>0</v>
      </c>
      <c r="K22" s="143">
        <v>0</v>
      </c>
      <c r="L22" s="143">
        <v>1</v>
      </c>
      <c r="M22" s="143">
        <v>1</v>
      </c>
      <c r="N22" s="143">
        <v>1</v>
      </c>
      <c r="O22" s="143">
        <v>1</v>
      </c>
      <c r="P22" s="143">
        <v>1</v>
      </c>
      <c r="Q22" s="143">
        <v>1</v>
      </c>
      <c r="R22" s="143">
        <v>1</v>
      </c>
      <c r="S22" s="143">
        <v>1</v>
      </c>
      <c r="T22" s="143">
        <v>1</v>
      </c>
      <c r="U22" s="143">
        <v>1</v>
      </c>
      <c r="V22" s="143">
        <v>1</v>
      </c>
      <c r="W22" s="143">
        <v>1</v>
      </c>
      <c r="X22" s="143">
        <v>1</v>
      </c>
      <c r="Y22" s="143">
        <v>1</v>
      </c>
      <c r="Z22" s="143">
        <v>1</v>
      </c>
      <c r="AA22" s="143">
        <v>1</v>
      </c>
      <c r="AB22" s="143">
        <v>0</v>
      </c>
      <c r="AC22" s="144">
        <v>0</v>
      </c>
      <c r="AD22" s="38"/>
      <c r="AE22" s="37"/>
      <c r="AF22" s="37"/>
      <c r="AG22" s="37"/>
      <c r="AH22" s="37"/>
      <c r="AI22" s="37"/>
      <c r="AJ22" s="37"/>
      <c r="AK22" s="37"/>
      <c r="AM22" s="48"/>
    </row>
    <row r="23" spans="1:39" ht="36" customHeight="1" x14ac:dyDescent="0.3">
      <c r="A23" s="488"/>
      <c r="B23" s="386"/>
      <c r="C23" s="422"/>
      <c r="D23" s="483"/>
      <c r="E23" s="153" t="s">
        <v>333</v>
      </c>
      <c r="F23" s="94">
        <v>0</v>
      </c>
      <c r="G23" s="94">
        <v>0</v>
      </c>
      <c r="H23" s="94">
        <v>0</v>
      </c>
      <c r="I23" s="94">
        <v>0</v>
      </c>
      <c r="J23" s="94">
        <v>0</v>
      </c>
      <c r="K23" s="94">
        <v>0</v>
      </c>
      <c r="L23" s="94">
        <v>0</v>
      </c>
      <c r="M23" s="94">
        <v>1</v>
      </c>
      <c r="N23" s="94">
        <v>1</v>
      </c>
      <c r="O23" s="94">
        <v>1</v>
      </c>
      <c r="P23" s="94">
        <v>1</v>
      </c>
      <c r="Q23" s="94">
        <v>1</v>
      </c>
      <c r="R23" s="94">
        <v>1</v>
      </c>
      <c r="S23" s="94">
        <v>0</v>
      </c>
      <c r="T23" s="94">
        <v>0</v>
      </c>
      <c r="U23" s="94">
        <v>0</v>
      </c>
      <c r="V23" s="94">
        <v>0</v>
      </c>
      <c r="W23" s="94">
        <v>0</v>
      </c>
      <c r="X23" s="94">
        <v>0</v>
      </c>
      <c r="Y23" s="94">
        <v>0</v>
      </c>
      <c r="Z23" s="94">
        <v>0</v>
      </c>
      <c r="AA23" s="94">
        <v>0</v>
      </c>
      <c r="AB23" s="94">
        <v>0</v>
      </c>
      <c r="AC23" s="146">
        <v>0</v>
      </c>
      <c r="AD23" s="38"/>
      <c r="AE23" s="37"/>
      <c r="AF23" s="37"/>
      <c r="AG23" s="37"/>
      <c r="AH23" s="37"/>
      <c r="AI23" s="37"/>
      <c r="AJ23" s="37"/>
      <c r="AK23" s="37"/>
      <c r="AM23" s="48"/>
    </row>
    <row r="24" spans="1:39" ht="36" customHeight="1" thickBot="1" x14ac:dyDescent="0.35">
      <c r="A24" s="489"/>
      <c r="B24" s="498"/>
      <c r="C24" s="486"/>
      <c r="D24" s="484"/>
      <c r="E24" s="156" t="s">
        <v>334</v>
      </c>
      <c r="F24" s="148">
        <v>0</v>
      </c>
      <c r="G24" s="148">
        <v>0</v>
      </c>
      <c r="H24" s="148">
        <v>0</v>
      </c>
      <c r="I24" s="148">
        <v>0</v>
      </c>
      <c r="J24" s="148">
        <v>0</v>
      </c>
      <c r="K24" s="148">
        <v>0</v>
      </c>
      <c r="L24" s="148">
        <v>0</v>
      </c>
      <c r="M24" s="148">
        <v>0</v>
      </c>
      <c r="N24" s="148">
        <v>0</v>
      </c>
      <c r="O24" s="148">
        <v>0</v>
      </c>
      <c r="P24" s="148">
        <v>0</v>
      </c>
      <c r="Q24" s="148">
        <v>0</v>
      </c>
      <c r="R24" s="148">
        <v>0</v>
      </c>
      <c r="S24" s="148">
        <v>0</v>
      </c>
      <c r="T24" s="148">
        <v>0</v>
      </c>
      <c r="U24" s="148">
        <v>0</v>
      </c>
      <c r="V24" s="148">
        <v>0</v>
      </c>
      <c r="W24" s="148">
        <v>0</v>
      </c>
      <c r="X24" s="148">
        <v>0</v>
      </c>
      <c r="Y24" s="148">
        <v>0</v>
      </c>
      <c r="Z24" s="148">
        <v>0</v>
      </c>
      <c r="AA24" s="148">
        <v>0</v>
      </c>
      <c r="AB24" s="148">
        <v>0</v>
      </c>
      <c r="AC24" s="149">
        <v>0</v>
      </c>
      <c r="AD24" s="38"/>
      <c r="AE24" s="37"/>
      <c r="AF24" s="37"/>
      <c r="AG24" s="37"/>
      <c r="AH24" s="37"/>
      <c r="AI24" s="37"/>
      <c r="AJ24" s="37"/>
      <c r="AK24" s="37"/>
      <c r="AM24" s="48"/>
    </row>
    <row r="25" spans="1:39" ht="29.4" customHeight="1" x14ac:dyDescent="0.3">
      <c r="A25" s="487" t="s">
        <v>328</v>
      </c>
      <c r="B25" s="497" t="s">
        <v>329</v>
      </c>
      <c r="C25" s="518" t="s">
        <v>341</v>
      </c>
      <c r="D25" s="521" t="s">
        <v>331</v>
      </c>
      <c r="E25" s="174" t="s">
        <v>332</v>
      </c>
      <c r="F25" s="175">
        <v>60</v>
      </c>
      <c r="G25" s="175">
        <v>60</v>
      </c>
      <c r="H25" s="175">
        <v>60</v>
      </c>
      <c r="I25" s="175">
        <v>60</v>
      </c>
      <c r="J25" s="175">
        <v>60</v>
      </c>
      <c r="K25" s="175">
        <v>60</v>
      </c>
      <c r="L25" s="175">
        <v>70</v>
      </c>
      <c r="M25" s="175">
        <v>70</v>
      </c>
      <c r="N25" s="175">
        <v>70</v>
      </c>
      <c r="O25" s="175">
        <v>70</v>
      </c>
      <c r="P25" s="175">
        <v>70</v>
      </c>
      <c r="Q25" s="175">
        <v>70</v>
      </c>
      <c r="R25" s="175">
        <v>70</v>
      </c>
      <c r="S25" s="175">
        <v>70</v>
      </c>
      <c r="T25" s="175">
        <v>70</v>
      </c>
      <c r="U25" s="175">
        <v>70</v>
      </c>
      <c r="V25" s="175">
        <v>70</v>
      </c>
      <c r="W25" s="175">
        <v>70</v>
      </c>
      <c r="X25" s="175">
        <v>70</v>
      </c>
      <c r="Y25" s="175">
        <v>70</v>
      </c>
      <c r="Z25" s="175">
        <v>70</v>
      </c>
      <c r="AA25" s="175">
        <v>70</v>
      </c>
      <c r="AB25" s="175">
        <v>60</v>
      </c>
      <c r="AC25" s="176">
        <v>60</v>
      </c>
      <c r="AD25" s="38"/>
      <c r="AE25" s="37"/>
      <c r="AF25" s="37"/>
      <c r="AG25" s="37"/>
      <c r="AH25" s="37"/>
      <c r="AI25" s="37"/>
      <c r="AJ25" s="37"/>
      <c r="AL25" s="37"/>
      <c r="AM25" s="48"/>
    </row>
    <row r="26" spans="1:39" ht="29.4" customHeight="1" x14ac:dyDescent="0.3">
      <c r="A26" s="488"/>
      <c r="B26" s="386"/>
      <c r="C26" s="519"/>
      <c r="D26" s="483"/>
      <c r="E26" s="177" t="s">
        <v>333</v>
      </c>
      <c r="F26" s="178">
        <v>60</v>
      </c>
      <c r="G26" s="178">
        <v>60</v>
      </c>
      <c r="H26" s="178">
        <v>60</v>
      </c>
      <c r="I26" s="178">
        <v>60</v>
      </c>
      <c r="J26" s="178">
        <v>60</v>
      </c>
      <c r="K26" s="178">
        <v>60</v>
      </c>
      <c r="L26" s="178">
        <v>60</v>
      </c>
      <c r="M26" s="178">
        <v>70</v>
      </c>
      <c r="N26" s="178">
        <v>70</v>
      </c>
      <c r="O26" s="178">
        <v>70</v>
      </c>
      <c r="P26" s="178">
        <v>70</v>
      </c>
      <c r="Q26" s="178">
        <v>70</v>
      </c>
      <c r="R26" s="178">
        <v>70</v>
      </c>
      <c r="S26" s="178">
        <v>60</v>
      </c>
      <c r="T26" s="178">
        <v>60</v>
      </c>
      <c r="U26" s="178">
        <v>60</v>
      </c>
      <c r="V26" s="178">
        <v>60</v>
      </c>
      <c r="W26" s="178">
        <v>60</v>
      </c>
      <c r="X26" s="178">
        <v>60</v>
      </c>
      <c r="Y26" s="178">
        <v>60</v>
      </c>
      <c r="Z26" s="178">
        <v>60</v>
      </c>
      <c r="AA26" s="178">
        <v>60</v>
      </c>
      <c r="AB26" s="178">
        <v>60</v>
      </c>
      <c r="AC26" s="179">
        <v>60</v>
      </c>
      <c r="AD26" s="38"/>
      <c r="AE26" s="37"/>
      <c r="AF26" s="37"/>
      <c r="AG26" s="37"/>
      <c r="AH26" s="37"/>
      <c r="AI26" s="37"/>
      <c r="AJ26" s="37"/>
      <c r="AK26" s="37"/>
      <c r="AM26" s="48"/>
    </row>
    <row r="27" spans="1:39" ht="29.4" customHeight="1" x14ac:dyDescent="0.3">
      <c r="A27" s="489"/>
      <c r="B27" s="498"/>
      <c r="C27" s="520"/>
      <c r="D27" s="484"/>
      <c r="E27" s="180" t="s">
        <v>334</v>
      </c>
      <c r="F27" s="181">
        <v>60</v>
      </c>
      <c r="G27" s="181">
        <v>60</v>
      </c>
      <c r="H27" s="181">
        <v>60</v>
      </c>
      <c r="I27" s="181">
        <v>60</v>
      </c>
      <c r="J27" s="181">
        <v>60</v>
      </c>
      <c r="K27" s="181">
        <v>60</v>
      </c>
      <c r="L27" s="181">
        <v>60</v>
      </c>
      <c r="M27" s="181">
        <v>60</v>
      </c>
      <c r="N27" s="181">
        <v>60</v>
      </c>
      <c r="O27" s="181">
        <v>60</v>
      </c>
      <c r="P27" s="181">
        <v>60</v>
      </c>
      <c r="Q27" s="181">
        <v>60</v>
      </c>
      <c r="R27" s="181">
        <v>60</v>
      </c>
      <c r="S27" s="181">
        <v>60</v>
      </c>
      <c r="T27" s="181">
        <v>60</v>
      </c>
      <c r="U27" s="181">
        <v>60</v>
      </c>
      <c r="V27" s="181">
        <v>60</v>
      </c>
      <c r="W27" s="181">
        <v>60</v>
      </c>
      <c r="X27" s="181">
        <v>60</v>
      </c>
      <c r="Y27" s="181">
        <v>60</v>
      </c>
      <c r="Z27" s="181">
        <v>60</v>
      </c>
      <c r="AA27" s="181">
        <v>60</v>
      </c>
      <c r="AB27" s="181">
        <v>60</v>
      </c>
      <c r="AC27" s="182">
        <v>60</v>
      </c>
      <c r="AD27" s="38"/>
      <c r="AE27" s="37"/>
      <c r="AF27" s="37"/>
      <c r="AG27" s="37"/>
      <c r="AH27" s="37"/>
      <c r="AI27" s="37"/>
      <c r="AJ27" s="37"/>
      <c r="AK27" s="37"/>
      <c r="AM27" s="48"/>
    </row>
    <row r="28" spans="1:39" ht="29.4" customHeight="1" x14ac:dyDescent="0.3">
      <c r="A28" s="487" t="s">
        <v>328</v>
      </c>
      <c r="B28" s="497" t="s">
        <v>329</v>
      </c>
      <c r="C28" s="518" t="s">
        <v>342</v>
      </c>
      <c r="D28" s="482" t="s">
        <v>331</v>
      </c>
      <c r="E28" s="174" t="s">
        <v>332</v>
      </c>
      <c r="F28" s="175">
        <v>85</v>
      </c>
      <c r="G28" s="175">
        <v>85</v>
      </c>
      <c r="H28" s="175">
        <v>85</v>
      </c>
      <c r="I28" s="175">
        <v>85</v>
      </c>
      <c r="J28" s="175">
        <v>85</v>
      </c>
      <c r="K28" s="175">
        <v>85</v>
      </c>
      <c r="L28" s="175">
        <v>75</v>
      </c>
      <c r="M28" s="175">
        <v>75</v>
      </c>
      <c r="N28" s="175">
        <v>75</v>
      </c>
      <c r="O28" s="175">
        <v>75</v>
      </c>
      <c r="P28" s="175">
        <v>75</v>
      </c>
      <c r="Q28" s="175">
        <v>75</v>
      </c>
      <c r="R28" s="175">
        <v>75</v>
      </c>
      <c r="S28" s="175">
        <v>75</v>
      </c>
      <c r="T28" s="175">
        <v>75</v>
      </c>
      <c r="U28" s="175">
        <v>75</v>
      </c>
      <c r="V28" s="175">
        <v>75</v>
      </c>
      <c r="W28" s="175">
        <v>75</v>
      </c>
      <c r="X28" s="175">
        <v>75</v>
      </c>
      <c r="Y28" s="175">
        <v>75</v>
      </c>
      <c r="Z28" s="175">
        <v>75</v>
      </c>
      <c r="AA28" s="175">
        <v>75</v>
      </c>
      <c r="AB28" s="175">
        <v>85</v>
      </c>
      <c r="AC28" s="176">
        <v>85</v>
      </c>
      <c r="AD28" s="38"/>
      <c r="AE28" s="37"/>
      <c r="AF28" s="37"/>
      <c r="AG28" s="37"/>
      <c r="AH28" s="37"/>
      <c r="AI28" s="37"/>
      <c r="AJ28" s="37"/>
      <c r="AK28" s="37"/>
      <c r="AM28" s="48"/>
    </row>
    <row r="29" spans="1:39" ht="29.4" customHeight="1" x14ac:dyDescent="0.3">
      <c r="A29" s="488"/>
      <c r="B29" s="386"/>
      <c r="C29" s="519"/>
      <c r="D29" s="483"/>
      <c r="E29" s="177" t="s">
        <v>333</v>
      </c>
      <c r="F29" s="178">
        <v>85</v>
      </c>
      <c r="G29" s="178">
        <v>85</v>
      </c>
      <c r="H29" s="178">
        <v>85</v>
      </c>
      <c r="I29" s="178">
        <v>85</v>
      </c>
      <c r="J29" s="178">
        <v>85</v>
      </c>
      <c r="K29" s="178">
        <v>85</v>
      </c>
      <c r="L29" s="178">
        <v>85</v>
      </c>
      <c r="M29" s="178">
        <v>75</v>
      </c>
      <c r="N29" s="178">
        <v>75</v>
      </c>
      <c r="O29" s="178">
        <v>75</v>
      </c>
      <c r="P29" s="178">
        <v>75</v>
      </c>
      <c r="Q29" s="178">
        <v>75</v>
      </c>
      <c r="R29" s="178">
        <v>75</v>
      </c>
      <c r="S29" s="178">
        <v>85</v>
      </c>
      <c r="T29" s="178">
        <v>85</v>
      </c>
      <c r="U29" s="178">
        <v>85</v>
      </c>
      <c r="V29" s="178">
        <v>85</v>
      </c>
      <c r="W29" s="178">
        <v>85</v>
      </c>
      <c r="X29" s="178">
        <v>85</v>
      </c>
      <c r="Y29" s="178">
        <v>85</v>
      </c>
      <c r="Z29" s="178">
        <v>85</v>
      </c>
      <c r="AA29" s="178">
        <v>85</v>
      </c>
      <c r="AB29" s="178">
        <v>85</v>
      </c>
      <c r="AC29" s="179">
        <v>85</v>
      </c>
      <c r="AD29" s="38"/>
      <c r="AE29" s="37"/>
      <c r="AF29" s="37"/>
      <c r="AG29" s="37"/>
      <c r="AH29" s="37"/>
      <c r="AI29" s="37"/>
      <c r="AJ29" s="37"/>
      <c r="AK29" s="37"/>
      <c r="AM29" s="48"/>
    </row>
    <row r="30" spans="1:39" ht="29.4" customHeight="1" thickBot="1" x14ac:dyDescent="0.35">
      <c r="A30" s="489"/>
      <c r="B30" s="498"/>
      <c r="C30" s="520"/>
      <c r="D30" s="484"/>
      <c r="E30" s="180" t="s">
        <v>334</v>
      </c>
      <c r="F30" s="181">
        <v>85</v>
      </c>
      <c r="G30" s="181">
        <v>85</v>
      </c>
      <c r="H30" s="181">
        <v>85</v>
      </c>
      <c r="I30" s="181">
        <v>85</v>
      </c>
      <c r="J30" s="181">
        <v>85</v>
      </c>
      <c r="K30" s="181">
        <v>85</v>
      </c>
      <c r="L30" s="181">
        <v>85</v>
      </c>
      <c r="M30" s="181">
        <v>85</v>
      </c>
      <c r="N30" s="181">
        <v>85</v>
      </c>
      <c r="O30" s="181">
        <v>85</v>
      </c>
      <c r="P30" s="181">
        <v>85</v>
      </c>
      <c r="Q30" s="181">
        <v>85</v>
      </c>
      <c r="R30" s="181">
        <v>85</v>
      </c>
      <c r="S30" s="181">
        <v>85</v>
      </c>
      <c r="T30" s="181">
        <v>85</v>
      </c>
      <c r="U30" s="181">
        <v>85</v>
      </c>
      <c r="V30" s="181">
        <v>85</v>
      </c>
      <c r="W30" s="181">
        <v>85</v>
      </c>
      <c r="X30" s="181">
        <v>85</v>
      </c>
      <c r="Y30" s="181">
        <v>85</v>
      </c>
      <c r="Z30" s="181">
        <v>85</v>
      </c>
      <c r="AA30" s="181">
        <v>85</v>
      </c>
      <c r="AB30" s="181">
        <v>85</v>
      </c>
      <c r="AC30" s="182">
        <v>85</v>
      </c>
      <c r="AD30" s="38"/>
      <c r="AE30" s="37"/>
      <c r="AF30" s="37"/>
      <c r="AG30" s="37"/>
      <c r="AH30" s="37"/>
      <c r="AI30" s="37"/>
      <c r="AJ30" s="37"/>
      <c r="AK30" s="37"/>
      <c r="AM30" s="48"/>
    </row>
    <row r="31" spans="1:39" ht="36" customHeight="1" x14ac:dyDescent="0.3">
      <c r="A31" s="506" t="s">
        <v>328</v>
      </c>
      <c r="B31" s="509" t="s">
        <v>329</v>
      </c>
      <c r="C31" s="512" t="s">
        <v>145</v>
      </c>
      <c r="D31" s="515" t="s">
        <v>343</v>
      </c>
      <c r="E31" s="189" t="s">
        <v>332</v>
      </c>
      <c r="F31" s="192">
        <v>1</v>
      </c>
      <c r="G31" s="192">
        <v>1</v>
      </c>
      <c r="H31" s="192">
        <v>1</v>
      </c>
      <c r="I31" s="192">
        <v>1</v>
      </c>
      <c r="J31" s="192">
        <v>1</v>
      </c>
      <c r="K31" s="192">
        <v>1</v>
      </c>
      <c r="L31" s="192">
        <v>0.25</v>
      </c>
      <c r="M31" s="192">
        <v>0.25</v>
      </c>
      <c r="N31" s="192">
        <v>0.25</v>
      </c>
      <c r="O31" s="192">
        <v>0.25</v>
      </c>
      <c r="P31" s="192">
        <v>0.25</v>
      </c>
      <c r="Q31" s="192">
        <v>0.25</v>
      </c>
      <c r="R31" s="192">
        <v>0.25</v>
      </c>
      <c r="S31" s="192">
        <v>0.25</v>
      </c>
      <c r="T31" s="192">
        <v>0.25</v>
      </c>
      <c r="U31" s="192">
        <v>0.25</v>
      </c>
      <c r="V31" s="192">
        <v>0.25</v>
      </c>
      <c r="W31" s="192">
        <v>0.25</v>
      </c>
      <c r="X31" s="192">
        <v>0.25</v>
      </c>
      <c r="Y31" s="192">
        <v>0.25</v>
      </c>
      <c r="Z31" s="192">
        <v>0.25</v>
      </c>
      <c r="AA31" s="192">
        <v>0.25</v>
      </c>
      <c r="AB31" s="192">
        <v>1</v>
      </c>
      <c r="AC31" s="192">
        <v>1</v>
      </c>
      <c r="AD31" s="38"/>
      <c r="AE31" s="37"/>
      <c r="AF31" s="37"/>
      <c r="AG31" s="37"/>
      <c r="AH31" s="37"/>
      <c r="AI31" s="37"/>
      <c r="AJ31" s="37"/>
      <c r="AK31" s="37"/>
      <c r="AM31" s="48"/>
    </row>
    <row r="32" spans="1:39" ht="36" customHeight="1" x14ac:dyDescent="0.3">
      <c r="A32" s="507"/>
      <c r="B32" s="510"/>
      <c r="C32" s="513"/>
      <c r="D32" s="516"/>
      <c r="E32" s="190" t="s">
        <v>333</v>
      </c>
      <c r="F32" s="193">
        <v>1</v>
      </c>
      <c r="G32" s="193">
        <v>1</v>
      </c>
      <c r="H32" s="193">
        <v>1</v>
      </c>
      <c r="I32" s="193">
        <v>1</v>
      </c>
      <c r="J32" s="193">
        <v>1</v>
      </c>
      <c r="K32" s="193">
        <v>1</v>
      </c>
      <c r="L32" s="193">
        <v>1</v>
      </c>
      <c r="M32" s="193">
        <v>0.25</v>
      </c>
      <c r="N32" s="193">
        <v>0.25</v>
      </c>
      <c r="O32" s="193">
        <v>0.25</v>
      </c>
      <c r="P32" s="193">
        <v>0.25</v>
      </c>
      <c r="Q32" s="193">
        <v>0.25</v>
      </c>
      <c r="R32" s="193">
        <v>0.25</v>
      </c>
      <c r="S32" s="193">
        <v>1</v>
      </c>
      <c r="T32" s="193">
        <v>1</v>
      </c>
      <c r="U32" s="193">
        <v>1</v>
      </c>
      <c r="V32" s="193">
        <v>1</v>
      </c>
      <c r="W32" s="193">
        <v>1</v>
      </c>
      <c r="X32" s="193">
        <v>1</v>
      </c>
      <c r="Y32" s="193">
        <v>1</v>
      </c>
      <c r="Z32" s="193">
        <v>1</v>
      </c>
      <c r="AA32" s="193">
        <v>1</v>
      </c>
      <c r="AB32" s="193">
        <v>1</v>
      </c>
      <c r="AC32" s="193">
        <v>1</v>
      </c>
      <c r="AD32" s="38"/>
      <c r="AE32" s="37"/>
      <c r="AF32" s="37"/>
      <c r="AG32" s="37"/>
      <c r="AH32" s="37"/>
      <c r="AI32" s="37"/>
      <c r="AJ32" s="37"/>
      <c r="AK32" s="37"/>
      <c r="AM32" s="48"/>
    </row>
    <row r="33" spans="1:39" ht="36" customHeight="1" thickBot="1" x14ac:dyDescent="0.35">
      <c r="A33" s="508"/>
      <c r="B33" s="511"/>
      <c r="C33" s="514"/>
      <c r="D33" s="517"/>
      <c r="E33" s="191" t="s">
        <v>334</v>
      </c>
      <c r="F33" s="194">
        <v>1</v>
      </c>
      <c r="G33" s="194">
        <v>1</v>
      </c>
      <c r="H33" s="194">
        <v>1</v>
      </c>
      <c r="I33" s="194">
        <v>1</v>
      </c>
      <c r="J33" s="194">
        <v>1</v>
      </c>
      <c r="K33" s="194">
        <v>1</v>
      </c>
      <c r="L33" s="194">
        <v>1</v>
      </c>
      <c r="M33" s="194">
        <v>1</v>
      </c>
      <c r="N33" s="194">
        <v>1</v>
      </c>
      <c r="O33" s="194">
        <v>1</v>
      </c>
      <c r="P33" s="194">
        <v>1</v>
      </c>
      <c r="Q33" s="194">
        <v>1</v>
      </c>
      <c r="R33" s="194">
        <v>1</v>
      </c>
      <c r="S33" s="194">
        <v>1</v>
      </c>
      <c r="T33" s="194">
        <v>1</v>
      </c>
      <c r="U33" s="194">
        <v>1</v>
      </c>
      <c r="V33" s="194">
        <v>1</v>
      </c>
      <c r="W33" s="194">
        <v>1</v>
      </c>
      <c r="X33" s="194">
        <v>1</v>
      </c>
      <c r="Y33" s="194">
        <v>1</v>
      </c>
      <c r="Z33" s="194">
        <v>1</v>
      </c>
      <c r="AA33" s="194">
        <v>1</v>
      </c>
      <c r="AB33" s="194">
        <v>1</v>
      </c>
      <c r="AC33" s="194">
        <v>1</v>
      </c>
      <c r="AD33" s="38"/>
      <c r="AE33" s="37"/>
      <c r="AF33" s="37"/>
      <c r="AG33" s="37"/>
      <c r="AH33" s="37"/>
      <c r="AI33" s="37"/>
      <c r="AJ33" s="37"/>
      <c r="AK33" s="37"/>
      <c r="AM33" s="48"/>
    </row>
    <row r="34" spans="1:39" ht="36" customHeight="1" thickBot="1" x14ac:dyDescent="0.35">
      <c r="A34" s="500" t="s">
        <v>25</v>
      </c>
      <c r="B34" s="500"/>
      <c r="C34" s="500"/>
      <c r="D34" s="500"/>
      <c r="E34" s="500"/>
      <c r="F34" s="500"/>
      <c r="G34" s="500"/>
      <c r="H34" s="500"/>
      <c r="I34" s="500"/>
      <c r="J34" s="500"/>
      <c r="K34" s="500"/>
      <c r="L34" s="500"/>
      <c r="M34" s="500"/>
      <c r="N34" s="500"/>
      <c r="O34" s="500"/>
      <c r="P34" s="500"/>
      <c r="Q34" s="500"/>
      <c r="R34" s="500"/>
      <c r="S34" s="500"/>
      <c r="T34" s="500"/>
      <c r="U34" s="500"/>
      <c r="V34" s="500"/>
      <c r="W34" s="500"/>
      <c r="X34" s="500"/>
      <c r="Y34" s="500"/>
      <c r="Z34" s="500"/>
      <c r="AA34" s="500"/>
      <c r="AB34" s="500"/>
      <c r="AC34" s="500"/>
      <c r="AD34" s="38"/>
      <c r="AE34" s="37"/>
      <c r="AF34" s="37"/>
      <c r="AG34" s="37"/>
      <c r="AH34" s="37"/>
      <c r="AI34" s="37"/>
      <c r="AJ34" s="37"/>
      <c r="AK34" s="37"/>
      <c r="AM34" s="48"/>
    </row>
    <row r="35" spans="1:39" customFormat="1" ht="27" customHeight="1" x14ac:dyDescent="0.3">
      <c r="A35" s="461"/>
      <c r="B35" s="464" t="s">
        <v>61</v>
      </c>
      <c r="C35" s="467" t="s">
        <v>344</v>
      </c>
      <c r="D35" s="470"/>
      <c r="E35" s="195" t="s">
        <v>332</v>
      </c>
      <c r="F35" s="196">
        <v>1</v>
      </c>
      <c r="G35" s="196">
        <v>1</v>
      </c>
      <c r="H35" s="196">
        <v>1</v>
      </c>
      <c r="I35" s="196">
        <v>1</v>
      </c>
      <c r="J35" s="196">
        <v>1</v>
      </c>
      <c r="K35" s="196">
        <v>1</v>
      </c>
      <c r="L35" s="196">
        <v>1</v>
      </c>
      <c r="M35" s="196">
        <v>1</v>
      </c>
      <c r="N35" s="196">
        <v>1</v>
      </c>
      <c r="O35" s="196">
        <v>1</v>
      </c>
      <c r="P35" s="196">
        <v>1</v>
      </c>
      <c r="Q35" s="196">
        <v>1</v>
      </c>
      <c r="R35" s="196">
        <v>1</v>
      </c>
      <c r="S35" s="196">
        <v>1</v>
      </c>
      <c r="T35" s="196">
        <v>1</v>
      </c>
      <c r="U35" s="196">
        <v>1</v>
      </c>
      <c r="V35" s="196">
        <v>1</v>
      </c>
      <c r="W35" s="196">
        <v>1</v>
      </c>
      <c r="X35" s="196">
        <v>1</v>
      </c>
      <c r="Y35" s="196">
        <v>1</v>
      </c>
      <c r="Z35" s="196">
        <v>1</v>
      </c>
      <c r="AA35" s="196">
        <v>1</v>
      </c>
      <c r="AB35" s="196">
        <v>1</v>
      </c>
      <c r="AC35" s="197">
        <v>1</v>
      </c>
    </row>
    <row r="36" spans="1:39" customFormat="1" ht="27" customHeight="1" x14ac:dyDescent="0.3">
      <c r="A36" s="462"/>
      <c r="B36" s="465"/>
      <c r="C36" s="468"/>
      <c r="D36" s="471"/>
      <c r="E36" s="163" t="s">
        <v>333</v>
      </c>
      <c r="F36" s="185">
        <v>1</v>
      </c>
      <c r="G36" s="185">
        <v>1</v>
      </c>
      <c r="H36" s="185">
        <v>1</v>
      </c>
      <c r="I36" s="185">
        <v>1</v>
      </c>
      <c r="J36" s="185">
        <v>1</v>
      </c>
      <c r="K36" s="185">
        <v>1</v>
      </c>
      <c r="L36" s="185">
        <v>1</v>
      </c>
      <c r="M36" s="185">
        <v>1</v>
      </c>
      <c r="N36" s="185">
        <v>1</v>
      </c>
      <c r="O36" s="185">
        <v>1</v>
      </c>
      <c r="P36" s="185">
        <v>1</v>
      </c>
      <c r="Q36" s="185">
        <v>1</v>
      </c>
      <c r="R36" s="185">
        <v>1</v>
      </c>
      <c r="S36" s="185">
        <v>1</v>
      </c>
      <c r="T36" s="185">
        <v>1</v>
      </c>
      <c r="U36" s="185">
        <v>1</v>
      </c>
      <c r="V36" s="185">
        <v>1</v>
      </c>
      <c r="W36" s="185">
        <v>1</v>
      </c>
      <c r="X36" s="185">
        <v>1</v>
      </c>
      <c r="Y36" s="185">
        <v>1</v>
      </c>
      <c r="Z36" s="185">
        <v>1</v>
      </c>
      <c r="AA36" s="185">
        <v>1</v>
      </c>
      <c r="AB36" s="185">
        <v>1</v>
      </c>
      <c r="AC36" s="198">
        <v>1</v>
      </c>
    </row>
    <row r="37" spans="1:39" customFormat="1" ht="27" customHeight="1" thickBot="1" x14ac:dyDescent="0.35">
      <c r="A37" s="463"/>
      <c r="B37" s="466"/>
      <c r="C37" s="469"/>
      <c r="D37" s="472"/>
      <c r="E37" s="199" t="s">
        <v>334</v>
      </c>
      <c r="F37" s="200">
        <v>1</v>
      </c>
      <c r="G37" s="200">
        <v>1</v>
      </c>
      <c r="H37" s="200">
        <v>1</v>
      </c>
      <c r="I37" s="200">
        <v>1</v>
      </c>
      <c r="J37" s="200">
        <v>1</v>
      </c>
      <c r="K37" s="200">
        <v>1</v>
      </c>
      <c r="L37" s="200">
        <v>1</v>
      </c>
      <c r="M37" s="200">
        <v>1</v>
      </c>
      <c r="N37" s="200">
        <v>1</v>
      </c>
      <c r="O37" s="200">
        <v>1</v>
      </c>
      <c r="P37" s="200">
        <v>1</v>
      </c>
      <c r="Q37" s="200">
        <v>1</v>
      </c>
      <c r="R37" s="200">
        <v>1</v>
      </c>
      <c r="S37" s="200">
        <v>1</v>
      </c>
      <c r="T37" s="200">
        <v>1</v>
      </c>
      <c r="U37" s="200">
        <v>1</v>
      </c>
      <c r="V37" s="200">
        <v>1</v>
      </c>
      <c r="W37" s="200">
        <v>1</v>
      </c>
      <c r="X37" s="200">
        <v>1</v>
      </c>
      <c r="Y37" s="200">
        <v>1</v>
      </c>
      <c r="Z37" s="200">
        <v>1</v>
      </c>
      <c r="AA37" s="200">
        <v>1</v>
      </c>
      <c r="AB37" s="200">
        <v>1</v>
      </c>
      <c r="AC37" s="201">
        <v>1</v>
      </c>
    </row>
    <row r="38" spans="1:39" customFormat="1" ht="27" customHeight="1" x14ac:dyDescent="0.3">
      <c r="A38" s="473"/>
      <c r="B38" s="476" t="s">
        <v>61</v>
      </c>
      <c r="C38" s="478" t="s">
        <v>345</v>
      </c>
      <c r="D38" s="471"/>
      <c r="E38" s="202" t="s">
        <v>332</v>
      </c>
      <c r="F38" s="203">
        <v>0</v>
      </c>
      <c r="G38" s="203">
        <v>0</v>
      </c>
      <c r="H38" s="203">
        <v>0</v>
      </c>
      <c r="I38" s="203">
        <v>0</v>
      </c>
      <c r="J38" s="203">
        <v>0</v>
      </c>
      <c r="K38" s="203">
        <v>1</v>
      </c>
      <c r="L38" s="203">
        <v>1</v>
      </c>
      <c r="M38" s="203">
        <v>1</v>
      </c>
      <c r="N38" s="203">
        <v>1</v>
      </c>
      <c r="O38" s="203">
        <v>1</v>
      </c>
      <c r="P38" s="203">
        <v>1</v>
      </c>
      <c r="Q38" s="203">
        <v>1</v>
      </c>
      <c r="R38" s="203">
        <v>1</v>
      </c>
      <c r="S38" s="203">
        <v>1</v>
      </c>
      <c r="T38" s="203">
        <v>1</v>
      </c>
      <c r="U38" s="203">
        <v>1</v>
      </c>
      <c r="V38" s="203">
        <v>1</v>
      </c>
      <c r="W38" s="203">
        <v>1</v>
      </c>
      <c r="X38" s="203">
        <v>1</v>
      </c>
      <c r="Y38" s="203">
        <v>1</v>
      </c>
      <c r="Z38" s="203">
        <v>1</v>
      </c>
      <c r="AA38" s="203">
        <v>1</v>
      </c>
      <c r="AB38" s="203">
        <v>0</v>
      </c>
      <c r="AC38" s="204">
        <v>0</v>
      </c>
    </row>
    <row r="39" spans="1:39" customFormat="1" ht="27" customHeight="1" x14ac:dyDescent="0.3">
      <c r="A39" s="474"/>
      <c r="B39" s="465"/>
      <c r="C39" s="468"/>
      <c r="D39" s="471"/>
      <c r="E39" s="163" t="s">
        <v>333</v>
      </c>
      <c r="F39" s="185">
        <v>0</v>
      </c>
      <c r="G39" s="185">
        <v>0</v>
      </c>
      <c r="H39" s="185">
        <v>0</v>
      </c>
      <c r="I39" s="185">
        <v>0</v>
      </c>
      <c r="J39" s="185">
        <v>0</v>
      </c>
      <c r="K39" s="185">
        <v>1</v>
      </c>
      <c r="L39" s="185">
        <v>1</v>
      </c>
      <c r="M39" s="185">
        <v>1</v>
      </c>
      <c r="N39" s="185">
        <v>1</v>
      </c>
      <c r="O39" s="185">
        <v>1</v>
      </c>
      <c r="P39" s="185">
        <v>1</v>
      </c>
      <c r="Q39" s="185">
        <v>1</v>
      </c>
      <c r="R39" s="185">
        <v>1</v>
      </c>
      <c r="S39" s="185">
        <v>1</v>
      </c>
      <c r="T39" s="185">
        <v>1</v>
      </c>
      <c r="U39" s="185">
        <v>1</v>
      </c>
      <c r="V39" s="185">
        <v>1</v>
      </c>
      <c r="W39" s="185">
        <v>1</v>
      </c>
      <c r="X39" s="185">
        <v>1</v>
      </c>
      <c r="Y39" s="185">
        <v>1</v>
      </c>
      <c r="Z39" s="185">
        <v>1</v>
      </c>
      <c r="AA39" s="185">
        <v>1</v>
      </c>
      <c r="AB39" s="185">
        <v>1</v>
      </c>
      <c r="AC39" s="186">
        <v>1</v>
      </c>
    </row>
    <row r="40" spans="1:39" customFormat="1" ht="27" customHeight="1" thickBot="1" x14ac:dyDescent="0.35">
      <c r="A40" s="475"/>
      <c r="B40" s="477"/>
      <c r="C40" s="479"/>
      <c r="D40" s="480"/>
      <c r="E40" s="164" t="s">
        <v>334</v>
      </c>
      <c r="F40" s="187">
        <v>0</v>
      </c>
      <c r="G40" s="187">
        <v>0</v>
      </c>
      <c r="H40" s="187">
        <v>0</v>
      </c>
      <c r="I40" s="187">
        <v>0</v>
      </c>
      <c r="J40" s="187">
        <v>0</v>
      </c>
      <c r="K40" s="187">
        <v>1</v>
      </c>
      <c r="L40" s="187">
        <v>1</v>
      </c>
      <c r="M40" s="187">
        <v>1</v>
      </c>
      <c r="N40" s="187">
        <v>1</v>
      </c>
      <c r="O40" s="187">
        <v>1</v>
      </c>
      <c r="P40" s="187">
        <v>1</v>
      </c>
      <c r="Q40" s="187">
        <v>1</v>
      </c>
      <c r="R40" s="187">
        <v>1</v>
      </c>
      <c r="S40" s="187">
        <v>1</v>
      </c>
      <c r="T40" s="187">
        <v>1</v>
      </c>
      <c r="U40" s="187">
        <v>1</v>
      </c>
      <c r="V40" s="187">
        <v>1</v>
      </c>
      <c r="W40" s="187">
        <v>1</v>
      </c>
      <c r="X40" s="187">
        <v>1</v>
      </c>
      <c r="Y40" s="187">
        <v>1</v>
      </c>
      <c r="Z40" s="187">
        <v>1</v>
      </c>
      <c r="AA40" s="187">
        <v>1</v>
      </c>
      <c r="AB40" s="187">
        <v>1</v>
      </c>
      <c r="AC40" s="188">
        <v>1</v>
      </c>
    </row>
    <row r="41" spans="1:39" customFormat="1" ht="36" customHeight="1" x14ac:dyDescent="0.3">
      <c r="A41" s="499" t="s">
        <v>73</v>
      </c>
      <c r="B41" s="501" t="s">
        <v>61</v>
      </c>
      <c r="C41" s="504" t="s">
        <v>346</v>
      </c>
      <c r="D41" s="505" t="s">
        <v>347</v>
      </c>
      <c r="E41" s="162" t="s">
        <v>332</v>
      </c>
      <c r="F41" s="183">
        <v>117.2</v>
      </c>
      <c r="G41" s="183">
        <v>117.2</v>
      </c>
      <c r="H41" s="183">
        <v>117.2</v>
      </c>
      <c r="I41" s="183">
        <v>117.2</v>
      </c>
      <c r="J41" s="183">
        <v>117.2</v>
      </c>
      <c r="K41" s="183">
        <v>117.2</v>
      </c>
      <c r="L41" s="183">
        <v>117.2</v>
      </c>
      <c r="M41" s="183">
        <v>117.2</v>
      </c>
      <c r="N41" s="183">
        <v>117.2</v>
      </c>
      <c r="O41" s="183">
        <v>117.2</v>
      </c>
      <c r="P41" s="183">
        <v>117.2</v>
      </c>
      <c r="Q41" s="183">
        <v>117.2</v>
      </c>
      <c r="R41" s="183">
        <v>117.2</v>
      </c>
      <c r="S41" s="183">
        <v>117.2</v>
      </c>
      <c r="T41" s="183">
        <v>117.2</v>
      </c>
      <c r="U41" s="183">
        <v>117.2</v>
      </c>
      <c r="V41" s="183">
        <v>117.2</v>
      </c>
      <c r="W41" s="183">
        <v>117.2</v>
      </c>
      <c r="X41" s="183">
        <v>117.2</v>
      </c>
      <c r="Y41" s="183">
        <v>117.2</v>
      </c>
      <c r="Z41" s="183">
        <v>117.2</v>
      </c>
      <c r="AA41" s="183">
        <v>117.2</v>
      </c>
      <c r="AB41" s="183">
        <v>117.2</v>
      </c>
      <c r="AC41" s="184">
        <v>117.2</v>
      </c>
    </row>
    <row r="42" spans="1:39" customFormat="1" ht="36" customHeight="1" x14ac:dyDescent="0.3">
      <c r="A42" s="474"/>
      <c r="B42" s="502"/>
      <c r="C42" s="468"/>
      <c r="D42" s="471"/>
      <c r="E42" s="163" t="s">
        <v>333</v>
      </c>
      <c r="F42" s="185">
        <v>117.2</v>
      </c>
      <c r="G42" s="185">
        <v>117.2</v>
      </c>
      <c r="H42" s="185">
        <v>117.2</v>
      </c>
      <c r="I42" s="185">
        <v>117.2</v>
      </c>
      <c r="J42" s="185">
        <v>117.2</v>
      </c>
      <c r="K42" s="185">
        <v>117.2</v>
      </c>
      <c r="L42" s="185">
        <v>117.2</v>
      </c>
      <c r="M42" s="185">
        <v>117.2</v>
      </c>
      <c r="N42" s="185">
        <v>117.2</v>
      </c>
      <c r="O42" s="185">
        <v>117.2</v>
      </c>
      <c r="P42" s="185">
        <v>117.2</v>
      </c>
      <c r="Q42" s="185">
        <v>117.2</v>
      </c>
      <c r="R42" s="185">
        <v>117.2</v>
      </c>
      <c r="S42" s="185">
        <v>117.2</v>
      </c>
      <c r="T42" s="185">
        <v>117.2</v>
      </c>
      <c r="U42" s="185">
        <v>117.2</v>
      </c>
      <c r="V42" s="185">
        <v>117.2</v>
      </c>
      <c r="W42" s="185">
        <v>117.2</v>
      </c>
      <c r="X42" s="185">
        <v>117.2</v>
      </c>
      <c r="Y42" s="185">
        <v>117.2</v>
      </c>
      <c r="Z42" s="185">
        <v>117.2</v>
      </c>
      <c r="AA42" s="185">
        <v>117.2</v>
      </c>
      <c r="AB42" s="185">
        <v>117.2</v>
      </c>
      <c r="AC42" s="186">
        <v>117.2</v>
      </c>
    </row>
    <row r="43" spans="1:39" customFormat="1" ht="36" customHeight="1" thickBot="1" x14ac:dyDescent="0.35">
      <c r="A43" s="475"/>
      <c r="B43" s="503"/>
      <c r="C43" s="479"/>
      <c r="D43" s="480"/>
      <c r="E43" s="164" t="s">
        <v>334</v>
      </c>
      <c r="F43" s="187">
        <v>117.2</v>
      </c>
      <c r="G43" s="187">
        <v>117.2</v>
      </c>
      <c r="H43" s="187">
        <v>117.2</v>
      </c>
      <c r="I43" s="187">
        <v>117.2</v>
      </c>
      <c r="J43" s="187">
        <v>117.2</v>
      </c>
      <c r="K43" s="187">
        <v>117.2</v>
      </c>
      <c r="L43" s="187">
        <v>117.2</v>
      </c>
      <c r="M43" s="187">
        <v>117.2</v>
      </c>
      <c r="N43" s="187">
        <v>117.2</v>
      </c>
      <c r="O43" s="187">
        <v>117.2</v>
      </c>
      <c r="P43" s="187">
        <v>117.2</v>
      </c>
      <c r="Q43" s="187">
        <v>117.2</v>
      </c>
      <c r="R43" s="187">
        <v>117.2</v>
      </c>
      <c r="S43" s="187">
        <v>117.2</v>
      </c>
      <c r="T43" s="187">
        <v>117.2</v>
      </c>
      <c r="U43" s="187">
        <v>117.2</v>
      </c>
      <c r="V43" s="187">
        <v>117.2</v>
      </c>
      <c r="W43" s="187">
        <v>117.2</v>
      </c>
      <c r="X43" s="187">
        <v>117.2</v>
      </c>
      <c r="Y43" s="187">
        <v>117.2</v>
      </c>
      <c r="Z43" s="187">
        <v>117.2</v>
      </c>
      <c r="AA43" s="187">
        <v>117.2</v>
      </c>
      <c r="AB43" s="187">
        <v>117.2</v>
      </c>
      <c r="AC43" s="188">
        <v>117.2</v>
      </c>
    </row>
    <row r="44" spans="1:39" customFormat="1" ht="14.4" x14ac:dyDescent="0.3"/>
    <row r="45" spans="1:39" customFormat="1" ht="12.75" customHeight="1" x14ac:dyDescent="0.3"/>
    <row r="46" spans="1:39" customFormat="1" ht="14.4" x14ac:dyDescent="0.3"/>
    <row r="47" spans="1:39" customFormat="1" ht="14.4" x14ac:dyDescent="0.3"/>
    <row r="48" spans="1:39" customFormat="1" ht="12.75" customHeight="1" x14ac:dyDescent="0.3"/>
    <row r="49" customFormat="1" ht="14.4" x14ac:dyDescent="0.3"/>
    <row r="50" customFormat="1" ht="14.4" x14ac:dyDescent="0.3"/>
    <row r="51" customFormat="1" ht="12.75" customHeight="1" x14ac:dyDescent="0.3"/>
    <row r="52" customFormat="1" ht="14.4" x14ac:dyDescent="0.3"/>
    <row r="53" customFormat="1" ht="14.4" x14ac:dyDescent="0.3"/>
    <row r="54" customFormat="1" ht="12.75" customHeight="1" x14ac:dyDescent="0.3"/>
    <row r="55" customFormat="1" ht="14.4" x14ac:dyDescent="0.3"/>
    <row r="56" customFormat="1" ht="14.4" x14ac:dyDescent="0.3"/>
    <row r="57" customFormat="1" ht="12.75" customHeight="1" x14ac:dyDescent="0.3"/>
    <row r="58" customFormat="1" ht="14.4" x14ac:dyDescent="0.3"/>
    <row r="59" customFormat="1" ht="14.4" x14ac:dyDescent="0.3"/>
    <row r="60" customFormat="1" ht="12.75" customHeight="1" x14ac:dyDescent="0.3"/>
    <row r="61" customFormat="1" ht="14.4" x14ac:dyDescent="0.3"/>
    <row r="62" customFormat="1" ht="14.4" x14ac:dyDescent="0.3"/>
    <row r="63" customFormat="1" ht="12.75" customHeight="1" x14ac:dyDescent="0.3"/>
    <row r="64" customFormat="1" ht="14.4" x14ac:dyDescent="0.3"/>
    <row r="65" customFormat="1" ht="14.4" x14ac:dyDescent="0.3"/>
    <row r="66" customFormat="1" ht="12.75" customHeight="1" x14ac:dyDescent="0.3"/>
    <row r="67" customFormat="1" ht="14.4" x14ac:dyDescent="0.3"/>
    <row r="68" customFormat="1" ht="14.4" x14ac:dyDescent="0.3"/>
    <row r="69" customFormat="1" ht="12.75" customHeight="1" x14ac:dyDescent="0.3"/>
    <row r="70" customFormat="1" ht="14.4" x14ac:dyDescent="0.3"/>
    <row r="71" customFormat="1" ht="14.4" x14ac:dyDescent="0.3"/>
    <row r="72" customFormat="1" ht="12.75" customHeight="1" x14ac:dyDescent="0.3"/>
    <row r="73" customFormat="1" ht="14.4" x14ac:dyDescent="0.3"/>
    <row r="74" customFormat="1" ht="14.4" x14ac:dyDescent="0.3"/>
    <row r="75" customFormat="1" ht="12.75" customHeight="1" x14ac:dyDescent="0.3"/>
    <row r="76" customFormat="1" ht="14.4" x14ac:dyDescent="0.3"/>
    <row r="77" customFormat="1" ht="14.4" x14ac:dyDescent="0.3"/>
    <row r="78" customFormat="1" ht="12.75" customHeight="1"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2.75" customHeight="1"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spans="2:2" customFormat="1" ht="14.4" x14ac:dyDescent="0.3"/>
    <row r="114" spans="2:2" customFormat="1" ht="14.4" x14ac:dyDescent="0.3"/>
    <row r="115" spans="2:2" customFormat="1" ht="14.4" x14ac:dyDescent="0.3"/>
    <row r="116" spans="2:2" ht="14.4" x14ac:dyDescent="0.3">
      <c r="B116"/>
    </row>
    <row r="117" spans="2:2" ht="14.4" x14ac:dyDescent="0.3">
      <c r="B117"/>
    </row>
  </sheetData>
  <mergeCells count="60">
    <mergeCell ref="C25:C27"/>
    <mergeCell ref="D25:D27"/>
    <mergeCell ref="A28:A30"/>
    <mergeCell ref="B28:B30"/>
    <mergeCell ref="C28:C30"/>
    <mergeCell ref="D28:D30"/>
    <mergeCell ref="A41:A43"/>
    <mergeCell ref="B10:B12"/>
    <mergeCell ref="B13:B15"/>
    <mergeCell ref="B16:B18"/>
    <mergeCell ref="B19:B21"/>
    <mergeCell ref="B22:B24"/>
    <mergeCell ref="A25:A27"/>
    <mergeCell ref="B25:B27"/>
    <mergeCell ref="A34:AC34"/>
    <mergeCell ref="B41:B43"/>
    <mergeCell ref="C41:C43"/>
    <mergeCell ref="D41:D43"/>
    <mergeCell ref="A31:A33"/>
    <mergeCell ref="B31:B33"/>
    <mergeCell ref="C31:C33"/>
    <mergeCell ref="D31:D33"/>
    <mergeCell ref="F2:AC2"/>
    <mergeCell ref="E2:E3"/>
    <mergeCell ref="B2:B3"/>
    <mergeCell ref="B4:B6"/>
    <mergeCell ref="B7:B9"/>
    <mergeCell ref="A2:A3"/>
    <mergeCell ref="D2:D3"/>
    <mergeCell ref="A4:A6"/>
    <mergeCell ref="D4:D6"/>
    <mergeCell ref="A7:A9"/>
    <mergeCell ref="C4:C6"/>
    <mergeCell ref="C7:C9"/>
    <mergeCell ref="C2:C3"/>
    <mergeCell ref="D7:D9"/>
    <mergeCell ref="A1:AC1"/>
    <mergeCell ref="D16:D18"/>
    <mergeCell ref="C22:C24"/>
    <mergeCell ref="D22:D24"/>
    <mergeCell ref="A22:A24"/>
    <mergeCell ref="A10:A12"/>
    <mergeCell ref="C13:C15"/>
    <mergeCell ref="D13:D15"/>
    <mergeCell ref="A13:A15"/>
    <mergeCell ref="C16:C18"/>
    <mergeCell ref="A16:A18"/>
    <mergeCell ref="C19:C21"/>
    <mergeCell ref="D19:D21"/>
    <mergeCell ref="A19:A21"/>
    <mergeCell ref="C10:C12"/>
    <mergeCell ref="D10:D12"/>
    <mergeCell ref="A35:A37"/>
    <mergeCell ref="B35:B37"/>
    <mergeCell ref="C35:C37"/>
    <mergeCell ref="D35:D37"/>
    <mergeCell ref="A38:A40"/>
    <mergeCell ref="B38:B40"/>
    <mergeCell ref="C38:C40"/>
    <mergeCell ref="D38:D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sqref="A1:L1"/>
    </sheetView>
  </sheetViews>
  <sheetFormatPr defaultColWidth="8.6640625" defaultRowHeight="13.2" x14ac:dyDescent="0.25"/>
  <cols>
    <col min="1" max="1" width="17.33203125" style="5" bestFit="1" customWidth="1"/>
    <col min="2" max="2" width="15.44140625" style="5" customWidth="1"/>
    <col min="3" max="3" width="19.33203125" style="5" customWidth="1"/>
    <col min="4" max="5" width="18.33203125" style="5" customWidth="1"/>
    <col min="6" max="8" width="13.6640625" style="5" customWidth="1"/>
    <col min="9" max="9" width="10.6640625" style="5" customWidth="1"/>
    <col min="10" max="10" width="12.33203125" style="5" customWidth="1"/>
    <col min="11" max="11" width="14.88671875" style="5" customWidth="1"/>
    <col min="12" max="12" width="19.5546875" style="5" customWidth="1"/>
    <col min="13" max="13" width="8.6640625" style="5"/>
    <col min="14" max="14" width="17.33203125" style="5" bestFit="1" customWidth="1"/>
    <col min="15" max="15" width="10.5546875" style="5" customWidth="1"/>
    <col min="16" max="16" width="11" style="5" customWidth="1"/>
    <col min="17" max="17" width="17.88671875" style="5" customWidth="1"/>
    <col min="18" max="19" width="10.5546875" style="5" bestFit="1" customWidth="1"/>
    <col min="20" max="21" width="11.44140625" style="5" bestFit="1" customWidth="1"/>
    <col min="22" max="22" width="14.88671875" style="5" bestFit="1" customWidth="1"/>
    <col min="23" max="16384" width="8.6640625" style="5"/>
  </cols>
  <sheetData>
    <row r="1" spans="1:24" ht="33" customHeight="1" x14ac:dyDescent="0.3">
      <c r="A1" s="523" t="str">
        <f>"CalBEM Energy Consumption - "&amp;Prototype!B4</f>
        <v>CalBEM Energy Consumption - Relocatable School</v>
      </c>
      <c r="B1" s="524"/>
      <c r="C1" s="524"/>
      <c r="D1" s="524"/>
      <c r="E1" s="524"/>
      <c r="F1" s="524"/>
      <c r="G1" s="524"/>
      <c r="H1" s="524"/>
      <c r="I1" s="524"/>
      <c r="J1" s="524"/>
      <c r="K1" s="524"/>
      <c r="L1" s="524"/>
      <c r="M1"/>
      <c r="N1" s="525" t="str">
        <f>"Energy Consumption - "&amp;Prototype!A2</f>
        <v>Energy Consumption - SchoolRelocatable</v>
      </c>
      <c r="O1" s="526"/>
      <c r="P1" s="526"/>
      <c r="Q1" s="526"/>
      <c r="R1" s="526"/>
      <c r="S1" s="526"/>
      <c r="T1" s="526"/>
      <c r="U1" s="526"/>
      <c r="V1" s="526"/>
      <c r="W1"/>
      <c r="X1"/>
    </row>
    <row r="2" spans="1:24" ht="62.25" customHeight="1" x14ac:dyDescent="0.25">
      <c r="A2" s="357" t="s">
        <v>88</v>
      </c>
      <c r="B2" s="357" t="s">
        <v>348</v>
      </c>
      <c r="C2" s="357" t="s">
        <v>349</v>
      </c>
      <c r="D2" s="357" t="s">
        <v>350</v>
      </c>
      <c r="E2" s="357" t="s">
        <v>351</v>
      </c>
      <c r="F2" s="357" t="s">
        <v>352</v>
      </c>
      <c r="G2" s="357" t="s">
        <v>353</v>
      </c>
      <c r="H2" s="357" t="s">
        <v>354</v>
      </c>
      <c r="I2" s="209" t="s">
        <v>355</v>
      </c>
      <c r="J2" s="209" t="s">
        <v>356</v>
      </c>
      <c r="K2" s="209" t="s">
        <v>357</v>
      </c>
      <c r="L2" s="209" t="s">
        <v>358</v>
      </c>
      <c r="N2" s="206" t="s">
        <v>88</v>
      </c>
      <c r="O2" s="357" t="s">
        <v>348</v>
      </c>
      <c r="P2" s="357" t="s">
        <v>359</v>
      </c>
      <c r="Q2" s="357" t="s">
        <v>360</v>
      </c>
      <c r="R2" s="357" t="s">
        <v>361</v>
      </c>
      <c r="S2" s="350" t="s">
        <v>362</v>
      </c>
      <c r="T2" s="350" t="s">
        <v>363</v>
      </c>
      <c r="U2" s="350" t="s">
        <v>364</v>
      </c>
      <c r="V2" s="350" t="s">
        <v>365</v>
      </c>
    </row>
    <row r="3" spans="1:24" ht="19.2" customHeight="1" x14ac:dyDescent="0.25">
      <c r="A3" s="522" t="str">
        <f>Prototype!B4</f>
        <v>Relocatable School</v>
      </c>
      <c r="B3" s="358">
        <v>1</v>
      </c>
      <c r="C3" s="210"/>
      <c r="D3" s="210"/>
      <c r="E3" s="210"/>
      <c r="F3" s="358"/>
      <c r="G3" s="358"/>
      <c r="H3" s="358"/>
      <c r="I3" s="358">
        <v>51.3</v>
      </c>
      <c r="J3" s="210">
        <f>I3*1.25</f>
        <v>64.125</v>
      </c>
      <c r="K3" s="210">
        <f>I3*0.75</f>
        <v>38.474999999999994</v>
      </c>
      <c r="L3" s="210">
        <f>J3-K3</f>
        <v>25.650000000000006</v>
      </c>
      <c r="N3" s="409" t="str">
        <f>Prototype!B4</f>
        <v>Relocatable School</v>
      </c>
      <c r="O3" s="211">
        <v>1</v>
      </c>
      <c r="P3" s="102">
        <v>7618.5336979987769</v>
      </c>
      <c r="Q3" s="212">
        <v>32.349175832782279</v>
      </c>
      <c r="R3" s="212">
        <v>12.848136512515758</v>
      </c>
      <c r="S3" s="215">
        <f>Q3+R3</f>
        <v>45.197312345298037</v>
      </c>
      <c r="T3" s="214">
        <f>S3*1.25</f>
        <v>56.496640431622545</v>
      </c>
      <c r="U3" s="214">
        <f>S3*0.75</f>
        <v>33.89798425897353</v>
      </c>
      <c r="V3" s="213">
        <f>T3-U3</f>
        <v>22.598656172649015</v>
      </c>
    </row>
    <row r="4" spans="1:24" ht="19.2" customHeight="1" x14ac:dyDescent="0.25">
      <c r="A4" s="522"/>
      <c r="B4" s="358">
        <v>2</v>
      </c>
      <c r="C4" s="210"/>
      <c r="D4" s="210"/>
      <c r="E4" s="210"/>
      <c r="F4" s="358"/>
      <c r="G4" s="358"/>
      <c r="H4" s="358"/>
      <c r="I4" s="358">
        <v>51.3</v>
      </c>
      <c r="J4" s="210">
        <f t="shared" ref="J4:J18" si="0">I4*1.25</f>
        <v>64.125</v>
      </c>
      <c r="K4" s="210">
        <f t="shared" ref="K4:K18" si="1">I4*0.75</f>
        <v>38.474999999999994</v>
      </c>
      <c r="L4" s="210">
        <f t="shared" ref="L4:L18" si="2">J4-K4</f>
        <v>25.650000000000006</v>
      </c>
      <c r="N4" s="409"/>
      <c r="O4" s="211">
        <v>2</v>
      </c>
      <c r="P4" s="102">
        <v>11477.670560957027</v>
      </c>
      <c r="Q4" s="212">
        <v>15.421598301121483</v>
      </c>
      <c r="R4" s="212">
        <v>12.913999186871132</v>
      </c>
      <c r="S4" s="215">
        <f t="shared" ref="S4:S18" si="3">Q4+R4</f>
        <v>28.335597487992615</v>
      </c>
      <c r="T4" s="214">
        <f t="shared" ref="T4:T18" si="4">S4*1.25</f>
        <v>35.419496859990772</v>
      </c>
      <c r="U4" s="214">
        <f t="shared" ref="U4:U18" si="5">S4*0.75</f>
        <v>21.251698115994461</v>
      </c>
      <c r="V4" s="213">
        <f t="shared" ref="V4:V18" si="6">T4-U4</f>
        <v>14.167798743996311</v>
      </c>
    </row>
    <row r="5" spans="1:24" ht="19.2" customHeight="1" x14ac:dyDescent="0.25">
      <c r="A5" s="522"/>
      <c r="B5" s="358">
        <v>3</v>
      </c>
      <c r="C5" s="210"/>
      <c r="D5" s="210"/>
      <c r="E5" s="210"/>
      <c r="F5" s="358"/>
      <c r="G5" s="358"/>
      <c r="H5" s="358"/>
      <c r="I5" s="358">
        <v>51.3</v>
      </c>
      <c r="J5" s="210">
        <f t="shared" si="0"/>
        <v>64.125</v>
      </c>
      <c r="K5" s="210">
        <f t="shared" si="1"/>
        <v>38.474999999999994</v>
      </c>
      <c r="L5" s="210">
        <f t="shared" si="2"/>
        <v>25.650000000000006</v>
      </c>
      <c r="N5" s="409"/>
      <c r="O5" s="211">
        <v>3</v>
      </c>
      <c r="P5" s="102">
        <v>46411.860464613921</v>
      </c>
      <c r="Q5" s="212">
        <v>20.479594859366287</v>
      </c>
      <c r="R5" s="212">
        <v>12.79924807855271</v>
      </c>
      <c r="S5" s="215">
        <f t="shared" si="3"/>
        <v>33.278842937918995</v>
      </c>
      <c r="T5" s="214">
        <f t="shared" si="4"/>
        <v>41.598553672398744</v>
      </c>
      <c r="U5" s="214">
        <f t="shared" si="5"/>
        <v>24.959132203439246</v>
      </c>
      <c r="V5" s="213">
        <f t="shared" si="6"/>
        <v>16.639421468959497</v>
      </c>
    </row>
    <row r="6" spans="1:24" ht="19.2" customHeight="1" x14ac:dyDescent="0.25">
      <c r="A6" s="522"/>
      <c r="B6" s="358">
        <v>4</v>
      </c>
      <c r="C6" s="210"/>
      <c r="D6" s="210"/>
      <c r="E6" s="210"/>
      <c r="F6" s="358"/>
      <c r="G6" s="358"/>
      <c r="H6" s="358"/>
      <c r="I6" s="358">
        <v>51.3</v>
      </c>
      <c r="J6" s="210">
        <f t="shared" si="0"/>
        <v>64.125</v>
      </c>
      <c r="K6" s="210">
        <f t="shared" si="1"/>
        <v>38.474999999999994</v>
      </c>
      <c r="L6" s="210">
        <f t="shared" si="2"/>
        <v>25.650000000000006</v>
      </c>
      <c r="N6" s="409"/>
      <c r="O6" s="211">
        <v>4</v>
      </c>
      <c r="P6" s="102">
        <v>23032.968012628033</v>
      </c>
      <c r="Q6" s="212">
        <v>21.493730276699399</v>
      </c>
      <c r="R6" s="212">
        <v>13.019766805689686</v>
      </c>
      <c r="S6" s="215">
        <f t="shared" si="3"/>
        <v>34.513497082389087</v>
      </c>
      <c r="T6" s="214">
        <f t="shared" si="4"/>
        <v>43.141871352986357</v>
      </c>
      <c r="U6" s="214">
        <f t="shared" si="5"/>
        <v>25.885122811791817</v>
      </c>
      <c r="V6" s="213">
        <f t="shared" si="6"/>
        <v>17.25674854119454</v>
      </c>
    </row>
    <row r="7" spans="1:24" ht="19.2" customHeight="1" x14ac:dyDescent="0.25">
      <c r="A7" s="522"/>
      <c r="B7" s="358">
        <v>5</v>
      </c>
      <c r="C7" s="210"/>
      <c r="D7" s="210"/>
      <c r="E7" s="210"/>
      <c r="F7" s="358"/>
      <c r="G7" s="358"/>
      <c r="H7" s="358"/>
      <c r="I7" s="358">
        <v>51.3</v>
      </c>
      <c r="J7" s="210">
        <f t="shared" si="0"/>
        <v>64.125</v>
      </c>
      <c r="K7" s="210">
        <f t="shared" si="1"/>
        <v>38.474999999999994</v>
      </c>
      <c r="L7" s="210">
        <f t="shared" si="2"/>
        <v>25.650000000000006</v>
      </c>
      <c r="N7" s="409"/>
      <c r="O7" s="211">
        <v>5</v>
      </c>
      <c r="P7" s="102">
        <v>5978.4428422392912</v>
      </c>
      <c r="Q7" s="212">
        <v>11.998072326077015</v>
      </c>
      <c r="R7" s="212">
        <v>11.585185132606563</v>
      </c>
      <c r="S7" s="215">
        <f t="shared" si="3"/>
        <v>23.583257458683576</v>
      </c>
      <c r="T7" s="214">
        <f t="shared" si="4"/>
        <v>29.47907182335447</v>
      </c>
      <c r="U7" s="214">
        <f t="shared" si="5"/>
        <v>17.687443094012682</v>
      </c>
      <c r="V7" s="213">
        <f t="shared" si="6"/>
        <v>11.791628729341788</v>
      </c>
    </row>
    <row r="8" spans="1:24" ht="19.2" customHeight="1" x14ac:dyDescent="0.25">
      <c r="A8" s="522"/>
      <c r="B8" s="358">
        <v>6</v>
      </c>
      <c r="C8" s="210"/>
      <c r="D8" s="210"/>
      <c r="E8" s="210"/>
      <c r="F8" s="358"/>
      <c r="G8" s="358"/>
      <c r="H8" s="358"/>
      <c r="I8" s="358">
        <v>51.3</v>
      </c>
      <c r="J8" s="210">
        <f t="shared" si="0"/>
        <v>64.125</v>
      </c>
      <c r="K8" s="210">
        <f t="shared" si="1"/>
        <v>38.474999999999994</v>
      </c>
      <c r="L8" s="210">
        <f t="shared" si="2"/>
        <v>25.650000000000006</v>
      </c>
      <c r="N8" s="409"/>
      <c r="O8" s="211">
        <v>6</v>
      </c>
      <c r="P8" s="102">
        <v>57755.958884938154</v>
      </c>
      <c r="Q8" s="212">
        <v>22.607348922099643</v>
      </c>
      <c r="R8" s="212">
        <v>9.9467421462334809</v>
      </c>
      <c r="S8" s="215">
        <f t="shared" si="3"/>
        <v>32.554091068333122</v>
      </c>
      <c r="T8" s="214">
        <f t="shared" si="4"/>
        <v>40.692613835416402</v>
      </c>
      <c r="U8" s="214">
        <f t="shared" si="5"/>
        <v>24.415568301249841</v>
      </c>
      <c r="V8" s="213">
        <f t="shared" si="6"/>
        <v>16.277045534166561</v>
      </c>
    </row>
    <row r="9" spans="1:24" ht="19.2" customHeight="1" x14ac:dyDescent="0.25">
      <c r="A9" s="522"/>
      <c r="B9" s="358">
        <v>7</v>
      </c>
      <c r="C9" s="210"/>
      <c r="D9" s="210"/>
      <c r="E9" s="210"/>
      <c r="F9" s="358"/>
      <c r="G9" s="358"/>
      <c r="H9" s="358"/>
      <c r="I9" s="358">
        <v>51.3</v>
      </c>
      <c r="J9" s="210">
        <f t="shared" si="0"/>
        <v>64.125</v>
      </c>
      <c r="K9" s="210">
        <f t="shared" si="1"/>
        <v>38.474999999999994</v>
      </c>
      <c r="L9" s="210">
        <f t="shared" si="2"/>
        <v>25.650000000000006</v>
      </c>
      <c r="N9" s="409"/>
      <c r="O9" s="211">
        <v>7</v>
      </c>
      <c r="P9" s="102">
        <v>35149.992570854702</v>
      </c>
      <c r="Q9" s="212">
        <v>24.848388187104383</v>
      </c>
      <c r="R9" s="212">
        <v>6.9700357314851695</v>
      </c>
      <c r="S9" s="215">
        <f t="shared" si="3"/>
        <v>31.818423918589552</v>
      </c>
      <c r="T9" s="214">
        <f t="shared" si="4"/>
        <v>39.773029898236942</v>
      </c>
      <c r="U9" s="214">
        <f t="shared" si="5"/>
        <v>23.863817938942162</v>
      </c>
      <c r="V9" s="213">
        <f t="shared" si="6"/>
        <v>15.90921195929478</v>
      </c>
    </row>
    <row r="10" spans="1:24" ht="19.2" customHeight="1" x14ac:dyDescent="0.25">
      <c r="A10" s="522"/>
      <c r="B10" s="358">
        <v>8</v>
      </c>
      <c r="C10" s="210"/>
      <c r="D10" s="210"/>
      <c r="E10" s="210"/>
      <c r="F10" s="358"/>
      <c r="G10" s="358"/>
      <c r="H10" s="358"/>
      <c r="I10" s="358">
        <v>51.3</v>
      </c>
      <c r="J10" s="210">
        <f t="shared" si="0"/>
        <v>64.125</v>
      </c>
      <c r="K10" s="210">
        <f t="shared" si="1"/>
        <v>38.474999999999994</v>
      </c>
      <c r="L10" s="210">
        <f t="shared" si="2"/>
        <v>25.650000000000006</v>
      </c>
      <c r="N10" s="409"/>
      <c r="O10" s="211">
        <v>8</v>
      </c>
      <c r="P10" s="102">
        <v>92353.411344595792</v>
      </c>
      <c r="Q10" s="212">
        <v>22.935329040550439</v>
      </c>
      <c r="R10" s="212">
        <v>8.842202966161631</v>
      </c>
      <c r="S10" s="215">
        <f t="shared" si="3"/>
        <v>31.777532006712072</v>
      </c>
      <c r="T10" s="214">
        <f t="shared" si="4"/>
        <v>39.721915008390091</v>
      </c>
      <c r="U10" s="214">
        <f t="shared" si="5"/>
        <v>23.833149005034052</v>
      </c>
      <c r="V10" s="213">
        <f t="shared" si="6"/>
        <v>15.888766003356039</v>
      </c>
    </row>
    <row r="11" spans="1:24" ht="19.2" customHeight="1" x14ac:dyDescent="0.25">
      <c r="A11" s="522"/>
      <c r="B11" s="358">
        <v>9</v>
      </c>
      <c r="C11" s="210"/>
      <c r="D11" s="210"/>
      <c r="E11" s="210"/>
      <c r="F11" s="358"/>
      <c r="G11" s="358"/>
      <c r="H11" s="358"/>
      <c r="I11" s="358">
        <v>51.3</v>
      </c>
      <c r="J11" s="210">
        <f t="shared" si="0"/>
        <v>64.125</v>
      </c>
      <c r="K11" s="210">
        <f t="shared" si="1"/>
        <v>38.474999999999994</v>
      </c>
      <c r="L11" s="210">
        <f t="shared" si="2"/>
        <v>25.650000000000006</v>
      </c>
      <c r="N11" s="409"/>
      <c r="O11" s="211">
        <v>9</v>
      </c>
      <c r="P11" s="102">
        <v>141795.4505918849</v>
      </c>
      <c r="Q11" s="212">
        <v>26.79734320498693</v>
      </c>
      <c r="R11" s="212">
        <v>10.089066914098808</v>
      </c>
      <c r="S11" s="215">
        <f t="shared" si="3"/>
        <v>36.886410119085738</v>
      </c>
      <c r="T11" s="214">
        <f t="shared" si="4"/>
        <v>46.108012648857169</v>
      </c>
      <c r="U11" s="214">
        <f t="shared" si="5"/>
        <v>27.664807589314304</v>
      </c>
      <c r="V11" s="213">
        <f t="shared" si="6"/>
        <v>18.443205059542866</v>
      </c>
    </row>
    <row r="12" spans="1:24" ht="19.2" customHeight="1" x14ac:dyDescent="0.25">
      <c r="A12" s="522"/>
      <c r="B12" s="358">
        <v>10</v>
      </c>
      <c r="C12" s="210"/>
      <c r="D12" s="210"/>
      <c r="E12" s="210"/>
      <c r="F12" s="358"/>
      <c r="G12" s="358"/>
      <c r="H12" s="358"/>
      <c r="I12" s="358">
        <v>51.3</v>
      </c>
      <c r="J12" s="210">
        <f t="shared" si="0"/>
        <v>64.125</v>
      </c>
      <c r="K12" s="210">
        <f t="shared" si="1"/>
        <v>38.474999999999994</v>
      </c>
      <c r="L12" s="210">
        <f t="shared" si="2"/>
        <v>25.650000000000006</v>
      </c>
      <c r="N12" s="409"/>
      <c r="O12" s="211">
        <v>10</v>
      </c>
      <c r="P12" s="102">
        <v>92589.866923099296</v>
      </c>
      <c r="Q12" s="212">
        <v>22.490400741547862</v>
      </c>
      <c r="R12" s="212">
        <v>10.108975274600024</v>
      </c>
      <c r="S12" s="215">
        <f t="shared" si="3"/>
        <v>32.599376016147886</v>
      </c>
      <c r="T12" s="214">
        <f t="shared" si="4"/>
        <v>40.749220020184858</v>
      </c>
      <c r="U12" s="214">
        <f t="shared" si="5"/>
        <v>24.449532012110915</v>
      </c>
      <c r="V12" s="213">
        <f t="shared" si="6"/>
        <v>16.299688008073943</v>
      </c>
    </row>
    <row r="13" spans="1:24" ht="19.2" customHeight="1" x14ac:dyDescent="0.25">
      <c r="A13" s="522"/>
      <c r="B13" s="358">
        <v>11</v>
      </c>
      <c r="C13" s="210"/>
      <c r="D13" s="210"/>
      <c r="E13" s="210"/>
      <c r="F13" s="358"/>
      <c r="G13" s="358"/>
      <c r="H13" s="358"/>
      <c r="I13" s="358">
        <v>51.3</v>
      </c>
      <c r="J13" s="210">
        <f t="shared" si="0"/>
        <v>64.125</v>
      </c>
      <c r="K13" s="210">
        <f t="shared" si="1"/>
        <v>38.474999999999994</v>
      </c>
      <c r="L13" s="210">
        <f t="shared" si="2"/>
        <v>25.650000000000006</v>
      </c>
      <c r="N13" s="409"/>
      <c r="O13" s="211">
        <v>11</v>
      </c>
      <c r="P13" s="102">
        <v>33810.488428667806</v>
      </c>
      <c r="Q13" s="212">
        <v>26.928661316570114</v>
      </c>
      <c r="R13" s="212">
        <v>8.7604369989222359</v>
      </c>
      <c r="S13" s="215">
        <f t="shared" si="3"/>
        <v>35.689098315492352</v>
      </c>
      <c r="T13" s="214">
        <f t="shared" si="4"/>
        <v>44.611372894365438</v>
      </c>
      <c r="U13" s="214">
        <f t="shared" si="5"/>
        <v>26.766823736619266</v>
      </c>
      <c r="V13" s="213">
        <f t="shared" si="6"/>
        <v>17.844549157746172</v>
      </c>
    </row>
    <row r="14" spans="1:24" ht="19.2" customHeight="1" x14ac:dyDescent="0.25">
      <c r="A14" s="522"/>
      <c r="B14" s="358">
        <v>12</v>
      </c>
      <c r="C14" s="210"/>
      <c r="D14" s="210"/>
      <c r="E14" s="210"/>
      <c r="F14" s="358"/>
      <c r="G14" s="358"/>
      <c r="H14" s="358"/>
      <c r="I14" s="358">
        <v>51.3</v>
      </c>
      <c r="J14" s="210">
        <f t="shared" si="0"/>
        <v>64.125</v>
      </c>
      <c r="K14" s="210">
        <f t="shared" si="1"/>
        <v>38.474999999999994</v>
      </c>
      <c r="L14" s="210">
        <f t="shared" si="2"/>
        <v>25.650000000000006</v>
      </c>
      <c r="N14" s="409"/>
      <c r="O14" s="211">
        <v>12</v>
      </c>
      <c r="P14" s="102">
        <v>108342.43412674296</v>
      </c>
      <c r="Q14" s="212">
        <v>31.799593721150607</v>
      </c>
      <c r="R14" s="212">
        <v>12.230299256797961</v>
      </c>
      <c r="S14" s="215">
        <f t="shared" si="3"/>
        <v>44.02989297794857</v>
      </c>
      <c r="T14" s="214">
        <f t="shared" si="4"/>
        <v>55.037366222435715</v>
      </c>
      <c r="U14" s="214">
        <f t="shared" si="5"/>
        <v>33.022419733461426</v>
      </c>
      <c r="V14" s="213">
        <f t="shared" si="6"/>
        <v>22.014946488974289</v>
      </c>
    </row>
    <row r="15" spans="1:24" ht="19.2" customHeight="1" x14ac:dyDescent="0.25">
      <c r="A15" s="522"/>
      <c r="B15" s="358">
        <v>13</v>
      </c>
      <c r="C15" s="210"/>
      <c r="D15" s="210"/>
      <c r="E15" s="210"/>
      <c r="F15" s="358"/>
      <c r="G15" s="358"/>
      <c r="H15" s="358"/>
      <c r="I15" s="358">
        <v>51.3</v>
      </c>
      <c r="J15" s="210">
        <f t="shared" si="0"/>
        <v>64.125</v>
      </c>
      <c r="K15" s="210">
        <f t="shared" si="1"/>
        <v>38.474999999999994</v>
      </c>
      <c r="L15" s="210">
        <f t="shared" si="2"/>
        <v>25.650000000000006</v>
      </c>
      <c r="N15" s="409"/>
      <c r="O15" s="211">
        <v>13</v>
      </c>
      <c r="P15" s="102">
        <v>46676.807804914482</v>
      </c>
      <c r="Q15" s="212">
        <v>32.656044140076112</v>
      </c>
      <c r="R15" s="212">
        <v>15.473533802907214</v>
      </c>
      <c r="S15" s="215">
        <f t="shared" si="3"/>
        <v>48.129577942983325</v>
      </c>
      <c r="T15" s="214">
        <f t="shared" si="4"/>
        <v>60.161972428729158</v>
      </c>
      <c r="U15" s="214">
        <f t="shared" si="5"/>
        <v>36.097183457237492</v>
      </c>
      <c r="V15" s="213">
        <f t="shared" si="6"/>
        <v>24.064788971491666</v>
      </c>
    </row>
    <row r="16" spans="1:24" ht="19.2" customHeight="1" x14ac:dyDescent="0.25">
      <c r="A16" s="522"/>
      <c r="B16" s="358">
        <v>14</v>
      </c>
      <c r="C16" s="210"/>
      <c r="D16" s="210"/>
      <c r="E16" s="210"/>
      <c r="F16" s="358"/>
      <c r="G16" s="358"/>
      <c r="H16" s="358"/>
      <c r="I16" s="358">
        <v>51.3</v>
      </c>
      <c r="J16" s="210">
        <f t="shared" si="0"/>
        <v>64.125</v>
      </c>
      <c r="K16" s="210">
        <f t="shared" si="1"/>
        <v>38.474999999999994</v>
      </c>
      <c r="L16" s="210">
        <f t="shared" si="2"/>
        <v>25.650000000000006</v>
      </c>
      <c r="N16" s="409"/>
      <c r="O16" s="211">
        <v>14</v>
      </c>
      <c r="P16" s="102">
        <v>22787.738910986311</v>
      </c>
      <c r="Q16" s="212">
        <v>21.807169831743543</v>
      </c>
      <c r="R16" s="212">
        <v>11.433166078385915</v>
      </c>
      <c r="S16" s="215">
        <f t="shared" si="3"/>
        <v>33.24033591012946</v>
      </c>
      <c r="T16" s="214">
        <f t="shared" si="4"/>
        <v>41.550419887661825</v>
      </c>
      <c r="U16" s="214">
        <f t="shared" si="5"/>
        <v>24.930251932597095</v>
      </c>
      <c r="V16" s="213">
        <f t="shared" si="6"/>
        <v>16.62016795506473</v>
      </c>
    </row>
    <row r="17" spans="1:22" ht="19.2" customHeight="1" x14ac:dyDescent="0.25">
      <c r="A17" s="522"/>
      <c r="B17" s="358">
        <v>15</v>
      </c>
      <c r="C17" s="210"/>
      <c r="D17" s="210"/>
      <c r="E17" s="210"/>
      <c r="F17" s="358"/>
      <c r="G17" s="358"/>
      <c r="H17" s="358"/>
      <c r="I17" s="358">
        <v>51.3</v>
      </c>
      <c r="J17" s="210">
        <f t="shared" si="0"/>
        <v>64.125</v>
      </c>
      <c r="K17" s="210">
        <f t="shared" si="1"/>
        <v>38.474999999999994</v>
      </c>
      <c r="L17" s="210">
        <f t="shared" si="2"/>
        <v>25.650000000000006</v>
      </c>
      <c r="N17" s="409"/>
      <c r="O17" s="211">
        <v>15</v>
      </c>
      <c r="P17" s="102">
        <v>54746.00286987007</v>
      </c>
      <c r="Q17" s="212">
        <v>21.954275213561427</v>
      </c>
      <c r="R17" s="212">
        <v>10.439126469769764</v>
      </c>
      <c r="S17" s="215">
        <f t="shared" si="3"/>
        <v>32.393401683331192</v>
      </c>
      <c r="T17" s="214">
        <f t="shared" si="4"/>
        <v>40.491752104163993</v>
      </c>
      <c r="U17" s="214">
        <f t="shared" si="5"/>
        <v>24.295051262498394</v>
      </c>
      <c r="V17" s="213">
        <f t="shared" si="6"/>
        <v>16.196700841665599</v>
      </c>
    </row>
    <row r="18" spans="1:22" ht="19.2" customHeight="1" x14ac:dyDescent="0.25">
      <c r="A18" s="522"/>
      <c r="B18" s="358">
        <v>16</v>
      </c>
      <c r="C18" s="210"/>
      <c r="D18" s="210"/>
      <c r="E18" s="210"/>
      <c r="F18" s="358"/>
      <c r="G18" s="358"/>
      <c r="H18" s="358"/>
      <c r="I18" s="358">
        <v>51.3</v>
      </c>
      <c r="J18" s="210">
        <f t="shared" si="0"/>
        <v>64.125</v>
      </c>
      <c r="K18" s="210">
        <f t="shared" si="1"/>
        <v>38.474999999999994</v>
      </c>
      <c r="L18" s="210">
        <f t="shared" si="2"/>
        <v>25.650000000000006</v>
      </c>
      <c r="N18" s="409"/>
      <c r="O18" s="211">
        <v>16</v>
      </c>
      <c r="P18" s="102">
        <v>85267.890424747078</v>
      </c>
      <c r="Q18" s="212">
        <v>27.026910677602114</v>
      </c>
      <c r="R18" s="212">
        <v>11.652926502476937</v>
      </c>
      <c r="S18" s="215">
        <f t="shared" si="3"/>
        <v>38.679837180079048</v>
      </c>
      <c r="T18" s="214">
        <f t="shared" si="4"/>
        <v>48.349796475098813</v>
      </c>
      <c r="U18" s="214">
        <f t="shared" si="5"/>
        <v>29.009877885059286</v>
      </c>
      <c r="V18" s="213">
        <f t="shared" si="6"/>
        <v>19.339918590039527</v>
      </c>
    </row>
    <row r="19" spans="1:22" ht="12.75" customHeight="1" x14ac:dyDescent="0.25"/>
    <row r="20" spans="1:22" x14ac:dyDescent="0.25">
      <c r="Q20" s="5" t="s">
        <v>366</v>
      </c>
    </row>
    <row r="21" spans="1:22" ht="14.4" x14ac:dyDescent="0.3">
      <c r="A21"/>
      <c r="B21"/>
      <c r="Q21" s="5" t="s">
        <v>367</v>
      </c>
    </row>
    <row r="22" spans="1:22" ht="14.4" x14ac:dyDescent="0.3">
      <c r="A22"/>
      <c r="B22"/>
    </row>
    <row r="23" spans="1:22" ht="14.4" x14ac:dyDescent="0.3">
      <c r="A23"/>
      <c r="B23"/>
    </row>
    <row r="24" spans="1:22" ht="14.4" x14ac:dyDescent="0.3">
      <c r="A24"/>
      <c r="B24"/>
      <c r="O24"/>
      <c r="P24"/>
      <c r="Q24"/>
      <c r="R24"/>
      <c r="S24"/>
      <c r="T24"/>
      <c r="U24"/>
    </row>
    <row r="25" spans="1:22" customFormat="1" ht="14.4" x14ac:dyDescent="0.3"/>
    <row r="26" spans="1:22" ht="14.4" x14ac:dyDescent="0.3">
      <c r="A26"/>
      <c r="B26"/>
      <c r="O26"/>
      <c r="P26"/>
      <c r="Q26"/>
      <c r="R26"/>
      <c r="S26"/>
      <c r="T26"/>
      <c r="U26"/>
    </row>
    <row r="27" spans="1:22" ht="14.4" x14ac:dyDescent="0.3">
      <c r="A27"/>
      <c r="B27"/>
      <c r="O27"/>
      <c r="P27"/>
      <c r="Q27"/>
      <c r="R27"/>
      <c r="S27"/>
      <c r="T27"/>
      <c r="U27"/>
    </row>
    <row r="28" spans="1:22" ht="14.4" x14ac:dyDescent="0.3">
      <c r="A28"/>
      <c r="B28"/>
      <c r="O28"/>
      <c r="P28"/>
      <c r="Q28"/>
      <c r="R28"/>
      <c r="S28"/>
      <c r="T28"/>
      <c r="U28"/>
    </row>
    <row r="29" spans="1:22" ht="14.4" x14ac:dyDescent="0.3">
      <c r="A29"/>
      <c r="B29"/>
      <c r="O29"/>
      <c r="P29"/>
      <c r="Q29"/>
      <c r="R29"/>
      <c r="S29"/>
      <c r="T29"/>
      <c r="U29"/>
    </row>
    <row r="30" spans="1:22" ht="14.4" x14ac:dyDescent="0.3">
      <c r="A30"/>
      <c r="B30"/>
      <c r="O30"/>
      <c r="P30"/>
      <c r="Q30"/>
      <c r="R30"/>
      <c r="S30"/>
      <c r="T30"/>
      <c r="U30"/>
    </row>
    <row r="31" spans="1:22" ht="14.4" x14ac:dyDescent="0.3">
      <c r="A31"/>
      <c r="B31"/>
      <c r="O31"/>
      <c r="P31"/>
      <c r="Q31"/>
      <c r="R31"/>
      <c r="S31"/>
      <c r="T31"/>
      <c r="U31"/>
    </row>
    <row r="32" spans="1:22"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N3:N18"/>
    <mergeCell ref="A1:L1"/>
    <mergeCell ref="N1:V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50"/>
  <sheetViews>
    <sheetView topLeftCell="C1" zoomScaleNormal="100" workbookViewId="0">
      <selection activeCell="F9" sqref="F9"/>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9" ht="28.95" customHeight="1" x14ac:dyDescent="0.3">
      <c r="A1" s="436" t="str">
        <f>"% of Floor Area per CZ and Vintage Bin - Schools"</f>
        <v>% of Floor Area per CZ and Vintage Bin - Schools</v>
      </c>
      <c r="B1" s="436"/>
      <c r="C1" s="436"/>
      <c r="D1" s="436"/>
      <c r="E1" s="436"/>
      <c r="F1" s="436"/>
      <c r="G1" s="436"/>
      <c r="J1" s="527" t="str">
        <f>"% of floor area per CZ and vintage bin - School"</f>
        <v>% of floor area per CZ and vintage bin - School</v>
      </c>
      <c r="K1" s="527"/>
      <c r="L1" s="527"/>
      <c r="M1" s="527"/>
      <c r="N1" s="527"/>
      <c r="O1" s="527"/>
      <c r="P1" s="527"/>
      <c r="Q1" s="527"/>
      <c r="R1" s="527"/>
      <c r="S1" s="527"/>
      <c r="T1" s="527"/>
      <c r="U1" s="527"/>
      <c r="V1" s="527"/>
      <c r="W1" s="527"/>
      <c r="X1" s="527"/>
      <c r="Y1" s="527"/>
      <c r="Z1" s="527"/>
      <c r="AA1" s="527"/>
      <c r="AB1"/>
      <c r="AC1"/>
    </row>
    <row r="2" spans="1:29" ht="21" customHeight="1" x14ac:dyDescent="0.3">
      <c r="A2" s="539" t="s">
        <v>88</v>
      </c>
      <c r="B2" s="539" t="s">
        <v>348</v>
      </c>
      <c r="C2" s="536" t="s">
        <v>368</v>
      </c>
      <c r="D2" s="537"/>
      <c r="E2" s="537"/>
      <c r="F2" s="537"/>
      <c r="G2" s="538"/>
      <c r="J2" s="528" t="s">
        <v>88</v>
      </c>
      <c r="K2" s="528" t="s">
        <v>368</v>
      </c>
      <c r="L2" s="530" t="s">
        <v>348</v>
      </c>
      <c r="M2" s="531"/>
      <c r="N2" s="531"/>
      <c r="O2" s="531"/>
      <c r="P2" s="531"/>
      <c r="Q2" s="531"/>
      <c r="R2" s="531"/>
      <c r="S2" s="531"/>
      <c r="T2" s="531"/>
      <c r="U2" s="531"/>
      <c r="V2" s="531"/>
      <c r="W2" s="531"/>
      <c r="X2" s="531"/>
      <c r="Y2" s="531"/>
      <c r="Z2" s="531"/>
      <c r="AA2" s="531"/>
      <c r="AB2"/>
      <c r="AC2"/>
    </row>
    <row r="3" spans="1:29" ht="21" customHeight="1" x14ac:dyDescent="0.3">
      <c r="A3" s="540"/>
      <c r="B3" s="540"/>
      <c r="C3" s="206" t="s">
        <v>369</v>
      </c>
      <c r="D3" s="206" t="s">
        <v>117</v>
      </c>
      <c r="E3" s="206" t="s">
        <v>119</v>
      </c>
      <c r="F3" s="206" t="s">
        <v>121</v>
      </c>
      <c r="G3" s="206" t="s">
        <v>370</v>
      </c>
      <c r="J3" s="529"/>
      <c r="K3" s="529"/>
      <c r="L3" s="67">
        <v>1</v>
      </c>
      <c r="M3" s="67">
        <v>2</v>
      </c>
      <c r="N3" s="67">
        <v>3</v>
      </c>
      <c r="O3" s="67">
        <v>4</v>
      </c>
      <c r="P3" s="67">
        <v>5</v>
      </c>
      <c r="Q3" s="67">
        <v>6</v>
      </c>
      <c r="R3" s="67">
        <v>7</v>
      </c>
      <c r="S3" s="67">
        <v>8</v>
      </c>
      <c r="T3" s="67">
        <v>9</v>
      </c>
      <c r="U3" s="67">
        <v>10</v>
      </c>
      <c r="V3" s="67">
        <v>11</v>
      </c>
      <c r="W3" s="67">
        <v>12</v>
      </c>
      <c r="X3" s="67">
        <v>13</v>
      </c>
      <c r="Y3" s="67">
        <v>14</v>
      </c>
      <c r="Z3" s="67">
        <v>15</v>
      </c>
      <c r="AA3" s="67">
        <v>16</v>
      </c>
      <c r="AB3"/>
      <c r="AC3"/>
    </row>
    <row r="4" spans="1:29" ht="16.95" customHeight="1" x14ac:dyDescent="0.3">
      <c r="A4" s="534" t="s">
        <v>371</v>
      </c>
      <c r="B4" s="83">
        <v>1</v>
      </c>
      <c r="C4" s="205">
        <v>0.5614751</v>
      </c>
      <c r="D4" s="205">
        <v>0.31697930000000002</v>
      </c>
      <c r="E4" s="205">
        <v>8.7921799999999994E-2</v>
      </c>
      <c r="F4" s="205">
        <v>3.3623800000000002E-2</v>
      </c>
      <c r="G4" s="49"/>
      <c r="H4" s="55">
        <f>SUM(C4:F4)</f>
        <v>1</v>
      </c>
      <c r="J4" s="532" t="s">
        <v>371</v>
      </c>
      <c r="K4" s="332" t="s">
        <v>369</v>
      </c>
      <c r="L4" s="333">
        <v>8.9770000000000006E-3</v>
      </c>
      <c r="M4" s="333">
        <v>2.1094000000000002E-2</v>
      </c>
      <c r="N4" s="333">
        <v>7.2234999999999994E-2</v>
      </c>
      <c r="O4" s="333">
        <v>3.7624999999999999E-2</v>
      </c>
      <c r="P4" s="333">
        <v>6.8019999999999999E-3</v>
      </c>
      <c r="Q4" s="333">
        <v>8.4541000000000005E-2</v>
      </c>
      <c r="R4" s="333">
        <v>2.215E-2</v>
      </c>
      <c r="S4" s="333">
        <v>0.138845</v>
      </c>
      <c r="T4" s="333">
        <v>0.21124399999999999</v>
      </c>
      <c r="U4" s="333">
        <v>6.6480999999999998E-2</v>
      </c>
      <c r="V4" s="333">
        <v>3.8748999999999999E-2</v>
      </c>
      <c r="W4" s="333">
        <v>0.115342</v>
      </c>
      <c r="X4" s="333">
        <v>3.6419E-2</v>
      </c>
      <c r="Y4" s="333">
        <v>2.6537999999999999E-2</v>
      </c>
      <c r="Z4" s="333">
        <v>2.4347000000000001E-2</v>
      </c>
      <c r="AA4" s="333">
        <v>8.8610999999999995E-2</v>
      </c>
      <c r="AB4"/>
      <c r="AC4"/>
    </row>
    <row r="5" spans="1:29" ht="16.95" customHeight="1" x14ac:dyDescent="0.3">
      <c r="A5" s="535"/>
      <c r="B5" s="32">
        <v>2</v>
      </c>
      <c r="C5" s="33">
        <v>0.87573939999999995</v>
      </c>
      <c r="D5" s="33">
        <v>7.1794999999999998E-2</v>
      </c>
      <c r="E5" s="33">
        <v>3.8399200000000001E-2</v>
      </c>
      <c r="F5" s="33">
        <v>1.40663E-2</v>
      </c>
      <c r="G5" s="43"/>
      <c r="H5" s="55">
        <f t="shared" ref="H5:H19" si="0">SUM(C5:F5)</f>
        <v>0.99999989999999983</v>
      </c>
      <c r="J5" s="532"/>
      <c r="K5" s="332" t="s">
        <v>117</v>
      </c>
      <c r="L5" s="333">
        <v>1.1899E-2</v>
      </c>
      <c r="M5" s="333">
        <v>4.0600000000000002E-3</v>
      </c>
      <c r="N5" s="333">
        <v>5.3679999999999999E-2</v>
      </c>
      <c r="O5" s="333">
        <v>2.3209E-2</v>
      </c>
      <c r="P5" s="333">
        <v>1.2539E-2</v>
      </c>
      <c r="Q5" s="333">
        <v>4.1864999999999999E-2</v>
      </c>
      <c r="R5" s="333">
        <v>4.4692000000000003E-2</v>
      </c>
      <c r="S5" s="333">
        <v>6.1343000000000002E-2</v>
      </c>
      <c r="T5" s="333">
        <v>0.12493700000000001</v>
      </c>
      <c r="U5" s="333">
        <v>9.5931000000000002E-2</v>
      </c>
      <c r="V5" s="333">
        <v>5.8408000000000002E-2</v>
      </c>
      <c r="W5" s="333">
        <v>0.18781</v>
      </c>
      <c r="X5" s="333">
        <v>9.1875999999999999E-2</v>
      </c>
      <c r="Y5" s="333">
        <v>2.1377E-2</v>
      </c>
      <c r="Z5" s="333">
        <v>5.7022000000000003E-2</v>
      </c>
      <c r="AA5" s="333">
        <v>0.109352</v>
      </c>
      <c r="AB5"/>
      <c r="AC5"/>
    </row>
    <row r="6" spans="1:29" ht="16.95" customHeight="1" x14ac:dyDescent="0.3">
      <c r="A6" s="535"/>
      <c r="B6" s="32">
        <v>3</v>
      </c>
      <c r="C6" s="33">
        <v>0.74164269999999999</v>
      </c>
      <c r="D6" s="33">
        <v>0.23473820000000001</v>
      </c>
      <c r="E6" s="33">
        <v>1.64353E-2</v>
      </c>
      <c r="F6" s="33">
        <v>7.1837000000000003E-3</v>
      </c>
      <c r="G6" s="43"/>
      <c r="H6" s="55">
        <f t="shared" si="0"/>
        <v>0.99999990000000005</v>
      </c>
      <c r="J6" s="532"/>
      <c r="K6" s="332" t="s">
        <v>119</v>
      </c>
      <c r="L6" s="333">
        <v>4.9569999999999996E-3</v>
      </c>
      <c r="M6" s="333">
        <v>3.2620000000000001E-3</v>
      </c>
      <c r="N6" s="333">
        <v>5.6449999999999998E-3</v>
      </c>
      <c r="O6" s="333">
        <v>1.7539999999999999E-3</v>
      </c>
      <c r="P6" s="333">
        <v>1.078E-3</v>
      </c>
      <c r="Q6" s="333">
        <v>4.6588999999999998E-2</v>
      </c>
      <c r="R6" s="333">
        <v>5.1164000000000001E-2</v>
      </c>
      <c r="S6" s="333">
        <v>7.5403999999999999E-2</v>
      </c>
      <c r="T6" s="333">
        <v>9.1660000000000005E-2</v>
      </c>
      <c r="U6" s="333">
        <v>0.22739899999999999</v>
      </c>
      <c r="V6" s="333">
        <v>2.0951000000000001E-2</v>
      </c>
      <c r="W6" s="333">
        <v>8.7443000000000007E-2</v>
      </c>
      <c r="X6" s="333">
        <v>5.4568999999999999E-2</v>
      </c>
      <c r="Y6" s="333">
        <v>2.5505E-2</v>
      </c>
      <c r="Z6" s="333">
        <v>0.21378</v>
      </c>
      <c r="AA6" s="333">
        <v>8.8840000000000002E-2</v>
      </c>
      <c r="AB6"/>
      <c r="AC6"/>
    </row>
    <row r="7" spans="1:29" ht="16.95" customHeight="1" x14ac:dyDescent="0.3">
      <c r="A7" s="535"/>
      <c r="B7" s="32">
        <v>4</v>
      </c>
      <c r="C7" s="33">
        <v>0.77838629999999998</v>
      </c>
      <c r="D7" s="33">
        <v>0.2044994</v>
      </c>
      <c r="E7" s="33">
        <v>1.02904E-2</v>
      </c>
      <c r="F7" s="33">
        <v>6.8238999999999999E-3</v>
      </c>
      <c r="G7" s="43"/>
      <c r="H7" s="55">
        <f t="shared" si="0"/>
        <v>1</v>
      </c>
      <c r="J7" s="532"/>
      <c r="K7" s="332" t="s">
        <v>121</v>
      </c>
      <c r="L7" s="333">
        <v>5.0029999999999996E-3</v>
      </c>
      <c r="M7" s="333">
        <v>3.153E-3</v>
      </c>
      <c r="N7" s="333">
        <v>6.5120000000000004E-3</v>
      </c>
      <c r="O7" s="333">
        <v>3.0699999999999998E-3</v>
      </c>
      <c r="P7" s="333">
        <v>9.1E-4</v>
      </c>
      <c r="Q7" s="333">
        <v>5.2359999999999997E-2</v>
      </c>
      <c r="R7" s="333">
        <v>0.16821</v>
      </c>
      <c r="S7" s="333">
        <v>6.9444000000000006E-2</v>
      </c>
      <c r="T7" s="333">
        <v>6.6328999999999999E-2</v>
      </c>
      <c r="U7" s="333">
        <v>0.20932799999999999</v>
      </c>
      <c r="V7" s="333">
        <v>1.2806E-2</v>
      </c>
      <c r="W7" s="333">
        <v>6.7005999999999996E-2</v>
      </c>
      <c r="X7" s="333">
        <v>6.4526E-2</v>
      </c>
      <c r="Y7" s="333">
        <v>4.6051000000000002E-2</v>
      </c>
      <c r="Z7" s="333">
        <v>5.2484000000000003E-2</v>
      </c>
      <c r="AA7" s="333">
        <v>0.17280699999999999</v>
      </c>
      <c r="AB7"/>
      <c r="AC7"/>
    </row>
    <row r="8" spans="1:29" ht="16.95" customHeight="1" x14ac:dyDescent="0.3">
      <c r="A8" s="535"/>
      <c r="B8" s="32">
        <v>5</v>
      </c>
      <c r="C8" s="33">
        <v>0.54217349999999997</v>
      </c>
      <c r="D8" s="33">
        <v>0.42567199999999999</v>
      </c>
      <c r="E8" s="33">
        <v>2.4365700000000001E-2</v>
      </c>
      <c r="F8" s="33">
        <v>7.7888000000000002E-3</v>
      </c>
      <c r="G8" s="43"/>
      <c r="H8" s="55">
        <f t="shared" si="0"/>
        <v>1</v>
      </c>
      <c r="J8" s="532"/>
      <c r="K8" s="332"/>
      <c r="L8" s="334"/>
      <c r="M8" s="334"/>
      <c r="N8" s="334"/>
      <c r="O8" s="334"/>
      <c r="P8" s="334"/>
      <c r="Q8" s="334"/>
      <c r="R8" s="334"/>
      <c r="S8" s="334"/>
      <c r="T8" s="334"/>
      <c r="U8" s="334"/>
      <c r="V8" s="334"/>
      <c r="W8" s="334"/>
      <c r="X8" s="334"/>
      <c r="Y8" s="334"/>
      <c r="Z8" s="334"/>
      <c r="AA8" s="334"/>
      <c r="AB8"/>
      <c r="AC8"/>
    </row>
    <row r="9" spans="1:29" ht="16.95" customHeight="1" x14ac:dyDescent="0.3">
      <c r="A9" s="535"/>
      <c r="B9" s="32">
        <v>6</v>
      </c>
      <c r="C9" s="33">
        <v>0.69748379999999999</v>
      </c>
      <c r="D9" s="33">
        <v>0.14711109999999999</v>
      </c>
      <c r="E9" s="33">
        <v>0.1089907</v>
      </c>
      <c r="F9" s="33">
        <v>4.6414400000000001E-2</v>
      </c>
      <c r="G9" s="43"/>
      <c r="H9" s="55">
        <f t="shared" si="0"/>
        <v>0.99999999999999989</v>
      </c>
      <c r="J9" s="532"/>
      <c r="K9" s="332" t="s">
        <v>242</v>
      </c>
      <c r="L9" s="333">
        <v>8.8000000000000005E-3</v>
      </c>
      <c r="M9" s="333">
        <v>1.3257E-2</v>
      </c>
      <c r="N9" s="333">
        <v>5.3607000000000002E-2</v>
      </c>
      <c r="O9" s="333">
        <v>2.6603999999999999E-2</v>
      </c>
      <c r="P9" s="333">
        <v>6.9049999999999997E-3</v>
      </c>
      <c r="Q9" s="333">
        <v>6.6711000000000006E-2</v>
      </c>
      <c r="R9" s="333">
        <v>4.0599999999999997E-2</v>
      </c>
      <c r="S9" s="333">
        <v>0.106672</v>
      </c>
      <c r="T9" s="333">
        <v>0.16378000000000001</v>
      </c>
      <c r="U9" s="333">
        <v>0.106945</v>
      </c>
      <c r="V9" s="333">
        <v>3.9045999999999997E-2</v>
      </c>
      <c r="W9" s="333">
        <v>0.12511700000000001</v>
      </c>
      <c r="X9" s="333">
        <v>5.3913999999999997E-2</v>
      </c>
      <c r="Y9" s="333">
        <v>2.6321000000000001E-2</v>
      </c>
      <c r="Z9" s="333">
        <v>6.3233999999999999E-2</v>
      </c>
      <c r="AA9" s="333">
        <v>9.8488000000000006E-2</v>
      </c>
      <c r="AB9"/>
      <c r="AC9"/>
    </row>
    <row r="10" spans="1:29" ht="16.95" customHeight="1" x14ac:dyDescent="0.3">
      <c r="A10" s="535"/>
      <c r="B10" s="32">
        <v>7</v>
      </c>
      <c r="C10" s="33">
        <v>0.30027799999999999</v>
      </c>
      <c r="D10" s="33">
        <v>0.25804440000000001</v>
      </c>
      <c r="E10" s="33">
        <v>0.1966736</v>
      </c>
      <c r="F10" s="33">
        <v>0.2450039</v>
      </c>
      <c r="G10" s="43"/>
      <c r="H10" s="55">
        <f t="shared" si="0"/>
        <v>0.99999989999999994</v>
      </c>
      <c r="J10"/>
      <c r="K10"/>
      <c r="L10"/>
      <c r="M10"/>
      <c r="N10"/>
      <c r="O10"/>
      <c r="P10"/>
      <c r="Q10"/>
      <c r="R10"/>
      <c r="S10"/>
      <c r="T10"/>
      <c r="U10"/>
      <c r="V10"/>
      <c r="W10"/>
      <c r="X10"/>
      <c r="Y10"/>
      <c r="Z10"/>
      <c r="AA10"/>
      <c r="AB10"/>
      <c r="AC10"/>
    </row>
    <row r="11" spans="1:29" ht="16.95" customHeight="1" x14ac:dyDescent="0.3">
      <c r="A11" s="535"/>
      <c r="B11" s="32">
        <v>8</v>
      </c>
      <c r="C11" s="33">
        <v>0.71638029999999997</v>
      </c>
      <c r="D11" s="33">
        <v>0.13480400000000001</v>
      </c>
      <c r="E11" s="33">
        <v>0.11031870000000001</v>
      </c>
      <c r="F11" s="33">
        <v>3.8497000000000003E-2</v>
      </c>
      <c r="G11" s="43"/>
      <c r="H11" s="55">
        <f t="shared" si="0"/>
        <v>1</v>
      </c>
      <c r="J11"/>
      <c r="K11"/>
      <c r="L11"/>
      <c r="M11"/>
      <c r="N11"/>
      <c r="O11"/>
      <c r="P11"/>
      <c r="Q11"/>
      <c r="R11"/>
      <c r="S11"/>
      <c r="T11"/>
      <c r="U11"/>
      <c r="V11"/>
      <c r="W11"/>
      <c r="X11"/>
      <c r="Y11"/>
      <c r="Z11"/>
      <c r="AA11"/>
      <c r="AB11"/>
      <c r="AC11"/>
    </row>
    <row r="12" spans="1:29" ht="16.95" customHeight="1" x14ac:dyDescent="0.25">
      <c r="A12" s="535"/>
      <c r="B12" s="32">
        <v>9</v>
      </c>
      <c r="C12" s="33">
        <v>0.70988580000000001</v>
      </c>
      <c r="D12" s="33">
        <v>0.1788227</v>
      </c>
      <c r="E12" s="33">
        <v>8.7342600000000006E-2</v>
      </c>
      <c r="F12" s="33">
        <v>2.3948899999999999E-2</v>
      </c>
      <c r="G12" s="43"/>
      <c r="H12" s="55">
        <f t="shared" si="0"/>
        <v>1</v>
      </c>
      <c r="J12" s="6"/>
      <c r="K12" s="53"/>
      <c r="L12" s="24"/>
      <c r="M12" s="24"/>
      <c r="N12" s="24"/>
      <c r="O12" s="24"/>
      <c r="P12" s="54"/>
    </row>
    <row r="13" spans="1:29" ht="16.95" customHeight="1" x14ac:dyDescent="0.25">
      <c r="A13" s="535"/>
      <c r="B13" s="32">
        <v>10</v>
      </c>
      <c r="C13" s="33">
        <v>0.3421363</v>
      </c>
      <c r="D13" s="33">
        <v>0.21027509999999999</v>
      </c>
      <c r="E13" s="33">
        <v>0.33184160000000001</v>
      </c>
      <c r="F13" s="33">
        <v>0.11574710000000001</v>
      </c>
      <c r="G13" s="43"/>
      <c r="H13" s="55">
        <f t="shared" si="0"/>
        <v>1.0000001000000001</v>
      </c>
      <c r="J13" s="6"/>
      <c r="K13" s="53"/>
      <c r="L13" s="24"/>
      <c r="M13" s="24"/>
      <c r="N13" s="24"/>
      <c r="O13" s="24"/>
      <c r="P13" s="54"/>
    </row>
    <row r="14" spans="1:29" ht="16.95" customHeight="1" x14ac:dyDescent="0.25">
      <c r="A14" s="535"/>
      <c r="B14" s="32">
        <v>11</v>
      </c>
      <c r="C14" s="33">
        <v>0.54620089999999999</v>
      </c>
      <c r="D14" s="33">
        <v>0.35066219999999998</v>
      </c>
      <c r="E14" s="33">
        <v>8.3741599999999999E-2</v>
      </c>
      <c r="F14" s="33">
        <v>1.9395200000000001E-2</v>
      </c>
      <c r="G14" s="43"/>
      <c r="H14" s="55">
        <f t="shared" si="0"/>
        <v>0.99999989999999994</v>
      </c>
      <c r="J14" s="6"/>
      <c r="K14" s="53"/>
      <c r="L14" s="24"/>
      <c r="M14" s="24"/>
      <c r="N14" s="24"/>
      <c r="O14" s="24"/>
      <c r="P14" s="54"/>
    </row>
    <row r="15" spans="1:29" ht="16.95" customHeight="1" x14ac:dyDescent="0.25">
      <c r="A15" s="535"/>
      <c r="B15" s="32">
        <v>12</v>
      </c>
      <c r="C15" s="33">
        <v>0.50738139999999998</v>
      </c>
      <c r="D15" s="33">
        <v>0.35187770000000002</v>
      </c>
      <c r="E15" s="33">
        <v>0.1090713</v>
      </c>
      <c r="F15" s="33">
        <v>3.1669599999999999E-2</v>
      </c>
      <c r="G15" s="43"/>
      <c r="H15" s="55">
        <f t="shared" si="0"/>
        <v>1</v>
      </c>
      <c r="J15" s="6"/>
      <c r="K15" s="53"/>
      <c r="L15" s="24"/>
      <c r="M15" s="24"/>
      <c r="N15" s="24"/>
      <c r="O15" s="24"/>
      <c r="P15" s="54"/>
    </row>
    <row r="16" spans="1:29" ht="16.95" customHeight="1" x14ac:dyDescent="0.25">
      <c r="A16" s="535"/>
      <c r="B16" s="32">
        <v>13</v>
      </c>
      <c r="C16" s="33">
        <v>0.3717839</v>
      </c>
      <c r="D16" s="33">
        <v>0.39948040000000001</v>
      </c>
      <c r="E16" s="33">
        <v>0.15796060000000001</v>
      </c>
      <c r="F16" s="33">
        <v>7.0775099999999994E-2</v>
      </c>
      <c r="G16" s="43"/>
      <c r="H16" s="55">
        <f t="shared" si="0"/>
        <v>1</v>
      </c>
      <c r="J16" s="6"/>
      <c r="K16" s="53"/>
      <c r="L16" s="24"/>
      <c r="M16" s="24"/>
      <c r="N16" s="24"/>
      <c r="O16" s="24"/>
      <c r="P16" s="54"/>
    </row>
    <row r="17" spans="1:16" ht="16.95" customHeight="1" x14ac:dyDescent="0.25">
      <c r="A17" s="535"/>
      <c r="B17" s="32">
        <v>14</v>
      </c>
      <c r="C17" s="33">
        <v>0.55492209999999997</v>
      </c>
      <c r="D17" s="33">
        <v>0.19039139999999999</v>
      </c>
      <c r="E17" s="33">
        <v>0.15122469999999999</v>
      </c>
      <c r="F17" s="33">
        <v>0.10346180000000001</v>
      </c>
      <c r="G17" s="43"/>
      <c r="H17" s="55">
        <f t="shared" si="0"/>
        <v>1</v>
      </c>
      <c r="J17" s="6"/>
      <c r="K17" s="53"/>
      <c r="L17" s="24"/>
      <c r="M17" s="24"/>
      <c r="N17" s="24"/>
      <c r="O17" s="24"/>
      <c r="P17" s="54"/>
    </row>
    <row r="18" spans="1:16" ht="16.95" customHeight="1" x14ac:dyDescent="0.25">
      <c r="A18" s="535"/>
      <c r="B18" s="32">
        <v>15</v>
      </c>
      <c r="C18" s="33">
        <v>0.2119104</v>
      </c>
      <c r="D18" s="33">
        <v>0.21138850000000001</v>
      </c>
      <c r="E18" s="33">
        <v>0.52761959999999997</v>
      </c>
      <c r="F18" s="33">
        <v>4.9081399999999997E-2</v>
      </c>
      <c r="G18" s="43"/>
      <c r="H18" s="55">
        <f t="shared" si="0"/>
        <v>0.99999989999999994</v>
      </c>
      <c r="J18" s="6"/>
      <c r="K18" s="53"/>
      <c r="L18" s="24"/>
      <c r="M18" s="24"/>
      <c r="N18" s="24"/>
      <c r="O18" s="24"/>
      <c r="P18" s="54"/>
    </row>
    <row r="19" spans="1:16" ht="16.95" customHeight="1" x14ac:dyDescent="0.25">
      <c r="A19" s="535"/>
      <c r="B19" s="32">
        <v>16</v>
      </c>
      <c r="C19" s="43">
        <v>0.49518800000000002</v>
      </c>
      <c r="D19" s="43">
        <v>0.26027650000000002</v>
      </c>
      <c r="E19" s="43">
        <v>0.1407766</v>
      </c>
      <c r="F19" s="43">
        <v>0.1037589</v>
      </c>
      <c r="G19" s="43"/>
      <c r="H19" s="55">
        <f t="shared" si="0"/>
        <v>1</v>
      </c>
      <c r="J19" s="6"/>
      <c r="K19" s="53"/>
      <c r="L19" s="24"/>
      <c r="M19" s="24"/>
      <c r="N19" s="24"/>
      <c r="O19" s="24"/>
      <c r="P19" s="54"/>
    </row>
    <row r="20" spans="1:16" x14ac:dyDescent="0.25">
      <c r="A20" s="535"/>
      <c r="B20" s="43" t="s">
        <v>372</v>
      </c>
      <c r="C20" s="43">
        <v>0.55038240000000005</v>
      </c>
      <c r="D20" s="43">
        <v>0.23441790000000001</v>
      </c>
      <c r="E20" s="43">
        <v>0.1560647</v>
      </c>
      <c r="F20" s="43">
        <v>5.9135E-2</v>
      </c>
      <c r="G20" s="43"/>
      <c r="H20" s="55">
        <f>SUM(C20:F20)</f>
        <v>1</v>
      </c>
    </row>
    <row r="21" spans="1:16" x14ac:dyDescent="0.25">
      <c r="H21" s="55"/>
    </row>
    <row r="22" spans="1:16" x14ac:dyDescent="0.25">
      <c r="A22" s="5" t="s">
        <v>373</v>
      </c>
    </row>
    <row r="25" spans="1:16" s="18" customFormat="1" hidden="1" x14ac:dyDescent="0.25">
      <c r="A25" s="18" t="s">
        <v>86</v>
      </c>
      <c r="E25" s="19"/>
      <c r="F25" s="20"/>
      <c r="G25" s="21"/>
    </row>
    <row r="30" spans="1:16" x14ac:dyDescent="0.25">
      <c r="B30" s="533"/>
      <c r="C30" s="533"/>
      <c r="D30" s="533"/>
      <c r="E30" s="533"/>
      <c r="F30" s="533"/>
      <c r="G30" s="533"/>
    </row>
    <row r="31" spans="1:16" x14ac:dyDescent="0.25">
      <c r="B31" s="533"/>
      <c r="C31" s="360"/>
      <c r="D31" s="360"/>
      <c r="E31" s="360"/>
      <c r="F31" s="360"/>
      <c r="G31" s="360"/>
    </row>
    <row r="32" spans="1:16" x14ac:dyDescent="0.25">
      <c r="B32" s="53"/>
      <c r="C32" s="24"/>
      <c r="D32" s="24"/>
      <c r="E32" s="24"/>
      <c r="F32" s="24"/>
      <c r="G32" s="54"/>
      <c r="H32" s="55"/>
      <c r="J32" s="331"/>
      <c r="K32" s="331"/>
      <c r="L32" s="331"/>
      <c r="M32" s="331"/>
    </row>
    <row r="33" spans="2:20" x14ac:dyDescent="0.25">
      <c r="B33" s="53"/>
      <c r="C33" s="24"/>
      <c r="D33" s="24"/>
      <c r="E33" s="24"/>
      <c r="F33" s="24"/>
      <c r="G33" s="54"/>
      <c r="H33" s="55"/>
      <c r="J33" s="331"/>
      <c r="K33" s="331"/>
      <c r="L33" s="331"/>
      <c r="M33" s="331"/>
    </row>
    <row r="34" spans="2:20" ht="14.4" x14ac:dyDescent="0.25">
      <c r="B34" s="53"/>
      <c r="C34" s="24"/>
      <c r="D34" s="24"/>
      <c r="E34" s="24"/>
      <c r="F34" s="24"/>
      <c r="G34" s="54"/>
      <c r="H34" s="55"/>
      <c r="J34" s="331"/>
      <c r="K34" s="331"/>
      <c r="L34" s="331"/>
      <c r="M34" s="331"/>
      <c r="O34" s="207"/>
      <c r="P34" s="207"/>
      <c r="Q34" s="207"/>
      <c r="R34" s="207"/>
      <c r="S34" s="207"/>
      <c r="T34" s="207"/>
    </row>
    <row r="35" spans="2:20" ht="14.4" x14ac:dyDescent="0.25">
      <c r="B35" s="53"/>
      <c r="C35" s="24"/>
      <c r="D35" s="24"/>
      <c r="E35" s="24"/>
      <c r="F35" s="24"/>
      <c r="G35" s="54"/>
      <c r="H35" s="55"/>
      <c r="J35" s="331"/>
      <c r="K35" s="331"/>
      <c r="L35" s="331"/>
      <c r="M35" s="331"/>
      <c r="O35" s="207"/>
      <c r="P35" s="208"/>
      <c r="Q35" s="208"/>
      <c r="R35" s="208"/>
      <c r="S35" s="208"/>
      <c r="T35" s="208"/>
    </row>
    <row r="36" spans="2:20" ht="14.4" x14ac:dyDescent="0.25">
      <c r="B36" s="53"/>
      <c r="C36" s="24"/>
      <c r="D36" s="24"/>
      <c r="E36" s="24"/>
      <c r="F36" s="24"/>
      <c r="G36" s="54"/>
      <c r="H36" s="55"/>
      <c r="J36" s="331"/>
      <c r="K36" s="331"/>
      <c r="L36" s="331"/>
      <c r="M36" s="331"/>
      <c r="O36" s="207"/>
      <c r="P36" s="208"/>
      <c r="Q36" s="208"/>
      <c r="R36" s="208"/>
      <c r="S36" s="208"/>
      <c r="T36" s="208"/>
    </row>
    <row r="37" spans="2:20" ht="14.4" x14ac:dyDescent="0.25">
      <c r="B37" s="53"/>
      <c r="C37" s="24"/>
      <c r="D37" s="24"/>
      <c r="E37" s="24"/>
      <c r="F37" s="24"/>
      <c r="G37" s="54"/>
      <c r="H37" s="55"/>
      <c r="J37" s="331"/>
      <c r="K37" s="331"/>
      <c r="L37" s="331"/>
      <c r="M37" s="331"/>
      <c r="O37" s="207"/>
      <c r="P37" s="208"/>
      <c r="Q37" s="208"/>
      <c r="R37" s="208"/>
      <c r="S37" s="208"/>
      <c r="T37" s="208"/>
    </row>
    <row r="38" spans="2:20" ht="14.4" x14ac:dyDescent="0.25">
      <c r="B38" s="53"/>
      <c r="C38" s="24"/>
      <c r="D38" s="24"/>
      <c r="E38" s="24"/>
      <c r="F38" s="24"/>
      <c r="G38" s="54"/>
      <c r="H38" s="55"/>
      <c r="J38" s="331"/>
      <c r="K38" s="331"/>
      <c r="L38" s="331"/>
      <c r="M38" s="331"/>
      <c r="O38" s="207"/>
      <c r="P38" s="208"/>
      <c r="Q38" s="208"/>
      <c r="R38" s="208"/>
      <c r="S38" s="208"/>
      <c r="T38" s="208"/>
    </row>
    <row r="39" spans="2:20" ht="14.4" x14ac:dyDescent="0.25">
      <c r="B39" s="53"/>
      <c r="C39" s="24"/>
      <c r="D39" s="24"/>
      <c r="E39" s="24"/>
      <c r="F39" s="24"/>
      <c r="G39" s="54"/>
      <c r="H39" s="55"/>
      <c r="J39" s="331"/>
      <c r="K39" s="331"/>
      <c r="L39" s="331"/>
      <c r="M39" s="331"/>
      <c r="O39" s="207"/>
      <c r="P39" s="208"/>
      <c r="Q39" s="208"/>
      <c r="R39" s="208"/>
      <c r="S39" s="208"/>
      <c r="T39" s="208"/>
    </row>
    <row r="40" spans="2:20" ht="14.4" x14ac:dyDescent="0.25">
      <c r="B40" s="53"/>
      <c r="C40" s="24"/>
      <c r="D40" s="24"/>
      <c r="E40" s="24"/>
      <c r="F40" s="24"/>
      <c r="G40" s="54"/>
      <c r="H40" s="55"/>
      <c r="J40" s="331"/>
      <c r="K40" s="331"/>
      <c r="L40" s="331"/>
      <c r="M40" s="331"/>
      <c r="O40" s="207"/>
      <c r="P40" s="208"/>
      <c r="Q40" s="208"/>
      <c r="R40" s="208"/>
      <c r="S40" s="208"/>
      <c r="T40" s="208"/>
    </row>
    <row r="41" spans="2:20" ht="14.4" x14ac:dyDescent="0.25">
      <c r="B41" s="53"/>
      <c r="C41" s="24"/>
      <c r="D41" s="24"/>
      <c r="E41" s="24"/>
      <c r="F41" s="24"/>
      <c r="G41" s="54"/>
      <c r="H41" s="55"/>
      <c r="J41" s="331"/>
      <c r="K41" s="331"/>
      <c r="L41" s="331"/>
      <c r="M41" s="331"/>
      <c r="O41" s="207"/>
      <c r="P41" s="208"/>
      <c r="Q41" s="208"/>
      <c r="R41" s="208"/>
      <c r="S41" s="208"/>
      <c r="T41" s="208"/>
    </row>
    <row r="42" spans="2:20" ht="14.4" x14ac:dyDescent="0.25">
      <c r="B42" s="53"/>
      <c r="C42" s="24"/>
      <c r="D42" s="24"/>
      <c r="E42" s="24"/>
      <c r="F42" s="24"/>
      <c r="G42" s="54"/>
      <c r="H42" s="55"/>
      <c r="J42" s="331"/>
      <c r="K42" s="331"/>
      <c r="L42" s="331"/>
      <c r="M42" s="331"/>
      <c r="O42" s="207"/>
      <c r="P42" s="208"/>
      <c r="Q42" s="208"/>
      <c r="R42" s="208"/>
      <c r="S42" s="208"/>
      <c r="T42" s="208"/>
    </row>
    <row r="43" spans="2:20" ht="14.4" x14ac:dyDescent="0.25">
      <c r="B43" s="53"/>
      <c r="C43" s="24"/>
      <c r="D43" s="24"/>
      <c r="E43" s="24"/>
      <c r="F43" s="24"/>
      <c r="G43" s="54"/>
      <c r="H43" s="55"/>
      <c r="J43" s="331"/>
      <c r="K43" s="331"/>
      <c r="L43" s="331"/>
      <c r="M43" s="331"/>
      <c r="O43" s="207"/>
      <c r="P43" s="208"/>
      <c r="Q43" s="208"/>
      <c r="R43" s="208"/>
      <c r="S43" s="208"/>
      <c r="T43" s="208"/>
    </row>
    <row r="44" spans="2:20" ht="14.4" x14ac:dyDescent="0.25">
      <c r="B44" s="53"/>
      <c r="C44" s="24"/>
      <c r="D44" s="24"/>
      <c r="E44" s="24"/>
      <c r="F44" s="24"/>
      <c r="G44" s="54"/>
      <c r="H44" s="55"/>
      <c r="J44" s="331"/>
      <c r="K44" s="331"/>
      <c r="L44" s="331"/>
      <c r="M44" s="331"/>
      <c r="O44" s="207"/>
      <c r="P44" s="208"/>
      <c r="Q44" s="208"/>
      <c r="R44" s="208"/>
      <c r="S44" s="208"/>
      <c r="T44" s="208"/>
    </row>
    <row r="45" spans="2:20" ht="14.4" x14ac:dyDescent="0.25">
      <c r="B45" s="53"/>
      <c r="C45" s="24"/>
      <c r="D45" s="24"/>
      <c r="E45" s="24"/>
      <c r="F45" s="24"/>
      <c r="G45" s="54"/>
      <c r="H45" s="55"/>
      <c r="J45" s="331"/>
      <c r="K45" s="331"/>
      <c r="L45" s="331"/>
      <c r="M45" s="331"/>
      <c r="O45" s="207"/>
      <c r="P45" s="208"/>
      <c r="Q45" s="208"/>
      <c r="R45" s="208"/>
      <c r="S45" s="208"/>
      <c r="T45" s="208"/>
    </row>
    <row r="46" spans="2:20" ht="14.4" x14ac:dyDescent="0.25">
      <c r="B46" s="53"/>
      <c r="C46" s="24"/>
      <c r="D46" s="24"/>
      <c r="E46" s="24"/>
      <c r="F46" s="24"/>
      <c r="G46" s="54"/>
      <c r="H46" s="55"/>
      <c r="J46" s="331"/>
      <c r="K46" s="331"/>
      <c r="L46" s="331"/>
      <c r="M46" s="331"/>
      <c r="O46" s="207"/>
      <c r="P46" s="208"/>
      <c r="Q46" s="208"/>
      <c r="R46" s="208"/>
      <c r="S46" s="208"/>
      <c r="T46" s="208"/>
    </row>
    <row r="47" spans="2:20" ht="14.4" x14ac:dyDescent="0.25">
      <c r="B47" s="53"/>
      <c r="C47" s="54"/>
      <c r="D47" s="54"/>
      <c r="E47" s="54"/>
      <c r="F47" s="54"/>
      <c r="G47" s="54"/>
      <c r="H47" s="55"/>
      <c r="J47" s="331"/>
      <c r="K47" s="331"/>
      <c r="L47" s="331"/>
      <c r="M47" s="331"/>
      <c r="O47" s="207"/>
      <c r="P47" s="208"/>
      <c r="Q47" s="208"/>
      <c r="R47" s="208"/>
      <c r="S47" s="208"/>
      <c r="T47" s="208"/>
    </row>
    <row r="48" spans="2:20" ht="14.4" x14ac:dyDescent="0.25">
      <c r="B48" s="54"/>
      <c r="C48" s="54"/>
      <c r="D48" s="54"/>
      <c r="E48" s="54"/>
      <c r="F48" s="54"/>
      <c r="G48" s="54"/>
      <c r="J48" s="331"/>
      <c r="K48" s="331"/>
      <c r="L48" s="331"/>
      <c r="M48" s="331"/>
      <c r="O48" s="207"/>
      <c r="P48" s="208"/>
      <c r="Q48" s="208"/>
      <c r="R48" s="208"/>
      <c r="S48" s="208"/>
      <c r="T48" s="208"/>
    </row>
    <row r="49" spans="15:20" ht="14.4" x14ac:dyDescent="0.25">
      <c r="O49" s="207"/>
      <c r="P49" s="208"/>
      <c r="Q49" s="208"/>
      <c r="R49" s="208"/>
      <c r="S49" s="208"/>
      <c r="T49" s="208"/>
    </row>
    <row r="50" spans="15:20" ht="14.4" x14ac:dyDescent="0.25">
      <c r="O50" s="207"/>
      <c r="P50" s="208"/>
      <c r="Q50" s="208"/>
      <c r="R50" s="208"/>
      <c r="S50" s="208"/>
      <c r="T50" s="208"/>
    </row>
  </sheetData>
  <mergeCells count="12">
    <mergeCell ref="B30:B31"/>
    <mergeCell ref="C30:G30"/>
    <mergeCell ref="A4:A20"/>
    <mergeCell ref="C2:G2"/>
    <mergeCell ref="A1:G1"/>
    <mergeCell ref="B2:B3"/>
    <mergeCell ref="A2:A3"/>
    <mergeCell ref="J1:AA1"/>
    <mergeCell ref="J2:J3"/>
    <mergeCell ref="K2:K3"/>
    <mergeCell ref="L2:AA2"/>
    <mergeCell ref="J4:J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541" t="str">
        <f>"PV - "&amp;Prototype!A2</f>
        <v>PV - SchoolRelocatable</v>
      </c>
      <c r="B1" s="541"/>
      <c r="C1" s="541"/>
      <c r="D1" s="541"/>
      <c r="E1" s="541"/>
      <c r="F1" s="541"/>
      <c r="G1" s="541"/>
      <c r="H1" s="541"/>
      <c r="I1" s="541"/>
      <c r="J1" s="541"/>
    </row>
    <row r="2" spans="1:10" x14ac:dyDescent="0.3">
      <c r="A2" t="s">
        <v>374</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20.399999999999999" customHeight="1" x14ac:dyDescent="0.25">
      <c r="A1" s="414" t="str">
        <f>"EV Charger - "&amp;Prototype!A2</f>
        <v>EV Charger - SchoolRelocatable</v>
      </c>
      <c r="B1" s="414"/>
      <c r="C1" s="414"/>
      <c r="D1" s="414"/>
      <c r="E1" s="414"/>
      <c r="F1" s="414"/>
      <c r="G1" s="414"/>
      <c r="H1" s="414"/>
    </row>
    <row r="2" spans="1:8" ht="14.4" x14ac:dyDescent="0.3">
      <c r="A2" t="s">
        <v>374</v>
      </c>
      <c r="B2" s="39"/>
      <c r="C2" s="40"/>
      <c r="D2" s="41"/>
      <c r="E2" s="41"/>
    </row>
    <row r="3" spans="1:8" x14ac:dyDescent="0.25">
      <c r="A3" s="346"/>
      <c r="B3" s="130"/>
      <c r="C3" s="347"/>
      <c r="D3" s="42"/>
      <c r="E3" s="42"/>
    </row>
    <row r="11" spans="1:8" s="18" customFormat="1" hidden="1" x14ac:dyDescent="0.25">
      <c r="A11" s="18" t="s">
        <v>86</v>
      </c>
      <c r="E11" s="19"/>
      <c r="F11" s="20"/>
      <c r="G11" s="2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80"/>
  <sheetViews>
    <sheetView workbookViewId="0"/>
  </sheetViews>
  <sheetFormatPr defaultRowHeight="14.4" x14ac:dyDescent="0.3"/>
  <cols>
    <col min="1" max="1" width="55.6640625" bestFit="1" customWidth="1"/>
  </cols>
  <sheetData>
    <row r="1" spans="1:1" x14ac:dyDescent="0.3">
      <c r="A1" t="s">
        <v>375</v>
      </c>
    </row>
    <row r="2" spans="1:1" x14ac:dyDescent="0.3">
      <c r="A2" s="123" t="s">
        <v>376</v>
      </c>
    </row>
    <row r="3" spans="1:1" x14ac:dyDescent="0.3">
      <c r="A3" s="123" t="s">
        <v>377</v>
      </c>
    </row>
    <row r="4" spans="1:1" x14ac:dyDescent="0.3">
      <c r="A4" s="124" t="s">
        <v>378</v>
      </c>
    </row>
    <row r="5" spans="1:1" x14ac:dyDescent="0.3">
      <c r="A5" s="124" t="s">
        <v>379</v>
      </c>
    </row>
    <row r="6" spans="1:1" x14ac:dyDescent="0.3">
      <c r="A6" s="124" t="s">
        <v>380</v>
      </c>
    </row>
    <row r="7" spans="1:1" x14ac:dyDescent="0.3">
      <c r="A7" s="124" t="s">
        <v>381</v>
      </c>
    </row>
    <row r="8" spans="1:1" x14ac:dyDescent="0.3">
      <c r="A8" s="124" t="s">
        <v>382</v>
      </c>
    </row>
    <row r="9" spans="1:1" x14ac:dyDescent="0.3">
      <c r="A9" s="124" t="s">
        <v>383</v>
      </c>
    </row>
    <row r="10" spans="1:1" x14ac:dyDescent="0.3">
      <c r="A10" s="124" t="s">
        <v>384</v>
      </c>
    </row>
    <row r="11" spans="1:1" x14ac:dyDescent="0.3">
      <c r="A11" s="124" t="s">
        <v>385</v>
      </c>
    </row>
    <row r="12" spans="1:1" x14ac:dyDescent="0.3">
      <c r="A12" s="124" t="s">
        <v>386</v>
      </c>
    </row>
    <row r="13" spans="1:1" x14ac:dyDescent="0.3">
      <c r="A13" s="124" t="s">
        <v>387</v>
      </c>
    </row>
    <row r="14" spans="1:1" x14ac:dyDescent="0.3">
      <c r="A14" s="123" t="s">
        <v>388</v>
      </c>
    </row>
    <row r="15" spans="1:1" x14ac:dyDescent="0.3">
      <c r="A15" s="123" t="s">
        <v>74</v>
      </c>
    </row>
    <row r="16" spans="1:1" x14ac:dyDescent="0.3">
      <c r="A16" s="123" t="s">
        <v>389</v>
      </c>
    </row>
    <row r="17" spans="1:1" x14ac:dyDescent="0.3">
      <c r="A17" s="123" t="s">
        <v>390</v>
      </c>
    </row>
    <row r="18" spans="1:1" x14ac:dyDescent="0.3">
      <c r="A18" s="123" t="s">
        <v>391</v>
      </c>
    </row>
    <row r="19" spans="1:1" x14ac:dyDescent="0.3">
      <c r="A19" s="123" t="s">
        <v>392</v>
      </c>
    </row>
    <row r="20" spans="1:1" x14ac:dyDescent="0.3">
      <c r="A20" s="123" t="s">
        <v>393</v>
      </c>
    </row>
    <row r="21" spans="1:1" x14ac:dyDescent="0.3">
      <c r="A21" s="123" t="s">
        <v>394</v>
      </c>
    </row>
    <row r="22" spans="1:1" x14ac:dyDescent="0.3">
      <c r="A22" s="123" t="s">
        <v>395</v>
      </c>
    </row>
    <row r="23" spans="1:1" x14ac:dyDescent="0.3">
      <c r="A23" s="123" t="s">
        <v>396</v>
      </c>
    </row>
    <row r="24" spans="1:1" x14ac:dyDescent="0.3">
      <c r="A24" s="123" t="s">
        <v>397</v>
      </c>
    </row>
    <row r="25" spans="1:1" x14ac:dyDescent="0.3">
      <c r="A25" s="123" t="s">
        <v>398</v>
      </c>
    </row>
    <row r="26" spans="1:1" x14ac:dyDescent="0.3">
      <c r="A26" s="123" t="s">
        <v>399</v>
      </c>
    </row>
    <row r="27" spans="1:1" x14ac:dyDescent="0.3">
      <c r="A27" s="123" t="s">
        <v>400</v>
      </c>
    </row>
    <row r="28" spans="1:1" x14ac:dyDescent="0.3">
      <c r="A28" s="123" t="s">
        <v>401</v>
      </c>
    </row>
    <row r="29" spans="1:1" x14ac:dyDescent="0.3">
      <c r="A29" s="123" t="s">
        <v>402</v>
      </c>
    </row>
    <row r="30" spans="1:1" x14ac:dyDescent="0.3">
      <c r="A30" s="123" t="s">
        <v>403</v>
      </c>
    </row>
    <row r="31" spans="1:1" x14ac:dyDescent="0.3">
      <c r="A31" s="123" t="s">
        <v>404</v>
      </c>
    </row>
    <row r="32" spans="1:1" x14ac:dyDescent="0.3">
      <c r="A32" s="123" t="s">
        <v>405</v>
      </c>
    </row>
    <row r="33" spans="1:1" x14ac:dyDescent="0.3">
      <c r="A33" s="124" t="s">
        <v>406</v>
      </c>
    </row>
    <row r="34" spans="1:1" x14ac:dyDescent="0.3">
      <c r="A34" s="124" t="s">
        <v>407</v>
      </c>
    </row>
    <row r="35" spans="1:1" x14ac:dyDescent="0.3">
      <c r="A35" s="124" t="s">
        <v>408</v>
      </c>
    </row>
    <row r="36" spans="1:1" x14ac:dyDescent="0.3">
      <c r="A36" s="124" t="s">
        <v>409</v>
      </c>
    </row>
    <row r="37" spans="1:1" x14ac:dyDescent="0.3">
      <c r="A37" s="124" t="s">
        <v>410</v>
      </c>
    </row>
    <row r="38" spans="1:1" x14ac:dyDescent="0.3">
      <c r="A38" s="124" t="s">
        <v>411</v>
      </c>
    </row>
    <row r="39" spans="1:1" x14ac:dyDescent="0.3">
      <c r="A39" s="124" t="s">
        <v>412</v>
      </c>
    </row>
    <row r="40" spans="1:1" x14ac:dyDescent="0.3">
      <c r="A40" s="124" t="s">
        <v>413</v>
      </c>
    </row>
    <row r="41" spans="1:1" x14ac:dyDescent="0.3">
      <c r="A41" s="124" t="s">
        <v>414</v>
      </c>
    </row>
    <row r="42" spans="1:1" x14ac:dyDescent="0.3">
      <c r="A42" s="124" t="s">
        <v>415</v>
      </c>
    </row>
    <row r="43" spans="1:1" x14ac:dyDescent="0.3">
      <c r="A43" s="124" t="s">
        <v>416</v>
      </c>
    </row>
    <row r="44" spans="1:1" x14ac:dyDescent="0.3">
      <c r="A44" s="124" t="s">
        <v>417</v>
      </c>
    </row>
    <row r="45" spans="1:1" x14ac:dyDescent="0.3">
      <c r="A45" s="124" t="s">
        <v>418</v>
      </c>
    </row>
    <row r="46" spans="1:1" x14ac:dyDescent="0.3">
      <c r="A46" s="124" t="s">
        <v>419</v>
      </c>
    </row>
    <row r="47" spans="1:1" x14ac:dyDescent="0.3">
      <c r="A47" s="124" t="s">
        <v>420</v>
      </c>
    </row>
    <row r="48" spans="1:1" x14ac:dyDescent="0.3">
      <c r="A48" s="124" t="s">
        <v>421</v>
      </c>
    </row>
    <row r="49" spans="1:1" x14ac:dyDescent="0.3">
      <c r="A49" s="124" t="s">
        <v>422</v>
      </c>
    </row>
    <row r="50" spans="1:1" x14ac:dyDescent="0.3">
      <c r="A50" s="124" t="s">
        <v>423</v>
      </c>
    </row>
    <row r="51" spans="1:1" x14ac:dyDescent="0.3">
      <c r="A51" s="124" t="s">
        <v>424</v>
      </c>
    </row>
    <row r="52" spans="1:1" x14ac:dyDescent="0.3">
      <c r="A52" s="124" t="s">
        <v>425</v>
      </c>
    </row>
    <row r="53" spans="1:1" x14ac:dyDescent="0.3">
      <c r="A53" s="124" t="s">
        <v>426</v>
      </c>
    </row>
    <row r="54" spans="1:1" x14ac:dyDescent="0.3">
      <c r="A54" s="124" t="s">
        <v>427</v>
      </c>
    </row>
    <row r="55" spans="1:1" x14ac:dyDescent="0.3">
      <c r="A55" s="124" t="s">
        <v>428</v>
      </c>
    </row>
    <row r="56" spans="1:1" x14ac:dyDescent="0.3">
      <c r="A56" s="124" t="s">
        <v>429</v>
      </c>
    </row>
    <row r="57" spans="1:1" x14ac:dyDescent="0.3">
      <c r="A57" s="123" t="s">
        <v>430</v>
      </c>
    </row>
    <row r="58" spans="1:1" x14ac:dyDescent="0.3">
      <c r="A58" s="124" t="s">
        <v>431</v>
      </c>
    </row>
    <row r="59" spans="1:1" x14ac:dyDescent="0.3">
      <c r="A59" s="124" t="s">
        <v>432</v>
      </c>
    </row>
    <row r="60" spans="1:1" x14ac:dyDescent="0.3">
      <c r="A60" s="124" t="s">
        <v>433</v>
      </c>
    </row>
    <row r="61" spans="1:1" x14ac:dyDescent="0.3">
      <c r="A61" s="124" t="s">
        <v>434</v>
      </c>
    </row>
    <row r="62" spans="1:1" x14ac:dyDescent="0.3">
      <c r="A62" s="124" t="s">
        <v>435</v>
      </c>
    </row>
    <row r="63" spans="1:1" x14ac:dyDescent="0.3">
      <c r="A63" s="123" t="s">
        <v>436</v>
      </c>
    </row>
    <row r="64" spans="1:1" x14ac:dyDescent="0.3">
      <c r="A64" s="123" t="s">
        <v>437</v>
      </c>
    </row>
    <row r="65" spans="1:1" x14ac:dyDescent="0.3">
      <c r="A65" s="123" t="s">
        <v>438</v>
      </c>
    </row>
    <row r="66" spans="1:1" x14ac:dyDescent="0.3">
      <c r="A66" s="123" t="s">
        <v>439</v>
      </c>
    </row>
    <row r="67" spans="1:1" x14ac:dyDescent="0.3">
      <c r="A67" s="123" t="s">
        <v>440</v>
      </c>
    </row>
    <row r="68" spans="1:1" x14ac:dyDescent="0.3">
      <c r="A68" s="123" t="s">
        <v>441</v>
      </c>
    </row>
    <row r="69" spans="1:1" x14ac:dyDescent="0.3">
      <c r="A69" s="123" t="s">
        <v>442</v>
      </c>
    </row>
    <row r="70" spans="1:1" x14ac:dyDescent="0.3">
      <c r="A70" s="123" t="s">
        <v>443</v>
      </c>
    </row>
    <row r="71" spans="1:1" x14ac:dyDescent="0.3">
      <c r="A71" s="124" t="s">
        <v>444</v>
      </c>
    </row>
    <row r="72" spans="1:1" x14ac:dyDescent="0.3">
      <c r="A72" s="124" t="s">
        <v>445</v>
      </c>
    </row>
    <row r="73" spans="1:1" x14ac:dyDescent="0.3">
      <c r="A73" s="124" t="s">
        <v>446</v>
      </c>
    </row>
    <row r="74" spans="1:1" x14ac:dyDescent="0.3">
      <c r="A74" s="124" t="s">
        <v>447</v>
      </c>
    </row>
    <row r="75" spans="1:1" x14ac:dyDescent="0.3">
      <c r="A75" s="124" t="s">
        <v>448</v>
      </c>
    </row>
    <row r="76" spans="1:1" x14ac:dyDescent="0.3">
      <c r="A76" s="124" t="s">
        <v>449</v>
      </c>
    </row>
    <row r="77" spans="1:1" x14ac:dyDescent="0.3">
      <c r="A77" s="124" t="s">
        <v>450</v>
      </c>
    </row>
    <row r="78" spans="1:1" x14ac:dyDescent="0.3">
      <c r="A78" t="s">
        <v>451</v>
      </c>
    </row>
    <row r="79" spans="1:1" x14ac:dyDescent="0.3">
      <c r="A79" t="s">
        <v>452</v>
      </c>
    </row>
    <row r="80" spans="1:1" x14ac:dyDescent="0.3">
      <c r="A80"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B61BFC3E-883C-4B10-951C-D95A99E42F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2026-10-28T01:01:53Z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