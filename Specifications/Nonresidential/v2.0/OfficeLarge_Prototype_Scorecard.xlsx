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Cursor\Scorecards cleanup- dictation and Spelling\V2.0-10272026\"/>
    </mc:Choice>
  </mc:AlternateContent>
  <xr:revisionPtr revIDLastSave="0" documentId="13_ncr:1_{ECD0DBAC-8283-452C-80CB-D46F209354D8}" xr6:coauthVersionLast="47" xr6:coauthVersionMax="47" xr10:uidLastSave="{00000000-0000-0000-0000-000000000000}"/>
  <bookViews>
    <workbookView xWindow="-108" yWindow="-108" windowWidth="23256" windowHeight="13896" tabRatio="890" xr2:uid="{EAC23EE3-0CA0-4FF8-990D-9B21A59FA3E0}"/>
  </bookViews>
  <sheets>
    <sheet name="Notes" sheetId="23" r:id="rId1"/>
    <sheet name="Prototype" sheetId="2" r:id="rId2"/>
    <sheet name="Zones" sheetId="13" r:id="rId3"/>
    <sheet name="Envelope" sheetId="1" r:id="rId4"/>
    <sheet name="HVAC System" sheetId="14" r:id="rId5"/>
    <sheet name="Thermostat" sheetId="30" r:id="rId6"/>
    <sheet name="Ventilation" sheetId="18" r:id="rId7"/>
    <sheet name="Water Heater" sheetId="33" r:id="rId8"/>
    <sheet name="Interior Lights" sheetId="25" r:id="rId9"/>
    <sheet name="Ext Lighting" sheetId="9" r:id="rId10"/>
    <sheet name="Equipment" sheetId="29" r:id="rId11"/>
    <sheet name="Schedules" sheetId="28" r:id="rId12"/>
    <sheet name="Energy Usage" sheetId="20" r:id="rId13"/>
    <sheet name="Weights" sheetId="21" r:id="rId14"/>
    <sheet name="PV" sheetId="27" state="hidden" r:id="rId15"/>
    <sheet name="EV Charger" sheetId="22" state="hidden" r:id="rId16"/>
    <sheet name="Data" sheetId="31" state="hidden" r:id="rId17"/>
  </sheets>
  <definedNames>
    <definedName name="_xlnm._FilterDatabase" localSheetId="16" hidden="1">Data!$D$1:$G$1</definedName>
    <definedName name="_xlnm._FilterDatabase" localSheetId="11" hidden="1">Schedules!$A$1:$AC$84</definedName>
    <definedName name="_xlnm._FilterDatabase" localSheetId="7" hidden="1">'Water Heater'!$A$9:$AL$88</definedName>
    <definedName name="_xlnm._FilterDatabase" localSheetId="2" hidden="1">Zones!$A$1:$O$82</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c r="J4" i="1"/>
  <c r="K4" i="1"/>
  <c r="L4" i="1"/>
  <c r="M4" i="1"/>
  <c r="N4" i="1"/>
  <c r="O4" i="1"/>
  <c r="P4" i="1"/>
  <c r="Q4" i="1"/>
  <c r="R4" i="1"/>
  <c r="S4" i="1"/>
  <c r="T4" i="1"/>
  <c r="U4" i="1"/>
  <c r="V4" i="1"/>
  <c r="W4" i="1"/>
  <c r="X4" i="1"/>
  <c r="I4" i="1"/>
  <c r="H20" i="21"/>
  <c r="J1" i="21"/>
  <c r="AB4" i="21"/>
  <c r="AB5" i="21"/>
  <c r="AB6" i="21"/>
  <c r="AB7" i="21"/>
  <c r="AB9" i="21"/>
  <c r="J3" i="1"/>
  <c r="K3" i="1"/>
  <c r="L3" i="1"/>
  <c r="M3" i="1"/>
  <c r="N3" i="1"/>
  <c r="O3" i="1"/>
  <c r="P3" i="1"/>
  <c r="Q3" i="1"/>
  <c r="R3" i="1"/>
  <c r="S3" i="1"/>
  <c r="T3" i="1"/>
  <c r="U3" i="1"/>
  <c r="V3" i="1"/>
  <c r="W3" i="1"/>
  <c r="X3" i="1"/>
  <c r="I3" i="1"/>
  <c r="C13" i="25"/>
  <c r="F25" i="28"/>
  <c r="G66" i="28"/>
  <c r="H66" i="28"/>
  <c r="I66" i="28"/>
  <c r="J66" i="28"/>
  <c r="K66" i="28"/>
  <c r="L66" i="28"/>
  <c r="M66" i="28"/>
  <c r="N66" i="28"/>
  <c r="O66" i="28"/>
  <c r="P66" i="28"/>
  <c r="Q66" i="28"/>
  <c r="R66" i="28"/>
  <c r="S66" i="28"/>
  <c r="T66" i="28"/>
  <c r="U66" i="28"/>
  <c r="V66" i="28"/>
  <c r="W66" i="28"/>
  <c r="X66" i="28"/>
  <c r="Y66" i="28"/>
  <c r="Z66" i="28"/>
  <c r="AA66" i="28"/>
  <c r="AB66" i="28"/>
  <c r="AC66" i="28"/>
  <c r="G67" i="28"/>
  <c r="H67" i="28"/>
  <c r="I67" i="28"/>
  <c r="J67" i="28"/>
  <c r="K67" i="28"/>
  <c r="L67" i="28"/>
  <c r="M67" i="28"/>
  <c r="N67" i="28"/>
  <c r="O67" i="28"/>
  <c r="P67" i="28"/>
  <c r="Q67" i="28"/>
  <c r="R67" i="28"/>
  <c r="S67" i="28"/>
  <c r="T67" i="28"/>
  <c r="U67" i="28"/>
  <c r="V67" i="28"/>
  <c r="W67" i="28"/>
  <c r="X67" i="28"/>
  <c r="Y67" i="28"/>
  <c r="Z67" i="28"/>
  <c r="AA67" i="28"/>
  <c r="AB67" i="28"/>
  <c r="AC67" i="28"/>
  <c r="G68" i="28"/>
  <c r="H68" i="28"/>
  <c r="I68" i="28"/>
  <c r="J68" i="28"/>
  <c r="K68" i="28"/>
  <c r="L68" i="28"/>
  <c r="M68" i="28"/>
  <c r="N68" i="28"/>
  <c r="O68" i="28"/>
  <c r="P68" i="28"/>
  <c r="Q68" i="28"/>
  <c r="R68" i="28"/>
  <c r="S68" i="28"/>
  <c r="T68" i="28"/>
  <c r="U68" i="28"/>
  <c r="V68" i="28"/>
  <c r="W68" i="28"/>
  <c r="X68" i="28"/>
  <c r="Y68" i="28"/>
  <c r="Z68" i="28"/>
  <c r="AA68" i="28"/>
  <c r="AB68" i="28"/>
  <c r="AC68" i="28"/>
  <c r="G69" i="28"/>
  <c r="H69" i="28"/>
  <c r="I69" i="28"/>
  <c r="J69" i="28"/>
  <c r="K69" i="28"/>
  <c r="L69" i="28"/>
  <c r="M69" i="28"/>
  <c r="N69" i="28"/>
  <c r="O69" i="28"/>
  <c r="P69" i="28"/>
  <c r="Q69" i="28"/>
  <c r="R69" i="28"/>
  <c r="S69" i="28"/>
  <c r="T69" i="28"/>
  <c r="U69" i="28"/>
  <c r="V69" i="28"/>
  <c r="W69" i="28"/>
  <c r="X69" i="28"/>
  <c r="Y69" i="28"/>
  <c r="Z69" i="28"/>
  <c r="AA69" i="28"/>
  <c r="AB69" i="28"/>
  <c r="AC69" i="28"/>
  <c r="G70" i="28"/>
  <c r="H70" i="28"/>
  <c r="I70" i="28"/>
  <c r="J70" i="28"/>
  <c r="K70" i="28"/>
  <c r="L70" i="28"/>
  <c r="M70" i="28"/>
  <c r="N70" i="28"/>
  <c r="O70" i="28"/>
  <c r="P70" i="28"/>
  <c r="Q70" i="28"/>
  <c r="R70" i="28"/>
  <c r="S70" i="28"/>
  <c r="T70" i="28"/>
  <c r="U70" i="28"/>
  <c r="V70" i="28"/>
  <c r="W70" i="28"/>
  <c r="X70" i="28"/>
  <c r="Y70" i="28"/>
  <c r="Z70" i="28"/>
  <c r="AA70" i="28"/>
  <c r="AB70" i="28"/>
  <c r="AC70" i="28"/>
  <c r="G71" i="28"/>
  <c r="H71" i="28"/>
  <c r="I71" i="28"/>
  <c r="J71" i="28"/>
  <c r="K71" i="28"/>
  <c r="L71" i="28"/>
  <c r="M71" i="28"/>
  <c r="N71" i="28"/>
  <c r="O71" i="28"/>
  <c r="P71" i="28"/>
  <c r="Q71" i="28"/>
  <c r="R71" i="28"/>
  <c r="S71" i="28"/>
  <c r="T71" i="28"/>
  <c r="U71" i="28"/>
  <c r="V71" i="28"/>
  <c r="W71" i="28"/>
  <c r="X71" i="28"/>
  <c r="Y71" i="28"/>
  <c r="Z71" i="28"/>
  <c r="AA71" i="28"/>
  <c r="AB71" i="28"/>
  <c r="AC71" i="28"/>
  <c r="F70" i="28"/>
  <c r="F71" i="28"/>
  <c r="F67" i="28"/>
  <c r="F68" i="28"/>
  <c r="F69" i="28"/>
  <c r="F66" i="28"/>
  <c r="H4" i="21"/>
  <c r="AA33" i="1"/>
  <c r="AA34" i="1" s="1"/>
  <c r="I35" i="13"/>
  <c r="I58" i="13"/>
  <c r="I81" i="13"/>
  <c r="H5" i="21"/>
  <c r="H6" i="21"/>
  <c r="H7" i="21"/>
  <c r="H8" i="21"/>
  <c r="H9" i="21"/>
  <c r="H10" i="21"/>
  <c r="H11" i="21"/>
  <c r="H12" i="21"/>
  <c r="H13" i="21"/>
  <c r="H14" i="21"/>
  <c r="H15" i="21"/>
  <c r="H16" i="21"/>
  <c r="H17" i="21"/>
  <c r="H18" i="21"/>
  <c r="H19" i="21"/>
  <c r="AA31" i="1" l="1"/>
  <c r="AA30" i="1"/>
  <c r="B94" i="33"/>
  <c r="E4" i="33"/>
  <c r="AA32" i="1" l="1"/>
  <c r="I30" i="1" s="1"/>
  <c r="C15" i="9"/>
  <c r="I31" i="1" l="1"/>
  <c r="I34" i="1"/>
  <c r="I33" i="1"/>
  <c r="I32" i="1"/>
  <c r="I35" i="1"/>
  <c r="I54" i="18"/>
  <c r="I77" i="18"/>
  <c r="I11" i="18"/>
  <c r="I31" i="18"/>
  <c r="A1" i="13" l="1"/>
  <c r="F13" i="25"/>
  <c r="G4" i="33"/>
  <c r="F4" i="33"/>
  <c r="R29" i="13" l="1"/>
  <c r="S29" i="13" s="1"/>
  <c r="R30" i="13"/>
  <c r="S30" i="13" s="1"/>
  <c r="A51" i="28"/>
  <c r="A54" i="28" s="1"/>
  <c r="O35" i="13" l="1"/>
  <c r="O58" i="13"/>
  <c r="O81" i="13"/>
  <c r="A88" i="33"/>
  <c r="C87" i="33"/>
  <c r="A87" i="33"/>
  <c r="A86" i="33"/>
  <c r="C85" i="33"/>
  <c r="A85" i="33"/>
  <c r="C84" i="33"/>
  <c r="A84" i="33"/>
  <c r="C83" i="33"/>
  <c r="A83" i="33"/>
  <c r="C82" i="33"/>
  <c r="A82" i="33"/>
  <c r="C81" i="33"/>
  <c r="A81" i="33"/>
  <c r="C80" i="33"/>
  <c r="A80" i="33"/>
  <c r="C79" i="33"/>
  <c r="A79" i="33"/>
  <c r="C78" i="33"/>
  <c r="A78" i="33"/>
  <c r="C77" i="33"/>
  <c r="A77" i="33"/>
  <c r="C76" i="33"/>
  <c r="A76" i="33"/>
  <c r="C75" i="33"/>
  <c r="A75" i="33"/>
  <c r="C74" i="33"/>
  <c r="A74" i="33"/>
  <c r="C73" i="33"/>
  <c r="A73" i="33"/>
  <c r="C72" i="33"/>
  <c r="A72" i="33"/>
  <c r="C71" i="33"/>
  <c r="A71" i="33"/>
  <c r="C70" i="33"/>
  <c r="A70" i="33"/>
  <c r="C69" i="33"/>
  <c r="A69" i="33"/>
  <c r="C68" i="33"/>
  <c r="A68" i="33"/>
  <c r="C67" i="33"/>
  <c r="A67" i="33"/>
  <c r="C66" i="33"/>
  <c r="A66" i="33"/>
  <c r="A65" i="33"/>
  <c r="C64" i="33"/>
  <c r="A64" i="33"/>
  <c r="A63" i="33"/>
  <c r="A62" i="33"/>
  <c r="A61" i="33"/>
  <c r="A60" i="33"/>
  <c r="A59" i="33"/>
  <c r="A58" i="33"/>
  <c r="A57" i="33"/>
  <c r="A56" i="33"/>
  <c r="A55" i="33"/>
  <c r="A54" i="33"/>
  <c r="A53" i="33"/>
  <c r="A52" i="33"/>
  <c r="A51" i="33"/>
  <c r="A50" i="33"/>
  <c r="A49" i="33"/>
  <c r="A48" i="33"/>
  <c r="A47" i="33"/>
  <c r="A46" i="33"/>
  <c r="A45" i="33"/>
  <c r="C44" i="33"/>
  <c r="A44" i="33"/>
  <c r="C43" i="33"/>
  <c r="A43" i="33"/>
  <c r="A42" i="33"/>
  <c r="C41" i="33"/>
  <c r="A41" i="33"/>
  <c r="C40" i="33"/>
  <c r="A40" i="33"/>
  <c r="C39" i="33"/>
  <c r="A39" i="33"/>
  <c r="C38" i="33"/>
  <c r="A38" i="33"/>
  <c r="C37" i="33"/>
  <c r="A37" i="33"/>
  <c r="C36" i="33"/>
  <c r="A36" i="33"/>
  <c r="C35" i="33"/>
  <c r="A35" i="33"/>
  <c r="C34" i="33"/>
  <c r="A34" i="33"/>
  <c r="C33" i="33"/>
  <c r="A33" i="33"/>
  <c r="C32" i="33"/>
  <c r="A32" i="33"/>
  <c r="C31" i="33"/>
  <c r="A31" i="33"/>
  <c r="C30" i="33"/>
  <c r="A30" i="33"/>
  <c r="C29" i="33"/>
  <c r="A29" i="33"/>
  <c r="C28" i="33"/>
  <c r="A28" i="33"/>
  <c r="C27" i="33"/>
  <c r="A27" i="33"/>
  <c r="C26" i="33"/>
  <c r="A26" i="33"/>
  <c r="C25" i="33"/>
  <c r="A25" i="33"/>
  <c r="C24" i="33"/>
  <c r="A24" i="33"/>
  <c r="C23" i="33"/>
  <c r="A23" i="33"/>
  <c r="C22" i="33"/>
  <c r="A22" i="33"/>
  <c r="C21" i="33"/>
  <c r="A21" i="33"/>
  <c r="C20" i="33"/>
  <c r="A20" i="33"/>
  <c r="C19" i="33"/>
  <c r="A19" i="33"/>
  <c r="C18" i="33"/>
  <c r="A18" i="33"/>
  <c r="C17" i="33"/>
  <c r="A17" i="33"/>
  <c r="C16" i="33"/>
  <c r="A16" i="33"/>
  <c r="C15" i="33"/>
  <c r="A15" i="33"/>
  <c r="C14" i="33"/>
  <c r="A14" i="33"/>
  <c r="C13" i="33"/>
  <c r="A13" i="33"/>
  <c r="C12" i="33"/>
  <c r="A12" i="33"/>
  <c r="C11" i="33"/>
  <c r="A11" i="33"/>
  <c r="C10" i="33"/>
  <c r="A10" i="33"/>
  <c r="I121" i="33"/>
  <c r="A66" i="28" l="1"/>
  <c r="M30" i="13"/>
  <c r="L30" i="13" s="1"/>
  <c r="D37" i="33" s="1"/>
  <c r="F37" i="33" s="1"/>
  <c r="G37" i="33" s="1"/>
  <c r="AD73" i="28"/>
  <c r="C49" i="29" s="1"/>
  <c r="I22" i="29"/>
  <c r="H22" i="29"/>
  <c r="I21" i="29"/>
  <c r="H21" i="29"/>
  <c r="B69" i="28"/>
  <c r="A69" i="28"/>
  <c r="B63" i="28"/>
  <c r="A63" i="28"/>
  <c r="B60" i="28"/>
  <c r="A60" i="28"/>
  <c r="B57" i="28"/>
  <c r="A57" i="28"/>
  <c r="B51" i="28"/>
  <c r="N1" i="20"/>
  <c r="J4" i="20"/>
  <c r="K4" i="20"/>
  <c r="J5" i="20"/>
  <c r="K5" i="20"/>
  <c r="J6" i="20"/>
  <c r="K6" i="20"/>
  <c r="J7" i="20"/>
  <c r="K7" i="20"/>
  <c r="J8" i="20"/>
  <c r="K8" i="20"/>
  <c r="J9" i="20"/>
  <c r="K9" i="20"/>
  <c r="J10" i="20"/>
  <c r="K10" i="20"/>
  <c r="J11" i="20"/>
  <c r="K11" i="20"/>
  <c r="J12" i="20"/>
  <c r="K12" i="20"/>
  <c r="J13" i="20"/>
  <c r="K13" i="20"/>
  <c r="J14" i="20"/>
  <c r="K14" i="20"/>
  <c r="J15" i="20"/>
  <c r="K15" i="20"/>
  <c r="J16" i="20"/>
  <c r="K16" i="20"/>
  <c r="J17" i="20"/>
  <c r="K17" i="20"/>
  <c r="J18" i="20"/>
  <c r="K18" i="20"/>
  <c r="K3" i="20"/>
  <c r="J3" i="20"/>
  <c r="L3" i="20" s="1"/>
  <c r="S4" i="20"/>
  <c r="S5" i="20"/>
  <c r="S6" i="20"/>
  <c r="S7" i="20"/>
  <c r="S8" i="20"/>
  <c r="S9" i="20"/>
  <c r="S10" i="20"/>
  <c r="S11" i="20"/>
  <c r="S12" i="20"/>
  <c r="S13" i="20"/>
  <c r="S14" i="20"/>
  <c r="S15" i="20"/>
  <c r="S16" i="20"/>
  <c r="S17" i="20"/>
  <c r="S18" i="20"/>
  <c r="S3" i="20"/>
  <c r="I9" i="1"/>
  <c r="I16" i="1"/>
  <c r="I15" i="1"/>
  <c r="J21" i="1"/>
  <c r="J22" i="1" s="1"/>
  <c r="K21" i="1"/>
  <c r="K22" i="1" s="1"/>
  <c r="L21" i="1"/>
  <c r="L22" i="1" s="1"/>
  <c r="M21" i="1"/>
  <c r="M22" i="1" s="1"/>
  <c r="N21" i="1"/>
  <c r="N22" i="1" s="1"/>
  <c r="O21" i="1"/>
  <c r="O22" i="1" s="1"/>
  <c r="P21" i="1"/>
  <c r="P22" i="1" s="1"/>
  <c r="Q21" i="1"/>
  <c r="Q22" i="1" s="1"/>
  <c r="R21" i="1"/>
  <c r="R22" i="1" s="1"/>
  <c r="S21" i="1"/>
  <c r="S22" i="1" s="1"/>
  <c r="T21" i="1"/>
  <c r="T22" i="1" s="1"/>
  <c r="U21" i="1"/>
  <c r="U22" i="1" s="1"/>
  <c r="V21" i="1"/>
  <c r="V22" i="1" s="1"/>
  <c r="W21" i="1"/>
  <c r="W22" i="1" s="1"/>
  <c r="X21" i="1"/>
  <c r="X22" i="1" s="1"/>
  <c r="I21" i="1"/>
  <c r="B66" i="28" l="1"/>
  <c r="B54" i="28"/>
  <c r="I22" i="1"/>
  <c r="I25" i="1" a="1"/>
  <c r="I25" i="1" s="1"/>
  <c r="G22" i="29"/>
  <c r="J22" i="29" s="1"/>
  <c r="G21" i="29"/>
  <c r="J21" i="29" s="1"/>
  <c r="U3" i="20"/>
  <c r="T3" i="20"/>
  <c r="V3" i="20" s="1"/>
  <c r="U18" i="20"/>
  <c r="T18" i="20"/>
  <c r="V18" i="20" s="1"/>
  <c r="U17" i="20"/>
  <c r="T17" i="20"/>
  <c r="V17" i="20" s="1"/>
  <c r="U16" i="20"/>
  <c r="T16" i="20"/>
  <c r="V16" i="20" s="1"/>
  <c r="U15" i="20"/>
  <c r="T15" i="20"/>
  <c r="V15" i="20" s="1"/>
  <c r="U14" i="20"/>
  <c r="T14" i="20"/>
  <c r="V14" i="20" s="1"/>
  <c r="U13" i="20"/>
  <c r="T13" i="20"/>
  <c r="V13" i="20" s="1"/>
  <c r="U12" i="20"/>
  <c r="T12" i="20"/>
  <c r="V12" i="20" s="1"/>
  <c r="U11" i="20"/>
  <c r="T11" i="20"/>
  <c r="V11" i="20" s="1"/>
  <c r="U10" i="20"/>
  <c r="T10" i="20"/>
  <c r="V10" i="20" s="1"/>
  <c r="U9" i="20"/>
  <c r="T9" i="20"/>
  <c r="V9" i="20" s="1"/>
  <c r="U8" i="20"/>
  <c r="T8" i="20"/>
  <c r="V8" i="20" s="1"/>
  <c r="U7" i="20"/>
  <c r="T7" i="20"/>
  <c r="V7" i="20" s="1"/>
  <c r="U6" i="20"/>
  <c r="T6" i="20"/>
  <c r="V6" i="20" s="1"/>
  <c r="U5" i="20"/>
  <c r="T5" i="20"/>
  <c r="V5" i="20" s="1"/>
  <c r="U4" i="20"/>
  <c r="T4" i="20"/>
  <c r="V4" i="20" s="1"/>
  <c r="L18" i="20"/>
  <c r="L17" i="20"/>
  <c r="L16" i="20"/>
  <c r="L15" i="20"/>
  <c r="L14" i="20"/>
  <c r="L13" i="20"/>
  <c r="L12" i="20"/>
  <c r="L11" i="20"/>
  <c r="L10" i="20"/>
  <c r="L9" i="20"/>
  <c r="L8" i="20"/>
  <c r="L7" i="20"/>
  <c r="L6" i="20"/>
  <c r="L5" i="20"/>
  <c r="L4" i="20"/>
  <c r="A1" i="29"/>
  <c r="A1" i="28"/>
  <c r="A1" i="25" l="1"/>
  <c r="B22" i="9"/>
  <c r="C14" i="9" s="1"/>
  <c r="G12" i="9"/>
  <c r="G14" i="9" l="1"/>
  <c r="G10" i="9"/>
  <c r="AC46" i="28"/>
  <c r="AB46" i="28"/>
  <c r="AA46" i="28"/>
  <c r="Z46" i="28"/>
  <c r="Y46" i="28"/>
  <c r="X46" i="28"/>
  <c r="W46" i="28"/>
  <c r="V46" i="28"/>
  <c r="U46" i="28"/>
  <c r="T46" i="28"/>
  <c r="S46" i="28"/>
  <c r="R46" i="28"/>
  <c r="Q46" i="28"/>
  <c r="P46" i="28"/>
  <c r="O46" i="28"/>
  <c r="N46" i="28"/>
  <c r="M46" i="28"/>
  <c r="L46" i="28"/>
  <c r="K46" i="28"/>
  <c r="J46" i="28"/>
  <c r="I46" i="28"/>
  <c r="H46" i="28"/>
  <c r="G46" i="28"/>
  <c r="F46" i="28"/>
  <c r="AC45" i="28"/>
  <c r="AB45" i="28"/>
  <c r="AA45" i="28"/>
  <c r="Z45" i="28"/>
  <c r="Y45" i="28"/>
  <c r="X45" i="28"/>
  <c r="W45" i="28"/>
  <c r="V45" i="28"/>
  <c r="U45" i="28"/>
  <c r="T45" i="28"/>
  <c r="S45" i="28"/>
  <c r="R45" i="28"/>
  <c r="Q45" i="28"/>
  <c r="P45" i="28"/>
  <c r="O45" i="28"/>
  <c r="N45" i="28"/>
  <c r="M45" i="28"/>
  <c r="L45" i="28"/>
  <c r="K45" i="28"/>
  <c r="J45" i="28"/>
  <c r="I45" i="28"/>
  <c r="H45" i="28"/>
  <c r="G45" i="28"/>
  <c r="F45" i="28"/>
  <c r="AC44" i="28"/>
  <c r="AB44" i="28"/>
  <c r="AA44" i="28"/>
  <c r="Z44" i="28"/>
  <c r="Y44" i="28"/>
  <c r="X44" i="28"/>
  <c r="W44" i="28"/>
  <c r="V44" i="28"/>
  <c r="U44" i="28"/>
  <c r="T44" i="28"/>
  <c r="S44" i="28"/>
  <c r="R44" i="28"/>
  <c r="Q44" i="28"/>
  <c r="P44" i="28"/>
  <c r="O44" i="28"/>
  <c r="N44" i="28"/>
  <c r="M44" i="28"/>
  <c r="L44" i="28"/>
  <c r="K44" i="28"/>
  <c r="J44" i="28"/>
  <c r="I44" i="28"/>
  <c r="H44" i="28"/>
  <c r="G44" i="28"/>
  <c r="F44" i="28"/>
  <c r="B32" i="28"/>
  <c r="B35" i="28"/>
  <c r="B38" i="28"/>
  <c r="B41" i="28"/>
  <c r="B44" i="28"/>
  <c r="A44" i="28"/>
  <c r="A41" i="28" l="1"/>
  <c r="A38" i="28"/>
  <c r="A35" i="28"/>
  <c r="A32" i="28"/>
  <c r="G25" i="28"/>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G22" i="28"/>
  <c r="H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F23" i="28"/>
  <c r="F24" i="28"/>
  <c r="F22" i="28"/>
  <c r="A16" i="18" l="1"/>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4" i="18"/>
  <c r="A5" i="18"/>
  <c r="A6" i="18"/>
  <c r="A7" i="18"/>
  <c r="A8" i="18"/>
  <c r="A9" i="18"/>
  <c r="A10" i="18"/>
  <c r="A11" i="18"/>
  <c r="A12" i="18"/>
  <c r="A13" i="18"/>
  <c r="A14" i="18"/>
  <c r="A15" i="18"/>
  <c r="A3" i="18"/>
  <c r="A1" i="18"/>
  <c r="A19" i="28"/>
  <c r="A16" i="28"/>
  <c r="A13" i="28"/>
  <c r="A7" i="28"/>
  <c r="A10" i="28" s="1"/>
  <c r="A25" i="28" s="1"/>
  <c r="A1" i="30"/>
  <c r="A22" i="28" l="1"/>
  <c r="AB23" i="13"/>
  <c r="AC23" i="13" s="1"/>
  <c r="C88" i="33"/>
  <c r="J37" i="13"/>
  <c r="AB26" i="13"/>
  <c r="AB25" i="13"/>
  <c r="AB31" i="13"/>
  <c r="AB24" i="13"/>
  <c r="AB34" i="13"/>
  <c r="AB33" i="13"/>
  <c r="AB32" i="13"/>
  <c r="AB30" i="13"/>
  <c r="AB29" i="13"/>
  <c r="AB28" i="13"/>
  <c r="AB27" i="13"/>
  <c r="W28" i="13"/>
  <c r="W27" i="13"/>
  <c r="W25" i="13"/>
  <c r="W31" i="13"/>
  <c r="W33" i="13"/>
  <c r="W23" i="13"/>
  <c r="X23" i="13" s="1"/>
  <c r="W34" i="13"/>
  <c r="W32" i="13"/>
  <c r="W30" i="13"/>
  <c r="W29" i="13"/>
  <c r="W26" i="13"/>
  <c r="W24" i="13"/>
  <c r="R31" i="13"/>
  <c r="R34" i="13"/>
  <c r="R32" i="13"/>
  <c r="R33" i="13"/>
  <c r="R23" i="13"/>
  <c r="S23" i="13" s="1"/>
  <c r="R24" i="13"/>
  <c r="R26" i="13"/>
  <c r="R27" i="13"/>
  <c r="R28" i="13"/>
  <c r="M76" i="13" l="1"/>
  <c r="M53" i="13"/>
  <c r="C3" i="18" l="1"/>
  <c r="H3" i="18" s="1"/>
  <c r="C65" i="33" l="1"/>
  <c r="C4" i="18"/>
  <c r="H4" i="18" s="1"/>
  <c r="C5" i="18"/>
  <c r="H5" i="18" s="1"/>
  <c r="C6" i="18"/>
  <c r="H6" i="18" s="1"/>
  <c r="C7" i="18"/>
  <c r="H7" i="18" s="1"/>
  <c r="C8" i="18"/>
  <c r="H8" i="18" s="1"/>
  <c r="C9" i="18"/>
  <c r="H9" i="18" s="1"/>
  <c r="C10" i="18"/>
  <c r="H10" i="18" s="1"/>
  <c r="C11" i="18"/>
  <c r="H11" i="18" s="1"/>
  <c r="C12" i="18"/>
  <c r="H12" i="18" s="1"/>
  <c r="C13" i="18"/>
  <c r="H13" i="18" s="1"/>
  <c r="C14" i="18"/>
  <c r="H14" i="18" s="1"/>
  <c r="C15" i="18"/>
  <c r="H15" i="18" s="1"/>
  <c r="C16" i="18"/>
  <c r="H16" i="18" s="1"/>
  <c r="C17" i="18"/>
  <c r="H17" i="18" s="1"/>
  <c r="C18" i="18"/>
  <c r="H18" i="18" s="1"/>
  <c r="C19" i="18"/>
  <c r="H19" i="18" s="1"/>
  <c r="C20" i="18"/>
  <c r="H20" i="18" s="1"/>
  <c r="C21" i="18"/>
  <c r="H21" i="18" s="1"/>
  <c r="C22" i="18"/>
  <c r="H22" i="18" s="1"/>
  <c r="C23" i="18"/>
  <c r="H23" i="18" s="1"/>
  <c r="C24" i="18"/>
  <c r="H24" i="18" s="1"/>
  <c r="C25" i="18"/>
  <c r="H25" i="18" s="1"/>
  <c r="C26" i="18"/>
  <c r="H26" i="18" s="1"/>
  <c r="C27" i="18"/>
  <c r="H27" i="18" s="1"/>
  <c r="C28" i="18"/>
  <c r="C29" i="18"/>
  <c r="H29" i="18" s="1"/>
  <c r="C30" i="18"/>
  <c r="H30" i="18" s="1"/>
  <c r="C31" i="18"/>
  <c r="H31" i="18" s="1"/>
  <c r="C32" i="18"/>
  <c r="H32" i="18" s="1"/>
  <c r="C33" i="18"/>
  <c r="H33" i="18" s="1"/>
  <c r="C34" i="18"/>
  <c r="H34" i="18" s="1"/>
  <c r="C36" i="18"/>
  <c r="H36" i="18" s="1"/>
  <c r="C37" i="18"/>
  <c r="H37" i="18" s="1"/>
  <c r="C38" i="18"/>
  <c r="H38" i="18" s="1"/>
  <c r="C39" i="18"/>
  <c r="H39" i="18" s="1"/>
  <c r="C40" i="18"/>
  <c r="H40" i="18" s="1"/>
  <c r="C41" i="18"/>
  <c r="H41" i="18" s="1"/>
  <c r="C42" i="18"/>
  <c r="H42" i="18" s="1"/>
  <c r="C43" i="18"/>
  <c r="H43" i="18" s="1"/>
  <c r="C44" i="18"/>
  <c r="H44" i="18" s="1"/>
  <c r="C45" i="18"/>
  <c r="H45" i="18" s="1"/>
  <c r="C46" i="18"/>
  <c r="H46" i="18" s="1"/>
  <c r="C47" i="18"/>
  <c r="H47" i="18" s="1"/>
  <c r="C48" i="18"/>
  <c r="H48" i="18" s="1"/>
  <c r="C49" i="18"/>
  <c r="H49" i="18" s="1"/>
  <c r="C50" i="18"/>
  <c r="H50" i="18" s="1"/>
  <c r="C51" i="18"/>
  <c r="H51" i="18" s="1"/>
  <c r="C52" i="18"/>
  <c r="H52" i="18" s="1"/>
  <c r="C53" i="18"/>
  <c r="H53" i="18" s="1"/>
  <c r="C54" i="18"/>
  <c r="H54" i="18" s="1"/>
  <c r="C55" i="18"/>
  <c r="H55" i="18" s="1"/>
  <c r="C56" i="18"/>
  <c r="H56" i="18" s="1"/>
  <c r="C57" i="18"/>
  <c r="H57" i="18" s="1"/>
  <c r="C59" i="18"/>
  <c r="H59" i="18" s="1"/>
  <c r="C60" i="18"/>
  <c r="H60" i="18" s="1"/>
  <c r="C61" i="18"/>
  <c r="H61" i="18" s="1"/>
  <c r="C62" i="18"/>
  <c r="H62" i="18" s="1"/>
  <c r="C63" i="18"/>
  <c r="H63" i="18" s="1"/>
  <c r="C64" i="18"/>
  <c r="H64" i="18" s="1"/>
  <c r="C65" i="18"/>
  <c r="H65" i="18" s="1"/>
  <c r="C66" i="18"/>
  <c r="H66" i="18" s="1"/>
  <c r="C67" i="18"/>
  <c r="H67" i="18" s="1"/>
  <c r="C68" i="18"/>
  <c r="H68" i="18" s="1"/>
  <c r="C69" i="18"/>
  <c r="H69" i="18" s="1"/>
  <c r="C70" i="18"/>
  <c r="H70" i="18" s="1"/>
  <c r="C71" i="18"/>
  <c r="H71" i="18" s="1"/>
  <c r="C72" i="18"/>
  <c r="H72" i="18" s="1"/>
  <c r="C73" i="18"/>
  <c r="H73" i="18" s="1"/>
  <c r="C74" i="18"/>
  <c r="H74" i="18" s="1"/>
  <c r="C75" i="18"/>
  <c r="H75" i="18" s="1"/>
  <c r="C76" i="18"/>
  <c r="H76" i="18" s="1"/>
  <c r="C77" i="18"/>
  <c r="H77" i="18" s="1"/>
  <c r="C78" i="18"/>
  <c r="H78" i="18" s="1"/>
  <c r="C79" i="18"/>
  <c r="H79" i="18" s="1"/>
  <c r="C80" i="18"/>
  <c r="H80" i="18" s="1"/>
  <c r="L80" i="13"/>
  <c r="D87" i="33" s="1"/>
  <c r="F87" i="33" s="1"/>
  <c r="G87" i="33" s="1"/>
  <c r="J80" i="13"/>
  <c r="L79" i="13"/>
  <c r="K79" i="13"/>
  <c r="J79" i="13"/>
  <c r="J55" i="13"/>
  <c r="L55" i="13"/>
  <c r="L34" i="13"/>
  <c r="D41" i="33" s="1"/>
  <c r="F41" i="33" s="1"/>
  <c r="G41" i="33" s="1"/>
  <c r="J34" i="13"/>
  <c r="M17" i="13"/>
  <c r="L17" i="13" s="1"/>
  <c r="D24" i="33" s="1"/>
  <c r="F24" i="33" s="1"/>
  <c r="G24" i="33" s="1"/>
  <c r="M18" i="13"/>
  <c r="L18" i="13" s="1"/>
  <c r="D25" i="33" s="1"/>
  <c r="F25" i="33" s="1"/>
  <c r="G25" i="33" s="1"/>
  <c r="M19" i="13"/>
  <c r="L19" i="13" s="1"/>
  <c r="D26" i="33" s="1"/>
  <c r="F26" i="33" s="1"/>
  <c r="G26" i="33" s="1"/>
  <c r="M20" i="13"/>
  <c r="L20" i="13" s="1"/>
  <c r="D27" i="33" s="1"/>
  <c r="F27" i="33" s="1"/>
  <c r="G27" i="33" s="1"/>
  <c r="M21" i="13"/>
  <c r="L21" i="13" s="1"/>
  <c r="D28" i="33" s="1"/>
  <c r="F28" i="33" s="1"/>
  <c r="G28" i="33" s="1"/>
  <c r="M16" i="13"/>
  <c r="L16" i="13" s="1"/>
  <c r="D23" i="33" s="1"/>
  <c r="F23" i="33" s="1"/>
  <c r="G23" i="33" s="1"/>
  <c r="L31" i="13"/>
  <c r="D38" i="33" s="1"/>
  <c r="F38" i="33" s="1"/>
  <c r="G38" i="33" s="1"/>
  <c r="J31" i="13"/>
  <c r="J30" i="13"/>
  <c r="L29" i="13"/>
  <c r="D36" i="33" s="1"/>
  <c r="F36" i="33" s="1"/>
  <c r="G36" i="33" s="1"/>
  <c r="J29" i="13"/>
  <c r="L28" i="13"/>
  <c r="D35" i="33" s="1"/>
  <c r="F35" i="33" s="1"/>
  <c r="G35" i="33" s="1"/>
  <c r="J28" i="13"/>
  <c r="L27" i="13"/>
  <c r="D34" i="33" s="1"/>
  <c r="F34" i="33" s="1"/>
  <c r="G34" i="33" s="1"/>
  <c r="J27" i="13"/>
  <c r="L26" i="13"/>
  <c r="D33" i="33" s="1"/>
  <c r="F33" i="33" s="1"/>
  <c r="G33" i="33" s="1"/>
  <c r="J26" i="13"/>
  <c r="L25" i="13"/>
  <c r="D32" i="33" s="1"/>
  <c r="F32" i="33" s="1"/>
  <c r="G32" i="33" s="1"/>
  <c r="J25" i="13"/>
  <c r="L24" i="13"/>
  <c r="D31" i="33" s="1"/>
  <c r="F31" i="33" s="1"/>
  <c r="G31" i="33" s="1"/>
  <c r="J24" i="13"/>
  <c r="L23" i="13"/>
  <c r="D30" i="33" s="1"/>
  <c r="F30" i="33" s="1"/>
  <c r="G30" i="33" s="1"/>
  <c r="J23" i="13"/>
  <c r="L22" i="13"/>
  <c r="D29" i="33" s="1"/>
  <c r="F29" i="33" s="1"/>
  <c r="G29" i="33" s="1"/>
  <c r="J22" i="13"/>
  <c r="J21" i="13"/>
  <c r="J20" i="13"/>
  <c r="J19" i="13"/>
  <c r="J18" i="13"/>
  <c r="J17" i="13"/>
  <c r="J16" i="13"/>
  <c r="L59" i="13"/>
  <c r="D66" i="33" s="1"/>
  <c r="F66" i="33" s="1"/>
  <c r="G66" i="33" s="1"/>
  <c r="L68" i="13"/>
  <c r="D75" i="33" s="1"/>
  <c r="F75" i="33" s="1"/>
  <c r="G75" i="33" s="1"/>
  <c r="L69" i="13"/>
  <c r="D76" i="33" s="1"/>
  <c r="F76" i="33" s="1"/>
  <c r="G76" i="33" s="1"/>
  <c r="L70" i="13"/>
  <c r="D77" i="33" s="1"/>
  <c r="F77" i="33" s="1"/>
  <c r="G77" i="33" s="1"/>
  <c r="L71" i="13"/>
  <c r="D78" i="33" s="1"/>
  <c r="F78" i="33" s="1"/>
  <c r="G78" i="33" s="1"/>
  <c r="L72" i="13"/>
  <c r="D79" i="33" s="1"/>
  <c r="F79" i="33" s="1"/>
  <c r="G79" i="33" s="1"/>
  <c r="L73" i="13"/>
  <c r="D80" i="33" s="1"/>
  <c r="F80" i="33" s="1"/>
  <c r="G80" i="33" s="1"/>
  <c r="L74" i="13"/>
  <c r="D81" i="33" s="1"/>
  <c r="F81" i="33" s="1"/>
  <c r="G81" i="33" s="1"/>
  <c r="L75" i="13"/>
  <c r="D82" i="33" s="1"/>
  <c r="F82" i="33" s="1"/>
  <c r="G82" i="33" s="1"/>
  <c r="L76" i="13"/>
  <c r="D83" i="33" s="1"/>
  <c r="F83" i="33" s="1"/>
  <c r="G83" i="33" s="1"/>
  <c r="L77" i="13"/>
  <c r="D84" i="33" s="1"/>
  <c r="F84" i="33" s="1"/>
  <c r="G84" i="33" s="1"/>
  <c r="L78" i="13"/>
  <c r="D85" i="33" s="1"/>
  <c r="F85" i="33" s="1"/>
  <c r="G85" i="33" s="1"/>
  <c r="L47" i="13"/>
  <c r="L48" i="13"/>
  <c r="L49" i="13"/>
  <c r="L50" i="13"/>
  <c r="L51" i="13"/>
  <c r="L52" i="13"/>
  <c r="L53" i="13"/>
  <c r="L54" i="13"/>
  <c r="L56" i="13"/>
  <c r="L57" i="13"/>
  <c r="D64" i="33" s="1"/>
  <c r="F64" i="33" s="1"/>
  <c r="G64" i="33" s="1"/>
  <c r="L45" i="13"/>
  <c r="L46" i="13"/>
  <c r="L32" i="13"/>
  <c r="D39" i="33" s="1"/>
  <c r="F39" i="33" s="1"/>
  <c r="G39" i="33" s="1"/>
  <c r="L33" i="13"/>
  <c r="D40" i="33" s="1"/>
  <c r="F40" i="33" s="1"/>
  <c r="G40" i="33" s="1"/>
  <c r="L6" i="13"/>
  <c r="D13" i="33" s="1"/>
  <c r="F13" i="33" s="1"/>
  <c r="G13" i="33" s="1"/>
  <c r="L7" i="13"/>
  <c r="D14" i="33" s="1"/>
  <c r="F14" i="33" s="1"/>
  <c r="G14" i="33" s="1"/>
  <c r="C86" i="33" l="1"/>
  <c r="D86" i="33"/>
  <c r="F86" i="33" s="1"/>
  <c r="G86" i="33" s="1"/>
  <c r="B7" i="18"/>
  <c r="G7" i="18" s="1"/>
  <c r="J7" i="18" s="1"/>
  <c r="B6" i="18"/>
  <c r="G6" i="18" s="1"/>
  <c r="J6" i="18" s="1"/>
  <c r="B33" i="18"/>
  <c r="G33" i="18" s="1"/>
  <c r="J33" i="18" s="1"/>
  <c r="B32" i="18"/>
  <c r="G32" i="18" s="1"/>
  <c r="J32" i="18" s="1"/>
  <c r="B46" i="18"/>
  <c r="G46" i="18" s="1"/>
  <c r="J46" i="18" s="1"/>
  <c r="B45" i="18"/>
  <c r="G45" i="18" s="1"/>
  <c r="J45" i="18" s="1"/>
  <c r="B57" i="18"/>
  <c r="G57" i="18" s="1"/>
  <c r="J57" i="18" s="1"/>
  <c r="B56" i="18"/>
  <c r="G56" i="18" s="1"/>
  <c r="J56" i="18" s="1"/>
  <c r="B54" i="18"/>
  <c r="G54" i="18" s="1"/>
  <c r="J54" i="18" s="1"/>
  <c r="B53" i="18"/>
  <c r="G53" i="18" s="1"/>
  <c r="J53" i="18" s="1"/>
  <c r="B52" i="18"/>
  <c r="G52" i="18" s="1"/>
  <c r="J52" i="18" s="1"/>
  <c r="B51" i="18"/>
  <c r="G51" i="18" s="1"/>
  <c r="J51" i="18" s="1"/>
  <c r="B50" i="18"/>
  <c r="G50" i="18" s="1"/>
  <c r="J50" i="18" s="1"/>
  <c r="B49" i="18"/>
  <c r="G49" i="18" s="1"/>
  <c r="J49" i="18" s="1"/>
  <c r="B48" i="18"/>
  <c r="G48" i="18" s="1"/>
  <c r="J48" i="18" s="1"/>
  <c r="B47" i="18"/>
  <c r="G47" i="18" s="1"/>
  <c r="J47" i="18" s="1"/>
  <c r="B78" i="18"/>
  <c r="G78" i="18" s="1"/>
  <c r="J78" i="18" s="1"/>
  <c r="B77" i="18"/>
  <c r="G77" i="18" s="1"/>
  <c r="J77" i="18" s="1"/>
  <c r="B76" i="18"/>
  <c r="G76" i="18" s="1"/>
  <c r="J76" i="18" s="1"/>
  <c r="B75" i="18"/>
  <c r="G75" i="18" s="1"/>
  <c r="J75" i="18" s="1"/>
  <c r="B74" i="18"/>
  <c r="G74" i="18" s="1"/>
  <c r="J74" i="18" s="1"/>
  <c r="B73" i="18"/>
  <c r="G73" i="18" s="1"/>
  <c r="J73" i="18" s="1"/>
  <c r="B72" i="18"/>
  <c r="G72" i="18" s="1"/>
  <c r="J72" i="18" s="1"/>
  <c r="B71" i="18"/>
  <c r="G71" i="18" s="1"/>
  <c r="B70" i="18"/>
  <c r="G70" i="18" s="1"/>
  <c r="J70" i="18" s="1"/>
  <c r="B69" i="18"/>
  <c r="G69" i="18" s="1"/>
  <c r="B68" i="18"/>
  <c r="G68" i="18" s="1"/>
  <c r="J68" i="18" s="1"/>
  <c r="B59" i="18"/>
  <c r="G59" i="18" s="1"/>
  <c r="J59" i="18" s="1"/>
  <c r="B22" i="18"/>
  <c r="G22" i="18" s="1"/>
  <c r="J22" i="18" s="1"/>
  <c r="B23" i="18"/>
  <c r="G23" i="18" s="1"/>
  <c r="J23" i="18" s="1"/>
  <c r="B24" i="18"/>
  <c r="G24" i="18" s="1"/>
  <c r="J24" i="18" s="1"/>
  <c r="B25" i="18"/>
  <c r="G25" i="18" s="1"/>
  <c r="J25" i="18" s="1"/>
  <c r="B26" i="18"/>
  <c r="G26" i="18" s="1"/>
  <c r="J26" i="18" s="1"/>
  <c r="B27" i="18"/>
  <c r="G27" i="18" s="1"/>
  <c r="J27" i="18" s="1"/>
  <c r="B28" i="18"/>
  <c r="G28" i="18" s="1"/>
  <c r="B29" i="18"/>
  <c r="G29" i="18" s="1"/>
  <c r="J29" i="18" s="1"/>
  <c r="B30" i="18"/>
  <c r="G30" i="18" s="1"/>
  <c r="J30" i="18" s="1"/>
  <c r="B31" i="18"/>
  <c r="G31" i="18" s="1"/>
  <c r="J31" i="18" s="1"/>
  <c r="B16" i="18"/>
  <c r="G16" i="18" s="1"/>
  <c r="J16" i="18" s="1"/>
  <c r="B21" i="18"/>
  <c r="G21" i="18" s="1"/>
  <c r="J21" i="18" s="1"/>
  <c r="B20" i="18"/>
  <c r="G20" i="18" s="1"/>
  <c r="J20" i="18" s="1"/>
  <c r="B19" i="18"/>
  <c r="G19" i="18" s="1"/>
  <c r="J19" i="18" s="1"/>
  <c r="B18" i="18"/>
  <c r="G18" i="18" s="1"/>
  <c r="J18" i="18" s="1"/>
  <c r="B17" i="18"/>
  <c r="G17" i="18" s="1"/>
  <c r="J17" i="18" s="1"/>
  <c r="B34" i="18"/>
  <c r="G34" i="18" s="1"/>
  <c r="J34" i="18" s="1"/>
  <c r="B55" i="18"/>
  <c r="G55" i="18" s="1"/>
  <c r="J55" i="18" s="1"/>
  <c r="B79" i="18"/>
  <c r="G79" i="18" s="1"/>
  <c r="J79" i="18" s="1"/>
  <c r="B80" i="18"/>
  <c r="G80" i="18" s="1"/>
  <c r="J80" i="18" s="1"/>
  <c r="H28" i="18"/>
  <c r="I28" i="18"/>
  <c r="J71" i="18"/>
  <c r="J69" i="18"/>
  <c r="J9" i="1"/>
  <c r="K9" i="1"/>
  <c r="L9" i="1"/>
  <c r="M9" i="1"/>
  <c r="N9" i="1"/>
  <c r="O9" i="1"/>
  <c r="P9" i="1"/>
  <c r="Q9" i="1"/>
  <c r="R9" i="1"/>
  <c r="S9" i="1"/>
  <c r="T9" i="1"/>
  <c r="U9" i="1"/>
  <c r="V9" i="1"/>
  <c r="W9" i="1"/>
  <c r="X9" i="1"/>
  <c r="X16" i="1"/>
  <c r="W16" i="1"/>
  <c r="V16" i="1"/>
  <c r="U16" i="1"/>
  <c r="T16" i="1"/>
  <c r="S16" i="1"/>
  <c r="R16" i="1"/>
  <c r="Q16" i="1"/>
  <c r="P16" i="1"/>
  <c r="O16" i="1"/>
  <c r="N16" i="1"/>
  <c r="M16" i="1"/>
  <c r="L16" i="1"/>
  <c r="K16" i="1"/>
  <c r="J16" i="1"/>
  <c r="X15" i="1"/>
  <c r="W15" i="1"/>
  <c r="V15" i="1"/>
  <c r="U15" i="1"/>
  <c r="T15" i="1"/>
  <c r="S15" i="1"/>
  <c r="R15" i="1"/>
  <c r="Q15" i="1"/>
  <c r="P15" i="1"/>
  <c r="O15" i="1"/>
  <c r="N15" i="1"/>
  <c r="M15" i="1"/>
  <c r="L15" i="1"/>
  <c r="K15" i="1"/>
  <c r="J15" i="1"/>
  <c r="I19" i="1" l="1" a="1"/>
  <c r="I19" i="1" s="1"/>
  <c r="I13" i="1" a="1"/>
  <c r="I13" i="1" s="1"/>
  <c r="J28" i="18"/>
  <c r="I7" i="1" a="1"/>
  <c r="I7" i="1" s="1"/>
  <c r="AC32" i="13" l="1"/>
  <c r="AC25" i="13"/>
  <c r="AC26" i="13"/>
  <c r="AC27" i="13"/>
  <c r="AC28" i="13"/>
  <c r="X25" i="13"/>
  <c r="X24" i="13"/>
  <c r="X33" i="13"/>
  <c r="AC33" i="13"/>
  <c r="S34" i="13"/>
  <c r="AC24" i="13"/>
  <c r="AC31" i="13"/>
  <c r="AC30" i="13"/>
  <c r="AC29" i="13"/>
  <c r="AC34" i="13"/>
  <c r="X31" i="13"/>
  <c r="X30" i="13"/>
  <c r="S24" i="13"/>
  <c r="S26" i="13"/>
  <c r="S27" i="13"/>
  <c r="X27" i="13"/>
  <c r="X26" i="13"/>
  <c r="S28" i="13"/>
  <c r="X34" i="13"/>
  <c r="X32" i="13"/>
  <c r="X28" i="13"/>
  <c r="X29" i="13"/>
  <c r="S32" i="13"/>
  <c r="S33" i="13"/>
  <c r="S31" i="13"/>
  <c r="S36" i="13" l="1"/>
  <c r="AC36" i="13"/>
  <c r="X36" i="13"/>
  <c r="S35" i="13"/>
  <c r="J71" i="13"/>
  <c r="J72" i="13"/>
  <c r="J73" i="13"/>
  <c r="J74" i="13"/>
  <c r="J75" i="13"/>
  <c r="J76" i="13"/>
  <c r="J77" i="13"/>
  <c r="J78" i="13"/>
  <c r="J10" i="13"/>
  <c r="J11" i="13"/>
  <c r="J12" i="13"/>
  <c r="J13" i="13"/>
  <c r="J14" i="13"/>
  <c r="J15" i="13"/>
  <c r="J32" i="13"/>
  <c r="J33" i="13"/>
  <c r="J36" i="13"/>
  <c r="J38" i="13"/>
  <c r="J39" i="13"/>
  <c r="J40" i="13"/>
  <c r="J41" i="13"/>
  <c r="J42" i="13"/>
  <c r="J43" i="13"/>
  <c r="J44" i="13"/>
  <c r="J45" i="13"/>
  <c r="J46" i="13"/>
  <c r="J47" i="13"/>
  <c r="J48" i="13"/>
  <c r="J49" i="13"/>
  <c r="J50" i="13"/>
  <c r="J51" i="13"/>
  <c r="J52" i="13"/>
  <c r="J53" i="13"/>
  <c r="J54" i="13"/>
  <c r="J56" i="13"/>
  <c r="J57" i="13"/>
  <c r="J59" i="13"/>
  <c r="J60" i="13"/>
  <c r="J61" i="13"/>
  <c r="J62" i="13"/>
  <c r="J63" i="13"/>
  <c r="J64" i="13"/>
  <c r="J65" i="13"/>
  <c r="J66" i="13"/>
  <c r="J67" i="13"/>
  <c r="J68" i="13"/>
  <c r="J69" i="13"/>
  <c r="J70" i="13"/>
  <c r="C58" i="18"/>
  <c r="H58" i="18" s="1"/>
  <c r="L58" i="13" l="1"/>
  <c r="D65" i="33" s="1"/>
  <c r="F65" i="33" s="1"/>
  <c r="G65" i="33" s="1"/>
  <c r="J58" i="13"/>
  <c r="A1" i="14"/>
  <c r="L8" i="13"/>
  <c r="D15" i="33" s="1"/>
  <c r="F15" i="33" s="1"/>
  <c r="G15" i="33" s="1"/>
  <c r="L10" i="13"/>
  <c r="D17" i="33" s="1"/>
  <c r="F17" i="33" s="1"/>
  <c r="G17" i="33" s="1"/>
  <c r="L11" i="13"/>
  <c r="D18" i="33" s="1"/>
  <c r="F18" i="33" s="1"/>
  <c r="L12" i="13"/>
  <c r="D19" i="33" s="1"/>
  <c r="F19" i="33" s="1"/>
  <c r="G19" i="33" s="1"/>
  <c r="L13" i="13"/>
  <c r="D20" i="33" s="1"/>
  <c r="F20" i="33" s="1"/>
  <c r="G20" i="33" s="1"/>
  <c r="L36" i="13"/>
  <c r="D43" i="33" s="1"/>
  <c r="F43" i="33" s="1"/>
  <c r="G43" i="33" s="1"/>
  <c r="G18" i="33" l="1"/>
  <c r="C42" i="33"/>
  <c r="R35" i="13"/>
  <c r="B36" i="18"/>
  <c r="G36" i="18" s="1"/>
  <c r="J36" i="18" s="1"/>
  <c r="B13" i="18"/>
  <c r="G13" i="18" s="1"/>
  <c r="J13" i="18" s="1"/>
  <c r="B12" i="18"/>
  <c r="G12" i="18" s="1"/>
  <c r="J12" i="18" s="1"/>
  <c r="B11" i="18"/>
  <c r="G11" i="18" s="1"/>
  <c r="J11" i="18" s="1"/>
  <c r="B10" i="18"/>
  <c r="G10" i="18" s="1"/>
  <c r="J10" i="18" s="1"/>
  <c r="B8" i="18"/>
  <c r="G8" i="18" s="1"/>
  <c r="J8" i="18" s="1"/>
  <c r="B58" i="18"/>
  <c r="G58" i="18" s="1"/>
  <c r="J58" i="18" s="1"/>
  <c r="C81" i="18"/>
  <c r="H81" i="18" s="1"/>
  <c r="J35" i="13"/>
  <c r="C35" i="18"/>
  <c r="H35" i="18" s="1"/>
  <c r="W35" i="13"/>
  <c r="X35" i="13" s="1"/>
  <c r="L81" i="13"/>
  <c r="D88" i="33" s="1"/>
  <c r="F88" i="33" s="1"/>
  <c r="G88" i="33" s="1"/>
  <c r="L35" i="13"/>
  <c r="D42" i="33" s="1"/>
  <c r="F42" i="33" s="1"/>
  <c r="G42" i="33" s="1"/>
  <c r="J81" i="13"/>
  <c r="B35" i="18" l="1"/>
  <c r="G35" i="18" s="1"/>
  <c r="J35" i="18" s="1"/>
  <c r="B81" i="18"/>
  <c r="G81" i="18" s="1"/>
  <c r="J81" i="18" s="1"/>
  <c r="A1" i="22"/>
  <c r="A1" i="27"/>
  <c r="A1" i="21"/>
  <c r="A1" i="9"/>
  <c r="M67" i="13" l="1"/>
  <c r="L67" i="13" s="1"/>
  <c r="D74" i="33" s="1"/>
  <c r="F74" i="33" s="1"/>
  <c r="G74" i="33" s="1"/>
  <c r="M66" i="13"/>
  <c r="L66" i="13" s="1"/>
  <c r="D73" i="33" s="1"/>
  <c r="F73" i="33" s="1"/>
  <c r="G73" i="33" s="1"/>
  <c r="M65" i="13"/>
  <c r="L65" i="13" s="1"/>
  <c r="D72" i="33" s="1"/>
  <c r="F72" i="33" s="1"/>
  <c r="G72" i="33" s="1"/>
  <c r="M64" i="13"/>
  <c r="L64" i="13" s="1"/>
  <c r="D71" i="33" s="1"/>
  <c r="F71" i="33" s="1"/>
  <c r="G71" i="33" s="1"/>
  <c r="M63" i="13"/>
  <c r="L63" i="13" s="1"/>
  <c r="D70" i="33" s="1"/>
  <c r="F70" i="33" s="1"/>
  <c r="G70" i="33" s="1"/>
  <c r="M62" i="13"/>
  <c r="L62" i="13" s="1"/>
  <c r="D69" i="33" s="1"/>
  <c r="F69" i="33" s="1"/>
  <c r="G69" i="33" s="1"/>
  <c r="M61" i="13"/>
  <c r="L61" i="13" s="1"/>
  <c r="D68" i="33" s="1"/>
  <c r="F68" i="33" s="1"/>
  <c r="G68" i="33" s="1"/>
  <c r="M60" i="13"/>
  <c r="L60" i="13" s="1"/>
  <c r="D67" i="33" s="1"/>
  <c r="F67" i="33" s="1"/>
  <c r="G67" i="33" s="1"/>
  <c r="M44" i="13"/>
  <c r="L44" i="13" s="1"/>
  <c r="M43" i="13"/>
  <c r="L43" i="13" s="1"/>
  <c r="M42" i="13"/>
  <c r="L42" i="13" s="1"/>
  <c r="M41" i="13"/>
  <c r="L41" i="13" s="1"/>
  <c r="M40" i="13"/>
  <c r="L40" i="13" s="1"/>
  <c r="M39" i="13"/>
  <c r="L39" i="13" s="1"/>
  <c r="M38" i="13"/>
  <c r="L38" i="13" s="1"/>
  <c r="M37" i="13"/>
  <c r="L37" i="13" s="1"/>
  <c r="D44" i="33" s="1"/>
  <c r="F44" i="33" s="1"/>
  <c r="G44" i="33" s="1"/>
  <c r="M5" i="13"/>
  <c r="L5" i="13" s="1"/>
  <c r="D12" i="33" s="1"/>
  <c r="F12" i="33" s="1"/>
  <c r="G12" i="33" s="1"/>
  <c r="M4" i="13"/>
  <c r="L4" i="13" s="1"/>
  <c r="D11" i="33" s="1"/>
  <c r="F11" i="33" s="1"/>
  <c r="G11" i="33" s="1"/>
  <c r="K38" i="13"/>
  <c r="C45" i="33" l="1"/>
  <c r="D45" i="33"/>
  <c r="F45" i="33" s="1"/>
  <c r="G45" i="33" s="1"/>
  <c r="B4" i="18"/>
  <c r="G4" i="18" s="1"/>
  <c r="J4" i="18" s="1"/>
  <c r="B5" i="18"/>
  <c r="G5" i="18" s="1"/>
  <c r="J5" i="18" s="1"/>
  <c r="B37" i="18"/>
  <c r="G37" i="18" s="1"/>
  <c r="J37" i="18" s="1"/>
  <c r="B38" i="18"/>
  <c r="G38" i="18" s="1"/>
  <c r="J38" i="18" s="1"/>
  <c r="B39" i="18"/>
  <c r="G39" i="18" s="1"/>
  <c r="J39" i="18" s="1"/>
  <c r="B40" i="18"/>
  <c r="G40" i="18" s="1"/>
  <c r="J40" i="18" s="1"/>
  <c r="B41" i="18"/>
  <c r="G41" i="18" s="1"/>
  <c r="J41" i="18" s="1"/>
  <c r="B42" i="18"/>
  <c r="G42" i="18" s="1"/>
  <c r="J42" i="18" s="1"/>
  <c r="B43" i="18"/>
  <c r="G43" i="18" s="1"/>
  <c r="J43" i="18" s="1"/>
  <c r="B44" i="18"/>
  <c r="G44" i="18" s="1"/>
  <c r="J44" i="18" s="1"/>
  <c r="B60" i="18"/>
  <c r="G60" i="18" s="1"/>
  <c r="J60" i="18" s="1"/>
  <c r="B61" i="18"/>
  <c r="G61" i="18" s="1"/>
  <c r="J61" i="18" s="1"/>
  <c r="B62" i="18"/>
  <c r="G62" i="18" s="1"/>
  <c r="J62" i="18" s="1"/>
  <c r="B63" i="18"/>
  <c r="G63" i="18" s="1"/>
  <c r="J63" i="18" s="1"/>
  <c r="B64" i="18"/>
  <c r="G64" i="18" s="1"/>
  <c r="J64" i="18" s="1"/>
  <c r="B65" i="18"/>
  <c r="G65" i="18" s="1"/>
  <c r="J65" i="18" s="1"/>
  <c r="B66" i="18"/>
  <c r="G66" i="18" s="1"/>
  <c r="J66" i="18" s="1"/>
  <c r="B67" i="18"/>
  <c r="G67" i="18" s="1"/>
  <c r="J67" i="18" s="1"/>
  <c r="K39" i="13"/>
  <c r="L14" i="13"/>
  <c r="D21" i="33" s="1"/>
  <c r="F21" i="33" s="1"/>
  <c r="G21" i="33" s="1"/>
  <c r="C46" i="33" l="1"/>
  <c r="D46" i="33"/>
  <c r="F46" i="33" s="1"/>
  <c r="G46" i="33" s="1"/>
  <c r="B14" i="18"/>
  <c r="G14" i="18" s="1"/>
  <c r="J14" i="18" s="1"/>
  <c r="K40" i="13"/>
  <c r="L15" i="13"/>
  <c r="D22" i="33" s="1"/>
  <c r="F22" i="33" s="1"/>
  <c r="G22" i="33" s="1"/>
  <c r="N3" i="20"/>
  <c r="J4" i="13"/>
  <c r="J5" i="13"/>
  <c r="J6" i="13"/>
  <c r="J7" i="13"/>
  <c r="J8" i="13"/>
  <c r="L9" i="13"/>
  <c r="D16" i="33" s="1"/>
  <c r="F16" i="33" s="1"/>
  <c r="G16" i="33" s="1"/>
  <c r="C47" i="33" l="1"/>
  <c r="D47" i="33"/>
  <c r="F47" i="33" s="1"/>
  <c r="G47" i="33" s="1"/>
  <c r="B9" i="18"/>
  <c r="G9" i="18" s="1"/>
  <c r="J9" i="18" s="1"/>
  <c r="B15" i="18"/>
  <c r="G15" i="18" s="1"/>
  <c r="J15" i="18" s="1"/>
  <c r="K41" i="13"/>
  <c r="J3" i="13"/>
  <c r="L3" i="13"/>
  <c r="D10" i="33" s="1"/>
  <c r="F10" i="33" s="1"/>
  <c r="J9" i="13"/>
  <c r="G10" i="33" l="1"/>
  <c r="C48" i="33"/>
  <c r="D48" i="33"/>
  <c r="F48" i="33" s="1"/>
  <c r="G48" i="33" s="1"/>
  <c r="B3" i="18"/>
  <c r="G3" i="18" s="1"/>
  <c r="J3" i="18" s="1"/>
  <c r="K42" i="13"/>
  <c r="C49" i="33" l="1"/>
  <c r="D49" i="33"/>
  <c r="F49" i="33" s="1"/>
  <c r="K43" i="13"/>
  <c r="C50" i="33" l="1"/>
  <c r="D50" i="33"/>
  <c r="F50" i="33" s="1"/>
  <c r="G50" i="33" s="1"/>
  <c r="G49" i="33"/>
  <c r="K44" i="13"/>
  <c r="C51" i="33" l="1"/>
  <c r="D51" i="33"/>
  <c r="F51" i="33" s="1"/>
  <c r="K45" i="13"/>
  <c r="C52" i="33" l="1"/>
  <c r="D52" i="33"/>
  <c r="F52" i="33" s="1"/>
  <c r="G52" i="33" s="1"/>
  <c r="G51" i="33"/>
  <c r="K46" i="13"/>
  <c r="C53" i="33" l="1"/>
  <c r="D53" i="33"/>
  <c r="F53" i="33" s="1"/>
  <c r="K47" i="13"/>
  <c r="C54" i="33" l="1"/>
  <c r="D54" i="33"/>
  <c r="F54" i="33" s="1"/>
  <c r="G53" i="33"/>
  <c r="K48" i="13"/>
  <c r="G54" i="33" l="1"/>
  <c r="C55" i="33"/>
  <c r="D55" i="33"/>
  <c r="F55" i="33" s="1"/>
  <c r="K49" i="13"/>
  <c r="C56" i="33" l="1"/>
  <c r="D56" i="33"/>
  <c r="F56" i="33" s="1"/>
  <c r="G56" i="33" s="1"/>
  <c r="G55" i="33"/>
  <c r="K50" i="13"/>
  <c r="C57" i="33" l="1"/>
  <c r="D57" i="33"/>
  <c r="F57" i="33" s="1"/>
  <c r="G57" i="33" s="1"/>
  <c r="K51" i="13"/>
  <c r="C58" i="33" l="1"/>
  <c r="D58" i="33"/>
  <c r="F58" i="33" s="1"/>
  <c r="G58" i="33" s="1"/>
  <c r="K52" i="13"/>
  <c r="C59" i="33" l="1"/>
  <c r="D59" i="33"/>
  <c r="F59" i="33" s="1"/>
  <c r="G59" i="33" s="1"/>
  <c r="K53" i="13"/>
  <c r="C60" i="33" l="1"/>
  <c r="D60" i="33"/>
  <c r="F60" i="33" s="1"/>
  <c r="K54" i="13"/>
  <c r="G60" i="33" l="1"/>
  <c r="C61" i="33"/>
  <c r="D61" i="33"/>
  <c r="F61" i="33" s="1"/>
  <c r="G61" i="33" s="1"/>
  <c r="K55" i="13"/>
  <c r="C62" i="33" l="1"/>
  <c r="D62" i="33"/>
  <c r="F62" i="33" s="1"/>
  <c r="K56" i="13"/>
  <c r="I82" i="13" s="1"/>
  <c r="G62" i="33" l="1"/>
  <c r="C63" i="33"/>
  <c r="D63" i="33"/>
  <c r="F63" i="33" s="1"/>
  <c r="B23" i="9"/>
  <c r="H80" i="13"/>
  <c r="O80" i="13" s="1"/>
  <c r="H3" i="13"/>
  <c r="O3" i="13" s="1"/>
  <c r="H19" i="13"/>
  <c r="O19" i="13" s="1"/>
  <c r="H55" i="13"/>
  <c r="O55" i="13" s="1"/>
  <c r="H76" i="13"/>
  <c r="O76" i="13" s="1"/>
  <c r="H65" i="13"/>
  <c r="O65" i="13" s="1"/>
  <c r="H30" i="13"/>
  <c r="O30" i="13" s="1"/>
  <c r="H7" i="13"/>
  <c r="O7" i="13" s="1"/>
  <c r="H51" i="13"/>
  <c r="O51" i="13" s="1"/>
  <c r="H62" i="13"/>
  <c r="O62" i="13" s="1"/>
  <c r="H52" i="13"/>
  <c r="O52" i="13" s="1"/>
  <c r="H74" i="13"/>
  <c r="O74" i="13" s="1"/>
  <c r="H9" i="13"/>
  <c r="O9" i="13" s="1"/>
  <c r="H38" i="13"/>
  <c r="O38" i="13" s="1"/>
  <c r="H27" i="13"/>
  <c r="O27" i="13" s="1"/>
  <c r="H60" i="13"/>
  <c r="O60" i="13" s="1"/>
  <c r="H49" i="13"/>
  <c r="O49" i="13" s="1"/>
  <c r="H50" i="13"/>
  <c r="O50" i="13" s="1"/>
  <c r="H73" i="13"/>
  <c r="O73" i="13" s="1"/>
  <c r="H56" i="13"/>
  <c r="O56" i="13" s="1"/>
  <c r="H47" i="13"/>
  <c r="O47" i="13" s="1"/>
  <c r="H48" i="13"/>
  <c r="O48" i="13" s="1"/>
  <c r="H46" i="13"/>
  <c r="O46" i="13" s="1"/>
  <c r="H24" i="13"/>
  <c r="O24" i="13" s="1"/>
  <c r="H6" i="13"/>
  <c r="O6" i="13" s="1"/>
  <c r="H70" i="13"/>
  <c r="O70" i="13" s="1"/>
  <c r="H22" i="13"/>
  <c r="O22" i="13" s="1"/>
  <c r="H61" i="13"/>
  <c r="O61" i="13" s="1"/>
  <c r="H69" i="13"/>
  <c r="O69" i="13" s="1"/>
  <c r="H44" i="13"/>
  <c r="O44" i="13" s="1"/>
  <c r="H5" i="13"/>
  <c r="O5" i="13" s="1"/>
  <c r="H36" i="13"/>
  <c r="O36" i="13" s="1"/>
  <c r="H13" i="13"/>
  <c r="H21" i="13"/>
  <c r="O21" i="13" s="1"/>
  <c r="H20" i="13"/>
  <c r="O20" i="13" s="1"/>
  <c r="H31" i="13"/>
  <c r="O31" i="13" s="1"/>
  <c r="H32" i="13"/>
  <c r="O32" i="13" s="1"/>
  <c r="H78" i="13"/>
  <c r="O78" i="13" s="1"/>
  <c r="H29" i="13"/>
  <c r="O29" i="13" s="1"/>
  <c r="H41" i="13"/>
  <c r="O41" i="13" s="1"/>
  <c r="H75" i="13"/>
  <c r="O75" i="13" s="1"/>
  <c r="H28" i="13"/>
  <c r="H16" i="13"/>
  <c r="O16" i="13" s="1"/>
  <c r="H8" i="13"/>
  <c r="O8" i="13" s="1"/>
  <c r="H26" i="13"/>
  <c r="H39" i="13"/>
  <c r="O39" i="13" s="1"/>
  <c r="H59" i="13"/>
  <c r="O59" i="13" s="1"/>
  <c r="H14" i="13"/>
  <c r="H45" i="13"/>
  <c r="O45" i="13" s="1"/>
  <c r="H4" i="13"/>
  <c r="O4" i="13" s="1"/>
  <c r="H57" i="13"/>
  <c r="O57" i="13" s="1"/>
  <c r="H11" i="13"/>
  <c r="O11" i="13" s="1"/>
  <c r="H79" i="13"/>
  <c r="O79" i="13" s="1"/>
  <c r="H42" i="13"/>
  <c r="O42" i="13" s="1"/>
  <c r="H54" i="13"/>
  <c r="O54" i="13" s="1"/>
  <c r="H53" i="13"/>
  <c r="O53" i="13" s="1"/>
  <c r="H17" i="13"/>
  <c r="O17" i="13" s="1"/>
  <c r="H64" i="13"/>
  <c r="O64" i="13" s="1"/>
  <c r="H40" i="13"/>
  <c r="O40" i="13" s="1"/>
  <c r="H72" i="13"/>
  <c r="O72" i="13" s="1"/>
  <c r="H25" i="13"/>
  <c r="O25" i="13" s="1"/>
  <c r="H63" i="13"/>
  <c r="O63" i="13" s="1"/>
  <c r="H15" i="13"/>
  <c r="O15" i="13" s="1"/>
  <c r="H71" i="13"/>
  <c r="O71" i="13" s="1"/>
  <c r="H66" i="13"/>
  <c r="O66" i="13" s="1"/>
  <c r="H10" i="13"/>
  <c r="H33" i="13"/>
  <c r="O33" i="13" s="1"/>
  <c r="H23" i="13"/>
  <c r="O23" i="13" s="1"/>
  <c r="H68" i="13"/>
  <c r="O68" i="13" s="1"/>
  <c r="H37" i="13"/>
  <c r="O37" i="13" s="1"/>
  <c r="H12" i="13"/>
  <c r="H67" i="13"/>
  <c r="O67" i="13" s="1"/>
  <c r="H43" i="13"/>
  <c r="O43" i="13" s="1"/>
  <c r="H34" i="13"/>
  <c r="O34" i="13" s="1"/>
  <c r="H18" i="13"/>
  <c r="O18" i="13" s="1"/>
  <c r="H77" i="13"/>
  <c r="O77" i="13" s="1"/>
  <c r="F90" i="33" l="1"/>
  <c r="F89" i="33"/>
  <c r="T44" i="13"/>
  <c r="O10" i="13"/>
  <c r="O13" i="13"/>
  <c r="T49" i="13"/>
  <c r="O12" i="13"/>
  <c r="T43" i="13"/>
  <c r="O14" i="13"/>
  <c r="T50" i="13"/>
  <c r="O26" i="13"/>
  <c r="T52" i="13"/>
  <c r="G63" i="33"/>
  <c r="T51" i="13"/>
  <c r="O28" i="13"/>
  <c r="T47" i="13"/>
  <c r="T42" i="13"/>
  <c r="T46" i="13"/>
  <c r="T48" i="13"/>
  <c r="T45" i="13"/>
  <c r="T41" i="13"/>
  <c r="H82" i="13"/>
  <c r="O82" i="13" s="1"/>
  <c r="C11" i="9"/>
  <c r="G11" i="9" s="1"/>
  <c r="G15" i="9"/>
  <c r="C13" i="9"/>
  <c r="G13" i="9" s="1"/>
  <c r="G17" i="9" l="1"/>
  <c r="B3" i="9" s="1"/>
  <c r="B92" i="33"/>
  <c r="D101" i="33" s="1"/>
  <c r="E101" i="33" s="1"/>
  <c r="B93" i="33"/>
  <c r="G16" i="9"/>
  <c r="A3" i="9" s="1"/>
  <c r="C3" i="9" l="1"/>
  <c r="F101" i="33" a="1"/>
  <c r="F101" i="33" s="1"/>
  <c r="G101" i="33" a="1"/>
  <c r="G101" i="33" s="1"/>
  <c r="M101" i="33" s="1"/>
  <c r="D102" i="33"/>
  <c r="E102" i="33" s="1"/>
  <c r="F102" i="33" s="1"/>
  <c r="G102" i="33"/>
  <c r="M102" i="33" s="1"/>
  <c r="D103" i="33"/>
  <c r="E103" i="33" s="1"/>
  <c r="F103" i="33" s="1"/>
  <c r="N103" i="33" s="1"/>
  <c r="G103" i="33"/>
  <c r="M103" i="33" s="1"/>
  <c r="D104" i="33"/>
  <c r="E104" i="33" s="1"/>
  <c r="F104" i="33" s="1"/>
  <c r="N104" i="33" s="1"/>
  <c r="G104" i="33"/>
  <c r="D105" i="33"/>
  <c r="E105" i="33" s="1"/>
  <c r="F105" i="33" s="1"/>
  <c r="G105" i="33"/>
  <c r="M105" i="33" s="1"/>
  <c r="D106" i="33"/>
  <c r="E106" i="33" s="1"/>
  <c r="F106" i="33" s="1"/>
  <c r="N106" i="33" s="1"/>
  <c r="G106" i="33"/>
  <c r="M106" i="33" s="1"/>
  <c r="D107" i="33"/>
  <c r="E107" i="33" s="1"/>
  <c r="F107" i="33" s="1"/>
  <c r="N107" i="33" s="1"/>
  <c r="G107" i="33"/>
  <c r="M107" i="33" s="1"/>
  <c r="D108" i="33"/>
  <c r="E108" i="33" s="1"/>
  <c r="F108" i="33" s="1"/>
  <c r="N108" i="33" s="1"/>
  <c r="G108" i="33"/>
  <c r="M108" i="33" s="1"/>
  <c r="D109" i="33"/>
  <c r="E109" i="33" s="1"/>
  <c r="F109" i="33" s="1"/>
  <c r="N109" i="33" s="1"/>
  <c r="G109" i="33"/>
  <c r="M109" i="33" s="1"/>
  <c r="D110" i="33"/>
  <c r="E110" i="33" s="1"/>
  <c r="F110" i="33" s="1"/>
  <c r="N110" i="33" s="1"/>
  <c r="G110" i="33"/>
  <c r="M110" i="33" s="1"/>
  <c r="D111" i="33"/>
  <c r="E111" i="33" s="1"/>
  <c r="F111" i="33" s="1"/>
  <c r="N111" i="33" s="1"/>
  <c r="G111" i="33"/>
  <c r="D112" i="33"/>
  <c r="E112" i="33" s="1"/>
  <c r="F112" i="33" s="1"/>
  <c r="N112" i="33" s="1"/>
  <c r="G112" i="33"/>
  <c r="D113" i="33"/>
  <c r="E113" i="33" s="1"/>
  <c r="F113" i="33" s="1"/>
  <c r="G113" i="33"/>
  <c r="D114" i="33"/>
  <c r="E114" i="33" s="1"/>
  <c r="F114" i="33" s="1"/>
  <c r="G114" i="33"/>
  <c r="M114" i="33" s="1"/>
  <c r="D115" i="33"/>
  <c r="E115" i="33" s="1"/>
  <c r="F115" i="33" s="1"/>
  <c r="N115" i="33" s="1"/>
  <c r="G115" i="33"/>
  <c r="D116" i="33"/>
  <c r="E116" i="33" s="1"/>
  <c r="F116" i="33" s="1"/>
  <c r="N116" i="33" s="1"/>
  <c r="G116" i="33"/>
  <c r="M116" i="33" s="1"/>
  <c r="N101" i="33"/>
  <c r="D3" i="33"/>
  <c r="D4" i="33" s="1"/>
  <c r="N102" i="33"/>
  <c r="N114" i="33"/>
  <c r="N113" i="33"/>
  <c r="M115" i="33"/>
  <c r="M113" i="33"/>
  <c r="M112" i="33"/>
  <c r="N105" i="33"/>
  <c r="G18" i="9"/>
  <c r="H103" i="33" l="1"/>
  <c r="J103" i="33" s="1"/>
  <c r="H116" i="33"/>
  <c r="J116" i="33" s="1"/>
  <c r="H115" i="33"/>
  <c r="J115" i="33" s="1"/>
  <c r="H114" i="33"/>
  <c r="J114" i="33" s="1"/>
  <c r="O114" i="33" s="1"/>
  <c r="H113" i="33"/>
  <c r="J113" i="33" s="1"/>
  <c r="H112" i="33"/>
  <c r="J112" i="33" s="1"/>
  <c r="O112" i="33" s="1"/>
  <c r="H111" i="33"/>
  <c r="J111" i="33" s="1"/>
  <c r="H110" i="33"/>
  <c r="J110" i="33" s="1"/>
  <c r="O110" i="33" s="1"/>
  <c r="H109" i="33"/>
  <c r="J109" i="33" s="1"/>
  <c r="O109" i="33" s="1"/>
  <c r="H108" i="33"/>
  <c r="J108" i="33" s="1"/>
  <c r="O108" i="33" s="1"/>
  <c r="H107" i="33"/>
  <c r="J107" i="33" s="1"/>
  <c r="O107" i="33" s="1"/>
  <c r="H106" i="33"/>
  <c r="J106" i="33" s="1"/>
  <c r="O106" i="33" s="1"/>
  <c r="H105" i="33"/>
  <c r="J105" i="33" s="1"/>
  <c r="O105" i="33" s="1"/>
  <c r="H104" i="33"/>
  <c r="J104" i="33" s="1"/>
  <c r="H102" i="33"/>
  <c r="J102" i="33" s="1"/>
  <c r="H101" i="33"/>
  <c r="J101" i="33" s="1"/>
  <c r="O101" i="33" s="1"/>
  <c r="O111" i="33"/>
  <c r="O104" i="33"/>
  <c r="O113" i="33"/>
  <c r="O102" i="33"/>
  <c r="O116" i="33"/>
  <c r="O115" i="33"/>
  <c r="M104" i="33"/>
  <c r="O103" i="33"/>
  <c r="M111" i="3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<sst xmlns="http://schemas.openxmlformats.org/spreadsheetml/2006/main" count="2172" uniqueCount="947">
  <si>
    <t>Data Sources</t>
  </si>
  <si>
    <t>Dataset</t>
  </si>
  <si>
    <t>Dodge 2023</t>
  </si>
  <si>
    <t xml:space="preserve"> </t>
  </si>
  <si>
    <t>Commercial End-Use Survey (CEUS) 2022</t>
  </si>
  <si>
    <t>https://www.energy.ca.gov/publications/2023/2022-california-commercial-end-use-survey-ceus-final-report</t>
  </si>
  <si>
    <t>Commercial Buildings Energy Consumption Survey (CBECS) 2018</t>
  </si>
  <si>
    <t>https://www.eia.gov/consumption/commercial/data/2018/</t>
  </si>
  <si>
    <t>ComStock 2023</t>
  </si>
  <si>
    <t>https://comstock.nlr.gov/page/datasets</t>
  </si>
  <si>
    <t xml:space="preserve">ACM </t>
  </si>
  <si>
    <r>
      <rPr>
        <sz val="10"/>
        <color rgb="FF000000"/>
        <rFont val="Arial"/>
        <family val="2"/>
      </rPr>
      <t>California Energy Commission</t>
    </r>
    <r>
      <rPr>
        <sz val="10"/>
        <color theme="1"/>
        <rFont val="Arial"/>
        <family val="2"/>
      </rPr>
      <t xml:space="preserve"> (CEC) Large Office prototype (CBECC 2022.3.1)</t>
    </r>
  </si>
  <si>
    <t>https://bees.noresco.com/software2022.html</t>
  </si>
  <si>
    <r>
      <rPr>
        <sz val="10"/>
        <color rgb="FF000000"/>
        <rFont val="Arial"/>
        <family val="2"/>
      </rPr>
      <t>Pacific Northwest National Laboratory</t>
    </r>
    <r>
      <rPr>
        <sz val="10"/>
        <color theme="1"/>
        <rFont val="Arial"/>
        <family val="2"/>
      </rPr>
      <t xml:space="preserve"> (PNNL) Large Office prototype (90.1-2022)</t>
    </r>
  </si>
  <si>
    <t>https://www.energycodes.gov/prototype-building-models#Commercial</t>
  </si>
  <si>
    <r>
      <rPr>
        <sz val="10"/>
        <color rgb="FF000000"/>
        <rFont val="Arial"/>
        <family val="2"/>
      </rPr>
      <t>Database for Energy Efficient Resources</t>
    </r>
    <r>
      <rPr>
        <sz val="10"/>
        <color theme="1"/>
        <rFont val="Arial"/>
        <family val="2"/>
      </rPr>
      <t xml:space="preserve"> (DEER) Large prototype (June 2023)</t>
    </r>
  </si>
  <si>
    <t>https://github.com/sound-data/DEER-Prototypes-EnergyPlus</t>
  </si>
  <si>
    <r>
      <rPr>
        <sz val="10"/>
        <color rgb="FF000000"/>
        <rFont val="Arial"/>
        <family val="2"/>
      </rPr>
      <t>Oak Ridge National Laboratory</t>
    </r>
    <r>
      <rPr>
        <sz val="10"/>
        <color theme="1"/>
        <rFont val="Arial"/>
        <family val="2"/>
      </rPr>
      <t xml:space="preserve"> (ORNL) 2019 Large Office prototype zoning</t>
    </r>
  </si>
  <si>
    <t>https://www.sciencedirect.com/science/article/abs/pii/S0306261920312186</t>
  </si>
  <si>
    <t>https://publications.ibpsa.org/proceedings/simbuild/2020/papers/simbuild2020_C064.pdf</t>
  </si>
  <si>
    <t>Massachusetts Large Office prototype</t>
  </si>
  <si>
    <t>https://www.mass.gov/doc/large-office-prototype-basis-of-design-report/download</t>
  </si>
  <si>
    <t>Codes</t>
  </si>
  <si>
    <t>Title 24, part 6, referred to as T24 (1984, 2001, 2008, 2010, 2013, 2022, 2025)</t>
  </si>
  <si>
    <t>https://www.energy.ca.gov/publications/2025/2025-building-energy-efficiency-standards-residential-and-nonresidential</t>
  </si>
  <si>
    <t>https://codes.iccsafe.org/codes/united-states/california</t>
  </si>
  <si>
    <t>2010+</t>
  </si>
  <si>
    <r>
      <rPr>
        <sz val="10"/>
        <color rgb="FF000000"/>
        <rFont val="Arial"/>
        <family val="2"/>
      </rPr>
      <t xml:space="preserve">American Society of Heating, Refrigerating and Air-Conditioning Engineers </t>
    </r>
    <r>
      <rPr>
        <sz val="10"/>
        <color theme="1"/>
        <rFont val="Arial"/>
        <family val="2"/>
      </rPr>
      <t>(ASHRAE) 90.1 (2022)</t>
    </r>
  </si>
  <si>
    <t>https://www.ashrae.org/technical-resources/standards-and-guidelines/read-only-versions-of-ashrae-standards</t>
  </si>
  <si>
    <r>
      <rPr>
        <sz val="10"/>
        <color rgb="FF000000"/>
        <rFont val="Arial"/>
        <family val="2"/>
      </rPr>
      <t>Code of Federal Regulations</t>
    </r>
    <r>
      <rPr>
        <sz val="10"/>
        <color theme="1"/>
        <rFont val="Arial"/>
        <family val="2"/>
      </rPr>
      <t xml:space="preserve"> (CFR)  Title 10 (2010)</t>
    </r>
  </si>
  <si>
    <t xml:space="preserve">https://www.govinfo.gov/content/pkg/FR-2009-03-23/pdf/FR-2009-03-23.pdf </t>
  </si>
  <si>
    <t>CFR Title 10 (2024)</t>
  </si>
  <si>
    <t>https://www.govinfo.gov/content/pkg/CFR-2024-title10-vol3/pdf/CFR-2024-title10-vol3-part431-subpartF.pdf</t>
  </si>
  <si>
    <t>Title 20</t>
  </si>
  <si>
    <t>https://govt.westlaw.com/calregs/Document/I270DCA634B4011EFA8F7F119BAF97AD6?viewType=FullText&amp;originationContext=documenttoc&amp;transitionType=CategoryPageItem&amp;contextData=(sc.Default)</t>
  </si>
  <si>
    <t>Others</t>
  </si>
  <si>
    <t>Alternative Calculation Method (ACM) (2022)</t>
  </si>
  <si>
    <t>https://www.energy.ca.gov/publications/2022/2022-nonresidential-and-multifamily-alternative-calculation-method-reference</t>
  </si>
  <si>
    <t>ACM (2025)</t>
  </si>
  <si>
    <t>https://www.energy.ca.gov/publications/2025/2025-nonresidential-and-multifamily-alternative-calculation-method-reference</t>
  </si>
  <si>
    <t>Nonres ACM 2022, Appendix 5.4A and Appendix 5.4B</t>
  </si>
  <si>
    <r>
      <t>2022 Reduced infiltration</t>
    </r>
    <r>
      <rPr>
        <sz val="10"/>
        <color rgb="FF000000"/>
        <rFont val="Arial"/>
        <family val="2"/>
      </rPr>
      <t xml:space="preserve"> Codes and Standards Enhancemen</t>
    </r>
    <r>
      <rPr>
        <sz val="10"/>
        <color theme="1"/>
        <rFont val="Arial"/>
        <family val="2"/>
      </rPr>
      <t xml:space="preserve">t (CASE) report </t>
    </r>
  </si>
  <si>
    <t>https://title24stakeholders.com/wp-content/uploads/2020/10/2022-T24-Final-CASE-Report_Reduce-Infiltration.pdf</t>
  </si>
  <si>
    <t>2019 Outdoor Lighting CASE Report</t>
  </si>
  <si>
    <t>https://title24stakeholders.com/wp-content/uploads/2016/10/T24-2019-CASE-Study-Results-Report-Outdoor-Sources_Final_with-Attachments.pdf</t>
  </si>
  <si>
    <t>PNNL 20405, 2011</t>
  </si>
  <si>
    <t>https://www.pnnl.gov/main/publications/external/technical_reports/PNNL-20405.pdf</t>
  </si>
  <si>
    <t>Air leakage Memo, NORESCO, 2025</t>
  </si>
  <si>
    <t>Infiltration_rate_report_14May2025-Short-Version.docx</t>
  </si>
  <si>
    <t>Yousefi, F., Athalye, R., (2025), "Determining Vintage Bins for Prototype Development: An Analysis of California Commercial Buildings," ASHRAE Annual Conference</t>
  </si>
  <si>
    <t>https://www.thefreelibrary.com/Determining+Vintage+Bins+for+Prototype+Development%3a+An+Analysis+of...-a0879271125</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</si>
  <si>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</si>
  <si>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</si>
  <si>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Yousefi, F., Athalye, R. (2026). "Developing a New Set of Prototypical Models for Office Buildings in California," IBPSA-USA Conference</t>
  </si>
  <si>
    <t>https://publications.ibpsa.org/conference/paper/?id=simbuild2026_1372</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</si>
  <si>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</si>
  <si>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</si>
  <si>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</si>
  <si>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</si>
  <si>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</si>
  <si>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</si>
  <si>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</si>
  <si>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Total Floor area (thousands of sf)</t>
  </si>
  <si>
    <t xml:space="preserve"> Pre-1978</t>
  </si>
  <si>
    <t>1978-1997</t>
  </si>
  <si>
    <t>1998-2007</t>
  </si>
  <si>
    <t>2008-2018</t>
  </si>
  <si>
    <t>2019-2022</t>
  </si>
  <si>
    <t>New Construction (2019+)</t>
  </si>
  <si>
    <t xml:space="preserve">Source: Dodge Construction Data, 2023 ( NEW large office built after 1967) (STC refers to building types in Dodge terminology). </t>
  </si>
  <si>
    <t>Notes</t>
  </si>
  <si>
    <t xml:space="preserve">OfficeLarge Prototype </t>
  </si>
  <si>
    <t>Information about the geometry and underlying logic of the office prototypes can be found in this paper: Yousefi, F., Athalye, R. (2026). ‘Developing a New Set of Prototypical Models for Office Buildings in California.’ IBPSA-USA Conference.
The link is provided above in the Data Source section. The floor area was slightly modified in some spaces during the geometry‑drawing phase.
Footprint (floor area of each story): Supported by Dodge 2023 data and consistent with the existing Large Office prototypes
Zone configuration and floor plan layout: Based on the ORNL 2019 project, with modifications informed by engineering and architectural judgment (see the "Zones" tab for more details)</t>
  </si>
  <si>
    <t xml:space="preserve"> Large office building is defined as any office building with a total area &gt;150,000 sf, by analyzing Dodge 2023 data.</t>
  </si>
  <si>
    <t>Large office buildings cover approximately 52% of the floor area and 7% of the total number of the CA office buildings (according to the Dodge 2023 datasets).</t>
  </si>
  <si>
    <t>Only  2% of offices in CA have stories &gt;6 and area &lt;150,000. (according to the Dodge 2023 datasets)</t>
  </si>
  <si>
    <r>
      <t>Analysis of the Dodge 2023 dataset (see table and chart below) shows that the median and average number of stories and total floor area (</t>
    </r>
    <r>
      <rPr>
        <u/>
        <sz val="10"/>
        <color theme="1"/>
        <rFont val="Arial"/>
        <family val="2"/>
      </rPr>
      <t>not footprint of each story</t>
    </r>
    <r>
      <rPr>
        <sz val="10"/>
        <color theme="1"/>
        <rFont val="Arial"/>
        <family val="2"/>
      </rPr>
      <t>) are considerably smaller than those represented in the existing prototypes developed by PNNL and CBECC. This suggests that a smaller prototype might better reflect the California building stock. However, we have chosen to continue using the existing prototype floor area and number of stories for the following reasons:
'- Developing a smaller prototype would make the CEC prototype different from national Large Office prototype.
'- Change would likely have little impact on energy consumption on a per sf basis (kBTU/sf), nor would it result in different HVAC system design .</t>
    </r>
  </si>
  <si>
    <t>Statical Analysis of the CA Large Office Building Stock (STC:7,305,405 &amp; floor area&gt;150 ksf)</t>
  </si>
  <si>
    <t>No. of Stories</t>
  </si>
  <si>
    <t xml:space="preserve">Footprint (sf) </t>
  </si>
  <si>
    <t>Total Area (sf)</t>
  </si>
  <si>
    <t>Median</t>
  </si>
  <si>
    <t>Average</t>
  </si>
  <si>
    <t>Source: Dodge 2023 data ( NEW large office buildings built after 1967)</t>
  </si>
  <si>
    <t>Existing Large Office Prototype</t>
  </si>
  <si>
    <t>Footprint* (sf)</t>
  </si>
  <si>
    <t>CBECC (CEC) 2022</t>
  </si>
  <si>
    <t>PNNL ASHRAE 90.1 2022</t>
  </si>
  <si>
    <t>DEER (CPUC) 2024</t>
  </si>
  <si>
    <t>OfficeLarge</t>
  </si>
  <si>
    <t>Characteristic</t>
  </si>
  <si>
    <t>Value</t>
  </si>
  <si>
    <t>Building Type</t>
  </si>
  <si>
    <t>Large Office</t>
  </si>
  <si>
    <t>Building Category</t>
  </si>
  <si>
    <t>Nonresidential</t>
  </si>
  <si>
    <t>Version</t>
  </si>
  <si>
    <t>v2-0</t>
  </si>
  <si>
    <t>Vintages</t>
  </si>
  <si>
    <t>4 Vintages: Pre-1978 , 1978-1997 ,1998-2007 , 2008-2018
New Construction (2019+)</t>
  </si>
  <si>
    <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</si>
  <si>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</si>
  <si>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r>
      <t xml:space="preserve">Assume number of floors based on the existing Large Office prototypes (PNNL, CEC)
Assume rectangular shape; supported by CBECS, CEC, and PNNL
</t>
    </r>
    <r>
      <rPr>
        <sz val="10"/>
        <color rgb="FF000000"/>
        <rFont val="Arial"/>
        <family val="2"/>
      </rPr>
      <t>The logic behind the geometry of the CalBEM Office prototypes' shell is described in the following paper, with a link provided in the Notes tab:
Yousefi, F., &amp; Athalye, R. (2026). "Developing a New Set of Prototypical Models for Office Buildings in California", IBPSA-USA Conference.</t>
    </r>
  </si>
  <si>
    <t>Total Floor Area (ft2)</t>
  </si>
  <si>
    <t>498,589 (240 ft *160 ft)</t>
  </si>
  <si>
    <t>Supported by Dodge 2023 data (Same as CEC and PNNL)</t>
  </si>
  <si>
    <t>Aspect Ratio</t>
  </si>
  <si>
    <t>Assumption; same as CEC and PNNL Large Office prototype</t>
  </si>
  <si>
    <t>Number of Floors</t>
  </si>
  <si>
    <t>12 Floor + basement</t>
  </si>
  <si>
    <t>Number of floors: based on the existing Large Office prototypes (PNNL,CEC)</t>
  </si>
  <si>
    <t>Roof type</t>
  </si>
  <si>
    <t xml:space="preserve">Flat </t>
  </si>
  <si>
    <t>Supported by CBECS 2018 data  (Same as CEC and PNNL)</t>
  </si>
  <si>
    <t>WWR</t>
  </si>
  <si>
    <t>40% of the above grade wall</t>
  </si>
  <si>
    <t>Window dimensions</t>
  </si>
  <si>
    <t>Even distribution</t>
  </si>
  <si>
    <t>Shading Geometry</t>
  </si>
  <si>
    <t>None</t>
  </si>
  <si>
    <t>Floor to floor height (feet)</t>
  </si>
  <si>
    <t>Assumption, standard ceiling height in office buildings; same as CEC and PNNL Large Office prototype.</t>
  </si>
  <si>
    <t>Floor to ceiling height (feet)</t>
  </si>
  <si>
    <t>Glazing sill height (feet)</t>
  </si>
  <si>
    <t>Building</t>
  </si>
  <si>
    <t>Space/ Thermal Zone</t>
  </si>
  <si>
    <r>
      <rPr>
        <b/>
        <sz val="10"/>
        <color rgb="FF000000"/>
        <rFont val="Arial"/>
        <family val="2"/>
      </rPr>
      <t xml:space="preserve">Space Type
</t>
    </r>
    <r>
      <rPr>
        <b/>
        <sz val="10"/>
        <color rgb="FF000000"/>
        <rFont val="Arial"/>
        <family val="2"/>
      </rPr>
      <t>[Primarily from: T24, 2022 Appendix 5.4A] - See Notes column</t>
    </r>
  </si>
  <si>
    <t>HVAC System Name
New Construction</t>
  </si>
  <si>
    <t>HVAC System Name
Vintage 1-4</t>
  </si>
  <si>
    <t>Schedule Category</t>
  </si>
  <si>
    <t>Conditioned (Y/N)</t>
  </si>
  <si>
    <t xml:space="preserve">Area Fraction </t>
  </si>
  <si>
    <t>Area (ft²)</t>
  </si>
  <si>
    <t>Volume 
(ft³)</t>
  </si>
  <si>
    <t>Multipliers</t>
  </si>
  <si>
    <t>Number of People</t>
  </si>
  <si>
    <t xml:space="preserve">People 
(Persons/1,000 ft²)
[T24, 2025,Table 120.1-A] </t>
  </si>
  <si>
    <t>Total area fraction</t>
  </si>
  <si>
    <t>Thermal Zone Layout - Each space has its own thermal zone</t>
  </si>
  <si>
    <t>Perimeter_Open_Office_N_Basement</t>
  </si>
  <si>
    <t>Office Area (&gt;250 square feet)</t>
  </si>
  <si>
    <t xml:space="preserve"> VAV With Reheat_Basement</t>
  </si>
  <si>
    <t>VAV_Basement</t>
  </si>
  <si>
    <t>Office</t>
  </si>
  <si>
    <t>Yes</t>
  </si>
  <si>
    <t>Perimeter_Open_Office_S_Basement</t>
  </si>
  <si>
    <t>Basement</t>
  </si>
  <si>
    <t>First Floor</t>
  </si>
  <si>
    <t>Middle/Top Floors</t>
  </si>
  <si>
    <t>Core_Enclosed_Office_Basement</t>
  </si>
  <si>
    <t>Server_Room_Basement</t>
  </si>
  <si>
    <t>Server Room (EPD 45)</t>
  </si>
  <si>
    <t>CRAH_ServerRoom_Basement</t>
  </si>
  <si>
    <t>Data</t>
  </si>
  <si>
    <t>New space type defined for this prototype.</t>
  </si>
  <si>
    <t>Mech/Elec_Basement</t>
  </si>
  <si>
    <t>Electrical, Mechanical, Telephone Rooms</t>
  </si>
  <si>
    <t>Ancillary</t>
  </si>
  <si>
    <t>Conference_Basement</t>
  </si>
  <si>
    <t>Convention, Conference, Multipurpose and Meeting Area</t>
  </si>
  <si>
    <t>BreakRoom/FoodPrep_Basement</t>
  </si>
  <si>
    <t>Lounge, Breakroom, or Waiting Area</t>
  </si>
  <si>
    <t>Storage_Basement</t>
  </si>
  <si>
    <t>Storage (General)</t>
  </si>
  <si>
    <t>Occupant  load density for storage is based on Title 24, 2025, Appendix 5.4A.</t>
  </si>
  <si>
    <t>Restroom_Basement</t>
  </si>
  <si>
    <t>Restrooms</t>
  </si>
  <si>
    <t>Indirectly conditioned</t>
  </si>
  <si>
    <t>Lobby/Lounge_Basement</t>
  </si>
  <si>
    <t>Increased the ASHRAE 62.1 number of people (10) since this area is more of a lounge/lobby space and not main entry lobby.
Number of People: 10 according to ASHRAE 62.1 Table 6-1 for main entry lobbies
T24: 33 for main Entry lobbies &amp; 5 for reception area</t>
  </si>
  <si>
    <t>Stair/Elevator_Basement</t>
  </si>
  <si>
    <t>Stairwell</t>
  </si>
  <si>
    <t>Corridor_W_Basement</t>
  </si>
  <si>
    <t>Corridor Area</t>
  </si>
  <si>
    <t>Corridor_E_Basement</t>
  </si>
  <si>
    <t>Perimeter_Open_Office_N_FloorG</t>
  </si>
  <si>
    <t xml:space="preserve"> VAV With Reheat_FloorG</t>
  </si>
  <si>
    <t>AHU VAV_FloorG</t>
  </si>
  <si>
    <t>Perimeter_Open_Office_W_FloorG</t>
  </si>
  <si>
    <t>Perimeter_Open_Office_E_FloorG</t>
  </si>
  <si>
    <t>Perimeter_Enclosed_Office_NE_FloorG</t>
  </si>
  <si>
    <t>Perimeter_Enclosed_Office_NW_FloorG</t>
  </si>
  <si>
    <t>Core_Enclosed_Office_FloorG</t>
  </si>
  <si>
    <t>Area Distribution By Space Type</t>
  </si>
  <si>
    <t>Server_Room_FloorG</t>
  </si>
  <si>
    <t>Computer Room (EPD 20)</t>
  </si>
  <si>
    <t>CRAC DX Clg_FloorG</t>
  </si>
  <si>
    <t>Space Type</t>
  </si>
  <si>
    <t>Area (ft2)​</t>
  </si>
  <si>
    <t>% of footprint</t>
  </si>
  <si>
    <t>Mech/Elec_FloorG</t>
  </si>
  <si>
    <t>Open office​</t>
  </si>
  <si>
    <t>Conference_FloorG</t>
  </si>
  <si>
    <t>Core Enclosed Office​</t>
  </si>
  <si>
    <t>BreakRoom_FloorG</t>
  </si>
  <si>
    <t>Perimeter Enclosed Office​</t>
  </si>
  <si>
    <t>_</t>
  </si>
  <si>
    <t>FoodPrep_FloorG</t>
  </si>
  <si>
    <t>Kitchen/Food Preparation Area</t>
  </si>
  <si>
    <t>Conference​</t>
  </si>
  <si>
    <t>Storage_FloorG</t>
  </si>
  <si>
    <t>Break + Food prep​</t>
  </si>
  <si>
    <t>Locker_FloorG</t>
  </si>
  <si>
    <t>Locker Room</t>
  </si>
  <si>
    <t xml:space="preserve">Based on 2022 CEC AP5 </t>
  </si>
  <si>
    <t>Storage​</t>
  </si>
  <si>
    <t>Storage​+locker</t>
  </si>
  <si>
    <t>Lobby_S_FloorG</t>
  </si>
  <si>
    <t>Lobby, Main Entry</t>
  </si>
  <si>
    <t>According to ASHRAE 62.1 Table 6-1 for main entry lobbies</t>
  </si>
  <si>
    <t>Mech/Elec​</t>
  </si>
  <si>
    <t>Lobby/Lounge_FloorG</t>
  </si>
  <si>
    <t>Increased the ASHRAE 62.1 number of people (10) since this area is more of a lounge/lobby space and not main entry lobby.</t>
  </si>
  <si>
    <t>Server Room​</t>
  </si>
  <si>
    <t>Restroom_FloorG</t>
  </si>
  <si>
    <t>Corridor​</t>
  </si>
  <si>
    <t>Stair/Elevator_FloorG</t>
  </si>
  <si>
    <t>Restroom​</t>
  </si>
  <si>
    <t>Corridor_W_FloorG</t>
  </si>
  <si>
    <t>Lobby​/Lounge</t>
  </si>
  <si>
    <t>Corridor_E_FloorG</t>
  </si>
  <si>
    <t>Stair/Elevator​</t>
  </si>
  <si>
    <t>Plenum_FloorG</t>
  </si>
  <si>
    <t>Plenum</t>
  </si>
  <si>
    <t>-</t>
  </si>
  <si>
    <t>No</t>
  </si>
  <si>
    <t>Plenum​</t>
  </si>
  <si>
    <t>38,353 ​</t>
  </si>
  <si>
    <t>Perimeter_Open_Office_N_FloorM</t>
  </si>
  <si>
    <t xml:space="preserve"> VAV With Reheat_FloorM</t>
  </si>
  <si>
    <t>AHU VAV_FloorM</t>
  </si>
  <si>
    <t xml:space="preserve">Total </t>
  </si>
  <si>
    <t>Total</t>
  </si>
  <si>
    <t>Perimeter_Open_Office_S_FloorM</t>
  </si>
  <si>
    <t>Perimeter_Open_Office_E_FloorM</t>
  </si>
  <si>
    <t>Perimeter_Open_Office_W_FloorM</t>
  </si>
  <si>
    <t>Perimeter_Enclosed_Office_NE_FloorM</t>
  </si>
  <si>
    <t>%  Area</t>
  </si>
  <si>
    <t>Perimeter_Enclosed_Office_NW_FloorM</t>
  </si>
  <si>
    <t>Perimeter_Enclosed_Office_SW_FloorM</t>
  </si>
  <si>
    <t>Perimeter_Enclosed_Office_SE_FloorM</t>
  </si>
  <si>
    <t>Core_Enclosed_Office_FloorM</t>
  </si>
  <si>
    <t>Server_Room_FloorM</t>
  </si>
  <si>
    <t xml:space="preserve"> CRAC DX Clg_FloorM</t>
  </si>
  <si>
    <t>Mech/Elec_FloorM</t>
  </si>
  <si>
    <t>Conference_N_FloorM</t>
  </si>
  <si>
    <t>Conference_W_FloorM</t>
  </si>
  <si>
    <t>Conference_S_FloorM</t>
  </si>
  <si>
    <t>Conference_E_FloorM</t>
  </si>
  <si>
    <t>Break/FoorPrep_FloorM</t>
  </si>
  <si>
    <t>Storage_FloorM</t>
  </si>
  <si>
    <t>Lobby/Lounge_FloorM</t>
  </si>
  <si>
    <t>Appendix 5.4A assigns 2.5 occupants to kitchenette spaces, but because this room serves as a combined break/kitchenette area—and break rooms assume 33 occupants—we applied a midpoint value. The lounge overlaps functionally with the break area, so its occupant count (33) was reduced to 15 to keep overall loads balanced.</t>
  </si>
  <si>
    <t>Restroom_FloorM</t>
  </si>
  <si>
    <t>Stair/Elevator_FloorM</t>
  </si>
  <si>
    <t>Corridor_W_FloorM</t>
  </si>
  <si>
    <t>Corridor_E_FloorM</t>
  </si>
  <si>
    <t>Plenum_FloorM</t>
  </si>
  <si>
    <t>Perimeter_Open_Office_N_FloorT</t>
  </si>
  <si>
    <t>VAV With Reheat_FloorT</t>
  </si>
  <si>
    <t>AHU VAV_FloorT</t>
  </si>
  <si>
    <t>Perimeter_Open_Office_S_FloorT</t>
  </si>
  <si>
    <t>Perimeter_Open_Office_E_FloorT</t>
  </si>
  <si>
    <t>Perimeter_Open_Office_W_FloorT</t>
  </si>
  <si>
    <t>Perimeter_Enclosed_Office_NE_FloorT</t>
  </si>
  <si>
    <t>Perimeter_Enclosed_Office_NW_FloorT</t>
  </si>
  <si>
    <t>Perimeter_Enclosed_Office_SW_FloorT</t>
  </si>
  <si>
    <t>Perimeter_Enclosed_Office_SE_FloorT</t>
  </si>
  <si>
    <t>Core_Enclosed_Office_FloorT</t>
  </si>
  <si>
    <t>Server_Room_FloorT</t>
  </si>
  <si>
    <t xml:space="preserve"> CRAC DX Clg_FloorT</t>
  </si>
  <si>
    <t>Mech/Elec_FloorT</t>
  </si>
  <si>
    <t>Conference_N_FloorT</t>
  </si>
  <si>
    <t>Conference_W_FloorT</t>
  </si>
  <si>
    <t>Conference_S_FloorT</t>
  </si>
  <si>
    <t>Conference_E_FloorT</t>
  </si>
  <si>
    <t>BreakRoom/FoodPrep_FloorT</t>
  </si>
  <si>
    <t>Storage_FloorT</t>
  </si>
  <si>
    <t>Lobby/Lounge_FloorT</t>
  </si>
  <si>
    <t>Restroom_FloorT</t>
  </si>
  <si>
    <t>Stair/Elevator_FloorT</t>
  </si>
  <si>
    <t>Corridor_W_FloorT</t>
  </si>
  <si>
    <t>Corridor_E_FloorT</t>
  </si>
  <si>
    <t>Plenum_FloorT</t>
  </si>
  <si>
    <t xml:space="preserve"> Total ( 1 Building)</t>
  </si>
  <si>
    <t xml:space="preserve"> Total Zones in E+: 79
  Total with multiplier: 286</t>
  </si>
  <si>
    <t xml:space="preserve"> Total (13 Space Types)</t>
  </si>
  <si>
    <t xml:space="preserve"> Total systems in E+: 8
  Total with multiplier: 26</t>
  </si>
  <si>
    <t xml:space="preserve"> Total systems in E+: 8
  Total with multiplier: 27</t>
  </si>
  <si>
    <t xml:space="preserve"> Total (1 category)</t>
  </si>
  <si>
    <t xml:space="preserve"> Total zones in E+: 76 conditioned and 3 unconditioned.
  Total with multiplier: 274 Conditioned , 12 Unconditioned )</t>
  </si>
  <si>
    <t>Element</t>
  </si>
  <si>
    <t>Prototype</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</si>
  <si>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</si>
  <si>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</si>
  <si>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</si>
  <si>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</si>
  <si>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</si>
  <si>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</si>
  <si>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</si>
  <si>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</si>
  <si>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</si>
  <si>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</si>
  <si>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</si>
  <si>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</si>
  <si>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</si>
  <si>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</si>
  <si>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</si>
  <si>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</si>
  <si>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</si>
  <si>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</si>
  <si>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</si>
  <si>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</si>
  <si>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</si>
  <si>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 xml:space="preserve">External Wall </t>
  </si>
  <si>
    <t>ExtWall_MetalFramed_NonRes</t>
  </si>
  <si>
    <r>
      <rPr>
        <sz val="10"/>
        <color rgb="FF000000"/>
        <rFont val="Arial"/>
        <family val="2"/>
      </rPr>
      <t xml:space="preserve">Metal framed wall:
</t>
    </r>
    <r>
      <rPr>
        <sz val="10"/>
        <color rgb="FF000000"/>
        <rFont val="Arial"/>
        <family val="2"/>
      </rPr>
      <t>Metal frame + insulation + Gypsum board</t>
    </r>
  </si>
  <si>
    <t>U-factor IP</t>
  </si>
  <si>
    <t>Pre 1978</t>
  </si>
  <si>
    <t>N/A</t>
  </si>
  <si>
    <t>Using DOE pre-1980 U-values and a 7.4% cumulative wall renovation rate through 2028, based on the average annual rate from CBECS 2003 and 2012 projected over 48 years.</t>
  </si>
  <si>
    <r>
      <rPr>
        <sz val="10"/>
        <color rgb="FF000000"/>
        <rFont val="Arial"/>
        <family val="2"/>
      </rPr>
      <t xml:space="preserve">High-rise office: Package A with heat capacity  </t>
    </r>
    <r>
      <rPr>
        <sz val="10"/>
        <color rgb="FF000000"/>
        <rFont val="Arial"/>
        <family val="2"/>
      </rPr>
      <t xml:space="preserve"> 0-3.99 </t>
    </r>
    <r>
      <rPr>
        <sz val="10"/>
        <color rgb="FF000000"/>
        <rFont val="Arial"/>
        <family val="2"/>
      </rPr>
      <t>(BTU/F/ft2)</t>
    </r>
  </si>
  <si>
    <t>These values have better performance than the next vintage</t>
  </si>
  <si>
    <t>TABLE 1-H</t>
  </si>
  <si>
    <t>TABLE 140.3-B</t>
  </si>
  <si>
    <t>Existing</t>
  </si>
  <si>
    <t>Weighted average of all 4 vintages</t>
  </si>
  <si>
    <t>2019+</t>
  </si>
  <si>
    <t>Table 140.3-B (In Nonres Section)</t>
  </si>
  <si>
    <t>Roof</t>
  </si>
  <si>
    <t>FlatRoof_WoodFramedAndOther_NonRes</t>
  </si>
  <si>
    <r>
      <rPr>
        <sz val="10"/>
        <color rgb="FF000000"/>
        <rFont val="Arial"/>
        <family val="2"/>
      </rPr>
      <t xml:space="preserve">Metal deck roof:
</t>
    </r>
    <r>
      <rPr>
        <sz val="10"/>
        <color rgb="FF000000"/>
        <rFont val="Arial"/>
        <family val="2"/>
      </rPr>
      <t>Metal deck + insulation + Roof membrane</t>
    </r>
  </si>
  <si>
    <t>Considering 30 years for roof/ insulation replacement.</t>
  </si>
  <si>
    <t>Windows</t>
  </si>
  <si>
    <t>FixedWindow_NonRes</t>
  </si>
  <si>
    <t xml:space="preserve">CBECS 2018 shows that ~50% of large offices that were built before 2000 are single pane </t>
  </si>
  <si>
    <t>ASHRAE Handbook of Fundamentals for single pane (Table 4-Ch15)  &amp; T24, 2013  for double pane(50%-50%)*</t>
  </si>
  <si>
    <t>Double pane</t>
  </si>
  <si>
    <t>SHGC</t>
  </si>
  <si>
    <t>ASHRAE Handbook of Fundamentals for single pane (Table 10-Ch15)  &amp; T24, 2013  for double pane(50%-50%)*</t>
  </si>
  <si>
    <r>
      <rPr>
        <sz val="10"/>
        <color rgb="FF000000"/>
        <rFont val="Arial"/>
        <family val="2"/>
      </rPr>
      <t>WWR:</t>
    </r>
    <r>
      <rPr>
        <sz val="10"/>
        <color rgb="FF000000"/>
        <rFont val="Arial"/>
        <family val="2"/>
      </rPr>
      <t>30-40</t>
    </r>
    <r>
      <rPr>
        <sz val="10"/>
        <color rgb="FF000000"/>
        <rFont val="Arial"/>
        <family val="2"/>
      </rPr>
      <t xml:space="preserve"> / SHGC non-north (Non-north SHGC is more stringent than north and is therefore considered for all sides)</t>
    </r>
  </si>
  <si>
    <r>
      <t xml:space="preserve">Infiltration rate at normal pressure (cfm/ft2) </t>
    </r>
    <r>
      <rPr>
        <sz val="12"/>
        <color rgb="FFFFFFFF"/>
        <rFont val="Arial"/>
        <family val="2"/>
      </rPr>
      <t xml:space="preserve">(Design flow rate approach and Flow/Exterior Wall Area calculation method) </t>
    </r>
  </si>
  <si>
    <t>Zones</t>
  </si>
  <si>
    <t>I_75 (cfm/sf)
6-sdied Infiltration rate 
@ 75 pa</t>
  </si>
  <si>
    <t>Note</t>
  </si>
  <si>
    <t xml:space="preserve"> I-design (cfm/ft2) 
(4-sided Infiltration rate at normal pressure) 
(Design flow rate approach and Flow/Exterior Wall Area calculation method) </t>
  </si>
  <si>
    <t>Infiltration</t>
  </si>
  <si>
    <t>2022 CASE report (Table 38)</t>
  </si>
  <si>
    <t xml:space="preserve">Building 4 sided area (ft2) </t>
  </si>
  <si>
    <t xml:space="preserve">Building 6 sided area (ft2) </t>
  </si>
  <si>
    <t xml:space="preserve">6 sided /4 sided factor </t>
  </si>
  <si>
    <t>2022 CASE report (Table 38) &amp;
Title 24, part 6, 2008-2016 (Table 140.3-B)</t>
  </si>
  <si>
    <r>
      <t>Floor or roof area (ft</t>
    </r>
    <r>
      <rPr>
        <vertAlign val="superscript"/>
        <sz val="10"/>
        <color rgb="FF000000"/>
        <rFont val="Arial"/>
        <family val="2"/>
      </rPr>
      <t>2</t>
    </r>
    <r>
      <rPr>
        <sz val="10"/>
        <color rgb="FF000000"/>
        <rFont val="Arial"/>
        <family val="2"/>
      </rPr>
      <t>)</t>
    </r>
  </si>
  <si>
    <t>Same as Pre 2008 because of their higher weights</t>
  </si>
  <si>
    <t>Walls area (ft2)</t>
  </si>
  <si>
    <t>2022 CASE report (Table 38) &amp;  
Title 24, part 6, 2025 (Table 140.3-B)</t>
  </si>
  <si>
    <t>Source:  Title 24 air barrier requirements (all editions) and the standardized infiltration rate reported in the 2022 CASE report and Dodge 2023 data</t>
  </si>
  <si>
    <t xml:space="preserve">Air Leakage Memo: </t>
  </si>
  <si>
    <t xml:space="preserve">*Note for windows properties in vintage 1 &amp;2 : </t>
  </si>
  <si>
    <t xml:space="preserve">We’ve considered a 50% single-pane and 50% double-pane mix (based on the 2013 requirements) for the window properties in Vintage 1 &amp; 2 (pre-1998 buildings). </t>
  </si>
  <si>
    <t>We don't have California-specific data, and the decision was based on the CBECS 2018 data, which indicates:</t>
  </si>
  <si>
    <t xml:space="preserve"> - 30% of large offices built before 1978 have mixed windows, while only 16% of large offices from the second vintage (1978-1997) have mixed glass.</t>
  </si>
  <si>
    <t xml:space="preserve"> - Pre-1980: Among those with either single or double-pane windows, 70% have single-pane windows, and 30% have double-pane windows.</t>
  </si>
  <si>
    <t xml:space="preserve"> - 1980-1999: Among those with either single or double-pane windows, 43% have single-pane windows, and 57% have double-pane windows.</t>
  </si>
  <si>
    <t xml:space="preserve"> - Pre-2000: Among those with either single or double-pane windows,  49% have single pane windows.</t>
  </si>
  <si>
    <t>Considering the Pre-2000 percentage, it was decided to apply the 50%-50% mix to the window properties of the first two vintages.</t>
  </si>
  <si>
    <t>Pre-1978 exterior wall U value calculation:</t>
  </si>
  <si>
    <t>Metal framed wall:
Metal frame + insulation + Gypsum board</t>
  </si>
  <si>
    <t>U-value IP</t>
  </si>
  <si>
    <t>ASHRAE 90.1 Table A3.3.3.1, 16" on center, R-0</t>
  </si>
  <si>
    <t>T24 2008 (U value)</t>
  </si>
  <si>
    <t>DOE pre 1980 Office prototype LA (U value)</t>
  </si>
  <si>
    <t xml:space="preserve">Renovation rate since 1980  (yearly renovation rate was calculated from CBECS 2003 and 2012 and then projected over 48 years) </t>
  </si>
  <si>
    <t>Existing HVAC System Layout _ Each floor is served by one HVAC system</t>
  </si>
  <si>
    <t xml:space="preserve">Heating </t>
  </si>
  <si>
    <t>Cooling</t>
  </si>
  <si>
    <t>Air Distribution</t>
  </si>
  <si>
    <t>Other Systems</t>
  </si>
  <si>
    <t>Source</t>
  </si>
  <si>
    <t xml:space="preserve">Existing </t>
  </si>
  <si>
    <t>Server Room_B</t>
  </si>
  <si>
    <t>built up CRAH with chilled water coils
(Computer Room Air Handling unit)</t>
  </si>
  <si>
    <t xml:space="preserve">CAV </t>
  </si>
  <si>
    <t>Fluid Economizer for vintage 4</t>
  </si>
  <si>
    <t>Engineering Judgement</t>
  </si>
  <si>
    <t>Server_Room_G
Server_Room_M
Server_Room_T</t>
  </si>
  <si>
    <t xml:space="preserve">DX Computer Room Air Conditioner (CRAC) </t>
  </si>
  <si>
    <t>CAV</t>
  </si>
  <si>
    <t>All other conditioned zones</t>
  </si>
  <si>
    <t>Gas Boiler</t>
  </si>
  <si>
    <t>Chiller
(it also serves the Server_Room_B zone)</t>
  </si>
  <si>
    <t>VAV with hydronic reheat</t>
  </si>
  <si>
    <t>OA mixing through air handler
Economizer for Vintage 2, 3 and 4
DCV for Vintage 4 (for qualifying high density rooms)</t>
  </si>
  <si>
    <t>CEUS 2022</t>
  </si>
  <si>
    <t>New Construction</t>
  </si>
  <si>
    <t>Fluid Economizer</t>
  </si>
  <si>
    <t>T24 2025</t>
  </si>
  <si>
    <t>OA mixing through air handler
ERV
Economizer
DCV for qualifying high density rooms</t>
  </si>
  <si>
    <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</si>
  <si>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</si>
  <si>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DX Computer Room Air Conditioner Server_Room_G/M/T (CRAC)</t>
  </si>
  <si>
    <t>Chiller</t>
  </si>
  <si>
    <t>Heat Rejection (Cooling Tower)</t>
  </si>
  <si>
    <t xml:space="preserve">Sources </t>
  </si>
  <si>
    <t>11 EER for &lt;65 kBtu/h
10.4 EER for 65-135 kBtu/h
 10.2 EER for 135-240 kBtu/h</t>
  </si>
  <si>
    <t xml:space="preserve">Water Cooled, 
Electrically Operated, 
Centrifugal--≥ 300 tons 
6.10 COP
6.40 IPLV </t>
  </si>
  <si>
    <t>80% Ec</t>
  </si>
  <si>
    <t xml:space="preserve"> Axial fan 
Open-circuit cooling 
tower--95°F entering water 
85°F leaving water 
75°F entering air wb--≥ 38.2 gpm/hp </t>
  </si>
  <si>
    <t>CRAC: California Title 20 Appliance Efficiency Regulations, §1605.3(c)(2), Tables C-9 (2008)
T24, Table 112-D (for chiller COP)(2008)
California Title 20 Appliance Efficiency Regulations, Table E-3 for Boiler Efficiency (2008)
T24, Table 112-G (Performance Requirements for Heat Rejection Equipment) (2008)</t>
  </si>
  <si>
    <t>Two centrifugal chillers  (Total cooling plant load &gt; 600 tons)
Two atmospheric boilers (no combustion air fans)</t>
  </si>
  <si>
    <r>
      <t xml:space="preserve">2013
</t>
    </r>
    <r>
      <rPr>
        <sz val="10"/>
        <color rgb="FF000000"/>
        <rFont val="Arial"/>
        <family val="2"/>
      </rPr>
      <t xml:space="preserve"> This system will be used for the Collapsed version</t>
    </r>
  </si>
  <si>
    <t>SCOP= 
2.44 for &lt;65 kBtu/h
2.34 for 65-240 kBtu/h
2.24 for &gt;240 kBtu/h</t>
  </si>
  <si>
    <t>Water Cooled, 
Electrically Operated, 
Centrifugal--≥ 300 tons and &lt; 600 tons  
≤ 0.600  kW/ton (Path B)
≤ 0.400 IPLV (Path B)</t>
  </si>
  <si>
    <t>Gas-Fired Boiler &gt; 300,000 Btu/h and 
≤2,500,000 Btu/h-- 80% Et 
Gas-Fired Boiler &gt; 2,500,000 Btu/h -- 82% Ec
&lt; 300,000 Btu/h  82% AFUE</t>
  </si>
  <si>
    <t xml:space="preserve"> Axial fan 
Open-circuit cooling 
tower--95°F entering water 
85°F leaving water 
75°F entering air wb--≥ 42.1 gpm/hp </t>
  </si>
  <si>
    <t>CRAC: 10 CFR §431.97(f)(1), Table 7 (2013)
T24, Table 110.2-D (for chiller COP) (2013)
T24, Table 110.2-K (for Boiler thermal efficiency) (2013)
T24, Table 110.2-G (Performance Requirements for Heat Rejection Equipment) (2013)</t>
  </si>
  <si>
    <t>water-cooled centrifugal chillers
Two Boilers each with capacity between 300-2,500 KBTU/hr</t>
  </si>
  <si>
    <t>NSenCOP=
2.09 for &lt;65 kBtu/h
 1.99 for 65-240 kBtu/h
1,81 for &gt;240 kBtu/h</t>
  </si>
  <si>
    <t>Water Cooled, 
Electrically Operated, 
Positive displacement--≥ 300 tons and 
&lt; 600 tons
≤ 0.625 kW/ton (Path B)
≤ 0.410 IPLV (Path B)</t>
  </si>
  <si>
    <t>Gas-Fired Boiler &gt; 300,000 Btu/h and 
≤2,500,000 Btu/h-- 80% Et 
Gas-Fired Boiler &gt; 2,500,000 Btu/h -- 82% Ec</t>
  </si>
  <si>
    <t>CRAC: 10 CFR § 431.97, Table 13 (2025)
T24, Table 110.2-D (for chiller COP)(2025)
10 CFR 431.86 , section § 431.87 Table 1 (for Boiler thermal efficiency)(2025)
T24, Table 110.2-E  (Performance Requirements for Heat Rejection Equipment)(2025)</t>
  </si>
  <si>
    <t xml:space="preserve"> Two water-cooled screw chillers (Each between 300-600 tons), Path B, Positive displacement chiller with design leaving fluid temperature ≤ 32°F
Two Boilers each with capacity between 300-2,500 KBTU/hr</t>
  </si>
  <si>
    <t>Fan power</t>
  </si>
  <si>
    <t>Approach</t>
  </si>
  <si>
    <t>System</t>
  </si>
  <si>
    <t>Total Static Pressure (in. w.c.)</t>
  </si>
  <si>
    <t>Fan Efficiency</t>
  </si>
  <si>
    <t>Motor Efficiency</t>
  </si>
  <si>
    <t>Fan Power Index (W/cfm)</t>
  </si>
  <si>
    <t>Data Source</t>
  </si>
  <si>
    <t>PNNL 90.1-2011, TSP</t>
  </si>
  <si>
    <t>CRAC/CRAH CAV &lt; 7,437 cfm</t>
  </si>
  <si>
    <t>ASHRAE 90.1-2004 Table 10.8</t>
  </si>
  <si>
    <t>PNNL 20405 Table 5.11</t>
  </si>
  <si>
    <t>CRAC/CRAH CAV &gt;= 7,437 cfm</t>
  </si>
  <si>
    <t>VAV &gt; 4,648 cfm</t>
  </si>
  <si>
    <t>ACM 2025</t>
  </si>
  <si>
    <t>CRAC/CRAH</t>
  </si>
  <si>
    <t>TSP = fan power x motor efficiency x fan efficiency x 6356 / 746</t>
  </si>
  <si>
    <t>ACM 2025 Table 12</t>
  </si>
  <si>
    <t>Computer room fan power index</t>
  </si>
  <si>
    <t>System 6 VAV, by supply cfm</t>
  </si>
  <si>
    <t>0.977 &lt;=5,000; 1.013 &lt;=10,000; 0.947 &gt;10,000</t>
  </si>
  <si>
    <t>ACM 2025 Table 13</t>
  </si>
  <si>
    <t>Background Data [To be deleted prior to publication]</t>
  </si>
  <si>
    <t>Existing prototypes:</t>
  </si>
  <si>
    <t>Space</t>
  </si>
  <si>
    <t>System No.</t>
  </si>
  <si>
    <t>System Type</t>
  </si>
  <si>
    <t>Fan Control</t>
  </si>
  <si>
    <t xml:space="preserve">Cooling Type </t>
  </si>
  <si>
    <t>Heating Type</t>
  </si>
  <si>
    <t>CBECC 2025</t>
  </si>
  <si>
    <t xml:space="preserve">All Space </t>
  </si>
  <si>
    <t>VAV</t>
  </si>
  <si>
    <t>Chilled water</t>
  </si>
  <si>
    <t>Hot-water fossil fuel boiler</t>
  </si>
  <si>
    <t>CPUC 2024</t>
  </si>
  <si>
    <t xml:space="preserve">Chiller water </t>
  </si>
  <si>
    <t xml:space="preserve">PNNL ASHRAE 90.1- 2022 San Diego </t>
  </si>
  <si>
    <t>data center room</t>
  </si>
  <si>
    <t>14. WSHP (CRAC)</t>
  </si>
  <si>
    <t>Water source heat pump (Computer room air conditioning unit)</t>
  </si>
  <si>
    <t>Constant volume</t>
  </si>
  <si>
    <t>Fluid cooler</t>
  </si>
  <si>
    <t>Basement (Except data center)</t>
  </si>
  <si>
    <t>12. SZ-CV-HW</t>
  </si>
  <si>
    <t>Single-zone system</t>
  </si>
  <si>
    <t>Other spaces</t>
  </si>
  <si>
    <t>7. VAV with reheat</t>
  </si>
  <si>
    <t>VAV with reheat</t>
  </si>
  <si>
    <t>Basement system in PNNL model is :SZ-CV-HW (Single zone system:  CV fan control &amp; Chilled water cooling  &amp; Hot-water fossil fuel boiler heating)</t>
  </si>
  <si>
    <t xml:space="preserve">Other floors system in PNNL model is: VAV Reheat ( VAV with Reheat: VA fan control &amp; Chilled water cooling  &amp; Hot-water fossil fuel boiler heating ) </t>
  </si>
  <si>
    <t>Dat center zone has its won system in PNNL model: WSHP (CRAC): Water source heat pump (Computer room air conditioning unit) system: CV fan control &amp; Fluid cooler &amp; Hot-water fossil fuel boiler heating</t>
  </si>
  <si>
    <t>CEUS 2022 data:</t>
  </si>
  <si>
    <t>Heating System</t>
  </si>
  <si>
    <t>Calculation method</t>
  </si>
  <si>
    <t>Fan Coil / Unit Ventilator</t>
  </si>
  <si>
    <t>Dual Duct Constant Air Volume</t>
  </si>
  <si>
    <t>Dual Duct Variable Air Volume</t>
  </si>
  <si>
    <t>Single Duct Constant Air Volume</t>
  </si>
  <si>
    <t>Single Duct Variable Air Volume</t>
  </si>
  <si>
    <t>Floorspace-Based</t>
  </si>
  <si>
    <t>Office, Large</t>
  </si>
  <si>
    <t>Sites-Based</t>
  </si>
  <si>
    <t>Chiller System</t>
  </si>
  <si>
    <t>Boiler/ Hydronic</t>
  </si>
  <si>
    <t>Package System / Heat Pump</t>
  </si>
  <si>
    <t>Split-System / Heat Pump</t>
  </si>
  <si>
    <t>Ductless Mini-Split Heat Pump</t>
  </si>
  <si>
    <t>Room Heating</t>
  </si>
  <si>
    <t>Heating Fuel Type</t>
  </si>
  <si>
    <t>Gas Share</t>
  </si>
  <si>
    <t>Electric Share</t>
  </si>
  <si>
    <t>Fuel Share Large office (area &gt;3,000 sf)</t>
  </si>
  <si>
    <t>CZ</t>
  </si>
  <si>
    <t>Heating system</t>
  </si>
  <si>
    <t>Water heater</t>
  </si>
  <si>
    <t>Saturation (Electric)</t>
  </si>
  <si>
    <t>Saturation (Gas)</t>
  </si>
  <si>
    <t>Saturation
(Other Fuels)</t>
  </si>
  <si>
    <t> </t>
  </si>
  <si>
    <t>Total Static Pressure (TSP)
(in w.c.)</t>
  </si>
  <si>
    <t>Fan Efficiency
[ACM 2025]</t>
  </si>
  <si>
    <t xml:space="preserve">Motor Efficiency </t>
  </si>
  <si>
    <t xml:space="preserve"> Fan Power Index 
(W/cfm)</t>
  </si>
  <si>
    <t>CAV System &lt;7,437 cfm</t>
  </si>
  <si>
    <t>ASHRAE 90.1, 2004, Table 10.8 *</t>
  </si>
  <si>
    <t>Fan power formula: PNNL 20405, 2010, section 5.2.2.5
TSP and fan efficiency: PNNL 20405, 2010, Table 5.11, 90.1-04ac values
Motor and drive efficiency: ASHRAE 90.1, 2004, Table 10.8</t>
  </si>
  <si>
    <t>CAV System &gt;7,437 cfm</t>
  </si>
  <si>
    <t>VAV System &gt; 4,648 cfm</t>
  </si>
  <si>
    <t>Brake horsepower (bhp) = (Supply cfm × TSP in w.c.) / (6356 × fan efficiency)</t>
  </si>
  <si>
    <t>Fan power (w/cfm) = (bhp ×  746) / ( supply cfm × motor efficiency )</t>
  </si>
  <si>
    <t>VAV with hydronic reheat (System 6), &gt;10,000 cfm</t>
  </si>
  <si>
    <t>TSP = fan power × motor efficiency × fan efficiency × 6356 / 746</t>
  </si>
  <si>
    <t>2025 ACM Table 12 **</t>
  </si>
  <si>
    <t>Fan power index: [ACM 2025, Table 13]
Motor efficiency: [ACM 2025, Table 12]</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</si>
  <si>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</si>
  <si>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
     Note: ACM System 6 VAV &gt;10,000 cfm. Server-room CRAH/CRAC fans are not in this row.</t>
  </si>
  <si>
    <t>Spaces/Zones</t>
  </si>
  <si>
    <t>Setpoint</t>
  </si>
  <si>
    <t>All conditioned zones except server rooms , Stairway, and Mechanical</t>
  </si>
  <si>
    <t>Heating Setpoint (F)</t>
  </si>
  <si>
    <t>T24 2022 - Appendix 5.4B</t>
  </si>
  <si>
    <t>Heating Setback (F)</t>
  </si>
  <si>
    <t>Cooling Setpoint (F)</t>
  </si>
  <si>
    <t>Cooling Setback (F) *</t>
  </si>
  <si>
    <t>Server rooms</t>
  </si>
  <si>
    <t xml:space="preserve">Title 24, Part 6, 2025, section 140.9 (a)  and  PNNL ASHRAE 90.1 2022 Large Office prototype  </t>
  </si>
  <si>
    <t>The Server room with 20 W/ft2 load would likely don't require heating system as the equipment constantly generate enough heat. **</t>
  </si>
  <si>
    <t>Stairway, and Mechanical_Electrical</t>
  </si>
  <si>
    <t>Engineering Judgment 
(Semi‑conditioned space)</t>
  </si>
  <si>
    <t>Cooling Setback (F)</t>
  </si>
  <si>
    <t>*PNNL has considered 80 F for cooling setback of Large Office prototype (same as Medium Office). However cooling setback  is 85 F in Small Office prototype !</t>
  </si>
  <si>
    <t>**PNNL has set the heating system temperature to 65°F for all of their data center zones.</t>
  </si>
  <si>
    <t>Heating/ CoolingSetpointsSchedules (existing prototypes extracted from the idf files (presented below)</t>
  </si>
  <si>
    <t>Heating</t>
  </si>
  <si>
    <t>CEC-2022</t>
  </si>
  <si>
    <t>PNNL-2022</t>
  </si>
  <si>
    <t>CEC-Weekday</t>
  </si>
  <si>
    <t>CEC-Saturday</t>
  </si>
  <si>
    <t>CEC-Sunday</t>
  </si>
  <si>
    <t>PNNL-Weekday</t>
  </si>
  <si>
    <t>PNNL-Saturday</t>
  </si>
  <si>
    <t>PNNL-Sunday</t>
  </si>
  <si>
    <t>Space Name</t>
  </si>
  <si>
    <t>Floor Area (ft²)</t>
  </si>
  <si>
    <t>cfm/person
(T24, 2025, Equation 120.1-F and Table 120.1-A)</t>
  </si>
  <si>
    <t>cfm/ft²  
(T24, 2025, Equation 120.1-F and Table 120.1-A)</t>
  </si>
  <si>
    <t>Required Exhaust Rate
 (T24,  2025, Table 120.1-B – Minimum Exhaust Rates)</t>
  </si>
  <si>
    <t>Total cfm 
Driven by People</t>
  </si>
  <si>
    <t>Total cfm 
Driven by Area</t>
  </si>
  <si>
    <t>Total cfm 
Driven by Exhaust</t>
  </si>
  <si>
    <t>Total cfm</t>
  </si>
  <si>
    <t>Office space/Occupancy Category - Office Buildings</t>
  </si>
  <si>
    <t>Telephone/data entry/Occupancy Category - Office Buildings</t>
  </si>
  <si>
    <t>All Other</t>
  </si>
  <si>
    <t xml:space="preserve">Conference/meeting/Occupancy Category - General </t>
  </si>
  <si>
    <t>Breakrooms/Occupancy Category - Office Buildings</t>
  </si>
  <si>
    <t>Occupiable storage rooms for dry 
materials/Occupancy Category - Office Buildings</t>
  </si>
  <si>
    <r>
      <rPr>
        <sz val="10"/>
        <color rgb="FF000000"/>
        <rFont val="Arial"/>
        <family val="2"/>
      </rPr>
      <t>5*</t>
    </r>
    <r>
      <rPr>
        <sz val="10"/>
        <color rgb="FF000000"/>
        <rFont val="Arial"/>
        <family val="2"/>
      </rPr>
      <t xml:space="preserve"> 50/70</t>
    </r>
    <r>
      <rPr>
        <sz val="10"/>
        <color rgb="FF000000"/>
        <rFont val="Arial"/>
        <family val="2"/>
      </rPr>
      <t xml:space="preserve"> (cfm/unit)</t>
    </r>
  </si>
  <si>
    <t xml:space="preserve">Almost 1 unit per 30 occupant for exhaust fan </t>
  </si>
  <si>
    <t xml:space="preserve">Corridors /Occupancy Category - General </t>
  </si>
  <si>
    <t>Kitchen (cooking)/Occupancy Category - 
Food and Beverage Service</t>
  </si>
  <si>
    <t>0.25 (cfm/sf)</t>
  </si>
  <si>
    <t>Main entry lobbies/Occupancy Category - Office Buildings</t>
  </si>
  <si>
    <r>
      <rPr>
        <sz val="10"/>
        <color rgb="FF000000"/>
        <rFont val="Arial"/>
        <family val="2"/>
      </rPr>
      <t xml:space="preserve">8* </t>
    </r>
    <r>
      <rPr>
        <sz val="10"/>
        <color rgb="FF000000"/>
        <rFont val="Arial"/>
        <family val="2"/>
      </rPr>
      <t xml:space="preserve">50/70 </t>
    </r>
    <r>
      <rPr>
        <sz val="10"/>
        <color rgb="FF000000"/>
        <rFont val="Arial"/>
        <family val="2"/>
      </rPr>
      <t>(cfm/unit)</t>
    </r>
  </si>
  <si>
    <r>
      <rPr>
        <sz val="10"/>
        <color rgb="FF000000"/>
        <rFont val="Arial"/>
        <family val="2"/>
      </rPr>
      <t xml:space="preserve">9* </t>
    </r>
    <r>
      <rPr>
        <sz val="10"/>
        <color rgb="FF000000"/>
        <rFont val="Arial"/>
        <family val="2"/>
      </rPr>
      <t>50/70</t>
    </r>
    <r>
      <rPr>
        <sz val="10"/>
        <color rgb="FF000000"/>
        <rFont val="Arial"/>
        <family val="2"/>
      </rPr>
      <t xml:space="preserve"> (cfm/unit)</t>
    </r>
  </si>
  <si>
    <t>Water Heater - OfficeLarge</t>
  </si>
  <si>
    <t>WH Type</t>
  </si>
  <si>
    <t>Efficiency</t>
  </si>
  <si>
    <t>Number of WH</t>
  </si>
  <si>
    <t>Tank Volume (gal)</t>
  </si>
  <si>
    <t>Tank Loss</t>
  </si>
  <si>
    <t xml:space="preserve">Existing  </t>
  </si>
  <si>
    <t>Gas</t>
  </si>
  <si>
    <t>See table below for each WH: col F is storage volume EACH of N identical heaters (N in B91). Plant total volume = col L.</t>
  </si>
  <si>
    <t>See table below for each WH: col G is standby EACH of N identical heaters. Plant total UA = col N.</t>
  </si>
  <si>
    <t>See table below for sources: Climate Zone Water Heater Sizing and Loss Coefficients</t>
  </si>
  <si>
    <t>Peak Hot Water Consumption</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</si>
  <si>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</si>
  <si>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</si>
  <si>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</si>
  <si>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</si>
  <si>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</si>
  <si>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Gas*</t>
  </si>
  <si>
    <t>For space types marked with an asterisk (the ‘*’ symbol), the water‑heater type is listed as electric in Appendix 5.4A, sheet ‘2022 SpaceFuncData‑Input.’ However, we modified the value based on CEUS data, which indicates that gas is the primary fuel type.</t>
  </si>
  <si>
    <t>Gas storage</t>
  </si>
  <si>
    <t>Minimum peak hot water usage is 75 gal according to ACM 2025</t>
  </si>
  <si>
    <t>Electric resistance</t>
  </si>
  <si>
    <t>Number of identical gas storage WH</t>
  </si>
  <si>
    <t>Since the total WH storage volume is more than the maximum size of the standard commercial gas storage WH listed in ENERGY STAR (193.7 gal &gt; 125 gal). Therefore, two identical WH units were designed.</t>
  </si>
  <si>
    <t>Total WH storage volume (gal)</t>
  </si>
  <si>
    <t>2025 ACM §5.9.2</t>
  </si>
  <si>
    <t>Maximum size of the standard commercial gas storage WH  (gal)</t>
  </si>
  <si>
    <t>ENERGY STAR commercial gas storage. The link is provided at the Notes tab.</t>
  </si>
  <si>
    <t>Design supply temperature (°F)</t>
  </si>
  <si>
    <t>Title 24 2022 Reference Appendices, Appendix 5.4B</t>
  </si>
  <si>
    <t>WH system factor</t>
  </si>
  <si>
    <t>2025 ACM §5.9.2 Rated Capacity</t>
  </si>
  <si>
    <t>Water mass conversion (lb/gal)</t>
  </si>
  <si>
    <t>Reheat multiplier</t>
  </si>
  <si>
    <t>2025 ACM §5.9.2 Storage Volume</t>
  </si>
  <si>
    <t>Climate Zone Water Heater Sizing and Loss Coefficients (Individual WH)</t>
  </si>
  <si>
    <t>Water Heater Name</t>
  </si>
  <si>
    <t>Climate Zone</t>
  </si>
  <si>
    <t>Minimum Monthly Mains Temp (°F)
[T24 2022 - Appendix 5.4B]</t>
  </si>
  <si>
    <t>Heat Output (Btu/hr)
[ACM, 2025, 5.9.2: Rated capacity section]</t>
  </si>
  <si>
    <t>WH Capacity (Btu/hr)
[ACM, 2025, 5.9.2: Rated capacity section]</t>
  </si>
  <si>
    <t>Required Energy Input each (Btu/hr)</t>
  </si>
  <si>
    <t>Storage Volume each (gal)</t>
  </si>
  <si>
    <t>Standby Loss
 [Title 20, §1605.1 Table F-4; Appendix B: Water Heating Calculation Method]</t>
  </si>
  <si>
    <t xml:space="preserve">Off/On Cycle Loss Coefficient to Ambient Temp </t>
  </si>
  <si>
    <t>Source/Note</t>
  </si>
  <si>
    <t>Plant total volume (gal)</t>
  </si>
  <si>
    <t>Plant total input (Btu/hr)</t>
  </si>
  <si>
    <t>Plant total UA (Btu/h·°F)</t>
  </si>
  <si>
    <t>WH_OfficeLarge</t>
  </si>
  <si>
    <t>CZ01</t>
  </si>
  <si>
    <t>Btu/hr</t>
  </si>
  <si>
    <t>Btu/h·°F</t>
  </si>
  <si>
    <t>No listed ~200 gal unitary gas storage WH: ENERGY STAR commercial gas storage and the Grainger tanks in this catalog max out at 125 gal (E139). AO Smith 140–2500 gal units in that size class are unfired storage tanks, not unitary water heaters, and were not added. ACM §5.9.2 plant volume is ~194 gal, so the scorecard uses N identical catalog heaters (B91). E/F/G/I are per heater. L/M/N are plant totals (N × each). Title 20 Table F-4 G = E/800+110×√F applies per tank.</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</si>
  <si>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</si>
  <si>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</si>
  <si>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</si>
  <si>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</si>
  <si>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</si>
  <si>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</si>
  <si>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</si>
  <si>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</si>
  <si>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</si>
  <si>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</si>
  <si>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</si>
  <si>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</si>
  <si>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</si>
  <si>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</si>
  <si>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</si>
  <si>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</si>
  <si>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</si>
  <si>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</si>
  <si>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</si>
  <si>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</si>
  <si>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 xml:space="preserve">New Construction </t>
  </si>
  <si>
    <t>LPD (W/ft²)</t>
  </si>
  <si>
    <t>Additional LPD for Portable Lighting (W/ft²)</t>
  </si>
  <si>
    <t xml:space="preserve">LPD (W/ft²) </t>
  </si>
  <si>
    <r>
      <rPr>
        <sz val="10"/>
        <color rgb="FF000000"/>
        <rFont val="Arial"/>
        <family val="2"/>
      </rPr>
      <t xml:space="preserve">T24, part 6, 2025, Table 140.6 C
</t>
    </r>
    <r>
      <rPr>
        <sz val="10"/>
        <color rgb="FF000000"/>
        <rFont val="Arial"/>
        <family val="2"/>
      </rPr>
      <t>IT Room Source: ASHRAE 90.1 2022, Table 9.5.2.1-1, computer room space type</t>
    </r>
  </si>
  <si>
    <r>
      <rPr>
        <sz val="10"/>
        <color rgb="FF000000"/>
        <rFont val="Arial"/>
        <family val="2"/>
      </rPr>
      <t xml:space="preserve">T24, part 6, 2013, Table 140.6 C
</t>
    </r>
    <r>
      <rPr>
        <sz val="10"/>
        <color rgb="FF000000"/>
        <rFont val="Arial"/>
        <family val="2"/>
      </rPr>
      <t>IT Room Source: ASHRAE 90.1 2013, TABLE9.6.1, computer room space type</t>
    </r>
  </si>
  <si>
    <t>It is assumed that 50% of the additional allowance lighting is in use.</t>
  </si>
  <si>
    <t>1,1</t>
  </si>
  <si>
    <t>Whole Building method</t>
  </si>
  <si>
    <t>LPD for Office Building ((W/ft²)</t>
  </si>
  <si>
    <t>Ref: T24, Table 140.6 B</t>
  </si>
  <si>
    <t>Motion Controlled Luminaires (W)</t>
  </si>
  <si>
    <t>Non-motion Controlled Luminaires (W)</t>
  </si>
  <si>
    <t>Total (W)</t>
  </si>
  <si>
    <t>Title 24, 2022</t>
  </si>
  <si>
    <t>Exterior Lighting</t>
  </si>
  <si>
    <t>Items (Assume LZ2)</t>
  </si>
  <si>
    <t>Assumptions
[2019 Outdoor Lighting CASE Report &amp; PNNL 90.1-2010 TSD]</t>
  </si>
  <si>
    <t>Unit</t>
  </si>
  <si>
    <t>Lighting Power Allowance 
[T24, 2025, Table 140.7-A &amp; 140.7-B]</t>
  </si>
  <si>
    <t>Exterior Lighting Power (W)</t>
  </si>
  <si>
    <t>IWA (Initial Wage Allowance)</t>
  </si>
  <si>
    <t>(W)</t>
  </si>
  <si>
    <t>Parking area</t>
  </si>
  <si>
    <r>
      <rPr>
        <sz val="10"/>
        <rFont val="Arial"/>
        <family val="2"/>
      </rPr>
      <t xml:space="preserve">400 ft² for every parking space </t>
    </r>
    <r>
      <rPr>
        <sz val="10"/>
        <color rgb="FF000000"/>
        <rFont val="Arial"/>
        <family val="2"/>
      </rPr>
      <t xml:space="preserve">[2019 Lighting CASE report, Appendix H]
</t>
    </r>
    <r>
      <rPr>
        <sz val="10"/>
        <rFont val="Arial"/>
        <family val="2"/>
      </rPr>
      <t xml:space="preserve">1 parking space per 250 ft² of gross building area  </t>
    </r>
    <r>
      <rPr>
        <sz val="10"/>
        <color rgb="FF000000"/>
        <rFont val="Arial"/>
        <family val="2"/>
      </rPr>
      <t xml:space="preserve"> [2019 Lighting CASE report, Table 38]</t>
    </r>
  </si>
  <si>
    <t>(ft²)</t>
  </si>
  <si>
    <t>(W/ft²)</t>
  </si>
  <si>
    <t>Building Entrance</t>
  </si>
  <si>
    <t>4 building entrance (1 per 10,000 ft² footprint)</t>
  </si>
  <si>
    <t>(count)</t>
  </si>
  <si>
    <t>(W/ea)</t>
  </si>
  <si>
    <t>Hardscape Ornamental Light</t>
  </si>
  <si>
    <r>
      <rPr>
        <sz val="10"/>
        <rFont val="Arial"/>
        <family val="2"/>
      </rPr>
      <t>0.1 ft² per 1 ft² of gross building area</t>
    </r>
    <r>
      <rPr>
        <sz val="10"/>
        <color rgb="FF000000"/>
        <rFont val="Arial"/>
        <family val="2"/>
      </rPr>
      <t xml:space="preserve"> [2019 Lighting CASE report, Table 36]</t>
    </r>
  </si>
  <si>
    <t>Building façade</t>
  </si>
  <si>
    <t>0.1 W per ft² of facade area 
Façade Area* = Perimeter × 0.5 × 30 ft (30 ft is the max height that is lit) 
The 0.5 factor assumes that only half of the perimeter walls are lit.
-Formula is developed based on the 2019 Outdoor Lighting CASE report</t>
  </si>
  <si>
    <t>Non-sales canopy</t>
  </si>
  <si>
    <t>According to the geometry (dimensions bellow)</t>
  </si>
  <si>
    <t>Motion controlled Luminaires</t>
  </si>
  <si>
    <t>Non-motion-controlled Luminaires</t>
  </si>
  <si>
    <t>*Developed based on 2019 Outdoor Lighting CASE Report</t>
  </si>
  <si>
    <t>Canopy</t>
  </si>
  <si>
    <t>Size</t>
  </si>
  <si>
    <t>Area</t>
  </si>
  <si>
    <t>Perimeter (ft)</t>
  </si>
  <si>
    <t>40 ft × 15 ft</t>
  </si>
  <si>
    <t>600 ft²</t>
  </si>
  <si>
    <t>Total floor area (ft²)</t>
  </si>
  <si>
    <t>30 ft × 12 ft</t>
  </si>
  <si>
    <t>360 ft²</t>
  </si>
  <si>
    <t>Floors (above ground)</t>
  </si>
  <si>
    <t>FoodPrep south</t>
  </si>
  <si>
    <t>15 ft × 8 ft</t>
  </si>
  <si>
    <t>120 ft²</t>
  </si>
  <si>
    <t>Floors (all)</t>
  </si>
  <si>
    <t>FoodPrep east</t>
  </si>
  <si>
    <t>1,200 ft²</t>
  </si>
  <si>
    <t>Plug load Power Density (W/ft²)</t>
  </si>
  <si>
    <t>Gas Power Density (Btu/hr-ft²)</t>
  </si>
  <si>
    <t>Refrigeration Power Density (W/ft²)</t>
  </si>
  <si>
    <t>"Proposed Updates to Equipment Power Densities and Schedules in the 2028 Energy Code Nonresidential and Multifamily Alternative Calculation Method (NRMFACM) Reference Manual", August 7, 2025</t>
  </si>
  <si>
    <t>Based on PNNL ASHRAE 90.1 2022 assumptions and minimum load for computer room</t>
  </si>
  <si>
    <t>T24 2022 - Appendix 5.4A</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</si>
  <si>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</si>
  <si>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</si>
  <si>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</si>
  <si>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</si>
  <si>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</si>
  <si>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</si>
  <si>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</si>
  <si>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</si>
  <si>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</si>
  <si>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</si>
  <si>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</si>
  <si>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</si>
  <si>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</si>
  <si>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</si>
  <si>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</si>
  <si>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</si>
  <si>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Large Office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</si>
  <si>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</si>
  <si>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</si>
  <si>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</si>
  <si>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</si>
  <si>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</si>
  <si>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</si>
  <si>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</si>
  <si>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</si>
  <si>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</si>
  <si>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</si>
  <si>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</si>
  <si>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</si>
  <si>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</si>
  <si>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</si>
  <si>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</si>
  <si>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</si>
  <si>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</si>
  <si>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</si>
  <si>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</si>
  <si>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</si>
  <si>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</si>
  <si>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</si>
  <si>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</si>
  <si>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</si>
  <si>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</si>
  <si>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</si>
  <si>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</si>
  <si>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</si>
  <si>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</si>
  <si>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</si>
  <si>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</si>
  <si>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</si>
  <si>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</si>
  <si>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</si>
  <si>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</si>
  <si>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</si>
  <si>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</si>
  <si>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</si>
  <si>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</si>
  <si>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</si>
  <si>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</si>
  <si>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</si>
  <si>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</si>
  <si>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</si>
  <si>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</si>
  <si>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</si>
  <si>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</si>
  <si>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</si>
  <si>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</si>
  <si>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</si>
  <si>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</si>
  <si>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</si>
  <si>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</si>
  <si>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</si>
  <si>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</si>
  <si>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</si>
  <si>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</si>
  <si>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</si>
  <si>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</si>
  <si>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</si>
  <si>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</si>
  <si>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</si>
  <si>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</si>
  <si>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</si>
  <si>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</si>
  <si>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</si>
  <si>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</si>
  <si>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</si>
  <si>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</si>
  <si>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</si>
  <si>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</si>
  <si>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</si>
  <si>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</si>
  <si>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</si>
  <si>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</si>
  <si>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</si>
  <si>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</si>
  <si>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</si>
  <si>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</si>
  <si>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</si>
  <si>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</si>
  <si>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</si>
  <si>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</si>
  <si>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Zone</t>
  </si>
  <si>
    <t>Schedule</t>
  </si>
  <si>
    <t>Type</t>
  </si>
  <si>
    <t>Hour</t>
  </si>
  <si>
    <t xml:space="preserve">All zones except for Server Rooms, Stairway, and Mechanical_Electrical </t>
  </si>
  <si>
    <t>Occupancy</t>
  </si>
  <si>
    <r>
      <t xml:space="preserve">T24 2022 - Appendix 5.4B, [Office]
</t>
    </r>
    <r>
      <rPr>
        <sz val="9"/>
        <color rgb="FF0070C0"/>
        <rFont val="Arial"/>
        <family val="2"/>
      </rPr>
      <t xml:space="preserve">
Updated based on Plug load and schedules project with CEC, 2025</t>
    </r>
  </si>
  <si>
    <t>Weekday</t>
  </si>
  <si>
    <t>Saturday</t>
  </si>
  <si>
    <t>Sunday</t>
  </si>
  <si>
    <t>Lights</t>
  </si>
  <si>
    <t>T24 2022 - Appendix 5.4B, [Office]</t>
  </si>
  <si>
    <t xml:space="preserve">ElecEquipment </t>
  </si>
  <si>
    <t xml:space="preserve">Plug load and schedules project with CEC, 2025 </t>
  </si>
  <si>
    <t>HVACAvail</t>
  </si>
  <si>
    <r>
      <rPr>
        <sz val="9"/>
        <color rgb="FF000000"/>
        <rFont val="Arial"/>
        <family val="2"/>
      </rPr>
      <t xml:space="preserve">T24 2022 - Appendix 5.4B, [Office]
</t>
    </r>
    <r>
      <rPr>
        <sz val="9"/>
        <color rgb="FF4472C4"/>
        <rFont val="Arial"/>
        <family val="2"/>
      </rPr>
      <t>Updated based on Plug load and schedules project with CEC, 2025</t>
    </r>
  </si>
  <si>
    <t>ServiceHotWater</t>
  </si>
  <si>
    <r>
      <t xml:space="preserve">T24 2022 - Appendix 5.4B, [Office]
</t>
    </r>
    <r>
      <rPr>
        <sz val="9"/>
        <color rgb="FF0070C0"/>
        <rFont val="Arial"/>
        <family val="2"/>
      </rPr>
      <t>Updated based on Plug load and schedules project with CEC, 202</t>
    </r>
  </si>
  <si>
    <t>HtgSetpt</t>
  </si>
  <si>
    <t>ClgSetpt</t>
  </si>
  <si>
    <r>
      <t xml:space="preserve">T24 2022 - Appendix 5.4B, [Data]
</t>
    </r>
    <r>
      <rPr>
        <sz val="9"/>
        <color rgb="FF0070C0"/>
        <rFont val="Arial"/>
        <family val="2"/>
      </rPr>
      <t>Updated based on office schedule</t>
    </r>
  </si>
  <si>
    <t>T24 2022 - Appendix 5.4B, [Data]</t>
  </si>
  <si>
    <t xml:space="preserve">T24 2022 - Appendix 5.4B, [Data]
</t>
  </si>
  <si>
    <t>Based on Activity level and thermostat setpoint</t>
  </si>
  <si>
    <r>
      <rPr>
        <sz val="9"/>
        <color rgb="FF000000"/>
        <rFont val="Arial"/>
        <family val="2"/>
      </rPr>
      <t>T24 2022 - Appendix 5.4B, [Office]</t>
    </r>
    <r>
      <rPr>
        <sz val="9"/>
        <color theme="1"/>
        <rFont val="Arial"/>
        <family val="2"/>
      </rPr>
      <t xml:space="preserve">
</t>
    </r>
    <r>
      <rPr>
        <sz val="9"/>
        <color rgb="FF0070C0"/>
        <rFont val="Arial"/>
        <family val="2"/>
      </rPr>
      <t>Updated based on office schedule</t>
    </r>
  </si>
  <si>
    <t xml:space="preserve">T24 2022 - Appendix 5.4B, [Office]
</t>
  </si>
  <si>
    <t>Other</t>
  </si>
  <si>
    <r>
      <rPr>
        <sz val="9"/>
        <color rgb="FF000000"/>
        <rFont val="Arial"/>
        <family val="2"/>
      </rPr>
      <t xml:space="preserve">T24 2022 - Appendix 5.4B, [Office]
</t>
    </r>
    <r>
      <rPr>
        <sz val="9"/>
        <color rgb="FF0070C0"/>
        <rFont val="Arial"/>
        <family val="2"/>
      </rPr>
      <t>Updated based on Plug load and schedules project with CEC, 202</t>
    </r>
  </si>
  <si>
    <t>ExtLightingNonMotionCtrl</t>
  </si>
  <si>
    <t>ExtLightingMotionCtrl</t>
  </si>
  <si>
    <t>FunctionalAreaPeopleActivityLevel</t>
  </si>
  <si>
    <t xml:space="preserve">Based on Activity level schedules in  CEC Prototypes </t>
  </si>
  <si>
    <t>Server room</t>
  </si>
  <si>
    <t>ComputerRoomPeopleActivityLevel</t>
  </si>
  <si>
    <t>Conference room</t>
  </si>
  <si>
    <t>MeetingAreaPeopleActivityLevel</t>
  </si>
  <si>
    <t>Corridor, Stair, Lobby, Restroom, Mech, Storage, Break</t>
  </si>
  <si>
    <t>CommonAreaPeopleActivityLevel</t>
  </si>
  <si>
    <t>Kitchen/Food prep</t>
  </si>
  <si>
    <t>KitchenPeopleActivityLevel</t>
  </si>
  <si>
    <t>Locker</t>
  </si>
  <si>
    <t>LockerRoomPeopleActivityLevel</t>
  </si>
  <si>
    <t>CalBEM Energy Consumption - OfficeLarge</t>
  </si>
  <si>
    <t>National Average (EnergyStar Portfolio Manager)</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</si>
  <si>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</si>
  <si>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</si>
  <si>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</si>
  <si>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</si>
  <si>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</si>
  <si>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</si>
  <si>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</si>
  <si>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</si>
  <si>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</si>
  <si>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Range</t>
  </si>
  <si>
    <t>Zip code</t>
  </si>
  <si>
    <t>Total Floorspace (Thousand of ft2)</t>
  </si>
  <si>
    <t>CEUS 2022 Electric Energy Intensity (kWh/ft²)</t>
  </si>
  <si>
    <t>CEUS 2022 Annual Gas Intensity (kWh/ft²)</t>
  </si>
  <si>
    <t>CEUS 2022 Total EUI (kBtu/ft²)</t>
  </si>
  <si>
    <t>CEUS 2022 Acceptable Range</t>
  </si>
  <si>
    <t>HotelSmall</t>
  </si>
  <si>
    <r>
      <rPr>
        <b/>
        <sz val="10"/>
        <color theme="1"/>
        <rFont val="Arial"/>
        <family val="2"/>
      </rPr>
      <t xml:space="preserve">Ref: </t>
    </r>
    <r>
      <rPr>
        <sz val="10"/>
        <color theme="1"/>
        <rFont val="Arial"/>
        <family val="2"/>
      </rPr>
      <t xml:space="preserve">CEUS 2022 Report </t>
    </r>
  </si>
  <si>
    <t xml:space="preserve">And by applying FZ-CZ multipliers for converting  FZ  data to  CZ  data </t>
  </si>
  <si>
    <t>Vintage Bin</t>
  </si>
  <si>
    <t>Pre-1978</t>
  </si>
  <si>
    <t>Floor area distribution of CA office buildings (CEUS 2022)</t>
  </si>
  <si>
    <t>Office, Small</t>
  </si>
  <si>
    <t>Office, Medium</t>
  </si>
  <si>
    <t>Statewide</t>
  </si>
  <si>
    <t>Ref: CEUS 2022 dataset: Large Office group</t>
  </si>
  <si>
    <t>Space Function</t>
  </si>
  <si>
    <t>Electric Equipment Load Intensity</t>
  </si>
  <si>
    <t>LPD</t>
  </si>
  <si>
    <t>Aging Eye/Low-vision (Corridor Area)</t>
  </si>
  <si>
    <t>Aging Eye/Low-vision (Dining)</t>
  </si>
  <si>
    <t>Aging Eye/Low-vision (Lobby, Main Entry)</t>
  </si>
  <si>
    <t>Aging Eye/Low-vision (Lounge/Waiting Area)</t>
  </si>
  <si>
    <t>Aging Eye/Low-vision (Multipurpose Room)</t>
  </si>
  <si>
    <t>Aging Eye/Low-vision (Religious Worship Area)</t>
  </si>
  <si>
    <t>Aging Eye/Low-vision (Restroom)</t>
  </si>
  <si>
    <t>Aging Eye/Low-vision (Stairwell)</t>
  </si>
  <si>
    <t>Audience Seating Area</t>
  </si>
  <si>
    <t>Auditorium Area</t>
  </si>
  <si>
    <t>Auto Repair / Maintenance Area</t>
  </si>
  <si>
    <t>Barber, Beauty Salon, Spa Area</t>
  </si>
  <si>
    <t>Civic Meeting Place Area</t>
  </si>
  <si>
    <t>Classroom, Lecture, Training, Vocational Areas</t>
  </si>
  <si>
    <t>Concourse and Atria Area</t>
  </si>
  <si>
    <t>Copy Room</t>
  </si>
  <si>
    <t>Dining Area (Bar/Lounge and Fine Dining)</t>
  </si>
  <si>
    <t>Dining Area (Cafeteria/Fast Food)</t>
  </si>
  <si>
    <t>Dining Area (Family and Leisure)</t>
  </si>
  <si>
    <t>Exercise/Fitness Center and Gymnasium Areas</t>
  </si>
  <si>
    <t>Financial Transaction Area</t>
  </si>
  <si>
    <t>Healthcare Facility and Hospitals (Exam/Treatment Room)</t>
  </si>
  <si>
    <t>Healthcare Facility and Hospitals (Imaging Room)</t>
  </si>
  <si>
    <t>Healthcare Facility and Hospitals (Medical Supply Room)</t>
  </si>
  <si>
    <t>Healthcare Facility and Hospitals (Nursery)</t>
  </si>
  <si>
    <t>Healthcare Facility and Hospitals (Nurse's Station)</t>
  </si>
  <si>
    <t>Healthcare Facility and Hospitals (Operating Room)</t>
  </si>
  <si>
    <t>Healthcare Facility and Hospitals (Patient Room)</t>
  </si>
  <si>
    <t>Healthcare Facility and Hospitals (Physical Therapy Room)</t>
  </si>
  <si>
    <t>Healthcare Facility and Hospitals (Recovery Room)</t>
  </si>
  <si>
    <t>Hotel Function Area</t>
  </si>
  <si>
    <t>Kitchenette or Residential Kitchen</t>
  </si>
  <si>
    <t>Laboratory, Scientific</t>
  </si>
  <si>
    <t xml:space="preserve">Laundry Area </t>
  </si>
  <si>
    <t>Library (Reading Area)</t>
  </si>
  <si>
    <t>Library (Stacks Area)</t>
  </si>
  <si>
    <t>Manufacturing, Commercial &amp; Industrial Work Area (Low Bay)</t>
  </si>
  <si>
    <t>Manufacturing, Commercial &amp; Industrial Work Area (High Bay)</t>
  </si>
  <si>
    <t>Manufacturing, Commercial &amp; Industrial Work Area (Precision)</t>
  </si>
  <si>
    <t>Museum Area (Exhibition/Display)</t>
  </si>
  <si>
    <t>Museum Area (Restoration Room)</t>
  </si>
  <si>
    <t>Office Area (&lt;250 square feet)</t>
  </si>
  <si>
    <t>Parking Garage Area (Parking Zone and Ramps)</t>
  </si>
  <si>
    <t>Parking Garage Area (Daylight Adaptation Zones)</t>
  </si>
  <si>
    <t>Pharmacy Area</t>
  </si>
  <si>
    <t>Retail Sales Area (Grocery Sales)</t>
  </si>
  <si>
    <t>Retail Sales Area (Retail Merchandise Sales)</t>
  </si>
  <si>
    <t>Retail Sales Area (Fitting Room)</t>
  </si>
  <si>
    <t>Religious Worship Area</t>
  </si>
  <si>
    <t>Storage, Commercial/Industrial (Warehouse)</t>
  </si>
  <si>
    <t>Storage, Commercial/Industrial (Refrigerated)</t>
  </si>
  <si>
    <t>Storage, Commercial/Industrial (Shipping &amp; Handling)</t>
  </si>
  <si>
    <t>Sports Arena - Playing Area (&gt; 5,000 Spectators)</t>
  </si>
  <si>
    <t>Sports Arena - Playing Area (2,000 - 5,000 Spectators)</t>
  </si>
  <si>
    <t>Sports Arena - Playing Area (&lt; 2,000 Spectators)</t>
  </si>
  <si>
    <t>Sports Arena - Playing Area (Recreational)</t>
  </si>
  <si>
    <t>Theater Area (Motion Picture)</t>
  </si>
  <si>
    <t>Theater Area (Performance)</t>
  </si>
  <si>
    <t>Transportation Function (Baggage Area)</t>
  </si>
  <si>
    <t>Transportation Function (Ticketing Area)</t>
  </si>
  <si>
    <t>Videoconferencing Studio</t>
  </si>
  <si>
    <t>High-Rise Residential Living Spaces</t>
  </si>
  <si>
    <t>Hotel/Motel Guest Room</t>
  </si>
  <si>
    <t>All other</t>
  </si>
  <si>
    <t>Attic</t>
  </si>
  <si>
    <t>Reception Area</t>
  </si>
  <si>
    <t>IT Room (EPD 12)</t>
  </si>
  <si>
    <t>CRAC DX Clg</t>
  </si>
  <si>
    <t>CAV CW</t>
  </si>
  <si>
    <t>NORESCO, Updated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</si>
</sst>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_(* \(#,##0.00\);_(* &quot;-&quot;??_);_(@_)"/>
    <numFmt numFmtId="164" formatCode="0.0%"/>
    <numFmt numFmtId="165" formatCode="0.0"/>
    <numFmt numFmtId="166" formatCode="#,##0.0"/>
    <numFmt numFmtId="167" formatCode="0.000"/>
    <numFmt numFmtId="168" formatCode="_(* #,##0_);_(* \(#,##0\);_(* &quot;-&quot;??_);_(@_)"/>
    <numFmt numFmtId="169" formatCode="_(* #,##0.000_);_(* \(#,##0.000\);_(* &quot;-&quot;??_);_(@_)"/>
    <numFmt numFmtId="170" formatCode="_(* #,##0.0000_);_(* \(#,##0.0000\);_(* &quot;-&quot;??_);_(@_)"/>
    <numFmt numFmtId="171" formatCode="#,##0;\-0;[Color15]0"/>
    <numFmt numFmtId="172" formatCode="0.0000"/>
    <numFmt numFmtId="173" formatCode="_(* #,##0.0_);_(* \(#,##0.0\);_(* &quot;-&quot;??_);_(@_)"/>
  </numFmts>
  <fonts count="87" x14ac:knownFonts="1">
    <font>
      <sz val="11"/>
      <color theme="1"/>
      <name val="Calibri"/>
      <family val="2"/>
      <scheme val="minor"/>
    </font>
    <font>
      <b/>
      <sz val="14"/>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1"/>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theme="4" tint="-0.499984740745262"/>
      <name val="Arial"/>
      <family val="2"/>
    </font>
    <font>
      <sz val="10"/>
      <color rgb="FF000000"/>
      <name val="Arial"/>
      <family val="2"/>
    </font>
    <font>
      <sz val="9"/>
      <color theme="1"/>
      <name val="Arial"/>
      <family val="2"/>
    </font>
    <font>
      <sz val="10"/>
      <color rgb="FF000000"/>
      <name val="Arial"/>
      <family val="2"/>
    </font>
    <font>
      <b/>
      <sz val="10"/>
      <color rgb="FF000000"/>
      <name val="Arial"/>
      <family val="2"/>
    </font>
    <font>
      <b/>
      <sz val="9"/>
      <color theme="0"/>
      <name val="Arial"/>
      <family val="2"/>
    </font>
    <font>
      <sz val="9"/>
      <name val="Arial"/>
      <family val="2"/>
    </font>
    <font>
      <sz val="10"/>
      <color rgb="FF000000"/>
      <name val="Arial"/>
      <family val="2"/>
      <charset val="1"/>
    </font>
    <font>
      <sz val="11"/>
      <color theme="1"/>
      <name val="Arial"/>
      <family val="2"/>
    </font>
    <font>
      <b/>
      <sz val="14"/>
      <color theme="1"/>
      <name val="Arial"/>
      <family val="2"/>
    </font>
    <font>
      <u/>
      <sz val="10"/>
      <color theme="1"/>
      <name val="Arial"/>
      <family val="2"/>
    </font>
    <font>
      <sz val="8"/>
      <color theme="1"/>
      <name val="Arial"/>
      <family val="2"/>
    </font>
    <font>
      <b/>
      <sz val="9"/>
      <color theme="1"/>
      <name val="Arial"/>
      <family val="2"/>
    </font>
    <font>
      <b/>
      <sz val="10"/>
      <color rgb="FFFFFFFF"/>
      <name val="Arial"/>
      <family val="2"/>
    </font>
    <font>
      <sz val="14"/>
      <color theme="1"/>
      <name val="Arial"/>
      <family val="2"/>
    </font>
    <font>
      <sz val="14"/>
      <color theme="0"/>
      <name val="Arial"/>
      <family val="2"/>
    </font>
    <font>
      <b/>
      <sz val="12"/>
      <color rgb="FFFFFFFF"/>
      <name val="Arial"/>
      <family val="2"/>
    </font>
    <font>
      <sz val="11"/>
      <color rgb="FF000000"/>
      <name val="Calibri"/>
      <family val="2"/>
      <scheme val="minor"/>
    </font>
    <font>
      <sz val="11"/>
      <name val="Cambria"/>
      <family val="1"/>
    </font>
    <font>
      <sz val="11"/>
      <color theme="1"/>
      <name val="Cambria"/>
      <family val="1"/>
    </font>
    <font>
      <b/>
      <sz val="11"/>
      <color theme="1"/>
      <name val="Cambria"/>
      <family val="1"/>
    </font>
    <font>
      <sz val="10"/>
      <color rgb="FF7030A0"/>
      <name val="Arial"/>
      <family val="2"/>
    </font>
    <font>
      <sz val="10"/>
      <color theme="0"/>
      <name val="Calibri"/>
      <family val="2"/>
      <scheme val="minor"/>
    </font>
    <font>
      <sz val="11"/>
      <color theme="1"/>
      <name val="Calibri"/>
      <family val="2"/>
    </font>
    <font>
      <b/>
      <sz val="10"/>
      <color rgb="FF2F5496"/>
      <name val="Arial"/>
      <family val="2"/>
    </font>
    <font>
      <sz val="11"/>
      <name val="Arial"/>
      <family val="2"/>
    </font>
    <font>
      <sz val="10"/>
      <color rgb="FF0070C0"/>
      <name val="Arial"/>
      <family val="2"/>
    </font>
    <font>
      <sz val="8"/>
      <color rgb="FF000000"/>
      <name val="Arial"/>
      <family val="2"/>
    </font>
    <font>
      <b/>
      <sz val="8"/>
      <color rgb="FF000000"/>
      <name val="Arial"/>
      <family val="2"/>
    </font>
    <font>
      <sz val="9"/>
      <color rgb="FF0070C0"/>
      <name val="Arial"/>
      <family val="2"/>
    </font>
    <font>
      <sz val="10"/>
      <color rgb="FF000000"/>
      <name val="Arial"/>
      <family val="2"/>
    </font>
    <font>
      <sz val="9"/>
      <color rgb="FF000000"/>
      <name val="Arial"/>
      <family val="2"/>
    </font>
    <font>
      <sz val="11"/>
      <color rgb="FF000000"/>
      <name val="Calibri"/>
      <family val="2"/>
    </font>
    <font>
      <b/>
      <sz val="12"/>
      <color rgb="FF000000"/>
      <name val="Arial"/>
      <family val="2"/>
    </font>
    <font>
      <sz val="11"/>
      <color rgb="FF000000"/>
      <name val="Arial"/>
      <family val="2"/>
    </font>
    <font>
      <b/>
      <sz val="11"/>
      <name val="Calibri"/>
      <family val="2"/>
    </font>
    <font>
      <b/>
      <sz val="14"/>
      <color rgb="FFFFFFFF"/>
      <name val="Calibri"/>
      <family val="2"/>
    </font>
    <font>
      <b/>
      <sz val="9"/>
      <color rgb="FF000000"/>
      <name val="Arial"/>
      <family val="2"/>
    </font>
    <font>
      <sz val="9"/>
      <color rgb="FF000000"/>
      <name val="Arial"/>
      <family val="2"/>
    </font>
    <font>
      <b/>
      <sz val="10"/>
      <color rgb="FF000000"/>
      <name val="Arial"/>
      <family val="2"/>
    </font>
    <font>
      <b/>
      <sz val="11"/>
      <color rgb="FF000000"/>
      <name val="Calibri"/>
      <family val="2"/>
    </font>
    <font>
      <sz val="11"/>
      <color rgb="FF000000"/>
      <name val="Calibri"/>
      <family val="2"/>
      <scheme val="minor"/>
    </font>
    <font>
      <sz val="9"/>
      <color theme="4"/>
      <name val="Arial"/>
      <family val="2"/>
    </font>
    <font>
      <sz val="9"/>
      <color rgb="FF4472C4"/>
      <name val="Arial"/>
      <family val="2"/>
    </font>
    <font>
      <u/>
      <sz val="10"/>
      <color rgb="FF000000"/>
      <name val="Arial"/>
      <family val="2"/>
    </font>
    <font>
      <b/>
      <sz val="15"/>
      <color rgb="FF000000"/>
      <name val="Arial"/>
      <family val="2"/>
    </font>
    <font>
      <b/>
      <sz val="14"/>
      <color rgb="FF000000"/>
      <name val="Calibri"/>
      <family val="2"/>
      <scheme val="minor"/>
    </font>
    <font>
      <b/>
      <sz val="11"/>
      <color rgb="FF000000"/>
      <name val="Arial"/>
      <family val="2"/>
    </font>
    <font>
      <sz val="10"/>
      <color rgb="FF141414"/>
      <name val="Arial"/>
      <family val="2"/>
    </font>
    <font>
      <b/>
      <sz val="10"/>
      <color rgb="FF141414"/>
      <name val="Arial"/>
      <family val="2"/>
    </font>
    <font>
      <u/>
      <sz val="11"/>
      <color rgb="FF000000"/>
      <name val="Calibri"/>
      <family val="2"/>
      <scheme val="minor"/>
    </font>
    <font>
      <b/>
      <sz val="12"/>
      <color theme="1"/>
      <name val="Arial"/>
      <family val="2"/>
    </font>
    <font>
      <sz val="12"/>
      <color theme="1"/>
      <name val="Arial"/>
      <family val="2"/>
    </font>
    <font>
      <b/>
      <sz val="12"/>
      <color rgb="FF000000"/>
      <name val="Arial"/>
      <family val="2"/>
    </font>
    <font>
      <vertAlign val="superscript"/>
      <sz val="10"/>
      <color rgb="FF000000"/>
      <name val="Arial"/>
      <family val="2"/>
    </font>
    <font>
      <u/>
      <sz val="10"/>
      <color rgb="FF000000"/>
      <name val="Arial"/>
      <family val="2"/>
    </font>
    <font>
      <u/>
      <sz val="11"/>
      <color rgb="FF000000"/>
      <name val="Calibri"/>
      <family val="2"/>
      <scheme val="minor"/>
    </font>
    <font>
      <sz val="10"/>
      <color rgb="FF000000"/>
      <name val="Arial"/>
      <family val="2"/>
    </font>
    <font>
      <sz val="10"/>
      <color theme="1"/>
      <name val="Arial"/>
      <family val="2"/>
    </font>
    <font>
      <b/>
      <sz val="10"/>
      <color rgb="FF000000"/>
      <name val="Arial"/>
      <family val="2"/>
    </font>
    <font>
      <sz val="14"/>
      <color rgb="FFFFFFFF"/>
      <name val="Arial"/>
      <family val="2"/>
    </font>
    <font>
      <b/>
      <sz val="12"/>
      <color rgb="FFFFFFFF"/>
      <name val="Calibri"/>
      <family val="2"/>
      <scheme val="minor"/>
    </font>
    <font>
      <b/>
      <sz val="11"/>
      <color rgb="FFFFFFFF"/>
      <name val="Calibri"/>
      <family val="2"/>
    </font>
    <font>
      <b/>
      <sz val="12"/>
      <color rgb="FFFFFFFF"/>
      <name val="Arial"/>
      <family val="2"/>
    </font>
    <font>
      <sz val="12"/>
      <color rgb="FFFFFFFF"/>
      <name val="Arial"/>
      <family val="2"/>
    </font>
    <font>
      <sz val="10"/>
      <color rgb="FFFFFFFF"/>
      <name val="Arial"/>
      <family val="2"/>
    </font>
  </fonts>
  <fills count="33">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0"/>
        <bgColor indexed="64"/>
      </patternFill>
    </fill>
    <fill>
      <patternFill patternType="solid">
        <fgColor theme="0" tint="-0.14999847407452621"/>
        <bgColor indexed="64"/>
      </patternFill>
    </fill>
    <fill>
      <patternFill patternType="solid">
        <fgColor rgb="FF00206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rgb="FF005DAA"/>
        <bgColor indexed="64"/>
      </patternFill>
    </fill>
    <fill>
      <patternFill patternType="solid">
        <fgColor rgb="FFCBD2E2"/>
        <bgColor indexed="64"/>
      </patternFill>
    </fill>
    <fill>
      <patternFill patternType="solid">
        <fgColor rgb="FFE7EAF1"/>
        <bgColor indexed="64"/>
      </patternFill>
    </fill>
    <fill>
      <patternFill patternType="solid">
        <fgColor rgb="FF203764"/>
        <bgColor rgb="FF000000"/>
      </patternFill>
    </fill>
    <fill>
      <patternFill patternType="solid">
        <fgColor rgb="FFD9E1F2"/>
        <bgColor rgb="FF000000"/>
      </patternFill>
    </fill>
    <fill>
      <patternFill patternType="solid">
        <fgColor rgb="FFD9D9D9"/>
        <bgColor indexed="64"/>
      </patternFill>
    </fill>
    <fill>
      <patternFill patternType="solid">
        <fgColor rgb="FFFFFFFF"/>
        <bgColor indexed="64"/>
      </patternFill>
    </fill>
    <fill>
      <patternFill patternType="solid">
        <fgColor theme="0" tint="-0.34998626667073579"/>
        <bgColor indexed="64"/>
      </patternFill>
    </fill>
    <fill>
      <patternFill patternType="solid">
        <fgColor rgb="FFFFFFFF"/>
        <bgColor rgb="FF000000"/>
      </patternFill>
    </fill>
    <fill>
      <patternFill patternType="solid">
        <fgColor rgb="FFD6DCE4"/>
        <bgColor rgb="FF000000"/>
      </patternFill>
    </fill>
    <fill>
      <patternFill patternType="solid">
        <fgColor rgb="FFD9E1F2"/>
        <bgColor indexed="64"/>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FCFCFC"/>
        <bgColor indexed="64"/>
      </patternFill>
    </fill>
    <fill>
      <patternFill patternType="solid">
        <fgColor rgb="FF919191"/>
        <bgColor indexed="64"/>
      </patternFill>
    </fill>
    <fill>
      <patternFill patternType="solid">
        <fgColor rgb="FFC2BCBC"/>
        <bgColor indexed="64"/>
      </patternFill>
    </fill>
  </fills>
  <borders count="294">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style="thin">
        <color theme="0" tint="-0.499984740745262"/>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medium">
        <color rgb="FF000000"/>
      </left>
      <right style="medium">
        <color rgb="FF000000"/>
      </right>
      <top style="medium">
        <color rgb="FF000000"/>
      </top>
      <bottom style="medium">
        <color rgb="FF000000"/>
      </bottom>
      <diagonal/>
    </border>
    <border>
      <left style="medium">
        <color rgb="FFFFFFFF"/>
      </left>
      <right/>
      <top style="thick">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top/>
      <bottom style="medium">
        <color rgb="FFFFFFFF"/>
      </bottom>
      <diagonal/>
    </border>
    <border>
      <left/>
      <right style="medium">
        <color rgb="FFFFFFFF"/>
      </right>
      <top style="medium">
        <color rgb="FFFFFFFF"/>
      </top>
      <bottom style="medium">
        <color rgb="FFFFFFFF"/>
      </bottom>
      <diagonal/>
    </border>
    <border>
      <left/>
      <right style="medium">
        <color rgb="FFFFFFFF"/>
      </right>
      <top style="thick">
        <color rgb="FFFFFFFF"/>
      </top>
      <bottom/>
      <diagonal/>
    </border>
    <border>
      <left/>
      <right/>
      <top style="thick">
        <color rgb="FFFFFFFF"/>
      </top>
      <bottom/>
      <diagonal/>
    </border>
    <border>
      <left/>
      <right style="medium">
        <color rgb="FFFFFFFF"/>
      </right>
      <top/>
      <bottom style="medium">
        <color rgb="FFFFFFFF"/>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808080"/>
      </left>
      <right style="thin">
        <color rgb="FF808080"/>
      </right>
      <top style="thin">
        <color rgb="FF808080"/>
      </top>
      <bottom style="thin">
        <color rgb="FF808080"/>
      </bottom>
      <diagonal/>
    </border>
    <border>
      <left style="medium">
        <color indexed="64"/>
      </left>
      <right style="thin">
        <color indexed="64"/>
      </right>
      <top/>
      <bottom style="thin">
        <color indexed="64"/>
      </bottom>
      <diagonal/>
    </border>
    <border>
      <left style="thin">
        <color theme="0" tint="-0.499984740745262"/>
      </left>
      <right style="thin">
        <color theme="0" tint="-0.499984740745262"/>
      </right>
      <top style="thin">
        <color indexed="64"/>
      </top>
      <bottom/>
      <diagonal/>
    </border>
    <border>
      <left style="thin">
        <color theme="0" tint="-0.499984740745262"/>
      </left>
      <right style="thin">
        <color rgb="FF808080"/>
      </right>
      <top style="thin">
        <color theme="0" tint="-0.499984740745262"/>
      </top>
      <bottom/>
      <diagonal/>
    </border>
    <border>
      <left style="thin">
        <color theme="0" tint="-0.499984740745262"/>
      </left>
      <right style="thin">
        <color rgb="FF808080"/>
      </right>
      <top/>
      <bottom/>
      <diagonal/>
    </border>
    <border>
      <left style="thin">
        <color theme="0" tint="-0.499984740745262"/>
      </left>
      <right style="thin">
        <color rgb="FF808080"/>
      </right>
      <top/>
      <bottom style="thin">
        <color theme="0" tint="-0.499984740745262"/>
      </bottom>
      <diagonal/>
    </border>
    <border>
      <left style="thin">
        <color rgb="FF808080"/>
      </left>
      <right style="thin">
        <color rgb="FF808080"/>
      </right>
      <top style="thin">
        <color rgb="FF808080"/>
      </top>
      <bottom/>
      <diagonal/>
    </border>
    <border>
      <left style="thin">
        <color rgb="FF808080"/>
      </left>
      <right style="thin">
        <color rgb="FF808080"/>
      </right>
      <top/>
      <bottom/>
      <diagonal/>
    </border>
    <border>
      <left style="thin">
        <color rgb="FF808080"/>
      </left>
      <right style="thin">
        <color rgb="FF808080"/>
      </right>
      <top/>
      <bottom style="thin">
        <color rgb="FF808080"/>
      </bottom>
      <diagonal/>
    </border>
    <border>
      <left style="thin">
        <color rgb="FF808080"/>
      </left>
      <right style="thin">
        <color rgb="FF808080"/>
      </right>
      <top style="thin">
        <color theme="0" tint="-0.499984740745262"/>
      </top>
      <bottom/>
      <diagonal/>
    </border>
    <border>
      <left style="medium">
        <color rgb="FFFFFFFF"/>
      </left>
      <right/>
      <top style="medium">
        <color rgb="FFFFFFFF"/>
      </top>
      <bottom style="thick">
        <color rgb="FFFFFFFF"/>
      </bottom>
      <diagonal/>
    </border>
    <border>
      <left/>
      <right/>
      <top style="medium">
        <color rgb="FFFFFFFF"/>
      </top>
      <bottom style="thick">
        <color rgb="FFFFFFFF"/>
      </bottom>
      <diagonal/>
    </border>
    <border>
      <left/>
      <right style="medium">
        <color rgb="FFFFFFFF"/>
      </right>
      <top style="medium">
        <color rgb="FFFFFFFF"/>
      </top>
      <bottom style="thick">
        <color rgb="FFFFFFFF"/>
      </bottom>
      <diagonal/>
    </border>
    <border>
      <left style="thin">
        <color theme="0" tint="-0.499984740745262"/>
      </left>
      <right style="thin">
        <color indexed="64"/>
      </right>
      <top style="thin">
        <color theme="0" tint="-0.499984740745262"/>
      </top>
      <bottom style="thin">
        <color theme="0" tint="-0.499984740745262"/>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medium">
        <color indexed="64"/>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right style="thin">
        <color indexed="64"/>
      </right>
      <top style="medium">
        <color indexed="64"/>
      </top>
      <bottom style="thin">
        <color indexed="64"/>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thin">
        <color indexed="64"/>
      </left>
      <right style="medium">
        <color indexed="64"/>
      </right>
      <top style="thin">
        <color indexed="64"/>
      </top>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right style="thin">
        <color theme="1" tint="0.34998626667073579"/>
      </right>
      <top style="thin">
        <color theme="1" tint="0.34998626667073579"/>
      </top>
      <bottom style="medium">
        <color theme="1" tint="0.34998626667073579"/>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style="thin">
        <color theme="1" tint="0.34998626667073579"/>
      </left>
      <right style="thin">
        <color theme="1" tint="0.34998626667073579"/>
      </right>
      <top/>
      <bottom style="thin">
        <color theme="1" tint="0.34998626667073579"/>
      </bottom>
      <diagonal/>
    </border>
    <border>
      <left/>
      <right style="thin">
        <color theme="1" tint="0.34998626667073579"/>
      </right>
      <top/>
      <bottom style="thin">
        <color theme="1" tint="0.34998626667073579"/>
      </bottom>
      <diagonal/>
    </border>
    <border>
      <left style="thin">
        <color indexed="64"/>
      </left>
      <right style="medium">
        <color indexed="64"/>
      </right>
      <top/>
      <bottom style="thin">
        <color indexed="64"/>
      </bottom>
      <diagonal/>
    </border>
    <border>
      <left style="thin">
        <color theme="1" tint="0.34998626667073579"/>
      </left>
      <right style="medium">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top style="thin">
        <color indexed="64"/>
      </top>
      <bottom style="medium">
        <color indexed="64"/>
      </bottom>
      <diagonal/>
    </border>
    <border>
      <left style="thin">
        <color theme="1" tint="0.34998626667073579"/>
      </left>
      <right style="medium">
        <color indexed="64"/>
      </right>
      <top style="medium">
        <color indexed="64"/>
      </top>
      <bottom style="thin">
        <color indexed="64"/>
      </bottom>
      <diagonal/>
    </border>
    <border>
      <left style="thin">
        <color theme="1" tint="0.34998626667073579"/>
      </left>
      <right style="medium">
        <color indexed="64"/>
      </right>
      <top style="thin">
        <color indexed="64"/>
      </top>
      <bottom style="thin">
        <color indexed="64"/>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medium">
        <color indexed="64"/>
      </right>
      <top style="thin">
        <color indexed="64"/>
      </top>
      <bottom style="medium">
        <color indexed="64"/>
      </bottom>
      <diagonal/>
    </border>
    <border>
      <left style="thin">
        <color theme="1" tint="0.34998626667073579"/>
      </left>
      <right/>
      <top/>
      <bottom/>
      <diagonal/>
    </border>
    <border>
      <left/>
      <right style="thin">
        <color theme="1" tint="0.34998626667073579"/>
      </right>
      <top/>
      <bottom/>
      <diagonal/>
    </border>
    <border>
      <left style="thin">
        <color theme="1" tint="0.34998626667073579"/>
      </left>
      <right style="medium">
        <color indexed="64"/>
      </right>
      <top style="medium">
        <color indexed="64"/>
      </top>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medium">
        <color theme="1" tint="0.34998626667073579"/>
      </left>
      <right style="thin">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bottom style="medium">
        <color theme="1" tint="0.34998626667073579"/>
      </bottom>
      <diagonal/>
    </border>
    <border>
      <left style="medium">
        <color indexed="64"/>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bottom/>
      <diagonal/>
    </border>
    <border>
      <left style="medium">
        <color indexed="64"/>
      </left>
      <right style="thin">
        <color theme="1" tint="0.34998626667073579"/>
      </right>
      <top/>
      <bottom style="medium">
        <color indexed="64"/>
      </bottom>
      <diagonal/>
    </border>
    <border>
      <left/>
      <right/>
      <top/>
      <bottom style="thin">
        <color theme="1" tint="0.34998626667073579"/>
      </bottom>
      <diagonal/>
    </border>
    <border>
      <left style="thin">
        <color theme="1" tint="0.34998626667073579"/>
      </left>
      <right style="thin">
        <color theme="1" tint="0.34998626667073579"/>
      </right>
      <top style="medium">
        <color theme="1" tint="0.34998626667073579"/>
      </top>
      <bottom/>
      <diagonal/>
    </border>
    <border>
      <left style="thin">
        <color theme="1" tint="0.34998626667073579"/>
      </left>
      <right style="medium">
        <color indexed="64"/>
      </right>
      <top style="medium">
        <color theme="1" tint="0.34998626667073579"/>
      </top>
      <bottom/>
      <diagonal/>
    </border>
    <border>
      <left style="thin">
        <color indexed="64"/>
      </left>
      <right style="thin">
        <color indexed="64"/>
      </right>
      <top style="medium">
        <color indexed="64"/>
      </top>
      <bottom/>
      <diagonal/>
    </border>
    <border>
      <left style="thin">
        <color indexed="64"/>
      </left>
      <right style="medium">
        <color indexed="64"/>
      </right>
      <top/>
      <bottom style="medium">
        <color indexed="64"/>
      </bottom>
      <diagonal/>
    </border>
    <border>
      <left style="thin">
        <color theme="1" tint="0.34998626667073579"/>
      </left>
      <right style="medium">
        <color indexed="64"/>
      </right>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diagonal/>
    </border>
    <border>
      <left style="medium">
        <color indexed="64"/>
      </left>
      <right style="thin">
        <color rgb="FF595959"/>
      </right>
      <top style="medium">
        <color rgb="FF595959"/>
      </top>
      <bottom/>
      <diagonal/>
    </border>
    <border>
      <left style="medium">
        <color indexed="64"/>
      </left>
      <right style="thin">
        <color rgb="FF595959"/>
      </right>
      <top/>
      <bottom/>
      <diagonal/>
    </border>
    <border>
      <left style="medium">
        <color indexed="64"/>
      </left>
      <right style="thin">
        <color rgb="FF595959"/>
      </right>
      <top/>
      <bottom style="thin">
        <color rgb="FF595959"/>
      </bottom>
      <diagonal/>
    </border>
    <border>
      <left style="thin">
        <color rgb="FF595959"/>
      </left>
      <right style="thin">
        <color rgb="FF595959"/>
      </right>
      <top style="medium">
        <color rgb="FF595959"/>
      </top>
      <bottom/>
      <diagonal/>
    </border>
    <border>
      <left style="thin">
        <color rgb="FF595959"/>
      </left>
      <right style="thin">
        <color rgb="FF595959"/>
      </right>
      <top/>
      <bottom/>
      <diagonal/>
    </border>
    <border>
      <left style="thin">
        <color rgb="FF595959"/>
      </left>
      <right style="thin">
        <color rgb="FF595959"/>
      </right>
      <top/>
      <bottom style="thin">
        <color rgb="FF595959"/>
      </bottom>
      <diagonal/>
    </border>
    <border>
      <left style="thin">
        <color rgb="FF595959"/>
      </left>
      <right style="medium">
        <color indexed="64"/>
      </right>
      <top style="medium">
        <color rgb="FF595959"/>
      </top>
      <bottom/>
      <diagonal/>
    </border>
    <border>
      <left style="thin">
        <color rgb="FF595959"/>
      </left>
      <right style="medium">
        <color indexed="64"/>
      </right>
      <top/>
      <bottom/>
      <diagonal/>
    </border>
    <border>
      <left style="thin">
        <color rgb="FF595959"/>
      </left>
      <right style="medium">
        <color indexed="64"/>
      </right>
      <top/>
      <bottom style="thin">
        <color rgb="FF595959"/>
      </bottom>
      <diagonal/>
    </border>
    <border>
      <left/>
      <right style="thin">
        <color rgb="FF595959"/>
      </right>
      <top style="medium">
        <color rgb="FF595959"/>
      </top>
      <bottom style="thin">
        <color rgb="FF595959"/>
      </bottom>
      <diagonal/>
    </border>
    <border>
      <left style="thin">
        <color rgb="FF595959"/>
      </left>
      <right style="thin">
        <color rgb="FF595959"/>
      </right>
      <top style="medium">
        <color rgb="FF595959"/>
      </top>
      <bottom style="thin">
        <color rgb="FF595959"/>
      </bottom>
      <diagonal/>
    </border>
    <border>
      <left style="thin">
        <color rgb="FF595959"/>
      </left>
      <right style="medium">
        <color rgb="FF595959"/>
      </right>
      <top style="medium">
        <color rgb="FF595959"/>
      </top>
      <bottom style="thin">
        <color rgb="FF595959"/>
      </bottom>
      <diagonal/>
    </border>
    <border>
      <left/>
      <right style="thin">
        <color rgb="FF595959"/>
      </right>
      <top style="thin">
        <color rgb="FF595959"/>
      </top>
      <bottom style="thin">
        <color rgb="FF595959"/>
      </bottom>
      <diagonal/>
    </border>
    <border>
      <left style="thin">
        <color rgb="FF595959"/>
      </left>
      <right style="thin">
        <color rgb="FF595959"/>
      </right>
      <top style="thin">
        <color rgb="FF595959"/>
      </top>
      <bottom style="thin">
        <color rgb="FF595959"/>
      </bottom>
      <diagonal/>
    </border>
    <border>
      <left style="thin">
        <color rgb="FF595959"/>
      </left>
      <right style="medium">
        <color rgb="FF595959"/>
      </right>
      <top style="thin">
        <color rgb="FF595959"/>
      </top>
      <bottom style="thin">
        <color rgb="FF595959"/>
      </bottom>
      <diagonal/>
    </border>
    <border>
      <left/>
      <right style="thin">
        <color rgb="FF595959"/>
      </right>
      <top style="thin">
        <color rgb="FF595959"/>
      </top>
      <bottom style="medium">
        <color rgb="FF595959"/>
      </bottom>
      <diagonal/>
    </border>
    <border>
      <left style="thin">
        <color rgb="FF595959"/>
      </left>
      <right style="thin">
        <color rgb="FF595959"/>
      </right>
      <top style="thin">
        <color rgb="FF595959"/>
      </top>
      <bottom style="medium">
        <color rgb="FF595959"/>
      </bottom>
      <diagonal/>
    </border>
    <border>
      <left style="thin">
        <color rgb="FF595959"/>
      </left>
      <right style="medium">
        <color rgb="FF595959"/>
      </right>
      <top style="thin">
        <color rgb="FF595959"/>
      </top>
      <bottom style="medium">
        <color rgb="FF595959"/>
      </bottom>
      <diagonal/>
    </border>
    <border>
      <left style="medium">
        <color rgb="FF000000"/>
      </left>
      <right style="thin">
        <color theme="1" tint="0.34998626667073579"/>
      </right>
      <top style="medium">
        <color rgb="FF000000"/>
      </top>
      <bottom style="thin">
        <color theme="1" tint="0.34998626667073579"/>
      </bottom>
      <diagonal/>
    </border>
    <border>
      <left style="thin">
        <color theme="1" tint="0.34998626667073579"/>
      </left>
      <right style="thin">
        <color theme="1" tint="0.34998626667073579"/>
      </right>
      <top style="medium">
        <color rgb="FF000000"/>
      </top>
      <bottom style="thin">
        <color theme="1" tint="0.34998626667073579"/>
      </bottom>
      <diagonal/>
    </border>
    <border>
      <left style="medium">
        <color rgb="FF000000"/>
      </left>
      <right style="thin">
        <color theme="1" tint="0.34998626667073579"/>
      </right>
      <top style="thin">
        <color theme="1" tint="0.34998626667073579"/>
      </top>
      <bottom style="thin">
        <color theme="1" tint="0.34998626667073579"/>
      </bottom>
      <diagonal/>
    </border>
    <border>
      <left style="medium">
        <color rgb="FF000000"/>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style="thin">
        <color theme="1" tint="0.34998626667073579"/>
      </top>
      <bottom style="medium">
        <color rgb="FF000000"/>
      </bottom>
      <diagonal/>
    </border>
    <border>
      <left style="thin">
        <color theme="1" tint="0.34998626667073579"/>
      </left>
      <right style="thin">
        <color theme="1" tint="0.34998626667073579"/>
      </right>
      <top/>
      <bottom style="medium">
        <color rgb="FF000000"/>
      </bottom>
      <diagonal/>
    </border>
    <border>
      <left style="medium">
        <color rgb="FF000000"/>
      </left>
      <right style="thin">
        <color indexed="64"/>
      </right>
      <top style="medium">
        <color rgb="FF000000"/>
      </top>
      <bottom style="thin">
        <color indexed="64"/>
      </bottom>
      <diagonal/>
    </border>
    <border>
      <left style="medium">
        <color indexed="64"/>
      </left>
      <right style="thin">
        <color indexed="64"/>
      </right>
      <top style="medium">
        <color rgb="FF000000"/>
      </top>
      <bottom/>
      <diagonal/>
    </border>
    <border>
      <left style="thin">
        <color indexed="64"/>
      </left>
      <right style="thin">
        <color indexed="64"/>
      </right>
      <top style="medium">
        <color rgb="FF000000"/>
      </top>
      <bottom/>
      <diagonal/>
    </border>
    <border>
      <left style="thin">
        <color indexed="64"/>
      </left>
      <right style="medium">
        <color indexed="64"/>
      </right>
      <top style="medium">
        <color rgb="FF000000"/>
      </top>
      <bottom/>
      <diagonal/>
    </border>
    <border>
      <left style="medium">
        <color indexed="64"/>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diagonal/>
    </border>
    <border>
      <left style="medium">
        <color rgb="FF000000"/>
      </left>
      <right style="thin">
        <color indexed="64"/>
      </right>
      <top style="medium">
        <color rgb="FF000000"/>
      </top>
      <bottom/>
      <diagonal/>
    </border>
    <border>
      <left style="thin">
        <color theme="0" tint="-0.499984740745262"/>
      </left>
      <right style="thin">
        <color theme="0" tint="-0.499984740745262"/>
      </right>
      <top style="medium">
        <color rgb="FF000000"/>
      </top>
      <bottom/>
      <diagonal/>
    </border>
    <border>
      <left style="thin">
        <color rgb="FF000000"/>
      </left>
      <right style="thin">
        <color rgb="FF000000"/>
      </right>
      <top style="medium">
        <color rgb="FF000000"/>
      </top>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top style="medium">
        <color rgb="FF000000"/>
      </top>
      <bottom/>
      <diagonal/>
    </border>
    <border>
      <left/>
      <right style="thin">
        <color indexed="64"/>
      </right>
      <top style="medium">
        <color rgb="FF000000"/>
      </top>
      <bottom/>
      <diagonal/>
    </border>
    <border>
      <left/>
      <right style="medium">
        <color indexed="64"/>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diagonal/>
    </border>
    <border>
      <left style="thin">
        <color rgb="FF000000"/>
      </left>
      <right style="thin">
        <color rgb="FF000000"/>
      </right>
      <top/>
      <bottom/>
      <diagonal/>
    </border>
    <border>
      <left style="medium">
        <color indexed="64"/>
      </left>
      <right style="thin">
        <color theme="1" tint="0.34998626667073579"/>
      </right>
      <top/>
      <bottom style="thin">
        <color theme="1" tint="0.34998626667073579"/>
      </bottom>
      <diagonal/>
    </border>
    <border>
      <left style="thin">
        <color rgb="FF000000"/>
      </left>
      <right/>
      <top style="thin">
        <color rgb="FF000000"/>
      </top>
      <bottom style="thin">
        <color theme="1" tint="0.34998626667073579"/>
      </bottom>
      <diagonal/>
    </border>
    <border>
      <left/>
      <right/>
      <top style="thin">
        <color rgb="FF000000"/>
      </top>
      <bottom style="thin">
        <color theme="1" tint="0.34998626667073579"/>
      </bottom>
      <diagonal/>
    </border>
    <border>
      <left/>
      <right style="thin">
        <color rgb="FF000000"/>
      </right>
      <top style="thin">
        <color rgb="FF000000"/>
      </top>
      <bottom style="thin">
        <color theme="1" tint="0.34998626667073579"/>
      </bottom>
      <diagonal/>
    </border>
    <border>
      <left style="thin">
        <color rgb="FF000000"/>
      </left>
      <right style="thin">
        <color theme="1" tint="0.34998626667073579"/>
      </right>
      <top style="thin">
        <color theme="1" tint="0.34998626667073579"/>
      </top>
      <bottom/>
      <diagonal/>
    </border>
    <border>
      <left style="thin">
        <color theme="1" tint="0.34998626667073579"/>
      </left>
      <right style="thin">
        <color rgb="FF000000"/>
      </right>
      <top style="thin">
        <color theme="1" tint="0.34998626667073579"/>
      </top>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rgb="FF000000"/>
      </left>
      <right style="thin">
        <color indexed="64"/>
      </right>
      <top style="thin">
        <color indexed="64"/>
      </top>
      <bottom style="thin">
        <color rgb="FF000000"/>
      </bottom>
      <diagonal/>
    </border>
    <border>
      <left style="thin">
        <color theme="0" tint="-0.499984740745262"/>
      </left>
      <right style="thin">
        <color theme="0" tint="-0.499984740745262"/>
      </right>
      <top style="thin">
        <color theme="0" tint="-0.499984740745262"/>
      </top>
      <bottom style="thin">
        <color rgb="FF000000"/>
      </bottom>
      <diagonal/>
    </border>
    <border>
      <left style="thin">
        <color theme="0" tint="-0.499984740745262"/>
      </left>
      <right/>
      <top style="thin">
        <color theme="0" tint="-0.499984740745262"/>
      </top>
      <bottom style="thin">
        <color rgb="FF000000"/>
      </bottom>
      <diagonal/>
    </border>
    <border>
      <left style="thin">
        <color theme="0" tint="-0.499984740745262"/>
      </left>
      <right style="thin">
        <color indexed="64"/>
      </right>
      <top style="thin">
        <color theme="0" tint="-0.499984740745262"/>
      </top>
      <bottom style="thin">
        <color rgb="FF000000"/>
      </bottom>
      <diagonal/>
    </border>
    <border>
      <left style="thin">
        <color indexed="64"/>
      </left>
      <right style="thin">
        <color rgb="FF000000"/>
      </right>
      <top/>
      <bottom style="thin">
        <color rgb="FF000000"/>
      </bottom>
      <diagonal/>
    </border>
    <border>
      <left/>
      <right/>
      <top style="thin">
        <color theme="1" tint="0.34998626667073579"/>
      </top>
      <bottom style="thin">
        <color theme="1" tint="0.34998626667073579"/>
      </bottom>
      <diagonal/>
    </border>
    <border>
      <left style="thin">
        <color theme="1" tint="0.34998626667073579"/>
      </left>
      <right style="thin">
        <color theme="1" tint="0.34998626667073579"/>
      </right>
      <top style="medium">
        <color rgb="FF000000"/>
      </top>
      <bottom/>
      <diagonal/>
    </border>
    <border>
      <left style="thin">
        <color theme="1" tint="0.34998626667073579"/>
      </left>
      <right style="medium">
        <color indexed="64"/>
      </right>
      <top style="medium">
        <color rgb="FF000000"/>
      </top>
      <bottom style="thin">
        <color theme="1" tint="0.34998626667073579"/>
      </bottom>
      <diagonal/>
    </border>
    <border>
      <left/>
      <right style="thin">
        <color theme="1" tint="0.34998626667073579"/>
      </right>
      <top style="medium">
        <color rgb="FF000000"/>
      </top>
      <bottom style="thin">
        <color theme="1" tint="0.34998626667073579"/>
      </bottom>
      <diagonal/>
    </border>
    <border>
      <left style="thin">
        <color theme="1" tint="0.34998626667073579"/>
      </left>
      <right style="medium">
        <color rgb="FF000000"/>
      </right>
      <top style="medium">
        <color rgb="FF000000"/>
      </top>
      <bottom/>
      <diagonal/>
    </border>
    <border>
      <left style="thin">
        <color theme="1" tint="0.34998626667073579"/>
      </left>
      <right style="medium">
        <color indexed="64"/>
      </right>
      <top style="thin">
        <color theme="1" tint="0.34998626667073579"/>
      </top>
      <bottom style="medium">
        <color rgb="FF000000"/>
      </bottom>
      <diagonal/>
    </border>
    <border>
      <left/>
      <right style="thin">
        <color theme="1" tint="0.34998626667073579"/>
      </right>
      <top style="thin">
        <color theme="1" tint="0.34998626667073579"/>
      </top>
      <bottom style="medium">
        <color rgb="FF000000"/>
      </bottom>
      <diagonal/>
    </border>
    <border>
      <left style="thin">
        <color theme="1" tint="0.34998626667073579"/>
      </left>
      <right style="medium">
        <color rgb="FF000000"/>
      </right>
      <top/>
      <bottom style="medium">
        <color rgb="FF000000"/>
      </bottom>
      <diagonal/>
    </border>
    <border>
      <left style="medium">
        <color rgb="FF000000"/>
      </left>
      <right style="thin">
        <color theme="1" tint="0.34998626667073579"/>
      </right>
      <top style="thin">
        <color theme="1" tint="0.34998626667073579"/>
      </top>
      <bottom/>
      <diagonal/>
    </border>
    <border>
      <left style="thin">
        <color theme="1" tint="0.34998626667073579"/>
      </left>
      <right style="thin">
        <color theme="1" tint="0.34998626667073579"/>
      </right>
      <top style="medium">
        <color rgb="FF000000"/>
      </top>
      <bottom style="thin">
        <color indexed="64"/>
      </bottom>
      <diagonal/>
    </border>
    <border>
      <left style="thin">
        <color theme="1" tint="0.34998626667073579"/>
      </left>
      <right style="thin">
        <color theme="1" tint="0.34998626667073579"/>
      </right>
      <top style="thin">
        <color indexed="64"/>
      </top>
      <bottom style="medium">
        <color rgb="FF000000"/>
      </bottom>
      <diagonal/>
    </border>
    <border>
      <left style="thin">
        <color rgb="FF000000"/>
      </left>
      <right/>
      <top/>
      <bottom/>
      <diagonal/>
    </border>
    <border>
      <left style="thin">
        <color theme="1" tint="0.499984740745262"/>
      </left>
      <right/>
      <top style="thin">
        <color theme="1" tint="0.499984740745262"/>
      </top>
      <bottom style="thin">
        <color theme="1" tint="0.499984740745262"/>
      </bottom>
      <diagonal/>
    </border>
    <border>
      <left style="thin">
        <color rgb="FF808080"/>
      </left>
      <right style="thin">
        <color rgb="FF000000"/>
      </right>
      <top style="thin">
        <color rgb="FF000000"/>
      </top>
      <bottom/>
      <diagonal/>
    </border>
    <border>
      <left style="thin">
        <color rgb="FF808080"/>
      </left>
      <right/>
      <top/>
      <bottom/>
      <diagonal/>
    </border>
    <border>
      <left style="thin">
        <color rgb="FF808080"/>
      </left>
      <right/>
      <top/>
      <bottom style="thin">
        <color rgb="FF808080"/>
      </bottom>
      <diagonal/>
    </border>
    <border>
      <left style="thin">
        <color indexed="64"/>
      </left>
      <right/>
      <top/>
      <bottom style="thin">
        <color rgb="FF000000"/>
      </bottom>
      <diagonal/>
    </border>
    <border>
      <left/>
      <right/>
      <top style="thin">
        <color rgb="FF000000"/>
      </top>
      <bottom/>
      <diagonal/>
    </border>
    <border>
      <left/>
      <right style="thin">
        <color indexed="64"/>
      </right>
      <top/>
      <bottom/>
      <diagonal/>
    </border>
    <border>
      <left style="thin">
        <color theme="1" tint="0.34998626667073579"/>
      </left>
      <right style="medium">
        <color rgb="FF000000"/>
      </right>
      <top/>
      <bottom/>
      <diagonal/>
    </border>
    <border>
      <left/>
      <right/>
      <top style="thin">
        <color theme="1" tint="0.34998626667073579"/>
      </top>
      <bottom style="medium">
        <color theme="1" tint="0.34998626667073579"/>
      </bottom>
      <diagonal/>
    </border>
    <border>
      <left style="thin">
        <color indexed="64"/>
      </left>
      <right style="thin">
        <color indexed="64"/>
      </right>
      <top style="thin">
        <color indexed="64"/>
      </top>
      <bottom style="medium">
        <color rgb="FF000000"/>
      </bottom>
      <diagonal/>
    </border>
    <border>
      <left style="thin">
        <color indexed="64"/>
      </left>
      <right style="medium">
        <color indexed="64"/>
      </right>
      <top style="thin">
        <color indexed="64"/>
      </top>
      <bottom style="medium">
        <color rgb="FF000000"/>
      </bottom>
      <diagonal/>
    </border>
    <border>
      <left style="thin">
        <color theme="0" tint="-0.499984740745262"/>
      </left>
      <right style="thin">
        <color theme="0" tint="-0.14999847407452621"/>
      </right>
      <top style="thin">
        <color theme="0" tint="-0.499984740745262"/>
      </top>
      <bottom style="thin">
        <color theme="0" tint="-0.499984740745262"/>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rgb="FF808080"/>
      </left>
      <right/>
      <top style="thin">
        <color rgb="FF808080"/>
      </top>
      <bottom style="thin">
        <color rgb="FF808080"/>
      </bottom>
      <diagonal/>
    </border>
    <border>
      <left/>
      <right style="thin">
        <color indexed="64"/>
      </right>
      <top style="thin">
        <color rgb="FF808080"/>
      </top>
      <bottom style="thin">
        <color rgb="FF808080"/>
      </bottom>
      <diagonal/>
    </border>
    <border>
      <left style="thin">
        <color theme="1" tint="0.249977111117893"/>
      </left>
      <right/>
      <top/>
      <bottom/>
      <diagonal/>
    </border>
    <border>
      <left/>
      <right style="thin">
        <color theme="1" tint="0.249977111117893"/>
      </right>
      <top/>
      <bottom/>
      <diagonal/>
    </border>
    <border>
      <left/>
      <right/>
      <top/>
      <bottom style="thin">
        <color theme="1" tint="0.249977111117893"/>
      </bottom>
      <diagonal/>
    </border>
    <border>
      <left/>
      <right style="thin">
        <color theme="1" tint="0.249977111117893"/>
      </right>
      <top/>
      <bottom style="thin">
        <color theme="1" tint="0.249977111117893"/>
      </bottom>
      <diagonal/>
    </border>
    <border>
      <left style="thin">
        <color theme="1" tint="0.249977111117893"/>
      </left>
      <right/>
      <top style="thin">
        <color theme="1" tint="0.249977111117893"/>
      </top>
      <bottom style="thin">
        <color theme="1" tint="0.249977111117893"/>
      </bottom>
      <diagonal/>
    </border>
    <border>
      <left/>
      <right/>
      <top style="thin">
        <color theme="1" tint="0.249977111117893"/>
      </top>
      <bottom style="thin">
        <color theme="1" tint="0.249977111117893"/>
      </bottom>
      <diagonal/>
    </border>
    <border>
      <left/>
      <right style="thin">
        <color theme="1" tint="0.249977111117893"/>
      </right>
      <top style="thin">
        <color theme="1" tint="0.249977111117893"/>
      </top>
      <bottom style="thin">
        <color theme="1" tint="0.249977111117893"/>
      </bottom>
      <diagonal/>
    </border>
    <border>
      <left/>
      <right style="thin">
        <color theme="1" tint="0.249977111117893"/>
      </right>
      <top style="thin">
        <color indexed="64"/>
      </top>
      <bottom/>
      <diagonal/>
    </border>
    <border>
      <left style="thin">
        <color indexed="64"/>
      </left>
      <right/>
      <top/>
      <bottom style="thin">
        <color theme="1" tint="0.249977111117893"/>
      </bottom>
      <diagonal/>
    </border>
    <border>
      <left style="thin">
        <color rgb="FF000000"/>
      </left>
      <right/>
      <top/>
      <bottom style="thin">
        <color indexed="64"/>
      </bottom>
      <diagonal/>
    </border>
    <border>
      <left/>
      <right style="thin">
        <color rgb="FF000000"/>
      </right>
      <top/>
      <bottom/>
      <diagonal/>
    </border>
    <border>
      <left style="medium">
        <color rgb="FF000000"/>
      </left>
      <right/>
      <top style="medium">
        <color rgb="FF000000"/>
      </top>
      <bottom style="thin">
        <color indexed="64"/>
      </bottom>
      <diagonal/>
    </border>
    <border>
      <left style="medium">
        <color rgb="FF000000"/>
      </left>
      <right/>
      <top style="thin">
        <color indexed="64"/>
      </top>
      <bottom style="thin">
        <color indexed="64"/>
      </bottom>
      <diagonal/>
    </border>
    <border>
      <left style="medium">
        <color rgb="FF000000"/>
      </left>
      <right/>
      <top style="thin">
        <color indexed="64"/>
      </top>
      <bottom style="medium">
        <color rgb="FF000000"/>
      </bottom>
      <diagonal/>
    </border>
    <border>
      <left style="thin">
        <color theme="1" tint="0.34998626667073579"/>
      </left>
      <right/>
      <top style="medium">
        <color rgb="FF000000"/>
      </top>
      <bottom style="thin">
        <color theme="1" tint="0.34998626667073579"/>
      </bottom>
      <diagonal/>
    </border>
    <border>
      <left style="thin">
        <color theme="1" tint="0.34998626667073579"/>
      </left>
      <right/>
      <top style="thin">
        <color theme="1" tint="0.34998626667073579"/>
      </top>
      <bottom style="medium">
        <color rgb="FF000000"/>
      </bottom>
      <diagonal/>
    </border>
    <border>
      <left style="medium">
        <color rgb="FF000000"/>
      </left>
      <right/>
      <top style="thin">
        <color indexed="64"/>
      </top>
      <bottom/>
      <diagonal/>
    </border>
    <border>
      <left style="thin">
        <color theme="1" tint="0.34998626667073579"/>
      </left>
      <right style="medium">
        <color rgb="FF000000"/>
      </right>
      <top style="medium">
        <color rgb="FF000000"/>
      </top>
      <bottom style="thin">
        <color theme="1" tint="0.34998626667073579"/>
      </bottom>
      <diagonal/>
    </border>
    <border>
      <left style="thin">
        <color theme="1" tint="0.34998626667073579"/>
      </left>
      <right style="medium">
        <color rgb="FF000000"/>
      </right>
      <top style="thin">
        <color theme="1" tint="0.34998626667073579"/>
      </top>
      <bottom style="thin">
        <color theme="1" tint="0.34998626667073579"/>
      </bottom>
      <diagonal/>
    </border>
    <border>
      <left style="thin">
        <color theme="1" tint="0.34998626667073579"/>
      </left>
      <right style="medium">
        <color rgb="FF000000"/>
      </right>
      <top style="thin">
        <color theme="1" tint="0.34998626667073579"/>
      </top>
      <bottom style="medium">
        <color rgb="FF000000"/>
      </bottom>
      <diagonal/>
    </border>
    <border>
      <left style="thin">
        <color theme="1" tint="0.34998626667073579"/>
      </left>
      <right/>
      <top style="thin">
        <color theme="1" tint="0.34998626667073579"/>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theme="1" tint="0.34998626667073579"/>
      </left>
      <right style="thin">
        <color theme="1" tint="0.34998626667073579"/>
      </right>
      <top style="thin">
        <color theme="1" tint="0.34998626667073579"/>
      </top>
      <bottom style="thin">
        <color rgb="FF000000"/>
      </bottom>
      <diagonal/>
    </border>
    <border>
      <left style="thin">
        <color theme="1" tint="0.34998626667073579"/>
      </left>
      <right style="thin">
        <color theme="1" tint="0.34998626667073579"/>
      </right>
      <top/>
      <bottom style="thin">
        <color rgb="FF000000"/>
      </bottom>
      <diagonal/>
    </border>
    <border>
      <left style="thin">
        <color theme="1" tint="0.34998626667073579"/>
      </left>
      <right/>
      <top/>
      <bottom style="thin">
        <color rgb="FF000000"/>
      </bottom>
      <diagonal/>
    </border>
    <border>
      <left style="thin">
        <color rgb="FF000000"/>
      </left>
      <right style="thin">
        <color rgb="FF000000"/>
      </right>
      <top style="thin">
        <color rgb="FF000000"/>
      </top>
      <bottom style="thin">
        <color indexed="64"/>
      </bottom>
      <diagonal/>
    </border>
  </borders>
  <cellStyleXfs count="15">
    <xf numFmtId="0" fontId="0" fillId="0" borderId="0"/>
    <xf numFmtId="0" fontId="2" fillId="0" borderId="0"/>
    <xf numFmtId="9" fontId="3" fillId="0" borderId="0" applyFont="0" applyFill="0" applyBorder="0" applyAlignment="0" applyProtection="0"/>
    <xf numFmtId="0" fontId="5" fillId="0" borderId="0" applyNumberFormat="0" applyFill="0" applyBorder="0" applyAlignment="0" applyProtection="0"/>
    <xf numFmtId="0" fontId="7" fillId="0" borderId="0"/>
    <xf numFmtId="0" fontId="9" fillId="0" borderId="0" applyNumberFormat="0" applyFill="0" applyBorder="0" applyAlignment="0" applyProtection="0"/>
    <xf numFmtId="43" fontId="3" fillId="0" borderId="0" applyFont="0" applyFill="0" applyBorder="0" applyAlignment="0" applyProtection="0"/>
    <xf numFmtId="0" fontId="3" fillId="0" borderId="0"/>
    <xf numFmtId="9" fontId="7" fillId="0" borderId="0" applyFont="0" applyFill="0" applyBorder="0" applyAlignment="0" applyProtection="0"/>
    <xf numFmtId="0" fontId="14" fillId="0" borderId="0"/>
    <xf numFmtId="0" fontId="16" fillId="0" borderId="0" applyNumberFormat="0" applyFill="0" applyBorder="0" applyAlignment="0" applyProtection="0"/>
    <xf numFmtId="0" fontId="7" fillId="0" borderId="0"/>
    <xf numFmtId="0" fontId="7" fillId="0" borderId="0"/>
    <xf numFmtId="0" fontId="3" fillId="0" borderId="0"/>
    <xf numFmtId="0" fontId="44" fillId="0" borderId="0"/>
  </cellStyleXfs>
  <cellXfs count="1111">
    <xf numFmtId="0" fontId="0" fillId="0" borderId="0" xfId="0"/>
    <xf numFmtId="0" fontId="9" fillId="0" borderId="0" xfId="5"/>
    <xf numFmtId="2" fontId="0" fillId="0" borderId="0" xfId="0" applyNumberFormat="1"/>
    <xf numFmtId="0" fontId="12" fillId="0" borderId="0" xfId="0" applyFont="1"/>
    <xf numFmtId="0" fontId="12" fillId="0" borderId="0" xfId="0" applyFont="1" applyAlignment="1">
      <alignment horizontal="center" vertical="center"/>
    </xf>
    <xf numFmtId="0" fontId="7" fillId="0" borderId="0" xfId="0" applyFont="1"/>
    <xf numFmtId="0" fontId="7" fillId="0" borderId="0" xfId="0" applyFont="1" applyAlignment="1">
      <alignment vertical="center"/>
    </xf>
    <xf numFmtId="0" fontId="7" fillId="0" borderId="0" xfId="0" applyFont="1" applyAlignment="1">
      <alignment vertical="center" wrapText="1"/>
    </xf>
    <xf numFmtId="0" fontId="16" fillId="0" borderId="0" xfId="5" applyFont="1"/>
    <xf numFmtId="0" fontId="15" fillId="0" borderId="0" xfId="0" applyFont="1" applyAlignment="1">
      <alignment vertical="center"/>
    </xf>
    <xf numFmtId="0" fontId="2" fillId="0" borderId="2" xfId="1" applyBorder="1" applyAlignment="1">
      <alignment vertical="center" wrapText="1"/>
    </xf>
    <xf numFmtId="3" fontId="2" fillId="0" borderId="2" xfId="1" applyNumberFormat="1" applyBorder="1" applyAlignment="1">
      <alignment horizontal="center" vertical="center" wrapText="1"/>
    </xf>
    <xf numFmtId="0" fontId="2" fillId="0" borderId="2" xfId="1" applyBorder="1" applyAlignment="1">
      <alignment vertical="center"/>
    </xf>
    <xf numFmtId="0" fontId="2" fillId="0" borderId="2" xfId="1" applyBorder="1" applyAlignment="1">
      <alignment horizontal="center" vertical="center" wrapText="1"/>
    </xf>
    <xf numFmtId="0" fontId="7" fillId="0" borderId="2" xfId="0" applyFont="1" applyBorder="1" applyAlignment="1">
      <alignment vertical="center"/>
    </xf>
    <xf numFmtId="0" fontId="7" fillId="0" borderId="2" xfId="0" applyFont="1" applyBorder="1" applyAlignment="1">
      <alignment vertical="center" wrapText="1"/>
    </xf>
    <xf numFmtId="0" fontId="19" fillId="9" borderId="2" xfId="0" applyFont="1" applyFill="1" applyBorder="1" applyAlignment="1">
      <alignment vertical="center"/>
    </xf>
    <xf numFmtId="0" fontId="19" fillId="9" borderId="2" xfId="0" applyFont="1" applyFill="1" applyBorder="1" applyAlignment="1">
      <alignment horizontal="left" vertical="center"/>
    </xf>
    <xf numFmtId="3" fontId="7" fillId="0" borderId="2" xfId="7" applyNumberFormat="1" applyFont="1" applyBorder="1" applyAlignment="1">
      <alignment horizontal="center" vertical="center"/>
    </xf>
    <xf numFmtId="3" fontId="11" fillId="0" borderId="2" xfId="3" applyNumberFormat="1" applyFont="1" applyFill="1" applyBorder="1" applyAlignment="1">
      <alignment horizontal="center" vertical="center" wrapText="1"/>
    </xf>
    <xf numFmtId="0" fontId="7" fillId="0" borderId="0" xfId="0" applyFont="1" applyAlignment="1">
      <alignment horizontal="center" vertical="top" wrapText="1"/>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xf>
    <xf numFmtId="0" fontId="8" fillId="2" borderId="0" xfId="0" applyFont="1" applyFill="1" applyAlignment="1">
      <alignment horizontal="center"/>
    </xf>
    <xf numFmtId="0" fontId="7" fillId="0" borderId="2" xfId="0" applyFont="1" applyBorder="1" applyAlignment="1">
      <alignment horizontal="left" vertical="center" wrapText="1"/>
    </xf>
    <xf numFmtId="9" fontId="7" fillId="0" borderId="0" xfId="2" applyFont="1" applyFill="1" applyBorder="1" applyAlignment="1">
      <alignment horizontal="center" vertical="center"/>
    </xf>
    <xf numFmtId="0" fontId="8" fillId="0" borderId="0" xfId="0" applyFont="1" applyAlignment="1">
      <alignment horizontal="center" vertical="center" wrapText="1"/>
    </xf>
    <xf numFmtId="1" fontId="7" fillId="0" borderId="0" xfId="0" applyNumberFormat="1" applyFont="1"/>
    <xf numFmtId="9" fontId="7" fillId="0" borderId="0" xfId="2" applyFont="1" applyFill="1" applyBorder="1"/>
    <xf numFmtId="9" fontId="7" fillId="0" borderId="0" xfId="0" applyNumberFormat="1" applyFont="1"/>
    <xf numFmtId="9" fontId="8" fillId="0" borderId="0" xfId="2" applyFont="1" applyFill="1" applyBorder="1"/>
    <xf numFmtId="164" fontId="7" fillId="0" borderId="0" xfId="0" applyNumberFormat="1" applyFont="1"/>
    <xf numFmtId="0" fontId="8" fillId="9" borderId="24" xfId="0" applyFont="1" applyFill="1" applyBorder="1" applyAlignment="1">
      <alignment horizontal="center" vertical="center"/>
    </xf>
    <xf numFmtId="9" fontId="7" fillId="0" borderId="0" xfId="0" applyNumberFormat="1" applyFont="1" applyAlignment="1">
      <alignment vertical="center"/>
    </xf>
    <xf numFmtId="0" fontId="8" fillId="0" borderId="0" xfId="0" applyFont="1" applyAlignment="1">
      <alignment vertical="center"/>
    </xf>
    <xf numFmtId="0" fontId="16" fillId="0" borderId="0" xfId="5" applyFont="1" applyAlignment="1">
      <alignment vertical="center"/>
    </xf>
    <xf numFmtId="0" fontId="24" fillId="0" borderId="0" xfId="0" applyFont="1" applyAlignment="1">
      <alignment horizontal="left" vertical="center"/>
    </xf>
    <xf numFmtId="0" fontId="25" fillId="9" borderId="15" xfId="0" applyFont="1" applyFill="1" applyBorder="1" applyAlignment="1">
      <alignment horizontal="center" vertical="center" wrapText="1"/>
    </xf>
    <xf numFmtId="3" fontId="7" fillId="0" borderId="2" xfId="0" applyNumberFormat="1" applyFont="1" applyBorder="1" applyAlignment="1">
      <alignment horizontal="center" vertical="center"/>
    </xf>
    <xf numFmtId="0" fontId="23" fillId="0" borderId="0" xfId="0" applyFont="1" applyAlignment="1">
      <alignment horizontal="center" vertical="center"/>
    </xf>
    <xf numFmtId="0" fontId="26" fillId="5" borderId="0" xfId="0" applyFont="1" applyFill="1" applyAlignment="1">
      <alignment vertical="center" wrapText="1"/>
    </xf>
    <xf numFmtId="0" fontId="23" fillId="5" borderId="0" xfId="0" applyFont="1" applyFill="1" applyAlignment="1">
      <alignment horizontal="center" vertical="center"/>
    </xf>
    <xf numFmtId="165" fontId="23" fillId="5" borderId="0" xfId="0" applyNumberFormat="1" applyFont="1" applyFill="1" applyAlignment="1">
      <alignment horizontal="center" vertical="center"/>
    </xf>
    <xf numFmtId="168" fontId="7" fillId="0" borderId="24" xfId="6" applyNumberFormat="1" applyFont="1" applyBorder="1" applyAlignment="1">
      <alignment horizontal="center" vertical="center"/>
    </xf>
    <xf numFmtId="0" fontId="24" fillId="0" borderId="0" xfId="0" applyFont="1" applyAlignment="1">
      <alignment horizontal="left"/>
    </xf>
    <xf numFmtId="0" fontId="25" fillId="0" borderId="0" xfId="0" applyFont="1" applyAlignment="1">
      <alignment horizontal="left" vertical="center" wrapText="1"/>
    </xf>
    <xf numFmtId="0" fontId="25" fillId="0" borderId="0" xfId="0" applyFont="1" applyAlignment="1">
      <alignment horizontal="center" vertical="center" wrapText="1"/>
    </xf>
    <xf numFmtId="10" fontId="7" fillId="0" borderId="0" xfId="8" applyNumberFormat="1" applyFont="1" applyFill="1" applyBorder="1" applyAlignment="1">
      <alignment horizontal="center"/>
    </xf>
    <xf numFmtId="9" fontId="7" fillId="0" borderId="0" xfId="2" applyFont="1" applyFill="1" applyBorder="1" applyAlignment="1">
      <alignment horizontal="left"/>
    </xf>
    <xf numFmtId="1" fontId="7" fillId="0" borderId="0" xfId="2" applyNumberFormat="1" applyFont="1" applyFill="1" applyBorder="1"/>
    <xf numFmtId="3" fontId="7" fillId="0" borderId="0" xfId="0" applyNumberFormat="1" applyFont="1" applyAlignment="1">
      <alignment horizontal="center" vertical="center"/>
    </xf>
    <xf numFmtId="167" fontId="23" fillId="0" borderId="0" xfId="0" applyNumberFormat="1" applyFont="1" applyAlignment="1">
      <alignment horizontal="center" vertical="center"/>
    </xf>
    <xf numFmtId="0" fontId="13" fillId="0" borderId="0" xfId="0" applyFont="1" applyAlignment="1">
      <alignment vertical="center"/>
    </xf>
    <xf numFmtId="3" fontId="7" fillId="0" borderId="0" xfId="7" applyNumberFormat="1" applyFont="1" applyAlignment="1">
      <alignment horizontal="center" vertical="center"/>
    </xf>
    <xf numFmtId="0" fontId="29" fillId="0" borderId="0" xfId="0" applyFont="1"/>
    <xf numFmtId="0" fontId="30" fillId="2" borderId="0" xfId="0" applyFont="1" applyFill="1"/>
    <xf numFmtId="166" fontId="2" fillId="0" borderId="2" xfId="1" applyNumberFormat="1" applyBorder="1" applyAlignment="1">
      <alignment horizontal="center" vertical="center" wrapText="1"/>
    </xf>
    <xf numFmtId="0" fontId="9" fillId="0" borderId="0" xfId="5" applyAlignment="1">
      <alignment vertical="center"/>
    </xf>
    <xf numFmtId="0" fontId="7" fillId="0" borderId="0" xfId="4" applyAlignment="1">
      <alignment horizontal="center" vertical="center"/>
    </xf>
    <xf numFmtId="9" fontId="7" fillId="0" borderId="0" xfId="0" applyNumberFormat="1" applyFont="1" applyAlignment="1">
      <alignment horizontal="center"/>
    </xf>
    <xf numFmtId="9" fontId="7" fillId="0" borderId="0" xfId="0" applyNumberFormat="1" applyFont="1" applyAlignment="1">
      <alignment horizontal="left"/>
    </xf>
    <xf numFmtId="0" fontId="28" fillId="0" borderId="0" xfId="0" applyFont="1"/>
    <xf numFmtId="0" fontId="8" fillId="9" borderId="24" xfId="0" applyFont="1" applyFill="1" applyBorder="1" applyAlignment="1">
      <alignment horizontal="center" vertical="center" wrapText="1"/>
    </xf>
    <xf numFmtId="168" fontId="7" fillId="0" borderId="24" xfId="6" applyNumberFormat="1" applyFont="1" applyBorder="1" applyAlignment="1">
      <alignment horizontal="center"/>
    </xf>
    <xf numFmtId="0" fontId="7" fillId="0" borderId="24" xfId="0" applyFont="1" applyBorder="1" applyAlignment="1">
      <alignment horizontal="center"/>
    </xf>
    <xf numFmtId="0" fontId="22" fillId="0" borderId="0" xfId="0" applyFont="1" applyAlignment="1">
      <alignment horizontal="center" vertical="center"/>
    </xf>
    <xf numFmtId="0" fontId="32" fillId="0" borderId="0" xfId="0" applyFont="1"/>
    <xf numFmtId="0" fontId="7" fillId="5" borderId="0" xfId="0" applyFont="1" applyFill="1"/>
    <xf numFmtId="0" fontId="7" fillId="5" borderId="42" xfId="0" applyFont="1" applyFill="1" applyBorder="1"/>
    <xf numFmtId="0" fontId="7" fillId="5" borderId="43" xfId="0" applyFont="1" applyFill="1" applyBorder="1"/>
    <xf numFmtId="0" fontId="7" fillId="5" borderId="42" xfId="0" applyFont="1" applyFill="1" applyBorder="1" applyAlignment="1">
      <alignment horizontal="center" vertical="center" wrapText="1"/>
    </xf>
    <xf numFmtId="0" fontId="7" fillId="5" borderId="44" xfId="0" applyFont="1" applyFill="1" applyBorder="1"/>
    <xf numFmtId="0" fontId="7" fillId="5" borderId="45" xfId="0" applyFont="1" applyFill="1" applyBorder="1"/>
    <xf numFmtId="0" fontId="23" fillId="0" borderId="24" xfId="0" applyFont="1" applyBorder="1" applyAlignment="1">
      <alignment horizontal="center" vertical="center" wrapText="1"/>
    </xf>
    <xf numFmtId="0" fontId="34" fillId="12" borderId="35" xfId="0" applyFont="1" applyFill="1" applyBorder="1" applyAlignment="1">
      <alignment horizontal="center" vertical="center" wrapText="1" readingOrder="1"/>
    </xf>
    <xf numFmtId="0" fontId="34" fillId="12" borderId="35" xfId="0" applyFont="1" applyFill="1" applyBorder="1" applyAlignment="1">
      <alignment horizontal="center" vertical="center" wrapText="1" indent="1" readingOrder="1"/>
    </xf>
    <xf numFmtId="0" fontId="24" fillId="13" borderId="36" xfId="0" applyFont="1" applyFill="1" applyBorder="1" applyAlignment="1">
      <alignment horizontal="left" vertical="center" wrapText="1" readingOrder="1"/>
    </xf>
    <xf numFmtId="9" fontId="24" fillId="13" borderId="36" xfId="0" applyNumberFormat="1" applyFont="1" applyFill="1" applyBorder="1" applyAlignment="1">
      <alignment horizontal="center" wrapText="1" readingOrder="1"/>
    </xf>
    <xf numFmtId="0" fontId="24" fillId="14" borderId="37" xfId="0" applyFont="1" applyFill="1" applyBorder="1" applyAlignment="1">
      <alignment horizontal="left" wrapText="1" readingOrder="1"/>
    </xf>
    <xf numFmtId="9" fontId="24" fillId="14" borderId="37" xfId="0" applyNumberFormat="1" applyFont="1" applyFill="1" applyBorder="1" applyAlignment="1">
      <alignment horizontal="center" wrapText="1" readingOrder="1"/>
    </xf>
    <xf numFmtId="0" fontId="24" fillId="13" borderId="47" xfId="0" applyFont="1" applyFill="1" applyBorder="1" applyAlignment="1">
      <alignment horizontal="left" vertical="center" wrapText="1" readingOrder="1"/>
    </xf>
    <xf numFmtId="0" fontId="34" fillId="12" borderId="48" xfId="0" applyFont="1" applyFill="1" applyBorder="1" applyAlignment="1">
      <alignment horizontal="center" vertical="center" wrapText="1" readingOrder="1"/>
    </xf>
    <xf numFmtId="9" fontId="24" fillId="13" borderId="46" xfId="0" applyNumberFormat="1" applyFont="1" applyFill="1" applyBorder="1" applyAlignment="1">
      <alignment horizontal="center" wrapText="1" readingOrder="1"/>
    </xf>
    <xf numFmtId="9" fontId="24" fillId="14" borderId="49" xfId="0" applyNumberFormat="1" applyFont="1" applyFill="1" applyBorder="1" applyAlignment="1">
      <alignment horizontal="center" wrapText="1" readingOrder="1"/>
    </xf>
    <xf numFmtId="9" fontId="24" fillId="14" borderId="50" xfId="0" applyNumberFormat="1" applyFont="1" applyFill="1" applyBorder="1" applyAlignment="1">
      <alignment horizontal="center" wrapText="1" readingOrder="1"/>
    </xf>
    <xf numFmtId="9" fontId="24" fillId="13" borderId="51" xfId="0" applyNumberFormat="1" applyFont="1" applyFill="1" applyBorder="1" applyAlignment="1">
      <alignment horizontal="center" wrapText="1" readingOrder="1"/>
    </xf>
    <xf numFmtId="9" fontId="24" fillId="14" borderId="46" xfId="0" applyNumberFormat="1" applyFont="1" applyFill="1" applyBorder="1" applyAlignment="1">
      <alignment horizontal="center" wrapText="1" readingOrder="1"/>
    </xf>
    <xf numFmtId="0" fontId="35" fillId="0" borderId="0" xfId="0" applyFont="1"/>
    <xf numFmtId="0" fontId="37" fillId="7" borderId="0" xfId="0" applyFont="1" applyFill="1" applyAlignment="1">
      <alignment horizontal="center" vertical="center"/>
    </xf>
    <xf numFmtId="0" fontId="81" fillId="7" borderId="0" xfId="0" applyFont="1" applyFill="1" applyAlignment="1">
      <alignment horizontal="center" vertical="center"/>
    </xf>
    <xf numFmtId="9" fontId="24" fillId="13" borderId="47" xfId="0" applyNumberFormat="1" applyFont="1" applyFill="1" applyBorder="1" applyAlignment="1">
      <alignment horizontal="center" wrapText="1" readingOrder="1"/>
    </xf>
    <xf numFmtId="9" fontId="24" fillId="13" borderId="52" xfId="0" applyNumberFormat="1" applyFont="1" applyFill="1" applyBorder="1" applyAlignment="1">
      <alignment horizontal="center" wrapText="1" readingOrder="1"/>
    </xf>
    <xf numFmtId="9" fontId="24" fillId="14" borderId="53" xfId="0" applyNumberFormat="1" applyFont="1" applyFill="1" applyBorder="1" applyAlignment="1">
      <alignment horizontal="center" wrapText="1" readingOrder="1"/>
    </xf>
    <xf numFmtId="0" fontId="8" fillId="5" borderId="0" xfId="0" applyFont="1" applyFill="1" applyAlignment="1">
      <alignment vertical="center"/>
    </xf>
    <xf numFmtId="0" fontId="8" fillId="9" borderId="27" xfId="0" applyFont="1" applyFill="1" applyBorder="1" applyAlignment="1">
      <alignment horizontal="center" vertical="center" wrapText="1"/>
    </xf>
    <xf numFmtId="0" fontId="24" fillId="9" borderId="2" xfId="0" applyFont="1" applyFill="1" applyBorder="1" applyAlignment="1">
      <alignment horizontal="center" vertical="center"/>
    </xf>
    <xf numFmtId="9" fontId="2" fillId="0" borderId="2" xfId="2" applyFont="1" applyFill="1" applyBorder="1" applyAlignment="1">
      <alignment horizontal="center" vertical="center"/>
    </xf>
    <xf numFmtId="0" fontId="25" fillId="0" borderId="0" xfId="0" applyFont="1" applyAlignment="1">
      <alignment horizontal="center" vertical="center"/>
    </xf>
    <xf numFmtId="0" fontId="13" fillId="0" borderId="0" xfId="0" applyFont="1" applyAlignment="1">
      <alignment vertical="center" wrapText="1"/>
    </xf>
    <xf numFmtId="0" fontId="25" fillId="0" borderId="0" xfId="0" applyFont="1" applyAlignment="1">
      <alignment vertical="center"/>
    </xf>
    <xf numFmtId="0" fontId="7" fillId="0" borderId="2" xfId="0" applyFont="1" applyBorder="1" applyAlignment="1">
      <alignment horizontal="center"/>
    </xf>
    <xf numFmtId="0" fontId="19" fillId="16" borderId="2" xfId="0" applyFont="1" applyFill="1" applyBorder="1" applyAlignment="1">
      <alignment horizontal="center" vertical="center" wrapText="1"/>
    </xf>
    <xf numFmtId="0" fontId="25" fillId="16" borderId="55" xfId="0" applyFont="1" applyFill="1" applyBorder="1" applyAlignment="1">
      <alignment horizontal="center" vertical="center"/>
    </xf>
    <xf numFmtId="0" fontId="24" fillId="0" borderId="2" xfId="0" applyFont="1" applyBorder="1" applyAlignment="1">
      <alignment horizontal="center" vertical="center"/>
    </xf>
    <xf numFmtId="0" fontId="19" fillId="9" borderId="15" xfId="0" applyFont="1" applyFill="1" applyBorder="1" applyAlignment="1">
      <alignment horizontal="center" vertical="center" wrapText="1"/>
    </xf>
    <xf numFmtId="0" fontId="22" fillId="0" borderId="0" xfId="0" applyFont="1" applyAlignment="1">
      <alignment vertical="center" wrapText="1"/>
    </xf>
    <xf numFmtId="0" fontId="25" fillId="0" borderId="0" xfId="0" applyFont="1" applyAlignment="1">
      <alignment vertical="center" wrapText="1"/>
    </xf>
    <xf numFmtId="0" fontId="7" fillId="0" borderId="54" xfId="0" quotePrefix="1" applyFont="1" applyBorder="1" applyAlignment="1">
      <alignment horizontal="center" vertical="center" wrapText="1"/>
    </xf>
    <xf numFmtId="0" fontId="2" fillId="0" borderId="54" xfId="0" applyFont="1" applyBorder="1" applyAlignment="1">
      <alignment horizontal="center" vertical="center" wrapText="1"/>
    </xf>
    <xf numFmtId="0" fontId="7" fillId="6" borderId="24" xfId="0" applyFont="1" applyFill="1" applyBorder="1"/>
    <xf numFmtId="168" fontId="7" fillId="0" borderId="2" xfId="6" applyNumberFormat="1" applyFont="1" applyBorder="1" applyAlignment="1">
      <alignment horizontal="center" vertical="center"/>
    </xf>
    <xf numFmtId="3" fontId="7" fillId="6" borderId="2" xfId="7" applyNumberFormat="1" applyFont="1" applyFill="1" applyBorder="1" applyAlignment="1">
      <alignment horizontal="center" vertical="center"/>
    </xf>
    <xf numFmtId="168" fontId="7" fillId="6" borderId="2" xfId="6" applyNumberFormat="1" applyFont="1" applyFill="1" applyBorder="1" applyAlignment="1">
      <alignment horizontal="center" vertical="center"/>
    </xf>
    <xf numFmtId="0" fontId="40" fillId="0" borderId="2" xfId="0" applyFont="1" applyBorder="1" applyAlignment="1">
      <alignment vertical="center"/>
    </xf>
    <xf numFmtId="0" fontId="7" fillId="0" borderId="2" xfId="0" applyFont="1" applyBorder="1" applyAlignment="1">
      <alignment wrapText="1"/>
    </xf>
    <xf numFmtId="0" fontId="41" fillId="9" borderId="2" xfId="0" applyFont="1" applyFill="1" applyBorder="1" applyAlignment="1">
      <alignment horizontal="center" vertical="center"/>
    </xf>
    <xf numFmtId="0" fontId="39" fillId="0" borderId="2" xfId="0" applyFont="1" applyBorder="1" applyAlignment="1">
      <alignment vertical="center" wrapText="1"/>
    </xf>
    <xf numFmtId="0" fontId="2" fillId="0" borderId="0" xfId="0" applyFont="1"/>
    <xf numFmtId="0" fontId="24" fillId="0" borderId="55" xfId="0" applyFont="1" applyBorder="1" applyAlignment="1">
      <alignment horizontal="center" vertical="center" wrapText="1"/>
    </xf>
    <xf numFmtId="0" fontId="24" fillId="0" borderId="0" xfId="0" applyFont="1" applyAlignment="1">
      <alignment vertical="center"/>
    </xf>
    <xf numFmtId="0" fontId="24" fillId="0" borderId="0" xfId="0" applyFont="1" applyAlignment="1">
      <alignment horizontal="center" vertical="center" wrapText="1"/>
    </xf>
    <xf numFmtId="9" fontId="24" fillId="13" borderId="0" xfId="0" applyNumberFormat="1" applyFont="1" applyFill="1" applyAlignment="1">
      <alignment horizontal="center" wrapText="1" readingOrder="1"/>
    </xf>
    <xf numFmtId="9" fontId="24" fillId="14" borderId="0" xfId="0" applyNumberFormat="1" applyFont="1" applyFill="1" applyAlignment="1">
      <alignment horizontal="center" wrapText="1" readingOrder="1"/>
    </xf>
    <xf numFmtId="3" fontId="23" fillId="0" borderId="24" xfId="0" applyNumberFormat="1" applyFont="1" applyBorder="1" applyAlignment="1">
      <alignment horizontal="center" vertical="center" wrapText="1"/>
    </xf>
    <xf numFmtId="0" fontId="27" fillId="5" borderId="24" xfId="0" applyFont="1" applyFill="1" applyBorder="1" applyAlignment="1">
      <alignment horizontal="center" vertical="center" wrapText="1"/>
    </xf>
    <xf numFmtId="0" fontId="2" fillId="0" borderId="24" xfId="0" applyFont="1" applyBorder="1" applyAlignment="1">
      <alignment horizontal="center" vertical="center"/>
    </xf>
    <xf numFmtId="0" fontId="42" fillId="0" borderId="0" xfId="0" applyFont="1"/>
    <xf numFmtId="0" fontId="7" fillId="0" borderId="0" xfId="0" applyFont="1" applyAlignment="1">
      <alignment wrapText="1"/>
    </xf>
    <xf numFmtId="0" fontId="7" fillId="5" borderId="0" xfId="0" applyFont="1" applyFill="1" applyAlignment="1">
      <alignment horizontal="center"/>
    </xf>
    <xf numFmtId="0" fontId="17" fillId="0" borderId="0" xfId="0" applyFont="1"/>
    <xf numFmtId="0" fontId="17" fillId="0" borderId="0" xfId="0" applyFont="1" applyAlignment="1">
      <alignment wrapText="1"/>
    </xf>
    <xf numFmtId="0" fontId="17" fillId="0" borderId="0" xfId="0" applyFont="1" applyAlignment="1">
      <alignment horizontal="center"/>
    </xf>
    <xf numFmtId="0" fontId="17" fillId="0" borderId="0" xfId="0" applyFont="1" applyAlignment="1">
      <alignment vertical="center"/>
    </xf>
    <xf numFmtId="0" fontId="16" fillId="0" borderId="24" xfId="5" applyFont="1" applyBorder="1" applyAlignment="1">
      <alignment horizontal="center" vertical="center"/>
    </xf>
    <xf numFmtId="0" fontId="43" fillId="0" borderId="0" xfId="0" quotePrefix="1" applyFont="1"/>
    <xf numFmtId="164" fontId="7" fillId="0" borderId="2" xfId="2" applyNumberFormat="1" applyFont="1" applyBorder="1" applyAlignment="1">
      <alignment horizontal="center" vertical="center"/>
    </xf>
    <xf numFmtId="43" fontId="7" fillId="0" borderId="0" xfId="0" applyNumberFormat="1" applyFont="1" applyAlignment="1">
      <alignment vertical="center"/>
    </xf>
    <xf numFmtId="164" fontId="7" fillId="6" borderId="2" xfId="2" applyNumberFormat="1" applyFont="1" applyFill="1" applyBorder="1" applyAlignment="1">
      <alignment horizontal="center" vertical="center"/>
    </xf>
    <xf numFmtId="0" fontId="7" fillId="5" borderId="0" xfId="0" applyFont="1" applyFill="1" applyAlignment="1">
      <alignment vertical="center"/>
    </xf>
    <xf numFmtId="0" fontId="7" fillId="5" borderId="22" xfId="0" applyFont="1" applyFill="1" applyBorder="1" applyAlignment="1">
      <alignment vertical="center"/>
    </xf>
    <xf numFmtId="0" fontId="19" fillId="0" borderId="0" xfId="0" applyFont="1" applyAlignment="1">
      <alignment vertical="center"/>
    </xf>
    <xf numFmtId="3" fontId="7" fillId="0" borderId="24" xfId="0" applyNumberFormat="1" applyFont="1" applyBorder="1" applyAlignment="1">
      <alignment horizontal="center" vertical="center"/>
    </xf>
    <xf numFmtId="168" fontId="7" fillId="0" borderId="28" xfId="6" applyNumberFormat="1" applyFont="1" applyBorder="1" applyAlignment="1">
      <alignment horizontal="center" vertical="center"/>
    </xf>
    <xf numFmtId="0" fontId="44" fillId="0" borderId="0" xfId="0" applyFont="1" applyAlignment="1">
      <alignment wrapText="1"/>
    </xf>
    <xf numFmtId="0" fontId="36" fillId="0" borderId="0" xfId="0" applyFont="1"/>
    <xf numFmtId="0" fontId="40" fillId="0" borderId="15" xfId="0" applyFont="1" applyBorder="1" applyAlignment="1">
      <alignment vertical="center"/>
    </xf>
    <xf numFmtId="0" fontId="40" fillId="0" borderId="32" xfId="0" applyFont="1" applyBorder="1" applyAlignment="1">
      <alignment vertical="center"/>
    </xf>
    <xf numFmtId="0" fontId="24" fillId="0" borderId="0" xfId="0" applyFont="1" applyAlignment="1">
      <alignment horizontal="left" vertical="center" wrapText="1"/>
    </xf>
    <xf numFmtId="9" fontId="24" fillId="0" borderId="0" xfId="2" applyFont="1" applyFill="1" applyBorder="1" applyAlignment="1">
      <alignment horizontal="right" vertical="center" wrapText="1"/>
    </xf>
    <xf numFmtId="0" fontId="25" fillId="0" borderId="0" xfId="0" applyFont="1" applyAlignment="1">
      <alignment horizontal="left" vertical="center"/>
    </xf>
    <xf numFmtId="0" fontId="7" fillId="0" borderId="32" xfId="0" applyFont="1" applyBorder="1"/>
    <xf numFmtId="0" fontId="7" fillId="0" borderId="15" xfId="0" applyFont="1" applyBorder="1"/>
    <xf numFmtId="0" fontId="25" fillId="9" borderId="23" xfId="0" applyFont="1" applyFill="1" applyBorder="1"/>
    <xf numFmtId="0" fontId="25" fillId="9" borderId="23" xfId="0" applyFont="1" applyFill="1" applyBorder="1" applyAlignment="1">
      <alignment wrapText="1"/>
    </xf>
    <xf numFmtId="0" fontId="25" fillId="9" borderId="23" xfId="0" applyFont="1" applyFill="1" applyBorder="1" applyAlignment="1">
      <alignment horizontal="center"/>
    </xf>
    <xf numFmtId="0" fontId="25" fillId="9" borderId="23" xfId="0" applyFont="1" applyFill="1" applyBorder="1" applyAlignment="1">
      <alignment horizontal="center" wrapText="1"/>
    </xf>
    <xf numFmtId="0" fontId="25" fillId="17" borderId="20" xfId="0" applyFont="1" applyFill="1" applyBorder="1" applyAlignment="1">
      <alignment wrapText="1"/>
    </xf>
    <xf numFmtId="9" fontId="24" fillId="0" borderId="23" xfId="0" applyNumberFormat="1" applyFont="1" applyBorder="1"/>
    <xf numFmtId="9" fontId="24" fillId="18" borderId="23" xfId="0" applyNumberFormat="1" applyFont="1" applyFill="1" applyBorder="1"/>
    <xf numFmtId="165" fontId="12" fillId="0" borderId="0" xfId="0" applyNumberFormat="1" applyFont="1" applyAlignment="1">
      <alignment horizontal="center" vertical="center"/>
    </xf>
    <xf numFmtId="0" fontId="15" fillId="2" borderId="0" xfId="0" applyFont="1" applyFill="1"/>
    <xf numFmtId="0" fontId="15" fillId="2" borderId="0" xfId="0" applyFont="1" applyFill="1" applyAlignment="1">
      <alignment horizontal="center"/>
    </xf>
    <xf numFmtId="0" fontId="7" fillId="6" borderId="24" xfId="0" applyFont="1" applyFill="1" applyBorder="1" applyAlignment="1">
      <alignment horizontal="center" vertical="center"/>
    </xf>
    <xf numFmtId="0" fontId="33" fillId="6" borderId="24" xfId="0" applyFont="1" applyFill="1" applyBorder="1" applyAlignment="1">
      <alignment horizontal="center" vertical="center" wrapText="1"/>
    </xf>
    <xf numFmtId="0" fontId="8" fillId="9" borderId="25" xfId="0" applyFont="1" applyFill="1" applyBorder="1" applyAlignment="1">
      <alignment horizontal="center" vertical="center"/>
    </xf>
    <xf numFmtId="0" fontId="38" fillId="0" borderId="0" xfId="0" applyFont="1"/>
    <xf numFmtId="0" fontId="8" fillId="9" borderId="2" xfId="0" applyFont="1" applyFill="1" applyBorder="1" applyAlignment="1">
      <alignment horizontal="center" vertical="center" wrapText="1"/>
    </xf>
    <xf numFmtId="0" fontId="7" fillId="0" borderId="28" xfId="0" applyFont="1" applyBorder="1" applyAlignment="1">
      <alignment horizontal="center" vertical="center"/>
    </xf>
    <xf numFmtId="3" fontId="7" fillId="6" borderId="24" xfId="0" applyNumberFormat="1" applyFont="1" applyFill="1" applyBorder="1" applyAlignment="1">
      <alignment horizontal="center" vertical="center"/>
    </xf>
    <xf numFmtId="168" fontId="7" fillId="6" borderId="28" xfId="6" applyNumberFormat="1" applyFont="1" applyFill="1" applyBorder="1" applyAlignment="1">
      <alignment horizontal="center" vertical="center"/>
    </xf>
    <xf numFmtId="0" fontId="7" fillId="6" borderId="28" xfId="0" applyFont="1" applyFill="1" applyBorder="1" applyAlignment="1">
      <alignment horizontal="center" vertical="center"/>
    </xf>
    <xf numFmtId="168" fontId="7" fillId="0" borderId="68" xfId="6" applyNumberFormat="1" applyFont="1" applyBorder="1" applyAlignment="1">
      <alignment horizontal="center" vertical="center"/>
    </xf>
    <xf numFmtId="168" fontId="7" fillId="6" borderId="68" xfId="6" applyNumberFormat="1" applyFont="1" applyFill="1" applyBorder="1" applyAlignment="1">
      <alignment horizontal="center" vertical="center"/>
    </xf>
    <xf numFmtId="9" fontId="11" fillId="0" borderId="2" xfId="2" applyFont="1" applyBorder="1" applyAlignment="1">
      <alignment horizontal="center" vertical="center" wrapText="1"/>
    </xf>
    <xf numFmtId="43" fontId="2" fillId="0" borderId="0" xfId="0" applyNumberFormat="1" applyFont="1" applyAlignment="1">
      <alignment vertical="center"/>
    </xf>
    <xf numFmtId="0" fontId="11" fillId="0" borderId="2" xfId="3" applyFont="1" applyBorder="1" applyAlignment="1">
      <alignment horizontal="center" vertical="center" wrapText="1"/>
    </xf>
    <xf numFmtId="0" fontId="11" fillId="0" borderId="2" xfId="3" applyFont="1" applyFill="1" applyBorder="1" applyAlignment="1">
      <alignment horizontal="center" vertical="center" wrapText="1"/>
    </xf>
    <xf numFmtId="0" fontId="11" fillId="6" borderId="2" xfId="3" applyFont="1" applyFill="1" applyBorder="1" applyAlignment="1">
      <alignment horizontal="center" vertical="center" wrapText="1"/>
    </xf>
    <xf numFmtId="3" fontId="2" fillId="0" borderId="2" xfId="3" applyNumberFormat="1" applyFont="1" applyFill="1" applyBorder="1" applyAlignment="1">
      <alignment horizontal="center" vertical="center" wrapText="1"/>
    </xf>
    <xf numFmtId="4" fontId="8" fillId="0" borderId="0" xfId="0" applyNumberFormat="1" applyFont="1" applyAlignment="1">
      <alignment vertical="center"/>
    </xf>
    <xf numFmtId="0" fontId="32" fillId="0" borderId="0" xfId="0" applyFont="1" applyAlignment="1">
      <alignment vertical="center"/>
    </xf>
    <xf numFmtId="0" fontId="48" fillId="0" borderId="0" xfId="0" applyFont="1" applyAlignment="1">
      <alignment horizontal="left" vertical="center" indent="1"/>
    </xf>
    <xf numFmtId="0" fontId="49" fillId="0" borderId="0" xfId="0" applyFont="1" applyAlignment="1">
      <alignment vertical="center"/>
    </xf>
    <xf numFmtId="43" fontId="8" fillId="0" borderId="0" xfId="0" applyNumberFormat="1" applyFont="1" applyAlignment="1">
      <alignment vertical="center"/>
    </xf>
    <xf numFmtId="164" fontId="7" fillId="0" borderId="0" xfId="0" applyNumberFormat="1" applyFont="1" applyAlignment="1">
      <alignment vertical="center"/>
    </xf>
    <xf numFmtId="0" fontId="34" fillId="0" borderId="0" xfId="0" applyFont="1" applyAlignment="1">
      <alignment horizontal="left" vertical="center" wrapText="1"/>
    </xf>
    <xf numFmtId="0" fontId="34" fillId="0" borderId="0" xfId="0" applyFont="1" applyAlignment="1">
      <alignment horizontal="center" vertical="center" wrapText="1"/>
    </xf>
    <xf numFmtId="168" fontId="24" fillId="0" borderId="0" xfId="0" applyNumberFormat="1" applyFont="1" applyAlignment="1">
      <alignment horizontal="center" vertical="center" wrapText="1"/>
    </xf>
    <xf numFmtId="4" fontId="8" fillId="0" borderId="0" xfId="0" applyNumberFormat="1" applyFont="1" applyAlignment="1">
      <alignment horizontal="center" vertical="center"/>
    </xf>
    <xf numFmtId="0" fontId="8" fillId="0" borderId="0" xfId="0" applyFont="1" applyAlignment="1">
      <alignment horizontal="center" vertical="center"/>
    </xf>
    <xf numFmtId="0" fontId="7" fillId="0" borderId="0" xfId="0" applyFont="1" applyAlignment="1">
      <alignment horizontal="center" vertical="center"/>
    </xf>
    <xf numFmtId="0" fontId="7" fillId="0" borderId="2" xfId="0" applyFont="1" applyBorder="1" applyAlignment="1">
      <alignment horizontal="center" vertical="center"/>
    </xf>
    <xf numFmtId="0" fontId="7" fillId="0" borderId="2" xfId="0" applyFont="1" applyBorder="1" applyAlignment="1">
      <alignment horizontal="center" vertical="center" wrapText="1"/>
    </xf>
    <xf numFmtId="0" fontId="23" fillId="0" borderId="4" xfId="0" applyFont="1" applyBorder="1" applyAlignment="1">
      <alignment horizontal="center" vertical="center"/>
    </xf>
    <xf numFmtId="0" fontId="23" fillId="0" borderId="6" xfId="0" applyFont="1" applyBorder="1" applyAlignment="1">
      <alignment horizontal="center" vertical="center"/>
    </xf>
    <xf numFmtId="0" fontId="23" fillId="0" borderId="8" xfId="0" applyFont="1" applyBorder="1" applyAlignment="1">
      <alignment horizontal="center" vertical="center"/>
    </xf>
    <xf numFmtId="169" fontId="8" fillId="0" borderId="0" xfId="0" applyNumberFormat="1" applyFont="1" applyAlignment="1">
      <alignment vertical="center"/>
    </xf>
    <xf numFmtId="170" fontId="8" fillId="0" borderId="0" xfId="0" applyNumberFormat="1" applyFont="1" applyAlignment="1">
      <alignment vertical="center"/>
    </xf>
    <xf numFmtId="4" fontId="25" fillId="0" borderId="0" xfId="0" applyNumberFormat="1" applyFont="1" applyAlignment="1">
      <alignment vertical="center"/>
    </xf>
    <xf numFmtId="168" fontId="7" fillId="0" borderId="2" xfId="6" applyNumberFormat="1" applyFont="1" applyBorder="1" applyAlignment="1">
      <alignment vertical="center"/>
    </xf>
    <xf numFmtId="0" fontId="46" fillId="0" borderId="0" xfId="13" applyFont="1" applyAlignment="1">
      <alignment horizontal="center" vertical="top"/>
    </xf>
    <xf numFmtId="168" fontId="7" fillId="0" borderId="2" xfId="6" applyNumberFormat="1" applyFont="1" applyFill="1" applyBorder="1" applyAlignment="1">
      <alignment horizontal="center" vertical="center"/>
    </xf>
    <xf numFmtId="168" fontId="7" fillId="0" borderId="0" xfId="6" applyNumberFormat="1" applyFont="1" applyFill="1" applyAlignment="1">
      <alignment horizontal="center" vertical="center"/>
    </xf>
    <xf numFmtId="10" fontId="7" fillId="0" borderId="0" xfId="0" applyNumberFormat="1" applyFont="1" applyAlignment="1">
      <alignment vertical="center"/>
    </xf>
    <xf numFmtId="0" fontId="20" fillId="9" borderId="69" xfId="0" applyFont="1" applyFill="1" applyBorder="1" applyAlignment="1">
      <alignment horizontal="center" vertical="center" wrapText="1"/>
    </xf>
    <xf numFmtId="0" fontId="19" fillId="9" borderId="69" xfId="0" applyFont="1" applyFill="1" applyBorder="1" applyAlignment="1">
      <alignment horizontal="center" vertical="center" wrapText="1"/>
    </xf>
    <xf numFmtId="0" fontId="19" fillId="9" borderId="69" xfId="0" applyFont="1" applyFill="1" applyBorder="1" applyAlignment="1">
      <alignment horizontal="center" vertical="center"/>
    </xf>
    <xf numFmtId="0" fontId="25" fillId="16" borderId="69" xfId="0" applyFont="1" applyFill="1" applyBorder="1" applyAlignment="1">
      <alignment horizontal="center" vertical="center" wrapText="1"/>
    </xf>
    <xf numFmtId="0" fontId="23" fillId="0" borderId="75" xfId="0" applyFont="1" applyBorder="1" applyAlignment="1">
      <alignment horizontal="center" vertical="center"/>
    </xf>
    <xf numFmtId="2" fontId="23" fillId="0" borderId="1" xfId="0" applyNumberFormat="1" applyFont="1" applyBorder="1" applyAlignment="1">
      <alignment horizontal="center" vertical="center"/>
    </xf>
    <xf numFmtId="2" fontId="23" fillId="0" borderId="5" xfId="0" applyNumberFormat="1" applyFont="1" applyBorder="1" applyAlignment="1">
      <alignment horizontal="center" vertical="center"/>
    </xf>
    <xf numFmtId="0" fontId="23" fillId="0" borderId="14" xfId="0" applyFont="1" applyBorder="1" applyAlignment="1">
      <alignment horizontal="center" vertical="center"/>
    </xf>
    <xf numFmtId="2" fontId="23" fillId="0" borderId="2" xfId="0" applyNumberFormat="1" applyFont="1" applyBorder="1" applyAlignment="1">
      <alignment horizontal="center" vertical="center"/>
    </xf>
    <xf numFmtId="2" fontId="50" fillId="0" borderId="15" xfId="0" applyNumberFormat="1" applyFont="1" applyBorder="1" applyAlignment="1">
      <alignment horizontal="center" vertical="center"/>
    </xf>
    <xf numFmtId="2" fontId="50" fillId="0" borderId="2" xfId="0" applyNumberFormat="1" applyFont="1" applyBorder="1" applyAlignment="1">
      <alignment horizontal="center" vertical="center"/>
    </xf>
    <xf numFmtId="2" fontId="23" fillId="0" borderId="7" xfId="0" applyNumberFormat="1" applyFont="1" applyBorder="1" applyAlignment="1">
      <alignment horizontal="center" vertical="center"/>
    </xf>
    <xf numFmtId="0" fontId="23" fillId="0" borderId="17" xfId="0" applyFont="1" applyBorder="1" applyAlignment="1">
      <alignment horizontal="center" vertical="center"/>
    </xf>
    <xf numFmtId="2" fontId="23" fillId="0" borderId="15" xfId="0" applyNumberFormat="1" applyFont="1" applyBorder="1" applyAlignment="1">
      <alignment horizontal="center" vertical="center"/>
    </xf>
    <xf numFmtId="2" fontId="23" fillId="0" borderId="83" xfId="0" applyNumberFormat="1" applyFont="1" applyBorder="1" applyAlignment="1">
      <alignment horizontal="center" vertical="center"/>
    </xf>
    <xf numFmtId="0" fontId="23" fillId="0" borderId="85" xfId="0" applyFont="1" applyBorder="1" applyAlignment="1">
      <alignment horizontal="center" vertical="center"/>
    </xf>
    <xf numFmtId="0" fontId="23" fillId="0" borderId="86" xfId="0" applyFont="1" applyBorder="1" applyAlignment="1">
      <alignment horizontal="center" vertical="center"/>
    </xf>
    <xf numFmtId="0" fontId="23" fillId="0" borderId="87" xfId="0" applyFont="1" applyBorder="1" applyAlignment="1">
      <alignment horizontal="center" vertical="center"/>
    </xf>
    <xf numFmtId="2" fontId="23" fillId="0" borderId="33" xfId="0" applyNumberFormat="1" applyFont="1" applyBorder="1" applyAlignment="1">
      <alignment horizontal="center" vertical="center"/>
    </xf>
    <xf numFmtId="2" fontId="23" fillId="0" borderId="9" xfId="0" applyNumberFormat="1" applyFont="1" applyBorder="1" applyAlignment="1">
      <alignment horizontal="center" vertical="center"/>
    </xf>
    <xf numFmtId="2" fontId="50" fillId="0" borderId="89" xfId="0" applyNumberFormat="1" applyFont="1" applyBorder="1" applyAlignment="1">
      <alignment horizontal="center" vertical="center"/>
    </xf>
    <xf numFmtId="2" fontId="50" fillId="0" borderId="90" xfId="0" applyNumberFormat="1" applyFont="1" applyBorder="1" applyAlignment="1">
      <alignment horizontal="center" vertical="center"/>
    </xf>
    <xf numFmtId="2" fontId="50" fillId="0" borderId="54" xfId="0" applyNumberFormat="1" applyFont="1" applyBorder="1" applyAlignment="1">
      <alignment horizontal="center" vertical="center"/>
    </xf>
    <xf numFmtId="2" fontId="50" fillId="0" borderId="91" xfId="0" applyNumberFormat="1" applyFont="1" applyBorder="1" applyAlignment="1">
      <alignment horizontal="center" vertical="center"/>
    </xf>
    <xf numFmtId="0" fontId="23" fillId="0" borderId="94" xfId="0" applyFont="1" applyBorder="1" applyAlignment="1">
      <alignment horizontal="center" vertical="center"/>
    </xf>
    <xf numFmtId="2" fontId="50" fillId="0" borderId="95" xfId="0" applyNumberFormat="1" applyFont="1" applyBorder="1" applyAlignment="1">
      <alignment horizontal="center" vertical="center"/>
    </xf>
    <xf numFmtId="2" fontId="50" fillId="0" borderId="96" xfId="0" applyNumberFormat="1" applyFont="1" applyBorder="1" applyAlignment="1">
      <alignment horizontal="center" vertical="center"/>
    </xf>
    <xf numFmtId="0" fontId="23" fillId="0" borderId="98" xfId="0" applyFont="1" applyBorder="1" applyAlignment="1">
      <alignment horizontal="center" vertical="center"/>
    </xf>
    <xf numFmtId="2" fontId="23" fillId="0" borderId="20" xfId="0" applyNumberFormat="1" applyFont="1" applyBorder="1" applyAlignment="1">
      <alignment horizontal="center" vertical="center"/>
    </xf>
    <xf numFmtId="2" fontId="23" fillId="0" borderId="99" xfId="0" applyNumberFormat="1" applyFont="1" applyBorder="1" applyAlignment="1">
      <alignment horizontal="center" vertical="center"/>
    </xf>
    <xf numFmtId="2" fontId="23" fillId="0" borderId="97" xfId="0" applyNumberFormat="1" applyFont="1" applyBorder="1" applyAlignment="1">
      <alignment horizontal="center" vertical="center"/>
    </xf>
    <xf numFmtId="2" fontId="23" fillId="0" borderId="100" xfId="0" applyNumberFormat="1" applyFont="1" applyBorder="1" applyAlignment="1">
      <alignment horizontal="center" vertical="center"/>
    </xf>
    <xf numFmtId="2" fontId="23" fillId="0" borderId="69" xfId="0" applyNumberFormat="1" applyFont="1" applyBorder="1" applyAlignment="1">
      <alignment horizontal="center" vertical="center"/>
    </xf>
    <xf numFmtId="2" fontId="23" fillId="0" borderId="101" xfId="0" applyNumberFormat="1" applyFont="1" applyBorder="1" applyAlignment="1">
      <alignment horizontal="center" vertical="center"/>
    </xf>
    <xf numFmtId="2" fontId="23" fillId="0" borderId="92" xfId="0" applyNumberFormat="1" applyFont="1" applyBorder="1" applyAlignment="1">
      <alignment horizontal="center" vertical="center"/>
    </xf>
    <xf numFmtId="2" fontId="23" fillId="0" borderId="102" xfId="0" applyNumberFormat="1" applyFont="1" applyBorder="1" applyAlignment="1">
      <alignment horizontal="center" vertical="center"/>
    </xf>
    <xf numFmtId="1" fontId="23" fillId="0" borderId="1" xfId="0" applyNumberFormat="1" applyFont="1" applyBorder="1" applyAlignment="1">
      <alignment horizontal="center" vertical="center"/>
    </xf>
    <xf numFmtId="1" fontId="23" fillId="0" borderId="5" xfId="0" applyNumberFormat="1" applyFont="1" applyBorder="1" applyAlignment="1">
      <alignment horizontal="center" vertical="center"/>
    </xf>
    <xf numFmtId="1" fontId="23" fillId="0" borderId="2" xfId="0" applyNumberFormat="1" applyFont="1" applyBorder="1" applyAlignment="1">
      <alignment horizontal="center" vertical="center"/>
    </xf>
    <xf numFmtId="1" fontId="23" fillId="0" borderId="7" xfId="0" applyNumberFormat="1" applyFont="1" applyBorder="1" applyAlignment="1">
      <alignment horizontal="center" vertical="center"/>
    </xf>
    <xf numFmtId="1" fontId="23" fillId="0" borderId="33" xfId="0" applyNumberFormat="1" applyFont="1" applyBorder="1" applyAlignment="1">
      <alignment horizontal="center" vertical="center"/>
    </xf>
    <xf numFmtId="1" fontId="23" fillId="0" borderId="9" xfId="0" applyNumberFormat="1" applyFont="1" applyBorder="1" applyAlignment="1">
      <alignment horizontal="center" vertical="center"/>
    </xf>
    <xf numFmtId="0" fontId="23" fillId="0" borderId="56" xfId="0" applyFont="1" applyBorder="1" applyAlignment="1">
      <alignment horizontal="center" vertical="center"/>
    </xf>
    <xf numFmtId="1" fontId="23" fillId="0" borderId="20" xfId="0" applyNumberFormat="1" applyFont="1" applyBorder="1" applyAlignment="1">
      <alignment horizontal="center" vertical="center"/>
    </xf>
    <xf numFmtId="1" fontId="23" fillId="0" borderId="99" xfId="0" applyNumberFormat="1" applyFont="1" applyBorder="1" applyAlignment="1">
      <alignment horizontal="center" vertical="center"/>
    </xf>
    <xf numFmtId="0" fontId="23" fillId="0" borderId="117" xfId="0" applyFont="1" applyBorder="1" applyAlignment="1">
      <alignment horizontal="center" vertical="center"/>
    </xf>
    <xf numFmtId="0" fontId="23" fillId="0" borderId="121" xfId="0" applyFont="1" applyBorder="1" applyAlignment="1">
      <alignment horizontal="center" vertical="center"/>
    </xf>
    <xf numFmtId="1" fontId="23" fillId="0" borderId="84" xfId="0" applyNumberFormat="1" applyFont="1" applyBorder="1" applyAlignment="1">
      <alignment horizontal="center" vertical="center"/>
    </xf>
    <xf numFmtId="1" fontId="23" fillId="0" borderId="128" xfId="0" applyNumberFormat="1" applyFont="1" applyBorder="1" applyAlignment="1">
      <alignment horizontal="center" vertical="center"/>
    </xf>
    <xf numFmtId="1" fontId="23" fillId="0" borderId="92" xfId="0" applyNumberFormat="1" applyFont="1" applyBorder="1" applyAlignment="1">
      <alignment horizontal="center" vertical="center"/>
    </xf>
    <xf numFmtId="1" fontId="23" fillId="0" borderId="102" xfId="0" applyNumberFormat="1" applyFont="1" applyBorder="1" applyAlignment="1">
      <alignment horizontal="center" vertical="center"/>
    </xf>
    <xf numFmtId="0" fontId="8" fillId="9" borderId="81" xfId="0" applyFont="1" applyFill="1" applyBorder="1" applyAlignment="1">
      <alignment horizontal="center" vertical="center"/>
    </xf>
    <xf numFmtId="0" fontId="25" fillId="16" borderId="81" xfId="0" applyFont="1" applyFill="1" applyBorder="1" applyAlignment="1">
      <alignment horizontal="center" vertical="center" wrapText="1"/>
    </xf>
    <xf numFmtId="0" fontId="25" fillId="16" borderId="81" xfId="0" applyFont="1" applyFill="1" applyBorder="1" applyAlignment="1">
      <alignment horizontal="center" vertical="center"/>
    </xf>
    <xf numFmtId="0" fontId="8" fillId="9" borderId="81" xfId="0" applyFont="1" applyFill="1" applyBorder="1" applyAlignment="1">
      <alignment horizontal="center" vertical="center" wrapText="1"/>
    </xf>
    <xf numFmtId="0" fontId="19" fillId="9" borderId="54" xfId="0" applyFont="1" applyFill="1" applyBorder="1" applyAlignment="1">
      <alignment horizontal="center" vertical="center" wrapText="1"/>
    </xf>
    <xf numFmtId="1" fontId="11" fillId="0" borderId="54" xfId="3" applyNumberFormat="1" applyFont="1" applyBorder="1" applyAlignment="1">
      <alignment horizontal="left" vertical="center" wrapText="1"/>
    </xf>
    <xf numFmtId="0" fontId="2" fillId="0" borderId="54" xfId="0" applyFont="1" applyBorder="1"/>
    <xf numFmtId="1" fontId="11" fillId="0" borderId="0" xfId="3" applyNumberFormat="1" applyFont="1" applyBorder="1" applyAlignment="1">
      <alignment horizontal="left" vertical="center" wrapText="1"/>
    </xf>
    <xf numFmtId="0" fontId="8" fillId="16" borderId="81" xfId="0" applyFont="1" applyFill="1" applyBorder="1" applyAlignment="1">
      <alignment horizontal="center" vertical="center" wrapText="1"/>
    </xf>
    <xf numFmtId="0" fontId="8" fillId="16" borderId="81" xfId="0" applyFont="1" applyFill="1" applyBorder="1" applyAlignment="1">
      <alignment horizontal="center" vertical="center"/>
    </xf>
    <xf numFmtId="9" fontId="7" fillId="5" borderId="0" xfId="0" applyNumberFormat="1" applyFont="1" applyFill="1"/>
    <xf numFmtId="0" fontId="7" fillId="5" borderId="115" xfId="0" applyFont="1" applyFill="1" applyBorder="1" applyAlignment="1">
      <alignment vertical="center"/>
    </xf>
    <xf numFmtId="2" fontId="7" fillId="0" borderId="0" xfId="0" applyNumberFormat="1" applyFont="1"/>
    <xf numFmtId="0" fontId="8" fillId="0" borderId="2" xfId="0" applyFont="1" applyBorder="1" applyAlignment="1">
      <alignment horizontal="center" vertical="center"/>
    </xf>
    <xf numFmtId="0" fontId="8" fillId="0" borderId="15" xfId="0" applyFont="1" applyBorder="1" applyAlignment="1">
      <alignment horizontal="center" vertical="center"/>
    </xf>
    <xf numFmtId="1" fontId="23" fillId="0" borderId="69" xfId="0" applyNumberFormat="1" applyFont="1" applyBorder="1" applyAlignment="1">
      <alignment horizontal="center" vertical="center"/>
    </xf>
    <xf numFmtId="1" fontId="23" fillId="0" borderId="101" xfId="0" applyNumberFormat="1" applyFont="1" applyBorder="1" applyAlignment="1">
      <alignment horizontal="center" vertical="center"/>
    </xf>
    <xf numFmtId="2" fontId="23" fillId="0" borderId="134" xfId="0" applyNumberFormat="1" applyFont="1" applyBorder="1" applyAlignment="1">
      <alignment horizontal="center" vertical="center"/>
    </xf>
    <xf numFmtId="2" fontId="23" fillId="0" borderId="70" xfId="0" applyNumberFormat="1" applyFont="1" applyBorder="1" applyAlignment="1">
      <alignment horizontal="center" vertical="center"/>
    </xf>
    <xf numFmtId="2" fontId="50" fillId="0" borderId="7" xfId="0" applyNumberFormat="1" applyFont="1" applyBorder="1" applyAlignment="1">
      <alignment horizontal="center" vertical="center"/>
    </xf>
    <xf numFmtId="2" fontId="23" fillId="0" borderId="135" xfId="0" applyNumberFormat="1" applyFont="1" applyBorder="1" applyAlignment="1">
      <alignment horizontal="center" vertical="center"/>
    </xf>
    <xf numFmtId="0" fontId="25" fillId="9" borderId="15" xfId="0" applyFont="1" applyFill="1" applyBorder="1" applyAlignment="1">
      <alignment horizontal="left" vertical="center" wrapText="1"/>
    </xf>
    <xf numFmtId="0" fontId="25" fillId="9" borderId="69" xfId="0" applyFont="1" applyFill="1" applyBorder="1" applyAlignment="1">
      <alignment horizontal="center" vertical="center" wrapText="1"/>
    </xf>
    <xf numFmtId="0" fontId="7" fillId="0" borderId="2" xfId="0" applyFont="1" applyBorder="1" applyAlignment="1">
      <alignment horizontal="right" vertical="center"/>
    </xf>
    <xf numFmtId="171" fontId="7" fillId="0" borderId="2" xfId="0" applyNumberFormat="1" applyFont="1" applyBorder="1" applyAlignment="1">
      <alignment vertical="center"/>
    </xf>
    <xf numFmtId="168" fontId="7" fillId="0" borderId="2" xfId="6" applyNumberFormat="1" applyFont="1" applyBorder="1" applyAlignment="1">
      <alignment horizontal="right" vertical="center" wrapText="1"/>
    </xf>
    <xf numFmtId="0" fontId="7" fillId="0" borderId="14" xfId="0" applyFont="1" applyBorder="1" applyAlignment="1">
      <alignment vertical="center" wrapText="1"/>
    </xf>
    <xf numFmtId="0" fontId="7" fillId="0" borderId="14" xfId="0" applyFont="1" applyBorder="1" applyAlignment="1">
      <alignment horizontal="right" vertical="center"/>
    </xf>
    <xf numFmtId="168" fontId="7" fillId="0" borderId="14" xfId="6" applyNumberFormat="1" applyFont="1" applyBorder="1" applyAlignment="1">
      <alignment horizontal="right" vertical="center"/>
    </xf>
    <xf numFmtId="171" fontId="2" fillId="0" borderId="2" xfId="0" applyNumberFormat="1" applyFont="1" applyBorder="1" applyAlignment="1">
      <alignment vertical="center"/>
    </xf>
    <xf numFmtId="171" fontId="2" fillId="10" borderId="14" xfId="0" applyNumberFormat="1" applyFont="1" applyFill="1" applyBorder="1" applyAlignment="1">
      <alignment vertical="center"/>
    </xf>
    <xf numFmtId="3" fontId="7" fillId="0" borderId="0" xfId="0" applyNumberFormat="1" applyFont="1" applyAlignment="1">
      <alignment horizontal="left"/>
    </xf>
    <xf numFmtId="43" fontId="7" fillId="0" borderId="0" xfId="0" applyNumberFormat="1" applyFont="1" applyAlignment="1">
      <alignment horizontal="center" vertical="center" wrapText="1"/>
    </xf>
    <xf numFmtId="0" fontId="7" fillId="0" borderId="15" xfId="0" applyFont="1" applyBorder="1" applyAlignment="1">
      <alignment vertical="center"/>
    </xf>
    <xf numFmtId="0" fontId="7" fillId="0" borderId="17" xfId="0" applyFont="1" applyBorder="1" applyAlignment="1">
      <alignment vertical="center"/>
    </xf>
    <xf numFmtId="0" fontId="24" fillId="0" borderId="69" xfId="0" applyFont="1" applyBorder="1" applyAlignment="1">
      <alignment horizontal="center" vertical="center" wrapText="1"/>
    </xf>
    <xf numFmtId="0" fontId="7" fillId="0" borderId="69" xfId="0" applyFont="1" applyBorder="1" applyAlignment="1">
      <alignment vertical="center"/>
    </xf>
    <xf numFmtId="0" fontId="7" fillId="0" borderId="69" xfId="0" applyFont="1" applyBorder="1" applyAlignment="1">
      <alignment vertical="center" wrapText="1"/>
    </xf>
    <xf numFmtId="0" fontId="11" fillId="0" borderId="69" xfId="3" applyFont="1" applyFill="1" applyBorder="1" applyAlignment="1">
      <alignment horizontal="center" vertical="center" wrapText="1"/>
    </xf>
    <xf numFmtId="0" fontId="14" fillId="0" borderId="69" xfId="0" applyFont="1" applyBorder="1" applyAlignment="1">
      <alignment horizontal="center"/>
    </xf>
    <xf numFmtId="0" fontId="11" fillId="0" borderId="69" xfId="3" applyFont="1" applyBorder="1" applyAlignment="1">
      <alignment horizontal="center" vertical="center" wrapText="1"/>
    </xf>
    <xf numFmtId="0" fontId="0" fillId="0" borderId="69" xfId="0" applyBorder="1" applyAlignment="1">
      <alignment horizontal="center" vertical="center"/>
    </xf>
    <xf numFmtId="0" fontId="7" fillId="0" borderId="69" xfId="0" applyFont="1" applyBorder="1" applyAlignment="1">
      <alignment horizontal="center"/>
    </xf>
    <xf numFmtId="165" fontId="2" fillId="0" borderId="54" xfId="0" applyNumberFormat="1" applyFont="1" applyBorder="1"/>
    <xf numFmtId="1" fontId="2" fillId="0" borderId="54" xfId="0" applyNumberFormat="1" applyFont="1" applyBorder="1"/>
    <xf numFmtId="168" fontId="2" fillId="0" borderId="54" xfId="6" applyNumberFormat="1" applyFont="1" applyBorder="1"/>
    <xf numFmtId="0" fontId="2" fillId="0" borderId="54" xfId="0" applyFont="1" applyBorder="1" applyAlignment="1">
      <alignment horizontal="center"/>
    </xf>
    <xf numFmtId="1" fontId="7" fillId="6" borderId="28" xfId="0" applyNumberFormat="1" applyFont="1" applyFill="1" applyBorder="1" applyAlignment="1">
      <alignment horizontal="center" vertical="center"/>
    </xf>
    <xf numFmtId="1" fontId="23" fillId="0" borderId="81" xfId="0" applyNumberFormat="1" applyFont="1" applyBorder="1" applyAlignment="1">
      <alignment horizontal="center" vertical="center"/>
    </xf>
    <xf numFmtId="1" fontId="23" fillId="0" borderId="138" xfId="0" applyNumberFormat="1" applyFont="1" applyBorder="1" applyAlignment="1">
      <alignment horizontal="center" vertical="center"/>
    </xf>
    <xf numFmtId="1" fontId="23" fillId="0" borderId="73" xfId="0" applyNumberFormat="1" applyFont="1" applyBorder="1" applyAlignment="1">
      <alignment horizontal="center" vertical="center"/>
    </xf>
    <xf numFmtId="1" fontId="23" fillId="0" borderId="74" xfId="0" applyNumberFormat="1" applyFont="1" applyBorder="1" applyAlignment="1">
      <alignment horizontal="center" vertical="center"/>
    </xf>
    <xf numFmtId="1" fontId="23" fillId="0" borderId="78" xfId="0" applyNumberFormat="1" applyFont="1" applyBorder="1" applyAlignment="1">
      <alignment horizontal="center" vertical="center"/>
    </xf>
    <xf numFmtId="1" fontId="23" fillId="0" borderId="119" xfId="0" applyNumberFormat="1" applyFont="1" applyBorder="1" applyAlignment="1">
      <alignment horizontal="center" vertical="center"/>
    </xf>
    <xf numFmtId="1" fontId="23" fillId="0" borderId="122" xfId="0" applyNumberFormat="1" applyFont="1" applyBorder="1" applyAlignment="1">
      <alignment horizontal="center" vertical="center"/>
    </xf>
    <xf numFmtId="0" fontId="52" fillId="0" borderId="148" xfId="0" applyFont="1" applyBorder="1" applyAlignment="1">
      <alignment horizontal="center" vertical="center"/>
    </xf>
    <xf numFmtId="0" fontId="52" fillId="0" borderId="149" xfId="0" applyFont="1" applyBorder="1" applyAlignment="1">
      <alignment horizontal="center" vertical="center"/>
    </xf>
    <xf numFmtId="0" fontId="52" fillId="0" borderId="150" xfId="0" applyFont="1" applyBorder="1" applyAlignment="1">
      <alignment horizontal="center" vertical="center"/>
    </xf>
    <xf numFmtId="0" fontId="52" fillId="20" borderId="0" xfId="0" applyFont="1" applyFill="1" applyAlignment="1">
      <alignment horizontal="center" vertical="center"/>
    </xf>
    <xf numFmtId="0" fontId="52" fillId="0" borderId="0" xfId="0" applyFont="1" applyAlignment="1">
      <alignment horizontal="center" vertical="center"/>
    </xf>
    <xf numFmtId="0" fontId="52" fillId="0" borderId="151" xfId="0" applyFont="1" applyBorder="1" applyAlignment="1">
      <alignment horizontal="center" vertical="center"/>
    </xf>
    <xf numFmtId="0" fontId="52" fillId="0" borderId="152" xfId="0" applyFont="1" applyBorder="1" applyAlignment="1">
      <alignment horizontal="center" vertical="center"/>
    </xf>
    <xf numFmtId="0" fontId="52" fillId="0" borderId="153" xfId="0" applyFont="1" applyBorder="1" applyAlignment="1">
      <alignment horizontal="center" vertical="center"/>
    </xf>
    <xf numFmtId="0" fontId="52" fillId="0" borderId="154" xfId="0" applyFont="1" applyBorder="1" applyAlignment="1">
      <alignment horizontal="center" vertical="center"/>
    </xf>
    <xf numFmtId="0" fontId="52" fillId="0" borderId="155" xfId="0" applyFont="1" applyBorder="1" applyAlignment="1">
      <alignment horizontal="center" vertical="center"/>
    </xf>
    <xf numFmtId="0" fontId="52" fillId="0" borderId="156" xfId="0" applyFont="1" applyBorder="1" applyAlignment="1">
      <alignment horizontal="center" vertical="center"/>
    </xf>
    <xf numFmtId="0" fontId="48" fillId="0" borderId="0" xfId="0" applyFont="1" applyAlignment="1">
      <alignment vertical="center"/>
    </xf>
    <xf numFmtId="10" fontId="24" fillId="0" borderId="0" xfId="0" applyNumberFormat="1" applyFont="1" applyAlignment="1">
      <alignment horizontal="left" vertical="center"/>
    </xf>
    <xf numFmtId="0" fontId="24" fillId="0" borderId="0" xfId="0" applyFont="1"/>
    <xf numFmtId="168" fontId="7" fillId="6" borderId="0" xfId="6" applyNumberFormat="1" applyFont="1" applyFill="1" applyAlignment="1">
      <alignment horizontal="center" vertical="center"/>
    </xf>
    <xf numFmtId="1" fontId="50" fillId="0" borderId="69" xfId="0" applyNumberFormat="1" applyFont="1" applyBorder="1" applyAlignment="1">
      <alignment horizontal="center" vertical="center"/>
    </xf>
    <xf numFmtId="0" fontId="25" fillId="16" borderId="163" xfId="0" applyFont="1" applyFill="1" applyBorder="1" applyAlignment="1">
      <alignment horizontal="center" vertical="center" wrapText="1"/>
    </xf>
    <xf numFmtId="0" fontId="19" fillId="21" borderId="164" xfId="0" applyFont="1" applyFill="1" applyBorder="1" applyAlignment="1">
      <alignment horizontal="center" vertical="center" wrapText="1"/>
    </xf>
    <xf numFmtId="0" fontId="19" fillId="21" borderId="165" xfId="0" applyFont="1" applyFill="1" applyBorder="1" applyAlignment="1">
      <alignment horizontal="center" vertical="center" wrapText="1"/>
    </xf>
    <xf numFmtId="0" fontId="19" fillId="21" borderId="166" xfId="0" applyFont="1" applyFill="1" applyBorder="1" applyAlignment="1">
      <alignment horizontal="center" vertical="center" wrapText="1"/>
    </xf>
    <xf numFmtId="0" fontId="19" fillId="0" borderId="167" xfId="0" applyFont="1" applyBorder="1" applyAlignment="1">
      <alignment horizontal="center" vertical="center" wrapText="1"/>
    </xf>
    <xf numFmtId="0" fontId="19" fillId="0" borderId="168" xfId="0" applyFont="1" applyBorder="1" applyAlignment="1">
      <alignment horizontal="center" vertical="center" wrapText="1"/>
    </xf>
    <xf numFmtId="0" fontId="7" fillId="0" borderId="32" xfId="4" applyBorder="1" applyAlignment="1">
      <alignment horizontal="center" vertical="center"/>
    </xf>
    <xf numFmtId="168" fontId="7" fillId="0" borderId="32" xfId="6" applyNumberFormat="1" applyFont="1" applyBorder="1" applyAlignment="1">
      <alignment horizontal="center" vertical="center"/>
    </xf>
    <xf numFmtId="2" fontId="7" fillId="0" borderId="32" xfId="0" applyNumberFormat="1" applyFont="1" applyBorder="1" applyAlignment="1">
      <alignment horizontal="center" vertical="center"/>
    </xf>
    <xf numFmtId="2" fontId="7" fillId="0" borderId="32" xfId="0" applyNumberFormat="1" applyFont="1" applyBorder="1"/>
    <xf numFmtId="165" fontId="53" fillId="0" borderId="175" xfId="0" applyNumberFormat="1" applyFont="1" applyBorder="1"/>
    <xf numFmtId="165" fontId="53" fillId="0" borderId="176" xfId="0" applyNumberFormat="1" applyFont="1" applyBorder="1"/>
    <xf numFmtId="2" fontId="7" fillId="0" borderId="170" xfId="0" applyNumberFormat="1" applyFont="1" applyBorder="1"/>
    <xf numFmtId="0" fontId="19" fillId="0" borderId="177" xfId="0" applyFont="1" applyBorder="1" applyAlignment="1">
      <alignment horizontal="center" vertical="center" wrapText="1"/>
    </xf>
    <xf numFmtId="2" fontId="7" fillId="0" borderId="175" xfId="0" applyNumberFormat="1" applyFont="1" applyBorder="1"/>
    <xf numFmtId="0" fontId="7" fillId="0" borderId="175" xfId="0" applyFont="1" applyBorder="1"/>
    <xf numFmtId="0" fontId="8" fillId="0" borderId="168" xfId="0" applyFont="1" applyBorder="1" applyAlignment="1">
      <alignment vertical="center" wrapText="1"/>
    </xf>
    <xf numFmtId="0" fontId="7" fillId="0" borderId="176" xfId="0" applyFont="1" applyBorder="1"/>
    <xf numFmtId="2" fontId="7" fillId="0" borderId="173" xfId="0" applyNumberFormat="1" applyFont="1" applyBorder="1"/>
    <xf numFmtId="0" fontId="25" fillId="9" borderId="178" xfId="0" applyFont="1" applyFill="1" applyBorder="1" applyAlignment="1">
      <alignment horizontal="center" vertical="center"/>
    </xf>
    <xf numFmtId="0" fontId="19" fillId="9" borderId="179" xfId="0" applyFont="1" applyFill="1" applyBorder="1" applyAlignment="1">
      <alignment horizontal="center" vertical="center" wrapText="1"/>
    </xf>
    <xf numFmtId="0" fontId="8" fillId="22" borderId="180" xfId="0" applyFont="1" applyFill="1" applyBorder="1" applyAlignment="1">
      <alignment horizontal="center" vertical="center" wrapText="1"/>
    </xf>
    <xf numFmtId="0" fontId="8" fillId="22" borderId="177" xfId="0" applyFont="1" applyFill="1" applyBorder="1" applyAlignment="1">
      <alignment horizontal="center" vertical="center" wrapText="1"/>
    </xf>
    <xf numFmtId="0" fontId="8" fillId="9" borderId="174" xfId="0" applyFont="1" applyFill="1" applyBorder="1" applyAlignment="1">
      <alignment horizontal="center" vertical="center" wrapText="1"/>
    </xf>
    <xf numFmtId="0" fontId="7" fillId="0" borderId="171" xfId="4" applyBorder="1" applyAlignment="1">
      <alignment horizontal="center" vertical="center"/>
    </xf>
    <xf numFmtId="168" fontId="7" fillId="0" borderId="171" xfId="6" applyNumberFormat="1" applyFont="1" applyBorder="1" applyAlignment="1">
      <alignment horizontal="center" vertical="center"/>
    </xf>
    <xf numFmtId="2" fontId="7" fillId="0" borderId="171" xfId="0" applyNumberFormat="1" applyFont="1" applyBorder="1" applyAlignment="1">
      <alignment horizontal="center" vertical="center"/>
    </xf>
    <xf numFmtId="2" fontId="7" fillId="0" borderId="171" xfId="0" applyNumberFormat="1" applyFont="1" applyBorder="1"/>
    <xf numFmtId="165" fontId="53" fillId="0" borderId="169" xfId="0" applyNumberFormat="1" applyFont="1" applyBorder="1"/>
    <xf numFmtId="165" fontId="53" fillId="0" borderId="172" xfId="0" applyNumberFormat="1" applyFont="1" applyBorder="1"/>
    <xf numFmtId="0" fontId="24" fillId="0" borderId="32" xfId="0" applyFont="1" applyBorder="1"/>
    <xf numFmtId="0" fontId="53" fillId="0" borderId="32" xfId="0" applyFont="1" applyBorder="1"/>
    <xf numFmtId="0" fontId="19" fillId="16" borderId="185" xfId="0" applyFont="1" applyFill="1" applyBorder="1" applyAlignment="1">
      <alignment horizontal="center" vertical="center" wrapText="1"/>
    </xf>
    <xf numFmtId="0" fontId="19" fillId="21" borderId="186" xfId="0" applyFont="1" applyFill="1" applyBorder="1" applyAlignment="1">
      <alignment horizontal="center" vertical="center" wrapText="1"/>
    </xf>
    <xf numFmtId="0" fontId="19" fillId="21" borderId="187" xfId="0" applyFont="1" applyFill="1" applyBorder="1" applyAlignment="1">
      <alignment horizontal="center" vertical="center" wrapText="1"/>
    </xf>
    <xf numFmtId="0" fontId="24" fillId="0" borderId="171" xfId="0" applyFont="1" applyBorder="1" applyAlignment="1">
      <alignment horizontal="center" vertical="center"/>
    </xf>
    <xf numFmtId="0" fontId="24" fillId="0" borderId="171" xfId="0" applyFont="1" applyBorder="1"/>
    <xf numFmtId="0" fontId="53" fillId="0" borderId="171" xfId="0" applyFont="1" applyBorder="1"/>
    <xf numFmtId="1" fontId="23" fillId="0" borderId="97" xfId="0" applyNumberFormat="1" applyFont="1" applyBorder="1" applyAlignment="1">
      <alignment horizontal="center" vertical="center"/>
    </xf>
    <xf numFmtId="1" fontId="23" fillId="0" borderId="100" xfId="0" applyNumberFormat="1" applyFont="1" applyBorder="1" applyAlignment="1">
      <alignment horizontal="center" vertical="center"/>
    </xf>
    <xf numFmtId="0" fontId="51" fillId="6" borderId="2" xfId="3" applyFont="1" applyFill="1" applyBorder="1" applyAlignment="1">
      <alignment horizontal="center" vertical="center" wrapText="1"/>
    </xf>
    <xf numFmtId="0" fontId="51" fillId="0" borderId="2" xfId="3" applyFont="1" applyFill="1" applyBorder="1" applyAlignment="1">
      <alignment horizontal="center" vertical="center" wrapText="1"/>
    </xf>
    <xf numFmtId="0" fontId="51" fillId="0" borderId="2" xfId="3" applyFont="1" applyBorder="1" applyAlignment="1">
      <alignment horizontal="center" vertical="center" wrapText="1"/>
    </xf>
    <xf numFmtId="0" fontId="37" fillId="11" borderId="32" xfId="0" applyFont="1" applyFill="1" applyBorder="1" applyAlignment="1">
      <alignment horizontal="center" vertical="center"/>
    </xf>
    <xf numFmtId="0" fontId="8" fillId="9" borderId="32" xfId="0" applyFont="1" applyFill="1" applyBorder="1" applyAlignment="1">
      <alignment horizontal="center" vertical="center"/>
    </xf>
    <xf numFmtId="43" fontId="7" fillId="0" borderId="32" xfId="0" applyNumberFormat="1" applyFont="1" applyBorder="1" applyAlignment="1">
      <alignment vertical="center"/>
    </xf>
    <xf numFmtId="0" fontId="7" fillId="0" borderId="32" xfId="0" applyFont="1" applyBorder="1" applyAlignment="1">
      <alignment vertical="center"/>
    </xf>
    <xf numFmtId="0" fontId="20" fillId="9" borderId="3" xfId="0" applyFont="1" applyFill="1" applyBorder="1" applyAlignment="1">
      <alignment horizontal="center" vertical="center" wrapText="1"/>
    </xf>
    <xf numFmtId="1" fontId="2" fillId="0" borderId="3" xfId="7" applyNumberFormat="1" applyFont="1" applyBorder="1" applyAlignment="1">
      <alignment horizontal="center" vertical="center"/>
    </xf>
    <xf numFmtId="1" fontId="2" fillId="0" borderId="3" xfId="7" quotePrefix="1" applyNumberFormat="1" applyFont="1" applyBorder="1" applyAlignment="1">
      <alignment horizontal="center" vertical="center"/>
    </xf>
    <xf numFmtId="1" fontId="21" fillId="0" borderId="3" xfId="7" quotePrefix="1" applyNumberFormat="1" applyFont="1" applyBorder="1" applyAlignment="1">
      <alignment horizontal="center" vertical="center"/>
    </xf>
    <xf numFmtId="1" fontId="2" fillId="6" borderId="3" xfId="7" applyNumberFormat="1" applyFont="1" applyFill="1" applyBorder="1" applyAlignment="1">
      <alignment horizontal="center" vertical="center"/>
    </xf>
    <xf numFmtId="1" fontId="2" fillId="6" borderId="3" xfId="7" quotePrefix="1" applyNumberFormat="1" applyFont="1" applyFill="1" applyBorder="1" applyAlignment="1">
      <alignment horizontal="center" vertical="center"/>
    </xf>
    <xf numFmtId="43" fontId="7" fillId="0" borderId="32" xfId="0" applyNumberFormat="1" applyFont="1" applyBorder="1" applyAlignment="1">
      <alignment vertical="center" wrapText="1"/>
    </xf>
    <xf numFmtId="43" fontId="7" fillId="0" borderId="32" xfId="0" applyNumberFormat="1" applyFont="1" applyBorder="1" applyAlignment="1">
      <alignment horizontal="left" vertical="center" wrapText="1"/>
    </xf>
    <xf numFmtId="0" fontId="54" fillId="0" borderId="0" xfId="0" applyFont="1"/>
    <xf numFmtId="0" fontId="12" fillId="0" borderId="0" xfId="0" applyFont="1" applyAlignment="1">
      <alignment vertical="center" indent="1"/>
    </xf>
    <xf numFmtId="0" fontId="15" fillId="2" borderId="0" xfId="0" applyFont="1" applyFill="1" applyAlignment="1">
      <alignment vertical="center" indent="1"/>
    </xf>
    <xf numFmtId="0" fontId="29" fillId="0" borderId="0" xfId="0" applyFont="1" applyAlignment="1">
      <alignment vertical="center" indent="1"/>
    </xf>
    <xf numFmtId="1" fontId="51" fillId="0" borderId="3" xfId="7" quotePrefix="1" applyNumberFormat="1" applyFont="1" applyBorder="1" applyAlignment="1">
      <alignment horizontal="center" vertical="center"/>
    </xf>
    <xf numFmtId="168" fontId="24" fillId="0" borderId="2" xfId="0" applyNumberFormat="1" applyFont="1" applyBorder="1" applyAlignment="1">
      <alignment horizontal="center" vertical="center" wrapText="1"/>
    </xf>
    <xf numFmtId="168" fontId="7" fillId="0" borderId="203" xfId="0" applyNumberFormat="1" applyFont="1" applyBorder="1" applyAlignment="1">
      <alignment vertical="center"/>
    </xf>
    <xf numFmtId="0" fontId="24" fillId="0" borderId="15" xfId="0" applyFont="1" applyBorder="1" applyAlignment="1">
      <alignment horizontal="right" vertical="center" wrapText="1"/>
    </xf>
    <xf numFmtId="0" fontId="24" fillId="0" borderId="207" xfId="0" applyFont="1" applyBorder="1" applyAlignment="1">
      <alignment horizontal="center" vertical="center" wrapText="1"/>
    </xf>
    <xf numFmtId="164" fontId="24" fillId="0" borderId="208" xfId="2" applyNumberFormat="1" applyFont="1" applyFill="1" applyBorder="1" applyAlignment="1">
      <alignment horizontal="center" vertical="center" wrapText="1"/>
    </xf>
    <xf numFmtId="0" fontId="24" fillId="0" borderId="209" xfId="0" applyFont="1" applyBorder="1" applyAlignment="1">
      <alignment horizontal="center" vertical="center" wrapText="1"/>
    </xf>
    <xf numFmtId="164" fontId="24" fillId="0" borderId="210" xfId="2" applyNumberFormat="1" applyFont="1" applyFill="1" applyBorder="1" applyAlignment="1">
      <alignment horizontal="center" vertical="center" wrapText="1"/>
    </xf>
    <xf numFmtId="168" fontId="24" fillId="0" borderId="32" xfId="0" applyNumberFormat="1" applyFont="1" applyBorder="1" applyAlignment="1">
      <alignment vertical="center" wrapText="1"/>
    </xf>
    <xf numFmtId="0" fontId="8" fillId="0" borderId="211" xfId="0" applyFont="1" applyBorder="1" applyAlignment="1">
      <alignment horizontal="center" vertical="center" wrapText="1"/>
    </xf>
    <xf numFmtId="0" fontId="8" fillId="0" borderId="212" xfId="0" applyFont="1" applyBorder="1" applyAlignment="1">
      <alignment horizontal="center" vertical="center" wrapText="1"/>
    </xf>
    <xf numFmtId="0" fontId="8" fillId="0" borderId="213" xfId="0" applyFont="1" applyBorder="1" applyAlignment="1">
      <alignment horizontal="center" vertical="center" wrapText="1"/>
    </xf>
    <xf numFmtId="168" fontId="24" fillId="0" borderId="214" xfId="0" applyNumberFormat="1" applyFont="1" applyBorder="1" applyAlignment="1">
      <alignment vertical="center" wrapText="1"/>
    </xf>
    <xf numFmtId="164" fontId="8" fillId="0" borderId="204" xfId="0" applyNumberFormat="1" applyFont="1" applyBorder="1" applyAlignment="1">
      <alignment horizontal="center" vertical="center"/>
    </xf>
    <xf numFmtId="0" fontId="24" fillId="0" borderId="215" xfId="0" applyFont="1" applyBorder="1" applyAlignment="1">
      <alignment horizontal="center" vertical="center" wrapText="1"/>
    </xf>
    <xf numFmtId="164" fontId="24" fillId="0" borderId="216" xfId="2" applyNumberFormat="1" applyFont="1" applyFill="1" applyBorder="1" applyAlignment="1">
      <alignment horizontal="center" vertical="center" wrapText="1"/>
    </xf>
    <xf numFmtId="0" fontId="24" fillId="0" borderId="193" xfId="0" applyFont="1" applyBorder="1" applyAlignment="1">
      <alignment horizontal="center" vertical="center" wrapText="1"/>
    </xf>
    <xf numFmtId="164" fontId="24" fillId="0" borderId="170" xfId="2" applyNumberFormat="1" applyFont="1" applyFill="1" applyBorder="1" applyAlignment="1">
      <alignment horizontal="center" vertical="center" wrapText="1"/>
    </xf>
    <xf numFmtId="0" fontId="24" fillId="0" borderId="194" xfId="0" applyFont="1" applyBorder="1" applyAlignment="1">
      <alignment horizontal="center" vertical="center" wrapText="1"/>
    </xf>
    <xf numFmtId="9" fontId="24" fillId="0" borderId="197" xfId="2" applyFont="1" applyFill="1" applyBorder="1" applyAlignment="1">
      <alignment horizontal="center" vertical="center" wrapText="1"/>
    </xf>
    <xf numFmtId="9" fontId="24" fillId="0" borderId="216" xfId="2" applyFont="1" applyFill="1" applyBorder="1" applyAlignment="1">
      <alignment horizontal="center" vertical="center" wrapText="1"/>
    </xf>
    <xf numFmtId="9" fontId="24" fillId="0" borderId="170" xfId="2" applyFont="1" applyFill="1" applyBorder="1" applyAlignment="1">
      <alignment horizontal="center" vertical="center" wrapText="1"/>
    </xf>
    <xf numFmtId="168" fontId="24" fillId="0" borderId="195" xfId="0" applyNumberFormat="1" applyFont="1" applyBorder="1" applyAlignment="1">
      <alignment vertical="center" wrapText="1"/>
    </xf>
    <xf numFmtId="0" fontId="8" fillId="0" borderId="217" xfId="0" applyFont="1" applyBorder="1" applyAlignment="1">
      <alignment horizontal="center" vertical="center" wrapText="1"/>
    </xf>
    <xf numFmtId="0" fontId="8" fillId="0" borderId="218" xfId="0" applyFont="1" applyBorder="1" applyAlignment="1">
      <alignment horizontal="center" vertical="center" wrapText="1"/>
    </xf>
    <xf numFmtId="0" fontId="8" fillId="0" borderId="219" xfId="0" applyFont="1" applyBorder="1" applyAlignment="1">
      <alignment horizontal="center" vertical="center" wrapText="1"/>
    </xf>
    <xf numFmtId="0" fontId="24" fillId="0" borderId="205" xfId="0" applyFont="1" applyBorder="1" applyAlignment="1">
      <alignment horizontal="center" vertical="center" wrapText="1"/>
    </xf>
    <xf numFmtId="168" fontId="24" fillId="0" borderId="20" xfId="0" applyNumberFormat="1" applyFont="1" applyBorder="1" applyAlignment="1">
      <alignment horizontal="center" vertical="center" wrapText="1"/>
    </xf>
    <xf numFmtId="164" fontId="24" fillId="0" borderId="206" xfId="2" applyNumberFormat="1" applyFont="1" applyFill="1" applyBorder="1" applyAlignment="1">
      <alignment horizontal="center" vertical="center" wrapText="1"/>
    </xf>
    <xf numFmtId="0" fontId="51" fillId="6" borderId="3" xfId="7" quotePrefix="1" applyFont="1" applyFill="1" applyBorder="1" applyAlignment="1">
      <alignment horizontal="center" vertical="center"/>
    </xf>
    <xf numFmtId="0" fontId="51" fillId="0" borderId="3" xfId="7" quotePrefix="1" applyFont="1" applyBorder="1" applyAlignment="1">
      <alignment horizontal="center" vertical="center"/>
    </xf>
    <xf numFmtId="0" fontId="51" fillId="0" borderId="2" xfId="0" applyFont="1" applyBorder="1" applyAlignment="1">
      <alignment horizontal="center" vertical="center"/>
    </xf>
    <xf numFmtId="0" fontId="14" fillId="0" borderId="0" xfId="0" applyFont="1" applyAlignment="1">
      <alignment horizontal="center" vertical="center" wrapText="1"/>
    </xf>
    <xf numFmtId="0" fontId="24" fillId="0" borderId="0" xfId="0" applyFont="1" applyAlignment="1">
      <alignment horizontal="center" vertical="center"/>
    </xf>
    <xf numFmtId="0" fontId="0" fillId="0" borderId="0" xfId="0" applyAlignment="1">
      <alignment horizontal="center" vertical="center" wrapText="1"/>
    </xf>
    <xf numFmtId="0" fontId="24" fillId="0" borderId="15" xfId="0" applyFont="1" applyBorder="1" applyAlignment="1">
      <alignment horizontal="center" vertical="center"/>
    </xf>
    <xf numFmtId="0" fontId="58" fillId="0" borderId="0" xfId="0" applyFont="1" applyAlignment="1">
      <alignment horizontal="center" vertical="center"/>
    </xf>
    <xf numFmtId="0" fontId="53" fillId="0" borderId="0" xfId="0" applyFont="1" applyAlignment="1">
      <alignment horizontal="center" vertical="center" wrapText="1"/>
    </xf>
    <xf numFmtId="0" fontId="56" fillId="0" borderId="0" xfId="0" applyFont="1" applyAlignment="1">
      <alignment horizontal="center" vertical="center" wrapText="1"/>
    </xf>
    <xf numFmtId="1" fontId="51" fillId="0" borderId="3" xfId="7" applyNumberFormat="1" applyFont="1" applyBorder="1" applyAlignment="1">
      <alignment horizontal="center" vertical="center"/>
    </xf>
    <xf numFmtId="1" fontId="51" fillId="6" borderId="3" xfId="7" applyNumberFormat="1" applyFont="1" applyFill="1" applyBorder="1" applyAlignment="1">
      <alignment horizontal="center" vertical="center"/>
    </xf>
    <xf numFmtId="0" fontId="7" fillId="0" borderId="32" xfId="0" quotePrefix="1" applyFont="1" applyBorder="1" applyAlignment="1">
      <alignment vertical="center" wrapText="1"/>
    </xf>
    <xf numFmtId="1" fontId="7" fillId="6" borderId="3" xfId="7" applyNumberFormat="1" applyFont="1" applyFill="1" applyBorder="1" applyAlignment="1">
      <alignment horizontal="center" vertical="center"/>
    </xf>
    <xf numFmtId="0" fontId="51" fillId="0" borderId="32" xfId="0" quotePrefix="1" applyFont="1" applyBorder="1" applyAlignment="1">
      <alignment vertical="center" wrapText="1"/>
    </xf>
    <xf numFmtId="43" fontId="51" fillId="0" borderId="32" xfId="0" quotePrefix="1" applyNumberFormat="1" applyFont="1" applyBorder="1" applyAlignment="1">
      <alignment vertical="center" wrapText="1"/>
    </xf>
    <xf numFmtId="0" fontId="7" fillId="0" borderId="32" xfId="0" quotePrefix="1" applyFont="1" applyBorder="1" applyAlignment="1">
      <alignment horizontal="left" vertical="top" wrapText="1"/>
    </xf>
    <xf numFmtId="0" fontId="8" fillId="9" borderId="229" xfId="0" applyFont="1" applyFill="1" applyBorder="1" applyAlignment="1">
      <alignment horizontal="center" vertical="center"/>
    </xf>
    <xf numFmtId="0" fontId="7" fillId="0" borderId="231" xfId="0" applyFont="1" applyBorder="1" applyAlignment="1">
      <alignment vertical="center"/>
    </xf>
    <xf numFmtId="0" fontId="7" fillId="6" borderId="231" xfId="0" applyFont="1" applyFill="1" applyBorder="1" applyAlignment="1">
      <alignment vertical="center"/>
    </xf>
    <xf numFmtId="0" fontId="7" fillId="6" borderId="234" xfId="0" applyFont="1" applyFill="1" applyBorder="1" applyAlignment="1">
      <alignment vertical="center"/>
    </xf>
    <xf numFmtId="3" fontId="7" fillId="6" borderId="235" xfId="0" applyNumberFormat="1" applyFont="1" applyFill="1" applyBorder="1" applyAlignment="1">
      <alignment horizontal="center" vertical="center"/>
    </xf>
    <xf numFmtId="168" fontId="7" fillId="6" borderId="236" xfId="6" applyNumberFormat="1" applyFont="1" applyFill="1" applyBorder="1" applyAlignment="1">
      <alignment horizontal="center" vertical="center"/>
    </xf>
    <xf numFmtId="0" fontId="7" fillId="6" borderId="235" xfId="0" applyFont="1" applyFill="1" applyBorder="1" applyAlignment="1">
      <alignment horizontal="center" vertical="center"/>
    </xf>
    <xf numFmtId="0" fontId="7" fillId="6" borderId="236" xfId="0" applyFont="1" applyFill="1" applyBorder="1" applyAlignment="1">
      <alignment horizontal="center" vertical="center"/>
    </xf>
    <xf numFmtId="168" fontId="7" fillId="6" borderId="237" xfId="6" applyNumberFormat="1" applyFont="1" applyFill="1" applyBorder="1" applyAlignment="1">
      <alignment horizontal="center" vertical="center"/>
    </xf>
    <xf numFmtId="2" fontId="59" fillId="0" borderId="33" xfId="0" applyNumberFormat="1" applyFont="1" applyBorder="1" applyAlignment="1">
      <alignment horizontal="center" vertical="center"/>
    </xf>
    <xf numFmtId="2" fontId="23" fillId="0" borderId="32" xfId="0" applyNumberFormat="1" applyFont="1" applyBorder="1" applyAlignment="1">
      <alignment horizontal="center" vertical="center"/>
    </xf>
    <xf numFmtId="0" fontId="23" fillId="0" borderId="239" xfId="0" applyFont="1" applyBorder="1" applyAlignment="1">
      <alignment horizontal="center" vertical="center"/>
    </xf>
    <xf numFmtId="0" fontId="23" fillId="0" borderId="242" xfId="0" applyFont="1" applyBorder="1" applyAlignment="1">
      <alignment horizontal="center" vertical="center"/>
    </xf>
    <xf numFmtId="2" fontId="23" fillId="0" borderId="240" xfId="0" applyNumberFormat="1" applyFont="1" applyBorder="1" applyAlignment="1">
      <alignment horizontal="center" vertical="center"/>
    </xf>
    <xf numFmtId="2" fontId="23" fillId="0" borderId="243" xfId="0" applyNumberFormat="1" applyFont="1" applyBorder="1" applyAlignment="1">
      <alignment horizontal="center" vertical="center"/>
    </xf>
    <xf numFmtId="2" fontId="23" fillId="0" borderId="170" xfId="0" applyNumberFormat="1" applyFont="1" applyBorder="1" applyAlignment="1">
      <alignment horizontal="center" vertical="center"/>
    </xf>
    <xf numFmtId="0" fontId="23" fillId="0" borderId="245" xfId="0" applyFont="1" applyBorder="1" applyAlignment="1">
      <alignment horizontal="center" vertical="center"/>
    </xf>
    <xf numFmtId="2" fontId="23" fillId="0" borderId="162" xfId="0" applyNumberFormat="1" applyFont="1" applyBorder="1" applyAlignment="1">
      <alignment horizontal="center" vertical="center"/>
    </xf>
    <xf numFmtId="2" fontId="23" fillId="0" borderId="246" xfId="0" applyNumberFormat="1" applyFont="1" applyBorder="1" applyAlignment="1">
      <alignment horizontal="center" vertical="center"/>
    </xf>
    <xf numFmtId="2" fontId="59" fillId="0" borderId="2" xfId="0" applyNumberFormat="1" applyFont="1" applyBorder="1" applyAlignment="1">
      <alignment horizontal="center" vertical="center"/>
    </xf>
    <xf numFmtId="2" fontId="59" fillId="0" borderId="32" xfId="0" applyNumberFormat="1" applyFont="1" applyBorder="1" applyAlignment="1">
      <alignment horizontal="center" vertical="center"/>
    </xf>
    <xf numFmtId="2" fontId="59" fillId="0" borderId="170" xfId="0" applyNumberFormat="1" applyFont="1" applyBorder="1" applyAlignment="1">
      <alignment horizontal="center" vertical="center"/>
    </xf>
    <xf numFmtId="0" fontId="19" fillId="9" borderId="2" xfId="0" applyFont="1" applyFill="1" applyBorder="1" applyAlignment="1">
      <alignment horizontal="center" vertical="center" wrapText="1"/>
    </xf>
    <xf numFmtId="0" fontId="2" fillId="0" borderId="2" xfId="0" applyFont="1" applyBorder="1" applyAlignment="1">
      <alignment horizontal="left" vertical="center" wrapText="1"/>
    </xf>
    <xf numFmtId="0" fontId="8" fillId="16" borderId="2" xfId="0" applyFont="1" applyFill="1" applyBorder="1" applyAlignment="1">
      <alignment horizontal="center" vertical="center" wrapText="1"/>
    </xf>
    <xf numFmtId="0" fontId="19" fillId="0" borderId="0" xfId="0" applyFont="1" applyAlignment="1">
      <alignment horizontal="center" vertical="center" wrapText="1"/>
    </xf>
    <xf numFmtId="2" fontId="7" fillId="0" borderId="2" xfId="0" applyNumberFormat="1" applyFont="1" applyBorder="1" applyAlignment="1">
      <alignment horizontal="center" vertical="center" wrapText="1"/>
    </xf>
    <xf numFmtId="0" fontId="7" fillId="0" borderId="250" xfId="0" applyFont="1" applyBorder="1" applyAlignment="1">
      <alignment horizontal="center" vertical="center" wrapText="1"/>
    </xf>
    <xf numFmtId="168" fontId="7" fillId="0" borderId="250" xfId="0" applyNumberFormat="1" applyFont="1" applyBorder="1" applyAlignment="1">
      <alignment horizontal="center" vertical="center" wrapText="1"/>
    </xf>
    <xf numFmtId="165" fontId="2" fillId="0" borderId="251" xfId="0" applyNumberFormat="1" applyFont="1" applyBorder="1"/>
    <xf numFmtId="0" fontId="7" fillId="0" borderId="0" xfId="14" applyFont="1"/>
    <xf numFmtId="0" fontId="24" fillId="0" borderId="0" xfId="14" applyFont="1" applyAlignment="1">
      <alignment vertical="center" wrapText="1"/>
    </xf>
    <xf numFmtId="165" fontId="24" fillId="0" borderId="0" xfId="14" applyNumberFormat="1" applyFont="1" applyAlignment="1">
      <alignment horizontal="left" vertical="center" wrapText="1"/>
    </xf>
    <xf numFmtId="0" fontId="24" fillId="0" borderId="0" xfId="14" applyFont="1" applyAlignment="1">
      <alignment vertical="center"/>
    </xf>
    <xf numFmtId="0" fontId="53" fillId="0" borderId="0" xfId="14" applyFont="1" applyAlignment="1">
      <alignment vertical="center" wrapText="1"/>
    </xf>
    <xf numFmtId="167" fontId="24" fillId="0" borderId="0" xfId="14" applyNumberFormat="1" applyFont="1" applyAlignment="1">
      <alignment horizontal="left" vertical="center" wrapText="1"/>
    </xf>
    <xf numFmtId="0" fontId="53" fillId="0" borderId="0" xfId="14" applyFont="1" applyAlignment="1">
      <alignment vertical="center"/>
    </xf>
    <xf numFmtId="0" fontId="24" fillId="0" borderId="0" xfId="14" applyFont="1" applyAlignment="1">
      <alignment horizontal="left" vertical="center" wrapText="1"/>
    </xf>
    <xf numFmtId="172" fontId="24" fillId="0" borderId="0" xfId="14" applyNumberFormat="1" applyFont="1" applyAlignment="1">
      <alignment horizontal="left" vertical="center" wrapText="1"/>
    </xf>
    <xf numFmtId="0" fontId="7" fillId="0" borderId="0" xfId="14" applyFont="1" applyAlignment="1">
      <alignment horizontal="left"/>
    </xf>
    <xf numFmtId="0" fontId="44" fillId="0" borderId="0" xfId="14"/>
    <xf numFmtId="0" fontId="7" fillId="0" borderId="0" xfId="14" applyFont="1" applyAlignment="1">
      <alignment wrapText="1"/>
    </xf>
    <xf numFmtId="0" fontId="44" fillId="0" borderId="0" xfId="14" applyAlignment="1">
      <alignment horizontal="left" vertical="center"/>
    </xf>
    <xf numFmtId="0" fontId="7" fillId="0" borderId="0" xfId="14" applyFont="1" applyAlignment="1">
      <alignment horizontal="left" vertical="center"/>
    </xf>
    <xf numFmtId="0" fontId="7" fillId="0" borderId="0" xfId="0" applyFont="1" applyAlignment="1">
      <alignment horizontal="left"/>
    </xf>
    <xf numFmtId="0" fontId="61" fillId="24" borderId="32" xfId="0" applyFont="1" applyFill="1" applyBorder="1" applyAlignment="1">
      <alignment horizontal="center" vertical="center" wrapText="1"/>
    </xf>
    <xf numFmtId="2" fontId="62" fillId="0" borderId="32" xfId="0" applyNumberFormat="1" applyFont="1" applyBorder="1" applyAlignment="1">
      <alignment horizontal="center" vertical="center" wrapText="1"/>
    </xf>
    <xf numFmtId="0" fontId="8" fillId="0" borderId="202" xfId="0" applyFont="1" applyBorder="1" applyAlignment="1">
      <alignment horizontal="center" vertical="center"/>
    </xf>
    <xf numFmtId="0" fontId="24" fillId="0" borderId="32" xfId="0" applyFont="1" applyBorder="1" applyAlignment="1">
      <alignment horizontal="center" vertical="center"/>
    </xf>
    <xf numFmtId="0" fontId="7" fillId="0" borderId="0" xfId="0" applyFont="1" applyAlignment="1">
      <alignment horizontal="center" vertical="center" wrapText="1"/>
    </xf>
    <xf numFmtId="1" fontId="59" fillId="0" borderId="191" xfId="0" applyNumberFormat="1" applyFont="1" applyBorder="1" applyAlignment="1">
      <alignment horizontal="center" vertical="center"/>
    </xf>
    <xf numFmtId="1" fontId="59" fillId="0" borderId="168" xfId="0" applyNumberFormat="1" applyFont="1" applyBorder="1" applyAlignment="1">
      <alignment horizontal="center" vertical="center"/>
    </xf>
    <xf numFmtId="1" fontId="59" fillId="0" borderId="32" xfId="0" applyNumberFormat="1" applyFont="1" applyBorder="1" applyAlignment="1">
      <alignment horizontal="center" vertical="center"/>
    </xf>
    <xf numFmtId="1" fontId="59" fillId="0" borderId="170" xfId="0" applyNumberFormat="1" applyFont="1" applyBorder="1" applyAlignment="1">
      <alignment horizontal="center" vertical="center"/>
    </xf>
    <xf numFmtId="1" fontId="59" fillId="0" borderId="195" xfId="0" applyNumberFormat="1" applyFont="1" applyBorder="1" applyAlignment="1">
      <alignment horizontal="center" vertical="center"/>
    </xf>
    <xf numFmtId="1" fontId="59" fillId="0" borderId="197" xfId="0" applyNumberFormat="1" applyFont="1" applyBorder="1" applyAlignment="1">
      <alignment horizontal="center" vertical="center"/>
    </xf>
    <xf numFmtId="1" fontId="59" fillId="0" borderId="171" xfId="0" applyNumberFormat="1" applyFont="1" applyBorder="1" applyAlignment="1">
      <alignment horizontal="center" vertical="center"/>
    </xf>
    <xf numFmtId="1" fontId="59" fillId="0" borderId="173" xfId="0" applyNumberFormat="1" applyFont="1" applyBorder="1" applyAlignment="1">
      <alignment horizontal="center" vertical="center"/>
    </xf>
    <xf numFmtId="2" fontId="63" fillId="0" borderId="2" xfId="0" applyNumberFormat="1" applyFont="1" applyBorder="1" applyAlignment="1">
      <alignment horizontal="center" vertical="center"/>
    </xf>
    <xf numFmtId="2" fontId="59" fillId="0" borderId="77" xfId="0" applyNumberFormat="1" applyFont="1" applyBorder="1" applyAlignment="1">
      <alignment horizontal="center" vertical="center"/>
    </xf>
    <xf numFmtId="2" fontId="59" fillId="0" borderId="258" xfId="0" applyNumberFormat="1" applyFont="1" applyBorder="1" applyAlignment="1">
      <alignment horizontal="center" vertical="center"/>
    </xf>
    <xf numFmtId="2" fontId="59" fillId="0" borderId="162" xfId="0" applyNumberFormat="1" applyFont="1" applyBorder="1" applyAlignment="1">
      <alignment horizontal="center" vertical="center"/>
    </xf>
    <xf numFmtId="2" fontId="59" fillId="0" borderId="246" xfId="0" applyNumberFormat="1" applyFont="1" applyBorder="1" applyAlignment="1">
      <alignment horizontal="center" vertical="center"/>
    </xf>
    <xf numFmtId="2" fontId="59" fillId="0" borderId="260" xfId="0" applyNumberFormat="1" applyFont="1" applyBorder="1" applyAlignment="1">
      <alignment horizontal="center" vertical="center"/>
    </xf>
    <xf numFmtId="164" fontId="24" fillId="0" borderId="170" xfId="2" applyNumberFormat="1" applyFont="1" applyBorder="1" applyAlignment="1">
      <alignment horizontal="center" vertical="center" wrapText="1"/>
    </xf>
    <xf numFmtId="164" fontId="7" fillId="0" borderId="0" xfId="2" applyNumberFormat="1" applyFont="1" applyFill="1" applyBorder="1" applyAlignment="1">
      <alignment horizontal="center" vertical="center"/>
    </xf>
    <xf numFmtId="0" fontId="51" fillId="0" borderId="0" xfId="0" applyFont="1" applyAlignment="1">
      <alignment wrapText="1"/>
    </xf>
    <xf numFmtId="0" fontId="16" fillId="0" borderId="0" xfId="5" applyFont="1" applyAlignment="1"/>
    <xf numFmtId="0" fontId="51" fillId="0" borderId="0" xfId="0" applyFont="1"/>
    <xf numFmtId="164" fontId="7" fillId="0" borderId="0" xfId="0" applyNumberFormat="1" applyFont="1" applyAlignment="1">
      <alignment horizontal="center" vertical="center"/>
    </xf>
    <xf numFmtId="10" fontId="7" fillId="0" borderId="0" xfId="0" applyNumberFormat="1" applyFont="1" applyAlignment="1">
      <alignment horizontal="center" vertical="center" wrapText="1"/>
    </xf>
    <xf numFmtId="0" fontId="23" fillId="5" borderId="24" xfId="0" applyFont="1" applyFill="1" applyBorder="1" applyAlignment="1">
      <alignment horizontal="center" vertical="center" wrapText="1"/>
    </xf>
    <xf numFmtId="0" fontId="51" fillId="0" borderId="0" xfId="0" applyFont="1" applyAlignment="1">
      <alignment horizontal="left" vertical="center" wrapText="1"/>
    </xf>
    <xf numFmtId="0" fontId="32" fillId="5" borderId="0" xfId="0" applyFont="1" applyFill="1"/>
    <xf numFmtId="0" fontId="33" fillId="6" borderId="262" xfId="0" applyFont="1" applyFill="1" applyBorder="1" applyAlignment="1">
      <alignment horizontal="center" vertical="center" wrapText="1"/>
    </xf>
    <xf numFmtId="3" fontId="23" fillId="0" borderId="262" xfId="0" applyNumberFormat="1" applyFont="1" applyBorder="1" applyAlignment="1">
      <alignment horizontal="center" vertical="center" wrapText="1"/>
    </xf>
    <xf numFmtId="0" fontId="23" fillId="5" borderId="262" xfId="0" applyFont="1" applyFill="1" applyBorder="1" applyAlignment="1">
      <alignment horizontal="center" vertical="center" wrapText="1"/>
    </xf>
    <xf numFmtId="0" fontId="27" fillId="5" borderId="262" xfId="0" applyFont="1" applyFill="1" applyBorder="1" applyAlignment="1">
      <alignment horizontal="center" vertical="center" wrapText="1"/>
    </xf>
    <xf numFmtId="3" fontId="2" fillId="0" borderId="2" xfId="7" applyNumberFormat="1" applyFont="1" applyBorder="1" applyAlignment="1">
      <alignment horizontal="center" vertical="center"/>
    </xf>
    <xf numFmtId="3" fontId="2" fillId="6" borderId="2" xfId="7" applyNumberFormat="1" applyFont="1" applyFill="1" applyBorder="1" applyAlignment="1">
      <alignment horizontal="center" vertical="center"/>
    </xf>
    <xf numFmtId="0" fontId="60" fillId="9" borderId="15" xfId="0" applyFont="1" applyFill="1" applyBorder="1" applyAlignment="1">
      <alignment horizontal="center" vertical="center" wrapText="1"/>
    </xf>
    <xf numFmtId="0" fontId="51" fillId="0" borderId="54" xfId="0" applyFont="1" applyBorder="1" applyAlignment="1">
      <alignment horizontal="center" vertical="center"/>
    </xf>
    <xf numFmtId="0" fontId="51" fillId="0" borderId="54" xfId="0" applyFont="1" applyBorder="1" applyAlignment="1">
      <alignment horizontal="center" vertical="center" wrapText="1"/>
    </xf>
    <xf numFmtId="0" fontId="51" fillId="0" borderId="24" xfId="0" applyFont="1" applyBorder="1" applyAlignment="1">
      <alignment horizontal="center" vertical="center" wrapText="1"/>
    </xf>
    <xf numFmtId="0" fontId="60" fillId="9" borderId="32" xfId="0" applyFont="1" applyFill="1" applyBorder="1" applyAlignment="1">
      <alignment horizontal="center" vertical="center" wrapText="1"/>
    </xf>
    <xf numFmtId="0" fontId="51" fillId="0" borderId="55" xfId="0" applyFont="1" applyBorder="1" applyAlignment="1">
      <alignment horizontal="center" vertical="center" wrapText="1"/>
    </xf>
    <xf numFmtId="0" fontId="60" fillId="9" borderId="230" xfId="0" applyFont="1" applyFill="1" applyBorder="1" applyAlignment="1">
      <alignment horizontal="center" vertical="center" indent="1"/>
    </xf>
    <xf numFmtId="0" fontId="55" fillId="0" borderId="232" xfId="0" applyFont="1" applyBorder="1" applyAlignment="1">
      <alignment horizontal="center" vertical="center" indent="1"/>
    </xf>
    <xf numFmtId="0" fontId="55" fillId="0" borderId="233" xfId="0" applyFont="1" applyBorder="1" applyAlignment="1">
      <alignment horizontal="center" vertical="center" indent="1"/>
    </xf>
    <xf numFmtId="0" fontId="55" fillId="0" borderId="233" xfId="0" applyFont="1" applyBorder="1" applyAlignment="1">
      <alignment horizontal="center" vertical="center" wrapText="1" indent="1"/>
    </xf>
    <xf numFmtId="1" fontId="62" fillId="0" borderId="233" xfId="0" applyNumberFormat="1" applyFont="1" applyBorder="1" applyAlignment="1">
      <alignment horizontal="center" vertical="center" indent="1"/>
    </xf>
    <xf numFmtId="0" fontId="55" fillId="0" borderId="238" xfId="0" applyFont="1" applyBorder="1" applyAlignment="1">
      <alignment horizontal="center" vertical="center" indent="1"/>
    </xf>
    <xf numFmtId="0" fontId="51" fillId="0" borderId="14" xfId="0" applyFont="1" applyBorder="1" applyAlignment="1">
      <alignment vertical="center" wrapText="1"/>
    </xf>
    <xf numFmtId="0" fontId="51" fillId="0" borderId="2" xfId="0" applyFont="1" applyBorder="1" applyAlignment="1">
      <alignment vertical="center" wrapText="1"/>
    </xf>
    <xf numFmtId="3" fontId="51" fillId="0" borderId="2" xfId="0" applyNumberFormat="1" applyFont="1" applyBorder="1" applyAlignment="1">
      <alignment horizontal="center" vertical="center" wrapText="1"/>
    </xf>
    <xf numFmtId="168" fontId="51" fillId="0" borderId="2" xfId="0" applyNumberFormat="1" applyFont="1" applyBorder="1" applyAlignment="1">
      <alignment horizontal="center" vertical="center" wrapText="1"/>
    </xf>
    <xf numFmtId="0" fontId="51" fillId="0" borderId="2" xfId="0" applyFont="1" applyBorder="1" applyAlignment="1">
      <alignment horizontal="center" vertical="center" wrapText="1"/>
    </xf>
    <xf numFmtId="0" fontId="65" fillId="0" borderId="0" xfId="5" applyFont="1" applyAlignment="1">
      <alignment vertical="center"/>
    </xf>
    <xf numFmtId="0" fontId="60" fillId="0" borderId="168" xfId="0" applyFont="1" applyBorder="1" applyAlignment="1">
      <alignment horizontal="center" vertical="center"/>
    </xf>
    <xf numFmtId="164" fontId="51" fillId="0" borderId="170" xfId="0" applyNumberFormat="1" applyFont="1" applyBorder="1" applyAlignment="1">
      <alignment horizontal="center" vertical="center"/>
    </xf>
    <xf numFmtId="164" fontId="51" fillId="0" borderId="197" xfId="0" applyNumberFormat="1" applyFont="1" applyBorder="1" applyAlignment="1">
      <alignment horizontal="center" vertical="center"/>
    </xf>
    <xf numFmtId="9" fontId="60" fillId="0" borderId="173" xfId="0" applyNumberFormat="1" applyFont="1" applyBorder="1" applyAlignment="1">
      <alignment horizontal="center" vertical="center"/>
    </xf>
    <xf numFmtId="0" fontId="51" fillId="0" borderId="32" xfId="0" quotePrefix="1" applyFont="1" applyBorder="1" applyAlignment="1">
      <alignment horizontal="left" vertical="top" wrapText="1"/>
    </xf>
    <xf numFmtId="0" fontId="51" fillId="6" borderId="28" xfId="0" applyFont="1" applyFill="1" applyBorder="1" applyAlignment="1">
      <alignment horizontal="center" vertical="center"/>
    </xf>
    <xf numFmtId="0" fontId="51" fillId="0" borderId="28" xfId="0" applyFont="1" applyBorder="1" applyAlignment="1">
      <alignment horizontal="center" vertical="center"/>
    </xf>
    <xf numFmtId="0" fontId="47" fillId="20" borderId="250" xfId="0" applyFont="1" applyFill="1" applyBorder="1" applyAlignment="1">
      <alignment horizontal="left" vertical="center"/>
    </xf>
    <xf numFmtId="0" fontId="7" fillId="5" borderId="115" xfId="0" applyFont="1" applyFill="1" applyBorder="1"/>
    <xf numFmtId="0" fontId="51" fillId="0" borderId="0" xfId="0" applyFont="1" applyAlignment="1">
      <alignment vertical="center"/>
    </xf>
    <xf numFmtId="0" fontId="8" fillId="0" borderId="16" xfId="0" applyFont="1" applyBorder="1" applyAlignment="1">
      <alignment vertical="center"/>
    </xf>
    <xf numFmtId="0" fontId="8" fillId="0" borderId="17" xfId="0" applyFont="1" applyBorder="1" applyAlignment="1">
      <alignment vertical="center"/>
    </xf>
    <xf numFmtId="0" fontId="8" fillId="5" borderId="257" xfId="0" applyFont="1" applyFill="1" applyBorder="1" applyAlignment="1">
      <alignment vertical="center"/>
    </xf>
    <xf numFmtId="0" fontId="7" fillId="5" borderId="19" xfId="0" applyFont="1" applyFill="1" applyBorder="1" applyAlignment="1">
      <alignment vertical="center"/>
    </xf>
    <xf numFmtId="0" fontId="7" fillId="5" borderId="23" xfId="0" applyFont="1" applyFill="1" applyBorder="1" applyAlignment="1">
      <alignment vertical="center"/>
    </xf>
    <xf numFmtId="0" fontId="66" fillId="0" borderId="0" xfId="0" applyFont="1" applyAlignment="1">
      <alignment vertical="center"/>
    </xf>
    <xf numFmtId="0" fontId="60" fillId="0" borderId="0" xfId="0" applyFont="1" applyAlignment="1">
      <alignment vertical="center"/>
    </xf>
    <xf numFmtId="0" fontId="51" fillId="5" borderId="223" xfId="0" applyFont="1" applyFill="1" applyBorder="1" applyAlignment="1">
      <alignment vertical="center"/>
    </xf>
    <xf numFmtId="0" fontId="51" fillId="5" borderId="16" xfId="0" applyFont="1" applyFill="1" applyBorder="1" applyAlignment="1">
      <alignment vertical="center"/>
    </xf>
    <xf numFmtId="0" fontId="67" fillId="5" borderId="19" xfId="0" applyFont="1" applyFill="1" applyBorder="1" applyAlignment="1">
      <alignment vertical="center"/>
    </xf>
    <xf numFmtId="0" fontId="67" fillId="5" borderId="0" xfId="0" applyFont="1" applyFill="1" applyAlignment="1">
      <alignment vertical="center"/>
    </xf>
    <xf numFmtId="0" fontId="60" fillId="5" borderId="0" xfId="0" applyFont="1" applyFill="1" applyAlignment="1">
      <alignment vertical="center"/>
    </xf>
    <xf numFmtId="0" fontId="51" fillId="5" borderId="0" xfId="0" applyFont="1" applyFill="1" applyAlignment="1">
      <alignment vertical="center"/>
    </xf>
    <xf numFmtId="0" fontId="60" fillId="5" borderId="19" xfId="0" applyFont="1" applyFill="1" applyBorder="1" applyAlignment="1">
      <alignment vertical="center"/>
    </xf>
    <xf numFmtId="0" fontId="51" fillId="5" borderId="19" xfId="0" applyFont="1" applyFill="1" applyBorder="1" applyAlignment="1">
      <alignment vertical="center"/>
    </xf>
    <xf numFmtId="0" fontId="51" fillId="0" borderId="0" xfId="0" applyFont="1" applyAlignment="1">
      <alignment vertical="center" wrapText="1"/>
    </xf>
    <xf numFmtId="43" fontId="51" fillId="0" borderId="32" xfId="0" applyNumberFormat="1" applyFont="1" applyBorder="1" applyAlignment="1">
      <alignment horizontal="left" vertical="center"/>
    </xf>
    <xf numFmtId="10" fontId="51" fillId="0" borderId="32" xfId="2" applyNumberFormat="1" applyFont="1" applyBorder="1" applyAlignment="1">
      <alignment horizontal="left" vertical="center" wrapText="1"/>
    </xf>
    <xf numFmtId="43" fontId="60" fillId="0" borderId="2" xfId="6" applyFont="1" applyBorder="1" applyAlignment="1">
      <alignment horizontal="center" vertical="center"/>
    </xf>
    <xf numFmtId="0" fontId="60" fillId="24" borderId="55" xfId="14" applyFont="1" applyFill="1" applyBorder="1" applyAlignment="1">
      <alignment horizontal="center" vertical="center" wrapText="1"/>
    </xf>
    <xf numFmtId="0" fontId="51" fillId="0" borderId="55" xfId="14" applyFont="1" applyBorder="1" applyAlignment="1">
      <alignment horizontal="center" vertical="center" wrapText="1"/>
    </xf>
    <xf numFmtId="165" fontId="51" fillId="26" borderId="55" xfId="14" applyNumberFormat="1" applyFont="1" applyFill="1" applyBorder="1" applyAlignment="1">
      <alignment horizontal="center" vertical="center" wrapText="1"/>
    </xf>
    <xf numFmtId="3" fontId="51" fillId="0" borderId="55" xfId="14" applyNumberFormat="1" applyFont="1" applyBorder="1" applyAlignment="1">
      <alignment horizontal="center" vertical="center" wrapText="1"/>
    </xf>
    <xf numFmtId="2" fontId="51" fillId="27" borderId="63" xfId="14" applyNumberFormat="1" applyFont="1" applyFill="1" applyBorder="1" applyAlignment="1">
      <alignment horizontal="center" vertical="center" wrapText="1"/>
    </xf>
    <xf numFmtId="3" fontId="51" fillId="0" borderId="254" xfId="14" applyNumberFormat="1" applyFont="1" applyBorder="1" applyAlignment="1">
      <alignment horizontal="center" vertical="center" wrapText="1"/>
    </xf>
    <xf numFmtId="0" fontId="60" fillId="6" borderId="196" xfId="14" applyFont="1" applyFill="1" applyBorder="1" applyAlignment="1">
      <alignment vertical="center" wrapText="1"/>
    </xf>
    <xf numFmtId="0" fontId="68" fillId="6" borderId="256" xfId="14" applyFont="1" applyFill="1" applyBorder="1" applyAlignment="1">
      <alignment vertical="center" wrapText="1"/>
    </xf>
    <xf numFmtId="0" fontId="68" fillId="28" borderId="223" xfId="14" applyFont="1" applyFill="1" applyBorder="1" applyAlignment="1">
      <alignment vertical="center" wrapText="1"/>
    </xf>
    <xf numFmtId="0" fontId="68" fillId="28" borderId="16" xfId="14" applyFont="1" applyFill="1" applyBorder="1" applyAlignment="1">
      <alignment vertical="center" wrapText="1"/>
    </xf>
    <xf numFmtId="0" fontId="60" fillId="28" borderId="16" xfId="14" applyFont="1" applyFill="1" applyBorder="1" applyAlignment="1">
      <alignment vertical="center" wrapText="1"/>
    </xf>
    <xf numFmtId="0" fontId="68" fillId="28" borderId="16" xfId="14" applyFont="1" applyFill="1" applyBorder="1" applyAlignment="1">
      <alignment horizontal="left" vertical="center" wrapText="1"/>
    </xf>
    <xf numFmtId="0" fontId="68" fillId="28" borderId="17" xfId="14" applyFont="1" applyFill="1" applyBorder="1" applyAlignment="1">
      <alignment vertical="center" wrapText="1"/>
    </xf>
    <xf numFmtId="37" fontId="51" fillId="29" borderId="223" xfId="6" applyNumberFormat="1" applyFont="1" applyFill="1" applyBorder="1" applyAlignment="1">
      <alignment horizontal="left" vertical="center"/>
    </xf>
    <xf numFmtId="0" fontId="55" fillId="10" borderId="17" xfId="14" applyFont="1" applyFill="1" applyBorder="1" applyAlignment="1">
      <alignment horizontal="left" vertical="center"/>
    </xf>
    <xf numFmtId="0" fontId="51" fillId="29" borderId="223" xfId="14" applyFont="1" applyFill="1" applyBorder="1" applyAlignment="1">
      <alignment horizontal="left" vertical="center"/>
    </xf>
    <xf numFmtId="3" fontId="51" fillId="29" borderId="16" xfId="6" applyNumberFormat="1" applyFont="1" applyFill="1" applyBorder="1" applyAlignment="1">
      <alignment horizontal="left" vertical="center"/>
    </xf>
    <xf numFmtId="0" fontId="51" fillId="29" borderId="16" xfId="14" applyFont="1" applyFill="1" applyBorder="1" applyAlignment="1">
      <alignment horizontal="left" vertical="center"/>
    </xf>
    <xf numFmtId="37" fontId="51" fillId="29" borderId="19" xfId="6" applyNumberFormat="1" applyFont="1" applyFill="1" applyBorder="1" applyAlignment="1">
      <alignment horizontal="left" vertical="center"/>
    </xf>
    <xf numFmtId="0" fontId="55" fillId="10" borderId="257" xfId="14" applyFont="1" applyFill="1" applyBorder="1" applyAlignment="1">
      <alignment horizontal="left" vertical="center"/>
    </xf>
    <xf numFmtId="0" fontId="51" fillId="29" borderId="19" xfId="14" applyFont="1" applyFill="1" applyBorder="1" applyAlignment="1">
      <alignment horizontal="left" vertical="center"/>
    </xf>
    <xf numFmtId="3" fontId="51" fillId="29" borderId="0" xfId="6" applyNumberFormat="1" applyFont="1" applyFill="1" applyBorder="1" applyAlignment="1">
      <alignment horizontal="left" vertical="center"/>
    </xf>
    <xf numFmtId="0" fontId="51" fillId="10" borderId="257" xfId="14" applyFont="1" applyFill="1" applyBorder="1" applyAlignment="1">
      <alignment horizontal="left" vertical="center"/>
    </xf>
    <xf numFmtId="37" fontId="51" fillId="29" borderId="21" xfId="6" applyNumberFormat="1" applyFont="1" applyFill="1" applyBorder="1" applyAlignment="1">
      <alignment horizontal="left" vertical="center"/>
    </xf>
    <xf numFmtId="0" fontId="51" fillId="10" borderId="23" xfId="14" applyFont="1" applyFill="1" applyBorder="1" applyAlignment="1">
      <alignment horizontal="left" vertical="center"/>
    </xf>
    <xf numFmtId="0" fontId="59" fillId="0" borderId="98" xfId="0" applyFont="1" applyBorder="1" applyAlignment="1">
      <alignment horizontal="center" vertical="center"/>
    </xf>
    <xf numFmtId="0" fontId="59" fillId="0" borderId="86" xfId="0" applyFont="1" applyBorder="1" applyAlignment="1">
      <alignment horizontal="center" vertical="center"/>
    </xf>
    <xf numFmtId="0" fontId="59" fillId="0" borderId="94" xfId="0" applyFont="1" applyBorder="1" applyAlignment="1">
      <alignment horizontal="center" vertical="center"/>
    </xf>
    <xf numFmtId="0" fontId="59" fillId="0" borderId="85" xfId="0" applyFont="1" applyBorder="1" applyAlignment="1">
      <alignment horizontal="center" vertical="center"/>
    </xf>
    <xf numFmtId="0" fontId="59" fillId="0" borderId="87" xfId="0" applyFont="1" applyBorder="1" applyAlignment="1">
      <alignment horizontal="center" vertical="center"/>
    </xf>
    <xf numFmtId="2" fontId="59" fillId="0" borderId="1" xfId="0" applyNumberFormat="1" applyFont="1" applyBorder="1" applyAlignment="1">
      <alignment horizontal="center" vertical="center"/>
    </xf>
    <xf numFmtId="2" fontId="59" fillId="0" borderId="15" xfId="0" applyNumberFormat="1" applyFont="1" applyBorder="1" applyAlignment="1">
      <alignment horizontal="center" vertical="center"/>
    </xf>
    <xf numFmtId="2" fontId="59" fillId="0" borderId="20" xfId="0" applyNumberFormat="1" applyFont="1" applyBorder="1" applyAlignment="1">
      <alignment horizontal="center" vertical="center"/>
    </xf>
    <xf numFmtId="2" fontId="59" fillId="0" borderId="99" xfId="0" applyNumberFormat="1" applyFont="1" applyBorder="1" applyAlignment="1">
      <alignment horizontal="center" vertical="center"/>
    </xf>
    <xf numFmtId="0" fontId="59" fillId="0" borderId="259" xfId="0" applyFont="1" applyBorder="1" applyAlignment="1">
      <alignment horizontal="center" vertical="center"/>
    </xf>
    <xf numFmtId="0" fontId="59" fillId="0" borderId="75" xfId="0" applyFont="1" applyBorder="1" applyAlignment="1">
      <alignment horizontal="center" vertical="center"/>
    </xf>
    <xf numFmtId="0" fontId="59" fillId="0" borderId="14" xfId="0" applyFont="1" applyBorder="1" applyAlignment="1">
      <alignment horizontal="center" vertical="center"/>
    </xf>
    <xf numFmtId="0" fontId="59" fillId="0" borderId="17" xfId="0" applyFont="1" applyBorder="1" applyAlignment="1">
      <alignment horizontal="center" vertical="center"/>
    </xf>
    <xf numFmtId="0" fontId="59" fillId="0" borderId="117" xfId="0" applyFont="1" applyBorder="1" applyAlignment="1">
      <alignment horizontal="center" vertical="center"/>
    </xf>
    <xf numFmtId="0" fontId="59" fillId="0" borderId="121" xfId="0" applyFont="1" applyBorder="1" applyAlignment="1">
      <alignment horizontal="center" vertical="center"/>
    </xf>
    <xf numFmtId="2" fontId="59" fillId="0" borderId="134" xfId="0" applyNumberFormat="1" applyFont="1" applyBorder="1" applyAlignment="1">
      <alignment horizontal="center" vertical="center"/>
    </xf>
    <xf numFmtId="2" fontId="59" fillId="0" borderId="5" xfId="0" applyNumberFormat="1" applyFont="1" applyBorder="1" applyAlignment="1">
      <alignment horizontal="center" vertical="center"/>
    </xf>
    <xf numFmtId="2" fontId="59" fillId="0" borderId="83" xfId="0" applyNumberFormat="1" applyFont="1" applyBorder="1" applyAlignment="1">
      <alignment horizontal="center" vertical="center"/>
    </xf>
    <xf numFmtId="2" fontId="59" fillId="0" borderId="7" xfId="0" applyNumberFormat="1" applyFont="1" applyBorder="1" applyAlignment="1">
      <alignment horizontal="center" vertical="center"/>
    </xf>
    <xf numFmtId="2" fontId="59" fillId="0" borderId="9" xfId="0" applyNumberFormat="1" applyFont="1" applyBorder="1" applyAlignment="1">
      <alignment horizontal="center" vertical="center"/>
    </xf>
    <xf numFmtId="2" fontId="59" fillId="0" borderId="261" xfId="0" applyNumberFormat="1" applyFont="1" applyBorder="1" applyAlignment="1">
      <alignment horizontal="center" vertical="center"/>
    </xf>
    <xf numFmtId="0" fontId="51" fillId="0" borderId="54" xfId="0" applyFont="1" applyBorder="1"/>
    <xf numFmtId="2" fontId="60" fillId="0" borderId="2" xfId="0" applyNumberFormat="1" applyFont="1" applyBorder="1" applyAlignment="1">
      <alignment horizontal="center" vertical="center" wrapText="1"/>
    </xf>
    <xf numFmtId="43" fontId="7" fillId="0" borderId="3" xfId="6" applyFont="1" applyBorder="1" applyAlignment="1">
      <alignment horizontal="center" vertical="center"/>
    </xf>
    <xf numFmtId="0" fontId="69" fillId="30" borderId="266" xfId="0" applyFont="1" applyFill="1" applyBorder="1" applyAlignment="1">
      <alignment horizontal="left" vertical="center" wrapText="1"/>
    </xf>
    <xf numFmtId="0" fontId="69" fillId="30" borderId="0" xfId="0" applyFont="1" applyFill="1" applyAlignment="1">
      <alignment horizontal="left" vertical="center" wrapText="1"/>
    </xf>
    <xf numFmtId="0" fontId="69" fillId="30" borderId="267" xfId="0" applyFont="1" applyFill="1" applyBorder="1" applyAlignment="1">
      <alignment horizontal="left" vertical="center" wrapText="1"/>
    </xf>
    <xf numFmtId="0" fontId="70" fillId="6" borderId="270" xfId="0" applyFont="1" applyFill="1" applyBorder="1" applyAlignment="1">
      <alignment horizontal="left" vertical="top"/>
    </xf>
    <xf numFmtId="0" fontId="70" fillId="6" borderId="271" xfId="0" applyFont="1" applyFill="1" applyBorder="1" applyAlignment="1">
      <alignment horizontal="left" vertical="top"/>
    </xf>
    <xf numFmtId="0" fontId="70" fillId="6" borderId="272" xfId="0" applyFont="1" applyFill="1" applyBorder="1" applyAlignment="1">
      <alignment horizontal="left" vertical="top"/>
    </xf>
    <xf numFmtId="0" fontId="69" fillId="30" borderId="270" xfId="0" applyFont="1" applyFill="1" applyBorder="1" applyAlignment="1">
      <alignment horizontal="left" vertical="center" wrapText="1"/>
    </xf>
    <xf numFmtId="0" fontId="69" fillId="30" borderId="271" xfId="0" applyFont="1" applyFill="1" applyBorder="1" applyAlignment="1">
      <alignment horizontal="left" vertical="top" wrapText="1"/>
    </xf>
    <xf numFmtId="0" fontId="69" fillId="30" borderId="272" xfId="0" applyFont="1" applyFill="1" applyBorder="1" applyAlignment="1">
      <alignment horizontal="left" vertical="center" wrapText="1"/>
    </xf>
    <xf numFmtId="3" fontId="62" fillId="0" borderId="0" xfId="0" applyNumberFormat="1" applyFont="1"/>
    <xf numFmtId="172" fontId="62" fillId="0" borderId="0" xfId="0" applyNumberFormat="1" applyFont="1"/>
    <xf numFmtId="0" fontId="51" fillId="29" borderId="273" xfId="14" applyFont="1" applyFill="1" applyBorder="1" applyAlignment="1">
      <alignment horizontal="left" vertical="center"/>
    </xf>
    <xf numFmtId="0" fontId="51" fillId="29" borderId="0" xfId="14" applyFont="1" applyFill="1" applyAlignment="1">
      <alignment horizontal="left" vertical="center"/>
    </xf>
    <xf numFmtId="0" fontId="51" fillId="29" borderId="267" xfId="14" applyFont="1" applyFill="1" applyBorder="1" applyAlignment="1">
      <alignment horizontal="left" vertical="center"/>
    </xf>
    <xf numFmtId="0" fontId="51" fillId="29" borderId="274" xfId="14" applyFont="1" applyFill="1" applyBorder="1" applyAlignment="1">
      <alignment horizontal="left" vertical="center"/>
    </xf>
    <xf numFmtId="0" fontId="51" fillId="29" borderId="268" xfId="14" applyFont="1" applyFill="1" applyBorder="1" applyAlignment="1">
      <alignment horizontal="left" vertical="center"/>
    </xf>
    <xf numFmtId="0" fontId="51" fillId="29" borderId="269" xfId="14" applyFont="1" applyFill="1" applyBorder="1" applyAlignment="1">
      <alignment horizontal="left" vertical="center"/>
    </xf>
    <xf numFmtId="0" fontId="71" fillId="0" borderId="0" xfId="5" applyFont="1" applyAlignment="1">
      <alignment horizontal="left" vertical="top"/>
    </xf>
    <xf numFmtId="0" fontId="60" fillId="24" borderId="223" xfId="14" applyFont="1" applyFill="1" applyBorder="1" applyAlignment="1">
      <alignment vertical="center" wrapText="1"/>
    </xf>
    <xf numFmtId="43" fontId="60" fillId="0" borderId="0" xfId="6" applyFont="1" applyBorder="1" applyAlignment="1">
      <alignment horizontal="center" vertical="center"/>
    </xf>
    <xf numFmtId="2" fontId="60" fillId="0" borderId="0" xfId="0" applyNumberFormat="1" applyFont="1" applyAlignment="1">
      <alignment horizontal="center" vertical="center" wrapText="1"/>
    </xf>
    <xf numFmtId="43" fontId="7" fillId="0" borderId="0" xfId="6" applyFont="1" applyBorder="1" applyAlignment="1">
      <alignment horizontal="center" vertical="center"/>
    </xf>
    <xf numFmtId="43" fontId="51" fillId="0" borderId="0" xfId="6" applyFont="1" applyBorder="1" applyAlignment="1">
      <alignment horizontal="center" vertical="center" wrapText="1"/>
    </xf>
    <xf numFmtId="0" fontId="62" fillId="0" borderId="0" xfId="0" applyFont="1" applyAlignment="1">
      <alignment horizontal="left"/>
    </xf>
    <xf numFmtId="165" fontId="62" fillId="0" borderId="0" xfId="0" applyNumberFormat="1" applyFont="1" applyAlignment="1">
      <alignment horizontal="left"/>
    </xf>
    <xf numFmtId="0" fontId="51" fillId="0" borderId="2" xfId="0" applyFont="1" applyBorder="1" applyAlignment="1">
      <alignment vertical="center"/>
    </xf>
    <xf numFmtId="0" fontId="72" fillId="0" borderId="0" xfId="0" applyFont="1"/>
    <xf numFmtId="0" fontId="73" fillId="0" borderId="0" xfId="0" applyFont="1"/>
    <xf numFmtId="0" fontId="74" fillId="0" borderId="0" xfId="0" applyFont="1"/>
    <xf numFmtId="0" fontId="51" fillId="0" borderId="0" xfId="14" applyFont="1"/>
    <xf numFmtId="0" fontId="62" fillId="0" borderId="0" xfId="0" applyFont="1" applyAlignment="1">
      <alignment wrapText="1"/>
    </xf>
    <xf numFmtId="0" fontId="62" fillId="0" borderId="0" xfId="0" applyFont="1" applyAlignment="1">
      <alignment horizontal="left" vertical="center"/>
    </xf>
    <xf numFmtId="0" fontId="62" fillId="0" borderId="0" xfId="0" applyFont="1" applyAlignment="1">
      <alignment vertical="center"/>
    </xf>
    <xf numFmtId="168" fontId="51" fillId="6" borderId="2" xfId="6" applyNumberFormat="1" applyFont="1" applyFill="1" applyBorder="1" applyAlignment="1">
      <alignment horizontal="center" vertical="center"/>
    </xf>
    <xf numFmtId="0" fontId="51" fillId="0" borderId="2" xfId="14" applyFont="1" applyBorder="1" applyAlignment="1">
      <alignment horizontal="center"/>
    </xf>
    <xf numFmtId="3" fontId="51" fillId="0" borderId="2" xfId="14" applyNumberFormat="1" applyFont="1" applyBorder="1" applyAlignment="1">
      <alignment horizontal="center"/>
    </xf>
    <xf numFmtId="165" fontId="51" fillId="0" borderId="2" xfId="14" applyNumberFormat="1" applyFont="1" applyBorder="1" applyAlignment="1">
      <alignment horizontal="center"/>
    </xf>
    <xf numFmtId="0" fontId="11" fillId="0" borderId="14" xfId="3" applyFont="1" applyBorder="1" applyAlignment="1">
      <alignment horizontal="center" vertical="center" wrapText="1"/>
    </xf>
    <xf numFmtId="0" fontId="51" fillId="0" borderId="14" xfId="3" applyFont="1" applyBorder="1" applyAlignment="1">
      <alignment horizontal="center" vertical="center" wrapText="1"/>
    </xf>
    <xf numFmtId="0" fontId="11" fillId="6" borderId="14" xfId="3" applyFont="1" applyFill="1" applyBorder="1" applyAlignment="1">
      <alignment horizontal="center" vertical="center" wrapText="1"/>
    </xf>
    <xf numFmtId="3" fontId="11" fillId="0" borderId="14" xfId="3" applyNumberFormat="1" applyFont="1" applyBorder="1" applyAlignment="1">
      <alignment horizontal="center" vertical="center" wrapText="1"/>
    </xf>
    <xf numFmtId="0" fontId="60" fillId="9" borderId="81" xfId="0" applyFont="1" applyFill="1" applyBorder="1" applyAlignment="1">
      <alignment horizontal="center" vertical="center" wrapText="1"/>
    </xf>
    <xf numFmtId="0" fontId="51" fillId="6" borderId="14" xfId="3" applyFont="1" applyFill="1" applyBorder="1" applyAlignment="1">
      <alignment horizontal="center" vertical="center" wrapText="1"/>
    </xf>
    <xf numFmtId="3" fontId="51" fillId="0" borderId="32" xfId="3" applyNumberFormat="1" applyFont="1" applyBorder="1" applyAlignment="1">
      <alignment horizontal="center" vertical="center" wrapText="1"/>
    </xf>
    <xf numFmtId="0" fontId="60" fillId="9" borderId="24" xfId="0" applyFont="1" applyFill="1" applyBorder="1" applyAlignment="1">
      <alignment horizontal="center" vertical="center" wrapText="1"/>
    </xf>
    <xf numFmtId="0" fontId="51" fillId="0" borderId="55" xfId="0" applyFont="1" applyBorder="1" applyAlignment="1">
      <alignment horizontal="center" vertical="center"/>
    </xf>
    <xf numFmtId="1" fontId="51" fillId="0" borderId="2" xfId="0" applyNumberFormat="1" applyFont="1" applyBorder="1" applyAlignment="1">
      <alignment horizontal="center" vertical="center" wrapText="1"/>
    </xf>
    <xf numFmtId="0" fontId="60" fillId="16" borderId="2" xfId="0" applyFont="1" applyFill="1" applyBorder="1" applyAlignment="1">
      <alignment horizontal="center" vertical="center" wrapText="1"/>
    </xf>
    <xf numFmtId="3" fontId="51" fillId="0" borderId="0" xfId="3" applyNumberFormat="1" applyFont="1" applyBorder="1" applyAlignment="1">
      <alignment horizontal="center" vertical="center" wrapText="1"/>
    </xf>
    <xf numFmtId="3" fontId="11" fillId="0" borderId="0" xfId="3" applyNumberFormat="1" applyFont="1" applyBorder="1" applyAlignment="1">
      <alignment horizontal="center" vertical="center" wrapText="1"/>
    </xf>
    <xf numFmtId="3" fontId="11" fillId="0" borderId="0" xfId="3" applyNumberFormat="1" applyFont="1" applyFill="1" applyBorder="1" applyAlignment="1">
      <alignment horizontal="center" vertical="center" wrapText="1"/>
    </xf>
    <xf numFmtId="3" fontId="2" fillId="0" borderId="0" xfId="3" applyNumberFormat="1" applyFont="1" applyFill="1" applyBorder="1" applyAlignment="1">
      <alignment horizontal="center" vertical="center" wrapText="1"/>
    </xf>
    <xf numFmtId="9" fontId="11" fillId="0" borderId="0" xfId="2" applyFont="1" applyBorder="1" applyAlignment="1">
      <alignment horizontal="center" vertical="center" wrapText="1"/>
    </xf>
    <xf numFmtId="168" fontId="7" fillId="0" borderId="0" xfId="6" applyNumberFormat="1" applyFont="1" applyBorder="1" applyAlignment="1">
      <alignment vertical="center"/>
    </xf>
    <xf numFmtId="1" fontId="2" fillId="0" borderId="0" xfId="7" applyNumberFormat="1" applyFont="1" applyAlignment="1">
      <alignment horizontal="center" vertical="center"/>
    </xf>
    <xf numFmtId="0" fontId="7" fillId="0" borderId="15" xfId="0" applyFont="1" applyBorder="1" applyAlignment="1">
      <alignment horizontal="center" vertical="center"/>
    </xf>
    <xf numFmtId="0" fontId="7" fillId="5" borderId="0" xfId="0" applyFont="1" applyFill="1" applyAlignment="1">
      <alignment horizontal="left" vertical="center"/>
    </xf>
    <xf numFmtId="0" fontId="24" fillId="5" borderId="0" xfId="0" applyFont="1" applyFill="1" applyAlignment="1">
      <alignment horizontal="center" vertical="center" wrapText="1"/>
    </xf>
    <xf numFmtId="2" fontId="7" fillId="0" borderId="32" xfId="0" applyNumberFormat="1" applyFont="1" applyBorder="1" applyAlignment="1">
      <alignment horizontal="center" vertical="center" wrapText="1"/>
    </xf>
    <xf numFmtId="0" fontId="16" fillId="0" borderId="0" xfId="5" applyFont="1" applyFill="1" applyBorder="1"/>
    <xf numFmtId="0" fontId="24" fillId="0" borderId="0" xfId="0" applyFont="1" applyAlignment="1">
      <alignment wrapText="1"/>
    </xf>
    <xf numFmtId="0" fontId="65" fillId="0" borderId="0" xfId="5" applyFont="1" applyBorder="1" applyAlignment="1">
      <alignment horizontal="center" vertical="center" wrapText="1"/>
    </xf>
    <xf numFmtId="0" fontId="51" fillId="0" borderId="0" xfId="0" applyFont="1" applyAlignment="1">
      <alignment horizontal="center" vertical="center" wrapText="1"/>
    </xf>
    <xf numFmtId="2" fontId="51" fillId="0" borderId="0" xfId="0" applyNumberFormat="1" applyFont="1" applyAlignment="1">
      <alignment horizontal="center" vertical="center" wrapText="1"/>
    </xf>
    <xf numFmtId="0" fontId="51" fillId="0" borderId="0" xfId="0" quotePrefix="1" applyFont="1" applyAlignment="1">
      <alignment horizontal="center" vertical="center" wrapText="1"/>
    </xf>
    <xf numFmtId="0" fontId="24" fillId="0" borderId="0" xfId="0" applyFont="1" applyAlignment="1">
      <alignment horizontal="left" vertical="top" wrapText="1"/>
    </xf>
    <xf numFmtId="0" fontId="76" fillId="0" borderId="0" xfId="5" applyFont="1" applyFill="1" applyBorder="1" applyAlignment="1">
      <alignment horizontal="left" vertical="top" wrapText="1"/>
    </xf>
    <xf numFmtId="0" fontId="77" fillId="0" borderId="0" xfId="5" applyFont="1" applyFill="1" applyBorder="1" applyAlignment="1">
      <alignment horizontal="left" vertical="top" wrapText="1"/>
    </xf>
    <xf numFmtId="0" fontId="7" fillId="0" borderId="24" xfId="0" applyFont="1" applyBorder="1" applyAlignment="1">
      <alignment horizontal="center" vertical="center" wrapText="1"/>
    </xf>
    <xf numFmtId="0" fontId="2" fillId="0" borderId="26" xfId="0" applyFont="1" applyBorder="1" applyAlignment="1">
      <alignment horizontal="center" vertical="center"/>
    </xf>
    <xf numFmtId="0" fontId="2" fillId="0" borderId="24" xfId="0" applyFont="1" applyBorder="1" applyAlignment="1">
      <alignment horizontal="center" vertical="center" wrapText="1"/>
    </xf>
    <xf numFmtId="0" fontId="7" fillId="10" borderId="69" xfId="0" applyFont="1" applyFill="1" applyBorder="1" applyAlignment="1">
      <alignment horizontal="center" vertical="center"/>
    </xf>
    <xf numFmtId="0" fontId="7" fillId="6" borderId="69" xfId="0" applyFont="1" applyFill="1" applyBorder="1" applyAlignment="1">
      <alignment horizontal="center" vertical="center"/>
    </xf>
    <xf numFmtId="0" fontId="55" fillId="6" borderId="69" xfId="0" applyFont="1" applyFill="1" applyBorder="1" applyAlignment="1">
      <alignment horizontal="center" vertical="center"/>
    </xf>
    <xf numFmtId="0" fontId="7" fillId="3" borderId="69" xfId="0" applyFont="1" applyFill="1" applyBorder="1" applyAlignment="1">
      <alignment horizontal="center" vertical="center"/>
    </xf>
    <xf numFmtId="0" fontId="55" fillId="3" borderId="69" xfId="0" applyFont="1" applyFill="1" applyBorder="1" applyAlignment="1">
      <alignment horizontal="center" vertical="center"/>
    </xf>
    <xf numFmtId="0" fontId="51" fillId="19" borderId="69" xfId="0" applyFont="1" applyFill="1" applyBorder="1" applyAlignment="1">
      <alignment horizontal="center" vertical="center"/>
    </xf>
    <xf numFmtId="167" fontId="51" fillId="19" borderId="69" xfId="0" applyNumberFormat="1" applyFont="1" applyFill="1" applyBorder="1" applyAlignment="1">
      <alignment horizontal="center" vertical="center"/>
    </xf>
    <xf numFmtId="0" fontId="7" fillId="31" borderId="69" xfId="0" applyFont="1" applyFill="1" applyBorder="1" applyAlignment="1">
      <alignment horizontal="center" vertical="center"/>
    </xf>
    <xf numFmtId="0" fontId="2" fillId="31" borderId="69" xfId="0" applyFont="1" applyFill="1" applyBorder="1" applyAlignment="1">
      <alignment horizontal="center" vertical="center"/>
    </xf>
    <xf numFmtId="0" fontId="51" fillId="31" borderId="69" xfId="0" applyFont="1" applyFill="1" applyBorder="1" applyAlignment="1">
      <alignment horizontal="center" vertical="center"/>
    </xf>
    <xf numFmtId="167" fontId="7" fillId="0" borderId="69" xfId="0" applyNumberFormat="1" applyFont="1" applyBorder="1" applyAlignment="1">
      <alignment horizontal="center" vertical="center"/>
    </xf>
    <xf numFmtId="167" fontId="7" fillId="5" borderId="69" xfId="0" applyNumberFormat="1" applyFont="1" applyFill="1" applyBorder="1" applyAlignment="1">
      <alignment horizontal="center" vertical="center"/>
    </xf>
    <xf numFmtId="0" fontId="7" fillId="5" borderId="69" xfId="0" applyFont="1" applyFill="1" applyBorder="1" applyAlignment="1">
      <alignment horizontal="center" vertical="center"/>
    </xf>
    <xf numFmtId="2" fontId="7" fillId="5" borderId="69" xfId="0" applyNumberFormat="1" applyFont="1" applyFill="1" applyBorder="1" applyAlignment="1">
      <alignment horizontal="center" vertical="center"/>
    </xf>
    <xf numFmtId="0" fontId="51" fillId="6" borderId="69" xfId="0" applyFont="1" applyFill="1" applyBorder="1" applyAlignment="1">
      <alignment horizontal="center" vertical="center"/>
    </xf>
    <xf numFmtId="0" fontId="51" fillId="3" borderId="69" xfId="0" applyFont="1" applyFill="1" applyBorder="1" applyAlignment="1">
      <alignment horizontal="center" vertical="center"/>
    </xf>
    <xf numFmtId="2" fontId="7" fillId="19" borderId="69" xfId="0" applyNumberFormat="1" applyFont="1" applyFill="1" applyBorder="1" applyAlignment="1">
      <alignment horizontal="center" vertical="center"/>
    </xf>
    <xf numFmtId="0" fontId="55" fillId="31" borderId="69" xfId="0" applyFont="1" applyFill="1" applyBorder="1" applyAlignment="1">
      <alignment horizontal="center" vertical="center"/>
    </xf>
    <xf numFmtId="0" fontId="7" fillId="6" borderId="69" xfId="0" applyFont="1" applyFill="1" applyBorder="1" applyAlignment="1">
      <alignment vertical="center"/>
    </xf>
    <xf numFmtId="0" fontId="7" fillId="6" borderId="69" xfId="0" applyFont="1" applyFill="1" applyBorder="1" applyAlignment="1">
      <alignment horizontal="center" vertical="center" wrapText="1"/>
    </xf>
    <xf numFmtId="2" fontId="51" fillId="19" borderId="69" xfId="0" applyNumberFormat="1" applyFont="1" applyFill="1" applyBorder="1" applyAlignment="1">
      <alignment horizontal="center" vertical="center"/>
    </xf>
    <xf numFmtId="0" fontId="7" fillId="0" borderId="26" xfId="0" applyFont="1" applyBorder="1" applyAlignment="1">
      <alignment vertical="center"/>
    </xf>
    <xf numFmtId="173" fontId="7" fillId="0" borderId="0" xfId="0" applyNumberFormat="1" applyFont="1" applyAlignment="1">
      <alignment vertical="center"/>
    </xf>
    <xf numFmtId="2" fontId="23" fillId="0" borderId="73" xfId="0" applyNumberFormat="1" applyFont="1" applyBorder="1" applyAlignment="1">
      <alignment horizontal="center" vertical="center"/>
    </xf>
    <xf numFmtId="2" fontId="23" fillId="0" borderId="74" xfId="0" applyNumberFormat="1" applyFont="1" applyBorder="1" applyAlignment="1">
      <alignment horizontal="center" vertical="center"/>
    </xf>
    <xf numFmtId="43" fontId="51" fillId="0" borderId="32" xfId="0" applyNumberFormat="1" applyFont="1" applyBorder="1" applyAlignment="1">
      <alignment vertical="center"/>
    </xf>
    <xf numFmtId="0" fontId="59" fillId="0" borderId="277" xfId="0" applyFont="1" applyBorder="1" applyAlignment="1">
      <alignment horizontal="center" vertical="center"/>
    </xf>
    <xf numFmtId="0" fontId="59" fillId="0" borderId="278" xfId="0" applyFont="1" applyBorder="1" applyAlignment="1">
      <alignment horizontal="center" vertical="center"/>
    </xf>
    <xf numFmtId="0" fontId="59" fillId="0" borderId="279" xfId="0" applyFont="1" applyBorder="1" applyAlignment="1">
      <alignment horizontal="center" vertical="center"/>
    </xf>
    <xf numFmtId="0" fontId="59" fillId="0" borderId="282" xfId="0" applyFont="1" applyBorder="1" applyAlignment="1">
      <alignment horizontal="center" vertical="center"/>
    </xf>
    <xf numFmtId="0" fontId="24" fillId="6" borderId="2" xfId="3" applyFont="1" applyFill="1" applyBorder="1" applyAlignment="1">
      <alignment horizontal="center" vertical="center" wrapText="1"/>
    </xf>
    <xf numFmtId="0" fontId="24" fillId="0" borderId="2" xfId="3" applyFont="1" applyFill="1" applyBorder="1" applyAlignment="1">
      <alignment horizontal="center" vertical="center" wrapText="1"/>
    </xf>
    <xf numFmtId="0" fontId="24" fillId="0" borderId="2" xfId="3" applyFont="1" applyBorder="1" applyAlignment="1">
      <alignment horizontal="center" vertical="center" wrapText="1"/>
    </xf>
    <xf numFmtId="0" fontId="7" fillId="0" borderId="24" xfId="0" applyFont="1" applyBorder="1" applyAlignment="1">
      <alignment horizontal="center" vertical="center"/>
    </xf>
    <xf numFmtId="0" fontId="51" fillId="0" borderId="0" xfId="0" applyFont="1" applyAlignment="1">
      <alignment horizontal="right"/>
    </xf>
    <xf numFmtId="0" fontId="51" fillId="0" borderId="0" xfId="0" applyFont="1" applyAlignment="1">
      <alignment horizontal="center"/>
    </xf>
    <xf numFmtId="0" fontId="51" fillId="0" borderId="175" xfId="0" applyFont="1" applyBorder="1" applyAlignment="1">
      <alignment horizontal="center" vertical="center" wrapText="1"/>
    </xf>
    <xf numFmtId="0" fontId="51" fillId="0" borderId="2" xfId="0" applyFont="1" applyBorder="1"/>
    <xf numFmtId="0" fontId="51" fillId="0" borderId="0" xfId="0" applyFont="1" applyAlignment="1">
      <alignment horizontal="center" vertical="center"/>
    </xf>
    <xf numFmtId="167" fontId="51" fillId="0" borderId="0" xfId="0" applyNumberFormat="1" applyFont="1" applyAlignment="1">
      <alignment vertical="center"/>
    </xf>
    <xf numFmtId="167" fontId="51" fillId="0" borderId="69" xfId="0" applyNumberFormat="1" applyFont="1" applyBorder="1" applyAlignment="1">
      <alignment horizontal="center" vertical="center" wrapText="1"/>
    </xf>
    <xf numFmtId="167" fontId="51" fillId="0" borderId="69" xfId="0" applyNumberFormat="1" applyFont="1" applyBorder="1" applyAlignment="1">
      <alignment horizontal="center" vertical="center"/>
    </xf>
    <xf numFmtId="0" fontId="51" fillId="0" borderId="69" xfId="0" applyFont="1" applyBorder="1" applyAlignment="1">
      <alignment horizontal="center" vertical="center" wrapText="1"/>
    </xf>
    <xf numFmtId="0" fontId="51" fillId="0" borderId="32" xfId="0" applyFont="1" applyBorder="1" applyAlignment="1">
      <alignment horizontal="center" vertical="center" wrapText="1"/>
    </xf>
    <xf numFmtId="0" fontId="62" fillId="0" borderId="0" xfId="0" applyFont="1"/>
    <xf numFmtId="167" fontId="78" fillId="0" borderId="69" xfId="0" applyNumberFormat="1" applyFont="1" applyBorder="1" applyAlignment="1">
      <alignment horizontal="center" vertical="center"/>
    </xf>
    <xf numFmtId="0" fontId="8" fillId="0" borderId="0" xfId="4" applyFont="1" applyAlignment="1">
      <alignment vertical="center"/>
    </xf>
    <xf numFmtId="164" fontId="3" fillId="0" borderId="0" xfId="2" applyNumberFormat="1" applyFont="1" applyFill="1" applyBorder="1" applyAlignment="1"/>
    <xf numFmtId="9" fontId="8" fillId="0" borderId="0" xfId="0" applyNumberFormat="1" applyFont="1"/>
    <xf numFmtId="164" fontId="0" fillId="0" borderId="0" xfId="2" applyNumberFormat="1" applyFont="1" applyFill="1" applyBorder="1" applyAlignment="1"/>
    <xf numFmtId="0" fontId="79" fillId="0" borderId="0" xfId="0" applyFont="1"/>
    <xf numFmtId="9" fontId="79" fillId="0" borderId="0" xfId="0" applyNumberFormat="1" applyFont="1" applyAlignment="1">
      <alignment horizontal="left"/>
    </xf>
    <xf numFmtId="10" fontId="7" fillId="0" borderId="0" xfId="4" applyNumberFormat="1" applyAlignment="1">
      <alignment horizontal="center" vertical="center"/>
    </xf>
    <xf numFmtId="10" fontId="7" fillId="0" borderId="0" xfId="0" applyNumberFormat="1" applyFont="1"/>
    <xf numFmtId="10" fontId="79" fillId="0" borderId="0" xfId="0" applyNumberFormat="1" applyFont="1"/>
    <xf numFmtId="10" fontId="79" fillId="0" borderId="0" xfId="0" applyNumberFormat="1" applyFont="1" applyAlignment="1">
      <alignment vertical="center"/>
    </xf>
    <xf numFmtId="10" fontId="79" fillId="0" borderId="0" xfId="4" applyNumberFormat="1" applyFont="1" applyAlignment="1">
      <alignment horizontal="center" vertical="center"/>
    </xf>
    <xf numFmtId="9" fontId="79" fillId="0" borderId="0" xfId="2" applyFont="1" applyAlignment="1">
      <alignment horizontal="center" vertical="center"/>
    </xf>
    <xf numFmtId="9" fontId="79" fillId="0" borderId="0" xfId="0" applyNumberFormat="1" applyFont="1" applyAlignment="1">
      <alignment horizontal="center"/>
    </xf>
    <xf numFmtId="0" fontId="25" fillId="9" borderId="32" xfId="0" applyFont="1" applyFill="1" applyBorder="1" applyAlignment="1">
      <alignment horizontal="center" vertical="center"/>
    </xf>
    <xf numFmtId="164" fontId="3" fillId="0" borderId="32" xfId="2" applyNumberFormat="1" applyFont="1" applyBorder="1"/>
    <xf numFmtId="164" fontId="0" fillId="0" borderId="32" xfId="2" applyNumberFormat="1" applyFont="1" applyFill="1" applyBorder="1"/>
    <xf numFmtId="0" fontId="8" fillId="0" borderId="169" xfId="4" applyFont="1" applyBorder="1" applyAlignment="1">
      <alignment horizontal="center" vertical="center"/>
    </xf>
    <xf numFmtId="9" fontId="8" fillId="0" borderId="169" xfId="0" applyNumberFormat="1" applyFont="1" applyBorder="1" applyAlignment="1">
      <alignment horizontal="center"/>
    </xf>
    <xf numFmtId="164" fontId="7" fillId="0" borderId="32" xfId="0" applyNumberFormat="1" applyFont="1" applyBorder="1" applyAlignment="1">
      <alignment horizontal="center"/>
    </xf>
    <xf numFmtId="0" fontId="78" fillId="0" borderId="0" xfId="0" applyFont="1" applyAlignment="1">
      <alignment horizontal="left" vertical="center"/>
    </xf>
    <xf numFmtId="1" fontId="24" fillId="0" borderId="3" xfId="7" quotePrefix="1" applyNumberFormat="1" applyFont="1" applyBorder="1" applyAlignment="1">
      <alignment horizontal="center" vertical="center"/>
    </xf>
    <xf numFmtId="0" fontId="51" fillId="0" borderId="32" xfId="0" applyFont="1" applyBorder="1" applyAlignment="1">
      <alignment horizontal="center" vertical="center"/>
    </xf>
    <xf numFmtId="0" fontId="7" fillId="0" borderId="0" xfId="0" applyFont="1" applyAlignment="1">
      <alignment horizontal="left" vertical="center"/>
    </xf>
    <xf numFmtId="0" fontId="16" fillId="0" borderId="0" xfId="5" applyFont="1" applyAlignment="1">
      <alignment horizontal="left"/>
    </xf>
    <xf numFmtId="0" fontId="9" fillId="0" borderId="0" xfId="5" applyAlignment="1">
      <alignment horizontal="left" vertical="center"/>
    </xf>
    <xf numFmtId="0" fontId="7" fillId="0" borderId="0" xfId="0" applyFont="1" applyAlignment="1">
      <alignment horizontal="center"/>
    </xf>
    <xf numFmtId="0" fontId="7" fillId="0" borderId="0" xfId="0" applyFont="1" applyAlignment="1">
      <alignment horizontal="left" vertical="center" wrapText="1"/>
    </xf>
    <xf numFmtId="0" fontId="51" fillId="0" borderId="69" xfId="0" applyFont="1" applyBorder="1" applyAlignment="1">
      <alignment horizontal="center" vertical="center"/>
    </xf>
    <xf numFmtId="0" fontId="7" fillId="0" borderId="69" xfId="0" applyFont="1" applyBorder="1" applyAlignment="1">
      <alignment horizontal="center" vertical="center"/>
    </xf>
    <xf numFmtId="0" fontId="7" fillId="0" borderId="69" xfId="0" applyFont="1" applyBorder="1" applyAlignment="1">
      <alignment horizontal="center" vertical="center" wrapText="1"/>
    </xf>
    <xf numFmtId="0" fontId="2" fillId="0" borderId="69" xfId="0" applyFont="1" applyBorder="1" applyAlignment="1">
      <alignment horizontal="center" vertical="center" wrapText="1"/>
    </xf>
    <xf numFmtId="0" fontId="37" fillId="11" borderId="0" xfId="0" applyFont="1" applyFill="1" applyAlignment="1">
      <alignment horizontal="center" vertical="center" wrapText="1"/>
    </xf>
    <xf numFmtId="0" fontId="7" fillId="0" borderId="32" xfId="0" applyFont="1" applyBorder="1" applyAlignment="1">
      <alignment horizontal="center" vertical="center" wrapText="1"/>
    </xf>
    <xf numFmtId="0" fontId="22" fillId="0" borderId="0" xfId="0" applyFont="1" applyAlignment="1">
      <alignment horizontal="left" vertical="center"/>
    </xf>
    <xf numFmtId="0" fontId="7" fillId="0" borderId="54" xfId="0" applyFont="1" applyBorder="1" applyAlignment="1">
      <alignment horizontal="center" vertical="center" wrapText="1"/>
    </xf>
    <xf numFmtId="0" fontId="7" fillId="0" borderId="54" xfId="0" applyFont="1" applyBorder="1" applyAlignment="1">
      <alignment horizontal="center" vertical="center"/>
    </xf>
    <xf numFmtId="0" fontId="7" fillId="0" borderId="26" xfId="0" applyFont="1" applyBorder="1" applyAlignment="1">
      <alignment horizontal="center" vertical="center"/>
    </xf>
    <xf numFmtId="0" fontId="8" fillId="9" borderId="69" xfId="0" applyFont="1" applyFill="1" applyBorder="1" applyAlignment="1">
      <alignment horizontal="center" vertical="center"/>
    </xf>
    <xf numFmtId="0" fontId="8" fillId="9" borderId="69" xfId="0" applyFont="1" applyFill="1" applyBorder="1" applyAlignment="1">
      <alignment horizontal="center" vertical="center" wrapText="1"/>
    </xf>
    <xf numFmtId="0" fontId="7" fillId="0" borderId="15" xfId="0" applyFont="1" applyBorder="1" applyAlignment="1">
      <alignment horizontal="center" vertical="center" wrapText="1"/>
    </xf>
    <xf numFmtId="0" fontId="7" fillId="0" borderId="20" xfId="0" applyFont="1" applyBorder="1" applyAlignment="1">
      <alignment horizontal="center" vertical="center" wrapText="1"/>
    </xf>
    <xf numFmtId="0" fontId="62" fillId="0" borderId="32" xfId="0" applyFont="1" applyBorder="1" applyAlignment="1">
      <alignment horizontal="center" vertical="center" wrapText="1"/>
    </xf>
    <xf numFmtId="0" fontId="8" fillId="9" borderId="2" xfId="0" applyFont="1" applyFill="1" applyBorder="1" applyAlignment="1">
      <alignment horizontal="center" vertical="center"/>
    </xf>
    <xf numFmtId="0" fontId="8" fillId="9" borderId="15" xfId="0" applyFont="1" applyFill="1" applyBorder="1" applyAlignment="1">
      <alignment horizontal="center" vertical="center"/>
    </xf>
    <xf numFmtId="0" fontId="8" fillId="9" borderId="0" xfId="0" applyFont="1" applyFill="1" applyAlignment="1">
      <alignment horizontal="center" vertical="center"/>
    </xf>
    <xf numFmtId="0" fontId="25" fillId="9" borderId="15" xfId="0" applyFont="1" applyFill="1" applyBorder="1" applyAlignment="1">
      <alignment horizontal="center" vertical="center"/>
    </xf>
    <xf numFmtId="0" fontId="80" fillId="9" borderId="69" xfId="0" applyFont="1" applyFill="1" applyBorder="1" applyAlignment="1">
      <alignment horizontal="center" vertical="center"/>
    </xf>
    <xf numFmtId="9" fontId="79" fillId="0" borderId="69" xfId="2" applyFont="1" applyBorder="1" applyAlignment="1">
      <alignment horizontal="center" vertical="center"/>
    </xf>
    <xf numFmtId="3" fontId="24" fillId="6" borderId="2" xfId="7" applyNumberFormat="1" applyFont="1" applyFill="1" applyBorder="1" applyAlignment="1">
      <alignment horizontal="center" vertical="center"/>
    </xf>
    <xf numFmtId="3" fontId="24" fillId="0" borderId="2" xfId="7" applyNumberFormat="1" applyFont="1" applyBorder="1" applyAlignment="1">
      <alignment horizontal="center" vertical="center"/>
    </xf>
    <xf numFmtId="3" fontId="51" fillId="0" borderId="2" xfId="0" applyNumberFormat="1" applyFont="1" applyBorder="1" applyAlignment="1">
      <alignment horizontal="center" vertical="center"/>
    </xf>
    <xf numFmtId="168" fontId="51" fillId="0" borderId="17" xfId="6" applyNumberFormat="1" applyFont="1" applyBorder="1" applyAlignment="1">
      <alignment horizontal="right" vertical="center"/>
    </xf>
    <xf numFmtId="0" fontId="60" fillId="0" borderId="201" xfId="0" applyFont="1" applyBorder="1" applyAlignment="1">
      <alignment horizontal="center" vertical="center"/>
    </xf>
    <xf numFmtId="0" fontId="60" fillId="0" borderId="199" xfId="0" applyFont="1" applyBorder="1" applyAlignment="1">
      <alignment horizontal="center" vertical="center"/>
    </xf>
    <xf numFmtId="0" fontId="60" fillId="0" borderId="200" xfId="0" applyFont="1" applyBorder="1" applyAlignment="1">
      <alignment horizontal="center" vertical="center"/>
    </xf>
    <xf numFmtId="0" fontId="54" fillId="0" borderId="188" xfId="0" applyFont="1" applyBorder="1" applyAlignment="1">
      <alignment horizontal="center"/>
    </xf>
    <xf numFmtId="0" fontId="54" fillId="0" borderId="185" xfId="0" applyFont="1" applyBorder="1" applyAlignment="1">
      <alignment horizontal="center"/>
    </xf>
    <xf numFmtId="0" fontId="54" fillId="0" borderId="189" xfId="0" applyFont="1" applyBorder="1" applyAlignment="1">
      <alignment horizontal="center"/>
    </xf>
    <xf numFmtId="0" fontId="51" fillId="0" borderId="193" xfId="0" applyFont="1" applyBorder="1" applyAlignment="1">
      <alignment horizontal="center" vertical="center"/>
    </xf>
    <xf numFmtId="0" fontId="51" fillId="0" borderId="32" xfId="0" applyFont="1" applyBorder="1" applyAlignment="1">
      <alignment horizontal="center" vertical="center"/>
    </xf>
    <xf numFmtId="0" fontId="51" fillId="0" borderId="175" xfId="0" applyFont="1" applyBorder="1" applyAlignment="1">
      <alignment horizontal="center" vertical="center"/>
    </xf>
    <xf numFmtId="0" fontId="51" fillId="0" borderId="194" xfId="0" applyFont="1" applyBorder="1" applyAlignment="1">
      <alignment horizontal="center" vertical="center"/>
    </xf>
    <xf numFmtId="0" fontId="51" fillId="0" borderId="195" xfId="0" applyFont="1" applyBorder="1" applyAlignment="1">
      <alignment horizontal="center" vertical="center"/>
    </xf>
    <xf numFmtId="0" fontId="51" fillId="0" borderId="196" xfId="0" applyFont="1" applyBorder="1" applyAlignment="1">
      <alignment horizontal="center" vertical="center"/>
    </xf>
    <xf numFmtId="0" fontId="60" fillId="0" borderId="190" xfId="0" applyFont="1" applyBorder="1" applyAlignment="1">
      <alignment horizontal="center" vertical="center"/>
    </xf>
    <xf numFmtId="0" fontId="60" fillId="0" borderId="191" xfId="0" applyFont="1" applyBorder="1" applyAlignment="1">
      <alignment horizontal="center" vertical="center"/>
    </xf>
    <xf numFmtId="0" fontId="60" fillId="0" borderId="192" xfId="0" applyFont="1" applyBorder="1" applyAlignment="1">
      <alignment horizontal="center" vertical="center"/>
    </xf>
    <xf numFmtId="0" fontId="51" fillId="0" borderId="181" xfId="0" applyFont="1" applyBorder="1" applyAlignment="1">
      <alignment horizontal="center" vertical="center"/>
    </xf>
    <xf numFmtId="0" fontId="51" fillId="0" borderId="198" xfId="0" applyFont="1" applyBorder="1" applyAlignment="1">
      <alignment horizontal="center" vertical="center"/>
    </xf>
    <xf numFmtId="0" fontId="51" fillId="0" borderId="169" xfId="0" applyFont="1" applyBorder="1" applyAlignment="1">
      <alignment horizontal="center" vertical="center"/>
    </xf>
    <xf numFmtId="0" fontId="7" fillId="0" borderId="0" xfId="0" applyFont="1" applyAlignment="1">
      <alignment horizontal="center" vertical="center"/>
    </xf>
    <xf numFmtId="0" fontId="1" fillId="5" borderId="10" xfId="0" applyFont="1" applyFill="1" applyBorder="1" applyAlignment="1">
      <alignment horizontal="center" vertical="center"/>
    </xf>
    <xf numFmtId="0" fontId="1" fillId="5" borderId="11" xfId="0" applyFont="1" applyFill="1" applyBorder="1" applyAlignment="1">
      <alignment horizontal="center" vertical="center"/>
    </xf>
    <xf numFmtId="0" fontId="1" fillId="5" borderId="12" xfId="0" applyFont="1" applyFill="1" applyBorder="1" applyAlignment="1">
      <alignment horizontal="center" vertical="center"/>
    </xf>
    <xf numFmtId="0" fontId="8" fillId="0" borderId="184" xfId="0" applyFont="1" applyBorder="1" applyAlignment="1">
      <alignment horizontal="center" vertical="center"/>
    </xf>
    <xf numFmtId="0" fontId="7" fillId="0" borderId="221" xfId="0" applyFont="1" applyBorder="1" applyAlignment="1">
      <alignment horizontal="center" vertical="center"/>
    </xf>
    <xf numFmtId="0" fontId="7" fillId="0" borderId="222" xfId="0" applyFont="1" applyBorder="1" applyAlignment="1">
      <alignment horizontal="center" vertical="center"/>
    </xf>
    <xf numFmtId="0" fontId="8" fillId="0" borderId="183" xfId="0" applyFont="1" applyBorder="1" applyAlignment="1">
      <alignment horizontal="center" vertical="center"/>
    </xf>
    <xf numFmtId="0" fontId="7" fillId="0" borderId="220" xfId="0" applyFont="1" applyBorder="1" applyAlignment="1">
      <alignment horizontal="center" vertical="center"/>
    </xf>
    <xf numFmtId="0" fontId="67" fillId="5" borderId="0" xfId="0" applyFont="1" applyFill="1" applyAlignment="1">
      <alignment horizontal="center" vertical="center"/>
    </xf>
    <xf numFmtId="0" fontId="67" fillId="5" borderId="0" xfId="0" applyFont="1" applyFill="1" applyAlignment="1">
      <alignment horizontal="center" vertical="top"/>
    </xf>
    <xf numFmtId="0" fontId="37" fillId="11" borderId="0" xfId="0" applyFont="1" applyFill="1" applyAlignment="1">
      <alignment horizontal="center" vertical="center"/>
    </xf>
    <xf numFmtId="0" fontId="37" fillId="11" borderId="276" xfId="0" applyFont="1" applyFill="1" applyBorder="1" applyAlignment="1">
      <alignment horizontal="center" vertical="center"/>
    </xf>
    <xf numFmtId="0" fontId="7" fillId="0" borderId="0" xfId="0" applyFont="1" applyAlignment="1">
      <alignment horizontal="left" vertical="center"/>
    </xf>
    <xf numFmtId="0" fontId="65" fillId="0" borderId="0" xfId="5" applyFont="1" applyAlignment="1">
      <alignment horizontal="left"/>
    </xf>
    <xf numFmtId="0" fontId="16" fillId="0" borderId="0" xfId="5" applyFont="1" applyAlignment="1">
      <alignment horizontal="left" vertical="center"/>
    </xf>
    <xf numFmtId="0" fontId="16" fillId="0" borderId="0" xfId="5" applyFont="1" applyAlignment="1">
      <alignment horizontal="left"/>
    </xf>
    <xf numFmtId="0" fontId="9" fillId="0" borderId="0" xfId="5" applyAlignment="1">
      <alignment horizontal="left" vertical="center"/>
    </xf>
    <xf numFmtId="0" fontId="65" fillId="0" borderId="0" xfId="5" applyFont="1" applyAlignment="1">
      <alignment horizontal="left" vertical="center"/>
    </xf>
    <xf numFmtId="0" fontId="7" fillId="0" borderId="0" xfId="0" applyFont="1" applyAlignment="1">
      <alignment horizontal="center"/>
    </xf>
    <xf numFmtId="0" fontId="7" fillId="0" borderId="0" xfId="0" applyFont="1" applyAlignment="1">
      <alignment horizontal="left" vertical="top"/>
    </xf>
    <xf numFmtId="0" fontId="7" fillId="6" borderId="28" xfId="0" applyFont="1" applyFill="1" applyBorder="1" applyAlignment="1">
      <alignment horizontal="center"/>
    </xf>
    <xf numFmtId="0" fontId="7" fillId="6" borderId="29" xfId="0" applyFont="1" applyFill="1" applyBorder="1" applyAlignment="1">
      <alignment horizontal="center"/>
    </xf>
    <xf numFmtId="0" fontId="7" fillId="6" borderId="30" xfId="0" applyFont="1" applyFill="1" applyBorder="1" applyAlignment="1">
      <alignment horizontal="center"/>
    </xf>
    <xf numFmtId="0" fontId="7" fillId="0" borderId="42" xfId="0" applyFont="1" applyBorder="1" applyAlignment="1">
      <alignment horizontal="left" vertical="center"/>
    </xf>
    <xf numFmtId="0" fontId="7" fillId="0" borderId="43" xfId="0" applyFont="1" applyBorder="1" applyAlignment="1">
      <alignment horizontal="left" vertical="center"/>
    </xf>
    <xf numFmtId="0" fontId="7" fillId="0" borderId="42" xfId="0" applyFont="1" applyBorder="1" applyAlignment="1">
      <alignment horizontal="left" vertical="center" wrapText="1"/>
    </xf>
    <xf numFmtId="0" fontId="7" fillId="0" borderId="0" xfId="0" applyFont="1" applyAlignment="1">
      <alignment horizontal="left" vertical="center" wrapText="1"/>
    </xf>
    <xf numFmtId="0" fontId="7" fillId="0" borderId="43" xfId="0" applyFont="1" applyBorder="1" applyAlignment="1">
      <alignment horizontal="left" vertical="center" wrapText="1"/>
    </xf>
    <xf numFmtId="0" fontId="37" fillId="11" borderId="31" xfId="0" applyFont="1" applyFill="1" applyBorder="1" applyAlignment="1">
      <alignment horizontal="center" vertical="center"/>
    </xf>
    <xf numFmtId="0" fontId="37" fillId="11" borderId="38" xfId="0" applyFont="1" applyFill="1" applyBorder="1" applyAlignment="1">
      <alignment horizontal="center" vertical="center"/>
    </xf>
    <xf numFmtId="0" fontId="7" fillId="0" borderId="39" xfId="0" applyFont="1" applyBorder="1" applyAlignment="1">
      <alignment horizontal="left" vertical="center"/>
    </xf>
    <xf numFmtId="0" fontId="7" fillId="0" borderId="40" xfId="0" applyFont="1" applyBorder="1" applyAlignment="1">
      <alignment horizontal="left" vertical="center"/>
    </xf>
    <xf numFmtId="0" fontId="7" fillId="0" borderId="41" xfId="0" applyFont="1" applyBorder="1" applyAlignment="1">
      <alignment horizontal="left" vertical="center"/>
    </xf>
    <xf numFmtId="0" fontId="51" fillId="0" borderId="44" xfId="0" applyFont="1" applyBorder="1" applyAlignment="1">
      <alignment horizontal="left" vertical="center" wrapText="1"/>
    </xf>
    <xf numFmtId="0" fontId="51" fillId="0" borderId="45" xfId="0" applyFont="1" applyBorder="1" applyAlignment="1">
      <alignment horizontal="left" vertical="center" wrapText="1"/>
    </xf>
    <xf numFmtId="0" fontId="7" fillId="0" borderId="0" xfId="0" applyFont="1" applyAlignment="1">
      <alignment vertical="center"/>
    </xf>
    <xf numFmtId="0" fontId="18" fillId="0" borderId="22" xfId="0" applyFont="1" applyBorder="1" applyAlignment="1">
      <alignment horizontal="left" vertical="center"/>
    </xf>
    <xf numFmtId="0" fontId="37" fillId="11" borderId="3" xfId="1" applyFont="1" applyFill="1" applyBorder="1" applyAlignment="1">
      <alignment horizontal="center" vertical="center" wrapText="1"/>
    </xf>
    <xf numFmtId="0" fontId="37" fillId="11" borderId="13" xfId="1" applyFont="1" applyFill="1" applyBorder="1" applyAlignment="1">
      <alignment horizontal="center" vertical="center" wrapText="1"/>
    </xf>
    <xf numFmtId="164" fontId="51" fillId="0" borderId="287" xfId="0" applyNumberFormat="1" applyFont="1" applyBorder="1" applyAlignment="1">
      <alignment horizontal="left" vertical="center"/>
    </xf>
    <xf numFmtId="164" fontId="51" fillId="0" borderId="288" xfId="0" applyNumberFormat="1" applyFont="1" applyBorder="1" applyAlignment="1">
      <alignment horizontal="left" vertical="center"/>
    </xf>
    <xf numFmtId="164" fontId="51" fillId="0" borderId="289" xfId="0" applyNumberFormat="1" applyFont="1" applyBorder="1" applyAlignment="1">
      <alignment horizontal="left" vertical="center"/>
    </xf>
    <xf numFmtId="0" fontId="51" fillId="0" borderId="69" xfId="0" applyFont="1" applyBorder="1" applyAlignment="1">
      <alignment horizontal="center" vertical="center"/>
    </xf>
    <xf numFmtId="0" fontId="51" fillId="0" borderId="69" xfId="0" applyFont="1" applyBorder="1" applyAlignment="1">
      <alignment horizontal="center" vertical="center" wrapText="1"/>
    </xf>
    <xf numFmtId="0" fontId="51" fillId="0" borderId="290" xfId="0" applyFont="1" applyBorder="1" applyAlignment="1">
      <alignment horizontal="center" vertical="center"/>
    </xf>
    <xf numFmtId="0" fontId="51" fillId="0" borderId="81" xfId="0" applyFont="1" applyBorder="1" applyAlignment="1">
      <alignment horizontal="center" vertical="center"/>
    </xf>
    <xf numFmtId="0" fontId="51" fillId="0" borderId="77" xfId="0" applyFont="1" applyBorder="1" applyAlignment="1">
      <alignment horizontal="center" vertical="center"/>
    </xf>
    <xf numFmtId="0" fontId="51" fillId="0" borderId="291" xfId="0" applyFont="1" applyBorder="1" applyAlignment="1">
      <alignment horizontal="center" vertical="center"/>
    </xf>
    <xf numFmtId="0" fontId="51" fillId="0" borderId="286" xfId="0" applyFont="1" applyBorder="1" applyAlignment="1">
      <alignment horizontal="center" vertical="center"/>
    </xf>
    <xf numFmtId="0" fontId="51" fillId="0" borderId="114" xfId="0" applyFont="1" applyBorder="1" applyAlignment="1">
      <alignment horizontal="center" vertical="center"/>
    </xf>
    <xf numFmtId="0" fontId="51" fillId="0" borderId="292" xfId="0" applyFont="1" applyBorder="1" applyAlignment="1">
      <alignment horizontal="center" vertical="center"/>
    </xf>
    <xf numFmtId="0" fontId="7" fillId="0" borderId="81" xfId="0" applyFont="1" applyBorder="1" applyAlignment="1">
      <alignment horizontal="center" vertical="center" wrapText="1"/>
    </xf>
    <xf numFmtId="0" fontId="7" fillId="0" borderId="97" xfId="0" applyFont="1" applyBorder="1" applyAlignment="1">
      <alignment horizontal="center" vertical="center" wrapText="1"/>
    </xf>
    <xf numFmtId="0" fontId="7" fillId="0" borderId="69" xfId="0" applyFont="1" applyBorder="1" applyAlignment="1">
      <alignment horizontal="center" vertical="center"/>
    </xf>
    <xf numFmtId="0" fontId="7" fillId="0" borderId="0" xfId="0" quotePrefix="1" applyFont="1" applyAlignment="1">
      <alignment horizontal="left" vertical="center" wrapText="1"/>
    </xf>
    <xf numFmtId="0" fontId="7" fillId="0" borderId="0" xfId="0" quotePrefix="1" applyFont="1" applyAlignment="1">
      <alignment horizontal="left" vertical="center"/>
    </xf>
    <xf numFmtId="0" fontId="19" fillId="0" borderId="0" xfId="0" applyFont="1" applyAlignment="1">
      <alignment horizontal="left" vertical="center"/>
    </xf>
    <xf numFmtId="172" fontId="7" fillId="0" borderId="29" xfId="0" applyNumberFormat="1" applyFont="1" applyBorder="1" applyAlignment="1">
      <alignment horizontal="center" vertical="center" wrapText="1"/>
    </xf>
    <xf numFmtId="172" fontId="7" fillId="0" borderId="30" xfId="0" applyNumberFormat="1" applyFont="1" applyBorder="1" applyAlignment="1">
      <alignment horizontal="center" vertical="center" wrapText="1"/>
    </xf>
    <xf numFmtId="0" fontId="7" fillId="0" borderId="69" xfId="0" applyFont="1" applyBorder="1" applyAlignment="1">
      <alignment horizontal="center" vertical="center" wrapText="1"/>
    </xf>
    <xf numFmtId="0" fontId="2" fillId="0" borderId="69" xfId="0" applyFont="1" applyBorder="1" applyAlignment="1">
      <alignment horizontal="center" vertical="center"/>
    </xf>
    <xf numFmtId="0" fontId="2" fillId="0" borderId="69" xfId="0" applyFont="1" applyBorder="1" applyAlignment="1">
      <alignment horizontal="center" vertical="center" wrapText="1"/>
    </xf>
    <xf numFmtId="0" fontId="8" fillId="9" borderId="28" xfId="0" applyFont="1" applyFill="1" applyBorder="1" applyAlignment="1">
      <alignment horizontal="center" vertical="center" wrapText="1"/>
    </xf>
    <xf numFmtId="0" fontId="8" fillId="9" borderId="29" xfId="0" applyFont="1" applyFill="1" applyBorder="1" applyAlignment="1">
      <alignment horizontal="center" vertical="center" wrapText="1"/>
    </xf>
    <xf numFmtId="0" fontId="8" fillId="9" borderId="30" xfId="0" applyFont="1" applyFill="1" applyBorder="1" applyAlignment="1">
      <alignment horizontal="center" vertical="center" wrapText="1"/>
    </xf>
    <xf numFmtId="0" fontId="51" fillId="0" borderId="27" xfId="0" applyFont="1" applyBorder="1" applyAlignment="1">
      <alignment horizontal="center" vertical="center"/>
    </xf>
    <xf numFmtId="0" fontId="51" fillId="0" borderId="25" xfId="0" applyFont="1" applyBorder="1" applyAlignment="1">
      <alignment horizontal="center" vertical="center"/>
    </xf>
    <xf numFmtId="0" fontId="51" fillId="0" borderId="26" xfId="0" applyFont="1" applyBorder="1" applyAlignment="1">
      <alignment horizontal="center" vertical="center"/>
    </xf>
    <xf numFmtId="0" fontId="37" fillId="11" borderId="0" xfId="0" applyFont="1" applyFill="1" applyAlignment="1">
      <alignment horizontal="center" vertical="center" wrapText="1"/>
    </xf>
    <xf numFmtId="0" fontId="17" fillId="0" borderId="0" xfId="0" applyFont="1" applyAlignment="1">
      <alignment horizontal="center"/>
    </xf>
    <xf numFmtId="0" fontId="37" fillId="11" borderId="34" xfId="0" applyFont="1" applyFill="1" applyBorder="1" applyAlignment="1">
      <alignment horizontal="center" vertical="center"/>
    </xf>
    <xf numFmtId="0" fontId="51" fillId="0" borderId="0" xfId="0" applyFont="1" applyAlignment="1">
      <alignment horizontal="left" vertical="top" wrapText="1"/>
    </xf>
    <xf numFmtId="0" fontId="7" fillId="0" borderId="0" xfId="0" applyFont="1" applyAlignment="1">
      <alignment horizontal="left" vertical="top" wrapText="1"/>
    </xf>
    <xf numFmtId="0" fontId="7" fillId="0" borderId="32" xfId="0" applyFont="1" applyBorder="1" applyAlignment="1">
      <alignment horizontal="center" vertical="center" wrapText="1"/>
    </xf>
    <xf numFmtId="0" fontId="24" fillId="0" borderId="64" xfId="0" applyFont="1" applyBorder="1" applyAlignment="1">
      <alignment horizontal="center" vertical="center" wrapText="1"/>
    </xf>
    <xf numFmtId="0" fontId="24" fillId="0" borderId="62" xfId="0" applyFont="1" applyBorder="1" applyAlignment="1">
      <alignment horizontal="center" vertical="center" wrapText="1"/>
    </xf>
    <xf numFmtId="0" fontId="24" fillId="0" borderId="63" xfId="0" applyFont="1" applyBorder="1" applyAlignment="1">
      <alignment horizontal="center" vertical="center" wrapText="1"/>
    </xf>
    <xf numFmtId="0" fontId="37" fillId="15" borderId="131" xfId="0" applyFont="1" applyFill="1" applyBorder="1" applyAlignment="1">
      <alignment horizontal="center" vertical="center"/>
    </xf>
    <xf numFmtId="0" fontId="7" fillId="0" borderId="32" xfId="0" applyFont="1" applyBorder="1" applyAlignment="1">
      <alignment horizontal="center" vertical="center"/>
    </xf>
    <xf numFmtId="0" fontId="9" fillId="0" borderId="32" xfId="5" applyBorder="1" applyAlignment="1">
      <alignment horizontal="center" vertical="center"/>
    </xf>
    <xf numFmtId="0" fontId="51" fillId="0" borderId="32" xfId="0" applyFont="1" applyBorder="1" applyAlignment="1">
      <alignment horizontal="center" vertical="center" wrapText="1"/>
    </xf>
    <xf numFmtId="0" fontId="51" fillId="32" borderId="32" xfId="0" applyFont="1" applyFill="1" applyBorder="1" applyAlignment="1">
      <alignment horizontal="center" vertical="center" wrapText="1"/>
    </xf>
    <xf numFmtId="0" fontId="51" fillId="0" borderId="61" xfId="0" applyFont="1" applyBorder="1" applyAlignment="1">
      <alignment horizontal="center" vertical="center" wrapText="1"/>
    </xf>
    <xf numFmtId="0" fontId="51" fillId="0" borderId="62" xfId="0" applyFont="1" applyBorder="1" applyAlignment="1">
      <alignment horizontal="center" vertical="center" wrapText="1"/>
    </xf>
    <xf numFmtId="0" fontId="51" fillId="0" borderId="63" xfId="0" applyFont="1" applyBorder="1" applyAlignment="1">
      <alignment horizontal="center" vertical="center" wrapText="1"/>
    </xf>
    <xf numFmtId="0" fontId="25" fillId="0" borderId="32" xfId="0" applyFont="1" applyBorder="1" applyAlignment="1">
      <alignment wrapText="1"/>
    </xf>
    <xf numFmtId="0" fontId="34" fillId="12" borderId="66" xfId="0" applyFont="1" applyFill="1" applyBorder="1" applyAlignment="1">
      <alignment horizontal="center" vertical="center" wrapText="1" readingOrder="1"/>
    </xf>
    <xf numFmtId="0" fontId="34" fillId="12" borderId="67" xfId="0" applyFont="1" applyFill="1" applyBorder="1" applyAlignment="1">
      <alignment horizontal="center" vertical="center" wrapText="1" readingOrder="1"/>
    </xf>
    <xf numFmtId="0" fontId="34" fillId="12" borderId="65" xfId="0" applyFont="1" applyFill="1" applyBorder="1" applyAlignment="1">
      <alignment horizontal="center" vertical="center" wrapText="1" readingOrder="1"/>
    </xf>
    <xf numFmtId="0" fontId="45" fillId="0" borderId="0" xfId="0" applyFont="1" applyAlignment="1">
      <alignment horizontal="center" wrapText="1"/>
    </xf>
    <xf numFmtId="0" fontId="45" fillId="0" borderId="22" xfId="0" applyFont="1" applyBorder="1" applyAlignment="1">
      <alignment horizontal="center" wrapText="1"/>
    </xf>
    <xf numFmtId="0" fontId="22" fillId="0" borderId="0" xfId="0" applyFont="1" applyAlignment="1">
      <alignment horizontal="left" vertical="center" wrapText="1"/>
    </xf>
    <xf numFmtId="0" fontId="22" fillId="0" borderId="0" xfId="0" applyFont="1" applyAlignment="1">
      <alignment horizontal="left" vertical="center"/>
    </xf>
    <xf numFmtId="0" fontId="7" fillId="0" borderId="54" xfId="0" applyFont="1" applyBorder="1" applyAlignment="1">
      <alignment horizontal="center" vertical="center" wrapText="1"/>
    </xf>
    <xf numFmtId="0" fontId="7" fillId="0" borderId="54" xfId="0" applyFont="1" applyBorder="1" applyAlignment="1">
      <alignment horizontal="center" vertical="center"/>
    </xf>
    <xf numFmtId="0" fontId="22" fillId="0" borderId="16" xfId="0" applyFont="1" applyBorder="1" applyAlignment="1">
      <alignment horizontal="left" vertical="center"/>
    </xf>
    <xf numFmtId="0" fontId="51" fillId="0" borderId="57" xfId="0" applyFont="1" applyBorder="1" applyAlignment="1">
      <alignment horizontal="center" vertical="center" wrapText="1"/>
    </xf>
    <xf numFmtId="0" fontId="51" fillId="0" borderId="25" xfId="0" applyFont="1" applyBorder="1" applyAlignment="1">
      <alignment horizontal="center" vertical="center" wrapText="1"/>
    </xf>
    <xf numFmtId="0" fontId="51" fillId="0" borderId="26" xfId="0" applyFont="1" applyBorder="1" applyAlignment="1">
      <alignment horizontal="center" vertical="center" wrapText="1"/>
    </xf>
    <xf numFmtId="0" fontId="51" fillId="0" borderId="57" xfId="0"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58" xfId="0" applyFont="1" applyBorder="1" applyAlignment="1">
      <alignment horizontal="center" vertical="center"/>
    </xf>
    <xf numFmtId="0" fontId="7" fillId="0" borderId="59" xfId="0" applyFont="1" applyBorder="1" applyAlignment="1">
      <alignment horizontal="center" vertical="center"/>
    </xf>
    <xf numFmtId="0" fontId="7" fillId="0" borderId="60" xfId="0" applyFont="1" applyBorder="1" applyAlignment="1">
      <alignment horizontal="center" vertical="center"/>
    </xf>
    <xf numFmtId="0" fontId="51" fillId="0" borderId="27" xfId="0" applyFont="1" applyBorder="1" applyAlignment="1">
      <alignment horizontal="center" vertical="center" wrapText="1"/>
    </xf>
    <xf numFmtId="0" fontId="41" fillId="9" borderId="15" xfId="0" applyFont="1" applyFill="1" applyBorder="1" applyAlignment="1">
      <alignment horizontal="center" vertical="center"/>
    </xf>
    <xf numFmtId="0" fontId="41" fillId="9" borderId="18" xfId="0" applyFont="1" applyFill="1" applyBorder="1" applyAlignment="1">
      <alignment horizontal="center" vertical="center"/>
    </xf>
    <xf numFmtId="0" fontId="41" fillId="9" borderId="20" xfId="0" applyFont="1" applyFill="1" applyBorder="1" applyAlignment="1">
      <alignment horizontal="center" vertical="center"/>
    </xf>
    <xf numFmtId="0" fontId="37" fillId="15" borderId="0" xfId="0" applyFont="1" applyFill="1" applyAlignment="1">
      <alignment horizontal="center" vertical="center" wrapText="1"/>
    </xf>
    <xf numFmtId="0" fontId="8" fillId="6" borderId="0" xfId="0" applyFont="1" applyFill="1" applyAlignment="1">
      <alignment horizontal="center" vertical="center"/>
    </xf>
    <xf numFmtId="0" fontId="10" fillId="8" borderId="0" xfId="0" applyFont="1" applyFill="1" applyAlignment="1">
      <alignment horizontal="center"/>
    </xf>
    <xf numFmtId="0" fontId="10" fillId="4" borderId="0" xfId="0" applyFont="1" applyFill="1" applyAlignment="1">
      <alignment horizontal="center"/>
    </xf>
    <xf numFmtId="0" fontId="4" fillId="0" borderId="0" xfId="0" applyFont="1" applyAlignment="1">
      <alignment horizontal="center"/>
    </xf>
    <xf numFmtId="0" fontId="0" fillId="0" borderId="15" xfId="0" applyBorder="1" applyAlignment="1">
      <alignment horizontal="center" vertical="center" wrapText="1"/>
    </xf>
    <xf numFmtId="0" fontId="0" fillId="0" borderId="18" xfId="0" applyBorder="1" applyAlignment="1">
      <alignment horizontal="center" vertical="center" wrapText="1"/>
    </xf>
    <xf numFmtId="0" fontId="0" fillId="0" borderId="20" xfId="0" applyBorder="1" applyAlignment="1">
      <alignment horizontal="center" vertical="center" wrapText="1"/>
    </xf>
    <xf numFmtId="0" fontId="14" fillId="0" borderId="15" xfId="0" applyFont="1" applyBorder="1" applyAlignment="1">
      <alignment horizontal="center" vertical="center" wrapText="1"/>
    </xf>
    <xf numFmtId="0" fontId="14" fillId="0" borderId="18" xfId="0" applyFont="1" applyBorder="1" applyAlignment="1">
      <alignment horizontal="center" vertical="center" wrapText="1"/>
    </xf>
    <xf numFmtId="0" fontId="24" fillId="0" borderId="223" xfId="0" applyFont="1" applyBorder="1" applyAlignment="1">
      <alignment horizontal="center" vertical="center"/>
    </xf>
    <xf numFmtId="0" fontId="24" fillId="0" borderId="16" xfId="0" applyFont="1" applyBorder="1" applyAlignment="1">
      <alignment horizontal="center" vertical="center"/>
    </xf>
    <xf numFmtId="0" fontId="24" fillId="0" borderId="17" xfId="0" applyFont="1" applyBorder="1" applyAlignment="1">
      <alignment horizontal="center" vertical="center"/>
    </xf>
    <xf numFmtId="0" fontId="62" fillId="0" borderId="195" xfId="0" applyFont="1" applyBorder="1" applyAlignment="1">
      <alignment horizontal="center" vertical="center" wrapText="1"/>
    </xf>
    <xf numFmtId="0" fontId="62" fillId="0" borderId="224" xfId="0" applyFont="1" applyBorder="1" applyAlignment="1">
      <alignment horizontal="center" vertical="center" wrapText="1"/>
    </xf>
    <xf numFmtId="0" fontId="62" fillId="0" borderId="214" xfId="0" applyFont="1" applyBorder="1" applyAlignment="1">
      <alignment horizontal="center" vertical="center" wrapText="1"/>
    </xf>
    <xf numFmtId="0" fontId="82" fillId="11" borderId="226" xfId="0" applyFont="1" applyFill="1" applyBorder="1" applyAlignment="1">
      <alignment horizontal="center" vertical="center" wrapText="1"/>
    </xf>
    <xf numFmtId="0" fontId="82" fillId="11" borderId="227" xfId="0" applyFont="1" applyFill="1" applyBorder="1" applyAlignment="1">
      <alignment horizontal="center" vertical="center" wrapText="1"/>
    </xf>
    <xf numFmtId="0" fontId="82" fillId="11" borderId="228" xfId="0" applyFont="1" applyFill="1" applyBorder="1" applyAlignment="1">
      <alignment horizontal="center" vertical="center" wrapText="1"/>
    </xf>
    <xf numFmtId="0" fontId="37" fillId="11" borderId="21" xfId="0" applyFont="1" applyFill="1" applyBorder="1" applyAlignment="1">
      <alignment horizontal="center" vertical="center" wrapText="1"/>
    </xf>
    <xf numFmtId="0" fontId="37" fillId="11" borderId="22" xfId="0" applyFont="1" applyFill="1" applyBorder="1" applyAlignment="1">
      <alignment horizontal="center" vertical="center" wrapText="1"/>
    </xf>
    <xf numFmtId="0" fontId="60" fillId="24" borderId="264" xfId="14" applyFont="1" applyFill="1" applyBorder="1" applyAlignment="1">
      <alignment horizontal="center" vertical="center" wrapText="1"/>
    </xf>
    <xf numFmtId="0" fontId="60" fillId="24" borderId="265" xfId="14" applyFont="1" applyFill="1" applyBorder="1" applyAlignment="1">
      <alignment horizontal="center" vertical="center" wrapText="1"/>
    </xf>
    <xf numFmtId="0" fontId="60" fillId="24" borderId="2" xfId="14" applyFont="1" applyFill="1" applyBorder="1" applyAlignment="1">
      <alignment horizontal="center" vertical="center" wrapText="1"/>
    </xf>
    <xf numFmtId="0" fontId="51" fillId="0" borderId="196" xfId="0" applyFont="1" applyBorder="1" applyAlignment="1">
      <alignment horizontal="center" vertical="center" wrapText="1"/>
    </xf>
    <xf numFmtId="0" fontId="51" fillId="0" borderId="250" xfId="0" applyFont="1" applyBorder="1" applyAlignment="1">
      <alignment horizontal="center" vertical="center" wrapText="1"/>
    </xf>
    <xf numFmtId="0" fontId="51" fillId="0" borderId="275" xfId="0" applyFont="1" applyBorder="1" applyAlignment="1">
      <alignment horizontal="center" vertical="center" wrapText="1"/>
    </xf>
    <xf numFmtId="0" fontId="37" fillId="11" borderId="255" xfId="0" applyFont="1" applyFill="1" applyBorder="1" applyAlignment="1">
      <alignment horizontal="center" vertical="center" wrapText="1"/>
    </xf>
    <xf numFmtId="0" fontId="7" fillId="0" borderId="252" xfId="0" applyFont="1" applyBorder="1" applyAlignment="1">
      <alignment horizontal="center" vertical="center" wrapText="1"/>
    </xf>
    <xf numFmtId="43" fontId="60" fillId="0" borderId="3" xfId="6" applyFont="1" applyBorder="1" applyAlignment="1">
      <alignment horizontal="center" vertical="center"/>
    </xf>
    <xf numFmtId="43" fontId="51" fillId="0" borderId="263" xfId="6" applyFont="1" applyBorder="1" applyAlignment="1">
      <alignment horizontal="center" vertical="center" wrapText="1"/>
    </xf>
    <xf numFmtId="0" fontId="37" fillId="25" borderId="253" xfId="14" applyFont="1" applyFill="1" applyBorder="1" applyAlignment="1">
      <alignment horizontal="center" vertical="center" wrapText="1"/>
    </xf>
    <xf numFmtId="0" fontId="37" fillId="25" borderId="0" xfId="14" applyFont="1" applyFill="1" applyAlignment="1">
      <alignment horizontal="center" vertical="center" wrapText="1"/>
    </xf>
    <xf numFmtId="0" fontId="8" fillId="0" borderId="22" xfId="0" applyFont="1" applyBorder="1" applyAlignment="1">
      <alignment horizontal="center"/>
    </xf>
    <xf numFmtId="0" fontId="7" fillId="0" borderId="77" xfId="0" applyFont="1" applyBorder="1" applyAlignment="1">
      <alignment horizontal="center" vertical="center" wrapText="1"/>
    </xf>
    <xf numFmtId="0" fontId="37" fillId="11" borderId="19" xfId="0" applyFont="1" applyFill="1" applyBorder="1" applyAlignment="1">
      <alignment horizontal="center" vertical="center" wrapText="1"/>
    </xf>
    <xf numFmtId="0" fontId="8" fillId="9" borderId="69" xfId="0" applyFont="1" applyFill="1" applyBorder="1" applyAlignment="1">
      <alignment horizontal="center" vertical="center"/>
    </xf>
    <xf numFmtId="0" fontId="8" fillId="9" borderId="69" xfId="0" applyFont="1" applyFill="1" applyBorder="1" applyAlignment="1">
      <alignment horizontal="center" vertical="center" wrapText="1"/>
    </xf>
    <xf numFmtId="0" fontId="37" fillId="11" borderId="22" xfId="0" applyFont="1" applyFill="1" applyBorder="1" applyAlignment="1">
      <alignment horizontal="center" vertical="center"/>
    </xf>
    <xf numFmtId="0" fontId="7" fillId="10" borderId="2" xfId="0" applyFont="1" applyFill="1" applyBorder="1" applyAlignment="1">
      <alignment horizontal="left" vertical="center"/>
    </xf>
    <xf numFmtId="0" fontId="25" fillId="9" borderId="137" xfId="0" applyFont="1" applyFill="1" applyBorder="1" applyAlignment="1">
      <alignment horizontal="center" vertical="center" wrapText="1"/>
    </xf>
    <xf numFmtId="0" fontId="25" fillId="9" borderId="86" xfId="0" applyFont="1" applyFill="1" applyBorder="1" applyAlignment="1">
      <alignment horizontal="center" vertical="center" wrapText="1"/>
    </xf>
    <xf numFmtId="0" fontId="7" fillId="0" borderId="15"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0" xfId="0" applyFont="1" applyBorder="1" applyAlignment="1">
      <alignment horizontal="center" vertical="center" wrapText="1"/>
    </xf>
    <xf numFmtId="0" fontId="57" fillId="23" borderId="0" xfId="0" applyFont="1" applyFill="1" applyAlignment="1">
      <alignment horizontal="center" vertical="center"/>
    </xf>
    <xf numFmtId="0" fontId="0" fillId="0" borderId="0" xfId="0"/>
    <xf numFmtId="0" fontId="83" fillId="23" borderId="0" xfId="0" applyFont="1" applyFill="1" applyAlignment="1">
      <alignment horizontal="center" vertical="center"/>
    </xf>
    <xf numFmtId="0" fontId="62" fillId="0" borderId="0" xfId="0" applyFont="1"/>
    <xf numFmtId="0" fontId="62" fillId="0" borderId="32" xfId="0" applyFont="1" applyBorder="1" applyAlignment="1">
      <alignment horizontal="center" vertical="center" wrapText="1"/>
    </xf>
    <xf numFmtId="0" fontId="59" fillId="0" borderId="157" xfId="0" applyFont="1" applyBorder="1" applyAlignment="1">
      <alignment horizontal="center" vertical="center" wrapText="1"/>
    </xf>
    <xf numFmtId="0" fontId="59" fillId="0" borderId="159" xfId="0" applyFont="1" applyBorder="1" applyAlignment="1">
      <alignment horizontal="center" vertical="center" wrapText="1"/>
    </xf>
    <xf numFmtId="0" fontId="59" fillId="0" borderId="247" xfId="0" applyFont="1" applyBorder="1" applyAlignment="1">
      <alignment horizontal="center" vertical="center" wrapText="1"/>
    </xf>
    <xf numFmtId="0" fontId="59" fillId="0" borderId="240" xfId="0" applyFont="1" applyBorder="1" applyAlignment="1">
      <alignment horizontal="center" vertical="center"/>
    </xf>
    <xf numFmtId="0" fontId="59" fillId="0" borderId="77" xfId="0" applyFont="1" applyBorder="1" applyAlignment="1">
      <alignment horizontal="center" vertical="center"/>
    </xf>
    <xf numFmtId="0" fontId="59" fillId="0" borderId="191" xfId="0" applyFont="1" applyBorder="1" applyAlignment="1">
      <alignment horizontal="center" vertical="center" wrapText="1"/>
    </xf>
    <xf numFmtId="0" fontId="59" fillId="0" borderId="32" xfId="0" applyFont="1" applyBorder="1" applyAlignment="1">
      <alignment horizontal="center" vertical="center" wrapText="1"/>
    </xf>
    <xf numFmtId="0" fontId="59" fillId="0" borderId="195" xfId="0" applyFont="1" applyBorder="1" applyAlignment="1">
      <alignment horizontal="center" vertical="center" wrapText="1"/>
    </xf>
    <xf numFmtId="0" fontId="59" fillId="0" borderId="192" xfId="0" applyFont="1" applyBorder="1" applyAlignment="1">
      <alignment horizontal="center" vertical="center" wrapText="1"/>
    </xf>
    <xf numFmtId="0" fontId="59" fillId="0" borderId="175" xfId="0" applyFont="1" applyBorder="1" applyAlignment="1">
      <alignment horizontal="center" vertical="center" wrapText="1"/>
    </xf>
    <xf numFmtId="0" fontId="59" fillId="0" borderId="196" xfId="0" applyFont="1" applyBorder="1" applyAlignment="1">
      <alignment horizontal="center" vertical="center" wrapText="1"/>
    </xf>
    <xf numFmtId="0" fontId="59" fillId="0" borderId="73" xfId="0" applyFont="1" applyBorder="1" applyAlignment="1">
      <alignment horizontal="center" vertical="center" wrapText="1"/>
    </xf>
    <xf numFmtId="0" fontId="59" fillId="0" borderId="69" xfId="0" applyFont="1" applyBorder="1" applyAlignment="1">
      <alignment horizontal="center" vertical="center" wrapText="1"/>
    </xf>
    <xf numFmtId="0" fontId="59" fillId="0" borderId="119" xfId="0" applyFont="1" applyBorder="1" applyAlignment="1">
      <alignment horizontal="center" vertical="center" wrapText="1"/>
    </xf>
    <xf numFmtId="0" fontId="23" fillId="0" borderId="116" xfId="0" applyFont="1" applyBorder="1" applyAlignment="1">
      <alignment horizontal="center" vertical="center" wrapText="1"/>
    </xf>
    <xf numFmtId="0" fontId="23" fillId="0" borderId="118" xfId="0" applyFont="1" applyBorder="1" applyAlignment="1">
      <alignment horizontal="center" vertical="center" wrapText="1"/>
    </xf>
    <xf numFmtId="0" fontId="23" fillId="0" borderId="120" xfId="0" applyFont="1" applyBorder="1" applyAlignment="1">
      <alignment horizontal="center" vertical="center" wrapText="1"/>
    </xf>
    <xf numFmtId="0" fontId="59" fillId="0" borderId="225" xfId="0" applyFont="1" applyBorder="1" applyAlignment="1">
      <alignment horizontal="center" vertical="center" wrapText="1"/>
    </xf>
    <xf numFmtId="0" fontId="59" fillId="0" borderId="76" xfId="0" applyFont="1" applyBorder="1" applyAlignment="1">
      <alignment horizontal="center" vertical="center" wrapText="1"/>
    </xf>
    <xf numFmtId="0" fontId="59" fillId="0" borderId="79" xfId="0" applyFont="1" applyBorder="1" applyAlignment="1">
      <alignment horizontal="center" vertical="center" wrapText="1"/>
    </xf>
    <xf numFmtId="0" fontId="59" fillId="0" borderId="80" xfId="0" applyFont="1" applyBorder="1" applyAlignment="1">
      <alignment horizontal="center" vertical="center"/>
    </xf>
    <xf numFmtId="0" fontId="59" fillId="0" borderId="97" xfId="0" applyFont="1" applyBorder="1" applyAlignment="1">
      <alignment horizontal="center" vertical="center" wrapText="1"/>
    </xf>
    <xf numFmtId="0" fontId="59" fillId="0" borderId="92" xfId="0" applyFont="1" applyBorder="1" applyAlignment="1">
      <alignment horizontal="center" vertical="center" wrapText="1"/>
    </xf>
    <xf numFmtId="0" fontId="59" fillId="0" borderId="136" xfId="0" applyFont="1" applyBorder="1" applyAlignment="1">
      <alignment horizontal="center" vertical="center" wrapText="1"/>
    </xf>
    <xf numFmtId="0" fontId="59" fillId="0" borderId="78" xfId="0" applyFont="1" applyBorder="1" applyAlignment="1">
      <alignment horizontal="center" vertical="center" wrapText="1"/>
    </xf>
    <xf numFmtId="0" fontId="59" fillId="0" borderId="82" xfId="0" applyFont="1" applyBorder="1" applyAlignment="1">
      <alignment horizontal="center" vertical="center" wrapText="1"/>
    </xf>
    <xf numFmtId="0" fontId="59" fillId="0" borderId="71" xfId="0" applyFont="1" applyBorder="1" applyAlignment="1">
      <alignment horizontal="center" vertical="center" wrapText="1"/>
    </xf>
    <xf numFmtId="0" fontId="59" fillId="0" borderId="72" xfId="0" applyFont="1" applyBorder="1" applyAlignment="1">
      <alignment horizontal="center" vertical="center"/>
    </xf>
    <xf numFmtId="0" fontId="59" fillId="0" borderId="84" xfId="0" applyFont="1" applyBorder="1" applyAlignment="1">
      <alignment horizontal="center" vertical="center" wrapText="1"/>
    </xf>
    <xf numFmtId="0" fontId="59" fillId="0" borderId="81" xfId="0" applyFont="1" applyBorder="1" applyAlignment="1">
      <alignment horizontal="center" vertical="center" wrapText="1"/>
    </xf>
    <xf numFmtId="0" fontId="59" fillId="0" borderId="74" xfId="0" applyFont="1" applyBorder="1" applyAlignment="1">
      <alignment horizontal="center" vertical="center" wrapText="1"/>
    </xf>
    <xf numFmtId="0" fontId="59" fillId="0" borderId="122" xfId="0" applyFont="1" applyBorder="1" applyAlignment="1">
      <alignment horizontal="center" vertical="center" wrapText="1"/>
    </xf>
    <xf numFmtId="0" fontId="23" fillId="0" borderId="84" xfId="0" applyFont="1" applyBorder="1" applyAlignment="1">
      <alignment horizontal="center" vertical="center" wrapText="1"/>
    </xf>
    <xf numFmtId="0" fontId="23" fillId="0" borderId="69" xfId="0" applyFont="1" applyBorder="1" applyAlignment="1">
      <alignment horizontal="center" vertical="center" wrapText="1"/>
    </xf>
    <xf numFmtId="0" fontId="23" fillId="0" borderId="81" xfId="0" applyFont="1" applyBorder="1" applyAlignment="1">
      <alignment horizontal="center" vertical="center" wrapText="1"/>
    </xf>
    <xf numFmtId="0" fontId="23" fillId="0" borderId="74" xfId="0" applyFont="1" applyBorder="1" applyAlignment="1">
      <alignment horizontal="center" vertical="center" wrapText="1"/>
    </xf>
    <xf numFmtId="0" fontId="23" fillId="0" borderId="78" xfId="0" applyFont="1" applyBorder="1" applyAlignment="1">
      <alignment horizontal="center" vertical="center" wrapText="1"/>
    </xf>
    <xf numFmtId="0" fontId="23" fillId="0" borderId="122" xfId="0" applyFont="1" applyBorder="1" applyAlignment="1">
      <alignment horizontal="center" vertical="center" wrapText="1"/>
    </xf>
    <xf numFmtId="0" fontId="23" fillId="0" borderId="77" xfId="0" applyFont="1" applyBorder="1" applyAlignment="1">
      <alignment horizontal="center" vertical="center"/>
    </xf>
    <xf numFmtId="0" fontId="23" fillId="0" borderId="112" xfId="0" applyFont="1" applyBorder="1" applyAlignment="1">
      <alignment horizontal="center" vertical="center"/>
    </xf>
    <xf numFmtId="0" fontId="23" fillId="0" borderId="97" xfId="0" applyFont="1" applyBorder="1" applyAlignment="1">
      <alignment horizontal="center" vertical="center" wrapText="1"/>
    </xf>
    <xf numFmtId="0" fontId="23" fillId="0" borderId="119" xfId="0" applyFont="1" applyBorder="1" applyAlignment="1">
      <alignment horizontal="center" vertical="center" wrapText="1"/>
    </xf>
    <xf numFmtId="0" fontId="23" fillId="0" borderId="136" xfId="0" applyFont="1" applyBorder="1" applyAlignment="1">
      <alignment horizontal="center" vertical="center" wrapText="1"/>
    </xf>
    <xf numFmtId="0" fontId="52" fillId="0" borderId="139" xfId="0" applyFont="1" applyBorder="1" applyAlignment="1">
      <alignment horizontal="center" vertical="center" wrapText="1"/>
    </xf>
    <xf numFmtId="0" fontId="52" fillId="0" borderId="140" xfId="0" applyFont="1" applyBorder="1" applyAlignment="1">
      <alignment horizontal="center" vertical="center" wrapText="1"/>
    </xf>
    <xf numFmtId="0" fontId="52" fillId="0" borderId="141" xfId="0" applyFont="1" applyBorder="1" applyAlignment="1">
      <alignment horizontal="center" vertical="center" wrapText="1"/>
    </xf>
    <xf numFmtId="0" fontId="52" fillId="0" borderId="142" xfId="0" applyFont="1" applyBorder="1" applyAlignment="1">
      <alignment horizontal="center" vertical="center" wrapText="1"/>
    </xf>
    <xf numFmtId="0" fontId="52" fillId="0" borderId="143" xfId="0" applyFont="1" applyBorder="1" applyAlignment="1">
      <alignment horizontal="center" vertical="center" wrapText="1"/>
    </xf>
    <xf numFmtId="0" fontId="52" fillId="0" borderId="144" xfId="0" applyFont="1" applyBorder="1" applyAlignment="1">
      <alignment horizontal="center" vertical="center" wrapText="1"/>
    </xf>
    <xf numFmtId="0" fontId="52" fillId="0" borderId="145" xfId="0" applyFont="1" applyBorder="1" applyAlignment="1">
      <alignment horizontal="center" vertical="center" wrapText="1"/>
    </xf>
    <xf numFmtId="0" fontId="52" fillId="0" borderId="146" xfId="0" applyFont="1" applyBorder="1" applyAlignment="1">
      <alignment horizontal="center" vertical="center" wrapText="1"/>
    </xf>
    <xf numFmtId="0" fontId="52" fillId="0" borderId="147" xfId="0" applyFont="1" applyBorder="1" applyAlignment="1">
      <alignment horizontal="center" vertical="center" wrapText="1"/>
    </xf>
    <xf numFmtId="0" fontId="23" fillId="0" borderId="157" xfId="0" applyFont="1" applyBorder="1" applyAlignment="1">
      <alignment horizontal="center" vertical="center" wrapText="1"/>
    </xf>
    <xf numFmtId="0" fontId="23" fillId="0" borderId="159" xfId="0" applyFont="1" applyBorder="1" applyAlignment="1">
      <alignment horizontal="center" vertical="center" wrapText="1"/>
    </xf>
    <xf numFmtId="0" fontId="23" fillId="0" borderId="160" xfId="0" applyFont="1" applyBorder="1" applyAlignment="1">
      <alignment horizontal="center" vertical="center" wrapText="1"/>
    </xf>
    <xf numFmtId="0" fontId="23" fillId="0" borderId="158" xfId="0" applyFont="1" applyBorder="1" applyAlignment="1">
      <alignment horizontal="center" vertical="center"/>
    </xf>
    <xf numFmtId="0" fontId="23" fillId="0" borderId="69" xfId="0" applyFont="1" applyBorder="1" applyAlignment="1">
      <alignment horizontal="center" vertical="center"/>
    </xf>
    <xf numFmtId="0" fontId="23" fillId="0" borderId="161" xfId="0" applyFont="1" applyBorder="1" applyAlignment="1">
      <alignment horizontal="center" vertical="center"/>
    </xf>
    <xf numFmtId="0" fontId="23" fillId="0" borderId="158" xfId="0" applyFont="1" applyBorder="1" applyAlignment="1">
      <alignment horizontal="center" vertical="center" wrapText="1"/>
    </xf>
    <xf numFmtId="0" fontId="23" fillId="0" borderId="77" xfId="0" applyFont="1" applyBorder="1" applyAlignment="1">
      <alignment horizontal="center" vertical="center" wrapText="1"/>
    </xf>
    <xf numFmtId="0" fontId="23" fillId="0" borderId="162" xfId="0" applyFont="1" applyBorder="1" applyAlignment="1">
      <alignment horizontal="center" vertical="center" wrapText="1"/>
    </xf>
    <xf numFmtId="0" fontId="60" fillId="9" borderId="114" xfId="0" applyFont="1" applyFill="1" applyBorder="1" applyAlignment="1">
      <alignment horizontal="center" vertical="center"/>
    </xf>
    <xf numFmtId="0" fontId="60" fillId="9" borderId="0" xfId="0" applyFont="1" applyFill="1" applyAlignment="1">
      <alignment horizontal="center" vertical="center"/>
    </xf>
    <xf numFmtId="0" fontId="60" fillId="9" borderId="115" xfId="0" applyFont="1" applyFill="1" applyBorder="1" applyAlignment="1">
      <alignment horizontal="center" vertical="center"/>
    </xf>
    <xf numFmtId="0" fontId="59" fillId="0" borderId="111" xfId="0" applyFont="1" applyBorder="1" applyAlignment="1">
      <alignment horizontal="center" vertical="center" wrapText="1"/>
    </xf>
    <xf numFmtId="0" fontId="23" fillId="0" borderId="82" xfId="0" applyFont="1" applyBorder="1" applyAlignment="1">
      <alignment horizontal="center" vertical="center" wrapText="1"/>
    </xf>
    <xf numFmtId="0" fontId="59" fillId="0" borderId="112" xfId="0" applyFont="1" applyBorder="1" applyAlignment="1">
      <alignment horizontal="center" vertical="center"/>
    </xf>
    <xf numFmtId="0" fontId="23" fillId="0" borderId="225" xfId="0" applyFont="1" applyBorder="1" applyAlignment="1">
      <alignment horizontal="center" vertical="center" wrapText="1"/>
    </xf>
    <xf numFmtId="0" fontId="23" fillId="0" borderId="76" xfId="0" applyFont="1" applyBorder="1" applyAlignment="1">
      <alignment horizontal="center" vertical="center" wrapText="1"/>
    </xf>
    <xf numFmtId="0" fontId="23" fillId="0" borderId="79" xfId="0" applyFont="1" applyBorder="1" applyAlignment="1">
      <alignment horizontal="center" vertical="center" wrapText="1"/>
    </xf>
    <xf numFmtId="0" fontId="23" fillId="0" borderId="71" xfId="0" applyFont="1" applyBorder="1" applyAlignment="1">
      <alignment horizontal="center" vertical="center" wrapText="1"/>
    </xf>
    <xf numFmtId="0" fontId="23" fillId="0" borderId="111" xfId="0" applyFont="1" applyBorder="1" applyAlignment="1">
      <alignment horizontal="center" vertical="center" wrapText="1"/>
    </xf>
    <xf numFmtId="0" fontId="23" fillId="0" borderId="127" xfId="0" applyFont="1" applyBorder="1" applyAlignment="1">
      <alignment horizontal="center" vertical="center" wrapText="1"/>
    </xf>
    <xf numFmtId="0" fontId="23" fillId="0" borderId="129" xfId="0" applyFont="1" applyBorder="1" applyAlignment="1">
      <alignment horizontal="center" vertical="center" wrapText="1"/>
    </xf>
    <xf numFmtId="0" fontId="23" fillId="0" borderId="130" xfId="0" applyFont="1" applyBorder="1" applyAlignment="1">
      <alignment horizontal="center" vertical="center" wrapText="1"/>
    </xf>
    <xf numFmtId="0" fontId="23" fillId="0" borderId="80" xfId="0" applyFont="1" applyBorder="1" applyAlignment="1">
      <alignment horizontal="center" vertical="center" wrapText="1"/>
    </xf>
    <xf numFmtId="0" fontId="23" fillId="0" borderId="112" xfId="0" applyFont="1" applyBorder="1" applyAlignment="1">
      <alignment horizontal="center" vertical="center" wrapText="1"/>
    </xf>
    <xf numFmtId="0" fontId="23" fillId="0" borderId="88" xfId="0" applyFont="1" applyBorder="1" applyAlignment="1">
      <alignment horizontal="center" vertical="center" wrapText="1"/>
    </xf>
    <xf numFmtId="0" fontId="23" fillId="0" borderId="93" xfId="0" applyFont="1" applyBorder="1" applyAlignment="1">
      <alignment horizontal="center" vertical="center" wrapText="1"/>
    </xf>
    <xf numFmtId="0" fontId="23" fillId="0" borderId="73" xfId="0" applyFont="1" applyBorder="1" applyAlignment="1">
      <alignment horizontal="center" vertical="center"/>
    </xf>
    <xf numFmtId="0" fontId="23" fillId="0" borderId="119" xfId="0" applyFont="1" applyBorder="1" applyAlignment="1">
      <alignment horizontal="center" vertical="center"/>
    </xf>
    <xf numFmtId="0" fontId="23" fillId="0" borderId="73" xfId="0" applyFont="1" applyBorder="1" applyAlignment="1">
      <alignment horizontal="center" vertical="center" wrapText="1"/>
    </xf>
    <xf numFmtId="0" fontId="23" fillId="0" borderId="123" xfId="0" applyFont="1" applyBorder="1" applyAlignment="1">
      <alignment horizontal="center" vertical="center" wrapText="1"/>
    </xf>
    <xf numFmtId="0" fontId="23" fillId="0" borderId="124" xfId="0" applyFont="1" applyBorder="1" applyAlignment="1">
      <alignment horizontal="center" vertical="center" wrapText="1"/>
    </xf>
    <xf numFmtId="0" fontId="23" fillId="0" borderId="125" xfId="0" applyFont="1" applyBorder="1" applyAlignment="1">
      <alignment horizontal="center" vertical="center" wrapText="1"/>
    </xf>
    <xf numFmtId="0" fontId="23" fillId="0" borderId="97" xfId="0" applyFont="1" applyBorder="1" applyAlignment="1">
      <alignment horizontal="center" vertical="center"/>
    </xf>
    <xf numFmtId="0" fontId="23" fillId="0" borderId="92" xfId="0" applyFont="1" applyBorder="1" applyAlignment="1">
      <alignment horizontal="center" vertical="center"/>
    </xf>
    <xf numFmtId="0" fontId="23" fillId="0" borderId="126" xfId="0" applyFont="1" applyBorder="1" applyAlignment="1">
      <alignment horizontal="center" vertical="center" wrapText="1"/>
    </xf>
    <xf numFmtId="0" fontId="23" fillId="0" borderId="72" xfId="0" applyFont="1" applyBorder="1" applyAlignment="1">
      <alignment horizontal="center" vertical="center"/>
    </xf>
    <xf numFmtId="0" fontId="23" fillId="0" borderId="240" xfId="0" applyFont="1" applyBorder="1" applyAlignment="1">
      <alignment horizontal="center" vertical="center"/>
    </xf>
    <xf numFmtId="0" fontId="23" fillId="0" borderId="162" xfId="0" applyFont="1" applyBorder="1" applyAlignment="1">
      <alignment horizontal="center" vertical="center"/>
    </xf>
    <xf numFmtId="0" fontId="23" fillId="0" borderId="161" xfId="0" applyFont="1" applyBorder="1" applyAlignment="1">
      <alignment horizontal="center" vertical="center" wrapText="1"/>
    </xf>
    <xf numFmtId="0" fontId="23" fillId="0" borderId="283" xfId="0" applyFont="1" applyBorder="1" applyAlignment="1">
      <alignment horizontal="center" vertical="center" wrapText="1"/>
    </xf>
    <xf numFmtId="0" fontId="23" fillId="0" borderId="284" xfId="0" applyFont="1" applyBorder="1" applyAlignment="1">
      <alignment horizontal="center" vertical="center" wrapText="1"/>
    </xf>
    <xf numFmtId="0" fontId="23" fillId="0" borderId="285" xfId="0" applyFont="1" applyBorder="1" applyAlignment="1">
      <alignment horizontal="center" vertical="center" wrapText="1"/>
    </xf>
    <xf numFmtId="0" fontId="37" fillId="11" borderId="23" xfId="0" applyFont="1" applyFill="1" applyBorder="1" applyAlignment="1">
      <alignment horizontal="center" vertical="center" wrapText="1"/>
    </xf>
    <xf numFmtId="0" fontId="8" fillId="9" borderId="2" xfId="0" applyFont="1" applyFill="1" applyBorder="1" applyAlignment="1">
      <alignment horizontal="center" vertical="center"/>
    </xf>
    <xf numFmtId="0" fontId="8" fillId="9" borderId="15" xfId="0" applyFont="1" applyFill="1" applyBorder="1" applyAlignment="1">
      <alignment horizontal="center" vertical="center"/>
    </xf>
    <xf numFmtId="0" fontId="50" fillId="0" borderId="133" xfId="0" applyFont="1" applyBorder="1" applyAlignment="1">
      <alignment horizontal="center" vertical="center" wrapText="1"/>
    </xf>
    <xf numFmtId="0" fontId="50" fillId="0" borderId="118" xfId="0" applyFont="1" applyBorder="1" applyAlignment="1">
      <alignment horizontal="center" vertical="center" wrapText="1"/>
    </xf>
    <xf numFmtId="0" fontId="50" fillId="0" borderId="120" xfId="0" applyFont="1" applyBorder="1" applyAlignment="1">
      <alignment horizontal="center" vertical="center" wrapText="1"/>
    </xf>
    <xf numFmtId="0" fontId="23" fillId="0" borderId="80" xfId="0" applyFont="1" applyBorder="1" applyAlignment="1">
      <alignment horizontal="center" vertical="center"/>
    </xf>
    <xf numFmtId="0" fontId="23" fillId="0" borderId="132" xfId="0" applyFont="1" applyBorder="1" applyAlignment="1">
      <alignment horizontal="center" vertical="center" wrapText="1"/>
    </xf>
    <xf numFmtId="0" fontId="19" fillId="9" borderId="3" xfId="0" applyFont="1" applyFill="1" applyBorder="1" applyAlignment="1">
      <alignment horizontal="center" vertical="center" wrapText="1"/>
    </xf>
    <xf numFmtId="0" fontId="19" fillId="9" borderId="13" xfId="0" applyFont="1" applyFill="1" applyBorder="1" applyAlignment="1">
      <alignment horizontal="center" vertical="center" wrapText="1"/>
    </xf>
    <xf numFmtId="0" fontId="19" fillId="9" borderId="14" xfId="0" applyFont="1" applyFill="1" applyBorder="1" applyAlignment="1">
      <alignment horizontal="center" vertical="center" wrapText="1"/>
    </xf>
    <xf numFmtId="0" fontId="8" fillId="9" borderId="70" xfId="0" applyFont="1" applyFill="1" applyBorder="1" applyAlignment="1">
      <alignment horizontal="center" vertical="center"/>
    </xf>
    <xf numFmtId="0" fontId="23" fillId="0" borderId="103" xfId="0" applyFont="1" applyBorder="1" applyAlignment="1">
      <alignment horizontal="center" vertical="center" wrapText="1"/>
    </xf>
    <xf numFmtId="0" fontId="23" fillId="0" borderId="105" xfId="0" applyFont="1" applyBorder="1" applyAlignment="1">
      <alignment horizontal="center" vertical="center" wrapText="1"/>
    </xf>
    <xf numFmtId="0" fontId="23" fillId="0" borderId="107" xfId="0" applyFont="1" applyBorder="1" applyAlignment="1">
      <alignment horizontal="center" vertical="center" wrapText="1"/>
    </xf>
    <xf numFmtId="0" fontId="23" fillId="0" borderId="109" xfId="0" applyFont="1" applyBorder="1" applyAlignment="1">
      <alignment horizontal="center" vertical="center" wrapText="1"/>
    </xf>
    <xf numFmtId="0" fontId="23" fillId="0" borderId="110" xfId="0" applyFont="1" applyBorder="1" applyAlignment="1">
      <alignment horizontal="center" vertical="center" wrapText="1"/>
    </xf>
    <xf numFmtId="0" fontId="23" fillId="0" borderId="113" xfId="0" applyFont="1" applyBorder="1" applyAlignment="1">
      <alignment horizontal="center" vertical="center" wrapText="1"/>
    </xf>
    <xf numFmtId="0" fontId="23" fillId="0" borderId="104" xfId="0" applyFont="1" applyBorder="1" applyAlignment="1">
      <alignment horizontal="center" vertical="center" wrapText="1"/>
    </xf>
    <xf numFmtId="0" fontId="23" fillId="0" borderId="106" xfId="0" applyFont="1" applyBorder="1" applyAlignment="1">
      <alignment horizontal="center" vertical="center" wrapText="1"/>
    </xf>
    <xf numFmtId="0" fontId="23" fillId="0" borderId="108" xfId="0" applyFont="1" applyBorder="1" applyAlignment="1">
      <alignment horizontal="center" vertical="center" wrapText="1"/>
    </xf>
    <xf numFmtId="0" fontId="8" fillId="9" borderId="114" xfId="0" applyFont="1" applyFill="1" applyBorder="1" applyAlignment="1">
      <alignment horizontal="center" vertical="center"/>
    </xf>
    <xf numFmtId="0" fontId="8" fillId="9" borderId="0" xfId="0" applyFont="1" applyFill="1" applyAlignment="1">
      <alignment horizontal="center" vertical="center"/>
    </xf>
    <xf numFmtId="0" fontId="8" fillId="9" borderId="115" xfId="0" applyFont="1" applyFill="1" applyBorder="1" applyAlignment="1">
      <alignment horizontal="center" vertical="center"/>
    </xf>
    <xf numFmtId="0" fontId="23" fillId="0" borderId="92" xfId="0" applyFont="1" applyBorder="1" applyAlignment="1">
      <alignment horizontal="center" vertical="center" wrapText="1"/>
    </xf>
    <xf numFmtId="0" fontId="23" fillId="0" borderId="72" xfId="0" applyFont="1" applyBorder="1" applyAlignment="1">
      <alignment horizontal="center" vertical="center" wrapText="1"/>
    </xf>
    <xf numFmtId="0" fontId="23" fillId="0" borderId="241" xfId="0" applyFont="1" applyBorder="1" applyAlignment="1">
      <alignment horizontal="center" vertical="center" wrapText="1"/>
    </xf>
    <xf numFmtId="0" fontId="23" fillId="0" borderId="244" xfId="0" applyFont="1" applyBorder="1" applyAlignment="1">
      <alignment horizontal="center" vertical="center" wrapText="1"/>
    </xf>
    <xf numFmtId="0" fontId="59" fillId="0" borderId="132" xfId="0" applyFont="1" applyBorder="1" applyAlignment="1">
      <alignment horizontal="center" vertical="center" wrapText="1"/>
    </xf>
    <xf numFmtId="0" fontId="59" fillId="0" borderId="77" xfId="0" applyFont="1" applyBorder="1" applyAlignment="1">
      <alignment horizontal="center" vertical="center" wrapText="1"/>
    </xf>
    <xf numFmtId="0" fontId="59" fillId="0" borderId="80" xfId="0" applyFont="1" applyBorder="1" applyAlignment="1">
      <alignment horizontal="center" vertical="center" wrapText="1"/>
    </xf>
    <xf numFmtId="0" fontId="59" fillId="0" borderId="160" xfId="0" applyFont="1" applyBorder="1" applyAlignment="1">
      <alignment horizontal="center" vertical="center" wrapText="1"/>
    </xf>
    <xf numFmtId="0" fontId="59" fillId="0" borderId="162" xfId="0" applyFont="1" applyBorder="1" applyAlignment="1">
      <alignment horizontal="center" vertical="center"/>
    </xf>
    <xf numFmtId="0" fontId="59" fillId="0" borderId="248" xfId="0" applyFont="1" applyBorder="1" applyAlignment="1">
      <alignment horizontal="center" vertical="center" wrapText="1"/>
    </xf>
    <xf numFmtId="0" fontId="59" fillId="0" borderId="105" xfId="0" applyFont="1" applyBorder="1" applyAlignment="1">
      <alignment horizontal="center" vertical="center" wrapText="1"/>
    </xf>
    <xf numFmtId="0" fontId="59" fillId="0" borderId="249" xfId="0" applyFont="1" applyBorder="1" applyAlignment="1">
      <alignment horizontal="center" vertical="center" wrapText="1"/>
    </xf>
    <xf numFmtId="0" fontId="59" fillId="0" borderId="280" xfId="0" applyFont="1" applyBorder="1" applyAlignment="1">
      <alignment horizontal="center" vertical="center" wrapText="1"/>
    </xf>
    <xf numFmtId="0" fontId="59" fillId="0" borderId="137" xfId="0" applyFont="1" applyBorder="1" applyAlignment="1">
      <alignment horizontal="center" vertical="center" wrapText="1"/>
    </xf>
    <xf numFmtId="0" fontId="59" fillId="0" borderId="281" xfId="0" applyFont="1" applyBorder="1" applyAlignment="1">
      <alignment horizontal="center" vertical="center" wrapText="1"/>
    </xf>
    <xf numFmtId="0" fontId="7" fillId="0" borderId="181" xfId="0" applyFont="1" applyBorder="1" applyAlignment="1">
      <alignment horizontal="center" vertical="center"/>
    </xf>
    <xf numFmtId="0" fontId="7" fillId="0" borderId="182" xfId="0" applyFont="1" applyBorder="1" applyAlignment="1">
      <alignment horizontal="center" vertical="center"/>
    </xf>
    <xf numFmtId="0" fontId="24" fillId="0" borderId="183" xfId="0" applyFont="1" applyBorder="1" applyAlignment="1">
      <alignment horizontal="center" vertical="center"/>
    </xf>
    <xf numFmtId="0" fontId="24" fillId="0" borderId="184" xfId="0" applyFont="1" applyBorder="1" applyAlignment="1">
      <alignment horizontal="center" vertical="center"/>
    </xf>
    <xf numFmtId="0" fontId="37" fillId="15" borderId="0" xfId="0" applyFont="1" applyFill="1" applyAlignment="1">
      <alignment horizontal="center" vertical="center"/>
    </xf>
    <xf numFmtId="0" fontId="34" fillId="11" borderId="22" xfId="0" applyFont="1" applyFill="1" applyBorder="1" applyAlignment="1">
      <alignment horizontal="center" vertical="center" wrapText="1"/>
    </xf>
    <xf numFmtId="0" fontId="8" fillId="0" borderId="32" xfId="0" applyFont="1" applyBorder="1" applyAlignment="1">
      <alignment horizontal="center" vertical="center"/>
    </xf>
    <xf numFmtId="0" fontId="25" fillId="9" borderId="2" xfId="0" applyFont="1" applyFill="1" applyBorder="1" applyAlignment="1">
      <alignment horizontal="center" vertical="center"/>
    </xf>
    <xf numFmtId="0" fontId="25" fillId="9" borderId="15" xfId="0" applyFont="1" applyFill="1" applyBorder="1" applyAlignment="1">
      <alignment horizontal="center" vertical="center"/>
    </xf>
    <xf numFmtId="0" fontId="84" fillId="11" borderId="0" xfId="0" applyFont="1" applyFill="1" applyAlignment="1">
      <alignment horizontal="center" vertical="center" wrapText="1"/>
    </xf>
    <xf numFmtId="0" fontId="80" fillId="9" borderId="69" xfId="0" applyFont="1" applyFill="1" applyBorder="1" applyAlignment="1">
      <alignment horizontal="center" vertical="center"/>
    </xf>
    <xf numFmtId="9" fontId="79" fillId="0" borderId="69" xfId="2" applyFont="1" applyBorder="1" applyAlignment="1">
      <alignment horizontal="center" vertical="center"/>
    </xf>
    <xf numFmtId="0" fontId="82" fillId="11" borderId="0" xfId="0" applyFont="1" applyFill="1" applyAlignment="1">
      <alignment horizontal="center" vertical="center" wrapText="1"/>
    </xf>
    <xf numFmtId="0" fontId="0" fillId="0" borderId="0" xfId="0" applyAlignment="1">
      <alignment horizontal="center"/>
    </xf>
    <xf numFmtId="0" fontId="22" fillId="0" borderId="2" xfId="3" applyFont="1" applyFill="1" applyBorder="1" applyAlignment="1">
      <alignment horizontal="center" vertical="center" wrapText="1"/>
    </xf>
    <xf numFmtId="0" fontId="22" fillId="6" borderId="2" xfId="3" applyFont="1" applyFill="1" applyBorder="1" applyAlignment="1">
      <alignment horizontal="center" vertical="center" wrapText="1"/>
    </xf>
    <xf numFmtId="0" fontId="22" fillId="0" borderId="2" xfId="3" applyFont="1" applyBorder="1" applyAlignment="1">
      <alignment horizontal="center" vertical="center" wrapText="1"/>
    </xf>
    <xf numFmtId="0" fontId="7" fillId="0" borderId="293" xfId="0" applyFont="1" applyBorder="1" applyAlignment="1">
      <alignment horizontal="center" vertical="center"/>
    </xf>
    <xf numFmtId="0" fontId="0" fillId="0" borderId="22" xfId="0" applyBorder="1" applyAlignment="1">
      <alignment horizontal="center" vertical="center"/>
    </xf>
    <xf numFmtId="0" fontId="51" fillId="0" borderId="293" xfId="0" applyFont="1" applyBorder="1" applyAlignment="1">
      <alignment horizontal="center" vertical="center" wrapText="1"/>
    </xf>
    <xf numFmtId="2" fontId="51" fillId="0" borderId="293" xfId="0" applyNumberFormat="1" applyFont="1" applyBorder="1" applyAlignment="1">
      <alignment horizontal="center" vertical="center" wrapText="1"/>
    </xf>
    <xf numFmtId="0" fontId="51" fillId="0" borderId="293" xfId="0" quotePrefix="1" applyFont="1" applyBorder="1" applyAlignment="1">
      <alignment horizontal="center" vertical="center" wrapText="1"/>
    </xf>
  </cellXfs>
  <cellStyles count="15">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6" xfId="13" xr:uid="{B6938E22-E147-4611-9559-EF8DD2180335}"/>
    <cellStyle name="Normal 7" xfId="14" xr:uid="{6E188B1D-D48F-4B26-8F6A-4DBB427BEE96}"/>
    <cellStyle name="Normal_Prototype_Scorecard-LgOffice-2008-03-13" xfId="1" xr:uid="{F839F8A1-86E5-4008-9801-0F032E8A3317}"/>
    <cellStyle name="Percent" xfId="2" builtinId="5"/>
    <cellStyle name="Percent 2" xfId="8" xr:uid="{CB789C3E-741F-4464-8065-385A956411E6}"/>
  </cellStyles>
  <dxfs count="8">
    <dxf>
      <fill>
        <patternFill>
          <bgColor theme="9" tint="0.59996337778862885"/>
        </patternFill>
      </fill>
    </dxf>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7"/>
      <tableStyleElement type="headerRow" dxfId="6"/>
      <tableStyleElement type="totalRow" dxfId="5"/>
      <tableStyleElement type="firstColumn" dxfId="4"/>
      <tableStyleElement type="lastColumn" dxfId="3"/>
      <tableStyleElement type="pageFieldLabels" dxfId="2"/>
      <tableStyleElement type="pageFieldValues" dxfId="1"/>
    </tableStyle>
  </tableStyles>
  <colors>
    <mruColors>
      <color rgb="FF919191"/>
      <color rgb="FF9C9A9A"/>
      <color rgb="FFD697F7"/>
      <color rgb="FF002F8E"/>
      <color rgb="FFFF9900"/>
      <color rgb="FFCCCCFF"/>
      <color rgb="FF8238BA"/>
      <color rgb="FFFFEBCD"/>
      <color rgb="FF0000CC"/>
      <color rgb="FF2E9F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Heating</a:t>
            </a:r>
            <a:r>
              <a:rPr lang="en-US" sz="1100"/>
              <a:t> Setpoints schedule- Medium office</a:t>
            </a:r>
          </a:p>
        </c:rich>
      </c:tx>
      <c:layout>
        <c:manualLayout>
          <c:xMode val="edge"/>
          <c:yMode val="edge"/>
          <c:x val="0.22284341946762432"/>
          <c:y val="6.25415096699679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Thermostat!$B$65</c:f>
              <c:strCache>
                <c:ptCount val="1"/>
                <c:pt idx="0">
                  <c:v>CEC-Weekday</c:v>
                </c:pt>
              </c:strCache>
            </c:strRef>
          </c:tx>
          <c:spPr>
            <a:ln w="28575" cap="rnd">
              <a:solidFill>
                <a:schemeClr val="accent1"/>
              </a:solidFill>
              <a:round/>
            </a:ln>
            <a:effectLst/>
          </c:spPr>
          <c:marker>
            <c:symbol val="none"/>
          </c:marker>
          <c:val>
            <c:numRef>
              <c:f>Thermostat!$B$66:$B$89</c:f>
            </c:numRef>
          </c:val>
          <c:smooth val="0"/>
          <c:extLst xmlns:c15="http://schemas.microsoft.com/office/drawing/2012/chart">
            <c:ext xmlns:c16="http://schemas.microsoft.com/office/drawing/2014/chart" uri="{C3380CC4-5D6E-409C-BE32-E72D297353CC}">
              <c16:uniqueId val="{00000000-7581-4C93-A663-D250B6DAD577}"/>
            </c:ext>
          </c:extLst>
        </c:ser>
        <c:ser>
          <c:idx val="1"/>
          <c:order val="1"/>
          <c:tx>
            <c:strRef>
              <c:f>Thermostat!$C$65</c:f>
              <c:strCache>
                <c:ptCount val="1"/>
                <c:pt idx="0">
                  <c:v>CEC-Saturday</c:v>
                </c:pt>
              </c:strCache>
            </c:strRef>
          </c:tx>
          <c:spPr>
            <a:ln w="28575" cap="rnd">
              <a:solidFill>
                <a:schemeClr val="accent2"/>
              </a:solidFill>
              <a:round/>
            </a:ln>
            <a:effectLst/>
          </c:spPr>
          <c:marker>
            <c:symbol val="none"/>
          </c:marker>
          <c:val>
            <c:numRef>
              <c:f>Thermostat!$C$66:$C$89</c:f>
            </c:numRef>
          </c:val>
          <c:smooth val="0"/>
          <c:extLst xmlns:c15="http://schemas.microsoft.com/office/drawing/2012/chart">
            <c:ext xmlns:c16="http://schemas.microsoft.com/office/drawing/2014/chart" uri="{C3380CC4-5D6E-409C-BE32-E72D297353CC}">
              <c16:uniqueId val="{00000001-7581-4C93-A663-D250B6DAD577}"/>
            </c:ext>
          </c:extLst>
        </c:ser>
        <c:ser>
          <c:idx val="2"/>
          <c:order val="2"/>
          <c:tx>
            <c:strRef>
              <c:f>Thermostat!$D$65</c:f>
              <c:strCache>
                <c:ptCount val="1"/>
                <c:pt idx="0">
                  <c:v>CEC-Sunday</c:v>
                </c:pt>
              </c:strCache>
            </c:strRef>
          </c:tx>
          <c:spPr>
            <a:ln w="28575" cap="rnd">
              <a:solidFill>
                <a:schemeClr val="accent3"/>
              </a:solidFill>
              <a:round/>
            </a:ln>
            <a:effectLst/>
          </c:spPr>
          <c:marker>
            <c:symbol val="none"/>
          </c:marker>
          <c:val>
            <c:numRef>
              <c:f>Thermostat!$D$66:$D$89</c:f>
            </c:numRef>
          </c:val>
          <c:smooth val="0"/>
          <c:extLst xmlns:c15="http://schemas.microsoft.com/office/drawing/2012/chart">
            <c:ext xmlns:c16="http://schemas.microsoft.com/office/drawing/2014/chart" uri="{C3380CC4-5D6E-409C-BE32-E72D297353CC}">
              <c16:uniqueId val="{00000002-7581-4C93-A663-D250B6DAD577}"/>
            </c:ext>
          </c:extLst>
        </c:ser>
        <c:ser>
          <c:idx val="6"/>
          <c:order val="3"/>
          <c:tx>
            <c:strRef>
              <c:f>Thermostat!$E$65</c:f>
              <c:strCache>
                <c:ptCount val="1"/>
              </c:strCache>
            </c:strRef>
          </c:tx>
          <c:spPr>
            <a:ln w="28575" cap="rnd">
              <a:solidFill>
                <a:schemeClr val="accent1">
                  <a:lumMod val="60000"/>
                </a:schemeClr>
              </a:solidFill>
              <a:round/>
            </a:ln>
            <a:effectLst/>
          </c:spPr>
          <c:marker>
            <c:symbol val="none"/>
          </c:marker>
          <c:val>
            <c:numRef>
              <c:f>Thermostat!$E$66:$E$89</c:f>
            </c:numRef>
          </c:val>
          <c:smooth val="0"/>
          <c:extLst xmlns:c15="http://schemas.microsoft.com/office/drawing/2012/chart">
            <c:ext xmlns:c16="http://schemas.microsoft.com/office/drawing/2014/chart" uri="{C3380CC4-5D6E-409C-BE32-E72D297353CC}">
              <c16:uniqueId val="{00000004-7581-4C93-A663-D250B6DAD577}"/>
            </c:ext>
          </c:extLst>
        </c:ser>
        <c:ser>
          <c:idx val="8"/>
          <c:order val="4"/>
          <c:tx>
            <c:strRef>
              <c:f>Thermostat!$F$65</c:f>
              <c:strCache>
                <c:ptCount val="1"/>
                <c:pt idx="0">
                  <c:v>PNNL-Weekday</c:v>
                </c:pt>
              </c:strCache>
            </c:strRef>
          </c:tx>
          <c:spPr>
            <a:ln w="28575" cap="rnd">
              <a:solidFill>
                <a:schemeClr val="accent3">
                  <a:lumMod val="60000"/>
                </a:schemeClr>
              </a:solidFill>
              <a:round/>
            </a:ln>
            <a:effectLst/>
          </c:spPr>
          <c:marker>
            <c:symbol val="none"/>
          </c:marker>
          <c:val>
            <c:numRef>
              <c:f>Thermostat!$F$66:$F$89</c:f>
            </c:numRef>
          </c:val>
          <c:smooth val="0"/>
          <c:extLst>
            <c:ext xmlns:c16="http://schemas.microsoft.com/office/drawing/2014/chart" uri="{C3380CC4-5D6E-409C-BE32-E72D297353CC}">
              <c16:uniqueId val="{00000005-7581-4C93-A663-D250B6DAD577}"/>
            </c:ext>
          </c:extLst>
        </c:ser>
        <c:ser>
          <c:idx val="3"/>
          <c:order val="5"/>
          <c:tx>
            <c:strRef>
              <c:f>Thermostat!$G$65</c:f>
              <c:strCache>
                <c:ptCount val="1"/>
                <c:pt idx="0">
                  <c:v>PNNL-Saturday</c:v>
                </c:pt>
              </c:strCache>
            </c:strRef>
          </c:tx>
          <c:spPr>
            <a:ln w="28575" cap="rnd">
              <a:solidFill>
                <a:schemeClr val="accent4"/>
              </a:solidFill>
              <a:round/>
            </a:ln>
            <a:effectLst/>
          </c:spPr>
          <c:marker>
            <c:symbol val="none"/>
          </c:marker>
          <c:val>
            <c:numRef>
              <c:f>Thermostat!$G$66:$G$89</c:f>
            </c:numRef>
          </c:val>
          <c:smooth val="0"/>
          <c:extLst>
            <c:ext xmlns:c16="http://schemas.microsoft.com/office/drawing/2014/chart" uri="{C3380CC4-5D6E-409C-BE32-E72D297353CC}">
              <c16:uniqueId val="{00000000-6FDC-4528-896C-18E8DEC9F380}"/>
            </c:ext>
          </c:extLst>
        </c:ser>
        <c:ser>
          <c:idx val="4"/>
          <c:order val="6"/>
          <c:tx>
            <c:strRef>
              <c:f>Thermostat!$H$65</c:f>
              <c:strCache>
                <c:ptCount val="1"/>
                <c:pt idx="0">
                  <c:v>PNNL-Sunday</c:v>
                </c:pt>
              </c:strCache>
            </c:strRef>
          </c:tx>
          <c:spPr>
            <a:ln w="28575" cap="rnd">
              <a:solidFill>
                <a:schemeClr val="accent5"/>
              </a:solidFill>
              <a:round/>
            </a:ln>
            <a:effectLst/>
          </c:spPr>
          <c:marker>
            <c:symbol val="none"/>
          </c:marker>
          <c:val>
            <c:numRef>
              <c:f>Thermostat!$H$66:$H$89</c:f>
            </c:numRef>
          </c:val>
          <c:smooth val="0"/>
          <c:extLst>
            <c:ext xmlns:c16="http://schemas.microsoft.com/office/drawing/2014/chart" uri="{C3380CC4-5D6E-409C-BE32-E72D297353CC}">
              <c16:uniqueId val="{00000001-6FDC-4528-896C-18E8DEC9F380}"/>
            </c:ext>
          </c:extLst>
        </c:ser>
        <c:dLbls>
          <c:showLegendKey val="0"/>
          <c:showVal val="0"/>
          <c:showCatName val="0"/>
          <c:showSerName val="0"/>
          <c:showPercent val="0"/>
          <c:showBubbleSize val="0"/>
        </c:dLbls>
        <c:marker val="1"/>
        <c:smooth val="0"/>
        <c:axId val="787384271"/>
        <c:axId val="787381871"/>
        <c:extLst/>
      </c:lineChart>
      <c:catAx>
        <c:axId val="78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1871"/>
        <c:crosses val="autoZero"/>
        <c:auto val="1"/>
        <c:lblAlgn val="ctr"/>
        <c:lblOffset val="100"/>
        <c:noMultiLvlLbl val="0"/>
      </c:catAx>
      <c:valAx>
        <c:axId val="787381871"/>
        <c:scaling>
          <c:orientation val="minMax"/>
          <c:min val="5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4271"/>
        <c:crosses val="autoZero"/>
        <c:crossBetween val="between"/>
      </c:valAx>
      <c:spPr>
        <a:noFill/>
        <a:ln>
          <a:noFill/>
        </a:ln>
        <a:effectLst/>
      </c:spPr>
    </c:plotArea>
    <c:legend>
      <c:legendPos val="b"/>
      <c:layout>
        <c:manualLayout>
          <c:xMode val="edge"/>
          <c:yMode val="edge"/>
          <c:x val="0.1209075481240149"/>
          <c:y val="0.81824773596225608"/>
          <c:w val="0.80723098903354418"/>
          <c:h val="0.137474482278063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Cooling</a:t>
            </a:r>
            <a:r>
              <a:rPr lang="en-US" sz="1100"/>
              <a:t> Setpoints schedule- Medium office</a:t>
            </a:r>
          </a:p>
        </c:rich>
      </c:tx>
      <c:layout>
        <c:manualLayout>
          <c:xMode val="edge"/>
          <c:yMode val="edge"/>
          <c:x val="0.2192523364485981"/>
          <c:y val="3.72453920639617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947457502391642E-2"/>
          <c:y val="0.17480595004191446"/>
          <c:w val="0.86978462972502268"/>
          <c:h val="0.51956598357348382"/>
        </c:manualLayout>
      </c:layout>
      <c:lineChart>
        <c:grouping val="standard"/>
        <c:varyColors val="0"/>
        <c:ser>
          <c:idx val="0"/>
          <c:order val="0"/>
          <c:tx>
            <c:strRef>
              <c:f>Thermostat!$K$65</c:f>
              <c:strCache>
                <c:ptCount val="1"/>
                <c:pt idx="0">
                  <c:v>CEC-Weekday</c:v>
                </c:pt>
              </c:strCache>
            </c:strRef>
          </c:tx>
          <c:spPr>
            <a:ln w="28575" cap="rnd">
              <a:solidFill>
                <a:schemeClr val="accent1"/>
              </a:solidFill>
              <a:round/>
            </a:ln>
            <a:effectLst/>
          </c:spPr>
          <c:marker>
            <c:symbol val="none"/>
          </c:marker>
          <c:cat>
            <c:multiLvlStrRef>
              <c:f>Thermostat!$A$66:$A$89</c:f>
            </c:multiLvlStrRef>
          </c:cat>
          <c:val>
            <c:numRef>
              <c:f>Thermostat!$K$66:$K$89</c:f>
            </c:numRef>
          </c:val>
          <c:smooth val="0"/>
          <c:extLst xmlns:c15="http://schemas.microsoft.com/office/drawing/2012/chart">
            <c:ext xmlns:c16="http://schemas.microsoft.com/office/drawing/2014/chart" uri="{C3380CC4-5D6E-409C-BE32-E72D297353CC}">
              <c16:uniqueId val="{00000000-8A02-4C5F-B436-4C17AE1B17D0}"/>
            </c:ext>
          </c:extLst>
        </c:ser>
        <c:ser>
          <c:idx val="1"/>
          <c:order val="1"/>
          <c:tx>
            <c:strRef>
              <c:f>Thermostat!$L$65</c:f>
              <c:strCache>
                <c:ptCount val="1"/>
                <c:pt idx="0">
                  <c:v>CEC-Saturday</c:v>
                </c:pt>
              </c:strCache>
            </c:strRef>
          </c:tx>
          <c:spPr>
            <a:ln w="28575" cap="rnd">
              <a:solidFill>
                <a:schemeClr val="accent2"/>
              </a:solidFill>
              <a:round/>
            </a:ln>
            <a:effectLst/>
          </c:spPr>
          <c:marker>
            <c:symbol val="none"/>
          </c:marker>
          <c:cat>
            <c:multiLvlStrRef>
              <c:f>Thermostat!$A$66:$A$89</c:f>
            </c:multiLvlStrRef>
          </c:cat>
          <c:val>
            <c:numRef>
              <c:f>Thermostat!$L$66:$L$89</c:f>
            </c:numRef>
          </c:val>
          <c:smooth val="0"/>
          <c:extLst xmlns:c15="http://schemas.microsoft.com/office/drawing/2012/chart">
            <c:ext xmlns:c16="http://schemas.microsoft.com/office/drawing/2014/chart" uri="{C3380CC4-5D6E-409C-BE32-E72D297353CC}">
              <c16:uniqueId val="{00000001-8A02-4C5F-B436-4C17AE1B17D0}"/>
            </c:ext>
          </c:extLst>
        </c:ser>
        <c:ser>
          <c:idx val="2"/>
          <c:order val="2"/>
          <c:tx>
            <c:strRef>
              <c:f>Thermostat!$M$65</c:f>
              <c:strCache>
                <c:ptCount val="1"/>
                <c:pt idx="0">
                  <c:v>CEC-Sunday</c:v>
                </c:pt>
              </c:strCache>
            </c:strRef>
          </c:tx>
          <c:spPr>
            <a:ln w="28575" cap="rnd">
              <a:solidFill>
                <a:schemeClr val="accent3"/>
              </a:solidFill>
              <a:round/>
            </a:ln>
            <a:effectLst/>
          </c:spPr>
          <c:marker>
            <c:symbol val="none"/>
          </c:marker>
          <c:cat>
            <c:multiLvlStrRef>
              <c:f>Thermostat!$A$66:$A$89</c:f>
            </c:multiLvlStrRef>
          </c:cat>
          <c:val>
            <c:numRef>
              <c:f>Thermostat!$M$66:$M$89</c:f>
            </c:numRef>
          </c:val>
          <c:smooth val="0"/>
          <c:extLst xmlns:c15="http://schemas.microsoft.com/office/drawing/2012/chart">
            <c:ext xmlns:c16="http://schemas.microsoft.com/office/drawing/2014/chart" uri="{C3380CC4-5D6E-409C-BE32-E72D297353CC}">
              <c16:uniqueId val="{00000002-8A02-4C5F-B436-4C17AE1B17D0}"/>
            </c:ext>
          </c:extLst>
        </c:ser>
        <c:ser>
          <c:idx val="8"/>
          <c:order val="3"/>
          <c:tx>
            <c:strRef>
              <c:f>Thermostat!$O$65</c:f>
              <c:strCache>
                <c:ptCount val="1"/>
                <c:pt idx="0">
                  <c:v>PNNL-Weekday</c:v>
                </c:pt>
              </c:strCache>
            </c:strRef>
          </c:tx>
          <c:spPr>
            <a:ln w="28575" cap="rnd">
              <a:solidFill>
                <a:schemeClr val="accent3">
                  <a:lumMod val="60000"/>
                </a:schemeClr>
              </a:solidFill>
              <a:round/>
            </a:ln>
            <a:effectLst/>
          </c:spPr>
          <c:marker>
            <c:symbol val="none"/>
          </c:marker>
          <c:cat>
            <c:multiLvlStrRef>
              <c:f>Thermostat!$A$66:$A$89</c:f>
            </c:multiLvlStrRef>
          </c:cat>
          <c:val>
            <c:numRef>
              <c:f>Thermostat!$O$66:$O$89</c:f>
            </c:numRef>
          </c:val>
          <c:smooth val="0"/>
          <c:extLst>
            <c:ext xmlns:c16="http://schemas.microsoft.com/office/drawing/2014/chart" uri="{C3380CC4-5D6E-409C-BE32-E72D297353CC}">
              <c16:uniqueId val="{00000004-8A02-4C5F-B436-4C17AE1B17D0}"/>
            </c:ext>
          </c:extLst>
        </c:ser>
        <c:ser>
          <c:idx val="3"/>
          <c:order val="4"/>
          <c:tx>
            <c:strRef>
              <c:f>Thermostat!$P$65</c:f>
              <c:strCache>
                <c:ptCount val="1"/>
                <c:pt idx="0">
                  <c:v>PNNL-Saturday</c:v>
                </c:pt>
              </c:strCache>
            </c:strRef>
          </c:tx>
          <c:spPr>
            <a:ln w="28575" cap="rnd">
              <a:solidFill>
                <a:schemeClr val="accent4"/>
              </a:solidFill>
              <a:round/>
            </a:ln>
            <a:effectLst/>
          </c:spPr>
          <c:marker>
            <c:symbol val="none"/>
          </c:marker>
          <c:cat>
            <c:multiLvlStrRef>
              <c:f>Thermostat!$A$66:$A$89</c:f>
            </c:multiLvlStrRef>
          </c:cat>
          <c:val>
            <c:numRef>
              <c:f>Thermostat!$P$66:$P$89</c:f>
            </c:numRef>
          </c:val>
          <c:smooth val="0"/>
          <c:extLst>
            <c:ext xmlns:c16="http://schemas.microsoft.com/office/drawing/2014/chart" uri="{C3380CC4-5D6E-409C-BE32-E72D297353CC}">
              <c16:uniqueId val="{00000005-8A02-4C5F-B436-4C17AE1B17D0}"/>
            </c:ext>
          </c:extLst>
        </c:ser>
        <c:ser>
          <c:idx val="4"/>
          <c:order val="5"/>
          <c:tx>
            <c:strRef>
              <c:f>Thermostat!$Q$65</c:f>
              <c:strCache>
                <c:ptCount val="1"/>
                <c:pt idx="0">
                  <c:v>PNNL-Sunday</c:v>
                </c:pt>
              </c:strCache>
            </c:strRef>
          </c:tx>
          <c:spPr>
            <a:ln w="28575" cap="rnd">
              <a:solidFill>
                <a:schemeClr val="accent5"/>
              </a:solidFill>
              <a:round/>
            </a:ln>
            <a:effectLst/>
          </c:spPr>
          <c:marker>
            <c:symbol val="none"/>
          </c:marker>
          <c:cat>
            <c:multiLvlStrRef>
              <c:f>Thermostat!$A$66:$A$89</c:f>
            </c:multiLvlStrRef>
          </c:cat>
          <c:val>
            <c:numRef>
              <c:f>Thermostat!$Q$66:$Q$89</c:f>
            </c:numRef>
          </c:val>
          <c:smooth val="0"/>
          <c:extLst>
            <c:ext xmlns:c16="http://schemas.microsoft.com/office/drawing/2014/chart" uri="{C3380CC4-5D6E-409C-BE32-E72D297353CC}">
              <c16:uniqueId val="{00000000-E30C-42EA-898C-E8A8321FBB6C}"/>
            </c:ext>
          </c:extLst>
        </c:ser>
        <c:dLbls>
          <c:showLegendKey val="0"/>
          <c:showVal val="0"/>
          <c:showCatName val="0"/>
          <c:showSerName val="0"/>
          <c:showPercent val="0"/>
          <c:showBubbleSize val="0"/>
        </c:dLbls>
        <c:marker val="1"/>
        <c:smooth val="0"/>
        <c:axId val="787384271"/>
        <c:axId val="787381871"/>
        <c:extLst/>
      </c:lineChart>
      <c:catAx>
        <c:axId val="7873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1871"/>
        <c:crosses val="autoZero"/>
        <c:auto val="1"/>
        <c:lblAlgn val="ctr"/>
        <c:lblOffset val="100"/>
        <c:noMultiLvlLbl val="0"/>
      </c:catAx>
      <c:valAx>
        <c:axId val="787381871"/>
        <c:scaling>
          <c:orientation val="minMax"/>
          <c:min val="72"/>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384271"/>
        <c:crosses val="autoZero"/>
        <c:crossBetween val="between"/>
      </c:valAx>
      <c:spPr>
        <a:noFill/>
        <a:ln>
          <a:noFill/>
        </a:ln>
        <a:effectLst/>
      </c:spPr>
    </c:plotArea>
    <c:legend>
      <c:legendPos val="b"/>
      <c:layout>
        <c:manualLayout>
          <c:xMode val="edge"/>
          <c:yMode val="edge"/>
          <c:x val="0.12158804915740673"/>
          <c:y val="0.82090502298295909"/>
          <c:w val="0.75682390168518654"/>
          <c:h val="0.140163188007738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06BB-4405-BC60-B55164A79AEF}"/>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113288828026932"/>
          <c:y val="0.29075021872265966"/>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c:f>
              <c:strCache>
                <c:ptCount val="1"/>
                <c:pt idx="0">
                  <c:v>Weekday</c:v>
                </c:pt>
              </c:strCache>
            </c:strRef>
          </c:tx>
          <c:spPr>
            <a:ln w="28575" cap="rnd">
              <a:solidFill>
                <a:schemeClr val="accent1"/>
              </a:solidFill>
              <a:round/>
            </a:ln>
            <a:effectLst/>
          </c:spPr>
          <c:marker>
            <c:symbol val="none"/>
          </c:marker>
          <c:val>
            <c:numRef>
              <c:f>Schedules!$F$10:$AC$10</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541D-40B0-962A-A5C79439ED86}"/>
            </c:ext>
          </c:extLst>
        </c:ser>
        <c:ser>
          <c:idx val="1"/>
          <c:order val="1"/>
          <c:tx>
            <c:strRef>
              <c:f>Schedules!$E$11</c:f>
              <c:strCache>
                <c:ptCount val="1"/>
                <c:pt idx="0">
                  <c:v>Saturday</c:v>
                </c:pt>
              </c:strCache>
            </c:strRef>
          </c:tx>
          <c:spPr>
            <a:ln w="28575" cap="rnd">
              <a:solidFill>
                <a:schemeClr val="accent2"/>
              </a:solidFill>
              <a:round/>
            </a:ln>
            <a:effectLst/>
          </c:spPr>
          <c:marker>
            <c:symbol val="none"/>
          </c:marker>
          <c:val>
            <c:numRef>
              <c:f>Schedules!$F$11:$AC$11</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541D-40B0-962A-A5C79439ED86}"/>
            </c:ext>
          </c:extLst>
        </c:ser>
        <c:ser>
          <c:idx val="2"/>
          <c:order val="2"/>
          <c:tx>
            <c:strRef>
              <c:f>Schedules!$E$12</c:f>
              <c:strCache>
                <c:ptCount val="1"/>
                <c:pt idx="0">
                  <c:v>Sunday</c:v>
                </c:pt>
              </c:strCache>
            </c:strRef>
          </c:tx>
          <c:spPr>
            <a:ln w="28575" cap="rnd">
              <a:solidFill>
                <a:schemeClr val="accent3"/>
              </a:solidFill>
              <a:prstDash val="dash"/>
              <a:round/>
            </a:ln>
            <a:effectLst/>
          </c:spPr>
          <c:marker>
            <c:symbol val="none"/>
          </c:marker>
          <c:val>
            <c:numRef>
              <c:f>Schedules!$F$12:$AC$12</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Schedules!$C$13</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Schedules!$F$13:$AD$13</c:f>
              <c:numCache>
                <c:formatCode>0.00</c:formatCode>
                <c:ptCount val="25"/>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E654-4477-959C-B56EC14C30E8}"/>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Schedules!$F$14:$AD$14</c:f>
              <c:numCache>
                <c:formatCode>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654-4477-959C-B56EC14C30E8}"/>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Schedules!$F$15:$AD$15</c:f>
              <c:numCache>
                <c:formatCode>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654-4477-959C-B56EC14C30E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Schedules!$C$16</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E3D7-4EF7-813F-757439F528B9}"/>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1-E3D7-4EF7-813F-757439F528B9}"/>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E3D7-4EF7-813F-757439F528B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B058-4D71-ACA4-B3122FDFF171}"/>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3-B058-4D71-ACA4-B3122FDFF171}"/>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4-B058-4D71-ACA4-B3122FDFF17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7372894461716013"/>
          <c:y val="3.6261079321075841E-2"/>
          <c:w val="0.22325410797773537"/>
          <c:h val="0.481014144065325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Schedules!$C$32</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113288828026932"/>
          <c:y val="0.29075021872265966"/>
          <c:w val="0.86296940073898609"/>
          <c:h val="0.51057641399975218"/>
        </c:manualLayout>
      </c:layout>
      <c:lineChart>
        <c:grouping val="standard"/>
        <c:varyColors val="0"/>
        <c:ser>
          <c:idx val="0"/>
          <c:order val="0"/>
          <c:tx>
            <c:strRef>
              <c:f>Schedules!$E$7</c:f>
              <c:strCache>
                <c:ptCount val="1"/>
                <c:pt idx="0">
                  <c:v>Weekday</c:v>
                </c:pt>
              </c:strCache>
            </c:strRef>
          </c:tx>
          <c:spPr>
            <a:ln w="28575" cap="rnd">
              <a:solidFill>
                <a:schemeClr val="accent1"/>
              </a:solidFill>
              <a:round/>
            </a:ln>
            <a:effectLst/>
          </c:spPr>
          <c:marker>
            <c:symbol val="none"/>
          </c:marker>
          <c:val>
            <c:numRef>
              <c:f>Schedules!$F$7:$AC$7</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AAAD-423E-83B9-F50157483995}"/>
            </c:ext>
          </c:extLst>
        </c:ser>
        <c:ser>
          <c:idx val="1"/>
          <c:order val="1"/>
          <c:tx>
            <c:strRef>
              <c:f>Schedules!$E$8</c:f>
              <c:strCache>
                <c:ptCount val="1"/>
                <c:pt idx="0">
                  <c:v>Saturday</c:v>
                </c:pt>
              </c:strCache>
            </c:strRef>
          </c:tx>
          <c:spPr>
            <a:ln w="28575" cap="rnd">
              <a:solidFill>
                <a:schemeClr val="accent2"/>
              </a:solidFill>
              <a:round/>
            </a:ln>
            <a:effectLst/>
          </c:spPr>
          <c:marker>
            <c:symbol val="none"/>
          </c:marker>
          <c:val>
            <c:numRef>
              <c:f>Schedules!$F$8:$AC$8</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AAAD-423E-83B9-F50157483995}"/>
            </c:ext>
          </c:extLst>
        </c:ser>
        <c:ser>
          <c:idx val="2"/>
          <c:order val="2"/>
          <c:tx>
            <c:strRef>
              <c:f>Schedules!$E$9</c:f>
              <c:strCache>
                <c:ptCount val="1"/>
                <c:pt idx="0">
                  <c:v>Sunday</c:v>
                </c:pt>
              </c:strCache>
            </c:strRef>
          </c:tx>
          <c:spPr>
            <a:ln w="28575" cap="rnd">
              <a:solidFill>
                <a:schemeClr val="accent3"/>
              </a:solidFill>
              <a:round/>
            </a:ln>
            <a:effectLst/>
          </c:spPr>
          <c:marker>
            <c:symbol val="none"/>
          </c:marker>
          <c:val>
            <c:numRef>
              <c:f>Schedules!$F$9:$AC$9</c:f>
              <c:numCache>
                <c:formatCode>0.00</c:formatCode>
                <c:ptCount val="24"/>
                <c:pt idx="0">
                  <c:v>0.05</c:v>
                </c:pt>
                <c:pt idx="1">
                  <c:v>0.05</c:v>
                </c:pt>
                <c:pt idx="2">
                  <c:v>0.05</c:v>
                </c:pt>
                <c:pt idx="3">
                  <c:v>0.05</c:v>
                </c:pt>
                <c:pt idx="4">
                  <c:v>0.05</c:v>
                </c:pt>
                <c:pt idx="5">
                  <c:v>0.05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AAAD-423E-83B9-F5015748399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Schedules!$E$13</c:f>
              <c:strCache>
                <c:ptCount val="1"/>
                <c:pt idx="0">
                  <c:v>Weekday</c:v>
                </c:pt>
              </c:strCache>
            </c:strRef>
          </c:tx>
          <c:spPr>
            <a:ln w="28575" cap="rnd">
              <a:solidFill>
                <a:schemeClr val="accent1"/>
              </a:solidFill>
              <a:round/>
            </a:ln>
            <a:effectLst/>
          </c:spPr>
          <c:marker>
            <c:symbol val="none"/>
          </c:marker>
          <c:val>
            <c:numRef>
              <c:f>Schedules!$F$13:$AD$13</c:f>
              <c:numCache>
                <c:formatCode>0.00</c:formatCode>
                <c:ptCount val="25"/>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9B90-4E7D-AB13-FB0F7656AD93}"/>
            </c:ext>
          </c:extLst>
        </c:ser>
        <c:ser>
          <c:idx val="1"/>
          <c:order val="1"/>
          <c:tx>
            <c:strRef>
              <c:f>Schedules!$E$14</c:f>
              <c:strCache>
                <c:ptCount val="1"/>
                <c:pt idx="0">
                  <c:v>Saturday</c:v>
                </c:pt>
              </c:strCache>
            </c:strRef>
          </c:tx>
          <c:spPr>
            <a:ln w="28575" cap="rnd">
              <a:solidFill>
                <a:schemeClr val="accent2"/>
              </a:solidFill>
              <a:round/>
            </a:ln>
            <a:effectLst/>
          </c:spPr>
          <c:marker>
            <c:symbol val="none"/>
          </c:marker>
          <c:val>
            <c:numRef>
              <c:f>Schedules!$F$14:$AD$14</c:f>
              <c:numCache>
                <c:formatCode>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9B90-4E7D-AB13-FB0F7656AD93}"/>
            </c:ext>
          </c:extLst>
        </c:ser>
        <c:ser>
          <c:idx val="2"/>
          <c:order val="2"/>
          <c:tx>
            <c:strRef>
              <c:f>Schedules!$E$15</c:f>
              <c:strCache>
                <c:ptCount val="1"/>
                <c:pt idx="0">
                  <c:v>Sunday</c:v>
                </c:pt>
              </c:strCache>
            </c:strRef>
          </c:tx>
          <c:spPr>
            <a:ln w="28575" cap="rnd">
              <a:solidFill>
                <a:schemeClr val="accent3"/>
              </a:solidFill>
              <a:round/>
            </a:ln>
            <a:effectLst/>
          </c:spPr>
          <c:marker>
            <c:symbol val="none"/>
          </c:marker>
          <c:val>
            <c:numRef>
              <c:f>Schedules!$F$15:$AD$15</c:f>
              <c:numCache>
                <c:formatCode>0.00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9B90-4E7D-AB13-FB0F7656AD9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Schedules!$E$16</c:f>
              <c:strCache>
                <c:ptCount val="1"/>
                <c:pt idx="0">
                  <c:v>Weekday</c:v>
                </c:pt>
              </c:strCache>
            </c:strRef>
          </c:tx>
          <c:spPr>
            <a:ln w="28575" cap="rnd">
              <a:solidFill>
                <a:schemeClr val="accent1"/>
              </a:solidFill>
              <a:round/>
            </a:ln>
            <a:effectLst/>
          </c:spPr>
          <c:marker>
            <c:symbol val="none"/>
          </c:marker>
          <c:val>
            <c:numRef>
              <c:f>Schedules!$F$16:$AC$16</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6051-4944-A08D-3F53E32C91EC}"/>
            </c:ext>
          </c:extLst>
        </c:ser>
        <c:ser>
          <c:idx val="1"/>
          <c:order val="1"/>
          <c:tx>
            <c:strRef>
              <c:f>Schedules!$E$17</c:f>
              <c:strCache>
                <c:ptCount val="1"/>
                <c:pt idx="0">
                  <c:v>Saturday</c:v>
                </c:pt>
              </c:strCache>
            </c:strRef>
          </c:tx>
          <c:spPr>
            <a:ln w="28575" cap="rnd">
              <a:solidFill>
                <a:schemeClr val="accent2"/>
              </a:solidFill>
              <a:round/>
            </a:ln>
            <a:effectLst/>
          </c:spPr>
          <c:marker>
            <c:symbol val="none"/>
          </c:marker>
          <c:val>
            <c:numRef>
              <c:f>Schedules!$F$17:$AC$17</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1-6051-4944-A08D-3F53E32C91EC}"/>
            </c:ext>
          </c:extLst>
        </c:ser>
        <c:ser>
          <c:idx val="2"/>
          <c:order val="2"/>
          <c:tx>
            <c:strRef>
              <c:f>Schedules!$E$18</c:f>
              <c:strCache>
                <c:ptCount val="1"/>
                <c:pt idx="0">
                  <c:v>Sunday</c:v>
                </c:pt>
              </c:strCache>
            </c:strRef>
          </c:tx>
          <c:spPr>
            <a:ln w="28575" cap="rnd">
              <a:solidFill>
                <a:schemeClr val="accent3"/>
              </a:solidFill>
              <a:round/>
            </a:ln>
            <a:effectLst/>
          </c:spPr>
          <c:marker>
            <c:symbol val="none"/>
          </c:marker>
          <c:val>
            <c:numRef>
              <c:f>Schedules!$F$18:$AC$18</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2-6051-4944-A08D-3F53E32C91E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c:f>
              <c:strCache>
                <c:ptCount val="1"/>
                <c:pt idx="0">
                  <c:v>Weekday</c:v>
                </c:pt>
              </c:strCache>
            </c:strRef>
          </c:tx>
          <c:spPr>
            <a:ln w="28575" cap="rnd">
              <a:solidFill>
                <a:schemeClr val="accent1"/>
              </a:solidFill>
              <a:round/>
            </a:ln>
            <a:effectLst/>
          </c:spPr>
          <c:marker>
            <c:symbol val="none"/>
          </c:marker>
          <c:val>
            <c:numRef>
              <c:f>Schedules!$F$19:$AC$19</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B870-405A-B2A0-097CE9A81C26}"/>
            </c:ext>
          </c:extLst>
        </c:ser>
        <c:ser>
          <c:idx val="1"/>
          <c:order val="1"/>
          <c:tx>
            <c:strRef>
              <c:f>Schedules!$E$20</c:f>
              <c:strCache>
                <c:ptCount val="1"/>
                <c:pt idx="0">
                  <c:v>Saturday</c:v>
                </c:pt>
              </c:strCache>
            </c:strRef>
          </c:tx>
          <c:spPr>
            <a:ln w="28575" cap="rnd">
              <a:solidFill>
                <a:schemeClr val="accent2"/>
              </a:solidFill>
              <a:round/>
            </a:ln>
            <a:effectLst/>
          </c:spPr>
          <c:marker>
            <c:symbol val="none"/>
          </c:marker>
          <c:val>
            <c:numRef>
              <c:f>Schedules!$F$20:$AC$20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B870-405A-B2A0-097CE9A81C26}"/>
            </c:ext>
          </c:extLst>
        </c:ser>
        <c:ser>
          <c:idx val="2"/>
          <c:order val="2"/>
          <c:tx>
            <c:strRef>
              <c:f>Schedules!$E$21</c:f>
              <c:strCache>
                <c:ptCount val="1"/>
                <c:pt idx="0">
                  <c:v>Sunday</c:v>
                </c:pt>
              </c:strCache>
            </c:strRef>
          </c:tx>
          <c:spPr>
            <a:ln w="28575" cap="rnd">
              <a:solidFill>
                <a:schemeClr val="accent3"/>
              </a:solidFill>
              <a:round/>
            </a:ln>
            <a:effectLst/>
          </c:spPr>
          <c:marker>
            <c:symbol val="none"/>
          </c:marker>
          <c:val>
            <c:numRef>
              <c:f>Schedules!$F$21:$AC$21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B870-405A-B2A0-097CE9A81C2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77372894461716013"/>
          <c:y val="3.6261079321075841E-2"/>
          <c:w val="0.22325410797773537"/>
          <c:h val="0.481014144065325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Schedules!$C$29</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c:f>
              <c:strCache>
                <c:ptCount val="1"/>
                <c:pt idx="0">
                  <c:v>Weekday</c:v>
                </c:pt>
              </c:strCache>
            </c:strRef>
          </c:tx>
          <c:spPr>
            <a:ln w="28575" cap="rnd">
              <a:solidFill>
                <a:schemeClr val="accent1"/>
              </a:solidFill>
              <a:round/>
            </a:ln>
            <a:effectLst/>
          </c:spPr>
          <c:marker>
            <c:symbol val="none"/>
          </c:marker>
          <c:val>
            <c:numRef>
              <c:f>Schedules!$F$4:$AC$4</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EB9A-496D-8BA5-7DEAE68F96E4}"/>
            </c:ext>
          </c:extLst>
        </c:ser>
        <c:ser>
          <c:idx val="1"/>
          <c:order val="1"/>
          <c:tx>
            <c:strRef>
              <c:f>Schedules!$E$5</c:f>
              <c:strCache>
                <c:ptCount val="1"/>
                <c:pt idx="0">
                  <c:v>Saturday</c:v>
                </c:pt>
              </c:strCache>
            </c:strRef>
          </c:tx>
          <c:spPr>
            <a:ln w="28575" cap="rnd">
              <a:solidFill>
                <a:schemeClr val="accent2"/>
              </a:solidFill>
              <a:round/>
            </a:ln>
            <a:effectLst/>
          </c:spPr>
          <c:marker>
            <c:symbol val="none"/>
          </c:marker>
          <c:val>
            <c:numRef>
              <c:f>Schedules!$F$5:$AC$5</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EB9A-496D-8BA5-7DEAE68F96E4}"/>
            </c:ext>
          </c:extLst>
        </c:ser>
        <c:ser>
          <c:idx val="2"/>
          <c:order val="2"/>
          <c:tx>
            <c:strRef>
              <c:f>Schedules!$E$6</c:f>
              <c:strCache>
                <c:ptCount val="1"/>
                <c:pt idx="0">
                  <c:v>Sunday</c:v>
                </c:pt>
              </c:strCache>
            </c:strRef>
          </c:tx>
          <c:spPr>
            <a:ln w="28575" cap="rnd">
              <a:solidFill>
                <a:schemeClr val="accent3"/>
              </a:solidFill>
              <a:round/>
            </a:ln>
            <a:effectLst/>
          </c:spPr>
          <c:marker>
            <c:symbol val="none"/>
          </c:marker>
          <c:val>
            <c:numRef>
              <c:f>Schedules!$F$6:$AC$6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EB9A-496D-8BA5-7DEAE68F96E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ClgSetpt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c:formatCode>
                <c:ptCount val="24"/>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numCache>
            </c:numRef>
          </c:val>
          <c:smooth val="0"/>
          <c:extLst>
            <c:ext xmlns:c16="http://schemas.microsoft.com/office/drawing/2014/chart" uri="{C3380CC4-5D6E-409C-BE32-E72D297353CC}">
              <c16:uniqueId val="{00000000-6FAD-4676-87A3-6A3C8F4F0045}"/>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c:formatCode>
                <c:ptCount val="24"/>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numCache>
            </c:numRef>
          </c:val>
          <c:smooth val="0"/>
          <c:extLst>
            <c:ext xmlns:c16="http://schemas.microsoft.com/office/drawing/2014/chart" uri="{C3380CC4-5D6E-409C-BE32-E72D297353CC}">
              <c16:uniqueId val="{00000001-6FAD-4676-87A3-6A3C8F4F0045}"/>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c:formatCode>
                <c:ptCount val="24"/>
                <c:pt idx="0">
                  <c:v>80</c:v>
                </c:pt>
                <c:pt idx="1">
                  <c:v>80</c:v>
                </c:pt>
                <c:pt idx="2">
                  <c:v>80</c:v>
                </c:pt>
                <c:pt idx="3">
                  <c:v>80</c:v>
                </c:pt>
                <c:pt idx="4">
                  <c:v>80</c:v>
                </c:pt>
                <c:pt idx="5">
                  <c:v>80</c:v>
                </c:pt>
                <c:pt idx="6">
                  <c:v>80</c:v>
                </c:pt>
                <c:pt idx="7">
                  <c:v>80</c:v>
                </c:pt>
                <c:pt idx="8">
                  <c:v>80</c:v>
                </c:pt>
                <c:pt idx="9">
                  <c:v>80</c:v>
                </c:pt>
                <c:pt idx="10">
                  <c:v>80</c:v>
                </c:pt>
                <c:pt idx="11">
                  <c:v>80</c:v>
                </c:pt>
                <c:pt idx="12">
                  <c:v>80</c:v>
                </c:pt>
                <c:pt idx="13">
                  <c:v>80</c:v>
                </c:pt>
                <c:pt idx="14">
                  <c:v>80</c:v>
                </c:pt>
                <c:pt idx="15">
                  <c:v>80</c:v>
                </c:pt>
                <c:pt idx="16">
                  <c:v>80</c:v>
                </c:pt>
                <c:pt idx="17">
                  <c:v>80</c:v>
                </c:pt>
                <c:pt idx="18">
                  <c:v>80</c:v>
                </c:pt>
                <c:pt idx="19">
                  <c:v>80</c:v>
                </c:pt>
                <c:pt idx="20">
                  <c:v>80</c:v>
                </c:pt>
                <c:pt idx="21">
                  <c:v>80</c:v>
                </c:pt>
                <c:pt idx="22">
                  <c:v>80</c:v>
                </c:pt>
                <c:pt idx="23">
                  <c:v>80</c:v>
                </c:pt>
              </c:numCache>
            </c:numRef>
          </c:val>
          <c:smooth val="0"/>
          <c:extLst>
            <c:ext xmlns:c16="http://schemas.microsoft.com/office/drawing/2014/chart" uri="{C3380CC4-5D6E-409C-BE32-E72D297353CC}">
              <c16:uniqueId val="{00000002-6FAD-4676-87A3-6A3C8F4F004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Schedules!$C$22</c:f>
          <c:strCache>
            <c:ptCount val="1"/>
            <c:pt idx="0">
              <c:v>HtgSetpt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Schedules!$E$22</c:f>
              <c:strCache>
                <c:ptCount val="1"/>
                <c:pt idx="0">
                  <c:v>Weekday</c:v>
                </c:pt>
              </c:strCache>
            </c:strRef>
          </c:tx>
          <c:spPr>
            <a:ln w="28575" cap="rnd">
              <a:solidFill>
                <a:schemeClr val="accent1"/>
              </a:solidFill>
              <a:round/>
            </a:ln>
            <a:effectLst/>
          </c:spPr>
          <c:marker>
            <c:symbol val="none"/>
          </c:marker>
          <c:val>
            <c:numRef>
              <c:f>Schedules!$F$22:$AC$22</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0-31F3-4996-8367-36CB726EFC88}"/>
            </c:ext>
          </c:extLst>
        </c:ser>
        <c:ser>
          <c:idx val="1"/>
          <c:order val="1"/>
          <c:tx>
            <c:strRef>
              <c:f>Schedules!$E$23</c:f>
              <c:strCache>
                <c:ptCount val="1"/>
                <c:pt idx="0">
                  <c:v>Saturday</c:v>
                </c:pt>
              </c:strCache>
            </c:strRef>
          </c:tx>
          <c:spPr>
            <a:ln w="28575" cap="rnd">
              <a:solidFill>
                <a:schemeClr val="accent2"/>
              </a:solidFill>
              <a:round/>
            </a:ln>
            <a:effectLst/>
          </c:spPr>
          <c:marker>
            <c:symbol val="none"/>
          </c:marker>
          <c:val>
            <c:numRef>
              <c:f>Schedules!$F$23:$AC$23</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31F3-4996-8367-36CB726EFC88}"/>
            </c:ext>
          </c:extLst>
        </c:ser>
        <c:ser>
          <c:idx val="2"/>
          <c:order val="2"/>
          <c:tx>
            <c:strRef>
              <c:f>Schedules!$E$24</c:f>
              <c:strCache>
                <c:ptCount val="1"/>
                <c:pt idx="0">
                  <c:v>Sunday</c:v>
                </c:pt>
              </c:strCache>
            </c:strRef>
          </c:tx>
          <c:spPr>
            <a:ln w="28575" cap="rnd">
              <a:solidFill>
                <a:schemeClr val="accent3"/>
              </a:solidFill>
              <a:round/>
            </a:ln>
            <a:effectLst/>
          </c:spPr>
          <c:marker>
            <c:symbol val="none"/>
          </c:marker>
          <c:val>
            <c:numRef>
              <c:f>Schedules!$F$24:$AC$24</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31F3-4996-8367-36CB726EFC8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Schedules!$C$25</c:f>
          <c:strCache>
            <c:ptCount val="1"/>
            <c:pt idx="0">
              <c:v>ClgSetpt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Schedules!$E$25</c:f>
              <c:strCache>
                <c:ptCount val="1"/>
                <c:pt idx="0">
                  <c:v>Weekday</c:v>
                </c:pt>
              </c:strCache>
            </c:strRef>
          </c:tx>
          <c:spPr>
            <a:ln w="28575" cap="rnd">
              <a:solidFill>
                <a:schemeClr val="accent1"/>
              </a:solidFill>
              <a:round/>
            </a:ln>
            <a:effectLst/>
          </c:spPr>
          <c:marker>
            <c:symbol val="none"/>
          </c:marker>
          <c:val>
            <c:numRef>
              <c:f>Schedules!$F$25:$AC$25</c:f>
              <c:numCache>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numCache>
            </c:numRef>
          </c:val>
          <c:smooth val="0"/>
          <c:extLst>
            <c:ext xmlns:c16="http://schemas.microsoft.com/office/drawing/2014/chart" uri="{C3380CC4-5D6E-409C-BE32-E72D297353CC}">
              <c16:uniqueId val="{00000000-9F2A-4710-87D8-2C5E35C863F7}"/>
            </c:ext>
          </c:extLst>
        </c:ser>
        <c:ser>
          <c:idx val="1"/>
          <c:order val="1"/>
          <c:tx>
            <c:strRef>
              <c:f>Schedules!$E$26</c:f>
              <c:strCache>
                <c:ptCount val="1"/>
                <c:pt idx="0">
                  <c:v>Saturday</c:v>
                </c:pt>
              </c:strCache>
            </c:strRef>
          </c:tx>
          <c:spPr>
            <a:ln w="28575" cap="rnd">
              <a:solidFill>
                <a:schemeClr val="accent2"/>
              </a:solidFill>
              <a:round/>
            </a:ln>
            <a:effectLst/>
          </c:spPr>
          <c:marker>
            <c:symbol val="none"/>
          </c:marker>
          <c:val>
            <c:numRef>
              <c:f>Schedules!$F$26:$AC$26</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9F2A-4710-87D8-2C5E35C863F7}"/>
            </c:ext>
          </c:extLst>
        </c:ser>
        <c:ser>
          <c:idx val="2"/>
          <c:order val="2"/>
          <c:tx>
            <c:strRef>
              <c:f>Schedules!$E$27</c:f>
              <c:strCache>
                <c:ptCount val="1"/>
                <c:pt idx="0">
                  <c:v>Sunday</c:v>
                </c:pt>
              </c:strCache>
            </c:strRef>
          </c:tx>
          <c:spPr>
            <a:ln w="28575" cap="rnd">
              <a:solidFill>
                <a:schemeClr val="accent3"/>
              </a:solidFill>
              <a:round/>
            </a:ln>
            <a:effectLst/>
          </c:spPr>
          <c:marker>
            <c:symbol val="none"/>
          </c:marker>
          <c:val>
            <c:numRef>
              <c:f>Schedules!$F$27:$AC$27</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9F2A-4710-87D8-2C5E35C863F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90"/>
          <c:min val="7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5"/>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1"/>
          <c:order val="0"/>
          <c:tx>
            <c:v>National Average</c:v>
          </c:tx>
          <c:spPr>
            <a:ln w="28575" cap="rnd">
              <a:solidFill>
                <a:srgbClr val="203764"/>
              </a:solidFill>
              <a:prstDash val="solid"/>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Usage'!$I$3:$I$18</c:f>
              <c:numCache>
                <c:formatCode>0.0</c:formatCode>
                <c:ptCount val="16"/>
                <c:pt idx="0">
                  <c:v>71.5</c:v>
                </c:pt>
                <c:pt idx="1">
                  <c:v>77.3</c:v>
                </c:pt>
                <c:pt idx="2">
                  <c:v>74</c:v>
                </c:pt>
                <c:pt idx="3">
                  <c:v>79.5</c:v>
                </c:pt>
                <c:pt idx="4">
                  <c:v>71.400000000000006</c:v>
                </c:pt>
                <c:pt idx="5">
                  <c:v>80.8</c:v>
                </c:pt>
                <c:pt idx="6">
                  <c:v>76.7</c:v>
                </c:pt>
                <c:pt idx="7">
                  <c:v>77.599999999999994</c:v>
                </c:pt>
                <c:pt idx="8">
                  <c:v>77.7</c:v>
                </c:pt>
                <c:pt idx="9">
                  <c:v>78.099999999999994</c:v>
                </c:pt>
                <c:pt idx="10">
                  <c:v>80.3</c:v>
                </c:pt>
                <c:pt idx="11">
                  <c:v>79.599999999999994</c:v>
                </c:pt>
                <c:pt idx="12">
                  <c:v>80</c:v>
                </c:pt>
                <c:pt idx="13">
                  <c:v>80.8</c:v>
                </c:pt>
                <c:pt idx="14">
                  <c:v>79.5</c:v>
                </c:pt>
                <c:pt idx="15">
                  <c:v>82.3</c:v>
                </c:pt>
              </c:numCache>
            </c:numRef>
          </c:val>
          <c:smooth val="0"/>
          <c:extLst>
            <c:ext xmlns:c16="http://schemas.microsoft.com/office/drawing/2014/chart" uri="{C3380CC4-5D6E-409C-BE32-E72D297353CC}">
              <c16:uniqueId val="{00000000-9306-4626-9728-574B970757C1}"/>
            </c:ext>
          </c:extLst>
        </c:ser>
        <c:ser>
          <c:idx val="0"/>
          <c:order val="1"/>
          <c:tx>
            <c:v>National Average - Higher</c:v>
          </c:tx>
          <c:spPr>
            <a:ln w="28575" cap="rnd">
              <a:solidFill>
                <a:schemeClr val="accent1"/>
              </a:solidFill>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Usage'!$J$3:$J$18</c:f>
              <c:numCache>
                <c:formatCode>0.0</c:formatCode>
                <c:ptCount val="16"/>
                <c:pt idx="0">
                  <c:v>89.375</c:v>
                </c:pt>
                <c:pt idx="1">
                  <c:v>96.625</c:v>
                </c:pt>
                <c:pt idx="2">
                  <c:v>92.5</c:v>
                </c:pt>
                <c:pt idx="3">
                  <c:v>99.375</c:v>
                </c:pt>
                <c:pt idx="4">
                  <c:v>89.25</c:v>
                </c:pt>
                <c:pt idx="5">
                  <c:v>101</c:v>
                </c:pt>
                <c:pt idx="6">
                  <c:v>95.875</c:v>
                </c:pt>
                <c:pt idx="7">
                  <c:v>97</c:v>
                </c:pt>
                <c:pt idx="8">
                  <c:v>97.125</c:v>
                </c:pt>
                <c:pt idx="9">
                  <c:v>97.625</c:v>
                </c:pt>
                <c:pt idx="10">
                  <c:v>100.375</c:v>
                </c:pt>
                <c:pt idx="11">
                  <c:v>99.5</c:v>
                </c:pt>
                <c:pt idx="12">
                  <c:v>100</c:v>
                </c:pt>
                <c:pt idx="13">
                  <c:v>101</c:v>
                </c:pt>
                <c:pt idx="14">
                  <c:v>99.375</c:v>
                </c:pt>
                <c:pt idx="15">
                  <c:v>102.875</c:v>
                </c:pt>
              </c:numCache>
            </c:numRef>
          </c:val>
          <c:smooth val="0"/>
          <c:extLst>
            <c:ext xmlns:c16="http://schemas.microsoft.com/office/drawing/2014/chart" uri="{C3380CC4-5D6E-409C-BE32-E72D297353CC}">
              <c16:uniqueId val="{00000001-9306-4626-9728-574B970757C1}"/>
            </c:ext>
          </c:extLst>
        </c:ser>
        <c:ser>
          <c:idx val="4"/>
          <c:order val="2"/>
          <c:tx>
            <c:v>National Average - Lower</c:v>
          </c:tx>
          <c:spPr>
            <a:ln w="28575" cap="rnd">
              <a:solidFill>
                <a:srgbClr val="B4C6E7"/>
              </a:solidFill>
              <a:prstDash val="solid"/>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Usage'!$K$3:$K$18</c:f>
              <c:numCache>
                <c:formatCode>0.00</c:formatCode>
                <c:ptCount val="16"/>
                <c:pt idx="0">
                  <c:v>53.625</c:v>
                </c:pt>
                <c:pt idx="1">
                  <c:v>57.974999999999994</c:v>
                </c:pt>
                <c:pt idx="2" formatCode="General">
                  <c:v>55.5</c:v>
                </c:pt>
                <c:pt idx="3" formatCode="General">
                  <c:v>59.625</c:v>
                </c:pt>
                <c:pt idx="4" formatCode="General">
                  <c:v>53.550000000000004</c:v>
                </c:pt>
                <c:pt idx="5" formatCode="General">
                  <c:v>60.599999999999994</c:v>
                </c:pt>
                <c:pt idx="6" formatCode="General">
                  <c:v>57.525000000000006</c:v>
                </c:pt>
                <c:pt idx="7" formatCode="General">
                  <c:v>58.199999999999996</c:v>
                </c:pt>
                <c:pt idx="8" formatCode="General">
                  <c:v>58.275000000000006</c:v>
                </c:pt>
                <c:pt idx="9" formatCode="General">
                  <c:v>58.574999999999996</c:v>
                </c:pt>
                <c:pt idx="10" formatCode="General">
                  <c:v>60.224999999999994</c:v>
                </c:pt>
                <c:pt idx="11" formatCode="General">
                  <c:v>59.699999999999996</c:v>
                </c:pt>
                <c:pt idx="12" formatCode="General">
                  <c:v>60</c:v>
                </c:pt>
                <c:pt idx="13" formatCode="General">
                  <c:v>60.599999999999994</c:v>
                </c:pt>
                <c:pt idx="14" formatCode="General">
                  <c:v>59.625</c:v>
                </c:pt>
                <c:pt idx="15" formatCode="General">
                  <c:v>61.724999999999994</c:v>
                </c:pt>
              </c:numCache>
            </c:numRef>
          </c:val>
          <c:smooth val="0"/>
          <c:extLst>
            <c:ext xmlns:c16="http://schemas.microsoft.com/office/drawing/2014/chart" uri="{C3380CC4-5D6E-409C-BE32-E72D297353CC}">
              <c16:uniqueId val="{00000004-9306-4626-9728-574B970757C1}"/>
            </c:ext>
          </c:extLst>
        </c:ser>
        <c:ser>
          <c:idx val="2"/>
          <c:order val="3"/>
          <c:tx>
            <c:v>CalBEM Total EUI</c:v>
          </c:tx>
          <c:spPr>
            <a:ln w="28575" cap="rnd">
              <a:solidFill>
                <a:schemeClr val="accent3"/>
              </a:solidFill>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Usage'!$E$3:$E$18</c:f>
              <c:numCache>
                <c:formatCode>General</c:formatCode>
                <c:ptCount val="16"/>
              </c:numCache>
            </c:numRef>
          </c:val>
          <c:smooth val="0"/>
          <c:extLst>
            <c:ext xmlns:c16="http://schemas.microsoft.com/office/drawing/2014/chart" uri="{C3380CC4-5D6E-409C-BE32-E72D297353CC}">
              <c16:uniqueId val="{00000002-9306-4626-9728-574B970757C1}"/>
            </c:ext>
          </c:extLst>
        </c:ser>
        <c:ser>
          <c:idx val="3"/>
          <c:order val="4"/>
          <c:tx>
            <c:v>New Construction Total EUI</c:v>
          </c:tx>
          <c:spPr>
            <a:ln w="28575" cap="rnd">
              <a:solidFill>
                <a:schemeClr val="accent4"/>
              </a:solidFill>
              <a:round/>
            </a:ln>
            <a:effectLst/>
          </c:spPr>
          <c:marker>
            <c:symbol val="none"/>
          </c:marker>
          <c:cat>
            <c:numRef>
              <c:f>'Energy Usage'!$O$3:$O$18</c:f>
              <c:numCache>
                <c:formatCode>General</c:formatCode>
                <c:ptCount val="1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numCache>
            </c:numRef>
          </c:cat>
          <c:val>
            <c:numRef>
              <c:f>'Energy Usage'!$H$3:$H$18</c:f>
              <c:numCache>
                <c:formatCode>General</c:formatCode>
                <c:ptCount val="16"/>
              </c:numCache>
            </c:numRef>
          </c:val>
          <c:smooth val="0"/>
          <c:extLst>
            <c:ext xmlns:c16="http://schemas.microsoft.com/office/drawing/2014/chart" uri="{C3380CC4-5D6E-409C-BE32-E72D297353CC}">
              <c16:uniqueId val="{00000003-9306-4626-9728-574B970757C1}"/>
            </c:ext>
          </c:extLst>
        </c:ser>
        <c:dLbls>
          <c:showLegendKey val="0"/>
          <c:showVal val="0"/>
          <c:showCatName val="0"/>
          <c:showSerName val="0"/>
          <c:showPercent val="0"/>
          <c:showBubbleSize val="0"/>
        </c:dLbls>
        <c:smooth val="0"/>
        <c:axId val="871838728"/>
        <c:axId val="871840776"/>
      </c:lineChart>
      <c:catAx>
        <c:axId val="871838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40776"/>
        <c:crosses val="autoZero"/>
        <c:auto val="1"/>
        <c:lblAlgn val="ctr"/>
        <c:lblOffset val="100"/>
        <c:noMultiLvlLbl val="0"/>
      </c:catAx>
      <c:valAx>
        <c:axId val="871840776"/>
        <c:scaling>
          <c:orientation val="minMax"/>
          <c:min val="4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38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Large Office CalBEM Prototype vs. National Average (CBECS 2018)</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w="25400">
              <a:noFill/>
            </a:ln>
            <a:effectLst/>
          </c:spPr>
          <c:invertIfNegative val="0"/>
          <c:val>
            <c:numRef>
              <c:f>'Energy Usage'!$K$3:$K$18</c:f>
              <c:numCache>
                <c:formatCode>0.00</c:formatCode>
                <c:ptCount val="16"/>
                <c:pt idx="0">
                  <c:v>53.625</c:v>
                </c:pt>
                <c:pt idx="1">
                  <c:v>57.974999999999994</c:v>
                </c:pt>
                <c:pt idx="2" formatCode="General">
                  <c:v>55.5</c:v>
                </c:pt>
                <c:pt idx="3" formatCode="General">
                  <c:v>59.625</c:v>
                </c:pt>
                <c:pt idx="4" formatCode="General">
                  <c:v>53.550000000000004</c:v>
                </c:pt>
                <c:pt idx="5" formatCode="General">
                  <c:v>60.599999999999994</c:v>
                </c:pt>
                <c:pt idx="6" formatCode="General">
                  <c:v>57.525000000000006</c:v>
                </c:pt>
                <c:pt idx="7" formatCode="General">
                  <c:v>58.199999999999996</c:v>
                </c:pt>
                <c:pt idx="8" formatCode="General">
                  <c:v>58.275000000000006</c:v>
                </c:pt>
                <c:pt idx="9" formatCode="General">
                  <c:v>58.574999999999996</c:v>
                </c:pt>
                <c:pt idx="10" formatCode="General">
                  <c:v>60.224999999999994</c:v>
                </c:pt>
                <c:pt idx="11" formatCode="General">
                  <c:v>59.699999999999996</c:v>
                </c:pt>
                <c:pt idx="12" formatCode="General">
                  <c:v>60</c:v>
                </c:pt>
                <c:pt idx="13" formatCode="General">
                  <c:v>60.599999999999994</c:v>
                </c:pt>
                <c:pt idx="14" formatCode="General">
                  <c:v>59.625</c:v>
                </c:pt>
                <c:pt idx="15" formatCode="General">
                  <c:v>61.724999999999994</c:v>
                </c:pt>
              </c:numCache>
            </c:numRef>
          </c:val>
          <c:extLst>
            <c:ext xmlns:c16="http://schemas.microsoft.com/office/drawing/2014/chart" uri="{C3380CC4-5D6E-409C-BE32-E72D297353CC}">
              <c16:uniqueId val="{00000000-F11B-4C1B-9BBB-3F02D3C5EB6E}"/>
            </c:ext>
          </c:extLst>
        </c:ser>
        <c:ser>
          <c:idx val="2"/>
          <c:order val="1"/>
          <c:tx>
            <c:strRef>
              <c:f>'Energy Usage'!$L$2</c:f>
              <c:strCache>
                <c:ptCount val="1"/>
                <c:pt idx="0">
                  <c:v>National Average Acceptable Range</c:v>
                </c:pt>
              </c:strCache>
            </c:strRef>
          </c:tx>
          <c:spPr>
            <a:solidFill>
              <a:srgbClr val="CCCCFF"/>
            </a:solidFill>
            <a:ln>
              <a:solidFill>
                <a:srgbClr val="CCCCFF"/>
              </a:solidFill>
              <a:prstDash val="solid"/>
            </a:ln>
            <a:effectLst/>
          </c:spPr>
          <c:invertIfNegative val="0"/>
          <c:val>
            <c:numRef>
              <c:f>'Energy Usage'!$L$3:$L$18</c:f>
              <c:numCache>
                <c:formatCode>0.00</c:formatCode>
                <c:ptCount val="16"/>
                <c:pt idx="0">
                  <c:v>35.75</c:v>
                </c:pt>
                <c:pt idx="1">
                  <c:v>38.650000000000006</c:v>
                </c:pt>
                <c:pt idx="2">
                  <c:v>37</c:v>
                </c:pt>
                <c:pt idx="3">
                  <c:v>39.75</c:v>
                </c:pt>
                <c:pt idx="4">
                  <c:v>35.699999999999996</c:v>
                </c:pt>
                <c:pt idx="5">
                  <c:v>40.400000000000006</c:v>
                </c:pt>
                <c:pt idx="6">
                  <c:v>38.349999999999994</c:v>
                </c:pt>
                <c:pt idx="7">
                  <c:v>38.800000000000004</c:v>
                </c:pt>
                <c:pt idx="8">
                  <c:v>38.849999999999994</c:v>
                </c:pt>
                <c:pt idx="9">
                  <c:v>39.050000000000004</c:v>
                </c:pt>
                <c:pt idx="10">
                  <c:v>40.150000000000006</c:v>
                </c:pt>
                <c:pt idx="11">
                  <c:v>39.800000000000004</c:v>
                </c:pt>
                <c:pt idx="12">
                  <c:v>40</c:v>
                </c:pt>
                <c:pt idx="13">
                  <c:v>40.400000000000006</c:v>
                </c:pt>
                <c:pt idx="14">
                  <c:v>39.75</c:v>
                </c:pt>
                <c:pt idx="15">
                  <c:v>41.150000000000006</c:v>
                </c:pt>
              </c:numCache>
            </c:numRef>
          </c:val>
          <c:extLst>
            <c:ext xmlns:c16="http://schemas.microsoft.com/office/drawing/2014/chart" uri="{C3380CC4-5D6E-409C-BE32-E72D297353CC}">
              <c16:uniqueId val="{00000001-F11B-4C1B-9BBB-3F02D3C5EB6E}"/>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F11B-4C1B-9BBB-3F02D3C5EB6E}"/>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F11B-4C1B-9BBB-3F02D3C5EB6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10"/>
          <c:min val="4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r>
              <a:rPr lang="en-US"/>
              <a:t>Large Office CalBEM Prototype vs. CEUS</a:t>
            </a:r>
            <a:r>
              <a:rPr lang="en-US" baseline="0"/>
              <a:t> 2022</a:t>
            </a:r>
            <a:endParaRPr lang="en-US"/>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7.2194751528742593E-2"/>
          <c:y val="0.1915794882709351"/>
          <c:w val="0.91451824433117146"/>
          <c:h val="0.6270254789121612"/>
        </c:manualLayout>
      </c:layout>
      <c:barChart>
        <c:barDir val="col"/>
        <c:grouping val="stacked"/>
        <c:varyColors val="0"/>
        <c:ser>
          <c:idx val="1"/>
          <c:order val="0"/>
          <c:tx>
            <c:v>Series One</c:v>
          </c:tx>
          <c:spPr>
            <a:noFill/>
            <a:ln>
              <a:noFill/>
            </a:ln>
            <a:effectLst/>
          </c:spPr>
          <c:invertIfNegative val="0"/>
          <c:val>
            <c:numRef>
              <c:f>'Energy Usage'!$U$3:$U$18</c:f>
              <c:numCache>
                <c:formatCode>0.00</c:formatCode>
                <c:ptCount val="16"/>
                <c:pt idx="0">
                  <c:v>55.555890000000005</c:v>
                </c:pt>
                <c:pt idx="1">
                  <c:v>54.864959999999996</c:v>
                </c:pt>
                <c:pt idx="2">
                  <c:v>48.953670000000002</c:v>
                </c:pt>
                <c:pt idx="3">
                  <c:v>49.030439999999999</c:v>
                </c:pt>
                <c:pt idx="4">
                  <c:v>45.857280000000003</c:v>
                </c:pt>
                <c:pt idx="5">
                  <c:v>40.381019999999999</c:v>
                </c:pt>
                <c:pt idx="6">
                  <c:v>61.82544</c:v>
                </c:pt>
                <c:pt idx="7">
                  <c:v>37.463760000000001</c:v>
                </c:pt>
                <c:pt idx="8">
                  <c:v>39.101520000000008</c:v>
                </c:pt>
                <c:pt idx="9">
                  <c:v>48.902489999999993</c:v>
                </c:pt>
                <c:pt idx="10">
                  <c:v>40.150710000000004</c:v>
                </c:pt>
                <c:pt idx="11">
                  <c:v>52.510680000000001</c:v>
                </c:pt>
                <c:pt idx="12">
                  <c:v>50.181989999999999</c:v>
                </c:pt>
                <c:pt idx="13">
                  <c:v>36.337800000000001</c:v>
                </c:pt>
                <c:pt idx="14">
                  <c:v>37.975560000000002</c:v>
                </c:pt>
                <c:pt idx="15">
                  <c:v>40.995179999999998</c:v>
                </c:pt>
              </c:numCache>
            </c:numRef>
          </c:val>
          <c:extLst>
            <c:ext xmlns:c16="http://schemas.microsoft.com/office/drawing/2014/chart" uri="{C3380CC4-5D6E-409C-BE32-E72D297353CC}">
              <c16:uniqueId val="{00000000-51FD-428C-B4E5-3D8C9450C48D}"/>
            </c:ext>
          </c:extLst>
        </c:ser>
        <c:ser>
          <c:idx val="2"/>
          <c:order val="1"/>
          <c:tx>
            <c:strRef>
              <c:f>'Energy Usage'!$V$2</c:f>
              <c:strCache>
                <c:ptCount val="1"/>
                <c:pt idx="0">
                  <c:v>CEUS 2022 Acceptable Range</c:v>
                </c:pt>
              </c:strCache>
            </c:strRef>
          </c:tx>
          <c:spPr>
            <a:solidFill>
              <a:srgbClr val="FFE699"/>
            </a:solidFill>
            <a:ln>
              <a:solidFill>
                <a:srgbClr val="FFE699"/>
              </a:solidFill>
              <a:prstDash val="solid"/>
            </a:ln>
            <a:effectLst/>
          </c:spPr>
          <c:invertIfNegative val="0"/>
          <c:val>
            <c:numRef>
              <c:f>'Energy Usage'!$V$3:$V$18</c:f>
              <c:numCache>
                <c:formatCode>0.00</c:formatCode>
                <c:ptCount val="16"/>
                <c:pt idx="0">
                  <c:v>37.037260000000003</c:v>
                </c:pt>
                <c:pt idx="1">
                  <c:v>36.576639999999998</c:v>
                </c:pt>
                <c:pt idx="2">
                  <c:v>32.635780000000011</c:v>
                </c:pt>
                <c:pt idx="3">
                  <c:v>32.686959999999999</c:v>
                </c:pt>
                <c:pt idx="4">
                  <c:v>30.571520000000007</c:v>
                </c:pt>
                <c:pt idx="5">
                  <c:v>26.920679999999997</c:v>
                </c:pt>
                <c:pt idx="6">
                  <c:v>41.21696</c:v>
                </c:pt>
                <c:pt idx="7">
                  <c:v>24.975840000000005</c:v>
                </c:pt>
                <c:pt idx="8">
                  <c:v>26.067679999999996</c:v>
                </c:pt>
                <c:pt idx="9">
                  <c:v>32.601659999999988</c:v>
                </c:pt>
                <c:pt idx="10">
                  <c:v>26.767139999999998</c:v>
                </c:pt>
                <c:pt idx="11">
                  <c:v>35.007119999999993</c:v>
                </c:pt>
                <c:pt idx="12">
                  <c:v>33.45465999999999</c:v>
                </c:pt>
                <c:pt idx="13">
                  <c:v>24.225200000000001</c:v>
                </c:pt>
                <c:pt idx="14">
                  <c:v>25.317039999999992</c:v>
                </c:pt>
                <c:pt idx="15">
                  <c:v>27.330120000000001</c:v>
                </c:pt>
              </c:numCache>
            </c:numRef>
          </c:val>
          <c:extLst>
            <c:ext xmlns:c16="http://schemas.microsoft.com/office/drawing/2014/chart" uri="{C3380CC4-5D6E-409C-BE32-E72D297353CC}">
              <c16:uniqueId val="{00000001-51FD-428C-B4E5-3D8C9450C48D}"/>
            </c:ext>
          </c:extLst>
        </c:ser>
        <c:dLbls>
          <c:showLegendKey val="0"/>
          <c:showVal val="0"/>
          <c:showCatName val="0"/>
          <c:showSerName val="0"/>
          <c:showPercent val="0"/>
          <c:showBubbleSize val="0"/>
        </c:dLbls>
        <c:gapWidth val="160"/>
        <c:overlap val="100"/>
        <c:axId val="758910767"/>
        <c:axId val="758909327"/>
      </c:barChart>
      <c:scatterChart>
        <c:scatterStyle val="lineMarker"/>
        <c:varyColors val="0"/>
        <c:ser>
          <c:idx val="0"/>
          <c:order val="2"/>
          <c:tx>
            <c:v>CalBEM Total EUI</c:v>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General</c:formatCode>
                <c:ptCount val="16"/>
              </c:numCache>
            </c:numRef>
          </c:yVal>
          <c:smooth val="0"/>
          <c:extLst>
            <c:ext xmlns:c16="http://schemas.microsoft.com/office/drawing/2014/chart" uri="{C3380CC4-5D6E-409C-BE32-E72D297353CC}">
              <c16:uniqueId val="{00000002-51FD-428C-B4E5-3D8C9450C48D}"/>
            </c:ext>
          </c:extLst>
        </c:ser>
        <c:ser>
          <c:idx val="3"/>
          <c:order val="3"/>
          <c:tx>
            <c:v>New Construction Total EUI</c:v>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51FD-428C-B4E5-3D8C9450C48D}"/>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Climate Zone</a:t>
                </a:r>
              </a:p>
            </c:rich>
          </c:tx>
          <c:layout>
            <c:manualLayout>
              <c:xMode val="edge"/>
              <c:yMode val="edge"/>
              <c:x val="0.4716193596992439"/>
              <c:y val="0.8871906806040372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10"/>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US"/>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0</xdr:col>
      <xdr:colOff>885825</xdr:colOff>
      <xdr:row>32</xdr:row>
      <xdr:rowOff>47625</xdr:rowOff>
    </xdr:from>
    <xdr:to>
      <xdr:col>4</xdr:col>
      <xdr:colOff>663512</xdr:colOff>
      <xdr:row>42</xdr:row>
      <xdr:rowOff>136735</xdr:rowOff>
    </xdr:to>
    <xdr:pic>
      <xdr:nvPicPr>
        <xdr:cNvPr id="3" name="Picture 2">
          <a:extLst>
            <a:ext uri="{FF2B5EF4-FFF2-40B4-BE49-F238E27FC236}">
              <a16:creationId xmlns:a16="http://schemas.microsoft.com/office/drawing/2014/main" id="{B19B08FF-C98D-AD34-B6A6-9159E65AC2D9}"/>
            </a:ext>
          </a:extLst>
        </xdr:cNvPr>
        <xdr:cNvPicPr>
          <a:picLocks noChangeAspect="1"/>
        </xdr:cNvPicPr>
      </xdr:nvPicPr>
      <xdr:blipFill>
        <a:blip xmlns:r="http://schemas.openxmlformats.org/officeDocument/2006/relationships" r:embed="rId1"/>
        <a:stretch>
          <a:fillRect/>
        </a:stretch>
      </xdr:blipFill>
      <xdr:spPr>
        <a:xfrm>
          <a:off x="885825" y="6734175"/>
          <a:ext cx="7715822" cy="1799800"/>
        </a:xfrm>
        <a:prstGeom prst="rect">
          <a:avLst/>
        </a:prstGeom>
      </xdr:spPr>
    </xdr:pic>
    <xdr:clientData/>
  </xdr:twoCellAnchor>
  <xdr:twoCellAnchor editAs="oneCell">
    <xdr:from>
      <xdr:col>1</xdr:col>
      <xdr:colOff>0</xdr:colOff>
      <xdr:row>62</xdr:row>
      <xdr:rowOff>7620</xdr:rowOff>
    </xdr:from>
    <xdr:to>
      <xdr:col>4</xdr:col>
      <xdr:colOff>630747</xdr:colOff>
      <xdr:row>74</xdr:row>
      <xdr:rowOff>133350</xdr:rowOff>
    </xdr:to>
    <xdr:pic>
      <xdr:nvPicPr>
        <xdr:cNvPr id="8" name="Picture 7">
          <a:extLst>
            <a:ext uri="{FF2B5EF4-FFF2-40B4-BE49-F238E27FC236}">
              <a16:creationId xmlns:a16="http://schemas.microsoft.com/office/drawing/2014/main" id="{62D63AF8-E097-0A32-C7B9-D3225DF9F5A9}"/>
            </a:ext>
          </a:extLst>
        </xdr:cNvPr>
        <xdr:cNvPicPr>
          <a:picLocks noChangeAspect="1"/>
        </xdr:cNvPicPr>
      </xdr:nvPicPr>
      <xdr:blipFill>
        <a:blip xmlns:r="http://schemas.openxmlformats.org/officeDocument/2006/relationships" r:embed="rId2"/>
        <a:stretch>
          <a:fillRect/>
        </a:stretch>
      </xdr:blipFill>
      <xdr:spPr>
        <a:xfrm>
          <a:off x="1009650" y="14314170"/>
          <a:ext cx="7564947" cy="2171700"/>
        </a:xfrm>
        <a:prstGeom prst="rect">
          <a:avLst/>
        </a:prstGeom>
        <a:ln w="6350">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1</xdr:col>
      <xdr:colOff>614</xdr:colOff>
      <xdr:row>7</xdr:row>
      <xdr:rowOff>191590</xdr:rowOff>
    </xdr:to>
    <xdr:pic>
      <xdr:nvPicPr>
        <xdr:cNvPr id="2" name="Picture 1" descr="Screen Clipping">
          <a:extLst>
            <a:ext uri="{FF2B5EF4-FFF2-40B4-BE49-F238E27FC236}">
              <a16:creationId xmlns:a16="http://schemas.microsoft.com/office/drawing/2014/main" id="{92496945-B017-459A-8549-AEF9CE8CFA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0" y="1577340"/>
          <a:ext cx="614" cy="1915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594361</xdr:colOff>
      <xdr:row>7</xdr:row>
      <xdr:rowOff>129540</xdr:rowOff>
    </xdr:from>
    <xdr:to>
      <xdr:col>1</xdr:col>
      <xdr:colOff>3002281</xdr:colOff>
      <xdr:row>7</xdr:row>
      <xdr:rowOff>1752600</xdr:rowOff>
    </xdr:to>
    <xdr:pic>
      <xdr:nvPicPr>
        <xdr:cNvPr id="3" name="Picture 2">
          <a:extLst>
            <a:ext uri="{FF2B5EF4-FFF2-40B4-BE49-F238E27FC236}">
              <a16:creationId xmlns:a16="http://schemas.microsoft.com/office/drawing/2014/main" id="{F8CC5CAE-9274-3F43-392B-4F839FD463BC}"/>
            </a:ext>
          </a:extLst>
        </xdr:cNvPr>
        <xdr:cNvPicPr>
          <a:picLocks noChangeAspect="1"/>
        </xdr:cNvPicPr>
      </xdr:nvPicPr>
      <xdr:blipFill rotWithShape="1">
        <a:blip xmlns:r="http://schemas.openxmlformats.org/officeDocument/2006/relationships" r:embed="rId2"/>
        <a:srcRect t="4826" b="4290"/>
        <a:stretch>
          <a:fillRect/>
        </a:stretch>
      </xdr:blipFill>
      <xdr:spPr>
        <a:xfrm>
          <a:off x="2308861" y="2758440"/>
          <a:ext cx="2407920" cy="16230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217713</xdr:colOff>
      <xdr:row>5</xdr:row>
      <xdr:rowOff>84365</xdr:rowOff>
    </xdr:from>
    <xdr:to>
      <xdr:col>20</xdr:col>
      <xdr:colOff>343171</xdr:colOff>
      <xdr:row>12</xdr:row>
      <xdr:rowOff>6904</xdr:rowOff>
    </xdr:to>
    <xdr:pic>
      <xdr:nvPicPr>
        <xdr:cNvPr id="34" name="Picture 8">
          <a:extLst>
            <a:ext uri="{FF2B5EF4-FFF2-40B4-BE49-F238E27FC236}">
              <a16:creationId xmlns:a16="http://schemas.microsoft.com/office/drawing/2014/main" id="{0D6A9F8D-E671-170B-D51D-7FC6284F34C7}"/>
            </a:ext>
            <a:ext uri="{147F2762-F138-4A5C-976F-8EAC2B608ADB}">
              <a16:predDERef xmlns:a16="http://schemas.microsoft.com/office/drawing/2014/main" pred="{1DDDC35D-79DC-FE8D-E36B-A215903DCB00}"/>
            </a:ext>
          </a:extLst>
        </xdr:cNvPr>
        <xdr:cNvPicPr>
          <a:picLocks noChangeAspect="1"/>
        </xdr:cNvPicPr>
      </xdr:nvPicPr>
      <xdr:blipFill>
        <a:blip xmlns:r="http://schemas.openxmlformats.org/officeDocument/2006/relationships" r:embed="rId1"/>
        <a:stretch>
          <a:fillRect/>
        </a:stretch>
      </xdr:blipFill>
      <xdr:spPr>
        <a:xfrm>
          <a:off x="25298399" y="1597479"/>
          <a:ext cx="5492115" cy="3811461"/>
        </a:xfrm>
        <a:prstGeom prst="rect">
          <a:avLst/>
        </a:prstGeom>
      </xdr:spPr>
    </xdr:pic>
    <xdr:clientData/>
  </xdr:twoCellAnchor>
  <xdr:twoCellAnchor editAs="oneCell">
    <xdr:from>
      <xdr:col>20</xdr:col>
      <xdr:colOff>834118</xdr:colOff>
      <xdr:row>5</xdr:row>
      <xdr:rowOff>107496</xdr:rowOff>
    </xdr:from>
    <xdr:to>
      <xdr:col>24</xdr:col>
      <xdr:colOff>761727</xdr:colOff>
      <xdr:row>12</xdr:row>
      <xdr:rowOff>117739</xdr:rowOff>
    </xdr:to>
    <xdr:pic>
      <xdr:nvPicPr>
        <xdr:cNvPr id="25" name="Picture 9">
          <a:extLst>
            <a:ext uri="{FF2B5EF4-FFF2-40B4-BE49-F238E27FC236}">
              <a16:creationId xmlns:a16="http://schemas.microsoft.com/office/drawing/2014/main" id="{0E2B3F82-0017-58DB-C60B-FA178CCC0FD4}"/>
            </a:ext>
            <a:ext uri="{147F2762-F138-4A5C-976F-8EAC2B608ADB}">
              <a16:predDERef xmlns:a16="http://schemas.microsoft.com/office/drawing/2014/main" pred="{0D6A9F8D-E671-170B-D51D-7FC6284F34C7}"/>
            </a:ext>
          </a:extLst>
        </xdr:cNvPr>
        <xdr:cNvPicPr>
          <a:picLocks noChangeAspect="1"/>
        </xdr:cNvPicPr>
      </xdr:nvPicPr>
      <xdr:blipFill>
        <a:blip xmlns:r="http://schemas.openxmlformats.org/officeDocument/2006/relationships" r:embed="rId2"/>
        <a:stretch>
          <a:fillRect/>
        </a:stretch>
      </xdr:blipFill>
      <xdr:spPr>
        <a:xfrm>
          <a:off x="31281461" y="1620610"/>
          <a:ext cx="5631724" cy="3899165"/>
        </a:xfrm>
        <a:prstGeom prst="rect">
          <a:avLst/>
        </a:prstGeom>
      </xdr:spPr>
    </xdr:pic>
    <xdr:clientData/>
  </xdr:twoCellAnchor>
  <xdr:twoCellAnchor editAs="oneCell">
    <xdr:from>
      <xdr:col>24</xdr:col>
      <xdr:colOff>1092654</xdr:colOff>
      <xdr:row>5</xdr:row>
      <xdr:rowOff>19050</xdr:rowOff>
    </xdr:from>
    <xdr:to>
      <xdr:col>29</xdr:col>
      <xdr:colOff>2994</xdr:colOff>
      <xdr:row>12</xdr:row>
      <xdr:rowOff>93519</xdr:rowOff>
    </xdr:to>
    <xdr:pic>
      <xdr:nvPicPr>
        <xdr:cNvPr id="22" name="Picture 13">
          <a:extLst>
            <a:ext uri="{FF2B5EF4-FFF2-40B4-BE49-F238E27FC236}">
              <a16:creationId xmlns:a16="http://schemas.microsoft.com/office/drawing/2014/main" id="{2F67732D-AB25-8847-9893-A40FA3430DDA}"/>
            </a:ext>
            <a:ext uri="{147F2762-F138-4A5C-976F-8EAC2B608ADB}">
              <a16:predDERef xmlns:a16="http://schemas.microsoft.com/office/drawing/2014/main" pred="{9884142F-2406-706B-0D5F-9376D767E6F9}"/>
            </a:ext>
          </a:extLst>
        </xdr:cNvPr>
        <xdr:cNvPicPr>
          <a:picLocks noChangeAspect="1"/>
        </xdr:cNvPicPr>
      </xdr:nvPicPr>
      <xdr:blipFill>
        <a:blip xmlns:r="http://schemas.openxmlformats.org/officeDocument/2006/relationships" r:embed="rId3"/>
        <a:stretch>
          <a:fillRect/>
        </a:stretch>
      </xdr:blipFill>
      <xdr:spPr>
        <a:xfrm>
          <a:off x="37244111" y="1532164"/>
          <a:ext cx="5791200" cy="3969106"/>
        </a:xfrm>
        <a:prstGeom prst="rect">
          <a:avLst/>
        </a:prstGeom>
      </xdr:spPr>
    </xdr:pic>
    <xdr:clientData/>
  </xdr:twoCellAnchor>
  <xdr:twoCellAnchor>
    <xdr:from>
      <xdr:col>20</xdr:col>
      <xdr:colOff>1282561</xdr:colOff>
      <xdr:row>0</xdr:row>
      <xdr:rowOff>35035</xdr:rowOff>
    </xdr:from>
    <xdr:to>
      <xdr:col>20</xdr:col>
      <xdr:colOff>1282561</xdr:colOff>
      <xdr:row>0</xdr:row>
      <xdr:rowOff>321779</xdr:rowOff>
    </xdr:to>
    <xdr:cxnSp macro="">
      <xdr:nvCxnSpPr>
        <xdr:cNvPr id="2" name="Straight Arrow Connector 3">
          <a:extLst>
            <a:ext uri="{FF2B5EF4-FFF2-40B4-BE49-F238E27FC236}">
              <a16:creationId xmlns:a16="http://schemas.microsoft.com/office/drawing/2014/main" id="{2029FF83-1480-4F16-B4C9-CD9550CC9815}"/>
            </a:ext>
            <a:ext uri="{147F2762-F138-4A5C-976F-8EAC2B608ADB}">
              <a16:predDERef xmlns:a16="http://schemas.microsoft.com/office/drawing/2014/main" pred="{2F67732D-AB25-8847-9893-A40FA3430DDA}"/>
            </a:ext>
          </a:extLst>
        </xdr:cNvPr>
        <xdr:cNvCxnSpPr/>
      </xdr:nvCxnSpPr>
      <xdr:spPr>
        <a:xfrm flipV="1">
          <a:off x="26647636"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1325218</xdr:colOff>
      <xdr:row>0</xdr:row>
      <xdr:rowOff>67505</xdr:rowOff>
    </xdr:from>
    <xdr:to>
      <xdr:col>20</xdr:col>
      <xdr:colOff>1565412</xdr:colOff>
      <xdr:row>1</xdr:row>
      <xdr:rowOff>103203</xdr:rowOff>
    </xdr:to>
    <xdr:sp macro="" textlink="">
      <xdr:nvSpPr>
        <xdr:cNvPr id="3" name="TextBox 7">
          <a:extLst>
            <a:ext uri="{FF2B5EF4-FFF2-40B4-BE49-F238E27FC236}">
              <a16:creationId xmlns:a16="http://schemas.microsoft.com/office/drawing/2014/main" id="{1C2ACC53-EFE8-4DB1-973B-A6E47613BF48}"/>
            </a:ext>
            <a:ext uri="{147F2762-F138-4A5C-976F-8EAC2B608ADB}">
              <a16:predDERef xmlns:a16="http://schemas.microsoft.com/office/drawing/2014/main" pred="{2029FF83-1480-4F16-B4C9-CD9550CC9815}"/>
            </a:ext>
          </a:extLst>
        </xdr:cNvPr>
        <xdr:cNvSpPr txBox="1"/>
      </xdr:nvSpPr>
      <xdr:spPr>
        <a:xfrm>
          <a:off x="26690293" y="67505"/>
          <a:ext cx="240194" cy="35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2247900</xdr:colOff>
      <xdr:row>2</xdr:row>
      <xdr:rowOff>47625</xdr:rowOff>
    </xdr:from>
    <xdr:to>
      <xdr:col>12</xdr:col>
      <xdr:colOff>685799</xdr:colOff>
      <xdr:row>7</xdr:row>
      <xdr:rowOff>626969</xdr:rowOff>
    </xdr:to>
    <xdr:pic>
      <xdr:nvPicPr>
        <xdr:cNvPr id="4" name="Picture 3">
          <a:extLst>
            <a:ext uri="{FF2B5EF4-FFF2-40B4-BE49-F238E27FC236}">
              <a16:creationId xmlns:a16="http://schemas.microsoft.com/office/drawing/2014/main" id="{D3867141-0F16-00E3-70FB-022097D059E3}"/>
            </a:ext>
            <a:ext uri="{147F2762-F138-4A5C-976F-8EAC2B608ADB}">
              <a16:predDERef xmlns:a16="http://schemas.microsoft.com/office/drawing/2014/main" pred="{00022A3A-0BFC-4446-C03B-A097B979CBA9}"/>
            </a:ext>
          </a:extLst>
        </xdr:cNvPr>
        <xdr:cNvPicPr>
          <a:picLocks noChangeAspect="1"/>
        </xdr:cNvPicPr>
      </xdr:nvPicPr>
      <xdr:blipFill>
        <a:blip xmlns:r="http://schemas.openxmlformats.org/officeDocument/2006/relationships" r:embed="rId1"/>
        <a:stretch>
          <a:fillRect/>
        </a:stretch>
      </xdr:blipFill>
      <xdr:spPr>
        <a:xfrm>
          <a:off x="17621250" y="628650"/>
          <a:ext cx="4638675" cy="3190875"/>
        </a:xfrm>
        <a:prstGeom prst="rect">
          <a:avLst/>
        </a:prstGeom>
      </xdr:spPr>
    </xdr:pic>
    <xdr:clientData/>
  </xdr:twoCellAnchor>
  <xdr:twoCellAnchor editAs="oneCell">
    <xdr:from>
      <xdr:col>12</xdr:col>
      <xdr:colOff>1009650</xdr:colOff>
      <xdr:row>2</xdr:row>
      <xdr:rowOff>9525</xdr:rowOff>
    </xdr:from>
    <xdr:to>
      <xdr:col>17</xdr:col>
      <xdr:colOff>476251</xdr:colOff>
      <xdr:row>7</xdr:row>
      <xdr:rowOff>630779</xdr:rowOff>
    </xdr:to>
    <xdr:pic>
      <xdr:nvPicPr>
        <xdr:cNvPr id="6" name="Picture 5">
          <a:extLst>
            <a:ext uri="{FF2B5EF4-FFF2-40B4-BE49-F238E27FC236}">
              <a16:creationId xmlns:a16="http://schemas.microsoft.com/office/drawing/2014/main" id="{6026F35C-B149-4C4D-A0DF-888B43BA4E9B}"/>
            </a:ext>
            <a:ext uri="{147F2762-F138-4A5C-976F-8EAC2B608ADB}">
              <a16:predDERef xmlns:a16="http://schemas.microsoft.com/office/drawing/2014/main" pred="{D3867141-0F16-00E3-70FB-022097D059E3}"/>
            </a:ext>
          </a:extLst>
        </xdr:cNvPr>
        <xdr:cNvPicPr>
          <a:picLocks noChangeAspect="1"/>
        </xdr:cNvPicPr>
      </xdr:nvPicPr>
      <xdr:blipFill>
        <a:blip xmlns:r="http://schemas.openxmlformats.org/officeDocument/2006/relationships" r:embed="rId2"/>
        <a:stretch>
          <a:fillRect/>
        </a:stretch>
      </xdr:blipFill>
      <xdr:spPr>
        <a:xfrm>
          <a:off x="22583775" y="590550"/>
          <a:ext cx="4572000" cy="3219450"/>
        </a:xfrm>
        <a:prstGeom prst="rect">
          <a:avLst/>
        </a:prstGeom>
      </xdr:spPr>
    </xdr:pic>
    <xdr:clientData/>
  </xdr:twoCellAnchor>
  <xdr:twoCellAnchor editAs="oneCell">
    <xdr:from>
      <xdr:col>17</xdr:col>
      <xdr:colOff>739140</xdr:colOff>
      <xdr:row>1</xdr:row>
      <xdr:rowOff>217170</xdr:rowOff>
    </xdr:from>
    <xdr:to>
      <xdr:col>22</xdr:col>
      <xdr:colOff>779145</xdr:colOff>
      <xdr:row>7</xdr:row>
      <xdr:rowOff>630779</xdr:rowOff>
    </xdr:to>
    <xdr:pic>
      <xdr:nvPicPr>
        <xdr:cNvPr id="7" name="Picture 6">
          <a:extLst>
            <a:ext uri="{FF2B5EF4-FFF2-40B4-BE49-F238E27FC236}">
              <a16:creationId xmlns:a16="http://schemas.microsoft.com/office/drawing/2014/main" id="{BA6DE3D2-E3F4-8592-164B-4BC617E222E7}"/>
            </a:ext>
            <a:ext uri="{147F2762-F138-4A5C-976F-8EAC2B608ADB}">
              <a16:predDERef xmlns:a16="http://schemas.microsoft.com/office/drawing/2014/main" pred="{6026F35C-B149-4C4D-A0DF-888B43BA4E9B}"/>
            </a:ext>
          </a:extLst>
        </xdr:cNvPr>
        <xdr:cNvPicPr>
          <a:picLocks noChangeAspect="1"/>
        </xdr:cNvPicPr>
      </xdr:nvPicPr>
      <xdr:blipFill>
        <a:blip xmlns:r="http://schemas.openxmlformats.org/officeDocument/2006/relationships" r:embed="rId3"/>
        <a:stretch>
          <a:fillRect/>
        </a:stretch>
      </xdr:blipFill>
      <xdr:spPr>
        <a:xfrm>
          <a:off x="30468346" y="564552"/>
          <a:ext cx="4996815" cy="3312123"/>
        </a:xfrm>
        <a:prstGeom prst="rect">
          <a:avLst/>
        </a:prstGeom>
      </xdr:spPr>
    </xdr:pic>
    <xdr:clientData/>
  </xdr:twoCellAnchor>
  <xdr:oneCellAnchor>
    <xdr:from>
      <xdr:col>0</xdr:col>
      <xdr:colOff>148533</xdr:colOff>
      <xdr:row>103</xdr:row>
      <xdr:rowOff>146895</xdr:rowOff>
    </xdr:from>
    <xdr:ext cx="2486193" cy="36567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F97E052-0587-4A6E-962A-DF62D1131293}"/>
                </a:ext>
              </a:extLst>
            </xdr:cNvPr>
            <xdr:cNvSpPr txBox="1">
              <a:spLocks/>
            </xdr:cNvSpPr>
          </xdr:nvSpPr>
          <xdr:spPr>
            <a:xfrm>
              <a:off x="148533" y="27444424"/>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2" name="TextBox 1">
              <a:extLst>
                <a:ext uri="{FF2B5EF4-FFF2-40B4-BE49-F238E27FC236}">
                  <a16:creationId xmlns:a16="http://schemas.microsoft.com/office/drawing/2014/main" id="{6F97E052-0587-4A6E-962A-DF62D1131293}"/>
                </a:ext>
              </a:extLst>
            </xdr:cNvPr>
            <xdr:cNvSpPr txBox="1">
              <a:spLocks/>
            </xdr:cNvSpPr>
          </xdr:nvSpPr>
          <xdr:spPr>
            <a:xfrm>
              <a:off x="148533" y="27444424"/>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175988</xdr:colOff>
      <xdr:row>92</xdr:row>
      <xdr:rowOff>156323</xdr:rowOff>
    </xdr:from>
    <xdr:ext cx="1369028" cy="372025"/>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8C348CF-51C4-47CB-A932-F9098CB810BD}"/>
                </a:ext>
              </a:extLst>
            </xdr:cNvPr>
            <xdr:cNvSpPr txBox="1">
              <a:spLocks/>
            </xdr:cNvSpPr>
          </xdr:nvSpPr>
          <xdr:spPr>
            <a:xfrm>
              <a:off x="175988" y="25728147"/>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5" name="TextBox 4">
              <a:extLst>
                <a:ext uri="{FF2B5EF4-FFF2-40B4-BE49-F238E27FC236}">
                  <a16:creationId xmlns:a16="http://schemas.microsoft.com/office/drawing/2014/main" id="{18C348CF-51C4-47CB-A932-F9098CB810BD}"/>
                </a:ext>
              </a:extLst>
            </xdr:cNvPr>
            <xdr:cNvSpPr txBox="1">
              <a:spLocks/>
            </xdr:cNvSpPr>
          </xdr:nvSpPr>
          <xdr:spPr>
            <a:xfrm>
              <a:off x="175988" y="25728147"/>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(𝑐𝑓𝑚∗〖𝑇𝑆𝑃〗_(𝑖𝑛 𝑤.𝑐.))/〖6356∗𝜇〗_𝑓𝑎𝑛 </a:t>
              </a:r>
              <a:endParaRPr lang="en-US" sz="1100">
                <a:solidFill>
                  <a:srgbClr val="000000"/>
                </a:solidFill>
              </a:endParaRPr>
            </a:p>
          </xdr:txBody>
        </xdr:sp>
      </mc:Fallback>
    </mc:AlternateContent>
    <xdr:clientData/>
  </xdr:oneCellAnchor>
  <xdr:oneCellAnchor>
    <xdr:from>
      <xdr:col>0</xdr:col>
      <xdr:colOff>140749</xdr:colOff>
      <xdr:row>96</xdr:row>
      <xdr:rowOff>49587</xdr:rowOff>
    </xdr:from>
    <xdr:ext cx="2027222" cy="35105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E28C43E-C0A2-4121-B19C-BF9045283867}"/>
                </a:ext>
              </a:extLst>
            </xdr:cNvPr>
            <xdr:cNvSpPr txBox="1">
              <a:spLocks/>
            </xdr:cNvSpPr>
          </xdr:nvSpPr>
          <xdr:spPr>
            <a:xfrm>
              <a:off x="140749" y="26248940"/>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8" name="TextBox 7">
              <a:extLst>
                <a:ext uri="{FF2B5EF4-FFF2-40B4-BE49-F238E27FC236}">
                  <a16:creationId xmlns:a16="http://schemas.microsoft.com/office/drawing/2014/main" id="{0E28C43E-C0A2-4121-B19C-BF9045283867}"/>
                </a:ext>
              </a:extLst>
            </xdr:cNvPr>
            <xdr:cNvSpPr txBox="1">
              <a:spLocks/>
            </xdr:cNvSpPr>
          </xdr:nvSpPr>
          <xdr:spPr>
            <a:xfrm>
              <a:off x="140749" y="26248940"/>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134470</xdr:colOff>
      <xdr:row>100</xdr:row>
      <xdr:rowOff>53803</xdr:rowOff>
    </xdr:from>
    <xdr:ext cx="2360967" cy="32823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125DD515-7B99-47DD-AB76-23A5E01EE9E6}"/>
                </a:ext>
              </a:extLst>
            </xdr:cNvPr>
            <xdr:cNvSpPr txBox="1">
              <a:spLocks/>
            </xdr:cNvSpPr>
          </xdr:nvSpPr>
          <xdr:spPr>
            <a:xfrm>
              <a:off x="134470" y="26880685"/>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9" name="TextBox 8">
              <a:extLst>
                <a:ext uri="{FF2B5EF4-FFF2-40B4-BE49-F238E27FC236}">
                  <a16:creationId xmlns:a16="http://schemas.microsoft.com/office/drawing/2014/main" id="{125DD515-7B99-47DD-AB76-23A5E01EE9E6}"/>
                </a:ext>
              </a:extLst>
            </xdr:cNvPr>
            <xdr:cNvSpPr txBox="1">
              <a:spLocks/>
            </xdr:cNvSpPr>
          </xdr:nvSpPr>
          <xdr:spPr>
            <a:xfrm>
              <a:off x="134470" y="26880685"/>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(〖𝐹𝑎𝑛 𝑝𝑜𝑤𝑒𝑟〗_(𝑤/𝑐𝑓𝑚)∗𝑐𝑓𝑚∗𝜇_𝑚𝑜𝑡𝑜𝑟)/746</a:t>
              </a:r>
              <a:endParaRPr lang="en-US" sz="1100">
                <a:solidFill>
                  <a:srgbClr val="000000"/>
                </a:solidFill>
              </a:endParaRPr>
            </a:p>
          </xdr:txBody>
        </xdr:sp>
      </mc:Fallback>
    </mc:AlternateContent>
    <xdr:clientData/>
  </xdr:oneCellAnchor>
  <xdr:twoCellAnchor>
    <xdr:from>
      <xdr:col>14</xdr:col>
      <xdr:colOff>1282561</xdr:colOff>
      <xdr:row>0</xdr:row>
      <xdr:rowOff>35035</xdr:rowOff>
    </xdr:from>
    <xdr:to>
      <xdr:col>14</xdr:col>
      <xdr:colOff>1282561</xdr:colOff>
      <xdr:row>0</xdr:row>
      <xdr:rowOff>321779</xdr:rowOff>
    </xdr:to>
    <xdr:cxnSp macro="">
      <xdr:nvCxnSpPr>
        <xdr:cNvPr id="10" name="Straight Arrow Connector 3">
          <a:extLst>
            <a:ext uri="{FF2B5EF4-FFF2-40B4-BE49-F238E27FC236}">
              <a16:creationId xmlns:a16="http://schemas.microsoft.com/office/drawing/2014/main" id="{9821D7A3-7C06-467E-AF52-2A687AFF42FB}"/>
            </a:ext>
            <a:ext uri="{147F2762-F138-4A5C-976F-8EAC2B608ADB}">
              <a16:predDERef xmlns:a16="http://schemas.microsoft.com/office/drawing/2014/main" pred="{125DD515-7B99-47DD-AB76-23A5E01EE9E6}"/>
            </a:ext>
          </a:extLst>
        </xdr:cNvPr>
        <xdr:cNvCxnSpPr/>
      </xdr:nvCxnSpPr>
      <xdr:spPr>
        <a:xfrm flipV="1">
          <a:off x="31848286"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1009650</xdr:colOff>
      <xdr:row>0</xdr:row>
      <xdr:rowOff>57150</xdr:rowOff>
    </xdr:from>
    <xdr:to>
      <xdr:col>15</xdr:col>
      <xdr:colOff>219075</xdr:colOff>
      <xdr:row>1</xdr:row>
      <xdr:rowOff>95250</xdr:rowOff>
    </xdr:to>
    <xdr:sp macro="" textlink="">
      <xdr:nvSpPr>
        <xdr:cNvPr id="11" name="TextBox 7">
          <a:extLst>
            <a:ext uri="{FF2B5EF4-FFF2-40B4-BE49-F238E27FC236}">
              <a16:creationId xmlns:a16="http://schemas.microsoft.com/office/drawing/2014/main" id="{A33F754D-0CB5-450D-A3CC-2FF4F14FA68E}"/>
            </a:ext>
            <a:ext uri="{147F2762-F138-4A5C-976F-8EAC2B608ADB}">
              <a16:predDERef xmlns:a16="http://schemas.microsoft.com/office/drawing/2014/main" pred="{9821D7A3-7C06-467E-AF52-2A687AFF42FB}"/>
            </a:ext>
          </a:extLst>
        </xdr:cNvPr>
        <xdr:cNvSpPr txBox="1"/>
      </xdr:nvSpPr>
      <xdr:spPr>
        <a:xfrm>
          <a:off x="26841450" y="57150"/>
          <a:ext cx="228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190198</xdr:colOff>
      <xdr:row>42</xdr:row>
      <xdr:rowOff>160020</xdr:rowOff>
    </xdr:from>
    <xdr:to>
      <xdr:col>7</xdr:col>
      <xdr:colOff>601980</xdr:colOff>
      <xdr:row>60</xdr:row>
      <xdr:rowOff>58937</xdr:rowOff>
    </xdr:to>
    <xdr:graphicFrame macro="">
      <xdr:nvGraphicFramePr>
        <xdr:cNvPr id="2" name="Chart 1">
          <a:extLst>
            <a:ext uri="{FF2B5EF4-FFF2-40B4-BE49-F238E27FC236}">
              <a16:creationId xmlns:a16="http://schemas.microsoft.com/office/drawing/2014/main" id="{46F9D3B4-FBD4-4DCD-B159-3B3B9C73E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43</xdr:row>
      <xdr:rowOff>68580</xdr:rowOff>
    </xdr:from>
    <xdr:to>
      <xdr:col>16</xdr:col>
      <xdr:colOff>419100</xdr:colOff>
      <xdr:row>60</xdr:row>
      <xdr:rowOff>74176</xdr:rowOff>
    </xdr:to>
    <xdr:graphicFrame macro="">
      <xdr:nvGraphicFramePr>
        <xdr:cNvPr id="3" name="Chart 2">
          <a:extLst>
            <a:ext uri="{FF2B5EF4-FFF2-40B4-BE49-F238E27FC236}">
              <a16:creationId xmlns:a16="http://schemas.microsoft.com/office/drawing/2014/main" id="{F965F2B2-4F67-4D19-B93E-691B522DF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76201</xdr:rowOff>
    </xdr:from>
    <xdr:to>
      <xdr:col>6</xdr:col>
      <xdr:colOff>295275</xdr:colOff>
      <xdr:row>39</xdr:row>
      <xdr:rowOff>57151</xdr:rowOff>
    </xdr:to>
    <xdr:pic>
      <xdr:nvPicPr>
        <xdr:cNvPr id="5" name="Picture 4">
          <a:extLst>
            <a:ext uri="{FF2B5EF4-FFF2-40B4-BE49-F238E27FC236}">
              <a16:creationId xmlns:a16="http://schemas.microsoft.com/office/drawing/2014/main" id="{B654508F-3A47-416C-B7DC-8E6D2D09F61C}"/>
            </a:ext>
          </a:extLst>
        </xdr:cNvPr>
        <xdr:cNvPicPr>
          <a:picLocks noChangeAspect="1"/>
        </xdr:cNvPicPr>
      </xdr:nvPicPr>
      <xdr:blipFill>
        <a:blip xmlns:r="http://schemas.openxmlformats.org/officeDocument/2006/relationships" r:embed="rId3"/>
        <a:stretch>
          <a:fillRect/>
        </a:stretch>
      </xdr:blipFill>
      <xdr:spPr>
        <a:xfrm>
          <a:off x="0" y="4629151"/>
          <a:ext cx="5924550" cy="26955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29</xdr:col>
      <xdr:colOff>289560</xdr:colOff>
      <xdr:row>1</xdr:row>
      <xdr:rowOff>251791</xdr:rowOff>
    </xdr:from>
    <xdr:to>
      <xdr:col>36</xdr:col>
      <xdr:colOff>0</xdr:colOff>
      <xdr:row>5</xdr:row>
      <xdr:rowOff>364434</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289560</xdr:colOff>
      <xdr:row>6</xdr:row>
      <xdr:rowOff>0</xdr:rowOff>
    </xdr:from>
    <xdr:to>
      <xdr:col>36</xdr:col>
      <xdr:colOff>0</xdr:colOff>
      <xdr:row>8</xdr:row>
      <xdr:rowOff>391886</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9</xdr:row>
      <xdr:rowOff>0</xdr:rowOff>
    </xdr:from>
    <xdr:to>
      <xdr:col>36</xdr:col>
      <xdr:colOff>26126</xdr:colOff>
      <xdr:row>12</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315686</xdr:colOff>
      <xdr:row>12</xdr:row>
      <xdr:rowOff>0</xdr:rowOff>
    </xdr:from>
    <xdr:to>
      <xdr:col>36</xdr:col>
      <xdr:colOff>26126</xdr:colOff>
      <xdr:row>15</xdr:row>
      <xdr:rowOff>0</xdr:rowOff>
    </xdr:to>
    <xdr:graphicFrame macro="">
      <xdr:nvGraphicFramePr>
        <xdr:cNvPr id="2" name="Chart 5">
          <a:extLst>
            <a:ext uri="{FF2B5EF4-FFF2-40B4-BE49-F238E27FC236}">
              <a16:creationId xmlns:a16="http://schemas.microsoft.com/office/drawing/2014/main" id="{97E67914-D1CB-4363-9072-51C258AEB30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315686</xdr:colOff>
      <xdr:row>15</xdr:row>
      <xdr:rowOff>0</xdr:rowOff>
    </xdr:from>
    <xdr:to>
      <xdr:col>36</xdr:col>
      <xdr:colOff>26126</xdr:colOff>
      <xdr:row>18</xdr:row>
      <xdr:rowOff>0</xdr:rowOff>
    </xdr:to>
    <xdr:graphicFrame macro="">
      <xdr:nvGraphicFramePr>
        <xdr:cNvPr id="3" name="Chart 5">
          <a:extLst>
            <a:ext uri="{FF2B5EF4-FFF2-40B4-BE49-F238E27FC236}">
              <a16:creationId xmlns:a16="http://schemas.microsoft.com/office/drawing/2014/main" id="{E05898F8-B3D7-4E49-8CE4-80334890D32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315686</xdr:colOff>
      <xdr:row>18</xdr:row>
      <xdr:rowOff>0</xdr:rowOff>
    </xdr:from>
    <xdr:to>
      <xdr:col>36</xdr:col>
      <xdr:colOff>26126</xdr:colOff>
      <xdr:row>21</xdr:row>
      <xdr:rowOff>0</xdr:rowOff>
    </xdr:to>
    <xdr:graphicFrame macro="">
      <xdr:nvGraphicFramePr>
        <xdr:cNvPr id="4" name="Chart 5">
          <a:extLst>
            <a:ext uri="{FF2B5EF4-FFF2-40B4-BE49-F238E27FC236}">
              <a16:creationId xmlns:a16="http://schemas.microsoft.com/office/drawing/2014/main" id="{371C284F-4F51-4190-B528-8BCA12836F5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289560</xdr:colOff>
      <xdr:row>31</xdr:row>
      <xdr:rowOff>0</xdr:rowOff>
    </xdr:from>
    <xdr:to>
      <xdr:col>36</xdr:col>
      <xdr:colOff>0</xdr:colOff>
      <xdr:row>33</xdr:row>
      <xdr:rowOff>391886</xdr:rowOff>
    </xdr:to>
    <xdr:graphicFrame macro="">
      <xdr:nvGraphicFramePr>
        <xdr:cNvPr id="7" name="Chart 5">
          <a:extLst>
            <a:ext uri="{FF2B5EF4-FFF2-40B4-BE49-F238E27FC236}">
              <a16:creationId xmlns:a16="http://schemas.microsoft.com/office/drawing/2014/main" id="{32B0BFFC-AC1F-4D36-BEED-825D50F5B3B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315686</xdr:colOff>
      <xdr:row>34</xdr:row>
      <xdr:rowOff>0</xdr:rowOff>
    </xdr:from>
    <xdr:to>
      <xdr:col>36</xdr:col>
      <xdr:colOff>26126</xdr:colOff>
      <xdr:row>37</xdr:row>
      <xdr:rowOff>0</xdr:rowOff>
    </xdr:to>
    <xdr:graphicFrame macro="">
      <xdr:nvGraphicFramePr>
        <xdr:cNvPr id="11" name="Chart 5">
          <a:extLst>
            <a:ext uri="{FF2B5EF4-FFF2-40B4-BE49-F238E27FC236}">
              <a16:creationId xmlns:a16="http://schemas.microsoft.com/office/drawing/2014/main" id="{B39F69D7-1333-494B-89D0-F314682AC21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315686</xdr:colOff>
      <xdr:row>37</xdr:row>
      <xdr:rowOff>0</xdr:rowOff>
    </xdr:from>
    <xdr:to>
      <xdr:col>36</xdr:col>
      <xdr:colOff>26126</xdr:colOff>
      <xdr:row>40</xdr:row>
      <xdr:rowOff>0</xdr:rowOff>
    </xdr:to>
    <xdr:graphicFrame macro="">
      <xdr:nvGraphicFramePr>
        <xdr:cNvPr id="12" name="Chart 5">
          <a:extLst>
            <a:ext uri="{FF2B5EF4-FFF2-40B4-BE49-F238E27FC236}">
              <a16:creationId xmlns:a16="http://schemas.microsoft.com/office/drawing/2014/main" id="{0C0CCC32-2A40-4A01-80A5-5E834C21237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315686</xdr:colOff>
      <xdr:row>40</xdr:row>
      <xdr:rowOff>0</xdr:rowOff>
    </xdr:from>
    <xdr:to>
      <xdr:col>36</xdr:col>
      <xdr:colOff>26126</xdr:colOff>
      <xdr:row>43</xdr:row>
      <xdr:rowOff>0</xdr:rowOff>
    </xdr:to>
    <xdr:graphicFrame macro="">
      <xdr:nvGraphicFramePr>
        <xdr:cNvPr id="13" name="Chart 5">
          <a:extLst>
            <a:ext uri="{FF2B5EF4-FFF2-40B4-BE49-F238E27FC236}">
              <a16:creationId xmlns:a16="http://schemas.microsoft.com/office/drawing/2014/main" id="{547C7F49-FC6A-463D-93B0-690857C7D10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299357</xdr:colOff>
      <xdr:row>27</xdr:row>
      <xdr:rowOff>204107</xdr:rowOff>
    </xdr:from>
    <xdr:to>
      <xdr:col>36</xdr:col>
      <xdr:colOff>15512</xdr:colOff>
      <xdr:row>30</xdr:row>
      <xdr:rowOff>374989</xdr:rowOff>
    </xdr:to>
    <xdr:graphicFrame macro="">
      <xdr:nvGraphicFramePr>
        <xdr:cNvPr id="17" name="Chart 5">
          <a:extLst>
            <a:ext uri="{FF2B5EF4-FFF2-40B4-BE49-F238E27FC236}">
              <a16:creationId xmlns:a16="http://schemas.microsoft.com/office/drawing/2014/main" id="{069CE89C-D6F0-422A-9B65-ADF631CBADF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353786</xdr:colOff>
      <xdr:row>43</xdr:row>
      <xdr:rowOff>122464</xdr:rowOff>
    </xdr:from>
    <xdr:to>
      <xdr:col>36</xdr:col>
      <xdr:colOff>58511</xdr:colOff>
      <xdr:row>46</xdr:row>
      <xdr:rowOff>0</xdr:rowOff>
    </xdr:to>
    <xdr:graphicFrame macro="">
      <xdr:nvGraphicFramePr>
        <xdr:cNvPr id="22" name="Chart 5">
          <a:extLst>
            <a:ext uri="{FF2B5EF4-FFF2-40B4-BE49-F238E27FC236}">
              <a16:creationId xmlns:a16="http://schemas.microsoft.com/office/drawing/2014/main" id="{FFDEE309-BE3F-48E1-8AA0-E2F3460F1B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285750</xdr:colOff>
      <xdr:row>21</xdr:row>
      <xdr:rowOff>40821</xdr:rowOff>
    </xdr:from>
    <xdr:to>
      <xdr:col>35</xdr:col>
      <xdr:colOff>622391</xdr:colOff>
      <xdr:row>24</xdr:row>
      <xdr:rowOff>40822</xdr:rowOff>
    </xdr:to>
    <xdr:graphicFrame macro="">
      <xdr:nvGraphicFramePr>
        <xdr:cNvPr id="23" name="Chart 5">
          <a:extLst>
            <a:ext uri="{FF2B5EF4-FFF2-40B4-BE49-F238E27FC236}">
              <a16:creationId xmlns:a16="http://schemas.microsoft.com/office/drawing/2014/main" id="{7ADD1A5E-61F4-405B-81DD-26F8025309B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335552</xdr:colOff>
      <xdr:row>24</xdr:row>
      <xdr:rowOff>105047</xdr:rowOff>
    </xdr:from>
    <xdr:to>
      <xdr:col>36</xdr:col>
      <xdr:colOff>34562</xdr:colOff>
      <xdr:row>27</xdr:row>
      <xdr:rowOff>105047</xdr:rowOff>
    </xdr:to>
    <xdr:graphicFrame macro="">
      <xdr:nvGraphicFramePr>
        <xdr:cNvPr id="24" name="Chart 5">
          <a:extLst>
            <a:ext uri="{FF2B5EF4-FFF2-40B4-BE49-F238E27FC236}">
              <a16:creationId xmlns:a16="http://schemas.microsoft.com/office/drawing/2014/main" id="{9ED5344D-5907-4A2A-BB68-71796F79B55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47</xdr:col>
      <xdr:colOff>333375</xdr:colOff>
      <xdr:row>1</xdr:row>
      <xdr:rowOff>304800</xdr:rowOff>
    </xdr:from>
    <xdr:to>
      <xdr:col>62</xdr:col>
      <xdr:colOff>190500</xdr:colOff>
      <xdr:row>16</xdr:row>
      <xdr:rowOff>190500</xdr:rowOff>
    </xdr:to>
    <xdr:graphicFrame macro="">
      <xdr:nvGraphicFramePr>
        <xdr:cNvPr id="2" name="Chart 1">
          <a:extLst>
            <a:ext uri="{FF2B5EF4-FFF2-40B4-BE49-F238E27FC236}">
              <a16:creationId xmlns:a16="http://schemas.microsoft.com/office/drawing/2014/main" id="{DFA35EE0-E9E7-4CCD-A912-0D18609CD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390525</xdr:colOff>
      <xdr:row>0</xdr:row>
      <xdr:rowOff>47625</xdr:rowOff>
    </xdr:from>
    <xdr:to>
      <xdr:col>41</xdr:col>
      <xdr:colOff>118336</xdr:colOff>
      <xdr:row>19</xdr:row>
      <xdr:rowOff>53228</xdr:rowOff>
    </xdr:to>
    <xdr:graphicFrame macro="">
      <xdr:nvGraphicFramePr>
        <xdr:cNvPr id="6" name="Chart 2">
          <a:extLst>
            <a:ext uri="{FF2B5EF4-FFF2-40B4-BE49-F238E27FC236}">
              <a16:creationId xmlns:a16="http://schemas.microsoft.com/office/drawing/2014/main" id="{1C4B321F-B912-4DA3-9131-4711F8F61767}"/>
            </a:ext>
            <a:ext uri="{147F2762-F138-4A5C-976F-8EAC2B608ADB}">
              <a16:predDERef xmlns:a16="http://schemas.microsoft.com/office/drawing/2014/main" pred="{DFA35EE0-E9E7-4CCD-A912-0D18609CD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409575</xdr:colOff>
      <xdr:row>23</xdr:row>
      <xdr:rowOff>0</xdr:rowOff>
    </xdr:from>
    <xdr:to>
      <xdr:col>41</xdr:col>
      <xdr:colOff>137386</xdr:colOff>
      <xdr:row>55</xdr:row>
      <xdr:rowOff>91328</xdr:rowOff>
    </xdr:to>
    <xdr:graphicFrame macro="">
      <xdr:nvGraphicFramePr>
        <xdr:cNvPr id="42" name="Chart 2">
          <a:extLst>
            <a:ext uri="{FF2B5EF4-FFF2-40B4-BE49-F238E27FC236}">
              <a16:creationId xmlns:a16="http://schemas.microsoft.com/office/drawing/2014/main" id="{0491DC35-93BE-45C9-B1B3-4498335A37C1}"/>
            </a:ext>
            <a:ext uri="{147F2762-F138-4A5C-976F-8EAC2B608ADB}">
              <a16:predDERef xmlns:a16="http://schemas.microsoft.com/office/drawing/2014/main" pred="{1C4B321F-B912-4DA3-9131-4711F8F61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pnnl.gov/main/publications/external/technical_reports/PNNL-20405.pdf" TargetMode="External"/><Relationship Id="rId13" Type="http://schemas.openxmlformats.org/officeDocument/2006/relationships/hyperlink" Target="https://www.govinfo.gov/content/pkg/CFR-2024-title10-vol3/pdf/CFR-2024-title10-vol3-part431-subpartF.pdf" TargetMode="External"/><Relationship Id="rId18" Type="http://schemas.openxmlformats.org/officeDocument/2006/relationships/hyperlink" Target="https://www.thefreelibrary.com/Determining+Vintage+Bins+for+Prototype+Development%3a+An+Analysis+of...-a0879271125" TargetMode="External"/><Relationship Id="rId3" Type="http://schemas.openxmlformats.org/officeDocument/2006/relationships/hyperlink" Target="https://github.com/sound-data/DEER-Prototypes-EnergyPlus" TargetMode="External"/><Relationship Id="rId21" Type="http://schemas.openxmlformats.org/officeDocument/2006/relationships/hyperlink" Target="https://www.grainger.com/category/plumbing/water-heaters/electric-tank-water-heaters" TargetMode="External"/><Relationship Id="rId7" Type="http://schemas.openxmlformats.org/officeDocument/2006/relationships/hyperlink" Target="https://title24stakeholders.com/wp-content/uploads/2016/10/T24-2019-CASE-Study-Results-Report-Outdoor-Sources_Final_with-Attachments.pdf" TargetMode="External"/><Relationship Id="rId12" Type="http://schemas.openxmlformats.org/officeDocument/2006/relationships/hyperlink" Target="https://publications.ibpsa.org/conference/paper/?id=simbuild2026_1372" TargetMode="External"/><Relationship Id="rId17" Type="http://schemas.openxmlformats.org/officeDocument/2006/relationships/hyperlink" Target="https://govt.westlaw.com/calregs/Document/I270DCA634B4011EFA8F7F119BAF97AD6?viewType=FullText&amp;originationContext=documenttoc&amp;transitionType=CategoryPageItem&amp;contextData=(sc.Default)" TargetMode="External"/><Relationship Id="rId25" Type="http://schemas.openxmlformats.org/officeDocument/2006/relationships/drawing" Target="../drawings/drawing1.xml"/><Relationship Id="rId2" Type="http://schemas.openxmlformats.org/officeDocument/2006/relationships/hyperlink" Target="https://www.energycodes.gov/prototype-building-models" TargetMode="External"/><Relationship Id="rId16" Type="http://schemas.openxmlformats.org/officeDocument/2006/relationships/hyperlink" Target="https://www.energy.ca.gov/publications/2023/2022-california-commercial-end-use-survey-ceus-final-report" TargetMode="External"/><Relationship Id="rId20" Type="http://schemas.openxmlformats.org/officeDocument/2006/relationships/hyperlink" Target="https://www.grainger.com/category/plumbing/water-heaters/gas-tank-water-heaters" TargetMode="External"/><Relationship Id="rId1" Type="http://schemas.openxmlformats.org/officeDocument/2006/relationships/hyperlink" Target="https://bees.noresco.com/software2022.html" TargetMode="External"/><Relationship Id="rId6" Type="http://schemas.openxmlformats.org/officeDocument/2006/relationships/hyperlink" Target="https://publications.ibpsa.org/proceedings/simbuild/2020/papers/simbuild2020_C064.pdf" TargetMode="External"/><Relationship Id="rId11" Type="http://schemas.openxmlformats.org/officeDocument/2006/relationships/hyperlink" Target="https://title24stakeholders.com/wp-content/uploads/2016/10/T24-2019-CASE-Study-Results-Report-Outdoor-Sources_Final_with-Attachments.pdf" TargetMode="External"/><Relationship Id="rId24"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5" Type="http://schemas.openxmlformats.org/officeDocument/2006/relationships/hyperlink" Target="https://www.sciencedirect.com/science/article/abs/pii/S0306261920312186" TargetMode="External"/><Relationship Id="rId15" Type="http://schemas.openxmlformats.org/officeDocument/2006/relationships/hyperlink" Target="https://www.eia.gov/consumption/commercial/data/2018/" TargetMode="External"/><Relationship Id="rId23" Type="http://schemas.openxmlformats.org/officeDocument/2006/relationships/hyperlink" Target="https://www.energy.ca.gov/publications/2025/2025-building-energy-efficiency-standards-residential-and-nonresidential" TargetMode="External"/><Relationship Id="rId10" Type="http://schemas.openxmlformats.org/officeDocument/2006/relationships/hyperlink" Target="https://efiling.energy.ca.gov/GetDocument.aspx?tn=265693&amp;DocumentContentId=102545" TargetMode="External"/><Relationship Id="rId19" Type="http://schemas.openxmlformats.org/officeDocument/2006/relationships/hyperlink" Target="https://www.energystar.gov/productfinder/product/certified-commercial-water-heaters/results?fuel_filter=Gas&amp;markets_filter=United+States" TargetMode="External"/><Relationship Id="rId4" Type="http://schemas.openxmlformats.org/officeDocument/2006/relationships/hyperlink" Target="https://www.mass.gov/doc/large-office-prototype-basis-of-design-report/download" TargetMode="External"/><Relationship Id="rId9"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14" Type="http://schemas.openxmlformats.org/officeDocument/2006/relationships/hyperlink" Target="https://www.govinfo.gov/content/pkg/FR-2009-03-23/pdf/FR-2009-03-23.pdf" TargetMode="External"/><Relationship Id="rId22" Type="http://schemas.openxmlformats.org/officeDocument/2006/relationships/hyperlink" Target="https://codes.iccsafe.org/codes/united-states/california"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https://title24stakeholders.com/wp-content/uploads/2020/10/2022-T24-Final-CASE-Report_Reduce-Infiltration.pdf"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91"/>
  <sheetViews>
    <sheetView tabSelected="1" zoomScaleNormal="100" workbookViewId="0">
      <selection sqref="A1:E1"/>
    </sheetView>
  </sheetViews>
  <sheetFormatPr defaultColWidth="9.33203125" defaultRowHeight="13.2" x14ac:dyDescent="0.25"/>
  <cols>
    <col min="1" max="1" width="14.6640625" style="5" customWidth="1"/>
    <col min="2" max="2" width="82.44140625" style="5" customWidth="1"/>
    <col min="3" max="3" width="9.33203125" style="5" customWidth="1"/>
    <col min="4" max="4" width="9.33203125" style="5"/>
    <col min="5" max="5" width="13.33203125" style="5" customWidth="1"/>
    <col min="6" max="6" width="9.6640625" style="5" customWidth="1"/>
    <col min="7" max="7" width="23" style="5" customWidth="1"/>
    <col min="8" max="8" width="10.6640625" style="5" customWidth="1"/>
    <col min="9" max="9" width="9.6640625" style="5" customWidth="1"/>
    <col min="10" max="11" width="10.44140625" style="5" bestFit="1" customWidth="1"/>
    <col min="12" max="16384" width="9.33203125" style="5"/>
  </cols>
  <sheetData>
    <row r="1" spans="1:10" ht="20.399999999999999" customHeight="1" x14ac:dyDescent="0.25">
      <c r="A1" s="806" t="s">
        <v>0</v>
      </c>
      <c r="B1" s="806"/>
      <c r="C1" s="806"/>
      <c r="D1" s="806"/>
      <c r="E1" s="806"/>
    </row>
    <row r="2" spans="1:10" x14ac:dyDescent="0.25">
      <c r="A2" s="831" t="s">
        <v>1</v>
      </c>
      <c r="B2" s="5" t="s">
        <v>2</v>
      </c>
      <c r="C2" s="811"/>
      <c r="D2" s="811"/>
      <c r="E2" s="811"/>
      <c r="F2" s="5" t="s">
        <v>3</v>
      </c>
    </row>
    <row r="3" spans="1:10" x14ac:dyDescent="0.25">
      <c r="A3" s="831"/>
      <c r="B3" s="5" t="s">
        <v>4</v>
      </c>
      <c r="C3" s="809" t="s">
        <v>5</v>
      </c>
      <c r="D3" s="809"/>
      <c r="E3" s="809"/>
      <c r="F3" s="5" t="s">
        <v>3</v>
      </c>
    </row>
    <row r="4" spans="1:10" x14ac:dyDescent="0.25">
      <c r="A4" s="831"/>
      <c r="B4" s="5" t="s">
        <v>6</v>
      </c>
      <c r="C4" s="809" t="s">
        <v>7</v>
      </c>
      <c r="D4" s="809"/>
      <c r="E4" s="809"/>
      <c r="F4" s="5" t="s">
        <v>3</v>
      </c>
    </row>
    <row r="5" spans="1:10" x14ac:dyDescent="0.25">
      <c r="A5" s="831"/>
      <c r="B5" s="5" t="s">
        <v>8</v>
      </c>
      <c r="C5" s="809" t="s">
        <v>9</v>
      </c>
      <c r="D5" s="809"/>
      <c r="E5" s="809"/>
      <c r="F5" s="5" t="s">
        <v>3</v>
      </c>
    </row>
    <row r="6" spans="1:10" x14ac:dyDescent="0.25">
      <c r="A6" s="831" t="s">
        <v>10</v>
      </c>
      <c r="B6" s="5" t="s">
        <v>11</v>
      </c>
      <c r="C6" s="811" t="s">
        <v>12</v>
      </c>
      <c r="D6" s="811"/>
      <c r="E6" s="811"/>
      <c r="F6" s="5" t="s">
        <v>3</v>
      </c>
    </row>
    <row r="7" spans="1:10" x14ac:dyDescent="0.25">
      <c r="A7" s="831"/>
      <c r="B7" s="5" t="s">
        <v>13</v>
      </c>
      <c r="C7" s="811" t="s">
        <v>14</v>
      </c>
      <c r="D7" s="811"/>
      <c r="E7" s="811"/>
      <c r="F7" s="5" t="s">
        <v>3</v>
      </c>
    </row>
    <row r="8" spans="1:10" x14ac:dyDescent="0.25">
      <c r="A8" s="831"/>
      <c r="B8" s="5" t="s">
        <v>15</v>
      </c>
      <c r="C8" s="811" t="s">
        <v>16</v>
      </c>
      <c r="D8" s="811"/>
      <c r="E8" s="811"/>
      <c r="F8" s="5" t="s">
        <v>3</v>
      </c>
    </row>
    <row r="9" spans="1:10" x14ac:dyDescent="0.25">
      <c r="A9" s="831"/>
      <c r="B9" s="808" t="s">
        <v>17</v>
      </c>
      <c r="C9" s="811" t="s">
        <v>18</v>
      </c>
      <c r="D9" s="811"/>
      <c r="E9" s="811"/>
      <c r="F9" s="5" t="s">
        <v>3</v>
      </c>
    </row>
    <row r="10" spans="1:10" x14ac:dyDescent="0.25">
      <c r="A10" s="831"/>
      <c r="B10" s="808"/>
      <c r="C10" s="811" t="s">
        <v>19</v>
      </c>
      <c r="D10" s="811"/>
      <c r="E10" s="811"/>
      <c r="F10" s="5" t="s">
        <v>3</v>
      </c>
      <c r="I10" s="748"/>
      <c r="J10" s="748"/>
    </row>
    <row r="11" spans="1:10" x14ac:dyDescent="0.25">
      <c r="A11" s="831"/>
      <c r="B11" s="128" t="s">
        <v>20</v>
      </c>
      <c r="C11" s="811" t="s">
        <v>21</v>
      </c>
      <c r="D11" s="811"/>
      <c r="E11" s="811"/>
      <c r="F11" s="5" t="s">
        <v>3</v>
      </c>
      <c r="I11" s="748"/>
      <c r="J11" s="748"/>
    </row>
    <row r="12" spans="1:10" x14ac:dyDescent="0.25">
      <c r="A12" s="808" t="s">
        <v>22</v>
      </c>
      <c r="B12" s="815" t="s">
        <v>23</v>
      </c>
      <c r="C12" s="810" t="s">
        <v>24</v>
      </c>
      <c r="D12" s="810"/>
      <c r="E12" s="810"/>
      <c r="F12" s="476">
        <v>2025</v>
      </c>
    </row>
    <row r="13" spans="1:10" x14ac:dyDescent="0.25">
      <c r="A13" s="808"/>
      <c r="B13" s="815"/>
      <c r="C13" s="810" t="s">
        <v>25</v>
      </c>
      <c r="D13" s="810"/>
      <c r="E13" s="810"/>
      <c r="F13" s="5" t="s">
        <v>26</v>
      </c>
    </row>
    <row r="14" spans="1:10" x14ac:dyDescent="0.25">
      <c r="A14" s="808"/>
      <c r="B14" s="5" t="s">
        <v>27</v>
      </c>
      <c r="C14" s="809" t="s">
        <v>28</v>
      </c>
      <c r="D14" s="809"/>
      <c r="E14" s="809"/>
      <c r="F14" s="5" t="s">
        <v>3</v>
      </c>
    </row>
    <row r="15" spans="1:10" x14ac:dyDescent="0.25">
      <c r="A15" s="808"/>
      <c r="B15" s="5" t="s">
        <v>29</v>
      </c>
      <c r="C15" s="811" t="s">
        <v>30</v>
      </c>
      <c r="D15" s="811"/>
      <c r="E15" s="811"/>
      <c r="F15" s="5" t="s">
        <v>3</v>
      </c>
    </row>
    <row r="16" spans="1:10" x14ac:dyDescent="0.25">
      <c r="A16" s="808"/>
      <c r="B16" s="5" t="s">
        <v>31</v>
      </c>
      <c r="C16" s="811" t="s">
        <v>32</v>
      </c>
      <c r="D16" s="811"/>
      <c r="E16" s="811"/>
      <c r="F16" s="5" t="s">
        <v>3</v>
      </c>
    </row>
    <row r="17" spans="1:6" x14ac:dyDescent="0.25">
      <c r="A17" s="808"/>
      <c r="B17" s="500" t="s">
        <v>33</v>
      </c>
      <c r="C17" s="809" t="s">
        <v>34</v>
      </c>
      <c r="D17" s="809"/>
      <c r="E17" s="809"/>
      <c r="F17" s="5" t="s">
        <v>3</v>
      </c>
    </row>
    <row r="18" spans="1:6" ht="14.4" customHeight="1" x14ac:dyDescent="0.25">
      <c r="A18" s="808" t="s">
        <v>35</v>
      </c>
      <c r="B18" s="5" t="s">
        <v>36</v>
      </c>
      <c r="C18" s="811" t="s">
        <v>37</v>
      </c>
      <c r="D18" s="811"/>
      <c r="E18" s="811"/>
      <c r="F18" s="5" t="s">
        <v>3</v>
      </c>
    </row>
    <row r="19" spans="1:6" ht="14.4" customHeight="1" x14ac:dyDescent="0.25">
      <c r="A19" s="808"/>
      <c r="B19" s="500" t="s">
        <v>38</v>
      </c>
      <c r="C19" s="809" t="s">
        <v>39</v>
      </c>
      <c r="D19" s="809"/>
      <c r="E19" s="809"/>
      <c r="F19" s="5" t="s">
        <v>3</v>
      </c>
    </row>
    <row r="20" spans="1:6" ht="14.4" customHeight="1" x14ac:dyDescent="0.25">
      <c r="A20" s="808"/>
      <c r="B20" s="5" t="s">
        <v>40</v>
      </c>
      <c r="C20" s="811" t="s">
        <v>37</v>
      </c>
      <c r="D20" s="811"/>
      <c r="E20" s="811"/>
      <c r="F20" s="5" t="s">
        <v>3</v>
      </c>
    </row>
    <row r="21" spans="1:6" x14ac:dyDescent="0.25">
      <c r="A21" s="808"/>
      <c r="B21" s="128" t="s">
        <v>41</v>
      </c>
      <c r="C21" s="811" t="s">
        <v>42</v>
      </c>
      <c r="D21" s="811"/>
      <c r="E21" s="811"/>
      <c r="F21" s="5" t="s">
        <v>3</v>
      </c>
    </row>
    <row r="22" spans="1:6" x14ac:dyDescent="0.25">
      <c r="A22" s="808"/>
      <c r="B22" s="5" t="s">
        <v>43</v>
      </c>
      <c r="C22" s="811" t="s">
        <v>44</v>
      </c>
      <c r="D22" s="811"/>
      <c r="E22" s="811"/>
      <c r="F22" s="5" t="s">
        <v>3</v>
      </c>
    </row>
    <row r="23" spans="1:6" x14ac:dyDescent="0.25">
      <c r="A23" s="808"/>
      <c r="B23" s="5" t="s">
        <v>45</v>
      </c>
      <c r="C23" s="811" t="s">
        <v>46</v>
      </c>
      <c r="D23" s="811"/>
      <c r="E23" s="811"/>
      <c r="F23" s="5" t="s">
        <v>3</v>
      </c>
    </row>
    <row r="24" spans="1:6" x14ac:dyDescent="0.25">
      <c r="A24" s="808"/>
      <c r="B24" s="5" t="s">
        <v>47</v>
      </c>
      <c r="C24" s="811" t="s">
        <v>48</v>
      </c>
      <c r="D24" s="811"/>
      <c r="E24" s="811"/>
      <c r="F24" s="5" t="s">
        <v>3</v>
      </c>
    </row>
    <row r="25" spans="1:6" ht="26.4" x14ac:dyDescent="0.25">
      <c r="A25" s="808"/>
      <c r="B25" s="555" t="s">
        <v>49</v>
      </c>
      <c r="C25" s="812" t="s">
        <v>50</v>
      </c>
      <c r="D25" s="813"/>
      <c r="E25" s="813"/>
    </row>
    <row r="26" spans="1:6" ht="39.6" x14ac:dyDescent="0.25">
      <c r="A26" s="808"/>
      <c r="B26" s="128" t="s">
        <v>51</v>
      </c>
      <c r="C26" s="810" t="s">
        <v>52</v>
      </c>
      <c r="D26" s="810"/>
      <c r="E26" s="810"/>
      <c r="F26" s="5" t="s">
        <v>3</v>
      </c>
    </row>
    <row r="27" spans="1:6" ht="26.4" x14ac:dyDescent="0.25">
      <c r="A27" s="808"/>
      <c r="B27" s="498" t="s">
        <v>53</v>
      </c>
      <c r="C27" s="813" t="s">
        <v>54</v>
      </c>
      <c r="D27" s="813"/>
      <c r="E27" s="813"/>
      <c r="F27" s="499"/>
    </row>
    <row r="28" spans="1:6" x14ac:dyDescent="0.25">
      <c r="A28" s="808"/>
      <c r="B28" s="500" t="s">
        <v>55</v>
      </c>
      <c r="C28" s="809" t="s">
        <v>56</v>
      </c>
      <c r="D28" s="809"/>
      <c r="E28" s="809"/>
      <c r="F28" s="5" t="s">
        <v>3</v>
      </c>
    </row>
    <row r="29" spans="1:6" x14ac:dyDescent="0.25">
      <c r="A29" s="808"/>
      <c r="B29" s="500" t="s">
        <v>57</v>
      </c>
      <c r="C29" s="809" t="s">
        <v>58</v>
      </c>
      <c r="D29" s="809"/>
      <c r="E29" s="809"/>
      <c r="F29" s="5" t="s">
        <v>3</v>
      </c>
    </row>
    <row r="30" spans="1:6" x14ac:dyDescent="0.25">
      <c r="A30" s="808"/>
      <c r="B30" s="500" t="s">
        <v>59</v>
      </c>
      <c r="C30" s="809" t="s">
        <v>60</v>
      </c>
      <c r="D30" s="809"/>
      <c r="E30" s="809"/>
      <c r="F30" s="5" t="s">
        <v>3</v>
      </c>
    </row>
    <row r="31" spans="1:6" x14ac:dyDescent="0.25">
      <c r="C31" s="814"/>
      <c r="D31" s="814"/>
      <c r="E31" s="814"/>
      <c r="F31" s="5" t="s">
        <v>3</v>
      </c>
    </row>
    <row r="32" spans="1:6" ht="18.600000000000001" customHeight="1" x14ac:dyDescent="0.25">
      <c r="A32" s="806" t="s">
        <v>61</v>
      </c>
      <c r="B32" s="806"/>
      <c r="C32" s="806"/>
      <c r="D32" s="806"/>
      <c r="E32" s="806"/>
    </row>
    <row r="33" spans="1:11" x14ac:dyDescent="0.25">
      <c r="C33" s="750"/>
      <c r="D33" s="750"/>
      <c r="E33" s="750"/>
    </row>
    <row r="34" spans="1:11" x14ac:dyDescent="0.25">
      <c r="C34" s="750"/>
      <c r="D34" s="750"/>
      <c r="E34" s="750"/>
      <c r="H34" s="816" t="s">
        <v>62</v>
      </c>
      <c r="I34" s="817"/>
      <c r="J34" s="817"/>
      <c r="K34" s="818"/>
    </row>
    <row r="35" spans="1:11" x14ac:dyDescent="0.25">
      <c r="C35" s="750"/>
      <c r="D35" s="750"/>
      <c r="E35" s="750"/>
      <c r="G35" s="110" t="s">
        <v>63</v>
      </c>
      <c r="H35" s="65" t="s">
        <v>64</v>
      </c>
      <c r="I35" s="65" t="s">
        <v>65</v>
      </c>
      <c r="J35" s="65" t="s">
        <v>66</v>
      </c>
      <c r="K35" s="65" t="s">
        <v>67</v>
      </c>
    </row>
    <row r="36" spans="1:11" x14ac:dyDescent="0.25">
      <c r="C36" s="750"/>
      <c r="D36" s="750"/>
      <c r="E36" s="750"/>
      <c r="G36" s="110" t="s">
        <v>68</v>
      </c>
      <c r="H36" s="64">
        <v>248465.9</v>
      </c>
      <c r="I36" s="64">
        <v>93016.2</v>
      </c>
      <c r="J36" s="64">
        <v>62305.700000000012</v>
      </c>
      <c r="K36" s="64">
        <v>27851.1</v>
      </c>
    </row>
    <row r="37" spans="1:11" x14ac:dyDescent="0.25">
      <c r="C37" s="750"/>
      <c r="D37" s="750"/>
      <c r="E37" s="750"/>
    </row>
    <row r="38" spans="1:11" x14ac:dyDescent="0.25">
      <c r="C38" s="750"/>
      <c r="D38" s="750"/>
      <c r="E38" s="750"/>
    </row>
    <row r="39" spans="1:11" x14ac:dyDescent="0.25">
      <c r="C39" s="750"/>
      <c r="D39" s="750"/>
      <c r="E39" s="750"/>
    </row>
    <row r="40" spans="1:11" x14ac:dyDescent="0.25">
      <c r="C40" s="750"/>
      <c r="D40" s="750"/>
      <c r="E40" s="750"/>
    </row>
    <row r="41" spans="1:11" x14ac:dyDescent="0.25">
      <c r="C41" s="750"/>
      <c r="D41" s="750"/>
      <c r="E41" s="750"/>
    </row>
    <row r="42" spans="1:11" x14ac:dyDescent="0.25">
      <c r="C42" s="750"/>
      <c r="D42" s="750"/>
      <c r="E42" s="750"/>
    </row>
    <row r="43" spans="1:11" x14ac:dyDescent="0.25">
      <c r="C43" s="750"/>
      <c r="D43" s="750"/>
      <c r="E43" s="750"/>
    </row>
    <row r="44" spans="1:11" x14ac:dyDescent="0.25">
      <c r="B44" s="67" t="s">
        <v>69</v>
      </c>
      <c r="C44" s="750"/>
      <c r="D44" s="750"/>
      <c r="E44" s="750"/>
    </row>
    <row r="45" spans="1:11" ht="19.2" customHeight="1" x14ac:dyDescent="0.25">
      <c r="A45" s="824" t="s">
        <v>70</v>
      </c>
      <c r="B45" s="825"/>
      <c r="C45" s="825"/>
      <c r="D45" s="825"/>
      <c r="E45" s="825"/>
    </row>
    <row r="46" spans="1:11" ht="119.4" customHeight="1" x14ac:dyDescent="0.25">
      <c r="A46" s="504" t="s">
        <v>71</v>
      </c>
      <c r="B46" s="829" t="s">
        <v>72</v>
      </c>
      <c r="C46" s="829"/>
      <c r="D46" s="829"/>
      <c r="E46" s="830"/>
    </row>
    <row r="47" spans="1:11" ht="28.95" customHeight="1" x14ac:dyDescent="0.25">
      <c r="A47" s="826" t="s">
        <v>73</v>
      </c>
      <c r="B47" s="827"/>
      <c r="C47" s="827"/>
      <c r="D47" s="827"/>
      <c r="E47" s="828"/>
      <c r="G47" s="7"/>
      <c r="H47" s="191"/>
      <c r="I47" s="191"/>
      <c r="J47" s="191"/>
    </row>
    <row r="48" spans="1:11" ht="23.4" customHeight="1" x14ac:dyDescent="0.25">
      <c r="A48" s="819" t="s">
        <v>74</v>
      </c>
      <c r="B48" s="808"/>
      <c r="C48" s="808"/>
      <c r="D48" s="808"/>
      <c r="E48" s="820"/>
      <c r="G48" s="7"/>
      <c r="H48" s="191"/>
      <c r="I48" s="191"/>
      <c r="J48" s="191"/>
    </row>
    <row r="49" spans="1:10" ht="25.2" customHeight="1" x14ac:dyDescent="0.25">
      <c r="A49" s="819" t="s">
        <v>75</v>
      </c>
      <c r="B49" s="808"/>
      <c r="C49" s="808"/>
      <c r="D49" s="808"/>
      <c r="E49" s="820"/>
      <c r="G49" s="7"/>
      <c r="H49" s="191"/>
      <c r="I49" s="191"/>
      <c r="J49" s="191"/>
    </row>
    <row r="50" spans="1:10" ht="85.95" customHeight="1" x14ac:dyDescent="0.25">
      <c r="A50" s="821" t="s">
        <v>76</v>
      </c>
      <c r="B50" s="822"/>
      <c r="C50" s="822"/>
      <c r="D50" s="822"/>
      <c r="E50" s="823"/>
      <c r="G50" s="7"/>
      <c r="H50" s="191"/>
      <c r="I50" s="191"/>
      <c r="J50" s="191"/>
    </row>
    <row r="51" spans="1:10" ht="14.7" customHeight="1" x14ac:dyDescent="0.25">
      <c r="A51" s="69"/>
      <c r="B51" s="68"/>
      <c r="C51" s="68"/>
      <c r="D51" s="68"/>
      <c r="E51" s="70"/>
      <c r="G51" s="7"/>
      <c r="H51" s="191"/>
      <c r="I51" s="191"/>
      <c r="J51" s="191"/>
    </row>
    <row r="52" spans="1:10" ht="14.7" customHeight="1" x14ac:dyDescent="0.25">
      <c r="A52" s="69"/>
      <c r="B52" s="68"/>
      <c r="C52" s="68"/>
      <c r="D52" s="68"/>
      <c r="E52" s="70"/>
      <c r="G52" s="7"/>
      <c r="H52" s="191"/>
      <c r="I52" s="191"/>
      <c r="J52" s="191"/>
    </row>
    <row r="53" spans="1:10" ht="24" x14ac:dyDescent="0.25">
      <c r="A53" s="71"/>
      <c r="B53" s="164" t="s">
        <v>77</v>
      </c>
      <c r="C53" s="164" t="s">
        <v>78</v>
      </c>
      <c r="D53" s="164" t="s">
        <v>79</v>
      </c>
      <c r="E53" s="506" t="s">
        <v>80</v>
      </c>
      <c r="G53" s="7"/>
      <c r="H53" s="26"/>
      <c r="I53" s="26"/>
      <c r="J53" s="26"/>
    </row>
    <row r="54" spans="1:10" x14ac:dyDescent="0.25">
      <c r="A54" s="71"/>
      <c r="B54" s="74" t="s">
        <v>81</v>
      </c>
      <c r="C54" s="74">
        <v>6</v>
      </c>
      <c r="D54" s="124">
        <v>40000</v>
      </c>
      <c r="E54" s="507">
        <v>250000</v>
      </c>
    </row>
    <row r="55" spans="1:10" x14ac:dyDescent="0.25">
      <c r="A55" s="71"/>
      <c r="B55" s="74" t="s">
        <v>82</v>
      </c>
      <c r="C55" s="74">
        <v>9</v>
      </c>
      <c r="D55" s="124">
        <v>35555</v>
      </c>
      <c r="E55" s="507">
        <v>320000</v>
      </c>
    </row>
    <row r="56" spans="1:10" x14ac:dyDescent="0.25">
      <c r="A56" s="69"/>
      <c r="B56" s="505" t="s">
        <v>83</v>
      </c>
      <c r="C56" s="68"/>
      <c r="D56" s="68"/>
      <c r="E56" s="70"/>
    </row>
    <row r="57" spans="1:10" x14ac:dyDescent="0.25">
      <c r="A57" s="69"/>
      <c r="B57" s="68"/>
      <c r="C57" s="68"/>
      <c r="D57" s="68"/>
      <c r="E57" s="70"/>
    </row>
    <row r="58" spans="1:10" ht="24" x14ac:dyDescent="0.25">
      <c r="A58" s="69"/>
      <c r="B58" s="164" t="s">
        <v>84</v>
      </c>
      <c r="C58" s="164" t="s">
        <v>78</v>
      </c>
      <c r="D58" s="164" t="s">
        <v>85</v>
      </c>
      <c r="E58" s="506" t="s">
        <v>80</v>
      </c>
    </row>
    <row r="59" spans="1:10" x14ac:dyDescent="0.25">
      <c r="A59" s="69"/>
      <c r="B59" s="503" t="s">
        <v>86</v>
      </c>
      <c r="C59" s="503">
        <v>13</v>
      </c>
      <c r="D59" s="503">
        <v>38400</v>
      </c>
      <c r="E59" s="508">
        <v>498000</v>
      </c>
    </row>
    <row r="60" spans="1:10" x14ac:dyDescent="0.25">
      <c r="A60" s="69"/>
      <c r="B60" s="503" t="s">
        <v>87</v>
      </c>
      <c r="C60" s="503">
        <v>13</v>
      </c>
      <c r="D60" s="503">
        <v>38400</v>
      </c>
      <c r="E60" s="508">
        <v>498000</v>
      </c>
    </row>
    <row r="61" spans="1:10" x14ac:dyDescent="0.25">
      <c r="A61" s="69"/>
      <c r="B61" s="503" t="s">
        <v>88</v>
      </c>
      <c r="C61" s="125">
        <v>10</v>
      </c>
      <c r="D61" s="125">
        <v>17500</v>
      </c>
      <c r="E61" s="509">
        <v>175000</v>
      </c>
    </row>
    <row r="62" spans="1:10" ht="14.4" x14ac:dyDescent="0.3">
      <c r="A62" s="69"/>
      <c r="B62" s="68"/>
      <c r="C62" s="68"/>
      <c r="D62" s="68"/>
      <c r="E62" s="70"/>
      <c r="H62"/>
    </row>
    <row r="63" spans="1:10" x14ac:dyDescent="0.25">
      <c r="A63" s="68"/>
      <c r="B63" s="68"/>
      <c r="C63" s="68"/>
      <c r="D63" s="68"/>
      <c r="E63" s="70"/>
    </row>
    <row r="64" spans="1:10" x14ac:dyDescent="0.25">
      <c r="A64" s="68"/>
      <c r="B64" s="68"/>
      <c r="C64" s="68"/>
      <c r="D64" s="68"/>
      <c r="E64" s="70"/>
    </row>
    <row r="65" spans="1:9" x14ac:dyDescent="0.25">
      <c r="A65" s="68"/>
      <c r="B65" s="68"/>
      <c r="C65" s="68"/>
      <c r="D65" s="68"/>
      <c r="E65" s="70"/>
    </row>
    <row r="66" spans="1:9" x14ac:dyDescent="0.25">
      <c r="A66" s="68"/>
      <c r="B66" s="68"/>
      <c r="C66" s="68"/>
      <c r="D66" s="68"/>
      <c r="E66" s="70"/>
    </row>
    <row r="67" spans="1:9" x14ac:dyDescent="0.25">
      <c r="A67" s="68"/>
      <c r="B67" s="68"/>
      <c r="C67" s="68"/>
      <c r="D67" s="68"/>
      <c r="E67" s="70"/>
    </row>
    <row r="68" spans="1:9" x14ac:dyDescent="0.25">
      <c r="A68" s="68"/>
      <c r="B68" s="68"/>
      <c r="C68" s="68"/>
      <c r="D68" s="68"/>
      <c r="E68" s="70"/>
    </row>
    <row r="69" spans="1:9" x14ac:dyDescent="0.25">
      <c r="A69" s="68"/>
      <c r="B69" s="68"/>
      <c r="C69" s="68"/>
      <c r="D69" s="68"/>
      <c r="E69" s="70"/>
    </row>
    <row r="70" spans="1:9" x14ac:dyDescent="0.25">
      <c r="A70" s="68"/>
      <c r="B70" s="68"/>
      <c r="C70" s="68"/>
      <c r="D70" s="68"/>
      <c r="E70" s="70"/>
    </row>
    <row r="71" spans="1:9" x14ac:dyDescent="0.25">
      <c r="A71" s="68"/>
      <c r="B71" s="68"/>
      <c r="C71" s="68"/>
      <c r="D71" s="68"/>
      <c r="E71" s="70"/>
    </row>
    <row r="72" spans="1:9" x14ac:dyDescent="0.25">
      <c r="A72" s="68"/>
      <c r="B72" s="68"/>
      <c r="C72" s="68"/>
      <c r="D72" s="68"/>
      <c r="E72" s="70"/>
      <c r="I72" s="32"/>
    </row>
    <row r="73" spans="1:9" x14ac:dyDescent="0.25">
      <c r="A73" s="68"/>
      <c r="B73" s="68"/>
      <c r="C73" s="68"/>
      <c r="D73" s="68"/>
      <c r="E73" s="70"/>
    </row>
    <row r="74" spans="1:9" x14ac:dyDescent="0.25">
      <c r="A74" s="68"/>
      <c r="B74" s="68"/>
      <c r="C74" s="68"/>
      <c r="D74" s="68"/>
      <c r="E74" s="70"/>
    </row>
    <row r="75" spans="1:9" x14ac:dyDescent="0.25">
      <c r="A75" s="68"/>
      <c r="B75" s="68"/>
      <c r="C75" s="68"/>
      <c r="D75" s="68"/>
      <c r="E75" s="70"/>
    </row>
    <row r="76" spans="1:9" x14ac:dyDescent="0.25">
      <c r="A76" s="68"/>
      <c r="B76" s="505" t="s">
        <v>83</v>
      </c>
      <c r="C76" s="68"/>
      <c r="D76" s="68"/>
      <c r="E76" s="70"/>
    </row>
    <row r="77" spans="1:9" x14ac:dyDescent="0.25">
      <c r="A77" s="72"/>
      <c r="B77" s="72"/>
      <c r="C77" s="72"/>
      <c r="D77" s="72"/>
      <c r="E77" s="73"/>
    </row>
    <row r="79" spans="1:9" x14ac:dyDescent="0.25">
      <c r="B79" s="191"/>
      <c r="C79" s="6"/>
      <c r="D79" s="6"/>
      <c r="E79" s="6"/>
    </row>
    <row r="80" spans="1:9" x14ac:dyDescent="0.25">
      <c r="B80" s="747"/>
      <c r="C80" s="191"/>
      <c r="D80" s="191"/>
      <c r="E80" s="191"/>
    </row>
    <row r="81" spans="2:5" x14ac:dyDescent="0.25">
      <c r="B81" s="747"/>
      <c r="C81" s="497"/>
      <c r="D81" s="501"/>
      <c r="E81" s="191"/>
    </row>
    <row r="82" spans="2:5" x14ac:dyDescent="0.25">
      <c r="B82" s="747"/>
      <c r="C82" s="497"/>
      <c r="D82" s="501"/>
      <c r="E82" s="191"/>
    </row>
    <row r="83" spans="2:5" x14ac:dyDescent="0.25">
      <c r="B83" s="747"/>
      <c r="C83" s="497"/>
      <c r="D83" s="501"/>
      <c r="E83" s="191"/>
    </row>
    <row r="84" spans="2:5" x14ac:dyDescent="0.25">
      <c r="B84" s="747"/>
      <c r="C84" s="497"/>
      <c r="D84" s="497"/>
      <c r="E84" s="191"/>
    </row>
    <row r="85" spans="2:5" x14ac:dyDescent="0.25">
      <c r="B85" s="747"/>
      <c r="C85" s="497"/>
      <c r="D85" s="501"/>
      <c r="E85" s="191"/>
    </row>
    <row r="86" spans="2:5" x14ac:dyDescent="0.25">
      <c r="B86" s="747"/>
      <c r="C86" s="497"/>
      <c r="D86" s="501"/>
      <c r="E86" s="191"/>
    </row>
    <row r="87" spans="2:5" x14ac:dyDescent="0.25">
      <c r="B87" s="747"/>
      <c r="C87" s="497"/>
      <c r="D87" s="497"/>
      <c r="E87" s="191"/>
    </row>
    <row r="88" spans="2:5" x14ac:dyDescent="0.25">
      <c r="B88" s="747"/>
      <c r="C88" s="497"/>
      <c r="D88" s="497"/>
      <c r="E88" s="191"/>
    </row>
    <row r="89" spans="2:5" x14ac:dyDescent="0.25">
      <c r="B89" s="747"/>
      <c r="C89" s="497"/>
      <c r="D89" s="497"/>
      <c r="E89" s="191"/>
    </row>
    <row r="90" spans="2:5" x14ac:dyDescent="0.25">
      <c r="B90" s="747"/>
      <c r="C90" s="497"/>
      <c r="D90" s="501"/>
      <c r="E90" s="191"/>
    </row>
    <row r="91" spans="2:5" x14ac:dyDescent="0.25">
      <c r="B91" s="747"/>
      <c r="C91" s="502"/>
      <c r="D91" s="501"/>
      <c r="E91" s="191"/>
    </row>
  </sheetData>
  <mergeCells count="45">
    <mergeCell ref="A32:E32"/>
    <mergeCell ref="A18:A30"/>
    <mergeCell ref="A1:E1"/>
    <mergeCell ref="C2:E2"/>
    <mergeCell ref="C3:E3"/>
    <mergeCell ref="C4:E4"/>
    <mergeCell ref="B9:B10"/>
    <mergeCell ref="A6:A11"/>
    <mergeCell ref="C5:E5"/>
    <mergeCell ref="C6:E6"/>
    <mergeCell ref="C8:E8"/>
    <mergeCell ref="C7:E7"/>
    <mergeCell ref="C9:E9"/>
    <mergeCell ref="C10:E10"/>
    <mergeCell ref="A2:A5"/>
    <mergeCell ref="C11:E11"/>
    <mergeCell ref="H34:K34"/>
    <mergeCell ref="A49:E49"/>
    <mergeCell ref="A50:E50"/>
    <mergeCell ref="A45:E45"/>
    <mergeCell ref="A47:E47"/>
    <mergeCell ref="A48:E48"/>
    <mergeCell ref="B46:E46"/>
    <mergeCell ref="C31:E31"/>
    <mergeCell ref="B12:B13"/>
    <mergeCell ref="C13:E13"/>
    <mergeCell ref="C20:E20"/>
    <mergeCell ref="C27:E27"/>
    <mergeCell ref="C14:E14"/>
    <mergeCell ref="C29:E29"/>
    <mergeCell ref="C18:E18"/>
    <mergeCell ref="C16:E16"/>
    <mergeCell ref="C19:E19"/>
    <mergeCell ref="C23:E23"/>
    <mergeCell ref="C22:E22"/>
    <mergeCell ref="C21:E21"/>
    <mergeCell ref="C28:E28"/>
    <mergeCell ref="C30:E30"/>
    <mergeCell ref="A12:A17"/>
    <mergeCell ref="C17:E17"/>
    <mergeCell ref="C26:E26"/>
    <mergeCell ref="C24:E24"/>
    <mergeCell ref="C25:E25"/>
    <mergeCell ref="C15:E15"/>
    <mergeCell ref="C12:E12"/>
  </mergeCells>
  <hyperlinks>
    <hyperlink ref="C6" r:id="rId1" xr:uid="{BE11EEF8-3AF7-48F0-A38B-7309CE5A9491}"/>
    <hyperlink ref="C7" r:id="rId2" location="Commercial" xr:uid="{626A4776-C2FA-489E-88C0-BC9C7C8EA36F}"/>
    <hyperlink ref="C8" r:id="rId3" xr:uid="{0DEB00BB-3A26-4527-9ED4-40D17F93A579}"/>
    <hyperlink ref="C11" r:id="rId4" xr:uid="{D14B6EC5-BCC7-426A-80E2-ABDCDB2AD5D2}"/>
    <hyperlink ref="C9" r:id="rId5" xr:uid="{AE8EA408-D823-4137-A50D-85E211D1C33C}"/>
    <hyperlink ref="C10" r:id="rId6" xr:uid="{C4B1DFF1-F8B2-480D-9A3C-3D28656FF0E4}"/>
    <hyperlink ref="C22" r:id="rId7" xr:uid="{D11E5EA6-B8EC-4C52-AF72-2ACC992F0B5F}"/>
    <hyperlink ref="C23" r:id="rId8" xr:uid="{7EF3A75A-F2A2-48EA-B4F3-37539DD12601}"/>
    <hyperlink ref="C24" r:id="rId9" xr:uid="{0D1D6F5B-69A6-4D10-9E60-03D39B2BA78B}"/>
    <hyperlink ref="C26" r:id="rId10" xr:uid="{3D1AC788-C575-461B-8B26-F2FBC3DF6AE4}"/>
    <hyperlink ref="C21" r:id="rId11" display="https://title24stakeholders.com/wp-content/uploads/2016/10/T24-2019-CASE-Study-Results-Report-Outdoor-Sources_Final_with-Attachments.pdf" xr:uid="{C956E120-405C-4658-80C6-3430A78199E1}"/>
    <hyperlink ref="C27" r:id="rId12" xr:uid="{EF19DACB-936B-4698-A384-899264127E3D}"/>
    <hyperlink ref="C16" r:id="rId13" xr:uid="{426024EC-595F-40BA-B91B-82E42C9C246A}"/>
    <hyperlink ref="C15" r:id="rId14" xr:uid="{58675969-CACB-42A0-87D6-903148673AEC}"/>
    <hyperlink ref="C4" r:id="rId15" xr:uid="{F5062290-821A-4740-BC5A-EF751F4DE859}"/>
    <hyperlink ref="C3" r:id="rId16" xr:uid="{CC10B209-6149-44C0-B19D-0FFF4F653A59}"/>
    <hyperlink ref="C17" r:id="rId17" xr:uid="{88819272-BD54-4E53-9DEA-22717078A7D1}"/>
    <hyperlink ref="C25" r:id="rId18" xr:uid="{6224FF9D-60B3-4F42-AF98-E8C128D3B78E}"/>
    <hyperlink ref="C28" r:id="rId19" xr:uid="{884E6B0A-7DD1-420B-836D-3AA532625C72}"/>
    <hyperlink ref="C29" r:id="rId20" xr:uid="{48223C5F-CB79-4222-AF3D-6C5C3CB9CC3D}"/>
    <hyperlink ref="C30" r:id="rId21" xr:uid="{ABAA9C58-E0C9-4252-A863-645CE4624543}"/>
    <hyperlink ref="C13" r:id="rId22" xr:uid="{3E360F68-FD37-4308-98BD-CBFDB7C8E5DD}"/>
    <hyperlink ref="C12" r:id="rId23" xr:uid="{F2BDAF6D-70E1-45CA-9E14-639E5271386B}"/>
    <hyperlink ref="C20" r:id="rId24" display="Infiltration_rate_report_14May2025-Short-Version.docx" xr:uid="{C0715FFF-EF4D-46EE-A3CA-0A6CB05B0C28}"/>
  </hyperlinks>
  <pageMargins left="0.7" right="0.7" top="0.75" bottom="0.75" header="0.3" footer="0.3"/>
  <drawing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I23"/>
  <sheetViews>
    <sheetView zoomScaleNormal="100" workbookViewId="0">
      <selection sqref="A1:C1"/>
    </sheetView>
  </sheetViews>
  <sheetFormatPr defaultColWidth="9.33203125" defaultRowHeight="13.8" x14ac:dyDescent="0.25"/>
  <cols>
    <col min="1" max="1" width="25" style="3" customWidth="1"/>
    <col min="2" max="2" width="51.33203125" style="3" customWidth="1"/>
    <col min="3" max="3" width="51.44140625" style="3" customWidth="1"/>
    <col min="4" max="5" width="50.5546875" style="3" customWidth="1"/>
    <col min="6" max="9" width="8.6640625" style="3" customWidth="1"/>
    <col min="10" max="16384" width="9.33203125" style="3"/>
  </cols>
  <sheetData>
    <row r="1" spans="1:9" ht="17.399999999999999" x14ac:dyDescent="0.25">
      <c r="A1" s="832" t="s">
        <v>946</v>
      </c>
      <c r="B1" s="832"/>
      <c r="C1" s="832"/>
      <c r="D1" s="9"/>
      <c r="E1" s="9"/>
      <c r="F1" s="9"/>
    </row>
    <row r="2" spans="1:9" ht="25.2" customHeight="1" x14ac:dyDescent="0.25">
      <c r="A2" s="833" t="s">
        <v>89</v>
      </c>
      <c r="B2" s="834"/>
      <c r="C2" s="834"/>
      <c r="D2" s="9"/>
      <c r="E2" s="9"/>
      <c r="F2" s="9"/>
    </row>
    <row r="3" spans="1:9" ht="20.399999999999999" customHeight="1" x14ac:dyDescent="0.25">
      <c r="A3" s="16" t="s">
        <v>90</v>
      </c>
      <c r="B3" s="769" t="s">
        <v>91</v>
      </c>
      <c r="C3" s="17" t="s">
        <v>0</v>
      </c>
    </row>
    <row r="4" spans="1:9" ht="16.2" customHeight="1" x14ac:dyDescent="0.25">
      <c r="A4" s="14" t="s">
        <v>92</v>
      </c>
      <c r="B4" s="192" t="s">
        <v>93</v>
      </c>
      <c r="C4" s="14"/>
    </row>
    <row r="5" spans="1:9" ht="16.2" customHeight="1" x14ac:dyDescent="0.25">
      <c r="A5" s="14" t="s">
        <v>94</v>
      </c>
      <c r="B5" s="192" t="s">
        <v>95</v>
      </c>
      <c r="C5" s="14"/>
    </row>
    <row r="6" spans="1:9" ht="16.2" customHeight="1" x14ac:dyDescent="0.25">
      <c r="A6" s="633" t="s">
        <v>96</v>
      </c>
      <c r="B6" s="417" t="s">
        <v>97</v>
      </c>
      <c r="C6" s="14"/>
    </row>
    <row r="7" spans="1:9" ht="95.4" customHeight="1" x14ac:dyDescent="0.25">
      <c r="A7" s="14" t="s">
        <v>98</v>
      </c>
      <c r="B7" s="193" t="s">
        <v>99</v>
      </c>
      <c r="C7" s="15" t="s">
        <v>100</v>
      </c>
      <c r="D7" s="749"/>
    </row>
    <row r="8" spans="1:9" ht="144.6" customHeight="1" x14ac:dyDescent="0.25">
      <c r="A8" s="14" t="s">
        <v>101</v>
      </c>
      <c r="B8" s="192"/>
      <c r="C8" s="15" t="s">
        <v>102</v>
      </c>
      <c r="D8" s="529"/>
      <c r="E8" s="58" t="s">
        <v>3</v>
      </c>
      <c r="F8" s="58"/>
      <c r="G8" s="58"/>
      <c r="I8" s="4"/>
    </row>
    <row r="9" spans="1:9" ht="23.4" customHeight="1" x14ac:dyDescent="0.25">
      <c r="A9" s="10" t="s">
        <v>103</v>
      </c>
      <c r="B9" s="11" t="s">
        <v>104</v>
      </c>
      <c r="C9" s="15" t="s">
        <v>105</v>
      </c>
    </row>
    <row r="10" spans="1:9" ht="30" customHeight="1" x14ac:dyDescent="0.25">
      <c r="A10" s="10" t="s">
        <v>106</v>
      </c>
      <c r="B10" s="57">
        <v>1.5</v>
      </c>
      <c r="C10" s="25" t="s">
        <v>107</v>
      </c>
    </row>
    <row r="11" spans="1:9" ht="27.6" customHeight="1" x14ac:dyDescent="0.25">
      <c r="A11" s="12" t="s">
        <v>108</v>
      </c>
      <c r="B11" s="192" t="s">
        <v>109</v>
      </c>
      <c r="C11" s="25" t="s">
        <v>110</v>
      </c>
    </row>
    <row r="12" spans="1:9" ht="24" customHeight="1" x14ac:dyDescent="0.25">
      <c r="A12" s="12" t="s">
        <v>111</v>
      </c>
      <c r="B12" s="192" t="s">
        <v>112</v>
      </c>
      <c r="C12" s="455" t="s">
        <v>113</v>
      </c>
    </row>
    <row r="13" spans="1:9" x14ac:dyDescent="0.25">
      <c r="A13" s="12" t="s">
        <v>114</v>
      </c>
      <c r="B13" s="193" t="s">
        <v>115</v>
      </c>
      <c r="C13" s="15"/>
    </row>
    <row r="14" spans="1:9" x14ac:dyDescent="0.25">
      <c r="A14" s="10" t="s">
        <v>116</v>
      </c>
      <c r="B14" s="192" t="s">
        <v>117</v>
      </c>
      <c r="C14" s="14"/>
    </row>
    <row r="15" spans="1:9" ht="14.7" customHeight="1" x14ac:dyDescent="0.25">
      <c r="A15" s="10" t="s">
        <v>118</v>
      </c>
      <c r="B15" s="13" t="s">
        <v>119</v>
      </c>
      <c r="C15" s="14"/>
    </row>
    <row r="16" spans="1:9" ht="27.6" customHeight="1" x14ac:dyDescent="0.25">
      <c r="A16" s="10" t="s">
        <v>120</v>
      </c>
      <c r="B16" s="192">
        <v>13</v>
      </c>
      <c r="C16" s="15" t="s">
        <v>121</v>
      </c>
    </row>
    <row r="17" spans="1:5" ht="25.95" customHeight="1" x14ac:dyDescent="0.25">
      <c r="A17" s="10" t="s">
        <v>122</v>
      </c>
      <c r="B17" s="192">
        <v>9</v>
      </c>
      <c r="C17" s="15" t="s">
        <v>107</v>
      </c>
    </row>
    <row r="18" spans="1:5" ht="21.75" customHeight="1" x14ac:dyDescent="0.25">
      <c r="A18" s="10" t="s">
        <v>123</v>
      </c>
      <c r="B18" s="193">
        <v>3</v>
      </c>
      <c r="C18" s="15" t="s">
        <v>107</v>
      </c>
    </row>
    <row r="20" spans="1:5" ht="14.4" x14ac:dyDescent="0.25">
      <c r="A20" s="423"/>
      <c r="B20" s="423"/>
      <c r="C20" s="423"/>
      <c r="D20" s="423"/>
      <c r="E20" s="423"/>
    </row>
    <row r="21" spans="1:5" ht="14.4" x14ac:dyDescent="0.25">
      <c r="A21" s="424"/>
      <c r="B21" s="424"/>
      <c r="C21" s="424"/>
      <c r="D21" s="424"/>
      <c r="E21" s="424"/>
    </row>
    <row r="22" spans="1:5" ht="12.75" customHeight="1" x14ac:dyDescent="0.25">
      <c r="A22" s="423"/>
      <c r="B22" s="423"/>
      <c r="C22" s="423"/>
      <c r="D22" s="423"/>
      <c r="E22" s="423"/>
    </row>
    <row r="23" spans="1:5" ht="12.75" customHeight="1" x14ac:dyDescent="0.25">
      <c r="A23" s="423"/>
      <c r="B23" s="423"/>
      <c r="C23" s="423"/>
      <c r="D23" s="423"/>
      <c r="E23" s="423"/>
    </row>
  </sheetData>
  <mergeCells count="2">
    <mergeCell ref="A1:C1"/>
    <mergeCell ref="A2:C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AO97"/>
  <sheetViews>
    <sheetView zoomScale="70" zoomScaleNormal="70" workbookViewId="0">
      <selection sqref="A1:M1"/>
    </sheetView>
  </sheetViews>
  <sheetFormatPr defaultColWidth="8.6640625" defaultRowHeight="12.75" customHeight="1" x14ac:dyDescent="0.3"/>
  <cols>
    <col min="1" max="1" width="17" style="6" customWidth="1"/>
    <col min="2" max="2" width="44.33203125" style="191" customWidth="1"/>
    <col min="3" max="3" width="53.5546875" style="6" customWidth="1"/>
    <col min="4" max="5" width="37.88671875" style="6" customWidth="1"/>
    <col min="6" max="6" width="19.6640625" style="6" customWidth="1"/>
    <col min="7" max="7" width="32.44140625" style="6" customWidth="1"/>
    <col min="8" max="8" width="14.33203125" style="6" customWidth="1"/>
    <col min="9" max="9" width="11.6640625" style="6" customWidth="1"/>
    <col min="10" max="10" width="12.6640625" style="6" customWidth="1"/>
    <col min="11" max="11" width="12" style="6" customWidth="1"/>
    <col min="12" max="12" width="11.33203125" style="6" customWidth="1"/>
    <col min="13" max="13" width="31.6640625" style="6" customWidth="1"/>
    <col min="14" max="14" width="42.109375" style="6" customWidth="1"/>
    <col min="15" max="15" width="6.109375" style="6" customWidth="1"/>
    <col min="16" max="16" width="12.6640625" style="6" customWidth="1"/>
    <col min="17" max="17" width="25.33203125" style="6" customWidth="1"/>
    <col min="18" max="18" width="22.33203125" style="6" customWidth="1"/>
    <col min="19" max="19" width="18.33203125" style="6" customWidth="1"/>
    <col min="20" max="20" width="12.109375" style="6" customWidth="1"/>
    <col min="21" max="21" width="25.6640625" style="6" customWidth="1"/>
    <col min="22" max="22" width="22.6640625" style="6" customWidth="1"/>
    <col min="23" max="23" width="16.33203125" style="6" customWidth="1"/>
    <col min="24" max="24" width="18.33203125" style="6" customWidth="1"/>
    <col min="25" max="25" width="17.33203125" style="6" customWidth="1"/>
    <col min="26" max="26" width="22" style="6" customWidth="1"/>
    <col min="27" max="27" width="26.6640625" style="6" customWidth="1"/>
    <col min="28" max="29" width="17.33203125" style="6" customWidth="1"/>
    <col min="30" max="30" width="15.109375" style="6" customWidth="1"/>
    <col min="31" max="32" width="8.6640625" style="6"/>
    <col min="33" max="33" width="12.5546875" style="6" bestFit="1" customWidth="1"/>
    <col min="34" max="16384" width="8.6640625" style="6"/>
  </cols>
  <sheetData>
    <row r="1" spans="1:32" ht="25.95" customHeight="1" x14ac:dyDescent="0.3">
      <c r="A1" s="806" t="str">
        <f>"Proposed Layout - "&amp;Prototype!A2</f>
        <v>Proposed Layout - OfficeLarge</v>
      </c>
      <c r="B1" s="806"/>
      <c r="C1" s="806"/>
      <c r="D1" s="806"/>
      <c r="E1" s="806"/>
      <c r="F1" s="806"/>
      <c r="G1" s="806"/>
      <c r="H1" s="806"/>
      <c r="I1" s="806"/>
      <c r="J1" s="806"/>
      <c r="K1" s="806"/>
      <c r="L1" s="806"/>
      <c r="M1" s="807"/>
      <c r="N1" s="370"/>
    </row>
    <row r="2" spans="1:32" ht="42.6" customHeight="1" x14ac:dyDescent="0.3">
      <c r="A2" s="649" t="s">
        <v>124</v>
      </c>
      <c r="B2" s="205" t="s">
        <v>125</v>
      </c>
      <c r="C2" s="205" t="s">
        <v>126</v>
      </c>
      <c r="D2" s="205" t="s">
        <v>127</v>
      </c>
      <c r="E2" s="205" t="s">
        <v>128</v>
      </c>
      <c r="F2" s="205" t="s">
        <v>129</v>
      </c>
      <c r="G2" s="205" t="s">
        <v>130</v>
      </c>
      <c r="H2" s="206" t="s">
        <v>131</v>
      </c>
      <c r="I2" s="207" t="s">
        <v>132</v>
      </c>
      <c r="J2" s="205" t="s">
        <v>133</v>
      </c>
      <c r="K2" s="205" t="s">
        <v>134</v>
      </c>
      <c r="L2" s="208" t="s">
        <v>135</v>
      </c>
      <c r="M2" s="374" t="s">
        <v>136</v>
      </c>
      <c r="N2" s="371" t="s">
        <v>70</v>
      </c>
      <c r="O2" s="6" t="s">
        <v>137</v>
      </c>
      <c r="Q2" s="545" t="s">
        <v>138</v>
      </c>
      <c r="R2" s="546"/>
      <c r="S2" s="546"/>
      <c r="T2" s="546"/>
      <c r="U2" s="546"/>
      <c r="V2" s="546"/>
      <c r="W2" s="546"/>
      <c r="X2" s="546"/>
      <c r="Y2" s="546"/>
      <c r="Z2" s="546"/>
      <c r="AA2" s="546"/>
      <c r="AB2" s="546"/>
      <c r="AC2" s="546"/>
      <c r="AD2" s="546"/>
      <c r="AE2" s="35"/>
      <c r="AF2" s="35"/>
    </row>
    <row r="3" spans="1:32" ht="17.7" customHeight="1" x14ac:dyDescent="0.3">
      <c r="A3" s="746" t="s">
        <v>89</v>
      </c>
      <c r="B3" s="645" t="s">
        <v>139</v>
      </c>
      <c r="C3" s="176" t="s">
        <v>140</v>
      </c>
      <c r="D3" s="176" t="s">
        <v>141</v>
      </c>
      <c r="E3" s="369" t="s">
        <v>142</v>
      </c>
      <c r="F3" s="176" t="s">
        <v>143</v>
      </c>
      <c r="G3" s="18" t="s">
        <v>144</v>
      </c>
      <c r="H3" s="136">
        <f t="shared" ref="H3:H34" si="0">I3/$I$82</f>
        <v>1.6882199261042001E-2</v>
      </c>
      <c r="I3" s="111">
        <v>8416.86</v>
      </c>
      <c r="J3" s="18">
        <f>I3*Prototype!$B$17</f>
        <v>75751.740000000005</v>
      </c>
      <c r="K3" s="18">
        <v>1</v>
      </c>
      <c r="L3" s="18">
        <f>IFERROR(M3*I3/1000,"")</f>
        <v>42.084300000000006</v>
      </c>
      <c r="M3" s="375">
        <v>5</v>
      </c>
      <c r="N3" s="372"/>
      <c r="O3" s="34">
        <f>K3*H3</f>
        <v>1.6882199261042001E-2</v>
      </c>
      <c r="P3" s="94"/>
      <c r="Q3" s="547"/>
      <c r="R3" s="548"/>
      <c r="S3" s="548"/>
      <c r="T3" s="548"/>
      <c r="U3" s="548"/>
      <c r="V3" s="548"/>
      <c r="W3" s="548"/>
      <c r="X3" s="548"/>
      <c r="Y3" s="548"/>
      <c r="Z3" s="548"/>
      <c r="AA3" s="548"/>
      <c r="AB3" s="548"/>
      <c r="AC3" s="548"/>
      <c r="AD3" s="548"/>
      <c r="AE3" s="540"/>
      <c r="AF3" s="541"/>
    </row>
    <row r="4" spans="1:32" ht="17.7" customHeight="1" x14ac:dyDescent="0.3">
      <c r="A4" s="746" t="s">
        <v>89</v>
      </c>
      <c r="B4" s="645" t="s">
        <v>145</v>
      </c>
      <c r="C4" s="176" t="s">
        <v>140</v>
      </c>
      <c r="D4" s="176" t="s">
        <v>141</v>
      </c>
      <c r="E4" s="369" t="s">
        <v>142</v>
      </c>
      <c r="F4" s="176" t="s">
        <v>143</v>
      </c>
      <c r="G4" s="18" t="s">
        <v>144</v>
      </c>
      <c r="H4" s="136">
        <f t="shared" si="0"/>
        <v>7.3454533507510862E-3</v>
      </c>
      <c r="I4" s="111">
        <v>3662.18</v>
      </c>
      <c r="J4" s="18">
        <f>I4*Prototype!$B$17</f>
        <v>32959.619999999995</v>
      </c>
      <c r="K4" s="18">
        <v>1</v>
      </c>
      <c r="L4" s="18">
        <f t="shared" ref="L4:L58" si="1">IFERROR(M4*I4/1000,"")</f>
        <v>18.310899999999997</v>
      </c>
      <c r="M4" s="375">
        <f>M3</f>
        <v>5</v>
      </c>
      <c r="N4" s="372"/>
      <c r="O4" s="34">
        <f t="shared" ref="O4:O67" si="2">K4*H4</f>
        <v>7.3454533507510862E-3</v>
      </c>
      <c r="Q4" s="549"/>
      <c r="R4" s="550" t="s">
        <v>146</v>
      </c>
      <c r="S4" s="550"/>
      <c r="T4" s="551"/>
      <c r="U4" s="552"/>
      <c r="V4" s="804" t="s">
        <v>147</v>
      </c>
      <c r="W4" s="804"/>
      <c r="X4" s="804"/>
      <c r="Y4" s="552"/>
      <c r="Z4" s="805" t="s">
        <v>148</v>
      </c>
      <c r="AA4" s="805"/>
      <c r="AB4" s="805"/>
      <c r="AC4" s="805"/>
      <c r="AD4" s="539"/>
      <c r="AE4" s="94"/>
      <c r="AF4" s="542"/>
    </row>
    <row r="5" spans="1:32" ht="16.5" customHeight="1" x14ac:dyDescent="0.3">
      <c r="A5" s="746" t="s">
        <v>89</v>
      </c>
      <c r="B5" s="645" t="s">
        <v>149</v>
      </c>
      <c r="C5" s="176" t="s">
        <v>140</v>
      </c>
      <c r="D5" s="176" t="s">
        <v>141</v>
      </c>
      <c r="E5" s="369" t="s">
        <v>142</v>
      </c>
      <c r="F5" s="176" t="s">
        <v>143</v>
      </c>
      <c r="G5" s="18" t="s">
        <v>144</v>
      </c>
      <c r="H5" s="136">
        <f t="shared" si="0"/>
        <v>7.428692381616901E-3</v>
      </c>
      <c r="I5" s="111">
        <v>3703.68</v>
      </c>
      <c r="J5" s="18">
        <f>I5*Prototype!$B$17</f>
        <v>33333.119999999995</v>
      </c>
      <c r="K5" s="18">
        <v>1</v>
      </c>
      <c r="L5" s="18">
        <f t="shared" si="1"/>
        <v>18.518399999999996</v>
      </c>
      <c r="M5" s="375">
        <f>M3</f>
        <v>5</v>
      </c>
      <c r="N5" s="372"/>
      <c r="O5" s="34">
        <f t="shared" si="2"/>
        <v>7.428692381616901E-3</v>
      </c>
      <c r="P5" s="94"/>
      <c r="Q5" s="553"/>
      <c r="R5" s="551"/>
      <c r="S5" s="551"/>
      <c r="T5" s="551"/>
      <c r="U5" s="551"/>
      <c r="V5" s="551"/>
      <c r="W5" s="551"/>
      <c r="X5" s="551"/>
      <c r="Y5" s="551"/>
      <c r="Z5" s="805"/>
      <c r="AA5" s="805"/>
      <c r="AB5" s="805"/>
      <c r="AC5" s="805"/>
      <c r="AD5" s="551"/>
      <c r="AE5" s="94"/>
      <c r="AF5" s="542"/>
    </row>
    <row r="6" spans="1:32" ht="17.7" customHeight="1" x14ac:dyDescent="0.3">
      <c r="A6" s="746" t="s">
        <v>89</v>
      </c>
      <c r="B6" s="645" t="s">
        <v>150</v>
      </c>
      <c r="C6" s="177" t="s">
        <v>151</v>
      </c>
      <c r="D6" s="369" t="s">
        <v>152</v>
      </c>
      <c r="E6" s="1105" t="s">
        <v>945</v>
      </c>
      <c r="F6" s="176" t="s">
        <v>153</v>
      </c>
      <c r="G6" s="18" t="s">
        <v>144</v>
      </c>
      <c r="H6" s="136">
        <f t="shared" si="0"/>
        <v>1.6503391469010247E-2</v>
      </c>
      <c r="I6" s="111">
        <v>8228</v>
      </c>
      <c r="J6" s="18">
        <f>I6*Prototype!$B$17</f>
        <v>74052</v>
      </c>
      <c r="K6" s="18">
        <v>1</v>
      </c>
      <c r="L6" s="18">
        <f t="shared" si="1"/>
        <v>12.342000000000001</v>
      </c>
      <c r="M6" s="386">
        <v>1.5</v>
      </c>
      <c r="N6" s="556" t="s">
        <v>154</v>
      </c>
      <c r="O6" s="34">
        <f t="shared" si="2"/>
        <v>1.6503391469010247E-2</v>
      </c>
      <c r="P6" s="94"/>
      <c r="Q6" s="553"/>
      <c r="R6" s="551"/>
      <c r="S6" s="551"/>
      <c r="T6" s="551"/>
      <c r="U6" s="551"/>
      <c r="V6" s="551"/>
      <c r="W6" s="551"/>
      <c r="X6" s="551"/>
      <c r="Y6" s="551"/>
      <c r="Z6" s="551"/>
      <c r="AA6" s="551"/>
      <c r="AB6" s="551"/>
      <c r="AC6" s="551"/>
      <c r="AD6" s="551"/>
      <c r="AE6" s="94"/>
      <c r="AF6" s="542"/>
    </row>
    <row r="7" spans="1:32" ht="16.2" customHeight="1" x14ac:dyDescent="0.3">
      <c r="A7" s="746" t="s">
        <v>89</v>
      </c>
      <c r="B7" s="645" t="s">
        <v>155</v>
      </c>
      <c r="C7" s="176" t="s">
        <v>156</v>
      </c>
      <c r="D7" s="176" t="s">
        <v>141</v>
      </c>
      <c r="E7" s="369" t="s">
        <v>142</v>
      </c>
      <c r="F7" s="369" t="s">
        <v>157</v>
      </c>
      <c r="G7" s="18" t="s">
        <v>144</v>
      </c>
      <c r="H7" s="136">
        <f t="shared" si="0"/>
        <v>1.5961836328437472E-2</v>
      </c>
      <c r="I7" s="111">
        <v>7958</v>
      </c>
      <c r="J7" s="18">
        <f>I7*Prototype!$B$17</f>
        <v>71622</v>
      </c>
      <c r="K7" s="18">
        <v>1</v>
      </c>
      <c r="L7" s="18">
        <f t="shared" si="1"/>
        <v>0</v>
      </c>
      <c r="M7" s="376">
        <v>0</v>
      </c>
      <c r="N7" s="372"/>
      <c r="O7" s="34">
        <f t="shared" si="2"/>
        <v>1.5961836328437472E-2</v>
      </c>
      <c r="P7" s="94"/>
      <c r="Q7" s="553"/>
      <c r="R7" s="551"/>
      <c r="S7" s="551"/>
      <c r="T7" s="551"/>
      <c r="U7" s="551"/>
      <c r="V7" s="551"/>
      <c r="W7" s="551"/>
      <c r="X7" s="551"/>
      <c r="Y7" s="551"/>
      <c r="Z7" s="551"/>
      <c r="AA7" s="551"/>
      <c r="AB7" s="551"/>
      <c r="AC7" s="551"/>
      <c r="AD7" s="551"/>
      <c r="AE7" s="94"/>
      <c r="AF7" s="542"/>
    </row>
    <row r="8" spans="1:32" ht="16.5" customHeight="1" x14ac:dyDescent="0.3">
      <c r="A8" s="746" t="s">
        <v>89</v>
      </c>
      <c r="B8" s="645" t="s">
        <v>158</v>
      </c>
      <c r="C8" s="177" t="s">
        <v>159</v>
      </c>
      <c r="D8" s="176" t="s">
        <v>141</v>
      </c>
      <c r="E8" s="369" t="s">
        <v>142</v>
      </c>
      <c r="F8" s="177" t="s">
        <v>143</v>
      </c>
      <c r="G8" s="18" t="s">
        <v>144</v>
      </c>
      <c r="H8" s="136">
        <f t="shared" si="0"/>
        <v>1.16273894440754E-3</v>
      </c>
      <c r="I8" s="202">
        <v>579.70000000000005</v>
      </c>
      <c r="J8" s="18">
        <f>I8*Prototype!$B$17</f>
        <v>5217.3</v>
      </c>
      <c r="K8" s="18">
        <v>1</v>
      </c>
      <c r="L8" s="18">
        <f t="shared" si="1"/>
        <v>19.130100000000002</v>
      </c>
      <c r="M8" s="377">
        <v>33</v>
      </c>
      <c r="N8" s="372"/>
      <c r="O8" s="34">
        <f t="shared" si="2"/>
        <v>1.16273894440754E-3</v>
      </c>
      <c r="P8" s="94"/>
      <c r="Q8" s="553"/>
      <c r="R8" s="551"/>
      <c r="S8" s="551"/>
      <c r="T8" s="551"/>
      <c r="U8" s="551"/>
      <c r="V8" s="551"/>
      <c r="W8" s="551"/>
      <c r="X8" s="551"/>
      <c r="Y8" s="551"/>
      <c r="Z8" s="551"/>
      <c r="AA8" s="551"/>
      <c r="AB8" s="551"/>
      <c r="AC8" s="551"/>
      <c r="AD8" s="551"/>
      <c r="AE8" s="94"/>
      <c r="AF8" s="542"/>
    </row>
    <row r="9" spans="1:32" ht="92.25" customHeight="1" x14ac:dyDescent="0.3">
      <c r="A9" s="746" t="s">
        <v>89</v>
      </c>
      <c r="B9" s="645" t="s">
        <v>160</v>
      </c>
      <c r="C9" s="177" t="s">
        <v>161</v>
      </c>
      <c r="D9" s="176" t="s">
        <v>141</v>
      </c>
      <c r="E9" s="369" t="s">
        <v>142</v>
      </c>
      <c r="F9" s="177" t="s">
        <v>143</v>
      </c>
      <c r="G9" s="18" t="s">
        <v>144</v>
      </c>
      <c r="H9" s="136">
        <f t="shared" si="0"/>
        <v>1.9516042658418776E-3</v>
      </c>
      <c r="I9" s="111">
        <v>973</v>
      </c>
      <c r="J9" s="18">
        <f>I9*Prototype!$B$17</f>
        <v>8757</v>
      </c>
      <c r="K9" s="18">
        <v>1</v>
      </c>
      <c r="L9" s="18">
        <f t="shared" si="1"/>
        <v>32.109000000000002</v>
      </c>
      <c r="M9" s="745">
        <v>33</v>
      </c>
      <c r="N9" s="431"/>
      <c r="O9" s="34">
        <f t="shared" si="2"/>
        <v>1.9516042658418776E-3</v>
      </c>
      <c r="P9" s="94"/>
      <c r="Q9" s="553"/>
      <c r="R9" s="551"/>
      <c r="S9" s="551"/>
      <c r="T9" s="551"/>
      <c r="U9" s="551"/>
      <c r="V9" s="551"/>
      <c r="W9" s="551"/>
      <c r="X9" s="551"/>
      <c r="Y9" s="551"/>
      <c r="Z9" s="551"/>
      <c r="AA9" s="551"/>
      <c r="AB9" s="551"/>
      <c r="AC9" s="551"/>
      <c r="AD9" s="551"/>
      <c r="AE9" s="94"/>
      <c r="AF9" s="542"/>
    </row>
    <row r="10" spans="1:32" ht="29.25" customHeight="1" x14ac:dyDescent="0.3">
      <c r="A10" s="746" t="s">
        <v>89</v>
      </c>
      <c r="B10" s="645" t="s">
        <v>162</v>
      </c>
      <c r="C10" s="176" t="s">
        <v>163</v>
      </c>
      <c r="D10" s="711" t="s">
        <v>141</v>
      </c>
      <c r="E10" s="369" t="s">
        <v>142</v>
      </c>
      <c r="F10" s="711" t="s">
        <v>143</v>
      </c>
      <c r="G10" s="774" t="s">
        <v>144</v>
      </c>
      <c r="H10" s="136">
        <f t="shared" si="0"/>
        <v>2.4690902890558593E-3</v>
      </c>
      <c r="I10" s="111">
        <v>1231</v>
      </c>
      <c r="J10" s="18">
        <f>I10*Prototype!$B$17</f>
        <v>11079</v>
      </c>
      <c r="K10" s="18">
        <v>1</v>
      </c>
      <c r="L10" s="18">
        <f t="shared" si="1"/>
        <v>0</v>
      </c>
      <c r="M10" s="376">
        <v>0</v>
      </c>
      <c r="N10" s="380" t="s">
        <v>164</v>
      </c>
      <c r="O10" s="185">
        <f t="shared" si="2"/>
        <v>2.4690902890558593E-3</v>
      </c>
      <c r="P10" s="94"/>
      <c r="Q10" s="553"/>
      <c r="R10" s="551"/>
      <c r="S10" s="551"/>
      <c r="T10" s="551"/>
      <c r="U10" s="551"/>
      <c r="V10" s="551"/>
      <c r="W10" s="551"/>
      <c r="X10" s="551"/>
      <c r="Y10" s="551"/>
      <c r="Z10" s="551"/>
      <c r="AA10" s="551"/>
      <c r="AB10" s="551"/>
      <c r="AC10" s="551"/>
      <c r="AD10" s="551"/>
      <c r="AE10" s="94"/>
      <c r="AF10" s="542"/>
    </row>
    <row r="11" spans="1:32" ht="17.7" customHeight="1" x14ac:dyDescent="0.3">
      <c r="A11" s="746" t="s">
        <v>89</v>
      </c>
      <c r="B11" s="645" t="s">
        <v>165</v>
      </c>
      <c r="C11" s="176" t="s">
        <v>166</v>
      </c>
      <c r="D11" s="711"/>
      <c r="E11" s="369"/>
      <c r="F11" s="711" t="s">
        <v>143</v>
      </c>
      <c r="G11" s="774" t="s">
        <v>144</v>
      </c>
      <c r="H11" s="136">
        <f t="shared" si="0"/>
        <v>1.9776791429805666E-3</v>
      </c>
      <c r="I11" s="111">
        <v>986</v>
      </c>
      <c r="J11" s="18">
        <f>I11*Prototype!$B$17</f>
        <v>8874</v>
      </c>
      <c r="K11" s="18">
        <v>1</v>
      </c>
      <c r="L11" s="18">
        <f t="shared" si="1"/>
        <v>0</v>
      </c>
      <c r="M11" s="376">
        <v>0</v>
      </c>
      <c r="N11" s="704" t="s">
        <v>167</v>
      </c>
      <c r="O11" s="34">
        <f t="shared" si="2"/>
        <v>1.9776791429805666E-3</v>
      </c>
      <c r="P11" s="94"/>
      <c r="Q11" s="553"/>
      <c r="R11" s="551"/>
      <c r="S11" s="551"/>
      <c r="T11" s="551"/>
      <c r="U11" s="551"/>
      <c r="V11" s="551"/>
      <c r="W11" s="551"/>
      <c r="X11" s="551"/>
      <c r="Y11" s="551"/>
      <c r="Z11" s="551"/>
      <c r="AA11" s="551"/>
      <c r="AB11" s="551"/>
      <c r="AC11" s="551"/>
      <c r="AD11" s="551"/>
      <c r="AE11" s="94"/>
      <c r="AF11" s="542"/>
    </row>
    <row r="12" spans="1:32" ht="118.2" customHeight="1" x14ac:dyDescent="0.3">
      <c r="A12" s="746" t="s">
        <v>89</v>
      </c>
      <c r="B12" s="646" t="s">
        <v>168</v>
      </c>
      <c r="C12" s="369" t="s">
        <v>161</v>
      </c>
      <c r="D12" s="711" t="s">
        <v>141</v>
      </c>
      <c r="E12" s="369" t="s">
        <v>142</v>
      </c>
      <c r="F12" s="176" t="s">
        <v>143</v>
      </c>
      <c r="G12" s="18" t="s">
        <v>144</v>
      </c>
      <c r="H12" s="136">
        <f t="shared" si="0"/>
        <v>1.4180721643887023E-3</v>
      </c>
      <c r="I12" s="111">
        <v>707</v>
      </c>
      <c r="J12" s="18">
        <f>I12*Prototype!$B$17</f>
        <v>6363</v>
      </c>
      <c r="K12" s="18">
        <v>1</v>
      </c>
      <c r="L12" s="18">
        <f t="shared" si="1"/>
        <v>10.605</v>
      </c>
      <c r="M12" s="425">
        <v>15</v>
      </c>
      <c r="N12" s="557" t="s">
        <v>169</v>
      </c>
      <c r="O12" s="34">
        <f t="shared" si="2"/>
        <v>1.4180721643887023E-3</v>
      </c>
      <c r="P12" s="94"/>
      <c r="Q12" s="553"/>
      <c r="R12" s="551"/>
      <c r="S12" s="551"/>
      <c r="T12" s="551"/>
      <c r="U12" s="551"/>
      <c r="V12" s="551"/>
      <c r="W12" s="551"/>
      <c r="X12" s="551"/>
      <c r="Y12" s="551"/>
      <c r="Z12" s="551"/>
      <c r="AA12" s="551"/>
      <c r="AB12" s="551"/>
      <c r="AC12" s="551"/>
      <c r="AD12" s="551"/>
      <c r="AE12" s="94"/>
      <c r="AF12" s="542"/>
    </row>
    <row r="13" spans="1:32" ht="17.7" customHeight="1" x14ac:dyDescent="0.3">
      <c r="A13" s="746" t="s">
        <v>89</v>
      </c>
      <c r="B13" s="645" t="s">
        <v>170</v>
      </c>
      <c r="C13" s="201" t="s">
        <v>171</v>
      </c>
      <c r="D13" s="711" t="s">
        <v>141</v>
      </c>
      <c r="E13" s="369" t="s">
        <v>142</v>
      </c>
      <c r="F13" s="369" t="s">
        <v>157</v>
      </c>
      <c r="G13" s="510" t="s">
        <v>144</v>
      </c>
      <c r="H13" s="136">
        <f t="shared" si="0"/>
        <v>1.8874199528851046E-3</v>
      </c>
      <c r="I13" s="111">
        <v>941</v>
      </c>
      <c r="J13" s="18">
        <f>I13*Prototype!$B$17</f>
        <v>8469</v>
      </c>
      <c r="K13" s="18">
        <v>1</v>
      </c>
      <c r="L13" s="18">
        <f t="shared" si="1"/>
        <v>0</v>
      </c>
      <c r="M13" s="376">
        <v>0</v>
      </c>
      <c r="N13" s="372"/>
      <c r="O13" s="34">
        <f t="shared" si="2"/>
        <v>1.8874199528851046E-3</v>
      </c>
      <c r="P13" s="139"/>
      <c r="Q13" s="554"/>
      <c r="R13" s="552"/>
      <c r="S13" s="552"/>
      <c r="T13" s="552"/>
      <c r="U13" s="552"/>
      <c r="V13" s="552"/>
      <c r="W13" s="552"/>
      <c r="X13" s="552"/>
      <c r="Y13" s="552"/>
      <c r="Z13" s="552"/>
      <c r="AA13" s="552"/>
      <c r="AB13" s="552"/>
      <c r="AC13" s="552"/>
      <c r="AD13" s="552"/>
      <c r="AE13" s="94"/>
      <c r="AF13" s="542"/>
    </row>
    <row r="14" spans="1:32" ht="17.7" customHeight="1" x14ac:dyDescent="0.3">
      <c r="A14" s="746" t="s">
        <v>89</v>
      </c>
      <c r="B14" s="645" t="s">
        <v>172</v>
      </c>
      <c r="C14" s="176" t="s">
        <v>173</v>
      </c>
      <c r="D14" s="176" t="s">
        <v>141</v>
      </c>
      <c r="E14" s="369" t="s">
        <v>142</v>
      </c>
      <c r="F14" s="176" t="s">
        <v>143</v>
      </c>
      <c r="G14" s="18" t="s">
        <v>144</v>
      </c>
      <c r="H14" s="136">
        <f t="shared" si="0"/>
        <v>1.4100491252691057E-3</v>
      </c>
      <c r="I14" s="202">
        <v>703</v>
      </c>
      <c r="J14" s="18">
        <f>I14*Prototype!$B$17</f>
        <v>6327</v>
      </c>
      <c r="K14" s="18">
        <v>1</v>
      </c>
      <c r="L14" s="18">
        <f t="shared" si="1"/>
        <v>3.5150000000000001</v>
      </c>
      <c r="M14" s="375">
        <v>5</v>
      </c>
      <c r="N14" s="372"/>
      <c r="O14" s="34">
        <f t="shared" si="2"/>
        <v>1.4100491252691057E-3</v>
      </c>
      <c r="P14" s="139"/>
      <c r="Q14" s="554"/>
      <c r="R14" s="552"/>
      <c r="S14" s="552"/>
      <c r="T14" s="552"/>
      <c r="U14" s="552"/>
      <c r="V14" s="552"/>
      <c r="W14" s="552"/>
      <c r="X14" s="552"/>
      <c r="Y14" s="552"/>
      <c r="Z14" s="552"/>
      <c r="AA14" s="552"/>
      <c r="AB14" s="552"/>
      <c r="AC14" s="552"/>
      <c r="AD14" s="552"/>
      <c r="AE14" s="94"/>
      <c r="AF14" s="542"/>
    </row>
    <row r="15" spans="1:32" ht="17.7" customHeight="1" x14ac:dyDescent="0.3">
      <c r="A15" s="746" t="s">
        <v>89</v>
      </c>
      <c r="B15" s="645" t="s">
        <v>174</v>
      </c>
      <c r="C15" s="176" t="s">
        <v>173</v>
      </c>
      <c r="D15" s="176" t="s">
        <v>141</v>
      </c>
      <c r="E15" s="369" t="s">
        <v>142</v>
      </c>
      <c r="F15" s="176" t="s">
        <v>143</v>
      </c>
      <c r="G15" s="18" t="s">
        <v>144</v>
      </c>
      <c r="H15" s="136">
        <f t="shared" si="0"/>
        <v>5.2731424613548772E-4</v>
      </c>
      <c r="I15" s="202">
        <v>262.89999999999998</v>
      </c>
      <c r="J15" s="18">
        <f>I15*Prototype!$B$17</f>
        <v>2366.1</v>
      </c>
      <c r="K15" s="18">
        <v>1</v>
      </c>
      <c r="L15" s="18">
        <f t="shared" si="1"/>
        <v>1.3145</v>
      </c>
      <c r="M15" s="375">
        <v>5</v>
      </c>
      <c r="N15" s="372"/>
      <c r="O15" s="34">
        <f t="shared" si="2"/>
        <v>5.2731424613548772E-4</v>
      </c>
      <c r="P15" s="94"/>
      <c r="Q15" s="553"/>
      <c r="R15" s="551"/>
      <c r="S15" s="551"/>
      <c r="T15" s="551"/>
      <c r="U15" s="551"/>
      <c r="V15" s="551"/>
      <c r="W15" s="551"/>
      <c r="X15" s="551"/>
      <c r="Y15" s="551"/>
      <c r="Z15" s="551"/>
      <c r="AA15" s="551"/>
      <c r="AB15" s="551"/>
      <c r="AC15" s="551"/>
      <c r="AD15" s="551"/>
      <c r="AE15" s="94"/>
      <c r="AF15" s="542"/>
    </row>
    <row r="16" spans="1:32" ht="17.7" customHeight="1" x14ac:dyDescent="0.3">
      <c r="A16" s="650" t="s">
        <v>89</v>
      </c>
      <c r="B16" s="647" t="s">
        <v>175</v>
      </c>
      <c r="C16" s="178" t="s">
        <v>140</v>
      </c>
      <c r="D16" s="178" t="s">
        <v>176</v>
      </c>
      <c r="E16" s="367" t="s">
        <v>177</v>
      </c>
      <c r="F16" s="178" t="s">
        <v>143</v>
      </c>
      <c r="G16" s="112" t="s">
        <v>144</v>
      </c>
      <c r="H16" s="138">
        <f t="shared" si="0"/>
        <v>1.4303654660797043E-2</v>
      </c>
      <c r="I16" s="641">
        <v>7131.29</v>
      </c>
      <c r="J16" s="112">
        <f>I16*Prototype!$B$17</f>
        <v>64181.61</v>
      </c>
      <c r="K16" s="112">
        <v>1</v>
      </c>
      <c r="L16" s="112">
        <f t="shared" ref="L16:L31" si="3">IFERROR(M16*I16/1000,"")</f>
        <v>35.65645</v>
      </c>
      <c r="M16" s="378">
        <f>$M$3</f>
        <v>5</v>
      </c>
      <c r="N16" s="372"/>
      <c r="O16" s="34">
        <f t="shared" si="2"/>
        <v>1.4303654660797043E-2</v>
      </c>
      <c r="P16" s="94"/>
      <c r="Q16" s="553"/>
      <c r="R16" s="551"/>
      <c r="S16" s="551"/>
      <c r="T16" s="551"/>
      <c r="U16" s="551"/>
      <c r="V16" s="551"/>
      <c r="W16" s="551"/>
      <c r="X16" s="551"/>
      <c r="Y16" s="551"/>
      <c r="Z16" s="551"/>
      <c r="AA16" s="551"/>
      <c r="AB16" s="551"/>
      <c r="AC16" s="551"/>
      <c r="AD16" s="551"/>
      <c r="AE16" s="94"/>
      <c r="AF16" s="542"/>
    </row>
    <row r="17" spans="1:41" ht="17.7" customHeight="1" x14ac:dyDescent="0.3">
      <c r="A17" s="650" t="s">
        <v>89</v>
      </c>
      <c r="B17" s="647" t="s">
        <v>178</v>
      </c>
      <c r="C17" s="178" t="s">
        <v>140</v>
      </c>
      <c r="D17" s="178" t="s">
        <v>176</v>
      </c>
      <c r="E17" s="367" t="s">
        <v>177</v>
      </c>
      <c r="F17" s="178" t="s">
        <v>143</v>
      </c>
      <c r="G17" s="112" t="s">
        <v>144</v>
      </c>
      <c r="H17" s="138">
        <f t="shared" si="0"/>
        <v>1.1624922359546125E-2</v>
      </c>
      <c r="I17" s="113">
        <v>5795.77</v>
      </c>
      <c r="J17" s="112">
        <f>I17*Prototype!$B$17</f>
        <v>52161.930000000008</v>
      </c>
      <c r="K17" s="112">
        <v>1</v>
      </c>
      <c r="L17" s="112">
        <f t="shared" si="3"/>
        <v>28.978850000000001</v>
      </c>
      <c r="M17" s="378">
        <f t="shared" ref="M17:M21" si="4">$M$3</f>
        <v>5</v>
      </c>
      <c r="N17" s="372"/>
      <c r="O17" s="34">
        <f t="shared" si="2"/>
        <v>1.1624922359546125E-2</v>
      </c>
      <c r="P17" s="94"/>
      <c r="Q17" s="553"/>
      <c r="R17" s="551"/>
      <c r="S17" s="551"/>
      <c r="T17" s="551"/>
      <c r="U17" s="551"/>
      <c r="V17" s="551"/>
      <c r="W17" s="551"/>
      <c r="X17" s="551"/>
      <c r="Y17" s="551"/>
      <c r="Z17" s="551"/>
      <c r="AA17" s="551"/>
      <c r="AB17" s="551"/>
      <c r="AC17" s="551"/>
      <c r="AD17" s="551"/>
      <c r="AE17" s="94"/>
      <c r="AF17" s="542"/>
    </row>
    <row r="18" spans="1:41" ht="17.7" customHeight="1" x14ac:dyDescent="0.3">
      <c r="A18" s="650" t="s">
        <v>89</v>
      </c>
      <c r="B18" s="647" t="s">
        <v>179</v>
      </c>
      <c r="C18" s="178" t="s">
        <v>140</v>
      </c>
      <c r="D18" s="178" t="s">
        <v>176</v>
      </c>
      <c r="E18" s="367" t="s">
        <v>177</v>
      </c>
      <c r="F18" s="178" t="s">
        <v>143</v>
      </c>
      <c r="G18" s="112" t="s">
        <v>144</v>
      </c>
      <c r="H18" s="138">
        <f t="shared" si="0"/>
        <v>1.1784821529199683E-2</v>
      </c>
      <c r="I18" s="113">
        <v>5875.49</v>
      </c>
      <c r="J18" s="112">
        <f>I18*Prototype!$B$17</f>
        <v>52879.409999999996</v>
      </c>
      <c r="K18" s="112">
        <v>1</v>
      </c>
      <c r="L18" s="112">
        <f t="shared" si="3"/>
        <v>29.377449999999996</v>
      </c>
      <c r="M18" s="378">
        <f t="shared" si="4"/>
        <v>5</v>
      </c>
      <c r="N18" s="372"/>
      <c r="O18" s="34">
        <f t="shared" si="2"/>
        <v>1.1784821529199683E-2</v>
      </c>
      <c r="P18" s="35"/>
      <c r="Q18" s="553"/>
      <c r="R18" s="551"/>
      <c r="S18" s="551"/>
      <c r="T18" s="551"/>
      <c r="U18" s="551"/>
      <c r="V18" s="551"/>
      <c r="W18" s="551"/>
      <c r="X18" s="551"/>
      <c r="Y18" s="551"/>
      <c r="Z18" s="551"/>
      <c r="AA18" s="551"/>
      <c r="AB18" s="551"/>
      <c r="AC18" s="551"/>
      <c r="AD18" s="551"/>
      <c r="AE18" s="94"/>
      <c r="AF18" s="542"/>
    </row>
    <row r="19" spans="1:41" ht="15.6" customHeight="1" thickBot="1" x14ac:dyDescent="0.35">
      <c r="A19" s="650" t="s">
        <v>89</v>
      </c>
      <c r="B19" s="647" t="s">
        <v>180</v>
      </c>
      <c r="C19" s="178" t="s">
        <v>140</v>
      </c>
      <c r="D19" s="178" t="s">
        <v>176</v>
      </c>
      <c r="E19" s="367" t="s">
        <v>177</v>
      </c>
      <c r="F19" s="178" t="s">
        <v>143</v>
      </c>
      <c r="G19" s="112" t="s">
        <v>144</v>
      </c>
      <c r="H19" s="138">
        <f t="shared" si="0"/>
        <v>1.8400439068838865E-3</v>
      </c>
      <c r="I19" s="113">
        <v>917.38</v>
      </c>
      <c r="J19" s="112">
        <f>I19*Prototype!$B$17</f>
        <v>8256.42</v>
      </c>
      <c r="K19" s="112">
        <v>1</v>
      </c>
      <c r="L19" s="112">
        <f t="shared" si="3"/>
        <v>4.5869</v>
      </c>
      <c r="M19" s="378">
        <f t="shared" si="4"/>
        <v>5</v>
      </c>
      <c r="N19" s="372"/>
      <c r="O19" s="34">
        <f t="shared" si="2"/>
        <v>1.8400439068838865E-3</v>
      </c>
      <c r="P19" s="94"/>
      <c r="Q19" s="543"/>
      <c r="R19" s="139"/>
      <c r="S19" s="139"/>
      <c r="T19" s="140"/>
      <c r="U19" s="140"/>
      <c r="V19" s="139"/>
      <c r="W19" s="139"/>
      <c r="X19" s="139"/>
      <c r="Y19" s="140"/>
      <c r="Z19" s="140"/>
      <c r="AA19" s="139"/>
      <c r="AB19" s="139"/>
      <c r="AC19" s="139"/>
      <c r="AD19" s="140"/>
      <c r="AE19" s="140"/>
      <c r="AF19" s="544"/>
    </row>
    <row r="20" spans="1:41" ht="18" customHeight="1" thickBot="1" x14ac:dyDescent="0.35">
      <c r="A20" s="650" t="s">
        <v>89</v>
      </c>
      <c r="B20" s="647" t="s">
        <v>181</v>
      </c>
      <c r="C20" s="178" t="s">
        <v>140</v>
      </c>
      <c r="D20" s="178" t="s">
        <v>176</v>
      </c>
      <c r="E20" s="367" t="s">
        <v>177</v>
      </c>
      <c r="F20" s="178" t="s">
        <v>143</v>
      </c>
      <c r="G20" s="112" t="s">
        <v>144</v>
      </c>
      <c r="H20" s="138">
        <f t="shared" si="0"/>
        <v>2.2689355206197228E-3</v>
      </c>
      <c r="I20" s="113">
        <v>1131.21</v>
      </c>
      <c r="J20" s="112">
        <f>I20*Prototype!$B$17</f>
        <v>10180.89</v>
      </c>
      <c r="K20" s="112">
        <v>1</v>
      </c>
      <c r="L20" s="112">
        <f t="shared" si="3"/>
        <v>5.6560500000000005</v>
      </c>
      <c r="M20" s="378">
        <f t="shared" si="4"/>
        <v>5</v>
      </c>
      <c r="N20" s="372"/>
      <c r="O20" s="34">
        <f t="shared" si="2"/>
        <v>2.2689355206197228E-3</v>
      </c>
      <c r="Q20" s="796" t="s">
        <v>146</v>
      </c>
      <c r="R20" s="797"/>
      <c r="S20" s="798"/>
      <c r="T20" s="35"/>
      <c r="U20" s="35"/>
      <c r="V20" s="796" t="s">
        <v>147</v>
      </c>
      <c r="W20" s="797"/>
      <c r="X20" s="798"/>
      <c r="Y20" s="35"/>
      <c r="Z20" s="322"/>
      <c r="AA20" s="796" t="s">
        <v>148</v>
      </c>
      <c r="AB20" s="797"/>
      <c r="AC20" s="798"/>
      <c r="AE20" s="35"/>
      <c r="AF20" s="35"/>
    </row>
    <row r="21" spans="1:41" ht="17.7" customHeight="1" thickBot="1" x14ac:dyDescent="0.35">
      <c r="A21" s="650" t="s">
        <v>89</v>
      </c>
      <c r="B21" s="647" t="s">
        <v>182</v>
      </c>
      <c r="C21" s="178" t="s">
        <v>140</v>
      </c>
      <c r="D21" s="178" t="s">
        <v>176</v>
      </c>
      <c r="E21" s="367" t="s">
        <v>177</v>
      </c>
      <c r="F21" s="178" t="s">
        <v>143</v>
      </c>
      <c r="G21" s="112" t="s">
        <v>144</v>
      </c>
      <c r="H21" s="138">
        <f t="shared" si="0"/>
        <v>6.6436380037643728E-3</v>
      </c>
      <c r="I21" s="113">
        <v>3312.28</v>
      </c>
      <c r="J21" s="112">
        <f>I21*Prototype!$B$17</f>
        <v>29810.52</v>
      </c>
      <c r="K21" s="112">
        <v>1</v>
      </c>
      <c r="L21" s="112">
        <f t="shared" si="3"/>
        <v>16.561400000000003</v>
      </c>
      <c r="M21" s="378">
        <f t="shared" si="4"/>
        <v>5</v>
      </c>
      <c r="N21" s="372"/>
      <c r="O21" s="34">
        <f t="shared" si="2"/>
        <v>6.6436380037643728E-3</v>
      </c>
      <c r="P21" s="35"/>
      <c r="Q21" s="799" t="s">
        <v>183</v>
      </c>
      <c r="R21" s="800"/>
      <c r="S21" s="801"/>
      <c r="T21" s="35"/>
      <c r="U21" s="35"/>
      <c r="V21" s="799" t="s">
        <v>183</v>
      </c>
      <c r="W21" s="800"/>
      <c r="X21" s="801"/>
      <c r="Y21" s="35"/>
      <c r="Z21" s="322"/>
      <c r="AA21" s="802" t="s">
        <v>183</v>
      </c>
      <c r="AB21" s="795"/>
      <c r="AC21" s="803"/>
      <c r="AE21" s="35"/>
      <c r="AF21" s="35"/>
      <c r="AG21" s="795"/>
      <c r="AH21" s="795"/>
      <c r="AJ21" s="795"/>
      <c r="AK21" s="795"/>
      <c r="AM21" s="795"/>
      <c r="AN21" s="795"/>
    </row>
    <row r="22" spans="1:41" ht="28.2" customHeight="1" thickBot="1" x14ac:dyDescent="0.35">
      <c r="A22" s="650" t="s">
        <v>89</v>
      </c>
      <c r="B22" s="647" t="s">
        <v>184</v>
      </c>
      <c r="C22" s="178" t="s">
        <v>185</v>
      </c>
      <c r="D22" s="367" t="s">
        <v>186</v>
      </c>
      <c r="E22" s="1104" t="s">
        <v>944</v>
      </c>
      <c r="F22" s="178" t="s">
        <v>153</v>
      </c>
      <c r="G22" s="112" t="s">
        <v>144</v>
      </c>
      <c r="H22" s="138">
        <f t="shared" si="0"/>
        <v>8.3658234659813842E-4</v>
      </c>
      <c r="I22" s="113">
        <v>417.09</v>
      </c>
      <c r="J22" s="112">
        <f>I22*Prototype!$B$17</f>
        <v>3753.81</v>
      </c>
      <c r="K22" s="112">
        <v>1</v>
      </c>
      <c r="L22" s="112">
        <f t="shared" si="3"/>
        <v>0.62563499999999994</v>
      </c>
      <c r="M22" s="415">
        <v>1.5</v>
      </c>
      <c r="N22" s="556" t="s">
        <v>154</v>
      </c>
      <c r="O22" s="34">
        <f t="shared" si="2"/>
        <v>8.3658234659813842E-4</v>
      </c>
      <c r="P22" s="35"/>
      <c r="Q22" s="395" t="s">
        <v>187</v>
      </c>
      <c r="R22" s="396" t="s">
        <v>188</v>
      </c>
      <c r="S22" s="397" t="s">
        <v>189</v>
      </c>
      <c r="T22" s="35"/>
      <c r="U22" s="35"/>
      <c r="V22" s="395" t="s">
        <v>187</v>
      </c>
      <c r="W22" s="396" t="s">
        <v>188</v>
      </c>
      <c r="X22" s="397" t="s">
        <v>189</v>
      </c>
      <c r="Y22" s="35"/>
      <c r="Z22" s="322"/>
      <c r="AA22" s="409" t="s">
        <v>187</v>
      </c>
      <c r="AB22" s="410" t="s">
        <v>188</v>
      </c>
      <c r="AC22" s="411" t="s">
        <v>189</v>
      </c>
      <c r="AE22" s="35"/>
      <c r="AF22" s="35"/>
      <c r="AG22" s="795"/>
      <c r="AH22" s="795"/>
      <c r="AJ22" s="795"/>
      <c r="AK22" s="795"/>
      <c r="AM22" s="795"/>
      <c r="AN22" s="795"/>
    </row>
    <row r="23" spans="1:41" ht="17.7" customHeight="1" x14ac:dyDescent="0.3">
      <c r="A23" s="650" t="s">
        <v>89</v>
      </c>
      <c r="B23" s="647" t="s">
        <v>190</v>
      </c>
      <c r="C23" s="178" t="s">
        <v>156</v>
      </c>
      <c r="D23" s="178" t="s">
        <v>176</v>
      </c>
      <c r="E23" s="367" t="s">
        <v>177</v>
      </c>
      <c r="F23" s="367" t="s">
        <v>157</v>
      </c>
      <c r="G23" s="511" t="s">
        <v>144</v>
      </c>
      <c r="H23" s="138">
        <f t="shared" si="0"/>
        <v>1.7028098227431865E-3</v>
      </c>
      <c r="I23" s="113">
        <v>848.96</v>
      </c>
      <c r="J23" s="112">
        <f>I23*Prototype!$B$17</f>
        <v>7640.64</v>
      </c>
      <c r="K23" s="112">
        <v>1</v>
      </c>
      <c r="L23" s="112">
        <f t="shared" si="3"/>
        <v>0</v>
      </c>
      <c r="M23" s="379">
        <v>0</v>
      </c>
      <c r="N23" s="372"/>
      <c r="O23" s="34">
        <f t="shared" si="2"/>
        <v>1.7028098227431865E-3</v>
      </c>
      <c r="P23" s="35"/>
      <c r="Q23" s="400" t="s">
        <v>191</v>
      </c>
      <c r="R23" s="398">
        <f>I3+I4</f>
        <v>12079.04</v>
      </c>
      <c r="S23" s="401">
        <f>R23/$R$36</f>
        <v>0.31494381143587208</v>
      </c>
      <c r="U23" s="323"/>
      <c r="V23" s="400" t="s">
        <v>191</v>
      </c>
      <c r="W23" s="398">
        <f>I17+I18+I16</f>
        <v>18802.55</v>
      </c>
      <c r="X23" s="406">
        <f>W23/$R$36</f>
        <v>0.49024978489296794</v>
      </c>
      <c r="Y23" s="191"/>
      <c r="Z23" s="181"/>
      <c r="AA23" s="412" t="s">
        <v>191</v>
      </c>
      <c r="AB23" s="413">
        <f>I36+I37+I38+I39</f>
        <v>21287.86</v>
      </c>
      <c r="AC23" s="414">
        <f>AB23/$R$36</f>
        <v>0.55505071311240317</v>
      </c>
      <c r="AD23" s="191"/>
      <c r="AE23" s="322"/>
      <c r="AF23" s="35"/>
      <c r="AH23" s="185"/>
      <c r="AK23" s="185"/>
      <c r="AL23" s="204"/>
      <c r="AN23" s="185"/>
      <c r="AO23" s="185"/>
    </row>
    <row r="24" spans="1:41" ht="17.7" customHeight="1" x14ac:dyDescent="0.3">
      <c r="A24" s="650" t="s">
        <v>89</v>
      </c>
      <c r="B24" s="647" t="s">
        <v>192</v>
      </c>
      <c r="C24" s="178" t="s">
        <v>159</v>
      </c>
      <c r="D24" s="178" t="s">
        <v>176</v>
      </c>
      <c r="E24" s="367" t="s">
        <v>177</v>
      </c>
      <c r="F24" s="178" t="s">
        <v>143</v>
      </c>
      <c r="G24" s="112" t="s">
        <v>144</v>
      </c>
      <c r="H24" s="138">
        <f t="shared" si="0"/>
        <v>1.5841691317621512E-3</v>
      </c>
      <c r="I24" s="113">
        <v>789.81</v>
      </c>
      <c r="J24" s="112">
        <f>I24*Prototype!$B$17</f>
        <v>7108.2899999999991</v>
      </c>
      <c r="K24" s="112">
        <v>1</v>
      </c>
      <c r="L24" s="112">
        <f t="shared" si="3"/>
        <v>26.06373</v>
      </c>
      <c r="M24" s="378">
        <v>33</v>
      </c>
      <c r="N24" s="372"/>
      <c r="O24" s="34">
        <f t="shared" si="2"/>
        <v>1.5841691317621512E-3</v>
      </c>
      <c r="P24" s="35"/>
      <c r="Q24" s="402" t="s">
        <v>193</v>
      </c>
      <c r="R24" s="394">
        <f>I5</f>
        <v>3703.68</v>
      </c>
      <c r="S24" s="403">
        <f t="shared" ref="S24:S34" si="5">R24/$R$36</f>
        <v>9.656819544755299E-2</v>
      </c>
      <c r="U24" s="323"/>
      <c r="V24" s="402" t="s">
        <v>193</v>
      </c>
      <c r="W24" s="394">
        <f>I21</f>
        <v>3312.28</v>
      </c>
      <c r="X24" s="407">
        <f t="shared" ref="X24:X35" si="6">W24/$R$36</f>
        <v>8.6362996375772438E-2</v>
      </c>
      <c r="Y24" s="191"/>
      <c r="Z24" s="181"/>
      <c r="AA24" s="390" t="s">
        <v>193</v>
      </c>
      <c r="AB24" s="387">
        <f>I44</f>
        <v>3233</v>
      </c>
      <c r="AC24" s="391">
        <f t="shared" ref="AC24:AC34" si="7">AB24/$R$36</f>
        <v>8.4295882981774567E-2</v>
      </c>
      <c r="AD24" s="191"/>
      <c r="AE24" s="35"/>
      <c r="AF24" s="197"/>
      <c r="AH24" s="185"/>
      <c r="AK24" s="185"/>
      <c r="AL24" s="204"/>
      <c r="AN24" s="185"/>
      <c r="AO24" s="185"/>
    </row>
    <row r="25" spans="1:41" ht="26.25" customHeight="1" x14ac:dyDescent="0.3">
      <c r="A25" s="650" t="s">
        <v>89</v>
      </c>
      <c r="B25" s="647" t="s">
        <v>194</v>
      </c>
      <c r="C25" s="178" t="s">
        <v>161</v>
      </c>
      <c r="D25" s="178" t="s">
        <v>176</v>
      </c>
      <c r="E25" s="367" t="s">
        <v>177</v>
      </c>
      <c r="F25" s="178" t="s">
        <v>143</v>
      </c>
      <c r="G25" s="112" t="s">
        <v>144</v>
      </c>
      <c r="H25" s="138">
        <f t="shared" si="0"/>
        <v>1.2400208687270544E-3</v>
      </c>
      <c r="I25" s="113">
        <v>618.23</v>
      </c>
      <c r="J25" s="112">
        <f>I25*Prototype!$B$17</f>
        <v>5564.07</v>
      </c>
      <c r="K25" s="112">
        <v>1</v>
      </c>
      <c r="L25" s="112">
        <f t="shared" si="3"/>
        <v>20.401589999999999</v>
      </c>
      <c r="M25" s="378">
        <v>33</v>
      </c>
      <c r="N25" s="372"/>
      <c r="O25" s="34">
        <f t="shared" si="2"/>
        <v>1.2400208687270544E-3</v>
      </c>
      <c r="P25" s="35"/>
      <c r="Q25" s="402" t="s">
        <v>195</v>
      </c>
      <c r="R25" s="394" t="s">
        <v>196</v>
      </c>
      <c r="S25" s="403" t="s">
        <v>196</v>
      </c>
      <c r="U25" s="323"/>
      <c r="V25" s="402" t="s">
        <v>195</v>
      </c>
      <c r="W25" s="394">
        <f>I20+I19</f>
        <v>2048.59</v>
      </c>
      <c r="X25" s="407">
        <f t="shared" si="6"/>
        <v>5.3414074518290618E-2</v>
      </c>
      <c r="Y25" s="191"/>
      <c r="Z25" s="182"/>
      <c r="AA25" s="390" t="s">
        <v>195</v>
      </c>
      <c r="AB25" s="387">
        <f>I40+I41+I42+I43</f>
        <v>4092.56</v>
      </c>
      <c r="AC25" s="391">
        <f t="shared" si="7"/>
        <v>0.10670768909863634</v>
      </c>
      <c r="AD25" s="191"/>
      <c r="AE25" s="35"/>
      <c r="AF25" s="198"/>
      <c r="AH25" s="185"/>
      <c r="AK25" s="185"/>
      <c r="AL25" s="204"/>
      <c r="AN25" s="185"/>
      <c r="AO25" s="185"/>
    </row>
    <row r="26" spans="1:41" ht="17.399999999999999" customHeight="1" x14ac:dyDescent="0.3">
      <c r="A26" s="650" t="s">
        <v>89</v>
      </c>
      <c r="B26" s="647" t="s">
        <v>197</v>
      </c>
      <c r="C26" s="178" t="s">
        <v>198</v>
      </c>
      <c r="D26" s="178" t="s">
        <v>176</v>
      </c>
      <c r="E26" s="367" t="s">
        <v>177</v>
      </c>
      <c r="F26" s="178" t="s">
        <v>143</v>
      </c>
      <c r="G26" s="112" t="s">
        <v>144</v>
      </c>
      <c r="H26" s="138">
        <f t="shared" si="0"/>
        <v>1.8792765681787142E-3</v>
      </c>
      <c r="I26" s="113">
        <v>936.94</v>
      </c>
      <c r="J26" s="112">
        <f>I26*Prototype!$B$17</f>
        <v>8432.4600000000009</v>
      </c>
      <c r="K26" s="112">
        <v>1</v>
      </c>
      <c r="L26" s="112">
        <f t="shared" si="3"/>
        <v>2.8108200000000001</v>
      </c>
      <c r="M26" s="378">
        <v>3</v>
      </c>
      <c r="N26" s="372"/>
      <c r="O26" s="34">
        <f t="shared" si="2"/>
        <v>1.8792765681787142E-3</v>
      </c>
      <c r="P26" s="35"/>
      <c r="Q26" s="402" t="s">
        <v>199</v>
      </c>
      <c r="R26" s="394">
        <f>I8</f>
        <v>579.70000000000005</v>
      </c>
      <c r="S26" s="403">
        <f t="shared" si="5"/>
        <v>1.5114854118321905E-2</v>
      </c>
      <c r="U26" s="323"/>
      <c r="V26" s="402" t="s">
        <v>199</v>
      </c>
      <c r="W26" s="394">
        <f>I24</f>
        <v>789.81</v>
      </c>
      <c r="X26" s="407">
        <f t="shared" si="6"/>
        <v>2.0593173936849788E-2</v>
      </c>
      <c r="Y26" s="191"/>
      <c r="AA26" s="390" t="s">
        <v>199</v>
      </c>
      <c r="AB26" s="387">
        <f>I47+I48+I49+I50</f>
        <v>2323.2399999999998</v>
      </c>
      <c r="AC26" s="391">
        <f t="shared" si="7"/>
        <v>6.057518316689698E-2</v>
      </c>
      <c r="AD26" s="191"/>
      <c r="AE26" s="35"/>
      <c r="AF26" s="35"/>
      <c r="AH26" s="185"/>
      <c r="AK26" s="185"/>
      <c r="AL26" s="204"/>
      <c r="AN26" s="185"/>
      <c r="AO26" s="185"/>
    </row>
    <row r="27" spans="1:41" ht="28.5" customHeight="1" x14ac:dyDescent="0.3">
      <c r="A27" s="650" t="s">
        <v>89</v>
      </c>
      <c r="B27" s="647" t="s">
        <v>200</v>
      </c>
      <c r="C27" s="178" t="s">
        <v>163</v>
      </c>
      <c r="D27" s="709" t="s">
        <v>176</v>
      </c>
      <c r="E27" s="367" t="s">
        <v>177</v>
      </c>
      <c r="F27" s="709" t="s">
        <v>143</v>
      </c>
      <c r="G27" s="773" t="s">
        <v>144</v>
      </c>
      <c r="H27" s="138">
        <f t="shared" si="0"/>
        <v>1.9235838017166863E-3</v>
      </c>
      <c r="I27" s="113">
        <v>959.03</v>
      </c>
      <c r="J27" s="112">
        <f>I27*Prototype!$B$17</f>
        <v>8631.27</v>
      </c>
      <c r="K27" s="112">
        <v>1</v>
      </c>
      <c r="L27" s="112">
        <f t="shared" si="3"/>
        <v>0</v>
      </c>
      <c r="M27" s="379">
        <v>0</v>
      </c>
      <c r="N27" s="381" t="s">
        <v>164</v>
      </c>
      <c r="O27" s="34">
        <f t="shared" si="2"/>
        <v>1.9235838017166863E-3</v>
      </c>
      <c r="P27" s="35"/>
      <c r="Q27" s="402" t="s">
        <v>201</v>
      </c>
      <c r="R27" s="394">
        <f>I9</f>
        <v>973</v>
      </c>
      <c r="S27" s="403">
        <f t="shared" si="5"/>
        <v>2.5369592991421792E-2</v>
      </c>
      <c r="U27" s="323"/>
      <c r="V27" s="402" t="s">
        <v>201</v>
      </c>
      <c r="W27" s="394">
        <f>I26+I25</f>
        <v>1555.17</v>
      </c>
      <c r="X27" s="407">
        <f t="shared" si="6"/>
        <v>4.0548848851458819E-2</v>
      </c>
      <c r="Y27" s="191"/>
      <c r="Z27" s="322"/>
      <c r="AA27" s="390" t="s">
        <v>201</v>
      </c>
      <c r="AB27" s="387">
        <f>I51</f>
        <v>910</v>
      </c>
      <c r="AC27" s="391">
        <f t="shared" si="7"/>
        <v>2.3726957473991603E-2</v>
      </c>
      <c r="AD27" s="191"/>
      <c r="AE27" s="35"/>
      <c r="AF27" s="35"/>
      <c r="AH27" s="185"/>
      <c r="AK27" s="185"/>
      <c r="AL27" s="204"/>
      <c r="AN27" s="185"/>
      <c r="AO27" s="185"/>
    </row>
    <row r="28" spans="1:41" ht="17.7" customHeight="1" x14ac:dyDescent="0.3">
      <c r="A28" s="650" t="s">
        <v>89</v>
      </c>
      <c r="B28" s="647" t="s">
        <v>202</v>
      </c>
      <c r="C28" s="178" t="s">
        <v>203</v>
      </c>
      <c r="D28" s="178" t="s">
        <v>176</v>
      </c>
      <c r="E28" s="367" t="s">
        <v>177</v>
      </c>
      <c r="F28" s="178" t="s">
        <v>143</v>
      </c>
      <c r="G28" s="773" t="s">
        <v>144</v>
      </c>
      <c r="H28" s="138">
        <f t="shared" si="0"/>
        <v>3.5406273362713851E-3</v>
      </c>
      <c r="I28" s="113">
        <v>1765.23</v>
      </c>
      <c r="J28" s="112">
        <f>I28*Prototype!$B$17</f>
        <v>15887.07</v>
      </c>
      <c r="K28" s="112">
        <v>1</v>
      </c>
      <c r="L28" s="112">
        <f t="shared" si="3"/>
        <v>17.6523</v>
      </c>
      <c r="M28" s="379">
        <v>10</v>
      </c>
      <c r="N28" s="372" t="s">
        <v>204</v>
      </c>
      <c r="O28" s="34">
        <f t="shared" si="2"/>
        <v>3.5406273362713851E-3</v>
      </c>
      <c r="P28" s="35"/>
      <c r="Q28" s="402" t="s">
        <v>205</v>
      </c>
      <c r="R28" s="394">
        <f>I10</f>
        <v>1231</v>
      </c>
      <c r="S28" s="496">
        <f t="shared" si="5"/>
        <v>3.2096576538993039E-2</v>
      </c>
      <c r="U28" s="323"/>
      <c r="V28" s="402" t="s">
        <v>206</v>
      </c>
      <c r="W28" s="394">
        <f>I28+I27</f>
        <v>2724.26</v>
      </c>
      <c r="X28" s="407">
        <f t="shared" si="6"/>
        <v>7.103121007483118E-2</v>
      </c>
      <c r="Y28" s="191"/>
      <c r="Z28" s="183"/>
      <c r="AA28" s="390" t="s">
        <v>205</v>
      </c>
      <c r="AB28" s="387">
        <f>I52</f>
        <v>738</v>
      </c>
      <c r="AC28" s="391">
        <f t="shared" si="7"/>
        <v>1.9242301775610773E-2</v>
      </c>
      <c r="AD28" s="191"/>
      <c r="AE28" s="35"/>
      <c r="AF28" s="35"/>
      <c r="AH28" s="185"/>
      <c r="AK28" s="185"/>
      <c r="AL28" s="204"/>
      <c r="AN28" s="185"/>
      <c r="AO28" s="185"/>
    </row>
    <row r="29" spans="1:41" ht="36.75" customHeight="1" x14ac:dyDescent="0.3">
      <c r="A29" s="650" t="s">
        <v>89</v>
      </c>
      <c r="B29" s="647" t="s">
        <v>207</v>
      </c>
      <c r="C29" s="178" t="s">
        <v>208</v>
      </c>
      <c r="D29" s="178" t="s">
        <v>176</v>
      </c>
      <c r="E29" s="367" t="s">
        <v>177</v>
      </c>
      <c r="F29" s="178" t="s">
        <v>143</v>
      </c>
      <c r="G29" s="773" t="s">
        <v>144</v>
      </c>
      <c r="H29" s="138">
        <f t="shared" si="0"/>
        <v>6.7406164891224965E-3</v>
      </c>
      <c r="I29" s="113">
        <v>3360.63</v>
      </c>
      <c r="J29" s="112">
        <f>I29*Prototype!$B$17</f>
        <v>30245.670000000002</v>
      </c>
      <c r="K29" s="112">
        <v>1</v>
      </c>
      <c r="L29" s="112">
        <f t="shared" si="3"/>
        <v>33.606300000000005</v>
      </c>
      <c r="M29" s="428">
        <v>10</v>
      </c>
      <c r="N29" s="380" t="s">
        <v>209</v>
      </c>
      <c r="O29" s="34">
        <f t="shared" si="2"/>
        <v>6.7406164891224965E-3</v>
      </c>
      <c r="P29" s="35"/>
      <c r="Q29" s="402" t="s">
        <v>210</v>
      </c>
      <c r="R29" s="394">
        <f>I7</f>
        <v>7958</v>
      </c>
      <c r="S29" s="496">
        <f>R29/$R$36</f>
        <v>0.20749354678903867</v>
      </c>
      <c r="U29" s="323"/>
      <c r="V29" s="402" t="s">
        <v>210</v>
      </c>
      <c r="W29" s="394">
        <f>I23</f>
        <v>848.96</v>
      </c>
      <c r="X29" s="407">
        <f t="shared" si="6"/>
        <v>2.2135426172659244E-2</v>
      </c>
      <c r="Y29" s="191"/>
      <c r="Z29" s="35"/>
      <c r="AA29" s="390" t="s">
        <v>210</v>
      </c>
      <c r="AB29" s="387">
        <f>I46</f>
        <v>1070</v>
      </c>
      <c r="AC29" s="391">
        <f t="shared" si="7"/>
        <v>2.7898730216671448E-2</v>
      </c>
      <c r="AD29" s="191"/>
      <c r="AE29" s="35"/>
      <c r="AF29" s="35"/>
      <c r="AH29" s="185"/>
      <c r="AK29" s="185"/>
      <c r="AL29" s="204"/>
      <c r="AN29" s="185"/>
      <c r="AO29" s="185"/>
    </row>
    <row r="30" spans="1:41" ht="89.25" customHeight="1" x14ac:dyDescent="0.3">
      <c r="A30" s="650" t="s">
        <v>89</v>
      </c>
      <c r="B30" s="647" t="s">
        <v>211</v>
      </c>
      <c r="C30" s="367" t="s">
        <v>161</v>
      </c>
      <c r="D30" s="178" t="s">
        <v>176</v>
      </c>
      <c r="E30" s="367" t="s">
        <v>177</v>
      </c>
      <c r="F30" s="178" t="s">
        <v>143</v>
      </c>
      <c r="G30" s="773" t="s">
        <v>144</v>
      </c>
      <c r="H30" s="138">
        <f t="shared" si="0"/>
        <v>1.3717391134730318E-3</v>
      </c>
      <c r="I30" s="113">
        <v>683.9</v>
      </c>
      <c r="J30" s="112">
        <f>I30*Prototype!$B$17</f>
        <v>6155.0999999999995</v>
      </c>
      <c r="K30" s="112">
        <v>1</v>
      </c>
      <c r="L30" s="112">
        <f>IFERROR(M30*I30/1000,"")</f>
        <v>10.2585</v>
      </c>
      <c r="M30" s="426">
        <f>M12</f>
        <v>15</v>
      </c>
      <c r="N30" s="429" t="s">
        <v>212</v>
      </c>
      <c r="O30" s="34">
        <f t="shared" si="2"/>
        <v>1.3717391134730318E-3</v>
      </c>
      <c r="P30" s="35"/>
      <c r="Q30" s="402" t="s">
        <v>213</v>
      </c>
      <c r="R30" s="394">
        <f>I6</f>
        <v>8228</v>
      </c>
      <c r="S30" s="496">
        <f>R30/$R$36</f>
        <v>0.2145334132923109</v>
      </c>
      <c r="U30" s="323"/>
      <c r="V30" s="402" t="s">
        <v>213</v>
      </c>
      <c r="W30" s="394">
        <f>I22</f>
        <v>417.09</v>
      </c>
      <c r="X30" s="407">
        <f t="shared" si="6"/>
        <v>1.0875029332777097E-2</v>
      </c>
      <c r="Y30" s="191"/>
      <c r="Z30" s="35"/>
      <c r="AA30" s="390" t="s">
        <v>213</v>
      </c>
      <c r="AB30" s="387">
        <f>I45</f>
        <v>418</v>
      </c>
      <c r="AC30" s="391">
        <f t="shared" si="7"/>
        <v>1.0898756290251088E-2</v>
      </c>
      <c r="AD30" s="191"/>
      <c r="AE30" s="35"/>
      <c r="AF30" s="35"/>
      <c r="AH30" s="185"/>
      <c r="AK30" s="185"/>
      <c r="AL30" s="204"/>
      <c r="AN30" s="185"/>
      <c r="AO30" s="185"/>
    </row>
    <row r="31" spans="1:41" ht="17.7" customHeight="1" x14ac:dyDescent="0.3">
      <c r="A31" s="650" t="s">
        <v>89</v>
      </c>
      <c r="B31" s="647" t="s">
        <v>214</v>
      </c>
      <c r="C31" s="178" t="s">
        <v>166</v>
      </c>
      <c r="D31" s="367"/>
      <c r="E31" s="367"/>
      <c r="F31" s="178" t="s">
        <v>143</v>
      </c>
      <c r="G31" s="773" t="s">
        <v>144</v>
      </c>
      <c r="H31" s="138">
        <f t="shared" si="0"/>
        <v>2.3188388239436136E-3</v>
      </c>
      <c r="I31" s="113">
        <v>1156.0899999999999</v>
      </c>
      <c r="J31" s="112">
        <f>I31*Prototype!$B$17</f>
        <v>10404.81</v>
      </c>
      <c r="K31" s="112">
        <v>1</v>
      </c>
      <c r="L31" s="112">
        <f t="shared" si="3"/>
        <v>0</v>
      </c>
      <c r="M31" s="379">
        <v>0</v>
      </c>
      <c r="N31" s="704" t="s">
        <v>167</v>
      </c>
      <c r="O31" s="34">
        <f t="shared" si="2"/>
        <v>2.3188388239436136E-3</v>
      </c>
      <c r="P31" s="35"/>
      <c r="Q31" s="402" t="s">
        <v>215</v>
      </c>
      <c r="R31" s="394">
        <f>I14+I15</f>
        <v>965.9</v>
      </c>
      <c r="S31" s="496">
        <f t="shared" si="5"/>
        <v>2.5184470575965373E-2</v>
      </c>
      <c r="U31" s="323"/>
      <c r="V31" s="402" t="s">
        <v>215</v>
      </c>
      <c r="W31" s="394">
        <f>I34+I33</f>
        <v>1804.63</v>
      </c>
      <c r="X31" s="407">
        <f t="shared" si="6"/>
        <v>4.7053164028889531E-2</v>
      </c>
      <c r="Y31" s="191"/>
      <c r="AA31" s="390" t="s">
        <v>215</v>
      </c>
      <c r="AB31" s="387">
        <f>I56+I57</f>
        <v>1591.24</v>
      </c>
      <c r="AC31" s="391">
        <f t="shared" si="7"/>
        <v>4.1489322869136702E-2</v>
      </c>
      <c r="AD31" s="191"/>
      <c r="AE31" s="35"/>
      <c r="AF31" s="35"/>
      <c r="AH31" s="185"/>
      <c r="AK31" s="185"/>
      <c r="AL31" s="204"/>
      <c r="AN31" s="185"/>
      <c r="AO31" s="185"/>
    </row>
    <row r="32" spans="1:41" ht="17.7" customHeight="1" x14ac:dyDescent="0.3">
      <c r="A32" s="650" t="s">
        <v>89</v>
      </c>
      <c r="B32" s="647" t="s">
        <v>216</v>
      </c>
      <c r="C32" s="178" t="s">
        <v>171</v>
      </c>
      <c r="D32" s="709" t="s">
        <v>176</v>
      </c>
      <c r="E32" s="367" t="s">
        <v>177</v>
      </c>
      <c r="F32" s="367" t="s">
        <v>157</v>
      </c>
      <c r="G32" s="773" t="s">
        <v>144</v>
      </c>
      <c r="H32" s="138">
        <f t="shared" si="0"/>
        <v>1.7009043509522823E-3</v>
      </c>
      <c r="I32" s="113">
        <v>848.01</v>
      </c>
      <c r="J32" s="112">
        <f>I32*Prototype!$B$17</f>
        <v>7632.09</v>
      </c>
      <c r="K32" s="112">
        <v>1</v>
      </c>
      <c r="L32" s="112">
        <f t="shared" si="1"/>
        <v>0</v>
      </c>
      <c r="M32" s="379">
        <v>0</v>
      </c>
      <c r="N32" s="372"/>
      <c r="O32" s="34">
        <f t="shared" si="2"/>
        <v>1.7009043509522823E-3</v>
      </c>
      <c r="P32" s="35"/>
      <c r="Q32" s="402" t="s">
        <v>217</v>
      </c>
      <c r="R32" s="394">
        <f>I11</f>
        <v>986</v>
      </c>
      <c r="S32" s="403">
        <f t="shared" si="5"/>
        <v>2.5708549526764529E-2</v>
      </c>
      <c r="U32" s="323"/>
      <c r="V32" s="402" t="s">
        <v>217</v>
      </c>
      <c r="W32" s="394">
        <f>I31</f>
        <v>1156.0899999999999</v>
      </c>
      <c r="X32" s="407">
        <f t="shared" si="6"/>
        <v>3.0143404688029618E-2</v>
      </c>
      <c r="Y32" s="191"/>
      <c r="Z32" s="35"/>
      <c r="AA32" s="390" t="s">
        <v>217</v>
      </c>
      <c r="AB32" s="387">
        <f>I54</f>
        <v>1155</v>
      </c>
      <c r="AC32" s="391">
        <f t="shared" si="7"/>
        <v>3.0114984486220114E-2</v>
      </c>
      <c r="AD32" s="191"/>
      <c r="AE32" s="35"/>
      <c r="AF32" s="35"/>
      <c r="AH32" s="185"/>
      <c r="AK32" s="185"/>
      <c r="AL32" s="204"/>
      <c r="AN32" s="185"/>
      <c r="AO32" s="185"/>
    </row>
    <row r="33" spans="1:41" ht="17.7" customHeight="1" x14ac:dyDescent="0.25">
      <c r="A33" s="650" t="s">
        <v>89</v>
      </c>
      <c r="B33" s="647" t="s">
        <v>218</v>
      </c>
      <c r="C33" s="178" t="s">
        <v>173</v>
      </c>
      <c r="D33" s="178" t="s">
        <v>176</v>
      </c>
      <c r="E33" s="367" t="s">
        <v>177</v>
      </c>
      <c r="F33" s="178" t="s">
        <v>143</v>
      </c>
      <c r="G33" s="773" t="s">
        <v>144</v>
      </c>
      <c r="H33" s="138">
        <f t="shared" si="0"/>
        <v>2.0175335898071629E-3</v>
      </c>
      <c r="I33" s="113">
        <v>1005.87</v>
      </c>
      <c r="J33" s="112">
        <f>I33*Prototype!$B$17</f>
        <v>9052.83</v>
      </c>
      <c r="K33" s="112">
        <v>1</v>
      </c>
      <c r="L33" s="112">
        <f t="shared" si="1"/>
        <v>5.02935</v>
      </c>
      <c r="M33" s="378">
        <v>5</v>
      </c>
      <c r="N33" s="372"/>
      <c r="O33" s="34">
        <f t="shared" si="2"/>
        <v>2.0175335898071629E-3</v>
      </c>
      <c r="P33" s="35"/>
      <c r="Q33" s="402" t="s">
        <v>219</v>
      </c>
      <c r="R33" s="394">
        <f>I12</f>
        <v>707</v>
      </c>
      <c r="S33" s="403">
        <f t="shared" si="5"/>
        <v>1.8434020806716554E-2</v>
      </c>
      <c r="U33" s="323"/>
      <c r="V33" s="402" t="s">
        <v>219</v>
      </c>
      <c r="W33" s="394">
        <f>I30+I29</f>
        <v>4044.53</v>
      </c>
      <c r="X33" s="407">
        <f t="shared" si="6"/>
        <v>0.10545537506844316</v>
      </c>
      <c r="Y33" s="191"/>
      <c r="Z33" s="324"/>
      <c r="AA33" s="390" t="s">
        <v>219</v>
      </c>
      <c r="AB33" s="387">
        <f>I53</f>
        <v>684</v>
      </c>
      <c r="AC33" s="391">
        <f t="shared" si="7"/>
        <v>1.7834328474956328E-2</v>
      </c>
      <c r="AD33" s="191"/>
      <c r="AE33" s="35"/>
      <c r="AF33" s="35"/>
      <c r="AH33" s="185"/>
      <c r="AK33" s="185"/>
      <c r="AL33" s="204"/>
      <c r="AN33" s="185"/>
      <c r="AO33" s="185"/>
    </row>
    <row r="34" spans="1:41" ht="17.7" customHeight="1" x14ac:dyDescent="0.3">
      <c r="A34" s="650" t="s">
        <v>89</v>
      </c>
      <c r="B34" s="647" t="s">
        <v>220</v>
      </c>
      <c r="C34" s="178" t="s">
        <v>173</v>
      </c>
      <c r="D34" s="178" t="s">
        <v>176</v>
      </c>
      <c r="E34" s="367" t="s">
        <v>177</v>
      </c>
      <c r="F34" s="178" t="s">
        <v>143</v>
      </c>
      <c r="G34" s="773" t="s">
        <v>144</v>
      </c>
      <c r="H34" s="138">
        <f t="shared" si="0"/>
        <v>1.6021206817922488E-3</v>
      </c>
      <c r="I34" s="113">
        <v>798.76</v>
      </c>
      <c r="J34" s="112">
        <f>I34*Prototype!$B$17</f>
        <v>7188.84</v>
      </c>
      <c r="K34" s="112">
        <v>1</v>
      </c>
      <c r="L34" s="112">
        <f t="shared" ref="L34" si="8">IFERROR(M34*I34/1000,"")</f>
        <v>3.9938000000000002</v>
      </c>
      <c r="M34" s="378">
        <v>5</v>
      </c>
      <c r="N34" s="372"/>
      <c r="O34" s="34">
        <f t="shared" si="2"/>
        <v>1.6021206817922488E-3</v>
      </c>
      <c r="P34" s="35"/>
      <c r="Q34" s="402" t="s">
        <v>221</v>
      </c>
      <c r="R34" s="394">
        <f>I13</f>
        <v>941</v>
      </c>
      <c r="S34" s="403">
        <f t="shared" si="5"/>
        <v>2.4535238442885823E-2</v>
      </c>
      <c r="U34" s="323"/>
      <c r="V34" s="402" t="s">
        <v>221</v>
      </c>
      <c r="W34" s="394">
        <f>I32</f>
        <v>848.01</v>
      </c>
      <c r="X34" s="407">
        <f t="shared" si="6"/>
        <v>2.2110656271999582E-2</v>
      </c>
      <c r="Y34" s="191"/>
      <c r="Z34" s="35"/>
      <c r="AA34" s="390" t="s">
        <v>221</v>
      </c>
      <c r="AB34" s="387">
        <f>I55</f>
        <v>848</v>
      </c>
      <c r="AC34" s="391">
        <f t="shared" si="7"/>
        <v>2.2110395536203167E-2</v>
      </c>
      <c r="AD34" s="191"/>
      <c r="AE34" s="35"/>
      <c r="AF34" s="35"/>
      <c r="AH34" s="185"/>
      <c r="AK34" s="185"/>
      <c r="AL34" s="204"/>
      <c r="AN34" s="185"/>
      <c r="AO34" s="185"/>
    </row>
    <row r="35" spans="1:41" ht="17.7" customHeight="1" thickBot="1" x14ac:dyDescent="0.35">
      <c r="A35" s="650" t="s">
        <v>89</v>
      </c>
      <c r="B35" s="647" t="s">
        <v>222</v>
      </c>
      <c r="C35" s="178" t="s">
        <v>223</v>
      </c>
      <c r="D35" s="178" t="s">
        <v>196</v>
      </c>
      <c r="E35" s="367" t="s">
        <v>224</v>
      </c>
      <c r="F35" s="178"/>
      <c r="G35" s="773" t="s">
        <v>225</v>
      </c>
      <c r="H35" s="138"/>
      <c r="I35" s="113">
        <f>38352.97</f>
        <v>38352.97</v>
      </c>
      <c r="J35" s="112">
        <f>I35*(Prototype!$B$16-Prototype!$B$17)</f>
        <v>153411.88</v>
      </c>
      <c r="K35" s="112">
        <v>1</v>
      </c>
      <c r="L35" s="112">
        <f t="shared" si="1"/>
        <v>0</v>
      </c>
      <c r="M35" s="379">
        <v>0</v>
      </c>
      <c r="N35" s="372"/>
      <c r="O35" s="34">
        <f t="shared" si="2"/>
        <v>0</v>
      </c>
      <c r="P35" s="35"/>
      <c r="Q35" s="404" t="s">
        <v>226</v>
      </c>
      <c r="R35" s="408">
        <f>I35</f>
        <v>38352.97</v>
      </c>
      <c r="S35" s="405">
        <f>SUM(S23:S34)</f>
        <v>0.99998226996584361</v>
      </c>
      <c r="T35" s="35"/>
      <c r="U35" s="35"/>
      <c r="V35" s="402" t="s">
        <v>226</v>
      </c>
      <c r="W35" s="394">
        <f>I35</f>
        <v>38352.97</v>
      </c>
      <c r="X35" s="407">
        <f t="shared" si="6"/>
        <v>0.99999921779261081</v>
      </c>
      <c r="AA35" s="392" t="s">
        <v>226</v>
      </c>
      <c r="AB35" s="389" t="s">
        <v>227</v>
      </c>
      <c r="AC35" s="393">
        <v>1</v>
      </c>
      <c r="AD35" s="35"/>
      <c r="AE35" s="35"/>
      <c r="AF35" s="35"/>
      <c r="AH35" s="137"/>
    </row>
    <row r="36" spans="1:41" ht="17.7" customHeight="1" thickBot="1" x14ac:dyDescent="0.35">
      <c r="A36" s="746" t="s">
        <v>89</v>
      </c>
      <c r="B36" s="645" t="s">
        <v>228</v>
      </c>
      <c r="C36" s="176" t="s">
        <v>140</v>
      </c>
      <c r="D36" s="177" t="s">
        <v>229</v>
      </c>
      <c r="E36" s="368" t="s">
        <v>230</v>
      </c>
      <c r="F36" s="176" t="s">
        <v>143</v>
      </c>
      <c r="G36" s="774" t="s">
        <v>144</v>
      </c>
      <c r="H36" s="136">
        <f t="shared" ref="H36:H57" si="9">I36/$I$82</f>
        <v>1.4303654660797043E-2</v>
      </c>
      <c r="I36" s="202">
        <v>7131.29</v>
      </c>
      <c r="J36" s="18">
        <f>I36*Prototype!$B$17</f>
        <v>64181.61</v>
      </c>
      <c r="K36" s="18">
        <v>10</v>
      </c>
      <c r="L36" s="18">
        <f t="shared" si="1"/>
        <v>35.65645</v>
      </c>
      <c r="M36" s="375">
        <v>5</v>
      </c>
      <c r="N36" s="372"/>
      <c r="O36" s="34">
        <f t="shared" si="2"/>
        <v>0.14303654660797044</v>
      </c>
      <c r="P36" s="35"/>
      <c r="Q36" s="479" t="s">
        <v>231</v>
      </c>
      <c r="R36" s="388">
        <v>38353</v>
      </c>
      <c r="S36" s="399">
        <f>SUM(S23:S34)</f>
        <v>0.99998226996584361</v>
      </c>
      <c r="T36" s="180"/>
      <c r="V36" s="479" t="s">
        <v>232</v>
      </c>
      <c r="W36" s="388"/>
      <c r="X36" s="399">
        <f>SUM(X23:X34)</f>
        <v>0.9999731442129689</v>
      </c>
      <c r="Y36" s="180"/>
      <c r="Z36" s="35"/>
      <c r="AA36" s="479" t="s">
        <v>232</v>
      </c>
      <c r="AB36" s="388"/>
      <c r="AC36" s="399">
        <f>SUM(AC23:AC34)</f>
        <v>0.99994524548275232</v>
      </c>
      <c r="AD36" s="35"/>
      <c r="AE36" s="35"/>
      <c r="AF36" s="35"/>
    </row>
    <row r="37" spans="1:41" ht="17.7" customHeight="1" x14ac:dyDescent="0.3">
      <c r="A37" s="746" t="s">
        <v>89</v>
      </c>
      <c r="B37" s="645" t="s">
        <v>233</v>
      </c>
      <c r="C37" s="176" t="s">
        <v>140</v>
      </c>
      <c r="D37" s="177" t="s">
        <v>229</v>
      </c>
      <c r="E37" s="368" t="s">
        <v>230</v>
      </c>
      <c r="F37" s="176" t="s">
        <v>143</v>
      </c>
      <c r="G37" s="774" t="s">
        <v>144</v>
      </c>
      <c r="H37" s="136">
        <f t="shared" si="9"/>
        <v>1.0504906098450435E-2</v>
      </c>
      <c r="I37" s="202">
        <v>5237.37</v>
      </c>
      <c r="J37" s="18">
        <f>I37*Prototype!$B$17</f>
        <v>47136.33</v>
      </c>
      <c r="K37" s="18">
        <v>10</v>
      </c>
      <c r="L37" s="18">
        <f t="shared" si="1"/>
        <v>26.18685</v>
      </c>
      <c r="M37" s="375">
        <f>M3</f>
        <v>5</v>
      </c>
      <c r="N37" s="372"/>
      <c r="O37" s="34">
        <f t="shared" si="2"/>
        <v>0.10504906098450435</v>
      </c>
      <c r="P37" s="35"/>
      <c r="Q37" s="35"/>
      <c r="R37" s="35"/>
      <c r="S37" s="35"/>
      <c r="T37" s="35"/>
      <c r="U37" s="35"/>
      <c r="V37" s="35"/>
      <c r="W37" s="35"/>
      <c r="X37" s="35"/>
      <c r="Y37" s="35"/>
      <c r="Z37" s="35"/>
      <c r="AA37" s="35"/>
      <c r="AB37" s="35"/>
      <c r="AC37" s="35"/>
      <c r="AD37" s="35"/>
      <c r="AE37" s="35"/>
      <c r="AF37" s="35"/>
    </row>
    <row r="38" spans="1:41" ht="17.7" customHeight="1" thickBot="1" x14ac:dyDescent="0.35">
      <c r="A38" s="746" t="s">
        <v>89</v>
      </c>
      <c r="B38" s="645" t="s">
        <v>234</v>
      </c>
      <c r="C38" s="176" t="s">
        <v>140</v>
      </c>
      <c r="D38" s="177" t="s">
        <v>229</v>
      </c>
      <c r="E38" s="368" t="s">
        <v>230</v>
      </c>
      <c r="F38" s="176" t="s">
        <v>143</v>
      </c>
      <c r="G38" s="774" t="s">
        <v>144</v>
      </c>
      <c r="H38" s="136">
        <f t="shared" si="9"/>
        <v>8.9666287504523764E-3</v>
      </c>
      <c r="I38" s="203">
        <v>4470.4399999999996</v>
      </c>
      <c r="J38" s="18">
        <f>I38*Prototype!$B$17</f>
        <v>40233.96</v>
      </c>
      <c r="K38" s="18">
        <f>K37</f>
        <v>10</v>
      </c>
      <c r="L38" s="18">
        <f t="shared" si="1"/>
        <v>22.352199999999996</v>
      </c>
      <c r="M38" s="375">
        <f>M3</f>
        <v>5</v>
      </c>
      <c r="N38" s="372"/>
      <c r="O38" s="34">
        <f t="shared" si="2"/>
        <v>8.9666287504523767E-2</v>
      </c>
      <c r="P38" s="35"/>
      <c r="Q38" s="186"/>
      <c r="R38" s="187"/>
      <c r="S38" s="187"/>
      <c r="V38" s="186"/>
      <c r="W38" s="187"/>
      <c r="X38" s="187"/>
      <c r="Y38" s="35"/>
      <c r="Z38" s="322"/>
      <c r="AA38" s="35"/>
      <c r="AB38" s="35"/>
      <c r="AC38" s="35"/>
      <c r="AD38" s="35"/>
      <c r="AE38" s="35"/>
      <c r="AF38" s="35"/>
    </row>
    <row r="39" spans="1:41" ht="17.7" customHeight="1" thickBot="1" x14ac:dyDescent="0.35">
      <c r="A39" s="746" t="s">
        <v>89</v>
      </c>
      <c r="B39" s="645" t="s">
        <v>235</v>
      </c>
      <c r="C39" s="176" t="s">
        <v>140</v>
      </c>
      <c r="D39" s="177" t="s">
        <v>229</v>
      </c>
      <c r="E39" s="368" t="s">
        <v>230</v>
      </c>
      <c r="F39" s="176" t="s">
        <v>143</v>
      </c>
      <c r="G39" s="774" t="s">
        <v>144</v>
      </c>
      <c r="H39" s="136">
        <f t="shared" si="9"/>
        <v>8.9231438784241647E-3</v>
      </c>
      <c r="I39" s="202">
        <v>4448.76</v>
      </c>
      <c r="J39" s="18">
        <f>I39*Prototype!$B$17</f>
        <v>40038.840000000004</v>
      </c>
      <c r="K39" s="18">
        <f t="shared" ref="K39:K56" si="10">K38</f>
        <v>10</v>
      </c>
      <c r="L39" s="18">
        <f t="shared" si="1"/>
        <v>22.243800000000004</v>
      </c>
      <c r="M39" s="375">
        <f>M3</f>
        <v>5</v>
      </c>
      <c r="N39" s="372"/>
      <c r="O39" s="34">
        <f t="shared" si="2"/>
        <v>8.923143878424164E-2</v>
      </c>
      <c r="P39" s="35"/>
      <c r="Q39" s="780" t="s">
        <v>183</v>
      </c>
      <c r="R39" s="781"/>
      <c r="S39" s="781"/>
      <c r="T39" s="782"/>
      <c r="U39" s="382"/>
      <c r="V39" s="382"/>
      <c r="W39" s="188"/>
      <c r="X39" s="149"/>
      <c r="Y39" s="180"/>
      <c r="Z39" s="181"/>
      <c r="AA39" s="35"/>
      <c r="AB39" s="35"/>
      <c r="AC39" s="35"/>
      <c r="AD39" s="35"/>
      <c r="AE39" s="35"/>
      <c r="AF39" s="35"/>
    </row>
    <row r="40" spans="1:41" ht="17.7" customHeight="1" x14ac:dyDescent="0.3">
      <c r="A40" s="746" t="s">
        <v>89</v>
      </c>
      <c r="B40" s="645" t="s">
        <v>236</v>
      </c>
      <c r="C40" s="176" t="s">
        <v>140</v>
      </c>
      <c r="D40" s="177" t="s">
        <v>229</v>
      </c>
      <c r="E40" s="368" t="s">
        <v>230</v>
      </c>
      <c r="F40" s="176" t="s">
        <v>143</v>
      </c>
      <c r="G40" s="774" t="s">
        <v>144</v>
      </c>
      <c r="H40" s="136">
        <f t="shared" si="9"/>
        <v>1.8400439068838865E-3</v>
      </c>
      <c r="I40" s="111">
        <v>917.38</v>
      </c>
      <c r="J40" s="18">
        <f>I40*Prototype!$B$17</f>
        <v>8256.42</v>
      </c>
      <c r="K40" s="18">
        <f t="shared" si="10"/>
        <v>10</v>
      </c>
      <c r="L40" s="18">
        <f t="shared" si="1"/>
        <v>4.5869</v>
      </c>
      <c r="M40" s="375">
        <f>M3</f>
        <v>5</v>
      </c>
      <c r="N40" s="372"/>
      <c r="O40" s="34">
        <f t="shared" si="2"/>
        <v>1.8400439068838866E-2</v>
      </c>
      <c r="P40" s="35"/>
      <c r="Q40" s="789" t="s">
        <v>187</v>
      </c>
      <c r="R40" s="790"/>
      <c r="S40" s="791"/>
      <c r="T40" s="530" t="s">
        <v>237</v>
      </c>
      <c r="U40" s="35"/>
      <c r="V40" s="35"/>
      <c r="W40" s="188"/>
      <c r="X40" s="149"/>
      <c r="Y40" s="180"/>
      <c r="Z40" s="181"/>
      <c r="AA40" s="35"/>
      <c r="AB40" s="35"/>
      <c r="AC40" s="35"/>
      <c r="AD40" s="35"/>
      <c r="AE40" s="35"/>
      <c r="AF40" s="35"/>
    </row>
    <row r="41" spans="1:41" ht="17.7" customHeight="1" x14ac:dyDescent="0.3">
      <c r="A41" s="746" t="s">
        <v>89</v>
      </c>
      <c r="B41" s="645" t="s">
        <v>238</v>
      </c>
      <c r="C41" s="176" t="s">
        <v>140</v>
      </c>
      <c r="D41" s="177" t="s">
        <v>229</v>
      </c>
      <c r="E41" s="368" t="s">
        <v>230</v>
      </c>
      <c r="F41" s="176" t="s">
        <v>143</v>
      </c>
      <c r="G41" s="774" t="s">
        <v>144</v>
      </c>
      <c r="H41" s="136">
        <f t="shared" si="9"/>
        <v>2.2689355206197228E-3</v>
      </c>
      <c r="I41" s="111">
        <v>1131.21</v>
      </c>
      <c r="J41" s="18">
        <f>I41*Prototype!$B$17</f>
        <v>10180.89</v>
      </c>
      <c r="K41" s="18">
        <f t="shared" si="10"/>
        <v>10</v>
      </c>
      <c r="L41" s="18">
        <f t="shared" si="1"/>
        <v>5.6560500000000005</v>
      </c>
      <c r="M41" s="375">
        <f>M3</f>
        <v>5</v>
      </c>
      <c r="N41" s="372"/>
      <c r="O41" s="34">
        <f t="shared" si="2"/>
        <v>2.2689355206197227E-2</v>
      </c>
      <c r="P41" s="35"/>
      <c r="Q41" s="792" t="s">
        <v>140</v>
      </c>
      <c r="R41" s="793"/>
      <c r="S41" s="794"/>
      <c r="T41" s="531">
        <f>SUM(H3:H5)+SUM(H16:H21)+SUMPRODUCT(H36:H44,K36:K44)+SUM(H59:H67)</f>
        <v>0.71143047798920367</v>
      </c>
      <c r="W41" s="188"/>
      <c r="X41" s="149"/>
      <c r="Y41" s="180"/>
      <c r="Z41" s="182"/>
      <c r="AA41" s="35"/>
      <c r="AB41" s="35"/>
      <c r="AC41" s="35"/>
      <c r="AD41" s="35"/>
      <c r="AE41" s="35"/>
      <c r="AF41" s="35"/>
    </row>
    <row r="42" spans="1:41" ht="17.7" customHeight="1" x14ac:dyDescent="0.3">
      <c r="A42" s="746" t="s">
        <v>89</v>
      </c>
      <c r="B42" s="645" t="s">
        <v>239</v>
      </c>
      <c r="C42" s="176" t="s">
        <v>140</v>
      </c>
      <c r="D42" s="177" t="s">
        <v>229</v>
      </c>
      <c r="E42" s="368" t="s">
        <v>230</v>
      </c>
      <c r="F42" s="176" t="s">
        <v>143</v>
      </c>
      <c r="G42" s="774" t="s">
        <v>144</v>
      </c>
      <c r="H42" s="136">
        <f t="shared" si="9"/>
        <v>2.0268001999902969E-3</v>
      </c>
      <c r="I42" s="111">
        <v>1010.49</v>
      </c>
      <c r="J42" s="18">
        <f>I42*Prototype!$B$17</f>
        <v>9094.41</v>
      </c>
      <c r="K42" s="18">
        <f t="shared" si="10"/>
        <v>10</v>
      </c>
      <c r="L42" s="18">
        <f t="shared" si="1"/>
        <v>5.0524499999999994</v>
      </c>
      <c r="M42" s="375">
        <f>M3</f>
        <v>5</v>
      </c>
      <c r="N42" s="372"/>
      <c r="O42" s="34">
        <f t="shared" si="2"/>
        <v>2.026800199990297E-2</v>
      </c>
      <c r="P42" s="35"/>
      <c r="Q42" s="783" t="s">
        <v>159</v>
      </c>
      <c r="R42" s="784"/>
      <c r="S42" s="785"/>
      <c r="T42" s="531">
        <f>H8+H24+SUMPRODUCT(H47:H50, K47:K50)+SUM(H70:H73)</f>
        <v>5.4005382937751728E-2</v>
      </c>
      <c r="W42" s="188"/>
      <c r="X42" s="149"/>
      <c r="Y42" s="35"/>
      <c r="AA42" s="35"/>
      <c r="AB42" s="35"/>
      <c r="AC42" s="35"/>
      <c r="AD42" s="35"/>
      <c r="AE42" s="35"/>
      <c r="AF42" s="35"/>
    </row>
    <row r="43" spans="1:41" ht="17.7" customHeight="1" x14ac:dyDescent="0.3">
      <c r="A43" s="746" t="s">
        <v>89</v>
      </c>
      <c r="B43" s="645" t="s">
        <v>240</v>
      </c>
      <c r="C43" s="176" t="s">
        <v>140</v>
      </c>
      <c r="D43" s="177" t="s">
        <v>229</v>
      </c>
      <c r="E43" s="368" t="s">
        <v>230</v>
      </c>
      <c r="F43" s="176" t="s">
        <v>143</v>
      </c>
      <c r="G43" s="774" t="s">
        <v>144</v>
      </c>
      <c r="H43" s="136">
        <f t="shared" si="9"/>
        <v>2.0729126173301784E-3</v>
      </c>
      <c r="I43" s="111">
        <v>1033.48</v>
      </c>
      <c r="J43" s="18">
        <f>I43*Prototype!$B$17</f>
        <v>9301.32</v>
      </c>
      <c r="K43" s="18">
        <f t="shared" si="10"/>
        <v>10</v>
      </c>
      <c r="L43" s="18">
        <f t="shared" si="1"/>
        <v>5.1673999999999998</v>
      </c>
      <c r="M43" s="375">
        <f>M3</f>
        <v>5</v>
      </c>
      <c r="N43" s="372"/>
      <c r="O43" s="34">
        <f t="shared" si="2"/>
        <v>2.0729126173301783E-2</v>
      </c>
      <c r="P43" s="35"/>
      <c r="Q43" s="783" t="s">
        <v>208</v>
      </c>
      <c r="R43" s="784"/>
      <c r="S43" s="785"/>
      <c r="T43" s="531">
        <f>H12+H30+H29+(H53*10)+H76</f>
        <v>2.4621764350945471E-2</v>
      </c>
      <c r="W43" s="188"/>
      <c r="X43" s="149"/>
      <c r="Y43" s="35"/>
      <c r="Z43" s="322"/>
      <c r="AA43" s="35"/>
      <c r="AB43" s="35"/>
      <c r="AC43" s="35"/>
      <c r="AD43" s="35"/>
      <c r="AE43" s="35"/>
      <c r="AF43" s="35"/>
    </row>
    <row r="44" spans="1:41" ht="17.7" customHeight="1" x14ac:dyDescent="0.3">
      <c r="A44" s="746" t="s">
        <v>89</v>
      </c>
      <c r="B44" s="645" t="s">
        <v>241</v>
      </c>
      <c r="C44" s="176" t="s">
        <v>140</v>
      </c>
      <c r="D44" s="177" t="s">
        <v>229</v>
      </c>
      <c r="E44" s="368" t="s">
        <v>230</v>
      </c>
      <c r="F44" s="177" t="s">
        <v>143</v>
      </c>
      <c r="G44" s="774" t="s">
        <v>144</v>
      </c>
      <c r="H44" s="136">
        <f t="shared" si="9"/>
        <v>6.4846213684139672E-3</v>
      </c>
      <c r="I44" s="111">
        <v>3233</v>
      </c>
      <c r="J44" s="18">
        <f>I44*Prototype!$B$17</f>
        <v>29097</v>
      </c>
      <c r="K44" s="18">
        <f t="shared" si="10"/>
        <v>10</v>
      </c>
      <c r="L44" s="18">
        <f t="shared" si="1"/>
        <v>16.164999999999999</v>
      </c>
      <c r="M44" s="375">
        <f>M3</f>
        <v>5</v>
      </c>
      <c r="N44" s="372"/>
      <c r="O44" s="34">
        <f t="shared" si="2"/>
        <v>6.4846213684139675E-2</v>
      </c>
      <c r="P44" s="35"/>
      <c r="Q44" s="783" t="s">
        <v>163</v>
      </c>
      <c r="R44" s="784"/>
      <c r="S44" s="785"/>
      <c r="T44" s="531">
        <f>H10+H27+(H52*10)+H75</f>
        <v>2.0675431983993884E-2</v>
      </c>
      <c r="W44" s="188"/>
      <c r="X44" s="149"/>
      <c r="Y44" s="180"/>
      <c r="Z44" s="183"/>
      <c r="AA44" s="35"/>
      <c r="AB44" s="35"/>
      <c r="AC44" s="35"/>
      <c r="AD44" s="35"/>
      <c r="AE44" s="35"/>
      <c r="AF44" s="35"/>
    </row>
    <row r="45" spans="1:41" ht="17.7" customHeight="1" x14ac:dyDescent="0.3">
      <c r="A45" s="746" t="s">
        <v>89</v>
      </c>
      <c r="B45" s="645" t="s">
        <v>242</v>
      </c>
      <c r="C45" s="177" t="s">
        <v>185</v>
      </c>
      <c r="D45" s="177" t="s">
        <v>243</v>
      </c>
      <c r="E45" s="1103" t="s">
        <v>944</v>
      </c>
      <c r="F45" s="176" t="s">
        <v>153</v>
      </c>
      <c r="G45" s="774" t="s">
        <v>144</v>
      </c>
      <c r="H45" s="136">
        <f t="shared" si="9"/>
        <v>8.384075879978467E-4</v>
      </c>
      <c r="I45" s="111">
        <v>418</v>
      </c>
      <c r="J45" s="18">
        <f>I45*Prototype!$B$17</f>
        <v>3762</v>
      </c>
      <c r="K45" s="18">
        <f t="shared" si="10"/>
        <v>10</v>
      </c>
      <c r="L45" s="18">
        <f t="shared" si="1"/>
        <v>0.627</v>
      </c>
      <c r="M45" s="416">
        <v>1.5</v>
      </c>
      <c r="N45" s="556" t="s">
        <v>154</v>
      </c>
      <c r="O45" s="34">
        <f t="shared" si="2"/>
        <v>8.3840758799784663E-3</v>
      </c>
      <c r="P45" s="35"/>
      <c r="Q45" s="783" t="s">
        <v>156</v>
      </c>
      <c r="R45" s="784"/>
      <c r="S45" s="785"/>
      <c r="T45" s="531">
        <f>H7+H23+(H46*K46)+H69</f>
        <v>4.1272438760593715E-2</v>
      </c>
      <c r="W45" s="188"/>
      <c r="X45" s="149"/>
      <c r="Y45" s="199"/>
      <c r="Z45" s="35"/>
      <c r="AA45" s="35"/>
      <c r="AB45" s="35"/>
      <c r="AC45" s="35"/>
      <c r="AD45" s="35"/>
      <c r="AE45" s="35"/>
      <c r="AF45" s="35"/>
    </row>
    <row r="46" spans="1:41" ht="17.7" customHeight="1" x14ac:dyDescent="0.3">
      <c r="A46" s="746" t="s">
        <v>89</v>
      </c>
      <c r="B46" s="645" t="s">
        <v>244</v>
      </c>
      <c r="C46" s="176" t="s">
        <v>156</v>
      </c>
      <c r="D46" s="176" t="s">
        <v>229</v>
      </c>
      <c r="E46" s="368" t="s">
        <v>230</v>
      </c>
      <c r="F46" s="369" t="s">
        <v>157</v>
      </c>
      <c r="G46" s="774" t="s">
        <v>144</v>
      </c>
      <c r="H46" s="136">
        <f t="shared" si="9"/>
        <v>2.1461629644920956E-3</v>
      </c>
      <c r="I46" s="111">
        <v>1070</v>
      </c>
      <c r="J46" s="18">
        <f>I46*Prototype!$B$17</f>
        <v>9630</v>
      </c>
      <c r="K46" s="18">
        <f t="shared" si="10"/>
        <v>10</v>
      </c>
      <c r="L46" s="18">
        <f t="shared" si="1"/>
        <v>0</v>
      </c>
      <c r="M46" s="376">
        <v>0</v>
      </c>
      <c r="N46" s="372"/>
      <c r="O46" s="34">
        <f t="shared" si="2"/>
        <v>2.1461629644920956E-2</v>
      </c>
      <c r="P46" s="35"/>
      <c r="Q46" s="783" t="s">
        <v>185</v>
      </c>
      <c r="R46" s="784"/>
      <c r="S46" s="785"/>
      <c r="T46" s="531">
        <f>H6+H22+H68+(H45*K45)</f>
        <v>2.6562457283584699E-2</v>
      </c>
      <c r="W46" s="188"/>
      <c r="X46" s="149"/>
      <c r="Y46" s="35"/>
      <c r="Z46" s="35"/>
      <c r="AA46" s="35"/>
      <c r="AB46" s="35"/>
      <c r="AC46" s="35"/>
      <c r="AD46" s="35"/>
      <c r="AE46" s="35"/>
      <c r="AF46" s="35"/>
    </row>
    <row r="47" spans="1:41" ht="17.7" customHeight="1" x14ac:dyDescent="0.3">
      <c r="A47" s="746" t="s">
        <v>89</v>
      </c>
      <c r="B47" s="645" t="s">
        <v>245</v>
      </c>
      <c r="C47" s="176" t="s">
        <v>159</v>
      </c>
      <c r="D47" s="177" t="s">
        <v>229</v>
      </c>
      <c r="E47" s="368" t="s">
        <v>230</v>
      </c>
      <c r="F47" s="176" t="s">
        <v>143</v>
      </c>
      <c r="G47" s="774" t="s">
        <v>144</v>
      </c>
      <c r="H47" s="136">
        <f t="shared" si="9"/>
        <v>1.5841490741643524E-3</v>
      </c>
      <c r="I47" s="111">
        <v>789.8</v>
      </c>
      <c r="J47" s="18">
        <f>I47*Prototype!$B$17</f>
        <v>7108.2</v>
      </c>
      <c r="K47" s="18">
        <f t="shared" si="10"/>
        <v>10</v>
      </c>
      <c r="L47" s="18">
        <f t="shared" si="1"/>
        <v>26.063399999999998</v>
      </c>
      <c r="M47" s="375">
        <v>33</v>
      </c>
      <c r="N47" s="372"/>
      <c r="O47" s="34">
        <f t="shared" si="2"/>
        <v>1.5841490741643524E-2</v>
      </c>
      <c r="P47" s="35"/>
      <c r="Q47" s="783" t="s">
        <v>166</v>
      </c>
      <c r="R47" s="784"/>
      <c r="S47" s="785"/>
      <c r="T47" s="531">
        <f>H11+H31+(H54*K54)+H77</f>
        <v>2.977969597054294E-2</v>
      </c>
      <c r="W47" s="188"/>
      <c r="X47" s="149"/>
      <c r="Y47" s="180"/>
      <c r="Z47" s="35"/>
      <c r="AA47" s="35"/>
      <c r="AB47" s="35"/>
      <c r="AC47" s="35"/>
      <c r="AD47" s="35"/>
      <c r="AE47" s="35"/>
      <c r="AF47" s="35"/>
    </row>
    <row r="48" spans="1:41" ht="17.7" customHeight="1" x14ac:dyDescent="0.3">
      <c r="A48" s="746" t="s">
        <v>89</v>
      </c>
      <c r="B48" s="645" t="s">
        <v>246</v>
      </c>
      <c r="C48" s="176" t="s">
        <v>159</v>
      </c>
      <c r="D48" s="177" t="s">
        <v>229</v>
      </c>
      <c r="E48" s="368" t="s">
        <v>230</v>
      </c>
      <c r="F48" s="176" t="s">
        <v>143</v>
      </c>
      <c r="G48" s="774" t="s">
        <v>144</v>
      </c>
      <c r="H48" s="136">
        <f t="shared" si="9"/>
        <v>6.7481782034927156E-4</v>
      </c>
      <c r="I48" s="111">
        <v>336.44</v>
      </c>
      <c r="J48" s="18">
        <f>I48*Prototype!$B$17</f>
        <v>3027.96</v>
      </c>
      <c r="K48" s="18">
        <f t="shared" si="10"/>
        <v>10</v>
      </c>
      <c r="L48" s="18">
        <f t="shared" si="1"/>
        <v>11.10252</v>
      </c>
      <c r="M48" s="375">
        <v>33</v>
      </c>
      <c r="N48" s="372"/>
      <c r="O48" s="34">
        <f t="shared" si="2"/>
        <v>6.7481782034927154E-3</v>
      </c>
      <c r="P48" s="35"/>
      <c r="Q48" s="783" t="s">
        <v>161</v>
      </c>
      <c r="R48" s="784"/>
      <c r="S48" s="785"/>
      <c r="T48" s="531">
        <f>H9+H25+(H51*K51)+H74</f>
        <v>2.326928053135947E-2</v>
      </c>
      <c r="W48" s="188"/>
      <c r="X48" s="149"/>
      <c r="Y48" s="180"/>
      <c r="Z48" s="35"/>
      <c r="AA48" s="35"/>
      <c r="AB48" s="35"/>
      <c r="AC48" s="35"/>
      <c r="AD48" s="35"/>
      <c r="AE48" s="35"/>
      <c r="AF48" s="35"/>
    </row>
    <row r="49" spans="1:32" ht="17.7" customHeight="1" x14ac:dyDescent="0.25">
      <c r="A49" s="746" t="s">
        <v>89</v>
      </c>
      <c r="B49" s="645" t="s">
        <v>247</v>
      </c>
      <c r="C49" s="176" t="s">
        <v>159</v>
      </c>
      <c r="D49" s="177" t="s">
        <v>229</v>
      </c>
      <c r="E49" s="368" t="s">
        <v>230</v>
      </c>
      <c r="F49" s="176" t="s">
        <v>143</v>
      </c>
      <c r="G49" s="774" t="s">
        <v>144</v>
      </c>
      <c r="H49" s="136">
        <f t="shared" si="9"/>
        <v>1.5319993198869744E-3</v>
      </c>
      <c r="I49" s="111">
        <v>763.8</v>
      </c>
      <c r="J49" s="18">
        <f>I49*Prototype!$B$17</f>
        <v>6874.2</v>
      </c>
      <c r="K49" s="18">
        <f t="shared" si="10"/>
        <v>10</v>
      </c>
      <c r="L49" s="18">
        <f t="shared" si="1"/>
        <v>25.205399999999997</v>
      </c>
      <c r="M49" s="375">
        <v>33</v>
      </c>
      <c r="N49" s="372"/>
      <c r="O49" s="34">
        <f t="shared" si="2"/>
        <v>1.5319993198869744E-2</v>
      </c>
      <c r="P49" s="35"/>
      <c r="Q49" s="786" t="s">
        <v>171</v>
      </c>
      <c r="R49" s="787"/>
      <c r="S49" s="788"/>
      <c r="T49" s="532">
        <f>H13+H32+(H55*K55)+H77</f>
        <v>2.2913819783165743E-2</v>
      </c>
      <c r="W49" s="188"/>
      <c r="X49" s="149"/>
      <c r="Y49" s="180"/>
      <c r="Z49" s="324"/>
      <c r="AA49" s="35"/>
      <c r="AB49" s="35"/>
      <c r="AC49" s="35"/>
      <c r="AD49" s="35"/>
      <c r="AE49" s="35"/>
      <c r="AF49" s="35"/>
    </row>
    <row r="50" spans="1:32" ht="17.7" customHeight="1" x14ac:dyDescent="0.3">
      <c r="A50" s="746" t="s">
        <v>89</v>
      </c>
      <c r="B50" s="645" t="s">
        <v>248</v>
      </c>
      <c r="C50" s="176" t="s">
        <v>159</v>
      </c>
      <c r="D50" s="177" t="s">
        <v>229</v>
      </c>
      <c r="E50" s="368" t="s">
        <v>230</v>
      </c>
      <c r="F50" s="176" t="s">
        <v>143</v>
      </c>
      <c r="G50" s="774" t="s">
        <v>144</v>
      </c>
      <c r="H50" s="136">
        <f t="shared" si="9"/>
        <v>8.6889513665231377E-4</v>
      </c>
      <c r="I50" s="111">
        <v>433.2</v>
      </c>
      <c r="J50" s="18">
        <f>I50*Prototype!$B$17</f>
        <v>3898.7999999999997</v>
      </c>
      <c r="K50" s="18">
        <f t="shared" si="10"/>
        <v>10</v>
      </c>
      <c r="L50" s="18">
        <f t="shared" si="1"/>
        <v>14.2956</v>
      </c>
      <c r="M50" s="375">
        <v>33</v>
      </c>
      <c r="N50" s="372"/>
      <c r="O50" s="34">
        <f t="shared" si="2"/>
        <v>8.6889513665231385E-3</v>
      </c>
      <c r="P50" s="35"/>
      <c r="Q50" s="783" t="s">
        <v>173</v>
      </c>
      <c r="R50" s="784"/>
      <c r="S50" s="784"/>
      <c r="T50" s="531">
        <f>H14+H15+H33+H34+SUMPRODUCT(H56:H57,K56:K57)+H79+H80</f>
        <v>4.0665114756838053E-2</v>
      </c>
      <c r="W50" s="188"/>
      <c r="X50" s="149"/>
      <c r="Y50" s="35"/>
      <c r="Z50" s="35"/>
      <c r="AA50" s="35"/>
      <c r="AB50" s="35"/>
      <c r="AC50" s="35"/>
      <c r="AD50" s="35"/>
      <c r="AE50" s="35"/>
      <c r="AF50" s="35"/>
    </row>
    <row r="51" spans="1:32" ht="33" customHeight="1" x14ac:dyDescent="0.3">
      <c r="A51" s="746" t="s">
        <v>89</v>
      </c>
      <c r="B51" s="645" t="s">
        <v>249</v>
      </c>
      <c r="C51" s="176" t="s">
        <v>161</v>
      </c>
      <c r="D51" s="177" t="s">
        <v>229</v>
      </c>
      <c r="E51" s="368" t="s">
        <v>230</v>
      </c>
      <c r="F51" s="176" t="s">
        <v>143</v>
      </c>
      <c r="G51" s="774" t="s">
        <v>144</v>
      </c>
      <c r="H51" s="136">
        <f t="shared" si="9"/>
        <v>1.8252413997082307E-3</v>
      </c>
      <c r="I51" s="111">
        <v>910</v>
      </c>
      <c r="J51" s="18">
        <f>I51*Prototype!$B$17</f>
        <v>8190</v>
      </c>
      <c r="K51" s="18">
        <f t="shared" si="10"/>
        <v>10</v>
      </c>
      <c r="L51" s="18">
        <f t="shared" si="1"/>
        <v>30.03</v>
      </c>
      <c r="M51" s="425">
        <v>33</v>
      </c>
      <c r="N51" s="430"/>
      <c r="O51" s="34">
        <f t="shared" si="2"/>
        <v>1.8252413997082308E-2</v>
      </c>
      <c r="P51" s="35"/>
      <c r="Q51" s="783" t="s">
        <v>203</v>
      </c>
      <c r="R51" s="784"/>
      <c r="S51" s="784"/>
      <c r="T51" s="531">
        <f>H28</f>
        <v>3.5406273362713851E-3</v>
      </c>
      <c r="W51" s="188"/>
      <c r="X51" s="149"/>
      <c r="Y51" s="35"/>
      <c r="Z51" s="35"/>
      <c r="AA51" s="35"/>
      <c r="AB51" s="35"/>
      <c r="AC51" s="35"/>
      <c r="AD51" s="35"/>
      <c r="AE51" s="35"/>
      <c r="AF51" s="35"/>
    </row>
    <row r="52" spans="1:32" ht="27.75" customHeight="1" x14ac:dyDescent="0.3">
      <c r="A52" s="746" t="s">
        <v>89</v>
      </c>
      <c r="B52" s="645" t="s">
        <v>250</v>
      </c>
      <c r="C52" s="176" t="s">
        <v>163</v>
      </c>
      <c r="D52" s="710" t="s">
        <v>229</v>
      </c>
      <c r="E52" s="368" t="s">
        <v>230</v>
      </c>
      <c r="F52" s="711" t="s">
        <v>143</v>
      </c>
      <c r="G52" s="774" t="s">
        <v>144</v>
      </c>
      <c r="H52" s="136">
        <f t="shared" si="9"/>
        <v>1.4802507175655762E-3</v>
      </c>
      <c r="I52" s="111">
        <v>738</v>
      </c>
      <c r="J52" s="18">
        <f>I52*Prototype!$B$17</f>
        <v>6642</v>
      </c>
      <c r="K52" s="18">
        <f t="shared" si="10"/>
        <v>10</v>
      </c>
      <c r="L52" s="18">
        <f t="shared" si="1"/>
        <v>0</v>
      </c>
      <c r="M52" s="376">
        <v>0</v>
      </c>
      <c r="N52" s="380" t="s">
        <v>164</v>
      </c>
      <c r="O52" s="34">
        <f t="shared" si="2"/>
        <v>1.4802507175655762E-2</v>
      </c>
      <c r="P52" s="35"/>
      <c r="Q52" s="783" t="s">
        <v>198</v>
      </c>
      <c r="R52" s="784"/>
      <c r="S52" s="784"/>
      <c r="T52" s="532">
        <f>H26</f>
        <v>1.8792765681787142E-3</v>
      </c>
      <c r="U52" s="35"/>
      <c r="V52" s="35"/>
      <c r="W52" s="35"/>
      <c r="X52" s="35"/>
      <c r="Y52" s="35"/>
      <c r="Z52" s="35"/>
      <c r="AA52" s="35"/>
      <c r="AB52" s="35"/>
      <c r="AC52" s="35"/>
      <c r="AD52" s="35"/>
      <c r="AE52" s="35"/>
      <c r="AF52" s="35"/>
    </row>
    <row r="53" spans="1:32" ht="60.75" customHeight="1" thickBot="1" x14ac:dyDescent="0.35">
      <c r="A53" s="746" t="s">
        <v>89</v>
      </c>
      <c r="B53" s="645" t="s">
        <v>251</v>
      </c>
      <c r="C53" s="369" t="s">
        <v>161</v>
      </c>
      <c r="D53" s="177" t="s">
        <v>229</v>
      </c>
      <c r="E53" s="368" t="s">
        <v>230</v>
      </c>
      <c r="F53" s="176" t="s">
        <v>143</v>
      </c>
      <c r="G53" s="774" t="s">
        <v>144</v>
      </c>
      <c r="H53" s="136">
        <f t="shared" si="9"/>
        <v>1.3719396894510219E-3</v>
      </c>
      <c r="I53" s="111">
        <v>684</v>
      </c>
      <c r="J53" s="18">
        <f>I53*Prototype!$B$17</f>
        <v>6156</v>
      </c>
      <c r="K53" s="18">
        <f t="shared" si="10"/>
        <v>10</v>
      </c>
      <c r="L53" s="18">
        <f t="shared" si="1"/>
        <v>10.26</v>
      </c>
      <c r="M53" s="425">
        <f>M12</f>
        <v>15</v>
      </c>
      <c r="N53" s="534" t="s">
        <v>252</v>
      </c>
      <c r="O53" s="34">
        <f t="shared" si="2"/>
        <v>1.3719396894510218E-2</v>
      </c>
      <c r="P53" s="35"/>
      <c r="Q53" s="777" t="s">
        <v>232</v>
      </c>
      <c r="R53" s="778"/>
      <c r="S53" s="779"/>
      <c r="T53" s="533"/>
      <c r="U53" s="35"/>
      <c r="V53" s="35"/>
      <c r="W53" s="35"/>
      <c r="X53" s="35"/>
      <c r="Y53" s="35"/>
      <c r="Z53" s="35"/>
      <c r="AA53" s="35"/>
      <c r="AB53" s="35"/>
      <c r="AC53" s="35"/>
      <c r="AD53" s="35"/>
      <c r="AE53" s="35"/>
      <c r="AF53" s="35"/>
    </row>
    <row r="54" spans="1:32" ht="17.7" customHeight="1" x14ac:dyDescent="0.3">
      <c r="A54" s="746" t="s">
        <v>89</v>
      </c>
      <c r="B54" s="645" t="s">
        <v>253</v>
      </c>
      <c r="C54" s="177" t="s">
        <v>166</v>
      </c>
      <c r="D54" s="368"/>
      <c r="E54" s="368"/>
      <c r="F54" s="177" t="s">
        <v>143</v>
      </c>
      <c r="G54" s="774" t="s">
        <v>144</v>
      </c>
      <c r="H54" s="136">
        <f t="shared" si="9"/>
        <v>2.3166525457835236E-3</v>
      </c>
      <c r="I54" s="111">
        <v>1155</v>
      </c>
      <c r="J54" s="18">
        <f>I54*Prototype!$B$17</f>
        <v>10395</v>
      </c>
      <c r="K54" s="18">
        <f t="shared" si="10"/>
        <v>10</v>
      </c>
      <c r="L54" s="18">
        <f t="shared" si="1"/>
        <v>0</v>
      </c>
      <c r="M54" s="376">
        <v>0</v>
      </c>
      <c r="N54" s="704" t="s">
        <v>167</v>
      </c>
      <c r="O54" s="34">
        <f t="shared" si="2"/>
        <v>2.3166525457835235E-2</v>
      </c>
      <c r="P54" s="35"/>
      <c r="Q54" s="35"/>
      <c r="R54" s="35"/>
      <c r="S54" s="35"/>
      <c r="T54" s="35"/>
      <c r="U54" s="35"/>
      <c r="V54" s="35"/>
      <c r="W54" s="35"/>
      <c r="X54" s="35"/>
      <c r="Y54" s="189"/>
      <c r="Z54" s="322"/>
      <c r="AA54" s="35"/>
      <c r="AB54" s="35"/>
      <c r="AC54" s="35"/>
      <c r="AD54" s="35"/>
      <c r="AE54" s="35"/>
      <c r="AF54" s="35"/>
    </row>
    <row r="55" spans="1:32" ht="17.7" customHeight="1" x14ac:dyDescent="0.3">
      <c r="A55" s="746" t="s">
        <v>89</v>
      </c>
      <c r="B55" s="645" t="s">
        <v>254</v>
      </c>
      <c r="C55" s="177" t="s">
        <v>171</v>
      </c>
      <c r="D55" s="710" t="s">
        <v>229</v>
      </c>
      <c r="E55" s="368" t="s">
        <v>230</v>
      </c>
      <c r="F55" s="369" t="s">
        <v>157</v>
      </c>
      <c r="G55" s="774" t="s">
        <v>144</v>
      </c>
      <c r="H55" s="136">
        <f t="shared" si="9"/>
        <v>1.7008842933544832E-3</v>
      </c>
      <c r="I55" s="111">
        <v>848</v>
      </c>
      <c r="J55" s="18">
        <f>I55*Prototype!$B$17</f>
        <v>7632</v>
      </c>
      <c r="K55" s="18">
        <f t="shared" si="10"/>
        <v>10</v>
      </c>
      <c r="L55" s="18">
        <f t="shared" si="1"/>
        <v>0</v>
      </c>
      <c r="M55" s="376">
        <v>0</v>
      </c>
      <c r="N55" s="372"/>
      <c r="O55" s="34">
        <f t="shared" si="2"/>
        <v>1.7008842933544831E-2</v>
      </c>
      <c r="P55" s="35"/>
      <c r="Q55" s="35"/>
      <c r="R55" s="35"/>
      <c r="S55" s="35"/>
      <c r="T55" s="35"/>
      <c r="U55" s="35"/>
      <c r="V55" s="35"/>
      <c r="W55" s="35"/>
      <c r="X55" s="35"/>
      <c r="Y55" s="190"/>
      <c r="Z55" s="35"/>
      <c r="AA55" s="35"/>
      <c r="AB55" s="35"/>
      <c r="AC55" s="35"/>
      <c r="AD55" s="35"/>
      <c r="AE55" s="35"/>
      <c r="AF55" s="35"/>
    </row>
    <row r="56" spans="1:32" ht="17.7" customHeight="1" x14ac:dyDescent="0.3">
      <c r="A56" s="746" t="s">
        <v>89</v>
      </c>
      <c r="B56" s="645" t="s">
        <v>255</v>
      </c>
      <c r="C56" s="177" t="s">
        <v>173</v>
      </c>
      <c r="D56" s="177" t="s">
        <v>229</v>
      </c>
      <c r="E56" s="368" t="s">
        <v>230</v>
      </c>
      <c r="F56" s="177" t="s">
        <v>143</v>
      </c>
      <c r="G56" s="774" t="s">
        <v>144</v>
      </c>
      <c r="H56" s="136">
        <f t="shared" si="9"/>
        <v>2.0175536474049617E-3</v>
      </c>
      <c r="I56" s="111">
        <v>1005.88</v>
      </c>
      <c r="J56" s="18">
        <f>I56*Prototype!$B$17</f>
        <v>9052.92</v>
      </c>
      <c r="K56" s="18">
        <f t="shared" si="10"/>
        <v>10</v>
      </c>
      <c r="L56" s="18">
        <f t="shared" si="1"/>
        <v>5.0293999999999999</v>
      </c>
      <c r="M56" s="375">
        <v>5</v>
      </c>
      <c r="N56" s="372"/>
      <c r="O56" s="34">
        <f t="shared" si="2"/>
        <v>2.0175536474049616E-2</v>
      </c>
      <c r="P56" s="35"/>
      <c r="Q56" s="35"/>
      <c r="R56" s="35"/>
      <c r="S56" s="35"/>
      <c r="T56" s="35"/>
      <c r="U56" s="35"/>
      <c r="V56" s="35"/>
      <c r="W56" s="35"/>
      <c r="X56" s="35"/>
      <c r="Y56" s="190"/>
      <c r="Z56" s="35"/>
      <c r="AA56" s="35"/>
      <c r="AB56" s="35"/>
      <c r="AC56" s="35"/>
      <c r="AD56" s="35"/>
      <c r="AE56" s="35"/>
      <c r="AF56" s="35"/>
    </row>
    <row r="57" spans="1:32" ht="17.7" customHeight="1" x14ac:dyDescent="0.3">
      <c r="A57" s="746" t="s">
        <v>89</v>
      </c>
      <c r="B57" s="645" t="s">
        <v>256</v>
      </c>
      <c r="C57" s="177" t="s">
        <v>173</v>
      </c>
      <c r="D57" s="177" t="s">
        <v>229</v>
      </c>
      <c r="E57" s="368" t="s">
        <v>230</v>
      </c>
      <c r="F57" s="177" t="s">
        <v>143</v>
      </c>
      <c r="G57" s="774" t="s">
        <v>144</v>
      </c>
      <c r="H57" s="136">
        <f t="shared" si="9"/>
        <v>1.1740915447617693E-3</v>
      </c>
      <c r="I57" s="111">
        <v>585.36</v>
      </c>
      <c r="J57" s="18">
        <f>I57*Prototype!$B$17</f>
        <v>5268.24</v>
      </c>
      <c r="K57" s="18">
        <v>10</v>
      </c>
      <c r="L57" s="18">
        <f t="shared" si="1"/>
        <v>2.9268000000000001</v>
      </c>
      <c r="M57" s="375">
        <v>5</v>
      </c>
      <c r="N57" s="372"/>
      <c r="O57" s="34">
        <f t="shared" si="2"/>
        <v>1.1740915447617692E-2</v>
      </c>
      <c r="P57" s="35"/>
      <c r="Q57" s="35"/>
      <c r="R57" s="35"/>
      <c r="S57" s="35"/>
      <c r="T57" s="35"/>
      <c r="U57" s="35"/>
      <c r="V57" s="35"/>
      <c r="W57" s="35"/>
      <c r="X57" s="35"/>
      <c r="Y57" s="190"/>
      <c r="Z57" s="35"/>
      <c r="AA57" s="35"/>
      <c r="AB57" s="35"/>
      <c r="AC57" s="35"/>
      <c r="AD57" s="35"/>
      <c r="AE57" s="35"/>
      <c r="AF57" s="35"/>
    </row>
    <row r="58" spans="1:32" ht="17.7" customHeight="1" x14ac:dyDescent="0.3">
      <c r="A58" s="746" t="s">
        <v>89</v>
      </c>
      <c r="B58" s="645" t="s">
        <v>257</v>
      </c>
      <c r="C58" s="176" t="s">
        <v>223</v>
      </c>
      <c r="D58" s="177" t="s">
        <v>196</v>
      </c>
      <c r="E58" s="368" t="s">
        <v>224</v>
      </c>
      <c r="F58" s="176"/>
      <c r="G58" s="774" t="s">
        <v>225</v>
      </c>
      <c r="H58" s="136"/>
      <c r="I58" s="111">
        <f>38352.97</f>
        <v>38352.97</v>
      </c>
      <c r="J58" s="18">
        <f>I58*(Prototype!$B$16-Prototype!$B$17)</f>
        <v>153411.88</v>
      </c>
      <c r="K58" s="18">
        <v>10</v>
      </c>
      <c r="L58" s="18">
        <f t="shared" si="1"/>
        <v>0</v>
      </c>
      <c r="M58" s="376">
        <v>0</v>
      </c>
      <c r="N58" s="372"/>
      <c r="O58" s="34">
        <f t="shared" si="2"/>
        <v>0</v>
      </c>
      <c r="P58" s="35"/>
      <c r="Q58" s="35"/>
      <c r="R58" s="35"/>
      <c r="S58" s="35"/>
      <c r="T58" s="35"/>
      <c r="U58" s="35"/>
      <c r="V58" s="35"/>
      <c r="W58" s="35"/>
      <c r="X58" s="35"/>
      <c r="Y58" s="190"/>
      <c r="Z58" s="35"/>
      <c r="AA58" s="35"/>
      <c r="AB58" s="35"/>
      <c r="AC58" s="35"/>
      <c r="AD58" s="35"/>
      <c r="AE58" s="35"/>
      <c r="AF58" s="35"/>
    </row>
    <row r="59" spans="1:32" ht="17.7" customHeight="1" x14ac:dyDescent="0.3">
      <c r="A59" s="650" t="s">
        <v>89</v>
      </c>
      <c r="B59" s="647" t="s">
        <v>258</v>
      </c>
      <c r="C59" s="178" t="s">
        <v>140</v>
      </c>
      <c r="D59" s="178" t="s">
        <v>259</v>
      </c>
      <c r="E59" s="367" t="s">
        <v>260</v>
      </c>
      <c r="F59" s="178" t="s">
        <v>143</v>
      </c>
      <c r="G59" s="773" t="s">
        <v>144</v>
      </c>
      <c r="H59" s="138">
        <f t="shared" ref="H59:H79" si="11">I59/$I$82</f>
        <v>1.4303654660797043E-2</v>
      </c>
      <c r="I59" s="113">
        <v>7131.29</v>
      </c>
      <c r="J59" s="112">
        <f>I59*Prototype!$B$17</f>
        <v>64181.61</v>
      </c>
      <c r="K59" s="112">
        <v>1</v>
      </c>
      <c r="L59" s="112">
        <f t="shared" ref="L59:L81" si="12">IFERROR(M59*I59/1000,"")</f>
        <v>35.65645</v>
      </c>
      <c r="M59" s="378">
        <v>5</v>
      </c>
      <c r="N59" s="372"/>
      <c r="O59" s="34">
        <f t="shared" si="2"/>
        <v>1.4303654660797043E-2</v>
      </c>
      <c r="P59" s="35"/>
      <c r="Q59" s="35"/>
      <c r="R59" s="35"/>
      <c r="S59" s="35"/>
      <c r="T59" s="35"/>
      <c r="U59" s="35"/>
      <c r="V59" s="35"/>
      <c r="W59" s="35"/>
      <c r="X59" s="35"/>
      <c r="Y59" s="189"/>
      <c r="Z59" s="35"/>
      <c r="AA59" s="35"/>
      <c r="AB59" s="35"/>
      <c r="AC59" s="35"/>
      <c r="AD59" s="35"/>
      <c r="AE59" s="35"/>
      <c r="AF59" s="35"/>
    </row>
    <row r="60" spans="1:32" ht="15.6" customHeight="1" x14ac:dyDescent="0.3">
      <c r="A60" s="650" t="s">
        <v>89</v>
      </c>
      <c r="B60" s="647" t="s">
        <v>261</v>
      </c>
      <c r="C60" s="178" t="s">
        <v>140</v>
      </c>
      <c r="D60" s="178" t="s">
        <v>259</v>
      </c>
      <c r="E60" s="367" t="s">
        <v>260</v>
      </c>
      <c r="F60" s="178" t="s">
        <v>143</v>
      </c>
      <c r="G60" s="773" t="s">
        <v>144</v>
      </c>
      <c r="H60" s="138">
        <f t="shared" si="11"/>
        <v>1.0504906098450435E-2</v>
      </c>
      <c r="I60" s="113">
        <v>5237.37</v>
      </c>
      <c r="J60" s="112">
        <f>I60*Prototype!$B$17</f>
        <v>47136.33</v>
      </c>
      <c r="K60" s="112">
        <v>1</v>
      </c>
      <c r="L60" s="112">
        <f t="shared" si="12"/>
        <v>26.18685</v>
      </c>
      <c r="M60" s="378">
        <f>M3</f>
        <v>5</v>
      </c>
      <c r="N60" s="372"/>
      <c r="O60" s="34">
        <f t="shared" si="2"/>
        <v>1.0504906098450435E-2</v>
      </c>
      <c r="P60" s="35"/>
      <c r="Q60" s="35"/>
      <c r="R60" s="35"/>
      <c r="S60" s="35"/>
      <c r="T60" s="35"/>
      <c r="U60" s="35"/>
      <c r="V60" s="35"/>
      <c r="W60" s="35"/>
      <c r="X60" s="35"/>
      <c r="Y60" s="190"/>
      <c r="Z60" s="35"/>
      <c r="AA60" s="35"/>
      <c r="AB60" s="35"/>
      <c r="AC60" s="35"/>
      <c r="AD60" s="35"/>
      <c r="AE60" s="35"/>
      <c r="AF60" s="35"/>
    </row>
    <row r="61" spans="1:32" ht="17.399999999999999" customHeight="1" x14ac:dyDescent="0.3">
      <c r="A61" s="650" t="s">
        <v>89</v>
      </c>
      <c r="B61" s="647" t="s">
        <v>262</v>
      </c>
      <c r="C61" s="178" t="s">
        <v>140</v>
      </c>
      <c r="D61" s="178" t="s">
        <v>259</v>
      </c>
      <c r="E61" s="367" t="s">
        <v>260</v>
      </c>
      <c r="F61" s="178" t="s">
        <v>143</v>
      </c>
      <c r="G61" s="773" t="s">
        <v>144</v>
      </c>
      <c r="H61" s="138">
        <f t="shared" si="11"/>
        <v>8.9666287504523764E-3</v>
      </c>
      <c r="I61" s="325">
        <v>4470.4399999999996</v>
      </c>
      <c r="J61" s="112">
        <f>I61*Prototype!$B$17</f>
        <v>40233.96</v>
      </c>
      <c r="K61" s="112">
        <v>1</v>
      </c>
      <c r="L61" s="112">
        <f t="shared" si="12"/>
        <v>22.352199999999996</v>
      </c>
      <c r="M61" s="378">
        <f>M3</f>
        <v>5</v>
      </c>
      <c r="N61" s="372"/>
      <c r="O61" s="34">
        <f t="shared" si="2"/>
        <v>8.9666287504523764E-3</v>
      </c>
      <c r="P61" s="35"/>
      <c r="Q61" s="35"/>
      <c r="R61" s="35"/>
      <c r="S61" s="35"/>
      <c r="T61" s="35"/>
      <c r="U61" s="35"/>
      <c r="V61" s="35"/>
      <c r="W61" s="35"/>
      <c r="X61" s="35"/>
      <c r="Y61" s="190"/>
      <c r="Z61" s="35"/>
      <c r="AA61" s="35"/>
      <c r="AB61" s="35"/>
      <c r="AC61" s="35"/>
      <c r="AD61" s="35"/>
      <c r="AE61" s="35"/>
      <c r="AF61" s="35"/>
    </row>
    <row r="62" spans="1:32" ht="17.7" customHeight="1" x14ac:dyDescent="0.3">
      <c r="A62" s="650" t="s">
        <v>89</v>
      </c>
      <c r="B62" s="647" t="s">
        <v>263</v>
      </c>
      <c r="C62" s="178" t="s">
        <v>140</v>
      </c>
      <c r="D62" s="178" t="s">
        <v>259</v>
      </c>
      <c r="E62" s="367" t="s">
        <v>260</v>
      </c>
      <c r="F62" s="178" t="s">
        <v>143</v>
      </c>
      <c r="G62" s="773" t="s">
        <v>144</v>
      </c>
      <c r="H62" s="138">
        <f t="shared" si="11"/>
        <v>8.9231438784241647E-3</v>
      </c>
      <c r="I62" s="113">
        <v>4448.76</v>
      </c>
      <c r="J62" s="112">
        <f>I62*Prototype!$B$17</f>
        <v>40038.840000000004</v>
      </c>
      <c r="K62" s="112">
        <v>1</v>
      </c>
      <c r="L62" s="112">
        <f t="shared" si="12"/>
        <v>22.243800000000004</v>
      </c>
      <c r="M62" s="378">
        <f>M3</f>
        <v>5</v>
      </c>
      <c r="N62" s="372"/>
      <c r="O62" s="34">
        <f t="shared" si="2"/>
        <v>8.9231438784241647E-3</v>
      </c>
      <c r="P62" s="35"/>
      <c r="Q62" s="35"/>
      <c r="R62" s="35"/>
      <c r="S62" s="35"/>
      <c r="T62" s="35"/>
      <c r="U62" s="35"/>
      <c r="V62" s="35"/>
      <c r="W62" s="35"/>
      <c r="X62" s="35"/>
      <c r="Y62" s="190"/>
      <c r="Z62" s="35"/>
      <c r="AA62" s="35"/>
      <c r="AB62" s="35"/>
      <c r="AC62" s="35"/>
      <c r="AD62" s="35"/>
      <c r="AE62" s="35"/>
      <c r="AF62" s="35"/>
    </row>
    <row r="63" spans="1:32" ht="17.7" customHeight="1" x14ac:dyDescent="0.3">
      <c r="A63" s="650" t="s">
        <v>89</v>
      </c>
      <c r="B63" s="647" t="s">
        <v>264</v>
      </c>
      <c r="C63" s="178" t="s">
        <v>140</v>
      </c>
      <c r="D63" s="178" t="s">
        <v>259</v>
      </c>
      <c r="E63" s="367" t="s">
        <v>260</v>
      </c>
      <c r="F63" s="178" t="s">
        <v>143</v>
      </c>
      <c r="G63" s="773" t="s">
        <v>144</v>
      </c>
      <c r="H63" s="138">
        <f t="shared" si="11"/>
        <v>1.8400439068838865E-3</v>
      </c>
      <c r="I63" s="113">
        <v>917.38</v>
      </c>
      <c r="J63" s="112">
        <f>I63*Prototype!$B$17</f>
        <v>8256.42</v>
      </c>
      <c r="K63" s="112">
        <v>1</v>
      </c>
      <c r="L63" s="112">
        <f t="shared" si="12"/>
        <v>4.5869</v>
      </c>
      <c r="M63" s="378">
        <f>M3</f>
        <v>5</v>
      </c>
      <c r="N63" s="372"/>
      <c r="O63" s="34">
        <f t="shared" si="2"/>
        <v>1.8400439068838865E-3</v>
      </c>
      <c r="P63" s="35"/>
      <c r="Q63" s="35"/>
      <c r="R63" s="35"/>
      <c r="S63" s="35"/>
      <c r="T63" s="35"/>
      <c r="U63" s="35"/>
      <c r="V63" s="35"/>
      <c r="W63" s="35"/>
      <c r="X63" s="35"/>
      <c r="Y63" s="189"/>
      <c r="Z63" s="35"/>
      <c r="AA63" s="35"/>
      <c r="AB63" s="35"/>
      <c r="AC63" s="35"/>
      <c r="AD63" s="35"/>
      <c r="AE63" s="35"/>
      <c r="AF63" s="35"/>
    </row>
    <row r="64" spans="1:32" ht="17.7" customHeight="1" x14ac:dyDescent="0.3">
      <c r="A64" s="650" t="s">
        <v>89</v>
      </c>
      <c r="B64" s="647" t="s">
        <v>265</v>
      </c>
      <c r="C64" s="178" t="s">
        <v>140</v>
      </c>
      <c r="D64" s="178" t="s">
        <v>259</v>
      </c>
      <c r="E64" s="367" t="s">
        <v>260</v>
      </c>
      <c r="F64" s="178" t="s">
        <v>143</v>
      </c>
      <c r="G64" s="773" t="s">
        <v>144</v>
      </c>
      <c r="H64" s="138">
        <f t="shared" si="11"/>
        <v>2.2689355206197228E-3</v>
      </c>
      <c r="I64" s="113">
        <v>1131.21</v>
      </c>
      <c r="J64" s="112">
        <f>I64*Prototype!$B$17</f>
        <v>10180.89</v>
      </c>
      <c r="K64" s="112">
        <v>1</v>
      </c>
      <c r="L64" s="112">
        <f t="shared" si="12"/>
        <v>5.6560500000000005</v>
      </c>
      <c r="M64" s="378">
        <f>M3</f>
        <v>5</v>
      </c>
      <c r="N64" s="372"/>
      <c r="O64" s="34">
        <f t="shared" si="2"/>
        <v>2.2689355206197228E-3</v>
      </c>
      <c r="P64" s="35"/>
      <c r="Q64" s="35"/>
      <c r="R64" s="35"/>
      <c r="S64" s="35"/>
      <c r="T64" s="35"/>
      <c r="U64" s="35"/>
      <c r="V64" s="35"/>
      <c r="W64" s="35"/>
      <c r="X64" s="35"/>
      <c r="Y64" s="189"/>
      <c r="Z64" s="35"/>
      <c r="AA64" s="35"/>
      <c r="AB64" s="35"/>
      <c r="AC64" s="35"/>
      <c r="AD64" s="35"/>
      <c r="AE64" s="35"/>
      <c r="AF64" s="35"/>
    </row>
    <row r="65" spans="1:32" ht="17.7" customHeight="1" x14ac:dyDescent="0.3">
      <c r="A65" s="650" t="s">
        <v>89</v>
      </c>
      <c r="B65" s="647" t="s">
        <v>266</v>
      </c>
      <c r="C65" s="178" t="s">
        <v>140</v>
      </c>
      <c r="D65" s="178" t="s">
        <v>259</v>
      </c>
      <c r="E65" s="367" t="s">
        <v>260</v>
      </c>
      <c r="F65" s="178" t="s">
        <v>143</v>
      </c>
      <c r="G65" s="773" t="s">
        <v>144</v>
      </c>
      <c r="H65" s="138">
        <f t="shared" si="11"/>
        <v>2.0268001999902969E-3</v>
      </c>
      <c r="I65" s="113">
        <v>1010.49</v>
      </c>
      <c r="J65" s="112">
        <f>I65*Prototype!$B$17</f>
        <v>9094.41</v>
      </c>
      <c r="K65" s="112">
        <v>1</v>
      </c>
      <c r="L65" s="112">
        <f t="shared" si="12"/>
        <v>5.0524499999999994</v>
      </c>
      <c r="M65" s="378">
        <f>M3</f>
        <v>5</v>
      </c>
      <c r="N65" s="372"/>
      <c r="O65" s="34">
        <f t="shared" si="2"/>
        <v>2.0268001999902969E-3</v>
      </c>
      <c r="P65" s="35"/>
      <c r="Q65" s="35"/>
      <c r="R65" s="35"/>
      <c r="S65" s="35"/>
      <c r="T65" s="35"/>
      <c r="U65" s="35"/>
      <c r="V65" s="35"/>
      <c r="W65" s="35"/>
      <c r="X65" s="35"/>
      <c r="Y65" s="190"/>
      <c r="Z65" s="35"/>
      <c r="AA65" s="35"/>
      <c r="AB65" s="35"/>
      <c r="AC65" s="35"/>
      <c r="AD65" s="35"/>
      <c r="AE65" s="35"/>
      <c r="AF65" s="35"/>
    </row>
    <row r="66" spans="1:32" ht="17.7" customHeight="1" x14ac:dyDescent="0.3">
      <c r="A66" s="650" t="s">
        <v>89</v>
      </c>
      <c r="B66" s="647" t="s">
        <v>267</v>
      </c>
      <c r="C66" s="178" t="s">
        <v>140</v>
      </c>
      <c r="D66" s="178" t="s">
        <v>259</v>
      </c>
      <c r="E66" s="367" t="s">
        <v>260</v>
      </c>
      <c r="F66" s="178" t="s">
        <v>143</v>
      </c>
      <c r="G66" s="773" t="s">
        <v>144</v>
      </c>
      <c r="H66" s="138">
        <f t="shared" si="11"/>
        <v>2.0729126173301784E-3</v>
      </c>
      <c r="I66" s="113">
        <v>1033.48</v>
      </c>
      <c r="J66" s="112">
        <f>I66*Prototype!$B$17</f>
        <v>9301.32</v>
      </c>
      <c r="K66" s="112">
        <v>1</v>
      </c>
      <c r="L66" s="112">
        <f t="shared" si="12"/>
        <v>5.1673999999999998</v>
      </c>
      <c r="M66" s="378">
        <f>M3</f>
        <v>5</v>
      </c>
      <c r="N66" s="372"/>
      <c r="O66" s="34">
        <f t="shared" si="2"/>
        <v>2.0729126173301784E-3</v>
      </c>
      <c r="P66" s="35"/>
      <c r="Q66" s="35"/>
      <c r="R66" s="35"/>
      <c r="S66" s="35"/>
      <c r="T66" s="35"/>
      <c r="U66" s="35"/>
      <c r="V66" s="35"/>
      <c r="W66" s="35"/>
      <c r="X66" s="35"/>
      <c r="Y66" s="35"/>
      <c r="Z66" s="35"/>
      <c r="AA66" s="35"/>
      <c r="AB66" s="35"/>
      <c r="AC66" s="35"/>
      <c r="AD66" s="35"/>
      <c r="AE66" s="35"/>
      <c r="AF66" s="35"/>
    </row>
    <row r="67" spans="1:32" ht="17.7" customHeight="1" x14ac:dyDescent="0.3">
      <c r="A67" s="650" t="s">
        <v>89</v>
      </c>
      <c r="B67" s="647" t="s">
        <v>268</v>
      </c>
      <c r="C67" s="178" t="s">
        <v>140</v>
      </c>
      <c r="D67" s="178" t="s">
        <v>259</v>
      </c>
      <c r="E67" s="367" t="s">
        <v>260</v>
      </c>
      <c r="F67" s="178" t="s">
        <v>143</v>
      </c>
      <c r="G67" s="773" t="s">
        <v>144</v>
      </c>
      <c r="H67" s="138">
        <f t="shared" si="11"/>
        <v>6.4846213684139672E-3</v>
      </c>
      <c r="I67" s="113">
        <v>3233</v>
      </c>
      <c r="J67" s="112">
        <f>I67*Prototype!$B$17</f>
        <v>29097</v>
      </c>
      <c r="K67" s="112">
        <v>1</v>
      </c>
      <c r="L67" s="112">
        <f t="shared" si="12"/>
        <v>16.164999999999999</v>
      </c>
      <c r="M67" s="378">
        <f>M3</f>
        <v>5</v>
      </c>
      <c r="N67" s="372"/>
      <c r="O67" s="34">
        <f t="shared" si="2"/>
        <v>6.4846213684139672E-3</v>
      </c>
      <c r="P67" s="35"/>
      <c r="Q67" s="35"/>
      <c r="R67" s="35"/>
      <c r="S67" s="35"/>
      <c r="T67" s="35"/>
      <c r="U67" s="35"/>
      <c r="V67" s="35"/>
      <c r="W67" s="35"/>
      <c r="X67" s="35"/>
      <c r="Y67" s="35"/>
      <c r="Z67" s="35"/>
      <c r="AA67" s="35"/>
      <c r="AB67" s="35"/>
      <c r="AC67" s="35"/>
      <c r="AD67" s="35"/>
      <c r="AE67" s="35"/>
      <c r="AF67" s="35"/>
    </row>
    <row r="68" spans="1:32" ht="17.399999999999999" customHeight="1" x14ac:dyDescent="0.3">
      <c r="A68" s="650" t="s">
        <v>89</v>
      </c>
      <c r="B68" s="647" t="s">
        <v>269</v>
      </c>
      <c r="C68" s="178" t="s">
        <v>185</v>
      </c>
      <c r="D68" s="367" t="s">
        <v>270</v>
      </c>
      <c r="E68" s="1104" t="s">
        <v>944</v>
      </c>
      <c r="F68" s="178" t="s">
        <v>153</v>
      </c>
      <c r="G68" s="773" t="s">
        <v>144</v>
      </c>
      <c r="H68" s="138">
        <f t="shared" si="11"/>
        <v>8.384075879978467E-4</v>
      </c>
      <c r="I68" s="113">
        <v>418</v>
      </c>
      <c r="J68" s="112">
        <f>I68*Prototype!$B$17</f>
        <v>3762</v>
      </c>
      <c r="K68" s="112">
        <v>1</v>
      </c>
      <c r="L68" s="112">
        <f t="shared" si="12"/>
        <v>0.627</v>
      </c>
      <c r="M68" s="415">
        <v>1.5</v>
      </c>
      <c r="N68" s="556" t="s">
        <v>154</v>
      </c>
      <c r="O68" s="34">
        <f t="shared" ref="O68:O82" si="13">K68*H68</f>
        <v>8.384075879978467E-4</v>
      </c>
      <c r="P68" s="35"/>
      <c r="Q68" s="35"/>
      <c r="R68" s="35"/>
      <c r="S68" s="35"/>
      <c r="T68" s="35"/>
      <c r="U68" s="35"/>
      <c r="V68" s="186"/>
      <c r="W68" s="187"/>
      <c r="X68" s="187"/>
      <c r="AA68" s="35"/>
      <c r="AB68" s="35"/>
      <c r="AC68" s="35"/>
      <c r="AD68" s="35"/>
      <c r="AE68" s="35"/>
      <c r="AF68" s="35"/>
    </row>
    <row r="69" spans="1:32" ht="17.7" customHeight="1" x14ac:dyDescent="0.3">
      <c r="A69" s="650" t="s">
        <v>89</v>
      </c>
      <c r="B69" s="647" t="s">
        <v>271</v>
      </c>
      <c r="C69" s="178" t="s">
        <v>156</v>
      </c>
      <c r="D69" s="178" t="s">
        <v>259</v>
      </c>
      <c r="E69" s="367" t="s">
        <v>260</v>
      </c>
      <c r="F69" s="367" t="s">
        <v>157</v>
      </c>
      <c r="G69" s="773" t="s">
        <v>144</v>
      </c>
      <c r="H69" s="138">
        <f t="shared" si="11"/>
        <v>2.1461629644920956E-3</v>
      </c>
      <c r="I69" s="113">
        <v>1070</v>
      </c>
      <c r="J69" s="112">
        <f>I69*Prototype!$B$17</f>
        <v>9630</v>
      </c>
      <c r="K69" s="112">
        <v>1</v>
      </c>
      <c r="L69" s="112">
        <f t="shared" si="12"/>
        <v>0</v>
      </c>
      <c r="M69" s="379">
        <v>0</v>
      </c>
      <c r="N69" s="372"/>
      <c r="O69" s="34">
        <f t="shared" si="13"/>
        <v>2.1461629644920956E-3</v>
      </c>
      <c r="P69" s="35"/>
      <c r="Q69" s="35"/>
      <c r="R69" s="35"/>
      <c r="S69" s="35"/>
      <c r="T69" s="35"/>
      <c r="U69" s="35"/>
      <c r="V69" s="148"/>
      <c r="W69" s="188"/>
      <c r="X69" s="149"/>
      <c r="AA69" s="184"/>
      <c r="AB69" s="35"/>
      <c r="AC69" s="35"/>
      <c r="AD69" s="35"/>
      <c r="AE69" s="35"/>
      <c r="AF69" s="35"/>
    </row>
    <row r="70" spans="1:32" ht="17.7" customHeight="1" x14ac:dyDescent="0.3">
      <c r="A70" s="650" t="s">
        <v>89</v>
      </c>
      <c r="B70" s="647" t="s">
        <v>272</v>
      </c>
      <c r="C70" s="178" t="s">
        <v>159</v>
      </c>
      <c r="D70" s="178" t="s">
        <v>259</v>
      </c>
      <c r="E70" s="367" t="s">
        <v>260</v>
      </c>
      <c r="F70" s="178" t="s">
        <v>143</v>
      </c>
      <c r="G70" s="773" t="s">
        <v>144</v>
      </c>
      <c r="H70" s="138">
        <f t="shared" si="11"/>
        <v>1.5841490741643524E-3</v>
      </c>
      <c r="I70" s="113">
        <v>789.8</v>
      </c>
      <c r="J70" s="112">
        <f>I70*Prototype!$B$17</f>
        <v>7108.2</v>
      </c>
      <c r="K70" s="112">
        <v>1</v>
      </c>
      <c r="L70" s="112">
        <f t="shared" si="12"/>
        <v>26.063399999999998</v>
      </c>
      <c r="M70" s="378">
        <v>33</v>
      </c>
      <c r="N70" s="372"/>
      <c r="O70" s="34">
        <f t="shared" si="13"/>
        <v>1.5841490741643524E-3</v>
      </c>
      <c r="P70" s="35"/>
      <c r="Q70" s="35"/>
      <c r="R70" s="35"/>
      <c r="S70" s="35"/>
      <c r="T70" s="35"/>
      <c r="U70" s="35"/>
      <c r="V70" s="148"/>
      <c r="W70" s="188"/>
      <c r="X70" s="149"/>
      <c r="AA70" s="184"/>
      <c r="AB70" s="35"/>
      <c r="AC70" s="35"/>
      <c r="AD70" s="35"/>
      <c r="AE70" s="35"/>
      <c r="AF70" s="35"/>
    </row>
    <row r="71" spans="1:32" ht="17.7" customHeight="1" x14ac:dyDescent="0.3">
      <c r="A71" s="650" t="s">
        <v>89</v>
      </c>
      <c r="B71" s="647" t="s">
        <v>273</v>
      </c>
      <c r="C71" s="178" t="s">
        <v>159</v>
      </c>
      <c r="D71" s="178" t="s">
        <v>259</v>
      </c>
      <c r="E71" s="367" t="s">
        <v>260</v>
      </c>
      <c r="F71" s="178" t="s">
        <v>143</v>
      </c>
      <c r="G71" s="112" t="s">
        <v>144</v>
      </c>
      <c r="H71" s="138">
        <f t="shared" si="11"/>
        <v>6.7481782034927156E-4</v>
      </c>
      <c r="I71" s="113">
        <v>336.44</v>
      </c>
      <c r="J71" s="112">
        <f>I71*Prototype!$B$17</f>
        <v>3027.96</v>
      </c>
      <c r="K71" s="112">
        <v>1</v>
      </c>
      <c r="L71" s="112">
        <f t="shared" si="12"/>
        <v>11.10252</v>
      </c>
      <c r="M71" s="378">
        <v>33</v>
      </c>
      <c r="N71" s="372"/>
      <c r="O71" s="34">
        <f t="shared" si="13"/>
        <v>6.7481782034927156E-4</v>
      </c>
      <c r="P71" s="35"/>
      <c r="Q71" s="35"/>
      <c r="R71" s="35"/>
      <c r="S71" s="35"/>
      <c r="T71" s="35"/>
      <c r="U71" s="35"/>
      <c r="V71" s="148"/>
      <c r="W71" s="188"/>
      <c r="X71" s="149"/>
      <c r="AA71" s="184"/>
      <c r="AB71" s="35"/>
      <c r="AC71" s="35"/>
      <c r="AD71" s="35"/>
      <c r="AE71" s="35"/>
      <c r="AF71" s="35"/>
    </row>
    <row r="72" spans="1:32" ht="17.7" customHeight="1" x14ac:dyDescent="0.3">
      <c r="A72" s="650" t="s">
        <v>89</v>
      </c>
      <c r="B72" s="647" t="s">
        <v>274</v>
      </c>
      <c r="C72" s="178" t="s">
        <v>159</v>
      </c>
      <c r="D72" s="178" t="s">
        <v>259</v>
      </c>
      <c r="E72" s="367" t="s">
        <v>260</v>
      </c>
      <c r="F72" s="178" t="s">
        <v>143</v>
      </c>
      <c r="G72" s="112" t="s">
        <v>144</v>
      </c>
      <c r="H72" s="138">
        <f t="shared" si="11"/>
        <v>1.5319993198869744E-3</v>
      </c>
      <c r="I72" s="113">
        <v>763.8</v>
      </c>
      <c r="J72" s="112">
        <f>I72*Prototype!$B$17</f>
        <v>6874.2</v>
      </c>
      <c r="K72" s="112">
        <v>1</v>
      </c>
      <c r="L72" s="112">
        <f t="shared" si="12"/>
        <v>25.205399999999997</v>
      </c>
      <c r="M72" s="378">
        <v>33</v>
      </c>
      <c r="N72" s="372"/>
      <c r="O72" s="34">
        <f t="shared" si="13"/>
        <v>1.5319993198869744E-3</v>
      </c>
      <c r="P72" s="35"/>
      <c r="Q72" s="35"/>
      <c r="R72" s="35"/>
      <c r="S72" s="35"/>
      <c r="T72" s="35"/>
      <c r="U72" s="35"/>
      <c r="V72" s="148"/>
      <c r="W72" s="188"/>
      <c r="X72" s="149"/>
      <c r="AA72" s="184"/>
      <c r="AB72" s="35"/>
      <c r="AC72" s="35"/>
      <c r="AD72" s="35"/>
      <c r="AE72" s="35"/>
      <c r="AF72" s="35"/>
    </row>
    <row r="73" spans="1:32" ht="17.7" customHeight="1" x14ac:dyDescent="0.3">
      <c r="A73" s="650" t="s">
        <v>89</v>
      </c>
      <c r="B73" s="647" t="s">
        <v>275</v>
      </c>
      <c r="C73" s="178" t="s">
        <v>159</v>
      </c>
      <c r="D73" s="178" t="s">
        <v>259</v>
      </c>
      <c r="E73" s="367" t="s">
        <v>260</v>
      </c>
      <c r="F73" s="178" t="s">
        <v>143</v>
      </c>
      <c r="G73" s="112" t="s">
        <v>144</v>
      </c>
      <c r="H73" s="138">
        <f t="shared" si="11"/>
        <v>8.6889513665231377E-4</v>
      </c>
      <c r="I73" s="113">
        <v>433.2</v>
      </c>
      <c r="J73" s="112">
        <f>I73*Prototype!$B$17</f>
        <v>3898.7999999999997</v>
      </c>
      <c r="K73" s="112">
        <v>1</v>
      </c>
      <c r="L73" s="112">
        <f t="shared" si="12"/>
        <v>14.2956</v>
      </c>
      <c r="M73" s="378">
        <v>33</v>
      </c>
      <c r="N73" s="372"/>
      <c r="O73" s="34">
        <f t="shared" si="13"/>
        <v>8.6889513665231377E-4</v>
      </c>
      <c r="P73" s="35"/>
      <c r="Q73" s="35"/>
      <c r="R73" s="35"/>
      <c r="S73" s="35"/>
      <c r="T73" s="35"/>
      <c r="U73" s="35"/>
      <c r="V73" s="148"/>
      <c r="W73" s="188"/>
      <c r="X73" s="149"/>
      <c r="AA73" s="184"/>
      <c r="AB73" s="35"/>
      <c r="AC73" s="35"/>
      <c r="AD73" s="35"/>
      <c r="AE73" s="35"/>
      <c r="AF73" s="35"/>
    </row>
    <row r="74" spans="1:32" ht="98.25" customHeight="1" x14ac:dyDescent="0.3">
      <c r="A74" s="650" t="s">
        <v>89</v>
      </c>
      <c r="B74" s="647" t="s">
        <v>276</v>
      </c>
      <c r="C74" s="178" t="s">
        <v>161</v>
      </c>
      <c r="D74" s="178" t="s">
        <v>259</v>
      </c>
      <c r="E74" s="367" t="s">
        <v>260</v>
      </c>
      <c r="F74" s="178" t="s">
        <v>143</v>
      </c>
      <c r="G74" s="112" t="s">
        <v>144</v>
      </c>
      <c r="H74" s="138">
        <f t="shared" si="11"/>
        <v>1.8252413997082307E-3</v>
      </c>
      <c r="I74" s="113">
        <v>910</v>
      </c>
      <c r="J74" s="112">
        <f>I74*Prototype!$B$17</f>
        <v>8190</v>
      </c>
      <c r="K74" s="112">
        <v>1</v>
      </c>
      <c r="L74" s="112">
        <f t="shared" si="12"/>
        <v>30.03</v>
      </c>
      <c r="M74" s="426">
        <v>33</v>
      </c>
      <c r="N74" s="427"/>
      <c r="O74" s="34">
        <f t="shared" si="13"/>
        <v>1.8252413997082307E-3</v>
      </c>
      <c r="P74" s="35"/>
      <c r="Q74" s="35"/>
      <c r="R74" s="35"/>
      <c r="S74" s="35"/>
      <c r="T74" s="35"/>
      <c r="U74" s="35"/>
      <c r="V74" s="148"/>
      <c r="W74" s="188"/>
      <c r="X74" s="149"/>
      <c r="AA74" s="184"/>
      <c r="AB74" s="35"/>
      <c r="AC74" s="35"/>
      <c r="AD74" s="35"/>
      <c r="AE74" s="35"/>
      <c r="AF74" s="35"/>
    </row>
    <row r="75" spans="1:32" ht="30" customHeight="1" x14ac:dyDescent="0.3">
      <c r="A75" s="650" t="s">
        <v>89</v>
      </c>
      <c r="B75" s="647" t="s">
        <v>277</v>
      </c>
      <c r="C75" s="178" t="s">
        <v>163</v>
      </c>
      <c r="D75" s="709" t="s">
        <v>259</v>
      </c>
      <c r="E75" s="367" t="s">
        <v>260</v>
      </c>
      <c r="F75" s="709" t="s">
        <v>143</v>
      </c>
      <c r="G75" s="511" t="s">
        <v>144</v>
      </c>
      <c r="H75" s="138">
        <f t="shared" si="11"/>
        <v>1.4802507175655762E-3</v>
      </c>
      <c r="I75" s="113">
        <v>738</v>
      </c>
      <c r="J75" s="112">
        <f>I75*Prototype!$B$17</f>
        <v>6642</v>
      </c>
      <c r="K75" s="112">
        <v>1</v>
      </c>
      <c r="L75" s="112">
        <f t="shared" si="12"/>
        <v>0</v>
      </c>
      <c r="M75" s="379">
        <v>0</v>
      </c>
      <c r="N75" s="380" t="s">
        <v>164</v>
      </c>
      <c r="O75" s="34">
        <f t="shared" si="13"/>
        <v>1.4802507175655762E-3</v>
      </c>
      <c r="P75" s="35"/>
      <c r="Q75" s="35"/>
      <c r="R75" s="35"/>
      <c r="S75" s="35"/>
      <c r="T75" s="35"/>
      <c r="U75" s="35"/>
      <c r="V75" s="148"/>
      <c r="W75" s="188"/>
      <c r="X75" s="149"/>
      <c r="AA75" s="184"/>
      <c r="AB75" s="35"/>
      <c r="AC75" s="35"/>
      <c r="AD75" s="35"/>
      <c r="AE75" s="35"/>
      <c r="AF75" s="35"/>
    </row>
    <row r="76" spans="1:32" ht="42" customHeight="1" x14ac:dyDescent="0.3">
      <c r="A76" s="650" t="s">
        <v>89</v>
      </c>
      <c r="B76" s="647" t="s">
        <v>278</v>
      </c>
      <c r="C76" s="367" t="s">
        <v>161</v>
      </c>
      <c r="D76" s="709" t="s">
        <v>259</v>
      </c>
      <c r="E76" s="367" t="s">
        <v>260</v>
      </c>
      <c r="F76" s="178" t="s">
        <v>143</v>
      </c>
      <c r="G76" s="112" t="s">
        <v>144</v>
      </c>
      <c r="H76" s="138">
        <f t="shared" si="11"/>
        <v>1.3719396894510219E-3</v>
      </c>
      <c r="I76" s="113">
        <v>684</v>
      </c>
      <c r="J76" s="112">
        <f>I76*Prototype!$B$17</f>
        <v>6156</v>
      </c>
      <c r="K76" s="112">
        <v>1</v>
      </c>
      <c r="L76" s="112">
        <f t="shared" si="12"/>
        <v>10.26</v>
      </c>
      <c r="M76" s="426">
        <f>M12</f>
        <v>15</v>
      </c>
      <c r="N76" s="429" t="s">
        <v>212</v>
      </c>
      <c r="O76" s="34">
        <f t="shared" si="13"/>
        <v>1.3719396894510219E-3</v>
      </c>
      <c r="P76" s="35"/>
      <c r="Q76" s="35"/>
      <c r="R76" s="35"/>
      <c r="S76" s="35"/>
      <c r="T76" s="35"/>
      <c r="U76" s="35"/>
      <c r="V76" s="148"/>
      <c r="W76" s="188"/>
      <c r="X76" s="149"/>
      <c r="AA76" s="184"/>
      <c r="AB76" s="35"/>
      <c r="AC76" s="35"/>
      <c r="AD76" s="35"/>
      <c r="AE76" s="35"/>
      <c r="AF76" s="35"/>
    </row>
    <row r="77" spans="1:32" ht="17.7" customHeight="1" x14ac:dyDescent="0.3">
      <c r="A77" s="650" t="s">
        <v>89</v>
      </c>
      <c r="B77" s="647" t="s">
        <v>279</v>
      </c>
      <c r="C77" s="178" t="s">
        <v>166</v>
      </c>
      <c r="D77" s="709"/>
      <c r="E77" s="367"/>
      <c r="F77" s="178" t="s">
        <v>143</v>
      </c>
      <c r="G77" s="773" t="s">
        <v>144</v>
      </c>
      <c r="H77" s="138">
        <f t="shared" si="11"/>
        <v>2.3166525457835236E-3</v>
      </c>
      <c r="I77" s="113">
        <v>1155</v>
      </c>
      <c r="J77" s="112">
        <f>I77*Prototype!$B$17</f>
        <v>10395</v>
      </c>
      <c r="K77" s="112">
        <v>1</v>
      </c>
      <c r="L77" s="112">
        <f t="shared" si="12"/>
        <v>0</v>
      </c>
      <c r="M77" s="379">
        <v>0</v>
      </c>
      <c r="N77" s="704" t="s">
        <v>167</v>
      </c>
      <c r="O77" s="34">
        <f t="shared" si="13"/>
        <v>2.3166525457835236E-3</v>
      </c>
      <c r="P77" s="35"/>
      <c r="Q77" s="35"/>
      <c r="R77" s="35"/>
      <c r="S77" s="35"/>
      <c r="T77" s="35"/>
      <c r="U77" s="35"/>
      <c r="V77" s="148"/>
      <c r="W77" s="188"/>
      <c r="X77" s="149"/>
      <c r="AA77" s="184"/>
      <c r="AB77" s="35"/>
      <c r="AC77" s="35"/>
      <c r="AD77" s="35"/>
      <c r="AE77" s="35"/>
      <c r="AF77" s="35"/>
    </row>
    <row r="78" spans="1:32" ht="17.7" customHeight="1" x14ac:dyDescent="0.3">
      <c r="A78" s="650" t="s">
        <v>89</v>
      </c>
      <c r="B78" s="647" t="s">
        <v>280</v>
      </c>
      <c r="C78" s="178" t="s">
        <v>171</v>
      </c>
      <c r="D78" s="709" t="s">
        <v>259</v>
      </c>
      <c r="E78" s="367" t="s">
        <v>260</v>
      </c>
      <c r="F78" s="367" t="s">
        <v>157</v>
      </c>
      <c r="G78" s="511" t="s">
        <v>144</v>
      </c>
      <c r="H78" s="138">
        <f t="shared" si="11"/>
        <v>1.7008842933544832E-3</v>
      </c>
      <c r="I78" s="113">
        <v>848</v>
      </c>
      <c r="J78" s="112">
        <f>I78*Prototype!$B$17</f>
        <v>7632</v>
      </c>
      <c r="K78" s="112">
        <v>1</v>
      </c>
      <c r="L78" s="112">
        <f t="shared" si="12"/>
        <v>0</v>
      </c>
      <c r="M78" s="379">
        <v>0</v>
      </c>
      <c r="N78" s="372"/>
      <c r="O78" s="34">
        <f t="shared" si="13"/>
        <v>1.7008842933544832E-3</v>
      </c>
      <c r="P78" s="35"/>
      <c r="Q78" s="35"/>
      <c r="R78" s="35"/>
      <c r="S78" s="35"/>
      <c r="T78" s="35"/>
      <c r="U78" s="35"/>
      <c r="V78" s="148"/>
      <c r="W78" s="188"/>
      <c r="X78" s="149"/>
      <c r="AA78" s="184"/>
      <c r="AB78" s="35"/>
      <c r="AC78" s="35"/>
      <c r="AD78" s="35"/>
      <c r="AE78" s="35"/>
      <c r="AF78" s="35"/>
    </row>
    <row r="79" spans="1:32" ht="17.7" customHeight="1" x14ac:dyDescent="0.3">
      <c r="A79" s="650" t="s">
        <v>89</v>
      </c>
      <c r="B79" s="647" t="s">
        <v>281</v>
      </c>
      <c r="C79" s="178" t="s">
        <v>173</v>
      </c>
      <c r="D79" s="709" t="s">
        <v>259</v>
      </c>
      <c r="E79" s="367" t="s">
        <v>260</v>
      </c>
      <c r="F79" s="178" t="s">
        <v>143</v>
      </c>
      <c r="G79" s="112" t="s">
        <v>144</v>
      </c>
      <c r="H79" s="138">
        <f t="shared" si="11"/>
        <v>2.0175536474049617E-3</v>
      </c>
      <c r="I79" s="113">
        <v>1005.88</v>
      </c>
      <c r="J79" s="112">
        <f>I79*Prototype!$B$17</f>
        <v>9052.92</v>
      </c>
      <c r="K79" s="112">
        <f t="shared" ref="K79" si="14">K78</f>
        <v>1</v>
      </c>
      <c r="L79" s="112">
        <f t="shared" si="12"/>
        <v>5.0293999999999999</v>
      </c>
      <c r="M79" s="378">
        <v>5</v>
      </c>
      <c r="N79" s="372"/>
      <c r="O79" s="34">
        <f t="shared" si="13"/>
        <v>2.0175536474049617E-3</v>
      </c>
      <c r="P79" s="35"/>
      <c r="Q79" s="35"/>
      <c r="R79" s="35"/>
      <c r="S79" s="35"/>
      <c r="T79" s="35"/>
      <c r="U79" s="35"/>
      <c r="V79" s="148"/>
      <c r="W79" s="188"/>
      <c r="X79" s="149"/>
      <c r="AA79" s="184"/>
      <c r="AB79" s="35"/>
      <c r="AC79" s="35"/>
      <c r="AD79" s="35"/>
      <c r="AE79" s="35"/>
      <c r="AF79" s="35"/>
    </row>
    <row r="80" spans="1:32" ht="17.7" customHeight="1" x14ac:dyDescent="0.3">
      <c r="A80" s="650" t="s">
        <v>89</v>
      </c>
      <c r="B80" s="647" t="s">
        <v>282</v>
      </c>
      <c r="C80" s="178" t="s">
        <v>173</v>
      </c>
      <c r="D80" s="178" t="s">
        <v>259</v>
      </c>
      <c r="E80" s="367" t="s">
        <v>260</v>
      </c>
      <c r="F80" s="178" t="s">
        <v>143</v>
      </c>
      <c r="G80" s="112" t="s">
        <v>144</v>
      </c>
      <c r="H80" s="138">
        <f>I80/$I$82</f>
        <v>1.1740915447617693E-3</v>
      </c>
      <c r="I80" s="113">
        <v>585.36</v>
      </c>
      <c r="J80" s="112">
        <f>I80*Prototype!$B$17</f>
        <v>5268.24</v>
      </c>
      <c r="K80" s="112">
        <v>1</v>
      </c>
      <c r="L80" s="112">
        <f t="shared" si="12"/>
        <v>2.9268000000000001</v>
      </c>
      <c r="M80" s="378">
        <v>5</v>
      </c>
      <c r="N80" s="372"/>
      <c r="O80" s="34">
        <f t="shared" si="13"/>
        <v>1.1740915447617693E-3</v>
      </c>
      <c r="P80" s="35"/>
      <c r="Q80" s="35"/>
      <c r="R80" s="35"/>
      <c r="S80" s="35"/>
      <c r="T80" s="35"/>
      <c r="U80" s="35"/>
      <c r="V80" s="148"/>
      <c r="W80" s="188"/>
      <c r="X80" s="149"/>
      <c r="AA80" s="184"/>
      <c r="AB80" s="35"/>
      <c r="AC80" s="35"/>
      <c r="AD80" s="35"/>
      <c r="AE80" s="35"/>
      <c r="AF80" s="35"/>
    </row>
    <row r="81" spans="1:32" ht="17.7" customHeight="1" x14ac:dyDescent="0.3">
      <c r="A81" s="650" t="s">
        <v>89</v>
      </c>
      <c r="B81" s="647" t="s">
        <v>283</v>
      </c>
      <c r="C81" s="178" t="s">
        <v>223</v>
      </c>
      <c r="D81" s="178" t="s">
        <v>196</v>
      </c>
      <c r="E81" s="178" t="s">
        <v>224</v>
      </c>
      <c r="F81" s="178"/>
      <c r="G81" s="112" t="s">
        <v>225</v>
      </c>
      <c r="H81" s="138"/>
      <c r="I81" s="113">
        <f>38352.97</f>
        <v>38352.97</v>
      </c>
      <c r="J81" s="112">
        <f>I81*(Prototype!$B$16-Prototype!$B$17)</f>
        <v>153411.88</v>
      </c>
      <c r="K81" s="112">
        <v>1</v>
      </c>
      <c r="L81" s="112">
        <f t="shared" si="12"/>
        <v>0</v>
      </c>
      <c r="M81" s="379">
        <v>0</v>
      </c>
      <c r="N81" s="372"/>
      <c r="O81" s="34">
        <f t="shared" si="13"/>
        <v>0</v>
      </c>
      <c r="P81" s="35"/>
      <c r="Q81" s="35"/>
      <c r="R81" s="35"/>
      <c r="S81" s="35"/>
      <c r="T81" s="35"/>
      <c r="U81" s="35"/>
      <c r="V81" s="148"/>
      <c r="W81" s="188"/>
      <c r="X81" s="149"/>
      <c r="AA81" s="184"/>
      <c r="AB81" s="35"/>
      <c r="AC81" s="35"/>
      <c r="AD81" s="35"/>
      <c r="AE81" s="35"/>
      <c r="AF81" s="35"/>
    </row>
    <row r="82" spans="1:32" ht="78" customHeight="1" x14ac:dyDescent="0.3">
      <c r="A82" s="651" t="s">
        <v>284</v>
      </c>
      <c r="B82" s="648" t="s">
        <v>285</v>
      </c>
      <c r="C82" s="19" t="s">
        <v>286</v>
      </c>
      <c r="D82" s="19" t="s">
        <v>287</v>
      </c>
      <c r="E82" s="19" t="s">
        <v>288</v>
      </c>
      <c r="F82" s="179" t="s">
        <v>289</v>
      </c>
      <c r="G82" s="19" t="s">
        <v>290</v>
      </c>
      <c r="H82" s="174">
        <f>SUMPRODUCT(H3:H81,K3:K81)</f>
        <v>1.0000000000000002</v>
      </c>
      <c r="I82" s="200">
        <f>SUMPRODUCT(I3:I81,K3:K81)-(I81*K81+I58*K58+I35*K35)</f>
        <v>498564.18999999983</v>
      </c>
      <c r="J82" s="18"/>
      <c r="K82" s="18"/>
      <c r="L82" s="18"/>
      <c r="M82" s="375"/>
      <c r="N82" s="373"/>
      <c r="O82" s="34">
        <f t="shared" si="13"/>
        <v>0</v>
      </c>
      <c r="P82" s="35"/>
      <c r="Q82" s="35"/>
      <c r="R82" s="35"/>
      <c r="S82" s="35"/>
      <c r="T82" s="35"/>
      <c r="U82" s="35"/>
      <c r="V82" s="35"/>
      <c r="W82" s="35"/>
      <c r="X82" s="35"/>
      <c r="Y82" s="35"/>
      <c r="Z82" s="35"/>
      <c r="AA82" s="35"/>
      <c r="AB82" s="35"/>
      <c r="AC82" s="35"/>
      <c r="AD82" s="35"/>
      <c r="AE82" s="35"/>
      <c r="AF82" s="35"/>
    </row>
    <row r="83" spans="1:32" ht="78" customHeight="1" x14ac:dyDescent="0.3">
      <c r="A83" s="656"/>
      <c r="B83" s="657"/>
      <c r="C83" s="658"/>
      <c r="D83" s="658"/>
      <c r="E83" s="658"/>
      <c r="F83" s="659"/>
      <c r="G83" s="658"/>
      <c r="H83" s="660"/>
      <c r="I83" s="661"/>
      <c r="J83" s="54"/>
      <c r="K83" s="54"/>
      <c r="L83" s="54"/>
      <c r="M83" s="662"/>
      <c r="O83" s="34"/>
      <c r="P83" s="35"/>
      <c r="Q83" s="35"/>
      <c r="R83" s="35"/>
      <c r="S83" s="35"/>
      <c r="T83" s="35"/>
      <c r="U83" s="35"/>
      <c r="V83" s="35"/>
      <c r="W83" s="35"/>
      <c r="X83" s="35"/>
      <c r="Y83" s="35"/>
      <c r="Z83" s="35"/>
      <c r="AA83" s="35"/>
      <c r="AB83" s="35"/>
      <c r="AC83" s="35"/>
      <c r="AD83" s="35"/>
      <c r="AE83" s="35"/>
      <c r="AF83" s="35"/>
    </row>
    <row r="84" spans="1:32" ht="51" customHeight="1" x14ac:dyDescent="0.3">
      <c r="I84" s="175"/>
      <c r="K84" s="481"/>
      <c r="L84" s="481"/>
      <c r="M84" s="481"/>
      <c r="P84" s="35"/>
      <c r="Q84" s="35"/>
      <c r="R84" s="35"/>
      <c r="S84" s="35"/>
      <c r="T84" s="35"/>
      <c r="U84" s="35"/>
      <c r="V84" s="35"/>
      <c r="W84" s="35"/>
      <c r="X84" s="35"/>
      <c r="Y84" s="35"/>
      <c r="Z84" s="35"/>
      <c r="AA84" s="35"/>
      <c r="AB84" s="35"/>
      <c r="AC84" s="35"/>
      <c r="AD84" s="35"/>
      <c r="AE84" s="35"/>
      <c r="AF84" s="35"/>
    </row>
    <row r="85" spans="1:32" ht="17.7" customHeight="1" x14ac:dyDescent="0.3">
      <c r="C85" s="35"/>
      <c r="D85" s="35"/>
      <c r="E85" s="35"/>
      <c r="F85" s="35"/>
      <c r="G85" s="35"/>
      <c r="H85" s="35"/>
      <c r="I85" s="141"/>
      <c r="L85" s="481"/>
      <c r="M85" s="481"/>
      <c r="P85" s="35"/>
      <c r="Q85" s="35"/>
      <c r="R85" s="35"/>
      <c r="S85" s="35"/>
      <c r="T85" s="35"/>
      <c r="U85" s="35"/>
      <c r="V85" s="35"/>
      <c r="W85" s="35"/>
      <c r="X85" s="35"/>
      <c r="Y85" s="35"/>
      <c r="Z85" s="35"/>
      <c r="AA85" s="35"/>
      <c r="AB85" s="35"/>
      <c r="AC85" s="35"/>
      <c r="AD85" s="35"/>
      <c r="AE85" s="35"/>
      <c r="AF85" s="35"/>
    </row>
    <row r="86" spans="1:32" ht="17.7" customHeight="1" x14ac:dyDescent="0.3">
      <c r="C86" s="36"/>
      <c r="D86" s="36"/>
      <c r="E86" s="36"/>
      <c r="F86" s="36"/>
      <c r="G86" s="36"/>
      <c r="H86" s="36"/>
      <c r="I86" s="175"/>
      <c r="K86" s="481"/>
      <c r="L86" s="481"/>
      <c r="M86" s="481"/>
      <c r="P86" s="35"/>
      <c r="Q86" s="35"/>
      <c r="R86" s="35"/>
      <c r="S86" s="35"/>
      <c r="T86" s="35"/>
      <c r="U86" s="35"/>
      <c r="V86" s="35"/>
      <c r="W86" s="35"/>
      <c r="X86" s="35"/>
      <c r="Y86" s="35"/>
      <c r="Z86" s="35"/>
      <c r="AA86" s="35"/>
      <c r="AB86" s="35"/>
      <c r="AC86" s="35"/>
      <c r="AD86" s="35"/>
      <c r="AE86" s="35"/>
      <c r="AF86" s="35"/>
    </row>
    <row r="87" spans="1:32" ht="17.7" customHeight="1" x14ac:dyDescent="0.3">
      <c r="I87" s="701"/>
      <c r="P87" s="35"/>
      <c r="Q87" s="35"/>
      <c r="R87" s="35"/>
      <c r="S87" s="35"/>
      <c r="T87" s="35"/>
      <c r="U87" s="35"/>
      <c r="V87" s="35"/>
      <c r="W87" s="35"/>
      <c r="X87" s="35"/>
      <c r="Y87" s="35"/>
      <c r="Z87" s="35"/>
      <c r="AA87" s="35"/>
      <c r="AB87" s="35"/>
      <c r="AC87" s="35"/>
      <c r="AD87" s="35"/>
      <c r="AE87" s="35"/>
      <c r="AF87" s="35"/>
    </row>
    <row r="88" spans="1:32" ht="17.7" customHeight="1" x14ac:dyDescent="0.3">
      <c r="I88" s="137"/>
      <c r="P88" s="35"/>
      <c r="Q88" s="35"/>
      <c r="R88" s="35"/>
      <c r="S88" s="35"/>
      <c r="T88" s="35"/>
      <c r="U88" s="35"/>
      <c r="V88" s="35"/>
      <c r="W88" s="35"/>
      <c r="X88" s="35"/>
      <c r="Y88" s="35"/>
      <c r="Z88" s="35"/>
      <c r="AA88" s="35"/>
      <c r="AB88" s="35"/>
      <c r="AC88" s="35"/>
      <c r="AD88" s="35"/>
      <c r="AE88" s="35"/>
      <c r="AF88" s="35"/>
    </row>
    <row r="89" spans="1:32" ht="17.7" customHeight="1" x14ac:dyDescent="0.3">
      <c r="P89" s="35"/>
      <c r="Q89" s="35"/>
      <c r="R89" s="35"/>
      <c r="S89" s="35"/>
      <c r="T89" s="35"/>
      <c r="U89" s="35"/>
      <c r="V89" s="35"/>
      <c r="W89" s="35"/>
      <c r="X89" s="35"/>
      <c r="Y89" s="35"/>
      <c r="Z89" s="35"/>
      <c r="AA89" s="35"/>
      <c r="AB89" s="35"/>
      <c r="AC89" s="35"/>
      <c r="AD89" s="35"/>
      <c r="AE89" s="35"/>
      <c r="AF89" s="35"/>
    </row>
    <row r="90" spans="1:32" ht="58.2" customHeight="1" x14ac:dyDescent="0.3">
      <c r="I90" s="288"/>
      <c r="P90" s="35"/>
      <c r="Q90" s="35"/>
      <c r="R90" s="35"/>
      <c r="S90" s="35"/>
      <c r="T90" s="35"/>
      <c r="U90" s="35"/>
      <c r="V90" s="35"/>
      <c r="W90" s="35"/>
      <c r="X90" s="35"/>
      <c r="Y90" s="35"/>
      <c r="Z90" s="35"/>
      <c r="AA90" s="35"/>
      <c r="AB90" s="35"/>
      <c r="AC90" s="35"/>
      <c r="AD90" s="35"/>
      <c r="AE90" s="35"/>
      <c r="AF90" s="35"/>
    </row>
    <row r="91" spans="1:32" ht="17.7" customHeight="1" x14ac:dyDescent="0.3">
      <c r="I91" s="27"/>
      <c r="P91" s="35"/>
      <c r="Q91" s="35"/>
      <c r="R91" s="35"/>
      <c r="S91" s="35"/>
      <c r="T91" s="35"/>
      <c r="U91" s="35"/>
      <c r="V91" s="35"/>
      <c r="W91" s="35"/>
      <c r="X91" s="35"/>
      <c r="Y91" s="35"/>
      <c r="Z91" s="35"/>
      <c r="AA91" s="35"/>
      <c r="AB91" s="35"/>
      <c r="AC91" s="35"/>
      <c r="AD91" s="35"/>
      <c r="AE91" s="35"/>
      <c r="AF91" s="35"/>
    </row>
    <row r="92" spans="1:32" ht="17.7" customHeight="1" x14ac:dyDescent="0.3">
      <c r="I92" s="481"/>
      <c r="P92" s="35"/>
      <c r="Q92" s="35"/>
      <c r="R92" s="35"/>
      <c r="S92" s="35"/>
      <c r="T92" s="35"/>
      <c r="U92" s="35"/>
      <c r="V92" s="35"/>
      <c r="W92" s="35"/>
      <c r="X92" s="35"/>
      <c r="Y92" s="35"/>
      <c r="Z92" s="35"/>
      <c r="AA92" s="35"/>
      <c r="AB92" s="35"/>
      <c r="AC92" s="35"/>
      <c r="AD92" s="35"/>
      <c r="AE92" s="35"/>
      <c r="AF92" s="35"/>
    </row>
    <row r="93" spans="1:32" ht="17.7" customHeight="1" x14ac:dyDescent="0.3">
      <c r="P93" s="35"/>
      <c r="Q93" s="35"/>
      <c r="R93" s="35"/>
      <c r="S93" s="35"/>
      <c r="T93" s="35"/>
      <c r="U93" s="35"/>
      <c r="V93" s="35"/>
      <c r="W93" s="35"/>
      <c r="X93" s="35"/>
      <c r="Y93" s="35"/>
      <c r="Z93" s="35"/>
      <c r="AA93" s="35"/>
      <c r="AB93" s="35"/>
      <c r="AC93" s="35"/>
      <c r="AD93" s="35"/>
      <c r="AE93" s="35"/>
      <c r="AF93" s="35"/>
    </row>
    <row r="94" spans="1:32" ht="57.6" customHeight="1" x14ac:dyDescent="0.3">
      <c r="P94" s="35"/>
      <c r="Q94" s="35"/>
      <c r="R94" s="35"/>
      <c r="S94" s="35"/>
      <c r="T94" s="35"/>
      <c r="U94" s="35"/>
      <c r="V94" s="35"/>
      <c r="W94" s="35"/>
      <c r="X94" s="35"/>
      <c r="Y94" s="35"/>
      <c r="Z94" s="35"/>
      <c r="AA94" s="35"/>
      <c r="AB94" s="35"/>
      <c r="AC94" s="35"/>
      <c r="AD94" s="35"/>
      <c r="AE94" s="35"/>
      <c r="AF94" s="35"/>
    </row>
    <row r="95" spans="1:32" ht="13.2" x14ac:dyDescent="0.3">
      <c r="N95" s="751"/>
    </row>
    <row r="96" spans="1:32" ht="13.2" x14ac:dyDescent="0.3">
      <c r="N96" s="481"/>
    </row>
    <row r="97" spans="14:14" ht="14.7" customHeight="1" x14ac:dyDescent="0.3">
      <c r="N97" s="481"/>
    </row>
  </sheetData>
  <autoFilter ref="A1:O82" xr:uid="{2E9DC9C1-ABE9-4C74-8C0A-F769CBEC5074}">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autoFilter>
  <mergeCells count="30">
    <mergeCell ref="Q21:S21"/>
    <mergeCell ref="V4:X4"/>
    <mergeCell ref="Z4:AC5"/>
    <mergeCell ref="Q20:S20"/>
    <mergeCell ref="A1:M1"/>
    <mergeCell ref="AM21:AN21"/>
    <mergeCell ref="AJ22:AK22"/>
    <mergeCell ref="AM22:AN22"/>
    <mergeCell ref="V20:X20"/>
    <mergeCell ref="V21:X21"/>
    <mergeCell ref="AA20:AC20"/>
    <mergeCell ref="AG22:AH22"/>
    <mergeCell ref="AG21:AH21"/>
    <mergeCell ref="AJ21:AK21"/>
    <mergeCell ref="AA21:AC21"/>
    <mergeCell ref="Q53:S53"/>
    <mergeCell ref="Q39:T39"/>
    <mergeCell ref="Q51:S51"/>
    <mergeCell ref="Q52:S52"/>
    <mergeCell ref="Q48:S48"/>
    <mergeCell ref="Q49:S49"/>
    <mergeCell ref="Q50:S50"/>
    <mergeCell ref="Q45:S45"/>
    <mergeCell ref="Q46:S46"/>
    <mergeCell ref="Q47:S47"/>
    <mergeCell ref="Q42:S42"/>
    <mergeCell ref="Q43:S43"/>
    <mergeCell ref="Q44:S44"/>
    <mergeCell ref="Q40:S40"/>
    <mergeCell ref="Q41:S41"/>
  </mergeCells>
  <phoneticPr fontId="6" type="noConversion"/>
  <conditionalFormatting sqref="C13">
    <cfRule type="expression" dxfId="0" priority="1">
      <formula>IF($AX13="X",TRUE,FALSE)</formula>
    </cfRule>
  </conditionalFormatting>
  <dataValidations count="1">
    <dataValidation allowBlank="1" showInputMessage="1" showErrorMessage="1" sqref="R40:S40 R42:S50 Q53:S53 Q40:Q50" xr:uid="{FD36E7B7-CAD7-4A7A-B2F6-3718BFFF1CE6}"/>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68ECAF-86A3-47A3-AD4D-9739475A0FA7}">
          <x14:formula1>
            <xm:f>Data!$A$2:$A$200</xm:f>
          </x14:formula1>
          <xm:sqref>C3:C81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AX57"/>
  <sheetViews>
    <sheetView zoomScale="84" zoomScaleNormal="100" workbookViewId="0">
      <selection sqref="A1:X1"/>
    </sheetView>
  </sheetViews>
  <sheetFormatPr defaultColWidth="9.33203125" defaultRowHeight="12.75" customHeight="1" x14ac:dyDescent="0.3"/>
  <cols>
    <col min="1" max="1" width="15.44140625" style="130" customWidth="1"/>
    <col min="2" max="2" width="13.5546875" style="131" customWidth="1"/>
    <col min="3" max="3" width="18.5546875" style="130" customWidth="1"/>
    <col min="4" max="4" width="42.5546875" style="130" customWidth="1"/>
    <col min="5" max="5" width="13.33203125" style="130" customWidth="1"/>
    <col min="6" max="6" width="10.6640625" style="130" customWidth="1"/>
    <col min="7" max="7" width="23" style="132" customWidth="1"/>
    <col min="8" max="8" width="40.6640625" style="130" customWidth="1"/>
    <col min="9" max="9" width="6.88671875" style="130" customWidth="1"/>
    <col min="10" max="12" width="7" style="130" customWidth="1"/>
    <col min="13" max="13" width="7.88671875" style="130" customWidth="1"/>
    <col min="14" max="14" width="8.6640625" style="130" customWidth="1"/>
    <col min="15" max="15" width="7" style="130" customWidth="1"/>
    <col min="16" max="16" width="7.109375" style="130" customWidth="1"/>
    <col min="17" max="17" width="7.5546875" style="130" customWidth="1"/>
    <col min="18" max="21" width="7" style="130" customWidth="1"/>
    <col min="22" max="22" width="7.6640625" style="130" customWidth="1"/>
    <col min="23" max="24" width="7" style="130" customWidth="1"/>
    <col min="25" max="25" width="9.33203125" style="130"/>
    <col min="26" max="26" width="9" style="130" customWidth="1"/>
    <col min="27" max="30" width="7.6640625" style="130" customWidth="1"/>
    <col min="31" max="31" width="9.6640625" style="130" customWidth="1"/>
    <col min="32" max="32" width="7.5546875" style="130" customWidth="1"/>
    <col min="33" max="33" width="11.44140625" style="130" customWidth="1"/>
    <col min="34" max="42" width="7.6640625" style="130" customWidth="1"/>
    <col min="43" max="46" width="10.44140625" style="130" customWidth="1"/>
    <col min="47" max="47" width="9.88671875" style="130" customWidth="1"/>
    <col min="48" max="48" width="10.44140625" style="130" customWidth="1"/>
    <col min="49" max="49" width="21.6640625" style="130" customWidth="1"/>
    <col min="50" max="50" width="10.44140625" style="130" customWidth="1"/>
    <col min="51" max="53" width="7.44140625" style="130" customWidth="1"/>
    <col min="54" max="54" width="7.6640625" style="130" customWidth="1"/>
    <col min="55" max="55" width="7.44140625" style="130" customWidth="1"/>
    <col min="56" max="56" width="13.6640625" style="130" customWidth="1"/>
    <col min="57" max="60" width="7.44140625" style="130" customWidth="1"/>
    <col min="61" max="62" width="9.6640625" style="130" bestFit="1" customWidth="1"/>
    <col min="63" max="16384" width="9.33203125" style="130"/>
  </cols>
  <sheetData>
    <row r="1" spans="1:32" ht="31.95" customHeight="1" x14ac:dyDescent="0.3">
      <c r="A1" s="864" t="str">
        <f>"Envelope - "&amp;Prototype!A2</f>
        <v>Envelope - OfficeLarge</v>
      </c>
      <c r="B1" s="864"/>
      <c r="C1" s="864"/>
      <c r="D1" s="864"/>
      <c r="E1" s="864"/>
      <c r="F1" s="864"/>
      <c r="G1" s="864"/>
      <c r="H1" s="864"/>
      <c r="I1" s="864"/>
      <c r="J1" s="864"/>
      <c r="K1" s="864"/>
      <c r="L1" s="864"/>
      <c r="M1" s="864"/>
      <c r="N1" s="864"/>
      <c r="O1" s="864"/>
      <c r="P1" s="864"/>
      <c r="Q1" s="864"/>
      <c r="R1" s="864"/>
      <c r="S1" s="864"/>
      <c r="T1" s="864"/>
      <c r="U1" s="864"/>
      <c r="V1" s="864"/>
      <c r="W1" s="864"/>
      <c r="X1" s="864"/>
    </row>
    <row r="2" spans="1:32" ht="30" customHeight="1" x14ac:dyDescent="0.3">
      <c r="A2" s="762" t="s">
        <v>291</v>
      </c>
      <c r="B2" s="762" t="s">
        <v>292</v>
      </c>
      <c r="C2" s="762" t="s">
        <v>293</v>
      </c>
      <c r="D2" s="762" t="s">
        <v>294</v>
      </c>
      <c r="E2" s="763" t="s">
        <v>295</v>
      </c>
      <c r="F2" s="762" t="s">
        <v>296</v>
      </c>
      <c r="G2" s="763" t="s">
        <v>297</v>
      </c>
      <c r="H2" s="762" t="s">
        <v>70</v>
      </c>
      <c r="I2" s="762" t="s">
        <v>298</v>
      </c>
      <c r="J2" s="762" t="s">
        <v>299</v>
      </c>
      <c r="K2" s="762" t="s">
        <v>300</v>
      </c>
      <c r="L2" s="762" t="s">
        <v>301</v>
      </c>
      <c r="M2" s="762" t="s">
        <v>302</v>
      </c>
      <c r="N2" s="762" t="s">
        <v>303</v>
      </c>
      <c r="O2" s="762" t="s">
        <v>304</v>
      </c>
      <c r="P2" s="762" t="s">
        <v>305</v>
      </c>
      <c r="Q2" s="762" t="s">
        <v>306</v>
      </c>
      <c r="R2" s="762" t="s">
        <v>307</v>
      </c>
      <c r="S2" s="762" t="s">
        <v>308</v>
      </c>
      <c r="T2" s="762" t="s">
        <v>309</v>
      </c>
      <c r="U2" s="762" t="s">
        <v>310</v>
      </c>
      <c r="V2" s="762" t="s">
        <v>311</v>
      </c>
      <c r="W2" s="762" t="s">
        <v>312</v>
      </c>
      <c r="X2" s="762" t="s">
        <v>313</v>
      </c>
    </row>
    <row r="3" spans="1:32" ht="59.4" customHeight="1" x14ac:dyDescent="0.3">
      <c r="A3" s="849" t="s">
        <v>314</v>
      </c>
      <c r="B3" s="849" t="s">
        <v>89</v>
      </c>
      <c r="C3" s="855" t="s">
        <v>315</v>
      </c>
      <c r="D3" s="855" t="s">
        <v>316</v>
      </c>
      <c r="E3" s="849" t="s">
        <v>317</v>
      </c>
      <c r="F3" s="753" t="s">
        <v>318</v>
      </c>
      <c r="G3" s="753" t="s">
        <v>319</v>
      </c>
      <c r="H3" s="722" t="s">
        <v>320</v>
      </c>
      <c r="I3" s="720">
        <f>I54*(1-$I$55)+I53*$I$55</f>
        <v>0.21745400000000004</v>
      </c>
      <c r="J3" s="720">
        <f t="shared" ref="J3:X3" si="0">J54*(1-$I$55)+J53*$I$55</f>
        <v>0.21479000000000004</v>
      </c>
      <c r="K3" s="720">
        <f t="shared" si="0"/>
        <v>0.21627000000000002</v>
      </c>
      <c r="L3" s="720">
        <f t="shared" si="0"/>
        <v>0.21479000000000004</v>
      </c>
      <c r="M3" s="720">
        <f t="shared" si="0"/>
        <v>0.21479000000000004</v>
      </c>
      <c r="N3" s="720">
        <f t="shared" si="0"/>
        <v>0.21745400000000004</v>
      </c>
      <c r="O3" s="720">
        <f t="shared" si="0"/>
        <v>0.21745400000000004</v>
      </c>
      <c r="P3" s="720">
        <f t="shared" si="0"/>
        <v>0.21479000000000004</v>
      </c>
      <c r="Q3" s="720">
        <f t="shared" si="0"/>
        <v>0.21479000000000004</v>
      </c>
      <c r="R3" s="720">
        <f t="shared" si="0"/>
        <v>0.21479000000000004</v>
      </c>
      <c r="S3" s="720">
        <f t="shared" si="0"/>
        <v>0.21479000000000004</v>
      </c>
      <c r="T3" s="720">
        <f t="shared" si="0"/>
        <v>0.21479000000000004</v>
      </c>
      <c r="U3" s="720">
        <f t="shared" si="0"/>
        <v>0.21479000000000004</v>
      </c>
      <c r="V3" s="720">
        <f t="shared" si="0"/>
        <v>0.21479000000000004</v>
      </c>
      <c r="W3" s="720">
        <f t="shared" si="0"/>
        <v>0.21479000000000004</v>
      </c>
      <c r="X3" s="720">
        <f t="shared" si="0"/>
        <v>0.21479000000000004</v>
      </c>
    </row>
    <row r="4" spans="1:32" ht="26.4" x14ac:dyDescent="0.3">
      <c r="A4" s="849"/>
      <c r="B4" s="849"/>
      <c r="C4" s="855"/>
      <c r="D4" s="855"/>
      <c r="E4" s="849"/>
      <c r="F4" s="679" t="s">
        <v>64</v>
      </c>
      <c r="G4" s="679">
        <v>1986</v>
      </c>
      <c r="H4" s="721" t="s">
        <v>321</v>
      </c>
      <c r="I4" s="724">
        <f t="shared" ref="I4:X4" si="1">1/7.4</f>
        <v>0.13513513513513511</v>
      </c>
      <c r="J4" s="724">
        <f t="shared" si="1"/>
        <v>0.13513513513513511</v>
      </c>
      <c r="K4" s="724">
        <f t="shared" si="1"/>
        <v>0.13513513513513511</v>
      </c>
      <c r="L4" s="724">
        <f t="shared" si="1"/>
        <v>0.13513513513513511</v>
      </c>
      <c r="M4" s="724">
        <f t="shared" si="1"/>
        <v>0.13513513513513511</v>
      </c>
      <c r="N4" s="724">
        <f t="shared" si="1"/>
        <v>0.13513513513513511</v>
      </c>
      <c r="O4" s="724">
        <f t="shared" si="1"/>
        <v>0.13513513513513511</v>
      </c>
      <c r="P4" s="724">
        <f t="shared" si="1"/>
        <v>0.13513513513513511</v>
      </c>
      <c r="Q4" s="724">
        <f t="shared" si="1"/>
        <v>0.13513513513513511</v>
      </c>
      <c r="R4" s="724">
        <f t="shared" si="1"/>
        <v>0.13513513513513511</v>
      </c>
      <c r="S4" s="724">
        <f t="shared" si="1"/>
        <v>0.13513513513513511</v>
      </c>
      <c r="T4" s="724">
        <f t="shared" si="1"/>
        <v>0.13513513513513511</v>
      </c>
      <c r="U4" s="724">
        <f t="shared" si="1"/>
        <v>0.13513513513513511</v>
      </c>
      <c r="V4" s="724">
        <f t="shared" si="1"/>
        <v>0.13513513513513511</v>
      </c>
      <c r="W4" s="724">
        <f t="shared" si="1"/>
        <v>0.13513513513513511</v>
      </c>
      <c r="X4" s="724">
        <f t="shared" si="1"/>
        <v>0.13513513513513511</v>
      </c>
      <c r="Y4" s="539" t="s">
        <v>322</v>
      </c>
      <c r="AF4" s="744"/>
    </row>
    <row r="5" spans="1:32" ht="13.8" x14ac:dyDescent="0.3">
      <c r="A5" s="849"/>
      <c r="B5" s="849"/>
      <c r="C5" s="855"/>
      <c r="D5" s="855"/>
      <c r="E5" s="849"/>
      <c r="F5" s="680" t="s">
        <v>65</v>
      </c>
      <c r="G5" s="680">
        <v>2001</v>
      </c>
      <c r="H5" s="681" t="s">
        <v>323</v>
      </c>
      <c r="I5" s="680">
        <v>0.182</v>
      </c>
      <c r="J5" s="680">
        <v>0.182</v>
      </c>
      <c r="K5" s="680">
        <v>0.189</v>
      </c>
      <c r="L5" s="680">
        <v>0.189</v>
      </c>
      <c r="M5" s="680">
        <v>0.189</v>
      </c>
      <c r="N5" s="680">
        <v>0.189</v>
      </c>
      <c r="O5" s="680">
        <v>0.189</v>
      </c>
      <c r="P5" s="680">
        <v>0.189</v>
      </c>
      <c r="Q5" s="680">
        <v>0.189</v>
      </c>
      <c r="R5" s="680">
        <v>0.182</v>
      </c>
      <c r="S5" s="680">
        <v>0.182</v>
      </c>
      <c r="T5" s="680">
        <v>0.182</v>
      </c>
      <c r="U5" s="680">
        <v>0.182</v>
      </c>
      <c r="V5" s="680">
        <v>0.182</v>
      </c>
      <c r="W5" s="680">
        <v>0.182</v>
      </c>
      <c r="X5" s="680">
        <v>0.182</v>
      </c>
    </row>
    <row r="6" spans="1:32" ht="13.8" x14ac:dyDescent="0.3">
      <c r="A6" s="849"/>
      <c r="B6" s="849"/>
      <c r="C6" s="855"/>
      <c r="D6" s="855"/>
      <c r="E6" s="849"/>
      <c r="F6" s="682" t="s">
        <v>66</v>
      </c>
      <c r="G6" s="682">
        <v>2013</v>
      </c>
      <c r="H6" s="683" t="s">
        <v>324</v>
      </c>
      <c r="I6" s="682">
        <v>9.8000000000000004E-2</v>
      </c>
      <c r="J6" s="682">
        <v>6.2E-2</v>
      </c>
      <c r="K6" s="682">
        <v>8.2000000000000003E-2</v>
      </c>
      <c r="L6" s="682">
        <v>6.2E-2</v>
      </c>
      <c r="M6" s="682">
        <v>6.2E-2</v>
      </c>
      <c r="N6" s="682">
        <v>9.8000000000000004E-2</v>
      </c>
      <c r="O6" s="682">
        <v>9.8000000000000004E-2</v>
      </c>
      <c r="P6" s="682">
        <v>6.2E-2</v>
      </c>
      <c r="Q6" s="682">
        <v>6.2E-2</v>
      </c>
      <c r="R6" s="682">
        <v>6.2E-2</v>
      </c>
      <c r="S6" s="682">
        <v>6.2E-2</v>
      </c>
      <c r="T6" s="682">
        <v>6.2E-2</v>
      </c>
      <c r="U6" s="682">
        <v>6.2E-2</v>
      </c>
      <c r="V6" s="682">
        <v>6.2E-2</v>
      </c>
      <c r="W6" s="682">
        <v>6.2E-2</v>
      </c>
      <c r="X6" s="682">
        <v>6.2E-2</v>
      </c>
    </row>
    <row r="7" spans="1:32" ht="13.8" x14ac:dyDescent="0.3">
      <c r="A7" s="849"/>
      <c r="B7" s="849"/>
      <c r="C7" s="855"/>
      <c r="D7" s="855"/>
      <c r="E7" s="849"/>
      <c r="F7" s="684" t="s">
        <v>325</v>
      </c>
      <c r="G7" s="684"/>
      <c r="H7" s="684" t="s">
        <v>326</v>
      </c>
      <c r="I7" s="685" cm="1">
        <f t="array" ref="I7:X7">_xlfn.BYCOL(TRANSPOSE(Weights!$C$4:$F$19)*I3:X6,_xlfn.LAMBDA(_xlpm.c,SUM(_xlpm.c)))</f>
        <v>0.18924154543023783</v>
      </c>
      <c r="J7" s="685">
        <v>0.18102833730443246</v>
      </c>
      <c r="K7" s="685">
        <v>0.17198392758291894</v>
      </c>
      <c r="L7" s="685">
        <v>0.17002612440418918</v>
      </c>
      <c r="M7" s="685">
        <v>0.14965441464213511</v>
      </c>
      <c r="N7" s="685">
        <v>0.17002225494790271</v>
      </c>
      <c r="O7" s="685">
        <v>0.15822291049747028</v>
      </c>
      <c r="P7" s="685">
        <v>0.16769836377051353</v>
      </c>
      <c r="Q7" s="685">
        <v>0.16782733196694594</v>
      </c>
      <c r="R7" s="685">
        <v>0.15440609806194594</v>
      </c>
      <c r="S7" s="685">
        <v>0.17874603506064865</v>
      </c>
      <c r="T7" s="685">
        <v>0.16825888871989189</v>
      </c>
      <c r="U7" s="685">
        <v>0.19348960035629731</v>
      </c>
      <c r="V7" s="685">
        <v>0.15994628100013514</v>
      </c>
      <c r="W7" s="685">
        <v>0.16062510752502704</v>
      </c>
      <c r="X7" s="685">
        <v>0.16669265870632433</v>
      </c>
      <c r="Y7" s="133"/>
    </row>
    <row r="8" spans="1:32" ht="13.8" x14ac:dyDescent="0.3">
      <c r="A8" s="849"/>
      <c r="B8" s="849"/>
      <c r="C8" s="855"/>
      <c r="D8" s="855"/>
      <c r="E8" s="849"/>
      <c r="F8" s="686" t="s">
        <v>327</v>
      </c>
      <c r="G8" s="687">
        <v>2025</v>
      </c>
      <c r="H8" s="688" t="s">
        <v>328</v>
      </c>
      <c r="I8" s="686">
        <v>0.06</v>
      </c>
      <c r="J8" s="686">
        <v>5.5E-2</v>
      </c>
      <c r="K8" s="686">
        <v>7.0999999999999994E-2</v>
      </c>
      <c r="L8" s="686">
        <v>5.5E-2</v>
      </c>
      <c r="M8" s="686">
        <v>5.5E-2</v>
      </c>
      <c r="N8" s="686">
        <v>0.06</v>
      </c>
      <c r="O8" s="686">
        <v>0.06</v>
      </c>
      <c r="P8" s="686">
        <v>5.5E-2</v>
      </c>
      <c r="Q8" s="686">
        <v>5.5E-2</v>
      </c>
      <c r="R8" s="686">
        <v>5.5E-2</v>
      </c>
      <c r="S8" s="686">
        <v>5.5E-2</v>
      </c>
      <c r="T8" s="686">
        <v>5.5E-2</v>
      </c>
      <c r="U8" s="686">
        <v>5.5E-2</v>
      </c>
      <c r="V8" s="686">
        <v>5.5E-2</v>
      </c>
      <c r="W8" s="686">
        <v>5.5E-2</v>
      </c>
      <c r="X8" s="686">
        <v>5.5E-2</v>
      </c>
      <c r="Y8" s="133"/>
    </row>
    <row r="9" spans="1:32" ht="13.8" x14ac:dyDescent="0.3">
      <c r="A9" s="849" t="s">
        <v>329</v>
      </c>
      <c r="B9" s="849" t="s">
        <v>89</v>
      </c>
      <c r="C9" s="855" t="s">
        <v>330</v>
      </c>
      <c r="D9" s="855" t="s">
        <v>331</v>
      </c>
      <c r="E9" s="849" t="s">
        <v>317</v>
      </c>
      <c r="F9" s="753" t="s">
        <v>318</v>
      </c>
      <c r="G9" s="753" t="s">
        <v>319</v>
      </c>
      <c r="H9" s="855" t="s">
        <v>332</v>
      </c>
      <c r="I9" s="689">
        <f>I10</f>
        <v>5.7000000000000002E-2</v>
      </c>
      <c r="J9" s="753">
        <f t="shared" ref="J9:X9" si="2">J10</f>
        <v>5.7000000000000002E-2</v>
      </c>
      <c r="K9" s="753">
        <f t="shared" si="2"/>
        <v>5.7000000000000002E-2</v>
      </c>
      <c r="L9" s="753">
        <f t="shared" si="2"/>
        <v>5.7000000000000002E-2</v>
      </c>
      <c r="M9" s="753">
        <f t="shared" si="2"/>
        <v>5.7000000000000002E-2</v>
      </c>
      <c r="N9" s="753">
        <f t="shared" si="2"/>
        <v>7.8E-2</v>
      </c>
      <c r="O9" s="753">
        <f t="shared" si="2"/>
        <v>7.8E-2</v>
      </c>
      <c r="P9" s="753">
        <f t="shared" si="2"/>
        <v>7.8E-2</v>
      </c>
      <c r="Q9" s="753">
        <f t="shared" si="2"/>
        <v>7.8E-2</v>
      </c>
      <c r="R9" s="753">
        <f t="shared" si="2"/>
        <v>7.8E-2</v>
      </c>
      <c r="S9" s="753">
        <f t="shared" si="2"/>
        <v>5.7000000000000002E-2</v>
      </c>
      <c r="T9" s="753">
        <f t="shared" si="2"/>
        <v>5.7000000000000002E-2</v>
      </c>
      <c r="U9" s="753">
        <f t="shared" si="2"/>
        <v>5.7000000000000002E-2</v>
      </c>
      <c r="V9" s="753">
        <f t="shared" si="2"/>
        <v>5.7000000000000002E-2</v>
      </c>
      <c r="W9" s="753">
        <f t="shared" si="2"/>
        <v>5.7000000000000002E-2</v>
      </c>
      <c r="X9" s="753">
        <f t="shared" si="2"/>
        <v>5.7000000000000002E-2</v>
      </c>
      <c r="Y9" s="133"/>
    </row>
    <row r="10" spans="1:32" ht="13.8" x14ac:dyDescent="0.3">
      <c r="A10" s="849"/>
      <c r="B10" s="849"/>
      <c r="C10" s="855"/>
      <c r="D10" s="855"/>
      <c r="E10" s="849"/>
      <c r="F10" s="753" t="s">
        <v>64</v>
      </c>
      <c r="G10" s="753">
        <v>1992</v>
      </c>
      <c r="H10" s="855"/>
      <c r="I10" s="690">
        <v>5.7000000000000002E-2</v>
      </c>
      <c r="J10" s="690">
        <v>5.7000000000000002E-2</v>
      </c>
      <c r="K10" s="690">
        <v>5.7000000000000002E-2</v>
      </c>
      <c r="L10" s="690">
        <v>5.7000000000000002E-2</v>
      </c>
      <c r="M10" s="690">
        <v>5.7000000000000002E-2</v>
      </c>
      <c r="N10" s="690">
        <v>7.8E-2</v>
      </c>
      <c r="O10" s="690">
        <v>7.8E-2</v>
      </c>
      <c r="P10" s="690">
        <v>7.8E-2</v>
      </c>
      <c r="Q10" s="690">
        <v>7.8E-2</v>
      </c>
      <c r="R10" s="690">
        <v>7.8E-2</v>
      </c>
      <c r="S10" s="690">
        <v>5.7000000000000002E-2</v>
      </c>
      <c r="T10" s="690">
        <v>5.7000000000000002E-2</v>
      </c>
      <c r="U10" s="690">
        <v>5.7000000000000002E-2</v>
      </c>
      <c r="V10" s="690">
        <v>5.7000000000000002E-2</v>
      </c>
      <c r="W10" s="690">
        <v>5.7000000000000002E-2</v>
      </c>
      <c r="X10" s="690">
        <v>5.7000000000000002E-2</v>
      </c>
      <c r="Y10" s="133"/>
    </row>
    <row r="11" spans="1:32" ht="13.8" x14ac:dyDescent="0.3">
      <c r="A11" s="849"/>
      <c r="B11" s="849"/>
      <c r="C11" s="855"/>
      <c r="D11" s="855"/>
      <c r="E11" s="849"/>
      <c r="F11" s="680" t="s">
        <v>65</v>
      </c>
      <c r="G11" s="680">
        <v>2001</v>
      </c>
      <c r="H11" s="681" t="s">
        <v>323</v>
      </c>
      <c r="I11" s="680">
        <v>5.7000000000000002E-2</v>
      </c>
      <c r="J11" s="680">
        <v>5.7000000000000002E-2</v>
      </c>
      <c r="K11" s="680">
        <v>5.7000000000000002E-2</v>
      </c>
      <c r="L11" s="680">
        <v>5.7000000000000002E-2</v>
      </c>
      <c r="M11" s="680">
        <v>5.7000000000000002E-2</v>
      </c>
      <c r="N11" s="680">
        <v>7.8E-2</v>
      </c>
      <c r="O11" s="680">
        <v>7.8E-2</v>
      </c>
      <c r="P11" s="680">
        <v>7.8E-2</v>
      </c>
      <c r="Q11" s="680">
        <v>7.8E-2</v>
      </c>
      <c r="R11" s="680">
        <v>5.7000000000000002E-2</v>
      </c>
      <c r="S11" s="680">
        <v>5.7000000000000002E-2</v>
      </c>
      <c r="T11" s="680">
        <v>5.7000000000000002E-2</v>
      </c>
      <c r="U11" s="680">
        <v>5.7000000000000002E-2</v>
      </c>
      <c r="V11" s="680">
        <v>5.7000000000000002E-2</v>
      </c>
      <c r="W11" s="680">
        <v>5.7000000000000002E-2</v>
      </c>
      <c r="X11" s="680">
        <v>5.7000000000000002E-2</v>
      </c>
      <c r="Y11" s="133"/>
    </row>
    <row r="12" spans="1:32" ht="13.8" x14ac:dyDescent="0.3">
      <c r="A12" s="849"/>
      <c r="B12" s="849"/>
      <c r="C12" s="855"/>
      <c r="D12" s="855"/>
      <c r="E12" s="849"/>
      <c r="F12" s="682" t="s">
        <v>66</v>
      </c>
      <c r="G12" s="682">
        <v>2013</v>
      </c>
      <c r="H12" s="683" t="s">
        <v>324</v>
      </c>
      <c r="I12" s="682">
        <v>4.9000000000000002E-2</v>
      </c>
      <c r="J12" s="682">
        <v>3.9E-2</v>
      </c>
      <c r="K12" s="682">
        <v>3.9E-2</v>
      </c>
      <c r="L12" s="682">
        <v>3.9E-2</v>
      </c>
      <c r="M12" s="682">
        <v>4.9000000000000002E-2</v>
      </c>
      <c r="N12" s="682">
        <v>7.4999999999999997E-2</v>
      </c>
      <c r="O12" s="682">
        <v>6.7000000000000004E-2</v>
      </c>
      <c r="P12" s="682">
        <v>6.7000000000000004E-2</v>
      </c>
      <c r="Q12" s="682">
        <v>3.9E-2</v>
      </c>
      <c r="R12" s="682">
        <v>3.9E-2</v>
      </c>
      <c r="S12" s="682">
        <v>3.9E-2</v>
      </c>
      <c r="T12" s="682">
        <v>3.9E-2</v>
      </c>
      <c r="U12" s="682">
        <v>3.9E-2</v>
      </c>
      <c r="V12" s="682">
        <v>3.9E-2</v>
      </c>
      <c r="W12" s="682">
        <v>3.9E-2</v>
      </c>
      <c r="X12" s="682">
        <v>3.9E-2</v>
      </c>
      <c r="Y12" s="133"/>
    </row>
    <row r="13" spans="1:32" ht="13.8" x14ac:dyDescent="0.3">
      <c r="A13" s="849"/>
      <c r="B13" s="849"/>
      <c r="C13" s="855"/>
      <c r="D13" s="855"/>
      <c r="E13" s="849"/>
      <c r="F13" s="684" t="s">
        <v>325</v>
      </c>
      <c r="G13" s="684"/>
      <c r="H13" s="684" t="s">
        <v>326</v>
      </c>
      <c r="I13" s="685" cm="1">
        <f t="array" ref="I13:X13">_xlfn.BYCOL(TRANSPOSE(Weights!$C$4:$F$19)*I9:X12,_xlfn.LAMBDA(_xlpm.c,SUM(_xlpm.c)))</f>
        <v>5.6694636799999996E-2</v>
      </c>
      <c r="J13" s="685">
        <v>5.6997044400000002E-2</v>
      </c>
      <c r="K13" s="685">
        <v>5.5521064200000005E-2</v>
      </c>
      <c r="L13" s="685">
        <v>5.5511841300000003E-2</v>
      </c>
      <c r="M13" s="685">
        <v>5.6752486300000002E-2</v>
      </c>
      <c r="N13" s="685">
        <v>7.7797385999999996E-2</v>
      </c>
      <c r="O13" s="685">
        <v>7.7219947100000005E-2</v>
      </c>
      <c r="P13" s="685">
        <v>7.7386796199999996E-2</v>
      </c>
      <c r="Q13" s="685">
        <v>7.5393743100000021E-2</v>
      </c>
      <c r="R13" s="685">
        <v>6.7987435199999988E-2</v>
      </c>
      <c r="S13" s="685">
        <v>5.5160434199999997E-2</v>
      </c>
      <c r="T13" s="685">
        <v>5.5314848999999999E-2</v>
      </c>
      <c r="U13" s="685">
        <v>5.6011139400000007E-2</v>
      </c>
      <c r="V13" s="685">
        <v>5.5793834399999999E-2</v>
      </c>
      <c r="W13" s="685">
        <v>5.3451974999999999E-2</v>
      </c>
      <c r="X13" s="685">
        <v>5.5656073199999996E-2</v>
      </c>
      <c r="Y13" s="133"/>
    </row>
    <row r="14" spans="1:32" ht="13.8" x14ac:dyDescent="0.3">
      <c r="A14" s="849"/>
      <c r="B14" s="849"/>
      <c r="C14" s="855"/>
      <c r="D14" s="855"/>
      <c r="E14" s="849"/>
      <c r="F14" s="686" t="s">
        <v>327</v>
      </c>
      <c r="G14" s="686">
        <v>2025</v>
      </c>
      <c r="H14" s="688" t="s">
        <v>328</v>
      </c>
      <c r="I14" s="686">
        <v>2.8000000000000001E-2</v>
      </c>
      <c r="J14" s="686">
        <v>2.8000000000000001E-2</v>
      </c>
      <c r="K14" s="686">
        <v>2.8000000000000001E-2</v>
      </c>
      <c r="L14" s="686">
        <v>2.8000000000000001E-2</v>
      </c>
      <c r="M14" s="686">
        <v>2.8000000000000001E-2</v>
      </c>
      <c r="N14" s="686">
        <v>4.7E-2</v>
      </c>
      <c r="O14" s="686">
        <v>4.7E-2</v>
      </c>
      <c r="P14" s="686">
        <v>4.7E-2</v>
      </c>
      <c r="Q14" s="686">
        <v>2.8000000000000001E-2</v>
      </c>
      <c r="R14" s="686">
        <v>2.8000000000000001E-2</v>
      </c>
      <c r="S14" s="686">
        <v>2.8000000000000001E-2</v>
      </c>
      <c r="T14" s="686">
        <v>2.8000000000000001E-2</v>
      </c>
      <c r="U14" s="686">
        <v>2.8000000000000001E-2</v>
      </c>
      <c r="V14" s="686">
        <v>2.8000000000000001E-2</v>
      </c>
      <c r="W14" s="686">
        <v>2.8000000000000001E-2</v>
      </c>
      <c r="X14" s="686">
        <v>2.8000000000000001E-2</v>
      </c>
      <c r="Y14" s="133"/>
    </row>
    <row r="15" spans="1:32" ht="13.95" customHeight="1" x14ac:dyDescent="0.3">
      <c r="A15" s="849" t="s">
        <v>333</v>
      </c>
      <c r="B15" s="849" t="s">
        <v>89</v>
      </c>
      <c r="C15" s="855" t="s">
        <v>334</v>
      </c>
      <c r="D15" s="857" t="s">
        <v>335</v>
      </c>
      <c r="E15" s="849" t="s">
        <v>317</v>
      </c>
      <c r="F15" s="753" t="s">
        <v>318</v>
      </c>
      <c r="G15" s="753" t="s">
        <v>319</v>
      </c>
      <c r="H15" s="855" t="s">
        <v>336</v>
      </c>
      <c r="I15" s="691">
        <f>1.12*0.5+I$18*0.5</f>
        <v>0.74</v>
      </c>
      <c r="J15" s="691">
        <f t="shared" ref="J15:X16" si="3">1.12*0.5+J$18*0.5</f>
        <v>0.74</v>
      </c>
      <c r="K15" s="691">
        <f t="shared" si="3"/>
        <v>0.74</v>
      </c>
      <c r="L15" s="691">
        <f t="shared" si="3"/>
        <v>0.74</v>
      </c>
      <c r="M15" s="691">
        <f t="shared" si="3"/>
        <v>0.74</v>
      </c>
      <c r="N15" s="691">
        <f t="shared" si="3"/>
        <v>0.74</v>
      </c>
      <c r="O15" s="691">
        <f t="shared" si="3"/>
        <v>0.74</v>
      </c>
      <c r="P15" s="691">
        <f t="shared" si="3"/>
        <v>0.74</v>
      </c>
      <c r="Q15" s="691">
        <f t="shared" si="3"/>
        <v>0.74</v>
      </c>
      <c r="R15" s="691">
        <f t="shared" si="3"/>
        <v>0.74</v>
      </c>
      <c r="S15" s="691">
        <f t="shared" si="3"/>
        <v>0.74</v>
      </c>
      <c r="T15" s="691">
        <f t="shared" si="3"/>
        <v>0.74</v>
      </c>
      <c r="U15" s="691">
        <f t="shared" si="3"/>
        <v>0.74</v>
      </c>
      <c r="V15" s="691">
        <f t="shared" si="3"/>
        <v>0.74</v>
      </c>
      <c r="W15" s="691">
        <f t="shared" si="3"/>
        <v>0.74</v>
      </c>
      <c r="X15" s="691">
        <f t="shared" si="3"/>
        <v>0.74</v>
      </c>
      <c r="Y15" s="133"/>
    </row>
    <row r="16" spans="1:32" ht="23.25" customHeight="1" x14ac:dyDescent="0.3">
      <c r="A16" s="849"/>
      <c r="B16" s="849"/>
      <c r="C16" s="855"/>
      <c r="D16" s="857"/>
      <c r="E16" s="849"/>
      <c r="F16" s="753" t="s">
        <v>64</v>
      </c>
      <c r="G16" s="753" t="s">
        <v>319</v>
      </c>
      <c r="H16" s="855"/>
      <c r="I16" s="692">
        <f>1.12*0.5+I$18*0.5</f>
        <v>0.74</v>
      </c>
      <c r="J16" s="692">
        <f t="shared" si="3"/>
        <v>0.74</v>
      </c>
      <c r="K16" s="692">
        <f t="shared" si="3"/>
        <v>0.74</v>
      </c>
      <c r="L16" s="692">
        <f t="shared" si="3"/>
        <v>0.74</v>
      </c>
      <c r="M16" s="692">
        <f t="shared" si="3"/>
        <v>0.74</v>
      </c>
      <c r="N16" s="692">
        <f t="shared" si="3"/>
        <v>0.74</v>
      </c>
      <c r="O16" s="692">
        <f t="shared" si="3"/>
        <v>0.74</v>
      </c>
      <c r="P16" s="692">
        <f t="shared" si="3"/>
        <v>0.74</v>
      </c>
      <c r="Q16" s="692">
        <f t="shared" si="3"/>
        <v>0.74</v>
      </c>
      <c r="R16" s="692">
        <f t="shared" si="3"/>
        <v>0.74</v>
      </c>
      <c r="S16" s="692">
        <f t="shared" si="3"/>
        <v>0.74</v>
      </c>
      <c r="T16" s="692">
        <f t="shared" si="3"/>
        <v>0.74</v>
      </c>
      <c r="U16" s="692">
        <f t="shared" si="3"/>
        <v>0.74</v>
      </c>
      <c r="V16" s="692">
        <f t="shared" si="3"/>
        <v>0.74</v>
      </c>
      <c r="W16" s="692">
        <f t="shared" si="3"/>
        <v>0.74</v>
      </c>
      <c r="X16" s="692">
        <f t="shared" si="3"/>
        <v>0.74</v>
      </c>
      <c r="Y16" s="133"/>
    </row>
    <row r="17" spans="1:50" ht="13.95" customHeight="1" x14ac:dyDescent="0.3">
      <c r="A17" s="849"/>
      <c r="B17" s="849"/>
      <c r="C17" s="855"/>
      <c r="D17" s="856" t="s">
        <v>337</v>
      </c>
      <c r="E17" s="849"/>
      <c r="F17" s="680" t="s">
        <v>65</v>
      </c>
      <c r="G17" s="680">
        <v>2001</v>
      </c>
      <c r="H17" s="693" t="s">
        <v>323</v>
      </c>
      <c r="I17" s="680">
        <v>0.49</v>
      </c>
      <c r="J17" s="680">
        <v>0.49</v>
      </c>
      <c r="K17" s="680">
        <v>0.81</v>
      </c>
      <c r="L17" s="680">
        <v>0.81</v>
      </c>
      <c r="M17" s="680">
        <v>0.81</v>
      </c>
      <c r="N17" s="680">
        <v>0.81</v>
      </c>
      <c r="O17" s="680">
        <v>0.81</v>
      </c>
      <c r="P17" s="680">
        <v>0.81</v>
      </c>
      <c r="Q17" s="680">
        <v>0.81</v>
      </c>
      <c r="R17" s="680">
        <v>0.49</v>
      </c>
      <c r="S17" s="680">
        <v>0.49</v>
      </c>
      <c r="T17" s="680">
        <v>0.49</v>
      </c>
      <c r="U17" s="680">
        <v>0.49</v>
      </c>
      <c r="V17" s="680">
        <v>0.49</v>
      </c>
      <c r="W17" s="680">
        <v>0.49</v>
      </c>
      <c r="X17" s="680">
        <v>0.49</v>
      </c>
      <c r="Y17" s="133"/>
    </row>
    <row r="18" spans="1:50" ht="13.95" customHeight="1" x14ac:dyDescent="0.3">
      <c r="A18" s="849"/>
      <c r="B18" s="849"/>
      <c r="C18" s="855"/>
      <c r="D18" s="856"/>
      <c r="E18" s="849"/>
      <c r="F18" s="682" t="s">
        <v>66</v>
      </c>
      <c r="G18" s="682">
        <v>2013</v>
      </c>
      <c r="H18" s="694" t="s">
        <v>324</v>
      </c>
      <c r="I18" s="682">
        <v>0.36</v>
      </c>
      <c r="J18" s="682">
        <v>0.36</v>
      </c>
      <c r="K18" s="682">
        <v>0.36</v>
      </c>
      <c r="L18" s="682">
        <v>0.36</v>
      </c>
      <c r="M18" s="682">
        <v>0.36</v>
      </c>
      <c r="N18" s="682">
        <v>0.36</v>
      </c>
      <c r="O18" s="682">
        <v>0.36</v>
      </c>
      <c r="P18" s="682">
        <v>0.36</v>
      </c>
      <c r="Q18" s="682">
        <v>0.36</v>
      </c>
      <c r="R18" s="682">
        <v>0.36</v>
      </c>
      <c r="S18" s="682">
        <v>0.36</v>
      </c>
      <c r="T18" s="682">
        <v>0.36</v>
      </c>
      <c r="U18" s="682">
        <v>0.36</v>
      </c>
      <c r="V18" s="682">
        <v>0.36</v>
      </c>
      <c r="W18" s="682">
        <v>0.36</v>
      </c>
      <c r="X18" s="682">
        <v>0.36</v>
      </c>
      <c r="Y18" s="133"/>
    </row>
    <row r="19" spans="1:50" ht="13.95" customHeight="1" x14ac:dyDescent="0.3">
      <c r="A19" s="849"/>
      <c r="B19" s="849"/>
      <c r="C19" s="855"/>
      <c r="D19" s="856"/>
      <c r="E19" s="849"/>
      <c r="F19" s="684" t="s">
        <v>325</v>
      </c>
      <c r="G19" s="684"/>
      <c r="H19" s="684" t="s">
        <v>326</v>
      </c>
      <c r="I19" s="695" cm="1">
        <f t="array" ref="I19:X19">_xlfn.BYCOL(TRANSPOSE(Weights!$C$4:$F$19)*I15:X18,_xlfn.LAMBDA(_xlpm.c,SUM(_xlpm.c)))</f>
        <v>0.70392657299999994</v>
      </c>
      <c r="J19" s="695">
        <v>0.70395360400000007</v>
      </c>
      <c r="K19" s="695">
        <v>0.72003281099999994</v>
      </c>
      <c r="L19" s="695">
        <v>0.7198837549999999</v>
      </c>
      <c r="M19" s="695">
        <v>0.73073806100000005</v>
      </c>
      <c r="N19" s="695">
        <v>0.72572203300000004</v>
      </c>
      <c r="O19" s="695">
        <v>0.72838696000000003</v>
      </c>
      <c r="P19" s="695">
        <v>0.72733681400000005</v>
      </c>
      <c r="Q19" s="695">
        <v>0.721434664</v>
      </c>
      <c r="R19" s="695">
        <v>0.62965757700000002</v>
      </c>
      <c r="S19" s="695">
        <v>0.65883922199999989</v>
      </c>
      <c r="T19" s="695">
        <v>0.66052866499999996</v>
      </c>
      <c r="U19" s="695">
        <v>0.70816567900000005</v>
      </c>
      <c r="V19" s="695">
        <v>0.65542442899999998</v>
      </c>
      <c r="W19" s="695">
        <v>0.59484222499999995</v>
      </c>
      <c r="X19" s="695">
        <v>0.64407311200000006</v>
      </c>
      <c r="Y19" s="133"/>
    </row>
    <row r="20" spans="1:50" ht="13.95" customHeight="1" x14ac:dyDescent="0.3">
      <c r="A20" s="849"/>
      <c r="B20" s="849"/>
      <c r="C20" s="855"/>
      <c r="D20" s="856"/>
      <c r="E20" s="849"/>
      <c r="F20" s="686" t="s">
        <v>327</v>
      </c>
      <c r="G20" s="687">
        <v>2025</v>
      </c>
      <c r="H20" s="696" t="s">
        <v>328</v>
      </c>
      <c r="I20" s="686">
        <v>0.36</v>
      </c>
      <c r="J20" s="686">
        <v>0.36</v>
      </c>
      <c r="K20" s="686">
        <v>0.36</v>
      </c>
      <c r="L20" s="686">
        <v>0.36</v>
      </c>
      <c r="M20" s="686">
        <v>0.36</v>
      </c>
      <c r="N20" s="686">
        <v>0.36</v>
      </c>
      <c r="O20" s="686">
        <v>0.36</v>
      </c>
      <c r="P20" s="686">
        <v>0.36</v>
      </c>
      <c r="Q20" s="686">
        <v>0.34</v>
      </c>
      <c r="R20" s="686">
        <v>0.36</v>
      </c>
      <c r="S20" s="686">
        <v>0.34</v>
      </c>
      <c r="T20" s="686">
        <v>0.34</v>
      </c>
      <c r="U20" s="686">
        <v>0.34</v>
      </c>
      <c r="V20" s="686">
        <v>0.34</v>
      </c>
      <c r="W20" s="686">
        <v>0.34</v>
      </c>
      <c r="X20" s="686">
        <v>0.36</v>
      </c>
      <c r="Y20" s="133"/>
    </row>
    <row r="21" spans="1:50" ht="26.25" customHeight="1" x14ac:dyDescent="0.3">
      <c r="A21" s="849"/>
      <c r="B21" s="849"/>
      <c r="C21" s="855" t="s">
        <v>334</v>
      </c>
      <c r="D21" s="857" t="s">
        <v>335</v>
      </c>
      <c r="E21" s="849" t="s">
        <v>338</v>
      </c>
      <c r="F21" s="753" t="s">
        <v>318</v>
      </c>
      <c r="G21" s="753" t="s">
        <v>319</v>
      </c>
      <c r="H21" s="855" t="s">
        <v>339</v>
      </c>
      <c r="I21" s="753">
        <f>0.79*0.5+I$24*0.5</f>
        <v>0.52</v>
      </c>
      <c r="J21" s="753">
        <f t="shared" ref="J21:X21" si="4">0.79*0.5+J$24*0.5</f>
        <v>0.52</v>
      </c>
      <c r="K21" s="753">
        <f t="shared" si="4"/>
        <v>0.52</v>
      </c>
      <c r="L21" s="753">
        <f t="shared" si="4"/>
        <v>0.52</v>
      </c>
      <c r="M21" s="753">
        <f t="shared" si="4"/>
        <v>0.52</v>
      </c>
      <c r="N21" s="753">
        <f t="shared" si="4"/>
        <v>0.52</v>
      </c>
      <c r="O21" s="753">
        <f t="shared" si="4"/>
        <v>0.52</v>
      </c>
      <c r="P21" s="753">
        <f t="shared" si="4"/>
        <v>0.52</v>
      </c>
      <c r="Q21" s="753">
        <f t="shared" si="4"/>
        <v>0.52</v>
      </c>
      <c r="R21" s="753">
        <f t="shared" si="4"/>
        <v>0.52</v>
      </c>
      <c r="S21" s="753">
        <f t="shared" si="4"/>
        <v>0.52</v>
      </c>
      <c r="T21" s="753">
        <f t="shared" si="4"/>
        <v>0.52</v>
      </c>
      <c r="U21" s="753">
        <f t="shared" si="4"/>
        <v>0.52</v>
      </c>
      <c r="V21" s="753">
        <f t="shared" si="4"/>
        <v>0.52</v>
      </c>
      <c r="W21" s="753">
        <f t="shared" si="4"/>
        <v>0.52</v>
      </c>
      <c r="X21" s="753">
        <f t="shared" si="4"/>
        <v>0.52</v>
      </c>
      <c r="Y21" s="133"/>
    </row>
    <row r="22" spans="1:50" ht="21.75" customHeight="1" x14ac:dyDescent="0.3">
      <c r="A22" s="849"/>
      <c r="B22" s="849"/>
      <c r="C22" s="855"/>
      <c r="D22" s="857"/>
      <c r="E22" s="849"/>
      <c r="F22" s="753" t="s">
        <v>64</v>
      </c>
      <c r="G22" s="691" t="s">
        <v>319</v>
      </c>
      <c r="H22" s="855"/>
      <c r="I22" s="690">
        <f>I21</f>
        <v>0.52</v>
      </c>
      <c r="J22" s="690">
        <f t="shared" ref="J22:X22" si="5">J21</f>
        <v>0.52</v>
      </c>
      <c r="K22" s="690">
        <f t="shared" si="5"/>
        <v>0.52</v>
      </c>
      <c r="L22" s="690">
        <f t="shared" si="5"/>
        <v>0.52</v>
      </c>
      <c r="M22" s="690">
        <f t="shared" si="5"/>
        <v>0.52</v>
      </c>
      <c r="N22" s="690">
        <f t="shared" si="5"/>
        <v>0.52</v>
      </c>
      <c r="O22" s="690">
        <f t="shared" si="5"/>
        <v>0.52</v>
      </c>
      <c r="P22" s="690">
        <f t="shared" si="5"/>
        <v>0.52</v>
      </c>
      <c r="Q22" s="690">
        <f t="shared" si="5"/>
        <v>0.52</v>
      </c>
      <c r="R22" s="690">
        <f t="shared" si="5"/>
        <v>0.52</v>
      </c>
      <c r="S22" s="690">
        <f t="shared" si="5"/>
        <v>0.52</v>
      </c>
      <c r="T22" s="690">
        <f t="shared" si="5"/>
        <v>0.52</v>
      </c>
      <c r="U22" s="690">
        <f t="shared" si="5"/>
        <v>0.52</v>
      </c>
      <c r="V22" s="690">
        <f t="shared" si="5"/>
        <v>0.52</v>
      </c>
      <c r="W22" s="690">
        <f t="shared" si="5"/>
        <v>0.52</v>
      </c>
      <c r="X22" s="690">
        <f t="shared" si="5"/>
        <v>0.52</v>
      </c>
      <c r="Y22" s="133"/>
    </row>
    <row r="23" spans="1:50" ht="39" customHeight="1" x14ac:dyDescent="0.3">
      <c r="A23" s="849"/>
      <c r="B23" s="849"/>
      <c r="C23" s="855"/>
      <c r="D23" s="849"/>
      <c r="E23" s="849"/>
      <c r="F23" s="697" t="s">
        <v>65</v>
      </c>
      <c r="G23" s="680">
        <v>2001</v>
      </c>
      <c r="H23" s="698" t="s">
        <v>340</v>
      </c>
      <c r="I23" s="680">
        <v>0.43</v>
      </c>
      <c r="J23" s="680">
        <v>0.31</v>
      </c>
      <c r="K23" s="680">
        <v>0.41</v>
      </c>
      <c r="L23" s="680">
        <v>0.41</v>
      </c>
      <c r="M23" s="680">
        <v>0.41</v>
      </c>
      <c r="N23" s="693">
        <v>0.34</v>
      </c>
      <c r="O23" s="693">
        <v>0.34</v>
      </c>
      <c r="P23" s="693">
        <v>0.34</v>
      </c>
      <c r="Q23" s="693">
        <v>0.34</v>
      </c>
      <c r="R23" s="693">
        <v>0.31</v>
      </c>
      <c r="S23" s="693">
        <v>0.31</v>
      </c>
      <c r="T23" s="693">
        <v>0.31</v>
      </c>
      <c r="U23" s="693">
        <v>0.31</v>
      </c>
      <c r="V23" s="693">
        <v>0.31</v>
      </c>
      <c r="W23" s="693">
        <v>0.31</v>
      </c>
      <c r="X23" s="680">
        <v>0.43</v>
      </c>
      <c r="Y23" s="133"/>
    </row>
    <row r="24" spans="1:50" ht="13.95" customHeight="1" x14ac:dyDescent="0.3">
      <c r="A24" s="849"/>
      <c r="B24" s="849"/>
      <c r="C24" s="855"/>
      <c r="D24" s="849"/>
      <c r="E24" s="849"/>
      <c r="F24" s="682" t="s">
        <v>66</v>
      </c>
      <c r="G24" s="682">
        <v>2013</v>
      </c>
      <c r="H24" s="694" t="s">
        <v>324</v>
      </c>
      <c r="I24" s="682">
        <v>0.25</v>
      </c>
      <c r="J24" s="682">
        <v>0.25</v>
      </c>
      <c r="K24" s="682">
        <v>0.25</v>
      </c>
      <c r="L24" s="682">
        <v>0.25</v>
      </c>
      <c r="M24" s="682">
        <v>0.25</v>
      </c>
      <c r="N24" s="682">
        <v>0.25</v>
      </c>
      <c r="O24" s="682">
        <v>0.25</v>
      </c>
      <c r="P24" s="682">
        <v>0.25</v>
      </c>
      <c r="Q24" s="682">
        <v>0.25</v>
      </c>
      <c r="R24" s="682">
        <v>0.25</v>
      </c>
      <c r="S24" s="682">
        <v>0.25</v>
      </c>
      <c r="T24" s="682">
        <v>0.25</v>
      </c>
      <c r="U24" s="682">
        <v>0.25</v>
      </c>
      <c r="V24" s="682">
        <v>0.25</v>
      </c>
      <c r="W24" s="682">
        <v>0.25</v>
      </c>
      <c r="X24" s="682">
        <v>0.25</v>
      </c>
      <c r="Y24" s="133"/>
    </row>
    <row r="25" spans="1:50" ht="13.95" customHeight="1" x14ac:dyDescent="0.3">
      <c r="A25" s="849"/>
      <c r="B25" s="849"/>
      <c r="C25" s="855"/>
      <c r="D25" s="849"/>
      <c r="E25" s="849"/>
      <c r="F25" s="684" t="s">
        <v>325</v>
      </c>
      <c r="G25" s="684"/>
      <c r="H25" s="684" t="s">
        <v>326</v>
      </c>
      <c r="I25" s="699" cm="1">
        <f t="array" ref="I25:X25">_xlfn.BYCOL(TRANSPOSE(Weights!$C$4:$F$19)*I21:X24,_xlfn.LAMBDA(_xlpm.c,SUM(_xlpm.c)))</f>
        <v>0.5019292689999999</v>
      </c>
      <c r="J25" s="699">
        <v>0.48972910600000008</v>
      </c>
      <c r="K25" s="699">
        <v>0.48012986600000002</v>
      </c>
      <c r="L25" s="699">
        <v>0.47991968100000004</v>
      </c>
      <c r="M25" s="699">
        <v>0.50772620800000001</v>
      </c>
      <c r="N25" s="699">
        <v>0.47248523800000009</v>
      </c>
      <c r="O25" s="699">
        <v>0.46142233900000007</v>
      </c>
      <c r="P25" s="699">
        <v>0.48303950200000001</v>
      </c>
      <c r="Q25" s="699">
        <v>0.48439649499999998</v>
      </c>
      <c r="R25" s="699">
        <v>0.43248115399999998</v>
      </c>
      <c r="S25" s="699">
        <v>0.45685309299999999</v>
      </c>
      <c r="T25" s="699">
        <v>0.45785015800000001</v>
      </c>
      <c r="U25" s="699">
        <v>0.49596205599999998</v>
      </c>
      <c r="V25" s="699">
        <v>0.45225337299999996</v>
      </c>
      <c r="W25" s="699">
        <v>0.407765404</v>
      </c>
      <c r="X25" s="699">
        <v>0.475521262</v>
      </c>
      <c r="Y25" s="133"/>
    </row>
    <row r="26" spans="1:50" ht="13.95" customHeight="1" x14ac:dyDescent="0.3">
      <c r="A26" s="849"/>
      <c r="B26" s="849"/>
      <c r="C26" s="855"/>
      <c r="D26" s="849"/>
      <c r="E26" s="849"/>
      <c r="F26" s="686" t="s">
        <v>327</v>
      </c>
      <c r="G26" s="687">
        <v>2025</v>
      </c>
      <c r="H26" s="688" t="s">
        <v>328</v>
      </c>
      <c r="I26" s="686">
        <v>0.25</v>
      </c>
      <c r="J26" s="686">
        <v>0.25</v>
      </c>
      <c r="K26" s="686">
        <v>0.25</v>
      </c>
      <c r="L26" s="686">
        <v>0.25</v>
      </c>
      <c r="M26" s="686">
        <v>0.25</v>
      </c>
      <c r="N26" s="686">
        <v>0.25</v>
      </c>
      <c r="O26" s="686">
        <v>0.25</v>
      </c>
      <c r="P26" s="686">
        <v>0.25</v>
      </c>
      <c r="Q26" s="686">
        <v>0.22</v>
      </c>
      <c r="R26" s="686">
        <v>0.25</v>
      </c>
      <c r="S26" s="686">
        <v>0.22</v>
      </c>
      <c r="T26" s="686">
        <v>0.22</v>
      </c>
      <c r="U26" s="686">
        <v>0.22</v>
      </c>
      <c r="V26" s="686">
        <v>0.22</v>
      </c>
      <c r="W26" s="686">
        <v>0.22</v>
      </c>
      <c r="X26" s="686">
        <v>0.25</v>
      </c>
      <c r="Y26" s="133"/>
    </row>
    <row r="27" spans="1:50" ht="15" customHeight="1" x14ac:dyDescent="0.3">
      <c r="A27" s="5"/>
      <c r="B27" s="128"/>
      <c r="C27" s="5"/>
      <c r="D27" s="5"/>
      <c r="E27" s="700"/>
      <c r="F27" s="68"/>
      <c r="G27" s="129"/>
      <c r="H27" s="761"/>
      <c r="I27" s="677"/>
      <c r="J27" s="677"/>
      <c r="K27" s="677"/>
      <c r="L27" s="677"/>
      <c r="M27" s="677"/>
      <c r="N27" s="677"/>
      <c r="O27" s="677"/>
      <c r="P27" s="677"/>
      <c r="Q27" s="677"/>
      <c r="R27" s="677"/>
      <c r="S27" s="677"/>
      <c r="T27" s="677"/>
      <c r="U27" s="677"/>
      <c r="V27" s="677"/>
      <c r="W27" s="677"/>
      <c r="X27" s="677"/>
    </row>
    <row r="28" spans="1:50" ht="25.95" customHeight="1" x14ac:dyDescent="0.3">
      <c r="A28" s="5"/>
      <c r="B28" s="128"/>
      <c r="C28" s="866" t="s">
        <v>341</v>
      </c>
      <c r="D28" s="866"/>
      <c r="E28" s="866"/>
      <c r="F28" s="866"/>
      <c r="G28" s="866"/>
      <c r="H28" s="866"/>
      <c r="I28" s="866"/>
      <c r="J28" s="866"/>
      <c r="K28" s="866"/>
      <c r="L28" s="866"/>
      <c r="M28" s="866"/>
      <c r="N28" s="866"/>
      <c r="O28" s="866"/>
      <c r="P28" s="866"/>
      <c r="Q28" s="866"/>
      <c r="R28" s="866"/>
      <c r="S28" s="866"/>
      <c r="T28" s="866"/>
      <c r="U28" s="866"/>
      <c r="V28" s="866"/>
      <c r="W28" s="866"/>
      <c r="X28" s="866"/>
    </row>
    <row r="29" spans="1:50" ht="41.4" customHeight="1" x14ac:dyDescent="0.3">
      <c r="A29" s="5"/>
      <c r="B29" s="128"/>
      <c r="C29" s="652"/>
      <c r="D29" s="652" t="s">
        <v>124</v>
      </c>
      <c r="E29" s="652" t="s">
        <v>342</v>
      </c>
      <c r="F29" s="33" t="s">
        <v>296</v>
      </c>
      <c r="G29" s="95" t="s">
        <v>343</v>
      </c>
      <c r="H29" s="95" t="s">
        <v>344</v>
      </c>
      <c r="I29" s="858" t="s">
        <v>345</v>
      </c>
      <c r="J29" s="859"/>
      <c r="K29" s="859"/>
      <c r="L29" s="859"/>
      <c r="M29" s="859"/>
      <c r="N29" s="859"/>
      <c r="O29" s="859"/>
      <c r="P29" s="859"/>
      <c r="Q29" s="859"/>
      <c r="R29" s="859"/>
      <c r="S29" s="859"/>
      <c r="T29" s="859"/>
      <c r="U29" s="859"/>
      <c r="V29" s="859"/>
      <c r="W29" s="859"/>
      <c r="X29" s="860"/>
    </row>
    <row r="30" spans="1:50" ht="18" customHeight="1" x14ac:dyDescent="0.3">
      <c r="A30" s="5"/>
      <c r="B30" s="128"/>
      <c r="C30" s="861" t="s">
        <v>346</v>
      </c>
      <c r="D30" s="861" t="s">
        <v>89</v>
      </c>
      <c r="E30" s="861"/>
      <c r="F30" s="712" t="s">
        <v>318</v>
      </c>
      <c r="G30" s="712">
        <v>1.1000000000000001</v>
      </c>
      <c r="H30" s="134" t="s">
        <v>347</v>
      </c>
      <c r="I30" s="853">
        <f>0.112*G30*$AA$32</f>
        <v>0.19527289660076819</v>
      </c>
      <c r="J30" s="853"/>
      <c r="K30" s="853"/>
      <c r="L30" s="853"/>
      <c r="M30" s="853"/>
      <c r="N30" s="853"/>
      <c r="O30" s="853"/>
      <c r="P30" s="853"/>
      <c r="Q30" s="853"/>
      <c r="R30" s="853"/>
      <c r="S30" s="853"/>
      <c r="T30" s="853"/>
      <c r="U30" s="853"/>
      <c r="V30" s="853"/>
      <c r="W30" s="853"/>
      <c r="X30" s="854"/>
      <c r="Z30" s="498" t="s">
        <v>348</v>
      </c>
      <c r="AA30" s="617">
        <f>AA34</f>
        <v>131119.63115356205</v>
      </c>
    </row>
    <row r="31" spans="1:50" ht="18" customHeight="1" x14ac:dyDescent="0.3">
      <c r="A31" s="5"/>
      <c r="B31" s="5"/>
      <c r="C31" s="862"/>
      <c r="D31" s="862"/>
      <c r="E31" s="862"/>
      <c r="F31" s="712" t="s">
        <v>64</v>
      </c>
      <c r="G31" s="712">
        <v>1.1000000000000001</v>
      </c>
      <c r="H31" s="134" t="s">
        <v>347</v>
      </c>
      <c r="I31" s="853">
        <f t="shared" ref="I31:I34" si="6">0.112*G31*$AA$32</f>
        <v>0.19527289660076819</v>
      </c>
      <c r="J31" s="853"/>
      <c r="K31" s="853"/>
      <c r="L31" s="853"/>
      <c r="M31" s="853"/>
      <c r="N31" s="853"/>
      <c r="O31" s="853"/>
      <c r="P31" s="853"/>
      <c r="Q31" s="853"/>
      <c r="R31" s="853"/>
      <c r="S31" s="853"/>
      <c r="T31" s="853"/>
      <c r="U31" s="853"/>
      <c r="V31" s="853"/>
      <c r="W31" s="853"/>
      <c r="X31" s="854"/>
      <c r="Z31" s="498" t="s">
        <v>349</v>
      </c>
      <c r="AA31" s="723">
        <f>AA34+(2*AA33)</f>
        <v>207825.56961510051</v>
      </c>
    </row>
    <row r="32" spans="1:50" ht="18" customHeight="1" x14ac:dyDescent="0.3">
      <c r="A32" s="5"/>
      <c r="B32" s="128"/>
      <c r="C32" s="862"/>
      <c r="D32" s="862"/>
      <c r="E32" s="862"/>
      <c r="F32" s="712" t="s">
        <v>65</v>
      </c>
      <c r="G32" s="712">
        <v>1.1000000000000001</v>
      </c>
      <c r="H32" s="134" t="s">
        <v>347</v>
      </c>
      <c r="I32" s="853">
        <f t="shared" si="6"/>
        <v>0.19527289660076819</v>
      </c>
      <c r="J32" s="853"/>
      <c r="K32" s="853"/>
      <c r="L32" s="853"/>
      <c r="M32" s="853"/>
      <c r="N32" s="853"/>
      <c r="O32" s="853"/>
      <c r="P32" s="853"/>
      <c r="Q32" s="853"/>
      <c r="R32" s="853"/>
      <c r="S32" s="853"/>
      <c r="T32" s="853"/>
      <c r="U32" s="853"/>
      <c r="V32" s="853"/>
      <c r="W32" s="853"/>
      <c r="X32" s="854"/>
      <c r="Y32" s="135"/>
      <c r="Z32" s="498" t="s">
        <v>350</v>
      </c>
      <c r="AA32" s="618">
        <f>AA31/AA30</f>
        <v>1.5850072776036377</v>
      </c>
      <c r="AB32" s="865"/>
      <c r="AC32" s="865"/>
      <c r="AD32" s="865"/>
      <c r="AE32" s="865"/>
      <c r="AF32" s="865"/>
      <c r="AG32" s="865"/>
      <c r="AH32" s="865"/>
      <c r="AI32" s="865"/>
      <c r="AJ32" s="865"/>
      <c r="AK32" s="865"/>
      <c r="AL32" s="865"/>
      <c r="AM32" s="865"/>
      <c r="AN32" s="865"/>
      <c r="AO32" s="865"/>
      <c r="AP32" s="865"/>
      <c r="AQ32" s="865"/>
      <c r="AR32" s="865"/>
      <c r="AS32" s="865"/>
      <c r="AT32" s="865"/>
      <c r="AU32" s="865"/>
      <c r="AV32" s="865"/>
      <c r="AW32" s="865"/>
      <c r="AX32" s="865"/>
    </row>
    <row r="33" spans="1:27" ht="30.6" customHeight="1" x14ac:dyDescent="0.3">
      <c r="A33" s="5"/>
      <c r="B33" s="128"/>
      <c r="C33" s="862"/>
      <c r="D33" s="862"/>
      <c r="E33" s="862"/>
      <c r="F33" s="712" t="s">
        <v>66</v>
      </c>
      <c r="G33" s="712">
        <v>1</v>
      </c>
      <c r="H33" s="676" t="s">
        <v>351</v>
      </c>
      <c r="I33" s="853">
        <f t="shared" si="6"/>
        <v>0.17752081509160741</v>
      </c>
      <c r="J33" s="853"/>
      <c r="K33" s="853"/>
      <c r="L33" s="853"/>
      <c r="M33" s="853"/>
      <c r="N33" s="853"/>
      <c r="O33" s="853"/>
      <c r="P33" s="853"/>
      <c r="Q33" s="853"/>
      <c r="R33" s="853"/>
      <c r="S33" s="853"/>
      <c r="T33" s="853"/>
      <c r="U33" s="853"/>
      <c r="V33" s="853"/>
      <c r="W33" s="853"/>
      <c r="X33" s="854"/>
      <c r="Z33" s="498" t="s">
        <v>352</v>
      </c>
      <c r="AA33" s="723">
        <f>498588.6/13</f>
        <v>38352.969230769231</v>
      </c>
    </row>
    <row r="34" spans="1:27" ht="30.6" customHeight="1" x14ac:dyDescent="0.3">
      <c r="A34" s="5"/>
      <c r="B34" s="128"/>
      <c r="C34" s="862"/>
      <c r="D34" s="862"/>
      <c r="E34" s="862"/>
      <c r="F34" s="653" t="s">
        <v>325</v>
      </c>
      <c r="G34" s="528">
        <v>1.1000000000000001</v>
      </c>
      <c r="H34" s="515" t="s">
        <v>353</v>
      </c>
      <c r="I34" s="853">
        <f t="shared" si="6"/>
        <v>0.19527289660076819</v>
      </c>
      <c r="J34" s="853"/>
      <c r="K34" s="853"/>
      <c r="L34" s="853"/>
      <c r="M34" s="853"/>
      <c r="N34" s="853"/>
      <c r="O34" s="853"/>
      <c r="P34" s="853"/>
      <c r="Q34" s="853"/>
      <c r="R34" s="853"/>
      <c r="S34" s="853"/>
      <c r="T34" s="853"/>
      <c r="U34" s="853"/>
      <c r="V34" s="853"/>
      <c r="W34" s="853"/>
      <c r="X34" s="854"/>
      <c r="Z34" s="498" t="s">
        <v>354</v>
      </c>
      <c r="AA34" s="723">
        <f>(SQRT(AA33/1.5)+1.5*SQRT(AA33/1.5))*2*164</f>
        <v>131119.63115356205</v>
      </c>
    </row>
    <row r="35" spans="1:27" ht="28.95" customHeight="1" x14ac:dyDescent="0.3">
      <c r="A35" s="5"/>
      <c r="B35" s="128"/>
      <c r="C35" s="863"/>
      <c r="D35" s="863"/>
      <c r="E35" s="863"/>
      <c r="F35" s="712" t="s">
        <v>327</v>
      </c>
      <c r="G35" s="712">
        <v>0.6</v>
      </c>
      <c r="H35" s="676" t="s">
        <v>355</v>
      </c>
      <c r="I35" s="853">
        <f>0.112*G35*$AA$32</f>
        <v>0.10651248905496445</v>
      </c>
      <c r="J35" s="853"/>
      <c r="K35" s="853"/>
      <c r="L35" s="853"/>
      <c r="M35" s="853"/>
      <c r="N35" s="853"/>
      <c r="O35" s="853"/>
      <c r="P35" s="853"/>
      <c r="Q35" s="853"/>
      <c r="R35" s="853"/>
      <c r="S35" s="853"/>
      <c r="T35" s="853"/>
      <c r="U35" s="853"/>
      <c r="V35" s="853"/>
      <c r="W35" s="853"/>
      <c r="X35" s="854"/>
    </row>
    <row r="36" spans="1:27" ht="13.8" x14ac:dyDescent="0.3">
      <c r="A36" s="5"/>
      <c r="B36" s="128"/>
      <c r="C36" s="5"/>
      <c r="D36" s="5"/>
      <c r="E36" s="5" t="s">
        <v>356</v>
      </c>
      <c r="F36" s="5"/>
      <c r="G36" s="750"/>
      <c r="H36" s="5"/>
      <c r="I36" s="5"/>
      <c r="J36" s="5"/>
      <c r="K36" s="5"/>
      <c r="L36" s="5"/>
      <c r="M36" s="5"/>
      <c r="N36" s="5"/>
      <c r="O36" s="5"/>
      <c r="P36" s="5"/>
      <c r="Q36" s="5"/>
      <c r="R36" s="5"/>
      <c r="S36" s="5"/>
      <c r="T36" s="5"/>
      <c r="U36" s="5"/>
      <c r="V36" s="5"/>
      <c r="W36" s="5"/>
      <c r="X36" s="5"/>
    </row>
    <row r="37" spans="1:27" ht="13.8" x14ac:dyDescent="0.3">
      <c r="A37" s="5"/>
      <c r="B37" s="128"/>
      <c r="C37" s="5"/>
      <c r="D37" s="5"/>
      <c r="E37" s="5" t="s">
        <v>357</v>
      </c>
      <c r="F37" s="5"/>
      <c r="G37" s="8" t="s">
        <v>48</v>
      </c>
      <c r="H37" s="5"/>
      <c r="I37" s="5"/>
      <c r="J37" s="5"/>
      <c r="K37" s="5"/>
      <c r="L37" s="5"/>
      <c r="M37" s="5"/>
      <c r="N37" s="5"/>
      <c r="O37" s="5"/>
      <c r="P37" s="5"/>
      <c r="Q37" s="5"/>
      <c r="R37" s="5"/>
      <c r="S37" s="5"/>
      <c r="T37" s="5"/>
      <c r="U37" s="5"/>
      <c r="V37" s="5"/>
      <c r="W37" s="5"/>
      <c r="X37" s="5"/>
    </row>
    <row r="38" spans="1:27" ht="13.8" x14ac:dyDescent="0.3">
      <c r="A38" s="5"/>
      <c r="B38" s="128"/>
      <c r="C38" s="5"/>
      <c r="D38" s="5"/>
      <c r="E38" s="5"/>
      <c r="F38" s="5"/>
      <c r="G38" s="750"/>
      <c r="H38" s="5"/>
    </row>
    <row r="40" spans="1:27" ht="13.8" x14ac:dyDescent="0.3">
      <c r="A40" s="852" t="s">
        <v>358</v>
      </c>
      <c r="B40" s="852"/>
      <c r="C40" s="852"/>
      <c r="D40" s="852"/>
      <c r="E40" s="747"/>
      <c r="F40" s="191"/>
      <c r="G40" s="191"/>
      <c r="H40" s="481"/>
    </row>
    <row r="41" spans="1:27" ht="13.8" x14ac:dyDescent="0.3">
      <c r="A41" s="822" t="s">
        <v>359</v>
      </c>
      <c r="B41" s="822"/>
      <c r="C41" s="822"/>
      <c r="D41" s="822"/>
      <c r="E41" s="822"/>
      <c r="F41" s="822"/>
      <c r="G41" s="822"/>
      <c r="H41" s="822"/>
    </row>
    <row r="42" spans="1:27" ht="13.8" x14ac:dyDescent="0.3">
      <c r="A42" s="822" t="s">
        <v>360</v>
      </c>
      <c r="B42" s="822"/>
      <c r="C42" s="822"/>
      <c r="D42" s="822"/>
      <c r="E42" s="822"/>
      <c r="F42" s="822"/>
      <c r="G42" s="822"/>
      <c r="H42" s="822"/>
    </row>
    <row r="43" spans="1:27" ht="13.8" x14ac:dyDescent="0.3">
      <c r="A43" s="850" t="s">
        <v>361</v>
      </c>
      <c r="B43" s="850"/>
      <c r="C43" s="850"/>
      <c r="D43" s="850"/>
      <c r="E43" s="850"/>
      <c r="F43" s="850"/>
      <c r="G43" s="850"/>
      <c r="H43" s="850"/>
    </row>
    <row r="44" spans="1:27" ht="13.8" x14ac:dyDescent="0.3">
      <c r="A44" s="850" t="s">
        <v>362</v>
      </c>
      <c r="B44" s="850"/>
      <c r="C44" s="850"/>
      <c r="D44" s="850"/>
      <c r="E44" s="850"/>
      <c r="F44" s="850"/>
      <c r="G44" s="850"/>
      <c r="H44" s="850"/>
    </row>
    <row r="45" spans="1:27" ht="13.8" x14ac:dyDescent="0.3">
      <c r="A45" s="850" t="s">
        <v>363</v>
      </c>
      <c r="B45" s="850"/>
      <c r="C45" s="850"/>
      <c r="D45" s="850"/>
      <c r="E45" s="850"/>
      <c r="F45" s="850"/>
      <c r="G45" s="850"/>
      <c r="H45" s="850"/>
    </row>
    <row r="46" spans="1:27" ht="13.8" x14ac:dyDescent="0.3">
      <c r="A46" s="851" t="s">
        <v>364</v>
      </c>
      <c r="B46" s="851"/>
      <c r="C46" s="851"/>
      <c r="D46" s="851"/>
      <c r="E46" s="851"/>
      <c r="F46" s="851"/>
      <c r="G46" s="851"/>
      <c r="H46" s="851"/>
    </row>
    <row r="47" spans="1:27" ht="13.8" x14ac:dyDescent="0.3">
      <c r="A47" s="850" t="s">
        <v>365</v>
      </c>
      <c r="B47" s="850"/>
      <c r="C47" s="850"/>
      <c r="D47" s="850"/>
      <c r="E47" s="850"/>
      <c r="F47" s="850"/>
      <c r="G47" s="850"/>
      <c r="H47" s="850"/>
    </row>
    <row r="51" spans="1:24" ht="12.75" customHeight="1" x14ac:dyDescent="0.3">
      <c r="A51" s="500" t="s">
        <v>366</v>
      </c>
      <c r="B51" s="498"/>
      <c r="C51" s="500"/>
      <c r="D51" s="500"/>
      <c r="E51" s="500"/>
      <c r="F51" s="713"/>
      <c r="G51" s="714"/>
      <c r="H51" s="500"/>
      <c r="I51" s="500"/>
      <c r="J51" s="500"/>
      <c r="K51" s="500"/>
      <c r="L51" s="500"/>
      <c r="M51" s="500"/>
      <c r="N51" s="500"/>
      <c r="O51" s="500"/>
      <c r="P51" s="500"/>
      <c r="Q51" s="500"/>
      <c r="R51" s="500"/>
      <c r="S51" s="500"/>
      <c r="T51" s="500"/>
      <c r="U51" s="500"/>
      <c r="V51" s="500"/>
      <c r="W51" s="500"/>
      <c r="X51" s="500"/>
    </row>
    <row r="52" spans="1:24" ht="28.95" customHeight="1" x14ac:dyDescent="0.3">
      <c r="A52" s="838" t="s">
        <v>314</v>
      </c>
      <c r="B52" s="838" t="s">
        <v>89</v>
      </c>
      <c r="C52" s="839" t="s">
        <v>315</v>
      </c>
      <c r="D52" s="839" t="s">
        <v>367</v>
      </c>
      <c r="E52" s="838" t="s">
        <v>368</v>
      </c>
      <c r="F52" s="841" t="s">
        <v>318</v>
      </c>
      <c r="G52" s="844" t="s">
        <v>319</v>
      </c>
      <c r="H52" s="719" t="s">
        <v>369</v>
      </c>
      <c r="I52" s="720">
        <v>0.35199999999999998</v>
      </c>
      <c r="J52" s="720">
        <v>0.35199999999999998</v>
      </c>
      <c r="K52" s="720">
        <v>0.35199999999999998</v>
      </c>
      <c r="L52" s="720">
        <v>0.35199999999999998</v>
      </c>
      <c r="M52" s="720">
        <v>0.35199999999999998</v>
      </c>
      <c r="N52" s="720">
        <v>0.35199999999999998</v>
      </c>
      <c r="O52" s="720">
        <v>0.35199999999999998</v>
      </c>
      <c r="P52" s="720">
        <v>0.35199999999999998</v>
      </c>
      <c r="Q52" s="720">
        <v>0.35199999999999998</v>
      </c>
      <c r="R52" s="720">
        <v>0.35199999999999998</v>
      </c>
      <c r="S52" s="720">
        <v>0.35199999999999998</v>
      </c>
      <c r="T52" s="720">
        <v>0.35199999999999998</v>
      </c>
      <c r="U52" s="720">
        <v>0.35199999999999998</v>
      </c>
      <c r="V52" s="720">
        <v>0.35199999999999998</v>
      </c>
      <c r="W52" s="720">
        <v>0.35199999999999998</v>
      </c>
      <c r="X52" s="720">
        <v>0.35199999999999998</v>
      </c>
    </row>
    <row r="53" spans="1:24" ht="12.75" customHeight="1" x14ac:dyDescent="0.3">
      <c r="A53" s="838"/>
      <c r="B53" s="838"/>
      <c r="C53" s="839"/>
      <c r="D53" s="839"/>
      <c r="E53" s="838"/>
      <c r="F53" s="842"/>
      <c r="G53" s="845"/>
      <c r="H53" s="715" t="s">
        <v>370</v>
      </c>
      <c r="I53" s="716">
        <v>9.8000000000000004E-2</v>
      </c>
      <c r="J53" s="716">
        <v>6.2E-2</v>
      </c>
      <c r="K53" s="716">
        <v>8.2000000000000003E-2</v>
      </c>
      <c r="L53" s="716">
        <v>6.2E-2</v>
      </c>
      <c r="M53" s="716">
        <v>6.2E-2</v>
      </c>
      <c r="N53" s="716">
        <v>9.8000000000000004E-2</v>
      </c>
      <c r="O53" s="716">
        <v>9.8000000000000004E-2</v>
      </c>
      <c r="P53" s="716">
        <v>6.2E-2</v>
      </c>
      <c r="Q53" s="716">
        <v>6.2E-2</v>
      </c>
      <c r="R53" s="716">
        <v>6.2E-2</v>
      </c>
      <c r="S53" s="716">
        <v>6.2E-2</v>
      </c>
      <c r="T53" s="716">
        <v>6.2E-2</v>
      </c>
      <c r="U53" s="716">
        <v>6.2E-2</v>
      </c>
      <c r="V53" s="716">
        <v>6.2E-2</v>
      </c>
      <c r="W53" s="716">
        <v>6.2E-2</v>
      </c>
      <c r="X53" s="716">
        <v>6.2E-2</v>
      </c>
    </row>
    <row r="54" spans="1:24" ht="12.75" customHeight="1" x14ac:dyDescent="0.3">
      <c r="A54" s="838"/>
      <c r="B54" s="838"/>
      <c r="C54" s="839"/>
      <c r="D54" s="839"/>
      <c r="E54" s="838"/>
      <c r="F54" s="842"/>
      <c r="G54" s="845"/>
      <c r="H54" s="715" t="s">
        <v>371</v>
      </c>
      <c r="I54" s="716">
        <v>0.22700000000000001</v>
      </c>
      <c r="J54" s="716">
        <v>0.22700000000000001</v>
      </c>
      <c r="K54" s="716">
        <v>0.22700000000000001</v>
      </c>
      <c r="L54" s="716">
        <v>0.22700000000000001</v>
      </c>
      <c r="M54" s="716">
        <v>0.22700000000000001</v>
      </c>
      <c r="N54" s="716">
        <v>0.22700000000000001</v>
      </c>
      <c r="O54" s="716">
        <v>0.22700000000000001</v>
      </c>
      <c r="P54" s="716">
        <v>0.22700000000000001</v>
      </c>
      <c r="Q54" s="716">
        <v>0.22700000000000001</v>
      </c>
      <c r="R54" s="716">
        <v>0.22700000000000001</v>
      </c>
      <c r="S54" s="716">
        <v>0.22700000000000001</v>
      </c>
      <c r="T54" s="716">
        <v>0.22700000000000001</v>
      </c>
      <c r="U54" s="716">
        <v>0.22700000000000001</v>
      </c>
      <c r="V54" s="716">
        <v>0.22700000000000001</v>
      </c>
      <c r="W54" s="716">
        <v>0.22700000000000001</v>
      </c>
      <c r="X54" s="716">
        <v>0.22700000000000001</v>
      </c>
    </row>
    <row r="55" spans="1:24" ht="36.75" customHeight="1" x14ac:dyDescent="0.3">
      <c r="A55" s="838"/>
      <c r="B55" s="838"/>
      <c r="C55" s="839"/>
      <c r="D55" s="839"/>
      <c r="E55" s="840"/>
      <c r="F55" s="843"/>
      <c r="G55" s="846"/>
      <c r="H55" s="722" t="s">
        <v>372</v>
      </c>
      <c r="I55" s="835">
        <v>7.3999999999999996E-2</v>
      </c>
      <c r="J55" s="836"/>
      <c r="K55" s="836"/>
      <c r="L55" s="836"/>
      <c r="M55" s="836"/>
      <c r="N55" s="836"/>
      <c r="O55" s="836"/>
      <c r="P55" s="836"/>
      <c r="Q55" s="836"/>
      <c r="R55" s="836"/>
      <c r="S55" s="836"/>
      <c r="T55" s="836"/>
      <c r="U55" s="836"/>
      <c r="V55" s="836"/>
      <c r="W55" s="836"/>
      <c r="X55" s="837"/>
    </row>
    <row r="56" spans="1:24" ht="12.75" customHeight="1" x14ac:dyDescent="0.3">
      <c r="A56" s="191"/>
      <c r="B56" s="191"/>
      <c r="C56" s="481"/>
      <c r="D56" s="481"/>
      <c r="E56" s="717"/>
      <c r="F56" s="717"/>
      <c r="G56" s="717"/>
      <c r="H56" s="670"/>
      <c r="I56" s="718"/>
      <c r="J56" s="718"/>
      <c r="K56" s="718"/>
      <c r="L56" s="718"/>
      <c r="M56" s="718"/>
      <c r="N56" s="718"/>
      <c r="O56" s="718"/>
      <c r="P56" s="718"/>
      <c r="Q56" s="718"/>
      <c r="R56" s="718"/>
      <c r="S56" s="718"/>
      <c r="T56" s="718"/>
      <c r="U56" s="718"/>
      <c r="V56" s="718"/>
      <c r="W56" s="718"/>
      <c r="X56" s="718"/>
    </row>
    <row r="57" spans="1:24" ht="13.8" x14ac:dyDescent="0.3">
      <c r="B57" s="130"/>
      <c r="G57" s="130"/>
    </row>
  </sheetData>
  <mergeCells count="56">
    <mergeCell ref="H9:H10"/>
    <mergeCell ref="A1:X1"/>
    <mergeCell ref="AU32:AX32"/>
    <mergeCell ref="AG32:AK32"/>
    <mergeCell ref="AB32:AF32"/>
    <mergeCell ref="AL32:AP32"/>
    <mergeCell ref="A9:A14"/>
    <mergeCell ref="C15:C20"/>
    <mergeCell ref="B9:B14"/>
    <mergeCell ref="B15:B26"/>
    <mergeCell ref="AQ32:AT32"/>
    <mergeCell ref="H21:H22"/>
    <mergeCell ref="C30:C35"/>
    <mergeCell ref="D30:D35"/>
    <mergeCell ref="C28:X28"/>
    <mergeCell ref="C21:C26"/>
    <mergeCell ref="E21:E26"/>
    <mergeCell ref="A15:A26"/>
    <mergeCell ref="E3:E8"/>
    <mergeCell ref="B3:B8"/>
    <mergeCell ref="A3:A8"/>
    <mergeCell ref="D3:D8"/>
    <mergeCell ref="C3:C8"/>
    <mergeCell ref="C9:C14"/>
    <mergeCell ref="I33:X33"/>
    <mergeCell ref="E9:E14"/>
    <mergeCell ref="E15:E20"/>
    <mergeCell ref="D9:D14"/>
    <mergeCell ref="D17:D20"/>
    <mergeCell ref="D15:D16"/>
    <mergeCell ref="I29:X29"/>
    <mergeCell ref="I30:X30"/>
    <mergeCell ref="I31:X31"/>
    <mergeCell ref="I32:X32"/>
    <mergeCell ref="D23:D26"/>
    <mergeCell ref="E30:E35"/>
    <mergeCell ref="I35:X35"/>
    <mergeCell ref="H15:H16"/>
    <mergeCell ref="I34:X34"/>
    <mergeCell ref="D21:D22"/>
    <mergeCell ref="A45:H45"/>
    <mergeCell ref="A46:H46"/>
    <mergeCell ref="A47:H47"/>
    <mergeCell ref="A40:D40"/>
    <mergeCell ref="A41:H41"/>
    <mergeCell ref="A42:H42"/>
    <mergeCell ref="A43:H43"/>
    <mergeCell ref="A44:H44"/>
    <mergeCell ref="I55:X55"/>
    <mergeCell ref="A52:A55"/>
    <mergeCell ref="B52:B55"/>
    <mergeCell ref="C52:C55"/>
    <mergeCell ref="D52:D55"/>
    <mergeCell ref="E52:E55"/>
    <mergeCell ref="F52:F55"/>
    <mergeCell ref="G52:G55"/>
  </mergeCells>
  <phoneticPr fontId="6" type="noConversion"/>
  <hyperlinks>
    <hyperlink ref="G37" r:id="rId1"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47767100-2D7C-46B6-95AD-4A5D4E2EB81D}"/>
    <hyperlink ref="H30" r:id="rId2" xr:uid="{A20C1499-9051-4B15-87D5-B82E98E1A348}"/>
    <hyperlink ref="H31:H32" r:id="rId3" display="2022 CASE report (Table 38)" xr:uid="{063DFBE5-9FD0-452C-BDAD-2E47FE53458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N130"/>
  <sheetViews>
    <sheetView zoomScale="85" zoomScaleNormal="85" workbookViewId="0">
      <selection sqref="A1:F1"/>
    </sheetView>
  </sheetViews>
  <sheetFormatPr defaultColWidth="8.6640625" defaultRowHeight="13.2" x14ac:dyDescent="0.25"/>
  <cols>
    <col min="1" max="1" width="15.33203125" style="5" customWidth="1"/>
    <col min="2" max="2" width="31.44140625" style="5" customWidth="1"/>
    <col min="3" max="3" width="33.44140625" style="5" customWidth="1"/>
    <col min="4" max="4" width="36.44140625" style="5" customWidth="1"/>
    <col min="5" max="5" width="43.88671875" style="5" customWidth="1"/>
    <col min="6" max="6" width="43.44140625" style="5" customWidth="1"/>
    <col min="7" max="7" width="59.6640625" style="5" customWidth="1"/>
    <col min="8" max="8" width="34.33203125" style="5" customWidth="1"/>
    <col min="9" max="9" width="20.5546875" style="5" customWidth="1"/>
    <col min="10" max="12" width="12.6640625" style="5" customWidth="1"/>
    <col min="13" max="13" width="15.5546875" style="5" customWidth="1"/>
    <col min="14" max="17" width="15.33203125" style="5" customWidth="1"/>
    <col min="18" max="18" width="11.44140625" style="5" customWidth="1"/>
    <col min="19" max="21" width="15.33203125" style="5" customWidth="1"/>
    <col min="22" max="22" width="14.6640625" style="5" customWidth="1"/>
    <col min="23" max="23" width="13.5546875" style="5" customWidth="1"/>
    <col min="24" max="24" width="15.6640625" style="5" customWidth="1"/>
    <col min="25" max="31" width="11" style="5" customWidth="1"/>
    <col min="32" max="40" width="6.5546875" style="5" customWidth="1"/>
    <col min="41" max="41" width="8.6640625" style="5" customWidth="1"/>
    <col min="42" max="16384" width="8.6640625" style="5"/>
  </cols>
  <sheetData>
    <row r="1" spans="1:22" ht="27" customHeight="1" x14ac:dyDescent="0.3">
      <c r="A1" s="864" t="str">
        <f>"HVAC system - "&amp;Prototype!A2</f>
        <v>HVAC system - OfficeLarge</v>
      </c>
      <c r="B1" s="864"/>
      <c r="C1" s="864"/>
      <c r="D1" s="864"/>
      <c r="E1" s="864"/>
      <c r="F1" s="864"/>
      <c r="G1" s="756"/>
      <c r="I1" s="634" t="s">
        <v>373</v>
      </c>
      <c r="J1" s="635"/>
      <c r="K1" s="635"/>
      <c r="L1" s="635"/>
      <c r="M1" s="635"/>
      <c r="N1" s="635"/>
      <c r="O1" s="6"/>
      <c r="P1" s="635"/>
      <c r="Q1" s="635"/>
      <c r="R1" s="635"/>
      <c r="S1" s="635"/>
      <c r="T1" s="635"/>
      <c r="U1" s="635"/>
      <c r="V1" s="635"/>
    </row>
    <row r="2" spans="1:22" ht="19.2" customHeight="1" x14ac:dyDescent="0.3">
      <c r="A2" s="33" t="s">
        <v>296</v>
      </c>
      <c r="B2" s="105" t="s">
        <v>342</v>
      </c>
      <c r="C2" s="105" t="s">
        <v>374</v>
      </c>
      <c r="D2" s="105" t="s">
        <v>375</v>
      </c>
      <c r="E2" s="105" t="s">
        <v>376</v>
      </c>
      <c r="F2" s="512" t="s">
        <v>377</v>
      </c>
      <c r="G2" s="105" t="s">
        <v>378</v>
      </c>
      <c r="I2" s="636" t="s">
        <v>146</v>
      </c>
      <c r="J2" s="635"/>
      <c r="K2" s="635"/>
      <c r="L2" s="635"/>
      <c r="M2" s="635"/>
      <c r="N2" s="636" t="s">
        <v>147</v>
      </c>
      <c r="O2" s="635"/>
      <c r="P2" s="635"/>
      <c r="Q2" s="635"/>
      <c r="R2" s="635"/>
      <c r="S2" s="636" t="s">
        <v>148</v>
      </c>
      <c r="T2" s="635"/>
      <c r="U2" s="635"/>
      <c r="V2" s="635"/>
    </row>
    <row r="3" spans="1:22" ht="28.2" customHeight="1" x14ac:dyDescent="0.25">
      <c r="A3" s="889" t="s">
        <v>379</v>
      </c>
      <c r="B3" s="759" t="s">
        <v>380</v>
      </c>
      <c r="C3" s="108" t="s">
        <v>224</v>
      </c>
      <c r="D3" s="109" t="s">
        <v>381</v>
      </c>
      <c r="E3" s="760" t="s">
        <v>382</v>
      </c>
      <c r="F3" s="513" t="s">
        <v>383</v>
      </c>
      <c r="G3" s="760" t="s">
        <v>384</v>
      </c>
      <c r="H3" s="747"/>
      <c r="I3" s="747"/>
      <c r="J3" s="747"/>
      <c r="K3" s="747"/>
    </row>
    <row r="4" spans="1:22" ht="41.4" customHeight="1" x14ac:dyDescent="0.25">
      <c r="A4" s="889"/>
      <c r="B4" s="759" t="s">
        <v>385</v>
      </c>
      <c r="C4" s="108" t="s">
        <v>224</v>
      </c>
      <c r="D4" s="109" t="s">
        <v>386</v>
      </c>
      <c r="E4" s="109" t="s">
        <v>387</v>
      </c>
      <c r="F4" s="514" t="s">
        <v>196</v>
      </c>
      <c r="G4" s="760" t="s">
        <v>384</v>
      </c>
      <c r="I4" s="106"/>
      <c r="J4" s="106"/>
      <c r="K4" s="106"/>
    </row>
    <row r="5" spans="1:22" ht="53.25" customHeight="1" x14ac:dyDescent="0.25">
      <c r="A5" s="889"/>
      <c r="B5" s="759" t="s">
        <v>388</v>
      </c>
      <c r="C5" s="759" t="s">
        <v>389</v>
      </c>
      <c r="D5" s="109" t="s">
        <v>390</v>
      </c>
      <c r="E5" s="760" t="s">
        <v>391</v>
      </c>
      <c r="F5" s="514" t="s">
        <v>392</v>
      </c>
      <c r="G5" s="760" t="s">
        <v>393</v>
      </c>
      <c r="H5" s="747"/>
    </row>
    <row r="6" spans="1:22" ht="48" customHeight="1" x14ac:dyDescent="0.25">
      <c r="A6" s="890" t="s">
        <v>394</v>
      </c>
      <c r="B6" s="759" t="s">
        <v>380</v>
      </c>
      <c r="C6" s="108" t="s">
        <v>224</v>
      </c>
      <c r="D6" s="109" t="s">
        <v>381</v>
      </c>
      <c r="E6" s="760" t="s">
        <v>382</v>
      </c>
      <c r="F6" s="514" t="s">
        <v>395</v>
      </c>
      <c r="G6" s="760" t="s">
        <v>396</v>
      </c>
    </row>
    <row r="7" spans="1:22" ht="39" customHeight="1" x14ac:dyDescent="0.25">
      <c r="A7" s="890"/>
      <c r="B7" s="759" t="s">
        <v>385</v>
      </c>
      <c r="C7" s="108" t="s">
        <v>224</v>
      </c>
      <c r="D7" s="109" t="s">
        <v>386</v>
      </c>
      <c r="E7" s="109" t="s">
        <v>387</v>
      </c>
      <c r="F7" s="514" t="s">
        <v>196</v>
      </c>
      <c r="G7" s="760" t="s">
        <v>396</v>
      </c>
    </row>
    <row r="8" spans="1:22" ht="54.75" customHeight="1" x14ac:dyDescent="0.25">
      <c r="A8" s="890"/>
      <c r="B8" s="759" t="s">
        <v>388</v>
      </c>
      <c r="C8" s="759" t="s">
        <v>389</v>
      </c>
      <c r="D8" s="109" t="s">
        <v>390</v>
      </c>
      <c r="E8" s="760" t="s">
        <v>391</v>
      </c>
      <c r="F8" s="514" t="s">
        <v>397</v>
      </c>
      <c r="G8" s="760" t="s">
        <v>396</v>
      </c>
    </row>
    <row r="9" spans="1:22" x14ac:dyDescent="0.25">
      <c r="I9" s="191"/>
      <c r="J9" s="191"/>
      <c r="L9" s="191"/>
    </row>
    <row r="10" spans="1:22" x14ac:dyDescent="0.25">
      <c r="I10" s="191"/>
      <c r="J10" s="191"/>
      <c r="L10" s="191"/>
    </row>
    <row r="11" spans="1:22" x14ac:dyDescent="0.25">
      <c r="I11" s="191"/>
      <c r="J11" s="191"/>
      <c r="L11" s="191"/>
    </row>
    <row r="12" spans="1:22" x14ac:dyDescent="0.25">
      <c r="I12" s="191"/>
      <c r="J12" s="191"/>
      <c r="L12" s="191"/>
    </row>
    <row r="13" spans="1:22" ht="41.25" customHeight="1" x14ac:dyDescent="0.25">
      <c r="A13" s="864" t="s">
        <v>398</v>
      </c>
      <c r="B13" s="864"/>
      <c r="C13" s="864"/>
      <c r="D13" s="864"/>
      <c r="E13" s="864"/>
      <c r="F13" s="864"/>
      <c r="G13" s="864"/>
      <c r="H13" s="864"/>
    </row>
    <row r="14" spans="1:22" ht="40.950000000000003" customHeight="1" x14ac:dyDescent="0.25">
      <c r="A14" s="33"/>
      <c r="B14" s="33" t="s">
        <v>399</v>
      </c>
      <c r="C14" s="63" t="s">
        <v>400</v>
      </c>
      <c r="D14" s="454" t="s">
        <v>401</v>
      </c>
      <c r="E14" s="454" t="s">
        <v>389</v>
      </c>
      <c r="F14" s="516" t="s">
        <v>402</v>
      </c>
      <c r="G14" s="105" t="s">
        <v>403</v>
      </c>
      <c r="H14" s="33" t="s">
        <v>344</v>
      </c>
    </row>
    <row r="15" spans="1:22" ht="45" customHeight="1" x14ac:dyDescent="0.25">
      <c r="A15" s="712" t="s">
        <v>318</v>
      </c>
      <c r="B15" s="898">
        <v>2008</v>
      </c>
      <c r="C15" s="901" t="s">
        <v>404</v>
      </c>
      <c r="D15" s="892" t="s">
        <v>405</v>
      </c>
      <c r="E15" s="895" t="s">
        <v>406</v>
      </c>
      <c r="F15" s="876" t="s">
        <v>407</v>
      </c>
      <c r="G15" s="878" t="s">
        <v>408</v>
      </c>
      <c r="H15" s="870" t="s">
        <v>409</v>
      </c>
      <c r="I15" s="58"/>
    </row>
    <row r="16" spans="1:22" ht="45" customHeight="1" x14ac:dyDescent="0.25">
      <c r="A16" s="712" t="s">
        <v>64</v>
      </c>
      <c r="B16" s="899"/>
      <c r="C16" s="896"/>
      <c r="D16" s="893"/>
      <c r="E16" s="896"/>
      <c r="F16" s="876"/>
      <c r="G16" s="879"/>
      <c r="H16" s="871"/>
    </row>
    <row r="17" spans="1:40" ht="45" customHeight="1" x14ac:dyDescent="0.25">
      <c r="A17" s="712" t="s">
        <v>65</v>
      </c>
      <c r="B17" s="900"/>
      <c r="C17" s="897"/>
      <c r="D17" s="894"/>
      <c r="E17" s="897"/>
      <c r="F17" s="876"/>
      <c r="G17" s="880"/>
      <c r="H17" s="872"/>
    </row>
    <row r="18" spans="1:40" ht="81" customHeight="1" x14ac:dyDescent="0.25">
      <c r="A18" s="712" t="s">
        <v>66</v>
      </c>
      <c r="B18" s="678" t="s">
        <v>410</v>
      </c>
      <c r="C18" s="515" t="s">
        <v>411</v>
      </c>
      <c r="D18" s="515" t="s">
        <v>412</v>
      </c>
      <c r="E18" s="515" t="s">
        <v>413</v>
      </c>
      <c r="F18" s="722" t="s">
        <v>414</v>
      </c>
      <c r="G18" s="517" t="s">
        <v>415</v>
      </c>
      <c r="H18" s="119" t="s">
        <v>416</v>
      </c>
    </row>
    <row r="19" spans="1:40" ht="78" customHeight="1" x14ac:dyDescent="0.3">
      <c r="A19" s="761" t="s">
        <v>394</v>
      </c>
      <c r="B19" s="126">
        <v>2025</v>
      </c>
      <c r="C19" s="515" t="s">
        <v>417</v>
      </c>
      <c r="D19" s="515" t="s">
        <v>418</v>
      </c>
      <c r="E19" s="515" t="s">
        <v>419</v>
      </c>
      <c r="F19" s="722" t="s">
        <v>414</v>
      </c>
      <c r="G19" s="517" t="s">
        <v>420</v>
      </c>
      <c r="H19" s="119" t="s">
        <v>421</v>
      </c>
      <c r="I19" s="1"/>
    </row>
    <row r="20" spans="1:40" ht="18" customHeight="1" x14ac:dyDescent="0.3">
      <c r="A20" s="191" t="s">
        <v>422</v>
      </c>
      <c r="B20" s="191"/>
      <c r="C20" s="747"/>
      <c r="D20" s="191"/>
      <c r="E20" s="481"/>
      <c r="F20" s="121"/>
      <c r="H20" s="1"/>
    </row>
    <row r="21" spans="1:40" ht="14.4" x14ac:dyDescent="0.25">
      <c r="A21" s="127" t="s">
        <v>296</v>
      </c>
      <c r="B21" s="5" t="s">
        <v>423</v>
      </c>
      <c r="C21" s="120" t="s">
        <v>424</v>
      </c>
      <c r="D21" s="120" t="s">
        <v>425</v>
      </c>
      <c r="E21" s="58" t="s">
        <v>426</v>
      </c>
      <c r="F21" s="118" t="s">
        <v>427</v>
      </c>
      <c r="G21" s="118" t="s">
        <v>428</v>
      </c>
      <c r="H21" s="5" t="s">
        <v>429</v>
      </c>
    </row>
    <row r="22" spans="1:40" x14ac:dyDescent="0.25">
      <c r="A22" s="5" t="s">
        <v>325</v>
      </c>
      <c r="B22" s="5" t="s">
        <v>430</v>
      </c>
      <c r="C22" s="6" t="s">
        <v>431</v>
      </c>
      <c r="D22" s="6">
        <v>2.5</v>
      </c>
      <c r="E22" s="34">
        <v>0.65</v>
      </c>
      <c r="F22" s="6" t="s">
        <v>432</v>
      </c>
      <c r="G22" s="6"/>
      <c r="H22" s="5" t="s">
        <v>433</v>
      </c>
    </row>
    <row r="23" spans="1:40" x14ac:dyDescent="0.25">
      <c r="C23" s="5" t="s">
        <v>434</v>
      </c>
      <c r="D23" s="6">
        <v>4.09</v>
      </c>
      <c r="E23" s="34"/>
      <c r="F23" s="6"/>
      <c r="G23" s="6"/>
    </row>
    <row r="24" spans="1:40" x14ac:dyDescent="0.25">
      <c r="A24" s="118"/>
      <c r="B24" s="36"/>
      <c r="C24" s="6" t="s">
        <v>435</v>
      </c>
      <c r="D24" s="6">
        <v>5.58</v>
      </c>
      <c r="E24" s="34"/>
      <c r="F24" s="6"/>
      <c r="G24" s="6"/>
    </row>
    <row r="25" spans="1:40" x14ac:dyDescent="0.25">
      <c r="A25" s="5" t="s">
        <v>394</v>
      </c>
      <c r="B25" s="36" t="s">
        <v>436</v>
      </c>
      <c r="C25" s="6" t="s">
        <v>437</v>
      </c>
      <c r="D25" s="6" t="s">
        <v>438</v>
      </c>
      <c r="E25" s="34">
        <v>0.65</v>
      </c>
      <c r="F25" s="6" t="s">
        <v>439</v>
      </c>
      <c r="G25" s="6">
        <v>0.57999999999999996</v>
      </c>
      <c r="H25" s="5" t="s">
        <v>440</v>
      </c>
    </row>
    <row r="26" spans="1:40" ht="18.600000000000001" customHeight="1" x14ac:dyDescent="0.25">
      <c r="B26" s="7"/>
      <c r="C26" s="5" t="s">
        <v>441</v>
      </c>
      <c r="D26" s="5" t="s">
        <v>438</v>
      </c>
      <c r="E26" s="30"/>
      <c r="F26" s="6"/>
      <c r="G26" s="6" t="s">
        <v>442</v>
      </c>
      <c r="H26" s="5" t="s">
        <v>443</v>
      </c>
    </row>
    <row r="27" spans="1:40" s="21" customFormat="1" hidden="1" x14ac:dyDescent="0.25">
      <c r="B27" s="21" t="s">
        <v>444</v>
      </c>
      <c r="J27" s="5"/>
    </row>
    <row r="28" spans="1:40" hidden="1" x14ac:dyDescent="0.25">
      <c r="W28" s="29"/>
      <c r="X28" s="49"/>
      <c r="Y28" s="50"/>
      <c r="Z28" s="50"/>
      <c r="AA28" s="50"/>
      <c r="AB28" s="50"/>
      <c r="AC28" s="50"/>
      <c r="AD28" s="50"/>
      <c r="AE28" s="50"/>
      <c r="AF28" s="50"/>
      <c r="AG28" s="50"/>
      <c r="AH28" s="50"/>
      <c r="AI28" s="50"/>
      <c r="AJ28" s="50"/>
      <c r="AK28" s="50"/>
      <c r="AL28" s="50"/>
      <c r="AM28" s="50"/>
      <c r="AN28" s="50"/>
    </row>
    <row r="29" spans="1:40" ht="17.399999999999999" hidden="1" x14ac:dyDescent="0.25">
      <c r="A29" s="89"/>
      <c r="B29" s="89" t="s">
        <v>445</v>
      </c>
      <c r="C29" s="90"/>
      <c r="D29" s="90"/>
      <c r="E29" s="90"/>
      <c r="F29" s="90"/>
      <c r="G29" s="90"/>
      <c r="H29" s="90"/>
      <c r="I29" s="90"/>
      <c r="W29" s="29"/>
      <c r="X29" s="49"/>
      <c r="Y29" s="50"/>
      <c r="Z29" s="50"/>
      <c r="AA29" s="50"/>
      <c r="AB29" s="50"/>
      <c r="AC29" s="50"/>
      <c r="AD29" s="50"/>
      <c r="AE29" s="50"/>
      <c r="AF29" s="50"/>
      <c r="AG29" s="50"/>
      <c r="AH29" s="50"/>
      <c r="AI29" s="50"/>
      <c r="AJ29" s="50"/>
      <c r="AK29" s="50"/>
      <c r="AL29" s="50"/>
      <c r="AM29" s="50"/>
      <c r="AN29" s="50"/>
    </row>
    <row r="30" spans="1:40" ht="17.399999999999999" hidden="1" x14ac:dyDescent="0.3">
      <c r="A30" s="53"/>
      <c r="B30" s="53"/>
      <c r="C30" s="145"/>
      <c r="D30" s="145"/>
      <c r="E30" s="145"/>
      <c r="F30" s="145"/>
      <c r="G30" s="145"/>
      <c r="H30" s="145"/>
      <c r="I30" s="145"/>
      <c r="W30" s="29"/>
      <c r="X30" s="49"/>
      <c r="Y30" s="50"/>
      <c r="Z30" s="50"/>
      <c r="AA30" s="50"/>
      <c r="AB30" s="50"/>
      <c r="AC30" s="50"/>
      <c r="AD30" s="50"/>
      <c r="AE30" s="50"/>
      <c r="AF30" s="50"/>
      <c r="AG30" s="50"/>
      <c r="AH30" s="50"/>
      <c r="AI30" s="50"/>
      <c r="AJ30" s="50"/>
      <c r="AK30" s="50"/>
      <c r="AL30" s="50"/>
      <c r="AM30" s="50"/>
      <c r="AN30" s="50"/>
    </row>
    <row r="31" spans="1:40" ht="13.8" hidden="1" x14ac:dyDescent="0.25">
      <c r="B31" s="116" t="s">
        <v>446</v>
      </c>
      <c r="C31" s="116" t="s">
        <v>447</v>
      </c>
      <c r="D31" s="116" t="s">
        <v>448</v>
      </c>
      <c r="E31" s="116" t="s">
        <v>449</v>
      </c>
      <c r="F31" s="116" t="s">
        <v>450</v>
      </c>
      <c r="G31" s="116" t="s">
        <v>451</v>
      </c>
      <c r="V31" s="29"/>
      <c r="W31" s="49"/>
      <c r="X31" s="50"/>
      <c r="Y31" s="50"/>
      <c r="Z31" s="50"/>
      <c r="AA31" s="50"/>
      <c r="AB31" s="50"/>
      <c r="AC31" s="50"/>
      <c r="AD31" s="50"/>
      <c r="AE31" s="50"/>
      <c r="AF31" s="50"/>
      <c r="AG31" s="50"/>
      <c r="AH31" s="50"/>
      <c r="AI31" s="50"/>
      <c r="AJ31" s="50"/>
      <c r="AK31" s="50"/>
      <c r="AL31" s="50"/>
      <c r="AM31" s="50"/>
    </row>
    <row r="32" spans="1:40" ht="13.8" hidden="1" x14ac:dyDescent="0.25">
      <c r="A32" s="116" t="s">
        <v>452</v>
      </c>
      <c r="B32" s="151" t="s">
        <v>453</v>
      </c>
      <c r="C32" s="151"/>
      <c r="D32" s="151"/>
      <c r="E32" s="151" t="s">
        <v>454</v>
      </c>
      <c r="F32" s="147" t="s">
        <v>455</v>
      </c>
      <c r="G32" s="147" t="s">
        <v>456</v>
      </c>
      <c r="V32" s="29"/>
      <c r="W32" s="49"/>
      <c r="X32" s="50"/>
      <c r="Y32" s="50"/>
      <c r="Z32" s="50"/>
      <c r="AA32" s="50"/>
      <c r="AB32" s="50"/>
      <c r="AC32" s="50"/>
      <c r="AD32" s="50"/>
      <c r="AE32" s="50"/>
      <c r="AF32" s="50"/>
      <c r="AG32" s="50"/>
      <c r="AH32" s="50"/>
      <c r="AI32" s="50"/>
      <c r="AJ32" s="50"/>
      <c r="AK32" s="50"/>
      <c r="AL32" s="50"/>
      <c r="AM32" s="50"/>
    </row>
    <row r="33" spans="1:40" ht="13.8" hidden="1" x14ac:dyDescent="0.25">
      <c r="A33" s="116" t="s">
        <v>457</v>
      </c>
      <c r="B33" s="151" t="s">
        <v>453</v>
      </c>
      <c r="C33" s="151"/>
      <c r="D33" s="151"/>
      <c r="E33" s="151" t="s">
        <v>454</v>
      </c>
      <c r="F33" s="151" t="s">
        <v>458</v>
      </c>
      <c r="G33" s="151" t="s">
        <v>389</v>
      </c>
      <c r="V33" s="29"/>
      <c r="W33" s="49"/>
      <c r="X33" s="50"/>
      <c r="Y33" s="50"/>
      <c r="Z33" s="50"/>
      <c r="AA33" s="50"/>
      <c r="AB33" s="50"/>
      <c r="AC33" s="50"/>
      <c r="AD33" s="50"/>
      <c r="AE33" s="50"/>
      <c r="AF33" s="50"/>
      <c r="AG33" s="50"/>
      <c r="AH33" s="50"/>
      <c r="AI33" s="50"/>
      <c r="AJ33" s="50"/>
      <c r="AK33" s="50"/>
      <c r="AL33" s="50"/>
      <c r="AM33" s="50"/>
    </row>
    <row r="34" spans="1:40" ht="27.6" hidden="1" x14ac:dyDescent="0.25">
      <c r="A34" s="902" t="s">
        <v>459</v>
      </c>
      <c r="B34" s="115" t="s">
        <v>460</v>
      </c>
      <c r="C34" s="117" t="s">
        <v>461</v>
      </c>
      <c r="D34" s="117" t="s">
        <v>462</v>
      </c>
      <c r="E34" s="117" t="s">
        <v>463</v>
      </c>
      <c r="F34" s="117" t="s">
        <v>464</v>
      </c>
      <c r="G34" s="117" t="s">
        <v>456</v>
      </c>
      <c r="V34" s="29"/>
      <c r="W34" s="49"/>
      <c r="X34" s="50"/>
      <c r="Y34" s="50"/>
      <c r="Z34" s="50"/>
      <c r="AA34" s="50"/>
      <c r="AB34" s="50"/>
      <c r="AC34" s="50"/>
      <c r="AD34" s="50"/>
      <c r="AE34" s="50"/>
      <c r="AF34" s="50"/>
      <c r="AG34" s="50"/>
      <c r="AH34" s="50"/>
      <c r="AI34" s="50"/>
      <c r="AJ34" s="50"/>
      <c r="AK34" s="50"/>
      <c r="AL34" s="50"/>
      <c r="AM34" s="50"/>
    </row>
    <row r="35" spans="1:40" ht="13.8" hidden="1" x14ac:dyDescent="0.25">
      <c r="A35" s="903"/>
      <c r="B35" s="115" t="s">
        <v>465</v>
      </c>
      <c r="C35" s="114" t="s">
        <v>466</v>
      </c>
      <c r="D35" s="114" t="s">
        <v>467</v>
      </c>
      <c r="E35" s="114" t="s">
        <v>463</v>
      </c>
      <c r="F35" s="114" t="s">
        <v>455</v>
      </c>
      <c r="G35" s="114" t="s">
        <v>456</v>
      </c>
      <c r="V35" s="29"/>
      <c r="W35" s="49"/>
      <c r="X35" s="50"/>
      <c r="Y35" s="50"/>
      <c r="Z35" s="50"/>
      <c r="AA35" s="50"/>
      <c r="AB35" s="50"/>
      <c r="AC35" s="50"/>
      <c r="AD35" s="50"/>
      <c r="AE35" s="50"/>
      <c r="AF35" s="50"/>
      <c r="AG35" s="50"/>
      <c r="AH35" s="50"/>
      <c r="AI35" s="50"/>
      <c r="AJ35" s="50"/>
      <c r="AK35" s="50"/>
      <c r="AL35" s="50"/>
      <c r="AM35" s="50"/>
    </row>
    <row r="36" spans="1:40" ht="13.8" hidden="1" x14ac:dyDescent="0.25">
      <c r="A36" s="904"/>
      <c r="B36" s="152" t="s">
        <v>468</v>
      </c>
      <c r="C36" s="146" t="s">
        <v>469</v>
      </c>
      <c r="D36" s="146" t="s">
        <v>470</v>
      </c>
      <c r="E36" s="146" t="s">
        <v>454</v>
      </c>
      <c r="F36" s="146" t="s">
        <v>455</v>
      </c>
      <c r="G36" s="146" t="s">
        <v>456</v>
      </c>
      <c r="V36" s="29"/>
      <c r="W36" s="49"/>
      <c r="X36" s="50"/>
      <c r="Y36" s="50"/>
      <c r="Z36" s="50"/>
      <c r="AA36" s="50"/>
      <c r="AB36" s="50"/>
      <c r="AC36" s="50"/>
      <c r="AD36" s="50"/>
      <c r="AE36" s="50"/>
      <c r="AF36" s="50"/>
      <c r="AG36" s="50"/>
      <c r="AH36" s="50"/>
      <c r="AI36" s="50"/>
      <c r="AJ36" s="50"/>
      <c r="AK36" s="50"/>
      <c r="AL36" s="50"/>
      <c r="AM36" s="50"/>
    </row>
    <row r="37" spans="1:40" hidden="1" x14ac:dyDescent="0.25">
      <c r="A37" s="891" t="s">
        <v>471</v>
      </c>
      <c r="B37" s="891"/>
      <c r="C37" s="891"/>
      <c r="D37" s="891"/>
      <c r="E37" s="891"/>
      <c r="W37" s="29"/>
      <c r="X37" s="49"/>
      <c r="Y37" s="50"/>
      <c r="Z37" s="50"/>
      <c r="AA37" s="50"/>
      <c r="AB37" s="50"/>
      <c r="AC37" s="50"/>
      <c r="AD37" s="50"/>
      <c r="AE37" s="50"/>
      <c r="AF37" s="50"/>
      <c r="AG37" s="50"/>
      <c r="AH37" s="50"/>
      <c r="AI37" s="50"/>
      <c r="AJ37" s="50"/>
      <c r="AK37" s="50"/>
      <c r="AL37" s="50"/>
      <c r="AM37" s="50"/>
      <c r="AN37" s="50"/>
    </row>
    <row r="38" spans="1:40" ht="17.25" hidden="1" customHeight="1" x14ac:dyDescent="0.25">
      <c r="A38" s="888" t="s">
        <v>472</v>
      </c>
      <c r="B38" s="888"/>
      <c r="C38" s="888"/>
      <c r="D38" s="888"/>
      <c r="E38" s="888"/>
      <c r="W38" s="29"/>
      <c r="X38" s="49"/>
      <c r="Y38" s="50"/>
      <c r="Z38" s="50"/>
      <c r="AA38" s="50"/>
      <c r="AB38" s="50"/>
      <c r="AC38" s="50"/>
      <c r="AD38" s="50"/>
      <c r="AE38" s="50"/>
      <c r="AF38" s="50"/>
      <c r="AG38" s="50"/>
      <c r="AH38" s="50"/>
      <c r="AI38" s="50"/>
      <c r="AJ38" s="50"/>
      <c r="AK38" s="50"/>
      <c r="AL38" s="50"/>
      <c r="AM38" s="50"/>
      <c r="AN38" s="50"/>
    </row>
    <row r="39" spans="1:40" ht="23.25" hidden="1" customHeight="1" x14ac:dyDescent="0.25">
      <c r="A39" s="887" t="s">
        <v>473</v>
      </c>
      <c r="B39" s="887"/>
      <c r="C39" s="887"/>
      <c r="D39" s="887"/>
      <c r="E39" s="887"/>
      <c r="W39" s="29"/>
      <c r="X39" s="49"/>
      <c r="Y39" s="50"/>
      <c r="Z39" s="50"/>
      <c r="AA39" s="50"/>
      <c r="AB39" s="50"/>
      <c r="AC39" s="50"/>
      <c r="AD39" s="50"/>
      <c r="AE39" s="50"/>
      <c r="AF39" s="50"/>
      <c r="AG39" s="50"/>
      <c r="AH39" s="50"/>
      <c r="AI39" s="50"/>
      <c r="AJ39" s="50"/>
      <c r="AK39" s="50"/>
      <c r="AL39" s="50"/>
      <c r="AM39" s="50"/>
      <c r="AN39" s="50"/>
    </row>
    <row r="40" spans="1:40" hidden="1" x14ac:dyDescent="0.25">
      <c r="W40" s="29"/>
      <c r="X40" s="49"/>
      <c r="Y40" s="50"/>
      <c r="Z40" s="50"/>
      <c r="AA40" s="50"/>
      <c r="AB40" s="50"/>
      <c r="AC40" s="50"/>
      <c r="AD40" s="50"/>
      <c r="AE40" s="50"/>
      <c r="AF40" s="50"/>
      <c r="AG40" s="50"/>
      <c r="AH40" s="50"/>
      <c r="AI40" s="50"/>
      <c r="AJ40" s="50"/>
      <c r="AK40" s="50"/>
      <c r="AL40" s="50"/>
      <c r="AM40" s="50"/>
      <c r="AN40" s="50"/>
    </row>
    <row r="41" spans="1:40" ht="16.2" hidden="1" customHeight="1" x14ac:dyDescent="0.25">
      <c r="A41" s="89"/>
      <c r="B41" s="89" t="s">
        <v>474</v>
      </c>
      <c r="C41" s="90"/>
      <c r="D41" s="90"/>
      <c r="E41" s="90"/>
      <c r="F41" s="90"/>
      <c r="G41" s="90"/>
      <c r="H41" s="90"/>
      <c r="I41" s="90"/>
      <c r="W41" s="29"/>
      <c r="X41" s="49"/>
      <c r="Y41" s="50"/>
      <c r="Z41" s="50"/>
      <c r="AA41" s="50"/>
      <c r="AB41" s="50"/>
      <c r="AC41" s="50"/>
      <c r="AD41" s="50"/>
      <c r="AE41" s="50"/>
      <c r="AF41" s="50"/>
      <c r="AG41" s="50"/>
      <c r="AH41" s="50"/>
      <c r="AI41" s="50"/>
      <c r="AJ41" s="50"/>
      <c r="AK41" s="50"/>
      <c r="AL41" s="50"/>
      <c r="AM41" s="50"/>
      <c r="AN41" s="50"/>
    </row>
    <row r="42" spans="1:40" ht="13.2" hidden="1" customHeight="1" thickBot="1" x14ac:dyDescent="0.35">
      <c r="A42" s="5" t="s">
        <v>475</v>
      </c>
      <c r="B42" s="88"/>
      <c r="C42" s="88"/>
      <c r="D42" s="88"/>
      <c r="E42" s="88"/>
      <c r="F42" s="88"/>
      <c r="G42" s="88"/>
      <c r="H42" s="88"/>
      <c r="V42" s="29"/>
      <c r="W42" s="49"/>
      <c r="X42" s="50"/>
      <c r="Y42" s="50"/>
      <c r="Z42" s="50"/>
      <c r="AA42" s="50"/>
      <c r="AB42" s="50"/>
      <c r="AC42" s="50"/>
      <c r="AD42" s="50"/>
      <c r="AE42" s="50"/>
      <c r="AF42" s="50"/>
      <c r="AG42" s="50"/>
      <c r="AH42" s="50"/>
      <c r="AI42" s="50"/>
      <c r="AJ42" s="50"/>
      <c r="AK42" s="50"/>
      <c r="AL42" s="50"/>
      <c r="AM42" s="50"/>
    </row>
    <row r="43" spans="1:40" ht="27" hidden="1" thickBot="1" x14ac:dyDescent="0.3">
      <c r="A43" s="75" t="s">
        <v>476</v>
      </c>
      <c r="B43" s="75" t="s">
        <v>92</v>
      </c>
      <c r="C43" s="75" t="s">
        <v>477</v>
      </c>
      <c r="D43" s="75" t="s">
        <v>478</v>
      </c>
      <c r="E43" s="82" t="s">
        <v>479</v>
      </c>
      <c r="F43" s="82"/>
      <c r="G43" s="75" t="s">
        <v>480</v>
      </c>
      <c r="H43" s="82" t="s">
        <v>481</v>
      </c>
      <c r="V43" s="29"/>
      <c r="W43" s="49"/>
      <c r="X43" s="50"/>
      <c r="Y43" s="50"/>
      <c r="Z43" s="50"/>
      <c r="AA43" s="50"/>
      <c r="AB43" s="50"/>
      <c r="AC43" s="50"/>
      <c r="AD43" s="50"/>
      <c r="AE43" s="50"/>
      <c r="AF43" s="50"/>
      <c r="AG43" s="50"/>
      <c r="AH43" s="50"/>
      <c r="AI43" s="50"/>
      <c r="AJ43" s="50"/>
      <c r="AK43" s="50"/>
      <c r="AL43" s="50"/>
      <c r="AM43" s="50"/>
    </row>
    <row r="44" spans="1:40" ht="27.6" hidden="1" thickTop="1" thickBot="1" x14ac:dyDescent="0.3">
      <c r="A44" s="77" t="s">
        <v>482</v>
      </c>
      <c r="B44" s="77" t="s">
        <v>483</v>
      </c>
      <c r="C44" s="78"/>
      <c r="D44" s="91">
        <v>0.03</v>
      </c>
      <c r="E44" s="83">
        <v>0.15</v>
      </c>
      <c r="F44" s="122"/>
      <c r="G44" s="92">
        <v>0.43</v>
      </c>
      <c r="H44" s="83">
        <v>0.21</v>
      </c>
      <c r="V44" s="29"/>
      <c r="W44" s="49"/>
      <c r="X44" s="50"/>
      <c r="Y44" s="50"/>
      <c r="Z44" s="50"/>
      <c r="AA44" s="50"/>
      <c r="AB44" s="50"/>
      <c r="AC44" s="50"/>
      <c r="AD44" s="50"/>
      <c r="AE44" s="50"/>
      <c r="AF44" s="50"/>
      <c r="AG44" s="50"/>
      <c r="AH44" s="50"/>
      <c r="AI44" s="50"/>
      <c r="AJ44" s="50"/>
      <c r="AK44" s="50"/>
      <c r="AL44" s="50"/>
      <c r="AM44" s="50"/>
    </row>
    <row r="45" spans="1:40" ht="13.8" hidden="1" thickBot="1" x14ac:dyDescent="0.3">
      <c r="A45" s="79" t="s">
        <v>484</v>
      </c>
      <c r="B45" s="79" t="s">
        <v>483</v>
      </c>
      <c r="C45" s="80">
        <v>0.13</v>
      </c>
      <c r="D45" s="80">
        <v>0.02</v>
      </c>
      <c r="E45" s="84">
        <v>7.0000000000000007E-2</v>
      </c>
      <c r="F45" s="123"/>
      <c r="G45" s="87">
        <v>0.66</v>
      </c>
      <c r="H45" s="93">
        <v>0.12</v>
      </c>
      <c r="V45" s="29"/>
      <c r="W45" s="49"/>
      <c r="X45" s="50"/>
      <c r="Y45" s="50"/>
      <c r="Z45" s="50"/>
      <c r="AA45" s="50"/>
      <c r="AB45" s="50"/>
      <c r="AC45" s="50"/>
      <c r="AD45" s="50"/>
      <c r="AE45" s="50"/>
      <c r="AF45" s="50"/>
      <c r="AG45" s="50"/>
      <c r="AH45" s="50"/>
      <c r="AI45" s="50"/>
      <c r="AJ45" s="50"/>
      <c r="AK45" s="50"/>
      <c r="AL45" s="50"/>
      <c r="AM45" s="50"/>
    </row>
    <row r="46" spans="1:40" hidden="1" x14ac:dyDescent="0.25">
      <c r="V46" s="29"/>
      <c r="X46" s="28"/>
      <c r="Y46" s="28"/>
      <c r="Z46" s="28"/>
      <c r="AA46" s="28"/>
      <c r="AB46" s="28"/>
      <c r="AC46" s="28"/>
      <c r="AD46" s="28"/>
      <c r="AE46" s="28"/>
      <c r="AF46" s="28"/>
      <c r="AG46" s="28"/>
      <c r="AH46" s="28"/>
      <c r="AI46" s="28"/>
      <c r="AJ46" s="28"/>
      <c r="AK46" s="28"/>
      <c r="AL46" s="28"/>
      <c r="AM46" s="28"/>
    </row>
    <row r="47" spans="1:40" hidden="1" x14ac:dyDescent="0.25">
      <c r="V47" s="29"/>
      <c r="X47" s="28"/>
      <c r="Y47" s="28"/>
      <c r="Z47" s="28"/>
      <c r="AA47" s="28"/>
      <c r="AB47" s="28"/>
      <c r="AC47" s="28"/>
      <c r="AD47" s="28"/>
      <c r="AE47" s="28"/>
      <c r="AF47" s="28"/>
      <c r="AG47" s="28"/>
      <c r="AH47" s="28"/>
      <c r="AI47" s="28"/>
      <c r="AJ47" s="28"/>
      <c r="AK47" s="28"/>
      <c r="AL47" s="28"/>
      <c r="AM47" s="28"/>
    </row>
    <row r="48" spans="1:40" ht="13.8" hidden="1" thickBot="1" x14ac:dyDescent="0.3">
      <c r="A48" s="5" t="s">
        <v>485</v>
      </c>
      <c r="V48" s="31"/>
      <c r="X48" s="29"/>
      <c r="Y48" s="29"/>
      <c r="Z48" s="29"/>
      <c r="AA48" s="29"/>
      <c r="AB48" s="29"/>
      <c r="AC48" s="29"/>
      <c r="AD48" s="29"/>
      <c r="AE48" s="29"/>
      <c r="AF48" s="29"/>
      <c r="AG48" s="29"/>
      <c r="AH48" s="29"/>
      <c r="AI48" s="29"/>
      <c r="AJ48" s="29"/>
      <c r="AK48" s="29"/>
      <c r="AL48" s="29"/>
      <c r="AM48" s="29"/>
    </row>
    <row r="49" spans="1:38" ht="27" hidden="1" thickBot="1" x14ac:dyDescent="0.3">
      <c r="A49" s="75" t="s">
        <v>476</v>
      </c>
      <c r="B49" s="76" t="s">
        <v>92</v>
      </c>
      <c r="C49" s="82" t="s">
        <v>486</v>
      </c>
      <c r="D49" s="75" t="s">
        <v>487</v>
      </c>
      <c r="E49" s="75" t="s">
        <v>488</v>
      </c>
      <c r="F49" s="75"/>
      <c r="G49" s="75" t="s">
        <v>489</v>
      </c>
      <c r="H49" s="75" t="s">
        <v>490</v>
      </c>
      <c r="V49" s="29"/>
      <c r="W49" s="32"/>
    </row>
    <row r="50" spans="1:38" ht="27.6" hidden="1" thickTop="1" thickBot="1" x14ac:dyDescent="0.3">
      <c r="A50" s="77" t="s">
        <v>482</v>
      </c>
      <c r="B50" s="81" t="s">
        <v>483</v>
      </c>
      <c r="C50" s="83">
        <v>0.59</v>
      </c>
      <c r="D50" s="86">
        <v>0.35</v>
      </c>
      <c r="E50" s="78">
        <v>0.05</v>
      </c>
      <c r="F50" s="78"/>
      <c r="G50" s="78">
        <v>0</v>
      </c>
      <c r="H50" s="78">
        <v>0</v>
      </c>
      <c r="V50" s="29"/>
      <c r="W50" s="32"/>
    </row>
    <row r="51" spans="1:38" ht="13.8" hidden="1" thickBot="1" x14ac:dyDescent="0.3">
      <c r="A51" s="79" t="s">
        <v>484</v>
      </c>
      <c r="B51" s="79" t="s">
        <v>483</v>
      </c>
      <c r="C51" s="84">
        <v>0.34</v>
      </c>
      <c r="D51" s="87">
        <v>0.57999999999999996</v>
      </c>
      <c r="E51" s="85">
        <v>7.0000000000000007E-2</v>
      </c>
      <c r="F51" s="85"/>
      <c r="G51" s="80">
        <v>0</v>
      </c>
      <c r="H51" s="80">
        <v>0</v>
      </c>
      <c r="V51" s="29"/>
      <c r="W51" s="32"/>
    </row>
    <row r="52" spans="1:38" hidden="1" x14ac:dyDescent="0.25">
      <c r="V52" s="29"/>
      <c r="W52" s="32"/>
    </row>
    <row r="53" spans="1:38" ht="13.8" hidden="1" thickBot="1" x14ac:dyDescent="0.3">
      <c r="A53" s="5" t="s">
        <v>491</v>
      </c>
      <c r="W53" s="32"/>
    </row>
    <row r="54" spans="1:38" ht="19.2" hidden="1" customHeight="1" thickBot="1" x14ac:dyDescent="0.3">
      <c r="A54" s="75" t="s">
        <v>476</v>
      </c>
      <c r="B54" s="76" t="s">
        <v>92</v>
      </c>
      <c r="C54" s="75" t="s">
        <v>492</v>
      </c>
      <c r="D54" s="75" t="s">
        <v>493</v>
      </c>
      <c r="V54" s="29"/>
      <c r="W54" s="32"/>
    </row>
    <row r="55" spans="1:38" ht="27.6" hidden="1" thickTop="1" thickBot="1" x14ac:dyDescent="0.3">
      <c r="A55" s="77" t="s">
        <v>482</v>
      </c>
      <c r="B55" s="77" t="s">
        <v>483</v>
      </c>
      <c r="C55" s="78">
        <v>0.86</v>
      </c>
      <c r="D55" s="78">
        <v>0.13</v>
      </c>
      <c r="V55" s="29"/>
      <c r="W55" s="32"/>
    </row>
    <row r="56" spans="1:38" ht="13.8" hidden="1" thickBot="1" x14ac:dyDescent="0.3">
      <c r="A56" s="79" t="s">
        <v>484</v>
      </c>
      <c r="B56" s="79" t="s">
        <v>483</v>
      </c>
      <c r="C56" s="80">
        <v>0.79</v>
      </c>
      <c r="D56" s="80">
        <v>0.2</v>
      </c>
      <c r="V56" s="29"/>
      <c r="W56" s="32"/>
    </row>
    <row r="57" spans="1:38" hidden="1" x14ac:dyDescent="0.25">
      <c r="V57" s="29"/>
      <c r="W57" s="32"/>
    </row>
    <row r="58" spans="1:38" hidden="1" x14ac:dyDescent="0.25">
      <c r="V58" s="29"/>
      <c r="W58" s="32"/>
    </row>
    <row r="59" spans="1:38" hidden="1" x14ac:dyDescent="0.25"/>
    <row r="60" spans="1:38" hidden="1" x14ac:dyDescent="0.25">
      <c r="V60" s="29"/>
      <c r="W60" s="32"/>
    </row>
    <row r="61" spans="1:38" ht="21.75" hidden="1" customHeight="1" thickBot="1" x14ac:dyDescent="0.3">
      <c r="A61" s="885" t="s">
        <v>494</v>
      </c>
      <c r="B61" s="886"/>
      <c r="C61" s="886"/>
      <c r="D61" s="886"/>
      <c r="E61" s="886"/>
      <c r="F61" s="886"/>
      <c r="G61" s="886"/>
      <c r="W61" s="29"/>
      <c r="X61" s="32"/>
    </row>
    <row r="62" spans="1:38" ht="24.75" hidden="1" customHeight="1" thickBot="1" x14ac:dyDescent="0.3">
      <c r="A62" s="881" t="s">
        <v>495</v>
      </c>
      <c r="B62" s="882" t="s">
        <v>496</v>
      </c>
      <c r="C62" s="882"/>
      <c r="D62" s="883"/>
      <c r="E62" s="884" t="s">
        <v>497</v>
      </c>
      <c r="F62" s="882"/>
      <c r="G62" s="883"/>
      <c r="U62" s="31"/>
      <c r="W62" s="29"/>
      <c r="X62" s="29"/>
      <c r="Y62" s="29"/>
      <c r="Z62" s="29"/>
      <c r="AA62" s="29"/>
      <c r="AB62" s="29"/>
      <c r="AC62" s="29"/>
      <c r="AD62" s="29"/>
      <c r="AE62" s="29"/>
      <c r="AF62" s="29"/>
      <c r="AG62" s="29"/>
      <c r="AH62" s="29"/>
      <c r="AI62" s="29"/>
      <c r="AJ62" s="29"/>
      <c r="AK62" s="29"/>
      <c r="AL62" s="29"/>
    </row>
    <row r="63" spans="1:38" ht="13.2" hidden="1" customHeight="1" x14ac:dyDescent="0.25">
      <c r="A63" s="881"/>
      <c r="B63" s="153" t="s">
        <v>498</v>
      </c>
      <c r="C63" s="153" t="s">
        <v>499</v>
      </c>
      <c r="D63" s="154" t="s">
        <v>500</v>
      </c>
      <c r="E63" s="155" t="s">
        <v>498</v>
      </c>
      <c r="F63" s="155" t="s">
        <v>499</v>
      </c>
      <c r="G63" s="156" t="s">
        <v>500</v>
      </c>
    </row>
    <row r="64" spans="1:38" hidden="1" x14ac:dyDescent="0.25">
      <c r="A64" s="157">
        <v>1</v>
      </c>
      <c r="B64" s="158">
        <v>0.03</v>
      </c>
      <c r="C64" s="158">
        <v>0.97</v>
      </c>
      <c r="D64" s="158">
        <v>0</v>
      </c>
      <c r="E64" s="158">
        <v>0.17</v>
      </c>
      <c r="F64" s="158">
        <v>0.83</v>
      </c>
      <c r="G64" s="158">
        <v>0</v>
      </c>
    </row>
    <row r="65" spans="1:7" hidden="1" x14ac:dyDescent="0.25">
      <c r="A65" s="157">
        <v>2</v>
      </c>
      <c r="B65" s="158">
        <v>7.0000000000000007E-2</v>
      </c>
      <c r="C65" s="158">
        <v>0.93</v>
      </c>
      <c r="D65" s="158">
        <v>0</v>
      </c>
      <c r="E65" s="158">
        <v>0.3</v>
      </c>
      <c r="F65" s="158">
        <v>0.7</v>
      </c>
      <c r="G65" s="158">
        <v>0</v>
      </c>
    </row>
    <row r="66" spans="1:7" hidden="1" x14ac:dyDescent="0.25">
      <c r="A66" s="157">
        <v>3</v>
      </c>
      <c r="B66" s="158">
        <v>0.02</v>
      </c>
      <c r="C66" s="158">
        <v>0.94</v>
      </c>
      <c r="D66" s="158">
        <v>0.04</v>
      </c>
      <c r="E66" s="158">
        <v>0.36</v>
      </c>
      <c r="F66" s="158">
        <v>0.64</v>
      </c>
      <c r="G66" s="158">
        <v>0.04</v>
      </c>
    </row>
    <row r="67" spans="1:7" hidden="1" x14ac:dyDescent="0.25">
      <c r="A67" s="157">
        <v>4</v>
      </c>
      <c r="B67" s="158">
        <v>0.01</v>
      </c>
      <c r="C67" s="158">
        <v>0.94</v>
      </c>
      <c r="D67" s="158">
        <v>0.04</v>
      </c>
      <c r="E67" s="158">
        <v>0.35</v>
      </c>
      <c r="F67" s="158">
        <v>0.65</v>
      </c>
      <c r="G67" s="158">
        <v>0.04</v>
      </c>
    </row>
    <row r="68" spans="1:7" hidden="1" x14ac:dyDescent="0.25">
      <c r="A68" s="157">
        <v>5</v>
      </c>
      <c r="B68" s="158">
        <v>0.04</v>
      </c>
      <c r="C68" s="158">
        <v>0.95</v>
      </c>
      <c r="D68" s="158">
        <v>0.02</v>
      </c>
      <c r="E68" s="158">
        <v>0.74</v>
      </c>
      <c r="F68" s="158">
        <v>0.26</v>
      </c>
      <c r="G68" s="158">
        <v>0.02</v>
      </c>
    </row>
    <row r="69" spans="1:7" hidden="1" x14ac:dyDescent="0.25">
      <c r="A69" s="157">
        <v>6</v>
      </c>
      <c r="B69" s="158">
        <v>0.21</v>
      </c>
      <c r="C69" s="158">
        <v>0.79</v>
      </c>
      <c r="D69" s="158">
        <v>0</v>
      </c>
      <c r="E69" s="158">
        <v>0.38</v>
      </c>
      <c r="F69" s="158">
        <v>0.62</v>
      </c>
      <c r="G69" s="158">
        <v>0</v>
      </c>
    </row>
    <row r="70" spans="1:7" hidden="1" x14ac:dyDescent="0.25">
      <c r="A70" s="157">
        <v>7</v>
      </c>
      <c r="B70" s="158">
        <v>0.11</v>
      </c>
      <c r="C70" s="158">
        <v>0.87</v>
      </c>
      <c r="D70" s="158">
        <v>0.02</v>
      </c>
      <c r="E70" s="158">
        <v>0.3</v>
      </c>
      <c r="F70" s="158">
        <v>0.7</v>
      </c>
      <c r="G70" s="158">
        <v>0.01</v>
      </c>
    </row>
    <row r="71" spans="1:7" hidden="1" x14ac:dyDescent="0.25">
      <c r="A71" s="157">
        <v>8</v>
      </c>
      <c r="B71" s="158">
        <v>0.23</v>
      </c>
      <c r="C71" s="158">
        <v>0.77</v>
      </c>
      <c r="D71" s="158">
        <v>0</v>
      </c>
      <c r="E71" s="158">
        <v>0.37</v>
      </c>
      <c r="F71" s="158">
        <v>0.63</v>
      </c>
      <c r="G71" s="158">
        <v>0</v>
      </c>
    </row>
    <row r="72" spans="1:7" hidden="1" x14ac:dyDescent="0.25">
      <c r="A72" s="157">
        <v>9</v>
      </c>
      <c r="B72" s="158">
        <v>0.16</v>
      </c>
      <c r="C72" s="158">
        <v>0.83</v>
      </c>
      <c r="D72" s="158">
        <v>0</v>
      </c>
      <c r="E72" s="158">
        <v>0.33</v>
      </c>
      <c r="F72" s="158">
        <v>0.67</v>
      </c>
      <c r="G72" s="158">
        <v>0</v>
      </c>
    </row>
    <row r="73" spans="1:7" hidden="1" x14ac:dyDescent="0.25">
      <c r="A73" s="157">
        <v>10</v>
      </c>
      <c r="B73" s="158">
        <v>0.16</v>
      </c>
      <c r="C73" s="158">
        <v>0.83</v>
      </c>
      <c r="D73" s="158">
        <v>0.01</v>
      </c>
      <c r="E73" s="158">
        <v>0.49</v>
      </c>
      <c r="F73" s="158">
        <v>0.51</v>
      </c>
      <c r="G73" s="158">
        <v>0</v>
      </c>
    </row>
    <row r="74" spans="1:7" hidden="1" x14ac:dyDescent="0.25">
      <c r="A74" s="157">
        <v>11</v>
      </c>
      <c r="B74" s="158">
        <v>0.1</v>
      </c>
      <c r="C74" s="158">
        <v>0.89</v>
      </c>
      <c r="D74" s="158">
        <v>0.01</v>
      </c>
      <c r="E74" s="158">
        <v>0.42</v>
      </c>
      <c r="F74" s="158">
        <v>0.57999999999999996</v>
      </c>
      <c r="G74" s="158">
        <v>0.01</v>
      </c>
    </row>
    <row r="75" spans="1:7" hidden="1" x14ac:dyDescent="0.25">
      <c r="A75" s="157">
        <v>12</v>
      </c>
      <c r="B75" s="158">
        <v>0.1</v>
      </c>
      <c r="C75" s="158">
        <v>0.88</v>
      </c>
      <c r="D75" s="158">
        <v>0.02</v>
      </c>
      <c r="E75" s="158">
        <v>0.38</v>
      </c>
      <c r="F75" s="158">
        <v>0.62</v>
      </c>
      <c r="G75" s="158">
        <v>0.03</v>
      </c>
    </row>
    <row r="76" spans="1:7" hidden="1" x14ac:dyDescent="0.25">
      <c r="A76" s="157">
        <v>13</v>
      </c>
      <c r="B76" s="158">
        <v>0.04</v>
      </c>
      <c r="C76" s="158">
        <v>0.96</v>
      </c>
      <c r="D76" s="158">
        <v>0</v>
      </c>
      <c r="E76" s="158">
        <v>0.16</v>
      </c>
      <c r="F76" s="158">
        <v>0.84</v>
      </c>
      <c r="G76" s="158">
        <v>0</v>
      </c>
    </row>
    <row r="77" spans="1:7" hidden="1" x14ac:dyDescent="0.25">
      <c r="A77" s="157">
        <v>14</v>
      </c>
      <c r="B77" s="159">
        <v>0.31</v>
      </c>
      <c r="C77" s="159">
        <v>0.69</v>
      </c>
      <c r="D77" s="158">
        <v>0</v>
      </c>
      <c r="E77" s="158">
        <v>0.43</v>
      </c>
      <c r="F77" s="158">
        <v>0.56999999999999995</v>
      </c>
      <c r="G77" s="158">
        <v>0</v>
      </c>
    </row>
    <row r="78" spans="1:7" hidden="1" x14ac:dyDescent="0.25">
      <c r="A78" s="157">
        <v>15</v>
      </c>
      <c r="B78" s="158">
        <v>0.09</v>
      </c>
      <c r="C78" s="158">
        <v>0.89</v>
      </c>
      <c r="D78" s="158">
        <v>0.02</v>
      </c>
      <c r="E78" s="158">
        <v>0.82</v>
      </c>
      <c r="F78" s="158">
        <v>0.18</v>
      </c>
      <c r="G78" s="158">
        <v>0</v>
      </c>
    </row>
    <row r="79" spans="1:7" hidden="1" x14ac:dyDescent="0.25">
      <c r="A79" s="157">
        <v>16</v>
      </c>
      <c r="B79" s="158">
        <v>0.2</v>
      </c>
      <c r="C79" s="158">
        <v>0.8</v>
      </c>
      <c r="D79" s="158">
        <v>0</v>
      </c>
      <c r="E79" s="158">
        <v>0.35</v>
      </c>
      <c r="F79" s="158">
        <v>0.65</v>
      </c>
      <c r="G79" s="158">
        <v>0</v>
      </c>
    </row>
    <row r="80" spans="1:7" ht="14.4" x14ac:dyDescent="0.3">
      <c r="A80" s="144" t="s">
        <v>501</v>
      </c>
      <c r="B80"/>
      <c r="C80"/>
      <c r="D80"/>
    </row>
    <row r="81" spans="1:10" ht="15.6" x14ac:dyDescent="0.25">
      <c r="A81" s="873" t="s">
        <v>422</v>
      </c>
      <c r="B81" s="873"/>
      <c r="C81" s="873"/>
      <c r="D81" s="873"/>
      <c r="E81" s="873"/>
      <c r="F81" s="873"/>
      <c r="G81" s="873"/>
      <c r="H81" s="873"/>
      <c r="I81" s="873"/>
    </row>
    <row r="82" spans="1:10" ht="27.6" customHeight="1" x14ac:dyDescent="0.25">
      <c r="A82" s="256" t="s">
        <v>296</v>
      </c>
      <c r="B82" s="256" t="s">
        <v>423</v>
      </c>
      <c r="C82" s="256" t="s">
        <v>424</v>
      </c>
      <c r="D82" s="264" t="s">
        <v>502</v>
      </c>
      <c r="E82" s="264" t="s">
        <v>503</v>
      </c>
      <c r="F82" s="264" t="s">
        <v>504</v>
      </c>
      <c r="G82" s="264" t="s">
        <v>505</v>
      </c>
      <c r="H82" s="265" t="s">
        <v>429</v>
      </c>
      <c r="I82" s="258" t="s">
        <v>344</v>
      </c>
    </row>
    <row r="83" spans="1:10" ht="36" customHeight="1" x14ac:dyDescent="0.3">
      <c r="A83" s="874" t="s">
        <v>325</v>
      </c>
      <c r="B83" s="875" t="s">
        <v>430</v>
      </c>
      <c r="C83" s="757" t="s">
        <v>506</v>
      </c>
      <c r="D83" s="757">
        <v>2.5</v>
      </c>
      <c r="E83" s="869">
        <v>0.65</v>
      </c>
      <c r="F83" s="876" t="s">
        <v>507</v>
      </c>
      <c r="G83" s="877"/>
      <c r="H83" s="876" t="s">
        <v>508</v>
      </c>
      <c r="I83" s="757"/>
      <c r="J83" s="1"/>
    </row>
    <row r="84" spans="1:10" ht="36" customHeight="1" x14ac:dyDescent="0.25">
      <c r="A84" s="874"/>
      <c r="B84" s="875"/>
      <c r="C84" s="757" t="s">
        <v>509</v>
      </c>
      <c r="D84" s="666">
        <v>4.09</v>
      </c>
      <c r="E84" s="869"/>
      <c r="F84" s="876"/>
      <c r="G84" s="877"/>
      <c r="H84" s="876"/>
      <c r="I84" s="757"/>
    </row>
    <row r="85" spans="1:10" ht="36" customHeight="1" x14ac:dyDescent="0.25">
      <c r="A85" s="874"/>
      <c r="B85" s="875"/>
      <c r="C85" s="757" t="s">
        <v>510</v>
      </c>
      <c r="D85" s="757">
        <v>5.58</v>
      </c>
      <c r="E85" s="869"/>
      <c r="F85" s="876"/>
      <c r="G85" s="877"/>
      <c r="H85" s="876"/>
      <c r="I85" s="757"/>
    </row>
    <row r="86" spans="1:10" x14ac:dyDescent="0.25">
      <c r="A86" s="537" t="s">
        <v>511</v>
      </c>
      <c r="B86" s="664"/>
      <c r="C86" s="139"/>
      <c r="D86" s="139"/>
      <c r="E86" s="665"/>
      <c r="F86" s="68"/>
      <c r="G86" s="68"/>
      <c r="H86" s="68"/>
      <c r="I86" s="538"/>
    </row>
    <row r="87" spans="1:10" x14ac:dyDescent="0.25">
      <c r="A87" s="537" t="s">
        <v>512</v>
      </c>
      <c r="B87" s="68"/>
      <c r="C87" s="68"/>
      <c r="D87" s="266"/>
      <c r="E87" s="68"/>
      <c r="F87" s="68"/>
      <c r="G87" s="68"/>
      <c r="H87" s="68"/>
      <c r="I87" s="267"/>
    </row>
    <row r="88" spans="1:10" ht="69.75" customHeight="1" x14ac:dyDescent="0.25">
      <c r="A88" s="1106" t="s">
        <v>394</v>
      </c>
      <c r="B88" s="1107" t="s">
        <v>436</v>
      </c>
      <c r="C88" s="1108" t="s">
        <v>513</v>
      </c>
      <c r="D88" s="1109" t="s">
        <v>514</v>
      </c>
      <c r="E88" s="1108">
        <v>0.65</v>
      </c>
      <c r="F88" s="1108" t="s">
        <v>515</v>
      </c>
      <c r="G88" s="1110">
        <v>0.94699999999999995</v>
      </c>
      <c r="H88" s="1108" t="s">
        <v>516</v>
      </c>
      <c r="I88" s="1108"/>
    </row>
    <row r="89" spans="1:10" ht="12.75" customHeight="1" x14ac:dyDescent="0.25">
      <c r="A89" s="191"/>
      <c r="B89" s="669"/>
      <c r="C89" s="670"/>
      <c r="D89" s="671"/>
      <c r="E89" s="670"/>
      <c r="F89" s="670"/>
      <c r="G89" s="672"/>
      <c r="H89" s="670"/>
      <c r="I89" s="670"/>
    </row>
    <row r="90" spans="1:10" ht="31.5" customHeight="1" x14ac:dyDescent="0.25">
      <c r="A90" s="867" t="s">
        <v>517</v>
      </c>
      <c r="B90" s="868"/>
      <c r="C90" s="868"/>
      <c r="D90" s="868"/>
      <c r="E90" s="868"/>
      <c r="F90" s="868"/>
      <c r="G90" s="868"/>
      <c r="H90" s="868"/>
      <c r="I90" s="868"/>
    </row>
    <row r="91" spans="1:10" ht="44.25" customHeight="1" x14ac:dyDescent="0.25">
      <c r="A91" s="867" t="s">
        <v>518</v>
      </c>
      <c r="B91" s="867"/>
      <c r="C91" s="867"/>
      <c r="D91" s="867"/>
      <c r="E91" s="867"/>
      <c r="F91" s="867"/>
      <c r="G91" s="867"/>
      <c r="H91" s="867"/>
      <c r="I91" s="867"/>
    </row>
    <row r="92" spans="1:10" ht="15" customHeight="1" x14ac:dyDescent="0.25">
      <c r="A92" s="674"/>
      <c r="B92" s="675"/>
      <c r="C92" s="675"/>
      <c r="D92" s="675"/>
      <c r="E92" s="675"/>
      <c r="F92" s="675"/>
      <c r="G92" s="675"/>
      <c r="H92" s="675"/>
      <c r="I92" s="675"/>
    </row>
    <row r="93" spans="1:10" ht="12.75" customHeight="1" x14ac:dyDescent="0.25">
      <c r="A93" s="673"/>
      <c r="B93" s="673"/>
      <c r="C93" s="673"/>
      <c r="D93" s="673"/>
      <c r="E93" s="673"/>
      <c r="F93" s="673"/>
      <c r="G93" s="673"/>
      <c r="H93" s="673"/>
      <c r="I93" s="673"/>
    </row>
    <row r="94" spans="1:10" ht="12.75" customHeight="1" x14ac:dyDescent="0.25">
      <c r="A94" s="673"/>
      <c r="B94" s="673"/>
      <c r="C94" s="673"/>
      <c r="D94" s="673"/>
      <c r="E94" s="673"/>
      <c r="F94" s="673"/>
      <c r="G94" s="673"/>
      <c r="H94" s="673"/>
      <c r="I94" s="673"/>
    </row>
    <row r="95" spans="1:10" ht="12.75" customHeight="1" x14ac:dyDescent="0.25">
      <c r="A95" s="6"/>
    </row>
    <row r="96" spans="1:10" ht="12.75" customHeight="1" x14ac:dyDescent="0.25">
      <c r="A96" s="667"/>
      <c r="D96" s="30"/>
    </row>
    <row r="97" spans="1:4" ht="12.75" customHeight="1" x14ac:dyDescent="0.25">
      <c r="D97" s="30"/>
    </row>
    <row r="98" spans="1:4" ht="12.75" customHeight="1" x14ac:dyDescent="0.25">
      <c r="D98" s="30"/>
    </row>
    <row r="99" spans="1:4" ht="12.75" customHeight="1" x14ac:dyDescent="0.25"/>
    <row r="100" spans="1:4" ht="12.75" customHeight="1" x14ac:dyDescent="0.25"/>
    <row r="101" spans="1:4" ht="12.75" customHeight="1" x14ac:dyDescent="0.25"/>
    <row r="102" spans="1:4" ht="12.75" customHeight="1" x14ac:dyDescent="0.25"/>
    <row r="103" spans="1:4" ht="12.75" customHeight="1" x14ac:dyDescent="0.25"/>
    <row r="104" spans="1:4" ht="12.75" customHeight="1" x14ac:dyDescent="0.25"/>
    <row r="105" spans="1:4" ht="12.75" customHeight="1" x14ac:dyDescent="0.25"/>
    <row r="106" spans="1:4" ht="12.75" customHeight="1" x14ac:dyDescent="0.25"/>
    <row r="107" spans="1:4" ht="12.75" customHeight="1" x14ac:dyDescent="0.25"/>
    <row r="108" spans="1:4" ht="12.75" customHeight="1" x14ac:dyDescent="0.25"/>
    <row r="109" spans="1:4" ht="12.75" customHeight="1" x14ac:dyDescent="0.25"/>
    <row r="110" spans="1:4" ht="12.75" customHeight="1" x14ac:dyDescent="0.25"/>
    <row r="111" spans="1:4" ht="12.75" customHeight="1" x14ac:dyDescent="0.25">
      <c r="A111" s="668"/>
    </row>
    <row r="112" spans="1:4"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sheetData>
  <mergeCells count="28">
    <mergeCell ref="A39:E39"/>
    <mergeCell ref="A38:E38"/>
    <mergeCell ref="A3:A5"/>
    <mergeCell ref="A6:A8"/>
    <mergeCell ref="A1:F1"/>
    <mergeCell ref="A37:E37"/>
    <mergeCell ref="D15:D17"/>
    <mergeCell ref="E15:E17"/>
    <mergeCell ref="B15:B17"/>
    <mergeCell ref="C15:C17"/>
    <mergeCell ref="A34:A36"/>
    <mergeCell ref="F15:F17"/>
    <mergeCell ref="A90:I90"/>
    <mergeCell ref="A91:I91"/>
    <mergeCell ref="E83:E85"/>
    <mergeCell ref="H15:H17"/>
    <mergeCell ref="A13:H13"/>
    <mergeCell ref="A81:I81"/>
    <mergeCell ref="A83:A85"/>
    <mergeCell ref="B83:B85"/>
    <mergeCell ref="F83:F85"/>
    <mergeCell ref="G83:G85"/>
    <mergeCell ref="H83:H85"/>
    <mergeCell ref="G15:G17"/>
    <mergeCell ref="A62:A63"/>
    <mergeCell ref="B62:D62"/>
    <mergeCell ref="E62:G62"/>
    <mergeCell ref="A61:G61"/>
  </mergeCells>
  <phoneticPr fontId="6" type="noConversion"/>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8C5F2-9A92-4A60-BE5E-C43A3E0440EA}">
  <sheetPr codeName="Sheet7"/>
  <dimension ref="A1:S92"/>
  <sheetViews>
    <sheetView workbookViewId="0">
      <selection sqref="A1:S1"/>
    </sheetView>
  </sheetViews>
  <sheetFormatPr defaultRowHeight="14.4" x14ac:dyDescent="0.3"/>
  <cols>
    <col min="1" max="1" width="22.6640625" customWidth="1"/>
    <col min="2" max="2" width="23.88671875" customWidth="1"/>
    <col min="18" max="18" width="8.33203125" customWidth="1"/>
    <col min="19" max="19" width="37" customWidth="1"/>
  </cols>
  <sheetData>
    <row r="1" spans="1:19" ht="24" customHeight="1" x14ac:dyDescent="0.3">
      <c r="A1" s="905" t="str">
        <f>"Thermostat Setpoints - "&amp;Prototype!A2</f>
        <v>Thermostat Setpoints - OfficeLarge</v>
      </c>
      <c r="B1" s="905"/>
      <c r="C1" s="905"/>
      <c r="D1" s="905"/>
      <c r="E1" s="905"/>
      <c r="F1" s="905"/>
      <c r="G1" s="905"/>
      <c r="H1" s="905"/>
      <c r="I1" s="905"/>
      <c r="J1" s="905"/>
      <c r="K1" s="905"/>
      <c r="L1" s="905"/>
      <c r="M1" s="905"/>
      <c r="N1" s="905"/>
      <c r="O1" s="905"/>
      <c r="P1" s="905"/>
      <c r="Q1" s="905"/>
      <c r="R1" s="905"/>
      <c r="S1" s="905"/>
    </row>
    <row r="2" spans="1:19" ht="22.2" customHeight="1" x14ac:dyDescent="0.3">
      <c r="A2" s="102" t="s">
        <v>519</v>
      </c>
      <c r="B2" s="102" t="s">
        <v>520</v>
      </c>
      <c r="C2" s="103" t="s">
        <v>298</v>
      </c>
      <c r="D2" s="103" t="s">
        <v>299</v>
      </c>
      <c r="E2" s="103" t="s">
        <v>300</v>
      </c>
      <c r="F2" s="103" t="s">
        <v>301</v>
      </c>
      <c r="G2" s="103" t="s">
        <v>302</v>
      </c>
      <c r="H2" s="103" t="s">
        <v>303</v>
      </c>
      <c r="I2" s="103" t="s">
        <v>304</v>
      </c>
      <c r="J2" s="103" t="s">
        <v>305</v>
      </c>
      <c r="K2" s="103" t="s">
        <v>306</v>
      </c>
      <c r="L2" s="103" t="s">
        <v>307</v>
      </c>
      <c r="M2" s="103" t="s">
        <v>308</v>
      </c>
      <c r="N2" s="103" t="s">
        <v>309</v>
      </c>
      <c r="O2" s="103" t="s">
        <v>310</v>
      </c>
      <c r="P2" s="103" t="s">
        <v>311</v>
      </c>
      <c r="Q2" s="103" t="s">
        <v>312</v>
      </c>
      <c r="R2" s="103" t="s">
        <v>313</v>
      </c>
      <c r="S2" s="165" t="s">
        <v>378</v>
      </c>
    </row>
    <row r="3" spans="1:19" ht="22.2" customHeight="1" x14ac:dyDescent="0.3">
      <c r="A3" s="910" t="s">
        <v>521</v>
      </c>
      <c r="B3" s="104" t="s">
        <v>522</v>
      </c>
      <c r="C3" s="104">
        <v>70</v>
      </c>
      <c r="D3" s="104">
        <v>70</v>
      </c>
      <c r="E3" s="104">
        <v>70</v>
      </c>
      <c r="F3" s="104">
        <v>70</v>
      </c>
      <c r="G3" s="104">
        <v>70</v>
      </c>
      <c r="H3" s="104">
        <v>70</v>
      </c>
      <c r="I3" s="104">
        <v>70</v>
      </c>
      <c r="J3" s="104">
        <v>70</v>
      </c>
      <c r="K3" s="104">
        <v>70</v>
      </c>
      <c r="L3" s="104">
        <v>70</v>
      </c>
      <c r="M3" s="104">
        <v>70</v>
      </c>
      <c r="N3" s="104">
        <v>70</v>
      </c>
      <c r="O3" s="104">
        <v>70</v>
      </c>
      <c r="P3" s="104">
        <v>70</v>
      </c>
      <c r="Q3" s="104">
        <v>70</v>
      </c>
      <c r="R3" s="104">
        <v>70</v>
      </c>
      <c r="S3" s="910" t="s">
        <v>523</v>
      </c>
    </row>
    <row r="4" spans="1:19" ht="22.2" customHeight="1" x14ac:dyDescent="0.3">
      <c r="A4" s="911"/>
      <c r="B4" s="104" t="s">
        <v>524</v>
      </c>
      <c r="C4" s="104">
        <v>60</v>
      </c>
      <c r="D4" s="104">
        <v>60</v>
      </c>
      <c r="E4" s="104">
        <v>60</v>
      </c>
      <c r="F4" s="104">
        <v>60</v>
      </c>
      <c r="G4" s="104">
        <v>60</v>
      </c>
      <c r="H4" s="104">
        <v>60</v>
      </c>
      <c r="I4" s="104">
        <v>60</v>
      </c>
      <c r="J4" s="104">
        <v>60</v>
      </c>
      <c r="K4" s="104">
        <v>60</v>
      </c>
      <c r="L4" s="104">
        <v>60</v>
      </c>
      <c r="M4" s="104">
        <v>60</v>
      </c>
      <c r="N4" s="104">
        <v>60</v>
      </c>
      <c r="O4" s="104">
        <v>60</v>
      </c>
      <c r="P4" s="104">
        <v>60</v>
      </c>
      <c r="Q4" s="104">
        <v>60</v>
      </c>
      <c r="R4" s="104">
        <v>60</v>
      </c>
      <c r="S4" s="911"/>
    </row>
    <row r="5" spans="1:19" ht="22.2" customHeight="1" x14ac:dyDescent="0.3">
      <c r="A5" s="911"/>
      <c r="B5" s="104" t="s">
        <v>525</v>
      </c>
      <c r="C5" s="104">
        <v>75</v>
      </c>
      <c r="D5" s="104">
        <v>75</v>
      </c>
      <c r="E5" s="104">
        <v>75</v>
      </c>
      <c r="F5" s="104">
        <v>75</v>
      </c>
      <c r="G5" s="104">
        <v>75</v>
      </c>
      <c r="H5" s="104">
        <v>75</v>
      </c>
      <c r="I5" s="104">
        <v>75</v>
      </c>
      <c r="J5" s="104">
        <v>75</v>
      </c>
      <c r="K5" s="104">
        <v>75</v>
      </c>
      <c r="L5" s="104">
        <v>75</v>
      </c>
      <c r="M5" s="104">
        <v>75</v>
      </c>
      <c r="N5" s="104">
        <v>75</v>
      </c>
      <c r="O5" s="104">
        <v>75</v>
      </c>
      <c r="P5" s="104">
        <v>75</v>
      </c>
      <c r="Q5" s="104">
        <v>75</v>
      </c>
      <c r="R5" s="104">
        <v>75</v>
      </c>
      <c r="S5" s="911"/>
    </row>
    <row r="6" spans="1:19" ht="22.2" customHeight="1" x14ac:dyDescent="0.3">
      <c r="A6" s="912"/>
      <c r="B6" s="104" t="s">
        <v>526</v>
      </c>
      <c r="C6" s="192">
        <v>85</v>
      </c>
      <c r="D6" s="192">
        <v>85</v>
      </c>
      <c r="E6" s="192">
        <v>85</v>
      </c>
      <c r="F6" s="192">
        <v>85</v>
      </c>
      <c r="G6" s="192">
        <v>85</v>
      </c>
      <c r="H6" s="192">
        <v>85</v>
      </c>
      <c r="I6" s="192">
        <v>85</v>
      </c>
      <c r="J6" s="192">
        <v>85</v>
      </c>
      <c r="K6" s="192">
        <v>85</v>
      </c>
      <c r="L6" s="192">
        <v>85</v>
      </c>
      <c r="M6" s="192">
        <v>85</v>
      </c>
      <c r="N6" s="192">
        <v>85</v>
      </c>
      <c r="O6" s="192">
        <v>85</v>
      </c>
      <c r="P6" s="192">
        <v>85</v>
      </c>
      <c r="Q6" s="192">
        <v>85</v>
      </c>
      <c r="R6" s="192">
        <v>85</v>
      </c>
      <c r="S6" s="912"/>
    </row>
    <row r="7" spans="1:19" ht="22.95" customHeight="1" x14ac:dyDescent="0.3">
      <c r="A7" s="913" t="s">
        <v>527</v>
      </c>
      <c r="B7" s="104" t="s">
        <v>525</v>
      </c>
      <c r="C7" s="104">
        <v>80</v>
      </c>
      <c r="D7" s="104">
        <v>80</v>
      </c>
      <c r="E7" s="104">
        <v>80</v>
      </c>
      <c r="F7" s="104">
        <v>80</v>
      </c>
      <c r="G7" s="104">
        <v>80</v>
      </c>
      <c r="H7" s="104">
        <v>80</v>
      </c>
      <c r="I7" s="104">
        <v>80</v>
      </c>
      <c r="J7" s="104">
        <v>80</v>
      </c>
      <c r="K7" s="104">
        <v>80</v>
      </c>
      <c r="L7" s="104">
        <v>80</v>
      </c>
      <c r="M7" s="104">
        <v>80</v>
      </c>
      <c r="N7" s="104">
        <v>80</v>
      </c>
      <c r="O7" s="104">
        <v>80</v>
      </c>
      <c r="P7" s="104">
        <v>80</v>
      </c>
      <c r="Q7" s="104">
        <v>80</v>
      </c>
      <c r="R7" s="104">
        <v>80</v>
      </c>
      <c r="S7" s="910" t="s">
        <v>528</v>
      </c>
    </row>
    <row r="8" spans="1:19" ht="22.95" customHeight="1" x14ac:dyDescent="0.3">
      <c r="A8" s="914"/>
      <c r="B8" s="421" t="s">
        <v>522</v>
      </c>
      <c r="C8" s="915" t="s">
        <v>529</v>
      </c>
      <c r="D8" s="916"/>
      <c r="E8" s="916"/>
      <c r="F8" s="916"/>
      <c r="G8" s="916"/>
      <c r="H8" s="916"/>
      <c r="I8" s="916"/>
      <c r="J8" s="916"/>
      <c r="K8" s="916"/>
      <c r="L8" s="916"/>
      <c r="M8" s="916"/>
      <c r="N8" s="916"/>
      <c r="O8" s="916"/>
      <c r="P8" s="916"/>
      <c r="Q8" s="916"/>
      <c r="R8" s="917"/>
      <c r="S8" s="911"/>
    </row>
    <row r="9" spans="1:19" ht="22.95" customHeight="1" x14ac:dyDescent="0.3">
      <c r="A9" s="918" t="s">
        <v>530</v>
      </c>
      <c r="B9" s="417" t="s">
        <v>522</v>
      </c>
      <c r="C9" s="746">
        <v>60</v>
      </c>
      <c r="D9" s="746">
        <v>60</v>
      </c>
      <c r="E9" s="746">
        <v>60</v>
      </c>
      <c r="F9" s="746">
        <v>60</v>
      </c>
      <c r="G9" s="746">
        <v>60</v>
      </c>
      <c r="H9" s="746">
        <v>60</v>
      </c>
      <c r="I9" s="746">
        <v>60</v>
      </c>
      <c r="J9" s="746">
        <v>60</v>
      </c>
      <c r="K9" s="746">
        <v>60</v>
      </c>
      <c r="L9" s="746">
        <v>60</v>
      </c>
      <c r="M9" s="746">
        <v>60</v>
      </c>
      <c r="N9" s="746">
        <v>60</v>
      </c>
      <c r="O9" s="746">
        <v>60</v>
      </c>
      <c r="P9" s="746">
        <v>60</v>
      </c>
      <c r="Q9" s="746">
        <v>60</v>
      </c>
      <c r="R9" s="746">
        <v>60</v>
      </c>
      <c r="S9" s="918" t="s">
        <v>531</v>
      </c>
    </row>
    <row r="10" spans="1:19" ht="22.95" customHeight="1" x14ac:dyDescent="0.3">
      <c r="A10" s="919"/>
      <c r="B10" s="417" t="s">
        <v>524</v>
      </c>
      <c r="C10" s="746">
        <v>60</v>
      </c>
      <c r="D10" s="746">
        <v>60</v>
      </c>
      <c r="E10" s="746">
        <v>60</v>
      </c>
      <c r="F10" s="746">
        <v>60</v>
      </c>
      <c r="G10" s="746">
        <v>60</v>
      </c>
      <c r="H10" s="746">
        <v>60</v>
      </c>
      <c r="I10" s="746">
        <v>60</v>
      </c>
      <c r="J10" s="746">
        <v>60</v>
      </c>
      <c r="K10" s="746">
        <v>60</v>
      </c>
      <c r="L10" s="746">
        <v>60</v>
      </c>
      <c r="M10" s="746">
        <v>60</v>
      </c>
      <c r="N10" s="746">
        <v>60</v>
      </c>
      <c r="O10" s="746">
        <v>60</v>
      </c>
      <c r="P10" s="746">
        <v>60</v>
      </c>
      <c r="Q10" s="746">
        <v>60</v>
      </c>
      <c r="R10" s="746">
        <v>60</v>
      </c>
      <c r="S10" s="919"/>
    </row>
    <row r="11" spans="1:19" ht="22.95" customHeight="1" x14ac:dyDescent="0.3">
      <c r="A11" s="919"/>
      <c r="B11" s="417" t="s">
        <v>525</v>
      </c>
      <c r="C11" s="746">
        <v>85</v>
      </c>
      <c r="D11" s="746">
        <v>85</v>
      </c>
      <c r="E11" s="746">
        <v>85</v>
      </c>
      <c r="F11" s="746">
        <v>85</v>
      </c>
      <c r="G11" s="746">
        <v>85</v>
      </c>
      <c r="H11" s="746">
        <v>85</v>
      </c>
      <c r="I11" s="746">
        <v>85</v>
      </c>
      <c r="J11" s="746">
        <v>85</v>
      </c>
      <c r="K11" s="746">
        <v>85</v>
      </c>
      <c r="L11" s="746">
        <v>85</v>
      </c>
      <c r="M11" s="746">
        <v>85</v>
      </c>
      <c r="N11" s="746">
        <v>85</v>
      </c>
      <c r="O11" s="746">
        <v>85</v>
      </c>
      <c r="P11" s="746">
        <v>85</v>
      </c>
      <c r="Q11" s="746">
        <v>85</v>
      </c>
      <c r="R11" s="746">
        <v>85</v>
      </c>
      <c r="S11" s="919"/>
    </row>
    <row r="12" spans="1:19" ht="22.95" customHeight="1" x14ac:dyDescent="0.3">
      <c r="A12" s="920"/>
      <c r="B12" s="417" t="s">
        <v>532</v>
      </c>
      <c r="C12" s="746">
        <v>85</v>
      </c>
      <c r="D12" s="746">
        <v>85</v>
      </c>
      <c r="E12" s="746">
        <v>85</v>
      </c>
      <c r="F12" s="746">
        <v>85</v>
      </c>
      <c r="G12" s="746">
        <v>85</v>
      </c>
      <c r="H12" s="746">
        <v>85</v>
      </c>
      <c r="I12" s="746">
        <v>85</v>
      </c>
      <c r="J12" s="746">
        <v>85</v>
      </c>
      <c r="K12" s="746">
        <v>85</v>
      </c>
      <c r="L12" s="746">
        <v>85</v>
      </c>
      <c r="M12" s="746">
        <v>85</v>
      </c>
      <c r="N12" s="746">
        <v>85</v>
      </c>
      <c r="O12" s="746">
        <v>85</v>
      </c>
      <c r="P12" s="746">
        <v>85</v>
      </c>
      <c r="Q12" s="746">
        <v>85</v>
      </c>
      <c r="R12" s="746">
        <v>85</v>
      </c>
      <c r="S12" s="920"/>
    </row>
    <row r="13" spans="1:19" ht="22.95" customHeight="1" x14ac:dyDescent="0.3">
      <c r="A13" s="418"/>
      <c r="B13" s="419"/>
      <c r="C13" s="419"/>
      <c r="D13" s="419"/>
      <c r="E13" s="419"/>
      <c r="F13" s="419"/>
      <c r="G13" s="419"/>
      <c r="H13" s="419"/>
      <c r="I13" s="419"/>
      <c r="J13" s="419"/>
      <c r="K13" s="419"/>
      <c r="L13" s="419"/>
      <c r="M13" s="419"/>
      <c r="N13" s="419"/>
      <c r="O13" s="419"/>
      <c r="P13" s="419"/>
      <c r="Q13" s="419"/>
      <c r="R13" s="419"/>
      <c r="S13" s="420"/>
    </row>
    <row r="14" spans="1:19" ht="16.2" customHeight="1" x14ac:dyDescent="0.3">
      <c r="A14" s="100"/>
      <c r="B14" s="166" t="s">
        <v>533</v>
      </c>
      <c r="C14" s="166"/>
      <c r="D14" s="166"/>
      <c r="E14" s="166"/>
      <c r="F14" s="166"/>
      <c r="G14" s="166"/>
      <c r="H14" s="166"/>
      <c r="I14" s="166"/>
      <c r="J14" s="166"/>
      <c r="K14" s="166"/>
      <c r="L14" s="166"/>
      <c r="M14" s="166"/>
      <c r="N14" s="166"/>
      <c r="O14" s="166"/>
      <c r="P14" s="166"/>
      <c r="Q14" s="166"/>
    </row>
    <row r="15" spans="1:19" x14ac:dyDescent="0.3">
      <c r="A15" s="107"/>
      <c r="B15" s="166" t="s">
        <v>534</v>
      </c>
      <c r="C15" s="166"/>
      <c r="D15" s="166"/>
      <c r="E15" s="166"/>
      <c r="F15" s="166"/>
      <c r="G15" s="166"/>
      <c r="H15" s="166"/>
      <c r="I15" s="166"/>
      <c r="J15" s="166"/>
      <c r="K15" s="166"/>
      <c r="L15" s="166"/>
      <c r="M15" s="166"/>
      <c r="N15" s="166"/>
      <c r="O15" s="166"/>
      <c r="P15" s="166"/>
      <c r="Q15" s="166"/>
    </row>
    <row r="16" spans="1:19" x14ac:dyDescent="0.3">
      <c r="A16" s="46"/>
      <c r="B16" s="46"/>
      <c r="C16" s="46"/>
      <c r="D16" s="46"/>
      <c r="E16" s="46"/>
      <c r="F16" s="46"/>
      <c r="G16" s="46"/>
      <c r="H16" s="46"/>
      <c r="I16" s="46"/>
      <c r="J16" s="46"/>
      <c r="K16" s="46"/>
      <c r="L16" s="46"/>
      <c r="M16" s="46"/>
      <c r="N16" s="46"/>
      <c r="O16" s="46"/>
      <c r="P16" s="46"/>
      <c r="Q16" s="46"/>
    </row>
    <row r="17" spans="1:17" ht="15" customHeight="1" x14ac:dyDescent="0.3">
      <c r="A17" s="46"/>
      <c r="B17" s="46"/>
      <c r="C17" s="46"/>
      <c r="D17" s="46"/>
      <c r="E17" s="46"/>
      <c r="F17" s="46"/>
      <c r="G17" s="46"/>
      <c r="H17" s="46"/>
      <c r="I17" s="46"/>
      <c r="J17" s="46"/>
      <c r="K17" s="46"/>
      <c r="L17" s="46"/>
      <c r="M17" s="46"/>
      <c r="N17" s="46"/>
      <c r="O17" s="46"/>
      <c r="P17" s="46"/>
      <c r="Q17" s="46"/>
    </row>
    <row r="18" spans="1:17" ht="15" customHeight="1" x14ac:dyDescent="0.3">
      <c r="A18" s="46"/>
      <c r="B18" s="46"/>
      <c r="C18" s="46"/>
      <c r="D18" s="46"/>
      <c r="E18" s="46"/>
      <c r="F18" s="46"/>
      <c r="G18" s="46"/>
      <c r="H18" s="46"/>
      <c r="I18" s="46"/>
      <c r="J18" s="46"/>
      <c r="K18" s="46"/>
      <c r="L18" s="46"/>
      <c r="M18" s="46"/>
      <c r="N18" s="46"/>
      <c r="O18" s="46"/>
      <c r="Q18" s="46"/>
    </row>
    <row r="19" spans="1:17" ht="15" customHeight="1" x14ac:dyDescent="0.3">
      <c r="A19" s="46"/>
      <c r="B19" s="46"/>
      <c r="C19" s="46"/>
      <c r="D19" s="46"/>
      <c r="E19" s="46"/>
      <c r="F19" s="46"/>
      <c r="G19" s="46"/>
      <c r="H19" s="46"/>
      <c r="I19" s="46"/>
      <c r="J19" s="46"/>
      <c r="K19" s="46"/>
      <c r="L19" s="46"/>
      <c r="M19" s="46"/>
      <c r="N19" s="46"/>
      <c r="O19" s="46"/>
      <c r="P19" s="46"/>
      <c r="Q19" s="46"/>
    </row>
    <row r="20" spans="1:17" ht="15" customHeight="1" x14ac:dyDescent="0.3">
      <c r="A20" s="46"/>
      <c r="B20" s="46"/>
      <c r="C20" s="46"/>
      <c r="D20" s="46"/>
      <c r="E20" s="46"/>
      <c r="F20" s="46"/>
      <c r="G20" s="46"/>
      <c r="H20" s="46"/>
      <c r="I20" s="46"/>
      <c r="J20" s="46"/>
      <c r="K20" s="46"/>
      <c r="L20" s="46"/>
      <c r="M20" s="46"/>
      <c r="N20" s="46"/>
      <c r="O20" s="46"/>
      <c r="P20" s="46"/>
      <c r="Q20" s="46"/>
    </row>
    <row r="21" spans="1:17" ht="15" customHeight="1" x14ac:dyDescent="0.3"/>
    <row r="22" spans="1:17" s="21" customFormat="1" ht="13.2" hidden="1" x14ac:dyDescent="0.25">
      <c r="A22" s="21" t="s">
        <v>444</v>
      </c>
      <c r="E22" s="22"/>
      <c r="F22" s="23"/>
      <c r="G22" s="24"/>
    </row>
    <row r="23" spans="1:17" hidden="1" x14ac:dyDescent="0.3"/>
    <row r="24" spans="1:17" hidden="1" x14ac:dyDescent="0.3"/>
    <row r="25" spans="1:17" hidden="1" x14ac:dyDescent="0.3"/>
    <row r="26" spans="1:17" hidden="1" x14ac:dyDescent="0.3"/>
    <row r="27" spans="1:17" hidden="1" x14ac:dyDescent="0.3"/>
    <row r="28" spans="1:17" hidden="1" x14ac:dyDescent="0.3"/>
    <row r="29" spans="1:17" hidden="1" x14ac:dyDescent="0.3"/>
    <row r="30" spans="1:17" hidden="1" x14ac:dyDescent="0.3"/>
    <row r="31" spans="1:17" hidden="1" x14ac:dyDescent="0.3"/>
    <row r="32" spans="1:17" hidden="1" x14ac:dyDescent="0.3"/>
    <row r="33" spans="1:13" hidden="1" x14ac:dyDescent="0.3"/>
    <row r="34" spans="1:13" hidden="1" x14ac:dyDescent="0.3"/>
    <row r="35" spans="1:13" hidden="1" x14ac:dyDescent="0.3"/>
    <row r="36" spans="1:13" hidden="1" x14ac:dyDescent="0.3"/>
    <row r="37" spans="1:13" hidden="1" x14ac:dyDescent="0.3"/>
    <row r="38" spans="1:13" hidden="1" x14ac:dyDescent="0.3"/>
    <row r="39" spans="1:13" hidden="1" x14ac:dyDescent="0.3"/>
    <row r="40" spans="1:13" ht="18.600000000000001" hidden="1" customHeight="1" x14ac:dyDescent="0.3"/>
    <row r="41" spans="1:13" hidden="1" x14ac:dyDescent="0.3"/>
    <row r="42" spans="1:13" s="5" customFormat="1" ht="21" hidden="1" customHeight="1" x14ac:dyDescent="0.25">
      <c r="A42" s="906" t="s">
        <v>535</v>
      </c>
      <c r="B42" s="906"/>
      <c r="C42" s="906"/>
      <c r="D42" s="906"/>
      <c r="E42" s="906"/>
      <c r="F42" s="906"/>
      <c r="G42" s="906"/>
      <c r="H42" s="906"/>
      <c r="I42" s="906"/>
      <c r="J42" s="906"/>
      <c r="K42" s="906"/>
      <c r="L42" s="906"/>
      <c r="M42" s="906"/>
    </row>
    <row r="43" spans="1:13" s="5" customFormat="1" ht="13.2" hidden="1" customHeight="1" x14ac:dyDescent="0.25"/>
    <row r="44" spans="1:13" s="5" customFormat="1" ht="13.2" hidden="1" customHeight="1" x14ac:dyDescent="0.25"/>
    <row r="45" spans="1:13" s="5" customFormat="1" ht="13.2" hidden="1" customHeight="1" x14ac:dyDescent="0.25"/>
    <row r="46" spans="1:13" s="5" customFormat="1" ht="13.2" hidden="1" customHeight="1" x14ac:dyDescent="0.25"/>
    <row r="47" spans="1:13" s="5" customFormat="1" ht="13.2" hidden="1" customHeight="1" x14ac:dyDescent="0.25"/>
    <row r="48" spans="1:13" s="5" customFormat="1" ht="13.2" hidden="1" customHeight="1" x14ac:dyDescent="0.25"/>
    <row r="49" spans="2:17" s="5" customFormat="1" ht="13.2" hidden="1" customHeight="1" x14ac:dyDescent="0.25"/>
    <row r="50" spans="2:17" s="5" customFormat="1" ht="13.2" hidden="1" customHeight="1" x14ac:dyDescent="0.25"/>
    <row r="51" spans="2:17" s="5" customFormat="1" ht="13.2" hidden="1" customHeight="1" x14ac:dyDescent="0.25"/>
    <row r="52" spans="2:17" s="5" customFormat="1" ht="13.2" hidden="1" customHeight="1" x14ac:dyDescent="0.25"/>
    <row r="53" spans="2:17" s="5" customFormat="1" ht="13.2" hidden="1" customHeight="1" x14ac:dyDescent="0.25"/>
    <row r="54" spans="2:17" s="5" customFormat="1" ht="13.2" hidden="1" customHeight="1" x14ac:dyDescent="0.25"/>
    <row r="55" spans="2:17" s="5" customFormat="1" ht="13.2" hidden="1" customHeight="1" x14ac:dyDescent="0.25"/>
    <row r="56" spans="2:17" s="5" customFormat="1" ht="13.2" hidden="1" customHeight="1" x14ac:dyDescent="0.25"/>
    <row r="57" spans="2:17" s="5" customFormat="1" ht="13.2" hidden="1" customHeight="1" x14ac:dyDescent="0.25"/>
    <row r="58" spans="2:17" s="5" customFormat="1" ht="13.2" hidden="1" customHeight="1" x14ac:dyDescent="0.25"/>
    <row r="59" spans="2:17" s="5" customFormat="1" ht="13.2" hidden="1" customHeight="1" x14ac:dyDescent="0.25"/>
    <row r="60" spans="2:17" s="5" customFormat="1" ht="13.2" hidden="1" customHeight="1" x14ac:dyDescent="0.25"/>
    <row r="61" spans="2:17" hidden="1" x14ac:dyDescent="0.3"/>
    <row r="62" spans="2:17" hidden="1" x14ac:dyDescent="0.3"/>
    <row r="63" spans="2:17" ht="15.6" hidden="1" x14ac:dyDescent="0.3">
      <c r="B63" s="907" t="s">
        <v>536</v>
      </c>
      <c r="C63" s="907"/>
      <c r="D63" s="907"/>
      <c r="E63" s="907"/>
      <c r="F63" s="907"/>
      <c r="G63" s="907"/>
      <c r="H63" s="907"/>
      <c r="K63" s="908" t="s">
        <v>375</v>
      </c>
      <c r="L63" s="908"/>
      <c r="M63" s="908"/>
      <c r="N63" s="908"/>
      <c r="O63" s="908"/>
      <c r="P63" s="908"/>
      <c r="Q63" s="908"/>
    </row>
    <row r="64" spans="2:17" hidden="1" x14ac:dyDescent="0.3">
      <c r="B64" s="909" t="s">
        <v>537</v>
      </c>
      <c r="C64" s="909"/>
      <c r="D64" s="909"/>
      <c r="F64" s="909" t="s">
        <v>538</v>
      </c>
      <c r="G64" s="909"/>
      <c r="H64" s="909"/>
      <c r="K64" s="909" t="s">
        <v>537</v>
      </c>
      <c r="L64" s="909"/>
      <c r="M64" s="909"/>
      <c r="O64" s="909" t="s">
        <v>538</v>
      </c>
      <c r="P64" s="909"/>
      <c r="Q64" s="909"/>
    </row>
    <row r="65" spans="1:17" hidden="1" x14ac:dyDescent="0.3">
      <c r="B65" t="s">
        <v>539</v>
      </c>
      <c r="C65" t="s">
        <v>540</v>
      </c>
      <c r="D65" t="s">
        <v>541</v>
      </c>
      <c r="F65" t="s">
        <v>542</v>
      </c>
      <c r="G65" t="s">
        <v>543</v>
      </c>
      <c r="H65" t="s">
        <v>544</v>
      </c>
      <c r="K65" t="s">
        <v>539</v>
      </c>
      <c r="L65" t="s">
        <v>540</v>
      </c>
      <c r="M65" t="s">
        <v>541</v>
      </c>
      <c r="O65" t="s">
        <v>542</v>
      </c>
      <c r="P65" t="s">
        <v>543</v>
      </c>
      <c r="Q65" t="s">
        <v>544</v>
      </c>
    </row>
    <row r="66" spans="1:17" hidden="1" x14ac:dyDescent="0.3">
      <c r="A66">
        <v>1</v>
      </c>
      <c r="B66" s="2">
        <v>60</v>
      </c>
      <c r="C66" s="2">
        <v>60</v>
      </c>
      <c r="D66">
        <v>60</v>
      </c>
      <c r="F66">
        <v>60.08</v>
      </c>
      <c r="G66">
        <v>60.08</v>
      </c>
      <c r="H66">
        <v>60.08</v>
      </c>
      <c r="K66">
        <v>85</v>
      </c>
      <c r="L66">
        <v>85</v>
      </c>
      <c r="M66">
        <v>85</v>
      </c>
      <c r="O66">
        <v>80.06</v>
      </c>
      <c r="P66">
        <v>80.06</v>
      </c>
      <c r="Q66">
        <v>80.06</v>
      </c>
    </row>
    <row r="67" spans="1:17" hidden="1" x14ac:dyDescent="0.3">
      <c r="A67">
        <v>2</v>
      </c>
      <c r="B67" s="2">
        <v>60</v>
      </c>
      <c r="C67" s="2">
        <v>60</v>
      </c>
      <c r="D67">
        <v>60</v>
      </c>
      <c r="F67">
        <v>60.08</v>
      </c>
      <c r="G67">
        <v>60.08</v>
      </c>
      <c r="H67">
        <v>60.08</v>
      </c>
      <c r="K67">
        <v>85</v>
      </c>
      <c r="L67">
        <v>85</v>
      </c>
      <c r="M67">
        <v>85</v>
      </c>
      <c r="O67">
        <v>80.06</v>
      </c>
      <c r="P67">
        <v>80.06</v>
      </c>
      <c r="Q67">
        <v>80.06</v>
      </c>
    </row>
    <row r="68" spans="1:17" hidden="1" x14ac:dyDescent="0.3">
      <c r="A68">
        <v>3</v>
      </c>
      <c r="B68" s="2">
        <v>60</v>
      </c>
      <c r="C68" s="2">
        <v>60</v>
      </c>
      <c r="D68">
        <v>60</v>
      </c>
      <c r="F68">
        <v>60.08</v>
      </c>
      <c r="G68">
        <v>60.08</v>
      </c>
      <c r="H68">
        <v>60.08</v>
      </c>
      <c r="K68">
        <v>85</v>
      </c>
      <c r="L68">
        <v>85</v>
      </c>
      <c r="M68">
        <v>85</v>
      </c>
      <c r="O68">
        <v>80.06</v>
      </c>
      <c r="P68">
        <v>80.06</v>
      </c>
      <c r="Q68">
        <v>80.06</v>
      </c>
    </row>
    <row r="69" spans="1:17" hidden="1" x14ac:dyDescent="0.3">
      <c r="A69">
        <v>4</v>
      </c>
      <c r="B69" s="2">
        <v>60</v>
      </c>
      <c r="C69" s="2">
        <v>60</v>
      </c>
      <c r="D69">
        <v>60</v>
      </c>
      <c r="F69">
        <v>60.08</v>
      </c>
      <c r="G69">
        <v>60.08</v>
      </c>
      <c r="H69">
        <v>60.08</v>
      </c>
      <c r="K69">
        <v>85</v>
      </c>
      <c r="L69">
        <v>85</v>
      </c>
      <c r="M69">
        <v>85</v>
      </c>
      <c r="O69">
        <v>80.06</v>
      </c>
      <c r="P69">
        <v>80.06</v>
      </c>
      <c r="Q69">
        <v>80.06</v>
      </c>
    </row>
    <row r="70" spans="1:17" hidden="1" x14ac:dyDescent="0.3">
      <c r="A70">
        <v>5</v>
      </c>
      <c r="B70" s="2">
        <v>60</v>
      </c>
      <c r="C70" s="2">
        <v>60</v>
      </c>
      <c r="D70">
        <v>60</v>
      </c>
      <c r="F70">
        <v>60.08</v>
      </c>
      <c r="G70">
        <v>60.08</v>
      </c>
      <c r="H70">
        <v>60.08</v>
      </c>
      <c r="K70">
        <v>85</v>
      </c>
      <c r="L70">
        <v>85</v>
      </c>
      <c r="M70">
        <v>85</v>
      </c>
      <c r="O70">
        <v>80.06</v>
      </c>
      <c r="P70">
        <v>80.06</v>
      </c>
      <c r="Q70">
        <v>80.06</v>
      </c>
    </row>
    <row r="71" spans="1:17" hidden="1" x14ac:dyDescent="0.3">
      <c r="A71">
        <v>6</v>
      </c>
      <c r="B71" s="2">
        <v>70</v>
      </c>
      <c r="C71" s="2">
        <v>70</v>
      </c>
      <c r="D71">
        <v>60</v>
      </c>
      <c r="F71">
        <v>64.039999999999992</v>
      </c>
      <c r="G71">
        <v>64.039999999999992</v>
      </c>
      <c r="H71">
        <v>60.08</v>
      </c>
      <c r="K71">
        <v>75</v>
      </c>
      <c r="L71">
        <v>75</v>
      </c>
      <c r="M71">
        <v>85</v>
      </c>
      <c r="O71">
        <v>78.080000000000013</v>
      </c>
      <c r="P71">
        <v>78.259999999999991</v>
      </c>
      <c r="Q71">
        <v>80.06</v>
      </c>
    </row>
    <row r="72" spans="1:17" hidden="1" x14ac:dyDescent="0.3">
      <c r="A72">
        <v>7</v>
      </c>
      <c r="B72" s="2">
        <v>70</v>
      </c>
      <c r="C72" s="2">
        <v>70</v>
      </c>
      <c r="D72">
        <v>60</v>
      </c>
      <c r="F72">
        <v>68</v>
      </c>
      <c r="G72">
        <v>68</v>
      </c>
      <c r="H72">
        <v>60.08</v>
      </c>
      <c r="K72">
        <v>75</v>
      </c>
      <c r="L72">
        <v>75</v>
      </c>
      <c r="M72">
        <v>85</v>
      </c>
      <c r="O72">
        <v>77</v>
      </c>
      <c r="P72">
        <v>77</v>
      </c>
      <c r="Q72">
        <v>80.06</v>
      </c>
    </row>
    <row r="73" spans="1:17" hidden="1" x14ac:dyDescent="0.3">
      <c r="A73">
        <v>8</v>
      </c>
      <c r="B73" s="2">
        <v>70</v>
      </c>
      <c r="C73" s="2">
        <v>70</v>
      </c>
      <c r="D73">
        <v>60</v>
      </c>
      <c r="F73">
        <v>69.800000000000011</v>
      </c>
      <c r="G73">
        <v>69.800000000000011</v>
      </c>
      <c r="H73">
        <v>60.08</v>
      </c>
      <c r="K73">
        <v>75</v>
      </c>
      <c r="L73">
        <v>75</v>
      </c>
      <c r="M73">
        <v>85</v>
      </c>
      <c r="O73">
        <v>75.2</v>
      </c>
      <c r="P73">
        <v>75.2</v>
      </c>
      <c r="Q73">
        <v>80.06</v>
      </c>
    </row>
    <row r="74" spans="1:17" hidden="1" x14ac:dyDescent="0.3">
      <c r="A74">
        <v>9</v>
      </c>
      <c r="B74" s="2">
        <v>70</v>
      </c>
      <c r="C74" s="2">
        <v>70</v>
      </c>
      <c r="D74">
        <v>60</v>
      </c>
      <c r="F74">
        <v>69.800000000000011</v>
      </c>
      <c r="G74">
        <v>69.800000000000011</v>
      </c>
      <c r="H74">
        <v>60.08</v>
      </c>
      <c r="K74">
        <v>75</v>
      </c>
      <c r="L74">
        <v>75</v>
      </c>
      <c r="M74">
        <v>85</v>
      </c>
      <c r="O74">
        <v>75.2</v>
      </c>
      <c r="P74">
        <v>75.2</v>
      </c>
      <c r="Q74">
        <v>80.06</v>
      </c>
    </row>
    <row r="75" spans="1:17" hidden="1" x14ac:dyDescent="0.3">
      <c r="A75">
        <v>10</v>
      </c>
      <c r="B75" s="2">
        <v>70</v>
      </c>
      <c r="C75" s="2">
        <v>70</v>
      </c>
      <c r="D75">
        <v>60</v>
      </c>
      <c r="F75">
        <v>69.800000000000011</v>
      </c>
      <c r="G75">
        <v>69.800000000000011</v>
      </c>
      <c r="H75">
        <v>60.08</v>
      </c>
      <c r="K75">
        <v>75</v>
      </c>
      <c r="L75">
        <v>75</v>
      </c>
      <c r="M75">
        <v>85</v>
      </c>
      <c r="O75">
        <v>75.2</v>
      </c>
      <c r="P75">
        <v>75.2</v>
      </c>
      <c r="Q75">
        <v>80.06</v>
      </c>
    </row>
    <row r="76" spans="1:17" hidden="1" x14ac:dyDescent="0.3">
      <c r="A76">
        <v>11</v>
      </c>
      <c r="B76" s="2">
        <v>70</v>
      </c>
      <c r="C76" s="2">
        <v>70</v>
      </c>
      <c r="D76">
        <v>60</v>
      </c>
      <c r="F76">
        <v>69.800000000000011</v>
      </c>
      <c r="G76">
        <v>69.800000000000011</v>
      </c>
      <c r="H76">
        <v>60.08</v>
      </c>
      <c r="K76">
        <v>75</v>
      </c>
      <c r="L76">
        <v>75</v>
      </c>
      <c r="M76">
        <v>85</v>
      </c>
      <c r="O76">
        <v>75.2</v>
      </c>
      <c r="P76">
        <v>75.2</v>
      </c>
      <c r="Q76">
        <v>80.06</v>
      </c>
    </row>
    <row r="77" spans="1:17" hidden="1" x14ac:dyDescent="0.3">
      <c r="A77">
        <v>12</v>
      </c>
      <c r="B77" s="2">
        <v>70</v>
      </c>
      <c r="C77" s="2">
        <v>70</v>
      </c>
      <c r="D77">
        <v>60</v>
      </c>
      <c r="F77">
        <v>69.800000000000011</v>
      </c>
      <c r="G77">
        <v>69.800000000000011</v>
      </c>
      <c r="H77">
        <v>60.08</v>
      </c>
      <c r="K77">
        <v>75</v>
      </c>
      <c r="L77">
        <v>75</v>
      </c>
      <c r="M77">
        <v>85</v>
      </c>
      <c r="O77">
        <v>75.2</v>
      </c>
      <c r="P77">
        <v>75.2</v>
      </c>
      <c r="Q77">
        <v>80.06</v>
      </c>
    </row>
    <row r="78" spans="1:17" hidden="1" x14ac:dyDescent="0.3">
      <c r="A78">
        <v>13</v>
      </c>
      <c r="B78" s="2">
        <v>70</v>
      </c>
      <c r="C78" s="2">
        <v>70</v>
      </c>
      <c r="D78">
        <v>60</v>
      </c>
      <c r="F78">
        <v>69.800000000000011</v>
      </c>
      <c r="G78">
        <v>69.800000000000011</v>
      </c>
      <c r="H78">
        <v>60.08</v>
      </c>
      <c r="K78">
        <v>75</v>
      </c>
      <c r="L78">
        <v>75</v>
      </c>
      <c r="M78">
        <v>85</v>
      </c>
      <c r="O78">
        <v>75.2</v>
      </c>
      <c r="P78">
        <v>75.2</v>
      </c>
      <c r="Q78">
        <v>80.06</v>
      </c>
    </row>
    <row r="79" spans="1:17" hidden="1" x14ac:dyDescent="0.3">
      <c r="A79">
        <v>14</v>
      </c>
      <c r="B79" s="2">
        <v>70</v>
      </c>
      <c r="C79" s="2">
        <v>70</v>
      </c>
      <c r="D79">
        <v>60</v>
      </c>
      <c r="F79">
        <v>69.800000000000011</v>
      </c>
      <c r="G79">
        <v>69.800000000000011</v>
      </c>
      <c r="H79">
        <v>60.08</v>
      </c>
      <c r="K79">
        <v>75</v>
      </c>
      <c r="L79">
        <v>75</v>
      </c>
      <c r="M79">
        <v>85</v>
      </c>
      <c r="O79">
        <v>75.2</v>
      </c>
      <c r="P79">
        <v>75.2</v>
      </c>
      <c r="Q79">
        <v>80.06</v>
      </c>
    </row>
    <row r="80" spans="1:17" hidden="1" x14ac:dyDescent="0.3">
      <c r="A80">
        <v>15</v>
      </c>
      <c r="B80" s="2">
        <v>70</v>
      </c>
      <c r="C80" s="2">
        <v>70</v>
      </c>
      <c r="D80">
        <v>60</v>
      </c>
      <c r="F80">
        <v>69.800000000000011</v>
      </c>
      <c r="G80">
        <v>69.800000000000011</v>
      </c>
      <c r="H80">
        <v>60.08</v>
      </c>
      <c r="K80">
        <v>75</v>
      </c>
      <c r="L80">
        <v>75</v>
      </c>
      <c r="M80">
        <v>85</v>
      </c>
      <c r="O80">
        <v>75.2</v>
      </c>
      <c r="P80">
        <v>75.2</v>
      </c>
      <c r="Q80">
        <v>80.06</v>
      </c>
    </row>
    <row r="81" spans="1:17" hidden="1" x14ac:dyDescent="0.3">
      <c r="A81">
        <v>16</v>
      </c>
      <c r="B81" s="2">
        <v>70</v>
      </c>
      <c r="C81" s="2">
        <v>70</v>
      </c>
      <c r="D81">
        <v>60</v>
      </c>
      <c r="F81">
        <v>69.800000000000011</v>
      </c>
      <c r="G81">
        <v>69.800000000000011</v>
      </c>
      <c r="H81">
        <v>60.08</v>
      </c>
      <c r="K81">
        <v>75</v>
      </c>
      <c r="L81">
        <v>75</v>
      </c>
      <c r="M81">
        <v>85</v>
      </c>
      <c r="O81">
        <v>75.2</v>
      </c>
      <c r="P81">
        <v>75.2</v>
      </c>
      <c r="Q81">
        <v>80.06</v>
      </c>
    </row>
    <row r="82" spans="1:17" hidden="1" x14ac:dyDescent="0.3">
      <c r="A82">
        <v>17</v>
      </c>
      <c r="B82" s="2">
        <v>70</v>
      </c>
      <c r="C82" s="2">
        <v>70</v>
      </c>
      <c r="D82">
        <v>60</v>
      </c>
      <c r="F82">
        <v>69.800000000000011</v>
      </c>
      <c r="G82">
        <v>69.800000000000011</v>
      </c>
      <c r="H82">
        <v>60.08</v>
      </c>
      <c r="K82">
        <v>75</v>
      </c>
      <c r="L82">
        <v>75</v>
      </c>
      <c r="M82">
        <v>85</v>
      </c>
      <c r="O82">
        <v>75.2</v>
      </c>
      <c r="P82">
        <v>75.2</v>
      </c>
      <c r="Q82">
        <v>80.06</v>
      </c>
    </row>
    <row r="83" spans="1:17" hidden="1" x14ac:dyDescent="0.3">
      <c r="A83">
        <v>18</v>
      </c>
      <c r="B83" s="2">
        <v>70</v>
      </c>
      <c r="C83" s="2">
        <v>70</v>
      </c>
      <c r="D83">
        <v>60</v>
      </c>
      <c r="F83">
        <v>69.800000000000011</v>
      </c>
      <c r="G83">
        <v>60.08</v>
      </c>
      <c r="H83">
        <v>60.08</v>
      </c>
      <c r="K83">
        <v>75</v>
      </c>
      <c r="L83">
        <v>75</v>
      </c>
      <c r="M83">
        <v>85</v>
      </c>
      <c r="O83">
        <v>75.2</v>
      </c>
      <c r="P83">
        <v>80.06</v>
      </c>
      <c r="Q83">
        <v>80.06</v>
      </c>
    </row>
    <row r="84" spans="1:17" hidden="1" x14ac:dyDescent="0.3">
      <c r="A84">
        <v>19</v>
      </c>
      <c r="B84" s="2">
        <v>70</v>
      </c>
      <c r="C84" s="2">
        <v>70</v>
      </c>
      <c r="D84">
        <v>60</v>
      </c>
      <c r="F84">
        <v>69.800000000000011</v>
      </c>
      <c r="G84">
        <v>60.08</v>
      </c>
      <c r="H84">
        <v>60.08</v>
      </c>
      <c r="K84">
        <v>75</v>
      </c>
      <c r="L84">
        <v>75</v>
      </c>
      <c r="M84">
        <v>85</v>
      </c>
      <c r="O84">
        <v>75.2</v>
      </c>
      <c r="P84">
        <v>80.06</v>
      </c>
      <c r="Q84">
        <v>80.06</v>
      </c>
    </row>
    <row r="85" spans="1:17" hidden="1" x14ac:dyDescent="0.3">
      <c r="A85">
        <v>20</v>
      </c>
      <c r="B85" s="2">
        <v>70</v>
      </c>
      <c r="C85" s="2">
        <v>60</v>
      </c>
      <c r="D85">
        <v>60</v>
      </c>
      <c r="F85">
        <v>69.800000000000011</v>
      </c>
      <c r="G85">
        <v>60.08</v>
      </c>
      <c r="H85">
        <v>60.08</v>
      </c>
      <c r="K85">
        <v>75</v>
      </c>
      <c r="L85">
        <v>85</v>
      </c>
      <c r="M85">
        <v>85</v>
      </c>
      <c r="O85">
        <v>75.2</v>
      </c>
      <c r="P85">
        <v>80.06</v>
      </c>
      <c r="Q85">
        <v>80.06</v>
      </c>
    </row>
    <row r="86" spans="1:17" hidden="1" x14ac:dyDescent="0.3">
      <c r="A86">
        <v>21</v>
      </c>
      <c r="B86" s="2">
        <v>70</v>
      </c>
      <c r="C86" s="2">
        <v>60</v>
      </c>
      <c r="D86">
        <v>60</v>
      </c>
      <c r="F86">
        <v>69.800000000000011</v>
      </c>
      <c r="G86">
        <v>60.08</v>
      </c>
      <c r="H86">
        <v>60.08</v>
      </c>
      <c r="K86">
        <v>75</v>
      </c>
      <c r="L86">
        <v>85</v>
      </c>
      <c r="M86">
        <v>85</v>
      </c>
      <c r="O86">
        <v>75.2</v>
      </c>
      <c r="P86">
        <v>80.06</v>
      </c>
      <c r="Q86">
        <v>80.06</v>
      </c>
    </row>
    <row r="87" spans="1:17" hidden="1" x14ac:dyDescent="0.3">
      <c r="A87">
        <v>22</v>
      </c>
      <c r="B87" s="2">
        <v>70</v>
      </c>
      <c r="C87" s="2">
        <v>60</v>
      </c>
      <c r="D87">
        <v>60</v>
      </c>
      <c r="F87">
        <v>69.800000000000011</v>
      </c>
      <c r="G87">
        <v>60.08</v>
      </c>
      <c r="H87">
        <v>60.08</v>
      </c>
      <c r="K87">
        <v>75</v>
      </c>
      <c r="L87">
        <v>85</v>
      </c>
      <c r="M87">
        <v>85</v>
      </c>
      <c r="O87">
        <v>75.2</v>
      </c>
      <c r="P87">
        <v>80.06</v>
      </c>
      <c r="Q87">
        <v>80.06</v>
      </c>
    </row>
    <row r="88" spans="1:17" hidden="1" x14ac:dyDescent="0.3">
      <c r="A88">
        <v>23</v>
      </c>
      <c r="B88" s="2">
        <v>70</v>
      </c>
      <c r="C88" s="2">
        <v>60</v>
      </c>
      <c r="D88">
        <v>60</v>
      </c>
      <c r="F88">
        <v>60.08</v>
      </c>
      <c r="G88">
        <v>60.08</v>
      </c>
      <c r="H88">
        <v>60.08</v>
      </c>
      <c r="K88">
        <v>75</v>
      </c>
      <c r="L88">
        <v>85</v>
      </c>
      <c r="M88">
        <v>85</v>
      </c>
      <c r="O88">
        <v>80.06</v>
      </c>
      <c r="P88">
        <v>80.06</v>
      </c>
      <c r="Q88">
        <v>80.06</v>
      </c>
    </row>
    <row r="89" spans="1:17" hidden="1" x14ac:dyDescent="0.3">
      <c r="A89">
        <v>24</v>
      </c>
      <c r="B89" s="2">
        <v>70</v>
      </c>
      <c r="C89" s="2">
        <v>60</v>
      </c>
      <c r="D89">
        <v>60</v>
      </c>
      <c r="F89">
        <v>60.08</v>
      </c>
      <c r="G89">
        <v>60.08</v>
      </c>
      <c r="H89">
        <v>60.08</v>
      </c>
      <c r="K89">
        <v>75</v>
      </c>
      <c r="L89">
        <v>85</v>
      </c>
      <c r="M89">
        <v>85</v>
      </c>
      <c r="O89">
        <v>80.06</v>
      </c>
      <c r="P89">
        <v>80.06</v>
      </c>
      <c r="Q89">
        <v>80.06</v>
      </c>
    </row>
    <row r="90" spans="1:17" hidden="1" x14ac:dyDescent="0.3"/>
    <row r="91" spans="1:17" hidden="1" x14ac:dyDescent="0.3"/>
    <row r="92" spans="1:17" hidden="1" x14ac:dyDescent="0.3"/>
  </sheetData>
  <mergeCells count="15">
    <mergeCell ref="A1:S1"/>
    <mergeCell ref="A42:M42"/>
    <mergeCell ref="B63:H63"/>
    <mergeCell ref="K63:Q63"/>
    <mergeCell ref="B64:D64"/>
    <mergeCell ref="F64:H64"/>
    <mergeCell ref="K64:M64"/>
    <mergeCell ref="O64:Q64"/>
    <mergeCell ref="S3:S6"/>
    <mergeCell ref="S7:S8"/>
    <mergeCell ref="A3:A6"/>
    <mergeCell ref="A7:A8"/>
    <mergeCell ref="C8:R8"/>
    <mergeCell ref="A9:A12"/>
    <mergeCell ref="S9:S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Q92"/>
  <sheetViews>
    <sheetView topLeftCell="A2" zoomScale="85" zoomScaleNormal="85" workbookViewId="0">
      <selection sqref="A1:K1"/>
    </sheetView>
  </sheetViews>
  <sheetFormatPr defaultColWidth="9.33203125" defaultRowHeight="13.8" x14ac:dyDescent="0.25"/>
  <cols>
    <col min="1" max="1" width="36" style="55" customWidth="1"/>
    <col min="2" max="2" width="14.33203125" style="55" customWidth="1"/>
    <col min="3" max="3" width="14" style="55" customWidth="1"/>
    <col min="4" max="4" width="26.44140625" style="55" customWidth="1"/>
    <col min="5" max="5" width="26.109375" style="55" customWidth="1"/>
    <col min="6" max="6" width="32.5546875" style="55" customWidth="1"/>
    <col min="7" max="7" width="16.88671875" style="55" customWidth="1"/>
    <col min="8" max="8" width="15.6640625" style="55" customWidth="1"/>
    <col min="9" max="9" width="16.6640625" style="55" customWidth="1"/>
    <col min="10" max="10" width="20.33203125" style="55" customWidth="1"/>
    <col min="11" max="11" width="63.33203125" style="385" customWidth="1"/>
    <col min="12" max="12" width="30" style="55" customWidth="1"/>
    <col min="13" max="13" width="30.44140625" style="55" customWidth="1"/>
    <col min="14" max="14" width="12.33203125" style="55" customWidth="1"/>
    <col min="15" max="15" width="13.6640625" style="55" customWidth="1"/>
    <col min="16" max="16" width="11.6640625" style="55" customWidth="1"/>
    <col min="17" max="17" width="13.6640625" style="55" customWidth="1"/>
    <col min="18" max="18" width="12.33203125" style="55" customWidth="1"/>
    <col min="19" max="19" width="13.6640625" style="55" customWidth="1"/>
    <col min="20" max="20" width="12.33203125" style="55" customWidth="1"/>
    <col min="21" max="21" width="13.6640625" style="55" customWidth="1"/>
    <col min="22" max="22" width="11.6640625" style="55" customWidth="1"/>
    <col min="23" max="24" width="10.6640625" style="55" customWidth="1"/>
    <col min="25" max="25" width="9.33203125" style="55"/>
    <col min="26" max="30" width="11.33203125" style="55" customWidth="1"/>
    <col min="31" max="16384" width="9.33203125" style="55"/>
  </cols>
  <sheetData>
    <row r="1" spans="1:17" ht="24.6" customHeight="1" x14ac:dyDescent="0.25">
      <c r="A1" s="921" t="str">
        <f>"Outdoor Airflow Rate - "&amp;Prototype!A2</f>
        <v>Outdoor Airflow Rate - OfficeLarge</v>
      </c>
      <c r="B1" s="922"/>
      <c r="C1" s="922"/>
      <c r="D1" s="922"/>
      <c r="E1" s="922"/>
      <c r="F1" s="922"/>
      <c r="G1" s="922"/>
      <c r="H1" s="922"/>
      <c r="I1" s="922"/>
      <c r="J1" s="922"/>
      <c r="K1" s="923"/>
      <c r="L1" s="3"/>
      <c r="M1" s="3"/>
      <c r="N1" s="3"/>
      <c r="O1" s="3"/>
      <c r="P1" s="3"/>
      <c r="Q1" s="3"/>
    </row>
    <row r="2" spans="1:17" ht="40.200000000000003" customHeight="1" x14ac:dyDescent="0.25">
      <c r="A2" s="432" t="s">
        <v>545</v>
      </c>
      <c r="B2" s="257" t="s">
        <v>135</v>
      </c>
      <c r="C2" s="258" t="s">
        <v>546</v>
      </c>
      <c r="D2" s="259" t="s">
        <v>547</v>
      </c>
      <c r="E2" s="259" t="s">
        <v>548</v>
      </c>
      <c r="F2" s="259" t="s">
        <v>549</v>
      </c>
      <c r="G2" s="259" t="s">
        <v>550</v>
      </c>
      <c r="H2" s="259" t="s">
        <v>551</v>
      </c>
      <c r="I2" s="259" t="s">
        <v>552</v>
      </c>
      <c r="J2" s="256" t="s">
        <v>553</v>
      </c>
      <c r="K2" s="518" t="s">
        <v>344</v>
      </c>
      <c r="L2" s="3"/>
      <c r="M2" s="190"/>
      <c r="N2" s="27"/>
      <c r="O2" s="190"/>
      <c r="P2" s="27"/>
      <c r="Q2" s="190"/>
    </row>
    <row r="3" spans="1:17" ht="16.95" customHeight="1" x14ac:dyDescent="0.25">
      <c r="A3" s="433" t="str">
        <f>Zones!B3</f>
        <v>Perimeter_Open_Office_N_Basement</v>
      </c>
      <c r="B3" s="142">
        <f>Zones!L3</f>
        <v>42.084300000000006</v>
      </c>
      <c r="C3" s="143">
        <f>Zones!I3</f>
        <v>8416.86</v>
      </c>
      <c r="D3" s="712">
        <v>15</v>
      </c>
      <c r="E3" s="712">
        <v>0.15</v>
      </c>
      <c r="F3" s="168"/>
      <c r="G3" s="44">
        <f t="shared" ref="G3:H3" si="0">B3*D3</f>
        <v>631.26450000000011</v>
      </c>
      <c r="H3" s="44">
        <f t="shared" si="0"/>
        <v>1262.529</v>
      </c>
      <c r="I3" s="44"/>
      <c r="J3" s="172">
        <f>MAX(G3:I3)</f>
        <v>1262.529</v>
      </c>
      <c r="K3" s="519" t="s">
        <v>554</v>
      </c>
      <c r="L3" s="3"/>
      <c r="M3" s="6"/>
      <c r="N3" s="191"/>
      <c r="O3" s="191"/>
      <c r="P3" s="4"/>
      <c r="Q3" s="4"/>
    </row>
    <row r="4" spans="1:17" ht="16.95" customHeight="1" x14ac:dyDescent="0.25">
      <c r="A4" s="433" t="str">
        <f>Zones!B4</f>
        <v>Perimeter_Open_Office_S_Basement</v>
      </c>
      <c r="B4" s="142">
        <f>Zones!L4</f>
        <v>18.310899999999997</v>
      </c>
      <c r="C4" s="143">
        <f>Zones!I4</f>
        <v>3662.18</v>
      </c>
      <c r="D4" s="712">
        <v>15</v>
      </c>
      <c r="E4" s="712">
        <v>0.15</v>
      </c>
      <c r="F4" s="168"/>
      <c r="G4" s="44">
        <f t="shared" ref="G4:G16" si="1">B4*D4</f>
        <v>274.66349999999994</v>
      </c>
      <c r="H4" s="44">
        <f t="shared" ref="H4:H16" si="2">C4*E4</f>
        <v>549.327</v>
      </c>
      <c r="I4" s="168"/>
      <c r="J4" s="172">
        <f t="shared" ref="J4:J67" si="3">MAX(G4:I4)</f>
        <v>549.327</v>
      </c>
      <c r="K4" s="519" t="s">
        <v>554</v>
      </c>
      <c r="L4" s="3"/>
      <c r="M4" s="6"/>
      <c r="N4" s="191"/>
      <c r="O4" s="191"/>
      <c r="P4" s="4"/>
      <c r="Q4" s="4"/>
    </row>
    <row r="5" spans="1:17" ht="16.95" customHeight="1" x14ac:dyDescent="0.25">
      <c r="A5" s="433" t="str">
        <f>Zones!B5</f>
        <v>Core_Enclosed_Office_Basement</v>
      </c>
      <c r="B5" s="142">
        <f>Zones!L5</f>
        <v>18.518399999999996</v>
      </c>
      <c r="C5" s="143">
        <f>Zones!I5</f>
        <v>3703.68</v>
      </c>
      <c r="D5" s="712">
        <v>15</v>
      </c>
      <c r="E5" s="712">
        <v>0.15</v>
      </c>
      <c r="F5" s="168"/>
      <c r="G5" s="44">
        <f t="shared" si="1"/>
        <v>277.77599999999995</v>
      </c>
      <c r="H5" s="44">
        <f t="shared" si="2"/>
        <v>555.55199999999991</v>
      </c>
      <c r="I5" s="168"/>
      <c r="J5" s="172">
        <f t="shared" si="3"/>
        <v>555.55199999999991</v>
      </c>
      <c r="K5" s="519" t="s">
        <v>554</v>
      </c>
      <c r="L5" s="3"/>
      <c r="M5" s="6"/>
      <c r="N5" s="191"/>
      <c r="O5" s="191"/>
      <c r="P5" s="4"/>
      <c r="Q5" s="4"/>
    </row>
    <row r="6" spans="1:17" ht="16.95" customHeight="1" x14ac:dyDescent="0.25">
      <c r="A6" s="433" t="str">
        <f>Zones!B6</f>
        <v>Server_Room_Basement</v>
      </c>
      <c r="B6" s="142">
        <f>Zones!L6</f>
        <v>12.342000000000001</v>
      </c>
      <c r="C6" s="143">
        <f>Zones!I6</f>
        <v>8228</v>
      </c>
      <c r="D6" s="712">
        <v>15</v>
      </c>
      <c r="E6" s="712">
        <v>0.15</v>
      </c>
      <c r="F6" s="168"/>
      <c r="G6" s="44">
        <f t="shared" si="1"/>
        <v>185.13</v>
      </c>
      <c r="H6" s="44">
        <f t="shared" si="2"/>
        <v>1234.2</v>
      </c>
      <c r="I6" s="168"/>
      <c r="J6" s="172">
        <f t="shared" si="3"/>
        <v>1234.2</v>
      </c>
      <c r="K6" s="520" t="s">
        <v>555</v>
      </c>
      <c r="L6" s="3"/>
      <c r="M6" s="6"/>
      <c r="N6" s="191"/>
      <c r="O6" s="191"/>
      <c r="P6" s="4"/>
      <c r="Q6" s="4"/>
    </row>
    <row r="7" spans="1:17" ht="16.95" customHeight="1" x14ac:dyDescent="0.25">
      <c r="A7" s="433" t="str">
        <f>Zones!B7</f>
        <v>Mech/Elec_Basement</v>
      </c>
      <c r="B7" s="142">
        <f>Zones!L7</f>
        <v>0</v>
      </c>
      <c r="C7" s="143">
        <f>Zones!I7</f>
        <v>7958</v>
      </c>
      <c r="D7" s="712">
        <v>15</v>
      </c>
      <c r="E7" s="712">
        <v>0.15</v>
      </c>
      <c r="F7" s="168"/>
      <c r="G7" s="44">
        <f t="shared" si="1"/>
        <v>0</v>
      </c>
      <c r="H7" s="44">
        <f t="shared" si="2"/>
        <v>1193.7</v>
      </c>
      <c r="I7" s="168"/>
      <c r="J7" s="172">
        <f t="shared" si="3"/>
        <v>1193.7</v>
      </c>
      <c r="K7" s="520" t="s">
        <v>556</v>
      </c>
      <c r="L7" s="3"/>
      <c r="M7" s="6"/>
      <c r="N7" s="191"/>
      <c r="O7" s="191"/>
      <c r="P7" s="4"/>
      <c r="Q7" s="4"/>
    </row>
    <row r="8" spans="1:17" ht="16.95" customHeight="1" x14ac:dyDescent="0.25">
      <c r="A8" s="433" t="str">
        <f>Zones!B8</f>
        <v>Conference_Basement</v>
      </c>
      <c r="B8" s="142">
        <f>Zones!L8</f>
        <v>19.130100000000002</v>
      </c>
      <c r="C8" s="143">
        <f>Zones!I8</f>
        <v>579.70000000000005</v>
      </c>
      <c r="D8" s="712">
        <v>15</v>
      </c>
      <c r="E8" s="712">
        <v>0.15</v>
      </c>
      <c r="F8" s="168"/>
      <c r="G8" s="44">
        <f t="shared" si="1"/>
        <v>286.95150000000001</v>
      </c>
      <c r="H8" s="44">
        <f t="shared" si="2"/>
        <v>86.954999999999998</v>
      </c>
      <c r="I8" s="168"/>
      <c r="J8" s="172">
        <f t="shared" si="3"/>
        <v>286.95150000000001</v>
      </c>
      <c r="K8" s="520" t="s">
        <v>557</v>
      </c>
      <c r="L8" s="3"/>
      <c r="M8" s="6"/>
      <c r="N8" s="191"/>
      <c r="O8" s="191"/>
      <c r="P8" s="4"/>
      <c r="Q8" s="4"/>
    </row>
    <row r="9" spans="1:17" ht="16.95" customHeight="1" x14ac:dyDescent="0.25">
      <c r="A9" s="433" t="str">
        <f>Zones!B9</f>
        <v>BreakRoom/FoodPrep_Basement</v>
      </c>
      <c r="B9" s="142">
        <f>Zones!L9</f>
        <v>32.109000000000002</v>
      </c>
      <c r="C9" s="143">
        <f>Zones!I9</f>
        <v>973</v>
      </c>
      <c r="D9" s="712">
        <v>15</v>
      </c>
      <c r="E9" s="712">
        <v>0.15</v>
      </c>
      <c r="F9" s="168"/>
      <c r="G9" s="44">
        <f t="shared" si="1"/>
        <v>481.63500000000005</v>
      </c>
      <c r="H9" s="44">
        <f t="shared" si="2"/>
        <v>145.94999999999999</v>
      </c>
      <c r="I9" s="168"/>
      <c r="J9" s="172">
        <f t="shared" si="3"/>
        <v>481.63500000000005</v>
      </c>
      <c r="K9" s="520" t="s">
        <v>558</v>
      </c>
      <c r="L9" s="3"/>
      <c r="M9" s="6"/>
      <c r="N9" s="191"/>
      <c r="O9" s="191"/>
      <c r="P9" s="4"/>
      <c r="Q9" s="4"/>
    </row>
    <row r="10" spans="1:17" ht="29.25" customHeight="1" x14ac:dyDescent="0.25">
      <c r="A10" s="433" t="str">
        <f>Zones!B10</f>
        <v>Storage_Basement</v>
      </c>
      <c r="B10" s="142">
        <f>Zones!L10</f>
        <v>0</v>
      </c>
      <c r="C10" s="143">
        <f>Zones!I10</f>
        <v>1231</v>
      </c>
      <c r="D10" s="712">
        <v>15</v>
      </c>
      <c r="E10" s="712">
        <v>0.15</v>
      </c>
      <c r="F10" s="168"/>
      <c r="G10" s="44">
        <f t="shared" si="1"/>
        <v>0</v>
      </c>
      <c r="H10" s="44">
        <f t="shared" si="2"/>
        <v>184.65</v>
      </c>
      <c r="I10" s="168"/>
      <c r="J10" s="172">
        <f t="shared" si="3"/>
        <v>184.65</v>
      </c>
      <c r="K10" s="521" t="s">
        <v>559</v>
      </c>
      <c r="L10" s="3"/>
      <c r="M10" s="6"/>
      <c r="N10" s="191"/>
      <c r="O10" s="191"/>
      <c r="P10" s="4"/>
      <c r="Q10" s="4"/>
    </row>
    <row r="11" spans="1:17" ht="16.95" customHeight="1" x14ac:dyDescent="0.25">
      <c r="A11" s="433" t="str">
        <f>Zones!B11</f>
        <v>Restroom_Basement</v>
      </c>
      <c r="B11" s="142">
        <f>Zones!L11</f>
        <v>0</v>
      </c>
      <c r="C11" s="143">
        <f>Zones!I11</f>
        <v>986</v>
      </c>
      <c r="D11" s="712">
        <v>15</v>
      </c>
      <c r="E11" s="712">
        <v>0.15</v>
      </c>
      <c r="F11" s="712" t="s">
        <v>560</v>
      </c>
      <c r="G11" s="44">
        <f t="shared" si="1"/>
        <v>0</v>
      </c>
      <c r="H11" s="44">
        <f t="shared" si="2"/>
        <v>147.9</v>
      </c>
      <c r="I11" s="536">
        <f>5*50</f>
        <v>250</v>
      </c>
      <c r="J11" s="172">
        <f t="shared" si="3"/>
        <v>250</v>
      </c>
      <c r="K11" s="522" t="s">
        <v>561</v>
      </c>
      <c r="L11" s="3"/>
      <c r="M11" s="6"/>
      <c r="N11" s="191"/>
      <c r="O11" s="191"/>
      <c r="P11" s="4"/>
      <c r="Q11" s="4"/>
    </row>
    <row r="12" spans="1:17" ht="16.95" customHeight="1" x14ac:dyDescent="0.25">
      <c r="A12" s="433" t="str">
        <f>Zones!B12</f>
        <v>Lobby/Lounge_Basement</v>
      </c>
      <c r="B12" s="142">
        <f>Zones!L12</f>
        <v>10.605</v>
      </c>
      <c r="C12" s="143">
        <f>Zones!I12</f>
        <v>707</v>
      </c>
      <c r="D12" s="712">
        <v>15</v>
      </c>
      <c r="E12" s="712">
        <v>0.15</v>
      </c>
      <c r="F12" s="168"/>
      <c r="G12" s="44">
        <f t="shared" si="1"/>
        <v>159.07500000000002</v>
      </c>
      <c r="H12" s="44">
        <f t="shared" si="2"/>
        <v>106.05</v>
      </c>
      <c r="I12" s="168"/>
      <c r="J12" s="172">
        <f t="shared" si="3"/>
        <v>159.07500000000002</v>
      </c>
      <c r="K12" s="520" t="s">
        <v>558</v>
      </c>
      <c r="L12" s="3"/>
      <c r="M12" s="6"/>
      <c r="N12" s="191"/>
      <c r="O12" s="191"/>
      <c r="P12" s="4"/>
      <c r="Q12" s="4"/>
    </row>
    <row r="13" spans="1:17" ht="16.95" customHeight="1" x14ac:dyDescent="0.25">
      <c r="A13" s="433" t="str">
        <f>Zones!B13</f>
        <v>Stair/Elevator_Basement</v>
      </c>
      <c r="B13" s="142">
        <f>Zones!L13</f>
        <v>0</v>
      </c>
      <c r="C13" s="143">
        <f>Zones!I13</f>
        <v>941</v>
      </c>
      <c r="D13" s="712">
        <v>15</v>
      </c>
      <c r="E13" s="712">
        <v>0.15</v>
      </c>
      <c r="F13" s="168"/>
      <c r="G13" s="44">
        <f t="shared" si="1"/>
        <v>0</v>
      </c>
      <c r="H13" s="44">
        <f t="shared" si="2"/>
        <v>141.15</v>
      </c>
      <c r="I13" s="168"/>
      <c r="J13" s="172">
        <f t="shared" si="3"/>
        <v>141.15</v>
      </c>
      <c r="K13" s="520" t="s">
        <v>556</v>
      </c>
      <c r="L13" s="3"/>
      <c r="M13" s="6"/>
      <c r="N13" s="191"/>
      <c r="O13" s="191"/>
      <c r="P13" s="4"/>
      <c r="Q13" s="4"/>
    </row>
    <row r="14" spans="1:17" ht="16.95" customHeight="1" x14ac:dyDescent="0.25">
      <c r="A14" s="433" t="str">
        <f>Zones!B14</f>
        <v>Corridor_W_Basement</v>
      </c>
      <c r="B14" s="142">
        <f>Zones!L14</f>
        <v>3.5150000000000001</v>
      </c>
      <c r="C14" s="143">
        <f>Zones!I14</f>
        <v>703</v>
      </c>
      <c r="D14" s="712">
        <v>15</v>
      </c>
      <c r="E14" s="712">
        <v>0.15</v>
      </c>
      <c r="F14" s="168"/>
      <c r="G14" s="44">
        <f t="shared" si="1"/>
        <v>52.725000000000001</v>
      </c>
      <c r="H14" s="44">
        <f t="shared" si="2"/>
        <v>105.45</v>
      </c>
      <c r="I14" s="168"/>
      <c r="J14" s="172">
        <f t="shared" si="3"/>
        <v>105.45</v>
      </c>
      <c r="K14" s="520" t="s">
        <v>562</v>
      </c>
      <c r="L14" s="3"/>
      <c r="M14" s="747"/>
      <c r="N14" s="191"/>
      <c r="O14" s="191"/>
      <c r="P14" s="4"/>
      <c r="Q14" s="4"/>
    </row>
    <row r="15" spans="1:17" ht="16.95" customHeight="1" x14ac:dyDescent="0.25">
      <c r="A15" s="433" t="str">
        <f>Zones!B15</f>
        <v>Corridor_E_Basement</v>
      </c>
      <c r="B15" s="142">
        <f>Zones!L15</f>
        <v>1.3145</v>
      </c>
      <c r="C15" s="143">
        <f>Zones!I15</f>
        <v>262.89999999999998</v>
      </c>
      <c r="D15" s="712">
        <v>15</v>
      </c>
      <c r="E15" s="712">
        <v>0.15</v>
      </c>
      <c r="F15" s="168"/>
      <c r="G15" s="44">
        <f t="shared" si="1"/>
        <v>19.717500000000001</v>
      </c>
      <c r="H15" s="44">
        <f t="shared" si="2"/>
        <v>39.434999999999995</v>
      </c>
      <c r="I15" s="168"/>
      <c r="J15" s="172">
        <f t="shared" si="3"/>
        <v>39.434999999999995</v>
      </c>
      <c r="K15" s="520" t="s">
        <v>562</v>
      </c>
      <c r="L15" s="3"/>
      <c r="M15" s="747"/>
      <c r="N15" s="191"/>
      <c r="O15" s="191"/>
      <c r="P15" s="4"/>
      <c r="Q15" s="4"/>
    </row>
    <row r="16" spans="1:17" ht="16.95" customHeight="1" x14ac:dyDescent="0.25">
      <c r="A16" s="434" t="str">
        <f>Zones!B16</f>
        <v>Perimeter_Open_Office_N_FloorG</v>
      </c>
      <c r="B16" s="169">
        <f>Zones!L16</f>
        <v>35.65645</v>
      </c>
      <c r="C16" s="170">
        <f>Zones!I16</f>
        <v>7131.29</v>
      </c>
      <c r="D16" s="163">
        <v>15</v>
      </c>
      <c r="E16" s="163">
        <v>0.15</v>
      </c>
      <c r="F16" s="171"/>
      <c r="G16" s="170">
        <f t="shared" si="1"/>
        <v>534.84675000000004</v>
      </c>
      <c r="H16" s="170">
        <f t="shared" si="2"/>
        <v>1069.6934999999999</v>
      </c>
      <c r="I16" s="171"/>
      <c r="J16" s="173">
        <f t="shared" si="3"/>
        <v>1069.6934999999999</v>
      </c>
      <c r="K16" s="520" t="s">
        <v>554</v>
      </c>
      <c r="L16" s="3"/>
      <c r="M16" s="747"/>
      <c r="N16" s="4"/>
      <c r="O16" s="4"/>
      <c r="P16" s="4"/>
      <c r="Q16" s="4"/>
    </row>
    <row r="17" spans="1:17" ht="22.2" customHeight="1" x14ac:dyDescent="0.25">
      <c r="A17" s="434" t="str">
        <f>Zones!B17</f>
        <v>Perimeter_Open_Office_W_FloorG</v>
      </c>
      <c r="B17" s="169">
        <f>Zones!L17</f>
        <v>28.978850000000001</v>
      </c>
      <c r="C17" s="170">
        <f>Zones!I17</f>
        <v>5795.77</v>
      </c>
      <c r="D17" s="163">
        <v>15</v>
      </c>
      <c r="E17" s="163">
        <v>0.15</v>
      </c>
      <c r="F17" s="171"/>
      <c r="G17" s="170">
        <f t="shared" ref="G17:G36" si="4">B17*D17</f>
        <v>434.68275</v>
      </c>
      <c r="H17" s="170">
        <f t="shared" ref="H17:H36" si="5">C17*E17</f>
        <v>869.3655</v>
      </c>
      <c r="I17" s="171"/>
      <c r="J17" s="173">
        <f t="shared" si="3"/>
        <v>869.3655</v>
      </c>
      <c r="K17" s="520" t="s">
        <v>554</v>
      </c>
      <c r="L17" s="3"/>
      <c r="M17" s="822"/>
      <c r="N17" s="822"/>
      <c r="O17" s="822"/>
      <c r="P17" s="4"/>
      <c r="Q17" s="4"/>
    </row>
    <row r="18" spans="1:17" ht="16.95" customHeight="1" x14ac:dyDescent="0.25">
      <c r="A18" s="434" t="str">
        <f>Zones!B18</f>
        <v>Perimeter_Open_Office_E_FloorG</v>
      </c>
      <c r="B18" s="169">
        <f>Zones!L18</f>
        <v>29.377449999999996</v>
      </c>
      <c r="C18" s="170">
        <f>Zones!I18</f>
        <v>5875.49</v>
      </c>
      <c r="D18" s="163">
        <v>15</v>
      </c>
      <c r="E18" s="163">
        <v>0.15</v>
      </c>
      <c r="F18" s="171"/>
      <c r="G18" s="170">
        <f t="shared" si="4"/>
        <v>440.66174999999993</v>
      </c>
      <c r="H18" s="170">
        <f t="shared" si="5"/>
        <v>881.32349999999997</v>
      </c>
      <c r="I18" s="171"/>
      <c r="J18" s="173">
        <f t="shared" si="3"/>
        <v>881.32349999999997</v>
      </c>
      <c r="K18" s="520" t="s">
        <v>554</v>
      </c>
      <c r="L18" s="747"/>
      <c r="M18" s="4"/>
      <c r="N18" s="4"/>
      <c r="O18" s="747"/>
      <c r="P18" s="4"/>
      <c r="Q18" s="4"/>
    </row>
    <row r="19" spans="1:17" ht="16.95" customHeight="1" x14ac:dyDescent="0.25">
      <c r="A19" s="434" t="str">
        <f>Zones!B19</f>
        <v>Perimeter_Enclosed_Office_NE_FloorG</v>
      </c>
      <c r="B19" s="169">
        <f>Zones!L19</f>
        <v>4.5869</v>
      </c>
      <c r="C19" s="170">
        <f>Zones!I19</f>
        <v>917.38</v>
      </c>
      <c r="D19" s="163">
        <v>15</v>
      </c>
      <c r="E19" s="163">
        <v>0.15</v>
      </c>
      <c r="F19" s="171"/>
      <c r="G19" s="170">
        <f t="shared" si="4"/>
        <v>68.8035</v>
      </c>
      <c r="H19" s="170">
        <f t="shared" si="5"/>
        <v>137.607</v>
      </c>
      <c r="I19" s="171"/>
      <c r="J19" s="173">
        <f t="shared" si="3"/>
        <v>137.607</v>
      </c>
      <c r="K19" s="520" t="s">
        <v>554</v>
      </c>
      <c r="L19" s="747"/>
      <c r="M19" s="4"/>
      <c r="N19" s="4"/>
      <c r="O19" s="747"/>
      <c r="P19" s="4"/>
      <c r="Q19" s="4"/>
    </row>
    <row r="20" spans="1:17" ht="16.95" customHeight="1" x14ac:dyDescent="0.25">
      <c r="A20" s="434" t="str">
        <f>Zones!B20</f>
        <v>Perimeter_Enclosed_Office_NW_FloorG</v>
      </c>
      <c r="B20" s="169">
        <f>Zones!L20</f>
        <v>5.6560500000000005</v>
      </c>
      <c r="C20" s="170">
        <f>Zones!I20</f>
        <v>1131.21</v>
      </c>
      <c r="D20" s="163">
        <v>15</v>
      </c>
      <c r="E20" s="163">
        <v>0.15</v>
      </c>
      <c r="F20" s="171"/>
      <c r="G20" s="170">
        <f t="shared" si="4"/>
        <v>84.840750000000014</v>
      </c>
      <c r="H20" s="170">
        <f t="shared" si="5"/>
        <v>169.6815</v>
      </c>
      <c r="I20" s="171"/>
      <c r="J20" s="173">
        <f t="shared" si="3"/>
        <v>169.6815</v>
      </c>
      <c r="K20" s="520" t="s">
        <v>554</v>
      </c>
      <c r="L20" s="35"/>
      <c r="M20" s="35"/>
      <c r="N20" s="3"/>
      <c r="O20" s="3"/>
      <c r="P20" s="3"/>
      <c r="Q20" s="4"/>
    </row>
    <row r="21" spans="1:17" ht="16.95" customHeight="1" x14ac:dyDescent="0.25">
      <c r="A21" s="434" t="str">
        <f>Zones!B21</f>
        <v>Core_Enclosed_Office_FloorG</v>
      </c>
      <c r="B21" s="169">
        <f>Zones!L21</f>
        <v>16.561400000000003</v>
      </c>
      <c r="C21" s="170">
        <f>Zones!I21</f>
        <v>3312.28</v>
      </c>
      <c r="D21" s="163">
        <v>15</v>
      </c>
      <c r="E21" s="163">
        <v>0.15</v>
      </c>
      <c r="F21" s="171"/>
      <c r="G21" s="170">
        <f t="shared" si="4"/>
        <v>248.42100000000005</v>
      </c>
      <c r="H21" s="170">
        <f t="shared" si="5"/>
        <v>496.84199999999998</v>
      </c>
      <c r="I21" s="171"/>
      <c r="J21" s="173">
        <f t="shared" si="3"/>
        <v>496.84199999999998</v>
      </c>
      <c r="K21" s="520" t="s">
        <v>554</v>
      </c>
      <c r="L21" s="747"/>
      <c r="M21" s="191"/>
      <c r="N21" s="3"/>
      <c r="O21" s="3"/>
      <c r="P21" s="3"/>
      <c r="Q21" s="4"/>
    </row>
    <row r="22" spans="1:17" ht="16.95" customHeight="1" x14ac:dyDescent="0.25">
      <c r="A22" s="434" t="str">
        <f>Zones!B22</f>
        <v>Server_Room_FloorG</v>
      </c>
      <c r="B22" s="169">
        <f>Zones!L22</f>
        <v>0.62563499999999994</v>
      </c>
      <c r="C22" s="170">
        <f>Zones!I22</f>
        <v>417.09</v>
      </c>
      <c r="D22" s="163">
        <v>15</v>
      </c>
      <c r="E22" s="163">
        <v>0.15</v>
      </c>
      <c r="F22" s="171"/>
      <c r="G22" s="170">
        <f t="shared" si="4"/>
        <v>9.384525</v>
      </c>
      <c r="H22" s="170">
        <f t="shared" si="5"/>
        <v>62.563499999999991</v>
      </c>
      <c r="I22" s="171"/>
      <c r="J22" s="173">
        <f t="shared" si="3"/>
        <v>62.563499999999991</v>
      </c>
      <c r="K22" s="520" t="s">
        <v>555</v>
      </c>
      <c r="L22" s="747"/>
      <c r="M22" s="191"/>
      <c r="N22" s="3"/>
      <c r="O22" s="3"/>
      <c r="P22" s="3"/>
      <c r="Q22" s="4"/>
    </row>
    <row r="23" spans="1:17" ht="16.95" customHeight="1" x14ac:dyDescent="0.25">
      <c r="A23" s="434" t="str">
        <f>Zones!B23</f>
        <v>Mech/Elec_FloorG</v>
      </c>
      <c r="B23" s="169">
        <f>Zones!L23</f>
        <v>0</v>
      </c>
      <c r="C23" s="170">
        <f>Zones!I23</f>
        <v>848.96</v>
      </c>
      <c r="D23" s="163">
        <v>15</v>
      </c>
      <c r="E23" s="163">
        <v>0.15</v>
      </c>
      <c r="F23" s="171"/>
      <c r="G23" s="170">
        <f t="shared" si="4"/>
        <v>0</v>
      </c>
      <c r="H23" s="170">
        <f t="shared" si="5"/>
        <v>127.34399999999999</v>
      </c>
      <c r="I23" s="171"/>
      <c r="J23" s="173">
        <f t="shared" si="3"/>
        <v>127.34399999999999</v>
      </c>
      <c r="K23" s="520" t="s">
        <v>556</v>
      </c>
      <c r="L23" s="747"/>
      <c r="M23" s="4"/>
      <c r="N23" s="3"/>
      <c r="O23" s="3"/>
      <c r="P23" s="3"/>
      <c r="Q23" s="4"/>
    </row>
    <row r="24" spans="1:17" ht="16.95" customHeight="1" x14ac:dyDescent="0.25">
      <c r="A24" s="434" t="str">
        <f>Zones!B24</f>
        <v>Conference_FloorG</v>
      </c>
      <c r="B24" s="169">
        <f>Zones!L24</f>
        <v>26.06373</v>
      </c>
      <c r="C24" s="170">
        <f>Zones!I24</f>
        <v>789.81</v>
      </c>
      <c r="D24" s="163">
        <v>15</v>
      </c>
      <c r="E24" s="163">
        <v>0.15</v>
      </c>
      <c r="F24" s="171"/>
      <c r="G24" s="170">
        <f t="shared" si="4"/>
        <v>390.95594999999997</v>
      </c>
      <c r="H24" s="170">
        <f t="shared" si="5"/>
        <v>118.47149999999999</v>
      </c>
      <c r="I24" s="171"/>
      <c r="J24" s="173">
        <f t="shared" si="3"/>
        <v>390.95594999999997</v>
      </c>
      <c r="K24" s="520" t="s">
        <v>557</v>
      </c>
      <c r="L24" s="747"/>
      <c r="M24" s="4"/>
      <c r="N24" s="3"/>
      <c r="O24" s="3"/>
      <c r="P24" s="3"/>
      <c r="Q24" s="4"/>
    </row>
    <row r="25" spans="1:17" ht="16.95" customHeight="1" x14ac:dyDescent="0.25">
      <c r="A25" s="434" t="str">
        <f>Zones!B25</f>
        <v>BreakRoom_FloorG</v>
      </c>
      <c r="B25" s="169">
        <f>Zones!L25</f>
        <v>20.401589999999999</v>
      </c>
      <c r="C25" s="170">
        <f>Zones!I25</f>
        <v>618.23</v>
      </c>
      <c r="D25" s="163">
        <v>15</v>
      </c>
      <c r="E25" s="163">
        <v>0.15</v>
      </c>
      <c r="F25" s="171"/>
      <c r="G25" s="170">
        <f t="shared" si="4"/>
        <v>306.02384999999998</v>
      </c>
      <c r="H25" s="170">
        <f t="shared" si="5"/>
        <v>92.734499999999997</v>
      </c>
      <c r="I25" s="171"/>
      <c r="J25" s="173">
        <f t="shared" si="3"/>
        <v>306.02384999999998</v>
      </c>
      <c r="K25" s="520" t="s">
        <v>558</v>
      </c>
      <c r="L25" s="747"/>
      <c r="M25" s="4"/>
      <c r="N25" s="3"/>
      <c r="O25" s="3"/>
      <c r="P25" s="3"/>
      <c r="Q25" s="4"/>
    </row>
    <row r="26" spans="1:17" ht="33.75" customHeight="1" x14ac:dyDescent="0.25">
      <c r="A26" s="434" t="str">
        <f>Zones!B26</f>
        <v>FoodPrep_FloorG</v>
      </c>
      <c r="B26" s="169">
        <f>Zones!L26</f>
        <v>2.8108200000000001</v>
      </c>
      <c r="C26" s="170">
        <f>Zones!I26</f>
        <v>936.94</v>
      </c>
      <c r="D26" s="163">
        <v>15</v>
      </c>
      <c r="E26" s="163">
        <v>0.15</v>
      </c>
      <c r="F26" s="171"/>
      <c r="G26" s="170">
        <f t="shared" si="4"/>
        <v>42.162300000000002</v>
      </c>
      <c r="H26" s="170">
        <f t="shared" si="5"/>
        <v>140.541</v>
      </c>
      <c r="I26" s="171"/>
      <c r="J26" s="173">
        <f t="shared" si="3"/>
        <v>140.541</v>
      </c>
      <c r="K26" s="521" t="s">
        <v>563</v>
      </c>
      <c r="L26" s="747"/>
      <c r="M26" s="4"/>
      <c r="N26" s="3"/>
      <c r="O26" s="3"/>
      <c r="P26" s="3"/>
      <c r="Q26" s="4"/>
    </row>
    <row r="27" spans="1:17" ht="36.75" customHeight="1" x14ac:dyDescent="0.25">
      <c r="A27" s="434" t="str">
        <f>Zones!B27</f>
        <v>Storage_FloorG</v>
      </c>
      <c r="B27" s="169">
        <f>Zones!L27</f>
        <v>0</v>
      </c>
      <c r="C27" s="170">
        <f>Zones!I27</f>
        <v>959.03</v>
      </c>
      <c r="D27" s="163">
        <v>15</v>
      </c>
      <c r="E27" s="163">
        <v>0.15</v>
      </c>
      <c r="F27" s="171"/>
      <c r="G27" s="170">
        <f t="shared" si="4"/>
        <v>0</v>
      </c>
      <c r="H27" s="170">
        <f t="shared" si="5"/>
        <v>143.8545</v>
      </c>
      <c r="I27" s="171"/>
      <c r="J27" s="173">
        <f t="shared" si="3"/>
        <v>143.8545</v>
      </c>
      <c r="K27" s="521" t="s">
        <v>559</v>
      </c>
      <c r="L27" s="747"/>
      <c r="M27" s="4"/>
      <c r="N27" s="3"/>
      <c r="O27" s="3"/>
      <c r="P27" s="3"/>
      <c r="Q27" s="4"/>
    </row>
    <row r="28" spans="1:17" ht="16.95" customHeight="1" x14ac:dyDescent="0.25">
      <c r="A28" s="434" t="str">
        <f>Zones!B28</f>
        <v>Locker_FloorG</v>
      </c>
      <c r="B28" s="169">
        <f>Zones!L28</f>
        <v>17.6523</v>
      </c>
      <c r="C28" s="170">
        <f>Zones!I28</f>
        <v>1765.23</v>
      </c>
      <c r="D28" s="163">
        <v>15</v>
      </c>
      <c r="E28" s="163">
        <v>0.15</v>
      </c>
      <c r="F28" s="171" t="s">
        <v>564</v>
      </c>
      <c r="G28" s="170">
        <f t="shared" si="4"/>
        <v>264.78449999999998</v>
      </c>
      <c r="H28" s="170">
        <f t="shared" si="5"/>
        <v>264.78449999999998</v>
      </c>
      <c r="I28" s="303">
        <f>0.25*C28</f>
        <v>441.3075</v>
      </c>
      <c r="J28" s="173">
        <f t="shared" si="3"/>
        <v>441.3075</v>
      </c>
      <c r="K28" s="520" t="s">
        <v>556</v>
      </c>
      <c r="L28" s="747"/>
      <c r="M28" s="4"/>
      <c r="N28" s="3"/>
      <c r="O28" s="3"/>
      <c r="P28" s="3"/>
      <c r="Q28" s="4"/>
    </row>
    <row r="29" spans="1:17" ht="16.95" customHeight="1" x14ac:dyDescent="0.25">
      <c r="A29" s="434" t="str">
        <f>Zones!B29</f>
        <v>Lobby_S_FloorG</v>
      </c>
      <c r="B29" s="169">
        <f>Zones!L29</f>
        <v>33.606300000000005</v>
      </c>
      <c r="C29" s="170">
        <f>Zones!I29</f>
        <v>3360.63</v>
      </c>
      <c r="D29" s="163">
        <v>15</v>
      </c>
      <c r="E29" s="163">
        <v>0.15</v>
      </c>
      <c r="F29" s="171"/>
      <c r="G29" s="170">
        <f t="shared" si="4"/>
        <v>504.09450000000004</v>
      </c>
      <c r="H29" s="170">
        <f t="shared" si="5"/>
        <v>504.09449999999998</v>
      </c>
      <c r="I29" s="171"/>
      <c r="J29" s="173">
        <f t="shared" si="3"/>
        <v>504.09450000000004</v>
      </c>
      <c r="K29" s="520" t="s">
        <v>565</v>
      </c>
      <c r="L29" s="747"/>
      <c r="M29" s="4"/>
      <c r="N29" s="3"/>
      <c r="O29" s="3"/>
      <c r="P29" s="3"/>
      <c r="Q29" s="4"/>
    </row>
    <row r="30" spans="1:17" ht="16.95" customHeight="1" x14ac:dyDescent="0.25">
      <c r="A30" s="434" t="str">
        <f>Zones!B30</f>
        <v>Lobby/Lounge_FloorG</v>
      </c>
      <c r="B30" s="169">
        <f>Zones!L30</f>
        <v>10.2585</v>
      </c>
      <c r="C30" s="170">
        <f>Zones!I30</f>
        <v>683.9</v>
      </c>
      <c r="D30" s="163">
        <v>15</v>
      </c>
      <c r="E30" s="163">
        <v>0.15</v>
      </c>
      <c r="F30" s="171"/>
      <c r="G30" s="170">
        <f t="shared" si="4"/>
        <v>153.8775</v>
      </c>
      <c r="H30" s="170">
        <f t="shared" si="5"/>
        <v>102.58499999999999</v>
      </c>
      <c r="I30" s="171"/>
      <c r="J30" s="173">
        <f t="shared" si="3"/>
        <v>153.8775</v>
      </c>
      <c r="K30" s="520" t="s">
        <v>565</v>
      </c>
      <c r="L30" s="747"/>
      <c r="M30" s="4"/>
      <c r="N30" s="3"/>
      <c r="O30" s="3"/>
      <c r="P30" s="3"/>
      <c r="Q30" s="4"/>
    </row>
    <row r="31" spans="1:17" ht="16.95" customHeight="1" x14ac:dyDescent="0.25">
      <c r="A31" s="434" t="str">
        <f>Zones!B31</f>
        <v>Restroom_FloorG</v>
      </c>
      <c r="B31" s="169">
        <f>Zones!L31</f>
        <v>0</v>
      </c>
      <c r="C31" s="170">
        <f>Zones!I31</f>
        <v>1156.0899999999999</v>
      </c>
      <c r="D31" s="163">
        <v>15</v>
      </c>
      <c r="E31" s="163">
        <v>0.15</v>
      </c>
      <c r="F31" s="163" t="s">
        <v>566</v>
      </c>
      <c r="G31" s="170">
        <f t="shared" si="4"/>
        <v>0</v>
      </c>
      <c r="H31" s="170">
        <f t="shared" si="5"/>
        <v>173.41349999999997</v>
      </c>
      <c r="I31" s="535">
        <f>8*50</f>
        <v>400</v>
      </c>
      <c r="J31" s="173">
        <f t="shared" si="3"/>
        <v>400</v>
      </c>
      <c r="K31" s="520" t="s">
        <v>556</v>
      </c>
      <c r="L31" s="747"/>
      <c r="M31" s="4"/>
      <c r="N31" s="3"/>
      <c r="O31" s="3"/>
      <c r="P31" s="3"/>
      <c r="Q31" s="4"/>
    </row>
    <row r="32" spans="1:17" ht="16.95" customHeight="1" x14ac:dyDescent="0.25">
      <c r="A32" s="434" t="str">
        <f>Zones!B32</f>
        <v>Stair/Elevator_FloorG</v>
      </c>
      <c r="B32" s="169">
        <f>Zones!L32</f>
        <v>0</v>
      </c>
      <c r="C32" s="170">
        <f>Zones!I32</f>
        <v>848.01</v>
      </c>
      <c r="D32" s="163">
        <v>15</v>
      </c>
      <c r="E32" s="163">
        <v>0.15</v>
      </c>
      <c r="F32" s="171"/>
      <c r="G32" s="170">
        <f t="shared" si="4"/>
        <v>0</v>
      </c>
      <c r="H32" s="170">
        <f t="shared" si="5"/>
        <v>127.2015</v>
      </c>
      <c r="I32" s="171"/>
      <c r="J32" s="173">
        <f t="shared" si="3"/>
        <v>127.2015</v>
      </c>
      <c r="K32" s="520" t="s">
        <v>556</v>
      </c>
      <c r="L32" s="747"/>
      <c r="M32" s="4"/>
      <c r="N32" s="3"/>
      <c r="O32" s="3"/>
      <c r="P32" s="3"/>
      <c r="Q32" s="4"/>
    </row>
    <row r="33" spans="1:17" ht="16.95" customHeight="1" x14ac:dyDescent="0.25">
      <c r="A33" s="434" t="str">
        <f>Zones!B33</f>
        <v>Corridor_W_FloorG</v>
      </c>
      <c r="B33" s="169">
        <f>Zones!L33</f>
        <v>5.02935</v>
      </c>
      <c r="C33" s="170">
        <f>Zones!I33</f>
        <v>1005.87</v>
      </c>
      <c r="D33" s="163">
        <v>15</v>
      </c>
      <c r="E33" s="163">
        <v>0.15</v>
      </c>
      <c r="F33" s="171"/>
      <c r="G33" s="170">
        <f t="shared" si="4"/>
        <v>75.440250000000006</v>
      </c>
      <c r="H33" s="170">
        <f t="shared" si="5"/>
        <v>150.88049999999998</v>
      </c>
      <c r="I33" s="171"/>
      <c r="J33" s="173">
        <f t="shared" si="3"/>
        <v>150.88049999999998</v>
      </c>
      <c r="K33" s="520" t="s">
        <v>562</v>
      </c>
      <c r="L33" s="747"/>
      <c r="M33" s="4"/>
      <c r="N33" s="3"/>
      <c r="O33" s="3"/>
      <c r="P33" s="3"/>
      <c r="Q33" s="4"/>
    </row>
    <row r="34" spans="1:17" ht="16.95" customHeight="1" x14ac:dyDescent="0.25">
      <c r="A34" s="434" t="str">
        <f>Zones!B34</f>
        <v>Corridor_E_FloorG</v>
      </c>
      <c r="B34" s="169">
        <f>Zones!L34</f>
        <v>3.9938000000000002</v>
      </c>
      <c r="C34" s="170">
        <f>Zones!I34</f>
        <v>798.76</v>
      </c>
      <c r="D34" s="163">
        <v>15</v>
      </c>
      <c r="E34" s="163">
        <v>0.15</v>
      </c>
      <c r="F34" s="171"/>
      <c r="G34" s="170">
        <f t="shared" si="4"/>
        <v>59.907000000000004</v>
      </c>
      <c r="H34" s="170">
        <f t="shared" si="5"/>
        <v>119.81399999999999</v>
      </c>
      <c r="I34" s="171"/>
      <c r="J34" s="173">
        <f t="shared" si="3"/>
        <v>119.81399999999999</v>
      </c>
      <c r="K34" s="520" t="s">
        <v>562</v>
      </c>
      <c r="L34" s="747"/>
      <c r="M34" s="4"/>
      <c r="N34" s="3"/>
      <c r="O34" s="3"/>
      <c r="P34" s="3"/>
      <c r="Q34" s="4"/>
    </row>
    <row r="35" spans="1:17" ht="16.95" customHeight="1" x14ac:dyDescent="0.25">
      <c r="A35" s="434" t="str">
        <f>Zones!B35</f>
        <v>Plenum_FloorG</v>
      </c>
      <c r="B35" s="169">
        <f>Zones!L35</f>
        <v>0</v>
      </c>
      <c r="C35" s="170">
        <f>Zones!I35</f>
        <v>38352.97</v>
      </c>
      <c r="D35" s="163"/>
      <c r="E35" s="163"/>
      <c r="F35" s="171"/>
      <c r="G35" s="170">
        <f t="shared" si="4"/>
        <v>0</v>
      </c>
      <c r="H35" s="170">
        <f t="shared" si="5"/>
        <v>0</v>
      </c>
      <c r="I35" s="171"/>
      <c r="J35" s="173">
        <f t="shared" si="3"/>
        <v>0</v>
      </c>
      <c r="K35" s="520" t="s">
        <v>224</v>
      </c>
      <c r="L35" s="747"/>
      <c r="M35" s="4"/>
      <c r="N35" s="3"/>
      <c r="O35" s="3"/>
      <c r="P35" s="3"/>
      <c r="Q35" s="4"/>
    </row>
    <row r="36" spans="1:17" ht="16.95" customHeight="1" x14ac:dyDescent="0.25">
      <c r="A36" s="433" t="str">
        <f>Zones!B36</f>
        <v>Perimeter_Open_Office_N_FloorM</v>
      </c>
      <c r="B36" s="142">
        <f>Zones!L36</f>
        <v>35.65645</v>
      </c>
      <c r="C36" s="143">
        <f>Zones!I36</f>
        <v>7131.29</v>
      </c>
      <c r="D36" s="712">
        <v>15</v>
      </c>
      <c r="E36" s="712">
        <v>0.15</v>
      </c>
      <c r="F36" s="168"/>
      <c r="G36" s="44">
        <f t="shared" si="4"/>
        <v>534.84675000000004</v>
      </c>
      <c r="H36" s="44">
        <f t="shared" si="5"/>
        <v>1069.6934999999999</v>
      </c>
      <c r="I36" s="168"/>
      <c r="J36" s="172">
        <f t="shared" si="3"/>
        <v>1069.6934999999999</v>
      </c>
      <c r="K36" s="520" t="s">
        <v>554</v>
      </c>
      <c r="L36" s="747"/>
      <c r="M36" s="4"/>
      <c r="N36" s="4"/>
      <c r="O36" s="747"/>
      <c r="P36" s="4"/>
      <c r="Q36" s="4"/>
    </row>
    <row r="37" spans="1:17" ht="16.95" customHeight="1" x14ac:dyDescent="0.25">
      <c r="A37" s="433" t="str">
        <f>Zones!B37</f>
        <v>Perimeter_Open_Office_S_FloorM</v>
      </c>
      <c r="B37" s="142">
        <f>Zones!L37</f>
        <v>26.18685</v>
      </c>
      <c r="C37" s="143">
        <f>Zones!I37</f>
        <v>5237.37</v>
      </c>
      <c r="D37" s="712">
        <v>15</v>
      </c>
      <c r="E37" s="712">
        <v>0.15</v>
      </c>
      <c r="F37" s="168"/>
      <c r="G37" s="44">
        <f t="shared" ref="G37:G58" si="6">B37*D37</f>
        <v>392.80275</v>
      </c>
      <c r="H37" s="44">
        <f t="shared" ref="H37:H58" si="7">C37*E37</f>
        <v>785.60550000000001</v>
      </c>
      <c r="I37" s="168"/>
      <c r="J37" s="172">
        <f t="shared" si="3"/>
        <v>785.60550000000001</v>
      </c>
      <c r="K37" s="520" t="s">
        <v>554</v>
      </c>
      <c r="L37" s="747"/>
      <c r="M37" s="4"/>
      <c r="N37" s="4"/>
      <c r="O37" s="747"/>
      <c r="P37" s="4"/>
      <c r="Q37" s="4"/>
    </row>
    <row r="38" spans="1:17" ht="16.95" customHeight="1" x14ac:dyDescent="0.25">
      <c r="A38" s="433" t="str">
        <f>Zones!B38</f>
        <v>Perimeter_Open_Office_E_FloorM</v>
      </c>
      <c r="B38" s="142">
        <f>Zones!L38</f>
        <v>22.352199999999996</v>
      </c>
      <c r="C38" s="143">
        <f>Zones!I38</f>
        <v>4470.4399999999996</v>
      </c>
      <c r="D38" s="712">
        <v>15</v>
      </c>
      <c r="E38" s="712">
        <v>0.15</v>
      </c>
      <c r="F38" s="168"/>
      <c r="G38" s="44">
        <f t="shared" si="6"/>
        <v>335.28299999999996</v>
      </c>
      <c r="H38" s="44">
        <f t="shared" si="7"/>
        <v>670.56599999999992</v>
      </c>
      <c r="I38" s="168"/>
      <c r="J38" s="172">
        <f t="shared" si="3"/>
        <v>670.56599999999992</v>
      </c>
      <c r="K38" s="520" t="s">
        <v>554</v>
      </c>
      <c r="L38" s="747"/>
      <c r="M38" s="4"/>
      <c r="N38" s="4"/>
      <c r="O38" s="747"/>
      <c r="P38" s="4"/>
      <c r="Q38" s="4"/>
    </row>
    <row r="39" spans="1:17" ht="16.95" customHeight="1" x14ac:dyDescent="0.25">
      <c r="A39" s="433" t="str">
        <f>Zones!B39</f>
        <v>Perimeter_Open_Office_W_FloorM</v>
      </c>
      <c r="B39" s="142">
        <f>Zones!L39</f>
        <v>22.243800000000004</v>
      </c>
      <c r="C39" s="143">
        <f>Zones!I39</f>
        <v>4448.76</v>
      </c>
      <c r="D39" s="712">
        <v>15</v>
      </c>
      <c r="E39" s="712">
        <v>0.15</v>
      </c>
      <c r="F39" s="168"/>
      <c r="G39" s="44">
        <f t="shared" si="6"/>
        <v>333.65700000000004</v>
      </c>
      <c r="H39" s="44">
        <f t="shared" si="7"/>
        <v>667.31399999999996</v>
      </c>
      <c r="I39" s="168"/>
      <c r="J39" s="172">
        <f t="shared" si="3"/>
        <v>667.31399999999996</v>
      </c>
      <c r="K39" s="520" t="s">
        <v>554</v>
      </c>
      <c r="L39" s="747"/>
      <c r="M39" s="4"/>
      <c r="N39" s="4"/>
      <c r="O39" s="747"/>
      <c r="P39" s="4"/>
      <c r="Q39" s="4"/>
    </row>
    <row r="40" spans="1:17" ht="16.95" customHeight="1" x14ac:dyDescent="0.25">
      <c r="A40" s="433" t="str">
        <f>Zones!B40</f>
        <v>Perimeter_Enclosed_Office_NE_FloorM</v>
      </c>
      <c r="B40" s="142">
        <f>Zones!L40</f>
        <v>4.5869</v>
      </c>
      <c r="C40" s="143">
        <f>Zones!I40</f>
        <v>917.38</v>
      </c>
      <c r="D40" s="712">
        <v>15</v>
      </c>
      <c r="E40" s="712">
        <v>0.15</v>
      </c>
      <c r="F40" s="168"/>
      <c r="G40" s="44">
        <f t="shared" si="6"/>
        <v>68.8035</v>
      </c>
      <c r="H40" s="44">
        <f t="shared" si="7"/>
        <v>137.607</v>
      </c>
      <c r="I40" s="168"/>
      <c r="J40" s="172">
        <f t="shared" si="3"/>
        <v>137.607</v>
      </c>
      <c r="K40" s="520" t="s">
        <v>554</v>
      </c>
      <c r="L40" s="747"/>
      <c r="M40" s="4"/>
      <c r="N40" s="4"/>
      <c r="O40" s="747"/>
      <c r="P40" s="4"/>
      <c r="Q40" s="4"/>
    </row>
    <row r="41" spans="1:17" ht="16.95" customHeight="1" x14ac:dyDescent="0.25">
      <c r="A41" s="433" t="str">
        <f>Zones!B41</f>
        <v>Perimeter_Enclosed_Office_NW_FloorM</v>
      </c>
      <c r="B41" s="142">
        <f>Zones!L41</f>
        <v>5.6560500000000005</v>
      </c>
      <c r="C41" s="143">
        <f>Zones!I41</f>
        <v>1131.21</v>
      </c>
      <c r="D41" s="712">
        <v>15</v>
      </c>
      <c r="E41" s="712">
        <v>0.15</v>
      </c>
      <c r="F41" s="168"/>
      <c r="G41" s="44">
        <f t="shared" si="6"/>
        <v>84.840750000000014</v>
      </c>
      <c r="H41" s="44">
        <f t="shared" si="7"/>
        <v>169.6815</v>
      </c>
      <c r="I41" s="168"/>
      <c r="J41" s="172">
        <f t="shared" si="3"/>
        <v>169.6815</v>
      </c>
      <c r="K41" s="520" t="s">
        <v>554</v>
      </c>
      <c r="L41" s="747"/>
      <c r="M41" s="4"/>
      <c r="N41" s="4"/>
      <c r="O41" s="747"/>
      <c r="P41" s="4"/>
      <c r="Q41" s="4"/>
    </row>
    <row r="42" spans="1:17" ht="16.95" customHeight="1" x14ac:dyDescent="0.25">
      <c r="A42" s="433" t="str">
        <f>Zones!B42</f>
        <v>Perimeter_Enclosed_Office_SW_FloorM</v>
      </c>
      <c r="B42" s="142">
        <f>Zones!L42</f>
        <v>5.0524499999999994</v>
      </c>
      <c r="C42" s="143">
        <f>Zones!I42</f>
        <v>1010.49</v>
      </c>
      <c r="D42" s="712">
        <v>15</v>
      </c>
      <c r="E42" s="712">
        <v>0.15</v>
      </c>
      <c r="F42" s="168"/>
      <c r="G42" s="44">
        <f t="shared" si="6"/>
        <v>75.786749999999998</v>
      </c>
      <c r="H42" s="44">
        <f t="shared" si="7"/>
        <v>151.5735</v>
      </c>
      <c r="I42" s="168"/>
      <c r="J42" s="172">
        <f t="shared" si="3"/>
        <v>151.5735</v>
      </c>
      <c r="K42" s="520" t="s">
        <v>554</v>
      </c>
      <c r="L42" s="747"/>
      <c r="M42" s="4"/>
      <c r="N42" s="4"/>
      <c r="O42" s="747"/>
      <c r="P42" s="4"/>
      <c r="Q42" s="4"/>
    </row>
    <row r="43" spans="1:17" ht="16.95" customHeight="1" x14ac:dyDescent="0.25">
      <c r="A43" s="433" t="str">
        <f>Zones!B43</f>
        <v>Perimeter_Enclosed_Office_SE_FloorM</v>
      </c>
      <c r="B43" s="142">
        <f>Zones!L43</f>
        <v>5.1673999999999998</v>
      </c>
      <c r="C43" s="143">
        <f>Zones!I43</f>
        <v>1033.48</v>
      </c>
      <c r="D43" s="712">
        <v>15</v>
      </c>
      <c r="E43" s="712">
        <v>0.15</v>
      </c>
      <c r="F43" s="168"/>
      <c r="G43" s="44">
        <f t="shared" si="6"/>
        <v>77.510999999999996</v>
      </c>
      <c r="H43" s="44">
        <f t="shared" si="7"/>
        <v>155.02199999999999</v>
      </c>
      <c r="I43" s="168"/>
      <c r="J43" s="172">
        <f t="shared" si="3"/>
        <v>155.02199999999999</v>
      </c>
      <c r="K43" s="520" t="s">
        <v>554</v>
      </c>
      <c r="L43" s="747"/>
      <c r="M43" s="4"/>
      <c r="N43" s="4"/>
      <c r="O43" s="747"/>
      <c r="P43" s="4"/>
      <c r="Q43" s="4"/>
    </row>
    <row r="44" spans="1:17" ht="16.95" customHeight="1" x14ac:dyDescent="0.25">
      <c r="A44" s="433" t="str">
        <f>Zones!B44</f>
        <v>Core_Enclosed_Office_FloorM</v>
      </c>
      <c r="B44" s="142">
        <f>Zones!L44</f>
        <v>16.164999999999999</v>
      </c>
      <c r="C44" s="143">
        <f>Zones!I44</f>
        <v>3233</v>
      </c>
      <c r="D44" s="712">
        <v>15</v>
      </c>
      <c r="E44" s="712">
        <v>0.15</v>
      </c>
      <c r="F44" s="168"/>
      <c r="G44" s="44">
        <f t="shared" si="6"/>
        <v>242.47499999999999</v>
      </c>
      <c r="H44" s="44">
        <f t="shared" si="7"/>
        <v>484.95</v>
      </c>
      <c r="I44" s="168"/>
      <c r="J44" s="172">
        <f t="shared" si="3"/>
        <v>484.95</v>
      </c>
      <c r="K44" s="520" t="s">
        <v>554</v>
      </c>
      <c r="L44" s="747"/>
      <c r="M44" s="4"/>
      <c r="N44" s="4"/>
      <c r="O44" s="747"/>
      <c r="P44" s="4"/>
      <c r="Q44" s="4"/>
    </row>
    <row r="45" spans="1:17" ht="16.95" customHeight="1" x14ac:dyDescent="0.25">
      <c r="A45" s="433" t="str">
        <f>Zones!B45</f>
        <v>Server_Room_FloorM</v>
      </c>
      <c r="B45" s="142">
        <f>Zones!L45</f>
        <v>0.627</v>
      </c>
      <c r="C45" s="143">
        <f>Zones!I45</f>
        <v>418</v>
      </c>
      <c r="D45" s="712">
        <v>15</v>
      </c>
      <c r="E45" s="712">
        <v>0.15</v>
      </c>
      <c r="F45" s="168"/>
      <c r="G45" s="44">
        <f t="shared" si="6"/>
        <v>9.4049999999999994</v>
      </c>
      <c r="H45" s="44">
        <f t="shared" si="7"/>
        <v>62.699999999999996</v>
      </c>
      <c r="I45" s="168"/>
      <c r="J45" s="172">
        <f t="shared" si="3"/>
        <v>62.699999999999996</v>
      </c>
      <c r="K45" s="520" t="s">
        <v>555</v>
      </c>
      <c r="L45" s="747"/>
      <c r="M45" s="4"/>
      <c r="N45" s="4"/>
      <c r="O45" s="747"/>
      <c r="P45" s="4"/>
      <c r="Q45" s="4"/>
    </row>
    <row r="46" spans="1:17" ht="16.95" customHeight="1" x14ac:dyDescent="0.25">
      <c r="A46" s="433" t="str">
        <f>Zones!B46</f>
        <v>Mech/Elec_FloorM</v>
      </c>
      <c r="B46" s="142">
        <f>Zones!L46</f>
        <v>0</v>
      </c>
      <c r="C46" s="143">
        <f>Zones!I46</f>
        <v>1070</v>
      </c>
      <c r="D46" s="712">
        <v>15</v>
      </c>
      <c r="E46" s="712">
        <v>0.15</v>
      </c>
      <c r="F46" s="168"/>
      <c r="G46" s="44">
        <f t="shared" si="6"/>
        <v>0</v>
      </c>
      <c r="H46" s="44">
        <f t="shared" si="7"/>
        <v>160.5</v>
      </c>
      <c r="I46" s="168"/>
      <c r="J46" s="172">
        <f t="shared" si="3"/>
        <v>160.5</v>
      </c>
      <c r="K46" s="520" t="s">
        <v>556</v>
      </c>
      <c r="L46" s="747"/>
      <c r="M46" s="4"/>
      <c r="N46" s="4"/>
      <c r="O46" s="747"/>
      <c r="P46" s="4"/>
      <c r="Q46" s="4"/>
    </row>
    <row r="47" spans="1:17" ht="16.95" customHeight="1" x14ac:dyDescent="0.25">
      <c r="A47" s="433" t="str">
        <f>Zones!B47</f>
        <v>Conference_N_FloorM</v>
      </c>
      <c r="B47" s="142">
        <f>Zones!L47</f>
        <v>26.063399999999998</v>
      </c>
      <c r="C47" s="143">
        <f>Zones!I47</f>
        <v>789.8</v>
      </c>
      <c r="D47" s="712">
        <v>15</v>
      </c>
      <c r="E47" s="712">
        <v>0.15</v>
      </c>
      <c r="F47" s="168"/>
      <c r="G47" s="44">
        <f t="shared" si="6"/>
        <v>390.95099999999996</v>
      </c>
      <c r="H47" s="44">
        <f t="shared" si="7"/>
        <v>118.46999999999998</v>
      </c>
      <c r="I47" s="168"/>
      <c r="J47" s="172">
        <f t="shared" si="3"/>
        <v>390.95099999999996</v>
      </c>
      <c r="K47" s="520" t="s">
        <v>557</v>
      </c>
      <c r="L47" s="747"/>
      <c r="M47" s="4"/>
      <c r="N47" s="4"/>
      <c r="O47" s="747"/>
      <c r="P47" s="4"/>
      <c r="Q47" s="4"/>
    </row>
    <row r="48" spans="1:17" ht="16.95" customHeight="1" x14ac:dyDescent="0.25">
      <c r="A48" s="433" t="str">
        <f>Zones!B48</f>
        <v>Conference_W_FloorM</v>
      </c>
      <c r="B48" s="142">
        <f>Zones!L48</f>
        <v>11.10252</v>
      </c>
      <c r="C48" s="143">
        <f>Zones!I48</f>
        <v>336.44</v>
      </c>
      <c r="D48" s="712">
        <v>15</v>
      </c>
      <c r="E48" s="712">
        <v>0.15</v>
      </c>
      <c r="F48" s="168"/>
      <c r="G48" s="44">
        <f t="shared" si="6"/>
        <v>166.5378</v>
      </c>
      <c r="H48" s="44">
        <f t="shared" si="7"/>
        <v>50.466000000000001</v>
      </c>
      <c r="I48" s="168"/>
      <c r="J48" s="172">
        <f t="shared" si="3"/>
        <v>166.5378</v>
      </c>
      <c r="K48" s="520" t="s">
        <v>557</v>
      </c>
      <c r="L48" s="747"/>
      <c r="M48" s="4"/>
      <c r="N48" s="4"/>
      <c r="O48" s="747"/>
      <c r="P48" s="4"/>
      <c r="Q48" s="4"/>
    </row>
    <row r="49" spans="1:17" ht="16.95" customHeight="1" x14ac:dyDescent="0.25">
      <c r="A49" s="433" t="str">
        <f>Zones!B49</f>
        <v>Conference_S_FloorM</v>
      </c>
      <c r="B49" s="142">
        <f>Zones!L49</f>
        <v>25.205399999999997</v>
      </c>
      <c r="C49" s="143">
        <f>Zones!I49</f>
        <v>763.8</v>
      </c>
      <c r="D49" s="712">
        <v>15</v>
      </c>
      <c r="E49" s="712">
        <v>0.15</v>
      </c>
      <c r="F49" s="168"/>
      <c r="G49" s="44">
        <f t="shared" si="6"/>
        <v>378.08099999999996</v>
      </c>
      <c r="H49" s="44">
        <f t="shared" si="7"/>
        <v>114.57</v>
      </c>
      <c r="I49" s="168"/>
      <c r="J49" s="172">
        <f t="shared" si="3"/>
        <v>378.08099999999996</v>
      </c>
      <c r="K49" s="520" t="s">
        <v>557</v>
      </c>
      <c r="L49" s="747"/>
      <c r="M49" s="4"/>
      <c r="N49" s="4"/>
      <c r="O49" s="747"/>
      <c r="P49" s="4"/>
      <c r="Q49" s="4"/>
    </row>
    <row r="50" spans="1:17" ht="16.95" customHeight="1" x14ac:dyDescent="0.25">
      <c r="A50" s="433" t="str">
        <f>Zones!B50</f>
        <v>Conference_E_FloorM</v>
      </c>
      <c r="B50" s="142">
        <f>Zones!L50</f>
        <v>14.2956</v>
      </c>
      <c r="C50" s="143">
        <f>Zones!I50</f>
        <v>433.2</v>
      </c>
      <c r="D50" s="712">
        <v>15</v>
      </c>
      <c r="E50" s="712">
        <v>0.15</v>
      </c>
      <c r="F50" s="168"/>
      <c r="G50" s="44">
        <f t="shared" si="6"/>
        <v>214.434</v>
      </c>
      <c r="H50" s="44">
        <f t="shared" si="7"/>
        <v>64.97999999999999</v>
      </c>
      <c r="I50" s="168"/>
      <c r="J50" s="172">
        <f t="shared" si="3"/>
        <v>214.434</v>
      </c>
      <c r="K50" s="520" t="s">
        <v>557</v>
      </c>
      <c r="L50" s="747"/>
      <c r="M50" s="4"/>
      <c r="N50" s="4"/>
      <c r="O50" s="747"/>
      <c r="P50" s="4"/>
      <c r="Q50" s="4"/>
    </row>
    <row r="51" spans="1:17" ht="16.95" customHeight="1" x14ac:dyDescent="0.25">
      <c r="A51" s="433" t="str">
        <f>Zones!B51</f>
        <v>Break/FoorPrep_FloorM</v>
      </c>
      <c r="B51" s="142">
        <f>Zones!L51</f>
        <v>30.03</v>
      </c>
      <c r="C51" s="143">
        <f>Zones!I51</f>
        <v>910</v>
      </c>
      <c r="D51" s="712">
        <v>15</v>
      </c>
      <c r="E51" s="712">
        <v>0.15</v>
      </c>
      <c r="F51" s="168"/>
      <c r="G51" s="44">
        <f t="shared" si="6"/>
        <v>450.45000000000005</v>
      </c>
      <c r="H51" s="44">
        <f t="shared" si="7"/>
        <v>136.5</v>
      </c>
      <c r="I51" s="168"/>
      <c r="J51" s="172">
        <f t="shared" si="3"/>
        <v>450.45000000000005</v>
      </c>
      <c r="K51" s="520" t="s">
        <v>558</v>
      </c>
      <c r="L51" s="747"/>
      <c r="M51" s="4"/>
      <c r="N51" s="4"/>
      <c r="O51" s="747"/>
      <c r="P51" s="4"/>
      <c r="Q51" s="4"/>
    </row>
    <row r="52" spans="1:17" ht="34.5" customHeight="1" x14ac:dyDescent="0.25">
      <c r="A52" s="433" t="str">
        <f>Zones!B52</f>
        <v>Storage_FloorM</v>
      </c>
      <c r="B52" s="142">
        <f>Zones!L52</f>
        <v>0</v>
      </c>
      <c r="C52" s="143">
        <f>Zones!I52</f>
        <v>738</v>
      </c>
      <c r="D52" s="712">
        <v>15</v>
      </c>
      <c r="E52" s="712">
        <v>0.15</v>
      </c>
      <c r="F52" s="168"/>
      <c r="G52" s="44">
        <f t="shared" si="6"/>
        <v>0</v>
      </c>
      <c r="H52" s="44">
        <f t="shared" si="7"/>
        <v>110.7</v>
      </c>
      <c r="I52" s="168"/>
      <c r="J52" s="172">
        <f t="shared" si="3"/>
        <v>110.7</v>
      </c>
      <c r="K52" s="521" t="s">
        <v>559</v>
      </c>
      <c r="L52" s="747"/>
      <c r="M52" s="4"/>
      <c r="N52" s="4"/>
      <c r="O52" s="747"/>
      <c r="P52" s="4"/>
      <c r="Q52" s="4"/>
    </row>
    <row r="53" spans="1:17" ht="16.95" customHeight="1" x14ac:dyDescent="0.25">
      <c r="A53" s="433" t="str">
        <f>Zones!B53</f>
        <v>Lobby/Lounge_FloorM</v>
      </c>
      <c r="B53" s="142">
        <f>Zones!L53</f>
        <v>10.26</v>
      </c>
      <c r="C53" s="143">
        <f>Zones!I53</f>
        <v>684</v>
      </c>
      <c r="D53" s="712">
        <v>15</v>
      </c>
      <c r="E53" s="712">
        <v>0.15</v>
      </c>
      <c r="F53" s="168"/>
      <c r="G53" s="44">
        <f t="shared" si="6"/>
        <v>153.9</v>
      </c>
      <c r="H53" s="44">
        <f t="shared" si="7"/>
        <v>102.6</v>
      </c>
      <c r="I53" s="168"/>
      <c r="J53" s="172">
        <f t="shared" si="3"/>
        <v>153.9</v>
      </c>
      <c r="K53" s="520" t="s">
        <v>558</v>
      </c>
      <c r="L53" s="747"/>
      <c r="M53" s="4"/>
      <c r="N53" s="4"/>
      <c r="O53" s="747"/>
      <c r="P53" s="4"/>
      <c r="Q53" s="4"/>
    </row>
    <row r="54" spans="1:17" ht="16.95" customHeight="1" x14ac:dyDescent="0.25">
      <c r="A54" s="433" t="str">
        <f>Zones!B54</f>
        <v>Restroom_FloorM</v>
      </c>
      <c r="B54" s="142">
        <f>Zones!L54</f>
        <v>0</v>
      </c>
      <c r="C54" s="143">
        <f>Zones!I54</f>
        <v>1155</v>
      </c>
      <c r="D54" s="712">
        <v>15</v>
      </c>
      <c r="E54" s="712">
        <v>0.15</v>
      </c>
      <c r="F54" s="712" t="s">
        <v>567</v>
      </c>
      <c r="G54" s="44">
        <f t="shared" si="6"/>
        <v>0</v>
      </c>
      <c r="H54" s="44">
        <f t="shared" si="7"/>
        <v>173.25</v>
      </c>
      <c r="I54" s="536">
        <f>9*50</f>
        <v>450</v>
      </c>
      <c r="J54" s="172">
        <f t="shared" si="3"/>
        <v>450</v>
      </c>
      <c r="K54" s="520" t="s">
        <v>556</v>
      </c>
      <c r="L54" s="747"/>
      <c r="M54" s="4"/>
      <c r="N54" s="4"/>
      <c r="O54" s="747"/>
      <c r="P54" s="4"/>
      <c r="Q54" s="4"/>
    </row>
    <row r="55" spans="1:17" ht="16.95" customHeight="1" x14ac:dyDescent="0.25">
      <c r="A55" s="433" t="str">
        <f>Zones!B55</f>
        <v>Stair/Elevator_FloorM</v>
      </c>
      <c r="B55" s="142">
        <f>Zones!L55</f>
        <v>0</v>
      </c>
      <c r="C55" s="143">
        <f>Zones!I55</f>
        <v>848</v>
      </c>
      <c r="D55" s="712">
        <v>15</v>
      </c>
      <c r="E55" s="712">
        <v>0.15</v>
      </c>
      <c r="F55" s="168"/>
      <c r="G55" s="44">
        <f t="shared" si="6"/>
        <v>0</v>
      </c>
      <c r="H55" s="44">
        <f t="shared" si="7"/>
        <v>127.19999999999999</v>
      </c>
      <c r="I55" s="168"/>
      <c r="J55" s="172">
        <f t="shared" si="3"/>
        <v>127.19999999999999</v>
      </c>
      <c r="K55" s="520" t="s">
        <v>556</v>
      </c>
      <c r="L55" s="747"/>
      <c r="M55" s="4"/>
      <c r="N55" s="4"/>
      <c r="O55" s="747"/>
      <c r="P55" s="4"/>
      <c r="Q55" s="4"/>
    </row>
    <row r="56" spans="1:17" ht="16.95" customHeight="1" x14ac:dyDescent="0.25">
      <c r="A56" s="433" t="str">
        <f>Zones!B56</f>
        <v>Corridor_W_FloorM</v>
      </c>
      <c r="B56" s="142">
        <f>Zones!L56</f>
        <v>5.0293999999999999</v>
      </c>
      <c r="C56" s="143">
        <f>Zones!I56</f>
        <v>1005.88</v>
      </c>
      <c r="D56" s="712">
        <v>15</v>
      </c>
      <c r="E56" s="712">
        <v>0.15</v>
      </c>
      <c r="F56" s="168"/>
      <c r="G56" s="44">
        <f t="shared" si="6"/>
        <v>75.441000000000003</v>
      </c>
      <c r="H56" s="44">
        <f t="shared" si="7"/>
        <v>150.88200000000001</v>
      </c>
      <c r="I56" s="168"/>
      <c r="J56" s="172">
        <f t="shared" si="3"/>
        <v>150.88200000000001</v>
      </c>
      <c r="K56" s="520" t="s">
        <v>562</v>
      </c>
      <c r="L56" s="747"/>
      <c r="M56" s="4"/>
      <c r="N56" s="4"/>
      <c r="O56" s="747"/>
      <c r="P56" s="4"/>
      <c r="Q56" s="4"/>
    </row>
    <row r="57" spans="1:17" ht="16.95" customHeight="1" x14ac:dyDescent="0.25">
      <c r="A57" s="433" t="str">
        <f>Zones!B57</f>
        <v>Corridor_E_FloorM</v>
      </c>
      <c r="B57" s="142">
        <f>Zones!L57</f>
        <v>2.9268000000000001</v>
      </c>
      <c r="C57" s="143">
        <f>Zones!I57</f>
        <v>585.36</v>
      </c>
      <c r="D57" s="712">
        <v>15</v>
      </c>
      <c r="E57" s="712">
        <v>0.15</v>
      </c>
      <c r="F57" s="168"/>
      <c r="G57" s="44">
        <f t="shared" si="6"/>
        <v>43.902000000000001</v>
      </c>
      <c r="H57" s="44">
        <f t="shared" si="7"/>
        <v>87.804000000000002</v>
      </c>
      <c r="I57" s="168"/>
      <c r="J57" s="172">
        <f t="shared" si="3"/>
        <v>87.804000000000002</v>
      </c>
      <c r="K57" s="520" t="s">
        <v>562</v>
      </c>
      <c r="L57" s="747"/>
      <c r="M57" s="4"/>
      <c r="N57" s="4"/>
      <c r="O57" s="747"/>
      <c r="P57" s="4"/>
      <c r="Q57" s="4"/>
    </row>
    <row r="58" spans="1:17" ht="16.95" customHeight="1" x14ac:dyDescent="0.25">
      <c r="A58" s="433" t="str">
        <f>Zones!B58</f>
        <v>Plenum_FloorM</v>
      </c>
      <c r="B58" s="142">
        <f>Zones!L58</f>
        <v>0</v>
      </c>
      <c r="C58" s="143">
        <f>Zones!I58</f>
        <v>38352.97</v>
      </c>
      <c r="D58" s="712"/>
      <c r="E58" s="712"/>
      <c r="F58" s="168"/>
      <c r="G58" s="44">
        <f t="shared" si="6"/>
        <v>0</v>
      </c>
      <c r="H58" s="44">
        <f t="shared" si="7"/>
        <v>0</v>
      </c>
      <c r="I58" s="168"/>
      <c r="J58" s="172">
        <f t="shared" si="3"/>
        <v>0</v>
      </c>
      <c r="K58" s="520" t="s">
        <v>224</v>
      </c>
      <c r="L58" s="747"/>
      <c r="M58" s="4"/>
      <c r="N58" s="4"/>
      <c r="O58" s="747"/>
      <c r="P58" s="4"/>
      <c r="Q58" s="4"/>
    </row>
    <row r="59" spans="1:17" ht="16.95" customHeight="1" x14ac:dyDescent="0.25">
      <c r="A59" s="434" t="str">
        <f>Zones!B59</f>
        <v>Perimeter_Open_Office_N_FloorT</v>
      </c>
      <c r="B59" s="169">
        <f>Zones!L59</f>
        <v>35.65645</v>
      </c>
      <c r="C59" s="170">
        <f>Zones!I59</f>
        <v>7131.29</v>
      </c>
      <c r="D59" s="163">
        <v>15</v>
      </c>
      <c r="E59" s="163">
        <v>0.15</v>
      </c>
      <c r="F59" s="171"/>
      <c r="G59" s="170">
        <f t="shared" ref="G59" si="8">B59*D59</f>
        <v>534.84675000000004</v>
      </c>
      <c r="H59" s="170">
        <f t="shared" ref="H59" si="9">C59*E59</f>
        <v>1069.6934999999999</v>
      </c>
      <c r="I59" s="171"/>
      <c r="J59" s="173">
        <f t="shared" si="3"/>
        <v>1069.6934999999999</v>
      </c>
      <c r="K59" s="520" t="s">
        <v>554</v>
      </c>
      <c r="L59" s="747"/>
      <c r="M59" s="4"/>
      <c r="N59" s="4"/>
      <c r="O59" s="747"/>
      <c r="P59" s="4"/>
      <c r="Q59" s="4"/>
    </row>
    <row r="60" spans="1:17" ht="16.95" customHeight="1" x14ac:dyDescent="0.25">
      <c r="A60" s="434" t="str">
        <f>Zones!B60</f>
        <v>Perimeter_Open_Office_S_FloorT</v>
      </c>
      <c r="B60" s="169">
        <f>Zones!L60</f>
        <v>26.18685</v>
      </c>
      <c r="C60" s="170">
        <f>Zones!I60</f>
        <v>5237.37</v>
      </c>
      <c r="D60" s="163">
        <v>15</v>
      </c>
      <c r="E60" s="163">
        <v>0.15</v>
      </c>
      <c r="F60" s="171"/>
      <c r="G60" s="170">
        <f t="shared" ref="G60:G81" si="10">B60*D60</f>
        <v>392.80275</v>
      </c>
      <c r="H60" s="170">
        <f t="shared" ref="H60:H81" si="11">C60*E60</f>
        <v>785.60550000000001</v>
      </c>
      <c r="I60" s="171"/>
      <c r="J60" s="173">
        <f t="shared" si="3"/>
        <v>785.60550000000001</v>
      </c>
      <c r="K60" s="520" t="s">
        <v>554</v>
      </c>
      <c r="L60" s="747"/>
      <c r="M60" s="4"/>
      <c r="N60" s="4"/>
      <c r="O60" s="747"/>
      <c r="P60" s="4"/>
      <c r="Q60" s="4"/>
    </row>
    <row r="61" spans="1:17" ht="16.95" customHeight="1" x14ac:dyDescent="0.25">
      <c r="A61" s="434" t="str">
        <f>Zones!B61</f>
        <v>Perimeter_Open_Office_E_FloorT</v>
      </c>
      <c r="B61" s="169">
        <f>Zones!L61</f>
        <v>22.352199999999996</v>
      </c>
      <c r="C61" s="170">
        <f>Zones!I61</f>
        <v>4470.4399999999996</v>
      </c>
      <c r="D61" s="163">
        <v>15</v>
      </c>
      <c r="E61" s="163">
        <v>0.15</v>
      </c>
      <c r="F61" s="171"/>
      <c r="G61" s="170">
        <f t="shared" si="10"/>
        <v>335.28299999999996</v>
      </c>
      <c r="H61" s="170">
        <f t="shared" si="11"/>
        <v>670.56599999999992</v>
      </c>
      <c r="I61" s="171"/>
      <c r="J61" s="173">
        <f t="shared" si="3"/>
        <v>670.56599999999992</v>
      </c>
      <c r="K61" s="520" t="s">
        <v>554</v>
      </c>
      <c r="L61" s="747"/>
      <c r="M61" s="4"/>
      <c r="N61" s="4"/>
      <c r="O61" s="747"/>
      <c r="P61" s="4"/>
      <c r="Q61" s="4"/>
    </row>
    <row r="62" spans="1:17" ht="17.399999999999999" customHeight="1" x14ac:dyDescent="0.25">
      <c r="A62" s="434" t="str">
        <f>Zones!B62</f>
        <v>Perimeter_Open_Office_W_FloorT</v>
      </c>
      <c r="B62" s="169">
        <f>Zones!L62</f>
        <v>22.243800000000004</v>
      </c>
      <c r="C62" s="170">
        <f>Zones!I62</f>
        <v>4448.76</v>
      </c>
      <c r="D62" s="163">
        <v>15</v>
      </c>
      <c r="E62" s="163">
        <v>0.15</v>
      </c>
      <c r="F62" s="171"/>
      <c r="G62" s="170">
        <f t="shared" si="10"/>
        <v>333.65700000000004</v>
      </c>
      <c r="H62" s="170">
        <f t="shared" si="11"/>
        <v>667.31399999999996</v>
      </c>
      <c r="I62" s="171"/>
      <c r="J62" s="173">
        <f t="shared" si="3"/>
        <v>667.31399999999996</v>
      </c>
      <c r="K62" s="520" t="s">
        <v>554</v>
      </c>
      <c r="L62" s="747"/>
      <c r="M62" s="4"/>
      <c r="N62" s="4"/>
      <c r="O62" s="747"/>
      <c r="P62" s="4"/>
      <c r="Q62" s="4"/>
    </row>
    <row r="63" spans="1:17" ht="17.399999999999999" customHeight="1" x14ac:dyDescent="0.25">
      <c r="A63" s="434" t="str">
        <f>Zones!B63</f>
        <v>Perimeter_Enclosed_Office_NE_FloorT</v>
      </c>
      <c r="B63" s="169">
        <f>Zones!L63</f>
        <v>4.5869</v>
      </c>
      <c r="C63" s="170">
        <f>Zones!I63</f>
        <v>917.38</v>
      </c>
      <c r="D63" s="163">
        <v>15</v>
      </c>
      <c r="E63" s="163">
        <v>0.15</v>
      </c>
      <c r="F63" s="171"/>
      <c r="G63" s="170">
        <f t="shared" si="10"/>
        <v>68.8035</v>
      </c>
      <c r="H63" s="170">
        <f t="shared" si="11"/>
        <v>137.607</v>
      </c>
      <c r="I63" s="171"/>
      <c r="J63" s="173">
        <f t="shared" si="3"/>
        <v>137.607</v>
      </c>
      <c r="K63" s="520" t="s">
        <v>554</v>
      </c>
      <c r="L63" s="747"/>
      <c r="M63" s="4"/>
      <c r="N63" s="4"/>
      <c r="O63" s="747"/>
      <c r="P63" s="4"/>
      <c r="Q63" s="4"/>
    </row>
    <row r="64" spans="1:17" ht="17.399999999999999" customHeight="1" x14ac:dyDescent="0.25">
      <c r="A64" s="434" t="str">
        <f>Zones!B64</f>
        <v>Perimeter_Enclosed_Office_NW_FloorT</v>
      </c>
      <c r="B64" s="169">
        <f>Zones!L64</f>
        <v>5.6560500000000005</v>
      </c>
      <c r="C64" s="170">
        <f>Zones!I64</f>
        <v>1131.21</v>
      </c>
      <c r="D64" s="163">
        <v>15</v>
      </c>
      <c r="E64" s="163">
        <v>0.15</v>
      </c>
      <c r="F64" s="171"/>
      <c r="G64" s="170">
        <f t="shared" si="10"/>
        <v>84.840750000000014</v>
      </c>
      <c r="H64" s="170">
        <f t="shared" si="11"/>
        <v>169.6815</v>
      </c>
      <c r="I64" s="171"/>
      <c r="J64" s="173">
        <f t="shared" si="3"/>
        <v>169.6815</v>
      </c>
      <c r="K64" s="520" t="s">
        <v>554</v>
      </c>
      <c r="L64" s="747"/>
      <c r="M64" s="4"/>
      <c r="N64" s="4"/>
      <c r="O64" s="747"/>
      <c r="P64" s="4"/>
      <c r="Q64" s="4"/>
    </row>
    <row r="65" spans="1:17" ht="17.399999999999999" customHeight="1" x14ac:dyDescent="0.25">
      <c r="A65" s="434" t="str">
        <f>Zones!B65</f>
        <v>Perimeter_Enclosed_Office_SW_FloorT</v>
      </c>
      <c r="B65" s="169">
        <f>Zones!L65</f>
        <v>5.0524499999999994</v>
      </c>
      <c r="C65" s="170">
        <f>Zones!I65</f>
        <v>1010.49</v>
      </c>
      <c r="D65" s="163">
        <v>15</v>
      </c>
      <c r="E65" s="163">
        <v>0.15</v>
      </c>
      <c r="F65" s="171"/>
      <c r="G65" s="170">
        <f t="shared" si="10"/>
        <v>75.786749999999998</v>
      </c>
      <c r="H65" s="170">
        <f t="shared" si="11"/>
        <v>151.5735</v>
      </c>
      <c r="I65" s="171"/>
      <c r="J65" s="173">
        <f t="shared" si="3"/>
        <v>151.5735</v>
      </c>
      <c r="K65" s="520" t="s">
        <v>554</v>
      </c>
      <c r="L65" s="747"/>
      <c r="M65" s="4"/>
      <c r="N65" s="4"/>
      <c r="O65" s="747"/>
      <c r="P65" s="4"/>
      <c r="Q65" s="4"/>
    </row>
    <row r="66" spans="1:17" ht="17.399999999999999" customHeight="1" x14ac:dyDescent="0.25">
      <c r="A66" s="434" t="str">
        <f>Zones!B66</f>
        <v>Perimeter_Enclosed_Office_SE_FloorT</v>
      </c>
      <c r="B66" s="169">
        <f>Zones!L66</f>
        <v>5.1673999999999998</v>
      </c>
      <c r="C66" s="170">
        <f>Zones!I66</f>
        <v>1033.48</v>
      </c>
      <c r="D66" s="163">
        <v>15</v>
      </c>
      <c r="E66" s="163">
        <v>0.15</v>
      </c>
      <c r="F66" s="171"/>
      <c r="G66" s="170">
        <f t="shared" si="10"/>
        <v>77.510999999999996</v>
      </c>
      <c r="H66" s="170">
        <f t="shared" si="11"/>
        <v>155.02199999999999</v>
      </c>
      <c r="I66" s="171"/>
      <c r="J66" s="173">
        <f t="shared" si="3"/>
        <v>155.02199999999999</v>
      </c>
      <c r="K66" s="520" t="s">
        <v>554</v>
      </c>
      <c r="L66" s="747"/>
      <c r="M66" s="4"/>
      <c r="N66" s="4"/>
      <c r="O66" s="747"/>
      <c r="P66" s="4"/>
      <c r="Q66" s="4"/>
    </row>
    <row r="67" spans="1:17" ht="17.399999999999999" customHeight="1" x14ac:dyDescent="0.25">
      <c r="A67" s="434" t="str">
        <f>Zones!B67</f>
        <v>Core_Enclosed_Office_FloorT</v>
      </c>
      <c r="B67" s="169">
        <f>Zones!L67</f>
        <v>16.164999999999999</v>
      </c>
      <c r="C67" s="170">
        <f>Zones!I67</f>
        <v>3233</v>
      </c>
      <c r="D67" s="163">
        <v>15</v>
      </c>
      <c r="E67" s="163">
        <v>0.15</v>
      </c>
      <c r="F67" s="171"/>
      <c r="G67" s="170">
        <f t="shared" si="10"/>
        <v>242.47499999999999</v>
      </c>
      <c r="H67" s="170">
        <f t="shared" si="11"/>
        <v>484.95</v>
      </c>
      <c r="I67" s="171"/>
      <c r="J67" s="173">
        <f t="shared" si="3"/>
        <v>484.95</v>
      </c>
      <c r="K67" s="520" t="s">
        <v>554</v>
      </c>
      <c r="L67" s="747"/>
      <c r="M67" s="4"/>
      <c r="N67" s="4"/>
      <c r="O67" s="747"/>
      <c r="P67" s="4"/>
      <c r="Q67" s="4"/>
    </row>
    <row r="68" spans="1:17" ht="17.399999999999999" customHeight="1" x14ac:dyDescent="0.25">
      <c r="A68" s="434" t="str">
        <f>Zones!B68</f>
        <v>Server_Room_FloorT</v>
      </c>
      <c r="B68" s="169">
        <f>Zones!L68</f>
        <v>0.627</v>
      </c>
      <c r="C68" s="170">
        <f>Zones!I68</f>
        <v>418</v>
      </c>
      <c r="D68" s="163">
        <v>15</v>
      </c>
      <c r="E68" s="163">
        <v>0.15</v>
      </c>
      <c r="F68" s="171"/>
      <c r="G68" s="170">
        <f t="shared" si="10"/>
        <v>9.4049999999999994</v>
      </c>
      <c r="H68" s="170">
        <f t="shared" si="11"/>
        <v>62.699999999999996</v>
      </c>
      <c r="I68" s="171"/>
      <c r="J68" s="173">
        <f t="shared" ref="J68:J81" si="12">MAX(G68:I68)</f>
        <v>62.699999999999996</v>
      </c>
      <c r="K68" s="520" t="s">
        <v>555</v>
      </c>
      <c r="L68" s="747"/>
      <c r="M68" s="4"/>
      <c r="N68" s="4"/>
      <c r="O68" s="747"/>
      <c r="P68" s="4"/>
      <c r="Q68" s="4"/>
    </row>
    <row r="69" spans="1:17" ht="17.399999999999999" customHeight="1" x14ac:dyDescent="0.25">
      <c r="A69" s="434" t="str">
        <f>Zones!B69</f>
        <v>Mech/Elec_FloorT</v>
      </c>
      <c r="B69" s="169">
        <f>Zones!L69</f>
        <v>0</v>
      </c>
      <c r="C69" s="170">
        <f>Zones!I69</f>
        <v>1070</v>
      </c>
      <c r="D69" s="163">
        <v>15</v>
      </c>
      <c r="E69" s="163">
        <v>0.15</v>
      </c>
      <c r="F69" s="171"/>
      <c r="G69" s="170">
        <f t="shared" si="10"/>
        <v>0</v>
      </c>
      <c r="H69" s="170">
        <f t="shared" si="11"/>
        <v>160.5</v>
      </c>
      <c r="I69" s="171"/>
      <c r="J69" s="173">
        <f t="shared" si="12"/>
        <v>160.5</v>
      </c>
      <c r="K69" s="520" t="s">
        <v>556</v>
      </c>
      <c r="L69" s="747"/>
      <c r="M69" s="4"/>
      <c r="N69" s="4"/>
      <c r="O69" s="747"/>
      <c r="P69" s="4"/>
      <c r="Q69" s="4"/>
    </row>
    <row r="70" spans="1:17" ht="17.399999999999999" customHeight="1" x14ac:dyDescent="0.25">
      <c r="A70" s="434" t="str">
        <f>Zones!B70</f>
        <v>Conference_N_FloorT</v>
      </c>
      <c r="B70" s="169">
        <f>Zones!L70</f>
        <v>26.063399999999998</v>
      </c>
      <c r="C70" s="170">
        <f>Zones!I70</f>
        <v>789.8</v>
      </c>
      <c r="D70" s="163">
        <v>15</v>
      </c>
      <c r="E70" s="163">
        <v>0.15</v>
      </c>
      <c r="F70" s="171"/>
      <c r="G70" s="170">
        <f t="shared" si="10"/>
        <v>390.95099999999996</v>
      </c>
      <c r="H70" s="170">
        <f t="shared" si="11"/>
        <v>118.46999999999998</v>
      </c>
      <c r="I70" s="171"/>
      <c r="J70" s="173">
        <f t="shared" si="12"/>
        <v>390.95099999999996</v>
      </c>
      <c r="K70" s="520" t="s">
        <v>557</v>
      </c>
      <c r="L70" s="747"/>
      <c r="M70" s="4"/>
      <c r="N70" s="4"/>
      <c r="O70" s="747"/>
      <c r="P70" s="4"/>
      <c r="Q70" s="4"/>
    </row>
    <row r="71" spans="1:17" ht="17.399999999999999" customHeight="1" x14ac:dyDescent="0.25">
      <c r="A71" s="434" t="str">
        <f>Zones!B71</f>
        <v>Conference_W_FloorT</v>
      </c>
      <c r="B71" s="169">
        <f>Zones!L71</f>
        <v>11.10252</v>
      </c>
      <c r="C71" s="170">
        <f>Zones!I71</f>
        <v>336.44</v>
      </c>
      <c r="D71" s="163">
        <v>15</v>
      </c>
      <c r="E71" s="163">
        <v>0.15</v>
      </c>
      <c r="F71" s="171"/>
      <c r="G71" s="170">
        <f t="shared" si="10"/>
        <v>166.5378</v>
      </c>
      <c r="H71" s="170">
        <f t="shared" si="11"/>
        <v>50.466000000000001</v>
      </c>
      <c r="I71" s="171"/>
      <c r="J71" s="173">
        <f t="shared" si="12"/>
        <v>166.5378</v>
      </c>
      <c r="K71" s="520" t="s">
        <v>557</v>
      </c>
      <c r="L71" s="747"/>
      <c r="M71" s="4"/>
      <c r="N71" s="4"/>
      <c r="O71" s="747"/>
      <c r="P71" s="4"/>
      <c r="Q71" s="4"/>
    </row>
    <row r="72" spans="1:17" ht="17.399999999999999" customHeight="1" x14ac:dyDescent="0.25">
      <c r="A72" s="434" t="str">
        <f>Zones!B72</f>
        <v>Conference_S_FloorT</v>
      </c>
      <c r="B72" s="169">
        <f>Zones!L72</f>
        <v>25.205399999999997</v>
      </c>
      <c r="C72" s="170">
        <f>Zones!I72</f>
        <v>763.8</v>
      </c>
      <c r="D72" s="163">
        <v>15</v>
      </c>
      <c r="E72" s="163">
        <v>0.15</v>
      </c>
      <c r="F72" s="171"/>
      <c r="G72" s="170">
        <f t="shared" si="10"/>
        <v>378.08099999999996</v>
      </c>
      <c r="H72" s="170">
        <f t="shared" si="11"/>
        <v>114.57</v>
      </c>
      <c r="I72" s="171"/>
      <c r="J72" s="173">
        <f t="shared" si="12"/>
        <v>378.08099999999996</v>
      </c>
      <c r="K72" s="520" t="s">
        <v>557</v>
      </c>
      <c r="L72" s="747"/>
      <c r="M72" s="4"/>
      <c r="N72" s="4"/>
      <c r="O72" s="747"/>
      <c r="P72" s="4"/>
      <c r="Q72" s="4"/>
    </row>
    <row r="73" spans="1:17" ht="17.399999999999999" customHeight="1" x14ac:dyDescent="0.25">
      <c r="A73" s="434" t="str">
        <f>Zones!B73</f>
        <v>Conference_E_FloorT</v>
      </c>
      <c r="B73" s="169">
        <f>Zones!L73</f>
        <v>14.2956</v>
      </c>
      <c r="C73" s="170">
        <f>Zones!I73</f>
        <v>433.2</v>
      </c>
      <c r="D73" s="163">
        <v>15</v>
      </c>
      <c r="E73" s="163">
        <v>0.15</v>
      </c>
      <c r="F73" s="171"/>
      <c r="G73" s="170">
        <f t="shared" si="10"/>
        <v>214.434</v>
      </c>
      <c r="H73" s="170">
        <f t="shared" si="11"/>
        <v>64.97999999999999</v>
      </c>
      <c r="I73" s="171"/>
      <c r="J73" s="173">
        <f t="shared" si="12"/>
        <v>214.434</v>
      </c>
      <c r="K73" s="520" t="s">
        <v>557</v>
      </c>
      <c r="L73" s="747"/>
      <c r="M73" s="4"/>
      <c r="N73" s="4"/>
      <c r="O73" s="747"/>
      <c r="P73" s="4"/>
      <c r="Q73" s="4"/>
    </row>
    <row r="74" spans="1:17" ht="17.399999999999999" customHeight="1" x14ac:dyDescent="0.25">
      <c r="A74" s="434" t="str">
        <f>Zones!B74</f>
        <v>BreakRoom/FoodPrep_FloorT</v>
      </c>
      <c r="B74" s="169">
        <f>Zones!L74</f>
        <v>30.03</v>
      </c>
      <c r="C74" s="170">
        <f>Zones!I74</f>
        <v>910</v>
      </c>
      <c r="D74" s="163">
        <v>15</v>
      </c>
      <c r="E74" s="163">
        <v>0.15</v>
      </c>
      <c r="F74" s="171"/>
      <c r="G74" s="170">
        <f t="shared" si="10"/>
        <v>450.45000000000005</v>
      </c>
      <c r="H74" s="170">
        <f t="shared" si="11"/>
        <v>136.5</v>
      </c>
      <c r="I74" s="171"/>
      <c r="J74" s="173">
        <f t="shared" si="12"/>
        <v>450.45000000000005</v>
      </c>
      <c r="K74" s="520" t="s">
        <v>558</v>
      </c>
      <c r="L74" s="747"/>
      <c r="M74" s="4"/>
      <c r="N74" s="4"/>
      <c r="O74" s="747"/>
      <c r="P74" s="4"/>
      <c r="Q74" s="4"/>
    </row>
    <row r="75" spans="1:17" ht="32.25" customHeight="1" x14ac:dyDescent="0.25">
      <c r="A75" s="434" t="str">
        <f>Zones!B75</f>
        <v>Storage_FloorT</v>
      </c>
      <c r="B75" s="169">
        <f>Zones!L75</f>
        <v>0</v>
      </c>
      <c r="C75" s="170">
        <f>Zones!I75</f>
        <v>738</v>
      </c>
      <c r="D75" s="163">
        <v>15</v>
      </c>
      <c r="E75" s="163">
        <v>0.15</v>
      </c>
      <c r="F75" s="171"/>
      <c r="G75" s="170">
        <f t="shared" si="10"/>
        <v>0</v>
      </c>
      <c r="H75" s="170">
        <f t="shared" si="11"/>
        <v>110.7</v>
      </c>
      <c r="I75" s="171"/>
      <c r="J75" s="173">
        <f t="shared" si="12"/>
        <v>110.7</v>
      </c>
      <c r="K75" s="521" t="s">
        <v>559</v>
      </c>
      <c r="L75" s="747"/>
      <c r="M75" s="4"/>
      <c r="N75" s="4"/>
      <c r="O75" s="747"/>
      <c r="P75" s="4"/>
      <c r="Q75" s="4"/>
    </row>
    <row r="76" spans="1:17" ht="17.399999999999999" customHeight="1" x14ac:dyDescent="0.25">
      <c r="A76" s="434" t="str">
        <f>Zones!B76</f>
        <v>Lobby/Lounge_FloorT</v>
      </c>
      <c r="B76" s="169">
        <f>Zones!L76</f>
        <v>10.26</v>
      </c>
      <c r="C76" s="170">
        <f>Zones!I76</f>
        <v>684</v>
      </c>
      <c r="D76" s="163">
        <v>15</v>
      </c>
      <c r="E76" s="163">
        <v>0.15</v>
      </c>
      <c r="F76" s="171"/>
      <c r="G76" s="170">
        <f t="shared" si="10"/>
        <v>153.9</v>
      </c>
      <c r="H76" s="170">
        <f t="shared" si="11"/>
        <v>102.6</v>
      </c>
      <c r="I76" s="171"/>
      <c r="J76" s="173">
        <f t="shared" si="12"/>
        <v>153.9</v>
      </c>
      <c r="K76" s="520" t="s">
        <v>558</v>
      </c>
      <c r="L76" s="747"/>
      <c r="M76" s="4"/>
      <c r="N76" s="4"/>
      <c r="O76" s="747"/>
      <c r="P76" s="4"/>
      <c r="Q76" s="4"/>
    </row>
    <row r="77" spans="1:17" ht="16.95" customHeight="1" x14ac:dyDescent="0.25">
      <c r="A77" s="434" t="str">
        <f>Zones!B77</f>
        <v>Restroom_FloorT</v>
      </c>
      <c r="B77" s="169">
        <f>Zones!L77</f>
        <v>0</v>
      </c>
      <c r="C77" s="170">
        <f>Zones!I77</f>
        <v>1155</v>
      </c>
      <c r="D77" s="163">
        <v>15</v>
      </c>
      <c r="E77" s="163">
        <v>0.15</v>
      </c>
      <c r="F77" s="163" t="s">
        <v>567</v>
      </c>
      <c r="G77" s="170">
        <f t="shared" si="10"/>
        <v>0</v>
      </c>
      <c r="H77" s="170">
        <f t="shared" si="11"/>
        <v>173.25</v>
      </c>
      <c r="I77" s="535">
        <f>9*50</f>
        <v>450</v>
      </c>
      <c r="J77" s="173">
        <f t="shared" si="12"/>
        <v>450</v>
      </c>
      <c r="K77" s="520" t="s">
        <v>556</v>
      </c>
      <c r="L77" s="747"/>
      <c r="M77" s="4"/>
      <c r="N77" s="4"/>
      <c r="O77" s="3"/>
      <c r="P77" s="3"/>
      <c r="Q77" s="3"/>
    </row>
    <row r="78" spans="1:17" ht="16.95" customHeight="1" x14ac:dyDescent="0.25">
      <c r="A78" s="434" t="str">
        <f>Zones!B78</f>
        <v>Stair/Elevator_FloorT</v>
      </c>
      <c r="B78" s="169">
        <f>Zones!L78</f>
        <v>0</v>
      </c>
      <c r="C78" s="170">
        <f>Zones!I78</f>
        <v>848</v>
      </c>
      <c r="D78" s="163">
        <v>15</v>
      </c>
      <c r="E78" s="163">
        <v>0.15</v>
      </c>
      <c r="F78" s="171"/>
      <c r="G78" s="170">
        <f t="shared" si="10"/>
        <v>0</v>
      </c>
      <c r="H78" s="170">
        <f t="shared" si="11"/>
        <v>127.19999999999999</v>
      </c>
      <c r="I78" s="171"/>
      <c r="J78" s="173">
        <f t="shared" si="12"/>
        <v>127.19999999999999</v>
      </c>
      <c r="K78" s="520" t="s">
        <v>556</v>
      </c>
      <c r="L78" s="3"/>
      <c r="M78" s="3"/>
      <c r="N78" s="3"/>
      <c r="O78" s="3"/>
      <c r="P78" s="3"/>
      <c r="Q78" s="3"/>
    </row>
    <row r="79" spans="1:17" ht="16.95" customHeight="1" x14ac:dyDescent="0.25">
      <c r="A79" s="434" t="str">
        <f>Zones!B79</f>
        <v>Corridor_W_FloorT</v>
      </c>
      <c r="B79" s="169">
        <f>Zones!L79</f>
        <v>5.0293999999999999</v>
      </c>
      <c r="C79" s="170">
        <f>Zones!I79</f>
        <v>1005.88</v>
      </c>
      <c r="D79" s="163">
        <v>15</v>
      </c>
      <c r="E79" s="163">
        <v>0.15</v>
      </c>
      <c r="F79" s="171"/>
      <c r="G79" s="170">
        <f t="shared" si="10"/>
        <v>75.441000000000003</v>
      </c>
      <c r="H79" s="170">
        <f t="shared" si="11"/>
        <v>150.88200000000001</v>
      </c>
      <c r="I79" s="171"/>
      <c r="J79" s="173">
        <f t="shared" si="12"/>
        <v>150.88200000000001</v>
      </c>
      <c r="K79" s="520" t="s">
        <v>562</v>
      </c>
      <c r="L79" s="3"/>
      <c r="M79" s="3"/>
      <c r="N79" s="3"/>
      <c r="O79" s="3"/>
      <c r="P79" s="3"/>
      <c r="Q79" s="3"/>
    </row>
    <row r="80" spans="1:17" ht="16.95" customHeight="1" x14ac:dyDescent="0.25">
      <c r="A80" s="434" t="str">
        <f>Zones!B80</f>
        <v>Corridor_E_FloorT</v>
      </c>
      <c r="B80" s="169">
        <f>Zones!L80</f>
        <v>2.9268000000000001</v>
      </c>
      <c r="C80" s="170">
        <f>Zones!I80</f>
        <v>585.36</v>
      </c>
      <c r="D80" s="163">
        <v>15</v>
      </c>
      <c r="E80" s="163">
        <v>0.15</v>
      </c>
      <c r="F80" s="171"/>
      <c r="G80" s="170">
        <f t="shared" si="10"/>
        <v>43.902000000000001</v>
      </c>
      <c r="H80" s="170">
        <f t="shared" si="11"/>
        <v>87.804000000000002</v>
      </c>
      <c r="I80" s="171"/>
      <c r="J80" s="173">
        <f t="shared" si="12"/>
        <v>87.804000000000002</v>
      </c>
      <c r="K80" s="520" t="s">
        <v>562</v>
      </c>
      <c r="L80" s="3"/>
      <c r="M80" s="3"/>
      <c r="N80" s="3"/>
      <c r="O80" s="3"/>
      <c r="P80" s="3"/>
      <c r="Q80" s="3"/>
    </row>
    <row r="81" spans="1:12" ht="16.95" customHeight="1" x14ac:dyDescent="0.25">
      <c r="A81" s="435" t="str">
        <f>Zones!B81</f>
        <v>Plenum_FloorT</v>
      </c>
      <c r="B81" s="436">
        <f>Zones!L81</f>
        <v>0</v>
      </c>
      <c r="C81" s="437">
        <f>Zones!I81</f>
        <v>38352.97</v>
      </c>
      <c r="D81" s="438">
        <v>15</v>
      </c>
      <c r="E81" s="438"/>
      <c r="F81" s="439"/>
      <c r="G81" s="437">
        <f t="shared" si="10"/>
        <v>0</v>
      </c>
      <c r="H81" s="437">
        <f t="shared" si="11"/>
        <v>0</v>
      </c>
      <c r="I81" s="439"/>
      <c r="J81" s="440">
        <f t="shared" si="12"/>
        <v>0</v>
      </c>
      <c r="K81" s="523" t="s">
        <v>224</v>
      </c>
      <c r="L81" s="3"/>
    </row>
    <row r="82" spans="1:12" ht="16.95" customHeight="1" x14ac:dyDescent="0.25">
      <c r="A82" s="3"/>
      <c r="B82" s="3"/>
      <c r="C82" s="3"/>
      <c r="D82" s="3"/>
      <c r="E82" s="3"/>
      <c r="F82" s="3"/>
      <c r="G82" s="3"/>
      <c r="H82" s="3"/>
      <c r="I82" s="3"/>
      <c r="J82" s="160"/>
      <c r="K82" s="383"/>
      <c r="L82" s="3"/>
    </row>
    <row r="83" spans="1:12" ht="16.95" customHeight="1" x14ac:dyDescent="0.25">
      <c r="A83" s="3"/>
      <c r="B83" s="3"/>
      <c r="C83" s="3"/>
      <c r="D83" s="3"/>
      <c r="E83" s="3"/>
      <c r="F83" s="3"/>
      <c r="G83" s="3"/>
      <c r="H83" s="3"/>
      <c r="I83" s="3"/>
      <c r="J83" s="160"/>
      <c r="K83" s="383"/>
      <c r="L83" s="3"/>
    </row>
    <row r="84" spans="1:12" ht="16.95" customHeight="1" x14ac:dyDescent="0.25">
      <c r="A84" s="3"/>
      <c r="B84" s="3"/>
      <c r="C84" s="3"/>
      <c r="D84" s="3"/>
      <c r="E84" s="3"/>
      <c r="F84" s="3"/>
      <c r="G84" s="3"/>
      <c r="H84" s="3"/>
      <c r="I84" s="3"/>
      <c r="J84" s="160"/>
      <c r="K84" s="383"/>
      <c r="L84" s="3"/>
    </row>
    <row r="85" spans="1:12" ht="16.95" customHeight="1" x14ac:dyDescent="0.25">
      <c r="A85" s="3"/>
      <c r="B85" s="3"/>
      <c r="C85" s="3"/>
      <c r="D85" s="3"/>
      <c r="E85" s="3"/>
      <c r="F85" s="3"/>
      <c r="G85" s="3"/>
      <c r="H85" s="3"/>
      <c r="I85" s="3"/>
      <c r="J85" s="160"/>
      <c r="K85" s="383"/>
      <c r="L85" s="3"/>
    </row>
    <row r="86" spans="1:12" ht="16.95" customHeight="1" x14ac:dyDescent="0.25">
      <c r="A86" s="3"/>
      <c r="B86" s="3"/>
      <c r="C86" s="3"/>
      <c r="D86" s="3"/>
      <c r="E86" s="3"/>
      <c r="F86" s="3"/>
      <c r="G86" s="3"/>
      <c r="H86" s="3"/>
      <c r="I86" s="3"/>
      <c r="J86" s="160"/>
      <c r="K86" s="383"/>
      <c r="L86" s="3"/>
    </row>
    <row r="87" spans="1:12" x14ac:dyDescent="0.25">
      <c r="A87" s="3"/>
      <c r="B87" s="191"/>
      <c r="C87" s="3"/>
      <c r="D87" s="3"/>
      <c r="E87" s="3"/>
      <c r="F87" s="3"/>
      <c r="G87" s="3"/>
      <c r="H87" s="3"/>
      <c r="I87" s="3"/>
      <c r="J87" s="160"/>
      <c r="K87" s="383"/>
      <c r="L87" s="3"/>
    </row>
    <row r="88" spans="1:12" x14ac:dyDescent="0.25">
      <c r="A88" s="3"/>
      <c r="B88" s="191"/>
      <c r="C88" s="3"/>
      <c r="D88" s="3"/>
      <c r="E88" s="3"/>
      <c r="F88" s="3"/>
      <c r="G88" s="3"/>
      <c r="H88" s="3"/>
      <c r="I88" s="3"/>
      <c r="J88" s="160"/>
      <c r="K88" s="383"/>
      <c r="L88" s="3"/>
    </row>
    <row r="89" spans="1:12" x14ac:dyDescent="0.25">
      <c r="A89" s="6"/>
      <c r="B89" s="191"/>
      <c r="C89" s="3"/>
      <c r="D89" s="191"/>
      <c r="E89" s="3"/>
      <c r="F89" s="3"/>
      <c r="G89" s="3"/>
      <c r="H89" s="3"/>
      <c r="I89" s="3"/>
      <c r="J89" s="160"/>
      <c r="K89" s="383"/>
      <c r="L89" s="3"/>
    </row>
    <row r="90" spans="1:12" x14ac:dyDescent="0.25">
      <c r="A90" s="6"/>
      <c r="B90" s="191"/>
      <c r="C90" s="3"/>
      <c r="D90" s="191"/>
      <c r="E90" s="3"/>
      <c r="F90" s="3"/>
      <c r="G90" s="3"/>
      <c r="H90" s="3"/>
      <c r="I90" s="3"/>
      <c r="J90" s="3"/>
      <c r="K90" s="383"/>
      <c r="L90" s="3"/>
    </row>
    <row r="91" spans="1:12" x14ac:dyDescent="0.25">
      <c r="A91" s="6"/>
      <c r="B91" s="191"/>
      <c r="C91" s="3"/>
      <c r="D91" s="191"/>
      <c r="E91" s="3"/>
      <c r="F91" s="3"/>
      <c r="G91" s="3"/>
      <c r="H91" s="3"/>
      <c r="I91" s="3"/>
      <c r="J91" s="3"/>
      <c r="K91" s="383"/>
      <c r="L91" s="3"/>
    </row>
    <row r="92" spans="1:12" s="56" customFormat="1" ht="17.399999999999999" hidden="1" x14ac:dyDescent="0.3">
      <c r="A92" s="21" t="s">
        <v>444</v>
      </c>
      <c r="B92" s="161"/>
      <c r="C92" s="161"/>
      <c r="D92" s="161"/>
      <c r="E92" s="161"/>
      <c r="F92" s="161"/>
      <c r="G92" s="161"/>
      <c r="H92" s="161"/>
      <c r="I92" s="161"/>
      <c r="J92" s="161"/>
      <c r="K92" s="384"/>
      <c r="L92" s="162"/>
    </row>
  </sheetData>
  <mergeCells count="2">
    <mergeCell ref="M17:O17"/>
    <mergeCell ref="A1:K1"/>
  </mergeCells>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11905-EF6B-42A0-AB55-B042AC0AE9A4}">
  <dimension ref="A1:O171"/>
  <sheetViews>
    <sheetView zoomScale="85" zoomScaleNormal="85" workbookViewId="0">
      <selection sqref="A1:G1"/>
    </sheetView>
  </sheetViews>
  <sheetFormatPr defaultColWidth="8.6640625" defaultRowHeight="13.2" x14ac:dyDescent="0.25"/>
  <cols>
    <col min="1" max="1" width="35.88671875" style="5" customWidth="1"/>
    <col min="2" max="2" width="29.6640625" style="5" customWidth="1"/>
    <col min="3" max="3" width="23.109375" style="5" customWidth="1"/>
    <col min="4" max="4" width="33" style="5" customWidth="1"/>
    <col min="5" max="5" width="32.44140625" style="5" customWidth="1"/>
    <col min="6" max="6" width="25.5546875" style="5" customWidth="1"/>
    <col min="7" max="7" width="23" style="5" customWidth="1"/>
    <col min="8" max="8" width="27.44140625" style="5" customWidth="1"/>
    <col min="9" max="10" width="23" style="5" customWidth="1"/>
    <col min="11" max="11" width="19" style="5" customWidth="1"/>
    <col min="12" max="12" width="21" style="5" bestFit="1" customWidth="1"/>
    <col min="13" max="13" width="20.6640625" style="5" bestFit="1" customWidth="1"/>
    <col min="14" max="14" width="21" style="5" bestFit="1" customWidth="1"/>
    <col min="15" max="15" width="15.33203125" style="5" customWidth="1"/>
    <col min="16" max="16" width="11" style="5" customWidth="1"/>
    <col min="17" max="20" width="15.33203125" style="5" customWidth="1"/>
    <col min="21" max="21" width="7.6640625" style="5" customWidth="1"/>
    <col min="22" max="22" width="12.44140625" style="5" customWidth="1"/>
    <col min="23" max="38" width="6.5546875" style="5" customWidth="1"/>
    <col min="39" max="39" width="15.33203125" style="5" customWidth="1"/>
    <col min="40" max="40" width="11.33203125" style="5" customWidth="1"/>
    <col min="41" max="41" width="6.33203125" style="5" customWidth="1"/>
    <col min="42" max="45" width="4.6640625" style="5" customWidth="1"/>
    <col min="46" max="46" width="6.33203125" style="5" customWidth="1"/>
    <col min="47" max="61" width="4.6640625" style="5" customWidth="1"/>
    <col min="62" max="16384" width="8.6640625" style="5"/>
  </cols>
  <sheetData>
    <row r="1" spans="1:8" ht="24" customHeight="1" x14ac:dyDescent="0.25">
      <c r="A1" s="924" t="s">
        <v>568</v>
      </c>
      <c r="B1" s="925"/>
      <c r="C1" s="925"/>
      <c r="D1" s="925"/>
      <c r="E1" s="925"/>
      <c r="F1" s="925"/>
      <c r="G1" s="925"/>
    </row>
    <row r="2" spans="1:8" ht="22.35" customHeight="1" x14ac:dyDescent="0.25">
      <c r="A2" s="102" t="s">
        <v>296</v>
      </c>
      <c r="B2" s="102" t="s">
        <v>569</v>
      </c>
      <c r="C2" s="102" t="s">
        <v>570</v>
      </c>
      <c r="D2" s="655" t="s">
        <v>571</v>
      </c>
      <c r="E2" s="456" t="s">
        <v>572</v>
      </c>
      <c r="F2" s="456" t="s">
        <v>573</v>
      </c>
      <c r="G2" s="456" t="s">
        <v>378</v>
      </c>
      <c r="H2" s="457"/>
    </row>
    <row r="3" spans="1:8" ht="61.5" customHeight="1" x14ac:dyDescent="0.25">
      <c r="A3" s="193" t="s">
        <v>574</v>
      </c>
      <c r="B3" s="193" t="s">
        <v>575</v>
      </c>
      <c r="C3" s="458">
        <v>0.8</v>
      </c>
      <c r="D3" s="654">
        <f>B92</f>
        <v>2</v>
      </c>
      <c r="E3" s="526" t="s">
        <v>576</v>
      </c>
      <c r="F3" s="527" t="s">
        <v>577</v>
      </c>
      <c r="G3" s="528" t="s">
        <v>578</v>
      </c>
      <c r="H3" s="459"/>
    </row>
    <row r="4" spans="1:8" ht="63.75" customHeight="1" x14ac:dyDescent="0.25">
      <c r="A4" s="193" t="s">
        <v>394</v>
      </c>
      <c r="B4" s="193" t="s">
        <v>575</v>
      </c>
      <c r="C4" s="458">
        <v>0.8</v>
      </c>
      <c r="D4" s="654">
        <f>D3</f>
        <v>2</v>
      </c>
      <c r="E4" s="526" t="str">
        <f>E3</f>
        <v>See table below for each WH: col F is storage volume EACH of N identical heaters (N in B91). Plant total volume = col L.</v>
      </c>
      <c r="F4" s="526" t="str">
        <f>F3</f>
        <v>See table below for each WH: col G is standby EACH of N identical heaters. Plant total UA = col N.</v>
      </c>
      <c r="G4" s="528" t="str">
        <f>G3</f>
        <v>See table below for sources: Climate Zone Water Heater Sizing and Loss Coefficients</v>
      </c>
      <c r="H4" s="460"/>
    </row>
    <row r="5" spans="1:8" ht="14.7" customHeight="1" x14ac:dyDescent="0.25">
      <c r="A5" s="481"/>
      <c r="B5" s="481"/>
      <c r="C5" s="481"/>
      <c r="D5" s="481"/>
      <c r="E5" s="481"/>
    </row>
    <row r="6" spans="1:8" ht="16.2" customHeight="1" x14ac:dyDescent="0.25"/>
    <row r="8" spans="1:8" ht="24.75" customHeight="1" x14ac:dyDescent="0.25">
      <c r="A8" s="864" t="s">
        <v>579</v>
      </c>
      <c r="B8" s="864"/>
      <c r="C8" s="864"/>
      <c r="D8" s="864"/>
      <c r="E8" s="864"/>
      <c r="F8" s="864"/>
      <c r="G8" s="864"/>
      <c r="H8" s="864"/>
    </row>
    <row r="9" spans="1:8" ht="52.8" x14ac:dyDescent="0.25">
      <c r="A9" s="260" t="s">
        <v>545</v>
      </c>
      <c r="B9" s="206" t="s">
        <v>580</v>
      </c>
      <c r="C9" s="206" t="s">
        <v>581</v>
      </c>
      <c r="D9" s="206" t="s">
        <v>135</v>
      </c>
      <c r="E9" s="206" t="s">
        <v>582</v>
      </c>
      <c r="F9" s="206" t="s">
        <v>583</v>
      </c>
      <c r="G9" s="206" t="s">
        <v>584</v>
      </c>
      <c r="H9" s="105" t="s">
        <v>344</v>
      </c>
    </row>
    <row r="10" spans="1:8" ht="12.75" customHeight="1" x14ac:dyDescent="0.25">
      <c r="A10" s="262" t="str">
        <f>Zones!B3</f>
        <v>Perimeter_Open_Office_N_Basement</v>
      </c>
      <c r="B10" s="302" t="s">
        <v>585</v>
      </c>
      <c r="C10" s="301">
        <f>Zones!I3*Zones!K3</f>
        <v>8416.86</v>
      </c>
      <c r="D10" s="300">
        <f>Zones!L3*Zones!K3</f>
        <v>42.084300000000006</v>
      </c>
      <c r="E10" s="262">
        <v>0.18</v>
      </c>
      <c r="F10" s="299">
        <f>D10*E10</f>
        <v>7.5751740000000005</v>
      </c>
      <c r="G10" s="461">
        <f>F10/60</f>
        <v>0.1262529</v>
      </c>
      <c r="H10" s="933" t="s">
        <v>586</v>
      </c>
    </row>
    <row r="11" spans="1:8" x14ac:dyDescent="0.25">
      <c r="A11" s="262" t="str">
        <f>Zones!B4</f>
        <v>Perimeter_Open_Office_S_Basement</v>
      </c>
      <c r="B11" s="302" t="s">
        <v>585</v>
      </c>
      <c r="C11" s="301">
        <f>Zones!I4*Zones!K4</f>
        <v>3662.18</v>
      </c>
      <c r="D11" s="300">
        <f>Zones!L4*Zones!K4</f>
        <v>18.310899999999997</v>
      </c>
      <c r="E11" s="262">
        <v>0.18</v>
      </c>
      <c r="F11" s="299">
        <f t="shared" ref="F11:F74" si="0">D11*E11</f>
        <v>3.2959619999999994</v>
      </c>
      <c r="G11" s="461">
        <f t="shared" ref="G11:G74" si="1">F11/60</f>
        <v>5.4932699999999987E-2</v>
      </c>
      <c r="H11" s="933"/>
    </row>
    <row r="12" spans="1:8" x14ac:dyDescent="0.25">
      <c r="A12" s="262" t="str">
        <f>Zones!B5</f>
        <v>Core_Enclosed_Office_Basement</v>
      </c>
      <c r="B12" s="302" t="s">
        <v>585</v>
      </c>
      <c r="C12" s="301">
        <f>Zones!I5*Zones!K5</f>
        <v>3703.68</v>
      </c>
      <c r="D12" s="300">
        <f>Zones!L5*Zones!K5</f>
        <v>18.518399999999996</v>
      </c>
      <c r="E12" s="262">
        <v>0.18</v>
      </c>
      <c r="F12" s="299">
        <f t="shared" si="0"/>
        <v>3.3333119999999994</v>
      </c>
      <c r="G12" s="461">
        <f t="shared" si="1"/>
        <v>5.5555199999999992E-2</v>
      </c>
      <c r="H12" s="933"/>
    </row>
    <row r="13" spans="1:8" x14ac:dyDescent="0.25">
      <c r="A13" s="262" t="str">
        <f>Zones!B6</f>
        <v>Server_Room_Basement</v>
      </c>
      <c r="B13" s="302" t="s">
        <v>585</v>
      </c>
      <c r="C13" s="301">
        <f>Zones!I6*Zones!K6</f>
        <v>8228</v>
      </c>
      <c r="D13" s="300">
        <f>Zones!L6*Zones!K6</f>
        <v>12.342000000000001</v>
      </c>
      <c r="E13" s="262">
        <v>0.18</v>
      </c>
      <c r="F13" s="299">
        <f t="shared" si="0"/>
        <v>2.2215600000000002</v>
      </c>
      <c r="G13" s="461">
        <f t="shared" si="1"/>
        <v>3.7026000000000003E-2</v>
      </c>
      <c r="H13" s="933"/>
    </row>
    <row r="14" spans="1:8" x14ac:dyDescent="0.25">
      <c r="A14" s="262" t="str">
        <f>Zones!B7</f>
        <v>Mech/Elec_Basement</v>
      </c>
      <c r="B14" s="302" t="s">
        <v>585</v>
      </c>
      <c r="C14" s="301">
        <f>Zones!I7*Zones!K7</f>
        <v>7958</v>
      </c>
      <c r="D14" s="300">
        <f>Zones!L7*Zones!K7</f>
        <v>0</v>
      </c>
      <c r="E14" s="262">
        <v>0.18</v>
      </c>
      <c r="F14" s="299">
        <f t="shared" si="0"/>
        <v>0</v>
      </c>
      <c r="G14" s="461">
        <f t="shared" si="1"/>
        <v>0</v>
      </c>
      <c r="H14" s="933"/>
    </row>
    <row r="15" spans="1:8" x14ac:dyDescent="0.25">
      <c r="A15" s="262" t="str">
        <f>Zones!B8</f>
        <v>Conference_Basement</v>
      </c>
      <c r="B15" s="302" t="s">
        <v>585</v>
      </c>
      <c r="C15" s="301">
        <f>Zones!I8*Zones!K8</f>
        <v>579.70000000000005</v>
      </c>
      <c r="D15" s="300">
        <f>Zones!L8*Zones!K8</f>
        <v>19.130100000000002</v>
      </c>
      <c r="E15" s="262">
        <v>0.09</v>
      </c>
      <c r="F15" s="299">
        <f t="shared" si="0"/>
        <v>1.7217090000000002</v>
      </c>
      <c r="G15" s="461">
        <f t="shared" si="1"/>
        <v>2.8695150000000003E-2</v>
      </c>
      <c r="H15" s="933"/>
    </row>
    <row r="16" spans="1:8" x14ac:dyDescent="0.25">
      <c r="A16" s="262" t="str">
        <f>Zones!B9</f>
        <v>BreakRoom/FoodPrep_Basement</v>
      </c>
      <c r="B16" s="302" t="s">
        <v>585</v>
      </c>
      <c r="C16" s="301">
        <f>Zones!I9*Zones!K9</f>
        <v>973</v>
      </c>
      <c r="D16" s="300">
        <f>Zones!L9*Zones!K9</f>
        <v>32.109000000000002</v>
      </c>
      <c r="E16" s="262">
        <v>0.09</v>
      </c>
      <c r="F16" s="299">
        <f t="shared" si="0"/>
        <v>2.8898100000000002</v>
      </c>
      <c r="G16" s="461">
        <f t="shared" si="1"/>
        <v>4.8163500000000005E-2</v>
      </c>
      <c r="H16" s="933"/>
    </row>
    <row r="17" spans="1:8" x14ac:dyDescent="0.25">
      <c r="A17" s="262" t="str">
        <f>Zones!B10</f>
        <v>Storage_Basement</v>
      </c>
      <c r="B17" s="302" t="s">
        <v>585</v>
      </c>
      <c r="C17" s="301">
        <f>Zones!I10*Zones!K10</f>
        <v>1231</v>
      </c>
      <c r="D17" s="300">
        <f>Zones!L10*Zones!K10</f>
        <v>0</v>
      </c>
      <c r="E17" s="262">
        <v>0</v>
      </c>
      <c r="F17" s="299">
        <f t="shared" si="0"/>
        <v>0</v>
      </c>
      <c r="G17" s="461">
        <f t="shared" si="1"/>
        <v>0</v>
      </c>
      <c r="H17" s="933"/>
    </row>
    <row r="18" spans="1:8" x14ac:dyDescent="0.25">
      <c r="A18" s="262" t="str">
        <f>Zones!B11</f>
        <v>Restroom_Basement</v>
      </c>
      <c r="B18" s="302" t="s">
        <v>575</v>
      </c>
      <c r="C18" s="301">
        <f>Zones!I11*Zones!K11</f>
        <v>986</v>
      </c>
      <c r="D18" s="300">
        <f>Zones!L11*Zones!K11</f>
        <v>0</v>
      </c>
      <c r="E18" s="262">
        <v>0</v>
      </c>
      <c r="F18" s="299">
        <f t="shared" si="0"/>
        <v>0</v>
      </c>
      <c r="G18" s="461">
        <f t="shared" si="1"/>
        <v>0</v>
      </c>
      <c r="H18" s="933"/>
    </row>
    <row r="19" spans="1:8" x14ac:dyDescent="0.25">
      <c r="A19" s="262" t="str">
        <f>Zones!B12</f>
        <v>Lobby/Lounge_Basement</v>
      </c>
      <c r="B19" s="302" t="s">
        <v>575</v>
      </c>
      <c r="C19" s="301">
        <f>Zones!I12*Zones!K12</f>
        <v>707</v>
      </c>
      <c r="D19" s="300">
        <f>Zones!L12*Zones!K12</f>
        <v>10.605</v>
      </c>
      <c r="E19" s="262">
        <v>0.09</v>
      </c>
      <c r="F19" s="299">
        <f t="shared" si="0"/>
        <v>0.95445000000000002</v>
      </c>
      <c r="G19" s="461">
        <f t="shared" si="1"/>
        <v>1.5907500000000001E-2</v>
      </c>
      <c r="H19" s="933"/>
    </row>
    <row r="20" spans="1:8" x14ac:dyDescent="0.25">
      <c r="A20" s="262" t="str">
        <f>Zones!B13</f>
        <v>Stair/Elevator_Basement</v>
      </c>
      <c r="B20" s="302" t="s">
        <v>585</v>
      </c>
      <c r="C20" s="301">
        <f>Zones!I13*Zones!K13</f>
        <v>941</v>
      </c>
      <c r="D20" s="300">
        <f>Zones!L13*Zones!K13</f>
        <v>0</v>
      </c>
      <c r="E20" s="262">
        <v>0</v>
      </c>
      <c r="F20" s="299">
        <f t="shared" si="0"/>
        <v>0</v>
      </c>
      <c r="G20" s="461">
        <f t="shared" si="1"/>
        <v>0</v>
      </c>
      <c r="H20" s="933"/>
    </row>
    <row r="21" spans="1:8" x14ac:dyDescent="0.25">
      <c r="A21" s="262" t="str">
        <f>Zones!B14</f>
        <v>Corridor_W_Basement</v>
      </c>
      <c r="B21" s="302" t="s">
        <v>585</v>
      </c>
      <c r="C21" s="301">
        <f>Zones!I14*Zones!K14</f>
        <v>703</v>
      </c>
      <c r="D21" s="300">
        <f>Zones!L14*Zones!K14</f>
        <v>3.5150000000000001</v>
      </c>
      <c r="E21" s="262">
        <v>0</v>
      </c>
      <c r="F21" s="299">
        <f t="shared" si="0"/>
        <v>0</v>
      </c>
      <c r="G21" s="461">
        <f t="shared" si="1"/>
        <v>0</v>
      </c>
      <c r="H21" s="933"/>
    </row>
    <row r="22" spans="1:8" x14ac:dyDescent="0.25">
      <c r="A22" s="262" t="str">
        <f>Zones!B15</f>
        <v>Corridor_E_Basement</v>
      </c>
      <c r="B22" s="302" t="s">
        <v>585</v>
      </c>
      <c r="C22" s="301">
        <f>Zones!I15*Zones!K15</f>
        <v>262.89999999999998</v>
      </c>
      <c r="D22" s="300">
        <f>Zones!L15*Zones!K15</f>
        <v>1.3145</v>
      </c>
      <c r="E22" s="262">
        <v>0</v>
      </c>
      <c r="F22" s="299">
        <f t="shared" si="0"/>
        <v>0</v>
      </c>
      <c r="G22" s="461">
        <f t="shared" si="1"/>
        <v>0</v>
      </c>
      <c r="H22" s="933"/>
    </row>
    <row r="23" spans="1:8" x14ac:dyDescent="0.25">
      <c r="A23" s="262" t="str">
        <f>Zones!B16</f>
        <v>Perimeter_Open_Office_N_FloorG</v>
      </c>
      <c r="B23" s="302" t="s">
        <v>585</v>
      </c>
      <c r="C23" s="301">
        <f>Zones!I16*Zones!K16</f>
        <v>7131.29</v>
      </c>
      <c r="D23" s="300">
        <f>Zones!L16*Zones!K16</f>
        <v>35.65645</v>
      </c>
      <c r="E23" s="262">
        <v>0.18</v>
      </c>
      <c r="F23" s="299">
        <f t="shared" si="0"/>
        <v>6.4181609999999996</v>
      </c>
      <c r="G23" s="461">
        <f t="shared" si="1"/>
        <v>0.10696934999999999</v>
      </c>
      <c r="H23" s="933"/>
    </row>
    <row r="24" spans="1:8" x14ac:dyDescent="0.25">
      <c r="A24" s="262" t="str">
        <f>Zones!B17</f>
        <v>Perimeter_Open_Office_W_FloorG</v>
      </c>
      <c r="B24" s="302" t="s">
        <v>585</v>
      </c>
      <c r="C24" s="301">
        <f>Zones!I17*Zones!K17</f>
        <v>5795.77</v>
      </c>
      <c r="D24" s="300">
        <f>Zones!L17*Zones!K17</f>
        <v>28.978850000000001</v>
      </c>
      <c r="E24" s="262">
        <v>0.18</v>
      </c>
      <c r="F24" s="299">
        <f t="shared" si="0"/>
        <v>5.2161929999999996</v>
      </c>
      <c r="G24" s="461">
        <f t="shared" si="1"/>
        <v>8.6936549999999987E-2</v>
      </c>
      <c r="H24" s="933"/>
    </row>
    <row r="25" spans="1:8" x14ac:dyDescent="0.25">
      <c r="A25" s="262" t="str">
        <f>Zones!B18</f>
        <v>Perimeter_Open_Office_E_FloorG</v>
      </c>
      <c r="B25" s="302" t="s">
        <v>585</v>
      </c>
      <c r="C25" s="301">
        <f>Zones!I18*Zones!K18</f>
        <v>5875.49</v>
      </c>
      <c r="D25" s="300">
        <f>Zones!L18*Zones!K18</f>
        <v>29.377449999999996</v>
      </c>
      <c r="E25" s="262">
        <v>0.18</v>
      </c>
      <c r="F25" s="299">
        <f t="shared" si="0"/>
        <v>5.2879409999999991</v>
      </c>
      <c r="G25" s="461">
        <f t="shared" si="1"/>
        <v>8.8132349999999984E-2</v>
      </c>
      <c r="H25" s="933"/>
    </row>
    <row r="26" spans="1:8" x14ac:dyDescent="0.25">
      <c r="A26" s="262" t="str">
        <f>Zones!B19</f>
        <v>Perimeter_Enclosed_Office_NE_FloorG</v>
      </c>
      <c r="B26" s="302" t="s">
        <v>585</v>
      </c>
      <c r="C26" s="301">
        <f>Zones!I19*Zones!K19</f>
        <v>917.38</v>
      </c>
      <c r="D26" s="300">
        <f>Zones!L19*Zones!K19</f>
        <v>4.5869</v>
      </c>
      <c r="E26" s="262">
        <v>0.18</v>
      </c>
      <c r="F26" s="299">
        <f t="shared" si="0"/>
        <v>0.82564199999999999</v>
      </c>
      <c r="G26" s="461">
        <f t="shared" si="1"/>
        <v>1.3760699999999999E-2</v>
      </c>
      <c r="H26" s="933"/>
    </row>
    <row r="27" spans="1:8" x14ac:dyDescent="0.25">
      <c r="A27" s="262" t="str">
        <f>Zones!B20</f>
        <v>Perimeter_Enclosed_Office_NW_FloorG</v>
      </c>
      <c r="B27" s="302" t="s">
        <v>585</v>
      </c>
      <c r="C27" s="301">
        <f>Zones!I20*Zones!K20</f>
        <v>1131.21</v>
      </c>
      <c r="D27" s="300">
        <f>Zones!L20*Zones!K20</f>
        <v>5.6560500000000005</v>
      </c>
      <c r="E27" s="262">
        <v>0.18</v>
      </c>
      <c r="F27" s="299">
        <f t="shared" si="0"/>
        <v>1.018089</v>
      </c>
      <c r="G27" s="461">
        <f t="shared" si="1"/>
        <v>1.6968150000000001E-2</v>
      </c>
      <c r="H27" s="933"/>
    </row>
    <row r="28" spans="1:8" x14ac:dyDescent="0.25">
      <c r="A28" s="262" t="str">
        <f>Zones!B21</f>
        <v>Core_Enclosed_Office_FloorG</v>
      </c>
      <c r="B28" s="302" t="s">
        <v>585</v>
      </c>
      <c r="C28" s="301">
        <f>Zones!I21*Zones!K21</f>
        <v>3312.28</v>
      </c>
      <c r="D28" s="300">
        <f>Zones!L21*Zones!K21</f>
        <v>16.561400000000003</v>
      </c>
      <c r="E28" s="262">
        <v>0.18</v>
      </c>
      <c r="F28" s="299">
        <f t="shared" si="0"/>
        <v>2.9810520000000005</v>
      </c>
      <c r="G28" s="461">
        <f t="shared" si="1"/>
        <v>4.9684200000000005E-2</v>
      </c>
      <c r="H28" s="933"/>
    </row>
    <row r="29" spans="1:8" x14ac:dyDescent="0.25">
      <c r="A29" s="262" t="str">
        <f>Zones!B22</f>
        <v>Server_Room_FloorG</v>
      </c>
      <c r="B29" s="302" t="s">
        <v>585</v>
      </c>
      <c r="C29" s="301">
        <f>Zones!I22*Zones!K22</f>
        <v>417.09</v>
      </c>
      <c r="D29" s="300">
        <f>Zones!L22*Zones!K22</f>
        <v>0.62563499999999994</v>
      </c>
      <c r="E29" s="262">
        <v>0.18</v>
      </c>
      <c r="F29" s="299">
        <f t="shared" si="0"/>
        <v>0.11261429999999999</v>
      </c>
      <c r="G29" s="461">
        <f t="shared" si="1"/>
        <v>1.8769049999999997E-3</v>
      </c>
      <c r="H29" s="933"/>
    </row>
    <row r="30" spans="1:8" x14ac:dyDescent="0.25">
      <c r="A30" s="262" t="str">
        <f>Zones!B23</f>
        <v>Mech/Elec_FloorG</v>
      </c>
      <c r="B30" s="302" t="s">
        <v>585</v>
      </c>
      <c r="C30" s="301">
        <f>Zones!I23*Zones!K23</f>
        <v>848.96</v>
      </c>
      <c r="D30" s="300">
        <f>Zones!L23*Zones!K23</f>
        <v>0</v>
      </c>
      <c r="E30" s="262">
        <v>0.18</v>
      </c>
      <c r="F30" s="299">
        <f t="shared" si="0"/>
        <v>0</v>
      </c>
      <c r="G30" s="461">
        <f t="shared" si="1"/>
        <v>0</v>
      </c>
      <c r="H30" s="933"/>
    </row>
    <row r="31" spans="1:8" x14ac:dyDescent="0.25">
      <c r="A31" s="262" t="str">
        <f>Zones!B24</f>
        <v>Conference_FloorG</v>
      </c>
      <c r="B31" s="302" t="s">
        <v>585</v>
      </c>
      <c r="C31" s="301">
        <f>Zones!I24*Zones!K24</f>
        <v>789.81</v>
      </c>
      <c r="D31" s="300">
        <f>Zones!L24*Zones!K24</f>
        <v>26.06373</v>
      </c>
      <c r="E31" s="262">
        <v>0.09</v>
      </c>
      <c r="F31" s="299">
        <f t="shared" si="0"/>
        <v>2.3457357000000001</v>
      </c>
      <c r="G31" s="461">
        <f t="shared" si="1"/>
        <v>3.9095595000000004E-2</v>
      </c>
      <c r="H31" s="933"/>
    </row>
    <row r="32" spans="1:8" x14ac:dyDescent="0.25">
      <c r="A32" s="262" t="str">
        <f>Zones!B25</f>
        <v>BreakRoom_FloorG</v>
      </c>
      <c r="B32" s="302" t="s">
        <v>585</v>
      </c>
      <c r="C32" s="301">
        <f>Zones!I25*Zones!K25</f>
        <v>618.23</v>
      </c>
      <c r="D32" s="300">
        <f>Zones!L25*Zones!K25</f>
        <v>20.401589999999999</v>
      </c>
      <c r="E32" s="262">
        <v>0.09</v>
      </c>
      <c r="F32" s="299">
        <f t="shared" si="0"/>
        <v>1.8361430999999999</v>
      </c>
      <c r="G32" s="461">
        <f t="shared" si="1"/>
        <v>3.0602384999999999E-2</v>
      </c>
      <c r="H32" s="933"/>
    </row>
    <row r="33" spans="1:8" x14ac:dyDescent="0.25">
      <c r="A33" s="262" t="str">
        <f>Zones!B26</f>
        <v>FoodPrep_FloorG</v>
      </c>
      <c r="B33" s="302" t="s">
        <v>575</v>
      </c>
      <c r="C33" s="301">
        <f>Zones!I26*Zones!K26</f>
        <v>936.94</v>
      </c>
      <c r="D33" s="300">
        <f>Zones!L26*Zones!K26</f>
        <v>2.8108200000000001</v>
      </c>
      <c r="E33" s="262">
        <v>0.57799999999999996</v>
      </c>
      <c r="F33" s="299">
        <f t="shared" si="0"/>
        <v>1.6246539599999998</v>
      </c>
      <c r="G33" s="461">
        <f t="shared" si="1"/>
        <v>2.7077565999999997E-2</v>
      </c>
      <c r="H33" s="933"/>
    </row>
    <row r="34" spans="1:8" x14ac:dyDescent="0.25">
      <c r="A34" s="262" t="str">
        <f>Zones!B27</f>
        <v>Storage_FloorG</v>
      </c>
      <c r="B34" s="302" t="s">
        <v>575</v>
      </c>
      <c r="C34" s="301">
        <f>Zones!I27*Zones!K27</f>
        <v>959.03</v>
      </c>
      <c r="D34" s="300">
        <f>Zones!L27*Zones!K27</f>
        <v>0</v>
      </c>
      <c r="E34" s="262">
        <v>0</v>
      </c>
      <c r="F34" s="299">
        <f t="shared" si="0"/>
        <v>0</v>
      </c>
      <c r="G34" s="461">
        <f t="shared" si="1"/>
        <v>0</v>
      </c>
      <c r="H34" s="933"/>
    </row>
    <row r="35" spans="1:8" x14ac:dyDescent="0.25">
      <c r="A35" s="262" t="str">
        <f>Zones!B28</f>
        <v>Locker_FloorG</v>
      </c>
      <c r="B35" s="302" t="s">
        <v>575</v>
      </c>
      <c r="C35" s="301">
        <f>Zones!I28*Zones!K28</f>
        <v>1765.23</v>
      </c>
      <c r="D35" s="300">
        <f>Zones!L28*Zones!K28</f>
        <v>17.6523</v>
      </c>
      <c r="E35" s="262">
        <v>0.57799999999999996</v>
      </c>
      <c r="F35" s="299">
        <f t="shared" si="0"/>
        <v>10.2030294</v>
      </c>
      <c r="G35" s="461">
        <f t="shared" si="1"/>
        <v>0.17005049</v>
      </c>
      <c r="H35" s="933"/>
    </row>
    <row r="36" spans="1:8" x14ac:dyDescent="0.25">
      <c r="A36" s="262" t="str">
        <f>Zones!B29</f>
        <v>Lobby_S_FloorG</v>
      </c>
      <c r="B36" s="302" t="s">
        <v>585</v>
      </c>
      <c r="C36" s="301">
        <f>Zones!I29*Zones!K29</f>
        <v>3360.63</v>
      </c>
      <c r="D36" s="300">
        <f>Zones!L29*Zones!K29</f>
        <v>33.606300000000005</v>
      </c>
      <c r="E36" s="262">
        <v>0.09</v>
      </c>
      <c r="F36" s="299">
        <f t="shared" si="0"/>
        <v>3.0245670000000002</v>
      </c>
      <c r="G36" s="461">
        <f t="shared" si="1"/>
        <v>5.0409450000000001E-2</v>
      </c>
      <c r="H36" s="933"/>
    </row>
    <row r="37" spans="1:8" x14ac:dyDescent="0.25">
      <c r="A37" s="262" t="str">
        <f>Zones!B30</f>
        <v>Lobby/Lounge_FloorG</v>
      </c>
      <c r="B37" s="302" t="s">
        <v>575</v>
      </c>
      <c r="C37" s="301">
        <f>Zones!I30*Zones!K30</f>
        <v>683.9</v>
      </c>
      <c r="D37" s="300">
        <f>Zones!L30*Zones!K30</f>
        <v>10.2585</v>
      </c>
      <c r="E37" s="262">
        <v>0.09</v>
      </c>
      <c r="F37" s="299">
        <f t="shared" si="0"/>
        <v>0.92326499999999989</v>
      </c>
      <c r="G37" s="461">
        <f t="shared" si="1"/>
        <v>1.5387749999999999E-2</v>
      </c>
      <c r="H37" s="933"/>
    </row>
    <row r="38" spans="1:8" x14ac:dyDescent="0.25">
      <c r="A38" s="262" t="str">
        <f>Zones!B31</f>
        <v>Restroom_FloorG</v>
      </c>
      <c r="B38" s="302" t="s">
        <v>575</v>
      </c>
      <c r="C38" s="301">
        <f>Zones!I31*Zones!K31</f>
        <v>1156.0899999999999</v>
      </c>
      <c r="D38" s="300">
        <f>Zones!L31*Zones!K31</f>
        <v>0</v>
      </c>
      <c r="E38" s="262">
        <v>0</v>
      </c>
      <c r="F38" s="299">
        <f t="shared" si="0"/>
        <v>0</v>
      </c>
      <c r="G38" s="461">
        <f t="shared" si="1"/>
        <v>0</v>
      </c>
      <c r="H38" s="933"/>
    </row>
    <row r="39" spans="1:8" x14ac:dyDescent="0.25">
      <c r="A39" s="262" t="str">
        <f>Zones!B32</f>
        <v>Stair/Elevator_FloorG</v>
      </c>
      <c r="B39" s="302" t="s">
        <v>585</v>
      </c>
      <c r="C39" s="301">
        <f>Zones!I32*Zones!K32</f>
        <v>848.01</v>
      </c>
      <c r="D39" s="300">
        <f>Zones!L32*Zones!K32</f>
        <v>0</v>
      </c>
      <c r="E39" s="262">
        <v>0</v>
      </c>
      <c r="F39" s="299">
        <f t="shared" si="0"/>
        <v>0</v>
      </c>
      <c r="G39" s="461">
        <f t="shared" si="1"/>
        <v>0</v>
      </c>
      <c r="H39" s="933"/>
    </row>
    <row r="40" spans="1:8" x14ac:dyDescent="0.25">
      <c r="A40" s="262" t="str">
        <f>Zones!B33</f>
        <v>Corridor_W_FloorG</v>
      </c>
      <c r="B40" s="302" t="s">
        <v>585</v>
      </c>
      <c r="C40" s="301">
        <f>Zones!I33*Zones!K33</f>
        <v>1005.87</v>
      </c>
      <c r="D40" s="300">
        <f>Zones!L33*Zones!K33</f>
        <v>5.02935</v>
      </c>
      <c r="E40" s="262">
        <v>0</v>
      </c>
      <c r="F40" s="299">
        <f t="shared" si="0"/>
        <v>0</v>
      </c>
      <c r="G40" s="461">
        <f t="shared" si="1"/>
        <v>0</v>
      </c>
      <c r="H40" s="933"/>
    </row>
    <row r="41" spans="1:8" x14ac:dyDescent="0.25">
      <c r="A41" s="262" t="str">
        <f>Zones!B34</f>
        <v>Corridor_E_FloorG</v>
      </c>
      <c r="B41" s="302" t="s">
        <v>585</v>
      </c>
      <c r="C41" s="301">
        <f>Zones!I34*Zones!K34</f>
        <v>798.76</v>
      </c>
      <c r="D41" s="300">
        <f>Zones!L34*Zones!K34</f>
        <v>3.9938000000000002</v>
      </c>
      <c r="E41" s="262">
        <v>0</v>
      </c>
      <c r="F41" s="299">
        <f t="shared" si="0"/>
        <v>0</v>
      </c>
      <c r="G41" s="461">
        <f t="shared" si="1"/>
        <v>0</v>
      </c>
      <c r="H41" s="933"/>
    </row>
    <row r="42" spans="1:8" x14ac:dyDescent="0.25">
      <c r="A42" s="262" t="str">
        <f>Zones!B35</f>
        <v>Plenum_FloorG</v>
      </c>
      <c r="B42" s="302"/>
      <c r="C42" s="301">
        <f>Zones!I35*Zones!K35</f>
        <v>38352.97</v>
      </c>
      <c r="D42" s="300">
        <f>Zones!L35*Zones!K35</f>
        <v>0</v>
      </c>
      <c r="E42" s="262">
        <v>0</v>
      </c>
      <c r="F42" s="299">
        <f t="shared" si="0"/>
        <v>0</v>
      </c>
      <c r="G42" s="461">
        <f t="shared" si="1"/>
        <v>0</v>
      </c>
      <c r="H42" s="933"/>
    </row>
    <row r="43" spans="1:8" x14ac:dyDescent="0.25">
      <c r="A43" s="262" t="str">
        <f>Zones!B36</f>
        <v>Perimeter_Open_Office_N_FloorM</v>
      </c>
      <c r="B43" s="302" t="s">
        <v>585</v>
      </c>
      <c r="C43" s="301">
        <f>Zones!I36*Zones!K36</f>
        <v>71312.899999999994</v>
      </c>
      <c r="D43" s="300">
        <f>Zones!L36*Zones!K36</f>
        <v>356.56450000000001</v>
      </c>
      <c r="E43" s="262">
        <v>0.18</v>
      </c>
      <c r="F43" s="299">
        <f t="shared" si="0"/>
        <v>64.181610000000006</v>
      </c>
      <c r="G43" s="461">
        <f t="shared" si="1"/>
        <v>1.0696935000000001</v>
      </c>
      <c r="H43" s="933"/>
    </row>
    <row r="44" spans="1:8" x14ac:dyDescent="0.25">
      <c r="A44" s="262" t="str">
        <f>Zones!B37</f>
        <v>Perimeter_Open_Office_S_FloorM</v>
      </c>
      <c r="B44" s="302" t="s">
        <v>585</v>
      </c>
      <c r="C44" s="301">
        <f>Zones!I37*Zones!K37</f>
        <v>52373.7</v>
      </c>
      <c r="D44" s="300">
        <f>Zones!L37*Zones!K37</f>
        <v>261.86849999999998</v>
      </c>
      <c r="E44" s="262">
        <v>0.18</v>
      </c>
      <c r="F44" s="299">
        <f t="shared" si="0"/>
        <v>47.136329999999994</v>
      </c>
      <c r="G44" s="461">
        <f t="shared" si="1"/>
        <v>0.78560549999999985</v>
      </c>
      <c r="H44" s="933"/>
    </row>
    <row r="45" spans="1:8" x14ac:dyDescent="0.25">
      <c r="A45" s="262" t="str">
        <f>Zones!B38</f>
        <v>Perimeter_Open_Office_E_FloorM</v>
      </c>
      <c r="B45" s="302" t="s">
        <v>585</v>
      </c>
      <c r="C45" s="301">
        <f>Zones!I38*Zones!K38</f>
        <v>44704.399999999994</v>
      </c>
      <c r="D45" s="300">
        <f>Zones!L38*Zones!K38</f>
        <v>223.52199999999996</v>
      </c>
      <c r="E45" s="262">
        <v>0.18</v>
      </c>
      <c r="F45" s="299">
        <f t="shared" si="0"/>
        <v>40.233959999999989</v>
      </c>
      <c r="G45" s="461">
        <f t="shared" si="1"/>
        <v>0.67056599999999977</v>
      </c>
      <c r="H45" s="933"/>
    </row>
    <row r="46" spans="1:8" x14ac:dyDescent="0.25">
      <c r="A46" s="262" t="str">
        <f>Zones!B39</f>
        <v>Perimeter_Open_Office_W_FloorM</v>
      </c>
      <c r="B46" s="302" t="s">
        <v>585</v>
      </c>
      <c r="C46" s="301">
        <f>Zones!I39*Zones!K39</f>
        <v>44487.600000000006</v>
      </c>
      <c r="D46" s="300">
        <f>Zones!L39*Zones!K39</f>
        <v>222.43800000000005</v>
      </c>
      <c r="E46" s="262">
        <v>0.18</v>
      </c>
      <c r="F46" s="299">
        <f t="shared" si="0"/>
        <v>40.038840000000008</v>
      </c>
      <c r="G46" s="461">
        <f t="shared" si="1"/>
        <v>0.66731400000000007</v>
      </c>
      <c r="H46" s="933"/>
    </row>
    <row r="47" spans="1:8" x14ac:dyDescent="0.25">
      <c r="A47" s="262" t="str">
        <f>Zones!B40</f>
        <v>Perimeter_Enclosed_Office_NE_FloorM</v>
      </c>
      <c r="B47" s="302" t="s">
        <v>585</v>
      </c>
      <c r="C47" s="301">
        <f>Zones!I40*Zones!K40</f>
        <v>9173.7999999999993</v>
      </c>
      <c r="D47" s="300">
        <f>Zones!L40*Zones!K40</f>
        <v>45.869</v>
      </c>
      <c r="E47" s="262">
        <v>0.18</v>
      </c>
      <c r="F47" s="299">
        <f t="shared" si="0"/>
        <v>8.2564200000000003</v>
      </c>
      <c r="G47" s="461">
        <f t="shared" si="1"/>
        <v>0.13760700000000001</v>
      </c>
      <c r="H47" s="933"/>
    </row>
    <row r="48" spans="1:8" x14ac:dyDescent="0.25">
      <c r="A48" s="262" t="str">
        <f>Zones!B41</f>
        <v>Perimeter_Enclosed_Office_NW_FloorM</v>
      </c>
      <c r="B48" s="302" t="s">
        <v>585</v>
      </c>
      <c r="C48" s="301">
        <f>Zones!I41*Zones!K41</f>
        <v>11312.1</v>
      </c>
      <c r="D48" s="300">
        <f>Zones!L41*Zones!K41</f>
        <v>56.560500000000005</v>
      </c>
      <c r="E48" s="262">
        <v>0.18</v>
      </c>
      <c r="F48" s="299">
        <f t="shared" si="0"/>
        <v>10.18089</v>
      </c>
      <c r="G48" s="461">
        <f t="shared" si="1"/>
        <v>0.16968149999999999</v>
      </c>
      <c r="H48" s="933"/>
    </row>
    <row r="49" spans="1:8" x14ac:dyDescent="0.25">
      <c r="A49" s="262" t="str">
        <f>Zones!B42</f>
        <v>Perimeter_Enclosed_Office_SW_FloorM</v>
      </c>
      <c r="B49" s="302" t="s">
        <v>585</v>
      </c>
      <c r="C49" s="301">
        <f>Zones!I42*Zones!K42</f>
        <v>10104.9</v>
      </c>
      <c r="D49" s="300">
        <f>Zones!L42*Zones!K42</f>
        <v>50.524499999999996</v>
      </c>
      <c r="E49" s="262">
        <v>0.18</v>
      </c>
      <c r="F49" s="299">
        <f t="shared" si="0"/>
        <v>9.0944099999999981</v>
      </c>
      <c r="G49" s="461">
        <f t="shared" si="1"/>
        <v>0.15157349999999997</v>
      </c>
      <c r="H49" s="933"/>
    </row>
    <row r="50" spans="1:8" x14ac:dyDescent="0.25">
      <c r="A50" s="262" t="str">
        <f>Zones!B43</f>
        <v>Perimeter_Enclosed_Office_SE_FloorM</v>
      </c>
      <c r="B50" s="302" t="s">
        <v>585</v>
      </c>
      <c r="C50" s="301">
        <f>Zones!I43*Zones!K43</f>
        <v>10334.799999999999</v>
      </c>
      <c r="D50" s="300">
        <f>Zones!L43*Zones!K43</f>
        <v>51.673999999999999</v>
      </c>
      <c r="E50" s="262">
        <v>0.18</v>
      </c>
      <c r="F50" s="299">
        <f t="shared" si="0"/>
        <v>9.3013199999999987</v>
      </c>
      <c r="G50" s="461">
        <f t="shared" si="1"/>
        <v>0.15502199999999997</v>
      </c>
      <c r="H50" s="933"/>
    </row>
    <row r="51" spans="1:8" x14ac:dyDescent="0.25">
      <c r="A51" s="262" t="str">
        <f>Zones!B44</f>
        <v>Core_Enclosed_Office_FloorM</v>
      </c>
      <c r="B51" s="302" t="s">
        <v>585</v>
      </c>
      <c r="C51" s="301">
        <f>Zones!I44*Zones!K44</f>
        <v>32330</v>
      </c>
      <c r="D51" s="300">
        <f>Zones!L44*Zones!K44</f>
        <v>161.64999999999998</v>
      </c>
      <c r="E51" s="262">
        <v>0.18</v>
      </c>
      <c r="F51" s="299">
        <f t="shared" si="0"/>
        <v>29.096999999999994</v>
      </c>
      <c r="G51" s="461">
        <f t="shared" si="1"/>
        <v>0.48494999999999988</v>
      </c>
      <c r="H51" s="933"/>
    </row>
    <row r="52" spans="1:8" x14ac:dyDescent="0.25">
      <c r="A52" s="262" t="str">
        <f>Zones!B45</f>
        <v>Server_Room_FloorM</v>
      </c>
      <c r="B52" s="302" t="s">
        <v>585</v>
      </c>
      <c r="C52" s="301">
        <f>Zones!I45*Zones!K45</f>
        <v>4180</v>
      </c>
      <c r="D52" s="300">
        <f>Zones!L45*Zones!K45</f>
        <v>6.27</v>
      </c>
      <c r="E52" s="262">
        <v>0.18</v>
      </c>
      <c r="F52" s="299">
        <f t="shared" si="0"/>
        <v>1.1285999999999998</v>
      </c>
      <c r="G52" s="461">
        <f t="shared" si="1"/>
        <v>1.8809999999999997E-2</v>
      </c>
      <c r="H52" s="933"/>
    </row>
    <row r="53" spans="1:8" x14ac:dyDescent="0.25">
      <c r="A53" s="262" t="str">
        <f>Zones!B46</f>
        <v>Mech/Elec_FloorM</v>
      </c>
      <c r="B53" s="302" t="s">
        <v>585</v>
      </c>
      <c r="C53" s="301">
        <f>Zones!I46*Zones!K46</f>
        <v>10700</v>
      </c>
      <c r="D53" s="300">
        <f>Zones!L46*Zones!K46</f>
        <v>0</v>
      </c>
      <c r="E53" s="262">
        <v>0.18</v>
      </c>
      <c r="F53" s="299">
        <f t="shared" si="0"/>
        <v>0</v>
      </c>
      <c r="G53" s="461">
        <f t="shared" si="1"/>
        <v>0</v>
      </c>
      <c r="H53" s="933"/>
    </row>
    <row r="54" spans="1:8" x14ac:dyDescent="0.25">
      <c r="A54" s="262" t="str">
        <f>Zones!B47</f>
        <v>Conference_N_FloorM</v>
      </c>
      <c r="B54" s="302" t="s">
        <v>585</v>
      </c>
      <c r="C54" s="301">
        <f>Zones!I47*Zones!K47</f>
        <v>7898</v>
      </c>
      <c r="D54" s="300">
        <f>Zones!L47*Zones!K47</f>
        <v>260.63399999999996</v>
      </c>
      <c r="E54" s="262">
        <v>0.09</v>
      </c>
      <c r="F54" s="299">
        <f t="shared" si="0"/>
        <v>23.457059999999995</v>
      </c>
      <c r="G54" s="461">
        <f t="shared" si="1"/>
        <v>0.39095099999999994</v>
      </c>
      <c r="H54" s="933"/>
    </row>
    <row r="55" spans="1:8" x14ac:dyDescent="0.25">
      <c r="A55" s="262" t="str">
        <f>Zones!B48</f>
        <v>Conference_W_FloorM</v>
      </c>
      <c r="B55" s="302" t="s">
        <v>585</v>
      </c>
      <c r="C55" s="301">
        <f>Zones!I48*Zones!K48</f>
        <v>3364.4</v>
      </c>
      <c r="D55" s="300">
        <f>Zones!L48*Zones!K48</f>
        <v>111.0252</v>
      </c>
      <c r="E55" s="262">
        <v>0.09</v>
      </c>
      <c r="F55" s="299">
        <f t="shared" si="0"/>
        <v>9.9922679999999993</v>
      </c>
      <c r="G55" s="461">
        <f t="shared" si="1"/>
        <v>0.16653779999999999</v>
      </c>
      <c r="H55" s="933"/>
    </row>
    <row r="56" spans="1:8" x14ac:dyDescent="0.25">
      <c r="A56" s="262" t="str">
        <f>Zones!B49</f>
        <v>Conference_S_FloorM</v>
      </c>
      <c r="B56" s="302" t="s">
        <v>585</v>
      </c>
      <c r="C56" s="301">
        <f>Zones!I49*Zones!K49</f>
        <v>7638</v>
      </c>
      <c r="D56" s="300">
        <f>Zones!L49*Zones!K49</f>
        <v>252.05399999999997</v>
      </c>
      <c r="E56" s="262">
        <v>0.09</v>
      </c>
      <c r="F56" s="299">
        <f t="shared" si="0"/>
        <v>22.684859999999997</v>
      </c>
      <c r="G56" s="461">
        <f t="shared" si="1"/>
        <v>0.37808099999999994</v>
      </c>
      <c r="H56" s="933"/>
    </row>
    <row r="57" spans="1:8" x14ac:dyDescent="0.25">
      <c r="A57" s="262" t="str">
        <f>Zones!B50</f>
        <v>Conference_E_FloorM</v>
      </c>
      <c r="B57" s="302" t="s">
        <v>585</v>
      </c>
      <c r="C57" s="301">
        <f>Zones!I50*Zones!K50</f>
        <v>4332</v>
      </c>
      <c r="D57" s="300">
        <f>Zones!L50*Zones!K50</f>
        <v>142.95600000000002</v>
      </c>
      <c r="E57" s="262">
        <v>0.09</v>
      </c>
      <c r="F57" s="299">
        <f t="shared" si="0"/>
        <v>12.866040000000002</v>
      </c>
      <c r="G57" s="461">
        <f t="shared" si="1"/>
        <v>0.21443400000000004</v>
      </c>
      <c r="H57" s="933"/>
    </row>
    <row r="58" spans="1:8" x14ac:dyDescent="0.25">
      <c r="A58" s="262" t="str">
        <f>Zones!B51</f>
        <v>Break/FoorPrep_FloorM</v>
      </c>
      <c r="B58" s="302" t="s">
        <v>585</v>
      </c>
      <c r="C58" s="301">
        <f>Zones!I51*Zones!K51</f>
        <v>9100</v>
      </c>
      <c r="D58" s="300">
        <f>Zones!L51*Zones!K51</f>
        <v>300.3</v>
      </c>
      <c r="E58" s="262">
        <v>0.09</v>
      </c>
      <c r="F58" s="299">
        <f t="shared" si="0"/>
        <v>27.027000000000001</v>
      </c>
      <c r="G58" s="461">
        <f t="shared" si="1"/>
        <v>0.45045000000000002</v>
      </c>
      <c r="H58" s="933"/>
    </row>
    <row r="59" spans="1:8" x14ac:dyDescent="0.25">
      <c r="A59" s="262" t="str">
        <f>Zones!B52</f>
        <v>Storage_FloorM</v>
      </c>
      <c r="B59" s="302" t="s">
        <v>585</v>
      </c>
      <c r="C59" s="301">
        <f>Zones!I52*Zones!K52</f>
        <v>7380</v>
      </c>
      <c r="D59" s="300">
        <f>Zones!L52*Zones!K52</f>
        <v>0</v>
      </c>
      <c r="E59" s="262">
        <v>0</v>
      </c>
      <c r="F59" s="299">
        <f t="shared" si="0"/>
        <v>0</v>
      </c>
      <c r="G59" s="461">
        <f t="shared" si="1"/>
        <v>0</v>
      </c>
      <c r="H59" s="933"/>
    </row>
    <row r="60" spans="1:8" x14ac:dyDescent="0.25">
      <c r="A60" s="262" t="str">
        <f>Zones!B53</f>
        <v>Lobby/Lounge_FloorM</v>
      </c>
      <c r="B60" s="302" t="s">
        <v>575</v>
      </c>
      <c r="C60" s="301">
        <f>Zones!I53*Zones!K53</f>
        <v>6840</v>
      </c>
      <c r="D60" s="300">
        <f>Zones!L53*Zones!K53</f>
        <v>102.6</v>
      </c>
      <c r="E60" s="262">
        <v>0.09</v>
      </c>
      <c r="F60" s="299">
        <f t="shared" si="0"/>
        <v>9.234</v>
      </c>
      <c r="G60" s="461">
        <f t="shared" si="1"/>
        <v>0.15390000000000001</v>
      </c>
      <c r="H60" s="933"/>
    </row>
    <row r="61" spans="1:8" x14ac:dyDescent="0.25">
      <c r="A61" s="262" t="str">
        <f>Zones!B54</f>
        <v>Restroom_FloorM</v>
      </c>
      <c r="B61" s="302" t="s">
        <v>575</v>
      </c>
      <c r="C61" s="301">
        <f>Zones!I54*Zones!K54</f>
        <v>11550</v>
      </c>
      <c r="D61" s="300">
        <f>Zones!L54*Zones!K54</f>
        <v>0</v>
      </c>
      <c r="E61" s="262">
        <v>0</v>
      </c>
      <c r="F61" s="299">
        <f t="shared" si="0"/>
        <v>0</v>
      </c>
      <c r="G61" s="461">
        <f t="shared" si="1"/>
        <v>0</v>
      </c>
      <c r="H61" s="933"/>
    </row>
    <row r="62" spans="1:8" x14ac:dyDescent="0.25">
      <c r="A62" s="262" t="str">
        <f>Zones!B55</f>
        <v>Stair/Elevator_FloorM</v>
      </c>
      <c r="B62" s="302" t="s">
        <v>585</v>
      </c>
      <c r="C62" s="301">
        <f>Zones!I55*Zones!K55</f>
        <v>8480</v>
      </c>
      <c r="D62" s="300">
        <f>Zones!L55*Zones!K55</f>
        <v>0</v>
      </c>
      <c r="E62" s="262">
        <v>0</v>
      </c>
      <c r="F62" s="299">
        <f t="shared" si="0"/>
        <v>0</v>
      </c>
      <c r="G62" s="461">
        <f t="shared" si="1"/>
        <v>0</v>
      </c>
      <c r="H62" s="933"/>
    </row>
    <row r="63" spans="1:8" x14ac:dyDescent="0.25">
      <c r="A63" s="262" t="str">
        <f>Zones!B56</f>
        <v>Corridor_W_FloorM</v>
      </c>
      <c r="B63" s="302" t="s">
        <v>585</v>
      </c>
      <c r="C63" s="301">
        <f>Zones!I56*Zones!K56</f>
        <v>10058.799999999999</v>
      </c>
      <c r="D63" s="300">
        <f>Zones!L56*Zones!K56</f>
        <v>50.293999999999997</v>
      </c>
      <c r="E63" s="262">
        <v>0</v>
      </c>
      <c r="F63" s="299">
        <f t="shared" si="0"/>
        <v>0</v>
      </c>
      <c r="G63" s="461">
        <f t="shared" si="1"/>
        <v>0</v>
      </c>
      <c r="H63" s="933"/>
    </row>
    <row r="64" spans="1:8" x14ac:dyDescent="0.25">
      <c r="A64" s="262" t="str">
        <f>Zones!B57</f>
        <v>Corridor_E_FloorM</v>
      </c>
      <c r="B64" s="302" t="s">
        <v>585</v>
      </c>
      <c r="C64" s="301">
        <f>Zones!I57*Zones!K57</f>
        <v>5853.6</v>
      </c>
      <c r="D64" s="300">
        <f>Zones!L57*Zones!K57</f>
        <v>29.268000000000001</v>
      </c>
      <c r="E64" s="262">
        <v>0</v>
      </c>
      <c r="F64" s="299">
        <f t="shared" si="0"/>
        <v>0</v>
      </c>
      <c r="G64" s="461">
        <f t="shared" si="1"/>
        <v>0</v>
      </c>
      <c r="H64" s="933"/>
    </row>
    <row r="65" spans="1:8" x14ac:dyDescent="0.25">
      <c r="A65" s="262" t="str">
        <f>Zones!B58</f>
        <v>Plenum_FloorM</v>
      </c>
      <c r="B65" s="302"/>
      <c r="C65" s="301">
        <f>Zones!I58*Zones!K58</f>
        <v>383529.7</v>
      </c>
      <c r="D65" s="300">
        <f>Zones!L58*Zones!K58</f>
        <v>0</v>
      </c>
      <c r="E65" s="262">
        <v>0</v>
      </c>
      <c r="F65" s="299">
        <f t="shared" si="0"/>
        <v>0</v>
      </c>
      <c r="G65" s="461">
        <f t="shared" si="1"/>
        <v>0</v>
      </c>
      <c r="H65" s="933"/>
    </row>
    <row r="66" spans="1:8" x14ac:dyDescent="0.25">
      <c r="A66" s="262" t="str">
        <f>Zones!B59</f>
        <v>Perimeter_Open_Office_N_FloorT</v>
      </c>
      <c r="B66" s="302" t="s">
        <v>585</v>
      </c>
      <c r="C66" s="301">
        <f>Zones!I59*Zones!K59</f>
        <v>7131.29</v>
      </c>
      <c r="D66" s="300">
        <f>Zones!L59*Zones!K59</f>
        <v>35.65645</v>
      </c>
      <c r="E66" s="262">
        <v>0.18</v>
      </c>
      <c r="F66" s="299">
        <f t="shared" si="0"/>
        <v>6.4181609999999996</v>
      </c>
      <c r="G66" s="461">
        <f t="shared" si="1"/>
        <v>0.10696934999999999</v>
      </c>
      <c r="H66" s="933"/>
    </row>
    <row r="67" spans="1:8" x14ac:dyDescent="0.25">
      <c r="A67" s="262" t="str">
        <f>Zones!B60</f>
        <v>Perimeter_Open_Office_S_FloorT</v>
      </c>
      <c r="B67" s="302" t="s">
        <v>585</v>
      </c>
      <c r="C67" s="301">
        <f>Zones!I60*Zones!K60</f>
        <v>5237.37</v>
      </c>
      <c r="D67" s="300">
        <f>Zones!L60*Zones!K60</f>
        <v>26.18685</v>
      </c>
      <c r="E67" s="262">
        <v>0.18</v>
      </c>
      <c r="F67" s="299">
        <f t="shared" si="0"/>
        <v>4.7136329999999997</v>
      </c>
      <c r="G67" s="461">
        <f t="shared" si="1"/>
        <v>7.8560549999999993E-2</v>
      </c>
      <c r="H67" s="933"/>
    </row>
    <row r="68" spans="1:8" x14ac:dyDescent="0.25">
      <c r="A68" s="262" t="str">
        <f>Zones!B61</f>
        <v>Perimeter_Open_Office_E_FloorT</v>
      </c>
      <c r="B68" s="302" t="s">
        <v>585</v>
      </c>
      <c r="C68" s="301">
        <f>Zones!I61*Zones!K61</f>
        <v>4470.4399999999996</v>
      </c>
      <c r="D68" s="300">
        <f>Zones!L61*Zones!K61</f>
        <v>22.352199999999996</v>
      </c>
      <c r="E68" s="262">
        <v>0.18</v>
      </c>
      <c r="F68" s="299">
        <f t="shared" si="0"/>
        <v>4.0233959999999991</v>
      </c>
      <c r="G68" s="461">
        <f t="shared" si="1"/>
        <v>6.705659999999998E-2</v>
      </c>
      <c r="H68" s="933"/>
    </row>
    <row r="69" spans="1:8" x14ac:dyDescent="0.25">
      <c r="A69" s="262" t="str">
        <f>Zones!B62</f>
        <v>Perimeter_Open_Office_W_FloorT</v>
      </c>
      <c r="B69" s="302" t="s">
        <v>585</v>
      </c>
      <c r="C69" s="301">
        <f>Zones!I62*Zones!K62</f>
        <v>4448.76</v>
      </c>
      <c r="D69" s="300">
        <f>Zones!L62*Zones!K62</f>
        <v>22.243800000000004</v>
      </c>
      <c r="E69" s="262">
        <v>0.18</v>
      </c>
      <c r="F69" s="299">
        <f t="shared" si="0"/>
        <v>4.0038840000000002</v>
      </c>
      <c r="G69" s="461">
        <f t="shared" si="1"/>
        <v>6.673140000000001E-2</v>
      </c>
      <c r="H69" s="933"/>
    </row>
    <row r="70" spans="1:8" x14ac:dyDescent="0.25">
      <c r="A70" s="262" t="str">
        <f>Zones!B63</f>
        <v>Perimeter_Enclosed_Office_NE_FloorT</v>
      </c>
      <c r="B70" s="302" t="s">
        <v>585</v>
      </c>
      <c r="C70" s="301">
        <f>Zones!I63*Zones!K63</f>
        <v>917.38</v>
      </c>
      <c r="D70" s="300">
        <f>Zones!L63*Zones!K63</f>
        <v>4.5869</v>
      </c>
      <c r="E70" s="262">
        <v>0.18</v>
      </c>
      <c r="F70" s="299">
        <f t="shared" si="0"/>
        <v>0.82564199999999999</v>
      </c>
      <c r="G70" s="461">
        <f t="shared" si="1"/>
        <v>1.3760699999999999E-2</v>
      </c>
      <c r="H70" s="933"/>
    </row>
    <row r="71" spans="1:8" x14ac:dyDescent="0.25">
      <c r="A71" s="262" t="str">
        <f>Zones!B64</f>
        <v>Perimeter_Enclosed_Office_NW_FloorT</v>
      </c>
      <c r="B71" s="302" t="s">
        <v>585</v>
      </c>
      <c r="C71" s="301">
        <f>Zones!I64*Zones!K64</f>
        <v>1131.21</v>
      </c>
      <c r="D71" s="300">
        <f>Zones!L64*Zones!K64</f>
        <v>5.6560500000000005</v>
      </c>
      <c r="E71" s="262">
        <v>0.18</v>
      </c>
      <c r="F71" s="299">
        <f t="shared" si="0"/>
        <v>1.018089</v>
      </c>
      <c r="G71" s="461">
        <f t="shared" si="1"/>
        <v>1.6968150000000001E-2</v>
      </c>
      <c r="H71" s="933"/>
    </row>
    <row r="72" spans="1:8" x14ac:dyDescent="0.25">
      <c r="A72" s="262" t="str">
        <f>Zones!B65</f>
        <v>Perimeter_Enclosed_Office_SW_FloorT</v>
      </c>
      <c r="B72" s="302" t="s">
        <v>585</v>
      </c>
      <c r="C72" s="301">
        <f>Zones!I65*Zones!K65</f>
        <v>1010.49</v>
      </c>
      <c r="D72" s="300">
        <f>Zones!L65*Zones!K65</f>
        <v>5.0524499999999994</v>
      </c>
      <c r="E72" s="262">
        <v>0.18</v>
      </c>
      <c r="F72" s="299">
        <f t="shared" si="0"/>
        <v>0.90944099999999983</v>
      </c>
      <c r="G72" s="461">
        <f t="shared" si="1"/>
        <v>1.5157349999999997E-2</v>
      </c>
      <c r="H72" s="933"/>
    </row>
    <row r="73" spans="1:8" x14ac:dyDescent="0.25">
      <c r="A73" s="262" t="str">
        <f>Zones!B66</f>
        <v>Perimeter_Enclosed_Office_SE_FloorT</v>
      </c>
      <c r="B73" s="302" t="s">
        <v>585</v>
      </c>
      <c r="C73" s="301">
        <f>Zones!I66*Zones!K66</f>
        <v>1033.48</v>
      </c>
      <c r="D73" s="300">
        <f>Zones!L66*Zones!K66</f>
        <v>5.1673999999999998</v>
      </c>
      <c r="E73" s="262">
        <v>0.18</v>
      </c>
      <c r="F73" s="299">
        <f t="shared" si="0"/>
        <v>0.93013199999999996</v>
      </c>
      <c r="G73" s="461">
        <f t="shared" si="1"/>
        <v>1.5502199999999999E-2</v>
      </c>
      <c r="H73" s="933"/>
    </row>
    <row r="74" spans="1:8" x14ac:dyDescent="0.25">
      <c r="A74" s="262" t="str">
        <f>Zones!B67</f>
        <v>Core_Enclosed_Office_FloorT</v>
      </c>
      <c r="B74" s="302" t="s">
        <v>585</v>
      </c>
      <c r="C74" s="301">
        <f>Zones!I67*Zones!K67</f>
        <v>3233</v>
      </c>
      <c r="D74" s="300">
        <f>Zones!L67*Zones!K67</f>
        <v>16.164999999999999</v>
      </c>
      <c r="E74" s="262">
        <v>0.18</v>
      </c>
      <c r="F74" s="299">
        <f t="shared" si="0"/>
        <v>2.9097</v>
      </c>
      <c r="G74" s="461">
        <f t="shared" si="1"/>
        <v>4.8494999999999996E-2</v>
      </c>
      <c r="H74" s="933"/>
    </row>
    <row r="75" spans="1:8" x14ac:dyDescent="0.25">
      <c r="A75" s="262" t="str">
        <f>Zones!B68</f>
        <v>Server_Room_FloorT</v>
      </c>
      <c r="B75" s="302" t="s">
        <v>585</v>
      </c>
      <c r="C75" s="301">
        <f>Zones!I68*Zones!K68</f>
        <v>418</v>
      </c>
      <c r="D75" s="300">
        <f>Zones!L68*Zones!K68</f>
        <v>0.627</v>
      </c>
      <c r="E75" s="262">
        <v>0.18</v>
      </c>
      <c r="F75" s="299">
        <f t="shared" ref="F75:F88" si="2">D75*E75</f>
        <v>0.11286</v>
      </c>
      <c r="G75" s="461">
        <f t="shared" ref="G75:G88" si="3">F75/60</f>
        <v>1.8810000000000001E-3</v>
      </c>
      <c r="H75" s="933"/>
    </row>
    <row r="76" spans="1:8" x14ac:dyDescent="0.25">
      <c r="A76" s="262" t="str">
        <f>Zones!B69</f>
        <v>Mech/Elec_FloorT</v>
      </c>
      <c r="B76" s="302" t="s">
        <v>585</v>
      </c>
      <c r="C76" s="301">
        <f>Zones!I69*Zones!K69</f>
        <v>1070</v>
      </c>
      <c r="D76" s="300">
        <f>Zones!L69*Zones!K69</f>
        <v>0</v>
      </c>
      <c r="E76" s="262">
        <v>0.18</v>
      </c>
      <c r="F76" s="299">
        <f t="shared" si="2"/>
        <v>0</v>
      </c>
      <c r="G76" s="461">
        <f t="shared" si="3"/>
        <v>0</v>
      </c>
      <c r="H76" s="933"/>
    </row>
    <row r="77" spans="1:8" x14ac:dyDescent="0.25">
      <c r="A77" s="262" t="str">
        <f>Zones!B70</f>
        <v>Conference_N_FloorT</v>
      </c>
      <c r="B77" s="302" t="s">
        <v>585</v>
      </c>
      <c r="C77" s="301">
        <f>Zones!I70*Zones!K70</f>
        <v>789.8</v>
      </c>
      <c r="D77" s="300">
        <f>Zones!L70*Zones!K70</f>
        <v>26.063399999999998</v>
      </c>
      <c r="E77" s="262">
        <v>0.09</v>
      </c>
      <c r="F77" s="299">
        <f t="shared" si="2"/>
        <v>2.3457059999999998</v>
      </c>
      <c r="G77" s="461">
        <f t="shared" si="3"/>
        <v>3.9095100000000001E-2</v>
      </c>
      <c r="H77" s="933"/>
    </row>
    <row r="78" spans="1:8" x14ac:dyDescent="0.25">
      <c r="A78" s="262" t="str">
        <f>Zones!B71</f>
        <v>Conference_W_FloorT</v>
      </c>
      <c r="B78" s="302" t="s">
        <v>585</v>
      </c>
      <c r="C78" s="301">
        <f>Zones!I71*Zones!K71</f>
        <v>336.44</v>
      </c>
      <c r="D78" s="300">
        <f>Zones!L71*Zones!K71</f>
        <v>11.10252</v>
      </c>
      <c r="E78" s="262">
        <v>0.09</v>
      </c>
      <c r="F78" s="299">
        <f t="shared" si="2"/>
        <v>0.99922679999999997</v>
      </c>
      <c r="G78" s="461">
        <f t="shared" si="3"/>
        <v>1.665378E-2</v>
      </c>
      <c r="H78" s="933"/>
    </row>
    <row r="79" spans="1:8" x14ac:dyDescent="0.25">
      <c r="A79" s="262" t="str">
        <f>Zones!B72</f>
        <v>Conference_S_FloorT</v>
      </c>
      <c r="B79" s="302" t="s">
        <v>585</v>
      </c>
      <c r="C79" s="301">
        <f>Zones!I72*Zones!K72</f>
        <v>763.8</v>
      </c>
      <c r="D79" s="300">
        <f>Zones!L72*Zones!K72</f>
        <v>25.205399999999997</v>
      </c>
      <c r="E79" s="262">
        <v>0.09</v>
      </c>
      <c r="F79" s="299">
        <f t="shared" si="2"/>
        <v>2.2684859999999998</v>
      </c>
      <c r="G79" s="461">
        <f t="shared" si="3"/>
        <v>3.7808099999999997E-2</v>
      </c>
      <c r="H79" s="933"/>
    </row>
    <row r="80" spans="1:8" x14ac:dyDescent="0.25">
      <c r="A80" s="262" t="str">
        <f>Zones!B73</f>
        <v>Conference_E_FloorT</v>
      </c>
      <c r="B80" s="302" t="s">
        <v>585</v>
      </c>
      <c r="C80" s="301">
        <f>Zones!I73*Zones!K73</f>
        <v>433.2</v>
      </c>
      <c r="D80" s="300">
        <f>Zones!L73*Zones!K73</f>
        <v>14.2956</v>
      </c>
      <c r="E80" s="262">
        <v>0.09</v>
      </c>
      <c r="F80" s="299">
        <f t="shared" si="2"/>
        <v>1.2866040000000001</v>
      </c>
      <c r="G80" s="461">
        <f t="shared" si="3"/>
        <v>2.1443400000000001E-2</v>
      </c>
      <c r="H80" s="933"/>
    </row>
    <row r="81" spans="1:10" x14ac:dyDescent="0.25">
      <c r="A81" s="262" t="str">
        <f>Zones!B74</f>
        <v>BreakRoom/FoodPrep_FloorT</v>
      </c>
      <c r="B81" s="302" t="s">
        <v>585</v>
      </c>
      <c r="C81" s="301">
        <f>Zones!I74*Zones!K74</f>
        <v>910</v>
      </c>
      <c r="D81" s="300">
        <f>Zones!L74*Zones!K74</f>
        <v>30.03</v>
      </c>
      <c r="E81" s="605">
        <v>0.57999999999999996</v>
      </c>
      <c r="F81" s="299">
        <f t="shared" si="2"/>
        <v>17.417400000000001</v>
      </c>
      <c r="G81" s="461">
        <f t="shared" si="3"/>
        <v>0.29028999999999999</v>
      </c>
      <c r="H81" s="933"/>
    </row>
    <row r="82" spans="1:10" x14ac:dyDescent="0.25">
      <c r="A82" s="262" t="str">
        <f>Zones!B75</f>
        <v>Storage_FloorT</v>
      </c>
      <c r="B82" s="302" t="s">
        <v>585</v>
      </c>
      <c r="C82" s="301">
        <f>Zones!I75*Zones!K75</f>
        <v>738</v>
      </c>
      <c r="D82" s="300">
        <f>Zones!L75*Zones!K75</f>
        <v>0</v>
      </c>
      <c r="E82" s="262">
        <v>0</v>
      </c>
      <c r="F82" s="299">
        <f t="shared" si="2"/>
        <v>0</v>
      </c>
      <c r="G82" s="461">
        <f t="shared" si="3"/>
        <v>0</v>
      </c>
      <c r="H82" s="933"/>
    </row>
    <row r="83" spans="1:10" x14ac:dyDescent="0.25">
      <c r="A83" s="262" t="str">
        <f>Zones!B76</f>
        <v>Lobby/Lounge_FloorT</v>
      </c>
      <c r="B83" s="302" t="s">
        <v>575</v>
      </c>
      <c r="C83" s="301">
        <f>Zones!I76*Zones!K76</f>
        <v>684</v>
      </c>
      <c r="D83" s="300">
        <f>Zones!L76*Zones!K76</f>
        <v>10.26</v>
      </c>
      <c r="E83" s="262">
        <v>0.09</v>
      </c>
      <c r="F83" s="299">
        <f t="shared" si="2"/>
        <v>0.9234</v>
      </c>
      <c r="G83" s="461">
        <f t="shared" si="3"/>
        <v>1.5389999999999999E-2</v>
      </c>
      <c r="H83" s="933"/>
    </row>
    <row r="84" spans="1:10" x14ac:dyDescent="0.25">
      <c r="A84" s="262" t="str">
        <f>Zones!B77</f>
        <v>Restroom_FloorT</v>
      </c>
      <c r="B84" s="302" t="s">
        <v>575</v>
      </c>
      <c r="C84" s="301">
        <f>Zones!I77*Zones!K77</f>
        <v>1155</v>
      </c>
      <c r="D84" s="300">
        <f>Zones!L77*Zones!K77</f>
        <v>0</v>
      </c>
      <c r="E84" s="262">
        <v>0</v>
      </c>
      <c r="F84" s="299">
        <f t="shared" si="2"/>
        <v>0</v>
      </c>
      <c r="G84" s="461">
        <f t="shared" si="3"/>
        <v>0</v>
      </c>
      <c r="H84" s="933"/>
    </row>
    <row r="85" spans="1:10" x14ac:dyDescent="0.25">
      <c r="A85" s="262" t="str">
        <f>Zones!B78</f>
        <v>Stair/Elevator_FloorT</v>
      </c>
      <c r="B85" s="302" t="s">
        <v>585</v>
      </c>
      <c r="C85" s="301">
        <f>Zones!I78*Zones!K78</f>
        <v>848</v>
      </c>
      <c r="D85" s="300">
        <f>Zones!L78*Zones!K78</f>
        <v>0</v>
      </c>
      <c r="E85" s="262">
        <v>0</v>
      </c>
      <c r="F85" s="299">
        <f t="shared" si="2"/>
        <v>0</v>
      </c>
      <c r="G85" s="461">
        <f t="shared" si="3"/>
        <v>0</v>
      </c>
      <c r="H85" s="933"/>
    </row>
    <row r="86" spans="1:10" x14ac:dyDescent="0.25">
      <c r="A86" s="262" t="str">
        <f>Zones!B79</f>
        <v>Corridor_W_FloorT</v>
      </c>
      <c r="B86" s="302" t="s">
        <v>585</v>
      </c>
      <c r="C86" s="301">
        <f>Zones!I79*Zones!K79</f>
        <v>1005.88</v>
      </c>
      <c r="D86" s="300">
        <f>Zones!L79*Zones!K79</f>
        <v>5.0293999999999999</v>
      </c>
      <c r="E86" s="262">
        <v>0</v>
      </c>
      <c r="F86" s="299">
        <f t="shared" si="2"/>
        <v>0</v>
      </c>
      <c r="G86" s="461">
        <f t="shared" si="3"/>
        <v>0</v>
      </c>
      <c r="H86" s="933"/>
    </row>
    <row r="87" spans="1:10" x14ac:dyDescent="0.25">
      <c r="A87" s="262" t="str">
        <f>Zones!B80</f>
        <v>Corridor_E_FloorT</v>
      </c>
      <c r="B87" s="302" t="s">
        <v>585</v>
      </c>
      <c r="C87" s="301">
        <f>Zones!I80*Zones!K80</f>
        <v>585.36</v>
      </c>
      <c r="D87" s="300">
        <f>Zones!L80*Zones!K80</f>
        <v>2.9268000000000001</v>
      </c>
      <c r="E87" s="262">
        <v>0</v>
      </c>
      <c r="F87" s="299">
        <f t="shared" si="2"/>
        <v>0</v>
      </c>
      <c r="G87" s="461">
        <f t="shared" si="3"/>
        <v>0</v>
      </c>
      <c r="H87" s="933"/>
    </row>
    <row r="88" spans="1:10" x14ac:dyDescent="0.25">
      <c r="A88" s="261" t="str">
        <f>Zones!B81</f>
        <v>Plenum_FloorT</v>
      </c>
      <c r="B88" s="302"/>
      <c r="C88" s="301">
        <f>Zones!I81*Zones!K81</f>
        <v>38352.97</v>
      </c>
      <c r="D88" s="300">
        <f>Zones!L81*Zones!K81</f>
        <v>0</v>
      </c>
      <c r="E88" s="262">
        <v>0</v>
      </c>
      <c r="F88" s="299">
        <f t="shared" si="2"/>
        <v>0</v>
      </c>
      <c r="G88" s="461">
        <f t="shared" si="3"/>
        <v>0</v>
      </c>
      <c r="H88" s="933"/>
    </row>
    <row r="89" spans="1:10" ht="20.25" customHeight="1" x14ac:dyDescent="0.25">
      <c r="A89" s="558" t="s">
        <v>232</v>
      </c>
      <c r="B89" s="934" t="s">
        <v>587</v>
      </c>
      <c r="C89" s="934"/>
      <c r="D89" s="934"/>
      <c r="E89" s="934"/>
      <c r="F89" s="606">
        <f>_xlfn.LET(
  _xlpm.g,SUMIF($B$10:$B$88,"Gas*",$F$10:$F$88),
  _xlpm.e,SUMIF($B$10:$B$88,"Electric*",$F$10:$F$88),
  IF(AND(_xlpm.g&gt;0,_xlpm.e&gt;0),_xlpm.g,IF(_xlpm.g&gt;0,MAX(75,_xlpm.g),0)))</f>
        <v>478.82543225999996</v>
      </c>
      <c r="G89" s="607"/>
      <c r="H89" s="935" t="s">
        <v>588</v>
      </c>
    </row>
    <row r="90" spans="1:10" ht="19.5" customHeight="1" x14ac:dyDescent="0.25">
      <c r="A90" s="558" t="s">
        <v>231</v>
      </c>
      <c r="B90" s="934" t="s">
        <v>589</v>
      </c>
      <c r="C90" s="934"/>
      <c r="D90" s="934"/>
      <c r="E90" s="934"/>
      <c r="F90" s="606">
        <f>_xlfn.LET(
  _xlpm.g,SUMIF($B$10:$B$88,"Gas*",$F$10:$F$88),
  _xlpm.e,SUMIF($B$10:$B$88,"Electric*",$F$10:$F$88),
  IF(AND(_xlpm.g&gt;0,_xlpm.e&gt;0),_xlpm.e,IF(_xlpm.e&gt;0,MAX(75,_xlpm.e),0)))</f>
        <v>0</v>
      </c>
      <c r="G90" s="607"/>
      <c r="H90" s="935"/>
    </row>
    <row r="91" spans="1:10" ht="19.5" customHeight="1" x14ac:dyDescent="0.25">
      <c r="A91" s="627"/>
      <c r="B91" s="627"/>
      <c r="C91" s="627"/>
      <c r="D91" s="627"/>
      <c r="E91" s="627"/>
      <c r="F91" s="628"/>
      <c r="G91" s="629"/>
      <c r="H91" s="630"/>
    </row>
    <row r="92" spans="1:10" s="462" customFormat="1" ht="14.4" x14ac:dyDescent="0.3">
      <c r="A92" s="723" t="s">
        <v>590</v>
      </c>
      <c r="B92" s="631">
        <f>MAX(1,ROUNDUP(MAX(30,$F$89*$B$98)/MAX($E$122:$E$140),0))</f>
        <v>2</v>
      </c>
      <c r="C92" s="637" t="s">
        <v>591</v>
      </c>
      <c r="D92"/>
      <c r="E92"/>
      <c r="F92"/>
      <c r="G92"/>
      <c r="H92"/>
      <c r="I92"/>
      <c r="J92"/>
    </row>
    <row r="93" spans="1:10" s="462" customFormat="1" ht="14.4" x14ac:dyDescent="0.3">
      <c r="A93" s="723" t="s">
        <v>592</v>
      </c>
      <c r="B93" s="632">
        <f>MAX(30,IF($F$89&gt;0,$F$89,$F$90)*$B$98)</f>
        <v>191.53017290399998</v>
      </c>
      <c r="C93" s="723" t="s">
        <v>593</v>
      </c>
      <c r="D93"/>
      <c r="E93"/>
      <c r="F93"/>
      <c r="G93"/>
      <c r="H93"/>
      <c r="I93"/>
      <c r="J93"/>
    </row>
    <row r="94" spans="1:10" s="462" customFormat="1" ht="28.8" x14ac:dyDescent="0.3">
      <c r="A94" s="638" t="s">
        <v>594</v>
      </c>
      <c r="B94" s="639">
        <f>MAX($E$122:$E$140)</f>
        <v>125</v>
      </c>
      <c r="C94" s="640" t="s">
        <v>595</v>
      </c>
      <c r="D94"/>
      <c r="E94"/>
      <c r="F94"/>
      <c r="G94"/>
      <c r="H94"/>
      <c r="I94"/>
      <c r="J94"/>
    </row>
    <row r="95" spans="1:10" s="462" customFormat="1" ht="15" customHeight="1" x14ac:dyDescent="0.3">
      <c r="A95" s="463" t="s">
        <v>596</v>
      </c>
      <c r="B95" s="464">
        <v>135</v>
      </c>
      <c r="C95" s="465" t="s">
        <v>597</v>
      </c>
      <c r="D95" s="466"/>
      <c r="E95" s="466"/>
      <c r="F95"/>
      <c r="G95"/>
      <c r="H95"/>
      <c r="I95"/>
      <c r="J95"/>
    </row>
    <row r="96" spans="1:10" s="462" customFormat="1" ht="15" customHeight="1" x14ac:dyDescent="0.3">
      <c r="A96" s="466" t="s">
        <v>598</v>
      </c>
      <c r="B96" s="467">
        <v>0.6</v>
      </c>
      <c r="C96" s="465" t="s">
        <v>599</v>
      </c>
      <c r="D96" s="468"/>
      <c r="E96" s="468"/>
      <c r="F96"/>
      <c r="G96"/>
      <c r="H96"/>
      <c r="I96"/>
      <c r="J96"/>
    </row>
    <row r="97" spans="1:15" s="462" customFormat="1" ht="14.4" x14ac:dyDescent="0.3">
      <c r="A97" s="469" t="s">
        <v>600</v>
      </c>
      <c r="B97" s="470">
        <v>8.2876999999999992</v>
      </c>
      <c r="C97" s="465" t="s">
        <v>599</v>
      </c>
      <c r="D97" s="465"/>
      <c r="E97" s="465"/>
      <c r="F97"/>
      <c r="G97"/>
      <c r="H97"/>
      <c r="I97"/>
      <c r="J97"/>
    </row>
    <row r="98" spans="1:15" s="462" customFormat="1" ht="14.4" x14ac:dyDescent="0.3">
      <c r="A98" s="462" t="s">
        <v>601</v>
      </c>
      <c r="B98" s="471">
        <v>0.4</v>
      </c>
      <c r="C98" s="472" t="s">
        <v>602</v>
      </c>
      <c r="D98" s="472"/>
      <c r="F98" s="472"/>
      <c r="G98" s="472"/>
    </row>
    <row r="99" spans="1:15" s="462" customFormat="1" ht="25.5" customHeight="1" x14ac:dyDescent="0.25">
      <c r="A99" s="936" t="s">
        <v>603</v>
      </c>
      <c r="B99" s="937"/>
      <c r="C99" s="937"/>
      <c r="D99" s="937"/>
      <c r="E99" s="937"/>
      <c r="F99" s="937"/>
      <c r="G99" s="937"/>
      <c r="H99" s="937"/>
      <c r="I99" s="937"/>
      <c r="J99" s="937"/>
      <c r="K99" s="937"/>
      <c r="L99" s="937"/>
      <c r="M99" s="937"/>
      <c r="N99" s="937"/>
      <c r="O99" s="937"/>
    </row>
    <row r="100" spans="1:15" s="462" customFormat="1" ht="52.8" x14ac:dyDescent="0.25">
      <c r="A100" s="559" t="s">
        <v>604</v>
      </c>
      <c r="B100" s="559" t="s">
        <v>605</v>
      </c>
      <c r="C100" s="559" t="s">
        <v>606</v>
      </c>
      <c r="D100" s="559" t="s">
        <v>607</v>
      </c>
      <c r="E100" s="559" t="s">
        <v>608</v>
      </c>
      <c r="F100" s="559" t="s">
        <v>609</v>
      </c>
      <c r="G100" s="559" t="s">
        <v>610</v>
      </c>
      <c r="H100" s="926" t="s">
        <v>611</v>
      </c>
      <c r="I100" s="927"/>
      <c r="J100" s="928" t="s">
        <v>612</v>
      </c>
      <c r="K100" s="928"/>
      <c r="L100" s="626" t="s">
        <v>613</v>
      </c>
      <c r="M100" s="626" t="s">
        <v>614</v>
      </c>
      <c r="N100" s="626" t="s">
        <v>615</v>
      </c>
      <c r="O100" s="626" t="s">
        <v>616</v>
      </c>
    </row>
    <row r="101" spans="1:15" s="462" customFormat="1" x14ac:dyDescent="0.25">
      <c r="A101" s="560" t="s">
        <v>617</v>
      </c>
      <c r="B101" s="560" t="s">
        <v>618</v>
      </c>
      <c r="C101" s="561">
        <v>47.9</v>
      </c>
      <c r="D101" s="562">
        <f>$F$89/$B$92*($B$95-C101)*$B$97</f>
        <v>172822.14484668931</v>
      </c>
      <c r="E101" s="562">
        <f>D101*$B$96</f>
        <v>103693.28690801359</v>
      </c>
      <c r="F101" s="562" cm="1">
        <f t="array" ref="F101">_xlfn.LET(_xlpm.x,_xlfn.XLOOKUP(E101/$C$3,$A$122:$A$152,$A$122:$A$152,"",1),IF(_xlpm.x="",ROUNDUP(E101/$C$3,0),_xlpm.x))</f>
        <v>130000</v>
      </c>
      <c r="G101" s="562" cm="1">
        <f t="array" ref="G101">_xlfn.LET(_xlpm.v,MAX(30,$F$89/$B$92*$B$98),_xlpm.x,_xlfn.XLOOKUP(_xlpm.v,$E$122:$E$140,$E$122:$E$140,"",1),IF(_xlpm.x="",ROUNDUP(_xlpm.v,0),_xlpm.x))</f>
        <v>100</v>
      </c>
      <c r="H101" s="562">
        <f>(F101/800)+110*SQRT(G101)</f>
        <v>1262.5</v>
      </c>
      <c r="I101" s="562" t="s">
        <v>619</v>
      </c>
      <c r="J101" s="563">
        <f t="shared" ref="J101:J116" si="4">H101/70</f>
        <v>18.035714285714285</v>
      </c>
      <c r="K101" s="564" t="s">
        <v>620</v>
      </c>
      <c r="L101" s="929" t="s">
        <v>621</v>
      </c>
      <c r="M101" s="642">
        <f t="shared" ref="M101:M116" si="5">$B$92*G101</f>
        <v>200</v>
      </c>
      <c r="N101" s="643">
        <f t="shared" ref="N101:N116" si="6">$B$92*F101</f>
        <v>260000</v>
      </c>
      <c r="O101" s="644">
        <f t="shared" ref="O101:O116" si="7">$B$92*J101</f>
        <v>36.071428571428569</v>
      </c>
    </row>
    <row r="102" spans="1:15" s="462" customFormat="1" x14ac:dyDescent="0.25">
      <c r="A102" s="560" t="s">
        <v>617</v>
      </c>
      <c r="B102" s="560" t="s">
        <v>622</v>
      </c>
      <c r="C102" s="561">
        <v>50.8</v>
      </c>
      <c r="D102" s="562">
        <f t="shared" ref="D102:D116" si="8">$F$89/$B$92*($B$95-C102)*$B$97</f>
        <v>167068.02062102457</v>
      </c>
      <c r="E102" s="562">
        <f t="shared" ref="E102:E116" si="9">D102*$B$96</f>
        <v>100240.81237261473</v>
      </c>
      <c r="F102" s="562">
        <f t="shared" ref="F102:F116" si="10">_xlfn.LET(_xlpm.x,_xlfn.XLOOKUP(E102/$C$3,$A$122:$A$152,$A$122:$A$152,"",1),IF(_xlpm.x="",ROUNDUP(E102/$C$3,0),_xlpm.x))</f>
        <v>130000</v>
      </c>
      <c r="G102" s="562">
        <f t="shared" ref="G102:G116" si="11">_xlfn.LET(_xlpm.v,MAX(30,$F$89/$B$92*$B$98),_xlpm.x,_xlfn.XLOOKUP(_xlpm.v,$E$122:$E$140,$E$122:$E$140,"",1),IF(_xlpm.x="",ROUNDUP(_xlpm.v,0),_xlpm.x))</f>
        <v>100</v>
      </c>
      <c r="H102" s="562">
        <f t="shared" ref="H102:H116" si="12">(F102/800)+110*SQRT(G102)</f>
        <v>1262.5</v>
      </c>
      <c r="I102" s="562" t="s">
        <v>619</v>
      </c>
      <c r="J102" s="563">
        <f t="shared" si="4"/>
        <v>18.035714285714285</v>
      </c>
      <c r="K102" s="564" t="s">
        <v>620</v>
      </c>
      <c r="L102" s="930"/>
      <c r="M102" s="642">
        <f t="shared" si="5"/>
        <v>200</v>
      </c>
      <c r="N102" s="643">
        <f t="shared" si="6"/>
        <v>260000</v>
      </c>
      <c r="O102" s="644">
        <f t="shared" si="7"/>
        <v>36.071428571428569</v>
      </c>
    </row>
    <row r="103" spans="1:15" s="462" customFormat="1" x14ac:dyDescent="0.25">
      <c r="A103" s="560" t="s">
        <v>617</v>
      </c>
      <c r="B103" s="560" t="s">
        <v>623</v>
      </c>
      <c r="C103" s="561">
        <v>52.2</v>
      </c>
      <c r="D103" s="562">
        <f t="shared" si="8"/>
        <v>164290.1675465657</v>
      </c>
      <c r="E103" s="562">
        <f t="shared" si="9"/>
        <v>98574.100527939416</v>
      </c>
      <c r="F103" s="562">
        <f t="shared" si="10"/>
        <v>125000</v>
      </c>
      <c r="G103" s="562">
        <f t="shared" si="11"/>
        <v>100</v>
      </c>
      <c r="H103" s="562">
        <f t="shared" si="12"/>
        <v>1256.25</v>
      </c>
      <c r="I103" s="562" t="s">
        <v>619</v>
      </c>
      <c r="J103" s="563">
        <f t="shared" si="4"/>
        <v>17.946428571428573</v>
      </c>
      <c r="K103" s="564" t="s">
        <v>620</v>
      </c>
      <c r="L103" s="930"/>
      <c r="M103" s="642">
        <f t="shared" si="5"/>
        <v>200</v>
      </c>
      <c r="N103" s="643">
        <f t="shared" si="6"/>
        <v>250000</v>
      </c>
      <c r="O103" s="644">
        <f t="shared" si="7"/>
        <v>35.892857142857146</v>
      </c>
    </row>
    <row r="104" spans="1:15" s="462" customFormat="1" x14ac:dyDescent="0.25">
      <c r="A104" s="560" t="s">
        <v>617</v>
      </c>
      <c r="B104" s="560" t="s">
        <v>624</v>
      </c>
      <c r="C104" s="561">
        <v>52.7</v>
      </c>
      <c r="D104" s="562">
        <f t="shared" si="8"/>
        <v>163298.07716283042</v>
      </c>
      <c r="E104" s="562">
        <f t="shared" si="9"/>
        <v>97978.846297698256</v>
      </c>
      <c r="F104" s="562">
        <f t="shared" si="10"/>
        <v>125000</v>
      </c>
      <c r="G104" s="562">
        <f t="shared" si="11"/>
        <v>100</v>
      </c>
      <c r="H104" s="562">
        <f t="shared" si="12"/>
        <v>1256.25</v>
      </c>
      <c r="I104" s="562" t="s">
        <v>619</v>
      </c>
      <c r="J104" s="563">
        <f t="shared" si="4"/>
        <v>17.946428571428573</v>
      </c>
      <c r="K104" s="564" t="s">
        <v>620</v>
      </c>
      <c r="L104" s="930"/>
      <c r="M104" s="642">
        <f t="shared" si="5"/>
        <v>200</v>
      </c>
      <c r="N104" s="643">
        <f t="shared" si="6"/>
        <v>250000</v>
      </c>
      <c r="O104" s="644">
        <f t="shared" si="7"/>
        <v>35.892857142857146</v>
      </c>
    </row>
    <row r="105" spans="1:15" s="462" customFormat="1" x14ac:dyDescent="0.25">
      <c r="A105" s="560" t="s">
        <v>617</v>
      </c>
      <c r="B105" s="560" t="s">
        <v>625</v>
      </c>
      <c r="C105" s="561">
        <v>51.6</v>
      </c>
      <c r="D105" s="562">
        <f t="shared" si="8"/>
        <v>165480.67600704808</v>
      </c>
      <c r="E105" s="562">
        <f t="shared" si="9"/>
        <v>99288.405604228843</v>
      </c>
      <c r="F105" s="562">
        <f t="shared" si="10"/>
        <v>125000</v>
      </c>
      <c r="G105" s="562">
        <f t="shared" si="11"/>
        <v>100</v>
      </c>
      <c r="H105" s="562">
        <f t="shared" si="12"/>
        <v>1256.25</v>
      </c>
      <c r="I105" s="562" t="s">
        <v>619</v>
      </c>
      <c r="J105" s="563">
        <f t="shared" si="4"/>
        <v>17.946428571428573</v>
      </c>
      <c r="K105" s="564" t="s">
        <v>620</v>
      </c>
      <c r="L105" s="930"/>
      <c r="M105" s="642">
        <f t="shared" si="5"/>
        <v>200</v>
      </c>
      <c r="N105" s="643">
        <f t="shared" si="6"/>
        <v>250000</v>
      </c>
      <c r="O105" s="644">
        <f t="shared" si="7"/>
        <v>35.892857142857146</v>
      </c>
    </row>
    <row r="106" spans="1:15" s="462" customFormat="1" x14ac:dyDescent="0.25">
      <c r="A106" s="560" t="s">
        <v>617</v>
      </c>
      <c r="B106" s="560" t="s">
        <v>626</v>
      </c>
      <c r="C106" s="561">
        <v>56.8</v>
      </c>
      <c r="D106" s="562">
        <f t="shared" si="8"/>
        <v>155162.93601620098</v>
      </c>
      <c r="E106" s="562">
        <f t="shared" si="9"/>
        <v>93097.76160972059</v>
      </c>
      <c r="F106" s="562">
        <f t="shared" si="10"/>
        <v>120000</v>
      </c>
      <c r="G106" s="562">
        <f t="shared" si="11"/>
        <v>100</v>
      </c>
      <c r="H106" s="562">
        <f t="shared" si="12"/>
        <v>1250</v>
      </c>
      <c r="I106" s="562" t="s">
        <v>619</v>
      </c>
      <c r="J106" s="563">
        <f t="shared" si="4"/>
        <v>17.857142857142858</v>
      </c>
      <c r="K106" s="564" t="s">
        <v>620</v>
      </c>
      <c r="L106" s="930"/>
      <c r="M106" s="642">
        <f t="shared" si="5"/>
        <v>200</v>
      </c>
      <c r="N106" s="643">
        <f t="shared" si="6"/>
        <v>240000</v>
      </c>
      <c r="O106" s="644">
        <f t="shared" si="7"/>
        <v>35.714285714285715</v>
      </c>
    </row>
    <row r="107" spans="1:15" s="462" customFormat="1" x14ac:dyDescent="0.25">
      <c r="A107" s="560" t="s">
        <v>617</v>
      </c>
      <c r="B107" s="560" t="s">
        <v>627</v>
      </c>
      <c r="C107" s="561">
        <v>58.4</v>
      </c>
      <c r="D107" s="562">
        <f t="shared" si="8"/>
        <v>151988.24678824798</v>
      </c>
      <c r="E107" s="562">
        <f t="shared" si="9"/>
        <v>91192.948072948784</v>
      </c>
      <c r="F107" s="562">
        <f t="shared" si="10"/>
        <v>120000</v>
      </c>
      <c r="G107" s="562">
        <f t="shared" si="11"/>
        <v>100</v>
      </c>
      <c r="H107" s="562">
        <f t="shared" si="12"/>
        <v>1250</v>
      </c>
      <c r="I107" s="562" t="s">
        <v>619</v>
      </c>
      <c r="J107" s="563">
        <f t="shared" si="4"/>
        <v>17.857142857142858</v>
      </c>
      <c r="K107" s="564" t="s">
        <v>620</v>
      </c>
      <c r="L107" s="930"/>
      <c r="M107" s="642">
        <f t="shared" si="5"/>
        <v>200</v>
      </c>
      <c r="N107" s="643">
        <f t="shared" si="6"/>
        <v>240000</v>
      </c>
      <c r="O107" s="644">
        <f t="shared" si="7"/>
        <v>35.714285714285715</v>
      </c>
    </row>
    <row r="108" spans="1:15" s="462" customFormat="1" x14ac:dyDescent="0.25">
      <c r="A108" s="560" t="s">
        <v>617</v>
      </c>
      <c r="B108" s="560" t="s">
        <v>628</v>
      </c>
      <c r="C108" s="561">
        <v>58.4</v>
      </c>
      <c r="D108" s="562">
        <f t="shared" si="8"/>
        <v>151988.24678824798</v>
      </c>
      <c r="E108" s="562">
        <f t="shared" si="9"/>
        <v>91192.948072948784</v>
      </c>
      <c r="F108" s="562">
        <f t="shared" si="10"/>
        <v>120000</v>
      </c>
      <c r="G108" s="562">
        <f t="shared" si="11"/>
        <v>100</v>
      </c>
      <c r="H108" s="562">
        <f t="shared" si="12"/>
        <v>1250</v>
      </c>
      <c r="I108" s="562" t="s">
        <v>619</v>
      </c>
      <c r="J108" s="563">
        <f t="shared" si="4"/>
        <v>17.857142857142858</v>
      </c>
      <c r="K108" s="564" t="s">
        <v>620</v>
      </c>
      <c r="L108" s="930"/>
      <c r="M108" s="642">
        <f t="shared" si="5"/>
        <v>200</v>
      </c>
      <c r="N108" s="643">
        <f t="shared" si="6"/>
        <v>240000</v>
      </c>
      <c r="O108" s="644">
        <f t="shared" si="7"/>
        <v>35.714285714285715</v>
      </c>
    </row>
    <row r="109" spans="1:15" s="462" customFormat="1" x14ac:dyDescent="0.25">
      <c r="A109" s="560" t="s">
        <v>617</v>
      </c>
      <c r="B109" s="560" t="s">
        <v>629</v>
      </c>
      <c r="C109" s="561">
        <v>57.6</v>
      </c>
      <c r="D109" s="562">
        <f t="shared" si="8"/>
        <v>153575.5914022245</v>
      </c>
      <c r="E109" s="562">
        <f t="shared" si="9"/>
        <v>92145.354841334702</v>
      </c>
      <c r="F109" s="562">
        <f t="shared" si="10"/>
        <v>120000</v>
      </c>
      <c r="G109" s="562">
        <f t="shared" si="11"/>
        <v>100</v>
      </c>
      <c r="H109" s="562">
        <f t="shared" si="12"/>
        <v>1250</v>
      </c>
      <c r="I109" s="562" t="s">
        <v>619</v>
      </c>
      <c r="J109" s="563">
        <f t="shared" si="4"/>
        <v>17.857142857142858</v>
      </c>
      <c r="K109" s="564" t="s">
        <v>620</v>
      </c>
      <c r="L109" s="930"/>
      <c r="M109" s="642">
        <f t="shared" si="5"/>
        <v>200</v>
      </c>
      <c r="N109" s="643">
        <f t="shared" si="6"/>
        <v>240000</v>
      </c>
      <c r="O109" s="644">
        <f t="shared" si="7"/>
        <v>35.714285714285715</v>
      </c>
    </row>
    <row r="110" spans="1:15" s="462" customFormat="1" x14ac:dyDescent="0.25">
      <c r="A110" s="560" t="s">
        <v>617</v>
      </c>
      <c r="B110" s="560" t="s">
        <v>307</v>
      </c>
      <c r="C110" s="561">
        <v>57.1</v>
      </c>
      <c r="D110" s="562">
        <f t="shared" si="8"/>
        <v>154567.68178595981</v>
      </c>
      <c r="E110" s="562">
        <f t="shared" si="9"/>
        <v>92740.609071575876</v>
      </c>
      <c r="F110" s="562">
        <f t="shared" si="10"/>
        <v>120000</v>
      </c>
      <c r="G110" s="562">
        <f t="shared" si="11"/>
        <v>100</v>
      </c>
      <c r="H110" s="562">
        <f t="shared" si="12"/>
        <v>1250</v>
      </c>
      <c r="I110" s="562" t="s">
        <v>619</v>
      </c>
      <c r="J110" s="563">
        <f t="shared" si="4"/>
        <v>17.857142857142858</v>
      </c>
      <c r="K110" s="564" t="s">
        <v>620</v>
      </c>
      <c r="L110" s="930"/>
      <c r="M110" s="642">
        <f t="shared" si="5"/>
        <v>200</v>
      </c>
      <c r="N110" s="643">
        <f t="shared" si="6"/>
        <v>240000</v>
      </c>
      <c r="O110" s="644">
        <f t="shared" si="7"/>
        <v>35.714285714285715</v>
      </c>
    </row>
    <row r="111" spans="1:15" s="462" customFormat="1" x14ac:dyDescent="0.25">
      <c r="A111" s="560" t="s">
        <v>617</v>
      </c>
      <c r="B111" s="560" t="s">
        <v>308</v>
      </c>
      <c r="C111" s="561">
        <v>50.5</v>
      </c>
      <c r="D111" s="562">
        <f t="shared" si="8"/>
        <v>167663.27485126577</v>
      </c>
      <c r="E111" s="562">
        <f t="shared" si="9"/>
        <v>100597.96491075946</v>
      </c>
      <c r="F111" s="562">
        <f t="shared" si="10"/>
        <v>130000</v>
      </c>
      <c r="G111" s="562">
        <f t="shared" si="11"/>
        <v>100</v>
      </c>
      <c r="H111" s="562">
        <f t="shared" si="12"/>
        <v>1262.5</v>
      </c>
      <c r="I111" s="562" t="s">
        <v>619</v>
      </c>
      <c r="J111" s="563">
        <f t="shared" si="4"/>
        <v>18.035714285714285</v>
      </c>
      <c r="K111" s="564" t="s">
        <v>620</v>
      </c>
      <c r="L111" s="930"/>
      <c r="M111" s="642">
        <f t="shared" si="5"/>
        <v>200</v>
      </c>
      <c r="N111" s="643">
        <f t="shared" si="6"/>
        <v>260000</v>
      </c>
      <c r="O111" s="644">
        <f t="shared" si="7"/>
        <v>36.071428571428569</v>
      </c>
    </row>
    <row r="112" spans="1:15" s="462" customFormat="1" x14ac:dyDescent="0.25">
      <c r="A112" s="560" t="s">
        <v>617</v>
      </c>
      <c r="B112" s="560" t="s">
        <v>309</v>
      </c>
      <c r="C112" s="561">
        <v>51.4</v>
      </c>
      <c r="D112" s="562">
        <f t="shared" si="8"/>
        <v>165877.51216054219</v>
      </c>
      <c r="E112" s="562">
        <f t="shared" si="9"/>
        <v>99526.507296325304</v>
      </c>
      <c r="F112" s="562">
        <f t="shared" si="10"/>
        <v>125000</v>
      </c>
      <c r="G112" s="562">
        <f t="shared" si="11"/>
        <v>100</v>
      </c>
      <c r="H112" s="562">
        <f t="shared" si="12"/>
        <v>1256.25</v>
      </c>
      <c r="I112" s="562" t="s">
        <v>619</v>
      </c>
      <c r="J112" s="563">
        <f t="shared" si="4"/>
        <v>17.946428571428573</v>
      </c>
      <c r="K112" s="564" t="s">
        <v>620</v>
      </c>
      <c r="L112" s="930"/>
      <c r="M112" s="642">
        <f t="shared" si="5"/>
        <v>200</v>
      </c>
      <c r="N112" s="643">
        <f t="shared" si="6"/>
        <v>250000</v>
      </c>
      <c r="O112" s="644">
        <f t="shared" si="7"/>
        <v>35.892857142857146</v>
      </c>
    </row>
    <row r="113" spans="1:15" s="462" customFormat="1" x14ac:dyDescent="0.25">
      <c r="A113" s="560" t="s">
        <v>617</v>
      </c>
      <c r="B113" s="560" t="s">
        <v>310</v>
      </c>
      <c r="C113" s="561">
        <v>51.7</v>
      </c>
      <c r="D113" s="562">
        <f t="shared" si="8"/>
        <v>165282.25793030104</v>
      </c>
      <c r="E113" s="562">
        <f t="shared" si="9"/>
        <v>99169.35475818062</v>
      </c>
      <c r="F113" s="562">
        <f t="shared" si="10"/>
        <v>125000</v>
      </c>
      <c r="G113" s="562">
        <f t="shared" si="11"/>
        <v>100</v>
      </c>
      <c r="H113" s="562">
        <f t="shared" si="12"/>
        <v>1256.25</v>
      </c>
      <c r="I113" s="562" t="s">
        <v>619</v>
      </c>
      <c r="J113" s="563">
        <f t="shared" si="4"/>
        <v>17.946428571428573</v>
      </c>
      <c r="K113" s="564" t="s">
        <v>620</v>
      </c>
      <c r="L113" s="930"/>
      <c r="M113" s="642">
        <f t="shared" si="5"/>
        <v>200</v>
      </c>
      <c r="N113" s="643">
        <f t="shared" si="6"/>
        <v>250000</v>
      </c>
      <c r="O113" s="644">
        <f t="shared" si="7"/>
        <v>35.892857142857146</v>
      </c>
    </row>
    <row r="114" spans="1:15" s="462" customFormat="1" x14ac:dyDescent="0.25">
      <c r="A114" s="560" t="s">
        <v>617</v>
      </c>
      <c r="B114" s="560" t="s">
        <v>311</v>
      </c>
      <c r="C114" s="561">
        <v>50.1</v>
      </c>
      <c r="D114" s="562">
        <f t="shared" si="8"/>
        <v>168456.94715825401</v>
      </c>
      <c r="E114" s="562">
        <f t="shared" si="9"/>
        <v>101074.16829495241</v>
      </c>
      <c r="F114" s="562">
        <f t="shared" si="10"/>
        <v>130000</v>
      </c>
      <c r="G114" s="562">
        <f t="shared" si="11"/>
        <v>100</v>
      </c>
      <c r="H114" s="562">
        <f t="shared" si="12"/>
        <v>1262.5</v>
      </c>
      <c r="I114" s="562" t="s">
        <v>619</v>
      </c>
      <c r="J114" s="563">
        <f t="shared" si="4"/>
        <v>18.035714285714285</v>
      </c>
      <c r="K114" s="564" t="s">
        <v>620</v>
      </c>
      <c r="L114" s="930"/>
      <c r="M114" s="642">
        <f t="shared" si="5"/>
        <v>200</v>
      </c>
      <c r="N114" s="643">
        <f t="shared" si="6"/>
        <v>260000</v>
      </c>
      <c r="O114" s="644">
        <f t="shared" si="7"/>
        <v>36.071428571428569</v>
      </c>
    </row>
    <row r="115" spans="1:15" s="462" customFormat="1" x14ac:dyDescent="0.25">
      <c r="A115" s="560" t="s">
        <v>617</v>
      </c>
      <c r="B115" s="560" t="s">
        <v>312</v>
      </c>
      <c r="C115" s="561">
        <v>63.2</v>
      </c>
      <c r="D115" s="562">
        <f t="shared" si="8"/>
        <v>142464.17910438913</v>
      </c>
      <c r="E115" s="562">
        <f t="shared" si="9"/>
        <v>85478.507462633468</v>
      </c>
      <c r="F115" s="562">
        <f t="shared" si="10"/>
        <v>120000</v>
      </c>
      <c r="G115" s="562">
        <f t="shared" si="11"/>
        <v>100</v>
      </c>
      <c r="H115" s="562">
        <f t="shared" si="12"/>
        <v>1250</v>
      </c>
      <c r="I115" s="562" t="s">
        <v>619</v>
      </c>
      <c r="J115" s="563">
        <f t="shared" si="4"/>
        <v>17.857142857142858</v>
      </c>
      <c r="K115" s="564" t="s">
        <v>620</v>
      </c>
      <c r="L115" s="930"/>
      <c r="M115" s="642">
        <f t="shared" si="5"/>
        <v>200</v>
      </c>
      <c r="N115" s="643">
        <f t="shared" si="6"/>
        <v>240000</v>
      </c>
      <c r="O115" s="644">
        <f t="shared" si="7"/>
        <v>35.714285714285715</v>
      </c>
    </row>
    <row r="116" spans="1:15" s="462" customFormat="1" x14ac:dyDescent="0.25">
      <c r="A116" s="560" t="s">
        <v>617</v>
      </c>
      <c r="B116" s="560" t="s">
        <v>313</v>
      </c>
      <c r="C116" s="561">
        <v>41.4</v>
      </c>
      <c r="D116" s="562">
        <f t="shared" si="8"/>
        <v>185719.3198352482</v>
      </c>
      <c r="E116" s="562">
        <f t="shared" si="9"/>
        <v>111431.59190114892</v>
      </c>
      <c r="F116" s="562">
        <f t="shared" si="10"/>
        <v>145000</v>
      </c>
      <c r="G116" s="562">
        <f t="shared" si="11"/>
        <v>100</v>
      </c>
      <c r="H116" s="562">
        <f t="shared" si="12"/>
        <v>1281.25</v>
      </c>
      <c r="I116" s="562" t="s">
        <v>619</v>
      </c>
      <c r="J116" s="563">
        <f t="shared" si="4"/>
        <v>18.303571428571427</v>
      </c>
      <c r="K116" s="564" t="s">
        <v>620</v>
      </c>
      <c r="L116" s="931"/>
      <c r="M116" s="642">
        <f t="shared" si="5"/>
        <v>200</v>
      </c>
      <c r="N116" s="643">
        <f t="shared" si="6"/>
        <v>290000</v>
      </c>
      <c r="O116" s="644">
        <f t="shared" si="7"/>
        <v>36.607142857142854</v>
      </c>
    </row>
    <row r="117" spans="1:15" s="462" customFormat="1" ht="14.4" x14ac:dyDescent="0.3">
      <c r="C117" s="472"/>
      <c r="D117" s="472"/>
      <c r="F117" s="472"/>
      <c r="G117" s="472"/>
    </row>
    <row r="118" spans="1:15" s="462" customFormat="1" ht="14.4" x14ac:dyDescent="0.3">
      <c r="C118" s="472"/>
      <c r="D118" s="472"/>
      <c r="F118" s="472"/>
      <c r="G118" s="472"/>
    </row>
    <row r="119" spans="1:15" s="462" customFormat="1" ht="14.4" x14ac:dyDescent="0.3">
      <c r="C119" s="472"/>
      <c r="D119" s="472"/>
      <c r="F119" s="472"/>
      <c r="G119" s="472"/>
    </row>
    <row r="120" spans="1:15" s="462" customFormat="1" ht="24.75" customHeight="1" x14ac:dyDescent="0.25">
      <c r="A120" s="932" t="s">
        <v>630</v>
      </c>
      <c r="B120" s="932"/>
      <c r="C120" s="932"/>
      <c r="D120" s="932"/>
      <c r="E120" s="932"/>
      <c r="F120" s="932"/>
      <c r="G120" s="932"/>
      <c r="H120" s="932"/>
    </row>
    <row r="121" spans="1:15" s="473" customFormat="1" ht="23.25" customHeight="1" x14ac:dyDescent="0.25">
      <c r="A121" s="565" t="s">
        <v>631</v>
      </c>
      <c r="B121" s="566" t="s">
        <v>632</v>
      </c>
      <c r="C121" s="567" t="s">
        <v>633</v>
      </c>
      <c r="D121" s="568" t="s">
        <v>634</v>
      </c>
      <c r="E121" s="569" t="s">
        <v>635</v>
      </c>
      <c r="F121" s="568" t="s">
        <v>636</v>
      </c>
      <c r="G121" s="570" t="s">
        <v>637</v>
      </c>
      <c r="H121" s="571" t="s">
        <v>638</v>
      </c>
      <c r="I121" s="625" t="str">
        <f>HYPERLINK("#'Note'!A1","Sources and links → Note tab")</f>
        <v>Sources and links → Note tab</v>
      </c>
    </row>
    <row r="122" spans="1:15" s="462" customFormat="1" ht="13.8" x14ac:dyDescent="0.25">
      <c r="A122" s="572">
        <v>60000</v>
      </c>
      <c r="B122" s="573" t="s">
        <v>639</v>
      </c>
      <c r="C122" s="574">
        <v>1.5</v>
      </c>
      <c r="D122" s="575">
        <v>5118</v>
      </c>
      <c r="E122" s="576">
        <v>34</v>
      </c>
      <c r="F122" s="576" t="s">
        <v>640</v>
      </c>
      <c r="G122" s="576">
        <v>6</v>
      </c>
      <c r="H122" s="619" t="s">
        <v>639</v>
      </c>
    </row>
    <row r="123" spans="1:15" s="462" customFormat="1" ht="13.8" x14ac:dyDescent="0.25">
      <c r="A123" s="577">
        <v>75100</v>
      </c>
      <c r="B123" s="578" t="s">
        <v>639</v>
      </c>
      <c r="C123" s="579">
        <v>2</v>
      </c>
      <c r="D123" s="580">
        <v>6824</v>
      </c>
      <c r="E123" s="620">
        <v>35</v>
      </c>
      <c r="F123" s="620" t="s">
        <v>639</v>
      </c>
      <c r="G123" s="620">
        <v>10</v>
      </c>
      <c r="H123" s="621" t="s">
        <v>639</v>
      </c>
    </row>
    <row r="124" spans="1:15" s="462" customFormat="1" ht="13.8" x14ac:dyDescent="0.25">
      <c r="A124" s="577">
        <v>76000</v>
      </c>
      <c r="B124" s="578" t="s">
        <v>641</v>
      </c>
      <c r="C124" s="579">
        <v>3</v>
      </c>
      <c r="D124" s="580">
        <v>10236</v>
      </c>
      <c r="E124" s="620">
        <v>48</v>
      </c>
      <c r="F124" s="620" t="s">
        <v>639</v>
      </c>
      <c r="G124" s="620">
        <v>15</v>
      </c>
      <c r="H124" s="621" t="s">
        <v>639</v>
      </c>
    </row>
    <row r="125" spans="1:15" s="462" customFormat="1" ht="13.8" x14ac:dyDescent="0.25">
      <c r="A125" s="577">
        <v>80000</v>
      </c>
      <c r="B125" s="578" t="s">
        <v>639</v>
      </c>
      <c r="C125" s="579">
        <v>4.5</v>
      </c>
      <c r="D125" s="580">
        <v>15355</v>
      </c>
      <c r="E125" s="620">
        <v>50</v>
      </c>
      <c r="F125" s="620" t="s">
        <v>641</v>
      </c>
      <c r="G125" s="620">
        <v>20</v>
      </c>
      <c r="H125" s="621" t="s">
        <v>639</v>
      </c>
    </row>
    <row r="126" spans="1:15" s="462" customFormat="1" ht="13.8" x14ac:dyDescent="0.25">
      <c r="A126" s="577">
        <v>99900</v>
      </c>
      <c r="B126" s="578" t="s">
        <v>640</v>
      </c>
      <c r="C126" s="579">
        <v>6</v>
      </c>
      <c r="D126" s="580">
        <v>20473</v>
      </c>
      <c r="E126" s="620">
        <v>55</v>
      </c>
      <c r="F126" s="620" t="s">
        <v>640</v>
      </c>
      <c r="G126" s="620">
        <v>28</v>
      </c>
      <c r="H126" s="621" t="s">
        <v>639</v>
      </c>
    </row>
    <row r="127" spans="1:15" s="462" customFormat="1" ht="13.8" x14ac:dyDescent="0.25">
      <c r="A127" s="577">
        <v>100000</v>
      </c>
      <c r="B127" s="578" t="s">
        <v>641</v>
      </c>
      <c r="C127" s="579">
        <v>8</v>
      </c>
      <c r="D127" s="580">
        <v>27297</v>
      </c>
      <c r="E127" s="620">
        <v>60</v>
      </c>
      <c r="F127" s="620" t="s">
        <v>640</v>
      </c>
      <c r="G127" s="620">
        <v>30</v>
      </c>
      <c r="H127" s="621" t="s">
        <v>639</v>
      </c>
    </row>
    <row r="128" spans="1:15" s="462" customFormat="1" ht="13.8" x14ac:dyDescent="0.25">
      <c r="A128" s="577">
        <v>120000</v>
      </c>
      <c r="B128" s="578" t="s">
        <v>640</v>
      </c>
      <c r="C128" s="579">
        <v>9</v>
      </c>
      <c r="D128" s="580">
        <v>30709</v>
      </c>
      <c r="E128" s="620">
        <v>65</v>
      </c>
      <c r="F128" s="620" t="s">
        <v>641</v>
      </c>
      <c r="G128" s="620">
        <v>36</v>
      </c>
      <c r="H128" s="621" t="s">
        <v>639</v>
      </c>
    </row>
    <row r="129" spans="1:8" s="462" customFormat="1" ht="13.8" x14ac:dyDescent="0.25">
      <c r="A129" s="577">
        <v>125000</v>
      </c>
      <c r="B129" s="578" t="s">
        <v>641</v>
      </c>
      <c r="C129" s="579">
        <v>10</v>
      </c>
      <c r="D129" s="580">
        <v>34121</v>
      </c>
      <c r="E129" s="620">
        <v>72</v>
      </c>
      <c r="F129" s="620" t="s">
        <v>639</v>
      </c>
      <c r="G129" s="620">
        <v>40</v>
      </c>
      <c r="H129" s="621" t="s">
        <v>639</v>
      </c>
    </row>
    <row r="130" spans="1:8" s="462" customFormat="1" ht="13.8" x14ac:dyDescent="0.25">
      <c r="A130" s="577">
        <v>130000</v>
      </c>
      <c r="B130" s="578" t="s">
        <v>641</v>
      </c>
      <c r="C130" s="579">
        <v>12</v>
      </c>
      <c r="D130" s="580">
        <v>40946</v>
      </c>
      <c r="E130" s="620">
        <v>75</v>
      </c>
      <c r="F130" s="620" t="s">
        <v>641</v>
      </c>
      <c r="G130" s="620">
        <v>47</v>
      </c>
      <c r="H130" s="621" t="s">
        <v>639</v>
      </c>
    </row>
    <row r="131" spans="1:8" s="462" customFormat="1" ht="13.8" x14ac:dyDescent="0.25">
      <c r="A131" s="577">
        <v>145000</v>
      </c>
      <c r="B131" s="578" t="s">
        <v>640</v>
      </c>
      <c r="C131" s="579">
        <v>12.1</v>
      </c>
      <c r="D131" s="580">
        <v>41287</v>
      </c>
      <c r="E131" s="620">
        <v>76</v>
      </c>
      <c r="F131" s="620" t="s">
        <v>639</v>
      </c>
      <c r="G131" s="620">
        <v>50</v>
      </c>
      <c r="H131" s="621" t="s">
        <v>639</v>
      </c>
    </row>
    <row r="132" spans="1:8" s="462" customFormat="1" ht="13.8" x14ac:dyDescent="0.25">
      <c r="A132" s="577">
        <v>150000</v>
      </c>
      <c r="B132" s="578" t="s">
        <v>640</v>
      </c>
      <c r="C132" s="579">
        <v>18</v>
      </c>
      <c r="D132" s="580">
        <v>61419</v>
      </c>
      <c r="E132" s="620">
        <v>80</v>
      </c>
      <c r="F132" s="620" t="s">
        <v>641</v>
      </c>
      <c r="G132" s="620">
        <v>65</v>
      </c>
      <c r="H132" s="621" t="s">
        <v>639</v>
      </c>
    </row>
    <row r="133" spans="1:8" s="462" customFormat="1" x14ac:dyDescent="0.25">
      <c r="A133" s="577">
        <v>156000</v>
      </c>
      <c r="B133" s="581" t="s">
        <v>639</v>
      </c>
      <c r="C133" s="579">
        <v>24</v>
      </c>
      <c r="D133" s="580">
        <v>81891</v>
      </c>
      <c r="E133" s="620">
        <v>82</v>
      </c>
      <c r="F133" s="620" t="s">
        <v>639</v>
      </c>
      <c r="G133" s="620">
        <v>80</v>
      </c>
      <c r="H133" s="621" t="s">
        <v>639</v>
      </c>
    </row>
    <row r="134" spans="1:8" s="462" customFormat="1" x14ac:dyDescent="0.25">
      <c r="A134" s="577">
        <v>160000</v>
      </c>
      <c r="B134" s="581" t="s">
        <v>641</v>
      </c>
      <c r="C134" s="579">
        <v>27</v>
      </c>
      <c r="D134" s="580">
        <v>92128</v>
      </c>
      <c r="E134" s="620">
        <v>85</v>
      </c>
      <c r="F134" s="620" t="s">
        <v>639</v>
      </c>
      <c r="G134" s="620">
        <v>85</v>
      </c>
      <c r="H134" s="621" t="s">
        <v>639</v>
      </c>
    </row>
    <row r="135" spans="1:8" s="462" customFormat="1" x14ac:dyDescent="0.25">
      <c r="A135" s="577">
        <v>175000</v>
      </c>
      <c r="B135" s="581" t="s">
        <v>640</v>
      </c>
      <c r="C135" s="579">
        <v>36</v>
      </c>
      <c r="D135" s="580">
        <v>122837</v>
      </c>
      <c r="E135" s="620">
        <v>90</v>
      </c>
      <c r="F135" s="620" t="s">
        <v>641</v>
      </c>
      <c r="G135" s="620">
        <v>105</v>
      </c>
      <c r="H135" s="621" t="s">
        <v>639</v>
      </c>
    </row>
    <row r="136" spans="1:8" s="462" customFormat="1" x14ac:dyDescent="0.25">
      <c r="A136" s="577">
        <v>180000</v>
      </c>
      <c r="B136" s="581" t="s">
        <v>639</v>
      </c>
      <c r="C136" s="579">
        <v>54</v>
      </c>
      <c r="D136" s="580">
        <v>184256</v>
      </c>
      <c r="E136" s="620">
        <v>91</v>
      </c>
      <c r="F136" s="620" t="s">
        <v>639</v>
      </c>
      <c r="G136" s="620">
        <v>120</v>
      </c>
      <c r="H136" s="621" t="s">
        <v>639</v>
      </c>
    </row>
    <row r="137" spans="1:8" s="462" customFormat="1" x14ac:dyDescent="0.25">
      <c r="A137" s="577">
        <v>199000</v>
      </c>
      <c r="B137" s="581" t="s">
        <v>640</v>
      </c>
      <c r="C137" s="579"/>
      <c r="D137" s="620"/>
      <c r="E137" s="620">
        <v>100</v>
      </c>
      <c r="F137" s="620" t="s">
        <v>641</v>
      </c>
      <c r="G137" s="620"/>
      <c r="H137" s="621"/>
    </row>
    <row r="138" spans="1:8" s="462" customFormat="1" x14ac:dyDescent="0.25">
      <c r="A138" s="577">
        <v>199900</v>
      </c>
      <c r="B138" s="581" t="s">
        <v>641</v>
      </c>
      <c r="C138" s="579"/>
      <c r="D138" s="620"/>
      <c r="E138" s="620">
        <v>110</v>
      </c>
      <c r="F138" s="620" t="s">
        <v>640</v>
      </c>
      <c r="G138" s="620"/>
      <c r="H138" s="621"/>
    </row>
    <row r="139" spans="1:8" s="462" customFormat="1" x14ac:dyDescent="0.25">
      <c r="A139" s="577">
        <v>200000</v>
      </c>
      <c r="B139" s="581" t="s">
        <v>640</v>
      </c>
      <c r="C139" s="579"/>
      <c r="D139" s="620"/>
      <c r="E139" s="620">
        <v>119</v>
      </c>
      <c r="F139" s="620" t="s">
        <v>641</v>
      </c>
      <c r="G139" s="620"/>
      <c r="H139" s="621"/>
    </row>
    <row r="140" spans="1:8" s="462" customFormat="1" x14ac:dyDescent="0.25">
      <c r="A140" s="577">
        <v>250000</v>
      </c>
      <c r="B140" s="581" t="s">
        <v>641</v>
      </c>
      <c r="C140" s="622"/>
      <c r="D140" s="623"/>
      <c r="E140" s="623">
        <v>125</v>
      </c>
      <c r="F140" s="623" t="s">
        <v>640</v>
      </c>
      <c r="G140" s="623"/>
      <c r="H140" s="624"/>
    </row>
    <row r="141" spans="1:8" s="462" customFormat="1" ht="14.4" x14ac:dyDescent="0.25">
      <c r="A141" s="577">
        <v>251000</v>
      </c>
      <c r="B141" s="581" t="s">
        <v>640</v>
      </c>
      <c r="C141" s="474"/>
      <c r="D141" s="474"/>
      <c r="E141" s="475"/>
      <c r="F141" s="474"/>
      <c r="G141" s="474"/>
    </row>
    <row r="142" spans="1:8" s="462" customFormat="1" ht="14.4" x14ac:dyDescent="0.25">
      <c r="A142" s="577">
        <v>270000</v>
      </c>
      <c r="B142" s="581" t="s">
        <v>639</v>
      </c>
      <c r="C142" s="474"/>
      <c r="D142" s="474"/>
      <c r="E142" s="475"/>
      <c r="F142" s="474"/>
      <c r="G142" s="474"/>
    </row>
    <row r="143" spans="1:8" s="462" customFormat="1" ht="14.4" x14ac:dyDescent="0.25">
      <c r="A143" s="577">
        <v>285000</v>
      </c>
      <c r="B143" s="581" t="s">
        <v>640</v>
      </c>
      <c r="C143" s="474"/>
      <c r="D143" s="474"/>
      <c r="E143" s="475"/>
      <c r="F143" s="474"/>
      <c r="G143" s="474"/>
    </row>
    <row r="144" spans="1:8" s="462" customFormat="1" ht="14.4" x14ac:dyDescent="0.25">
      <c r="A144" s="577">
        <v>300000</v>
      </c>
      <c r="B144" s="581" t="s">
        <v>641</v>
      </c>
      <c r="C144" s="474"/>
      <c r="D144" s="474"/>
      <c r="E144" s="475"/>
      <c r="F144" s="474"/>
      <c r="G144" s="474"/>
    </row>
    <row r="145" spans="1:7" s="462" customFormat="1" ht="14.4" x14ac:dyDescent="0.25">
      <c r="A145" s="577">
        <v>320000</v>
      </c>
      <c r="B145" s="581" t="s">
        <v>640</v>
      </c>
      <c r="C145" s="474"/>
      <c r="D145" s="474"/>
      <c r="E145" s="475"/>
      <c r="F145" s="474"/>
      <c r="G145" s="474"/>
    </row>
    <row r="146" spans="1:7" s="462" customFormat="1" ht="14.4" x14ac:dyDescent="0.25">
      <c r="A146" s="577">
        <v>360000</v>
      </c>
      <c r="B146" s="581" t="s">
        <v>639</v>
      </c>
      <c r="C146" s="474"/>
      <c r="D146" s="474"/>
      <c r="E146" s="475"/>
      <c r="F146" s="474"/>
      <c r="G146" s="474"/>
    </row>
    <row r="147" spans="1:7" s="462" customFormat="1" ht="14.4" x14ac:dyDescent="0.25">
      <c r="A147" s="577">
        <v>398000</v>
      </c>
      <c r="B147" s="581" t="s">
        <v>640</v>
      </c>
      <c r="C147" s="474"/>
      <c r="D147" s="474"/>
      <c r="E147" s="475"/>
      <c r="F147" s="474"/>
      <c r="G147" s="474"/>
    </row>
    <row r="148" spans="1:7" s="462" customFormat="1" ht="14.4" x14ac:dyDescent="0.25">
      <c r="A148" s="577">
        <v>399000</v>
      </c>
      <c r="B148" s="581" t="s">
        <v>640</v>
      </c>
      <c r="C148" s="474"/>
      <c r="D148" s="474"/>
      <c r="E148" s="475"/>
      <c r="F148" s="474"/>
      <c r="G148" s="474"/>
    </row>
    <row r="149" spans="1:7" s="462" customFormat="1" ht="14.4" x14ac:dyDescent="0.25">
      <c r="A149" s="577">
        <v>399900</v>
      </c>
      <c r="B149" s="581" t="s">
        <v>641</v>
      </c>
      <c r="C149" s="474"/>
      <c r="D149" s="474"/>
      <c r="E149" s="475"/>
      <c r="F149" s="474"/>
      <c r="G149" s="474"/>
    </row>
    <row r="150" spans="1:7" s="462" customFormat="1" ht="14.4" x14ac:dyDescent="0.25">
      <c r="A150" s="577">
        <v>499900</v>
      </c>
      <c r="B150" s="581" t="s">
        <v>639</v>
      </c>
      <c r="C150" s="474"/>
      <c r="D150" s="474"/>
      <c r="E150" s="475"/>
      <c r="F150" s="474"/>
      <c r="G150" s="474"/>
    </row>
    <row r="151" spans="1:7" s="462" customFormat="1" ht="14.4" x14ac:dyDescent="0.25">
      <c r="A151" s="577">
        <v>550000</v>
      </c>
      <c r="B151" s="581" t="s">
        <v>639</v>
      </c>
      <c r="C151" s="474"/>
      <c r="D151" s="474"/>
      <c r="E151" s="475"/>
      <c r="F151" s="474"/>
      <c r="G151" s="474"/>
    </row>
    <row r="152" spans="1:7" s="462" customFormat="1" ht="14.4" x14ac:dyDescent="0.25">
      <c r="A152" s="582">
        <v>715000</v>
      </c>
      <c r="B152" s="583" t="s">
        <v>639</v>
      </c>
      <c r="C152" s="474"/>
      <c r="D152" s="474"/>
      <c r="E152" s="475"/>
      <c r="F152" s="474"/>
      <c r="G152" s="474"/>
    </row>
    <row r="153" spans="1:7" customFormat="1" ht="14.4" x14ac:dyDescent="0.3"/>
    <row r="154" spans="1:7" customFormat="1" ht="14.4" x14ac:dyDescent="0.3"/>
    <row r="155" spans="1:7" customFormat="1" ht="14.4" x14ac:dyDescent="0.3"/>
    <row r="156" spans="1:7" customFormat="1" ht="14.4" hidden="1" x14ac:dyDescent="0.3"/>
    <row r="157" spans="1:7" customFormat="1" ht="14.4" x14ac:dyDescent="0.3"/>
    <row r="158" spans="1:7" customFormat="1" ht="14.4" x14ac:dyDescent="0.3"/>
    <row r="159" spans="1:7" customFormat="1" ht="14.4" x14ac:dyDescent="0.3"/>
    <row r="160" spans="1:7" customFormat="1" ht="14.4" x14ac:dyDescent="0.3"/>
    <row r="161" spans="1:1" x14ac:dyDescent="0.25">
      <c r="A161" s="263"/>
    </row>
    <row r="162" spans="1:1" x14ac:dyDescent="0.25">
      <c r="A162" s="263"/>
    </row>
    <row r="163" spans="1:1" x14ac:dyDescent="0.25">
      <c r="A163" s="263"/>
    </row>
    <row r="164" spans="1:1" x14ac:dyDescent="0.25">
      <c r="A164" s="263"/>
    </row>
    <row r="165" spans="1:1" x14ac:dyDescent="0.25">
      <c r="A165" s="263"/>
    </row>
    <row r="166" spans="1:1" x14ac:dyDescent="0.25">
      <c r="A166" s="263"/>
    </row>
    <row r="167" spans="1:1" x14ac:dyDescent="0.25">
      <c r="A167" s="263"/>
    </row>
    <row r="168" spans="1:1" x14ac:dyDescent="0.25">
      <c r="A168" s="263"/>
    </row>
    <row r="169" spans="1:1" x14ac:dyDescent="0.25">
      <c r="A169" s="263"/>
    </row>
    <row r="170" spans="1:1" x14ac:dyDescent="0.25">
      <c r="A170" s="263"/>
    </row>
    <row r="171" spans="1:1" x14ac:dyDescent="0.25">
      <c r="A171" s="263"/>
    </row>
  </sheetData>
  <mergeCells count="11">
    <mergeCell ref="A1:G1"/>
    <mergeCell ref="H100:I100"/>
    <mergeCell ref="J100:K100"/>
    <mergeCell ref="L101:L116"/>
    <mergeCell ref="A120:H120"/>
    <mergeCell ref="A8:H8"/>
    <mergeCell ref="H10:H88"/>
    <mergeCell ref="B89:E89"/>
    <mergeCell ref="H89:H90"/>
    <mergeCell ref="B90:E90"/>
    <mergeCell ref="A99:O99"/>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H24"/>
  <sheetViews>
    <sheetView zoomScaleNormal="100" workbookViewId="0">
      <selection sqref="A1:H1"/>
    </sheetView>
  </sheetViews>
  <sheetFormatPr defaultColWidth="8.6640625" defaultRowHeight="13.2" x14ac:dyDescent="0.25"/>
  <cols>
    <col min="1" max="1" width="46.88671875" style="5" customWidth="1"/>
    <col min="2" max="2" width="19" style="5" customWidth="1"/>
    <col min="3" max="3" width="26.5546875" style="5" customWidth="1"/>
    <col min="4" max="4" width="26.44140625" style="5" customWidth="1"/>
    <col min="5" max="5" width="21.33203125" style="5" customWidth="1"/>
    <col min="6" max="6" width="25.88671875" style="5" customWidth="1"/>
    <col min="7" max="7" width="32.5546875" style="5" customWidth="1"/>
    <col min="8" max="8" width="42.44140625" style="5" customWidth="1"/>
    <col min="9" max="9" width="13.33203125" style="5" customWidth="1"/>
    <col min="10" max="10" width="24" style="5" customWidth="1"/>
    <col min="11" max="11" width="10.5546875" style="5" customWidth="1"/>
    <col min="12" max="12" width="11.44140625" style="5" customWidth="1"/>
    <col min="13" max="13" width="10.5546875" style="5" customWidth="1"/>
    <col min="14" max="14" width="13.33203125" style="5" customWidth="1"/>
    <col min="15" max="15" width="9.6640625" style="5" customWidth="1"/>
    <col min="16" max="16" width="9.44140625" style="5" customWidth="1"/>
    <col min="17" max="17" width="12.6640625" style="5" customWidth="1"/>
    <col min="18" max="18" width="14.6640625" style="5" customWidth="1"/>
    <col min="19" max="19" width="20.6640625" style="5" customWidth="1"/>
    <col min="20" max="20" width="19.6640625" style="5" customWidth="1"/>
    <col min="21" max="26" width="8.6640625" style="5"/>
    <col min="27" max="27" width="13.6640625" style="5" bestFit="1" customWidth="1"/>
    <col min="28" max="16384" width="8.6640625" style="5"/>
  </cols>
  <sheetData>
    <row r="1" spans="1:8" ht="25.95" customHeight="1" x14ac:dyDescent="0.25">
      <c r="A1" s="940" t="str">
        <f>"Interior Lighting - " &amp; Prototype!A2</f>
        <v>Interior Lighting - OfficeLarge</v>
      </c>
      <c r="B1" s="864"/>
      <c r="C1" s="864"/>
      <c r="D1" s="864"/>
      <c r="E1" s="864"/>
      <c r="F1" s="864"/>
      <c r="G1" s="864"/>
      <c r="H1" s="864"/>
    </row>
    <row r="2" spans="1:8" ht="25.95" customHeight="1" x14ac:dyDescent="0.25">
      <c r="A2" s="941" t="s">
        <v>187</v>
      </c>
      <c r="B2" s="942" t="s">
        <v>642</v>
      </c>
      <c r="C2" s="942"/>
      <c r="D2" s="942"/>
      <c r="E2" s="942" t="s">
        <v>325</v>
      </c>
      <c r="F2" s="942"/>
      <c r="G2" s="942"/>
      <c r="H2" s="942" t="s">
        <v>344</v>
      </c>
    </row>
    <row r="3" spans="1:8" ht="26.4" x14ac:dyDescent="0.25">
      <c r="A3" s="941"/>
      <c r="B3" s="763" t="s">
        <v>643</v>
      </c>
      <c r="C3" s="763" t="s">
        <v>644</v>
      </c>
      <c r="D3" s="763" t="s">
        <v>378</v>
      </c>
      <c r="E3" s="763" t="s">
        <v>645</v>
      </c>
      <c r="F3" s="763" t="s">
        <v>644</v>
      </c>
      <c r="G3" s="763" t="s">
        <v>378</v>
      </c>
      <c r="H3" s="942"/>
    </row>
    <row r="4" spans="1:8" ht="27.6" customHeight="1" x14ac:dyDescent="0.25">
      <c r="A4" s="754" t="s">
        <v>140</v>
      </c>
      <c r="B4" s="754">
        <v>0.6</v>
      </c>
      <c r="C4" s="721">
        <v>0.1</v>
      </c>
      <c r="D4" s="847" t="s">
        <v>646</v>
      </c>
      <c r="E4" s="291">
        <v>0.75</v>
      </c>
      <c r="F4" s="721" t="s">
        <v>224</v>
      </c>
      <c r="G4" s="855" t="s">
        <v>647</v>
      </c>
      <c r="H4" s="721" t="s">
        <v>648</v>
      </c>
    </row>
    <row r="5" spans="1:8" ht="39.6" customHeight="1" x14ac:dyDescent="0.25">
      <c r="A5" s="754" t="s">
        <v>159</v>
      </c>
      <c r="B5" s="754">
        <v>0.75</v>
      </c>
      <c r="C5" s="752"/>
      <c r="D5" s="939"/>
      <c r="E5" s="291">
        <v>1.4</v>
      </c>
      <c r="F5" s="721"/>
      <c r="G5" s="855"/>
      <c r="H5" s="293"/>
    </row>
    <row r="6" spans="1:8" ht="16.2" customHeight="1" x14ac:dyDescent="0.25">
      <c r="A6" s="754" t="s">
        <v>208</v>
      </c>
      <c r="B6" s="754">
        <v>0.7</v>
      </c>
      <c r="C6" s="752">
        <v>0.25</v>
      </c>
      <c r="D6" s="939"/>
      <c r="E6" s="721">
        <v>1.5</v>
      </c>
      <c r="F6" s="721">
        <v>0.5</v>
      </c>
      <c r="G6" s="855"/>
      <c r="H6" s="293"/>
    </row>
    <row r="7" spans="1:8" ht="16.2" customHeight="1" x14ac:dyDescent="0.25">
      <c r="A7" s="294" t="s">
        <v>203</v>
      </c>
      <c r="B7" s="754">
        <v>0.45</v>
      </c>
      <c r="C7" s="292"/>
      <c r="D7" s="939"/>
      <c r="E7" s="291">
        <v>0.8</v>
      </c>
      <c r="F7" s="293"/>
      <c r="G7" s="855"/>
      <c r="H7" s="293"/>
    </row>
    <row r="8" spans="1:8" ht="16.2" customHeight="1" x14ac:dyDescent="0.25">
      <c r="A8" s="754" t="s">
        <v>163</v>
      </c>
      <c r="B8" s="754">
        <v>0.4</v>
      </c>
      <c r="C8" s="292"/>
      <c r="D8" s="939"/>
      <c r="E8" s="291">
        <v>0.6</v>
      </c>
      <c r="F8" s="293"/>
      <c r="G8" s="855"/>
      <c r="H8" s="293"/>
    </row>
    <row r="9" spans="1:8" ht="16.2" customHeight="1" x14ac:dyDescent="0.25">
      <c r="A9" s="754" t="s">
        <v>156</v>
      </c>
      <c r="B9" s="754">
        <v>0.4</v>
      </c>
      <c r="C9" s="292"/>
      <c r="D9" s="939"/>
      <c r="E9" s="291">
        <v>0.7</v>
      </c>
      <c r="F9" s="293"/>
      <c r="G9" s="855"/>
      <c r="H9" s="293"/>
    </row>
    <row r="10" spans="1:8" ht="16.2" customHeight="1" x14ac:dyDescent="0.25">
      <c r="A10" s="294" t="s">
        <v>151</v>
      </c>
      <c r="B10" s="754">
        <v>1.1000000000000001</v>
      </c>
      <c r="C10" s="292"/>
      <c r="D10" s="939"/>
      <c r="E10" s="755">
        <v>1.1000000000000001</v>
      </c>
      <c r="F10" s="293"/>
      <c r="G10" s="855"/>
      <c r="H10" s="293"/>
    </row>
    <row r="11" spans="1:8" ht="16.2" customHeight="1" x14ac:dyDescent="0.25">
      <c r="A11" s="294" t="s">
        <v>185</v>
      </c>
      <c r="B11" s="721">
        <v>0.75</v>
      </c>
      <c r="C11" s="292"/>
      <c r="D11" s="939"/>
      <c r="E11" s="721">
        <v>1.71</v>
      </c>
      <c r="F11" s="293"/>
      <c r="G11" s="855"/>
      <c r="H11" s="293"/>
    </row>
    <row r="12" spans="1:8" ht="16.2" customHeight="1" x14ac:dyDescent="0.3">
      <c r="A12" s="754" t="s">
        <v>166</v>
      </c>
      <c r="B12" s="721">
        <v>0.65</v>
      </c>
      <c r="C12" s="292"/>
      <c r="D12" s="939"/>
      <c r="E12" s="295">
        <v>0.65</v>
      </c>
      <c r="F12" s="293"/>
      <c r="G12" s="855"/>
      <c r="H12" s="293"/>
    </row>
    <row r="13" spans="1:8" ht="24" customHeight="1" x14ac:dyDescent="0.25">
      <c r="A13" s="296" t="s">
        <v>161</v>
      </c>
      <c r="B13" s="754">
        <v>0.55000000000000004</v>
      </c>
      <c r="C13" s="752">
        <f>0.5*0.25</f>
        <v>0.125</v>
      </c>
      <c r="D13" s="939"/>
      <c r="E13" s="754" t="s">
        <v>649</v>
      </c>
      <c r="F13" s="369">
        <f>0.5*0.5</f>
        <v>0.25</v>
      </c>
      <c r="G13" s="855"/>
      <c r="H13" s="721" t="s">
        <v>648</v>
      </c>
    </row>
    <row r="14" spans="1:8" ht="16.2" customHeight="1" x14ac:dyDescent="0.25">
      <c r="A14" s="298" t="s">
        <v>198</v>
      </c>
      <c r="B14" s="754">
        <v>0.95</v>
      </c>
      <c r="C14" s="292"/>
      <c r="D14" s="939"/>
      <c r="E14" s="754">
        <v>1.6</v>
      </c>
      <c r="F14" s="293"/>
      <c r="G14" s="855"/>
      <c r="H14" s="293"/>
    </row>
    <row r="15" spans="1:8" ht="16.2" customHeight="1" x14ac:dyDescent="0.3">
      <c r="A15" s="754" t="s">
        <v>171</v>
      </c>
      <c r="B15" s="297">
        <v>0.6</v>
      </c>
      <c r="C15" s="292"/>
      <c r="D15" s="939"/>
      <c r="E15" s="295">
        <v>0.6</v>
      </c>
      <c r="F15" s="293"/>
      <c r="G15" s="855"/>
      <c r="H15" s="293"/>
    </row>
    <row r="16" spans="1:8" ht="16.2" customHeight="1" x14ac:dyDescent="0.25">
      <c r="A16" s="754" t="s">
        <v>173</v>
      </c>
      <c r="B16" s="754">
        <v>0.4</v>
      </c>
      <c r="C16" s="292"/>
      <c r="D16" s="939"/>
      <c r="E16" s="755">
        <v>0.6</v>
      </c>
      <c r="F16" s="293"/>
      <c r="G16" s="855"/>
      <c r="H16" s="293"/>
    </row>
    <row r="17" spans="1:8" ht="16.2" customHeight="1" x14ac:dyDescent="0.25">
      <c r="A17" s="754" t="s">
        <v>223</v>
      </c>
      <c r="B17" s="292"/>
      <c r="C17" s="292"/>
      <c r="D17" s="848"/>
      <c r="E17" s="754"/>
      <c r="F17" s="293"/>
      <c r="G17" s="855"/>
      <c r="H17" s="754"/>
    </row>
    <row r="18" spans="1:8" ht="13.2" customHeight="1" x14ac:dyDescent="0.25">
      <c r="B18" s="20"/>
      <c r="C18" s="20"/>
      <c r="D18" s="20"/>
    </row>
    <row r="19" spans="1:8" ht="13.2" customHeight="1" x14ac:dyDescent="0.25">
      <c r="B19" s="20"/>
      <c r="C19" s="20"/>
      <c r="D19" s="20"/>
    </row>
    <row r="20" spans="1:8" ht="13.2" customHeight="1" x14ac:dyDescent="0.25">
      <c r="B20" s="938" t="s">
        <v>650</v>
      </c>
      <c r="C20" s="938"/>
      <c r="D20" s="20"/>
    </row>
    <row r="21" spans="1:8" ht="13.2" customHeight="1" x14ac:dyDescent="0.25">
      <c r="B21" s="101">
        <v>2025</v>
      </c>
      <c r="C21" s="101">
        <v>2013</v>
      </c>
      <c r="D21" s="20"/>
    </row>
    <row r="22" spans="1:8" ht="13.2" customHeight="1" x14ac:dyDescent="0.25">
      <c r="A22" s="192" t="s">
        <v>651</v>
      </c>
      <c r="B22" s="193">
        <v>0.6</v>
      </c>
      <c r="C22" s="193">
        <v>0.8</v>
      </c>
      <c r="D22" s="5" t="s">
        <v>652</v>
      </c>
    </row>
    <row r="23" spans="1:8" ht="13.2" customHeight="1" x14ac:dyDescent="0.25">
      <c r="B23" s="20"/>
      <c r="C23" s="20"/>
      <c r="D23" s="20"/>
    </row>
    <row r="24" spans="1:8" ht="13.2" customHeight="1" x14ac:dyDescent="0.25">
      <c r="B24" s="20"/>
      <c r="C24" s="20"/>
      <c r="D24" s="20"/>
    </row>
  </sheetData>
  <mergeCells count="8">
    <mergeCell ref="B20:C20"/>
    <mergeCell ref="D4:D17"/>
    <mergeCell ref="A1:H1"/>
    <mergeCell ref="A2:A3"/>
    <mergeCell ref="B2:D2"/>
    <mergeCell ref="E2:G2"/>
    <mergeCell ref="H2:H3"/>
    <mergeCell ref="G4:G17"/>
  </mergeCells>
  <phoneticPr fontId="6"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B96A833-5746-4457-A429-1536899A012D}">
          <x14:formula1>
            <xm:f>Data!$A$2:$A$200</xm:f>
          </x14:formula1>
          <xm:sqref>A10:A11 A7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G26"/>
  <sheetViews>
    <sheetView zoomScaleNormal="100" workbookViewId="0">
      <selection sqref="A1:D1"/>
    </sheetView>
  </sheetViews>
  <sheetFormatPr defaultColWidth="8.6640625" defaultRowHeight="13.2" x14ac:dyDescent="0.25"/>
  <cols>
    <col min="1" max="1" width="27.5546875" style="5" customWidth="1"/>
    <col min="2" max="2" width="38.88671875" style="5" customWidth="1"/>
    <col min="3" max="3" width="19.44140625" style="5" customWidth="1"/>
    <col min="4" max="4" width="19.33203125" style="5" customWidth="1"/>
    <col min="5" max="5" width="24.6640625" style="5" customWidth="1"/>
    <col min="6" max="6" width="17.109375" style="5" customWidth="1"/>
    <col min="7" max="7" width="17.5546875" style="5" customWidth="1"/>
    <col min="8" max="8" width="15.5546875" style="5" customWidth="1"/>
    <col min="9" max="9" width="13.33203125" style="5" customWidth="1"/>
    <col min="10" max="16384" width="8.6640625" style="5"/>
  </cols>
  <sheetData>
    <row r="1" spans="1:7" ht="25.2" customHeight="1" x14ac:dyDescent="0.25">
      <c r="A1" s="943" t="str">
        <f>"Exterior Lighting - "&amp;Prototype!A2</f>
        <v>Exterior Lighting - OfficeLarge</v>
      </c>
      <c r="B1" s="943"/>
      <c r="C1" s="943"/>
      <c r="D1" s="943"/>
    </row>
    <row r="2" spans="1:7" ht="37.200000000000003" customHeight="1" x14ac:dyDescent="0.25">
      <c r="A2" s="38" t="s">
        <v>653</v>
      </c>
      <c r="B2" s="38" t="s">
        <v>654</v>
      </c>
      <c r="C2" s="38" t="s">
        <v>655</v>
      </c>
      <c r="D2" s="38" t="s">
        <v>378</v>
      </c>
    </row>
    <row r="3" spans="1:7" ht="22.2" customHeight="1" x14ac:dyDescent="0.25">
      <c r="A3" s="775">
        <f>G16</f>
        <v>15580.751375999993</v>
      </c>
      <c r="B3" s="39">
        <f>G17</f>
        <v>1548.9949329999999</v>
      </c>
      <c r="C3" s="39">
        <f>A3+B3</f>
        <v>17129.746308999995</v>
      </c>
      <c r="D3" s="192" t="s">
        <v>656</v>
      </c>
    </row>
    <row r="4" spans="1:7" ht="22.2" customHeight="1" x14ac:dyDescent="0.25">
      <c r="A4" s="51"/>
      <c r="B4" s="51"/>
      <c r="C4" s="51"/>
    </row>
    <row r="5" spans="1:7" ht="22.2" customHeight="1" x14ac:dyDescent="0.25">
      <c r="A5" s="51"/>
      <c r="B5" s="51"/>
      <c r="C5" s="51"/>
    </row>
    <row r="6" spans="1:7" ht="13.95" customHeight="1" x14ac:dyDescent="0.25">
      <c r="A6" s="62"/>
      <c r="B6" s="62"/>
      <c r="C6" s="62"/>
    </row>
    <row r="8" spans="1:7" ht="15.6" x14ac:dyDescent="0.25">
      <c r="A8" s="943" t="s">
        <v>657</v>
      </c>
      <c r="B8" s="943"/>
      <c r="C8" s="943"/>
      <c r="D8" s="943"/>
      <c r="E8" s="943"/>
      <c r="F8" s="943"/>
      <c r="G8" s="943"/>
    </row>
    <row r="9" spans="1:7" ht="39.6" x14ac:dyDescent="0.25">
      <c r="A9" s="277" t="s">
        <v>658</v>
      </c>
      <c r="B9" s="945" t="s">
        <v>659</v>
      </c>
      <c r="C9" s="946"/>
      <c r="D9" s="278" t="s">
        <v>660</v>
      </c>
      <c r="E9" s="278" t="s">
        <v>661</v>
      </c>
      <c r="F9" s="278" t="s">
        <v>660</v>
      </c>
      <c r="G9" s="278" t="s">
        <v>662</v>
      </c>
    </row>
    <row r="10" spans="1:7" x14ac:dyDescent="0.25">
      <c r="A10" s="14" t="s">
        <v>663</v>
      </c>
      <c r="B10" s="14"/>
      <c r="C10" s="279"/>
      <c r="D10" s="192"/>
      <c r="E10" s="192">
        <v>200</v>
      </c>
      <c r="F10" s="192" t="s">
        <v>664</v>
      </c>
      <c r="G10" s="280">
        <f>$E10</f>
        <v>200</v>
      </c>
    </row>
    <row r="11" spans="1:7" ht="52.8" x14ac:dyDescent="0.25">
      <c r="A11" s="15" t="s">
        <v>665</v>
      </c>
      <c r="B11" s="525" t="s">
        <v>666</v>
      </c>
      <c r="C11" s="281">
        <f>B23/250*400</f>
        <v>797702.70399999968</v>
      </c>
      <c r="D11" s="192" t="s">
        <v>667</v>
      </c>
      <c r="E11" s="192">
        <v>1.9E-2</v>
      </c>
      <c r="F11" s="192" t="s">
        <v>668</v>
      </c>
      <c r="G11" s="280">
        <f>$E11*C11</f>
        <v>15156.351375999993</v>
      </c>
    </row>
    <row r="12" spans="1:7" x14ac:dyDescent="0.25">
      <c r="A12" s="14" t="s">
        <v>669</v>
      </c>
      <c r="B12" s="282" t="s">
        <v>670</v>
      </c>
      <c r="C12" s="283">
        <v>4</v>
      </c>
      <c r="D12" s="192" t="s">
        <v>671</v>
      </c>
      <c r="E12" s="192">
        <v>15</v>
      </c>
      <c r="F12" s="192" t="s">
        <v>672</v>
      </c>
      <c r="G12" s="280">
        <f>E12*C12</f>
        <v>60</v>
      </c>
    </row>
    <row r="13" spans="1:7" ht="48.75" customHeight="1" x14ac:dyDescent="0.25">
      <c r="A13" s="14" t="s">
        <v>673</v>
      </c>
      <c r="B13" s="524" t="s">
        <v>674</v>
      </c>
      <c r="C13" s="284">
        <f>B23*0.1</f>
        <v>49856.418999999987</v>
      </c>
      <c r="D13" s="192" t="s">
        <v>667</v>
      </c>
      <c r="E13" s="192">
        <v>7.0000000000000001E-3</v>
      </c>
      <c r="F13" s="192" t="s">
        <v>668</v>
      </c>
      <c r="G13" s="285">
        <f>E13*C13</f>
        <v>348.99493299999989</v>
      </c>
    </row>
    <row r="14" spans="1:7" ht="92.4" x14ac:dyDescent="0.25">
      <c r="A14" s="14" t="s">
        <v>675</v>
      </c>
      <c r="B14" s="282" t="s">
        <v>676</v>
      </c>
      <c r="C14" s="284">
        <f>B22*0.5*30</f>
        <v>12000</v>
      </c>
      <c r="D14" s="192" t="s">
        <v>667</v>
      </c>
      <c r="E14" s="192">
        <v>0.1</v>
      </c>
      <c r="F14" s="192" t="s">
        <v>668</v>
      </c>
      <c r="G14" s="285">
        <f>E14*C14</f>
        <v>1200</v>
      </c>
    </row>
    <row r="15" spans="1:7" x14ac:dyDescent="0.25">
      <c r="A15" s="289" t="s">
        <v>677</v>
      </c>
      <c r="B15" s="290" t="s">
        <v>678</v>
      </c>
      <c r="C15" s="776">
        <f>1200</f>
        <v>1200</v>
      </c>
      <c r="D15" s="663" t="s">
        <v>667</v>
      </c>
      <c r="E15" s="663">
        <v>0.13700000000000001</v>
      </c>
      <c r="F15" s="663" t="s">
        <v>668</v>
      </c>
      <c r="G15" s="285">
        <f>E15*C15</f>
        <v>164.4</v>
      </c>
    </row>
    <row r="16" spans="1:7" x14ac:dyDescent="0.25">
      <c r="A16" s="944" t="s">
        <v>679</v>
      </c>
      <c r="B16" s="944"/>
      <c r="C16" s="944"/>
      <c r="D16" s="944"/>
      <c r="E16" s="944"/>
      <c r="F16" s="944"/>
      <c r="G16" s="286">
        <f>G11+G10+G12+G15</f>
        <v>15580.751375999993</v>
      </c>
    </row>
    <row r="17" spans="1:7" x14ac:dyDescent="0.25">
      <c r="A17" s="944" t="s">
        <v>680</v>
      </c>
      <c r="B17" s="944"/>
      <c r="C17" s="944"/>
      <c r="D17" s="944"/>
      <c r="E17" s="944"/>
      <c r="F17" s="944"/>
      <c r="G17" s="286">
        <f>G13+G14</f>
        <v>1548.9949329999999</v>
      </c>
    </row>
    <row r="18" spans="1:7" x14ac:dyDescent="0.25">
      <c r="A18" s="944" t="s">
        <v>232</v>
      </c>
      <c r="B18" s="944"/>
      <c r="C18" s="944"/>
      <c r="D18" s="944"/>
      <c r="E18" s="944"/>
      <c r="F18" s="944"/>
      <c r="G18" s="286">
        <f>G16+G17</f>
        <v>17129.746308999995</v>
      </c>
    </row>
    <row r="19" spans="1:7" x14ac:dyDescent="0.25">
      <c r="A19" s="51"/>
      <c r="B19" s="51"/>
      <c r="C19" s="51"/>
    </row>
    <row r="20" spans="1:7" x14ac:dyDescent="0.25">
      <c r="A20" s="5" t="s">
        <v>681</v>
      </c>
      <c r="C20" s="51"/>
    </row>
    <row r="21" spans="1:7" x14ac:dyDescent="0.25">
      <c r="C21" s="611" t="s">
        <v>682</v>
      </c>
      <c r="D21" s="612" t="s">
        <v>683</v>
      </c>
      <c r="E21" s="613" t="s">
        <v>684</v>
      </c>
    </row>
    <row r="22" spans="1:7" x14ac:dyDescent="0.25">
      <c r="A22" s="5" t="s">
        <v>685</v>
      </c>
      <c r="B22" s="476">
        <f>(240+160)*2</f>
        <v>800</v>
      </c>
      <c r="C22" s="608" t="s">
        <v>207</v>
      </c>
      <c r="D22" s="609" t="s">
        <v>686</v>
      </c>
      <c r="E22" s="610" t="s">
        <v>687</v>
      </c>
    </row>
    <row r="23" spans="1:7" x14ac:dyDescent="0.25">
      <c r="A23" s="5" t="s">
        <v>688</v>
      </c>
      <c r="B23" s="287">
        <f>Zones!I82</f>
        <v>498564.18999999983</v>
      </c>
      <c r="C23" s="608" t="s">
        <v>192</v>
      </c>
      <c r="D23" s="609" t="s">
        <v>689</v>
      </c>
      <c r="E23" s="610" t="s">
        <v>690</v>
      </c>
    </row>
    <row r="24" spans="1:7" x14ac:dyDescent="0.25">
      <c r="A24" s="5" t="s">
        <v>691</v>
      </c>
      <c r="B24" s="476">
        <v>12</v>
      </c>
      <c r="C24" s="608" t="s">
        <v>692</v>
      </c>
      <c r="D24" s="609" t="s">
        <v>693</v>
      </c>
      <c r="E24" s="610" t="s">
        <v>694</v>
      </c>
    </row>
    <row r="25" spans="1:7" x14ac:dyDescent="0.25">
      <c r="A25" s="5" t="s">
        <v>695</v>
      </c>
      <c r="B25" s="476">
        <v>13</v>
      </c>
      <c r="C25" s="608" t="s">
        <v>696</v>
      </c>
      <c r="D25" s="609" t="s">
        <v>693</v>
      </c>
      <c r="E25" s="610" t="s">
        <v>694</v>
      </c>
    </row>
    <row r="26" spans="1:7" x14ac:dyDescent="0.25">
      <c r="C26" s="614" t="s">
        <v>232</v>
      </c>
      <c r="D26" s="615"/>
      <c r="E26" s="616" t="s">
        <v>697</v>
      </c>
    </row>
  </sheetData>
  <mergeCells count="6">
    <mergeCell ref="A1:D1"/>
    <mergeCell ref="A18:F18"/>
    <mergeCell ref="A16:F16"/>
    <mergeCell ref="A17:F17"/>
    <mergeCell ref="A8:G8"/>
    <mergeCell ref="B9:C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K51"/>
  <sheetViews>
    <sheetView zoomScaleNormal="100" workbookViewId="0">
      <selection sqref="A1:E1"/>
    </sheetView>
  </sheetViews>
  <sheetFormatPr defaultColWidth="8.6640625" defaultRowHeight="12.75" customHeight="1" x14ac:dyDescent="0.25"/>
  <cols>
    <col min="1" max="1" width="49" style="5" customWidth="1"/>
    <col min="2" max="2" width="27.44140625" style="5" customWidth="1"/>
    <col min="3" max="3" width="23.44140625" style="5" customWidth="1"/>
    <col min="4" max="4" width="27.5546875" style="5" customWidth="1"/>
    <col min="5" max="5" width="50.33203125" style="5" customWidth="1"/>
    <col min="6" max="6" width="50" style="5" customWidth="1"/>
    <col min="7" max="7" width="26.109375" style="5" customWidth="1"/>
    <col min="8" max="8" width="20.109375" style="5" customWidth="1"/>
    <col min="9" max="9" width="21.5546875" style="5" customWidth="1"/>
    <col min="10" max="10" width="14.33203125" style="5" customWidth="1"/>
    <col min="11" max="11" width="42.33203125" style="5" customWidth="1"/>
    <col min="12" max="12" width="10.5546875" style="5" bestFit="1" customWidth="1"/>
    <col min="13" max="16384" width="8.6640625" style="5"/>
  </cols>
  <sheetData>
    <row r="1" spans="1:6" ht="23.4" customHeight="1" x14ac:dyDescent="0.25">
      <c r="A1" s="943" t="str">
        <f>"Equipment - "&amp;Prototype!A2</f>
        <v>Equipment - OfficeLarge</v>
      </c>
      <c r="B1" s="943"/>
      <c r="C1" s="943"/>
      <c r="D1" s="943"/>
      <c r="E1" s="943"/>
    </row>
    <row r="2" spans="1:6" ht="33.6" customHeight="1" x14ac:dyDescent="0.25">
      <c r="A2" s="167" t="s">
        <v>187</v>
      </c>
      <c r="B2" s="167" t="s">
        <v>698</v>
      </c>
      <c r="C2" s="167" t="s">
        <v>699</v>
      </c>
      <c r="D2" s="167" t="s">
        <v>700</v>
      </c>
      <c r="E2" s="767" t="s">
        <v>378</v>
      </c>
    </row>
    <row r="3" spans="1:6" ht="56.25" customHeight="1" x14ac:dyDescent="0.25">
      <c r="A3" s="176" t="s">
        <v>140</v>
      </c>
      <c r="B3" s="192">
        <v>0.7</v>
      </c>
      <c r="C3" s="101"/>
      <c r="D3" s="270"/>
      <c r="E3" s="369" t="s">
        <v>701</v>
      </c>
    </row>
    <row r="4" spans="1:6" ht="21" customHeight="1" x14ac:dyDescent="0.25">
      <c r="A4" s="177" t="s">
        <v>151</v>
      </c>
      <c r="B4" s="192">
        <v>45</v>
      </c>
      <c r="C4" s="269"/>
      <c r="D4" s="270"/>
      <c r="E4" s="764" t="s">
        <v>87</v>
      </c>
    </row>
    <row r="5" spans="1:6" ht="35.4" customHeight="1" x14ac:dyDescent="0.25">
      <c r="A5" s="177" t="s">
        <v>185</v>
      </c>
      <c r="B5" s="192">
        <v>20</v>
      </c>
      <c r="C5" s="269"/>
      <c r="D5" s="270"/>
      <c r="E5" s="193" t="s">
        <v>702</v>
      </c>
    </row>
    <row r="6" spans="1:6" ht="21" customHeight="1" x14ac:dyDescent="0.25">
      <c r="A6" s="177" t="s">
        <v>156</v>
      </c>
      <c r="B6" s="192">
        <v>0.5</v>
      </c>
      <c r="C6" s="269"/>
      <c r="D6" s="270"/>
      <c r="E6" s="947" t="s">
        <v>703</v>
      </c>
    </row>
    <row r="7" spans="1:6" ht="21" customHeight="1" x14ac:dyDescent="0.25">
      <c r="A7" s="177" t="s">
        <v>161</v>
      </c>
      <c r="B7" s="417">
        <v>1</v>
      </c>
      <c r="C7" s="269"/>
      <c r="D7" s="270"/>
      <c r="E7" s="948"/>
    </row>
    <row r="8" spans="1:6" ht="21" customHeight="1" x14ac:dyDescent="0.25">
      <c r="A8" s="177" t="s">
        <v>159</v>
      </c>
      <c r="B8" s="417">
        <v>1</v>
      </c>
      <c r="C8" s="269"/>
      <c r="D8" s="270"/>
      <c r="E8" s="948"/>
    </row>
    <row r="9" spans="1:6" ht="21" customHeight="1" x14ac:dyDescent="0.25">
      <c r="A9" s="177" t="s">
        <v>163</v>
      </c>
      <c r="B9" s="192">
        <v>0.2</v>
      </c>
      <c r="C9" s="269"/>
      <c r="D9" s="270"/>
      <c r="E9" s="948"/>
    </row>
    <row r="10" spans="1:6" ht="21" customHeight="1" x14ac:dyDescent="0.25">
      <c r="A10" s="177" t="s">
        <v>203</v>
      </c>
      <c r="B10" s="192">
        <v>0.5</v>
      </c>
      <c r="C10" s="269"/>
      <c r="D10" s="270"/>
      <c r="E10" s="948"/>
    </row>
    <row r="11" spans="1:6" ht="21" customHeight="1" x14ac:dyDescent="0.25">
      <c r="A11" s="177" t="s">
        <v>198</v>
      </c>
      <c r="B11" s="192">
        <v>1.5</v>
      </c>
      <c r="C11" s="269"/>
      <c r="D11" s="270"/>
      <c r="E11" s="948"/>
    </row>
    <row r="12" spans="1:6" ht="21" customHeight="1" x14ac:dyDescent="0.25">
      <c r="A12" s="177" t="s">
        <v>208</v>
      </c>
      <c r="B12" s="192">
        <v>0.5</v>
      </c>
      <c r="C12" s="269"/>
      <c r="D12" s="270"/>
      <c r="E12" s="948"/>
    </row>
    <row r="13" spans="1:6" ht="21" customHeight="1" x14ac:dyDescent="0.25">
      <c r="A13" s="177" t="s">
        <v>166</v>
      </c>
      <c r="B13" s="192">
        <v>0</v>
      </c>
      <c r="C13" s="269"/>
      <c r="D13" s="270"/>
      <c r="E13" s="948"/>
    </row>
    <row r="14" spans="1:6" ht="18" customHeight="1" x14ac:dyDescent="0.25">
      <c r="A14" s="177" t="s">
        <v>171</v>
      </c>
      <c r="B14" s="101">
        <v>0</v>
      </c>
      <c r="D14" s="765"/>
      <c r="E14" s="948"/>
      <c r="F14" s="54"/>
    </row>
    <row r="15" spans="1:6" ht="22.95" customHeight="1" x14ac:dyDescent="0.25">
      <c r="A15" s="177" t="s">
        <v>173</v>
      </c>
      <c r="B15" s="192">
        <v>0</v>
      </c>
      <c r="C15" s="192"/>
      <c r="D15" s="193"/>
      <c r="E15" s="948"/>
      <c r="F15" s="54"/>
    </row>
    <row r="16" spans="1:6" ht="18" customHeight="1" x14ac:dyDescent="0.25">
      <c r="A16" s="14" t="s">
        <v>223</v>
      </c>
      <c r="B16" s="101">
        <v>0</v>
      </c>
      <c r="C16" s="192"/>
      <c r="D16" s="193"/>
      <c r="E16" s="949"/>
      <c r="F16" s="54"/>
    </row>
    <row r="17" spans="1:11" ht="18" customHeight="1" x14ac:dyDescent="0.25">
      <c r="A17" s="758"/>
      <c r="B17" s="66"/>
      <c r="C17" s="191"/>
      <c r="D17" s="481"/>
      <c r="E17" s="191"/>
    </row>
    <row r="18" spans="1:11" ht="18" customHeight="1" x14ac:dyDescent="0.25">
      <c r="A18" s="758"/>
      <c r="B18" s="66"/>
      <c r="C18" s="191"/>
      <c r="D18" s="481"/>
      <c r="E18" s="191"/>
    </row>
    <row r="19" spans="1:11" ht="18" customHeight="1" x14ac:dyDescent="0.3">
      <c r="A19" s="950" t="s">
        <v>704</v>
      </c>
      <c r="B19" s="951"/>
      <c r="C19" s="951"/>
      <c r="D19" s="951"/>
      <c r="E19" s="951"/>
      <c r="F19" s="951"/>
      <c r="G19" s="951"/>
      <c r="H19" s="951"/>
      <c r="I19" s="951"/>
      <c r="J19" s="951"/>
      <c r="K19" s="951"/>
    </row>
    <row r="20" spans="1:11" ht="46.5" customHeight="1" x14ac:dyDescent="0.25">
      <c r="A20" s="477" t="s">
        <v>296</v>
      </c>
      <c r="B20" s="477" t="s">
        <v>705</v>
      </c>
      <c r="C20" s="477" t="s">
        <v>706</v>
      </c>
      <c r="D20" s="477" t="s">
        <v>707</v>
      </c>
      <c r="E20" s="477" t="s">
        <v>708</v>
      </c>
      <c r="F20" s="477" t="s">
        <v>709</v>
      </c>
      <c r="G20" s="477" t="s">
        <v>710</v>
      </c>
      <c r="H20" s="477" t="s">
        <v>711</v>
      </c>
      <c r="I20" s="477" t="s">
        <v>712</v>
      </c>
      <c r="J20" s="477" t="s">
        <v>713</v>
      </c>
      <c r="K20" s="477" t="s">
        <v>344</v>
      </c>
    </row>
    <row r="21" spans="1:11" ht="51.6" customHeight="1" x14ac:dyDescent="0.25">
      <c r="A21" s="766" t="s">
        <v>325</v>
      </c>
      <c r="B21" s="766" t="s">
        <v>714</v>
      </c>
      <c r="C21" s="766">
        <v>12</v>
      </c>
      <c r="D21" s="478">
        <v>1.1399999999999999</v>
      </c>
      <c r="E21" s="478">
        <v>0.33</v>
      </c>
      <c r="F21" s="766" t="s">
        <v>715</v>
      </c>
      <c r="G21" s="478">
        <f>ROUND(INDEX($C:$C,MATCH("Annual energy consumption of the elevator - Existing",$B:$B,0))/INDEX($C:$C,MATCH("Equivalent full load hours",$B:$B,0))*1000,2)</f>
        <v>373900.08</v>
      </c>
      <c r="H21" s="478">
        <f>ROUND(C21*INDEX($C:$C,MATCH("Cab fan airflow",$B:$B,0))*E21,2)</f>
        <v>990</v>
      </c>
      <c r="I21" s="478">
        <f>ROUND(C21*INDEX($C:$C,MATCH("Cab floor area",$B:$B,0))*D21,2)</f>
        <v>409.03</v>
      </c>
      <c r="J21" s="478">
        <f>ROUND(SUM(G21:I21),2)</f>
        <v>375299.11</v>
      </c>
      <c r="K21" s="766" t="s">
        <v>716</v>
      </c>
    </row>
    <row r="22" spans="1:11" ht="60.75" customHeight="1" x14ac:dyDescent="0.25">
      <c r="A22" s="766" t="s">
        <v>394</v>
      </c>
      <c r="B22" s="766" t="s">
        <v>717</v>
      </c>
      <c r="C22" s="766">
        <v>12</v>
      </c>
      <c r="D22" s="478">
        <v>0.6</v>
      </c>
      <c r="E22" s="478">
        <v>0.33</v>
      </c>
      <c r="F22" s="766" t="s">
        <v>718</v>
      </c>
      <c r="G22" s="478">
        <f>ROUND(INDEX($C:$C,MATCH("Annual energy consumption of the elevator - New Construction",$B:$B,0))/INDEX($C:$C,MATCH("Equivalent full load hours",$B:$B,0))*1000,2)</f>
        <v>232517.29</v>
      </c>
      <c r="H22" s="478">
        <f>ROUND(C22*INDEX($C:$C,MATCH("Cab fan airflow",$B:$B,0))*E22,2)</f>
        <v>990</v>
      </c>
      <c r="I22" s="478">
        <f>ROUND(C22*INDEX($C:$C,MATCH("Cab floor area",$B:$B,0))*D22,2)</f>
        <v>215.28</v>
      </c>
      <c r="J22" s="478">
        <f>ROUND(SUM(G22:I22),2)</f>
        <v>233722.57</v>
      </c>
      <c r="K22" s="766" t="s">
        <v>719</v>
      </c>
    </row>
    <row r="23" spans="1:11" ht="23.4" customHeight="1" x14ac:dyDescent="0.3">
      <c r="A23"/>
      <c r="B23"/>
      <c r="C23"/>
      <c r="D23"/>
      <c r="E23"/>
      <c r="F23"/>
      <c r="G23"/>
      <c r="H23"/>
      <c r="I23"/>
      <c r="J23"/>
      <c r="K23"/>
    </row>
    <row r="24" spans="1:11" ht="18" customHeight="1" x14ac:dyDescent="0.3">
      <c r="A24"/>
      <c r="B24"/>
      <c r="C24"/>
      <c r="D24"/>
      <c r="E24"/>
      <c r="F24"/>
      <c r="G24"/>
      <c r="H24"/>
      <c r="I24"/>
      <c r="J24"/>
      <c r="K24"/>
    </row>
    <row r="25" spans="1:11" ht="18" customHeight="1" x14ac:dyDescent="0.3">
      <c r="A25" s="952" t="s">
        <v>720</v>
      </c>
      <c r="B25" s="953"/>
      <c r="C25" s="953"/>
      <c r="D25" s="953"/>
      <c r="E25" s="953"/>
      <c r="F25"/>
      <c r="G25"/>
      <c r="H25"/>
      <c r="I25"/>
      <c r="J25"/>
      <c r="K25"/>
    </row>
    <row r="26" spans="1:11" ht="18" customHeight="1" x14ac:dyDescent="0.3">
      <c r="A26" s="477" t="s">
        <v>721</v>
      </c>
      <c r="B26" s="477" t="s">
        <v>722</v>
      </c>
      <c r="C26" s="477" t="s">
        <v>91</v>
      </c>
      <c r="D26" s="477" t="s">
        <v>723</v>
      </c>
      <c r="E26" s="477" t="s">
        <v>378</v>
      </c>
      <c r="F26"/>
      <c r="G26"/>
      <c r="H26"/>
      <c r="I26"/>
      <c r="J26"/>
      <c r="K26"/>
    </row>
    <row r="27" spans="1:11" ht="13.2" customHeight="1" x14ac:dyDescent="0.3">
      <c r="A27" s="954" t="s">
        <v>717</v>
      </c>
      <c r="B27" s="766" t="s">
        <v>724</v>
      </c>
      <c r="C27" s="766">
        <v>541612.96</v>
      </c>
      <c r="D27" s="766" t="s">
        <v>725</v>
      </c>
      <c r="E27" s="766" t="s">
        <v>726</v>
      </c>
      <c r="F27"/>
      <c r="G27"/>
      <c r="H27"/>
      <c r="I27"/>
      <c r="J27"/>
      <c r="K27"/>
    </row>
    <row r="28" spans="1:11" ht="43.2" x14ac:dyDescent="0.3">
      <c r="A28" s="954"/>
      <c r="B28" s="766" t="s">
        <v>727</v>
      </c>
      <c r="C28" s="766">
        <v>336812.92</v>
      </c>
      <c r="D28" s="766" t="s">
        <v>725</v>
      </c>
      <c r="E28" s="766" t="s">
        <v>726</v>
      </c>
      <c r="F28"/>
      <c r="G28"/>
      <c r="H28"/>
      <c r="I28"/>
      <c r="J28"/>
      <c r="K28"/>
    </row>
    <row r="29" spans="1:11" ht="28.8" x14ac:dyDescent="0.3">
      <c r="A29" s="766" t="s">
        <v>728</v>
      </c>
      <c r="B29" s="766" t="s">
        <v>729</v>
      </c>
      <c r="C29" s="766" t="s">
        <v>730</v>
      </c>
      <c r="D29" s="766" t="s">
        <v>731</v>
      </c>
      <c r="E29" s="766" t="s">
        <v>732</v>
      </c>
      <c r="F29"/>
      <c r="G29"/>
      <c r="H29"/>
      <c r="I29"/>
      <c r="J29"/>
      <c r="K29"/>
    </row>
    <row r="30" spans="1:11" ht="28.8" x14ac:dyDescent="0.3">
      <c r="A30" s="766" t="s">
        <v>733</v>
      </c>
      <c r="B30" s="766" t="s">
        <v>734</v>
      </c>
      <c r="C30" s="766" t="s">
        <v>735</v>
      </c>
      <c r="D30" s="766" t="s">
        <v>731</v>
      </c>
      <c r="E30" s="766" t="s">
        <v>732</v>
      </c>
      <c r="F30"/>
      <c r="G30"/>
      <c r="H30"/>
      <c r="I30"/>
      <c r="J30"/>
      <c r="K30"/>
    </row>
    <row r="31" spans="1:11" ht="14.4" x14ac:dyDescent="0.3">
      <c r="A31" s="766" t="s">
        <v>736</v>
      </c>
      <c r="B31" s="766" t="s">
        <v>737</v>
      </c>
      <c r="C31" s="766">
        <v>1361</v>
      </c>
      <c r="D31" s="766" t="s">
        <v>738</v>
      </c>
      <c r="E31" s="766" t="s">
        <v>739</v>
      </c>
      <c r="F31"/>
      <c r="G31"/>
      <c r="H31"/>
      <c r="I31"/>
      <c r="J31"/>
      <c r="K31"/>
    </row>
    <row r="32" spans="1:11" ht="28.8" x14ac:dyDescent="0.3">
      <c r="A32" s="766" t="s">
        <v>740</v>
      </c>
      <c r="B32" s="766" t="s">
        <v>741</v>
      </c>
      <c r="C32" s="766">
        <v>29.9</v>
      </c>
      <c r="D32" s="766" t="s">
        <v>742</v>
      </c>
      <c r="E32" s="766" t="s">
        <v>743</v>
      </c>
      <c r="F32"/>
      <c r="G32"/>
      <c r="H32"/>
      <c r="I32"/>
      <c r="J32"/>
      <c r="K32"/>
    </row>
    <row r="33" spans="1:11" ht="14.4" x14ac:dyDescent="0.3">
      <c r="A33" s="766" t="s">
        <v>744</v>
      </c>
      <c r="B33" s="766" t="s">
        <v>745</v>
      </c>
      <c r="C33" s="766">
        <v>250</v>
      </c>
      <c r="D33" s="766" t="s">
        <v>746</v>
      </c>
      <c r="E33" s="766" t="s">
        <v>747</v>
      </c>
      <c r="F33"/>
      <c r="G33"/>
      <c r="H33"/>
      <c r="I33"/>
      <c r="J33"/>
      <c r="K33"/>
    </row>
    <row r="34" spans="1:11" ht="14.4" x14ac:dyDescent="0.3">
      <c r="A34" s="766" t="s">
        <v>748</v>
      </c>
      <c r="B34" s="766" t="s">
        <v>749</v>
      </c>
      <c r="C34" s="766">
        <v>4</v>
      </c>
      <c r="D34" s="766" t="s">
        <v>224</v>
      </c>
      <c r="E34" s="766" t="s">
        <v>750</v>
      </c>
      <c r="F34"/>
      <c r="G34"/>
      <c r="H34"/>
      <c r="I34"/>
      <c r="J34"/>
      <c r="K34"/>
    </row>
    <row r="35" spans="1:11" ht="14.4" x14ac:dyDescent="0.3">
      <c r="A35" s="766" t="s">
        <v>751</v>
      </c>
      <c r="B35" s="766" t="s">
        <v>752</v>
      </c>
      <c r="C35" s="766">
        <v>260</v>
      </c>
      <c r="D35" s="766" t="s">
        <v>753</v>
      </c>
      <c r="E35" s="766" t="s">
        <v>750</v>
      </c>
      <c r="F35"/>
      <c r="G35"/>
      <c r="H35"/>
      <c r="I35"/>
      <c r="J35"/>
      <c r="K35"/>
    </row>
    <row r="36" spans="1:11" ht="14.4" x14ac:dyDescent="0.3">
      <c r="A36" s="766" t="s">
        <v>754</v>
      </c>
      <c r="B36" s="766" t="s">
        <v>755</v>
      </c>
      <c r="C36" s="766">
        <v>13</v>
      </c>
      <c r="D36" s="766" t="s">
        <v>756</v>
      </c>
      <c r="E36" s="766" t="s">
        <v>757</v>
      </c>
      <c r="F36"/>
      <c r="G36"/>
      <c r="H36"/>
      <c r="I36"/>
      <c r="J36"/>
      <c r="K36"/>
    </row>
    <row r="37" spans="1:11" ht="14.4" x14ac:dyDescent="0.3">
      <c r="A37" s="766" t="s">
        <v>758</v>
      </c>
      <c r="B37" s="766" t="s">
        <v>759</v>
      </c>
      <c r="C37" s="766">
        <v>3.96</v>
      </c>
      <c r="D37" s="766" t="s">
        <v>760</v>
      </c>
      <c r="E37" s="766" t="s">
        <v>757</v>
      </c>
      <c r="F37"/>
      <c r="G37"/>
      <c r="H37"/>
      <c r="I37"/>
      <c r="J37"/>
      <c r="K37"/>
    </row>
    <row r="38" spans="1:11" ht="14.4" x14ac:dyDescent="0.3">
      <c r="A38" s="766" t="s">
        <v>761</v>
      </c>
      <c r="B38" s="766" t="s">
        <v>762</v>
      </c>
      <c r="C38" s="766">
        <v>2.5</v>
      </c>
      <c r="D38" s="766" t="s">
        <v>763</v>
      </c>
      <c r="E38" s="766" t="s">
        <v>750</v>
      </c>
      <c r="F38"/>
      <c r="G38"/>
      <c r="H38"/>
      <c r="I38"/>
      <c r="J38"/>
      <c r="K38"/>
    </row>
    <row r="39" spans="1:11" ht="14.4" x14ac:dyDescent="0.3">
      <c r="A39" s="766" t="s">
        <v>764</v>
      </c>
      <c r="B39" s="766" t="s">
        <v>765</v>
      </c>
      <c r="C39" s="766">
        <v>750</v>
      </c>
      <c r="D39" s="766" t="s">
        <v>766</v>
      </c>
      <c r="E39" s="766" t="s">
        <v>750</v>
      </c>
      <c r="F39"/>
      <c r="G39"/>
      <c r="H39"/>
      <c r="I39"/>
      <c r="J39"/>
      <c r="K39"/>
    </row>
    <row r="40" spans="1:11" ht="28.8" x14ac:dyDescent="0.3">
      <c r="A40" s="766" t="s">
        <v>767</v>
      </c>
      <c r="B40" s="766" t="s">
        <v>768</v>
      </c>
      <c r="C40" s="766">
        <v>0.44</v>
      </c>
      <c r="D40" s="766" t="s">
        <v>769</v>
      </c>
      <c r="E40" s="766" t="s">
        <v>770</v>
      </c>
      <c r="F40"/>
      <c r="G40"/>
      <c r="H40"/>
      <c r="I40"/>
      <c r="J40"/>
      <c r="K40"/>
    </row>
    <row r="41" spans="1:11" ht="14.4" x14ac:dyDescent="0.3">
      <c r="A41" s="766" t="s">
        <v>771</v>
      </c>
      <c r="B41" s="766" t="s">
        <v>772</v>
      </c>
      <c r="C41" s="766">
        <v>1</v>
      </c>
      <c r="D41" s="766" t="s">
        <v>773</v>
      </c>
      <c r="E41" s="766" t="s">
        <v>774</v>
      </c>
      <c r="F41"/>
      <c r="G41"/>
      <c r="H41"/>
      <c r="I41"/>
      <c r="J41"/>
      <c r="K41"/>
    </row>
    <row r="42" spans="1:11" ht="14.4" x14ac:dyDescent="0.3">
      <c r="A42" s="766" t="s">
        <v>775</v>
      </c>
      <c r="B42" s="766" t="s">
        <v>776</v>
      </c>
      <c r="C42" s="766">
        <v>1.25</v>
      </c>
      <c r="D42" s="766" t="s">
        <v>777</v>
      </c>
      <c r="E42" s="766" t="s">
        <v>774</v>
      </c>
      <c r="F42"/>
      <c r="G42"/>
      <c r="H42"/>
      <c r="I42"/>
      <c r="J42"/>
      <c r="K42"/>
    </row>
    <row r="43" spans="1:11" ht="14.4" x14ac:dyDescent="0.3">
      <c r="A43" s="766" t="s">
        <v>778</v>
      </c>
      <c r="B43" s="766" t="s">
        <v>779</v>
      </c>
      <c r="C43" s="766">
        <v>8</v>
      </c>
      <c r="D43" s="766" t="s">
        <v>780</v>
      </c>
      <c r="E43" s="766" t="s">
        <v>774</v>
      </c>
      <c r="F43"/>
      <c r="G43"/>
      <c r="H43"/>
      <c r="I43"/>
      <c r="J43"/>
      <c r="K43"/>
    </row>
    <row r="44" spans="1:11" ht="28.8" x14ac:dyDescent="0.3">
      <c r="A44" s="766" t="s">
        <v>781</v>
      </c>
      <c r="B44" s="766" t="s">
        <v>782</v>
      </c>
      <c r="C44" s="766">
        <v>22.65</v>
      </c>
      <c r="D44" s="766" t="s">
        <v>783</v>
      </c>
      <c r="E44" s="766" t="s">
        <v>784</v>
      </c>
      <c r="F44"/>
      <c r="G44"/>
      <c r="H44"/>
      <c r="I44"/>
      <c r="J44"/>
      <c r="K44"/>
    </row>
    <row r="45" spans="1:11" ht="14.4" x14ac:dyDescent="0.3">
      <c r="A45" s="766" t="s">
        <v>785</v>
      </c>
      <c r="B45" s="766" t="s">
        <v>786</v>
      </c>
      <c r="C45" s="766">
        <v>20.36</v>
      </c>
      <c r="D45" s="766" t="s">
        <v>787</v>
      </c>
      <c r="E45" s="766" t="s">
        <v>788</v>
      </c>
      <c r="F45"/>
      <c r="G45"/>
      <c r="H45"/>
      <c r="I45"/>
      <c r="J45"/>
      <c r="K45"/>
    </row>
    <row r="46" spans="1:11" ht="14.4" x14ac:dyDescent="0.3">
      <c r="A46" s="766" t="s">
        <v>789</v>
      </c>
      <c r="B46" s="766" t="s">
        <v>790</v>
      </c>
      <c r="C46" s="766">
        <v>19.760000000000002</v>
      </c>
      <c r="D46" s="766" t="s">
        <v>791</v>
      </c>
      <c r="E46" s="766" t="s">
        <v>792</v>
      </c>
      <c r="F46"/>
      <c r="G46"/>
      <c r="H46"/>
      <c r="I46"/>
      <c r="J46"/>
      <c r="K46"/>
    </row>
    <row r="47" spans="1:11" ht="14.4" x14ac:dyDescent="0.3">
      <c r="A47" s="766" t="s">
        <v>793</v>
      </c>
      <c r="B47" s="766" t="s">
        <v>794</v>
      </c>
      <c r="C47" s="766">
        <v>7657.14</v>
      </c>
      <c r="D47" s="766" t="s">
        <v>795</v>
      </c>
      <c r="E47" s="766" t="s">
        <v>796</v>
      </c>
      <c r="F47"/>
      <c r="G47"/>
      <c r="H47"/>
      <c r="I47"/>
      <c r="J47"/>
      <c r="K47"/>
    </row>
    <row r="48" spans="1:11" ht="42.6" customHeight="1" x14ac:dyDescent="0.3">
      <c r="A48" s="766" t="s">
        <v>797</v>
      </c>
      <c r="B48" s="766" t="s">
        <v>797</v>
      </c>
      <c r="C48" s="766">
        <v>40</v>
      </c>
      <c r="D48" s="766" t="s">
        <v>798</v>
      </c>
      <c r="E48" s="766" t="s">
        <v>799</v>
      </c>
      <c r="F48"/>
      <c r="G48"/>
      <c r="H48"/>
      <c r="I48"/>
      <c r="J48"/>
      <c r="K48"/>
    </row>
    <row r="49" spans="1:11" ht="14.4" x14ac:dyDescent="0.3">
      <c r="A49" s="766" t="s">
        <v>800</v>
      </c>
      <c r="B49" s="766" t="s">
        <v>801</v>
      </c>
      <c r="C49" s="766">
        <f>Schedules!AD73</f>
        <v>1448.5500000000002</v>
      </c>
      <c r="D49" s="766" t="s">
        <v>802</v>
      </c>
      <c r="E49" s="766" t="s">
        <v>803</v>
      </c>
      <c r="F49"/>
      <c r="G49"/>
      <c r="H49"/>
      <c r="I49"/>
      <c r="J49"/>
      <c r="K49"/>
    </row>
    <row r="51" spans="1:11" ht="13.95" customHeight="1" x14ac:dyDescent="0.25"/>
  </sheetData>
  <mergeCells count="5">
    <mergeCell ref="A1:E1"/>
    <mergeCell ref="E6:E16"/>
    <mergeCell ref="A19:K19"/>
    <mergeCell ref="A25:E25"/>
    <mergeCell ref="A27:A28"/>
  </mergeCells>
  <phoneticPr fontId="6"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FC03F74-0C0C-4594-B4DD-73866CAE7ACA}">
          <x14:formula1>
            <xm:f>Data!$A$2:$A$200</xm:f>
          </x14:formula1>
          <xm:sqref>A3:A10 A12:A15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AM104"/>
  <sheetViews>
    <sheetView zoomScale="85" zoomScaleNormal="85" workbookViewId="0">
      <pane xSplit="5" ySplit="3" topLeftCell="F4" activePane="bottomRight" state="frozen"/>
      <selection pane="topRight" activeCell="F1" sqref="F1"/>
      <selection pane="bottomLeft" activeCell="A4" sqref="A4"/>
      <selection pane="bottomRight" sqref="A1:AC1"/>
    </sheetView>
  </sheetViews>
  <sheetFormatPr defaultColWidth="9.33203125" defaultRowHeight="11.4" x14ac:dyDescent="0.3"/>
  <cols>
    <col min="1" max="1" width="23.6640625" style="40" customWidth="1"/>
    <col min="2" max="2" width="23.5546875" style="40" customWidth="1"/>
    <col min="3" max="3" width="15.33203125" style="40" customWidth="1"/>
    <col min="4" max="4" width="18.88671875" style="40" customWidth="1"/>
    <col min="5" max="5" width="9.33203125" style="40"/>
    <col min="6" max="29" width="5.6640625" style="40" customWidth="1"/>
    <col min="30" max="16384" width="9.33203125" style="40"/>
  </cols>
  <sheetData>
    <row r="1" spans="1:39" ht="24" customHeight="1" x14ac:dyDescent="0.3">
      <c r="A1" s="925" t="str">
        <f>"Schedules - "&amp;Prototype!A2</f>
        <v>Schedules - OfficeLarge</v>
      </c>
      <c r="B1" s="925"/>
      <c r="C1" s="925"/>
      <c r="D1" s="925"/>
      <c r="E1" s="925"/>
      <c r="F1" s="925"/>
      <c r="G1" s="925"/>
      <c r="H1" s="925"/>
      <c r="I1" s="925"/>
      <c r="J1" s="925"/>
      <c r="K1" s="925"/>
      <c r="L1" s="925"/>
      <c r="M1" s="925"/>
      <c r="N1" s="925"/>
      <c r="O1" s="925"/>
      <c r="P1" s="925"/>
      <c r="Q1" s="925"/>
      <c r="R1" s="925"/>
      <c r="S1" s="925"/>
      <c r="T1" s="925"/>
      <c r="U1" s="925"/>
      <c r="V1" s="925"/>
      <c r="W1" s="925"/>
      <c r="X1" s="925"/>
      <c r="Y1" s="925"/>
      <c r="Z1" s="925"/>
      <c r="AA1" s="925"/>
      <c r="AB1" s="925"/>
      <c r="AC1" s="1050"/>
      <c r="AD1" s="41"/>
      <c r="AE1" s="41"/>
      <c r="AF1" s="41"/>
      <c r="AG1" s="41"/>
      <c r="AH1" s="41"/>
      <c r="AI1" s="42"/>
      <c r="AJ1" s="42"/>
      <c r="AK1" s="42"/>
    </row>
    <row r="2" spans="1:39" ht="24" customHeight="1" x14ac:dyDescent="0.3">
      <c r="A2" s="1051" t="s">
        <v>804</v>
      </c>
      <c r="B2" s="1051" t="s">
        <v>129</v>
      </c>
      <c r="C2" s="1051" t="s">
        <v>805</v>
      </c>
      <c r="D2" s="1051" t="s">
        <v>378</v>
      </c>
      <c r="E2" s="1052" t="s">
        <v>806</v>
      </c>
      <c r="F2" s="1058" t="s">
        <v>807</v>
      </c>
      <c r="G2" s="1059"/>
      <c r="H2" s="1059"/>
      <c r="I2" s="1059"/>
      <c r="J2" s="1059"/>
      <c r="K2" s="1059"/>
      <c r="L2" s="1059"/>
      <c r="M2" s="1059"/>
      <c r="N2" s="1059"/>
      <c r="O2" s="1059"/>
      <c r="P2" s="1059"/>
      <c r="Q2" s="1059"/>
      <c r="R2" s="1059"/>
      <c r="S2" s="1059"/>
      <c r="T2" s="1059"/>
      <c r="U2" s="1059"/>
      <c r="V2" s="1059"/>
      <c r="W2" s="1059"/>
      <c r="X2" s="1059"/>
      <c r="Y2" s="1059"/>
      <c r="Z2" s="1059"/>
      <c r="AA2" s="1059"/>
      <c r="AB2" s="1059"/>
      <c r="AC2" s="1060"/>
      <c r="AD2" s="41"/>
      <c r="AE2" s="41"/>
      <c r="AF2" s="41"/>
      <c r="AG2" s="41"/>
      <c r="AH2" s="41"/>
      <c r="AI2" s="42"/>
      <c r="AJ2" s="42"/>
      <c r="AK2" s="42"/>
    </row>
    <row r="3" spans="1:39" ht="25.2" customHeight="1" x14ac:dyDescent="0.3">
      <c r="A3" s="1052"/>
      <c r="B3" s="1052"/>
      <c r="C3" s="1052"/>
      <c r="D3" s="1052"/>
      <c r="E3" s="1061"/>
      <c r="F3" s="768">
        <v>1</v>
      </c>
      <c r="G3" s="768">
        <v>2</v>
      </c>
      <c r="H3" s="768">
        <v>3</v>
      </c>
      <c r="I3" s="768">
        <v>4</v>
      </c>
      <c r="J3" s="768">
        <v>5</v>
      </c>
      <c r="K3" s="768">
        <v>6</v>
      </c>
      <c r="L3" s="768">
        <v>7</v>
      </c>
      <c r="M3" s="768">
        <v>8</v>
      </c>
      <c r="N3" s="768">
        <v>9</v>
      </c>
      <c r="O3" s="768">
        <v>10</v>
      </c>
      <c r="P3" s="768">
        <v>11</v>
      </c>
      <c r="Q3" s="768">
        <v>12</v>
      </c>
      <c r="R3" s="768">
        <v>13</v>
      </c>
      <c r="S3" s="768">
        <v>14</v>
      </c>
      <c r="T3" s="768">
        <v>15</v>
      </c>
      <c r="U3" s="768">
        <v>16</v>
      </c>
      <c r="V3" s="768">
        <v>17</v>
      </c>
      <c r="W3" s="768">
        <v>18</v>
      </c>
      <c r="X3" s="768">
        <v>19</v>
      </c>
      <c r="Y3" s="768">
        <v>20</v>
      </c>
      <c r="Z3" s="768">
        <v>21</v>
      </c>
      <c r="AA3" s="768">
        <v>22</v>
      </c>
      <c r="AB3" s="768">
        <v>23</v>
      </c>
      <c r="AC3" s="768">
        <v>24</v>
      </c>
      <c r="AD3" s="42"/>
      <c r="AE3" s="42"/>
      <c r="AF3" s="42"/>
      <c r="AG3" s="42"/>
      <c r="AH3" s="42"/>
      <c r="AI3" s="42"/>
      <c r="AJ3" s="42"/>
      <c r="AK3" s="42"/>
    </row>
    <row r="4" spans="1:39" ht="25.2" customHeight="1" x14ac:dyDescent="0.3">
      <c r="A4" s="1025" t="s">
        <v>808</v>
      </c>
      <c r="B4" s="1043" t="s">
        <v>143</v>
      </c>
      <c r="C4" s="1075" t="s">
        <v>809</v>
      </c>
      <c r="D4" s="969" t="s">
        <v>810</v>
      </c>
      <c r="E4" s="209" t="s">
        <v>811</v>
      </c>
      <c r="F4" s="210">
        <v>0</v>
      </c>
      <c r="G4" s="210">
        <v>0</v>
      </c>
      <c r="H4" s="210">
        <v>0</v>
      </c>
      <c r="I4" s="210">
        <v>0</v>
      </c>
      <c r="J4" s="210">
        <v>0</v>
      </c>
      <c r="K4" s="210">
        <v>0</v>
      </c>
      <c r="L4" s="210">
        <v>0.1</v>
      </c>
      <c r="M4" s="210">
        <v>0.2</v>
      </c>
      <c r="N4" s="210">
        <v>0.95</v>
      </c>
      <c r="O4" s="210">
        <v>0.95</v>
      </c>
      <c r="P4" s="210">
        <v>0.95</v>
      </c>
      <c r="Q4" s="210">
        <v>0.95</v>
      </c>
      <c r="R4" s="210">
        <v>0.5</v>
      </c>
      <c r="S4" s="210">
        <v>0.95</v>
      </c>
      <c r="T4" s="210">
        <v>0.95</v>
      </c>
      <c r="U4" s="210">
        <v>0.95</v>
      </c>
      <c r="V4" s="210">
        <v>0.95</v>
      </c>
      <c r="W4" s="210">
        <v>0.3</v>
      </c>
      <c r="X4" s="210">
        <v>0.1</v>
      </c>
      <c r="Y4" s="210">
        <v>0.1</v>
      </c>
      <c r="Z4" s="210">
        <v>0.1</v>
      </c>
      <c r="AA4" s="210">
        <v>0.1</v>
      </c>
      <c r="AB4" s="210">
        <v>0.05</v>
      </c>
      <c r="AC4" s="211">
        <v>0.05</v>
      </c>
      <c r="AD4" s="42"/>
      <c r="AE4" s="42"/>
      <c r="AF4" s="42"/>
      <c r="AG4" s="42"/>
      <c r="AH4" s="42"/>
      <c r="AI4" s="42"/>
      <c r="AJ4" s="42"/>
      <c r="AK4" s="42"/>
    </row>
    <row r="5" spans="1:39" ht="33" customHeight="1" x14ac:dyDescent="0.3">
      <c r="A5" s="1023"/>
      <c r="B5" s="993"/>
      <c r="C5" s="1014"/>
      <c r="D5" s="970"/>
      <c r="E5" s="212" t="s">
        <v>812</v>
      </c>
      <c r="F5" s="213">
        <v>0</v>
      </c>
      <c r="G5" s="213">
        <v>0</v>
      </c>
      <c r="H5" s="213">
        <v>0</v>
      </c>
      <c r="I5" s="213">
        <v>0</v>
      </c>
      <c r="J5" s="213">
        <v>0</v>
      </c>
      <c r="K5" s="213">
        <v>0</v>
      </c>
      <c r="L5" s="214">
        <v>0.05</v>
      </c>
      <c r="M5" s="214">
        <v>0.05</v>
      </c>
      <c r="N5" s="214">
        <v>0.05</v>
      </c>
      <c r="O5" s="214">
        <v>0.05</v>
      </c>
      <c r="P5" s="214">
        <v>0.05</v>
      </c>
      <c r="Q5" s="214">
        <v>0.05</v>
      </c>
      <c r="R5" s="214">
        <v>0.05</v>
      </c>
      <c r="S5" s="214">
        <v>0.05</v>
      </c>
      <c r="T5" s="214">
        <v>0.05</v>
      </c>
      <c r="U5" s="214">
        <v>0.05</v>
      </c>
      <c r="V5" s="214">
        <v>0.05</v>
      </c>
      <c r="W5" s="214">
        <v>0.05</v>
      </c>
      <c r="X5" s="213">
        <v>0</v>
      </c>
      <c r="Y5" s="213">
        <v>0</v>
      </c>
      <c r="Z5" s="213">
        <v>0</v>
      </c>
      <c r="AA5" s="213">
        <v>0</v>
      </c>
      <c r="AB5" s="213">
        <v>0</v>
      </c>
      <c r="AC5" s="216">
        <v>0</v>
      </c>
      <c r="AD5" s="42"/>
      <c r="AE5" s="42"/>
      <c r="AF5" s="42"/>
      <c r="AG5" s="42"/>
      <c r="AH5" s="42"/>
      <c r="AI5" s="42"/>
      <c r="AJ5" s="42"/>
      <c r="AK5" s="42"/>
    </row>
    <row r="6" spans="1:39" ht="33" customHeight="1" x14ac:dyDescent="0.3">
      <c r="A6" s="1024"/>
      <c r="B6" s="1056"/>
      <c r="C6" s="1030"/>
      <c r="D6" s="971"/>
      <c r="E6" s="217" t="s">
        <v>813</v>
      </c>
      <c r="F6" s="218">
        <v>0</v>
      </c>
      <c r="G6" s="218">
        <v>0</v>
      </c>
      <c r="H6" s="218">
        <v>0</v>
      </c>
      <c r="I6" s="218">
        <v>0</v>
      </c>
      <c r="J6" s="218">
        <v>0</v>
      </c>
      <c r="K6" s="218">
        <v>0</v>
      </c>
      <c r="L6" s="218">
        <v>0.05</v>
      </c>
      <c r="M6" s="218">
        <v>0.05</v>
      </c>
      <c r="N6" s="218">
        <v>0.05</v>
      </c>
      <c r="O6" s="218">
        <v>0.05</v>
      </c>
      <c r="P6" s="218">
        <v>0.05</v>
      </c>
      <c r="Q6" s="218">
        <v>0.05</v>
      </c>
      <c r="R6" s="218">
        <v>0.05</v>
      </c>
      <c r="S6" s="218">
        <v>0.05</v>
      </c>
      <c r="T6" s="218">
        <v>0.05</v>
      </c>
      <c r="U6" s="218">
        <v>0.05</v>
      </c>
      <c r="V6" s="218">
        <v>0.05</v>
      </c>
      <c r="W6" s="218">
        <v>0.05</v>
      </c>
      <c r="X6" s="218">
        <v>0</v>
      </c>
      <c r="Y6" s="218">
        <v>0</v>
      </c>
      <c r="Z6" s="218">
        <v>0</v>
      </c>
      <c r="AA6" s="218">
        <v>0</v>
      </c>
      <c r="AB6" s="218">
        <v>0</v>
      </c>
      <c r="AC6" s="219">
        <v>0</v>
      </c>
      <c r="AD6" s="42"/>
      <c r="AE6" s="42"/>
      <c r="AF6" s="42"/>
      <c r="AG6" s="42"/>
      <c r="AH6" s="42"/>
      <c r="AI6" s="42"/>
      <c r="AJ6" s="42"/>
      <c r="AK6" s="42"/>
    </row>
    <row r="7" spans="1:39" ht="38.700000000000003" customHeight="1" x14ac:dyDescent="0.3">
      <c r="A7" s="1025" t="str">
        <f>A4</f>
        <v xml:space="preserve">All zones except for Server Rooms, Stairway, and Mechanical_Electrical </v>
      </c>
      <c r="B7" s="1043" t="s">
        <v>143</v>
      </c>
      <c r="C7" s="1057" t="s">
        <v>814</v>
      </c>
      <c r="D7" s="969" t="s">
        <v>815</v>
      </c>
      <c r="E7" s="220" t="s">
        <v>811</v>
      </c>
      <c r="F7" s="210">
        <v>0.05</v>
      </c>
      <c r="G7" s="210">
        <v>0.05</v>
      </c>
      <c r="H7" s="210">
        <v>0.05</v>
      </c>
      <c r="I7" s="210">
        <v>0.05</v>
      </c>
      <c r="J7" s="210">
        <v>0.05</v>
      </c>
      <c r="K7" s="273">
        <v>0.1</v>
      </c>
      <c r="L7" s="273">
        <v>0.1</v>
      </c>
      <c r="M7" s="273">
        <v>0.3</v>
      </c>
      <c r="N7" s="273">
        <v>0.65</v>
      </c>
      <c r="O7" s="273">
        <v>0.65</v>
      </c>
      <c r="P7" s="273">
        <v>0.65</v>
      </c>
      <c r="Q7" s="273">
        <v>0.65</v>
      </c>
      <c r="R7" s="273">
        <v>0.65</v>
      </c>
      <c r="S7" s="273">
        <v>0.65</v>
      </c>
      <c r="T7" s="273">
        <v>0.65</v>
      </c>
      <c r="U7" s="273">
        <v>0.65</v>
      </c>
      <c r="V7" s="273">
        <v>0.65</v>
      </c>
      <c r="W7" s="273">
        <v>0.35</v>
      </c>
      <c r="X7" s="273">
        <v>0.3</v>
      </c>
      <c r="Y7" s="273">
        <v>0.3</v>
      </c>
      <c r="Z7" s="210">
        <v>0.2</v>
      </c>
      <c r="AA7" s="210">
        <v>0.2</v>
      </c>
      <c r="AB7" s="210">
        <v>0.1</v>
      </c>
      <c r="AC7" s="211">
        <v>0.05</v>
      </c>
      <c r="AD7" s="42"/>
      <c r="AE7" s="42"/>
      <c r="AF7" s="42"/>
      <c r="AG7" s="42"/>
      <c r="AH7" s="42"/>
      <c r="AI7" s="42"/>
      <c r="AJ7" s="42"/>
      <c r="AK7" s="42"/>
      <c r="AM7" s="52"/>
    </row>
    <row r="8" spans="1:39" ht="38.700000000000003" customHeight="1" x14ac:dyDescent="0.3">
      <c r="A8" s="1023"/>
      <c r="B8" s="993"/>
      <c r="C8" s="1014"/>
      <c r="D8" s="970"/>
      <c r="E8" s="221" t="s">
        <v>812</v>
      </c>
      <c r="F8" s="213">
        <v>0.05</v>
      </c>
      <c r="G8" s="213">
        <v>0.05</v>
      </c>
      <c r="H8" s="213">
        <v>0.05</v>
      </c>
      <c r="I8" s="213">
        <v>0.05</v>
      </c>
      <c r="J8" s="213">
        <v>0.05</v>
      </c>
      <c r="K8" s="215">
        <v>0.05</v>
      </c>
      <c r="L8" s="215">
        <v>0.15</v>
      </c>
      <c r="M8" s="215">
        <v>0.15</v>
      </c>
      <c r="N8" s="215">
        <v>0.15</v>
      </c>
      <c r="O8" s="215">
        <v>0.15</v>
      </c>
      <c r="P8" s="215">
        <v>0.15</v>
      </c>
      <c r="Q8" s="215">
        <v>0.15</v>
      </c>
      <c r="R8" s="215">
        <v>0.15</v>
      </c>
      <c r="S8" s="215">
        <v>0.15</v>
      </c>
      <c r="T8" s="215">
        <v>0.15</v>
      </c>
      <c r="U8" s="215">
        <v>0.15</v>
      </c>
      <c r="V8" s="215">
        <v>0.15</v>
      </c>
      <c r="W8" s="215">
        <v>0.15</v>
      </c>
      <c r="X8" s="213">
        <v>0.05</v>
      </c>
      <c r="Y8" s="213">
        <v>0.05</v>
      </c>
      <c r="Z8" s="213">
        <v>0.05</v>
      </c>
      <c r="AA8" s="213">
        <v>0.05</v>
      </c>
      <c r="AB8" s="213">
        <v>0.05</v>
      </c>
      <c r="AC8" s="216">
        <v>0.05</v>
      </c>
      <c r="AD8" s="42"/>
      <c r="AE8" s="42"/>
      <c r="AF8" s="42"/>
      <c r="AG8" s="42"/>
      <c r="AH8" s="42"/>
      <c r="AI8" s="42"/>
      <c r="AJ8" s="42"/>
      <c r="AK8" s="42"/>
      <c r="AM8" s="52"/>
    </row>
    <row r="9" spans="1:39" ht="38.700000000000003" customHeight="1" thickBot="1" x14ac:dyDescent="0.35">
      <c r="A9" s="1024"/>
      <c r="B9" s="1056"/>
      <c r="C9" s="1030"/>
      <c r="D9" s="1042"/>
      <c r="E9" s="222" t="s">
        <v>813</v>
      </c>
      <c r="F9" s="223">
        <v>0.05</v>
      </c>
      <c r="G9" s="223">
        <v>0.05</v>
      </c>
      <c r="H9" s="223">
        <v>0.05</v>
      </c>
      <c r="I9" s="223">
        <v>0.05</v>
      </c>
      <c r="J9" s="223">
        <v>0.05</v>
      </c>
      <c r="K9" s="223">
        <v>0.05</v>
      </c>
      <c r="L9" s="441">
        <v>0.15</v>
      </c>
      <c r="M9" s="441">
        <v>0.15</v>
      </c>
      <c r="N9" s="441">
        <v>0.15</v>
      </c>
      <c r="O9" s="441">
        <v>0.15</v>
      </c>
      <c r="P9" s="441">
        <v>0.15</v>
      </c>
      <c r="Q9" s="441">
        <v>0.15</v>
      </c>
      <c r="R9" s="441">
        <v>0.15</v>
      </c>
      <c r="S9" s="441">
        <v>0.15</v>
      </c>
      <c r="T9" s="441">
        <v>0.15</v>
      </c>
      <c r="U9" s="441">
        <v>0.15</v>
      </c>
      <c r="V9" s="441">
        <v>0.15</v>
      </c>
      <c r="W9" s="441">
        <v>0.15</v>
      </c>
      <c r="X9" s="223">
        <v>0.05</v>
      </c>
      <c r="Y9" s="223">
        <v>0.05</v>
      </c>
      <c r="Z9" s="223">
        <v>0.05</v>
      </c>
      <c r="AA9" s="223">
        <v>0.05</v>
      </c>
      <c r="AB9" s="223">
        <v>0.05</v>
      </c>
      <c r="AC9" s="224">
        <v>0.05</v>
      </c>
      <c r="AD9" s="42"/>
      <c r="AE9" s="42"/>
      <c r="AF9" s="42"/>
      <c r="AG9" s="42"/>
      <c r="AH9" s="42"/>
      <c r="AI9" s="42"/>
      <c r="AJ9" s="42"/>
      <c r="AK9" s="42"/>
      <c r="AM9" s="52"/>
    </row>
    <row r="10" spans="1:39" ht="36" customHeight="1" x14ac:dyDescent="0.3">
      <c r="A10" s="1025" t="str">
        <f>A7</f>
        <v xml:space="preserve">All zones except for Server Rooms, Stairway, and Mechanical_Electrical </v>
      </c>
      <c r="B10" s="1043" t="s">
        <v>143</v>
      </c>
      <c r="C10" s="1057" t="s">
        <v>816</v>
      </c>
      <c r="D10" s="1053" t="s">
        <v>817</v>
      </c>
      <c r="E10" s="220" t="s">
        <v>811</v>
      </c>
      <c r="F10" s="225">
        <v>0.45</v>
      </c>
      <c r="G10" s="225">
        <v>0.45</v>
      </c>
      <c r="H10" s="225">
        <v>0.45</v>
      </c>
      <c r="I10" s="225">
        <v>0.45</v>
      </c>
      <c r="J10" s="225">
        <v>0.45</v>
      </c>
      <c r="K10" s="225">
        <v>0.45</v>
      </c>
      <c r="L10" s="225">
        <v>0.45</v>
      </c>
      <c r="M10" s="225">
        <v>0.74</v>
      </c>
      <c r="N10" s="225">
        <v>0.87</v>
      </c>
      <c r="O10" s="225">
        <v>0.9</v>
      </c>
      <c r="P10" s="225">
        <v>0.9</v>
      </c>
      <c r="Q10" s="225">
        <v>0.9</v>
      </c>
      <c r="R10" s="225">
        <v>0.9</v>
      </c>
      <c r="S10" s="225">
        <v>0.9</v>
      </c>
      <c r="T10" s="225">
        <v>0.9</v>
      </c>
      <c r="U10" s="225">
        <v>0.9</v>
      </c>
      <c r="V10" s="225">
        <v>0.9</v>
      </c>
      <c r="W10" s="225">
        <v>0.7</v>
      </c>
      <c r="X10" s="225">
        <v>0.5</v>
      </c>
      <c r="Y10" s="225">
        <v>0.5</v>
      </c>
      <c r="Z10" s="225">
        <v>0.5</v>
      </c>
      <c r="AA10" s="225">
        <v>0.45</v>
      </c>
      <c r="AB10" s="225">
        <v>0.45</v>
      </c>
      <c r="AC10" s="226">
        <v>0.45</v>
      </c>
      <c r="AD10" s="43"/>
      <c r="AE10" s="42"/>
      <c r="AF10" s="42"/>
      <c r="AG10" s="42"/>
      <c r="AH10" s="42"/>
      <c r="AI10" s="42"/>
      <c r="AJ10" s="42"/>
      <c r="AK10" s="42"/>
      <c r="AM10" s="52"/>
    </row>
    <row r="11" spans="1:39" ht="36" customHeight="1" x14ac:dyDescent="0.3">
      <c r="A11" s="1023"/>
      <c r="B11" s="993"/>
      <c r="C11" s="1014"/>
      <c r="D11" s="1054"/>
      <c r="E11" s="221" t="s">
        <v>812</v>
      </c>
      <c r="F11" s="227">
        <v>0.43</v>
      </c>
      <c r="G11" s="227">
        <v>0.43</v>
      </c>
      <c r="H11" s="227">
        <v>0.43</v>
      </c>
      <c r="I11" s="227">
        <v>0.43</v>
      </c>
      <c r="J11" s="227">
        <v>0.43</v>
      </c>
      <c r="K11" s="227">
        <v>0.43</v>
      </c>
      <c r="L11" s="227">
        <v>0.43</v>
      </c>
      <c r="M11" s="227">
        <v>0.43</v>
      </c>
      <c r="N11" s="227">
        <v>0.43</v>
      </c>
      <c r="O11" s="227">
        <v>0.43</v>
      </c>
      <c r="P11" s="227">
        <v>0.43</v>
      </c>
      <c r="Q11" s="227">
        <v>0.43</v>
      </c>
      <c r="R11" s="227">
        <v>0.43</v>
      </c>
      <c r="S11" s="227">
        <v>0.43</v>
      </c>
      <c r="T11" s="227">
        <v>0.43</v>
      </c>
      <c r="U11" s="227">
        <v>0.43</v>
      </c>
      <c r="V11" s="227">
        <v>0.43</v>
      </c>
      <c r="W11" s="227">
        <v>0.43</v>
      </c>
      <c r="X11" s="227">
        <v>0.43</v>
      </c>
      <c r="Y11" s="227">
        <v>0.43</v>
      </c>
      <c r="Z11" s="227">
        <v>0.43</v>
      </c>
      <c r="AA11" s="227">
        <v>0.43</v>
      </c>
      <c r="AB11" s="227">
        <v>0.43</v>
      </c>
      <c r="AC11" s="228">
        <v>0.43</v>
      </c>
      <c r="AD11" s="43"/>
      <c r="AE11" s="42"/>
      <c r="AF11" s="42"/>
      <c r="AG11" s="42"/>
      <c r="AH11" s="42"/>
      <c r="AI11" s="42"/>
      <c r="AJ11" s="42"/>
      <c r="AK11" s="42"/>
      <c r="AM11" s="52"/>
    </row>
    <row r="12" spans="1:39" ht="36" customHeight="1" thickBot="1" x14ac:dyDescent="0.35">
      <c r="A12" s="1024"/>
      <c r="B12" s="1056"/>
      <c r="C12" s="1030"/>
      <c r="D12" s="1055"/>
      <c r="E12" s="229" t="s">
        <v>813</v>
      </c>
      <c r="F12" s="230">
        <v>0.43</v>
      </c>
      <c r="G12" s="230">
        <v>0.43</v>
      </c>
      <c r="H12" s="230">
        <v>0.43</v>
      </c>
      <c r="I12" s="230">
        <v>0.43</v>
      </c>
      <c r="J12" s="230">
        <v>0.43</v>
      </c>
      <c r="K12" s="230">
        <v>0.43</v>
      </c>
      <c r="L12" s="230">
        <v>0.43</v>
      </c>
      <c r="M12" s="230">
        <v>0.43</v>
      </c>
      <c r="N12" s="230">
        <v>0.43</v>
      </c>
      <c r="O12" s="230">
        <v>0.43</v>
      </c>
      <c r="P12" s="230">
        <v>0.43</v>
      </c>
      <c r="Q12" s="230">
        <v>0.43</v>
      </c>
      <c r="R12" s="230">
        <v>0.43</v>
      </c>
      <c r="S12" s="230">
        <v>0.43</v>
      </c>
      <c r="T12" s="230">
        <v>0.43</v>
      </c>
      <c r="U12" s="230">
        <v>0.43</v>
      </c>
      <c r="V12" s="230">
        <v>0.43</v>
      </c>
      <c r="W12" s="230">
        <v>0.43</v>
      </c>
      <c r="X12" s="230">
        <v>0.43</v>
      </c>
      <c r="Y12" s="230">
        <v>0.43</v>
      </c>
      <c r="Z12" s="230">
        <v>0.43</v>
      </c>
      <c r="AA12" s="230">
        <v>0.43</v>
      </c>
      <c r="AB12" s="230">
        <v>0.43</v>
      </c>
      <c r="AC12" s="231">
        <v>0.43</v>
      </c>
      <c r="AD12" s="43"/>
      <c r="AE12" s="42"/>
      <c r="AF12" s="42"/>
      <c r="AG12" s="42"/>
      <c r="AH12" s="42"/>
      <c r="AI12" s="42"/>
      <c r="AJ12" s="42"/>
      <c r="AK12" s="42"/>
      <c r="AM12" s="52"/>
    </row>
    <row r="13" spans="1:39" ht="36" customHeight="1" x14ac:dyDescent="0.3">
      <c r="A13" s="1025" t="str">
        <f>A4</f>
        <v xml:space="preserve">All zones except for Server Rooms, Stairway, and Mechanical_Electrical </v>
      </c>
      <c r="B13" s="1043" t="s">
        <v>143</v>
      </c>
      <c r="C13" s="1057" t="s">
        <v>818</v>
      </c>
      <c r="D13" s="969" t="s">
        <v>819</v>
      </c>
      <c r="E13" s="232" t="s">
        <v>811</v>
      </c>
      <c r="F13" s="233">
        <v>0</v>
      </c>
      <c r="G13" s="233">
        <v>0</v>
      </c>
      <c r="H13" s="233">
        <v>0</v>
      </c>
      <c r="I13" s="233">
        <v>0</v>
      </c>
      <c r="J13" s="233">
        <v>0</v>
      </c>
      <c r="K13" s="233">
        <v>1</v>
      </c>
      <c r="L13" s="233">
        <v>1</v>
      </c>
      <c r="M13" s="233">
        <v>1</v>
      </c>
      <c r="N13" s="233">
        <v>1</v>
      </c>
      <c r="O13" s="233">
        <v>1</v>
      </c>
      <c r="P13" s="233">
        <v>1</v>
      </c>
      <c r="Q13" s="233">
        <v>1</v>
      </c>
      <c r="R13" s="233">
        <v>1</v>
      </c>
      <c r="S13" s="233">
        <v>1</v>
      </c>
      <c r="T13" s="233">
        <v>1</v>
      </c>
      <c r="U13" s="233">
        <v>1</v>
      </c>
      <c r="V13" s="233">
        <v>1</v>
      </c>
      <c r="W13" s="233">
        <v>1</v>
      </c>
      <c r="X13" s="233">
        <v>1</v>
      </c>
      <c r="Y13" s="233">
        <v>1</v>
      </c>
      <c r="Z13" s="233">
        <v>1</v>
      </c>
      <c r="AA13" s="233">
        <v>1</v>
      </c>
      <c r="AB13" s="233">
        <v>1</v>
      </c>
      <c r="AC13" s="234">
        <v>1</v>
      </c>
      <c r="AD13" s="43"/>
      <c r="AE13" s="42"/>
      <c r="AF13" s="42"/>
      <c r="AG13" s="42"/>
      <c r="AH13" s="42"/>
      <c r="AI13" s="42"/>
      <c r="AJ13" s="42"/>
      <c r="AK13" s="42"/>
      <c r="AM13" s="52"/>
    </row>
    <row r="14" spans="1:39" ht="36" customHeight="1" x14ac:dyDescent="0.3">
      <c r="A14" s="1023"/>
      <c r="B14" s="993"/>
      <c r="C14" s="1014"/>
      <c r="D14" s="970"/>
      <c r="E14" s="221" t="s">
        <v>812</v>
      </c>
      <c r="F14" s="213">
        <v>0</v>
      </c>
      <c r="G14" s="213">
        <v>0</v>
      </c>
      <c r="H14" s="213">
        <v>0</v>
      </c>
      <c r="I14" s="213">
        <v>0</v>
      </c>
      <c r="J14" s="213">
        <v>0</v>
      </c>
      <c r="K14" s="490">
        <v>0</v>
      </c>
      <c r="L14" s="490">
        <v>0</v>
      </c>
      <c r="M14" s="490">
        <v>0</v>
      </c>
      <c r="N14" s="490">
        <v>0</v>
      </c>
      <c r="O14" s="490">
        <v>0</v>
      </c>
      <c r="P14" s="490">
        <v>0</v>
      </c>
      <c r="Q14" s="490">
        <v>0</v>
      </c>
      <c r="R14" s="490">
        <v>0</v>
      </c>
      <c r="S14" s="490">
        <v>0</v>
      </c>
      <c r="T14" s="490">
        <v>0</v>
      </c>
      <c r="U14" s="490">
        <v>0</v>
      </c>
      <c r="V14" s="490">
        <v>0</v>
      </c>
      <c r="W14" s="490">
        <v>0</v>
      </c>
      <c r="X14" s="490">
        <v>0</v>
      </c>
      <c r="Y14" s="213">
        <v>0</v>
      </c>
      <c r="Z14" s="213">
        <v>0</v>
      </c>
      <c r="AA14" s="213">
        <v>0</v>
      </c>
      <c r="AB14" s="213">
        <v>0</v>
      </c>
      <c r="AC14" s="216">
        <v>0</v>
      </c>
      <c r="AD14" s="43"/>
      <c r="AE14" s="42"/>
      <c r="AF14" s="42"/>
      <c r="AG14" s="42"/>
      <c r="AH14" s="42"/>
      <c r="AI14" s="42"/>
      <c r="AJ14" s="42"/>
      <c r="AK14" s="42"/>
      <c r="AM14" s="52"/>
    </row>
    <row r="15" spans="1:39" ht="36" customHeight="1" x14ac:dyDescent="0.3">
      <c r="A15" s="1024"/>
      <c r="B15" s="993"/>
      <c r="C15" s="1014"/>
      <c r="D15" s="970"/>
      <c r="E15" s="222" t="s">
        <v>813</v>
      </c>
      <c r="F15" s="218">
        <v>0</v>
      </c>
      <c r="G15" s="218">
        <v>0</v>
      </c>
      <c r="H15" s="218">
        <v>0</v>
      </c>
      <c r="I15" s="218">
        <v>0</v>
      </c>
      <c r="J15" s="218">
        <v>0</v>
      </c>
      <c r="K15" s="218">
        <v>0</v>
      </c>
      <c r="L15" s="218">
        <v>0</v>
      </c>
      <c r="M15" s="218">
        <v>0</v>
      </c>
      <c r="N15" s="218">
        <v>0</v>
      </c>
      <c r="O15" s="218">
        <v>0</v>
      </c>
      <c r="P15" s="218">
        <v>0</v>
      </c>
      <c r="Q15" s="218">
        <v>0</v>
      </c>
      <c r="R15" s="218">
        <v>0</v>
      </c>
      <c r="S15" s="218">
        <v>0</v>
      </c>
      <c r="T15" s="218">
        <v>0</v>
      </c>
      <c r="U15" s="218">
        <v>0</v>
      </c>
      <c r="V15" s="218">
        <v>0</v>
      </c>
      <c r="W15" s="218">
        <v>0</v>
      </c>
      <c r="X15" s="218">
        <v>0</v>
      </c>
      <c r="Y15" s="218">
        <v>0</v>
      </c>
      <c r="Z15" s="218">
        <v>0</v>
      </c>
      <c r="AA15" s="218">
        <v>0</v>
      </c>
      <c r="AB15" s="218">
        <v>0</v>
      </c>
      <c r="AC15" s="219">
        <v>0</v>
      </c>
      <c r="AD15" s="43"/>
      <c r="AE15" s="42"/>
      <c r="AF15" s="42"/>
      <c r="AG15" s="42"/>
      <c r="AH15" s="42"/>
      <c r="AI15" s="42"/>
      <c r="AJ15" s="42"/>
      <c r="AK15" s="42"/>
      <c r="AM15" s="52"/>
    </row>
    <row r="16" spans="1:39" ht="36" customHeight="1" x14ac:dyDescent="0.3">
      <c r="A16" s="1007" t="str">
        <f>A4</f>
        <v xml:space="preserve">All zones except for Server Rooms, Stairway, and Mechanical_Electrical </v>
      </c>
      <c r="B16" s="1044" t="s">
        <v>143</v>
      </c>
      <c r="C16" s="1013" t="s">
        <v>820</v>
      </c>
      <c r="D16" s="1076" t="s">
        <v>815</v>
      </c>
      <c r="E16" s="444" t="s">
        <v>811</v>
      </c>
      <c r="F16" s="445">
        <v>0.05</v>
      </c>
      <c r="G16" s="445">
        <v>0.05</v>
      </c>
      <c r="H16" s="445">
        <v>0.05</v>
      </c>
      <c r="I16" s="445">
        <v>0.05</v>
      </c>
      <c r="J16" s="445">
        <v>0.05</v>
      </c>
      <c r="K16" s="445">
        <v>0.08</v>
      </c>
      <c r="L16" s="445">
        <v>7.0000000000000007E-2</v>
      </c>
      <c r="M16" s="445">
        <v>0.19</v>
      </c>
      <c r="N16" s="445">
        <v>0.35</v>
      </c>
      <c r="O16" s="445">
        <v>0.38</v>
      </c>
      <c r="P16" s="445">
        <v>0.39</v>
      </c>
      <c r="Q16" s="445">
        <v>0.47</v>
      </c>
      <c r="R16" s="445">
        <v>0.56999999999999995</v>
      </c>
      <c r="S16" s="445">
        <v>0.54</v>
      </c>
      <c r="T16" s="445">
        <v>0.34</v>
      </c>
      <c r="U16" s="445">
        <v>0.33</v>
      </c>
      <c r="V16" s="445">
        <v>0.44</v>
      </c>
      <c r="W16" s="445">
        <v>0.26</v>
      </c>
      <c r="X16" s="445">
        <v>0.21</v>
      </c>
      <c r="Y16" s="445">
        <v>0.15</v>
      </c>
      <c r="Z16" s="445">
        <v>0.17</v>
      </c>
      <c r="AA16" s="445">
        <v>0.08</v>
      </c>
      <c r="AB16" s="445">
        <v>0.05</v>
      </c>
      <c r="AC16" s="446">
        <v>0.05</v>
      </c>
      <c r="AD16" s="43"/>
      <c r="AE16" s="42"/>
      <c r="AF16" s="42"/>
      <c r="AG16" s="42"/>
      <c r="AH16" s="42"/>
      <c r="AI16" s="42"/>
      <c r="AJ16" s="42"/>
      <c r="AK16" s="42"/>
      <c r="AM16" s="52"/>
    </row>
    <row r="17" spans="1:39" ht="36" customHeight="1" x14ac:dyDescent="0.3">
      <c r="A17" s="1008"/>
      <c r="B17" s="993"/>
      <c r="C17" s="988"/>
      <c r="D17" s="991"/>
      <c r="E17" s="443" t="s">
        <v>812</v>
      </c>
      <c r="F17" s="442">
        <v>0.04</v>
      </c>
      <c r="G17" s="442">
        <v>0.04</v>
      </c>
      <c r="H17" s="442">
        <v>0.04</v>
      </c>
      <c r="I17" s="442">
        <v>0.04</v>
      </c>
      <c r="J17" s="442">
        <v>0.04</v>
      </c>
      <c r="K17" s="442">
        <v>7.0000000000000007E-2</v>
      </c>
      <c r="L17" s="442">
        <v>0.04</v>
      </c>
      <c r="M17" s="442">
        <v>0.04</v>
      </c>
      <c r="N17" s="442">
        <v>0.04</v>
      </c>
      <c r="O17" s="442">
        <v>0.04</v>
      </c>
      <c r="P17" s="442">
        <v>0.04</v>
      </c>
      <c r="Q17" s="442">
        <v>0.06</v>
      </c>
      <c r="R17" s="442">
        <v>0.06</v>
      </c>
      <c r="S17" s="442">
        <v>0.09</v>
      </c>
      <c r="T17" s="442">
        <v>0.06</v>
      </c>
      <c r="U17" s="442">
        <v>0.04</v>
      </c>
      <c r="V17" s="442">
        <v>0.04</v>
      </c>
      <c r="W17" s="442">
        <v>0.04</v>
      </c>
      <c r="X17" s="442">
        <v>0.04</v>
      </c>
      <c r="Y17" s="442">
        <v>0.04</v>
      </c>
      <c r="Z17" s="442">
        <v>0.04</v>
      </c>
      <c r="AA17" s="442">
        <v>7.0000000000000007E-2</v>
      </c>
      <c r="AB17" s="442">
        <v>0.04</v>
      </c>
      <c r="AC17" s="447">
        <v>0.04</v>
      </c>
      <c r="AD17" s="43"/>
      <c r="AE17" s="42"/>
      <c r="AF17" s="42"/>
      <c r="AG17" s="42"/>
      <c r="AH17" s="42"/>
      <c r="AI17" s="42"/>
      <c r="AJ17" s="42"/>
      <c r="AK17" s="42"/>
      <c r="AM17" s="52"/>
    </row>
    <row r="18" spans="1:39" ht="36" customHeight="1" x14ac:dyDescent="0.3">
      <c r="A18" s="1009"/>
      <c r="B18" s="1045"/>
      <c r="C18" s="1046"/>
      <c r="D18" s="1077"/>
      <c r="E18" s="448" t="s">
        <v>813</v>
      </c>
      <c r="F18" s="449">
        <v>0.04</v>
      </c>
      <c r="G18" s="449">
        <v>0.04</v>
      </c>
      <c r="H18" s="449">
        <v>0.04</v>
      </c>
      <c r="I18" s="449">
        <v>0.04</v>
      </c>
      <c r="J18" s="449">
        <v>0.04</v>
      </c>
      <c r="K18" s="449">
        <v>7.0000000000000007E-2</v>
      </c>
      <c r="L18" s="449">
        <v>0.04</v>
      </c>
      <c r="M18" s="449">
        <v>0.04</v>
      </c>
      <c r="N18" s="449">
        <v>0.04</v>
      </c>
      <c r="O18" s="449">
        <v>0.04</v>
      </c>
      <c r="P18" s="449">
        <v>0.04</v>
      </c>
      <c r="Q18" s="449">
        <v>0.06</v>
      </c>
      <c r="R18" s="449">
        <v>0.06</v>
      </c>
      <c r="S18" s="449">
        <v>0.09</v>
      </c>
      <c r="T18" s="449">
        <v>0.06</v>
      </c>
      <c r="U18" s="449">
        <v>0.04</v>
      </c>
      <c r="V18" s="449">
        <v>0.04</v>
      </c>
      <c r="W18" s="449">
        <v>0.04</v>
      </c>
      <c r="X18" s="449">
        <v>0.04</v>
      </c>
      <c r="Y18" s="449">
        <v>0.04</v>
      </c>
      <c r="Z18" s="449">
        <v>0.04</v>
      </c>
      <c r="AA18" s="449">
        <v>7.0000000000000007E-2</v>
      </c>
      <c r="AB18" s="449">
        <v>0.04</v>
      </c>
      <c r="AC18" s="450">
        <v>0.04</v>
      </c>
      <c r="AD18" s="43"/>
      <c r="AE18" s="42"/>
      <c r="AF18" s="42"/>
      <c r="AG18" s="42"/>
      <c r="AH18" s="42"/>
      <c r="AI18" s="42"/>
      <c r="AJ18" s="42"/>
      <c r="AK18" s="42"/>
      <c r="AM18" s="52"/>
    </row>
    <row r="19" spans="1:39" ht="36" customHeight="1" x14ac:dyDescent="0.3">
      <c r="A19" s="1022" t="str">
        <f>A4</f>
        <v xml:space="preserve">All zones except for Server Rooms, Stairway, and Mechanical_Electrical </v>
      </c>
      <c r="B19" s="993" t="s">
        <v>143</v>
      </c>
      <c r="C19" s="995" t="s">
        <v>346</v>
      </c>
      <c r="D19" s="997" t="s">
        <v>821</v>
      </c>
      <c r="E19" s="232" t="s">
        <v>811</v>
      </c>
      <c r="F19" s="233">
        <v>1</v>
      </c>
      <c r="G19" s="233">
        <v>1</v>
      </c>
      <c r="H19" s="233">
        <v>1</v>
      </c>
      <c r="I19" s="233">
        <v>1</v>
      </c>
      <c r="J19" s="233">
        <v>1</v>
      </c>
      <c r="K19" s="233">
        <v>0.25</v>
      </c>
      <c r="L19" s="233">
        <v>0.25</v>
      </c>
      <c r="M19" s="233">
        <v>0.25</v>
      </c>
      <c r="N19" s="233">
        <v>0.25</v>
      </c>
      <c r="O19" s="233">
        <v>0.25</v>
      </c>
      <c r="P19" s="233">
        <v>0.25</v>
      </c>
      <c r="Q19" s="233">
        <v>0.25</v>
      </c>
      <c r="R19" s="233">
        <v>0.25</v>
      </c>
      <c r="S19" s="233">
        <v>0.25</v>
      </c>
      <c r="T19" s="233">
        <v>0.25</v>
      </c>
      <c r="U19" s="233">
        <v>0.25</v>
      </c>
      <c r="V19" s="233">
        <v>0.25</v>
      </c>
      <c r="W19" s="233">
        <v>0.25</v>
      </c>
      <c r="X19" s="233">
        <v>0.25</v>
      </c>
      <c r="Y19" s="233">
        <v>0.25</v>
      </c>
      <c r="Z19" s="233">
        <v>0.25</v>
      </c>
      <c r="AA19" s="233">
        <v>0.25</v>
      </c>
      <c r="AB19" s="233">
        <v>0.25</v>
      </c>
      <c r="AC19" s="234">
        <v>0.25</v>
      </c>
      <c r="AD19" s="43"/>
      <c r="AE19" s="42"/>
      <c r="AF19" s="42"/>
      <c r="AG19" s="42"/>
      <c r="AH19" s="42"/>
      <c r="AI19" s="42"/>
      <c r="AJ19" s="42"/>
      <c r="AK19" s="42"/>
      <c r="AM19" s="52"/>
    </row>
    <row r="20" spans="1:39" ht="36" customHeight="1" x14ac:dyDescent="0.3">
      <c r="A20" s="1023"/>
      <c r="B20" s="993"/>
      <c r="C20" s="988"/>
      <c r="D20" s="991"/>
      <c r="E20" s="221" t="s">
        <v>812</v>
      </c>
      <c r="F20" s="213">
        <v>1</v>
      </c>
      <c r="G20" s="213">
        <v>1</v>
      </c>
      <c r="H20" s="213">
        <v>1</v>
      </c>
      <c r="I20" s="213">
        <v>1</v>
      </c>
      <c r="J20" s="213">
        <v>1</v>
      </c>
      <c r="K20" s="215">
        <v>1</v>
      </c>
      <c r="L20" s="215">
        <v>1</v>
      </c>
      <c r="M20" s="215">
        <v>1</v>
      </c>
      <c r="N20" s="215">
        <v>1</v>
      </c>
      <c r="O20" s="215">
        <v>1</v>
      </c>
      <c r="P20" s="215">
        <v>1</v>
      </c>
      <c r="Q20" s="215">
        <v>1</v>
      </c>
      <c r="R20" s="215">
        <v>1</v>
      </c>
      <c r="S20" s="215">
        <v>1</v>
      </c>
      <c r="T20" s="215">
        <v>1</v>
      </c>
      <c r="U20" s="215">
        <v>1</v>
      </c>
      <c r="V20" s="215">
        <v>1</v>
      </c>
      <c r="W20" s="215">
        <v>1</v>
      </c>
      <c r="X20" s="215">
        <v>1</v>
      </c>
      <c r="Y20" s="213">
        <v>1</v>
      </c>
      <c r="Z20" s="213">
        <v>1</v>
      </c>
      <c r="AA20" s="213">
        <v>1</v>
      </c>
      <c r="AB20" s="213">
        <v>1</v>
      </c>
      <c r="AC20" s="216">
        <v>1</v>
      </c>
      <c r="AD20" s="43"/>
      <c r="AE20" s="42"/>
      <c r="AF20" s="42"/>
      <c r="AG20" s="42"/>
      <c r="AH20" s="42"/>
      <c r="AI20" s="42"/>
      <c r="AJ20" s="42"/>
      <c r="AK20" s="42"/>
      <c r="AM20" s="52"/>
    </row>
    <row r="21" spans="1:39" ht="36" customHeight="1" thickBot="1" x14ac:dyDescent="0.35">
      <c r="A21" s="1024"/>
      <c r="B21" s="1056"/>
      <c r="C21" s="989"/>
      <c r="D21" s="1020"/>
      <c r="E21" s="222" t="s">
        <v>813</v>
      </c>
      <c r="F21" s="218">
        <v>1</v>
      </c>
      <c r="G21" s="218">
        <v>1</v>
      </c>
      <c r="H21" s="218">
        <v>1</v>
      </c>
      <c r="I21" s="218">
        <v>1</v>
      </c>
      <c r="J21" s="218">
        <v>1</v>
      </c>
      <c r="K21" s="218">
        <v>1</v>
      </c>
      <c r="L21" s="218">
        <v>1</v>
      </c>
      <c r="M21" s="218">
        <v>1</v>
      </c>
      <c r="N21" s="218">
        <v>1</v>
      </c>
      <c r="O21" s="218">
        <v>1</v>
      </c>
      <c r="P21" s="218">
        <v>1</v>
      </c>
      <c r="Q21" s="218">
        <v>1</v>
      </c>
      <c r="R21" s="218">
        <v>1</v>
      </c>
      <c r="S21" s="218">
        <v>1</v>
      </c>
      <c r="T21" s="218">
        <v>1</v>
      </c>
      <c r="U21" s="218">
        <v>1</v>
      </c>
      <c r="V21" s="218">
        <v>1</v>
      </c>
      <c r="W21" s="218">
        <v>1</v>
      </c>
      <c r="X21" s="218">
        <v>1</v>
      </c>
      <c r="Y21" s="218">
        <v>1</v>
      </c>
      <c r="Z21" s="218">
        <v>1</v>
      </c>
      <c r="AA21" s="218">
        <v>1</v>
      </c>
      <c r="AB21" s="218">
        <v>1</v>
      </c>
      <c r="AC21" s="219">
        <v>1</v>
      </c>
      <c r="AD21" s="43"/>
      <c r="AE21" s="42"/>
      <c r="AF21" s="42"/>
      <c r="AG21" s="42"/>
      <c r="AH21" s="42"/>
      <c r="AI21" s="42"/>
      <c r="AJ21" s="42"/>
      <c r="AK21" s="42"/>
      <c r="AM21" s="52"/>
    </row>
    <row r="22" spans="1:39" ht="36" customHeight="1" x14ac:dyDescent="0.3">
      <c r="A22" s="1025" t="str">
        <f t="shared" ref="A22" si="0">A7</f>
        <v xml:space="preserve">All zones except for Server Rooms, Stairway, and Mechanical_Electrical </v>
      </c>
      <c r="B22" s="1043" t="s">
        <v>143</v>
      </c>
      <c r="C22" s="1062" t="s">
        <v>822</v>
      </c>
      <c r="D22" s="1068"/>
      <c r="E22" s="194" t="s">
        <v>811</v>
      </c>
      <c r="F22" s="241">
        <f>IF((F13=1),Thermostat!$C$3,Thermostat!$C$4)</f>
        <v>60</v>
      </c>
      <c r="G22" s="241">
        <f>IF((G13=1),Thermostat!$C$3,Thermostat!$C$4)</f>
        <v>60</v>
      </c>
      <c r="H22" s="241">
        <f>IF((H13=1),Thermostat!$C$3,Thermostat!$C$4)</f>
        <v>60</v>
      </c>
      <c r="I22" s="241">
        <f>IF((I13=1),Thermostat!$C$3,Thermostat!$C$4)</f>
        <v>60</v>
      </c>
      <c r="J22" s="241">
        <f>IF((J13=1),Thermostat!$C$3,Thermostat!$C$4)</f>
        <v>60</v>
      </c>
      <c r="K22" s="241">
        <f>IF((K13=1),Thermostat!$C$3,Thermostat!$C$4)</f>
        <v>70</v>
      </c>
      <c r="L22" s="241">
        <f>IF((L13=1),Thermostat!$C$3,Thermostat!$C$4)</f>
        <v>70</v>
      </c>
      <c r="M22" s="241">
        <f>IF((M13=1),Thermostat!$C$3,Thermostat!$C$4)</f>
        <v>70</v>
      </c>
      <c r="N22" s="241">
        <f>IF((N13=1),Thermostat!$C$3,Thermostat!$C$4)</f>
        <v>70</v>
      </c>
      <c r="O22" s="241">
        <f>IF((O13=1),Thermostat!$C$3,Thermostat!$C$4)</f>
        <v>70</v>
      </c>
      <c r="P22" s="241">
        <f>IF((P13=1),Thermostat!$C$3,Thermostat!$C$4)</f>
        <v>70</v>
      </c>
      <c r="Q22" s="241">
        <f>IF((Q13=1),Thermostat!$C$3,Thermostat!$C$4)</f>
        <v>70</v>
      </c>
      <c r="R22" s="241">
        <f>IF((R13=1),Thermostat!$C$3,Thermostat!$C$4)</f>
        <v>70</v>
      </c>
      <c r="S22" s="241">
        <f>IF((S13=1),Thermostat!$C$3,Thermostat!$C$4)</f>
        <v>70</v>
      </c>
      <c r="T22" s="241">
        <f>IF((T13=1),Thermostat!$C$3,Thermostat!$C$4)</f>
        <v>70</v>
      </c>
      <c r="U22" s="241">
        <f>IF((U13=1),Thermostat!$C$3,Thermostat!$C$4)</f>
        <v>70</v>
      </c>
      <c r="V22" s="241">
        <f>IF((V13=1),Thermostat!$C$3,Thermostat!$C$4)</f>
        <v>70</v>
      </c>
      <c r="W22" s="241">
        <f>IF((W13=1),Thermostat!$C$3,Thermostat!$C$4)</f>
        <v>70</v>
      </c>
      <c r="X22" s="241">
        <f>IF((X13=1),Thermostat!$C$3,Thermostat!$C$4)</f>
        <v>70</v>
      </c>
      <c r="Y22" s="241">
        <f>IF((Y13=1),Thermostat!$C$3,Thermostat!$C$4)</f>
        <v>70</v>
      </c>
      <c r="Z22" s="241">
        <f>IF((Z13=1),Thermostat!$C$3,Thermostat!$C$4)</f>
        <v>70</v>
      </c>
      <c r="AA22" s="241">
        <f>IF((AA13=1),Thermostat!$C$3,Thermostat!$C$4)</f>
        <v>70</v>
      </c>
      <c r="AB22" s="241">
        <f>IF((AB13=1),Thermostat!$C$3,Thermostat!$C$4)</f>
        <v>70</v>
      </c>
      <c r="AC22" s="242">
        <f>IF((AC13=1),Thermostat!$C$3,Thermostat!$C$4)</f>
        <v>70</v>
      </c>
      <c r="AD22" s="43"/>
      <c r="AE22" s="42"/>
      <c r="AF22" s="42"/>
      <c r="AG22" s="42"/>
      <c r="AH22" s="42"/>
      <c r="AI22" s="42"/>
      <c r="AJ22" s="42"/>
      <c r="AK22" s="42"/>
      <c r="AM22" s="52"/>
    </row>
    <row r="23" spans="1:39" ht="36" customHeight="1" x14ac:dyDescent="0.3">
      <c r="A23" s="1023"/>
      <c r="B23" s="993"/>
      <c r="C23" s="1063"/>
      <c r="D23" s="1069"/>
      <c r="E23" s="195" t="s">
        <v>812</v>
      </c>
      <c r="F23" s="243">
        <f>IF((F14=1),Thermostat!$C$3,Thermostat!$C$4)</f>
        <v>60</v>
      </c>
      <c r="G23" s="243">
        <f>IF((G14=1),Thermostat!$C$3,Thermostat!$C$4)</f>
        <v>60</v>
      </c>
      <c r="H23" s="243">
        <f>IF((H14=1),Thermostat!$C$3,Thermostat!$C$4)</f>
        <v>60</v>
      </c>
      <c r="I23" s="243">
        <f>IF((I14=1),Thermostat!$C$3,Thermostat!$C$4)</f>
        <v>60</v>
      </c>
      <c r="J23" s="243">
        <f>IF((J14=1),Thermostat!$C$3,Thermostat!$C$4)</f>
        <v>60</v>
      </c>
      <c r="K23" s="243">
        <f>IF((K14=1),Thermostat!$C$3,Thermostat!$C$4)</f>
        <v>60</v>
      </c>
      <c r="L23" s="243">
        <f>IF((L14=1),Thermostat!$C$3,Thermostat!$C$4)</f>
        <v>60</v>
      </c>
      <c r="M23" s="243">
        <f>IF((M14=1),Thermostat!$C$3,Thermostat!$C$4)</f>
        <v>60</v>
      </c>
      <c r="N23" s="243">
        <f>IF((N14=1),Thermostat!$C$3,Thermostat!$C$4)</f>
        <v>60</v>
      </c>
      <c r="O23" s="243">
        <f>IF((O14=1),Thermostat!$C$3,Thermostat!$C$4)</f>
        <v>60</v>
      </c>
      <c r="P23" s="243">
        <f>IF((P14=1),Thermostat!$C$3,Thermostat!$C$4)</f>
        <v>60</v>
      </c>
      <c r="Q23" s="243">
        <f>IF((Q14=1),Thermostat!$C$3,Thermostat!$C$4)</f>
        <v>60</v>
      </c>
      <c r="R23" s="243">
        <f>IF((R14=1),Thermostat!$C$3,Thermostat!$C$4)</f>
        <v>60</v>
      </c>
      <c r="S23" s="243">
        <f>IF((S14=1),Thermostat!$C$3,Thermostat!$C$4)</f>
        <v>60</v>
      </c>
      <c r="T23" s="243">
        <f>IF((T14=1),Thermostat!$C$3,Thermostat!$C$4)</f>
        <v>60</v>
      </c>
      <c r="U23" s="243">
        <f>IF((U14=1),Thermostat!$C$3,Thermostat!$C$4)</f>
        <v>60</v>
      </c>
      <c r="V23" s="243">
        <f>IF((V14=1),Thermostat!$C$3,Thermostat!$C$4)</f>
        <v>60</v>
      </c>
      <c r="W23" s="243">
        <f>IF((W14=1),Thermostat!$C$3,Thermostat!$C$4)</f>
        <v>60</v>
      </c>
      <c r="X23" s="243">
        <f>IF((X14=1),Thermostat!$C$3,Thermostat!$C$4)</f>
        <v>60</v>
      </c>
      <c r="Y23" s="243">
        <f>IF((Y14=1),Thermostat!$C$3,Thermostat!$C$4)</f>
        <v>60</v>
      </c>
      <c r="Z23" s="243">
        <f>IF((Z14=1),Thermostat!$C$3,Thermostat!$C$4)</f>
        <v>60</v>
      </c>
      <c r="AA23" s="243">
        <f>IF((AA14=1),Thermostat!$C$3,Thermostat!$C$4)</f>
        <v>60</v>
      </c>
      <c r="AB23" s="243">
        <f>IF((AB14=1),Thermostat!$C$3,Thermostat!$C$4)</f>
        <v>60</v>
      </c>
      <c r="AC23" s="244">
        <f>IF((AC14=1),Thermostat!$C$3,Thermostat!$C$4)</f>
        <v>60</v>
      </c>
      <c r="AD23" s="43"/>
      <c r="AE23" s="42"/>
      <c r="AF23" s="42"/>
      <c r="AG23" s="42"/>
      <c r="AH23" s="42"/>
      <c r="AI23" s="42"/>
      <c r="AJ23" s="42"/>
      <c r="AK23" s="42"/>
      <c r="AM23" s="52"/>
    </row>
    <row r="24" spans="1:39" ht="36" customHeight="1" thickBot="1" x14ac:dyDescent="0.35">
      <c r="A24" s="1024"/>
      <c r="B24" s="1056"/>
      <c r="C24" s="1064"/>
      <c r="D24" s="1070"/>
      <c r="E24" s="196" t="s">
        <v>813</v>
      </c>
      <c r="F24" s="245">
        <f>IF((F15=1),Thermostat!$C$3,Thermostat!$C$4)</f>
        <v>60</v>
      </c>
      <c r="G24" s="245">
        <f>IF((G15=1),Thermostat!$C$3,Thermostat!$C$4)</f>
        <v>60</v>
      </c>
      <c r="H24" s="245">
        <f>IF((H15=1),Thermostat!$C$3,Thermostat!$C$4)</f>
        <v>60</v>
      </c>
      <c r="I24" s="245">
        <f>IF((I15=1),Thermostat!$C$3,Thermostat!$C$4)</f>
        <v>60</v>
      </c>
      <c r="J24" s="245">
        <f>IF((J15=1),Thermostat!$C$3,Thermostat!$C$4)</f>
        <v>60</v>
      </c>
      <c r="K24" s="245">
        <f>IF((K15=1),Thermostat!$C$3,Thermostat!$C$4)</f>
        <v>60</v>
      </c>
      <c r="L24" s="245">
        <f>IF((L15=1),Thermostat!$C$3,Thermostat!$C$4)</f>
        <v>60</v>
      </c>
      <c r="M24" s="245">
        <f>IF((M15=1),Thermostat!$C$3,Thermostat!$C$4)</f>
        <v>60</v>
      </c>
      <c r="N24" s="245">
        <f>IF((N15=1),Thermostat!$C$3,Thermostat!$C$4)</f>
        <v>60</v>
      </c>
      <c r="O24" s="245">
        <f>IF((O15=1),Thermostat!$C$3,Thermostat!$C$4)</f>
        <v>60</v>
      </c>
      <c r="P24" s="245">
        <f>IF((P15=1),Thermostat!$C$3,Thermostat!$C$4)</f>
        <v>60</v>
      </c>
      <c r="Q24" s="245">
        <f>IF((Q15=1),Thermostat!$C$3,Thermostat!$C$4)</f>
        <v>60</v>
      </c>
      <c r="R24" s="245">
        <f>IF((R15=1),Thermostat!$C$3,Thermostat!$C$4)</f>
        <v>60</v>
      </c>
      <c r="S24" s="245">
        <f>IF((S15=1),Thermostat!$C$3,Thermostat!$C$4)</f>
        <v>60</v>
      </c>
      <c r="T24" s="245">
        <f>IF((T15=1),Thermostat!$C$3,Thermostat!$C$4)</f>
        <v>60</v>
      </c>
      <c r="U24" s="245">
        <f>IF((U15=1),Thermostat!$C$3,Thermostat!$C$4)</f>
        <v>60</v>
      </c>
      <c r="V24" s="245">
        <f>IF((V15=1),Thermostat!$C$3,Thermostat!$C$4)</f>
        <v>60</v>
      </c>
      <c r="W24" s="245">
        <f>IF((W15=1),Thermostat!$C$3,Thermostat!$C$4)</f>
        <v>60</v>
      </c>
      <c r="X24" s="245">
        <f>IF((X15=1),Thermostat!$C$3,Thermostat!$C$4)</f>
        <v>60</v>
      </c>
      <c r="Y24" s="245">
        <f>IF((Y15=1),Thermostat!$C$3,Thermostat!$C$4)</f>
        <v>60</v>
      </c>
      <c r="Z24" s="245">
        <f>IF((Z15=1),Thermostat!$C$3,Thermostat!$C$4)</f>
        <v>60</v>
      </c>
      <c r="AA24" s="245">
        <f>IF((AA15=1),Thermostat!$C$3,Thermostat!$C$4)</f>
        <v>60</v>
      </c>
      <c r="AB24" s="245">
        <f>IF((AB15=1),Thermostat!$C$3,Thermostat!$C$4)</f>
        <v>60</v>
      </c>
      <c r="AC24" s="246">
        <f>IF((AC15=1),Thermostat!$C$3,Thermostat!$C$4)</f>
        <v>60</v>
      </c>
      <c r="AD24" s="43"/>
      <c r="AE24" s="42"/>
      <c r="AF24" s="42"/>
      <c r="AG24" s="42"/>
      <c r="AH24" s="42"/>
      <c r="AI24" s="42"/>
      <c r="AJ24" s="42"/>
      <c r="AK24" s="42"/>
      <c r="AM24" s="52"/>
    </row>
    <row r="25" spans="1:39" ht="36" customHeight="1" x14ac:dyDescent="0.3">
      <c r="A25" s="1025" t="str">
        <f t="shared" ref="A25" si="1">A10</f>
        <v xml:space="preserve">All zones except for Server Rooms, Stairway, and Mechanical_Electrical </v>
      </c>
      <c r="B25" s="1043" t="s">
        <v>143</v>
      </c>
      <c r="C25" s="1062" t="s">
        <v>823</v>
      </c>
      <c r="D25" s="1065"/>
      <c r="E25" s="247" t="s">
        <v>811</v>
      </c>
      <c r="F25" s="248">
        <f>IF((F13=1),Thermostat!$C$5,Thermostat!$C$6)</f>
        <v>85</v>
      </c>
      <c r="G25" s="248">
        <f>IF((G13=1),Thermostat!$C$5,Thermostat!$C$6)</f>
        <v>85</v>
      </c>
      <c r="H25" s="248">
        <f>IF((H13=1),Thermostat!$C$5,Thermostat!$C$6)</f>
        <v>85</v>
      </c>
      <c r="I25" s="248">
        <f>IF((I13=1),Thermostat!$C$5,Thermostat!$C$6)</f>
        <v>85</v>
      </c>
      <c r="J25" s="248">
        <f>IF((J13=1),Thermostat!$C$5,Thermostat!$C$6)</f>
        <v>85</v>
      </c>
      <c r="K25" s="248">
        <f>IF((K13=1),Thermostat!$C$5,Thermostat!$C$6)</f>
        <v>75</v>
      </c>
      <c r="L25" s="248">
        <f>IF((L13=1),Thermostat!$C$5,Thermostat!$C$6)</f>
        <v>75</v>
      </c>
      <c r="M25" s="248">
        <f>IF((M13=1),Thermostat!$C$5,Thermostat!$C$6)</f>
        <v>75</v>
      </c>
      <c r="N25" s="248">
        <f>IF((N13=1),Thermostat!$C$5,Thermostat!$C$6)</f>
        <v>75</v>
      </c>
      <c r="O25" s="248">
        <f>IF((O13=1),Thermostat!$C$5,Thermostat!$C$6)</f>
        <v>75</v>
      </c>
      <c r="P25" s="248">
        <f>IF((P13=1),Thermostat!$C$5,Thermostat!$C$6)</f>
        <v>75</v>
      </c>
      <c r="Q25" s="248">
        <f>IF((Q13=1),Thermostat!$C$5,Thermostat!$C$6)</f>
        <v>75</v>
      </c>
      <c r="R25" s="248">
        <f>IF((R13=1),Thermostat!$C$5,Thermostat!$C$6)</f>
        <v>75</v>
      </c>
      <c r="S25" s="248">
        <f>IF((S13=1),Thermostat!$C$5,Thermostat!$C$6)</f>
        <v>75</v>
      </c>
      <c r="T25" s="248">
        <f>IF((T13=1),Thermostat!$C$5,Thermostat!$C$6)</f>
        <v>75</v>
      </c>
      <c r="U25" s="248">
        <f>IF((U13=1),Thermostat!$C$5,Thermostat!$C$6)</f>
        <v>75</v>
      </c>
      <c r="V25" s="248">
        <f>IF((V13=1),Thermostat!$C$5,Thermostat!$C$6)</f>
        <v>75</v>
      </c>
      <c r="W25" s="248">
        <f>IF((W13=1),Thermostat!$C$5,Thermostat!$C$6)</f>
        <v>75</v>
      </c>
      <c r="X25" s="248">
        <f>IF((X13=1),Thermostat!$C$5,Thermostat!$C$6)</f>
        <v>75</v>
      </c>
      <c r="Y25" s="248">
        <f>IF((Y13=1),Thermostat!$C$5,Thermostat!$C$6)</f>
        <v>75</v>
      </c>
      <c r="Z25" s="248">
        <f>IF((Z13=1),Thermostat!$C$5,Thermostat!$C$6)</f>
        <v>75</v>
      </c>
      <c r="AA25" s="248">
        <f>IF((AA13=1),Thermostat!$C$5,Thermostat!$C$6)</f>
        <v>75</v>
      </c>
      <c r="AB25" s="248">
        <f>IF((AB13=1),Thermostat!$C$5,Thermostat!$C$6)</f>
        <v>75</v>
      </c>
      <c r="AC25" s="249">
        <f>IF((AC13=1),Thermostat!$C$5,Thermostat!$C$6)</f>
        <v>75</v>
      </c>
      <c r="AD25" s="43"/>
      <c r="AE25" s="42"/>
      <c r="AF25" s="42"/>
      <c r="AG25" s="42"/>
      <c r="AH25" s="42"/>
      <c r="AI25" s="42"/>
      <c r="AJ25" s="42"/>
      <c r="AK25" s="42"/>
      <c r="AM25" s="52"/>
    </row>
    <row r="26" spans="1:39" ht="36" customHeight="1" x14ac:dyDescent="0.3">
      <c r="A26" s="1023"/>
      <c r="B26" s="993"/>
      <c r="C26" s="1063"/>
      <c r="D26" s="1066"/>
      <c r="E26" s="195" t="s">
        <v>812</v>
      </c>
      <c r="F26" s="243">
        <f>IF((F14=1),Thermostat!$C$5,Thermostat!$C$6)</f>
        <v>85</v>
      </c>
      <c r="G26" s="243">
        <f>IF((G14=1),Thermostat!$C$5,Thermostat!$C$6)</f>
        <v>85</v>
      </c>
      <c r="H26" s="243">
        <f>IF((H14=1),Thermostat!$C$5,Thermostat!$C$6)</f>
        <v>85</v>
      </c>
      <c r="I26" s="243">
        <f>IF((I14=1),Thermostat!$C$5,Thermostat!$C$6)</f>
        <v>85</v>
      </c>
      <c r="J26" s="243">
        <f>IF((J14=1),Thermostat!$C$5,Thermostat!$C$6)</f>
        <v>85</v>
      </c>
      <c r="K26" s="243">
        <f>IF((K14=1),Thermostat!$C$5,Thermostat!$C$6)</f>
        <v>85</v>
      </c>
      <c r="L26" s="243">
        <f>IF((L14=1),Thermostat!$C$5,Thermostat!$C$6)</f>
        <v>85</v>
      </c>
      <c r="M26" s="243">
        <f>IF((M14=1),Thermostat!$C$5,Thermostat!$C$6)</f>
        <v>85</v>
      </c>
      <c r="N26" s="243">
        <f>IF((N14=1),Thermostat!$C$5,Thermostat!$C$6)</f>
        <v>85</v>
      </c>
      <c r="O26" s="243">
        <f>IF((O14=1),Thermostat!$C$5,Thermostat!$C$6)</f>
        <v>85</v>
      </c>
      <c r="P26" s="243">
        <f>IF((P14=1),Thermostat!$C$5,Thermostat!$C$6)</f>
        <v>85</v>
      </c>
      <c r="Q26" s="243">
        <f>IF((Q14=1),Thermostat!$C$5,Thermostat!$C$6)</f>
        <v>85</v>
      </c>
      <c r="R26" s="243">
        <f>IF((R14=1),Thermostat!$C$5,Thermostat!$C$6)</f>
        <v>85</v>
      </c>
      <c r="S26" s="243">
        <f>IF((S14=1),Thermostat!$C$5,Thermostat!$C$6)</f>
        <v>85</v>
      </c>
      <c r="T26" s="243">
        <f>IF((T14=1),Thermostat!$C$5,Thermostat!$C$6)</f>
        <v>85</v>
      </c>
      <c r="U26" s="243">
        <f>IF((U14=1),Thermostat!$C$5,Thermostat!$C$6)</f>
        <v>85</v>
      </c>
      <c r="V26" s="243">
        <f>IF((V14=1),Thermostat!$C$5,Thermostat!$C$6)</f>
        <v>85</v>
      </c>
      <c r="W26" s="243">
        <f>IF((W14=1),Thermostat!$C$5,Thermostat!$C$6)</f>
        <v>85</v>
      </c>
      <c r="X26" s="243">
        <f>IF((X14=1),Thermostat!$C$5,Thermostat!$C$6)</f>
        <v>85</v>
      </c>
      <c r="Y26" s="243">
        <f>IF((Y14=1),Thermostat!$C$5,Thermostat!$C$6)</f>
        <v>85</v>
      </c>
      <c r="Z26" s="243">
        <f>IF((Z14=1),Thermostat!$C$5,Thermostat!$C$6)</f>
        <v>85</v>
      </c>
      <c r="AA26" s="243">
        <f>IF((AA14=1),Thermostat!$C$5,Thermostat!$C$6)</f>
        <v>85</v>
      </c>
      <c r="AB26" s="243">
        <f>IF((AB14=1),Thermostat!$C$5,Thermostat!$C$6)</f>
        <v>85</v>
      </c>
      <c r="AC26" s="244">
        <f>IF((AC14=1),Thermostat!$C$5,Thermostat!$C$6)</f>
        <v>85</v>
      </c>
      <c r="AD26" s="43"/>
      <c r="AE26" s="42"/>
      <c r="AF26" s="42"/>
      <c r="AG26" s="42"/>
      <c r="AH26" s="42"/>
      <c r="AI26" s="42"/>
      <c r="AJ26" s="42"/>
      <c r="AK26" s="42"/>
      <c r="AM26" s="52"/>
    </row>
    <row r="27" spans="1:39" ht="36" customHeight="1" thickBot="1" x14ac:dyDescent="0.35">
      <c r="A27" s="1026"/>
      <c r="B27" s="994"/>
      <c r="C27" s="1064"/>
      <c r="D27" s="1067"/>
      <c r="E27" s="196" t="s">
        <v>813</v>
      </c>
      <c r="F27" s="245">
        <f>IF((F15=1),Thermostat!$C$5,Thermostat!$C$6)</f>
        <v>85</v>
      </c>
      <c r="G27" s="245">
        <f>IF((G15=1),Thermostat!$C$5,Thermostat!$C$6)</f>
        <v>85</v>
      </c>
      <c r="H27" s="245">
        <f>IF((H15=1),Thermostat!$C$5,Thermostat!$C$6)</f>
        <v>85</v>
      </c>
      <c r="I27" s="245">
        <f>IF((I15=1),Thermostat!$C$5,Thermostat!$C$6)</f>
        <v>85</v>
      </c>
      <c r="J27" s="245">
        <f>IF((J15=1),Thermostat!$C$5,Thermostat!$C$6)</f>
        <v>85</v>
      </c>
      <c r="K27" s="245">
        <f>IF((K15=1),Thermostat!$C$5,Thermostat!$C$6)</f>
        <v>85</v>
      </c>
      <c r="L27" s="245">
        <f>IF((L15=1),Thermostat!$C$5,Thermostat!$C$6)</f>
        <v>85</v>
      </c>
      <c r="M27" s="245">
        <f>IF((M15=1),Thermostat!$C$5,Thermostat!$C$6)</f>
        <v>85</v>
      </c>
      <c r="N27" s="245">
        <f>IF((N15=1),Thermostat!$C$5,Thermostat!$C$6)</f>
        <v>85</v>
      </c>
      <c r="O27" s="245">
        <f>IF((O15=1),Thermostat!$C$5,Thermostat!$C$6)</f>
        <v>85</v>
      </c>
      <c r="P27" s="245">
        <f>IF((P15=1),Thermostat!$C$5,Thermostat!$C$6)</f>
        <v>85</v>
      </c>
      <c r="Q27" s="245">
        <f>IF((Q15=1),Thermostat!$C$5,Thermostat!$C$6)</f>
        <v>85</v>
      </c>
      <c r="R27" s="245">
        <f>IF((R15=1),Thermostat!$C$5,Thermostat!$C$6)</f>
        <v>85</v>
      </c>
      <c r="S27" s="245">
        <f>IF((S15=1),Thermostat!$C$5,Thermostat!$C$6)</f>
        <v>85</v>
      </c>
      <c r="T27" s="245">
        <f>IF((T15=1),Thermostat!$C$5,Thermostat!$C$6)</f>
        <v>85</v>
      </c>
      <c r="U27" s="245">
        <f>IF((U15=1),Thermostat!$C$5,Thermostat!$C$6)</f>
        <v>85</v>
      </c>
      <c r="V27" s="245">
        <f>IF((V15=1),Thermostat!$C$5,Thermostat!$C$6)</f>
        <v>85</v>
      </c>
      <c r="W27" s="245">
        <f>IF((W15=1),Thermostat!$C$5,Thermostat!$C$6)</f>
        <v>85</v>
      </c>
      <c r="X27" s="245">
        <f>IF((X15=1),Thermostat!$C$5,Thermostat!$C$6)</f>
        <v>85</v>
      </c>
      <c r="Y27" s="245">
        <f>IF((Y15=1),Thermostat!$C$5,Thermostat!$C$6)</f>
        <v>85</v>
      </c>
      <c r="Z27" s="245">
        <f>IF((Z15=1),Thermostat!$C$5,Thermostat!$C$6)</f>
        <v>85</v>
      </c>
      <c r="AA27" s="245">
        <f>IF((AA15=1),Thermostat!$C$5,Thermostat!$C$6)</f>
        <v>85</v>
      </c>
      <c r="AB27" s="245">
        <f>IF((AB15=1),Thermostat!$C$5,Thermostat!$C$6)</f>
        <v>85</v>
      </c>
      <c r="AC27" s="246">
        <f>IF((AC15=1),Thermostat!$C$5,Thermostat!$C$6)</f>
        <v>85</v>
      </c>
      <c r="AD27" s="43"/>
      <c r="AE27" s="42"/>
      <c r="AF27" s="42"/>
      <c r="AG27" s="42"/>
      <c r="AH27" s="42"/>
      <c r="AI27" s="42"/>
      <c r="AJ27" s="42"/>
      <c r="AK27" s="42"/>
      <c r="AM27" s="52"/>
    </row>
    <row r="28" spans="1:39" ht="31.2" customHeight="1" thickBot="1" x14ac:dyDescent="0.35">
      <c r="A28" s="1071" t="s">
        <v>153</v>
      </c>
      <c r="B28" s="1072"/>
      <c r="C28" s="1072"/>
      <c r="D28" s="1072"/>
      <c r="E28" s="1072"/>
      <c r="F28" s="1072"/>
      <c r="G28" s="1072"/>
      <c r="H28" s="1072"/>
      <c r="I28" s="1072"/>
      <c r="J28" s="1072"/>
      <c r="K28" s="1072"/>
      <c r="L28" s="1072"/>
      <c r="M28" s="1072"/>
      <c r="N28" s="1072"/>
      <c r="O28" s="1072"/>
      <c r="P28" s="1072"/>
      <c r="Q28" s="1072"/>
      <c r="R28" s="1072"/>
      <c r="S28" s="1072"/>
      <c r="T28" s="1072"/>
      <c r="U28" s="1072"/>
      <c r="V28" s="1072"/>
      <c r="W28" s="1072"/>
      <c r="X28" s="1072"/>
      <c r="Y28" s="1072"/>
      <c r="Z28" s="1072"/>
      <c r="AA28" s="1072"/>
      <c r="AB28" s="1072"/>
      <c r="AC28" s="1073"/>
      <c r="AD28" s="42"/>
      <c r="AE28" s="42"/>
      <c r="AF28" s="42"/>
      <c r="AG28" s="42"/>
      <c r="AH28" s="42"/>
      <c r="AI28" s="42"/>
      <c r="AJ28" s="42"/>
    </row>
    <row r="29" spans="1:39" ht="36" customHeight="1" x14ac:dyDescent="0.3">
      <c r="A29" s="1025" t="s">
        <v>527</v>
      </c>
      <c r="B29" s="1043" t="s">
        <v>153</v>
      </c>
      <c r="C29" s="1036" t="s">
        <v>809</v>
      </c>
      <c r="D29" s="990" t="s">
        <v>824</v>
      </c>
      <c r="E29" s="209" t="s">
        <v>811</v>
      </c>
      <c r="F29" s="210">
        <v>0</v>
      </c>
      <c r="G29" s="210">
        <v>0</v>
      </c>
      <c r="H29" s="210">
        <v>0</v>
      </c>
      <c r="I29" s="210">
        <v>0</v>
      </c>
      <c r="J29" s="210">
        <v>0.05</v>
      </c>
      <c r="K29" s="210">
        <v>0.1</v>
      </c>
      <c r="L29" s="210">
        <v>0.25</v>
      </c>
      <c r="M29" s="210">
        <v>0.65</v>
      </c>
      <c r="N29" s="210">
        <v>0.65</v>
      </c>
      <c r="O29" s="210">
        <v>0.65</v>
      </c>
      <c r="P29" s="210">
        <v>0.65</v>
      </c>
      <c r="Q29" s="210">
        <v>0.6</v>
      </c>
      <c r="R29" s="210">
        <v>0.6</v>
      </c>
      <c r="S29" s="210">
        <v>0.65</v>
      </c>
      <c r="T29" s="210">
        <v>0.65</v>
      </c>
      <c r="U29" s="210">
        <v>0.65</v>
      </c>
      <c r="V29" s="210">
        <v>0.65</v>
      </c>
      <c r="W29" s="210">
        <v>0.4</v>
      </c>
      <c r="X29" s="210">
        <v>0.25</v>
      </c>
      <c r="Y29" s="210">
        <v>0.1</v>
      </c>
      <c r="Z29" s="210">
        <v>0.05</v>
      </c>
      <c r="AA29" s="210">
        <v>0.05</v>
      </c>
      <c r="AB29" s="210">
        <v>0.05</v>
      </c>
      <c r="AC29" s="211">
        <v>0</v>
      </c>
      <c r="AD29" s="42"/>
      <c r="AE29" s="42"/>
      <c r="AF29" s="42"/>
      <c r="AG29" s="42"/>
      <c r="AH29" s="42"/>
      <c r="AI29" s="42"/>
      <c r="AJ29" s="42"/>
      <c r="AK29" s="42"/>
    </row>
    <row r="30" spans="1:39" ht="36" customHeight="1" x14ac:dyDescent="0.3">
      <c r="A30" s="1023"/>
      <c r="B30" s="993"/>
      <c r="C30" s="988"/>
      <c r="D30" s="991"/>
      <c r="E30" s="212" t="s">
        <v>812</v>
      </c>
      <c r="F30" s="213">
        <v>0</v>
      </c>
      <c r="G30" s="213">
        <v>0</v>
      </c>
      <c r="H30" s="213">
        <v>0</v>
      </c>
      <c r="I30" s="213">
        <v>0</v>
      </c>
      <c r="J30" s="213">
        <v>0</v>
      </c>
      <c r="K30" s="213">
        <v>0</v>
      </c>
      <c r="L30" s="214">
        <v>0</v>
      </c>
      <c r="M30" s="214">
        <v>0.05</v>
      </c>
      <c r="N30" s="214">
        <v>0.05</v>
      </c>
      <c r="O30" s="214">
        <v>0.05</v>
      </c>
      <c r="P30" s="214">
        <v>0.05</v>
      </c>
      <c r="Q30" s="214">
        <v>0.05</v>
      </c>
      <c r="R30" s="214">
        <v>0.05</v>
      </c>
      <c r="S30" s="214">
        <v>0.05</v>
      </c>
      <c r="T30" s="214">
        <v>0.05</v>
      </c>
      <c r="U30" s="214">
        <v>0.05</v>
      </c>
      <c r="V30" s="214">
        <v>0.05</v>
      </c>
      <c r="W30" s="214">
        <v>0.05</v>
      </c>
      <c r="X30" s="215">
        <v>0.05</v>
      </c>
      <c r="Y30" s="213">
        <v>0.05</v>
      </c>
      <c r="Z30" s="213">
        <v>0</v>
      </c>
      <c r="AA30" s="213">
        <v>0</v>
      </c>
      <c r="AB30" s="213">
        <v>0</v>
      </c>
      <c r="AC30" s="216">
        <v>0</v>
      </c>
      <c r="AD30" s="42"/>
      <c r="AE30" s="42"/>
      <c r="AF30" s="42"/>
      <c r="AG30" s="42"/>
      <c r="AH30" s="42"/>
      <c r="AI30" s="42"/>
      <c r="AJ30" s="42"/>
      <c r="AK30" s="42"/>
    </row>
    <row r="31" spans="1:39" ht="36" customHeight="1" x14ac:dyDescent="0.3">
      <c r="A31" s="1024"/>
      <c r="B31" s="993"/>
      <c r="C31" s="989"/>
      <c r="D31" s="1020"/>
      <c r="E31" s="217" t="s">
        <v>813</v>
      </c>
      <c r="F31" s="218">
        <v>0</v>
      </c>
      <c r="G31" s="218">
        <v>0</v>
      </c>
      <c r="H31" s="218">
        <v>0</v>
      </c>
      <c r="I31" s="218">
        <v>0</v>
      </c>
      <c r="J31" s="218">
        <v>0</v>
      </c>
      <c r="K31" s="218">
        <v>0</v>
      </c>
      <c r="L31" s="218">
        <v>0</v>
      </c>
      <c r="M31" s="218">
        <v>0.05</v>
      </c>
      <c r="N31" s="218">
        <v>0.05</v>
      </c>
      <c r="O31" s="218">
        <v>0.05</v>
      </c>
      <c r="P31" s="218">
        <v>0.05</v>
      </c>
      <c r="Q31" s="218">
        <v>0.05</v>
      </c>
      <c r="R31" s="218">
        <v>0.05</v>
      </c>
      <c r="S31" s="218">
        <v>0.05</v>
      </c>
      <c r="T31" s="218">
        <v>0.05</v>
      </c>
      <c r="U31" s="218">
        <v>0.05</v>
      </c>
      <c r="V31" s="218">
        <v>0.05</v>
      </c>
      <c r="W31" s="218">
        <v>0.05</v>
      </c>
      <c r="X31" s="218">
        <v>0.05</v>
      </c>
      <c r="Y31" s="218">
        <v>0.05</v>
      </c>
      <c r="Z31" s="218">
        <v>0</v>
      </c>
      <c r="AA31" s="218">
        <v>0</v>
      </c>
      <c r="AB31" s="218">
        <v>0</v>
      </c>
      <c r="AC31" s="219">
        <v>0</v>
      </c>
      <c r="AD31" s="42"/>
      <c r="AE31" s="42"/>
      <c r="AF31" s="42"/>
      <c r="AG31" s="42"/>
      <c r="AH31" s="42"/>
      <c r="AI31" s="42"/>
      <c r="AJ31" s="42"/>
      <c r="AK31" s="42"/>
    </row>
    <row r="32" spans="1:39" ht="36" customHeight="1" x14ac:dyDescent="0.3">
      <c r="A32" s="1007" t="str">
        <f>A29</f>
        <v>Server rooms</v>
      </c>
      <c r="B32" s="1044" t="str">
        <f>B29</f>
        <v>Data</v>
      </c>
      <c r="C32" s="1013" t="s">
        <v>814</v>
      </c>
      <c r="D32" s="1047" t="s">
        <v>824</v>
      </c>
      <c r="E32" s="250" t="s">
        <v>811</v>
      </c>
      <c r="F32" s="210">
        <v>0.05</v>
      </c>
      <c r="G32" s="210">
        <v>0.05</v>
      </c>
      <c r="H32" s="210">
        <v>0.05</v>
      </c>
      <c r="I32" s="210">
        <v>0.05</v>
      </c>
      <c r="J32" s="210">
        <v>0.1</v>
      </c>
      <c r="K32" s="210">
        <v>0.2</v>
      </c>
      <c r="L32" s="210">
        <v>0.4</v>
      </c>
      <c r="M32" s="210">
        <v>0.7</v>
      </c>
      <c r="N32" s="210">
        <v>0.8</v>
      </c>
      <c r="O32" s="210">
        <v>0.85</v>
      </c>
      <c r="P32" s="210">
        <v>0.85</v>
      </c>
      <c r="Q32" s="210">
        <v>0.85</v>
      </c>
      <c r="R32" s="210">
        <v>0.85</v>
      </c>
      <c r="S32" s="210">
        <v>0.85</v>
      </c>
      <c r="T32" s="210">
        <v>0.85</v>
      </c>
      <c r="U32" s="210">
        <v>0.85</v>
      </c>
      <c r="V32" s="210">
        <v>0.85</v>
      </c>
      <c r="W32" s="210">
        <v>0.8</v>
      </c>
      <c r="X32" s="210">
        <v>0.35</v>
      </c>
      <c r="Y32" s="210">
        <v>0.1</v>
      </c>
      <c r="Z32" s="210">
        <v>0.1</v>
      </c>
      <c r="AA32" s="210">
        <v>0.1</v>
      </c>
      <c r="AB32" s="210">
        <v>0.1</v>
      </c>
      <c r="AC32" s="211">
        <v>0.1</v>
      </c>
      <c r="AD32" s="42"/>
      <c r="AE32" s="42"/>
      <c r="AF32" s="42"/>
      <c r="AG32" s="42"/>
      <c r="AH32" s="42"/>
      <c r="AI32" s="42"/>
      <c r="AJ32" s="42"/>
      <c r="AK32" s="42"/>
      <c r="AM32" s="52"/>
    </row>
    <row r="33" spans="1:39" ht="36" customHeight="1" x14ac:dyDescent="0.3">
      <c r="A33" s="1008"/>
      <c r="B33" s="993"/>
      <c r="C33" s="988"/>
      <c r="D33" s="1048"/>
      <c r="E33" s="221" t="s">
        <v>812</v>
      </c>
      <c r="F33" s="213">
        <v>0.05</v>
      </c>
      <c r="G33" s="213">
        <v>0.05</v>
      </c>
      <c r="H33" s="213">
        <v>0.05</v>
      </c>
      <c r="I33" s="213">
        <v>0.05</v>
      </c>
      <c r="J33" s="213">
        <v>0.05</v>
      </c>
      <c r="K33" s="213">
        <v>0.1</v>
      </c>
      <c r="L33" s="215">
        <v>0.1</v>
      </c>
      <c r="M33" s="215">
        <v>0.15</v>
      </c>
      <c r="N33" s="215">
        <v>0.15</v>
      </c>
      <c r="O33" s="215">
        <v>0.15</v>
      </c>
      <c r="P33" s="215">
        <v>0.15</v>
      </c>
      <c r="Q33" s="215">
        <v>0.15</v>
      </c>
      <c r="R33" s="215">
        <v>0.15</v>
      </c>
      <c r="S33" s="215">
        <v>0.15</v>
      </c>
      <c r="T33" s="215">
        <v>0.15</v>
      </c>
      <c r="U33" s="215">
        <v>0.15</v>
      </c>
      <c r="V33" s="215">
        <v>0.15</v>
      </c>
      <c r="W33" s="215">
        <v>0.1</v>
      </c>
      <c r="X33" s="213">
        <v>0.1</v>
      </c>
      <c r="Y33" s="213">
        <v>0.1</v>
      </c>
      <c r="Z33" s="215">
        <v>0.05</v>
      </c>
      <c r="AA33" s="215">
        <v>0.05</v>
      </c>
      <c r="AB33" s="215">
        <v>0.05</v>
      </c>
      <c r="AC33" s="275">
        <v>0.05</v>
      </c>
      <c r="AD33" s="42"/>
      <c r="AE33" s="42"/>
      <c r="AF33" s="42"/>
      <c r="AG33" s="42"/>
      <c r="AH33" s="42"/>
      <c r="AI33" s="42"/>
      <c r="AJ33" s="42"/>
      <c r="AK33" s="42"/>
      <c r="AM33" s="52"/>
    </row>
    <row r="34" spans="1:39" ht="36" customHeight="1" x14ac:dyDescent="0.3">
      <c r="A34" s="1009"/>
      <c r="B34" s="1045"/>
      <c r="C34" s="1046"/>
      <c r="D34" s="1049"/>
      <c r="E34" s="251" t="s">
        <v>813</v>
      </c>
      <c r="F34" s="223">
        <v>0.05</v>
      </c>
      <c r="G34" s="223">
        <v>0.05</v>
      </c>
      <c r="H34" s="223">
        <v>0.05</v>
      </c>
      <c r="I34" s="223">
        <v>0.05</v>
      </c>
      <c r="J34" s="223">
        <v>0.05</v>
      </c>
      <c r="K34" s="223">
        <v>0.1</v>
      </c>
      <c r="L34" s="274">
        <v>0.1</v>
      </c>
      <c r="M34" s="274">
        <v>0.15</v>
      </c>
      <c r="N34" s="274">
        <v>0.15</v>
      </c>
      <c r="O34" s="274">
        <v>0.15</v>
      </c>
      <c r="P34" s="274">
        <v>0.15</v>
      </c>
      <c r="Q34" s="274">
        <v>0.15</v>
      </c>
      <c r="R34" s="274">
        <v>0.15</v>
      </c>
      <c r="S34" s="274">
        <v>0.15</v>
      </c>
      <c r="T34" s="274">
        <v>0.15</v>
      </c>
      <c r="U34" s="274">
        <v>0.15</v>
      </c>
      <c r="V34" s="274">
        <v>0.15</v>
      </c>
      <c r="W34" s="274">
        <v>0.1</v>
      </c>
      <c r="X34" s="223">
        <v>0.1</v>
      </c>
      <c r="Y34" s="223">
        <v>0.1</v>
      </c>
      <c r="Z34" s="274">
        <v>0.05</v>
      </c>
      <c r="AA34" s="274">
        <v>0.05</v>
      </c>
      <c r="AB34" s="274">
        <v>0.05</v>
      </c>
      <c r="AC34" s="276">
        <v>0.05</v>
      </c>
      <c r="AD34" s="42"/>
      <c r="AE34" s="42"/>
      <c r="AF34" s="42"/>
      <c r="AG34" s="42"/>
      <c r="AH34" s="42"/>
      <c r="AI34" s="42"/>
      <c r="AJ34" s="42"/>
      <c r="AK34" s="42"/>
      <c r="AM34" s="52"/>
    </row>
    <row r="35" spans="1:39" ht="36" customHeight="1" x14ac:dyDescent="0.3">
      <c r="A35" s="1022" t="str">
        <f>A29</f>
        <v>Server rooms</v>
      </c>
      <c r="B35" s="993" t="str">
        <f>B29</f>
        <v>Data</v>
      </c>
      <c r="C35" s="995" t="s">
        <v>818</v>
      </c>
      <c r="D35" s="997" t="s">
        <v>825</v>
      </c>
      <c r="E35" s="232" t="s">
        <v>811</v>
      </c>
      <c r="F35" s="233">
        <v>1</v>
      </c>
      <c r="G35" s="233">
        <v>1</v>
      </c>
      <c r="H35" s="233">
        <v>1</v>
      </c>
      <c r="I35" s="233">
        <v>1</v>
      </c>
      <c r="J35" s="233">
        <v>1</v>
      </c>
      <c r="K35" s="233">
        <v>1</v>
      </c>
      <c r="L35" s="233">
        <v>1</v>
      </c>
      <c r="M35" s="233">
        <v>1</v>
      </c>
      <c r="N35" s="233">
        <v>1</v>
      </c>
      <c r="O35" s="233">
        <v>1</v>
      </c>
      <c r="P35" s="233">
        <v>1</v>
      </c>
      <c r="Q35" s="233">
        <v>1</v>
      </c>
      <c r="R35" s="233">
        <v>1</v>
      </c>
      <c r="S35" s="233">
        <v>1</v>
      </c>
      <c r="T35" s="233">
        <v>1</v>
      </c>
      <c r="U35" s="233">
        <v>1</v>
      </c>
      <c r="V35" s="233">
        <v>1</v>
      </c>
      <c r="W35" s="233">
        <v>1</v>
      </c>
      <c r="X35" s="233">
        <v>1</v>
      </c>
      <c r="Y35" s="233">
        <v>1</v>
      </c>
      <c r="Z35" s="233">
        <v>1</v>
      </c>
      <c r="AA35" s="233">
        <v>1</v>
      </c>
      <c r="AB35" s="233">
        <v>1</v>
      </c>
      <c r="AC35" s="234">
        <v>1</v>
      </c>
      <c r="AD35" s="43"/>
      <c r="AE35" s="42"/>
      <c r="AF35" s="42"/>
      <c r="AG35" s="42"/>
      <c r="AH35" s="42"/>
      <c r="AI35" s="42"/>
      <c r="AJ35" s="42"/>
      <c r="AK35" s="42"/>
      <c r="AM35" s="52"/>
    </row>
    <row r="36" spans="1:39" ht="36" customHeight="1" x14ac:dyDescent="0.3">
      <c r="A36" s="1023"/>
      <c r="B36" s="993"/>
      <c r="C36" s="988"/>
      <c r="D36" s="991"/>
      <c r="E36" s="221" t="s">
        <v>812</v>
      </c>
      <c r="F36" s="213">
        <v>1</v>
      </c>
      <c r="G36" s="213">
        <v>1</v>
      </c>
      <c r="H36" s="213">
        <v>1</v>
      </c>
      <c r="I36" s="213">
        <v>1</v>
      </c>
      <c r="J36" s="213">
        <v>1</v>
      </c>
      <c r="K36" s="213">
        <v>1</v>
      </c>
      <c r="L36" s="213">
        <v>1</v>
      </c>
      <c r="M36" s="213">
        <v>1</v>
      </c>
      <c r="N36" s="213">
        <v>1</v>
      </c>
      <c r="O36" s="213">
        <v>1</v>
      </c>
      <c r="P36" s="213">
        <v>1</v>
      </c>
      <c r="Q36" s="213">
        <v>1</v>
      </c>
      <c r="R36" s="213">
        <v>1</v>
      </c>
      <c r="S36" s="213">
        <v>1</v>
      </c>
      <c r="T36" s="213">
        <v>1</v>
      </c>
      <c r="U36" s="213">
        <v>1</v>
      </c>
      <c r="V36" s="213">
        <v>1</v>
      </c>
      <c r="W36" s="213">
        <v>1</v>
      </c>
      <c r="X36" s="213">
        <v>1</v>
      </c>
      <c r="Y36" s="213">
        <v>1</v>
      </c>
      <c r="Z36" s="213">
        <v>1</v>
      </c>
      <c r="AA36" s="213">
        <v>1</v>
      </c>
      <c r="AB36" s="213">
        <v>1</v>
      </c>
      <c r="AC36" s="216">
        <v>1</v>
      </c>
      <c r="AD36" s="43"/>
      <c r="AE36" s="42"/>
      <c r="AF36" s="42"/>
      <c r="AG36" s="42"/>
      <c r="AH36" s="42"/>
      <c r="AI36" s="42"/>
      <c r="AJ36" s="42"/>
      <c r="AK36" s="42"/>
      <c r="AM36" s="52"/>
    </row>
    <row r="37" spans="1:39" ht="36" customHeight="1" thickBot="1" x14ac:dyDescent="0.35">
      <c r="A37" s="1024"/>
      <c r="B37" s="994"/>
      <c r="C37" s="996"/>
      <c r="D37" s="992"/>
      <c r="E37" s="229" t="s">
        <v>813</v>
      </c>
      <c r="F37" s="223">
        <v>1</v>
      </c>
      <c r="G37" s="223">
        <v>1</v>
      </c>
      <c r="H37" s="223">
        <v>1</v>
      </c>
      <c r="I37" s="223">
        <v>1</v>
      </c>
      <c r="J37" s="223">
        <v>1</v>
      </c>
      <c r="K37" s="223">
        <v>1</v>
      </c>
      <c r="L37" s="223">
        <v>1</v>
      </c>
      <c r="M37" s="223">
        <v>1</v>
      </c>
      <c r="N37" s="223">
        <v>1</v>
      </c>
      <c r="O37" s="223">
        <v>1</v>
      </c>
      <c r="P37" s="223">
        <v>1</v>
      </c>
      <c r="Q37" s="223">
        <v>1</v>
      </c>
      <c r="R37" s="223">
        <v>1</v>
      </c>
      <c r="S37" s="223">
        <v>1</v>
      </c>
      <c r="T37" s="223">
        <v>1</v>
      </c>
      <c r="U37" s="223">
        <v>1</v>
      </c>
      <c r="V37" s="223">
        <v>1</v>
      </c>
      <c r="W37" s="223">
        <v>1</v>
      </c>
      <c r="X37" s="223">
        <v>1</v>
      </c>
      <c r="Y37" s="223">
        <v>1</v>
      </c>
      <c r="Z37" s="223">
        <v>1</v>
      </c>
      <c r="AA37" s="223">
        <v>1</v>
      </c>
      <c r="AB37" s="223">
        <v>1</v>
      </c>
      <c r="AC37" s="224">
        <v>1</v>
      </c>
      <c r="AD37" s="43"/>
      <c r="AE37" s="42"/>
      <c r="AF37" s="42"/>
      <c r="AG37" s="42"/>
      <c r="AH37" s="42"/>
      <c r="AI37" s="42"/>
      <c r="AJ37" s="42"/>
      <c r="AK37" s="42"/>
      <c r="AM37" s="52"/>
    </row>
    <row r="38" spans="1:39" ht="36" customHeight="1" x14ac:dyDescent="0.3">
      <c r="A38" s="1025" t="str">
        <f>A29</f>
        <v>Server rooms</v>
      </c>
      <c r="B38" s="1043" t="str">
        <f>B29</f>
        <v>Data</v>
      </c>
      <c r="C38" s="995" t="s">
        <v>820</v>
      </c>
      <c r="D38" s="997" t="s">
        <v>826</v>
      </c>
      <c r="E38" s="232" t="s">
        <v>811</v>
      </c>
      <c r="F38" s="235">
        <v>0</v>
      </c>
      <c r="G38" s="235">
        <v>0</v>
      </c>
      <c r="H38" s="235">
        <v>0</v>
      </c>
      <c r="I38" s="235">
        <v>0</v>
      </c>
      <c r="J38" s="235">
        <v>0.1</v>
      </c>
      <c r="K38" s="235">
        <v>0.1</v>
      </c>
      <c r="L38" s="235">
        <v>0.5</v>
      </c>
      <c r="M38" s="235">
        <v>0.5</v>
      </c>
      <c r="N38" s="235">
        <v>0.5</v>
      </c>
      <c r="O38" s="235">
        <v>0.5</v>
      </c>
      <c r="P38" s="235">
        <v>0.7</v>
      </c>
      <c r="Q38" s="235">
        <v>0.9</v>
      </c>
      <c r="R38" s="235">
        <v>0.9</v>
      </c>
      <c r="S38" s="235">
        <v>0.5</v>
      </c>
      <c r="T38" s="235">
        <v>0.5</v>
      </c>
      <c r="U38" s="235">
        <v>0.7</v>
      </c>
      <c r="V38" s="235">
        <v>0.5</v>
      </c>
      <c r="W38" s="235">
        <v>0.5</v>
      </c>
      <c r="X38" s="235">
        <v>0.5</v>
      </c>
      <c r="Y38" s="235">
        <v>0.1</v>
      </c>
      <c r="Z38" s="235">
        <v>0.1</v>
      </c>
      <c r="AA38" s="235">
        <v>0.1</v>
      </c>
      <c r="AB38" s="235">
        <v>0.1</v>
      </c>
      <c r="AC38" s="236">
        <v>0</v>
      </c>
      <c r="AD38" s="43"/>
      <c r="AE38" s="42"/>
      <c r="AF38" s="42"/>
      <c r="AG38" s="42"/>
      <c r="AH38" s="42"/>
      <c r="AI38" s="42"/>
      <c r="AJ38" s="42"/>
      <c r="AK38" s="42"/>
      <c r="AM38" s="52"/>
    </row>
    <row r="39" spans="1:39" ht="36" customHeight="1" x14ac:dyDescent="0.3">
      <c r="A39" s="1023"/>
      <c r="B39" s="993"/>
      <c r="C39" s="988"/>
      <c r="D39" s="991"/>
      <c r="E39" s="221" t="s">
        <v>812</v>
      </c>
      <c r="F39" s="237">
        <v>0</v>
      </c>
      <c r="G39" s="237">
        <v>0</v>
      </c>
      <c r="H39" s="237">
        <v>0</v>
      </c>
      <c r="I39" s="237">
        <v>0</v>
      </c>
      <c r="J39" s="237">
        <v>0</v>
      </c>
      <c r="K39" s="237">
        <v>0</v>
      </c>
      <c r="L39" s="237">
        <v>0</v>
      </c>
      <c r="M39" s="237">
        <v>0</v>
      </c>
      <c r="N39" s="237">
        <v>0</v>
      </c>
      <c r="O39" s="237">
        <v>0</v>
      </c>
      <c r="P39" s="237">
        <v>0</v>
      </c>
      <c r="Q39" s="237">
        <v>0</v>
      </c>
      <c r="R39" s="237">
        <v>0</v>
      </c>
      <c r="S39" s="237">
        <v>0</v>
      </c>
      <c r="T39" s="237">
        <v>0</v>
      </c>
      <c r="U39" s="237">
        <v>0</v>
      </c>
      <c r="V39" s="237">
        <v>0</v>
      </c>
      <c r="W39" s="237">
        <v>0</v>
      </c>
      <c r="X39" s="237">
        <v>0</v>
      </c>
      <c r="Y39" s="237">
        <v>0</v>
      </c>
      <c r="Z39" s="237">
        <v>0</v>
      </c>
      <c r="AA39" s="237">
        <v>0</v>
      </c>
      <c r="AB39" s="237">
        <v>0</v>
      </c>
      <c r="AC39" s="238">
        <v>0</v>
      </c>
      <c r="AD39" s="43"/>
      <c r="AE39" s="42"/>
      <c r="AF39" s="42"/>
      <c r="AG39" s="42"/>
      <c r="AH39" s="42"/>
      <c r="AI39" s="42"/>
      <c r="AJ39" s="42"/>
      <c r="AK39" s="42"/>
      <c r="AM39" s="52"/>
    </row>
    <row r="40" spans="1:39" ht="36" customHeight="1" thickBot="1" x14ac:dyDescent="0.35">
      <c r="A40" s="1024"/>
      <c r="B40" s="994"/>
      <c r="C40" s="1074"/>
      <c r="D40" s="1020"/>
      <c r="E40" s="229" t="s">
        <v>813</v>
      </c>
      <c r="F40" s="239">
        <v>0</v>
      </c>
      <c r="G40" s="239">
        <v>0</v>
      </c>
      <c r="H40" s="239">
        <v>0</v>
      </c>
      <c r="I40" s="239">
        <v>0</v>
      </c>
      <c r="J40" s="239">
        <v>0</v>
      </c>
      <c r="K40" s="239">
        <v>0</v>
      </c>
      <c r="L40" s="239">
        <v>0</v>
      </c>
      <c r="M40" s="239">
        <v>0</v>
      </c>
      <c r="N40" s="239">
        <v>0</v>
      </c>
      <c r="O40" s="239">
        <v>0</v>
      </c>
      <c r="P40" s="239">
        <v>0</v>
      </c>
      <c r="Q40" s="239">
        <v>0</v>
      </c>
      <c r="R40" s="239">
        <v>0</v>
      </c>
      <c r="S40" s="239">
        <v>0</v>
      </c>
      <c r="T40" s="239">
        <v>0</v>
      </c>
      <c r="U40" s="239">
        <v>0</v>
      </c>
      <c r="V40" s="239">
        <v>0</v>
      </c>
      <c r="W40" s="239">
        <v>0</v>
      </c>
      <c r="X40" s="239">
        <v>0</v>
      </c>
      <c r="Y40" s="239">
        <v>0</v>
      </c>
      <c r="Z40" s="239">
        <v>0</v>
      </c>
      <c r="AA40" s="239">
        <v>0</v>
      </c>
      <c r="AB40" s="239">
        <v>0</v>
      </c>
      <c r="AC40" s="240">
        <v>0</v>
      </c>
      <c r="AD40" s="43"/>
      <c r="AE40" s="42"/>
      <c r="AF40" s="42"/>
      <c r="AG40" s="42"/>
      <c r="AH40" s="42"/>
      <c r="AI40" s="42"/>
      <c r="AJ40" s="42"/>
      <c r="AK40" s="42"/>
      <c r="AM40" s="52"/>
    </row>
    <row r="41" spans="1:39" ht="36" customHeight="1" x14ac:dyDescent="0.3">
      <c r="A41" s="1025" t="str">
        <f>A29</f>
        <v>Server rooms</v>
      </c>
      <c r="B41" s="1043" t="str">
        <f>B29</f>
        <v>Data</v>
      </c>
      <c r="C41" s="987" t="s">
        <v>346</v>
      </c>
      <c r="D41" s="990" t="s">
        <v>825</v>
      </c>
      <c r="E41" s="220" t="s">
        <v>811</v>
      </c>
      <c r="F41" s="233">
        <v>0.25</v>
      </c>
      <c r="G41" s="233">
        <v>0.25</v>
      </c>
      <c r="H41" s="233">
        <v>0.25</v>
      </c>
      <c r="I41" s="233">
        <v>0.25</v>
      </c>
      <c r="J41" s="233">
        <v>0.25</v>
      </c>
      <c r="K41" s="233">
        <v>0.25</v>
      </c>
      <c r="L41" s="233">
        <v>0.25</v>
      </c>
      <c r="M41" s="233">
        <v>0.25</v>
      </c>
      <c r="N41" s="233">
        <v>0.25</v>
      </c>
      <c r="O41" s="233">
        <v>0.25</v>
      </c>
      <c r="P41" s="233">
        <v>0.25</v>
      </c>
      <c r="Q41" s="233">
        <v>0.25</v>
      </c>
      <c r="R41" s="233">
        <v>0.25</v>
      </c>
      <c r="S41" s="233">
        <v>0.25</v>
      </c>
      <c r="T41" s="233">
        <v>0.25</v>
      </c>
      <c r="U41" s="233">
        <v>0.25</v>
      </c>
      <c r="V41" s="233">
        <v>0.25</v>
      </c>
      <c r="W41" s="233">
        <v>0.25</v>
      </c>
      <c r="X41" s="233">
        <v>0.25</v>
      </c>
      <c r="Y41" s="233">
        <v>0.25</v>
      </c>
      <c r="Z41" s="233">
        <v>0.25</v>
      </c>
      <c r="AA41" s="233">
        <v>0.25</v>
      </c>
      <c r="AB41" s="233">
        <v>0.25</v>
      </c>
      <c r="AC41" s="234">
        <v>0.25</v>
      </c>
      <c r="AD41" s="43"/>
      <c r="AE41" s="42"/>
      <c r="AF41" s="42"/>
      <c r="AG41" s="42"/>
      <c r="AH41" s="42"/>
      <c r="AI41" s="42"/>
      <c r="AJ41" s="42"/>
      <c r="AK41" s="42"/>
      <c r="AM41" s="52"/>
    </row>
    <row r="42" spans="1:39" ht="36" customHeight="1" x14ac:dyDescent="0.3">
      <c r="A42" s="1023"/>
      <c r="B42" s="993"/>
      <c r="C42" s="988"/>
      <c r="D42" s="991"/>
      <c r="E42" s="221" t="s">
        <v>812</v>
      </c>
      <c r="F42" s="213">
        <v>0.25</v>
      </c>
      <c r="G42" s="213">
        <v>0.25</v>
      </c>
      <c r="H42" s="213">
        <v>0.25</v>
      </c>
      <c r="I42" s="213">
        <v>0.25</v>
      </c>
      <c r="J42" s="213">
        <v>0.25</v>
      </c>
      <c r="K42" s="213">
        <v>0.25</v>
      </c>
      <c r="L42" s="213">
        <v>0.25</v>
      </c>
      <c r="M42" s="213">
        <v>0.25</v>
      </c>
      <c r="N42" s="213">
        <v>0.25</v>
      </c>
      <c r="O42" s="213">
        <v>0.25</v>
      </c>
      <c r="P42" s="213">
        <v>0.25</v>
      </c>
      <c r="Q42" s="213">
        <v>0.25</v>
      </c>
      <c r="R42" s="213">
        <v>0.25</v>
      </c>
      <c r="S42" s="213">
        <v>0.25</v>
      </c>
      <c r="T42" s="213">
        <v>0.25</v>
      </c>
      <c r="U42" s="213">
        <v>0.25</v>
      </c>
      <c r="V42" s="213">
        <v>0.25</v>
      </c>
      <c r="W42" s="213">
        <v>0.25</v>
      </c>
      <c r="X42" s="213">
        <v>0.25</v>
      </c>
      <c r="Y42" s="213">
        <v>0.25</v>
      </c>
      <c r="Z42" s="213">
        <v>0.25</v>
      </c>
      <c r="AA42" s="213">
        <v>0.25</v>
      </c>
      <c r="AB42" s="213">
        <v>0.25</v>
      </c>
      <c r="AC42" s="216">
        <v>0.25</v>
      </c>
      <c r="AD42" s="43"/>
      <c r="AE42" s="42"/>
      <c r="AF42" s="42"/>
      <c r="AG42" s="42"/>
      <c r="AH42" s="42"/>
      <c r="AI42" s="42"/>
      <c r="AJ42" s="42"/>
      <c r="AK42" s="42"/>
      <c r="AM42" s="52"/>
    </row>
    <row r="43" spans="1:39" ht="36" customHeight="1" thickBot="1" x14ac:dyDescent="0.35">
      <c r="A43" s="1024"/>
      <c r="B43" s="994"/>
      <c r="C43" s="989"/>
      <c r="D43" s="992"/>
      <c r="E43" s="222" t="s">
        <v>813</v>
      </c>
      <c r="F43" s="218">
        <v>0.25</v>
      </c>
      <c r="G43" s="218">
        <v>0.25</v>
      </c>
      <c r="H43" s="218">
        <v>0.25</v>
      </c>
      <c r="I43" s="218">
        <v>0.25</v>
      </c>
      <c r="J43" s="218">
        <v>0.25</v>
      </c>
      <c r="K43" s="218">
        <v>0.25</v>
      </c>
      <c r="L43" s="218">
        <v>0.25</v>
      </c>
      <c r="M43" s="218">
        <v>0.25</v>
      </c>
      <c r="N43" s="218">
        <v>0.25</v>
      </c>
      <c r="O43" s="218">
        <v>0.25</v>
      </c>
      <c r="P43" s="218">
        <v>0.25</v>
      </c>
      <c r="Q43" s="218">
        <v>0.25</v>
      </c>
      <c r="R43" s="218">
        <v>0.25</v>
      </c>
      <c r="S43" s="218">
        <v>0.25</v>
      </c>
      <c r="T43" s="218">
        <v>0.25</v>
      </c>
      <c r="U43" s="218">
        <v>0.25</v>
      </c>
      <c r="V43" s="218">
        <v>0.25</v>
      </c>
      <c r="W43" s="218">
        <v>0.25</v>
      </c>
      <c r="X43" s="218">
        <v>0.25</v>
      </c>
      <c r="Y43" s="218">
        <v>0.25</v>
      </c>
      <c r="Z43" s="218">
        <v>0.25</v>
      </c>
      <c r="AA43" s="218">
        <v>0.25</v>
      </c>
      <c r="AB43" s="218">
        <v>0.25</v>
      </c>
      <c r="AC43" s="219">
        <v>0.25</v>
      </c>
      <c r="AD43" s="43"/>
      <c r="AE43" s="42"/>
      <c r="AF43" s="42"/>
      <c r="AG43" s="42"/>
      <c r="AH43" s="42"/>
      <c r="AI43" s="42"/>
      <c r="AJ43" s="42"/>
      <c r="AK43" s="42"/>
      <c r="AM43" s="52"/>
    </row>
    <row r="44" spans="1:39" ht="36" customHeight="1" x14ac:dyDescent="0.3">
      <c r="A44" s="1025" t="str">
        <f>A29</f>
        <v>Server rooms</v>
      </c>
      <c r="B44" s="1043" t="str">
        <f>B29</f>
        <v>Data</v>
      </c>
      <c r="C44" s="1062" t="s">
        <v>823</v>
      </c>
      <c r="D44" s="1032" t="s">
        <v>827</v>
      </c>
      <c r="E44" s="194" t="s">
        <v>811</v>
      </c>
      <c r="F44" s="241">
        <f>Thermostat!$C$7</f>
        <v>80</v>
      </c>
      <c r="G44" s="241">
        <f>Thermostat!$C$7</f>
        <v>80</v>
      </c>
      <c r="H44" s="241">
        <f>Thermostat!$C$7</f>
        <v>80</v>
      </c>
      <c r="I44" s="241">
        <f>Thermostat!$C$7</f>
        <v>80</v>
      </c>
      <c r="J44" s="241">
        <f>Thermostat!$C$7</f>
        <v>80</v>
      </c>
      <c r="K44" s="241">
        <f>Thermostat!$C$7</f>
        <v>80</v>
      </c>
      <c r="L44" s="241">
        <f>Thermostat!$C$7</f>
        <v>80</v>
      </c>
      <c r="M44" s="241">
        <f>Thermostat!$C$7</f>
        <v>80</v>
      </c>
      <c r="N44" s="241">
        <f>Thermostat!$C$7</f>
        <v>80</v>
      </c>
      <c r="O44" s="241">
        <f>Thermostat!$C$7</f>
        <v>80</v>
      </c>
      <c r="P44" s="241">
        <f>Thermostat!$C$7</f>
        <v>80</v>
      </c>
      <c r="Q44" s="241">
        <f>Thermostat!$C$7</f>
        <v>80</v>
      </c>
      <c r="R44" s="241">
        <f>Thermostat!$C$7</f>
        <v>80</v>
      </c>
      <c r="S44" s="241">
        <f>Thermostat!$C$7</f>
        <v>80</v>
      </c>
      <c r="T44" s="241">
        <f>Thermostat!$C$7</f>
        <v>80</v>
      </c>
      <c r="U44" s="241">
        <f>Thermostat!$C$7</f>
        <v>80</v>
      </c>
      <c r="V44" s="241">
        <f>Thermostat!$C$7</f>
        <v>80</v>
      </c>
      <c r="W44" s="241">
        <f>Thermostat!$C$7</f>
        <v>80</v>
      </c>
      <c r="X44" s="241">
        <f>Thermostat!$C$7</f>
        <v>80</v>
      </c>
      <c r="Y44" s="241">
        <f>Thermostat!$C$7</f>
        <v>80</v>
      </c>
      <c r="Z44" s="241">
        <f>Thermostat!$C$7</f>
        <v>80</v>
      </c>
      <c r="AA44" s="241">
        <f>Thermostat!$C$7</f>
        <v>80</v>
      </c>
      <c r="AB44" s="241">
        <f>Thermostat!$C$7</f>
        <v>80</v>
      </c>
      <c r="AC44" s="242">
        <f>Thermostat!$C$7</f>
        <v>80</v>
      </c>
      <c r="AD44" s="43"/>
      <c r="AE44" s="42"/>
      <c r="AF44" s="42"/>
      <c r="AG44" s="42"/>
      <c r="AH44" s="42"/>
      <c r="AI44" s="42"/>
      <c r="AJ44" s="42"/>
      <c r="AK44" s="42"/>
      <c r="AM44" s="52"/>
    </row>
    <row r="45" spans="1:39" ht="36" customHeight="1" x14ac:dyDescent="0.3">
      <c r="A45" s="1023"/>
      <c r="B45" s="993"/>
      <c r="C45" s="1063"/>
      <c r="D45" s="991"/>
      <c r="E45" s="195" t="s">
        <v>812</v>
      </c>
      <c r="F45" s="243">
        <f>Thermostat!$C$7</f>
        <v>80</v>
      </c>
      <c r="G45" s="243">
        <f>Thermostat!$C$7</f>
        <v>80</v>
      </c>
      <c r="H45" s="243">
        <f>Thermostat!$C$7</f>
        <v>80</v>
      </c>
      <c r="I45" s="243">
        <f>Thermostat!$C$7</f>
        <v>80</v>
      </c>
      <c r="J45" s="243">
        <f>Thermostat!$C$7</f>
        <v>80</v>
      </c>
      <c r="K45" s="243">
        <f>Thermostat!$C$7</f>
        <v>80</v>
      </c>
      <c r="L45" s="243">
        <f>Thermostat!$C$7</f>
        <v>80</v>
      </c>
      <c r="M45" s="243">
        <f>Thermostat!$C$7</f>
        <v>80</v>
      </c>
      <c r="N45" s="243">
        <f>Thermostat!$C$7</f>
        <v>80</v>
      </c>
      <c r="O45" s="243">
        <f>Thermostat!$C$7</f>
        <v>80</v>
      </c>
      <c r="P45" s="243">
        <f>Thermostat!$C$7</f>
        <v>80</v>
      </c>
      <c r="Q45" s="243">
        <f>Thermostat!$C$7</f>
        <v>80</v>
      </c>
      <c r="R45" s="243">
        <f>Thermostat!$C$7</f>
        <v>80</v>
      </c>
      <c r="S45" s="243">
        <f>Thermostat!$C$7</f>
        <v>80</v>
      </c>
      <c r="T45" s="243">
        <f>Thermostat!$C$7</f>
        <v>80</v>
      </c>
      <c r="U45" s="243">
        <f>Thermostat!$C$7</f>
        <v>80</v>
      </c>
      <c r="V45" s="243">
        <f>Thermostat!$C$7</f>
        <v>80</v>
      </c>
      <c r="W45" s="243">
        <f>Thermostat!$C$7</f>
        <v>80</v>
      </c>
      <c r="X45" s="243">
        <f>Thermostat!$C$7</f>
        <v>80</v>
      </c>
      <c r="Y45" s="243">
        <f>Thermostat!$C$7</f>
        <v>80</v>
      </c>
      <c r="Z45" s="243">
        <f>Thermostat!$C$7</f>
        <v>80</v>
      </c>
      <c r="AA45" s="243">
        <f>Thermostat!$C$7</f>
        <v>80</v>
      </c>
      <c r="AB45" s="243">
        <f>Thermostat!$C$7</f>
        <v>80</v>
      </c>
      <c r="AC45" s="244">
        <f>Thermostat!$C$7</f>
        <v>80</v>
      </c>
      <c r="AD45" s="43"/>
      <c r="AE45" s="42"/>
      <c r="AF45" s="42"/>
      <c r="AG45" s="42"/>
      <c r="AH45" s="42"/>
      <c r="AI45" s="42"/>
      <c r="AJ45" s="42"/>
      <c r="AK45" s="42"/>
      <c r="AM45" s="52"/>
    </row>
    <row r="46" spans="1:39" ht="36" customHeight="1" thickBot="1" x14ac:dyDescent="0.35">
      <c r="A46" s="1026"/>
      <c r="B46" s="994"/>
      <c r="C46" s="1064"/>
      <c r="D46" s="1033"/>
      <c r="E46" s="196" t="s">
        <v>813</v>
      </c>
      <c r="F46" s="245">
        <f>Thermostat!$C$7</f>
        <v>80</v>
      </c>
      <c r="G46" s="245">
        <f>Thermostat!$C$7</f>
        <v>80</v>
      </c>
      <c r="H46" s="245">
        <f>Thermostat!$C$7</f>
        <v>80</v>
      </c>
      <c r="I46" s="245">
        <f>Thermostat!$C$7</f>
        <v>80</v>
      </c>
      <c r="J46" s="245">
        <f>Thermostat!$C$7</f>
        <v>80</v>
      </c>
      <c r="K46" s="245">
        <f>Thermostat!$C$7</f>
        <v>80</v>
      </c>
      <c r="L46" s="245">
        <f>Thermostat!$C$7</f>
        <v>80</v>
      </c>
      <c r="M46" s="245">
        <f>Thermostat!$C$7</f>
        <v>80</v>
      </c>
      <c r="N46" s="245">
        <f>Thermostat!$C$7</f>
        <v>80</v>
      </c>
      <c r="O46" s="245">
        <f>Thermostat!$C$7</f>
        <v>80</v>
      </c>
      <c r="P46" s="245">
        <f>Thermostat!$C$7</f>
        <v>80</v>
      </c>
      <c r="Q46" s="245">
        <f>Thermostat!$C$7</f>
        <v>80</v>
      </c>
      <c r="R46" s="245">
        <f>Thermostat!$C$7</f>
        <v>80</v>
      </c>
      <c r="S46" s="245">
        <f>Thermostat!$C$7</f>
        <v>80</v>
      </c>
      <c r="T46" s="245">
        <f>Thermostat!$C$7</f>
        <v>80</v>
      </c>
      <c r="U46" s="245">
        <f>Thermostat!$C$7</f>
        <v>80</v>
      </c>
      <c r="V46" s="245">
        <f>Thermostat!$C$7</f>
        <v>80</v>
      </c>
      <c r="W46" s="245">
        <f>Thermostat!$C$7</f>
        <v>80</v>
      </c>
      <c r="X46" s="245">
        <f>Thermostat!$C$7</f>
        <v>80</v>
      </c>
      <c r="Y46" s="245">
        <f>Thermostat!$C$7</f>
        <v>80</v>
      </c>
      <c r="Z46" s="245">
        <f>Thermostat!$C$7</f>
        <v>80</v>
      </c>
      <c r="AA46" s="245">
        <f>Thermostat!$C$7</f>
        <v>80</v>
      </c>
      <c r="AB46" s="245">
        <f>Thermostat!$C$7</f>
        <v>80</v>
      </c>
      <c r="AC46" s="246">
        <f>Thermostat!$C$7</f>
        <v>80</v>
      </c>
      <c r="AD46" s="43"/>
      <c r="AE46" s="42"/>
      <c r="AF46" s="42"/>
      <c r="AG46" s="42"/>
      <c r="AH46" s="42"/>
      <c r="AI46" s="42"/>
      <c r="AJ46" s="42"/>
      <c r="AK46" s="42"/>
      <c r="AM46" s="52"/>
    </row>
    <row r="47" spans="1:39" ht="36" customHeight="1" x14ac:dyDescent="0.3">
      <c r="A47" s="1016" t="s">
        <v>157</v>
      </c>
      <c r="B47" s="1017"/>
      <c r="C47" s="1017"/>
      <c r="D47" s="1017"/>
      <c r="E47" s="1017"/>
      <c r="F47" s="1017"/>
      <c r="G47" s="1017"/>
      <c r="H47" s="1017"/>
      <c r="I47" s="1017"/>
      <c r="J47" s="1017"/>
      <c r="K47" s="1017"/>
      <c r="L47" s="1017"/>
      <c r="M47" s="1017"/>
      <c r="N47" s="1017"/>
      <c r="O47" s="1017"/>
      <c r="P47" s="1017"/>
      <c r="Q47" s="1017"/>
      <c r="R47" s="1017"/>
      <c r="S47" s="1017"/>
      <c r="T47" s="1017"/>
      <c r="U47" s="1017"/>
      <c r="V47" s="1017"/>
      <c r="W47" s="1017"/>
      <c r="X47" s="1017"/>
      <c r="Y47" s="1017"/>
      <c r="Z47" s="1017"/>
      <c r="AA47" s="1017"/>
      <c r="AB47" s="1017"/>
      <c r="AC47" s="1018"/>
      <c r="AD47" s="43"/>
      <c r="AE47" s="42"/>
      <c r="AF47" s="42"/>
      <c r="AG47" s="42"/>
      <c r="AH47" s="42"/>
      <c r="AI47" s="42"/>
      <c r="AJ47" s="42"/>
      <c r="AK47" s="42"/>
      <c r="AM47" s="52"/>
    </row>
    <row r="48" spans="1:39" ht="36" customHeight="1" x14ac:dyDescent="0.3">
      <c r="A48" s="981" t="s">
        <v>530</v>
      </c>
      <c r="B48" s="982" t="s">
        <v>157</v>
      </c>
      <c r="C48" s="966" t="s">
        <v>809</v>
      </c>
      <c r="D48" s="990" t="s">
        <v>828</v>
      </c>
      <c r="E48" s="594" t="s">
        <v>811</v>
      </c>
      <c r="F48" s="589">
        <v>0</v>
      </c>
      <c r="G48" s="589">
        <v>0</v>
      </c>
      <c r="H48" s="589">
        <v>0</v>
      </c>
      <c r="I48" s="589">
        <v>0</v>
      </c>
      <c r="J48" s="589">
        <v>0</v>
      </c>
      <c r="K48" s="589">
        <v>0</v>
      </c>
      <c r="L48" s="589">
        <v>0.1</v>
      </c>
      <c r="M48" s="589">
        <v>0.2</v>
      </c>
      <c r="N48" s="589">
        <v>0.95</v>
      </c>
      <c r="O48" s="589">
        <v>0.95</v>
      </c>
      <c r="P48" s="589">
        <v>0.95</v>
      </c>
      <c r="Q48" s="589">
        <v>0.95</v>
      </c>
      <c r="R48" s="589">
        <v>0.5</v>
      </c>
      <c r="S48" s="589">
        <v>0.95</v>
      </c>
      <c r="T48" s="589">
        <v>0.95</v>
      </c>
      <c r="U48" s="589">
        <v>0.95</v>
      </c>
      <c r="V48" s="589">
        <v>0.95</v>
      </c>
      <c r="W48" s="589">
        <v>0.3</v>
      </c>
      <c r="X48" s="589">
        <v>0.1</v>
      </c>
      <c r="Y48" s="589">
        <v>0.1</v>
      </c>
      <c r="Z48" s="589">
        <v>0.1</v>
      </c>
      <c r="AA48" s="589">
        <v>0.1</v>
      </c>
      <c r="AB48" s="589">
        <v>0.05</v>
      </c>
      <c r="AC48" s="600">
        <v>0.05</v>
      </c>
      <c r="AD48" s="43"/>
      <c r="AE48" s="42"/>
      <c r="AF48" s="42"/>
      <c r="AG48" s="42"/>
      <c r="AH48" s="42"/>
      <c r="AI48" s="42"/>
      <c r="AJ48" s="42"/>
      <c r="AK48" s="42"/>
      <c r="AM48" s="52"/>
    </row>
    <row r="49" spans="1:39" ht="36" customHeight="1" x14ac:dyDescent="0.3">
      <c r="A49" s="973"/>
      <c r="B49" s="959"/>
      <c r="C49" s="967"/>
      <c r="D49" s="991"/>
      <c r="E49" s="595" t="s">
        <v>812</v>
      </c>
      <c r="F49" s="451">
        <v>0</v>
      </c>
      <c r="G49" s="451">
        <v>0</v>
      </c>
      <c r="H49" s="451">
        <v>0</v>
      </c>
      <c r="I49" s="451">
        <v>0</v>
      </c>
      <c r="J49" s="451">
        <v>0</v>
      </c>
      <c r="K49" s="451">
        <v>0</v>
      </c>
      <c r="L49" s="214">
        <v>0.05</v>
      </c>
      <c r="M49" s="214">
        <v>0.05</v>
      </c>
      <c r="N49" s="214">
        <v>0.05</v>
      </c>
      <c r="O49" s="214">
        <v>0.05</v>
      </c>
      <c r="P49" s="214">
        <v>0.05</v>
      </c>
      <c r="Q49" s="214">
        <v>0.05</v>
      </c>
      <c r="R49" s="214">
        <v>0.05</v>
      </c>
      <c r="S49" s="214">
        <v>0.05</v>
      </c>
      <c r="T49" s="214">
        <v>0.05</v>
      </c>
      <c r="U49" s="214">
        <v>0.05</v>
      </c>
      <c r="V49" s="214">
        <v>0.05</v>
      </c>
      <c r="W49" s="214">
        <v>0.05</v>
      </c>
      <c r="X49" s="451">
        <v>0</v>
      </c>
      <c r="Y49" s="451">
        <v>0</v>
      </c>
      <c r="Z49" s="451">
        <v>0</v>
      </c>
      <c r="AA49" s="451">
        <v>0</v>
      </c>
      <c r="AB49" s="451">
        <v>0</v>
      </c>
      <c r="AC49" s="602">
        <v>0</v>
      </c>
      <c r="AD49" s="43"/>
      <c r="AE49" s="42"/>
      <c r="AF49" s="42"/>
      <c r="AG49" s="42"/>
      <c r="AH49" s="42"/>
      <c r="AI49" s="42"/>
      <c r="AJ49" s="42"/>
      <c r="AK49" s="42"/>
      <c r="AM49" s="52"/>
    </row>
    <row r="50" spans="1:39" ht="36" customHeight="1" x14ac:dyDescent="0.3">
      <c r="A50" s="974"/>
      <c r="B50" s="959"/>
      <c r="C50" s="984"/>
      <c r="D50" s="1020"/>
      <c r="E50" s="596" t="s">
        <v>813</v>
      </c>
      <c r="F50" s="590">
        <v>0</v>
      </c>
      <c r="G50" s="590">
        <v>0</v>
      </c>
      <c r="H50" s="590">
        <v>0</v>
      </c>
      <c r="I50" s="590">
        <v>0</v>
      </c>
      <c r="J50" s="590">
        <v>0</v>
      </c>
      <c r="K50" s="590">
        <v>0</v>
      </c>
      <c r="L50" s="590">
        <v>0.05</v>
      </c>
      <c r="M50" s="590">
        <v>0.05</v>
      </c>
      <c r="N50" s="590">
        <v>0.05</v>
      </c>
      <c r="O50" s="590">
        <v>0.05</v>
      </c>
      <c r="P50" s="590">
        <v>0.05</v>
      </c>
      <c r="Q50" s="590">
        <v>0.05</v>
      </c>
      <c r="R50" s="590">
        <v>0.05</v>
      </c>
      <c r="S50" s="590">
        <v>0.05</v>
      </c>
      <c r="T50" s="590">
        <v>0.05</v>
      </c>
      <c r="U50" s="590">
        <v>0.05</v>
      </c>
      <c r="V50" s="590">
        <v>0.05</v>
      </c>
      <c r="W50" s="590">
        <v>0.05</v>
      </c>
      <c r="X50" s="590">
        <v>0</v>
      </c>
      <c r="Y50" s="590">
        <v>0</v>
      </c>
      <c r="Z50" s="590">
        <v>0</v>
      </c>
      <c r="AA50" s="590">
        <v>0</v>
      </c>
      <c r="AB50" s="590">
        <v>0</v>
      </c>
      <c r="AC50" s="601">
        <v>0</v>
      </c>
      <c r="AD50" s="43"/>
      <c r="AE50" s="42"/>
      <c r="AF50" s="42"/>
      <c r="AG50" s="42"/>
      <c r="AH50" s="42"/>
      <c r="AI50" s="42"/>
      <c r="AJ50" s="42"/>
      <c r="AK50" s="42"/>
      <c r="AM50" s="52"/>
    </row>
    <row r="51" spans="1:39" ht="36" customHeight="1" x14ac:dyDescent="0.3">
      <c r="A51" s="981" t="str">
        <f>A48</f>
        <v>Stairway, and Mechanical_Electrical</v>
      </c>
      <c r="B51" s="982" t="str">
        <f>B48</f>
        <v>Ancillary</v>
      </c>
      <c r="C51" s="966" t="s">
        <v>814</v>
      </c>
      <c r="D51" s="990" t="s">
        <v>828</v>
      </c>
      <c r="E51" s="597" t="s">
        <v>811</v>
      </c>
      <c r="F51" s="589">
        <v>0.05</v>
      </c>
      <c r="G51" s="589">
        <v>0.05</v>
      </c>
      <c r="H51" s="589">
        <v>0.05</v>
      </c>
      <c r="I51" s="589">
        <v>0.05</v>
      </c>
      <c r="J51" s="589">
        <v>0.05</v>
      </c>
      <c r="K51" s="599">
        <v>0.1</v>
      </c>
      <c r="L51" s="599">
        <v>0.1</v>
      </c>
      <c r="M51" s="599">
        <v>0.3</v>
      </c>
      <c r="N51" s="599">
        <v>0.65</v>
      </c>
      <c r="O51" s="599">
        <v>0.65</v>
      </c>
      <c r="P51" s="599">
        <v>0.65</v>
      </c>
      <c r="Q51" s="599">
        <v>0.65</v>
      </c>
      <c r="R51" s="599">
        <v>0.65</v>
      </c>
      <c r="S51" s="599">
        <v>0.65</v>
      </c>
      <c r="T51" s="599">
        <v>0.65</v>
      </c>
      <c r="U51" s="599">
        <v>0.65</v>
      </c>
      <c r="V51" s="599">
        <v>0.65</v>
      </c>
      <c r="W51" s="599">
        <v>0.35</v>
      </c>
      <c r="X51" s="599">
        <v>0.3</v>
      </c>
      <c r="Y51" s="599">
        <v>0.3</v>
      </c>
      <c r="Z51" s="589">
        <v>0.2</v>
      </c>
      <c r="AA51" s="589">
        <v>0.2</v>
      </c>
      <c r="AB51" s="589">
        <v>0.1</v>
      </c>
      <c r="AC51" s="600">
        <v>0.05</v>
      </c>
      <c r="AD51" s="43"/>
      <c r="AE51" s="42"/>
      <c r="AF51" s="42"/>
      <c r="AG51" s="42"/>
      <c r="AH51" s="42"/>
      <c r="AI51" s="42"/>
      <c r="AJ51" s="42"/>
      <c r="AK51" s="42"/>
      <c r="AM51" s="52"/>
    </row>
    <row r="52" spans="1:39" ht="36" customHeight="1" x14ac:dyDescent="0.3">
      <c r="A52" s="973"/>
      <c r="B52" s="959"/>
      <c r="C52" s="967"/>
      <c r="D52" s="991"/>
      <c r="E52" s="585" t="s">
        <v>812</v>
      </c>
      <c r="F52" s="451">
        <v>0.05</v>
      </c>
      <c r="G52" s="451">
        <v>0.05</v>
      </c>
      <c r="H52" s="451">
        <v>0.05</v>
      </c>
      <c r="I52" s="451">
        <v>0.05</v>
      </c>
      <c r="J52" s="451">
        <v>0.05</v>
      </c>
      <c r="K52" s="451">
        <v>0.05</v>
      </c>
      <c r="L52" s="451">
        <v>0.15</v>
      </c>
      <c r="M52" s="451">
        <v>0.15</v>
      </c>
      <c r="N52" s="451">
        <v>0.15</v>
      </c>
      <c r="O52" s="451">
        <v>0.15</v>
      </c>
      <c r="P52" s="451">
        <v>0.15</v>
      </c>
      <c r="Q52" s="451">
        <v>0.15</v>
      </c>
      <c r="R52" s="451">
        <v>0.15</v>
      </c>
      <c r="S52" s="451">
        <v>0.15</v>
      </c>
      <c r="T52" s="451">
        <v>0.15</v>
      </c>
      <c r="U52" s="451">
        <v>0.15</v>
      </c>
      <c r="V52" s="451">
        <v>0.15</v>
      </c>
      <c r="W52" s="451">
        <v>0.15</v>
      </c>
      <c r="X52" s="451">
        <v>0.05</v>
      </c>
      <c r="Y52" s="451">
        <v>0.05</v>
      </c>
      <c r="Z52" s="451">
        <v>0.05</v>
      </c>
      <c r="AA52" s="451">
        <v>0.05</v>
      </c>
      <c r="AB52" s="451">
        <v>0.05</v>
      </c>
      <c r="AC52" s="602">
        <v>0.05</v>
      </c>
      <c r="AD52" s="43"/>
      <c r="AE52" s="42"/>
      <c r="AF52" s="42"/>
      <c r="AG52" s="42"/>
      <c r="AH52" s="42"/>
      <c r="AI52" s="42"/>
      <c r="AJ52" s="42"/>
      <c r="AK52" s="42"/>
      <c r="AM52" s="52"/>
    </row>
    <row r="53" spans="1:39" ht="36" customHeight="1" x14ac:dyDescent="0.3">
      <c r="A53" s="974"/>
      <c r="B53" s="959"/>
      <c r="C53" s="984"/>
      <c r="D53" s="1020"/>
      <c r="E53" s="598" t="s">
        <v>813</v>
      </c>
      <c r="F53" s="441">
        <v>0.05</v>
      </c>
      <c r="G53" s="441">
        <v>0.05</v>
      </c>
      <c r="H53" s="441">
        <v>0.05</v>
      </c>
      <c r="I53" s="441">
        <v>0.05</v>
      </c>
      <c r="J53" s="441">
        <v>0.05</v>
      </c>
      <c r="K53" s="441">
        <v>0.05</v>
      </c>
      <c r="L53" s="495">
        <v>0.15</v>
      </c>
      <c r="M53" s="495">
        <v>0.15</v>
      </c>
      <c r="N53" s="495">
        <v>0.15</v>
      </c>
      <c r="O53" s="495">
        <v>0.15</v>
      </c>
      <c r="P53" s="495">
        <v>0.15</v>
      </c>
      <c r="Q53" s="495">
        <v>0.15</v>
      </c>
      <c r="R53" s="495">
        <v>0.15</v>
      </c>
      <c r="S53" s="495">
        <v>0.15</v>
      </c>
      <c r="T53" s="495">
        <v>0.15</v>
      </c>
      <c r="U53" s="495">
        <v>0.15</v>
      </c>
      <c r="V53" s="495">
        <v>0.15</v>
      </c>
      <c r="W53" s="495">
        <v>0.15</v>
      </c>
      <c r="X53" s="441">
        <v>0.05</v>
      </c>
      <c r="Y53" s="441">
        <v>0.05</v>
      </c>
      <c r="Z53" s="441">
        <v>0.05</v>
      </c>
      <c r="AA53" s="441">
        <v>0.05</v>
      </c>
      <c r="AB53" s="441">
        <v>0.05</v>
      </c>
      <c r="AC53" s="603">
        <v>0.05</v>
      </c>
      <c r="AD53" s="43"/>
      <c r="AE53" s="42"/>
      <c r="AF53" s="42"/>
      <c r="AG53" s="42"/>
      <c r="AH53" s="42"/>
      <c r="AI53" s="42"/>
      <c r="AJ53" s="42"/>
      <c r="AK53" s="42"/>
      <c r="AM53" s="52"/>
    </row>
    <row r="54" spans="1:39" ht="36" customHeight="1" x14ac:dyDescent="0.3">
      <c r="A54" s="981" t="str">
        <f>A51</f>
        <v>Stairway, and Mechanical_Electrical</v>
      </c>
      <c r="B54" s="982" t="str">
        <f>B51</f>
        <v>Ancillary</v>
      </c>
      <c r="C54" s="1078" t="s">
        <v>816</v>
      </c>
      <c r="D54" s="1053" t="s">
        <v>817</v>
      </c>
      <c r="E54" s="220" t="s">
        <v>811</v>
      </c>
      <c r="F54" s="225">
        <v>0.45</v>
      </c>
      <c r="G54" s="225">
        <v>0.45</v>
      </c>
      <c r="H54" s="225">
        <v>0.45</v>
      </c>
      <c r="I54" s="225">
        <v>0.45</v>
      </c>
      <c r="J54" s="225">
        <v>0.45</v>
      </c>
      <c r="K54" s="225">
        <v>0.45</v>
      </c>
      <c r="L54" s="225">
        <v>0.45</v>
      </c>
      <c r="M54" s="225">
        <v>0.74</v>
      </c>
      <c r="N54" s="225">
        <v>0.87</v>
      </c>
      <c r="O54" s="225">
        <v>0.9</v>
      </c>
      <c r="P54" s="225">
        <v>0.9</v>
      </c>
      <c r="Q54" s="225">
        <v>0.9</v>
      </c>
      <c r="R54" s="225">
        <v>0.9</v>
      </c>
      <c r="S54" s="225">
        <v>0.9</v>
      </c>
      <c r="T54" s="225">
        <v>0.9</v>
      </c>
      <c r="U54" s="225">
        <v>0.9</v>
      </c>
      <c r="V54" s="225">
        <v>0.9</v>
      </c>
      <c r="W54" s="225">
        <v>0.7</v>
      </c>
      <c r="X54" s="225">
        <v>0.5</v>
      </c>
      <c r="Y54" s="225">
        <v>0.5</v>
      </c>
      <c r="Z54" s="225">
        <v>0.5</v>
      </c>
      <c r="AA54" s="225">
        <v>0.45</v>
      </c>
      <c r="AB54" s="225">
        <v>0.45</v>
      </c>
      <c r="AC54" s="226">
        <v>0.45</v>
      </c>
      <c r="AD54" s="43"/>
      <c r="AE54" s="42"/>
      <c r="AF54" s="42"/>
      <c r="AG54" s="42"/>
      <c r="AH54" s="42"/>
      <c r="AI54" s="42"/>
      <c r="AJ54" s="42"/>
      <c r="AK54" s="42"/>
      <c r="AM54" s="52"/>
    </row>
    <row r="55" spans="1:39" ht="36" customHeight="1" x14ac:dyDescent="0.3">
      <c r="A55" s="973"/>
      <c r="B55" s="959"/>
      <c r="C55" s="1079"/>
      <c r="D55" s="1054"/>
      <c r="E55" s="221" t="s">
        <v>812</v>
      </c>
      <c r="F55" s="227">
        <v>0.43</v>
      </c>
      <c r="G55" s="227">
        <v>0.43</v>
      </c>
      <c r="H55" s="227">
        <v>0.43</v>
      </c>
      <c r="I55" s="227">
        <v>0.43</v>
      </c>
      <c r="J55" s="227">
        <v>0.43</v>
      </c>
      <c r="K55" s="227">
        <v>0.43</v>
      </c>
      <c r="L55" s="227">
        <v>0.43</v>
      </c>
      <c r="M55" s="227">
        <v>0.43</v>
      </c>
      <c r="N55" s="227">
        <v>0.43</v>
      </c>
      <c r="O55" s="227">
        <v>0.43</v>
      </c>
      <c r="P55" s="227">
        <v>0.43</v>
      </c>
      <c r="Q55" s="227">
        <v>0.43</v>
      </c>
      <c r="R55" s="227">
        <v>0.43</v>
      </c>
      <c r="S55" s="227">
        <v>0.43</v>
      </c>
      <c r="T55" s="227">
        <v>0.43</v>
      </c>
      <c r="U55" s="227">
        <v>0.43</v>
      </c>
      <c r="V55" s="227">
        <v>0.43</v>
      </c>
      <c r="W55" s="227">
        <v>0.43</v>
      </c>
      <c r="X55" s="227">
        <v>0.43</v>
      </c>
      <c r="Y55" s="227">
        <v>0.43</v>
      </c>
      <c r="Z55" s="227">
        <v>0.43</v>
      </c>
      <c r="AA55" s="227">
        <v>0.43</v>
      </c>
      <c r="AB55" s="227">
        <v>0.43</v>
      </c>
      <c r="AC55" s="228">
        <v>0.43</v>
      </c>
      <c r="AD55" s="43"/>
      <c r="AE55" s="42"/>
      <c r="AF55" s="42"/>
      <c r="AG55" s="42"/>
      <c r="AH55" s="42"/>
      <c r="AI55" s="42"/>
      <c r="AJ55" s="42"/>
      <c r="AK55" s="42"/>
      <c r="AM55" s="52"/>
    </row>
    <row r="56" spans="1:39" ht="36" customHeight="1" x14ac:dyDescent="0.3">
      <c r="A56" s="974"/>
      <c r="B56" s="959"/>
      <c r="C56" s="1080"/>
      <c r="D56" s="1055"/>
      <c r="E56" s="229" t="s">
        <v>813</v>
      </c>
      <c r="F56" s="230">
        <v>0.43</v>
      </c>
      <c r="G56" s="230">
        <v>0.43</v>
      </c>
      <c r="H56" s="230">
        <v>0.43</v>
      </c>
      <c r="I56" s="230">
        <v>0.43</v>
      </c>
      <c r="J56" s="230">
        <v>0.43</v>
      </c>
      <c r="K56" s="230">
        <v>0.43</v>
      </c>
      <c r="L56" s="230">
        <v>0.43</v>
      </c>
      <c r="M56" s="230">
        <v>0.43</v>
      </c>
      <c r="N56" s="230">
        <v>0.43</v>
      </c>
      <c r="O56" s="230">
        <v>0.43</v>
      </c>
      <c r="P56" s="230">
        <v>0.43</v>
      </c>
      <c r="Q56" s="230">
        <v>0.43</v>
      </c>
      <c r="R56" s="230">
        <v>0.43</v>
      </c>
      <c r="S56" s="230">
        <v>0.43</v>
      </c>
      <c r="T56" s="230">
        <v>0.43</v>
      </c>
      <c r="U56" s="230">
        <v>0.43</v>
      </c>
      <c r="V56" s="230">
        <v>0.43</v>
      </c>
      <c r="W56" s="230">
        <v>0.43</v>
      </c>
      <c r="X56" s="230">
        <v>0.43</v>
      </c>
      <c r="Y56" s="230">
        <v>0.43</v>
      </c>
      <c r="Z56" s="230">
        <v>0.43</v>
      </c>
      <c r="AA56" s="230">
        <v>0.43</v>
      </c>
      <c r="AB56" s="230">
        <v>0.43</v>
      </c>
      <c r="AC56" s="231">
        <v>0.43</v>
      </c>
      <c r="AD56" s="43"/>
      <c r="AE56" s="42"/>
      <c r="AF56" s="42"/>
      <c r="AG56" s="42"/>
      <c r="AH56" s="42"/>
      <c r="AI56" s="42"/>
      <c r="AJ56" s="42"/>
      <c r="AK56" s="42"/>
      <c r="AM56" s="52"/>
    </row>
    <row r="57" spans="1:39" ht="36" customHeight="1" x14ac:dyDescent="0.3">
      <c r="A57" s="981" t="str">
        <f>A48</f>
        <v>Stairway, and Mechanical_Electrical</v>
      </c>
      <c r="B57" s="982" t="str">
        <f>B48</f>
        <v>Ancillary</v>
      </c>
      <c r="C57" s="966" t="s">
        <v>818</v>
      </c>
      <c r="D57" s="969" t="s">
        <v>828</v>
      </c>
      <c r="E57" s="584" t="s">
        <v>811</v>
      </c>
      <c r="F57" s="591">
        <v>0</v>
      </c>
      <c r="G57" s="591">
        <v>0</v>
      </c>
      <c r="H57" s="591">
        <v>0</v>
      </c>
      <c r="I57" s="591">
        <v>0</v>
      </c>
      <c r="J57" s="591">
        <v>0</v>
      </c>
      <c r="K57" s="591">
        <v>1</v>
      </c>
      <c r="L57" s="591">
        <v>1</v>
      </c>
      <c r="M57" s="591">
        <v>1</v>
      </c>
      <c r="N57" s="591">
        <v>1</v>
      </c>
      <c r="O57" s="591">
        <v>1</v>
      </c>
      <c r="P57" s="591">
        <v>1</v>
      </c>
      <c r="Q57" s="591">
        <v>1</v>
      </c>
      <c r="R57" s="591">
        <v>1</v>
      </c>
      <c r="S57" s="591">
        <v>1</v>
      </c>
      <c r="T57" s="591">
        <v>1</v>
      </c>
      <c r="U57" s="591">
        <v>1</v>
      </c>
      <c r="V57" s="591">
        <v>1</v>
      </c>
      <c r="W57" s="591">
        <v>1</v>
      </c>
      <c r="X57" s="591">
        <v>1</v>
      </c>
      <c r="Y57" s="591">
        <v>1</v>
      </c>
      <c r="Z57" s="591">
        <v>1</v>
      </c>
      <c r="AA57" s="591">
        <v>1</v>
      </c>
      <c r="AB57" s="591">
        <v>1</v>
      </c>
      <c r="AC57" s="592">
        <v>1</v>
      </c>
      <c r="AD57" s="43"/>
      <c r="AE57" s="42"/>
      <c r="AF57" s="42"/>
      <c r="AG57" s="42"/>
      <c r="AH57" s="42"/>
      <c r="AI57" s="42"/>
      <c r="AJ57" s="42"/>
      <c r="AK57" s="42"/>
      <c r="AM57" s="52"/>
    </row>
    <row r="58" spans="1:39" ht="36" customHeight="1" x14ac:dyDescent="0.3">
      <c r="A58" s="973"/>
      <c r="B58" s="959"/>
      <c r="C58" s="967"/>
      <c r="D58" s="970"/>
      <c r="E58" s="585" t="s">
        <v>812</v>
      </c>
      <c r="F58" s="590">
        <v>0</v>
      </c>
      <c r="G58" s="590">
        <v>0</v>
      </c>
      <c r="H58" s="590">
        <v>0</v>
      </c>
      <c r="I58" s="590">
        <v>0</v>
      </c>
      <c r="J58" s="590">
        <v>0</v>
      </c>
      <c r="K58" s="214">
        <v>0</v>
      </c>
      <c r="L58" s="214">
        <v>0</v>
      </c>
      <c r="M58" s="214">
        <v>0</v>
      </c>
      <c r="N58" s="214">
        <v>0</v>
      </c>
      <c r="O58" s="214">
        <v>0</v>
      </c>
      <c r="P58" s="214">
        <v>0</v>
      </c>
      <c r="Q58" s="214">
        <v>0</v>
      </c>
      <c r="R58" s="214">
        <v>0</v>
      </c>
      <c r="S58" s="214">
        <v>0</v>
      </c>
      <c r="T58" s="214">
        <v>0</v>
      </c>
      <c r="U58" s="214">
        <v>0</v>
      </c>
      <c r="V58" s="214">
        <v>0</v>
      </c>
      <c r="W58" s="214">
        <v>0</v>
      </c>
      <c r="X58" s="214">
        <v>0</v>
      </c>
      <c r="Y58" s="590">
        <v>0</v>
      </c>
      <c r="Z58" s="590">
        <v>0</v>
      </c>
      <c r="AA58" s="590">
        <v>0</v>
      </c>
      <c r="AB58" s="590">
        <v>0</v>
      </c>
      <c r="AC58" s="601">
        <v>0</v>
      </c>
      <c r="AD58" s="43"/>
      <c r="AE58" s="42"/>
      <c r="AF58" s="42"/>
      <c r="AG58" s="42"/>
      <c r="AH58" s="42"/>
      <c r="AI58" s="42"/>
      <c r="AJ58" s="42"/>
      <c r="AK58" s="42"/>
      <c r="AM58" s="52"/>
    </row>
    <row r="59" spans="1:39" ht="36" customHeight="1" thickBot="1" x14ac:dyDescent="0.35">
      <c r="A59" s="1019"/>
      <c r="B59" s="1021"/>
      <c r="C59" s="968"/>
      <c r="D59" s="971"/>
      <c r="E59" s="593" t="s">
        <v>813</v>
      </c>
      <c r="F59" s="495">
        <v>0</v>
      </c>
      <c r="G59" s="495">
        <v>0</v>
      </c>
      <c r="H59" s="495">
        <v>0</v>
      </c>
      <c r="I59" s="495">
        <v>0</v>
      </c>
      <c r="J59" s="495">
        <v>0</v>
      </c>
      <c r="K59" s="495">
        <v>0</v>
      </c>
      <c r="L59" s="495">
        <v>0</v>
      </c>
      <c r="M59" s="495">
        <v>0</v>
      </c>
      <c r="N59" s="495">
        <v>0</v>
      </c>
      <c r="O59" s="495">
        <v>0</v>
      </c>
      <c r="P59" s="495">
        <v>0</v>
      </c>
      <c r="Q59" s="495">
        <v>0</v>
      </c>
      <c r="R59" s="495">
        <v>0</v>
      </c>
      <c r="S59" s="495">
        <v>0</v>
      </c>
      <c r="T59" s="495">
        <v>0</v>
      </c>
      <c r="U59" s="495">
        <v>0</v>
      </c>
      <c r="V59" s="495">
        <v>0</v>
      </c>
      <c r="W59" s="495">
        <v>0</v>
      </c>
      <c r="X59" s="495">
        <v>0</v>
      </c>
      <c r="Y59" s="495">
        <v>0</v>
      </c>
      <c r="Z59" s="495">
        <v>0</v>
      </c>
      <c r="AA59" s="495">
        <v>0</v>
      </c>
      <c r="AB59" s="495">
        <v>0</v>
      </c>
      <c r="AC59" s="604">
        <v>0</v>
      </c>
      <c r="AD59" s="43"/>
      <c r="AE59" s="42"/>
      <c r="AF59" s="42"/>
      <c r="AG59" s="42"/>
      <c r="AH59" s="42"/>
      <c r="AI59" s="42"/>
      <c r="AJ59" s="42"/>
      <c r="AK59" s="42"/>
      <c r="AM59" s="52"/>
    </row>
    <row r="60" spans="1:39" ht="36" customHeight="1" x14ac:dyDescent="0.3">
      <c r="A60" s="972" t="str">
        <f>A48</f>
        <v>Stairway, and Mechanical_Electrical</v>
      </c>
      <c r="B60" s="959" t="str">
        <f>B48</f>
        <v>Ancillary</v>
      </c>
      <c r="C60" s="976" t="s">
        <v>820</v>
      </c>
      <c r="D60" s="978" t="s">
        <v>829</v>
      </c>
      <c r="E60" s="584" t="s">
        <v>811</v>
      </c>
      <c r="F60" s="491">
        <v>0.05</v>
      </c>
      <c r="G60" s="491">
        <v>0.05</v>
      </c>
      <c r="H60" s="491">
        <v>0.05</v>
      </c>
      <c r="I60" s="491">
        <v>0.05</v>
      </c>
      <c r="J60" s="491">
        <v>0.05</v>
      </c>
      <c r="K60" s="491">
        <v>0.08</v>
      </c>
      <c r="L60" s="491">
        <v>7.0000000000000007E-2</v>
      </c>
      <c r="M60" s="491">
        <v>0.19</v>
      </c>
      <c r="N60" s="491">
        <v>0.35</v>
      </c>
      <c r="O60" s="491">
        <v>0.38</v>
      </c>
      <c r="P60" s="491">
        <v>0.39</v>
      </c>
      <c r="Q60" s="491">
        <v>0.47</v>
      </c>
      <c r="R60" s="491">
        <v>0.56999999999999995</v>
      </c>
      <c r="S60" s="491">
        <v>0.54</v>
      </c>
      <c r="T60" s="491">
        <v>0.34</v>
      </c>
      <c r="U60" s="491">
        <v>0.33</v>
      </c>
      <c r="V60" s="491">
        <v>0.44</v>
      </c>
      <c r="W60" s="491">
        <v>0.26</v>
      </c>
      <c r="X60" s="491">
        <v>0.21</v>
      </c>
      <c r="Y60" s="491">
        <v>0.15</v>
      </c>
      <c r="Z60" s="491">
        <v>0.17</v>
      </c>
      <c r="AA60" s="491">
        <v>0.08</v>
      </c>
      <c r="AB60" s="491">
        <v>0.05</v>
      </c>
      <c r="AC60" s="492">
        <v>0.05</v>
      </c>
      <c r="AD60" s="43"/>
      <c r="AE60" s="42"/>
      <c r="AF60" s="42"/>
      <c r="AG60" s="42"/>
      <c r="AH60" s="42"/>
      <c r="AI60" s="42"/>
      <c r="AJ60" s="42"/>
      <c r="AK60" s="42"/>
      <c r="AM60" s="52"/>
    </row>
    <row r="61" spans="1:39" ht="36" customHeight="1" x14ac:dyDescent="0.3">
      <c r="A61" s="973"/>
      <c r="B61" s="959"/>
      <c r="C61" s="967"/>
      <c r="D61" s="979"/>
      <c r="E61" s="585" t="s">
        <v>812</v>
      </c>
      <c r="F61" s="452">
        <v>0.04</v>
      </c>
      <c r="G61" s="452">
        <v>0.04</v>
      </c>
      <c r="H61" s="452">
        <v>0.04</v>
      </c>
      <c r="I61" s="452">
        <v>0.04</v>
      </c>
      <c r="J61" s="452">
        <v>0.04</v>
      </c>
      <c r="K61" s="452">
        <v>7.0000000000000007E-2</v>
      </c>
      <c r="L61" s="452">
        <v>0.04</v>
      </c>
      <c r="M61" s="452">
        <v>0.04</v>
      </c>
      <c r="N61" s="452">
        <v>0.04</v>
      </c>
      <c r="O61" s="452">
        <v>0.04</v>
      </c>
      <c r="P61" s="452">
        <v>0.04</v>
      </c>
      <c r="Q61" s="452">
        <v>0.06</v>
      </c>
      <c r="R61" s="452">
        <v>0.06</v>
      </c>
      <c r="S61" s="452">
        <v>0.09</v>
      </c>
      <c r="T61" s="452">
        <v>0.06</v>
      </c>
      <c r="U61" s="452">
        <v>0.04</v>
      </c>
      <c r="V61" s="452">
        <v>0.04</v>
      </c>
      <c r="W61" s="452">
        <v>0.04</v>
      </c>
      <c r="X61" s="452">
        <v>0.04</v>
      </c>
      <c r="Y61" s="452">
        <v>0.04</v>
      </c>
      <c r="Z61" s="452">
        <v>0.04</v>
      </c>
      <c r="AA61" s="452">
        <v>7.0000000000000007E-2</v>
      </c>
      <c r="AB61" s="452">
        <v>0.04</v>
      </c>
      <c r="AC61" s="453">
        <v>0.04</v>
      </c>
      <c r="AD61" s="43"/>
      <c r="AE61" s="42"/>
      <c r="AF61" s="42"/>
      <c r="AG61" s="42"/>
      <c r="AH61" s="42"/>
      <c r="AI61" s="42"/>
      <c r="AJ61" s="42"/>
      <c r="AK61" s="42"/>
      <c r="AM61" s="52"/>
    </row>
    <row r="62" spans="1:39" ht="36" customHeight="1" x14ac:dyDescent="0.3">
      <c r="A62" s="974"/>
      <c r="B62" s="975"/>
      <c r="C62" s="977"/>
      <c r="D62" s="980"/>
      <c r="E62" s="586" t="s">
        <v>813</v>
      </c>
      <c r="F62" s="493">
        <v>0.04</v>
      </c>
      <c r="G62" s="493">
        <v>0.04</v>
      </c>
      <c r="H62" s="493">
        <v>0.04</v>
      </c>
      <c r="I62" s="493">
        <v>0.04</v>
      </c>
      <c r="J62" s="493">
        <v>0.04</v>
      </c>
      <c r="K62" s="493">
        <v>7.0000000000000007E-2</v>
      </c>
      <c r="L62" s="493">
        <v>0.04</v>
      </c>
      <c r="M62" s="493">
        <v>0.04</v>
      </c>
      <c r="N62" s="493">
        <v>0.04</v>
      </c>
      <c r="O62" s="493">
        <v>0.04</v>
      </c>
      <c r="P62" s="493">
        <v>0.04</v>
      </c>
      <c r="Q62" s="493">
        <v>0.06</v>
      </c>
      <c r="R62" s="493">
        <v>0.06</v>
      </c>
      <c r="S62" s="493">
        <v>0.09</v>
      </c>
      <c r="T62" s="493">
        <v>0.06</v>
      </c>
      <c r="U62" s="493">
        <v>0.04</v>
      </c>
      <c r="V62" s="493">
        <v>0.04</v>
      </c>
      <c r="W62" s="493">
        <v>0.04</v>
      </c>
      <c r="X62" s="493">
        <v>0.04</v>
      </c>
      <c r="Y62" s="493">
        <v>0.04</v>
      </c>
      <c r="Z62" s="493">
        <v>0.04</v>
      </c>
      <c r="AA62" s="493">
        <v>7.0000000000000007E-2</v>
      </c>
      <c r="AB62" s="493">
        <v>0.04</v>
      </c>
      <c r="AC62" s="494">
        <v>0.04</v>
      </c>
      <c r="AD62" s="43"/>
      <c r="AE62" s="42"/>
      <c r="AF62" s="42"/>
      <c r="AG62" s="42"/>
      <c r="AH62" s="42"/>
      <c r="AI62" s="42"/>
      <c r="AJ62" s="42"/>
      <c r="AK62" s="42"/>
      <c r="AM62" s="52"/>
    </row>
    <row r="63" spans="1:39" ht="36" customHeight="1" x14ac:dyDescent="0.3">
      <c r="A63" s="981" t="str">
        <f>A48</f>
        <v>Stairway, and Mechanical_Electrical</v>
      </c>
      <c r="B63" s="982" t="str">
        <f>B48</f>
        <v>Ancillary</v>
      </c>
      <c r="C63" s="983" t="s">
        <v>346</v>
      </c>
      <c r="D63" s="985" t="s">
        <v>815</v>
      </c>
      <c r="E63" s="587" t="s">
        <v>811</v>
      </c>
      <c r="F63" s="233">
        <v>1</v>
      </c>
      <c r="G63" s="233">
        <v>1</v>
      </c>
      <c r="H63" s="233">
        <v>1</v>
      </c>
      <c r="I63" s="233">
        <v>1</v>
      </c>
      <c r="J63" s="591">
        <v>1</v>
      </c>
      <c r="K63" s="591">
        <v>0.25</v>
      </c>
      <c r="L63" s="591">
        <v>0.25</v>
      </c>
      <c r="M63" s="591">
        <v>0.25</v>
      </c>
      <c r="N63" s="591">
        <v>0.25</v>
      </c>
      <c r="O63" s="591">
        <v>0.25</v>
      </c>
      <c r="P63" s="591">
        <v>0.25</v>
      </c>
      <c r="Q63" s="591">
        <v>0.25</v>
      </c>
      <c r="R63" s="591">
        <v>0.25</v>
      </c>
      <c r="S63" s="591">
        <v>0.25</v>
      </c>
      <c r="T63" s="591">
        <v>0.25</v>
      </c>
      <c r="U63" s="591">
        <v>0.25</v>
      </c>
      <c r="V63" s="591">
        <v>0.25</v>
      </c>
      <c r="W63" s="591">
        <v>0.25</v>
      </c>
      <c r="X63" s="591">
        <v>0.25</v>
      </c>
      <c r="Y63" s="591">
        <v>0.25</v>
      </c>
      <c r="Z63" s="591">
        <v>0.25</v>
      </c>
      <c r="AA63" s="591">
        <v>0.25</v>
      </c>
      <c r="AB63" s="591">
        <v>0.25</v>
      </c>
      <c r="AC63" s="592">
        <v>0.25</v>
      </c>
      <c r="AD63" s="43"/>
      <c r="AE63" s="42"/>
      <c r="AF63" s="42"/>
      <c r="AG63" s="42"/>
      <c r="AH63" s="42"/>
      <c r="AI63" s="42"/>
      <c r="AJ63" s="42"/>
      <c r="AK63" s="42"/>
      <c r="AM63" s="52"/>
    </row>
    <row r="64" spans="1:39" ht="36" customHeight="1" x14ac:dyDescent="0.3">
      <c r="A64" s="973"/>
      <c r="B64" s="959"/>
      <c r="C64" s="967"/>
      <c r="D64" s="979"/>
      <c r="E64" s="585" t="s">
        <v>812</v>
      </c>
      <c r="F64" s="213">
        <v>1</v>
      </c>
      <c r="G64" s="213">
        <v>1</v>
      </c>
      <c r="H64" s="213">
        <v>1</v>
      </c>
      <c r="I64" s="213">
        <v>1</v>
      </c>
      <c r="J64" s="451">
        <v>1</v>
      </c>
      <c r="K64" s="215">
        <v>1</v>
      </c>
      <c r="L64" s="215">
        <v>1</v>
      </c>
      <c r="M64" s="215">
        <v>1</v>
      </c>
      <c r="N64" s="215">
        <v>1</v>
      </c>
      <c r="O64" s="215">
        <v>1</v>
      </c>
      <c r="P64" s="215">
        <v>1</v>
      </c>
      <c r="Q64" s="215">
        <v>1</v>
      </c>
      <c r="R64" s="215">
        <v>1</v>
      </c>
      <c r="S64" s="215">
        <v>1</v>
      </c>
      <c r="T64" s="215">
        <v>1</v>
      </c>
      <c r="U64" s="215">
        <v>1</v>
      </c>
      <c r="V64" s="215">
        <v>1</v>
      </c>
      <c r="W64" s="215">
        <v>1</v>
      </c>
      <c r="X64" s="215">
        <v>1</v>
      </c>
      <c r="Y64" s="451">
        <v>1</v>
      </c>
      <c r="Z64" s="451">
        <v>1</v>
      </c>
      <c r="AA64" s="451">
        <v>1</v>
      </c>
      <c r="AB64" s="451">
        <v>1</v>
      </c>
      <c r="AC64" s="602">
        <v>1</v>
      </c>
      <c r="AD64" s="43"/>
      <c r="AE64" s="42"/>
      <c r="AF64" s="42"/>
      <c r="AG64" s="42"/>
      <c r="AH64" s="42"/>
      <c r="AI64" s="42"/>
      <c r="AJ64" s="42"/>
      <c r="AK64" s="42"/>
      <c r="AM64" s="52"/>
    </row>
    <row r="65" spans="1:39" ht="36" customHeight="1" x14ac:dyDescent="0.3">
      <c r="A65" s="974"/>
      <c r="B65" s="975"/>
      <c r="C65" s="984"/>
      <c r="D65" s="986"/>
      <c r="E65" s="588" t="s">
        <v>813</v>
      </c>
      <c r="F65" s="218">
        <v>1</v>
      </c>
      <c r="G65" s="218">
        <v>1</v>
      </c>
      <c r="H65" s="218">
        <v>1</v>
      </c>
      <c r="I65" s="218">
        <v>1</v>
      </c>
      <c r="J65" s="590">
        <v>1</v>
      </c>
      <c r="K65" s="590">
        <v>1</v>
      </c>
      <c r="L65" s="590">
        <v>1</v>
      </c>
      <c r="M65" s="590">
        <v>1</v>
      </c>
      <c r="N65" s="590">
        <v>1</v>
      </c>
      <c r="O65" s="590">
        <v>1</v>
      </c>
      <c r="P65" s="590">
        <v>1</v>
      </c>
      <c r="Q65" s="590">
        <v>1</v>
      </c>
      <c r="R65" s="590">
        <v>1</v>
      </c>
      <c r="S65" s="590">
        <v>1</v>
      </c>
      <c r="T65" s="590">
        <v>1</v>
      </c>
      <c r="U65" s="590">
        <v>1</v>
      </c>
      <c r="V65" s="590">
        <v>1</v>
      </c>
      <c r="W65" s="590">
        <v>1</v>
      </c>
      <c r="X65" s="590">
        <v>1</v>
      </c>
      <c r="Y65" s="590">
        <v>1</v>
      </c>
      <c r="Z65" s="590">
        <v>1</v>
      </c>
      <c r="AA65" s="590">
        <v>1</v>
      </c>
      <c r="AB65" s="590">
        <v>1</v>
      </c>
      <c r="AC65" s="601">
        <v>1</v>
      </c>
      <c r="AD65" s="43"/>
      <c r="AE65" s="42"/>
      <c r="AF65" s="42"/>
      <c r="AG65" s="42"/>
      <c r="AH65" s="42"/>
      <c r="AI65" s="42"/>
      <c r="AJ65" s="42"/>
      <c r="AK65" s="42"/>
      <c r="AM65" s="52"/>
    </row>
    <row r="66" spans="1:39" ht="36" customHeight="1" x14ac:dyDescent="0.3">
      <c r="A66" s="955" t="str">
        <f>A51</f>
        <v>Stairway, and Mechanical_Electrical</v>
      </c>
      <c r="B66" s="958" t="str">
        <f>B51</f>
        <v>Ancillary</v>
      </c>
      <c r="C66" s="960" t="s">
        <v>822</v>
      </c>
      <c r="D66" s="963" t="s">
        <v>384</v>
      </c>
      <c r="E66" s="705" t="s">
        <v>811</v>
      </c>
      <c r="F66" s="482">
        <f>Thermostat!$C$9</f>
        <v>60</v>
      </c>
      <c r="G66" s="482">
        <f>Thermostat!$C$9</f>
        <v>60</v>
      </c>
      <c r="H66" s="482">
        <f>Thermostat!$C$9</f>
        <v>60</v>
      </c>
      <c r="I66" s="482">
        <f>Thermostat!$C$9</f>
        <v>60</v>
      </c>
      <c r="J66" s="482">
        <f>Thermostat!$C$9</f>
        <v>60</v>
      </c>
      <c r="K66" s="482">
        <f>Thermostat!$C$9</f>
        <v>60</v>
      </c>
      <c r="L66" s="482">
        <f>Thermostat!$C$9</f>
        <v>60</v>
      </c>
      <c r="M66" s="482">
        <f>Thermostat!$C$9</f>
        <v>60</v>
      </c>
      <c r="N66" s="482">
        <f>Thermostat!$C$9</f>
        <v>60</v>
      </c>
      <c r="O66" s="482">
        <f>Thermostat!$C$9</f>
        <v>60</v>
      </c>
      <c r="P66" s="482">
        <f>Thermostat!$C$9</f>
        <v>60</v>
      </c>
      <c r="Q66" s="482">
        <f>Thermostat!$C$9</f>
        <v>60</v>
      </c>
      <c r="R66" s="482">
        <f>Thermostat!$C$9</f>
        <v>60</v>
      </c>
      <c r="S66" s="482">
        <f>Thermostat!$C$9</f>
        <v>60</v>
      </c>
      <c r="T66" s="482">
        <f>Thermostat!$C$9</f>
        <v>60</v>
      </c>
      <c r="U66" s="482">
        <f>Thermostat!$C$9</f>
        <v>60</v>
      </c>
      <c r="V66" s="482">
        <f>Thermostat!$C$9</f>
        <v>60</v>
      </c>
      <c r="W66" s="482">
        <f>Thermostat!$C$9</f>
        <v>60</v>
      </c>
      <c r="X66" s="482">
        <f>Thermostat!$C$9</f>
        <v>60</v>
      </c>
      <c r="Y66" s="482">
        <f>Thermostat!$C$9</f>
        <v>60</v>
      </c>
      <c r="Z66" s="482">
        <f>Thermostat!$C$9</f>
        <v>60</v>
      </c>
      <c r="AA66" s="482">
        <f>Thermostat!$C$9</f>
        <v>60</v>
      </c>
      <c r="AB66" s="482">
        <f>Thermostat!$C$9</f>
        <v>60</v>
      </c>
      <c r="AC66" s="483">
        <f>Thermostat!$C$9</f>
        <v>60</v>
      </c>
      <c r="AD66" s="43"/>
      <c r="AE66" s="42"/>
      <c r="AF66" s="42"/>
      <c r="AG66" s="42"/>
      <c r="AH66" s="42"/>
      <c r="AI66" s="42"/>
      <c r="AJ66" s="42"/>
      <c r="AK66" s="42"/>
      <c r="AM66" s="52"/>
    </row>
    <row r="67" spans="1:39" ht="36" customHeight="1" x14ac:dyDescent="0.3">
      <c r="A67" s="956"/>
      <c r="B67" s="959"/>
      <c r="C67" s="961"/>
      <c r="D67" s="964"/>
      <c r="E67" s="706" t="s">
        <v>812</v>
      </c>
      <c r="F67" s="484">
        <f>Thermostat!$C$9</f>
        <v>60</v>
      </c>
      <c r="G67" s="484">
        <f>Thermostat!$C$9</f>
        <v>60</v>
      </c>
      <c r="H67" s="484">
        <f>Thermostat!$C$9</f>
        <v>60</v>
      </c>
      <c r="I67" s="484">
        <f>Thermostat!$C$9</f>
        <v>60</v>
      </c>
      <c r="J67" s="484">
        <f>Thermostat!$C$9</f>
        <v>60</v>
      </c>
      <c r="K67" s="484">
        <f>Thermostat!$C$9</f>
        <v>60</v>
      </c>
      <c r="L67" s="484">
        <f>Thermostat!$C$9</f>
        <v>60</v>
      </c>
      <c r="M67" s="484">
        <f>Thermostat!$C$9</f>
        <v>60</v>
      </c>
      <c r="N67" s="484">
        <f>Thermostat!$C$9</f>
        <v>60</v>
      </c>
      <c r="O67" s="484">
        <f>Thermostat!$C$9</f>
        <v>60</v>
      </c>
      <c r="P67" s="484">
        <f>Thermostat!$C$9</f>
        <v>60</v>
      </c>
      <c r="Q67" s="484">
        <f>Thermostat!$C$9</f>
        <v>60</v>
      </c>
      <c r="R67" s="484">
        <f>Thermostat!$C$9</f>
        <v>60</v>
      </c>
      <c r="S67" s="484">
        <f>Thermostat!$C$9</f>
        <v>60</v>
      </c>
      <c r="T67" s="484">
        <f>Thermostat!$C$9</f>
        <v>60</v>
      </c>
      <c r="U67" s="484">
        <f>Thermostat!$C$9</f>
        <v>60</v>
      </c>
      <c r="V67" s="484">
        <f>Thermostat!$C$9</f>
        <v>60</v>
      </c>
      <c r="W67" s="484">
        <f>Thermostat!$C$9</f>
        <v>60</v>
      </c>
      <c r="X67" s="484">
        <f>Thermostat!$C$9</f>
        <v>60</v>
      </c>
      <c r="Y67" s="484">
        <f>Thermostat!$C$9</f>
        <v>60</v>
      </c>
      <c r="Z67" s="484">
        <f>Thermostat!$C$9</f>
        <v>60</v>
      </c>
      <c r="AA67" s="484">
        <f>Thermostat!$C$9</f>
        <v>60</v>
      </c>
      <c r="AB67" s="484">
        <f>Thermostat!$C$9</f>
        <v>60</v>
      </c>
      <c r="AC67" s="485">
        <f>Thermostat!$C$9</f>
        <v>60</v>
      </c>
      <c r="AD67" s="43"/>
      <c r="AE67" s="42"/>
      <c r="AF67" s="42"/>
      <c r="AG67" s="42"/>
      <c r="AH67" s="42"/>
      <c r="AI67" s="42"/>
      <c r="AJ67" s="42"/>
      <c r="AK67" s="42"/>
      <c r="AM67" s="52"/>
    </row>
    <row r="68" spans="1:39" ht="36" customHeight="1" x14ac:dyDescent="0.3">
      <c r="A68" s="957"/>
      <c r="B68" s="959"/>
      <c r="C68" s="962"/>
      <c r="D68" s="965"/>
      <c r="E68" s="708" t="s">
        <v>813</v>
      </c>
      <c r="F68" s="486">
        <f>Thermostat!$C$9</f>
        <v>60</v>
      </c>
      <c r="G68" s="486">
        <f>Thermostat!$C$9</f>
        <v>60</v>
      </c>
      <c r="H68" s="486">
        <f>Thermostat!$C$9</f>
        <v>60</v>
      </c>
      <c r="I68" s="486">
        <f>Thermostat!$C$9</f>
        <v>60</v>
      </c>
      <c r="J68" s="486">
        <f>Thermostat!$C$9</f>
        <v>60</v>
      </c>
      <c r="K68" s="486">
        <f>Thermostat!$C$9</f>
        <v>60</v>
      </c>
      <c r="L68" s="486">
        <f>Thermostat!$C$9</f>
        <v>60</v>
      </c>
      <c r="M68" s="486">
        <f>Thermostat!$C$9</f>
        <v>60</v>
      </c>
      <c r="N68" s="486">
        <f>Thermostat!$C$9</f>
        <v>60</v>
      </c>
      <c r="O68" s="486">
        <f>Thermostat!$C$9</f>
        <v>60</v>
      </c>
      <c r="P68" s="486">
        <f>Thermostat!$C$9</f>
        <v>60</v>
      </c>
      <c r="Q68" s="486">
        <f>Thermostat!$C$9</f>
        <v>60</v>
      </c>
      <c r="R68" s="486">
        <f>Thermostat!$C$9</f>
        <v>60</v>
      </c>
      <c r="S68" s="486">
        <f>Thermostat!$C$9</f>
        <v>60</v>
      </c>
      <c r="T68" s="486">
        <f>Thermostat!$C$9</f>
        <v>60</v>
      </c>
      <c r="U68" s="486">
        <f>Thermostat!$C$9</f>
        <v>60</v>
      </c>
      <c r="V68" s="486">
        <f>Thermostat!$C$9</f>
        <v>60</v>
      </c>
      <c r="W68" s="486">
        <f>Thermostat!$C$9</f>
        <v>60</v>
      </c>
      <c r="X68" s="486">
        <f>Thermostat!$C$9</f>
        <v>60</v>
      </c>
      <c r="Y68" s="486">
        <f>Thermostat!$C$9</f>
        <v>60</v>
      </c>
      <c r="Z68" s="486">
        <f>Thermostat!$C$9</f>
        <v>60</v>
      </c>
      <c r="AA68" s="486">
        <f>Thermostat!$C$9</f>
        <v>60</v>
      </c>
      <c r="AB68" s="486">
        <f>Thermostat!$C$9</f>
        <v>60</v>
      </c>
      <c r="AC68" s="487">
        <f>Thermostat!$C$9</f>
        <v>60</v>
      </c>
      <c r="AD68" s="43"/>
      <c r="AE68" s="42"/>
      <c r="AF68" s="42"/>
      <c r="AG68" s="42"/>
      <c r="AH68" s="42"/>
      <c r="AI68" s="42"/>
      <c r="AJ68" s="42"/>
      <c r="AK68" s="42"/>
      <c r="AM68" s="52"/>
    </row>
    <row r="69" spans="1:39" ht="31.2" customHeight="1" x14ac:dyDescent="0.3">
      <c r="A69" s="955" t="str">
        <f>A48</f>
        <v>Stairway, and Mechanical_Electrical</v>
      </c>
      <c r="B69" s="958" t="str">
        <f>B48</f>
        <v>Ancillary</v>
      </c>
      <c r="C69" s="1083" t="s">
        <v>823</v>
      </c>
      <c r="D69" s="1086" t="s">
        <v>384</v>
      </c>
      <c r="E69" s="705" t="s">
        <v>811</v>
      </c>
      <c r="F69" s="482">
        <f>Thermostat!$C$11</f>
        <v>85</v>
      </c>
      <c r="G69" s="482">
        <f>Thermostat!$C$11</f>
        <v>85</v>
      </c>
      <c r="H69" s="482">
        <f>Thermostat!$C$11</f>
        <v>85</v>
      </c>
      <c r="I69" s="482">
        <f>Thermostat!$C$11</f>
        <v>85</v>
      </c>
      <c r="J69" s="482">
        <f>Thermostat!$C$11</f>
        <v>85</v>
      </c>
      <c r="K69" s="482">
        <f>Thermostat!$C$11</f>
        <v>85</v>
      </c>
      <c r="L69" s="482">
        <f>Thermostat!$C$11</f>
        <v>85</v>
      </c>
      <c r="M69" s="482">
        <f>Thermostat!$C$11</f>
        <v>85</v>
      </c>
      <c r="N69" s="482">
        <f>Thermostat!$C$11</f>
        <v>85</v>
      </c>
      <c r="O69" s="482">
        <f>Thermostat!$C$11</f>
        <v>85</v>
      </c>
      <c r="P69" s="482">
        <f>Thermostat!$C$11</f>
        <v>85</v>
      </c>
      <c r="Q69" s="482">
        <f>Thermostat!$C$11</f>
        <v>85</v>
      </c>
      <c r="R69" s="482">
        <f>Thermostat!$C$11</f>
        <v>85</v>
      </c>
      <c r="S69" s="482">
        <f>Thermostat!$C$11</f>
        <v>85</v>
      </c>
      <c r="T69" s="482">
        <f>Thermostat!$C$11</f>
        <v>85</v>
      </c>
      <c r="U69" s="482">
        <f>Thermostat!$C$11</f>
        <v>85</v>
      </c>
      <c r="V69" s="482">
        <f>Thermostat!$C$11</f>
        <v>85</v>
      </c>
      <c r="W69" s="482">
        <f>Thermostat!$C$11</f>
        <v>85</v>
      </c>
      <c r="X69" s="482">
        <f>Thermostat!$C$11</f>
        <v>85</v>
      </c>
      <c r="Y69" s="482">
        <f>Thermostat!$C$11</f>
        <v>85</v>
      </c>
      <c r="Z69" s="482">
        <f>Thermostat!$C$11</f>
        <v>85</v>
      </c>
      <c r="AA69" s="482">
        <f>Thermostat!$C$11</f>
        <v>85</v>
      </c>
      <c r="AB69" s="482">
        <f>Thermostat!$C$11</f>
        <v>85</v>
      </c>
      <c r="AC69" s="483">
        <f>Thermostat!$C$11</f>
        <v>85</v>
      </c>
    </row>
    <row r="70" spans="1:39" ht="31.2" customHeight="1" x14ac:dyDescent="0.3">
      <c r="A70" s="956"/>
      <c r="B70" s="959"/>
      <c r="C70" s="1084"/>
      <c r="D70" s="1087"/>
      <c r="E70" s="706" t="s">
        <v>812</v>
      </c>
      <c r="F70" s="484">
        <f>Thermostat!$C$11</f>
        <v>85</v>
      </c>
      <c r="G70" s="484">
        <f>Thermostat!$C$11</f>
        <v>85</v>
      </c>
      <c r="H70" s="484">
        <f>Thermostat!$C$11</f>
        <v>85</v>
      </c>
      <c r="I70" s="484">
        <f>Thermostat!$C$11</f>
        <v>85</v>
      </c>
      <c r="J70" s="484">
        <f>Thermostat!$C$11</f>
        <v>85</v>
      </c>
      <c r="K70" s="484">
        <f>Thermostat!$C$11</f>
        <v>85</v>
      </c>
      <c r="L70" s="484">
        <f>Thermostat!$C$11</f>
        <v>85</v>
      </c>
      <c r="M70" s="484">
        <f>Thermostat!$C$11</f>
        <v>85</v>
      </c>
      <c r="N70" s="484">
        <f>Thermostat!$C$11</f>
        <v>85</v>
      </c>
      <c r="O70" s="484">
        <f>Thermostat!$C$11</f>
        <v>85</v>
      </c>
      <c r="P70" s="484">
        <f>Thermostat!$C$11</f>
        <v>85</v>
      </c>
      <c r="Q70" s="484">
        <f>Thermostat!$C$11</f>
        <v>85</v>
      </c>
      <c r="R70" s="484">
        <f>Thermostat!$C$11</f>
        <v>85</v>
      </c>
      <c r="S70" s="484">
        <f>Thermostat!$C$11</f>
        <v>85</v>
      </c>
      <c r="T70" s="484">
        <f>Thermostat!$C$11</f>
        <v>85</v>
      </c>
      <c r="U70" s="484">
        <f>Thermostat!$C$11</f>
        <v>85</v>
      </c>
      <c r="V70" s="484">
        <f>Thermostat!$C$11</f>
        <v>85</v>
      </c>
      <c r="W70" s="484">
        <f>Thermostat!$C$11</f>
        <v>85</v>
      </c>
      <c r="X70" s="484">
        <f>Thermostat!$C$11</f>
        <v>85</v>
      </c>
      <c r="Y70" s="484">
        <f>Thermostat!$C$11</f>
        <v>85</v>
      </c>
      <c r="Z70" s="484">
        <f>Thermostat!$C$11</f>
        <v>85</v>
      </c>
      <c r="AA70" s="484">
        <f>Thermostat!$C$11</f>
        <v>85</v>
      </c>
      <c r="AB70" s="484">
        <f>Thermostat!$C$11</f>
        <v>85</v>
      </c>
      <c r="AC70" s="485">
        <f>Thermostat!$C$11</f>
        <v>85</v>
      </c>
    </row>
    <row r="71" spans="1:39" ht="31.2" customHeight="1" x14ac:dyDescent="0.3">
      <c r="A71" s="1081"/>
      <c r="B71" s="1082"/>
      <c r="C71" s="1085"/>
      <c r="D71" s="1088"/>
      <c r="E71" s="707" t="s">
        <v>813</v>
      </c>
      <c r="F71" s="488">
        <f>Thermostat!$C$11</f>
        <v>85</v>
      </c>
      <c r="G71" s="488">
        <f>Thermostat!$C$11</f>
        <v>85</v>
      </c>
      <c r="H71" s="488">
        <f>Thermostat!$C$11</f>
        <v>85</v>
      </c>
      <c r="I71" s="488">
        <f>Thermostat!$C$11</f>
        <v>85</v>
      </c>
      <c r="J71" s="488">
        <f>Thermostat!$C$11</f>
        <v>85</v>
      </c>
      <c r="K71" s="488">
        <f>Thermostat!$C$11</f>
        <v>85</v>
      </c>
      <c r="L71" s="488">
        <f>Thermostat!$C$11</f>
        <v>85</v>
      </c>
      <c r="M71" s="488">
        <f>Thermostat!$C$11</f>
        <v>85</v>
      </c>
      <c r="N71" s="488">
        <f>Thermostat!$C$11</f>
        <v>85</v>
      </c>
      <c r="O71" s="488">
        <f>Thermostat!$C$11</f>
        <v>85</v>
      </c>
      <c r="P71" s="488">
        <f>Thermostat!$C$11</f>
        <v>85</v>
      </c>
      <c r="Q71" s="488">
        <f>Thermostat!$C$11</f>
        <v>85</v>
      </c>
      <c r="R71" s="488">
        <f>Thermostat!$C$11</f>
        <v>85</v>
      </c>
      <c r="S71" s="488">
        <f>Thermostat!$C$11</f>
        <v>85</v>
      </c>
      <c r="T71" s="488">
        <f>Thermostat!$C$11</f>
        <v>85</v>
      </c>
      <c r="U71" s="488">
        <f>Thermostat!$C$11</f>
        <v>85</v>
      </c>
      <c r="V71" s="488">
        <f>Thermostat!$C$11</f>
        <v>85</v>
      </c>
      <c r="W71" s="488">
        <f>Thermostat!$C$11</f>
        <v>85</v>
      </c>
      <c r="X71" s="488">
        <f>Thermostat!$C$11</f>
        <v>85</v>
      </c>
      <c r="Y71" s="488">
        <f>Thermostat!$C$11</f>
        <v>85</v>
      </c>
      <c r="Z71" s="488">
        <f>Thermostat!$C$11</f>
        <v>85</v>
      </c>
      <c r="AA71" s="488">
        <f>Thermostat!$C$11</f>
        <v>85</v>
      </c>
      <c r="AB71" s="488">
        <f>Thermostat!$C$11</f>
        <v>85</v>
      </c>
      <c r="AC71" s="489">
        <f>Thermostat!$C$11</f>
        <v>85</v>
      </c>
    </row>
    <row r="72" spans="1:39" ht="31.2" customHeight="1" x14ac:dyDescent="0.3">
      <c r="A72" s="1071" t="s">
        <v>830</v>
      </c>
      <c r="B72" s="1072"/>
      <c r="C72" s="1072"/>
      <c r="D72" s="1072"/>
      <c r="E72" s="1072"/>
      <c r="F72" s="1072"/>
      <c r="G72" s="1072"/>
      <c r="H72" s="1072"/>
      <c r="I72" s="1072"/>
      <c r="J72" s="1072"/>
      <c r="K72" s="1072"/>
      <c r="L72" s="1072"/>
      <c r="M72" s="1072"/>
      <c r="N72" s="1072"/>
      <c r="O72" s="1072"/>
      <c r="P72" s="1072"/>
      <c r="Q72" s="1072"/>
      <c r="R72" s="1072"/>
      <c r="S72" s="1072"/>
      <c r="T72" s="1072"/>
      <c r="U72" s="1072"/>
      <c r="V72" s="1072"/>
      <c r="W72" s="1072"/>
      <c r="X72" s="1072"/>
      <c r="Y72" s="1072"/>
      <c r="Z72" s="1072"/>
      <c r="AA72" s="1072"/>
      <c r="AB72" s="1072"/>
      <c r="AC72" s="1073"/>
      <c r="AD72" s="422" t="s">
        <v>800</v>
      </c>
    </row>
    <row r="73" spans="1:39" ht="37.200000000000003" customHeight="1" x14ac:dyDescent="0.3">
      <c r="A73" s="1007"/>
      <c r="B73" s="1010" t="s">
        <v>124</v>
      </c>
      <c r="C73" s="1013" t="s">
        <v>704</v>
      </c>
      <c r="D73" s="969" t="s">
        <v>831</v>
      </c>
      <c r="E73" s="250" t="s">
        <v>811</v>
      </c>
      <c r="F73" s="702">
        <v>0</v>
      </c>
      <c r="G73" s="702">
        <v>0</v>
      </c>
      <c r="H73" s="702">
        <v>0</v>
      </c>
      <c r="I73" s="702">
        <v>0</v>
      </c>
      <c r="J73" s="702">
        <v>0</v>
      </c>
      <c r="K73" s="702">
        <v>0</v>
      </c>
      <c r="L73" s="702">
        <v>0</v>
      </c>
      <c r="M73" s="702">
        <v>0.35</v>
      </c>
      <c r="N73" s="702">
        <v>0.69</v>
      </c>
      <c r="O73" s="702">
        <v>0.43</v>
      </c>
      <c r="P73" s="702">
        <v>0.37</v>
      </c>
      <c r="Q73" s="702">
        <v>0.43</v>
      </c>
      <c r="R73" s="702">
        <v>0.57999999999999996</v>
      </c>
      <c r="S73" s="702">
        <v>0.48</v>
      </c>
      <c r="T73" s="702">
        <v>0.37</v>
      </c>
      <c r="U73" s="702">
        <v>0.37</v>
      </c>
      <c r="V73" s="702">
        <v>0.46</v>
      </c>
      <c r="W73" s="702">
        <v>0.62</v>
      </c>
      <c r="X73" s="702">
        <v>0.2</v>
      </c>
      <c r="Y73" s="702">
        <v>0.12</v>
      </c>
      <c r="Z73" s="702">
        <v>0.04</v>
      </c>
      <c r="AA73" s="702">
        <v>0.04</v>
      </c>
      <c r="AB73" s="702">
        <v>0</v>
      </c>
      <c r="AC73" s="703">
        <v>0</v>
      </c>
      <c r="AD73" s="40">
        <f>SUM(F73:AC73)*261+ SUM(F74:AC74)*52+ SUM(F75:AC75)*52</f>
        <v>1448.5500000000002</v>
      </c>
    </row>
    <row r="74" spans="1:39" ht="37.200000000000003" customHeight="1" x14ac:dyDescent="0.3">
      <c r="A74" s="1008"/>
      <c r="B74" s="1011"/>
      <c r="C74" s="1014"/>
      <c r="D74" s="970"/>
      <c r="E74" s="221" t="s">
        <v>812</v>
      </c>
      <c r="F74" s="271">
        <v>0</v>
      </c>
      <c r="G74" s="271">
        <v>0</v>
      </c>
      <c r="H74" s="271">
        <v>0</v>
      </c>
      <c r="I74" s="271">
        <v>0</v>
      </c>
      <c r="J74" s="271">
        <v>0</v>
      </c>
      <c r="K74" s="326">
        <v>0</v>
      </c>
      <c r="L74" s="326">
        <v>0</v>
      </c>
      <c r="M74" s="326">
        <v>0</v>
      </c>
      <c r="N74" s="326">
        <v>0</v>
      </c>
      <c r="O74" s="326">
        <v>0</v>
      </c>
      <c r="P74" s="326">
        <v>0</v>
      </c>
      <c r="Q74" s="326">
        <v>0</v>
      </c>
      <c r="R74" s="326">
        <v>0</v>
      </c>
      <c r="S74" s="326">
        <v>0</v>
      </c>
      <c r="T74" s="326">
        <v>0</v>
      </c>
      <c r="U74" s="326">
        <v>0</v>
      </c>
      <c r="V74" s="326">
        <v>0</v>
      </c>
      <c r="W74" s="326">
        <v>0</v>
      </c>
      <c r="X74" s="326">
        <v>0</v>
      </c>
      <c r="Y74" s="271">
        <v>0</v>
      </c>
      <c r="Z74" s="271">
        <v>0</v>
      </c>
      <c r="AA74" s="271">
        <v>0</v>
      </c>
      <c r="AB74" s="271">
        <v>0</v>
      </c>
      <c r="AC74" s="308">
        <v>0</v>
      </c>
    </row>
    <row r="75" spans="1:39" ht="37.200000000000003" customHeight="1" x14ac:dyDescent="0.3">
      <c r="A75" s="1009"/>
      <c r="B75" s="1012"/>
      <c r="C75" s="1015"/>
      <c r="D75" s="971"/>
      <c r="E75" s="251" t="s">
        <v>813</v>
      </c>
      <c r="F75" s="309">
        <v>0</v>
      </c>
      <c r="G75" s="309">
        <v>0</v>
      </c>
      <c r="H75" s="309">
        <v>0</v>
      </c>
      <c r="I75" s="309">
        <v>0</v>
      </c>
      <c r="J75" s="309">
        <v>0</v>
      </c>
      <c r="K75" s="309">
        <v>0</v>
      </c>
      <c r="L75" s="309">
        <v>0</v>
      </c>
      <c r="M75" s="309">
        <v>0</v>
      </c>
      <c r="N75" s="309">
        <v>0</v>
      </c>
      <c r="O75" s="309">
        <v>0</v>
      </c>
      <c r="P75" s="309">
        <v>0</v>
      </c>
      <c r="Q75" s="309">
        <v>0</v>
      </c>
      <c r="R75" s="309">
        <v>0</v>
      </c>
      <c r="S75" s="309">
        <v>0</v>
      </c>
      <c r="T75" s="309">
        <v>0</v>
      </c>
      <c r="U75" s="309">
        <v>0</v>
      </c>
      <c r="V75" s="309">
        <v>0</v>
      </c>
      <c r="W75" s="309">
        <v>0</v>
      </c>
      <c r="X75" s="309">
        <v>0</v>
      </c>
      <c r="Y75" s="309">
        <v>0</v>
      </c>
      <c r="Z75" s="309">
        <v>0</v>
      </c>
      <c r="AA75" s="309">
        <v>0</v>
      </c>
      <c r="AB75" s="309">
        <v>0</v>
      </c>
      <c r="AC75" s="310">
        <v>0</v>
      </c>
    </row>
    <row r="76" spans="1:39" ht="37.200000000000003" customHeight="1" x14ac:dyDescent="0.3">
      <c r="A76" s="1025"/>
      <c r="B76" s="1034" t="s">
        <v>124</v>
      </c>
      <c r="C76" s="1036" t="s">
        <v>832</v>
      </c>
      <c r="D76" s="969"/>
      <c r="E76" s="250" t="s">
        <v>811</v>
      </c>
      <c r="F76" s="306">
        <v>1</v>
      </c>
      <c r="G76" s="306">
        <v>1</v>
      </c>
      <c r="H76" s="306">
        <v>1</v>
      </c>
      <c r="I76" s="306">
        <v>1</v>
      </c>
      <c r="J76" s="306">
        <v>1</v>
      </c>
      <c r="K76" s="306">
        <v>1</v>
      </c>
      <c r="L76" s="306">
        <v>1</v>
      </c>
      <c r="M76" s="306">
        <v>1</v>
      </c>
      <c r="N76" s="306">
        <v>1</v>
      </c>
      <c r="O76" s="306">
        <v>1</v>
      </c>
      <c r="P76" s="306">
        <v>1</v>
      </c>
      <c r="Q76" s="306">
        <v>1</v>
      </c>
      <c r="R76" s="306">
        <v>1</v>
      </c>
      <c r="S76" s="306">
        <v>1</v>
      </c>
      <c r="T76" s="306">
        <v>1</v>
      </c>
      <c r="U76" s="306">
        <v>1</v>
      </c>
      <c r="V76" s="306">
        <v>1</v>
      </c>
      <c r="W76" s="306">
        <v>1</v>
      </c>
      <c r="X76" s="306">
        <v>1</v>
      </c>
      <c r="Y76" s="306">
        <v>1</v>
      </c>
      <c r="Z76" s="306">
        <v>1</v>
      </c>
      <c r="AA76" s="306">
        <v>1</v>
      </c>
      <c r="AB76" s="306">
        <v>1</v>
      </c>
      <c r="AC76" s="307">
        <v>1</v>
      </c>
    </row>
    <row r="77" spans="1:39" ht="37.200000000000003" customHeight="1" x14ac:dyDescent="0.3">
      <c r="A77" s="1023"/>
      <c r="B77" s="1011"/>
      <c r="C77" s="1014"/>
      <c r="D77" s="970"/>
      <c r="E77" s="221" t="s">
        <v>812</v>
      </c>
      <c r="F77" s="271">
        <v>1</v>
      </c>
      <c r="G77" s="271">
        <v>1</v>
      </c>
      <c r="H77" s="271">
        <v>1</v>
      </c>
      <c r="I77" s="271">
        <v>1</v>
      </c>
      <c r="J77" s="271">
        <v>1</v>
      </c>
      <c r="K77" s="271">
        <v>1</v>
      </c>
      <c r="L77" s="271">
        <v>1</v>
      </c>
      <c r="M77" s="271">
        <v>1</v>
      </c>
      <c r="N77" s="271">
        <v>1</v>
      </c>
      <c r="O77" s="271">
        <v>1</v>
      </c>
      <c r="P77" s="271">
        <v>1</v>
      </c>
      <c r="Q77" s="271">
        <v>1</v>
      </c>
      <c r="R77" s="271">
        <v>1</v>
      </c>
      <c r="S77" s="271">
        <v>1</v>
      </c>
      <c r="T77" s="271">
        <v>1</v>
      </c>
      <c r="U77" s="271">
        <v>1</v>
      </c>
      <c r="V77" s="271">
        <v>1</v>
      </c>
      <c r="W77" s="271">
        <v>1</v>
      </c>
      <c r="X77" s="271">
        <v>1</v>
      </c>
      <c r="Y77" s="271">
        <v>1</v>
      </c>
      <c r="Z77" s="271">
        <v>1</v>
      </c>
      <c r="AA77" s="271">
        <v>1</v>
      </c>
      <c r="AB77" s="271">
        <v>1</v>
      </c>
      <c r="AC77" s="308">
        <v>1</v>
      </c>
    </row>
    <row r="78" spans="1:39" ht="37.200000000000003" customHeight="1" x14ac:dyDescent="0.3">
      <c r="A78" s="1026"/>
      <c r="B78" s="1035"/>
      <c r="C78" s="1031"/>
      <c r="D78" s="971"/>
      <c r="E78" s="251" t="s">
        <v>813</v>
      </c>
      <c r="F78" s="309">
        <v>1</v>
      </c>
      <c r="G78" s="309">
        <v>1</v>
      </c>
      <c r="H78" s="309">
        <v>1</v>
      </c>
      <c r="I78" s="309">
        <v>1</v>
      </c>
      <c r="J78" s="309">
        <v>1</v>
      </c>
      <c r="K78" s="309">
        <v>1</v>
      </c>
      <c r="L78" s="309">
        <v>1</v>
      </c>
      <c r="M78" s="309">
        <v>1</v>
      </c>
      <c r="N78" s="309">
        <v>1</v>
      </c>
      <c r="O78" s="309">
        <v>1</v>
      </c>
      <c r="P78" s="309">
        <v>1</v>
      </c>
      <c r="Q78" s="309">
        <v>1</v>
      </c>
      <c r="R78" s="309">
        <v>1</v>
      </c>
      <c r="S78" s="309">
        <v>1</v>
      </c>
      <c r="T78" s="309">
        <v>1</v>
      </c>
      <c r="U78" s="309">
        <v>1</v>
      </c>
      <c r="V78" s="309">
        <v>1</v>
      </c>
      <c r="W78" s="309">
        <v>1</v>
      </c>
      <c r="X78" s="309">
        <v>1</v>
      </c>
      <c r="Y78" s="309">
        <v>1</v>
      </c>
      <c r="Z78" s="309">
        <v>1</v>
      </c>
      <c r="AA78" s="309">
        <v>1</v>
      </c>
      <c r="AB78" s="309">
        <v>1</v>
      </c>
      <c r="AC78" s="310">
        <v>1</v>
      </c>
    </row>
    <row r="79" spans="1:39" ht="37.200000000000003" customHeight="1" x14ac:dyDescent="0.3">
      <c r="A79" s="1037"/>
      <c r="B79" s="1040" t="s">
        <v>124</v>
      </c>
      <c r="C79" s="995" t="s">
        <v>833</v>
      </c>
      <c r="D79" s="970"/>
      <c r="E79" s="232" t="s">
        <v>811</v>
      </c>
      <c r="F79" s="365">
        <v>0</v>
      </c>
      <c r="G79" s="365">
        <v>0</v>
      </c>
      <c r="H79" s="365">
        <v>0</v>
      </c>
      <c r="I79" s="365">
        <v>0</v>
      </c>
      <c r="J79" s="365">
        <v>0</v>
      </c>
      <c r="K79" s="365">
        <v>1</v>
      </c>
      <c r="L79" s="365">
        <v>1</v>
      </c>
      <c r="M79" s="365">
        <v>1</v>
      </c>
      <c r="N79" s="365">
        <v>1</v>
      </c>
      <c r="O79" s="365">
        <v>1</v>
      </c>
      <c r="P79" s="365">
        <v>1</v>
      </c>
      <c r="Q79" s="365">
        <v>1</v>
      </c>
      <c r="R79" s="365">
        <v>1</v>
      </c>
      <c r="S79" s="365">
        <v>1</v>
      </c>
      <c r="T79" s="365">
        <v>1</v>
      </c>
      <c r="U79" s="365">
        <v>1</v>
      </c>
      <c r="V79" s="365">
        <v>1</v>
      </c>
      <c r="W79" s="365">
        <v>1</v>
      </c>
      <c r="X79" s="365">
        <v>1</v>
      </c>
      <c r="Y79" s="365">
        <v>1</v>
      </c>
      <c r="Z79" s="365">
        <v>1</v>
      </c>
      <c r="AA79" s="365">
        <v>1</v>
      </c>
      <c r="AB79" s="365">
        <v>0</v>
      </c>
      <c r="AC79" s="366">
        <v>0</v>
      </c>
    </row>
    <row r="80" spans="1:39" s="190" customFormat="1" ht="37.200000000000003" customHeight="1" x14ac:dyDescent="0.3">
      <c r="A80" s="1038"/>
      <c r="B80" s="1011"/>
      <c r="C80" s="1014"/>
      <c r="D80" s="970"/>
      <c r="E80" s="221" t="s">
        <v>812</v>
      </c>
      <c r="F80" s="271">
        <v>0</v>
      </c>
      <c r="G80" s="271">
        <v>0</v>
      </c>
      <c r="H80" s="271">
        <v>0</v>
      </c>
      <c r="I80" s="271">
        <v>0</v>
      </c>
      <c r="J80" s="271">
        <v>0</v>
      </c>
      <c r="K80" s="271">
        <v>1</v>
      </c>
      <c r="L80" s="271">
        <v>1</v>
      </c>
      <c r="M80" s="271">
        <v>1</v>
      </c>
      <c r="N80" s="271">
        <v>1</v>
      </c>
      <c r="O80" s="271">
        <v>1</v>
      </c>
      <c r="P80" s="271">
        <v>1</v>
      </c>
      <c r="Q80" s="271">
        <v>1</v>
      </c>
      <c r="R80" s="271">
        <v>1</v>
      </c>
      <c r="S80" s="271">
        <v>1</v>
      </c>
      <c r="T80" s="271">
        <v>1</v>
      </c>
      <c r="U80" s="271">
        <v>1</v>
      </c>
      <c r="V80" s="271">
        <v>1</v>
      </c>
      <c r="W80" s="271">
        <v>1</v>
      </c>
      <c r="X80" s="271">
        <v>1</v>
      </c>
      <c r="Y80" s="271">
        <v>1</v>
      </c>
      <c r="Z80" s="271">
        <v>1</v>
      </c>
      <c r="AA80" s="271">
        <v>1</v>
      </c>
      <c r="AB80" s="271">
        <v>1</v>
      </c>
      <c r="AC80" s="272">
        <v>1</v>
      </c>
    </row>
    <row r="81" spans="1:39" ht="37.200000000000003" customHeight="1" x14ac:dyDescent="0.3">
      <c r="A81" s="1039"/>
      <c r="B81" s="1041"/>
      <c r="C81" s="1030"/>
      <c r="D81" s="1042"/>
      <c r="E81" s="229" t="s">
        <v>813</v>
      </c>
      <c r="F81" s="254">
        <v>0</v>
      </c>
      <c r="G81" s="254">
        <v>0</v>
      </c>
      <c r="H81" s="254">
        <v>0</v>
      </c>
      <c r="I81" s="254">
        <v>0</v>
      </c>
      <c r="J81" s="254">
        <v>0</v>
      </c>
      <c r="K81" s="254">
        <v>1</v>
      </c>
      <c r="L81" s="254">
        <v>1</v>
      </c>
      <c r="M81" s="254">
        <v>1</v>
      </c>
      <c r="N81" s="254">
        <v>1</v>
      </c>
      <c r="O81" s="254">
        <v>1</v>
      </c>
      <c r="P81" s="254">
        <v>1</v>
      </c>
      <c r="Q81" s="254">
        <v>1</v>
      </c>
      <c r="R81" s="254">
        <v>1</v>
      </c>
      <c r="S81" s="254">
        <v>1</v>
      </c>
      <c r="T81" s="254">
        <v>1</v>
      </c>
      <c r="U81" s="254">
        <v>1</v>
      </c>
      <c r="V81" s="254">
        <v>1</v>
      </c>
      <c r="W81" s="254">
        <v>1</v>
      </c>
      <c r="X81" s="254">
        <v>1</v>
      </c>
      <c r="Y81" s="254">
        <v>1</v>
      </c>
      <c r="Z81" s="254">
        <v>1</v>
      </c>
      <c r="AA81" s="254">
        <v>1</v>
      </c>
      <c r="AB81" s="254">
        <v>1</v>
      </c>
      <c r="AC81" s="255">
        <v>1</v>
      </c>
    </row>
    <row r="82" spans="1:39" ht="37.200000000000003" customHeight="1" x14ac:dyDescent="0.3">
      <c r="A82" s="1027" t="s">
        <v>143</v>
      </c>
      <c r="B82" s="987" t="s">
        <v>124</v>
      </c>
      <c r="C82" s="987" t="s">
        <v>834</v>
      </c>
      <c r="D82" s="1032" t="s">
        <v>835</v>
      </c>
      <c r="E82" s="220" t="s">
        <v>811</v>
      </c>
      <c r="F82" s="252">
        <v>131.9</v>
      </c>
      <c r="G82" s="252">
        <v>131.9</v>
      </c>
      <c r="H82" s="252">
        <v>131.9</v>
      </c>
      <c r="I82" s="252">
        <v>131.9</v>
      </c>
      <c r="J82" s="252">
        <v>131.9</v>
      </c>
      <c r="K82" s="252">
        <v>131.9</v>
      </c>
      <c r="L82" s="252">
        <v>131.9</v>
      </c>
      <c r="M82" s="252">
        <v>131.9</v>
      </c>
      <c r="N82" s="252">
        <v>131.9</v>
      </c>
      <c r="O82" s="252">
        <v>131.9</v>
      </c>
      <c r="P82" s="252">
        <v>131.9</v>
      </c>
      <c r="Q82" s="252">
        <v>131.9</v>
      </c>
      <c r="R82" s="252">
        <v>131.9</v>
      </c>
      <c r="S82" s="252">
        <v>131.9</v>
      </c>
      <c r="T82" s="252">
        <v>131.9</v>
      </c>
      <c r="U82" s="252">
        <v>131.9</v>
      </c>
      <c r="V82" s="252">
        <v>131.9</v>
      </c>
      <c r="W82" s="252">
        <v>131.9</v>
      </c>
      <c r="X82" s="252">
        <v>131.9</v>
      </c>
      <c r="Y82" s="252">
        <v>131.9</v>
      </c>
      <c r="Z82" s="252">
        <v>131.9</v>
      </c>
      <c r="AA82" s="252">
        <v>131.9</v>
      </c>
      <c r="AB82" s="252">
        <v>131.9</v>
      </c>
      <c r="AC82" s="253">
        <v>131.9</v>
      </c>
      <c r="AD82" s="314"/>
      <c r="AE82" s="314"/>
      <c r="AF82" s="314"/>
      <c r="AG82" s="314"/>
      <c r="AH82" s="314"/>
      <c r="AI82" s="314"/>
      <c r="AJ82" s="314"/>
      <c r="AK82" s="314"/>
      <c r="AL82" s="315"/>
      <c r="AM82" s="315"/>
    </row>
    <row r="83" spans="1:39" ht="37.200000000000003" customHeight="1" x14ac:dyDescent="0.3">
      <c r="A83" s="1028"/>
      <c r="B83" s="1014"/>
      <c r="C83" s="1014"/>
      <c r="D83" s="991"/>
      <c r="E83" s="221" t="s">
        <v>812</v>
      </c>
      <c r="F83" s="271">
        <v>131.9</v>
      </c>
      <c r="G83" s="271">
        <v>131.9</v>
      </c>
      <c r="H83" s="271">
        <v>131.9</v>
      </c>
      <c r="I83" s="271">
        <v>131.9</v>
      </c>
      <c r="J83" s="271">
        <v>131.9</v>
      </c>
      <c r="K83" s="271">
        <v>131.9</v>
      </c>
      <c r="L83" s="271">
        <v>131.9</v>
      </c>
      <c r="M83" s="271">
        <v>131.9</v>
      </c>
      <c r="N83" s="271">
        <v>131.9</v>
      </c>
      <c r="O83" s="271">
        <v>131.9</v>
      </c>
      <c r="P83" s="271">
        <v>131.9</v>
      </c>
      <c r="Q83" s="271">
        <v>131.9</v>
      </c>
      <c r="R83" s="271">
        <v>131.9</v>
      </c>
      <c r="S83" s="271">
        <v>131.9</v>
      </c>
      <c r="T83" s="271">
        <v>131.9</v>
      </c>
      <c r="U83" s="271">
        <v>131.9</v>
      </c>
      <c r="V83" s="271">
        <v>131.9</v>
      </c>
      <c r="W83" s="271">
        <v>131.9</v>
      </c>
      <c r="X83" s="271">
        <v>131.9</v>
      </c>
      <c r="Y83" s="271">
        <v>131.9</v>
      </c>
      <c r="Z83" s="271">
        <v>131.9</v>
      </c>
      <c r="AA83" s="271">
        <v>131.9</v>
      </c>
      <c r="AB83" s="271">
        <v>131.9</v>
      </c>
      <c r="AC83" s="272">
        <v>131.9</v>
      </c>
      <c r="AD83" s="314"/>
      <c r="AE83" s="314"/>
      <c r="AF83" s="314"/>
      <c r="AG83" s="314"/>
      <c r="AH83" s="314"/>
      <c r="AI83" s="314"/>
      <c r="AJ83" s="314"/>
      <c r="AK83" s="314"/>
      <c r="AL83" s="315"/>
      <c r="AM83" s="315"/>
    </row>
    <row r="84" spans="1:39" ht="37.200000000000003" customHeight="1" x14ac:dyDescent="0.3">
      <c r="A84" s="1029"/>
      <c r="B84" s="1030"/>
      <c r="C84" s="1031"/>
      <c r="D84" s="1033"/>
      <c r="E84" s="229" t="s">
        <v>813</v>
      </c>
      <c r="F84" s="254">
        <v>131.9</v>
      </c>
      <c r="G84" s="254">
        <v>131.9</v>
      </c>
      <c r="H84" s="254">
        <v>131.9</v>
      </c>
      <c r="I84" s="254">
        <v>131.9</v>
      </c>
      <c r="J84" s="254">
        <v>131.9</v>
      </c>
      <c r="K84" s="254">
        <v>131.9</v>
      </c>
      <c r="L84" s="254">
        <v>131.9</v>
      </c>
      <c r="M84" s="254">
        <v>131.9</v>
      </c>
      <c r="N84" s="254">
        <v>131.9</v>
      </c>
      <c r="O84" s="254">
        <v>131.9</v>
      </c>
      <c r="P84" s="254">
        <v>131.9</v>
      </c>
      <c r="Q84" s="254">
        <v>131.9</v>
      </c>
      <c r="R84" s="254">
        <v>131.9</v>
      </c>
      <c r="S84" s="254">
        <v>131.9</v>
      </c>
      <c r="T84" s="254">
        <v>131.9</v>
      </c>
      <c r="U84" s="254">
        <v>131.9</v>
      </c>
      <c r="V84" s="254">
        <v>131.9</v>
      </c>
      <c r="W84" s="254">
        <v>131.9</v>
      </c>
      <c r="X84" s="254">
        <v>131.9</v>
      </c>
      <c r="Y84" s="254">
        <v>131.9</v>
      </c>
      <c r="Z84" s="254">
        <v>131.9</v>
      </c>
      <c r="AA84" s="254">
        <v>131.9</v>
      </c>
      <c r="AB84" s="254">
        <v>131.9</v>
      </c>
      <c r="AC84" s="255">
        <v>131.9</v>
      </c>
      <c r="AD84" s="314"/>
      <c r="AE84" s="314"/>
      <c r="AF84" s="314"/>
      <c r="AG84" s="314"/>
      <c r="AH84" s="314"/>
      <c r="AI84" s="314"/>
      <c r="AJ84" s="314"/>
      <c r="AK84" s="314"/>
      <c r="AL84" s="315"/>
      <c r="AM84" s="315"/>
    </row>
    <row r="85" spans="1:39" ht="37.200000000000003" customHeight="1" x14ac:dyDescent="0.3">
      <c r="A85" s="998" t="s">
        <v>836</v>
      </c>
      <c r="B85" s="1001" t="s">
        <v>124</v>
      </c>
      <c r="C85" s="1001" t="s">
        <v>837</v>
      </c>
      <c r="D85" s="1004" t="s">
        <v>835</v>
      </c>
      <c r="E85" s="311" t="s">
        <v>811</v>
      </c>
      <c r="F85" s="312">
        <v>120</v>
      </c>
      <c r="G85" s="312">
        <v>120</v>
      </c>
      <c r="H85" s="312">
        <v>120</v>
      </c>
      <c r="I85" s="312">
        <v>120</v>
      </c>
      <c r="J85" s="312">
        <v>120</v>
      </c>
      <c r="K85" s="312">
        <v>120</v>
      </c>
      <c r="L85" s="312">
        <v>120</v>
      </c>
      <c r="M85" s="312">
        <v>120</v>
      </c>
      <c r="N85" s="312">
        <v>120</v>
      </c>
      <c r="O85" s="312">
        <v>120</v>
      </c>
      <c r="P85" s="312">
        <v>120</v>
      </c>
      <c r="Q85" s="312">
        <v>120</v>
      </c>
      <c r="R85" s="312">
        <v>120</v>
      </c>
      <c r="S85" s="312">
        <v>120</v>
      </c>
      <c r="T85" s="312">
        <v>120</v>
      </c>
      <c r="U85" s="312">
        <v>120</v>
      </c>
      <c r="V85" s="312">
        <v>120</v>
      </c>
      <c r="W85" s="312">
        <v>120</v>
      </c>
      <c r="X85" s="312">
        <v>120</v>
      </c>
      <c r="Y85" s="312">
        <v>120</v>
      </c>
      <c r="Z85" s="312">
        <v>120</v>
      </c>
      <c r="AA85" s="312">
        <v>120</v>
      </c>
      <c r="AB85" s="312">
        <v>120</v>
      </c>
      <c r="AC85" s="313">
        <v>120</v>
      </c>
    </row>
    <row r="86" spans="1:39" ht="37.200000000000003" customHeight="1" x14ac:dyDescent="0.3">
      <c r="A86" s="999"/>
      <c r="B86" s="1002"/>
      <c r="C86" s="1002"/>
      <c r="D86" s="1005"/>
      <c r="E86" s="316" t="s">
        <v>812</v>
      </c>
      <c r="F86" s="317">
        <v>120</v>
      </c>
      <c r="G86" s="317">
        <v>120</v>
      </c>
      <c r="H86" s="317">
        <v>120</v>
      </c>
      <c r="I86" s="317">
        <v>120</v>
      </c>
      <c r="J86" s="317">
        <v>120</v>
      </c>
      <c r="K86" s="317">
        <v>120</v>
      </c>
      <c r="L86" s="317">
        <v>120</v>
      </c>
      <c r="M86" s="317">
        <v>120</v>
      </c>
      <c r="N86" s="317">
        <v>120</v>
      </c>
      <c r="O86" s="317">
        <v>120</v>
      </c>
      <c r="P86" s="317">
        <v>120</v>
      </c>
      <c r="Q86" s="317">
        <v>120</v>
      </c>
      <c r="R86" s="317">
        <v>120</v>
      </c>
      <c r="S86" s="317">
        <v>120</v>
      </c>
      <c r="T86" s="317">
        <v>120</v>
      </c>
      <c r="U86" s="317">
        <v>120</v>
      </c>
      <c r="V86" s="317">
        <v>120</v>
      </c>
      <c r="W86" s="317">
        <v>120</v>
      </c>
      <c r="X86" s="317">
        <v>120</v>
      </c>
      <c r="Y86" s="317">
        <v>120</v>
      </c>
      <c r="Z86" s="317">
        <v>120</v>
      </c>
      <c r="AA86" s="317">
        <v>120</v>
      </c>
      <c r="AB86" s="317">
        <v>120</v>
      </c>
      <c r="AC86" s="318">
        <v>120</v>
      </c>
    </row>
    <row r="87" spans="1:39" ht="37.200000000000003" customHeight="1" x14ac:dyDescent="0.3">
      <c r="A87" s="1000"/>
      <c r="B87" s="1003"/>
      <c r="C87" s="1003"/>
      <c r="D87" s="1006"/>
      <c r="E87" s="319" t="s">
        <v>813</v>
      </c>
      <c r="F87" s="320">
        <v>120</v>
      </c>
      <c r="G87" s="320">
        <v>120</v>
      </c>
      <c r="H87" s="320">
        <v>120</v>
      </c>
      <c r="I87" s="320">
        <v>120</v>
      </c>
      <c r="J87" s="320">
        <v>120</v>
      </c>
      <c r="K87" s="320">
        <v>120</v>
      </c>
      <c r="L87" s="320">
        <v>120</v>
      </c>
      <c r="M87" s="320">
        <v>120</v>
      </c>
      <c r="N87" s="320">
        <v>120</v>
      </c>
      <c r="O87" s="320">
        <v>120</v>
      </c>
      <c r="P87" s="320">
        <v>120</v>
      </c>
      <c r="Q87" s="320">
        <v>120</v>
      </c>
      <c r="R87" s="320">
        <v>120</v>
      </c>
      <c r="S87" s="320">
        <v>120</v>
      </c>
      <c r="T87" s="320">
        <v>120</v>
      </c>
      <c r="U87" s="320">
        <v>120</v>
      </c>
      <c r="V87" s="320">
        <v>120</v>
      </c>
      <c r="W87" s="320">
        <v>120</v>
      </c>
      <c r="X87" s="320">
        <v>120</v>
      </c>
      <c r="Y87" s="320">
        <v>120</v>
      </c>
      <c r="Z87" s="320">
        <v>120</v>
      </c>
      <c r="AA87" s="320">
        <v>120</v>
      </c>
      <c r="AB87" s="320">
        <v>120</v>
      </c>
      <c r="AC87" s="321">
        <v>120</v>
      </c>
    </row>
    <row r="88" spans="1:39" ht="37.200000000000003" customHeight="1" x14ac:dyDescent="0.3">
      <c r="A88" s="1027" t="s">
        <v>838</v>
      </c>
      <c r="B88" s="987" t="s">
        <v>124</v>
      </c>
      <c r="C88" s="987" t="s">
        <v>839</v>
      </c>
      <c r="D88" s="1032" t="s">
        <v>835</v>
      </c>
      <c r="E88" s="220" t="s">
        <v>811</v>
      </c>
      <c r="F88" s="252">
        <v>117.2</v>
      </c>
      <c r="G88" s="252">
        <v>117.2</v>
      </c>
      <c r="H88" s="252">
        <v>117.2</v>
      </c>
      <c r="I88" s="252">
        <v>117.2</v>
      </c>
      <c r="J88" s="252">
        <v>117.2</v>
      </c>
      <c r="K88" s="252">
        <v>117.2</v>
      </c>
      <c r="L88" s="252">
        <v>117.2</v>
      </c>
      <c r="M88" s="252">
        <v>117.2</v>
      </c>
      <c r="N88" s="252">
        <v>117.2</v>
      </c>
      <c r="O88" s="252">
        <v>117.2</v>
      </c>
      <c r="P88" s="252">
        <v>117.2</v>
      </c>
      <c r="Q88" s="252">
        <v>117.2</v>
      </c>
      <c r="R88" s="252">
        <v>117.2</v>
      </c>
      <c r="S88" s="252">
        <v>117.2</v>
      </c>
      <c r="T88" s="252">
        <v>117.2</v>
      </c>
      <c r="U88" s="252">
        <v>117.2</v>
      </c>
      <c r="V88" s="252">
        <v>117.2</v>
      </c>
      <c r="W88" s="252">
        <v>117.2</v>
      </c>
      <c r="X88" s="252">
        <v>117.2</v>
      </c>
      <c r="Y88" s="252">
        <v>117.2</v>
      </c>
      <c r="Z88" s="252">
        <v>117.2</v>
      </c>
      <c r="AA88" s="252">
        <v>117.2</v>
      </c>
      <c r="AB88" s="252">
        <v>117.2</v>
      </c>
      <c r="AC88" s="253">
        <v>117.2</v>
      </c>
    </row>
    <row r="89" spans="1:39" ht="37.200000000000003" customHeight="1" x14ac:dyDescent="0.3">
      <c r="A89" s="1028"/>
      <c r="B89" s="1014"/>
      <c r="C89" s="1014"/>
      <c r="D89" s="991"/>
      <c r="E89" s="221" t="s">
        <v>812</v>
      </c>
      <c r="F89" s="271">
        <v>117.2</v>
      </c>
      <c r="G89" s="271">
        <v>117.2</v>
      </c>
      <c r="H89" s="271">
        <v>117.2</v>
      </c>
      <c r="I89" s="271">
        <v>117.2</v>
      </c>
      <c r="J89" s="271">
        <v>117.2</v>
      </c>
      <c r="K89" s="271">
        <v>117.2</v>
      </c>
      <c r="L89" s="271">
        <v>117.2</v>
      </c>
      <c r="M89" s="271">
        <v>117.2</v>
      </c>
      <c r="N89" s="271">
        <v>117.2</v>
      </c>
      <c r="O89" s="271">
        <v>117.2</v>
      </c>
      <c r="P89" s="271">
        <v>117.2</v>
      </c>
      <c r="Q89" s="271">
        <v>117.2</v>
      </c>
      <c r="R89" s="271">
        <v>117.2</v>
      </c>
      <c r="S89" s="271">
        <v>117.2</v>
      </c>
      <c r="T89" s="271">
        <v>117.2</v>
      </c>
      <c r="U89" s="271">
        <v>117.2</v>
      </c>
      <c r="V89" s="271">
        <v>117.2</v>
      </c>
      <c r="W89" s="271">
        <v>117.2</v>
      </c>
      <c r="X89" s="271">
        <v>117.2</v>
      </c>
      <c r="Y89" s="271">
        <v>117.2</v>
      </c>
      <c r="Z89" s="271">
        <v>117.2</v>
      </c>
      <c r="AA89" s="271">
        <v>117.2</v>
      </c>
      <c r="AB89" s="271">
        <v>117.2</v>
      </c>
      <c r="AC89" s="272">
        <v>117.2</v>
      </c>
    </row>
    <row r="90" spans="1:39" ht="37.200000000000003" customHeight="1" x14ac:dyDescent="0.3">
      <c r="A90" s="1028"/>
      <c r="B90" s="1014"/>
      <c r="C90" s="1014"/>
      <c r="D90" s="1020"/>
      <c r="E90" s="222" t="s">
        <v>813</v>
      </c>
      <c r="F90" s="304">
        <v>117.2</v>
      </c>
      <c r="G90" s="304">
        <v>117.2</v>
      </c>
      <c r="H90" s="304">
        <v>117.2</v>
      </c>
      <c r="I90" s="304">
        <v>117.2</v>
      </c>
      <c r="J90" s="304">
        <v>117.2</v>
      </c>
      <c r="K90" s="304">
        <v>117.2</v>
      </c>
      <c r="L90" s="304">
        <v>117.2</v>
      </c>
      <c r="M90" s="304">
        <v>117.2</v>
      </c>
      <c r="N90" s="304">
        <v>117.2</v>
      </c>
      <c r="O90" s="304">
        <v>117.2</v>
      </c>
      <c r="P90" s="304">
        <v>117.2</v>
      </c>
      <c r="Q90" s="304">
        <v>117.2</v>
      </c>
      <c r="R90" s="304">
        <v>117.2</v>
      </c>
      <c r="S90" s="304">
        <v>117.2</v>
      </c>
      <c r="T90" s="304">
        <v>117.2</v>
      </c>
      <c r="U90" s="304">
        <v>117.2</v>
      </c>
      <c r="V90" s="304">
        <v>117.2</v>
      </c>
      <c r="W90" s="304">
        <v>117.2</v>
      </c>
      <c r="X90" s="304">
        <v>117.2</v>
      </c>
      <c r="Y90" s="304">
        <v>117.2</v>
      </c>
      <c r="Z90" s="304">
        <v>117.2</v>
      </c>
      <c r="AA90" s="304">
        <v>117.2</v>
      </c>
      <c r="AB90" s="304">
        <v>117.2</v>
      </c>
      <c r="AC90" s="305">
        <v>117.2</v>
      </c>
    </row>
    <row r="91" spans="1:39" ht="37.200000000000003" customHeight="1" x14ac:dyDescent="0.3">
      <c r="A91" s="1025" t="s">
        <v>840</v>
      </c>
      <c r="B91" s="1036" t="s">
        <v>124</v>
      </c>
      <c r="C91" s="1036" t="s">
        <v>841</v>
      </c>
      <c r="D91" s="990" t="s">
        <v>835</v>
      </c>
      <c r="E91" s="250" t="s">
        <v>811</v>
      </c>
      <c r="F91" s="306">
        <v>146.5</v>
      </c>
      <c r="G91" s="306">
        <v>146.5</v>
      </c>
      <c r="H91" s="306">
        <v>146.5</v>
      </c>
      <c r="I91" s="306">
        <v>146.5</v>
      </c>
      <c r="J91" s="306">
        <v>146.5</v>
      </c>
      <c r="K91" s="306">
        <v>146.5</v>
      </c>
      <c r="L91" s="306">
        <v>146.5</v>
      </c>
      <c r="M91" s="306">
        <v>146.5</v>
      </c>
      <c r="N91" s="306">
        <v>146.5</v>
      </c>
      <c r="O91" s="306">
        <v>146.5</v>
      </c>
      <c r="P91" s="306">
        <v>146.5</v>
      </c>
      <c r="Q91" s="306">
        <v>146.5</v>
      </c>
      <c r="R91" s="306">
        <v>146.5</v>
      </c>
      <c r="S91" s="306">
        <v>146.5</v>
      </c>
      <c r="T91" s="306">
        <v>146.5</v>
      </c>
      <c r="U91" s="306">
        <v>146.5</v>
      </c>
      <c r="V91" s="306">
        <v>146.5</v>
      </c>
      <c r="W91" s="306">
        <v>146.5</v>
      </c>
      <c r="X91" s="306">
        <v>146.5</v>
      </c>
      <c r="Y91" s="306">
        <v>146.5</v>
      </c>
      <c r="Z91" s="306">
        <v>146.5</v>
      </c>
      <c r="AA91" s="306">
        <v>146.5</v>
      </c>
      <c r="AB91" s="306">
        <v>146.5</v>
      </c>
      <c r="AC91" s="307">
        <v>146.5</v>
      </c>
    </row>
    <row r="92" spans="1:39" ht="37.200000000000003" customHeight="1" x14ac:dyDescent="0.3">
      <c r="A92" s="1028"/>
      <c r="B92" s="1014"/>
      <c r="C92" s="1014"/>
      <c r="D92" s="991"/>
      <c r="E92" s="221" t="s">
        <v>812</v>
      </c>
      <c r="F92" s="271">
        <v>146.5</v>
      </c>
      <c r="G92" s="271">
        <v>146.5</v>
      </c>
      <c r="H92" s="271">
        <v>146.5</v>
      </c>
      <c r="I92" s="271">
        <v>146.5</v>
      </c>
      <c r="J92" s="271">
        <v>146.5</v>
      </c>
      <c r="K92" s="271">
        <v>146.5</v>
      </c>
      <c r="L92" s="271">
        <v>146.5</v>
      </c>
      <c r="M92" s="271">
        <v>146.5</v>
      </c>
      <c r="N92" s="271">
        <v>146.5</v>
      </c>
      <c r="O92" s="271">
        <v>146.5</v>
      </c>
      <c r="P92" s="271">
        <v>146.5</v>
      </c>
      <c r="Q92" s="271">
        <v>146.5</v>
      </c>
      <c r="R92" s="271">
        <v>146.5</v>
      </c>
      <c r="S92" s="271">
        <v>146.5</v>
      </c>
      <c r="T92" s="271">
        <v>146.5</v>
      </c>
      <c r="U92" s="271">
        <v>146.5</v>
      </c>
      <c r="V92" s="271">
        <v>146.5</v>
      </c>
      <c r="W92" s="271">
        <v>146.5</v>
      </c>
      <c r="X92" s="271">
        <v>146.5</v>
      </c>
      <c r="Y92" s="271">
        <v>146.5</v>
      </c>
      <c r="Z92" s="271">
        <v>146.5</v>
      </c>
      <c r="AA92" s="271">
        <v>146.5</v>
      </c>
      <c r="AB92" s="271">
        <v>146.5</v>
      </c>
      <c r="AC92" s="308">
        <v>146.5</v>
      </c>
    </row>
    <row r="93" spans="1:39" ht="37.200000000000003" customHeight="1" x14ac:dyDescent="0.3">
      <c r="A93" s="1029"/>
      <c r="B93" s="1031"/>
      <c r="C93" s="1031"/>
      <c r="D93" s="992"/>
      <c r="E93" s="251" t="s">
        <v>813</v>
      </c>
      <c r="F93" s="309">
        <v>146.5</v>
      </c>
      <c r="G93" s="309">
        <v>146.5</v>
      </c>
      <c r="H93" s="309">
        <v>146.5</v>
      </c>
      <c r="I93" s="309">
        <v>146.5</v>
      </c>
      <c r="J93" s="309">
        <v>146.5</v>
      </c>
      <c r="K93" s="309">
        <v>146.5</v>
      </c>
      <c r="L93" s="309">
        <v>146.5</v>
      </c>
      <c r="M93" s="309">
        <v>146.5</v>
      </c>
      <c r="N93" s="309">
        <v>146.5</v>
      </c>
      <c r="O93" s="309">
        <v>146.5</v>
      </c>
      <c r="P93" s="309">
        <v>146.5</v>
      </c>
      <c r="Q93" s="309">
        <v>146.5</v>
      </c>
      <c r="R93" s="309">
        <v>146.5</v>
      </c>
      <c r="S93" s="309">
        <v>146.5</v>
      </c>
      <c r="T93" s="309">
        <v>146.5</v>
      </c>
      <c r="U93" s="309">
        <v>146.5</v>
      </c>
      <c r="V93" s="309">
        <v>146.5</v>
      </c>
      <c r="W93" s="309">
        <v>146.5</v>
      </c>
      <c r="X93" s="309">
        <v>146.5</v>
      </c>
      <c r="Y93" s="309">
        <v>146.5</v>
      </c>
      <c r="Z93" s="309">
        <v>146.5</v>
      </c>
      <c r="AA93" s="309">
        <v>146.5</v>
      </c>
      <c r="AB93" s="309">
        <v>146.5</v>
      </c>
      <c r="AC93" s="310">
        <v>146.5</v>
      </c>
    </row>
    <row r="94" spans="1:39" ht="37.200000000000003" customHeight="1" x14ac:dyDescent="0.3">
      <c r="A94" s="1027" t="s">
        <v>842</v>
      </c>
      <c r="B94" s="987" t="s">
        <v>124</v>
      </c>
      <c r="C94" s="987" t="s">
        <v>843</v>
      </c>
      <c r="D94" s="1032" t="s">
        <v>835</v>
      </c>
      <c r="E94" s="220" t="s">
        <v>811</v>
      </c>
      <c r="F94" s="252">
        <v>219.8</v>
      </c>
      <c r="G94" s="252">
        <v>219.8</v>
      </c>
      <c r="H94" s="252">
        <v>219.8</v>
      </c>
      <c r="I94" s="252">
        <v>219.8</v>
      </c>
      <c r="J94" s="252">
        <v>219.8</v>
      </c>
      <c r="K94" s="252">
        <v>219.8</v>
      </c>
      <c r="L94" s="252">
        <v>219.8</v>
      </c>
      <c r="M94" s="252">
        <v>219.8</v>
      </c>
      <c r="N94" s="252">
        <v>219.8</v>
      </c>
      <c r="O94" s="252">
        <v>219.8</v>
      </c>
      <c r="P94" s="252">
        <v>219.8</v>
      </c>
      <c r="Q94" s="252">
        <v>219.8</v>
      </c>
      <c r="R94" s="252">
        <v>219.8</v>
      </c>
      <c r="S94" s="252">
        <v>219.8</v>
      </c>
      <c r="T94" s="252">
        <v>219.8</v>
      </c>
      <c r="U94" s="252">
        <v>219.8</v>
      </c>
      <c r="V94" s="252">
        <v>219.8</v>
      </c>
      <c r="W94" s="252">
        <v>219.8</v>
      </c>
      <c r="X94" s="252">
        <v>219.8</v>
      </c>
      <c r="Y94" s="252">
        <v>219.8</v>
      </c>
      <c r="Z94" s="252">
        <v>219.8</v>
      </c>
      <c r="AA94" s="252">
        <v>219.8</v>
      </c>
      <c r="AB94" s="252">
        <v>219.8</v>
      </c>
      <c r="AC94" s="253">
        <v>219.8</v>
      </c>
    </row>
    <row r="95" spans="1:39" ht="37.200000000000003" customHeight="1" x14ac:dyDescent="0.3">
      <c r="A95" s="1028"/>
      <c r="B95" s="1014"/>
      <c r="C95" s="1014"/>
      <c r="D95" s="991"/>
      <c r="E95" s="221" t="s">
        <v>812</v>
      </c>
      <c r="F95" s="271">
        <v>219.8</v>
      </c>
      <c r="G95" s="271">
        <v>219.8</v>
      </c>
      <c r="H95" s="271">
        <v>219.8</v>
      </c>
      <c r="I95" s="271">
        <v>219.8</v>
      </c>
      <c r="J95" s="271">
        <v>219.8</v>
      </c>
      <c r="K95" s="271">
        <v>219.8</v>
      </c>
      <c r="L95" s="271">
        <v>219.8</v>
      </c>
      <c r="M95" s="271">
        <v>219.8</v>
      </c>
      <c r="N95" s="271">
        <v>219.8</v>
      </c>
      <c r="O95" s="271">
        <v>219.8</v>
      </c>
      <c r="P95" s="271">
        <v>219.8</v>
      </c>
      <c r="Q95" s="271">
        <v>219.8</v>
      </c>
      <c r="R95" s="271">
        <v>219.8</v>
      </c>
      <c r="S95" s="271">
        <v>219.8</v>
      </c>
      <c r="T95" s="271">
        <v>219.8</v>
      </c>
      <c r="U95" s="271">
        <v>219.8</v>
      </c>
      <c r="V95" s="271">
        <v>219.8</v>
      </c>
      <c r="W95" s="271">
        <v>219.8</v>
      </c>
      <c r="X95" s="271">
        <v>219.8</v>
      </c>
      <c r="Y95" s="271">
        <v>219.8</v>
      </c>
      <c r="Z95" s="271">
        <v>219.8</v>
      </c>
      <c r="AA95" s="271">
        <v>219.8</v>
      </c>
      <c r="AB95" s="271">
        <v>219.8</v>
      </c>
      <c r="AC95" s="272">
        <v>219.8</v>
      </c>
    </row>
    <row r="96" spans="1:39" ht="31.2" customHeight="1" x14ac:dyDescent="0.3">
      <c r="A96" s="1028"/>
      <c r="B96" s="1014"/>
      <c r="C96" s="1014"/>
      <c r="D96" s="1020"/>
      <c r="E96" s="222" t="s">
        <v>813</v>
      </c>
      <c r="F96" s="304">
        <v>219.8</v>
      </c>
      <c r="G96" s="304">
        <v>219.8</v>
      </c>
      <c r="H96" s="304">
        <v>219.8</v>
      </c>
      <c r="I96" s="304">
        <v>219.8</v>
      </c>
      <c r="J96" s="304">
        <v>219.8</v>
      </c>
      <c r="K96" s="304">
        <v>219.8</v>
      </c>
      <c r="L96" s="304">
        <v>219.8</v>
      </c>
      <c r="M96" s="304">
        <v>219.8</v>
      </c>
      <c r="N96" s="304">
        <v>219.8</v>
      </c>
      <c r="O96" s="304">
        <v>219.8</v>
      </c>
      <c r="P96" s="304">
        <v>219.8</v>
      </c>
      <c r="Q96" s="304">
        <v>219.8</v>
      </c>
      <c r="R96" s="304">
        <v>219.8</v>
      </c>
      <c r="S96" s="304">
        <v>219.8</v>
      </c>
      <c r="T96" s="304">
        <v>219.8</v>
      </c>
      <c r="U96" s="304">
        <v>219.8</v>
      </c>
      <c r="V96" s="304">
        <v>219.8</v>
      </c>
      <c r="W96" s="304">
        <v>219.8</v>
      </c>
      <c r="X96" s="304">
        <v>219.8</v>
      </c>
      <c r="Y96" s="304">
        <v>219.8</v>
      </c>
      <c r="Z96" s="304">
        <v>219.8</v>
      </c>
      <c r="AA96" s="304">
        <v>219.8</v>
      </c>
      <c r="AB96" s="304">
        <v>219.8</v>
      </c>
      <c r="AC96" s="305">
        <v>219.8</v>
      </c>
    </row>
    <row r="97" spans="1:29" ht="22.2" customHeight="1" x14ac:dyDescent="0.3">
      <c r="A97" s="1025" t="s">
        <v>844</v>
      </c>
      <c r="B97" s="1036" t="s">
        <v>124</v>
      </c>
      <c r="C97" s="1036" t="s">
        <v>845</v>
      </c>
      <c r="D97" s="990" t="s">
        <v>835</v>
      </c>
      <c r="E97" s="250" t="s">
        <v>811</v>
      </c>
      <c r="F97" s="306">
        <v>213.9</v>
      </c>
      <c r="G97" s="306">
        <v>213.9</v>
      </c>
      <c r="H97" s="306">
        <v>213.9</v>
      </c>
      <c r="I97" s="306">
        <v>213.9</v>
      </c>
      <c r="J97" s="306">
        <v>213.9</v>
      </c>
      <c r="K97" s="306">
        <v>213.9</v>
      </c>
      <c r="L97" s="306">
        <v>213.9</v>
      </c>
      <c r="M97" s="306">
        <v>213.9</v>
      </c>
      <c r="N97" s="306">
        <v>213.9</v>
      </c>
      <c r="O97" s="306">
        <v>213.9</v>
      </c>
      <c r="P97" s="306">
        <v>213.9</v>
      </c>
      <c r="Q97" s="306">
        <v>213.9</v>
      </c>
      <c r="R97" s="306">
        <v>213.9</v>
      </c>
      <c r="S97" s="306">
        <v>213.9</v>
      </c>
      <c r="T97" s="306">
        <v>213.9</v>
      </c>
      <c r="U97" s="306">
        <v>213.9</v>
      </c>
      <c r="V97" s="306">
        <v>213.9</v>
      </c>
      <c r="W97" s="306">
        <v>213.9</v>
      </c>
      <c r="X97" s="306">
        <v>213.9</v>
      </c>
      <c r="Y97" s="306">
        <v>213.9</v>
      </c>
      <c r="Z97" s="306">
        <v>213.9</v>
      </c>
      <c r="AA97" s="306">
        <v>213.9</v>
      </c>
      <c r="AB97" s="306">
        <v>213.9</v>
      </c>
      <c r="AC97" s="307">
        <v>213.9</v>
      </c>
    </row>
    <row r="98" spans="1:29" ht="22.2" customHeight="1" x14ac:dyDescent="0.3">
      <c r="A98" s="1028"/>
      <c r="B98" s="1014"/>
      <c r="C98" s="1014"/>
      <c r="D98" s="991"/>
      <c r="E98" s="221" t="s">
        <v>812</v>
      </c>
      <c r="F98" s="271">
        <v>213.9</v>
      </c>
      <c r="G98" s="271">
        <v>213.9</v>
      </c>
      <c r="H98" s="271">
        <v>213.9</v>
      </c>
      <c r="I98" s="271">
        <v>213.9</v>
      </c>
      <c r="J98" s="271">
        <v>213.9</v>
      </c>
      <c r="K98" s="271">
        <v>213.9</v>
      </c>
      <c r="L98" s="271">
        <v>213.9</v>
      </c>
      <c r="M98" s="271">
        <v>213.9</v>
      </c>
      <c r="N98" s="271">
        <v>213.9</v>
      </c>
      <c r="O98" s="271">
        <v>213.9</v>
      </c>
      <c r="P98" s="271">
        <v>213.9</v>
      </c>
      <c r="Q98" s="271">
        <v>213.9</v>
      </c>
      <c r="R98" s="271">
        <v>213.9</v>
      </c>
      <c r="S98" s="271">
        <v>213.9</v>
      </c>
      <c r="T98" s="271">
        <v>213.9</v>
      </c>
      <c r="U98" s="271">
        <v>213.9</v>
      </c>
      <c r="V98" s="271">
        <v>213.9</v>
      </c>
      <c r="W98" s="271">
        <v>213.9</v>
      </c>
      <c r="X98" s="271">
        <v>213.9</v>
      </c>
      <c r="Y98" s="271">
        <v>213.9</v>
      </c>
      <c r="Z98" s="271">
        <v>213.9</v>
      </c>
      <c r="AA98" s="271">
        <v>213.9</v>
      </c>
      <c r="AB98" s="271">
        <v>213.9</v>
      </c>
      <c r="AC98" s="308">
        <v>213.9</v>
      </c>
    </row>
    <row r="99" spans="1:29" ht="22.2" customHeight="1" x14ac:dyDescent="0.3">
      <c r="A99" s="1029"/>
      <c r="B99" s="1031"/>
      <c r="C99" s="1031"/>
      <c r="D99" s="992"/>
      <c r="E99" s="251" t="s">
        <v>813</v>
      </c>
      <c r="F99" s="309">
        <v>213.9</v>
      </c>
      <c r="G99" s="309">
        <v>213.9</v>
      </c>
      <c r="H99" s="309">
        <v>213.9</v>
      </c>
      <c r="I99" s="309">
        <v>213.9</v>
      </c>
      <c r="J99" s="309">
        <v>213.9</v>
      </c>
      <c r="K99" s="309">
        <v>213.9</v>
      </c>
      <c r="L99" s="309">
        <v>213.9</v>
      </c>
      <c r="M99" s="309">
        <v>213.9</v>
      </c>
      <c r="N99" s="309">
        <v>213.9</v>
      </c>
      <c r="O99" s="309">
        <v>213.9</v>
      </c>
      <c r="P99" s="309">
        <v>213.9</v>
      </c>
      <c r="Q99" s="309">
        <v>213.9</v>
      </c>
      <c r="R99" s="309">
        <v>213.9</v>
      </c>
      <c r="S99" s="309">
        <v>213.9</v>
      </c>
      <c r="T99" s="309">
        <v>213.9</v>
      </c>
      <c r="U99" s="309">
        <v>213.9</v>
      </c>
      <c r="V99" s="309">
        <v>213.9</v>
      </c>
      <c r="W99" s="309">
        <v>213.9</v>
      </c>
      <c r="X99" s="309">
        <v>213.9</v>
      </c>
      <c r="Y99" s="309">
        <v>213.9</v>
      </c>
      <c r="Z99" s="309">
        <v>213.9</v>
      </c>
      <c r="AA99" s="309">
        <v>213.9</v>
      </c>
      <c r="AB99" s="309">
        <v>213.9</v>
      </c>
      <c r="AC99" s="310">
        <v>213.9</v>
      </c>
    </row>
    <row r="100" spans="1:29" ht="22.2" customHeight="1" x14ac:dyDescent="0.3"/>
    <row r="101" spans="1:29" ht="22.2" customHeight="1" x14ac:dyDescent="0.3"/>
    <row r="102" spans="1:29" ht="22.2" customHeight="1" x14ac:dyDescent="0.3"/>
    <row r="103" spans="1:29" ht="22.2" customHeight="1" x14ac:dyDescent="0.3"/>
    <row r="104" spans="1:29" ht="22.2" customHeight="1" x14ac:dyDescent="0.3"/>
  </sheetData>
  <mergeCells count="134">
    <mergeCell ref="B54:B56"/>
    <mergeCell ref="C54:C56"/>
    <mergeCell ref="D54:D56"/>
    <mergeCell ref="A54:A56"/>
    <mergeCell ref="A94:A96"/>
    <mergeCell ref="B94:B96"/>
    <mergeCell ref="C94:C96"/>
    <mergeCell ref="D94:D96"/>
    <mergeCell ref="A97:A99"/>
    <mergeCell ref="B97:B99"/>
    <mergeCell ref="C97:C99"/>
    <mergeCell ref="D97:D99"/>
    <mergeCell ref="A88:A90"/>
    <mergeCell ref="B88:B90"/>
    <mergeCell ref="C88:C90"/>
    <mergeCell ref="D88:D90"/>
    <mergeCell ref="A91:A93"/>
    <mergeCell ref="B91:B93"/>
    <mergeCell ref="C91:C93"/>
    <mergeCell ref="D91:D93"/>
    <mergeCell ref="A69:A71"/>
    <mergeCell ref="B69:B71"/>
    <mergeCell ref="C69:C71"/>
    <mergeCell ref="D69:D71"/>
    <mergeCell ref="C4:C6"/>
    <mergeCell ref="D7:D9"/>
    <mergeCell ref="B10:B12"/>
    <mergeCell ref="B13:B15"/>
    <mergeCell ref="C13:C15"/>
    <mergeCell ref="D13:D15"/>
    <mergeCell ref="B16:B18"/>
    <mergeCell ref="C16:C18"/>
    <mergeCell ref="D16:D18"/>
    <mergeCell ref="B25:B27"/>
    <mergeCell ref="C25:C27"/>
    <mergeCell ref="D25:D27"/>
    <mergeCell ref="C19:C21"/>
    <mergeCell ref="D19:D21"/>
    <mergeCell ref="B22:B24"/>
    <mergeCell ref="C22:C24"/>
    <mergeCell ref="D22:D24"/>
    <mergeCell ref="B19:B21"/>
    <mergeCell ref="A72:AC72"/>
    <mergeCell ref="A76:A78"/>
    <mergeCell ref="A28:AC28"/>
    <mergeCell ref="D44:D46"/>
    <mergeCell ref="A44:A46"/>
    <mergeCell ref="B44:B46"/>
    <mergeCell ref="C44:C46"/>
    <mergeCell ref="A38:A40"/>
    <mergeCell ref="B38:B40"/>
    <mergeCell ref="C38:C40"/>
    <mergeCell ref="D38:D40"/>
    <mergeCell ref="A41:A43"/>
    <mergeCell ref="B41:B43"/>
    <mergeCell ref="A1:AC1"/>
    <mergeCell ref="A2:A3"/>
    <mergeCell ref="A4:A6"/>
    <mergeCell ref="A7:A9"/>
    <mergeCell ref="A10:A12"/>
    <mergeCell ref="D10:D12"/>
    <mergeCell ref="B4:B6"/>
    <mergeCell ref="B7:B9"/>
    <mergeCell ref="B2:B3"/>
    <mergeCell ref="C10:C12"/>
    <mergeCell ref="C7:C9"/>
    <mergeCell ref="F2:AC2"/>
    <mergeCell ref="E2:E3"/>
    <mergeCell ref="D2:D3"/>
    <mergeCell ref="C2:C3"/>
    <mergeCell ref="D4:D6"/>
    <mergeCell ref="A13:A15"/>
    <mergeCell ref="A16:A18"/>
    <mergeCell ref="A19:A21"/>
    <mergeCell ref="A22:A24"/>
    <mergeCell ref="A25:A27"/>
    <mergeCell ref="A82:A84"/>
    <mergeCell ref="B82:B84"/>
    <mergeCell ref="C82:C84"/>
    <mergeCell ref="D82:D84"/>
    <mergeCell ref="A35:A37"/>
    <mergeCell ref="B76:B78"/>
    <mergeCell ref="C76:C78"/>
    <mergeCell ref="D76:D78"/>
    <mergeCell ref="A79:A81"/>
    <mergeCell ref="B79:B81"/>
    <mergeCell ref="C79:C81"/>
    <mergeCell ref="D79:D81"/>
    <mergeCell ref="A29:A31"/>
    <mergeCell ref="B29:B31"/>
    <mergeCell ref="C29:C31"/>
    <mergeCell ref="D29:D31"/>
    <mergeCell ref="A32:A34"/>
    <mergeCell ref="B32:B34"/>
    <mergeCell ref="C32:C34"/>
    <mergeCell ref="D32:D34"/>
    <mergeCell ref="C41:C43"/>
    <mergeCell ref="D41:D43"/>
    <mergeCell ref="B35:B37"/>
    <mergeCell ref="C35:C37"/>
    <mergeCell ref="D35:D37"/>
    <mergeCell ref="A85:A87"/>
    <mergeCell ref="B85:B87"/>
    <mergeCell ref="C85:C87"/>
    <mergeCell ref="D85:D87"/>
    <mergeCell ref="A73:A75"/>
    <mergeCell ref="B73:B75"/>
    <mergeCell ref="C73:C75"/>
    <mergeCell ref="D73:D75"/>
    <mergeCell ref="A47:AC47"/>
    <mergeCell ref="A48:A50"/>
    <mergeCell ref="A51:A53"/>
    <mergeCell ref="A57:A59"/>
    <mergeCell ref="B48:B50"/>
    <mergeCell ref="C48:C50"/>
    <mergeCell ref="D48:D50"/>
    <mergeCell ref="B51:B53"/>
    <mergeCell ref="C51:C53"/>
    <mergeCell ref="D51:D53"/>
    <mergeCell ref="B57:B59"/>
    <mergeCell ref="A66:A68"/>
    <mergeCell ref="B66:B68"/>
    <mergeCell ref="C66:C68"/>
    <mergeCell ref="D66:D68"/>
    <mergeCell ref="C57:C59"/>
    <mergeCell ref="D57:D59"/>
    <mergeCell ref="A60:A62"/>
    <mergeCell ref="B60:B62"/>
    <mergeCell ref="C60:C62"/>
    <mergeCell ref="D60:D62"/>
    <mergeCell ref="A63:A65"/>
    <mergeCell ref="B63:B65"/>
    <mergeCell ref="C63:C65"/>
    <mergeCell ref="D63:D6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V25"/>
  <sheetViews>
    <sheetView zoomScale="85" zoomScaleNormal="85" workbookViewId="0">
      <selection sqref="A1:H1"/>
    </sheetView>
  </sheetViews>
  <sheetFormatPr defaultColWidth="8.6640625" defaultRowHeight="12.75" customHeight="1" x14ac:dyDescent="0.25"/>
  <cols>
    <col min="1" max="11" width="15.6640625" style="5" customWidth="1"/>
    <col min="12" max="12" width="16.5546875" style="5" customWidth="1"/>
    <col min="13" max="13" width="22.109375" style="5" customWidth="1"/>
    <col min="14" max="14" width="14.44140625" style="5" customWidth="1"/>
    <col min="15" max="15" width="15.44140625" style="5" customWidth="1"/>
    <col min="16" max="16" width="19.33203125" style="5" customWidth="1"/>
    <col min="17" max="18" width="18.33203125" style="5" customWidth="1"/>
    <col min="19" max="21" width="13.6640625" style="5" customWidth="1"/>
    <col min="22" max="22" width="10.6640625" style="5" customWidth="1"/>
    <col min="23" max="24" width="8.6640625" style="5"/>
    <col min="25" max="25" width="13.6640625" style="5" customWidth="1"/>
    <col min="26" max="28" width="8.6640625" style="5"/>
    <col min="29" max="29" width="12.44140625" style="5" customWidth="1"/>
    <col min="30" max="16384" width="8.6640625" style="5"/>
  </cols>
  <sheetData>
    <row r="1" spans="1:22" ht="27" customHeight="1" x14ac:dyDescent="0.25">
      <c r="A1" s="1093" t="s">
        <v>846</v>
      </c>
      <c r="B1" s="1093"/>
      <c r="C1" s="1093"/>
      <c r="D1" s="1093"/>
      <c r="E1" s="1093"/>
      <c r="F1" s="1093"/>
      <c r="G1" s="1093"/>
      <c r="H1" s="1093"/>
      <c r="I1" s="1093" t="s">
        <v>847</v>
      </c>
      <c r="J1" s="1093"/>
      <c r="K1" s="1093"/>
      <c r="L1" s="1093"/>
      <c r="N1" s="806" t="str">
        <f>"CEUS Energy Consumption - "&amp;Prototype!A2</f>
        <v>CEUS Energy Consumption - OfficeLarge</v>
      </c>
      <c r="O1" s="806"/>
      <c r="P1" s="806"/>
      <c r="Q1" s="806"/>
      <c r="R1" s="806"/>
      <c r="S1" s="806"/>
      <c r="T1" s="806"/>
      <c r="U1" s="806"/>
      <c r="V1" s="806"/>
    </row>
    <row r="2" spans="1:22" ht="62.25" customHeight="1" x14ac:dyDescent="0.25">
      <c r="A2" s="327" t="s">
        <v>292</v>
      </c>
      <c r="B2" s="359" t="s">
        <v>495</v>
      </c>
      <c r="C2" s="328" t="s">
        <v>848</v>
      </c>
      <c r="D2" s="360" t="s">
        <v>849</v>
      </c>
      <c r="E2" s="361" t="s">
        <v>850</v>
      </c>
      <c r="F2" s="328" t="s">
        <v>851</v>
      </c>
      <c r="G2" s="329" t="s">
        <v>852</v>
      </c>
      <c r="H2" s="330" t="s">
        <v>853</v>
      </c>
      <c r="I2" s="331" t="s">
        <v>854</v>
      </c>
      <c r="J2" s="332" t="s">
        <v>855</v>
      </c>
      <c r="K2" s="340" t="s">
        <v>856</v>
      </c>
      <c r="L2" s="343" t="s">
        <v>857</v>
      </c>
      <c r="M2" s="750" t="s">
        <v>858</v>
      </c>
      <c r="N2" s="346" t="s">
        <v>292</v>
      </c>
      <c r="O2" s="347" t="s">
        <v>495</v>
      </c>
      <c r="P2" s="347" t="s">
        <v>859</v>
      </c>
      <c r="Q2" s="347" t="s">
        <v>860</v>
      </c>
      <c r="R2" s="347" t="s">
        <v>861</v>
      </c>
      <c r="S2" s="348" t="s">
        <v>862</v>
      </c>
      <c r="T2" s="348" t="s">
        <v>855</v>
      </c>
      <c r="U2" s="349" t="s">
        <v>856</v>
      </c>
      <c r="V2" s="350" t="s">
        <v>863</v>
      </c>
    </row>
    <row r="3" spans="1:22" ht="19.2" customHeight="1" x14ac:dyDescent="0.3">
      <c r="A3" s="1091" t="s">
        <v>864</v>
      </c>
      <c r="B3" s="480">
        <v>1</v>
      </c>
      <c r="C3" s="357"/>
      <c r="D3" s="357"/>
      <c r="E3" s="357"/>
      <c r="F3" s="358"/>
      <c r="G3" s="358"/>
      <c r="H3" s="358"/>
      <c r="I3" s="355">
        <v>71.5</v>
      </c>
      <c r="J3" s="337">
        <f>I3*1.25</f>
        <v>89.375</v>
      </c>
      <c r="K3" s="341">
        <f>I3*0.75</f>
        <v>53.625</v>
      </c>
      <c r="L3" s="339">
        <f>J3-K3</f>
        <v>35.75</v>
      </c>
      <c r="M3" s="5">
        <v>95521</v>
      </c>
      <c r="N3" s="1089" t="str">
        <f>Prototype!B4</f>
        <v>Large Office</v>
      </c>
      <c r="O3" s="333">
        <v>1</v>
      </c>
      <c r="P3" s="334">
        <v>5279</v>
      </c>
      <c r="Q3" s="335">
        <v>16.7</v>
      </c>
      <c r="R3" s="335">
        <v>5.01</v>
      </c>
      <c r="S3" s="336">
        <f>(Q3+R3)*3.412</f>
        <v>74.074520000000007</v>
      </c>
      <c r="T3" s="336">
        <f>S3*1.25</f>
        <v>92.593150000000009</v>
      </c>
      <c r="U3" s="336">
        <f>S3*0.75</f>
        <v>55.555890000000005</v>
      </c>
      <c r="V3" s="339">
        <f>T3-U3</f>
        <v>37.037260000000003</v>
      </c>
    </row>
    <row r="4" spans="1:22" ht="19.2" customHeight="1" x14ac:dyDescent="0.3">
      <c r="A4" s="1091"/>
      <c r="B4" s="480">
        <v>2</v>
      </c>
      <c r="C4" s="357"/>
      <c r="D4" s="357"/>
      <c r="E4" s="357"/>
      <c r="F4" s="358"/>
      <c r="G4" s="358"/>
      <c r="H4" s="358"/>
      <c r="I4" s="355">
        <v>77.3</v>
      </c>
      <c r="J4" s="337">
        <f t="shared" ref="J4:J18" si="0">I4*1.25</f>
        <v>96.625</v>
      </c>
      <c r="K4" s="341">
        <f t="shared" ref="K4:K18" si="1">I4*0.75</f>
        <v>57.974999999999994</v>
      </c>
      <c r="L4" s="339">
        <f t="shared" ref="L4:L18" si="2">J4-K4</f>
        <v>38.650000000000006</v>
      </c>
      <c r="M4" s="5">
        <v>95476</v>
      </c>
      <c r="N4" s="1089"/>
      <c r="O4" s="333">
        <v>2</v>
      </c>
      <c r="P4" s="334">
        <v>12449</v>
      </c>
      <c r="Q4" s="335">
        <v>15.2</v>
      </c>
      <c r="R4" s="335">
        <v>6.24</v>
      </c>
      <c r="S4" s="336">
        <f t="shared" ref="S4:S18" si="3">(Q4+R4)*3.412</f>
        <v>73.153279999999995</v>
      </c>
      <c r="T4" s="336">
        <f t="shared" ref="T4:T18" si="4">S4*1.25</f>
        <v>91.441599999999994</v>
      </c>
      <c r="U4" s="336">
        <f t="shared" ref="U4:U18" si="5">S4*0.75</f>
        <v>54.864959999999996</v>
      </c>
      <c r="V4" s="339">
        <f t="shared" ref="V4:V18" si="6">T4-U4</f>
        <v>36.576639999999998</v>
      </c>
    </row>
    <row r="5" spans="1:22" ht="19.2" customHeight="1" x14ac:dyDescent="0.3">
      <c r="A5" s="1091"/>
      <c r="B5" s="480">
        <v>3</v>
      </c>
      <c r="C5" s="357"/>
      <c r="D5" s="357"/>
      <c r="E5" s="357"/>
      <c r="F5" s="358"/>
      <c r="G5" s="358"/>
      <c r="H5" s="358"/>
      <c r="I5" s="355">
        <v>74</v>
      </c>
      <c r="J5" s="337">
        <f t="shared" si="0"/>
        <v>92.5</v>
      </c>
      <c r="K5" s="342">
        <f t="shared" si="1"/>
        <v>55.5</v>
      </c>
      <c r="L5" s="339">
        <f t="shared" si="2"/>
        <v>37</v>
      </c>
      <c r="M5" s="5">
        <v>94612</v>
      </c>
      <c r="N5" s="1089"/>
      <c r="O5" s="333">
        <v>3</v>
      </c>
      <c r="P5" s="334">
        <v>242565</v>
      </c>
      <c r="Q5" s="335">
        <v>14.3</v>
      </c>
      <c r="R5" s="335">
        <v>4.83</v>
      </c>
      <c r="S5" s="336">
        <f t="shared" si="3"/>
        <v>65.271560000000008</v>
      </c>
      <c r="T5" s="336">
        <f t="shared" si="4"/>
        <v>81.589450000000014</v>
      </c>
      <c r="U5" s="336">
        <f t="shared" si="5"/>
        <v>48.953670000000002</v>
      </c>
      <c r="V5" s="339">
        <f t="shared" si="6"/>
        <v>32.635780000000011</v>
      </c>
    </row>
    <row r="6" spans="1:22" ht="19.2" customHeight="1" x14ac:dyDescent="0.3">
      <c r="A6" s="1091"/>
      <c r="B6" s="480">
        <v>4</v>
      </c>
      <c r="C6" s="357"/>
      <c r="D6" s="357"/>
      <c r="E6" s="357"/>
      <c r="F6" s="358"/>
      <c r="G6" s="358"/>
      <c r="H6" s="358"/>
      <c r="I6" s="355">
        <v>79.5</v>
      </c>
      <c r="J6" s="337">
        <f t="shared" si="0"/>
        <v>99.375</v>
      </c>
      <c r="K6" s="342">
        <f t="shared" si="1"/>
        <v>59.625</v>
      </c>
      <c r="L6" s="339">
        <f t="shared" si="2"/>
        <v>39.75</v>
      </c>
      <c r="M6" s="5">
        <v>93446</v>
      </c>
      <c r="N6" s="1089"/>
      <c r="O6" s="333">
        <v>4</v>
      </c>
      <c r="P6" s="334">
        <v>137610</v>
      </c>
      <c r="Q6" s="335">
        <v>14.4</v>
      </c>
      <c r="R6" s="335">
        <v>4.76</v>
      </c>
      <c r="S6" s="336">
        <f t="shared" si="3"/>
        <v>65.373919999999998</v>
      </c>
      <c r="T6" s="336">
        <f t="shared" si="4"/>
        <v>81.717399999999998</v>
      </c>
      <c r="U6" s="336">
        <f t="shared" si="5"/>
        <v>49.030439999999999</v>
      </c>
      <c r="V6" s="339">
        <f t="shared" si="6"/>
        <v>32.686959999999999</v>
      </c>
    </row>
    <row r="7" spans="1:22" ht="19.2" customHeight="1" x14ac:dyDescent="0.3">
      <c r="A7" s="1091"/>
      <c r="B7" s="480">
        <v>5</v>
      </c>
      <c r="C7" s="357"/>
      <c r="D7" s="357"/>
      <c r="E7" s="357"/>
      <c r="F7" s="358"/>
      <c r="G7" s="358"/>
      <c r="H7" s="358"/>
      <c r="I7" s="355">
        <v>71.400000000000006</v>
      </c>
      <c r="J7" s="337">
        <f t="shared" si="0"/>
        <v>89.25</v>
      </c>
      <c r="K7" s="342">
        <f t="shared" si="1"/>
        <v>53.550000000000004</v>
      </c>
      <c r="L7" s="339">
        <f t="shared" si="2"/>
        <v>35.699999999999996</v>
      </c>
      <c r="M7" s="5">
        <v>93455</v>
      </c>
      <c r="N7" s="1089"/>
      <c r="O7" s="333">
        <v>5</v>
      </c>
      <c r="P7" s="334">
        <v>3834</v>
      </c>
      <c r="Q7" s="335">
        <v>8.6</v>
      </c>
      <c r="R7" s="335">
        <v>9.32</v>
      </c>
      <c r="S7" s="336">
        <f t="shared" si="3"/>
        <v>61.143040000000006</v>
      </c>
      <c r="T7" s="336">
        <f t="shared" si="4"/>
        <v>76.42880000000001</v>
      </c>
      <c r="U7" s="336">
        <f t="shared" si="5"/>
        <v>45.857280000000003</v>
      </c>
      <c r="V7" s="339">
        <f t="shared" si="6"/>
        <v>30.571520000000007</v>
      </c>
    </row>
    <row r="8" spans="1:22" ht="19.2" customHeight="1" x14ac:dyDescent="0.3">
      <c r="A8" s="1091"/>
      <c r="B8" s="480">
        <v>6</v>
      </c>
      <c r="C8" s="357"/>
      <c r="D8" s="357"/>
      <c r="E8" s="357"/>
      <c r="F8" s="358"/>
      <c r="G8" s="358"/>
      <c r="H8" s="358"/>
      <c r="I8" s="355">
        <v>80.8</v>
      </c>
      <c r="J8" s="337">
        <f t="shared" si="0"/>
        <v>101</v>
      </c>
      <c r="K8" s="342">
        <f t="shared" si="1"/>
        <v>60.599999999999994</v>
      </c>
      <c r="L8" s="339">
        <f t="shared" si="2"/>
        <v>40.400000000000006</v>
      </c>
      <c r="M8" s="5">
        <v>93550</v>
      </c>
      <c r="N8" s="1089"/>
      <c r="O8" s="333">
        <v>6</v>
      </c>
      <c r="P8" s="334">
        <v>109980</v>
      </c>
      <c r="Q8" s="335">
        <v>10.9</v>
      </c>
      <c r="R8" s="335">
        <v>4.88</v>
      </c>
      <c r="S8" s="336">
        <f t="shared" si="3"/>
        <v>53.841360000000002</v>
      </c>
      <c r="T8" s="336">
        <f t="shared" si="4"/>
        <v>67.301699999999997</v>
      </c>
      <c r="U8" s="336">
        <f t="shared" si="5"/>
        <v>40.381019999999999</v>
      </c>
      <c r="V8" s="339">
        <f t="shared" si="6"/>
        <v>26.920679999999997</v>
      </c>
    </row>
    <row r="9" spans="1:22" ht="19.2" customHeight="1" x14ac:dyDescent="0.3">
      <c r="A9" s="1091"/>
      <c r="B9" s="480">
        <v>7</v>
      </c>
      <c r="C9" s="357"/>
      <c r="D9" s="357"/>
      <c r="E9" s="357"/>
      <c r="F9" s="358"/>
      <c r="G9" s="358"/>
      <c r="H9" s="358"/>
      <c r="I9" s="355">
        <v>76.7</v>
      </c>
      <c r="J9" s="337">
        <f t="shared" si="0"/>
        <v>95.875</v>
      </c>
      <c r="K9" s="342">
        <f t="shared" si="1"/>
        <v>57.525000000000006</v>
      </c>
      <c r="L9" s="339">
        <f t="shared" si="2"/>
        <v>38.349999999999994</v>
      </c>
      <c r="M9" s="5">
        <v>92101</v>
      </c>
      <c r="N9" s="1089"/>
      <c r="O9" s="333">
        <v>7</v>
      </c>
      <c r="P9" s="334">
        <v>76710</v>
      </c>
      <c r="Q9" s="335">
        <v>14.8</v>
      </c>
      <c r="R9" s="335">
        <v>9.36</v>
      </c>
      <c r="S9" s="336">
        <f t="shared" si="3"/>
        <v>82.433920000000001</v>
      </c>
      <c r="T9" s="336">
        <f t="shared" si="4"/>
        <v>103.0424</v>
      </c>
      <c r="U9" s="336">
        <f t="shared" si="5"/>
        <v>61.82544</v>
      </c>
      <c r="V9" s="339">
        <f t="shared" si="6"/>
        <v>41.21696</v>
      </c>
    </row>
    <row r="10" spans="1:22" ht="19.2" customHeight="1" x14ac:dyDescent="0.3">
      <c r="A10" s="1091"/>
      <c r="B10" s="480">
        <v>8</v>
      </c>
      <c r="C10" s="357"/>
      <c r="D10" s="357"/>
      <c r="E10" s="357"/>
      <c r="F10" s="358"/>
      <c r="G10" s="358"/>
      <c r="H10" s="358"/>
      <c r="I10" s="355">
        <v>77.599999999999994</v>
      </c>
      <c r="J10" s="337">
        <f t="shared" si="0"/>
        <v>97</v>
      </c>
      <c r="K10" s="342">
        <f t="shared" si="1"/>
        <v>58.199999999999996</v>
      </c>
      <c r="L10" s="339">
        <f t="shared" si="2"/>
        <v>38.800000000000004</v>
      </c>
      <c r="M10" s="5">
        <v>92831</v>
      </c>
      <c r="N10" s="1089"/>
      <c r="O10" s="333">
        <v>8</v>
      </c>
      <c r="P10" s="334">
        <v>177013</v>
      </c>
      <c r="Q10" s="335">
        <v>10.4</v>
      </c>
      <c r="R10" s="335">
        <v>4.24</v>
      </c>
      <c r="S10" s="336">
        <f t="shared" si="3"/>
        <v>49.951680000000003</v>
      </c>
      <c r="T10" s="336">
        <f t="shared" si="4"/>
        <v>62.439600000000006</v>
      </c>
      <c r="U10" s="336">
        <f t="shared" si="5"/>
        <v>37.463760000000001</v>
      </c>
      <c r="V10" s="339">
        <f t="shared" si="6"/>
        <v>24.975840000000005</v>
      </c>
    </row>
    <row r="11" spans="1:22" ht="19.2" customHeight="1" x14ac:dyDescent="0.3">
      <c r="A11" s="1091"/>
      <c r="B11" s="480">
        <v>9</v>
      </c>
      <c r="C11" s="357"/>
      <c r="D11" s="357"/>
      <c r="E11" s="357"/>
      <c r="F11" s="358"/>
      <c r="G11" s="358"/>
      <c r="H11" s="358"/>
      <c r="I11" s="355">
        <v>77.7</v>
      </c>
      <c r="J11" s="337">
        <f t="shared" si="0"/>
        <v>97.125</v>
      </c>
      <c r="K11" s="342">
        <f t="shared" si="1"/>
        <v>58.275000000000006</v>
      </c>
      <c r="L11" s="339">
        <f t="shared" si="2"/>
        <v>38.849999999999994</v>
      </c>
      <c r="M11" s="5">
        <v>91505</v>
      </c>
      <c r="N11" s="1089"/>
      <c r="O11" s="333">
        <v>9</v>
      </c>
      <c r="P11" s="334">
        <v>240000</v>
      </c>
      <c r="Q11" s="335">
        <v>10.9</v>
      </c>
      <c r="R11" s="335">
        <v>4.38</v>
      </c>
      <c r="S11" s="336">
        <f t="shared" si="3"/>
        <v>52.135360000000006</v>
      </c>
      <c r="T11" s="336">
        <f t="shared" si="4"/>
        <v>65.169200000000004</v>
      </c>
      <c r="U11" s="336">
        <f t="shared" si="5"/>
        <v>39.101520000000008</v>
      </c>
      <c r="V11" s="339">
        <f t="shared" si="6"/>
        <v>26.067679999999996</v>
      </c>
    </row>
    <row r="12" spans="1:22" ht="19.2" customHeight="1" x14ac:dyDescent="0.3">
      <c r="A12" s="1091"/>
      <c r="B12" s="480">
        <v>10</v>
      </c>
      <c r="C12" s="357"/>
      <c r="D12" s="357"/>
      <c r="E12" s="357"/>
      <c r="F12" s="358"/>
      <c r="G12" s="358"/>
      <c r="H12" s="358"/>
      <c r="I12" s="355">
        <v>78.099999999999994</v>
      </c>
      <c r="J12" s="337">
        <f t="shared" si="0"/>
        <v>97.625</v>
      </c>
      <c r="K12" s="342">
        <f t="shared" si="1"/>
        <v>58.574999999999996</v>
      </c>
      <c r="L12" s="339">
        <f t="shared" si="2"/>
        <v>39.050000000000004</v>
      </c>
      <c r="M12" s="5">
        <v>92501</v>
      </c>
      <c r="N12" s="1089"/>
      <c r="O12" s="333">
        <v>10</v>
      </c>
      <c r="P12" s="334">
        <v>65927</v>
      </c>
      <c r="Q12" s="335">
        <v>11.9</v>
      </c>
      <c r="R12" s="335">
        <v>7.21</v>
      </c>
      <c r="S12" s="336">
        <f t="shared" si="3"/>
        <v>65.203319999999991</v>
      </c>
      <c r="T12" s="336">
        <f t="shared" si="4"/>
        <v>81.504149999999981</v>
      </c>
      <c r="U12" s="336">
        <f t="shared" si="5"/>
        <v>48.902489999999993</v>
      </c>
      <c r="V12" s="339">
        <f t="shared" si="6"/>
        <v>32.601659999999988</v>
      </c>
    </row>
    <row r="13" spans="1:22" ht="19.2" customHeight="1" x14ac:dyDescent="0.3">
      <c r="A13" s="1091"/>
      <c r="B13" s="480">
        <v>11</v>
      </c>
      <c r="C13" s="357"/>
      <c r="D13" s="357"/>
      <c r="E13" s="357"/>
      <c r="F13" s="358"/>
      <c r="G13" s="358"/>
      <c r="H13" s="358"/>
      <c r="I13" s="355">
        <v>80.3</v>
      </c>
      <c r="J13" s="337">
        <f t="shared" si="0"/>
        <v>100.375</v>
      </c>
      <c r="K13" s="342">
        <f t="shared" si="1"/>
        <v>60.224999999999994</v>
      </c>
      <c r="L13" s="339">
        <f t="shared" si="2"/>
        <v>40.150000000000006</v>
      </c>
      <c r="M13" s="5">
        <v>96080</v>
      </c>
      <c r="N13" s="1089"/>
      <c r="O13" s="333">
        <v>11</v>
      </c>
      <c r="P13" s="334">
        <v>18413</v>
      </c>
      <c r="Q13" s="335">
        <v>11.4</v>
      </c>
      <c r="R13" s="335">
        <v>4.29</v>
      </c>
      <c r="S13" s="336">
        <f t="shared" si="3"/>
        <v>53.534280000000003</v>
      </c>
      <c r="T13" s="336">
        <f t="shared" si="4"/>
        <v>66.917850000000001</v>
      </c>
      <c r="U13" s="336">
        <f t="shared" si="5"/>
        <v>40.150710000000004</v>
      </c>
      <c r="V13" s="339">
        <f t="shared" si="6"/>
        <v>26.767139999999998</v>
      </c>
    </row>
    <row r="14" spans="1:22" ht="19.2" customHeight="1" x14ac:dyDescent="0.3">
      <c r="A14" s="1091"/>
      <c r="B14" s="480">
        <v>12</v>
      </c>
      <c r="C14" s="357"/>
      <c r="D14" s="357"/>
      <c r="E14" s="357"/>
      <c r="F14" s="358"/>
      <c r="G14" s="358"/>
      <c r="H14" s="358"/>
      <c r="I14" s="355">
        <v>79.599999999999994</v>
      </c>
      <c r="J14" s="337">
        <f t="shared" si="0"/>
        <v>99.5</v>
      </c>
      <c r="K14" s="342">
        <f t="shared" si="1"/>
        <v>59.699999999999996</v>
      </c>
      <c r="L14" s="339">
        <f t="shared" si="2"/>
        <v>39.800000000000004</v>
      </c>
      <c r="M14" s="5">
        <v>95814</v>
      </c>
      <c r="N14" s="1089"/>
      <c r="O14" s="333">
        <v>12</v>
      </c>
      <c r="P14" s="334">
        <v>171620</v>
      </c>
      <c r="Q14" s="335">
        <v>14.4</v>
      </c>
      <c r="R14" s="335">
        <v>6.12</v>
      </c>
      <c r="S14" s="336">
        <f t="shared" si="3"/>
        <v>70.014240000000001</v>
      </c>
      <c r="T14" s="336">
        <f t="shared" si="4"/>
        <v>87.517799999999994</v>
      </c>
      <c r="U14" s="336">
        <f t="shared" si="5"/>
        <v>52.510680000000001</v>
      </c>
      <c r="V14" s="339">
        <f t="shared" si="6"/>
        <v>35.007119999999993</v>
      </c>
    </row>
    <row r="15" spans="1:22" ht="19.2" customHeight="1" x14ac:dyDescent="0.3">
      <c r="A15" s="1091"/>
      <c r="B15" s="480">
        <v>13</v>
      </c>
      <c r="C15" s="357"/>
      <c r="D15" s="357"/>
      <c r="E15" s="357"/>
      <c r="F15" s="358"/>
      <c r="G15" s="358"/>
      <c r="H15" s="358"/>
      <c r="I15" s="355">
        <v>80</v>
      </c>
      <c r="J15" s="337">
        <f t="shared" si="0"/>
        <v>100</v>
      </c>
      <c r="K15" s="342">
        <f t="shared" si="1"/>
        <v>60</v>
      </c>
      <c r="L15" s="339">
        <f t="shared" si="2"/>
        <v>40</v>
      </c>
      <c r="M15" s="5">
        <v>93721</v>
      </c>
      <c r="N15" s="1089"/>
      <c r="O15" s="333">
        <v>13</v>
      </c>
      <c r="P15" s="334">
        <v>19959</v>
      </c>
      <c r="Q15" s="335">
        <v>15.9</v>
      </c>
      <c r="R15" s="335">
        <v>3.71</v>
      </c>
      <c r="S15" s="336">
        <f t="shared" si="3"/>
        <v>66.909319999999994</v>
      </c>
      <c r="T15" s="336">
        <f t="shared" si="4"/>
        <v>83.636649999999989</v>
      </c>
      <c r="U15" s="336">
        <f t="shared" si="5"/>
        <v>50.181989999999999</v>
      </c>
      <c r="V15" s="339">
        <f t="shared" si="6"/>
        <v>33.45465999999999</v>
      </c>
    </row>
    <row r="16" spans="1:22" ht="19.2" customHeight="1" x14ac:dyDescent="0.3">
      <c r="A16" s="1091"/>
      <c r="B16" s="480">
        <v>14</v>
      </c>
      <c r="C16" s="357"/>
      <c r="D16" s="357"/>
      <c r="E16" s="357"/>
      <c r="F16" s="358"/>
      <c r="G16" s="358"/>
      <c r="H16" s="358"/>
      <c r="I16" s="355">
        <v>80.8</v>
      </c>
      <c r="J16" s="337">
        <f t="shared" si="0"/>
        <v>101</v>
      </c>
      <c r="K16" s="342">
        <f t="shared" si="1"/>
        <v>60.599999999999994</v>
      </c>
      <c r="L16" s="339">
        <f t="shared" si="2"/>
        <v>40.400000000000006</v>
      </c>
      <c r="M16">
        <v>93550</v>
      </c>
      <c r="N16" s="1089"/>
      <c r="O16" s="333">
        <v>14</v>
      </c>
      <c r="P16" s="334">
        <v>18934</v>
      </c>
      <c r="Q16" s="335">
        <v>9.8000000000000007</v>
      </c>
      <c r="R16" s="335">
        <v>4.4000000000000004</v>
      </c>
      <c r="S16" s="336">
        <f t="shared" si="3"/>
        <v>48.450400000000002</v>
      </c>
      <c r="T16" s="336">
        <f t="shared" si="4"/>
        <v>60.563000000000002</v>
      </c>
      <c r="U16" s="336">
        <f t="shared" si="5"/>
        <v>36.337800000000001</v>
      </c>
      <c r="V16" s="339">
        <f t="shared" si="6"/>
        <v>24.225200000000001</v>
      </c>
    </row>
    <row r="17" spans="1:22" ht="19.2" customHeight="1" x14ac:dyDescent="0.3">
      <c r="A17" s="1091"/>
      <c r="B17" s="480">
        <v>15</v>
      </c>
      <c r="C17" s="357"/>
      <c r="D17" s="357"/>
      <c r="E17" s="357"/>
      <c r="F17" s="358"/>
      <c r="G17" s="358"/>
      <c r="H17" s="358"/>
      <c r="I17" s="355">
        <v>79.5</v>
      </c>
      <c r="J17" s="337">
        <f t="shared" si="0"/>
        <v>99.375</v>
      </c>
      <c r="K17" s="342">
        <f t="shared" si="1"/>
        <v>59.625</v>
      </c>
      <c r="L17" s="339">
        <f t="shared" si="2"/>
        <v>39.75</v>
      </c>
      <c r="M17" s="5">
        <v>92262</v>
      </c>
      <c r="N17" s="1089"/>
      <c r="O17" s="333">
        <v>15</v>
      </c>
      <c r="P17" s="334">
        <v>23127</v>
      </c>
      <c r="Q17" s="335">
        <v>9.6999999999999993</v>
      </c>
      <c r="R17" s="335">
        <v>5.14</v>
      </c>
      <c r="S17" s="336">
        <f t="shared" si="3"/>
        <v>50.634079999999997</v>
      </c>
      <c r="T17" s="336">
        <f t="shared" si="4"/>
        <v>63.292599999999993</v>
      </c>
      <c r="U17" s="336">
        <f t="shared" si="5"/>
        <v>37.975560000000002</v>
      </c>
      <c r="V17" s="339">
        <f t="shared" si="6"/>
        <v>25.317039999999992</v>
      </c>
    </row>
    <row r="18" spans="1:22" ht="19.2" customHeight="1" x14ac:dyDescent="0.3">
      <c r="A18" s="1092"/>
      <c r="B18" s="362">
        <v>16</v>
      </c>
      <c r="C18" s="363"/>
      <c r="D18" s="363"/>
      <c r="E18" s="363"/>
      <c r="F18" s="364"/>
      <c r="G18" s="364"/>
      <c r="H18" s="364"/>
      <c r="I18" s="356">
        <v>82.3</v>
      </c>
      <c r="J18" s="338">
        <f t="shared" si="0"/>
        <v>102.875</v>
      </c>
      <c r="K18" s="344">
        <f t="shared" si="1"/>
        <v>61.724999999999994</v>
      </c>
      <c r="L18" s="345">
        <f t="shared" si="2"/>
        <v>41.150000000000006</v>
      </c>
      <c r="M18" s="5">
        <v>95715</v>
      </c>
      <c r="N18" s="1090"/>
      <c r="O18" s="351">
        <v>16</v>
      </c>
      <c r="P18" s="352">
        <v>39406</v>
      </c>
      <c r="Q18" s="353">
        <v>11.6</v>
      </c>
      <c r="R18" s="353">
        <v>4.42</v>
      </c>
      <c r="S18" s="354">
        <f t="shared" si="3"/>
        <v>54.660239999999995</v>
      </c>
      <c r="T18" s="354">
        <f t="shared" si="4"/>
        <v>68.325299999999999</v>
      </c>
      <c r="U18" s="354">
        <f t="shared" si="5"/>
        <v>40.995179999999998</v>
      </c>
      <c r="V18" s="345">
        <f t="shared" si="6"/>
        <v>27.330120000000001</v>
      </c>
    </row>
    <row r="19" spans="1:22" ht="12.75" customHeight="1" x14ac:dyDescent="0.25">
      <c r="V19" s="268"/>
    </row>
    <row r="20" spans="1:22" ht="13.2" x14ac:dyDescent="0.25">
      <c r="N20" s="5" t="s">
        <v>865</v>
      </c>
      <c r="V20" s="268"/>
    </row>
    <row r="21" spans="1:22" ht="13.2" x14ac:dyDescent="0.25">
      <c r="N21" s="5" t="s">
        <v>866</v>
      </c>
    </row>
    <row r="25" spans="1:22" s="21" customFormat="1" ht="13.2" hidden="1" x14ac:dyDescent="0.25">
      <c r="N25" s="21" t="s">
        <v>444</v>
      </c>
      <c r="R25" s="22"/>
      <c r="S25" s="23"/>
      <c r="T25" s="24"/>
    </row>
  </sheetData>
  <mergeCells count="5">
    <mergeCell ref="N3:N18"/>
    <mergeCell ref="A3:A18"/>
    <mergeCell ref="N1:V1"/>
    <mergeCell ref="I1:L1"/>
    <mergeCell ref="A1:H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F52"/>
  <sheetViews>
    <sheetView zoomScaleNormal="100" workbookViewId="0">
      <selection sqref="A1:G1"/>
    </sheetView>
  </sheetViews>
  <sheetFormatPr defaultColWidth="8.6640625" defaultRowHeight="13.2" x14ac:dyDescent="0.25"/>
  <cols>
    <col min="1" max="2" width="12" style="5" customWidth="1"/>
    <col min="3" max="6" width="13.6640625" style="5" customWidth="1"/>
    <col min="7" max="7" width="13.33203125" style="5" customWidth="1"/>
    <col min="8" max="8" width="12.6640625" style="5" bestFit="1" customWidth="1"/>
    <col min="9" max="9" width="9.88671875" style="5" customWidth="1"/>
    <col min="10" max="10" width="17.6640625" style="5" customWidth="1"/>
    <col min="11" max="11" width="18.5546875" style="5" customWidth="1"/>
    <col min="12" max="12" width="17.88671875" style="5" customWidth="1"/>
    <col min="13" max="13" width="3.6640625" style="5" bestFit="1" customWidth="1"/>
    <col min="14" max="15" width="4.6640625" style="5" bestFit="1" customWidth="1"/>
    <col min="16" max="31" width="5.6640625" style="5" customWidth="1"/>
    <col min="32" max="16384" width="8.6640625" style="5"/>
  </cols>
  <sheetData>
    <row r="1" spans="1:32" ht="28.95" customHeight="1" x14ac:dyDescent="0.25">
      <c r="A1" s="864" t="str">
        <f>"% of floor area per CZ and vintage bin - "&amp;Prototype!A2</f>
        <v>% of floor area per CZ and vintage bin - OfficeLarge</v>
      </c>
      <c r="B1" s="864"/>
      <c r="C1" s="864"/>
      <c r="D1" s="864"/>
      <c r="E1" s="864"/>
      <c r="F1" s="864"/>
      <c r="G1" s="864"/>
      <c r="J1" s="1098" t="str">
        <f>"% of Floor Area per CZ and Vintage Bin - "&amp;Prototype!A2</f>
        <v>% of Floor Area per CZ and Vintage Bin - OfficeLarge</v>
      </c>
      <c r="K1" s="1098"/>
      <c r="L1" s="1098"/>
      <c r="M1" s="1098"/>
      <c r="N1" s="1098"/>
      <c r="O1" s="1098"/>
      <c r="P1" s="1098"/>
      <c r="Q1" s="1098"/>
      <c r="R1" s="1098"/>
      <c r="S1" s="1098"/>
      <c r="T1" s="1098"/>
      <c r="U1" s="1098"/>
      <c r="V1" s="1098"/>
      <c r="W1" s="1098"/>
      <c r="X1" s="1098"/>
      <c r="Y1" s="1098"/>
      <c r="Z1" s="1098"/>
      <c r="AA1" s="1098"/>
      <c r="AB1" s="729"/>
      <c r="AC1" s="99"/>
      <c r="AD1" s="99"/>
      <c r="AE1" s="99"/>
    </row>
    <row r="2" spans="1:32" ht="27.6" customHeight="1" x14ac:dyDescent="0.25">
      <c r="A2" s="1096" t="s">
        <v>292</v>
      </c>
      <c r="B2" s="1096" t="s">
        <v>495</v>
      </c>
      <c r="C2" s="1096" t="s">
        <v>867</v>
      </c>
      <c r="D2" s="1096"/>
      <c r="E2" s="1096"/>
      <c r="F2" s="1096"/>
      <c r="G2" s="1096"/>
      <c r="J2" s="1099" t="s">
        <v>292</v>
      </c>
      <c r="K2" s="1099" t="s">
        <v>867</v>
      </c>
      <c r="L2" s="1099" t="s">
        <v>495</v>
      </c>
      <c r="M2" s="1099"/>
      <c r="N2" s="1099"/>
      <c r="O2" s="1099"/>
      <c r="P2" s="1099"/>
      <c r="Q2" s="1099"/>
      <c r="R2" s="1099"/>
      <c r="S2" s="1099"/>
      <c r="T2" s="1099"/>
      <c r="U2" s="1099"/>
      <c r="V2" s="1099"/>
      <c r="W2" s="1099"/>
      <c r="X2" s="1099"/>
      <c r="Y2" s="1099"/>
      <c r="Z2" s="1099"/>
      <c r="AA2" s="1099"/>
      <c r="AB2" s="729"/>
      <c r="AC2" s="100"/>
      <c r="AD2" s="100"/>
      <c r="AE2" s="100"/>
    </row>
    <row r="3" spans="1:32" ht="21" customHeight="1" x14ac:dyDescent="0.25">
      <c r="A3" s="1097"/>
      <c r="B3" s="1097"/>
      <c r="C3" s="770" t="s">
        <v>868</v>
      </c>
      <c r="D3" s="770" t="s">
        <v>64</v>
      </c>
      <c r="E3" s="770" t="s">
        <v>65</v>
      </c>
      <c r="F3" s="770" t="s">
        <v>66</v>
      </c>
      <c r="G3" s="738"/>
      <c r="J3" s="1099"/>
      <c r="K3" s="1099"/>
      <c r="L3" s="771">
        <v>1</v>
      </c>
      <c r="M3" s="771">
        <v>2</v>
      </c>
      <c r="N3" s="771">
        <v>3</v>
      </c>
      <c r="O3" s="771">
        <v>4</v>
      </c>
      <c r="P3" s="771">
        <v>5</v>
      </c>
      <c r="Q3" s="771">
        <v>6</v>
      </c>
      <c r="R3" s="771">
        <v>7</v>
      </c>
      <c r="S3" s="771">
        <v>8</v>
      </c>
      <c r="T3" s="771">
        <v>9</v>
      </c>
      <c r="U3" s="771">
        <v>10</v>
      </c>
      <c r="V3" s="771">
        <v>11</v>
      </c>
      <c r="W3" s="771">
        <v>12</v>
      </c>
      <c r="X3" s="771">
        <v>13</v>
      </c>
      <c r="Y3" s="771">
        <v>14</v>
      </c>
      <c r="Z3" s="771">
        <v>15</v>
      </c>
      <c r="AA3" s="771">
        <v>16</v>
      </c>
      <c r="AB3" s="729"/>
      <c r="AC3" s="98"/>
      <c r="AD3" s="98"/>
      <c r="AE3" s="98"/>
    </row>
    <row r="4" spans="1:32" ht="16.95" customHeight="1" x14ac:dyDescent="0.3">
      <c r="A4" s="1095" t="s">
        <v>89</v>
      </c>
      <c r="B4" s="741">
        <v>1</v>
      </c>
      <c r="C4" s="743">
        <v>0.62538059999999995</v>
      </c>
      <c r="D4" s="743">
        <v>0.25017430000000002</v>
      </c>
      <c r="E4" s="743">
        <v>8.6274699999999996E-2</v>
      </c>
      <c r="F4" s="743">
        <v>3.81704E-2</v>
      </c>
      <c r="G4" s="739"/>
      <c r="H4" s="61">
        <f>SUM(C4:F4)</f>
        <v>1</v>
      </c>
      <c r="I4" s="61"/>
      <c r="J4" s="1100" t="s">
        <v>89</v>
      </c>
      <c r="K4" s="772" t="s">
        <v>868</v>
      </c>
      <c r="L4" s="772">
        <v>6.4980000000000003E-3</v>
      </c>
      <c r="M4" s="772">
        <v>1.2017E-2</v>
      </c>
      <c r="N4" s="772">
        <v>0.191825</v>
      </c>
      <c r="O4" s="772">
        <v>0.10979899999999999</v>
      </c>
      <c r="P4" s="772">
        <v>1.407E-3</v>
      </c>
      <c r="Q4" s="772">
        <v>7.5394000000000003E-2</v>
      </c>
      <c r="R4" s="772">
        <v>2.5489999999999999E-2</v>
      </c>
      <c r="S4" s="772">
        <v>0.13178300000000001</v>
      </c>
      <c r="T4" s="772">
        <v>0.191994</v>
      </c>
      <c r="U4" s="772">
        <v>2.2401000000000001E-2</v>
      </c>
      <c r="V4" s="772">
        <v>1.9498999999999999E-2</v>
      </c>
      <c r="W4" s="772">
        <v>0.134325</v>
      </c>
      <c r="X4" s="772">
        <v>2.9794000000000001E-2</v>
      </c>
      <c r="Y4" s="772">
        <v>8.7290000000000006E-3</v>
      </c>
      <c r="Z4" s="772">
        <v>1.5302E-2</v>
      </c>
      <c r="AA4" s="772">
        <v>2.3744000000000001E-2</v>
      </c>
      <c r="AB4" s="730">
        <f>SUM(L4:AA4)</f>
        <v>1.0000010000000001</v>
      </c>
      <c r="AC4" s="26"/>
      <c r="AD4" s="26"/>
      <c r="AE4" s="26"/>
      <c r="AF4" s="61"/>
    </row>
    <row r="5" spans="1:32" ht="16.95" customHeight="1" x14ac:dyDescent="0.3">
      <c r="A5" s="1095"/>
      <c r="B5" s="741">
        <v>2</v>
      </c>
      <c r="C5" s="743">
        <v>0.49161680000000002</v>
      </c>
      <c r="D5" s="743">
        <v>0.36428300000000002</v>
      </c>
      <c r="E5" s="743">
        <v>0.14393600000000001</v>
      </c>
      <c r="F5" s="743">
        <v>1.6420000000000001E-4</v>
      </c>
      <c r="G5" s="739"/>
      <c r="H5" s="61">
        <f t="shared" ref="H5:H19" si="0">SUM(C5:F5)</f>
        <v>1</v>
      </c>
      <c r="I5" s="61"/>
      <c r="J5" s="1100"/>
      <c r="K5" s="772" t="s">
        <v>64</v>
      </c>
      <c r="L5" s="772">
        <v>2.4789999999999999E-3</v>
      </c>
      <c r="M5" s="772">
        <v>8.4930000000000005E-3</v>
      </c>
      <c r="N5" s="772">
        <v>0.162243</v>
      </c>
      <c r="O5" s="772">
        <v>9.0839000000000003E-2</v>
      </c>
      <c r="P5" s="772">
        <v>5.3730000000000002E-3</v>
      </c>
      <c r="Q5" s="772">
        <v>8.7230000000000002E-2</v>
      </c>
      <c r="R5" s="772">
        <v>7.7756000000000006E-2</v>
      </c>
      <c r="S5" s="772">
        <v>0.14804300000000001</v>
      </c>
      <c r="T5" s="772">
        <v>0.193939</v>
      </c>
      <c r="U5" s="772">
        <v>5.4519999999999999E-2</v>
      </c>
      <c r="V5" s="772">
        <v>6.4120000000000002E-3</v>
      </c>
      <c r="W5" s="772">
        <v>0.106831</v>
      </c>
      <c r="X5" s="772">
        <v>5.4029999999999998E-3</v>
      </c>
      <c r="Y5" s="772">
        <v>1.6466999999999999E-2</v>
      </c>
      <c r="Z5" s="772">
        <v>8.097E-3</v>
      </c>
      <c r="AA5" s="772">
        <v>2.5876E-2</v>
      </c>
      <c r="AB5" s="730">
        <f>SUM(L5:AA5)</f>
        <v>1.0000009999999999</v>
      </c>
      <c r="AC5" s="26"/>
      <c r="AD5" s="26"/>
      <c r="AE5" s="26"/>
      <c r="AF5" s="61"/>
    </row>
    <row r="6" spans="1:32" ht="16.95" customHeight="1" x14ac:dyDescent="0.3">
      <c r="A6" s="1095"/>
      <c r="B6" s="741">
        <v>3</v>
      </c>
      <c r="C6" s="743">
        <v>0.40123320000000001</v>
      </c>
      <c r="D6" s="743">
        <v>0.355821</v>
      </c>
      <c r="E6" s="743">
        <v>0.1607827</v>
      </c>
      <c r="F6" s="743">
        <v>8.2163100000000003E-2</v>
      </c>
      <c r="G6" s="739"/>
      <c r="H6" s="61">
        <f t="shared" si="0"/>
        <v>1</v>
      </c>
      <c r="I6" s="61"/>
      <c r="J6" s="1100"/>
      <c r="K6" s="772" t="s">
        <v>65</v>
      </c>
      <c r="L6" s="772">
        <v>2.0920000000000001E-3</v>
      </c>
      <c r="M6" s="772">
        <v>8.2129999999999998E-3</v>
      </c>
      <c r="N6" s="772">
        <v>0.179424</v>
      </c>
      <c r="O6" s="772">
        <v>0.102217</v>
      </c>
      <c r="P6" s="772">
        <v>6.2699999999999995E-4</v>
      </c>
      <c r="Q6" s="772">
        <v>8.2297999999999996E-2</v>
      </c>
      <c r="R6" s="772">
        <v>7.7068999999999999E-2</v>
      </c>
      <c r="S6" s="772">
        <v>9.9135000000000001E-2</v>
      </c>
      <c r="T6" s="772">
        <v>0.107735</v>
      </c>
      <c r="U6" s="772">
        <v>8.5305000000000006E-2</v>
      </c>
      <c r="V6" s="772">
        <v>1.4224000000000001E-2</v>
      </c>
      <c r="W6" s="772">
        <v>0.138151</v>
      </c>
      <c r="X6" s="772">
        <v>4.0260000000000001E-3</v>
      </c>
      <c r="Y6" s="772">
        <v>2.0597000000000001E-2</v>
      </c>
      <c r="Z6" s="772">
        <v>2.9904E-2</v>
      </c>
      <c r="AA6" s="772">
        <v>4.8982999999999999E-2</v>
      </c>
      <c r="AB6" s="730">
        <f>SUM(L6:AA6)</f>
        <v>1</v>
      </c>
      <c r="AC6" s="26"/>
      <c r="AD6" s="26"/>
      <c r="AE6" s="26"/>
      <c r="AF6" s="61"/>
    </row>
    <row r="7" spans="1:32" ht="16.95" customHeight="1" x14ac:dyDescent="0.3">
      <c r="A7" s="1095"/>
      <c r="B7" s="741">
        <v>4</v>
      </c>
      <c r="C7" s="743">
        <v>0.40476849999999998</v>
      </c>
      <c r="D7" s="743">
        <v>0.3511203</v>
      </c>
      <c r="E7" s="743">
        <v>0.16143550000000001</v>
      </c>
      <c r="F7" s="743">
        <v>8.2675799999999994E-2</v>
      </c>
      <c r="G7" s="739"/>
      <c r="H7" s="61">
        <f t="shared" si="0"/>
        <v>1.0000001000000001</v>
      </c>
      <c r="I7" s="61"/>
      <c r="J7" s="1100"/>
      <c r="K7" s="772" t="s">
        <v>66</v>
      </c>
      <c r="L7" s="772">
        <v>1.915E-3</v>
      </c>
      <c r="M7" s="772">
        <v>1.9000000000000001E-5</v>
      </c>
      <c r="N7" s="772">
        <v>0.189718</v>
      </c>
      <c r="O7" s="772">
        <v>0.108316</v>
      </c>
      <c r="P7" s="772">
        <v>1.127E-3</v>
      </c>
      <c r="Q7" s="772">
        <v>7.0703000000000002E-2</v>
      </c>
      <c r="R7" s="772">
        <v>5.1622000000000001E-2</v>
      </c>
      <c r="S7" s="772">
        <v>9.3945000000000001E-2</v>
      </c>
      <c r="T7" s="772">
        <v>0.152701</v>
      </c>
      <c r="U7" s="772">
        <v>6.5831000000000001E-2</v>
      </c>
      <c r="V7" s="772">
        <v>1.7767000000000002E-2</v>
      </c>
      <c r="W7" s="772">
        <v>0.15241399999999999</v>
      </c>
      <c r="X7" s="772">
        <v>1.0439E-2</v>
      </c>
      <c r="Y7" s="772">
        <v>1.2078E-2</v>
      </c>
      <c r="Z7" s="772">
        <v>4.3401000000000002E-2</v>
      </c>
      <c r="AA7" s="772">
        <v>2.8004000000000001E-2</v>
      </c>
      <c r="AB7" s="730">
        <f>SUM(L7:AA7)</f>
        <v>1</v>
      </c>
      <c r="AC7" s="26"/>
      <c r="AD7" s="26"/>
      <c r="AE7" s="26"/>
      <c r="AF7" s="61"/>
    </row>
    <row r="8" spans="1:32" ht="16.95" customHeight="1" x14ac:dyDescent="0.3">
      <c r="A8" s="1095"/>
      <c r="B8" s="741">
        <v>5</v>
      </c>
      <c r="C8" s="743">
        <v>0.18658330000000001</v>
      </c>
      <c r="D8" s="743">
        <v>0.74683860000000002</v>
      </c>
      <c r="E8" s="743">
        <v>3.5639499999999998E-2</v>
      </c>
      <c r="F8" s="743">
        <v>3.0938500000000001E-2</v>
      </c>
      <c r="G8" s="739"/>
      <c r="H8" s="61">
        <f t="shared" si="0"/>
        <v>0.99999990000000005</v>
      </c>
      <c r="I8" s="61"/>
      <c r="J8" s="1100"/>
      <c r="K8" s="772"/>
      <c r="L8" s="772"/>
      <c r="M8" s="772"/>
      <c r="N8" s="772"/>
      <c r="O8" s="772"/>
      <c r="P8" s="772"/>
      <c r="Q8" s="772"/>
      <c r="R8" s="772"/>
      <c r="S8" s="772"/>
      <c r="T8" s="772"/>
      <c r="U8" s="772"/>
      <c r="V8" s="772"/>
      <c r="W8" s="772"/>
      <c r="X8" s="772"/>
      <c r="Y8" s="772"/>
      <c r="Z8" s="772"/>
      <c r="AA8" s="772"/>
      <c r="AB8" s="730"/>
      <c r="AC8" s="26"/>
      <c r="AD8" s="26"/>
      <c r="AE8" s="26"/>
      <c r="AF8" s="61"/>
    </row>
    <row r="9" spans="1:32" ht="16.95" customHeight="1" x14ac:dyDescent="0.3">
      <c r="A9" s="1095"/>
      <c r="B9" s="741">
        <v>6</v>
      </c>
      <c r="C9" s="743">
        <v>0.34783380000000003</v>
      </c>
      <c r="D9" s="743">
        <v>0.42196430000000001</v>
      </c>
      <c r="E9" s="743">
        <v>0.1626639</v>
      </c>
      <c r="F9" s="743">
        <v>6.7538000000000001E-2</v>
      </c>
      <c r="G9" s="739"/>
      <c r="H9" s="61">
        <f t="shared" si="0"/>
        <v>1</v>
      </c>
      <c r="I9" s="61"/>
      <c r="J9" s="1100"/>
      <c r="K9" s="772" t="s">
        <v>232</v>
      </c>
      <c r="L9" s="772">
        <v>3.8709999999999999E-3</v>
      </c>
      <c r="M9" s="772">
        <v>9.1079999999999998E-3</v>
      </c>
      <c r="N9" s="772">
        <v>0.17812700000000001</v>
      </c>
      <c r="O9" s="772">
        <v>0.10106800000000001</v>
      </c>
      <c r="P9" s="772">
        <v>2.81E-3</v>
      </c>
      <c r="Q9" s="772">
        <v>8.0757999999999996E-2</v>
      </c>
      <c r="R9" s="772">
        <v>5.6156999999999999E-2</v>
      </c>
      <c r="S9" s="772">
        <v>0.13000500000000001</v>
      </c>
      <c r="T9" s="772">
        <v>0.17627300000000001</v>
      </c>
      <c r="U9" s="772">
        <v>4.8340000000000001E-2</v>
      </c>
      <c r="V9" s="772">
        <v>1.3410999999999999E-2</v>
      </c>
      <c r="W9" s="772">
        <v>0.12559000000000001</v>
      </c>
      <c r="X9" s="772">
        <v>1.4659E-2</v>
      </c>
      <c r="Y9" s="772">
        <v>1.3904E-2</v>
      </c>
      <c r="Z9" s="772">
        <v>1.6986000000000001E-2</v>
      </c>
      <c r="AA9" s="772">
        <v>2.8934000000000001E-2</v>
      </c>
      <c r="AB9" s="730">
        <f>SUM(L9:AA9)</f>
        <v>1.0000009999999999</v>
      </c>
      <c r="AC9" s="26"/>
      <c r="AD9" s="26"/>
      <c r="AE9" s="26"/>
      <c r="AF9" s="30"/>
    </row>
    <row r="10" spans="1:32" ht="16.95" customHeight="1" x14ac:dyDescent="0.3">
      <c r="A10" s="1095"/>
      <c r="B10" s="741">
        <v>7</v>
      </c>
      <c r="C10" s="743">
        <v>0.16911680000000001</v>
      </c>
      <c r="D10" s="743">
        <v>0.54090870000000002</v>
      </c>
      <c r="E10" s="743">
        <v>0.21906059999999999</v>
      </c>
      <c r="F10" s="743">
        <v>7.0913900000000002E-2</v>
      </c>
      <c r="G10" s="739"/>
      <c r="H10" s="61">
        <f t="shared" si="0"/>
        <v>0.99999999999999989</v>
      </c>
      <c r="I10" s="61"/>
      <c r="J10" s="61"/>
      <c r="K10" s="61"/>
      <c r="L10" s="61"/>
      <c r="M10" s="61"/>
      <c r="N10" s="6"/>
      <c r="O10" s="59"/>
      <c r="P10" s="26"/>
      <c r="Q10" s="26"/>
      <c r="R10" s="26"/>
      <c r="S10" s="26"/>
      <c r="T10" s="60"/>
    </row>
    <row r="11" spans="1:32" ht="16.95" customHeight="1" x14ac:dyDescent="0.3">
      <c r="A11" s="1095"/>
      <c r="B11" s="741">
        <v>8</v>
      </c>
      <c r="C11" s="743">
        <v>0.37767830000000002</v>
      </c>
      <c r="D11" s="743">
        <v>0.44485849999999999</v>
      </c>
      <c r="E11" s="743">
        <v>0.1217174</v>
      </c>
      <c r="F11" s="743">
        <v>5.5745799999999998E-2</v>
      </c>
      <c r="G11" s="739"/>
      <c r="H11" s="61">
        <f t="shared" si="0"/>
        <v>0.99999999999999989</v>
      </c>
      <c r="I11" s="61"/>
      <c r="J11" s="61"/>
      <c r="K11" s="61"/>
      <c r="L11" s="61"/>
      <c r="M11" s="61"/>
      <c r="N11" s="6"/>
      <c r="O11" s="59"/>
      <c r="P11" s="26"/>
      <c r="Q11" s="26"/>
      <c r="R11" s="26"/>
      <c r="S11" s="26"/>
      <c r="T11" s="60"/>
    </row>
    <row r="12" spans="1:32" ht="16.95" customHeight="1" x14ac:dyDescent="0.3">
      <c r="A12" s="1095"/>
      <c r="B12" s="741">
        <v>9</v>
      </c>
      <c r="C12" s="743">
        <v>0.4058099</v>
      </c>
      <c r="D12" s="743">
        <v>0.42980639999999998</v>
      </c>
      <c r="E12" s="743">
        <v>9.7556599999999993E-2</v>
      </c>
      <c r="F12" s="743">
        <v>6.68271E-2</v>
      </c>
      <c r="G12" s="739"/>
      <c r="H12" s="61">
        <f t="shared" si="0"/>
        <v>1</v>
      </c>
      <c r="I12" s="61"/>
      <c r="J12" s="60"/>
      <c r="K12" s="61"/>
      <c r="L12" s="61"/>
      <c r="M12" s="61"/>
      <c r="N12" s="6"/>
      <c r="R12" s="26"/>
      <c r="S12" s="26"/>
      <c r="T12" s="60"/>
    </row>
    <row r="13" spans="1:32" ht="16.95" customHeight="1" x14ac:dyDescent="0.3">
      <c r="A13" s="1095"/>
      <c r="B13" s="741">
        <v>10</v>
      </c>
      <c r="C13" s="743">
        <v>0.17266039999999999</v>
      </c>
      <c r="D13" s="743">
        <v>0.44059930000000003</v>
      </c>
      <c r="E13" s="743">
        <v>0.28168349999999998</v>
      </c>
      <c r="F13" s="743">
        <v>0.10505689999999999</v>
      </c>
      <c r="G13" s="739"/>
      <c r="H13" s="61">
        <f t="shared" si="0"/>
        <v>1.0000000999999998</v>
      </c>
      <c r="I13" s="61"/>
      <c r="J13" s="61"/>
      <c r="K13" s="61"/>
      <c r="L13" s="61"/>
      <c r="M13" s="61"/>
      <c r="N13" s="6"/>
      <c r="R13" s="26"/>
      <c r="S13" s="26"/>
      <c r="T13" s="60"/>
    </row>
    <row r="14" spans="1:32" ht="16.95" customHeight="1" x14ac:dyDescent="0.3">
      <c r="A14" s="1095"/>
      <c r="B14" s="741">
        <v>11</v>
      </c>
      <c r="C14" s="743">
        <v>0.54172279999999995</v>
      </c>
      <c r="D14" s="743">
        <v>0.1867771</v>
      </c>
      <c r="E14" s="743">
        <v>0.16930200000000001</v>
      </c>
      <c r="F14" s="743">
        <v>0.1021981</v>
      </c>
      <c r="G14" s="739"/>
      <c r="H14" s="61">
        <f t="shared" si="0"/>
        <v>0.99999999999999989</v>
      </c>
      <c r="I14" s="61"/>
      <c r="J14" s="1094" t="s">
        <v>869</v>
      </c>
      <c r="K14" s="1094"/>
      <c r="L14" s="1094"/>
      <c r="M14" s="61"/>
      <c r="N14" s="6"/>
      <c r="R14" s="26"/>
      <c r="S14" s="26"/>
      <c r="T14" s="60"/>
    </row>
    <row r="15" spans="1:32" ht="16.95" customHeight="1" x14ac:dyDescent="0.3">
      <c r="A15" s="1095"/>
      <c r="B15" s="741">
        <v>12</v>
      </c>
      <c r="C15" s="743">
        <v>0.39849319999999999</v>
      </c>
      <c r="D15" s="743">
        <v>0.33230359999999998</v>
      </c>
      <c r="E15" s="743">
        <v>0.17558370000000001</v>
      </c>
      <c r="F15" s="743">
        <v>9.3619499999999994E-2</v>
      </c>
      <c r="G15" s="739"/>
      <c r="H15" s="61">
        <f t="shared" si="0"/>
        <v>1</v>
      </c>
      <c r="I15" s="61"/>
      <c r="J15" s="96" t="s">
        <v>870</v>
      </c>
      <c r="K15" s="96" t="s">
        <v>871</v>
      </c>
      <c r="L15" s="96" t="s">
        <v>483</v>
      </c>
      <c r="M15" s="61"/>
      <c r="N15" s="6"/>
      <c r="O15" s="59"/>
      <c r="P15" s="26"/>
      <c r="Q15" s="26"/>
      <c r="R15" s="26"/>
      <c r="S15" s="26"/>
      <c r="T15" s="60"/>
    </row>
    <row r="16" spans="1:32" ht="16.95" customHeight="1" x14ac:dyDescent="0.3">
      <c r="A16" s="1095"/>
      <c r="B16" s="741">
        <v>13</v>
      </c>
      <c r="C16" s="743">
        <v>0.75724210000000003</v>
      </c>
      <c r="D16" s="743">
        <v>0.1439877</v>
      </c>
      <c r="E16" s="743">
        <v>4.3833499999999997E-2</v>
      </c>
      <c r="F16" s="743">
        <v>5.4936699999999998E-2</v>
      </c>
      <c r="G16" s="739"/>
      <c r="H16" s="61">
        <f t="shared" si="0"/>
        <v>1</v>
      </c>
      <c r="I16" s="61"/>
      <c r="J16" s="97">
        <v>0.35389988454261673</v>
      </c>
      <c r="K16" s="97">
        <v>0.29432530367139048</v>
      </c>
      <c r="L16" s="97">
        <v>0.35177481178599351</v>
      </c>
      <c r="M16" s="61"/>
      <c r="N16" s="6"/>
      <c r="O16" s="59"/>
      <c r="P16" s="26"/>
      <c r="Q16" s="26"/>
      <c r="R16" s="26"/>
      <c r="S16" s="26"/>
      <c r="T16" s="60"/>
    </row>
    <row r="17" spans="1:27" ht="16.95" customHeight="1" x14ac:dyDescent="0.3">
      <c r="A17" s="1095"/>
      <c r="B17" s="741">
        <v>14</v>
      </c>
      <c r="C17" s="743">
        <v>0.2338935</v>
      </c>
      <c r="D17" s="743">
        <v>0.46264899999999998</v>
      </c>
      <c r="E17" s="743">
        <v>0.2364483</v>
      </c>
      <c r="F17" s="743">
        <v>6.7009200000000005E-2</v>
      </c>
      <c r="G17" s="739"/>
      <c r="H17" s="61">
        <f t="shared" si="0"/>
        <v>1</v>
      </c>
      <c r="I17" s="61"/>
      <c r="J17" s="61"/>
      <c r="K17" s="61"/>
      <c r="L17" s="61"/>
      <c r="M17" s="61"/>
      <c r="N17" s="6"/>
      <c r="O17" s="59"/>
      <c r="P17" s="26"/>
      <c r="Q17" s="26"/>
      <c r="R17" s="26"/>
      <c r="S17" s="26"/>
      <c r="T17" s="60"/>
    </row>
    <row r="18" spans="1:27" ht="16.95" customHeight="1" x14ac:dyDescent="0.3">
      <c r="A18" s="1095"/>
      <c r="B18" s="741">
        <v>15</v>
      </c>
      <c r="C18" s="743">
        <v>0.33564620000000001</v>
      </c>
      <c r="D18" s="743">
        <v>0.1862212</v>
      </c>
      <c r="E18" s="743">
        <v>0.28102009999999999</v>
      </c>
      <c r="F18" s="743">
        <v>0.1971125</v>
      </c>
      <c r="G18" s="739"/>
      <c r="H18" s="61">
        <f t="shared" si="0"/>
        <v>1</v>
      </c>
      <c r="I18" s="61"/>
      <c r="J18" s="61"/>
      <c r="K18" s="61"/>
      <c r="L18" s="61"/>
      <c r="M18" s="61"/>
      <c r="N18" s="204"/>
      <c r="O18" s="731"/>
      <c r="P18" s="26"/>
      <c r="Q18" s="26"/>
      <c r="R18" s="26"/>
      <c r="S18" s="26"/>
      <c r="T18" s="60"/>
      <c r="U18" s="732"/>
      <c r="V18" s="732"/>
      <c r="W18" s="732"/>
      <c r="X18" s="732"/>
      <c r="Y18" s="732"/>
      <c r="Z18" s="732"/>
      <c r="AA18" s="732"/>
    </row>
    <row r="19" spans="1:27" ht="16.95" customHeight="1" x14ac:dyDescent="0.3">
      <c r="A19" s="1095"/>
      <c r="B19" s="741">
        <v>16</v>
      </c>
      <c r="C19" s="743">
        <v>0.30574580000000001</v>
      </c>
      <c r="D19" s="743">
        <v>0.34937119999999999</v>
      </c>
      <c r="E19" s="743">
        <v>0.27022040000000003</v>
      </c>
      <c r="F19" s="743">
        <v>7.4662599999999996E-2</v>
      </c>
      <c r="G19" s="739"/>
      <c r="H19" s="61">
        <f t="shared" si="0"/>
        <v>1</v>
      </c>
      <c r="I19" s="61"/>
      <c r="J19" s="61"/>
      <c r="K19" s="61"/>
      <c r="L19" s="61"/>
      <c r="M19" s="61"/>
      <c r="N19" s="204"/>
      <c r="O19" s="731"/>
      <c r="P19" s="26"/>
      <c r="Q19" s="26"/>
      <c r="R19" s="26"/>
      <c r="S19" s="26"/>
      <c r="T19" s="60"/>
      <c r="U19" s="732"/>
      <c r="V19" s="732"/>
      <c r="W19" s="732"/>
      <c r="X19" s="732"/>
      <c r="Y19" s="732"/>
      <c r="Z19" s="732"/>
      <c r="AA19" s="732"/>
    </row>
    <row r="20" spans="1:27" ht="14.4" x14ac:dyDescent="0.3">
      <c r="A20" s="1095"/>
      <c r="B20" s="742" t="s">
        <v>872</v>
      </c>
      <c r="C20" s="743">
        <v>0.37258140000000001</v>
      </c>
      <c r="D20" s="743">
        <v>0.39065559999999999</v>
      </c>
      <c r="E20" s="743">
        <v>0.15961990000000001</v>
      </c>
      <c r="F20" s="743">
        <v>7.7143100000000006E-2</v>
      </c>
      <c r="G20" s="740"/>
      <c r="H20" s="730">
        <f>SUM(C20:F20)</f>
        <v>1</v>
      </c>
      <c r="K20" s="732"/>
      <c r="L20" s="732"/>
      <c r="M20" s="732"/>
      <c r="N20" s="732"/>
      <c r="O20" s="732"/>
      <c r="P20" s="732"/>
      <c r="Q20" s="732"/>
      <c r="R20" s="732"/>
      <c r="S20" s="732"/>
      <c r="T20" s="732"/>
      <c r="U20" s="732"/>
      <c r="V20" s="732"/>
      <c r="W20" s="732"/>
      <c r="X20" s="732"/>
      <c r="Y20" s="732"/>
      <c r="Z20" s="732"/>
      <c r="AA20" s="732"/>
    </row>
    <row r="21" spans="1:27" x14ac:dyDescent="0.25">
      <c r="K21" s="732"/>
      <c r="L21" s="732"/>
      <c r="M21" s="732"/>
      <c r="N21" s="732"/>
      <c r="O21" s="732"/>
      <c r="P21" s="732"/>
      <c r="Q21" s="732"/>
      <c r="R21" s="732"/>
      <c r="S21" s="732"/>
      <c r="T21" s="732"/>
      <c r="U21" s="732"/>
      <c r="V21" s="732"/>
      <c r="W21" s="732"/>
      <c r="X21" s="732"/>
      <c r="Y21" s="732"/>
      <c r="Z21" s="732"/>
      <c r="AA21" s="732"/>
    </row>
    <row r="22" spans="1:27" x14ac:dyDescent="0.25">
      <c r="A22" s="5" t="s">
        <v>873</v>
      </c>
    </row>
    <row r="29" spans="1:27" s="21" customFormat="1" hidden="1" x14ac:dyDescent="0.25">
      <c r="A29" s="21" t="s">
        <v>444</v>
      </c>
      <c r="E29" s="22"/>
      <c r="F29" s="23"/>
      <c r="G29" s="24"/>
    </row>
    <row r="33" spans="1:14" ht="15.6" x14ac:dyDescent="0.25">
      <c r="A33" s="53"/>
      <c r="B33" s="53"/>
      <c r="C33" s="53"/>
      <c r="D33" s="53"/>
      <c r="E33" s="53"/>
      <c r="F33" s="53"/>
      <c r="G33" s="53"/>
      <c r="K33" s="730"/>
      <c r="L33" s="730"/>
      <c r="M33" s="733"/>
      <c r="N33" s="733"/>
    </row>
    <row r="34" spans="1:14" x14ac:dyDescent="0.25">
      <c r="A34" s="100"/>
      <c r="B34" s="100"/>
      <c r="C34" s="100"/>
      <c r="D34" s="100"/>
      <c r="E34" s="100"/>
      <c r="F34" s="100"/>
      <c r="G34" s="100"/>
      <c r="K34" s="730"/>
      <c r="L34" s="730"/>
      <c r="M34" s="733"/>
      <c r="N34" s="733"/>
    </row>
    <row r="35" spans="1:14" x14ac:dyDescent="0.25">
      <c r="A35" s="100"/>
      <c r="B35" s="100"/>
      <c r="C35" s="100"/>
      <c r="D35" s="100"/>
      <c r="E35" s="100"/>
      <c r="F35" s="100"/>
      <c r="G35" s="100"/>
      <c r="J35" s="100"/>
      <c r="K35" s="730"/>
      <c r="L35" s="730"/>
      <c r="M35" s="733"/>
      <c r="N35" s="733"/>
    </row>
    <row r="36" spans="1:14" ht="14.4" x14ac:dyDescent="0.3">
      <c r="A36" s="35"/>
      <c r="B36" s="725"/>
      <c r="C36" s="726"/>
      <c r="D36" s="726"/>
      <c r="E36" s="726"/>
      <c r="F36" s="726"/>
      <c r="G36" s="726"/>
      <c r="H36" s="30"/>
      <c r="J36" s="32"/>
      <c r="K36" s="734"/>
      <c r="L36" s="734"/>
      <c r="M36" s="733"/>
      <c r="N36" s="733"/>
    </row>
    <row r="37" spans="1:14" ht="14.4" x14ac:dyDescent="0.3">
      <c r="A37" s="35"/>
      <c r="B37" s="725"/>
      <c r="C37" s="726"/>
      <c r="D37" s="726"/>
      <c r="E37" s="726"/>
      <c r="F37" s="726"/>
      <c r="G37" s="726"/>
      <c r="H37" s="30"/>
      <c r="J37" s="32"/>
      <c r="K37" s="735"/>
      <c r="L37" s="735"/>
      <c r="M37" s="733"/>
      <c r="N37" s="733"/>
    </row>
    <row r="38" spans="1:14" ht="14.4" x14ac:dyDescent="0.3">
      <c r="A38" s="35"/>
      <c r="B38" s="725"/>
      <c r="C38" s="726"/>
      <c r="D38" s="726"/>
      <c r="E38" s="726"/>
      <c r="F38" s="726"/>
      <c r="G38" s="726"/>
      <c r="H38" s="30"/>
      <c r="J38" s="32"/>
      <c r="K38" s="736"/>
      <c r="L38" s="736"/>
      <c r="M38" s="733"/>
      <c r="N38" s="733"/>
    </row>
    <row r="39" spans="1:14" ht="14.4" x14ac:dyDescent="0.3">
      <c r="A39" s="35"/>
      <c r="B39" s="725"/>
      <c r="C39" s="726"/>
      <c r="D39" s="726"/>
      <c r="E39" s="726"/>
      <c r="F39" s="726"/>
      <c r="G39" s="726"/>
      <c r="H39" s="30"/>
      <c r="J39" s="32"/>
      <c r="K39" s="736"/>
      <c r="L39" s="736"/>
      <c r="M39" s="733"/>
      <c r="N39" s="733"/>
    </row>
    <row r="40" spans="1:14" ht="14.4" x14ac:dyDescent="0.3">
      <c r="A40" s="35"/>
      <c r="B40" s="725"/>
      <c r="C40" s="726"/>
      <c r="D40" s="726"/>
      <c r="E40" s="726"/>
      <c r="F40" s="726"/>
      <c r="G40" s="726"/>
      <c r="H40" s="30"/>
      <c r="J40" s="32"/>
      <c r="K40" s="736"/>
      <c r="L40" s="736"/>
      <c r="M40" s="733"/>
      <c r="N40" s="733"/>
    </row>
    <row r="41" spans="1:14" ht="14.4" x14ac:dyDescent="0.3">
      <c r="A41" s="35"/>
      <c r="B41" s="725"/>
      <c r="C41" s="726"/>
      <c r="D41" s="726"/>
      <c r="E41" s="726"/>
      <c r="F41" s="726"/>
      <c r="G41" s="726"/>
      <c r="H41" s="30"/>
      <c r="J41" s="32"/>
      <c r="K41" s="736"/>
      <c r="L41" s="736"/>
      <c r="M41" s="733"/>
      <c r="N41" s="733"/>
    </row>
    <row r="42" spans="1:14" ht="14.4" x14ac:dyDescent="0.3">
      <c r="A42" s="35"/>
      <c r="B42" s="725"/>
      <c r="C42" s="726"/>
      <c r="D42" s="726"/>
      <c r="E42" s="726"/>
      <c r="F42" s="726"/>
      <c r="G42" s="726"/>
      <c r="H42" s="30"/>
      <c r="J42" s="32"/>
      <c r="K42" s="737"/>
      <c r="L42" s="737"/>
      <c r="M42" s="733"/>
      <c r="N42" s="733"/>
    </row>
    <row r="43" spans="1:14" ht="14.4" x14ac:dyDescent="0.3">
      <c r="A43" s="35"/>
      <c r="B43" s="725"/>
      <c r="C43" s="726"/>
      <c r="D43" s="726"/>
      <c r="E43" s="726"/>
      <c r="F43" s="726"/>
      <c r="G43" s="726"/>
      <c r="H43" s="30"/>
      <c r="J43" s="32"/>
      <c r="K43" s="733"/>
      <c r="L43" s="733"/>
      <c r="M43" s="733"/>
      <c r="N43" s="733"/>
    </row>
    <row r="44" spans="1:14" ht="14.4" x14ac:dyDescent="0.3">
      <c r="A44" s="35"/>
      <c r="B44" s="725"/>
      <c r="C44" s="726"/>
      <c r="D44" s="726"/>
      <c r="E44" s="726"/>
      <c r="F44" s="726"/>
      <c r="G44" s="726"/>
      <c r="H44" s="30"/>
      <c r="J44" s="32"/>
      <c r="K44" s="733"/>
      <c r="L44" s="733"/>
      <c r="M44" s="733"/>
      <c r="N44" s="733"/>
    </row>
    <row r="45" spans="1:14" ht="14.4" x14ac:dyDescent="0.3">
      <c r="A45" s="35"/>
      <c r="B45" s="725"/>
      <c r="C45" s="726"/>
      <c r="D45" s="726"/>
      <c r="E45" s="726"/>
      <c r="F45" s="726"/>
      <c r="G45" s="726"/>
      <c r="H45" s="30"/>
      <c r="J45" s="32"/>
      <c r="K45" s="733"/>
      <c r="L45" s="733"/>
      <c r="M45" s="733"/>
      <c r="N45" s="733"/>
    </row>
    <row r="46" spans="1:14" ht="14.4" x14ac:dyDescent="0.3">
      <c r="A46" s="35"/>
      <c r="B46" s="725"/>
      <c r="C46" s="726"/>
      <c r="D46" s="726"/>
      <c r="E46" s="726"/>
      <c r="F46" s="726"/>
      <c r="G46" s="726"/>
      <c r="H46" s="30"/>
      <c r="J46" s="32"/>
      <c r="K46" s="733"/>
      <c r="L46" s="733"/>
      <c r="M46" s="733"/>
      <c r="N46" s="733"/>
    </row>
    <row r="47" spans="1:14" ht="14.4" x14ac:dyDescent="0.3">
      <c r="A47" s="35"/>
      <c r="B47" s="725"/>
      <c r="C47" s="726"/>
      <c r="D47" s="726"/>
      <c r="E47" s="726"/>
      <c r="F47" s="726"/>
      <c r="G47" s="726"/>
      <c r="H47" s="30"/>
      <c r="J47" s="32"/>
      <c r="K47" s="733"/>
      <c r="L47" s="733"/>
      <c r="M47" s="733"/>
      <c r="N47" s="733"/>
    </row>
    <row r="48" spans="1:14" ht="14.4" x14ac:dyDescent="0.3">
      <c r="A48" s="35"/>
      <c r="B48" s="725"/>
      <c r="C48" s="726"/>
      <c r="D48" s="726"/>
      <c r="E48" s="726"/>
      <c r="F48" s="726"/>
      <c r="G48" s="726"/>
      <c r="H48" s="30"/>
      <c r="J48" s="32"/>
      <c r="K48" s="733"/>
      <c r="L48" s="733"/>
      <c r="M48" s="733"/>
      <c r="N48" s="733"/>
    </row>
    <row r="49" spans="1:14" ht="14.4" x14ac:dyDescent="0.3">
      <c r="A49" s="35"/>
      <c r="B49" s="725"/>
      <c r="C49" s="726"/>
      <c r="D49" s="726"/>
      <c r="E49" s="726"/>
      <c r="F49" s="726"/>
      <c r="G49" s="726"/>
      <c r="H49" s="30"/>
      <c r="J49" s="32"/>
      <c r="K49" s="733"/>
      <c r="L49" s="733"/>
      <c r="M49" s="733"/>
      <c r="N49" s="733"/>
    </row>
    <row r="50" spans="1:14" ht="14.4" x14ac:dyDescent="0.3">
      <c r="A50" s="35"/>
      <c r="B50" s="725"/>
      <c r="C50" s="726"/>
      <c r="D50" s="726"/>
      <c r="E50" s="726"/>
      <c r="F50" s="726"/>
      <c r="G50" s="726"/>
      <c r="H50" s="30"/>
      <c r="J50" s="32"/>
      <c r="K50" s="32"/>
      <c r="L50" s="32"/>
      <c r="M50" s="32"/>
      <c r="N50" s="32"/>
    </row>
    <row r="51" spans="1:14" ht="14.4" x14ac:dyDescent="0.3">
      <c r="A51" s="35"/>
      <c r="B51" s="725"/>
      <c r="C51" s="726"/>
      <c r="D51" s="726"/>
      <c r="E51" s="726"/>
      <c r="F51" s="726"/>
      <c r="G51" s="726"/>
      <c r="H51" s="30"/>
      <c r="J51" s="32"/>
      <c r="K51" s="32"/>
      <c r="L51" s="32"/>
      <c r="M51" s="32"/>
      <c r="N51" s="32"/>
    </row>
    <row r="52" spans="1:14" ht="14.4" x14ac:dyDescent="0.3">
      <c r="A52" s="35"/>
      <c r="B52" s="727"/>
      <c r="C52" s="728"/>
      <c r="D52" s="728"/>
      <c r="E52" s="728"/>
      <c r="F52" s="728"/>
      <c r="G52" s="728"/>
      <c r="J52" s="32"/>
      <c r="K52" s="32"/>
      <c r="L52" s="32"/>
      <c r="M52" s="32"/>
      <c r="N52" s="32"/>
    </row>
  </sheetData>
  <mergeCells count="11">
    <mergeCell ref="J14:L14"/>
    <mergeCell ref="A4:A20"/>
    <mergeCell ref="C2:G2"/>
    <mergeCell ref="A1:G1"/>
    <mergeCell ref="B2:B3"/>
    <mergeCell ref="A2:A3"/>
    <mergeCell ref="J1:AA1"/>
    <mergeCell ref="J2:J3"/>
    <mergeCell ref="K2:K3"/>
    <mergeCell ref="L2:AA2"/>
    <mergeCell ref="J4:J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1"/>
  <sheetViews>
    <sheetView workbookViewId="0">
      <selection sqref="A1:J1"/>
    </sheetView>
  </sheetViews>
  <sheetFormatPr defaultRowHeight="14.4" x14ac:dyDescent="0.3"/>
  <sheetData>
    <row r="1" spans="1:10" ht="15.6" customHeight="1" x14ac:dyDescent="0.3">
      <c r="A1" s="1101" t="str">
        <f>"PV - "&amp;Prototype!A2</f>
        <v>PV - OfficeLarge</v>
      </c>
      <c r="B1" s="1101"/>
      <c r="C1" s="1101"/>
      <c r="D1" s="1101"/>
      <c r="E1" s="1101"/>
      <c r="F1" s="1101"/>
      <c r="G1" s="1101"/>
      <c r="H1" s="1101"/>
      <c r="I1" s="1101"/>
      <c r="J1" s="1101"/>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6640625" defaultRowHeight="13.2" x14ac:dyDescent="0.25"/>
  <cols>
    <col min="1" max="1" width="21" style="5" customWidth="1"/>
    <col min="2" max="2" width="14.33203125" style="5" customWidth="1"/>
    <col min="3" max="3" width="14.5546875" style="5" customWidth="1"/>
    <col min="4" max="8" width="8.6640625" style="5"/>
    <col min="9" max="9" width="13.6640625" style="5" customWidth="1"/>
    <col min="10" max="10" width="14.44140625" style="5" customWidth="1"/>
    <col min="11" max="16384" width="8.6640625" style="5"/>
  </cols>
  <sheetData>
    <row r="1" spans="1:8" ht="15.6" x14ac:dyDescent="0.25">
      <c r="A1" s="864" t="str">
        <f>"EV Charger - "&amp;Prototype!A2</f>
        <v>EV Charger - OfficeLarge</v>
      </c>
      <c r="B1" s="864"/>
      <c r="C1" s="864"/>
      <c r="D1" s="864"/>
      <c r="E1" s="864"/>
      <c r="F1" s="864"/>
      <c r="G1" s="864"/>
      <c r="H1" s="864"/>
    </row>
    <row r="2" spans="1:8" x14ac:dyDescent="0.25">
      <c r="B2" s="46"/>
      <c r="C2" s="150"/>
      <c r="D2" s="47"/>
      <c r="E2" s="47"/>
    </row>
    <row r="3" spans="1:8" x14ac:dyDescent="0.25">
      <c r="A3" s="37"/>
      <c r="B3" s="45"/>
      <c r="C3" s="476"/>
      <c r="D3" s="48"/>
      <c r="E3" s="48"/>
    </row>
    <row r="11" spans="1:8" s="21" customFormat="1" hidden="1" x14ac:dyDescent="0.25">
      <c r="A11" s="21" t="s">
        <v>444</v>
      </c>
      <c r="E11" s="22"/>
      <c r="F11" s="23"/>
      <c r="G11" s="24"/>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FE011-13EA-4575-9C3B-666832DB0B87}">
  <sheetPr codeName="Sheet16"/>
  <dimension ref="A1:G83"/>
  <sheetViews>
    <sheetView topLeftCell="A70" workbookViewId="0">
      <selection activeCell="A83" sqref="A83"/>
    </sheetView>
  </sheetViews>
  <sheetFormatPr defaultRowHeight="14.4" x14ac:dyDescent="0.3"/>
  <cols>
    <col min="1" max="1" width="58.6640625" customWidth="1"/>
    <col min="2" max="2" width="30.88671875" customWidth="1"/>
    <col min="3" max="3" width="30.33203125" customWidth="1"/>
  </cols>
  <sheetData>
    <row r="1" spans="1:7" x14ac:dyDescent="0.3">
      <c r="A1" t="s">
        <v>874</v>
      </c>
      <c r="B1" t="s">
        <v>875</v>
      </c>
      <c r="C1" t="s">
        <v>875</v>
      </c>
      <c r="D1" s="1102" t="s">
        <v>876</v>
      </c>
      <c r="E1" s="1102"/>
      <c r="F1" s="1102"/>
      <c r="G1" s="1102"/>
    </row>
    <row r="2" spans="1:7" x14ac:dyDescent="0.3">
      <c r="A2" s="747" t="s">
        <v>877</v>
      </c>
      <c r="D2">
        <v>2013</v>
      </c>
      <c r="E2">
        <v>2016</v>
      </c>
      <c r="F2">
        <v>2019</v>
      </c>
      <c r="G2">
        <v>2025</v>
      </c>
    </row>
    <row r="3" spans="1:7" x14ac:dyDescent="0.3">
      <c r="A3" s="747" t="s">
        <v>878</v>
      </c>
    </row>
    <row r="4" spans="1:7" x14ac:dyDescent="0.3">
      <c r="A4" t="s">
        <v>879</v>
      </c>
    </row>
    <row r="5" spans="1:7" x14ac:dyDescent="0.3">
      <c r="A5" t="s">
        <v>880</v>
      </c>
    </row>
    <row r="6" spans="1:7" x14ac:dyDescent="0.3">
      <c r="A6" t="s">
        <v>881</v>
      </c>
    </row>
    <row r="7" spans="1:7" x14ac:dyDescent="0.3">
      <c r="A7" t="s">
        <v>882</v>
      </c>
    </row>
    <row r="8" spans="1:7" x14ac:dyDescent="0.3">
      <c r="A8" t="s">
        <v>883</v>
      </c>
    </row>
    <row r="9" spans="1:7" x14ac:dyDescent="0.3">
      <c r="A9" t="s">
        <v>884</v>
      </c>
    </row>
    <row r="10" spans="1:7" x14ac:dyDescent="0.3">
      <c r="A10" t="s">
        <v>885</v>
      </c>
    </row>
    <row r="11" spans="1:7" x14ac:dyDescent="0.3">
      <c r="A11" t="s">
        <v>886</v>
      </c>
    </row>
    <row r="12" spans="1:7" x14ac:dyDescent="0.3">
      <c r="A12" t="s">
        <v>887</v>
      </c>
    </row>
    <row r="13" spans="1:7" x14ac:dyDescent="0.3">
      <c r="A13" t="s">
        <v>888</v>
      </c>
    </row>
    <row r="14" spans="1:7" x14ac:dyDescent="0.3">
      <c r="A14" t="s">
        <v>889</v>
      </c>
    </row>
    <row r="15" spans="1:7" x14ac:dyDescent="0.3">
      <c r="A15" t="s">
        <v>890</v>
      </c>
    </row>
    <row r="16" spans="1:7" x14ac:dyDescent="0.3">
      <c r="A16" t="s">
        <v>891</v>
      </c>
    </row>
    <row r="17" spans="1:1" x14ac:dyDescent="0.3">
      <c r="A17" t="s">
        <v>159</v>
      </c>
    </row>
    <row r="18" spans="1:1" x14ac:dyDescent="0.3">
      <c r="A18" t="s">
        <v>892</v>
      </c>
    </row>
    <row r="19" spans="1:1" x14ac:dyDescent="0.3">
      <c r="A19" t="s">
        <v>173</v>
      </c>
    </row>
    <row r="20" spans="1:1" x14ac:dyDescent="0.3">
      <c r="A20" t="s">
        <v>893</v>
      </c>
    </row>
    <row r="21" spans="1:1" x14ac:dyDescent="0.3">
      <c r="A21" t="s">
        <v>894</v>
      </c>
    </row>
    <row r="22" spans="1:1" x14ac:dyDescent="0.3">
      <c r="A22" t="s">
        <v>895</v>
      </c>
    </row>
    <row r="23" spans="1:1" x14ac:dyDescent="0.3">
      <c r="A23" t="s">
        <v>156</v>
      </c>
    </row>
    <row r="24" spans="1:1" x14ac:dyDescent="0.3">
      <c r="A24" t="s">
        <v>896</v>
      </c>
    </row>
    <row r="25" spans="1:1" x14ac:dyDescent="0.3">
      <c r="A25" t="s">
        <v>897</v>
      </c>
    </row>
    <row r="26" spans="1:1" x14ac:dyDescent="0.3">
      <c r="A26" t="s">
        <v>898</v>
      </c>
    </row>
    <row r="27" spans="1:1" x14ac:dyDescent="0.3">
      <c r="A27" t="s">
        <v>899</v>
      </c>
    </row>
    <row r="28" spans="1:1" x14ac:dyDescent="0.3">
      <c r="A28" t="s">
        <v>900</v>
      </c>
    </row>
    <row r="29" spans="1:1" x14ac:dyDescent="0.3">
      <c r="A29" t="s">
        <v>901</v>
      </c>
    </row>
    <row r="30" spans="1:1" x14ac:dyDescent="0.3">
      <c r="A30" t="s">
        <v>902</v>
      </c>
    </row>
    <row r="31" spans="1:1" x14ac:dyDescent="0.3">
      <c r="A31" t="s">
        <v>903</v>
      </c>
    </row>
    <row r="32" spans="1:1" x14ac:dyDescent="0.3">
      <c r="A32" t="s">
        <v>904</v>
      </c>
    </row>
    <row r="33" spans="1:1" x14ac:dyDescent="0.3">
      <c r="A33" t="s">
        <v>905</v>
      </c>
    </row>
    <row r="34" spans="1:1" x14ac:dyDescent="0.3">
      <c r="A34" t="s">
        <v>906</v>
      </c>
    </row>
    <row r="35" spans="1:1" x14ac:dyDescent="0.3">
      <c r="A35" t="s">
        <v>907</v>
      </c>
    </row>
    <row r="36" spans="1:1" x14ac:dyDescent="0.3">
      <c r="A36" t="s">
        <v>198</v>
      </c>
    </row>
    <row r="37" spans="1:1" x14ac:dyDescent="0.3">
      <c r="A37" t="s">
        <v>908</v>
      </c>
    </row>
    <row r="38" spans="1:1" x14ac:dyDescent="0.3">
      <c r="A38" t="s">
        <v>909</v>
      </c>
    </row>
    <row r="39" spans="1:1" x14ac:dyDescent="0.3">
      <c r="A39" t="s">
        <v>910</v>
      </c>
    </row>
    <row r="40" spans="1:1" x14ac:dyDescent="0.3">
      <c r="A40" t="s">
        <v>911</v>
      </c>
    </row>
    <row r="41" spans="1:1" x14ac:dyDescent="0.3">
      <c r="A41" t="s">
        <v>912</v>
      </c>
    </row>
    <row r="42" spans="1:1" x14ac:dyDescent="0.3">
      <c r="A42" t="s">
        <v>208</v>
      </c>
    </row>
    <row r="43" spans="1:1" x14ac:dyDescent="0.3">
      <c r="A43" t="s">
        <v>203</v>
      </c>
    </row>
    <row r="44" spans="1:1" x14ac:dyDescent="0.3">
      <c r="A44" t="s">
        <v>161</v>
      </c>
    </row>
    <row r="45" spans="1:1" x14ac:dyDescent="0.3">
      <c r="A45" t="s">
        <v>913</v>
      </c>
    </row>
    <row r="46" spans="1:1" x14ac:dyDescent="0.3">
      <c r="A46" t="s">
        <v>914</v>
      </c>
    </row>
    <row r="47" spans="1:1" x14ac:dyDescent="0.3">
      <c r="A47" t="s">
        <v>915</v>
      </c>
    </row>
    <row r="48" spans="1:1" x14ac:dyDescent="0.3">
      <c r="A48" t="s">
        <v>916</v>
      </c>
    </row>
    <row r="49" spans="1:1" x14ac:dyDescent="0.3">
      <c r="A49" t="s">
        <v>917</v>
      </c>
    </row>
    <row r="50" spans="1:1" x14ac:dyDescent="0.3">
      <c r="A50" t="s">
        <v>140</v>
      </c>
    </row>
    <row r="51" spans="1:1" x14ac:dyDescent="0.3">
      <c r="A51" t="s">
        <v>918</v>
      </c>
    </row>
    <row r="52" spans="1:1" x14ac:dyDescent="0.3">
      <c r="A52" t="s">
        <v>919</v>
      </c>
    </row>
    <row r="53" spans="1:1" x14ac:dyDescent="0.3">
      <c r="A53" t="s">
        <v>920</v>
      </c>
    </row>
    <row r="54" spans="1:1" x14ac:dyDescent="0.3">
      <c r="A54" t="s">
        <v>921</v>
      </c>
    </row>
    <row r="55" spans="1:1" x14ac:dyDescent="0.3">
      <c r="A55" t="s">
        <v>922</v>
      </c>
    </row>
    <row r="56" spans="1:1" x14ac:dyDescent="0.3">
      <c r="A56" t="s">
        <v>923</v>
      </c>
    </row>
    <row r="57" spans="1:1" x14ac:dyDescent="0.3">
      <c r="A57" t="s">
        <v>924</v>
      </c>
    </row>
    <row r="58" spans="1:1" x14ac:dyDescent="0.3">
      <c r="A58" t="s">
        <v>925</v>
      </c>
    </row>
    <row r="59" spans="1:1" x14ac:dyDescent="0.3">
      <c r="A59" t="s">
        <v>166</v>
      </c>
    </row>
    <row r="60" spans="1:1" x14ac:dyDescent="0.3">
      <c r="A60" t="s">
        <v>171</v>
      </c>
    </row>
    <row r="61" spans="1:1" x14ac:dyDescent="0.3">
      <c r="A61" t="s">
        <v>926</v>
      </c>
    </row>
    <row r="62" spans="1:1" x14ac:dyDescent="0.3">
      <c r="A62" t="s">
        <v>927</v>
      </c>
    </row>
    <row r="63" spans="1:1" x14ac:dyDescent="0.3">
      <c r="A63" t="s">
        <v>928</v>
      </c>
    </row>
    <row r="64" spans="1:1" x14ac:dyDescent="0.3">
      <c r="A64" t="s">
        <v>163</v>
      </c>
    </row>
    <row r="65" spans="1:1" x14ac:dyDescent="0.3">
      <c r="A65" t="s">
        <v>929</v>
      </c>
    </row>
    <row r="66" spans="1:1" x14ac:dyDescent="0.3">
      <c r="A66" t="s">
        <v>930</v>
      </c>
    </row>
    <row r="67" spans="1:1" x14ac:dyDescent="0.3">
      <c r="A67" t="s">
        <v>931</v>
      </c>
    </row>
    <row r="68" spans="1:1" x14ac:dyDescent="0.3">
      <c r="A68" t="s">
        <v>932</v>
      </c>
    </row>
    <row r="69" spans="1:1" x14ac:dyDescent="0.3">
      <c r="A69" t="s">
        <v>933</v>
      </c>
    </row>
    <row r="70" spans="1:1" x14ac:dyDescent="0.3">
      <c r="A70" t="s">
        <v>934</v>
      </c>
    </row>
    <row r="71" spans="1:1" x14ac:dyDescent="0.3">
      <c r="A71" t="s">
        <v>935</v>
      </c>
    </row>
    <row r="72" spans="1:1" x14ac:dyDescent="0.3">
      <c r="A72" t="s">
        <v>936</v>
      </c>
    </row>
    <row r="73" spans="1:1" x14ac:dyDescent="0.3">
      <c r="A73" t="s">
        <v>937</v>
      </c>
    </row>
    <row r="74" spans="1:1" x14ac:dyDescent="0.3">
      <c r="A74" t="s">
        <v>938</v>
      </c>
    </row>
    <row r="75" spans="1:1" x14ac:dyDescent="0.3">
      <c r="A75" t="s">
        <v>939</v>
      </c>
    </row>
    <row r="76" spans="1:1" x14ac:dyDescent="0.3">
      <c r="A76" t="s">
        <v>940</v>
      </c>
    </row>
    <row r="77" spans="1:1" x14ac:dyDescent="0.3">
      <c r="A77" t="s">
        <v>941</v>
      </c>
    </row>
    <row r="78" spans="1:1" x14ac:dyDescent="0.3">
      <c r="A78" t="s">
        <v>942</v>
      </c>
    </row>
    <row r="79" spans="1:1" x14ac:dyDescent="0.3">
      <c r="A79" t="s">
        <v>704</v>
      </c>
    </row>
    <row r="80" spans="1:1" x14ac:dyDescent="0.3">
      <c r="A80" t="s">
        <v>223</v>
      </c>
    </row>
    <row r="81" spans="1:1" x14ac:dyDescent="0.3">
      <c r="A81" t="s">
        <v>943</v>
      </c>
    </row>
    <row r="82" spans="1:1" x14ac:dyDescent="0.3">
      <c r="A82" t="s">
        <v>185</v>
      </c>
    </row>
    <row r="83" spans="1:1" x14ac:dyDescent="0.3">
      <c r="A83" t="s">
        <v>151</v>
      </c>
    </row>
  </sheetData>
  <mergeCells count="1">
    <mergeCell ref="D1:G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3.xml><?xml version="1.0" encoding="utf-8"?>
<ds:datastoreItem xmlns:ds="http://schemas.openxmlformats.org/officeDocument/2006/customXml" ds:itemID="{C139304D-4820-42AD-9563-2B02DE5F02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2026-10-27T19:42:11Z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ContentTypeId">
    <vt:lpwstr>0x0101003D1D6A7EB2452B4A86A9506D4E13D4C9</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y fmtid="{D5CDD505-2E9C-101B-9397-08002B2CF9AE}" pid="17" name="MSIP_Label_aa7be39c-9e9f-446a-a199-286f73f56a3f_Enabled">
    <vt:lpwstr>true</vt:lpwstr>
  </property>
  <property fmtid="{D5CDD505-2E9C-101B-9397-08002B2CF9AE}" pid="18" name="MSIP_Label_aa7be39c-9e9f-446a-a199-286f73f56a3f_SetDate">
    <vt:lpwstr>2026-07-15T15:36:23Z</vt:lpwstr>
  </property>
  <property fmtid="{D5CDD505-2E9C-101B-9397-08002B2CF9AE}" pid="19" name="MSIP_Label_aa7be39c-9e9f-446a-a199-286f73f56a3f_Method">
    <vt:lpwstr>Standard</vt:lpwstr>
  </property>
  <property fmtid="{D5CDD505-2E9C-101B-9397-08002B2CF9AE}" pid="20" name="MSIP_Label_aa7be39c-9e9f-446a-a199-286f73f56a3f_Name">
    <vt:lpwstr>Confidential</vt:lpwstr>
  </property>
  <property fmtid="{D5CDD505-2E9C-101B-9397-08002B2CF9AE}" pid="21" name="MSIP_Label_aa7be39c-9e9f-446a-a199-286f73f56a3f_SiteId">
    <vt:lpwstr>85ad2a97-6942-4d5d-bc9c-35cd3905d69a</vt:lpwstr>
  </property>
  <property fmtid="{D5CDD505-2E9C-101B-9397-08002B2CF9AE}" pid="22" name="MSIP_Label_aa7be39c-9e9f-446a-a199-286f73f56a3f_ActionId">
    <vt:lpwstr>9aa52be7-e90f-4db3-9dfa-3134fb3d14a1</vt:lpwstr>
  </property>
  <property fmtid="{D5CDD505-2E9C-101B-9397-08002B2CF9AE}" pid="23" name="MSIP_Label_aa7be39c-9e9f-446a-a199-286f73f56a3f_ContentBits">
    <vt:lpwstr>0</vt:lpwstr>
  </property>
  <property fmtid="{D5CDD505-2E9C-101B-9397-08002B2CF9AE}" pid="24" name="MSIP_Label_aa7be39c-9e9f-446a-a199-286f73f56a3f_Tag">
    <vt:lpwstr>10, 3, 0, 2</vt:lpwstr>
  </property>
</Properties>
</file>