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66925"/>
  <mc:AlternateContent xmlns:mc="http://schemas.openxmlformats.org/markup-compatibility/2006">
    <mc:Choice Requires="x15">
      <x15ac:absPath xmlns:x15ac="http://schemas.microsoft.com/office/spreadsheetml/2010/11/ac" url="C:\Cursor\Scorecards cleanup- dictation and Spelling\V2.0-10272026\"/>
    </mc:Choice>
  </mc:AlternateContent>
  <xr:revisionPtr revIDLastSave="0" documentId="13_ncr:1_{64781805-0FC5-48F0-85C8-6BC2AC8465A8}" xr6:coauthVersionLast="47" xr6:coauthVersionMax="47" xr10:uidLastSave="{00000000-0000-0000-0000-000000000000}"/>
  <bookViews>
    <workbookView xWindow="-120" yWindow="-16320" windowWidth="29040" windowHeight="15720" tabRatio="886" activeTab="1" xr2:uid="{EAC23EE3-0CA0-4FF8-990D-9B21A59FA3E0}"/>
  </bookViews>
  <sheets>
    <sheet name="Notes" sheetId="23" r:id="rId1"/>
    <sheet name="Prototype" sheetId="2" r:id="rId2"/>
    <sheet name="Zones" sheetId="33" r:id="rId3"/>
    <sheet name="Envelope" sheetId="1" r:id="rId4"/>
    <sheet name="HVAC System" sheetId="14" r:id="rId5"/>
    <sheet name="Thermostat" sheetId="32" r:id="rId6"/>
    <sheet name="Ventilation" sheetId="18" r:id="rId7"/>
    <sheet name="Water Heater" sheetId="35" r:id="rId8"/>
    <sheet name="Interior Lights" sheetId="25" r:id="rId9"/>
    <sheet name="Equipment" sheetId="29" r:id="rId10"/>
    <sheet name="Ext Lighting" sheetId="9" r:id="rId11"/>
    <sheet name="Schedules" sheetId="30" r:id="rId12"/>
    <sheet name="Energy Usage" sheetId="20" r:id="rId13"/>
    <sheet name="Weights" sheetId="21" r:id="rId14"/>
    <sheet name="PV" sheetId="27" state="hidden" r:id="rId15"/>
    <sheet name="EV Charger" sheetId="22" state="hidden" r:id="rId16"/>
    <sheet name="Data" sheetId="31" state="hidden" r:id="rId17"/>
  </sheets>
  <definedNames>
    <definedName name="_xlnm._FilterDatabase" localSheetId="16" hidden="1">Data!$D$1:$G$1</definedName>
    <definedName name="_xlnm._FilterDatabase" localSheetId="3" hidden="1">Envelope!$A$2:$AU$56</definedName>
    <definedName name="_xlnm._FilterDatabase" localSheetId="9" hidden="1">Equipment!$A$2:$H$13</definedName>
    <definedName name="_xlnm._FilterDatabase" localSheetId="8" hidden="1">'Interior Lights'!$A$2:$G$13</definedName>
    <definedName name="_xlnm._FilterDatabase" localSheetId="2" hidden="1">Zones!$A$2:$ATI$2</definedName>
    <definedName name="nonparticipating_forecastzone_scale_factor" localSheetId="16">#REF!</definedName>
    <definedName name="nonparticipating_forecastzone_scale_factor" localSheetId="11">#REF!</definedName>
    <definedName name="nonparticipating_forecastzone_scale_factor">'Energy Usage'!#REF!</definedName>
    <definedName name="Space_Function">Data!$A$2:$A$76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8" i="1" l="1"/>
  <c r="U8" i="1"/>
  <c r="T8" i="1"/>
  <c r="W8" i="1"/>
  <c r="V8" i="1"/>
  <c r="S8" i="1"/>
  <c r="R8" i="1"/>
  <c r="O8" i="1"/>
  <c r="P8" i="1"/>
  <c r="Q8" i="1"/>
  <c r="N8" i="1"/>
  <c r="K8" i="1"/>
  <c r="L8" i="1"/>
  <c r="M8" i="1"/>
  <c r="J8" i="1"/>
  <c r="I8" i="1"/>
  <c r="X6" i="1"/>
  <c r="U6" i="1"/>
  <c r="T6" i="1"/>
  <c r="W6" i="1"/>
  <c r="V6" i="1"/>
  <c r="S6" i="1"/>
  <c r="R6" i="1"/>
  <c r="O6" i="1"/>
  <c r="P6" i="1"/>
  <c r="Q6" i="1"/>
  <c r="N6" i="1"/>
  <c r="K6" i="1"/>
  <c r="L6" i="1"/>
  <c r="M6" i="1"/>
  <c r="J6" i="1"/>
  <c r="I6" i="1"/>
  <c r="X5" i="1"/>
  <c r="W5" i="1"/>
  <c r="V5" i="1"/>
  <c r="S5" i="1"/>
  <c r="T5" i="1"/>
  <c r="U5" i="1"/>
  <c r="R5" i="1"/>
  <c r="O5" i="1"/>
  <c r="P5" i="1"/>
  <c r="Q5" i="1"/>
  <c r="N5" i="1"/>
  <c r="K5" i="1"/>
  <c r="L5" i="1"/>
  <c r="M5" i="1"/>
  <c r="J5" i="1"/>
  <c r="I5" i="1"/>
  <c r="X4" i="1"/>
  <c r="W4" i="1"/>
  <c r="V4" i="1"/>
  <c r="U4" i="1"/>
  <c r="T4" i="1"/>
  <c r="O4" i="1"/>
  <c r="P4" i="1"/>
  <c r="Q4" i="1"/>
  <c r="R4" i="1"/>
  <c r="S4" i="1"/>
  <c r="N4" i="1"/>
  <c r="K4" i="1"/>
  <c r="L4" i="1"/>
  <c r="M4" i="1"/>
  <c r="J4" i="1"/>
  <c r="I4" i="1"/>
  <c r="X61" i="1"/>
  <c r="U61" i="1"/>
  <c r="T61" i="1"/>
  <c r="W61" i="1"/>
  <c r="V61" i="1"/>
  <c r="S61" i="1"/>
  <c r="R61" i="1"/>
  <c r="O61" i="1"/>
  <c r="P61" i="1"/>
  <c r="Q61" i="1"/>
  <c r="N61" i="1"/>
  <c r="K61" i="1"/>
  <c r="L61" i="1"/>
  <c r="M61" i="1"/>
  <c r="J61" i="1"/>
  <c r="I61" i="1"/>
  <c r="J60" i="1"/>
  <c r="K60" i="1"/>
  <c r="L60" i="1"/>
  <c r="M60" i="1"/>
  <c r="N60" i="1"/>
  <c r="O60" i="1"/>
  <c r="P60" i="1"/>
  <c r="Q60" i="1"/>
  <c r="R60" i="1"/>
  <c r="S60" i="1"/>
  <c r="T60" i="1"/>
  <c r="U60" i="1"/>
  <c r="V60" i="1"/>
  <c r="W60" i="1"/>
  <c r="X60" i="1"/>
  <c r="I60" i="1"/>
  <c r="I3" i="1"/>
  <c r="C8" i="25"/>
  <c r="C7" i="25"/>
  <c r="C4" i="25"/>
  <c r="C10" i="25"/>
  <c r="K3" i="1"/>
  <c r="J3" i="1"/>
  <c r="L3" i="1"/>
  <c r="M3" i="1"/>
  <c r="N3" i="1"/>
  <c r="O3" i="1"/>
  <c r="P3" i="1"/>
  <c r="Q3" i="1"/>
  <c r="R3" i="1"/>
  <c r="S3" i="1"/>
  <c r="T3" i="1"/>
  <c r="U3" i="1"/>
  <c r="V3" i="1"/>
  <c r="W3" i="1"/>
  <c r="X3" i="1"/>
  <c r="J9" i="1"/>
  <c r="K9" i="1"/>
  <c r="L9" i="1"/>
  <c r="M9" i="1"/>
  <c r="N9" i="1"/>
  <c r="O9" i="1"/>
  <c r="P9" i="1"/>
  <c r="Q9" i="1"/>
  <c r="R9" i="1"/>
  <c r="S9" i="1"/>
  <c r="T9" i="1"/>
  <c r="U9" i="1"/>
  <c r="V9" i="1"/>
  <c r="W9" i="1"/>
  <c r="X9" i="1"/>
  <c r="I9" i="1"/>
  <c r="B71" i="1"/>
  <c r="B60" i="1"/>
  <c r="X69" i="1"/>
  <c r="W69" i="1"/>
  <c r="V69" i="1"/>
  <c r="U69" i="1"/>
  <c r="T69" i="1"/>
  <c r="S69" i="1"/>
  <c r="R69" i="1"/>
  <c r="Q69" i="1"/>
  <c r="P69" i="1"/>
  <c r="O69" i="1"/>
  <c r="N69" i="1"/>
  <c r="M69" i="1"/>
  <c r="L69" i="1"/>
  <c r="K69" i="1"/>
  <c r="J69" i="1"/>
  <c r="I69" i="1"/>
  <c r="B69" i="1"/>
  <c r="I7" i="1" a="1"/>
  <c r="I7" i="1" s="1"/>
  <c r="G134" i="30"/>
  <c r="H134" i="30"/>
  <c r="I134" i="30"/>
  <c r="J134" i="30"/>
  <c r="K134" i="30"/>
  <c r="L134" i="30"/>
  <c r="M134" i="30"/>
  <c r="N134" i="30"/>
  <c r="O134" i="30"/>
  <c r="P134" i="30"/>
  <c r="Q134" i="30"/>
  <c r="R134" i="30"/>
  <c r="S134" i="30"/>
  <c r="T134" i="30"/>
  <c r="U134" i="30"/>
  <c r="V134" i="30"/>
  <c r="W134" i="30"/>
  <c r="X134" i="30"/>
  <c r="Y134" i="30"/>
  <c r="Z134" i="30"/>
  <c r="AA134" i="30"/>
  <c r="AB134" i="30"/>
  <c r="AC134" i="30"/>
  <c r="G135" i="30"/>
  <c r="H135" i="30"/>
  <c r="I135" i="30"/>
  <c r="J135" i="30"/>
  <c r="K135" i="30"/>
  <c r="L135" i="30"/>
  <c r="M135" i="30"/>
  <c r="N135" i="30"/>
  <c r="O135" i="30"/>
  <c r="P135" i="30"/>
  <c r="Q135" i="30"/>
  <c r="R135" i="30"/>
  <c r="S135" i="30"/>
  <c r="T135" i="30"/>
  <c r="U135" i="30"/>
  <c r="V135" i="30"/>
  <c r="W135" i="30"/>
  <c r="X135" i="30"/>
  <c r="Y135" i="30"/>
  <c r="Z135" i="30"/>
  <c r="AA135" i="30"/>
  <c r="AB135" i="30"/>
  <c r="AC135" i="30"/>
  <c r="G136" i="30"/>
  <c r="H136" i="30"/>
  <c r="I136" i="30"/>
  <c r="J136" i="30"/>
  <c r="K136" i="30"/>
  <c r="L136" i="30"/>
  <c r="M136" i="30"/>
  <c r="N136" i="30"/>
  <c r="O136" i="30"/>
  <c r="P136" i="30"/>
  <c r="Q136" i="30"/>
  <c r="R136" i="30"/>
  <c r="S136" i="30"/>
  <c r="T136" i="30"/>
  <c r="U136" i="30"/>
  <c r="V136" i="30"/>
  <c r="W136" i="30"/>
  <c r="X136" i="30"/>
  <c r="Y136" i="30"/>
  <c r="Z136" i="30"/>
  <c r="AA136" i="30"/>
  <c r="AB136" i="30"/>
  <c r="AC136" i="30"/>
  <c r="G137" i="30"/>
  <c r="H137" i="30"/>
  <c r="I137" i="30"/>
  <c r="J137" i="30"/>
  <c r="K137" i="30"/>
  <c r="L137" i="30"/>
  <c r="M137" i="30"/>
  <c r="N137" i="30"/>
  <c r="O137" i="30"/>
  <c r="P137" i="30"/>
  <c r="Q137" i="30"/>
  <c r="R137" i="30"/>
  <c r="S137" i="30"/>
  <c r="T137" i="30"/>
  <c r="U137" i="30"/>
  <c r="V137" i="30"/>
  <c r="W137" i="30"/>
  <c r="X137" i="30"/>
  <c r="Y137" i="30"/>
  <c r="Z137" i="30"/>
  <c r="AA137" i="30"/>
  <c r="AB137" i="30"/>
  <c r="AC137" i="30"/>
  <c r="G138" i="30"/>
  <c r="H138" i="30"/>
  <c r="I138" i="30"/>
  <c r="J138" i="30"/>
  <c r="K138" i="30"/>
  <c r="L138" i="30"/>
  <c r="M138" i="30"/>
  <c r="N138" i="30"/>
  <c r="O138" i="30"/>
  <c r="P138" i="30"/>
  <c r="Q138" i="30"/>
  <c r="R138" i="30"/>
  <c r="S138" i="30"/>
  <c r="T138" i="30"/>
  <c r="U138" i="30"/>
  <c r="V138" i="30"/>
  <c r="W138" i="30"/>
  <c r="X138" i="30"/>
  <c r="Y138" i="30"/>
  <c r="Z138" i="30"/>
  <c r="AA138" i="30"/>
  <c r="AB138" i="30"/>
  <c r="AC138" i="30"/>
  <c r="G139" i="30"/>
  <c r="H139" i="30"/>
  <c r="I139" i="30"/>
  <c r="J139" i="30"/>
  <c r="K139" i="30"/>
  <c r="L139" i="30"/>
  <c r="M139" i="30"/>
  <c r="N139" i="30"/>
  <c r="O139" i="30"/>
  <c r="P139" i="30"/>
  <c r="Q139" i="30"/>
  <c r="R139" i="30"/>
  <c r="S139" i="30"/>
  <c r="T139" i="30"/>
  <c r="U139" i="30"/>
  <c r="V139" i="30"/>
  <c r="W139" i="30"/>
  <c r="X139" i="30"/>
  <c r="Y139" i="30"/>
  <c r="Z139" i="30"/>
  <c r="AA139" i="30"/>
  <c r="AB139" i="30"/>
  <c r="AC139" i="30"/>
  <c r="F135" i="30"/>
  <c r="F136" i="30"/>
  <c r="F138" i="30"/>
  <c r="F139" i="30"/>
  <c r="F137" i="30"/>
  <c r="F134" i="30"/>
  <c r="B122" i="30"/>
  <c r="B125" i="30" s="1"/>
  <c r="B128" i="30" s="1"/>
  <c r="B131" i="30" s="1"/>
  <c r="B134" i="30" s="1"/>
  <c r="B137" i="30" s="1"/>
  <c r="B140" i="30" s="1"/>
  <c r="A122" i="30"/>
  <c r="A125" i="30" s="1"/>
  <c r="A128" i="30" s="1"/>
  <c r="A131" i="30" s="1"/>
  <c r="A134" i="30" s="1"/>
  <c r="A137" i="30" s="1"/>
  <c r="A140" i="30" s="1"/>
  <c r="H5" i="21"/>
  <c r="H6" i="21"/>
  <c r="H7" i="21"/>
  <c r="H8" i="21"/>
  <c r="H9" i="21"/>
  <c r="H10" i="21"/>
  <c r="H11" i="21"/>
  <c r="H12" i="21"/>
  <c r="H13" i="21"/>
  <c r="H14" i="21"/>
  <c r="H15" i="21"/>
  <c r="H16" i="21"/>
  <c r="H17" i="21"/>
  <c r="H18" i="21"/>
  <c r="H19" i="21"/>
  <c r="H20" i="21"/>
  <c r="H4" i="21"/>
  <c r="D3" i="35"/>
  <c r="D4" i="35" s="1"/>
  <c r="E3" i="35"/>
  <c r="I53" i="1"/>
  <c r="I19" i="1" a="1"/>
  <c r="I19" i="1" s="1"/>
  <c r="I13" i="1" a="1"/>
  <c r="I13" i="1" s="1"/>
  <c r="E12" i="25"/>
  <c r="B12" i="25"/>
  <c r="X28" i="1" l="1"/>
  <c r="W28" i="1"/>
  <c r="V28" i="1"/>
  <c r="U28" i="1"/>
  <c r="T28" i="1"/>
  <c r="S28" i="1"/>
  <c r="R28" i="1"/>
  <c r="Q28" i="1"/>
  <c r="P28" i="1"/>
  <c r="O28" i="1"/>
  <c r="N28" i="1"/>
  <c r="M28" i="1"/>
  <c r="L28" i="1"/>
  <c r="K28" i="1"/>
  <c r="J28" i="1"/>
  <c r="I28" i="1"/>
  <c r="X27" i="1"/>
  <c r="W27" i="1"/>
  <c r="V27" i="1"/>
  <c r="U27" i="1"/>
  <c r="T27" i="1"/>
  <c r="S27" i="1"/>
  <c r="R27" i="1"/>
  <c r="Q27" i="1"/>
  <c r="P27" i="1"/>
  <c r="O27" i="1"/>
  <c r="N27" i="1"/>
  <c r="M27" i="1"/>
  <c r="L27" i="1"/>
  <c r="K27" i="1"/>
  <c r="J27" i="1"/>
  <c r="I27" i="1"/>
  <c r="X22" i="1"/>
  <c r="W22" i="1"/>
  <c r="V22" i="1"/>
  <c r="U22" i="1"/>
  <c r="T22" i="1"/>
  <c r="S22" i="1"/>
  <c r="R22" i="1"/>
  <c r="Q22" i="1"/>
  <c r="P22" i="1"/>
  <c r="O22" i="1"/>
  <c r="N22" i="1"/>
  <c r="M22" i="1"/>
  <c r="L22" i="1"/>
  <c r="K22" i="1"/>
  <c r="J22" i="1"/>
  <c r="I22" i="1"/>
  <c r="X21" i="1"/>
  <c r="W21" i="1"/>
  <c r="V21" i="1"/>
  <c r="U21" i="1"/>
  <c r="T21" i="1"/>
  <c r="S21" i="1"/>
  <c r="R21" i="1"/>
  <c r="Q21" i="1"/>
  <c r="P21" i="1"/>
  <c r="O21" i="1"/>
  <c r="N21" i="1"/>
  <c r="M21" i="1"/>
  <c r="L21" i="1"/>
  <c r="K21" i="1"/>
  <c r="J21" i="1"/>
  <c r="I21" i="1"/>
  <c r="X41" i="1"/>
  <c r="W41" i="1"/>
  <c r="V41" i="1"/>
  <c r="U41" i="1"/>
  <c r="T41" i="1"/>
  <c r="S41" i="1"/>
  <c r="R41" i="1"/>
  <c r="Q41" i="1"/>
  <c r="P41" i="1"/>
  <c r="O41" i="1"/>
  <c r="N41" i="1"/>
  <c r="M41" i="1"/>
  <c r="L41" i="1"/>
  <c r="K41" i="1"/>
  <c r="J41" i="1"/>
  <c r="I41" i="1"/>
  <c r="X29" i="1"/>
  <c r="W29" i="1"/>
  <c r="V29" i="1"/>
  <c r="U29" i="1"/>
  <c r="T29" i="1"/>
  <c r="S29" i="1"/>
  <c r="R29" i="1"/>
  <c r="Q29" i="1"/>
  <c r="P29" i="1"/>
  <c r="O29" i="1"/>
  <c r="N29" i="1"/>
  <c r="M29" i="1"/>
  <c r="L29" i="1"/>
  <c r="K29" i="1"/>
  <c r="J29" i="1"/>
  <c r="I29" i="1"/>
  <c r="X35" i="1"/>
  <c r="W35" i="1"/>
  <c r="V35" i="1"/>
  <c r="U35" i="1"/>
  <c r="T35" i="1"/>
  <c r="S35" i="1"/>
  <c r="R35" i="1"/>
  <c r="Q35" i="1"/>
  <c r="P35" i="1"/>
  <c r="O35" i="1"/>
  <c r="N35" i="1"/>
  <c r="M35" i="1"/>
  <c r="L35" i="1"/>
  <c r="K35" i="1"/>
  <c r="J35" i="1"/>
  <c r="I35" i="1"/>
  <c r="O38" i="33"/>
  <c r="N38" i="33" s="1"/>
  <c r="O37" i="33"/>
  <c r="N37" i="33" s="1"/>
  <c r="O34" i="33"/>
  <c r="N34" i="33" s="1"/>
  <c r="O33" i="33"/>
  <c r="N33" i="33" s="1"/>
  <c r="O32" i="33"/>
  <c r="N32" i="33" s="1"/>
  <c r="O31" i="33"/>
  <c r="N31" i="33" s="1"/>
  <c r="O30" i="33"/>
  <c r="N30" i="33" s="1"/>
  <c r="O29" i="33"/>
  <c r="N29" i="33" s="1"/>
  <c r="O28" i="33"/>
  <c r="N28" i="33" s="1"/>
  <c r="O27" i="33"/>
  <c r="N27" i="33" s="1"/>
  <c r="O26" i="33"/>
  <c r="N26" i="33" s="1"/>
  <c r="O25" i="33"/>
  <c r="N25" i="33" s="1"/>
  <c r="O24" i="33"/>
  <c r="N24" i="33" s="1"/>
  <c r="O21" i="33"/>
  <c r="N21" i="33" s="1"/>
  <c r="O20" i="33"/>
  <c r="N20" i="33" s="1"/>
  <c r="O19" i="33"/>
  <c r="N19" i="33" s="1"/>
  <c r="O18" i="33"/>
  <c r="N18" i="33" s="1"/>
  <c r="O17" i="33"/>
  <c r="N17" i="33" s="1"/>
  <c r="O16" i="33"/>
  <c r="N16" i="33" s="1"/>
  <c r="O15" i="33"/>
  <c r="N15" i="33" s="1"/>
  <c r="O14" i="33"/>
  <c r="N14" i="33" s="1"/>
  <c r="O13" i="33"/>
  <c r="N13" i="33" s="1"/>
  <c r="I96" i="35" l="1"/>
  <c r="I95" i="35"/>
  <c r="I94" i="35"/>
  <c r="I93" i="35"/>
  <c r="I92" i="35"/>
  <c r="I91" i="35"/>
  <c r="I90" i="35"/>
  <c r="I89" i="35"/>
  <c r="I88" i="35"/>
  <c r="I87" i="35"/>
  <c r="I86" i="35"/>
  <c r="I85" i="35"/>
  <c r="I84" i="35"/>
  <c r="I83" i="35"/>
  <c r="I82" i="35"/>
  <c r="I81" i="35"/>
  <c r="F81" i="35" l="1"/>
  <c r="G81" i="35" s="1"/>
  <c r="F96" i="35"/>
  <c r="G96" i="35" s="1"/>
  <c r="E96" i="35"/>
  <c r="F95" i="35"/>
  <c r="G95" i="35" s="1"/>
  <c r="E95" i="35"/>
  <c r="F94" i="35"/>
  <c r="G94" i="35" s="1"/>
  <c r="E94" i="35"/>
  <c r="F93" i="35"/>
  <c r="G93" i="35" s="1"/>
  <c r="E93" i="35"/>
  <c r="F92" i="35"/>
  <c r="G92" i="35" s="1"/>
  <c r="E92" i="35"/>
  <c r="F91" i="35"/>
  <c r="G91" i="35" s="1"/>
  <c r="E91" i="35"/>
  <c r="F90" i="35"/>
  <c r="G90" i="35" s="1"/>
  <c r="E90" i="35"/>
  <c r="F89" i="35"/>
  <c r="G89" i="35" s="1"/>
  <c r="E89" i="35"/>
  <c r="F88" i="35"/>
  <c r="G88" i="35" s="1"/>
  <c r="E88" i="35"/>
  <c r="F87" i="35"/>
  <c r="G87" i="35" s="1"/>
  <c r="E87" i="35"/>
  <c r="F86" i="35"/>
  <c r="G86" i="35" s="1"/>
  <c r="E86" i="35"/>
  <c r="F85" i="35"/>
  <c r="G85" i="35" s="1"/>
  <c r="E85" i="35"/>
  <c r="F84" i="35"/>
  <c r="G84" i="35" s="1"/>
  <c r="E84" i="35"/>
  <c r="F83" i="35"/>
  <c r="G83" i="35" s="1"/>
  <c r="E83" i="35"/>
  <c r="F82" i="35"/>
  <c r="G82" i="35" s="1"/>
  <c r="E82" i="35"/>
  <c r="E81" i="35"/>
  <c r="B54" i="35" l="1"/>
  <c r="C46" i="35"/>
  <c r="A46" i="35"/>
  <c r="C45" i="35"/>
  <c r="A45" i="35"/>
  <c r="C44" i="35"/>
  <c r="A44" i="35"/>
  <c r="C43" i="35"/>
  <c r="A43" i="35"/>
  <c r="C42" i="35"/>
  <c r="A42" i="35"/>
  <c r="C41" i="35"/>
  <c r="A41" i="35"/>
  <c r="C40" i="35"/>
  <c r="A40" i="35"/>
  <c r="C39" i="35"/>
  <c r="A39" i="35"/>
  <c r="C38" i="35"/>
  <c r="A38" i="35"/>
  <c r="C37" i="35"/>
  <c r="A37" i="35"/>
  <c r="C36" i="35"/>
  <c r="A36" i="35"/>
  <c r="C35" i="35"/>
  <c r="A35" i="35"/>
  <c r="C34" i="35"/>
  <c r="A34" i="35"/>
  <c r="C33" i="35"/>
  <c r="A33" i="35"/>
  <c r="C32" i="35"/>
  <c r="A32" i="35"/>
  <c r="C31" i="35"/>
  <c r="A31" i="35"/>
  <c r="C30" i="35"/>
  <c r="A30" i="35"/>
  <c r="C29" i="35"/>
  <c r="A29" i="35"/>
  <c r="C28" i="35"/>
  <c r="A28" i="35"/>
  <c r="C27" i="35"/>
  <c r="A27" i="35"/>
  <c r="C26" i="35"/>
  <c r="A26" i="35"/>
  <c r="C25" i="35"/>
  <c r="A25" i="35"/>
  <c r="C24" i="35"/>
  <c r="A24" i="35"/>
  <c r="C23" i="35"/>
  <c r="A23" i="35"/>
  <c r="C22" i="35"/>
  <c r="A22" i="35"/>
  <c r="C21" i="35"/>
  <c r="A21" i="35"/>
  <c r="C20" i="35"/>
  <c r="A20" i="35"/>
  <c r="C19" i="35"/>
  <c r="A19" i="35"/>
  <c r="C18" i="35"/>
  <c r="A18" i="35"/>
  <c r="C17" i="35"/>
  <c r="A17" i="35"/>
  <c r="C16" i="35"/>
  <c r="A16" i="35"/>
  <c r="C15" i="35"/>
  <c r="A15" i="35"/>
  <c r="C14" i="35"/>
  <c r="A14" i="35"/>
  <c r="C13" i="35"/>
  <c r="A13" i="35"/>
  <c r="C12" i="35"/>
  <c r="A12" i="35"/>
  <c r="C11" i="35"/>
  <c r="A11" i="35"/>
  <c r="C10" i="35"/>
  <c r="A10" i="35"/>
  <c r="A1" i="35"/>
  <c r="AC58" i="30" l="1"/>
  <c r="AB58" i="30"/>
  <c r="AA58" i="30"/>
  <c r="Z58" i="30"/>
  <c r="Y58" i="30"/>
  <c r="X58" i="30"/>
  <c r="W58" i="30"/>
  <c r="V58" i="30"/>
  <c r="U58" i="30"/>
  <c r="T58" i="30"/>
  <c r="S58" i="30"/>
  <c r="R58" i="30"/>
  <c r="Q58" i="30"/>
  <c r="P58" i="30"/>
  <c r="O58" i="30"/>
  <c r="N58" i="30"/>
  <c r="M58" i="30"/>
  <c r="L58" i="30"/>
  <c r="K58" i="30"/>
  <c r="J58" i="30"/>
  <c r="I58" i="30"/>
  <c r="H58" i="30"/>
  <c r="G58" i="30"/>
  <c r="F58" i="30"/>
  <c r="AC57" i="30"/>
  <c r="AB57" i="30"/>
  <c r="AA57" i="30"/>
  <c r="Z57" i="30"/>
  <c r="Y57" i="30"/>
  <c r="X57" i="30"/>
  <c r="W57" i="30"/>
  <c r="V57" i="30"/>
  <c r="U57" i="30"/>
  <c r="T57" i="30"/>
  <c r="S57" i="30"/>
  <c r="R57" i="30"/>
  <c r="Q57" i="30"/>
  <c r="P57" i="30"/>
  <c r="O57" i="30"/>
  <c r="N57" i="30"/>
  <c r="M57" i="30"/>
  <c r="L57" i="30"/>
  <c r="K57" i="30"/>
  <c r="J57" i="30"/>
  <c r="I57" i="30"/>
  <c r="H57" i="30"/>
  <c r="G57" i="30"/>
  <c r="F57" i="30"/>
  <c r="AC56" i="30"/>
  <c r="AB56" i="30"/>
  <c r="AA56" i="30"/>
  <c r="Z56" i="30"/>
  <c r="Y56" i="30"/>
  <c r="X56" i="30"/>
  <c r="W56" i="30"/>
  <c r="V56" i="30"/>
  <c r="U56" i="30"/>
  <c r="T56" i="30"/>
  <c r="S56" i="30"/>
  <c r="R56" i="30"/>
  <c r="Q56" i="30"/>
  <c r="P56" i="30"/>
  <c r="O56" i="30"/>
  <c r="N56" i="30"/>
  <c r="M56" i="30"/>
  <c r="L56" i="30"/>
  <c r="K56" i="30"/>
  <c r="J56" i="30"/>
  <c r="I56" i="30"/>
  <c r="H56" i="30"/>
  <c r="G56" i="30"/>
  <c r="F56" i="30"/>
  <c r="AC55" i="30"/>
  <c r="AB55" i="30"/>
  <c r="AA55" i="30"/>
  <c r="Z55" i="30"/>
  <c r="Y55" i="30"/>
  <c r="X55" i="30"/>
  <c r="W55" i="30"/>
  <c r="V55" i="30"/>
  <c r="U55" i="30"/>
  <c r="T55" i="30"/>
  <c r="S55" i="30"/>
  <c r="R55" i="30"/>
  <c r="Q55" i="30"/>
  <c r="P55" i="30"/>
  <c r="O55" i="30"/>
  <c r="N55" i="30"/>
  <c r="M55" i="30"/>
  <c r="L55" i="30"/>
  <c r="K55" i="30"/>
  <c r="J55" i="30"/>
  <c r="I55" i="30"/>
  <c r="H55" i="30"/>
  <c r="G55" i="30"/>
  <c r="F55" i="30"/>
  <c r="AC54" i="30"/>
  <c r="AB54" i="30"/>
  <c r="AA54" i="30"/>
  <c r="Z54" i="30"/>
  <c r="Y54" i="30"/>
  <c r="X54" i="30"/>
  <c r="W54" i="30"/>
  <c r="V54" i="30"/>
  <c r="U54" i="30"/>
  <c r="T54" i="30"/>
  <c r="S54" i="30"/>
  <c r="R54" i="30"/>
  <c r="Q54" i="30"/>
  <c r="P54" i="30"/>
  <c r="O54" i="30"/>
  <c r="N54" i="30"/>
  <c r="M54" i="30"/>
  <c r="L54" i="30"/>
  <c r="K54" i="30"/>
  <c r="J54" i="30"/>
  <c r="I54" i="30"/>
  <c r="H54" i="30"/>
  <c r="G54" i="30"/>
  <c r="F54" i="30"/>
  <c r="AC53" i="30"/>
  <c r="AB53" i="30"/>
  <c r="AA53" i="30"/>
  <c r="Z53" i="30"/>
  <c r="Y53" i="30"/>
  <c r="X53" i="30"/>
  <c r="W53" i="30"/>
  <c r="V53" i="30"/>
  <c r="U53" i="30"/>
  <c r="T53" i="30"/>
  <c r="S53" i="30"/>
  <c r="R53" i="30"/>
  <c r="Q53" i="30"/>
  <c r="P53" i="30"/>
  <c r="O53" i="30"/>
  <c r="N53" i="30"/>
  <c r="M53" i="30"/>
  <c r="L53" i="30"/>
  <c r="K53" i="30"/>
  <c r="J53" i="30"/>
  <c r="I53" i="30"/>
  <c r="H53" i="30"/>
  <c r="G53" i="30"/>
  <c r="F53" i="30"/>
  <c r="AC24" i="30"/>
  <c r="AB24" i="30"/>
  <c r="AA24" i="30"/>
  <c r="Z24" i="30"/>
  <c r="Y24" i="30"/>
  <c r="X24" i="30"/>
  <c r="W24" i="30"/>
  <c r="V24" i="30"/>
  <c r="U24" i="30"/>
  <c r="T24" i="30"/>
  <c r="S24" i="30"/>
  <c r="R24" i="30"/>
  <c r="Q24" i="30"/>
  <c r="P24" i="30"/>
  <c r="O24" i="30"/>
  <c r="N24" i="30"/>
  <c r="M24" i="30"/>
  <c r="L24" i="30"/>
  <c r="K24" i="30"/>
  <c r="J24" i="30"/>
  <c r="I24" i="30"/>
  <c r="H24" i="30"/>
  <c r="G24" i="30"/>
  <c r="F24" i="30"/>
  <c r="AC23" i="30"/>
  <c r="AB23" i="30"/>
  <c r="AA23" i="30"/>
  <c r="Z23" i="30"/>
  <c r="Y23" i="30"/>
  <c r="X23" i="30"/>
  <c r="W23" i="30"/>
  <c r="V23" i="30"/>
  <c r="U23" i="30"/>
  <c r="T23" i="30"/>
  <c r="S23" i="30"/>
  <c r="R23" i="30"/>
  <c r="Q23" i="30"/>
  <c r="P23" i="30"/>
  <c r="O23" i="30"/>
  <c r="N23" i="30"/>
  <c r="M23" i="30"/>
  <c r="L23" i="30"/>
  <c r="K23" i="30"/>
  <c r="J23" i="30"/>
  <c r="I23" i="30"/>
  <c r="H23" i="30"/>
  <c r="G23" i="30"/>
  <c r="F23" i="30"/>
  <c r="AC22" i="30"/>
  <c r="AB22" i="30"/>
  <c r="AA22" i="30"/>
  <c r="Z22" i="30"/>
  <c r="Y22" i="30"/>
  <c r="X22" i="30"/>
  <c r="W22" i="30"/>
  <c r="V22" i="30"/>
  <c r="U22" i="30"/>
  <c r="T22" i="30"/>
  <c r="S22" i="30"/>
  <c r="R22" i="30"/>
  <c r="Q22" i="30"/>
  <c r="P22" i="30"/>
  <c r="O22" i="30"/>
  <c r="N22" i="30"/>
  <c r="M22" i="30"/>
  <c r="L22" i="30"/>
  <c r="K22" i="30"/>
  <c r="J22" i="30"/>
  <c r="I22" i="30"/>
  <c r="H22" i="30"/>
  <c r="G22" i="30"/>
  <c r="F22" i="30"/>
  <c r="A14" i="32"/>
  <c r="A1" i="32"/>
  <c r="N39" i="33"/>
  <c r="D46" i="35" s="1"/>
  <c r="F46" i="35" s="1"/>
  <c r="G46" i="35" s="1"/>
  <c r="D45" i="35"/>
  <c r="F45" i="35" s="1"/>
  <c r="G45" i="35" s="1"/>
  <c r="D44" i="35"/>
  <c r="F44" i="35" s="1"/>
  <c r="G44" i="35" s="1"/>
  <c r="N36" i="33"/>
  <c r="D43" i="35" s="1"/>
  <c r="F43" i="35" s="1"/>
  <c r="G43" i="35" s="1"/>
  <c r="N35" i="33"/>
  <c r="D42" i="35" s="1"/>
  <c r="F42" i="35" s="1"/>
  <c r="G42" i="35" s="1"/>
  <c r="D41" i="35"/>
  <c r="F41" i="35" s="1"/>
  <c r="G41" i="35" s="1"/>
  <c r="D40" i="35"/>
  <c r="F40" i="35" s="1"/>
  <c r="G40" i="35" s="1"/>
  <c r="D39" i="35"/>
  <c r="F39" i="35" s="1"/>
  <c r="G39" i="35" s="1"/>
  <c r="D38" i="35"/>
  <c r="F38" i="35" s="1"/>
  <c r="G38" i="35" s="1"/>
  <c r="D37" i="35"/>
  <c r="F37" i="35" s="1"/>
  <c r="G37" i="35" s="1"/>
  <c r="D36" i="35"/>
  <c r="F36" i="35" s="1"/>
  <c r="G36" i="35" s="1"/>
  <c r="D35" i="35"/>
  <c r="F35" i="35" s="1"/>
  <c r="G35" i="35" s="1"/>
  <c r="D34" i="35"/>
  <c r="F34" i="35" s="1"/>
  <c r="G34" i="35" s="1"/>
  <c r="D33" i="35"/>
  <c r="F33" i="35" s="1"/>
  <c r="G33" i="35" s="1"/>
  <c r="D32" i="35"/>
  <c r="F32" i="35" s="1"/>
  <c r="G32" i="35" s="1"/>
  <c r="D31" i="35"/>
  <c r="F31" i="35" s="1"/>
  <c r="G31" i="35" s="1"/>
  <c r="N23" i="33"/>
  <c r="D30" i="35" s="1"/>
  <c r="F30" i="35" s="1"/>
  <c r="G30" i="35" s="1"/>
  <c r="N22" i="33"/>
  <c r="D29" i="35" s="1"/>
  <c r="F29" i="35" s="1"/>
  <c r="G29" i="35" s="1"/>
  <c r="D28" i="35"/>
  <c r="F28" i="35" s="1"/>
  <c r="G28" i="35" s="1"/>
  <c r="D27" i="35"/>
  <c r="F27" i="35" s="1"/>
  <c r="G27" i="35" s="1"/>
  <c r="D26" i="35"/>
  <c r="F26" i="35" s="1"/>
  <c r="G26" i="35" s="1"/>
  <c r="D25" i="35"/>
  <c r="F25" i="35" s="1"/>
  <c r="G25" i="35" s="1"/>
  <c r="D24" i="35"/>
  <c r="F24" i="35" s="1"/>
  <c r="G24" i="35" s="1"/>
  <c r="D23" i="35"/>
  <c r="F23" i="35" s="1"/>
  <c r="G23" i="35" s="1"/>
  <c r="D22" i="35"/>
  <c r="F22" i="35" s="1"/>
  <c r="G22" i="35" s="1"/>
  <c r="D21" i="35"/>
  <c r="F21" i="35" s="1"/>
  <c r="G21" i="35" s="1"/>
  <c r="D20" i="35"/>
  <c r="F20" i="35" s="1"/>
  <c r="G20" i="35" s="1"/>
  <c r="N12" i="33"/>
  <c r="D19" i="35" s="1"/>
  <c r="F19" i="35" s="1"/>
  <c r="G19" i="35" s="1"/>
  <c r="N11" i="33"/>
  <c r="D18" i="35" s="1"/>
  <c r="F18" i="35" s="1"/>
  <c r="G18" i="35" s="1"/>
  <c r="N10" i="33"/>
  <c r="D17" i="35" s="1"/>
  <c r="F17" i="35" s="1"/>
  <c r="G17" i="35" s="1"/>
  <c r="N9" i="33"/>
  <c r="D16" i="35" s="1"/>
  <c r="F16" i="35" s="1"/>
  <c r="G16" i="35" s="1"/>
  <c r="N8" i="33"/>
  <c r="D15" i="35" s="1"/>
  <c r="F15" i="35" s="1"/>
  <c r="G15" i="35" s="1"/>
  <c r="N7" i="33"/>
  <c r="D14" i="35" s="1"/>
  <c r="F14" i="35" s="1"/>
  <c r="G14" i="35" s="1"/>
  <c r="N6" i="33"/>
  <c r="D13" i="35" s="1"/>
  <c r="F13" i="35" s="1"/>
  <c r="G13" i="35" s="1"/>
  <c r="N5" i="33"/>
  <c r="D12" i="35" s="1"/>
  <c r="F12" i="35" s="1"/>
  <c r="G12" i="35" s="1"/>
  <c r="N4" i="33"/>
  <c r="D11" i="35" s="1"/>
  <c r="F11" i="35" s="1"/>
  <c r="G11" i="35" s="1"/>
  <c r="N3" i="33"/>
  <c r="D10" i="35" s="1"/>
  <c r="F10" i="35" s="1"/>
  <c r="G10" i="35" s="1"/>
  <c r="AD94" i="30"/>
  <c r="C46" i="29" s="1"/>
  <c r="L24" i="1"/>
  <c r="A39" i="18"/>
  <c r="A13" i="25"/>
  <c r="K40" i="33"/>
  <c r="J12" i="33" s="1"/>
  <c r="B12" i="29"/>
  <c r="B11" i="29"/>
  <c r="B10" i="29"/>
  <c r="B4" i="29"/>
  <c r="B5" i="29"/>
  <c r="B6" i="29"/>
  <c r="B7" i="29"/>
  <c r="B8" i="29"/>
  <c r="B9" i="29"/>
  <c r="B3" i="29"/>
  <c r="A12" i="25"/>
  <c r="A11" i="25"/>
  <c r="A5" i="25"/>
  <c r="A6" i="25"/>
  <c r="A7" i="25"/>
  <c r="A8" i="25"/>
  <c r="A9" i="25"/>
  <c r="A10" i="25"/>
  <c r="A4" i="25"/>
  <c r="J31" i="33" l="1"/>
  <c r="J9" i="33"/>
  <c r="J36" i="33"/>
  <c r="J14" i="33"/>
  <c r="J33" i="33"/>
  <c r="J11" i="33"/>
  <c r="J32" i="33"/>
  <c r="J30" i="33"/>
  <c r="J8" i="33"/>
  <c r="J39" i="33"/>
  <c r="J29" i="33"/>
  <c r="J7" i="33"/>
  <c r="J28" i="33"/>
  <c r="J27" i="33"/>
  <c r="J5" i="33"/>
  <c r="J15" i="33"/>
  <c r="J6" i="33"/>
  <c r="J26" i="33"/>
  <c r="J4" i="33"/>
  <c r="J25" i="33"/>
  <c r="J37" i="33"/>
  <c r="J35" i="33"/>
  <c r="J10" i="33"/>
  <c r="J23" i="33"/>
  <c r="J20" i="33"/>
  <c r="J24" i="33"/>
  <c r="J22" i="33"/>
  <c r="J21" i="33"/>
  <c r="J19" i="33"/>
  <c r="J3" i="33"/>
  <c r="J18" i="33"/>
  <c r="J17" i="33"/>
  <c r="J38" i="33"/>
  <c r="J16" i="33"/>
  <c r="F49" i="35"/>
  <c r="C107" i="35" s="1"/>
  <c r="D107" i="35" s="1"/>
  <c r="E107" i="35" s="1"/>
  <c r="J13" i="33"/>
  <c r="J34" i="33"/>
  <c r="I19" i="29"/>
  <c r="H19" i="29"/>
  <c r="G19" i="29"/>
  <c r="I18" i="29"/>
  <c r="H18" i="29"/>
  <c r="G18" i="29"/>
  <c r="J19" i="29" l="1"/>
  <c r="J18" i="29"/>
  <c r="J40" i="33"/>
  <c r="F101" i="35"/>
  <c r="C111" i="35"/>
  <c r="D111" i="35" s="1"/>
  <c r="E111" i="35" s="1"/>
  <c r="C113" i="35"/>
  <c r="D113" i="35" s="1"/>
  <c r="E113" i="35" s="1"/>
  <c r="C106" i="35"/>
  <c r="D106" i="35" s="1"/>
  <c r="E106" i="35" s="1"/>
  <c r="F106" i="35"/>
  <c r="C102" i="35"/>
  <c r="D102" i="35" s="1"/>
  <c r="E102" i="35" s="1"/>
  <c r="F105" i="35"/>
  <c r="F111" i="35"/>
  <c r="C115" i="35"/>
  <c r="D115" i="35" s="1"/>
  <c r="E115" i="35" s="1"/>
  <c r="C112" i="35"/>
  <c r="D112" i="35" s="1"/>
  <c r="E112" i="35" s="1"/>
  <c r="C101" i="35"/>
  <c r="D101" i="35" s="1"/>
  <c r="E101" i="35" s="1"/>
  <c r="F112" i="35"/>
  <c r="F107" i="35"/>
  <c r="G107" i="35" s="1"/>
  <c r="I107" i="35" s="1"/>
  <c r="F113" i="35"/>
  <c r="C103" i="35"/>
  <c r="D103" i="35" s="1"/>
  <c r="E103" i="35" s="1"/>
  <c r="F102" i="35"/>
  <c r="C109" i="35"/>
  <c r="D109" i="35" s="1"/>
  <c r="E109" i="35" s="1"/>
  <c r="C110" i="35"/>
  <c r="D110" i="35" s="1"/>
  <c r="E110" i="35" s="1"/>
  <c r="F104" i="35"/>
  <c r="F103" i="35"/>
  <c r="C100" i="35"/>
  <c r="D100" i="35" s="1"/>
  <c r="E100" i="35" s="1"/>
  <c r="F100" i="35"/>
  <c r="F109" i="35"/>
  <c r="F115" i="35"/>
  <c r="C108" i="35"/>
  <c r="D108" i="35" s="1"/>
  <c r="E108" i="35" s="1"/>
  <c r="F108" i="35"/>
  <c r="C105" i="35"/>
  <c r="D105" i="35" s="1"/>
  <c r="E105" i="35" s="1"/>
  <c r="F114" i="35"/>
  <c r="C104" i="35"/>
  <c r="D104" i="35" s="1"/>
  <c r="E104" i="35" s="1"/>
  <c r="C114" i="35"/>
  <c r="D114" i="35" s="1"/>
  <c r="E114" i="35" s="1"/>
  <c r="F110" i="35"/>
  <c r="C4" i="18"/>
  <c r="C5" i="18"/>
  <c r="C6" i="18"/>
  <c r="C7" i="18"/>
  <c r="C8" i="18"/>
  <c r="C9" i="18"/>
  <c r="C10" i="18"/>
  <c r="C11" i="18"/>
  <c r="C12" i="18"/>
  <c r="C13" i="18"/>
  <c r="E13" i="18" s="1"/>
  <c r="C14" i="18"/>
  <c r="E14" i="18" s="1"/>
  <c r="I14" i="18" s="1"/>
  <c r="J14" i="18" s="1"/>
  <c r="C15" i="18"/>
  <c r="E15" i="18" s="1"/>
  <c r="I15" i="18" s="1"/>
  <c r="J15" i="18" s="1"/>
  <c r="C16" i="18"/>
  <c r="E16" i="18" s="1"/>
  <c r="I16" i="18" s="1"/>
  <c r="J16" i="18" s="1"/>
  <c r="C17" i="18"/>
  <c r="E17" i="18" s="1"/>
  <c r="I17" i="18" s="1"/>
  <c r="J17" i="18" s="1"/>
  <c r="C18" i="18"/>
  <c r="E18" i="18" s="1"/>
  <c r="I18" i="18" s="1"/>
  <c r="J18" i="18" s="1"/>
  <c r="C19" i="18"/>
  <c r="E19" i="18" s="1"/>
  <c r="I19" i="18" s="1"/>
  <c r="J19" i="18" s="1"/>
  <c r="C20" i="18"/>
  <c r="E20" i="18" s="1"/>
  <c r="I20" i="18" s="1"/>
  <c r="J20" i="18" s="1"/>
  <c r="C21" i="18"/>
  <c r="E21" i="18" s="1"/>
  <c r="I21" i="18" s="1"/>
  <c r="J21" i="18" s="1"/>
  <c r="C22" i="18"/>
  <c r="C23" i="18"/>
  <c r="C24" i="18"/>
  <c r="E24" i="18" s="1"/>
  <c r="I24" i="18" s="1"/>
  <c r="J24" i="18" s="1"/>
  <c r="C25" i="18"/>
  <c r="E25" i="18" s="1"/>
  <c r="I25" i="18" s="1"/>
  <c r="J25" i="18" s="1"/>
  <c r="C26" i="18"/>
  <c r="E26" i="18" s="1"/>
  <c r="I26" i="18" s="1"/>
  <c r="J26" i="18" s="1"/>
  <c r="C27" i="18"/>
  <c r="E27" i="18" s="1"/>
  <c r="I27" i="18" s="1"/>
  <c r="J27" i="18" s="1"/>
  <c r="C28" i="18"/>
  <c r="E28" i="18" s="1"/>
  <c r="I28" i="18" s="1"/>
  <c r="J28" i="18" s="1"/>
  <c r="C29" i="18"/>
  <c r="E29" i="18" s="1"/>
  <c r="I29" i="18" s="1"/>
  <c r="J29" i="18" s="1"/>
  <c r="C30" i="18"/>
  <c r="E30" i="18" s="1"/>
  <c r="I30" i="18" s="1"/>
  <c r="J30" i="18" s="1"/>
  <c r="C31" i="18"/>
  <c r="E31" i="18" s="1"/>
  <c r="I31" i="18" s="1"/>
  <c r="J31" i="18" s="1"/>
  <c r="C32" i="18"/>
  <c r="E32" i="18" s="1"/>
  <c r="I32" i="18" s="1"/>
  <c r="J32" i="18" s="1"/>
  <c r="C33" i="18"/>
  <c r="E33" i="18" s="1"/>
  <c r="I33" i="18" s="1"/>
  <c r="J33" i="18" s="1"/>
  <c r="C34" i="18"/>
  <c r="E34" i="18" s="1"/>
  <c r="I34" i="18" s="1"/>
  <c r="J34" i="18" s="1"/>
  <c r="C35" i="18"/>
  <c r="C36" i="18"/>
  <c r="C37" i="18"/>
  <c r="E37" i="18" s="1"/>
  <c r="I37" i="18" s="1"/>
  <c r="J37" i="18" s="1"/>
  <c r="C38" i="18"/>
  <c r="E38" i="18" s="1"/>
  <c r="I38" i="18" s="1"/>
  <c r="J38" i="18" s="1"/>
  <c r="C39" i="18"/>
  <c r="C3" i="18"/>
  <c r="B9" i="18"/>
  <c r="B10" i="18"/>
  <c r="B11" i="18"/>
  <c r="B12" i="18"/>
  <c r="B14" i="18"/>
  <c r="B15" i="18"/>
  <c r="B18" i="18"/>
  <c r="B20" i="18"/>
  <c r="B23" i="18"/>
  <c r="B24" i="18"/>
  <c r="B25" i="18"/>
  <c r="B26" i="18"/>
  <c r="B27" i="18"/>
  <c r="B28" i="18"/>
  <c r="B29" i="18"/>
  <c r="B35" i="18"/>
  <c r="B36" i="18"/>
  <c r="B37" i="18"/>
  <c r="B39" i="18"/>
  <c r="A4" i="18"/>
  <c r="A5" i="18"/>
  <c r="A6" i="18"/>
  <c r="A7" i="18"/>
  <c r="A8" i="18"/>
  <c r="A9" i="18"/>
  <c r="A10" i="18"/>
  <c r="A11" i="18"/>
  <c r="A12" i="18"/>
  <c r="A13" i="18"/>
  <c r="A14" i="18"/>
  <c r="A15" i="18"/>
  <c r="A16" i="18"/>
  <c r="A17" i="18"/>
  <c r="A18" i="18"/>
  <c r="A19" i="18"/>
  <c r="A20" i="18"/>
  <c r="A21" i="18"/>
  <c r="A22" i="18"/>
  <c r="A23" i="18"/>
  <c r="A24" i="18"/>
  <c r="A25" i="18"/>
  <c r="A26" i="18"/>
  <c r="A27" i="18"/>
  <c r="A28" i="18"/>
  <c r="A29" i="18"/>
  <c r="A30" i="18"/>
  <c r="A31" i="18"/>
  <c r="A32" i="18"/>
  <c r="A33" i="18"/>
  <c r="A34" i="18"/>
  <c r="A35" i="18"/>
  <c r="A36" i="18"/>
  <c r="A37" i="18"/>
  <c r="A38" i="18"/>
  <c r="A3" i="18"/>
  <c r="L40" i="33"/>
  <c r="A1" i="33"/>
  <c r="F25" i="30"/>
  <c r="A1" i="30"/>
  <c r="F90" i="30"/>
  <c r="F87" i="30"/>
  <c r="G90" i="30"/>
  <c r="H90" i="30"/>
  <c r="I90" i="30"/>
  <c r="J90" i="30"/>
  <c r="K90" i="30"/>
  <c r="L90" i="30"/>
  <c r="M90" i="30"/>
  <c r="N90" i="30"/>
  <c r="O90" i="30"/>
  <c r="P90" i="30"/>
  <c r="Q90" i="30"/>
  <c r="R90" i="30"/>
  <c r="S90" i="30"/>
  <c r="T90" i="30"/>
  <c r="U90" i="30"/>
  <c r="V90" i="30"/>
  <c r="W90" i="30"/>
  <c r="X90" i="30"/>
  <c r="Y90" i="30"/>
  <c r="Z90" i="30"/>
  <c r="AA90" i="30"/>
  <c r="AB90" i="30"/>
  <c r="AC90" i="30"/>
  <c r="G91" i="30"/>
  <c r="H91" i="30"/>
  <c r="I91" i="30"/>
  <c r="J91" i="30"/>
  <c r="K91" i="30"/>
  <c r="L91" i="30"/>
  <c r="M91" i="30"/>
  <c r="N91" i="30"/>
  <c r="O91" i="30"/>
  <c r="P91" i="30"/>
  <c r="Q91" i="30"/>
  <c r="R91" i="30"/>
  <c r="S91" i="30"/>
  <c r="T91" i="30"/>
  <c r="U91" i="30"/>
  <c r="V91" i="30"/>
  <c r="W91" i="30"/>
  <c r="X91" i="30"/>
  <c r="Y91" i="30"/>
  <c r="Z91" i="30"/>
  <c r="AA91" i="30"/>
  <c r="AB91" i="30"/>
  <c r="AC91" i="30"/>
  <c r="G92" i="30"/>
  <c r="H92" i="30"/>
  <c r="I92" i="30"/>
  <c r="J92" i="30"/>
  <c r="K92" i="30"/>
  <c r="L92" i="30"/>
  <c r="M92" i="30"/>
  <c r="N92" i="30"/>
  <c r="O92" i="30"/>
  <c r="P92" i="30"/>
  <c r="Q92" i="30"/>
  <c r="R92" i="30"/>
  <c r="S92" i="30"/>
  <c r="T92" i="30"/>
  <c r="U92" i="30"/>
  <c r="V92" i="30"/>
  <c r="W92" i="30"/>
  <c r="X92" i="30"/>
  <c r="Y92" i="30"/>
  <c r="Z92" i="30"/>
  <c r="AA92" i="30"/>
  <c r="AB92" i="30"/>
  <c r="AC92" i="30"/>
  <c r="F91" i="30"/>
  <c r="F92" i="30"/>
  <c r="G87" i="30"/>
  <c r="H87" i="30"/>
  <c r="I87" i="30"/>
  <c r="J87" i="30"/>
  <c r="K87" i="30"/>
  <c r="L87" i="30"/>
  <c r="M87" i="30"/>
  <c r="N87" i="30"/>
  <c r="O87" i="30"/>
  <c r="P87" i="30"/>
  <c r="Q87" i="30"/>
  <c r="R87" i="30"/>
  <c r="S87" i="30"/>
  <c r="T87" i="30"/>
  <c r="U87" i="30"/>
  <c r="V87" i="30"/>
  <c r="W87" i="30"/>
  <c r="X87" i="30"/>
  <c r="Y87" i="30"/>
  <c r="Z87" i="30"/>
  <c r="AA87" i="30"/>
  <c r="AB87" i="30"/>
  <c r="AC87" i="30"/>
  <c r="G88" i="30"/>
  <c r="H88" i="30"/>
  <c r="I88" i="30"/>
  <c r="J88" i="30"/>
  <c r="K88" i="30"/>
  <c r="L88" i="30"/>
  <c r="M88" i="30"/>
  <c r="N88" i="30"/>
  <c r="O88" i="30"/>
  <c r="P88" i="30"/>
  <c r="Q88" i="30"/>
  <c r="R88" i="30"/>
  <c r="S88" i="30"/>
  <c r="T88" i="30"/>
  <c r="U88" i="30"/>
  <c r="V88" i="30"/>
  <c r="W88" i="30"/>
  <c r="X88" i="30"/>
  <c r="Y88" i="30"/>
  <c r="Z88" i="30"/>
  <c r="AA88" i="30"/>
  <c r="AB88" i="30"/>
  <c r="AC88" i="30"/>
  <c r="G89" i="30"/>
  <c r="H89" i="30"/>
  <c r="I89" i="30"/>
  <c r="J89" i="30"/>
  <c r="K89" i="30"/>
  <c r="L89" i="30"/>
  <c r="M89" i="30"/>
  <c r="N89" i="30"/>
  <c r="O89" i="30"/>
  <c r="P89" i="30"/>
  <c r="Q89" i="30"/>
  <c r="R89" i="30"/>
  <c r="S89" i="30"/>
  <c r="T89" i="30"/>
  <c r="U89" i="30"/>
  <c r="V89" i="30"/>
  <c r="W89" i="30"/>
  <c r="X89" i="30"/>
  <c r="Y89" i="30"/>
  <c r="Z89" i="30"/>
  <c r="AA89" i="30"/>
  <c r="AB89" i="30"/>
  <c r="AC89" i="30"/>
  <c r="F88" i="30"/>
  <c r="F89" i="30"/>
  <c r="A8" i="32"/>
  <c r="A69" i="30"/>
  <c r="A75" i="30" s="1"/>
  <c r="A81" i="30" s="1"/>
  <c r="A90" i="30" s="1"/>
  <c r="A72" i="30"/>
  <c r="A78" i="30" s="1"/>
  <c r="A84" i="30" s="1"/>
  <c r="B72" i="30"/>
  <c r="B78" i="30" s="1"/>
  <c r="B87" i="30" s="1"/>
  <c r="B69" i="30"/>
  <c r="B75" i="30" s="1"/>
  <c r="B81" i="30" s="1"/>
  <c r="B90" i="30" s="1"/>
  <c r="G104" i="35" l="1"/>
  <c r="I104" i="35" s="1"/>
  <c r="G111" i="35"/>
  <c r="I111" i="35" s="1"/>
  <c r="G112" i="35"/>
  <c r="I112" i="35" s="1"/>
  <c r="G109" i="35"/>
  <c r="I109" i="35" s="1"/>
  <c r="G113" i="35"/>
  <c r="I113" i="35" s="1"/>
  <c r="G115" i="35"/>
  <c r="I115" i="35" s="1"/>
  <c r="G106" i="35"/>
  <c r="I106" i="35" s="1"/>
  <c r="G103" i="35"/>
  <c r="I103" i="35" s="1"/>
  <c r="G102" i="35"/>
  <c r="I102" i="35" s="1"/>
  <c r="G114" i="35"/>
  <c r="I114" i="35" s="1"/>
  <c r="G105" i="35"/>
  <c r="I105" i="35" s="1"/>
  <c r="G108" i="35"/>
  <c r="I108" i="35" s="1"/>
  <c r="G100" i="35"/>
  <c r="I100" i="35" s="1"/>
  <c r="G110" i="35"/>
  <c r="I110" i="35" s="1"/>
  <c r="G101" i="35"/>
  <c r="I101" i="35" s="1"/>
  <c r="I13" i="18"/>
  <c r="J13" i="18" s="1"/>
  <c r="B9" i="2"/>
  <c r="B23" i="9"/>
  <c r="B8" i="18"/>
  <c r="B22" i="18"/>
  <c r="B21" i="18"/>
  <c r="B19" i="18"/>
  <c r="B17" i="18"/>
  <c r="B16" i="18"/>
  <c r="B38" i="18"/>
  <c r="B34" i="18"/>
  <c r="B33" i="18"/>
  <c r="B32" i="18"/>
  <c r="B30" i="18"/>
  <c r="B31" i="18"/>
  <c r="B13" i="18"/>
  <c r="B7" i="18"/>
  <c r="B6" i="18"/>
  <c r="B5" i="18"/>
  <c r="B4" i="18"/>
  <c r="B3" i="18"/>
  <c r="N40" i="33"/>
  <c r="A87" i="30"/>
  <c r="B84" i="30"/>
  <c r="B50" i="30" l="1"/>
  <c r="G25" i="30"/>
  <c r="H25" i="30"/>
  <c r="I25" i="30"/>
  <c r="J25" i="30"/>
  <c r="K25" i="30"/>
  <c r="L25" i="30"/>
  <c r="M25" i="30"/>
  <c r="N25" i="30"/>
  <c r="O25" i="30"/>
  <c r="P25" i="30"/>
  <c r="Q25" i="30"/>
  <c r="R25" i="30"/>
  <c r="S25" i="30"/>
  <c r="T25" i="30"/>
  <c r="U25" i="30"/>
  <c r="V25" i="30"/>
  <c r="W25" i="30"/>
  <c r="X25" i="30"/>
  <c r="Y25" i="30"/>
  <c r="Z25" i="30"/>
  <c r="AA25" i="30"/>
  <c r="AB25" i="30"/>
  <c r="AC25" i="30"/>
  <c r="G26" i="30"/>
  <c r="H26" i="30"/>
  <c r="I26" i="30"/>
  <c r="J26" i="30"/>
  <c r="K26" i="30"/>
  <c r="L26" i="30"/>
  <c r="M26" i="30"/>
  <c r="N26" i="30"/>
  <c r="O26" i="30"/>
  <c r="P26" i="30"/>
  <c r="Q26" i="30"/>
  <c r="R26" i="30"/>
  <c r="S26" i="30"/>
  <c r="T26" i="30"/>
  <c r="U26" i="30"/>
  <c r="V26" i="30"/>
  <c r="W26" i="30"/>
  <c r="X26" i="30"/>
  <c r="Y26" i="30"/>
  <c r="Z26" i="30"/>
  <c r="AA26" i="30"/>
  <c r="AB26" i="30"/>
  <c r="AC26" i="30"/>
  <c r="G27" i="30"/>
  <c r="H27" i="30"/>
  <c r="I27" i="30"/>
  <c r="J27" i="30"/>
  <c r="K27" i="30"/>
  <c r="L27" i="30"/>
  <c r="M27" i="30"/>
  <c r="N27" i="30"/>
  <c r="O27" i="30"/>
  <c r="P27" i="30"/>
  <c r="Q27" i="30"/>
  <c r="R27" i="30"/>
  <c r="S27" i="30"/>
  <c r="T27" i="30"/>
  <c r="U27" i="30"/>
  <c r="V27" i="30"/>
  <c r="W27" i="30"/>
  <c r="X27" i="30"/>
  <c r="Y27" i="30"/>
  <c r="Z27" i="30"/>
  <c r="AA27" i="30"/>
  <c r="AB27" i="30"/>
  <c r="AC27" i="30"/>
  <c r="F26" i="30"/>
  <c r="F27" i="30"/>
  <c r="B22" i="30" l="1"/>
  <c r="B31" i="30" l="1"/>
  <c r="B25" i="30"/>
  <c r="B28" i="30"/>
  <c r="B7" i="30"/>
  <c r="B10" i="30"/>
  <c r="B13" i="30"/>
  <c r="B16" i="30"/>
  <c r="B19" i="30"/>
  <c r="I24" i="1" l="1"/>
  <c r="J24" i="1"/>
  <c r="K24" i="1"/>
  <c r="M24" i="1"/>
  <c r="N24" i="1"/>
  <c r="O24" i="1"/>
  <c r="P24" i="1"/>
  <c r="Q24" i="1"/>
  <c r="R24" i="1"/>
  <c r="S24" i="1"/>
  <c r="T24" i="1"/>
  <c r="U24" i="1"/>
  <c r="V24" i="1"/>
  <c r="W24" i="1"/>
  <c r="X24" i="1"/>
  <c r="B33" i="1"/>
  <c r="B21" i="1"/>
  <c r="B15" i="1"/>
  <c r="B9" i="1"/>
  <c r="B3" i="1"/>
  <c r="A1" i="21" l="1"/>
  <c r="A1" i="27"/>
  <c r="A1" i="22"/>
  <c r="A1" i="20"/>
  <c r="A1" i="29" l="1"/>
  <c r="A8" i="9"/>
  <c r="A1" i="18"/>
  <c r="A1" i="14"/>
  <c r="A1" i="1"/>
  <c r="J42" i="1" l="1"/>
  <c r="K42" i="1"/>
  <c r="L42" i="1"/>
  <c r="M42" i="1"/>
  <c r="N42" i="1"/>
  <c r="O42" i="1"/>
  <c r="P42" i="1"/>
  <c r="Q42" i="1"/>
  <c r="R42" i="1"/>
  <c r="S42" i="1"/>
  <c r="T42" i="1"/>
  <c r="U42" i="1"/>
  <c r="V42" i="1"/>
  <c r="W42" i="1"/>
  <c r="X42" i="1"/>
  <c r="J44" i="1"/>
  <c r="K44" i="1"/>
  <c r="L44" i="1"/>
  <c r="M44" i="1"/>
  <c r="N44" i="1"/>
  <c r="O44" i="1"/>
  <c r="P44" i="1"/>
  <c r="Q44" i="1"/>
  <c r="R44" i="1"/>
  <c r="S44" i="1"/>
  <c r="T44" i="1"/>
  <c r="U44" i="1"/>
  <c r="V44" i="1"/>
  <c r="W44" i="1"/>
  <c r="X44" i="1"/>
  <c r="I44" i="1"/>
  <c r="I42" i="1"/>
  <c r="J36" i="1"/>
  <c r="K36" i="1"/>
  <c r="L36" i="1"/>
  <c r="M36" i="1"/>
  <c r="N36" i="1"/>
  <c r="O36" i="1"/>
  <c r="P36" i="1"/>
  <c r="Q36" i="1"/>
  <c r="R36" i="1"/>
  <c r="S36" i="1"/>
  <c r="T36" i="1"/>
  <c r="U36" i="1"/>
  <c r="V36" i="1"/>
  <c r="W36" i="1"/>
  <c r="X36" i="1"/>
  <c r="J38" i="1"/>
  <c r="K38" i="1"/>
  <c r="L38" i="1"/>
  <c r="M38" i="1"/>
  <c r="N38" i="1"/>
  <c r="O38" i="1"/>
  <c r="P38" i="1"/>
  <c r="Q38" i="1"/>
  <c r="R38" i="1"/>
  <c r="S38" i="1"/>
  <c r="T38" i="1"/>
  <c r="U38" i="1"/>
  <c r="V38" i="1"/>
  <c r="W38" i="1"/>
  <c r="X38" i="1"/>
  <c r="I38" i="1"/>
  <c r="I36" i="1"/>
  <c r="I37" i="1" s="1" a="1"/>
  <c r="I37" i="1" s="1"/>
  <c r="I43" i="1" l="1" a="1"/>
  <c r="I43" i="1" s="1"/>
  <c r="B25" i="2"/>
  <c r="B22" i="9" l="1"/>
  <c r="G12" i="9"/>
  <c r="A1" i="9"/>
  <c r="G10" i="9"/>
  <c r="C14" i="9" l="1"/>
  <c r="G14" i="9" s="1"/>
  <c r="A4" i="21"/>
  <c r="A3" i="20"/>
  <c r="A1" i="25"/>
  <c r="G75" i="1" l="1"/>
  <c r="G76" i="1"/>
  <c r="I3" i="18" l="1"/>
  <c r="J39" i="18" l="1"/>
  <c r="I39" i="18"/>
  <c r="I36" i="18" l="1"/>
  <c r="I35" i="18"/>
  <c r="I23" i="18"/>
  <c r="I22" i="18"/>
  <c r="I12" i="18"/>
  <c r="I11" i="18"/>
  <c r="I10" i="18"/>
  <c r="I9" i="18"/>
  <c r="I8" i="18"/>
  <c r="I7" i="18"/>
  <c r="I6" i="18"/>
  <c r="I5" i="18"/>
  <c r="I4" i="18"/>
  <c r="K108" i="1" l="1"/>
  <c r="K128" i="1" s="1"/>
  <c r="L108" i="1"/>
  <c r="L128" i="1" s="1"/>
  <c r="M108" i="1"/>
  <c r="M128" i="1" s="1"/>
  <c r="N108" i="1"/>
  <c r="N128" i="1" s="1"/>
  <c r="O108" i="1"/>
  <c r="O128" i="1" s="1"/>
  <c r="P108" i="1"/>
  <c r="P128" i="1" s="1"/>
  <c r="Q108" i="1"/>
  <c r="Q128" i="1" s="1"/>
  <c r="R108" i="1"/>
  <c r="R128" i="1" s="1"/>
  <c r="S108" i="1"/>
  <c r="S128" i="1" s="1"/>
  <c r="T108" i="1"/>
  <c r="T128" i="1" s="1"/>
  <c r="U108" i="1"/>
  <c r="U128" i="1" s="1"/>
  <c r="V108" i="1"/>
  <c r="V128" i="1" s="1"/>
  <c r="W108" i="1"/>
  <c r="W128" i="1" s="1"/>
  <c r="X108" i="1"/>
  <c r="X128" i="1" s="1"/>
  <c r="Y108" i="1"/>
  <c r="Y128" i="1" s="1"/>
  <c r="J108" i="1"/>
  <c r="J128" i="1" s="1"/>
  <c r="K98" i="1"/>
  <c r="K118" i="1" s="1"/>
  <c r="L98" i="1"/>
  <c r="L118" i="1" s="1"/>
  <c r="M98" i="1"/>
  <c r="M118" i="1" s="1"/>
  <c r="N98" i="1"/>
  <c r="N118" i="1" s="1"/>
  <c r="O98" i="1"/>
  <c r="O118" i="1" s="1"/>
  <c r="P98" i="1"/>
  <c r="P118" i="1" s="1"/>
  <c r="Q98" i="1"/>
  <c r="Q118" i="1" s="1"/>
  <c r="R98" i="1"/>
  <c r="R118" i="1" s="1"/>
  <c r="S98" i="1"/>
  <c r="S118" i="1" s="1"/>
  <c r="T98" i="1"/>
  <c r="U98" i="1"/>
  <c r="U118" i="1" s="1"/>
  <c r="V98" i="1"/>
  <c r="V118" i="1" s="1"/>
  <c r="W98" i="1"/>
  <c r="W118" i="1" s="1"/>
  <c r="X98" i="1"/>
  <c r="X118" i="1" s="1"/>
  <c r="Y98" i="1"/>
  <c r="Y118" i="1" s="1"/>
  <c r="J98" i="1"/>
  <c r="J118" i="1" s="1"/>
  <c r="J30" i="1"/>
  <c r="K30" i="1"/>
  <c r="L30" i="1"/>
  <c r="M30" i="1"/>
  <c r="N30" i="1"/>
  <c r="O30" i="1"/>
  <c r="P30" i="1"/>
  <c r="Q30" i="1"/>
  <c r="R30" i="1"/>
  <c r="S30" i="1"/>
  <c r="T30" i="1"/>
  <c r="U30" i="1"/>
  <c r="V30" i="1"/>
  <c r="W30" i="1"/>
  <c r="X30" i="1"/>
  <c r="I30" i="1"/>
  <c r="Y145" i="1"/>
  <c r="X145" i="1"/>
  <c r="W145" i="1"/>
  <c r="V145" i="1"/>
  <c r="U145" i="1"/>
  <c r="T145" i="1"/>
  <c r="S145" i="1"/>
  <c r="R145" i="1"/>
  <c r="Q145" i="1"/>
  <c r="P145" i="1"/>
  <c r="O145" i="1"/>
  <c r="N145" i="1"/>
  <c r="M145" i="1"/>
  <c r="L145" i="1"/>
  <c r="K145" i="1"/>
  <c r="J145" i="1"/>
  <c r="Y144" i="1"/>
  <c r="X144" i="1"/>
  <c r="W144" i="1"/>
  <c r="V144" i="1"/>
  <c r="U144" i="1"/>
  <c r="T144" i="1"/>
  <c r="S144" i="1"/>
  <c r="R144" i="1"/>
  <c r="Q144" i="1"/>
  <c r="P144" i="1"/>
  <c r="O144" i="1"/>
  <c r="N144" i="1"/>
  <c r="M144" i="1"/>
  <c r="L144" i="1"/>
  <c r="K144" i="1"/>
  <c r="J144" i="1"/>
  <c r="Y113" i="1"/>
  <c r="X23" i="1" s="1"/>
  <c r="X113" i="1"/>
  <c r="W23" i="1" s="1"/>
  <c r="W113" i="1"/>
  <c r="V23" i="1" s="1"/>
  <c r="V113" i="1"/>
  <c r="U23" i="1" s="1"/>
  <c r="U113" i="1"/>
  <c r="T23" i="1" s="1"/>
  <c r="T113" i="1"/>
  <c r="S23" i="1" s="1"/>
  <c r="S113" i="1"/>
  <c r="R23" i="1" s="1"/>
  <c r="R113" i="1"/>
  <c r="Q23" i="1" s="1"/>
  <c r="Q113" i="1"/>
  <c r="P23" i="1" s="1"/>
  <c r="P113" i="1"/>
  <c r="O23" i="1" s="1"/>
  <c r="O113" i="1"/>
  <c r="N23" i="1" s="1"/>
  <c r="N113" i="1"/>
  <c r="M23" i="1" s="1"/>
  <c r="M113" i="1"/>
  <c r="L23" i="1" s="1"/>
  <c r="L113" i="1"/>
  <c r="K23" i="1" s="1"/>
  <c r="K113" i="1"/>
  <c r="J23" i="1" s="1"/>
  <c r="J113" i="1"/>
  <c r="I23" i="1" s="1"/>
  <c r="T118" i="1"/>
  <c r="I25" i="1" l="1" a="1"/>
  <c r="I25" i="1" s="1"/>
  <c r="I31" i="1" a="1"/>
  <c r="I31" i="1" s="1"/>
  <c r="B10" i="2"/>
  <c r="H9" i="18" l="1"/>
  <c r="K9" i="18" s="1"/>
  <c r="K14" i="18"/>
  <c r="H12" i="18"/>
  <c r="K12" i="18" s="1"/>
  <c r="H11" i="18"/>
  <c r="K11" i="18" s="1"/>
  <c r="H10" i="18"/>
  <c r="K10" i="18" s="1"/>
  <c r="H8" i="18"/>
  <c r="K8" i="18" s="1"/>
  <c r="H7" i="18"/>
  <c r="K7" i="18" s="1"/>
  <c r="H6" i="18"/>
  <c r="K6" i="18" s="1"/>
  <c r="H5" i="18"/>
  <c r="K5" i="18" s="1"/>
  <c r="H3" i="18"/>
  <c r="K3" i="18" s="1"/>
  <c r="C11" i="9"/>
  <c r="H4" i="18"/>
  <c r="K4" i="18" s="1"/>
  <c r="G11" i="9" l="1"/>
  <c r="C15" i="9"/>
  <c r="G15" i="9" s="1"/>
  <c r="C13" i="9"/>
  <c r="G13" i="9" s="1"/>
  <c r="G17" i="9" s="1"/>
  <c r="B3" i="9" s="1"/>
  <c r="G16" i="9" l="1"/>
  <c r="K21" i="18" l="1"/>
  <c r="K38" i="18"/>
  <c r="H39" i="18"/>
  <c r="K39" i="18" s="1"/>
  <c r="K28" i="18"/>
  <c r="K27" i="18"/>
  <c r="K26" i="18"/>
  <c r="K25" i="18"/>
  <c r="K24" i="18"/>
  <c r="H23" i="18"/>
  <c r="K23" i="18" s="1"/>
  <c r="H22" i="18"/>
  <c r="K22" i="18" s="1"/>
  <c r="K20" i="18"/>
  <c r="K19" i="18"/>
  <c r="K18" i="18"/>
  <c r="K17" i="18"/>
  <c r="K34" i="18"/>
  <c r="K16" i="18"/>
  <c r="H35" i="18"/>
  <c r="K35" i="18" s="1"/>
  <c r="K15" i="18"/>
  <c r="H36" i="18"/>
  <c r="K36" i="18" s="1"/>
  <c r="A3" i="9"/>
  <c r="C3" i="9" s="1"/>
  <c r="G18" i="9"/>
  <c r="K37" i="18"/>
  <c r="K29" i="18" l="1"/>
  <c r="K33" i="18"/>
  <c r="K32" i="18"/>
  <c r="K31" i="18"/>
  <c r="K30" i="18"/>
  <c r="K13" i="18" l="1"/>
  <c r="F48" i="35"/>
  <c r="B52" i="35" s="1"/>
  <c r="C66" i="35" l="1"/>
  <c r="D66" i="35" s="1"/>
  <c r="E66" i="35" s="1"/>
  <c r="F72" i="35"/>
  <c r="C93" i="35"/>
  <c r="D93" i="35" s="1"/>
  <c r="F66" i="35"/>
  <c r="F70" i="35"/>
  <c r="C82" i="35"/>
  <c r="D82" i="35" s="1"/>
  <c r="F67" i="35"/>
  <c r="C91" i="35"/>
  <c r="D91" i="35" s="1"/>
  <c r="F65" i="35"/>
  <c r="F75" i="35"/>
  <c r="C85" i="35"/>
  <c r="D85" i="35" s="1"/>
  <c r="C87" i="35"/>
  <c r="D87" i="35" s="1"/>
  <c r="C63" i="35"/>
  <c r="D63" i="35" s="1"/>
  <c r="E63" i="35" s="1"/>
  <c r="C77" i="35"/>
  <c r="D77" i="35" s="1"/>
  <c r="E77" i="35" s="1"/>
  <c r="F63" i="35"/>
  <c r="I63" i="35" s="1"/>
  <c r="G63" i="35" s="1"/>
  <c r="C88" i="35"/>
  <c r="D88" i="35" s="1"/>
  <c r="C70" i="35"/>
  <c r="D70" i="35" s="1"/>
  <c r="E70" i="35" s="1"/>
  <c r="F69" i="35"/>
  <c r="C95" i="35"/>
  <c r="D95" i="35" s="1"/>
  <c r="C71" i="35"/>
  <c r="D71" i="35" s="1"/>
  <c r="E71" i="35" s="1"/>
  <c r="C81" i="35"/>
  <c r="D81" i="35" s="1"/>
  <c r="C92" i="35"/>
  <c r="D92" i="35" s="1"/>
  <c r="C90" i="35"/>
  <c r="D90" i="35" s="1"/>
  <c r="F62" i="35"/>
  <c r="C67" i="35"/>
  <c r="D67" i="35" s="1"/>
  <c r="E67" i="35" s="1"/>
  <c r="C68" i="35"/>
  <c r="D68" i="35" s="1"/>
  <c r="E68" i="35" s="1"/>
  <c r="C76" i="35"/>
  <c r="D76" i="35" s="1"/>
  <c r="E76" i="35" s="1"/>
  <c r="C94" i="35"/>
  <c r="D94" i="35" s="1"/>
  <c r="C69" i="35"/>
  <c r="D69" i="35" s="1"/>
  <c r="E69" i="35" s="1"/>
  <c r="C86" i="35"/>
  <c r="D86" i="35" s="1"/>
  <c r="C62" i="35"/>
  <c r="D62" i="35" s="1"/>
  <c r="E62" i="35" s="1"/>
  <c r="C65" i="35"/>
  <c r="D65" i="35" s="1"/>
  <c r="E65" i="35" s="1"/>
  <c r="F71" i="35"/>
  <c r="C84" i="35"/>
  <c r="D84" i="35" s="1"/>
  <c r="F64" i="35"/>
  <c r="C75" i="35"/>
  <c r="D75" i="35" s="1"/>
  <c r="E75" i="35" s="1"/>
  <c r="C74" i="35"/>
  <c r="D74" i="35" s="1"/>
  <c r="E74" i="35" s="1"/>
  <c r="F77" i="35"/>
  <c r="I77" i="35" s="1"/>
  <c r="G77" i="35" s="1"/>
  <c r="F76" i="35"/>
  <c r="I76" i="35" s="1"/>
  <c r="G76" i="35" s="1"/>
  <c r="F74" i="35"/>
  <c r="C64" i="35"/>
  <c r="D64" i="35" s="1"/>
  <c r="E64" i="35" s="1"/>
  <c r="C72" i="35"/>
  <c r="D72" i="35" s="1"/>
  <c r="E72" i="35" s="1"/>
  <c r="C89" i="35"/>
  <c r="D89" i="35" s="1"/>
  <c r="C96" i="35"/>
  <c r="D96" i="35" s="1"/>
  <c r="F73" i="35"/>
  <c r="C73" i="35"/>
  <c r="D73" i="35" s="1"/>
  <c r="E73" i="35" s="1"/>
  <c r="F68" i="35"/>
  <c r="C83" i="35"/>
  <c r="D83" i="35" s="1"/>
  <c r="I74" i="35" l="1"/>
  <c r="G74" i="35" s="1"/>
  <c r="I69" i="35"/>
  <c r="G69" i="35" s="1"/>
  <c r="I66" i="35"/>
  <c r="G66" i="35" s="1"/>
  <c r="I64" i="35"/>
  <c r="G64" i="35" s="1"/>
  <c r="I72" i="35"/>
  <c r="G72" i="35" s="1"/>
  <c r="I70" i="35"/>
  <c r="G70" i="35" s="1"/>
  <c r="I75" i="35"/>
  <c r="G75" i="35" s="1"/>
  <c r="I71" i="35"/>
  <c r="G71" i="35" s="1"/>
  <c r="I65" i="35"/>
  <c r="G65" i="35" s="1"/>
  <c r="I67" i="35"/>
  <c r="G67" i="35" s="1"/>
  <c r="I68" i="35"/>
  <c r="G68" i="35" s="1"/>
  <c r="F3" i="35"/>
  <c r="I62" i="35"/>
  <c r="G62" i="35" s="1"/>
  <c r="I73" i="35"/>
  <c r="G73" i="3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<sst xmlns="http://schemas.openxmlformats.org/spreadsheetml/2006/main" count="1841" uniqueCount="783">
  <si>
    <t>Data Sources</t>
  </si>
  <si>
    <t>Dataset</t>
  </si>
  <si>
    <t>Dodge 2023</t>
  </si>
  <si>
    <t>Prototype</t>
  </si>
  <si>
    <t>CEC prototype (CBECC 2022.3.1)</t>
  </si>
  <si>
    <t>https://bees.noresco.com/software2022.html</t>
  </si>
  <si>
    <t>TRC Multifamily Prototypes study (2019)</t>
  </si>
  <si>
    <t>https://title24stakeholders.com/wp-content/uploads/2019/06/SCE-MFModeling_MultifamilyPrototypesReport_2019-06-07_clean.pdf</t>
  </si>
  <si>
    <t>Codes</t>
  </si>
  <si>
    <t>Title 24, part 6 (1986, 2001, 2007, 2013, 2022, 2025)</t>
  </si>
  <si>
    <t>ASHRAE 90.1 (2022)</t>
  </si>
  <si>
    <t>ASHRAE Handbook of Fundamentals (Ch. 15 Tables 4 and 10)</t>
  </si>
  <si>
    <t xml:space="preserve"> </t>
  </si>
  <si>
    <t>CFR Title 10 (2010, 2024)</t>
  </si>
  <si>
    <t>Others</t>
  </si>
  <si>
    <t>2019 Outdoor Lighting CASE Report</t>
  </si>
  <si>
    <t>https://title24stakeholders.com/wp-content/uploads/2016/10/T24-2019-CASE-Study-Results-Report-Outdoor-Sources_Final_with-Attachments.pdf</t>
  </si>
  <si>
    <t>PNNL 20405, 2011</t>
  </si>
  <si>
    <t>https://www.pnnl.gov/main/publications/external/technical_reports/PNNL-20405.pdf</t>
  </si>
  <si>
    <t>2024 CASE Report: A Comprehensive, High Efficiency Solution for Water Heating in Multifamily Buildings</t>
  </si>
  <si>
    <t>https://www.energy.ca.gov/sites/default/files/2024-06/CEC-500-2024-054.pdf</t>
  </si>
  <si>
    <t>2022 CASE Report: Multifamily Domestic Hot Water Distribution</t>
  </si>
  <si>
    <t>https://title24stakeholders.com/wp-content/uploads/2020/09/2022_T24_Final-CASE-Report-MF-DHW-Dist.pdf</t>
  </si>
  <si>
    <t>Maguire &amp; Roberts 2020 (NREL/CP-5500-71633): Deriving Simulation Parameters for Storage-Type Water Heaters Using Ratings Data Produced from the Uniform Energy Factor Test Procedure</t>
  </si>
  <si>
    <t>https://docs.nrel.gov/docs/fy21osti/71633.pdf</t>
  </si>
  <si>
    <t>Construction Rate</t>
  </si>
  <si>
    <t>Notes</t>
  </si>
  <si>
    <t xml:space="preserve">ApartmentMidRise </t>
  </si>
  <si>
    <t>Characteristic</t>
  </si>
  <si>
    <t>Value</t>
  </si>
  <si>
    <t>Building Type</t>
  </si>
  <si>
    <t>Mid-Rise Apartment</t>
  </si>
  <si>
    <t>Building Category</t>
  </si>
  <si>
    <t>Nonresidential</t>
  </si>
  <si>
    <t>Version</t>
  </si>
  <si>
    <t>v2-0</t>
  </si>
  <si>
    <t>Vintages</t>
  </si>
  <si>
    <t>4 Vintages: Pre-1978 , 1978-1997 ,1998-2007 , 2008-2018
New Construction (2019+)</t>
  </si>
  <si>
    <r>
      <rPr>
        <sz val="10"/>
        <color rgb="FF000000"/>
        <rFont val="Arial"/>
        <family val="2"/>
      </rPr>
      <t>Following the vintage‑bin analysis</t>
    </r>
    <r>
      <rPr>
        <sz val="10"/>
        <color rgb="FF000000"/>
        <rFont val="Arial"/>
        <family val="2"/>
      </rPr>
      <t xml:space="preserve"> performed for the nonresidential prototypes.
A summary of the findings is presented in the following paper, with a link provided in the Notes tab:
Yousefi, F., Athalye, R. (2025). “Determining Vintage Bins for Prototype Development: An Analysis of California Commercial Buildings.” ASHRAE Annual Conference.</t>
    </r>
  </si>
  <si>
    <t>Shape</t>
  </si>
  <si>
    <t>CEC Prototype model
TRC Multifamily Prototypes study (2019)
https://title24stakeholders.com/wp-content/uploads/2019/06/SCE-MFModeling_MultifamilyPrototypesReport_2019-06-07_clean.pdf</t>
  </si>
  <si>
    <t>Total Floor Area (ft2)</t>
  </si>
  <si>
    <t>CEC Prototype model
TRC Multifamily Prototypes study (2019)</t>
  </si>
  <si>
    <t>Aspect Ratio</t>
  </si>
  <si>
    <t>Number of Floors</t>
  </si>
  <si>
    <t>5 above-ground floors including one underground parking garage (180 ft x 155 ft)</t>
  </si>
  <si>
    <t>Roof type</t>
  </si>
  <si>
    <t>Flat roof</t>
  </si>
  <si>
    <t>WWR (above grade)</t>
  </si>
  <si>
    <t>South: 22.0%, East: 22.0%, North: 22.0%, West: 22.0%
Total 22.0%</t>
  </si>
  <si>
    <t>Window dimensions</t>
  </si>
  <si>
    <t>5 * 3</t>
  </si>
  <si>
    <t>Shading Geometry</t>
  </si>
  <si>
    <t>-</t>
  </si>
  <si>
    <t>Floor to floor height (feet)</t>
  </si>
  <si>
    <t>Residential: 10
Non-residential: 10
Parking: 15</t>
  </si>
  <si>
    <t>Floor to ceiling height (feet)</t>
  </si>
  <si>
    <t>Residential: 9
Non-residential: 10
Parking: 14</t>
  </si>
  <si>
    <t>Glazing sill height (feet)</t>
  </si>
  <si>
    <t>3.1 ft (in first floor), 2.95 ft. (in upper floors)</t>
  </si>
  <si>
    <t>Number of dwelling units</t>
  </si>
  <si>
    <t>22 per residential floor × 4 floors. Mix per floor from TRC/plans: 2 studio, 10 one-bed, 8 two-bed, 2 three-bed.</t>
  </si>
  <si>
    <t>Above grade wall area (ft²)</t>
  </si>
  <si>
    <t>Gross wall area  (ft²)</t>
  </si>
  <si>
    <t>Roof area  (ft²)</t>
  </si>
  <si>
    <t>Underground Gross Wall Area  (ft²)</t>
  </si>
  <si>
    <t xml:space="preserve">Building </t>
  </si>
  <si>
    <t>Space/Thermal Zone</t>
  </si>
  <si>
    <r>
      <rPr>
        <b/>
        <sz val="10"/>
        <color rgb="FF000000"/>
        <rFont val="Arial"/>
        <family val="2"/>
      </rPr>
      <t xml:space="preserve">Space Type
</t>
    </r>
    <r>
      <rPr>
        <b/>
        <sz val="10"/>
        <color rgb="FF000000"/>
        <rFont val="Arial"/>
        <family val="2"/>
      </rPr>
      <t>[Primarily from: T24, 2022 Appendix 5.4A] - See Notes column</t>
    </r>
  </si>
  <si>
    <t>Res/NR</t>
  </si>
  <si>
    <t>Schedule Category</t>
  </si>
  <si>
    <t>No. of Dwelling Units</t>
  </si>
  <si>
    <t>Dwelling Unit Type</t>
  </si>
  <si>
    <t>Thermal Zone (HVAC Zone)</t>
  </si>
  <si>
    <t>Conditioned [Y/N]</t>
  </si>
  <si>
    <t>Area Fraction</t>
  </si>
  <si>
    <t>Area (ft²)</t>
  </si>
  <si>
    <t>Volume
(ft³)</t>
  </si>
  <si>
    <t>Multipliers</t>
  </si>
  <si>
    <t xml:space="preserve">People </t>
  </si>
  <si>
    <t>People (persons/1,000 ft²)</t>
  </si>
  <si>
    <t>Spaces and Zoning layout</t>
  </si>
  <si>
    <t>ApartmentMidRise</t>
  </si>
  <si>
    <t>F1 BUSINESS CENTER</t>
  </si>
  <si>
    <t>Convention, Conference, Multipurpose and Meeting Area</t>
  </si>
  <si>
    <t>NR</t>
  </si>
  <si>
    <t>ResidentialCommon</t>
  </si>
  <si>
    <t>NA</t>
  </si>
  <si>
    <t>AHU1</t>
  </si>
  <si>
    <t>Y</t>
  </si>
  <si>
    <t>Dwellings: occupants/unit — ACM 2025 §6.5.4 Max(Nbr+1, 2)
Parking garage: 0 (unoccupied for internal loads; App 5.4A 5/1000 not used)
Other nonresidential: persons/1,000 ft² — App 5.4A / Table 120.1-A</t>
  </si>
  <si>
    <t>F1 CORRIDOR</t>
  </si>
  <si>
    <t>Corridor Area</t>
  </si>
  <si>
    <t>AHU2</t>
  </si>
  <si>
    <t>F1 FITNESS CENTER</t>
  </si>
  <si>
    <t>Exercise/Fitness Center and Gymnasium Areas</t>
  </si>
  <si>
    <t>AHU3</t>
  </si>
  <si>
    <t>F1 LEASING OFFICE</t>
  </si>
  <si>
    <t>Office Area (&gt;250 square feet)</t>
  </si>
  <si>
    <t>AHU4</t>
  </si>
  <si>
    <t>F1 LOUNGE</t>
  </si>
  <si>
    <t>Lobby, Main Entry</t>
  </si>
  <si>
    <t>AHU5</t>
  </si>
  <si>
    <t>F1 MECHANICAL ROOM</t>
  </si>
  <si>
    <t>Electrical, Mechanical, Telephone Rooms</t>
  </si>
  <si>
    <t>Ancillary</t>
  </si>
  <si>
    <t>AHU6</t>
  </si>
  <si>
    <t>F1 RETAIL N-NW</t>
  </si>
  <si>
    <t>Retail Sales Area (Retail Merchandise Sales)</t>
  </si>
  <si>
    <t>Retail</t>
  </si>
  <si>
    <t>AHU7</t>
  </si>
  <si>
    <t>F1 RETAIL NE</t>
  </si>
  <si>
    <t>AHU8</t>
  </si>
  <si>
    <t>F1 RETAIL SE</t>
  </si>
  <si>
    <t>AHU9</t>
  </si>
  <si>
    <t>F1 RETAIL SW</t>
  </si>
  <si>
    <t>AHU10</t>
  </si>
  <si>
    <t>F2-4 1-BED CORE EAST</t>
  </si>
  <si>
    <t>Residential Living Spaces</t>
  </si>
  <si>
    <t>Res</t>
  </si>
  <si>
    <t>ResidentialLiving</t>
  </si>
  <si>
    <t xml:space="preserve"> 1-Bed Type</t>
  </si>
  <si>
    <t>AHU11</t>
  </si>
  <si>
    <t>F2-4 1-BED CORE N</t>
  </si>
  <si>
    <t>AHU12</t>
  </si>
  <si>
    <t>F2-4 1-BED CORE WEST</t>
  </si>
  <si>
    <t>AHU13</t>
  </si>
  <si>
    <t>F2-4 1-BED NORTH</t>
  </si>
  <si>
    <t>AHU14</t>
  </si>
  <si>
    <t>F2-4 2-BED CORE NE-NW</t>
  </si>
  <si>
    <t xml:space="preserve"> 2-Bed Type</t>
  </si>
  <si>
    <t>AHU15</t>
  </si>
  <si>
    <t>F2-4 2-BED EAST</t>
  </si>
  <si>
    <t>AHU16</t>
  </si>
  <si>
    <t>F2-4 2-BED WEST</t>
  </si>
  <si>
    <t>AHU17</t>
  </si>
  <si>
    <t>F2-4 3-BED NE</t>
  </si>
  <si>
    <t xml:space="preserve"> 3-Bed Type</t>
  </si>
  <si>
    <t>AHU18</t>
  </si>
  <si>
    <t>F2-4 3-BED NW</t>
  </si>
  <si>
    <t>AHU19</t>
  </si>
  <si>
    <t>F2-4 CORRIDOR</t>
  </si>
  <si>
    <t>AHU20</t>
  </si>
  <si>
    <t>F2-4 LAUNDRY</t>
  </si>
  <si>
    <t xml:space="preserve">Laundry Area </t>
  </si>
  <si>
    <t>AHU21</t>
  </si>
  <si>
    <t>F2-4 STUDIO SE</t>
  </si>
  <si>
    <t>Studio Type</t>
  </si>
  <si>
    <t>AHU22</t>
  </si>
  <si>
    <t>F2-4 STUDIO SW</t>
  </si>
  <si>
    <t>AHU23</t>
  </si>
  <si>
    <t>F5 1-BED CORE EAST</t>
  </si>
  <si>
    <t>AHU24</t>
  </si>
  <si>
    <t>F5 1-BED CORE N</t>
  </si>
  <si>
    <t>AHU25</t>
  </si>
  <si>
    <t>F5 1-BED CORE WEST</t>
  </si>
  <si>
    <t>AHU26</t>
  </si>
  <si>
    <t>F5 1-BED NORTH</t>
  </si>
  <si>
    <t>AHU27</t>
  </si>
  <si>
    <t>F5 2-BED CORE NE-NW</t>
  </si>
  <si>
    <t>AHU28</t>
  </si>
  <si>
    <t>F5 2-BED EAST</t>
  </si>
  <si>
    <t>AHU29</t>
  </si>
  <si>
    <t>F5 2-BED WEST</t>
  </si>
  <si>
    <t>AHU30</t>
  </si>
  <si>
    <t>F5 3-BED NE</t>
  </si>
  <si>
    <t>AHU31</t>
  </si>
  <si>
    <t>F5 3-BED NW</t>
  </si>
  <si>
    <t>AHU32</t>
  </si>
  <si>
    <t>F5 CORRIDOR</t>
  </si>
  <si>
    <t>AHU33</t>
  </si>
  <si>
    <t>F5 LAUNDRY</t>
  </si>
  <si>
    <t>AHU34</t>
  </si>
  <si>
    <t>F5 STUDIO SE</t>
  </si>
  <si>
    <t>AHU35</t>
  </si>
  <si>
    <t>F5 STUDIO SW</t>
  </si>
  <si>
    <t>AHU36</t>
  </si>
  <si>
    <t>PARKING GARAGE</t>
  </si>
  <si>
    <t>Parking Garage Area (Parking Zone and Ramps)</t>
  </si>
  <si>
    <t>none</t>
  </si>
  <si>
    <t>N</t>
  </si>
  <si>
    <t>Total (1 Building)</t>
  </si>
  <si>
    <t>Total (37 Spaces)</t>
  </si>
  <si>
    <t>Total (11 Space Types)</t>
  </si>
  <si>
    <t>Total (88 Dwelling Units)</t>
  </si>
  <si>
    <t>Total (4 Dwelling Unit Types)</t>
  </si>
  <si>
    <t>Total (37 Thermal Zones)</t>
  </si>
  <si>
    <t xml:space="preserve"> Total (36 Conditioned Zones, 1 Unconditioned Zones)</t>
  </si>
  <si>
    <t>Background Data [To be deleted prior to publication]</t>
  </si>
  <si>
    <t>Element</t>
  </si>
  <si>
    <t xml:space="preserve"> Assembly Type</t>
  </si>
  <si>
    <t>Construction</t>
  </si>
  <si>
    <t>Thermal Properties</t>
  </si>
  <si>
    <t>Vintage</t>
  </si>
  <si>
    <t>Selected T24</t>
  </si>
  <si>
    <t>CZ1</t>
  </si>
  <si>
    <t>CZ2</t>
  </si>
  <si>
    <t>CZ3</t>
  </si>
  <si>
    <t>CZ4</t>
  </si>
  <si>
    <t>CZ5</t>
  </si>
  <si>
    <t>CZ6</t>
  </si>
  <si>
    <t>CZ7</t>
  </si>
  <si>
    <t>CZ8</t>
  </si>
  <si>
    <t>CZ9</t>
  </si>
  <si>
    <t>CZ10</t>
  </si>
  <si>
    <t>CZ11</t>
  </si>
  <si>
    <t>CZ12</t>
  </si>
  <si>
    <t>CZ13</t>
  </si>
  <si>
    <t>CZ14</t>
  </si>
  <si>
    <t>CZ15</t>
  </si>
  <si>
    <t>CZ16</t>
  </si>
  <si>
    <t>External Wall (Floor 1)</t>
  </si>
  <si>
    <t>ExtWall_MassHeavy_Nonres</t>
  </si>
  <si>
    <r>
      <rPr>
        <sz val="10"/>
        <color rgb="FF000000"/>
        <rFont val="Arial"/>
        <family val="2"/>
      </rPr>
      <t xml:space="preserve">Heavy mass wall:
</t>
    </r>
    <r>
      <rPr>
        <sz val="10"/>
        <color rgb="FF000000"/>
        <rFont val="Arial"/>
        <family val="2"/>
      </rPr>
      <t xml:space="preserve">8-in cast-in-place concrete wall + insulation + air/water barrier +  exterior cladding + gypsum board
</t>
    </r>
    <r>
      <rPr>
        <sz val="10"/>
        <color rgb="FF000000"/>
        <rFont val="Arial"/>
        <family val="2"/>
      </rPr>
      <t>Insulation only where the vintage U-factor requires</t>
    </r>
  </si>
  <si>
    <t>U-factor IP</t>
  </si>
  <si>
    <t>Pre 1978</t>
  </si>
  <si>
    <t>N/A</t>
  </si>
  <si>
    <t>Using:
1)ASHRAE 90.1‑2022, Table A3.1‑1: R‑0 wall (U = 0.74 for concrete); using U = 5.523 for stucco, U = 1.746 for gypsum board, and U=1.54 for Air - Metal Wall Framing
2) and a 7.7% cumulative wall renovation rate through 2028, based on the average annual rate from CBECS 2003 and 2012 projected over 48 years.</t>
  </si>
  <si>
    <t>1978-1997</t>
  </si>
  <si>
    <t xml:space="preserve">Same as 1992. No direct regulation was found in 1986 for concrete walls. Also, T24, 1986, Table 2-53B and Equation 2-53E presents U-factors more than the previous vintage (for wall density of &gt;81 lb/ft² &amp; Degree day&lt;3000). </t>
  </si>
  <si>
    <t>1998-2007</t>
  </si>
  <si>
    <t>Table 1-H Mass HC≥15 (2001). CZ groups 1&amp;16 / 3-5 / 6-9 / 2&amp;10-13 / 14-15.</t>
  </si>
  <si>
    <t>2008-2018</t>
  </si>
  <si>
    <t>Table 140.3-B Walls — Mass, Heavy (2013)</t>
  </si>
  <si>
    <t>Existing</t>
  </si>
  <si>
    <t>Weighted average of all 4 vintages</t>
  </si>
  <si>
    <t>2019+</t>
  </si>
  <si>
    <t>Table 140.3-B Walls - Mass, Heavy (2025)</t>
  </si>
  <si>
    <t>External Wall (Floors 2-5)</t>
  </si>
  <si>
    <t>ExtWall_WoodFramed_Res</t>
  </si>
  <si>
    <t>Using ASHRAE 90.1, 2022 Table A3.4.3.1, 3.5", R-1.5 and a 7.7% cumulative wall renovation rate through 2028, based on the average annual rate from CBECS 2003 and 2012 projected over 48 years.</t>
  </si>
  <si>
    <t>Title 24 1986 Table 2-53 BB, wall density less than 25</t>
  </si>
  <si>
    <t>TABLE 1-I wood frame (2001 high-rise residential). CZ1 and CZ16 = 0.063.</t>
  </si>
  <si>
    <t>TABLE 140.3-C Wood-framed and Other (2013 high-rise residential). Not 140.3-B and not Mass, Heavy (F2-5 construction is wood).</t>
  </si>
  <si>
    <t>TABLE 170.2-A framed (wood, metal) and other — &gt;1-hr fire rating</t>
  </si>
  <si>
    <t>Roof</t>
  </si>
  <si>
    <t>FlatRoof_WoodFramedAndOther_Res</t>
  </si>
  <si>
    <r>
      <rPr>
        <sz val="10"/>
        <color rgb="FF000000"/>
        <rFont val="Arial"/>
        <family val="2"/>
      </rPr>
      <t xml:space="preserve">wood deck roof:
</t>
    </r>
    <r>
      <rPr>
        <sz val="10"/>
        <color rgb="FF000000"/>
        <rFont val="Arial"/>
        <family val="2"/>
      </rPr>
      <t>Roof membrane or shingles + roof insulation + wood decking/sheathing + wood framing</t>
    </r>
  </si>
  <si>
    <t>Considering 30 years for roof/ insulation replacement.</t>
  </si>
  <si>
    <t>TABLE 1-I</t>
  </si>
  <si>
    <t>TABLE 140.3-C</t>
  </si>
  <si>
    <t>TABLE 170.2-A ENVELOPE COMPONENT PACKAGE – Multifamily Standard Building Design</t>
  </si>
  <si>
    <t>Windows_Dwelling Units (Floors 2-5)</t>
  </si>
  <si>
    <t>FixedAndOperableWindow_Res</t>
  </si>
  <si>
    <t>100% single pane for Pre-1978 and 1978-1997 (as-built). Title 24 fenestration U/SHGC starts at 1998-2007 (2001 Tables 1-H / 1-I).</t>
  </si>
  <si>
    <t>U factor</t>
  </si>
  <si>
    <t>ASHRAE Handbook of Fundamentals Ch. 15 Table 4: U 1.12 (fixed metal) / 1.23 (operable). Weighted with Envelope $C$56 operable fraction. No 2013 double-pane blend.</t>
  </si>
  <si>
    <t>Double pane</t>
  </si>
  <si>
    <t xml:space="preserve"> Table 1-I</t>
  </si>
  <si>
    <t xml:space="preserve">Table 140.3-C  </t>
  </si>
  <si>
    <t>TABLE 170.2-A All Other Fenestration (not fixed/operable blend)</t>
  </si>
  <si>
    <t>SHGC</t>
  </si>
  <si>
    <t>ASHRAE Handbook of Fundamentals Ch. 15 Table 10: SHGC 0.79 (fixed) / 0.78 (operable). Weighted with Envelope $C$56. No 2013 double-pane blend.</t>
  </si>
  <si>
    <t>TABLE 1-I 21-30% WWR (prototype 22%). Non-north row 116; CZ1 uses north (row 117) per Table 1-I note.</t>
  </si>
  <si>
    <t xml:space="preserve">Table 140.3-C </t>
  </si>
  <si>
    <t>Windows_Nonres (Floor 1)</t>
  </si>
  <si>
    <t>FixedWindow_NonRes</t>
  </si>
  <si>
    <t>ASHRAE Handbook of Fundamentals Ch. 15 Table 4: U-1.12 (100% fixed metal, Nonres). No 2013 double-pane blend.</t>
  </si>
  <si>
    <t>Table 1-H window U-factor (2001). CZ3-9 = 0.81; other CZs = 0.49. Values from Envelope row 85.</t>
  </si>
  <si>
    <t xml:space="preserve">Table 140.3-B </t>
  </si>
  <si>
    <t>Table 140.3-B</t>
  </si>
  <si>
    <t>ASHRAE Handbook of Fundamentals Ch. 15 Table 10: SHGC 0.79 (100% fixed, Nonres). No 2013 double-pane blend.</t>
  </si>
  <si>
    <t>Table 1-H 21-30% WWR (prototype 22%). Non-north row 120; CZ1 uses north (row 121) per Table 1-H note.</t>
  </si>
  <si>
    <t>Table 140.3-B  (100% fixed, 0% operable)</t>
  </si>
  <si>
    <t>* Based on PNNL scorecard assumption.</t>
  </si>
  <si>
    <t>Infiltration</t>
  </si>
  <si>
    <t>Building</t>
  </si>
  <si>
    <t>Zones</t>
  </si>
  <si>
    <t>Source</t>
  </si>
  <si>
    <t>ACH50</t>
  </si>
  <si>
    <t>DOE reference buildings (pre/post 1980</t>
  </si>
  <si>
    <t>All</t>
  </si>
  <si>
    <t>Same as all the vintages</t>
  </si>
  <si>
    <t>2027 Nonresidential and Multifamily ACM, §6.6 / §6.6.1</t>
  </si>
  <si>
    <t>8-in cast-in-place concrete wall + insulation + air/water barrier +  exterior cladding + gypsum board
Insulation only where the vintage U-factor requires it; Pre-1978 is uninsulated (Appendix A R-0).</t>
  </si>
  <si>
    <t>ASHRAE 90.1‑2022, Table A3.1‑1: R‑0 wall (U = 0.74 for concrete); using U = 5.523 for stucco, U = 1.746 for gypsum board, and U=1.54 for Air - Metal Wall Framing</t>
  </si>
  <si>
    <t>T24, 2008 (U value): Heavy mass Nonres</t>
  </si>
  <si>
    <t>Wood-frame walls + insulation + Gypsum board</t>
  </si>
  <si>
    <t>ASHRAE 90.1, 2022 Table A3.4.3.1, 3.5", R-0</t>
  </si>
  <si>
    <t>T24 ( 2008) Wood framed Res</t>
  </si>
  <si>
    <t>ASHRAE 90.1, 2022 Table A3.4.3.1, 3.5", R-1.5</t>
  </si>
  <si>
    <r>
      <t xml:space="preserve">8-in cast-in-place concrete wall + insulation + air/water barrier +  exterior cladding + gypsum board
</t>
    </r>
    <r>
      <rPr>
        <sz val="10"/>
        <color rgb="FF000000"/>
        <rFont val="Arial"/>
        <family val="2"/>
      </rPr>
      <t>Insulation only where the vintage U-factor requires it; Pre-1978 is uninsulated (Appendix A R-0).</t>
    </r>
  </si>
  <si>
    <t>90.1 Table A3.1-1, 8 in. NWC 145 pcf solid, No Framing R-0: U-0.740. 
 using U = 5.523 for stucco and U = 1.746 for gypsum board.</t>
  </si>
  <si>
    <t>ASHRAE 90.1 Table A3.4.3.1, 3.5", R-0</t>
  </si>
  <si>
    <t xml:space="preserve">Percentage of operable to fix windows </t>
  </si>
  <si>
    <t>Operable fraction weights older-vintage window U/SHGC only. Natural ventilation is not modeled. Dwelling outdoor air is mechanical Eq 160.2-B.</t>
  </si>
  <si>
    <t>Existing stock infiltration assumptions</t>
  </si>
  <si>
    <t>Perimeter</t>
  </si>
  <si>
    <t>ft</t>
  </si>
  <si>
    <t>Area</t>
  </si>
  <si>
    <t>ft2</t>
  </si>
  <si>
    <r>
      <t xml:space="preserve">Stories = </t>
    </r>
    <r>
      <rPr>
        <b/>
        <sz val="11"/>
        <color theme="1"/>
        <rFont val="Calibri"/>
        <family val="2"/>
        <scheme val="minor"/>
      </rPr>
      <t>5</t>
    </r>
    <r>
      <rPr>
        <sz val="11"/>
        <color theme="1"/>
        <rFont val="Calibri"/>
        <family val="2"/>
        <scheme val="minor"/>
      </rPr>
      <t xml:space="preserve"> → total height = </t>
    </r>
    <r>
      <rPr>
        <b/>
        <sz val="11"/>
        <color theme="1"/>
        <rFont val="Calibri"/>
        <family val="2"/>
        <scheme val="minor"/>
      </rPr>
      <t>50 ft</t>
    </r>
    <r>
      <rPr>
        <sz val="11"/>
        <color theme="1"/>
        <rFont val="Calibri"/>
        <family val="2"/>
        <scheme val="minor"/>
      </rPr>
      <t xml:space="preserve"> (10 ft/floor)</t>
    </r>
  </si>
  <si>
    <r>
      <t xml:space="preserve">Wall area = 846 × 50 = </t>
    </r>
    <r>
      <rPr>
        <b/>
        <sz val="11"/>
        <color theme="1"/>
        <rFont val="Calibri"/>
        <family val="2"/>
        <scheme val="minor"/>
      </rPr>
      <t>42,300 ft²</t>
    </r>
    <r>
      <rPr>
        <sz val="11"/>
        <color theme="1"/>
        <rFont val="Calibri"/>
        <family val="2"/>
        <scheme val="minor"/>
      </rPr>
      <t xml:space="preserve"> (= </t>
    </r>
    <r>
      <rPr>
        <b/>
        <sz val="11"/>
        <color theme="1"/>
        <rFont val="Calibri"/>
        <family val="2"/>
        <scheme val="minor"/>
      </rPr>
      <t>3,929.80 m²</t>
    </r>
    <r>
      <rPr>
        <sz val="11"/>
        <color theme="1"/>
        <rFont val="Calibri"/>
        <family val="2"/>
        <scheme val="minor"/>
      </rPr>
      <t>)</t>
    </r>
  </si>
  <si>
    <r>
      <t xml:space="preserve">Roof area = </t>
    </r>
    <r>
      <rPr>
        <b/>
        <sz val="11"/>
        <color theme="1"/>
        <rFont val="Calibri"/>
        <family val="2"/>
        <scheme val="minor"/>
      </rPr>
      <t>22,620 ft²</t>
    </r>
    <r>
      <rPr>
        <sz val="11"/>
        <color theme="1"/>
        <rFont val="Calibri"/>
        <family val="2"/>
        <scheme val="minor"/>
      </rPr>
      <t xml:space="preserve"> (= </t>
    </r>
    <r>
      <rPr>
        <b/>
        <sz val="11"/>
        <color theme="1"/>
        <rFont val="Calibri"/>
        <family val="2"/>
        <scheme val="minor"/>
      </rPr>
      <t>2,101.47 m²</t>
    </r>
    <r>
      <rPr>
        <sz val="11"/>
        <color theme="1"/>
        <rFont val="Calibri"/>
        <family val="2"/>
        <scheme val="minor"/>
      </rPr>
      <t>)</t>
    </r>
  </si>
  <si>
    <r>
      <t xml:space="preserve">Exterior area (walls + roof) = </t>
    </r>
    <r>
      <rPr>
        <b/>
        <sz val="11"/>
        <color theme="1"/>
        <rFont val="Calibri"/>
        <family val="2"/>
        <scheme val="minor"/>
      </rPr>
      <t>64,920 ft²</t>
    </r>
    <r>
      <rPr>
        <sz val="11"/>
        <color theme="1"/>
        <rFont val="Calibri"/>
        <family val="2"/>
        <scheme val="minor"/>
      </rPr>
      <t xml:space="preserve"> (= </t>
    </r>
    <r>
      <rPr>
        <b/>
        <sz val="11"/>
        <color theme="1"/>
        <rFont val="Calibri"/>
        <family val="2"/>
        <scheme val="minor"/>
      </rPr>
      <t>6,031.27 m²</t>
    </r>
    <r>
      <rPr>
        <sz val="11"/>
        <color theme="1"/>
        <rFont val="Calibri"/>
        <family val="2"/>
        <scheme val="minor"/>
      </rPr>
      <t>)</t>
    </r>
  </si>
  <si>
    <r>
      <t xml:space="preserve">Volume (with updated footprint): 22,620 × 50 = </t>
    </r>
    <r>
      <rPr>
        <b/>
        <sz val="11"/>
        <color theme="1"/>
        <rFont val="Calibri"/>
        <family val="2"/>
        <scheme val="minor"/>
      </rPr>
      <t>1,131,000 ft³</t>
    </r>
    <r>
      <rPr>
        <sz val="11"/>
        <color theme="1"/>
        <rFont val="Calibri"/>
        <family val="2"/>
        <scheme val="minor"/>
      </rPr>
      <t xml:space="preserve"> (= </t>
    </r>
    <r>
      <rPr>
        <b/>
        <sz val="11"/>
        <color theme="1"/>
        <rFont val="Calibri"/>
        <family val="2"/>
        <scheme val="minor"/>
      </rPr>
      <t>32,026.35 m³</t>
    </r>
    <r>
      <rPr>
        <sz val="11"/>
        <color theme="1"/>
        <rFont val="Calibri"/>
        <family val="2"/>
        <scheme val="minor"/>
      </rPr>
      <t>)</t>
    </r>
  </si>
  <si>
    <r>
      <rPr>
        <sz val="11"/>
        <color rgb="FF000000"/>
        <rFont val="Calibri"/>
        <family val="2"/>
        <scheme val="minor"/>
      </rPr>
      <t xml:space="preserve">Q=0.001133×6,031.27=6.833 m3/s (≈ </t>
    </r>
    <r>
      <rPr>
        <b/>
        <sz val="11"/>
        <color rgb="FF000000"/>
        <rFont val="Calibri"/>
        <family val="2"/>
        <scheme val="minor"/>
      </rPr>
      <t>14,479 cfm</t>
    </r>
    <r>
      <rPr>
        <sz val="11"/>
        <color rgb="FF000000"/>
        <rFont val="Calibri"/>
        <family val="2"/>
        <scheme val="minor"/>
      </rPr>
      <t>)</t>
    </r>
  </si>
  <si>
    <t>Reference: DOE Commercial Reference Building: Flow per Exterior Surface Area {m3/s-m2}</t>
  </si>
  <si>
    <t>ACH (natural/operational)</t>
  </si>
  <si>
    <t>ACH=Q×3600​/V</t>
  </si>
  <si>
    <r>
      <t>Walls + roof:</t>
    </r>
    <r>
      <rPr>
        <sz val="11"/>
        <color theme="1"/>
        <rFont val="Calibri"/>
        <family val="2"/>
        <scheme val="minor"/>
      </rPr>
      <t xml:space="preserve"> 0.768 h−1</t>
    </r>
  </si>
  <si>
    <t>ACH₅₀ (at 50 Pa)</t>
  </si>
  <si>
    <t>ACH50​=ACHnat​*(50/4​)^0.65</t>
  </si>
  <si>
    <t>3.97 h−1</t>
  </si>
  <si>
    <t>Windows_Dwelling Units</t>
  </si>
  <si>
    <t xml:space="preserve">Fixed Windows </t>
  </si>
  <si>
    <t>TABLE 1-I  (50% north with WWR 20-30% + 50% non north with WWR 30-40% )</t>
  </si>
  <si>
    <t>Windows_ Nonres</t>
  </si>
  <si>
    <t xml:space="preserve">Operable Windows </t>
  </si>
  <si>
    <t xml:space="preserve"> TABLE 1-I (50% north with WWR 20-30% + 50% non north with WWR 30-40%) </t>
  </si>
  <si>
    <t>TABLE 1-H (50% north with WWR 20-30% + 50% non north with WWR 30-40% )</t>
  </si>
  <si>
    <t>High-rise/Hotel</t>
  </si>
  <si>
    <t>Windows</t>
  </si>
  <si>
    <t>North</t>
  </si>
  <si>
    <t>20-30% WWR</t>
  </si>
  <si>
    <t>RSHGC</t>
  </si>
  <si>
    <t>Non_x0002_North</t>
  </si>
  <si>
    <t>30-40% WWR</t>
  </si>
  <si>
    <t>Nonres</t>
  </si>
  <si>
    <t>TABLE 1-H</t>
  </si>
  <si>
    <t xml:space="preserve">Guest room </t>
  </si>
  <si>
    <t>45% of north+10% of east and west + 45% of west</t>
  </si>
  <si>
    <t>Space Type</t>
  </si>
  <si>
    <t xml:space="preserve">Heating </t>
  </si>
  <si>
    <t>Cooling</t>
  </si>
  <si>
    <t>Air Distribution</t>
  </si>
  <si>
    <t xml:space="preserve">Existing  </t>
  </si>
  <si>
    <t>Residential Tenant and common</t>
  </si>
  <si>
    <t>SZAC (Furnace)</t>
  </si>
  <si>
    <t>SZAC (DX)</t>
  </si>
  <si>
    <t>CAV</t>
  </si>
  <si>
    <t>ResStock 2022 &amp; T24 (2008, 2013)</t>
  </si>
  <si>
    <t>Non-Residential Tenant (Retail)</t>
  </si>
  <si>
    <t>PVAV (Gas Boiler &amp; hot water reheat)</t>
  </si>
  <si>
    <t>PVAV (DX)</t>
  </si>
  <si>
    <t>VAV</t>
  </si>
  <si>
    <t>New Construction</t>
  </si>
  <si>
    <t>Residential Tenant  and common</t>
  </si>
  <si>
    <t>SZHP (DX)</t>
  </si>
  <si>
    <t>T24 2025</t>
  </si>
  <si>
    <t>ACM 2025 Table 26: dwelling units (&gt;3 habitable floors) SZHP CAV, no economizer; CZ2-15 electric-resistance supplemental heat; CZ1/16 gas furnace supplemental. Common areas are a separate Table 26 row (economizer language differs). Tenant vs common not split into two HVAC rows this pass.</t>
  </si>
  <si>
    <t>*Based on NR ACM 2025 - Table 26</t>
  </si>
  <si>
    <r>
      <rPr>
        <b/>
        <sz val="12"/>
        <color rgb="FFFFFFFF"/>
        <rFont val="Arial"/>
        <family val="2"/>
      </rPr>
      <t xml:space="preserve">Efficiency of HVAC system
</t>
    </r>
    <r>
      <rPr>
        <sz val="10"/>
        <color rgb="FFFFFFFF"/>
        <rFont val="Arial"/>
        <family val="2"/>
      </rPr>
      <t xml:space="preserve"> (Efficiency is capacity-dependent. The following table provides a general estimate of system efficiency based on preliminary simulations in one climate zone, or assuming cooling load based on rule of thumb)</t>
    </r>
  </si>
  <si>
    <t>Upgrade/Installed year</t>
  </si>
  <si>
    <t>Efficiency 80% (78% AFUE)</t>
  </si>
  <si>
    <t>EER=9 (&lt;65,000 Btu/h)
RES SEER: 13</t>
  </si>
  <si>
    <t>T24, 2008 / 10 CFR Part 430, §430.32(c)(2)</t>
  </si>
  <si>
    <t>EER=9 (&lt;65,000 Btu/h)
RES: SEER 13 (&lt;65k)</t>
  </si>
  <si>
    <t>CFR Energy 2010:Title 10- Table 9</t>
  </si>
  <si>
    <t>RES:
HSPF2:7.5
For SZHPDF: Furnace efficiency: 80%</t>
  </si>
  <si>
    <t>SEER2: 14.3</t>
  </si>
  <si>
    <t>Title 20, 2023 Table E-6</t>
  </si>
  <si>
    <t>Non-Res:
For ≥65k and &lt;135k Btu/h: 11.0 EER and 14.1 IEER
Heating (gas boiler) efficiency is not listed and was not invented. Retail NC system remains PVAV with gas boiler (row 6).</t>
  </si>
  <si>
    <t>11.0 EER, 14.1 IEER
Dual Fuel: 10.8 EER, 13.9 IEER</t>
  </si>
  <si>
    <t>Title 24, 2025 able 110.2 footnote a</t>
  </si>
  <si>
    <t>Fan power</t>
  </si>
  <si>
    <t>Approach</t>
  </si>
  <si>
    <t>System</t>
  </si>
  <si>
    <t>Total Static Pressure (TSP)
(in w.c.)</t>
  </si>
  <si>
    <t>Fan Efficiency
[ACM 2025]</t>
  </si>
  <si>
    <t xml:space="preserve">Motor Efficiency </t>
  </si>
  <si>
    <t xml:space="preserve"> Fan Power Index 
(W/cfm)</t>
  </si>
  <si>
    <t>Data Source</t>
  </si>
  <si>
    <t>PNNL 90.1-2011, TSP</t>
  </si>
  <si>
    <t>SZAC CAV, residential tenant and common</t>
  </si>
  <si>
    <t>ASHRAE 90.1, 2004, Table 10.8 *</t>
  </si>
  <si>
    <t>Fan power formula: PNNL 20405, 2010, section 5.2.2.5
TSP and fan efficiency: PNNL 20405, 2010, Table 5.11, 90.1-04ac values
Motor and drive efficiency: ASHRAE 90.1, 2004, Table 10.8</t>
  </si>
  <si>
    <t>PNNL 20405, 2010, Table 5.11</t>
  </si>
  <si>
    <t>VAV, retail supply fans</t>
  </si>
  <si>
    <t>Brake horsepower (bhp) = (Supply cfm × TSP in w.c.) / (6356 × fan efficiency)</t>
  </si>
  <si>
    <t>Fan power (w/cfm) = (bhp ×  746) / ( supply cfm × motor efficiency )</t>
  </si>
  <si>
    <t>ACM 2025</t>
  </si>
  <si>
    <t>SZHP, residential tenant and common — indoor-unit fan</t>
  </si>
  <si>
    <t>TSP = fan power × motor efficiency × fan efficiency × 6356 / 746</t>
  </si>
  <si>
    <t>2025 ACM Table 12 **</t>
  </si>
  <si>
    <t>w/cfm: [T24, 2025, Section 140.4(a)3 D]
Motor efficiency: [ACM 2025, Table 12]</t>
  </si>
  <si>
    <t>PVAV, retail (System 5), by supply cfm</t>
  </si>
  <si>
    <t>0.978 &lt;=5,000; 1.022 &lt;=10,000; 0.964 &gt;10,000</t>
  </si>
  <si>
    <t>Fan power index: [ACM 2025, Table 13]
Motor efficiency: [ACM 2025, Table 12]</t>
  </si>
  <si>
    <t>*    According to PNNL 20405 section 5.2.2.5, the full-load efficiency of the motor serving the fan is taken from  ASHRAE 90.1, 2004, Table 10.8, based on motor nameplate and assuming enclosed motors operating at 1,800 rotations per minute (rpm)
      Motor nameplate size (bhp) = brake horsepower (bhp) × 1.1 ( using a 10% oversizing factor)</t>
  </si>
  <si>
    <t>**   The full‑load efficiency of the motor serving the fan is taken from ACM 2025 Table 12 based on the motor nameplate horsepower.
     Brake horsepower  (bhp) = (Supply cfm from sizing run × fan power in W/cfm) / 746.
     Note: 0.35 W/cfm is the indoor-unit fan (T24 2025 §140.4(a)3 D), same allowance as OfficeMedium VRF and Hotel Large four-pipe fan coil. Not an ACM Table 13 system index.
     Note: HVAC system is PVAV, not System 6. ACM System 5 &gt;10,000 cfm = 0.964 (Hotel Small). &gt;5,000–10,000 cfm = 1.022. At or below 5,000 cfm = 0.978.</t>
  </si>
  <si>
    <t>Setpoint</t>
  </si>
  <si>
    <t>Heating Setpoint (F)</t>
  </si>
  <si>
    <t>T24 2025 - Appendix 5.4B</t>
  </si>
  <si>
    <t>Heating Setback (F)</t>
  </si>
  <si>
    <t>Cooling Setpoint (F)</t>
  </si>
  <si>
    <t>Cooling Setback (F)</t>
  </si>
  <si>
    <t>T24 2022 - Appendix 5.4B</t>
  </si>
  <si>
    <t>T24 2025 Appendix 5.4B ResidentialCommon</t>
  </si>
  <si>
    <t>Thermostat Setpoints: Ancillary</t>
  </si>
  <si>
    <t>One App 5.4B ResidentialLiving profile (68°F occupied / 60°F hours 1–6 and 23–24). ACM 2025 does not publish a multi-unit thermostat diversity set for this prototype. Stochastic or deep-setback mixes were not added.</t>
  </si>
  <si>
    <t>Space Thermal Zone</t>
  </si>
  <si>
    <t>Number of People</t>
  </si>
  <si>
    <r>
      <t>Floor Area (ft</t>
    </r>
    <r>
      <rPr>
        <b/>
        <vertAlign val="superscript"/>
        <sz val="10"/>
        <color theme="1"/>
        <rFont val="Arial"/>
        <family val="2"/>
      </rPr>
      <t>2</t>
    </r>
    <r>
      <rPr>
        <b/>
        <sz val="10"/>
        <color theme="1"/>
        <rFont val="Arial"/>
        <family val="2"/>
      </rPr>
      <t>)</t>
    </r>
  </si>
  <si>
    <t>cfm/person
(T24, 2025, Equation 120.1-F and Table 120.1-A)</t>
  </si>
  <si>
    <t>cfm (whole-dwelling continuous mechanical ventilation rate)
Res: Equation 160.2-B</t>
  </si>
  <si>
    <t>cfm/ft²  
(T24, 2025, Equation 120.1-F and Table 120.1-A)</t>
  </si>
  <si>
    <t>Required Exhaust Rate-CFM/ft²-
 (T24,  2025, Table 120.1-B – Minimum Exhaust Rates)</t>
  </si>
  <si>
    <t>Total cfm 
Driven by People</t>
  </si>
  <si>
    <t>Total cfm 
Driven by Area</t>
  </si>
  <si>
    <t>Total cfm 
Driven by Exhaust</t>
  </si>
  <si>
    <t>Total cfm</t>
  </si>
  <si>
    <t>Note</t>
  </si>
  <si>
    <t>Retail merchandise: Table 120.1-A / App 5.4C Retail-Sales Ra = 0.20 cfm/ft².</t>
  </si>
  <si>
    <t>Eq 160.2-B: 0.03×CFA_total + 7.5×N_units×(N_br+1). Studio N_br=0. CFA_total = zone area × floor multiplier. Natural ventilation is not modeled (operable fraction Envelope C56 is fenestration weighting only).</t>
  </si>
  <si>
    <t>Balanced IAQ fan - only applies to new construction</t>
  </si>
  <si>
    <t>Parking garage: Table 120.1-B exhaust 0.75 cfm/ft² only. Person and area OA removed (App 5.4C Exhaust - Parking garages).</t>
  </si>
  <si>
    <t>WH Type</t>
  </si>
  <si>
    <t>Efficiency</t>
  </si>
  <si>
    <t>Number of WH</t>
  </si>
  <si>
    <t>Tank volume (gal)</t>
  </si>
  <si>
    <t>Tank loss</t>
  </si>
  <si>
    <t>Gas consumer storage (in-unit)</t>
  </si>
  <si>
    <t>C3 is recovery efficiency (input = capacity / RE). F3 is the 10 CFR 430.32 high-draw UEF for the CZ tank size (col F). CZ columns: G = standby loss %/hr = I / (0.0834 × F); I = tank UA (Btu/h·°F) from the Maguire &amp; Roberts 2020 UEF-to-UA method, used for both off-cycle and on-cycle losses; J is the unit. In SI, UA (W/K) = I × 0.527527 (B140). Not Title 20 Table F-4 and not the DEER commercial HPWH value 4.37.</t>
  </si>
  <si>
    <t>D3 = 88 in-unit water heaters, one per apartment (dwelling units only, not a central plant). All 88 are the same unit in every CZ: 30 gal / 30,000 Btu/h gas storage (Existing) and 200,000 Btu/h instantaneous (NC), because the smallest catalog size already covers the 3-bed peak. Only the hot water draw differs: 48 studio/1-bed (2 people, 0.36 gal/h), 32 two-bed (3 people, 0.54 gal/h), 8 three-bed (4 people, 0.72 gal/h). The common/retail area adds 1 commercial gas storage heater (Common CZ table), so the building has 89 water heaters.</t>
  </si>
  <si>
    <t>Gas consumer instantaneous (in-unit)</t>
  </si>
  <si>
    <t>n/a</t>
  </si>
  <si>
    <t>* Individual dwelling-unit water heaters (not central §170.2(d)3 storage + recirculation + solar). 88 units. Existing = consumer storage catalog. NC = ACM §6.11.2 instantaneous. Retail/laundry/amenities = one commercial plant (NR catalog + 75 gal/h minimum).</t>
  </si>
  <si>
    <t>Peak Hot Water Consumption</t>
  </si>
  <si>
    <t>Space</t>
  </si>
  <si>
    <t>Plant
(In-unit dwelling vs Common commercial)</t>
  </si>
  <si>
    <t>Total Area (ft²)</t>
  </si>
  <si>
    <t>Hot Water Usage Specification
(gal/hr per person)  
[T24, 2022, Appendix 5.4A , sheet: "2022 SpaceFuncData-Input"]</t>
  </si>
  <si>
    <t>Peak Hot Water Usage
(gal/hr)</t>
  </si>
  <si>
    <t>Peak Hot Water Usage
(gal/min)</t>
  </si>
  <si>
    <t>Common</t>
  </si>
  <si>
    <t>In-unit = dwelling DHW (consumer heater in each apartment). 
Common = retail/laundry/amenity DHW on a separate commercial plant. Dwelling gal/h-person is 0.18 throughout. 
Corridor 0, lounge/office 0.09, laundry 0.578 per Jason APTM58 / school App 5.4A kitchen-locker rate.</t>
  </si>
  <si>
    <t>In-unit</t>
  </si>
  <si>
    <t>Total</t>
  </si>
  <si>
    <t>In-unit peak, one dwelling (gal/h)</t>
  </si>
  <si>
    <t>Largest apartment only (3-bed, 0.72 gal/h). Not the sum of all apartments. No 75 gal/h minimum on in-unit heaters.</t>
  </si>
  <si>
    <t>Common / retail (commercial plant gal/h)</t>
  </si>
  <si>
    <t>ACM 2025 §5.9.2 minimum peak 75 gal/h applied only if common DHW &gt; 0.</t>
  </si>
  <si>
    <t>Prototype A18 / Zones E</t>
  </si>
  <si>
    <t>Peak gal/h per dwelling unit</t>
  </si>
  <si>
    <t>NC input per dwelling (Btu/h)</t>
  </si>
  <si>
    <t>ACM §6.11.2 consumer instantaneous</t>
  </si>
  <si>
    <t>NC prototype total input (Btu/h)</t>
  </si>
  <si>
    <t>Design supply temperature (°F)</t>
  </si>
  <si>
    <t>T24 2022 Appendix 5.4B</t>
  </si>
  <si>
    <t>WH system factor</t>
  </si>
  <si>
    <t>2025 ACM §5.9.2 Rated Capacity</t>
  </si>
  <si>
    <t>Water mass conversion (lb/gal)</t>
  </si>
  <si>
    <t>Reheat multiplier</t>
  </si>
  <si>
    <t>2025 ACM §5.9.2 Storage Volume</t>
  </si>
  <si>
    <t>Climate Zone Water Heater Sizing — Existing in-unit consumer storage (per dwelling)</t>
  </si>
  <si>
    <t>Climate Zone</t>
  </si>
  <si>
    <t>Minimum Monthly Mains Temp (°F)
[T24 2022 - Appendix 5.4B]</t>
  </si>
  <si>
    <t>Heat Output (Btu/hr)
[ACM, 2025, 5.9.2: Rated capacity section]</t>
  </si>
  <si>
    <t>WH Capacity (Btu/hr)
[ACM, 2025, 5.9.2: Rated capacity section]</t>
  </si>
  <si>
    <t>Required Energy Input (Btu/hr)</t>
  </si>
  <si>
    <t>Storage Volume (gal)</t>
  </si>
  <si>
    <t>Standby Loss (%/hr)
[= I ÷ (0.0834 × F); UA per Maguire &amp; Roberts 2020. Not Title 20 Table F-4]</t>
  </si>
  <si>
    <t>Off/On Cycle Loss Coefficient to Ambient Temp</t>
  </si>
  <si>
    <t>Source/Note</t>
  </si>
  <si>
    <t>CZ01</t>
  </si>
  <si>
    <t>%/hr</t>
  </si>
  <si>
    <t>Btu/h·°F</t>
  </si>
  <si>
    <t>I is tank UA (Btu/h·°F) from the Maguire &amp; Roberts 2020 UEF-to-UA method at consumer UEF test conditions (inputs in rows 134–140). G = I ÷ (0.0834 × F) %/hr. The same UA applies to off-cycle and on-cycle losses. In SI, UA (W/K) = I × 0.527527 (B140). Not the DEER commercial HPWH UA 4.37 and not Title 20 Table F-4.</t>
  </si>
  <si>
    <t>CZ02</t>
  </si>
  <si>
    <t>CZ03</t>
  </si>
  <si>
    <t>CZ04</t>
  </si>
  <si>
    <t>CZ05</t>
  </si>
  <si>
    <t>CZ06</t>
  </si>
  <si>
    <t>CZ07</t>
  </si>
  <si>
    <t>CZ08</t>
  </si>
  <si>
    <t>CZ09</t>
  </si>
  <si>
    <t>Climate Zone Water Heater Sizing — New Construction in-unit consumer instantaneous (per dwelling)</t>
  </si>
  <si>
    <t>Standby Loss (%/hr)
[No storage tank. Not Title 20 Table F-4]</t>
  </si>
  <si>
    <t>ACM §6.11.2 consumer instantaneous: no storage tank (F = 0 gal), so standby loss (G) and tank UA (I) are 0 for both off-cycle and on-cycle losses. G uses the same formula as the Existing table and returns 0 when there is no tank. UEF 0.81 is in C4.</t>
  </si>
  <si>
    <t>Climate Zone Water Heater Sizing and Loss Coefficients — Common / retail commercial plant</t>
  </si>
  <si>
    <t>Standby Loss
[Title 20, §1605.1 Table F-4; Appendix B: Water Heating Calculation Method]</t>
  </si>
  <si>
    <t>Btu/hr</t>
  </si>
  <si>
    <t>G is the Title 20 §1605.1 Table F-4 standby loss (Btu/h); I = G ÷ 70 (Btu/h·°F); J is the unit. In SI, UA (W/K) = I × 0.527527 (B140).</t>
  </si>
  <si>
    <t>Market data</t>
  </si>
  <si>
    <t>Consumer gas input (Btu/h)</t>
  </si>
  <si>
    <t>Input source</t>
  </si>
  <si>
    <t>NC instantaneous (Btu/h)</t>
  </si>
  <si>
    <t>NC source</t>
  </si>
  <si>
    <t>Consumer gas tank (gal)</t>
  </si>
  <si>
    <t>Tank source</t>
  </si>
  <si>
    <t>NC tank (gal)</t>
  </si>
  <si>
    <t>NC tank source</t>
  </si>
  <si>
    <t>Commercial gas input (Btu/h)</t>
  </si>
  <si>
    <t>Comm. input source</t>
  </si>
  <si>
    <t>Commercial gas tank (gal)</t>
  </si>
  <si>
    <t>Comm. tank source</t>
  </si>
  <si>
    <t>Title 20 consumer (≤75 kBtu/h); ENERGY STAR/AHRI common ratings</t>
  </si>
  <si>
    <t>ACM §6.11.2 / 10 CFR 430.32 instantaneous high draw</t>
  </si>
  <si>
    <t>Title 20 consumer storage ≥20 and ≤75 gal typical certified sizes</t>
  </si>
  <si>
    <t>ACM §6.11.2 tank volume = 0</t>
  </si>
  <si>
    <t>Grainger / ENERGY STAR Commercial (NR revised-tab catalog)</t>
  </si>
  <si>
    <t>Grainger / ENERGY STAR Commercial</t>
  </si>
  <si>
    <t>Residential lists exclude commercial boilers (&gt;75 kBtu/h storage), 119 gal commercial HPWH, and the 75 gal/h plant floor. Commercial lists are only for the common/retail plant. E/F pick the next size at or above the ACM calculated value (XLOOKUP match_mode 1).</t>
  </si>
  <si>
    <t>UEF → UA inputs (Maguire &amp; Roberts 2020)</t>
  </si>
  <si>
    <t>UEF high-draw daily volume (gal)</t>
  </si>
  <si>
    <t>10 CFR 430 App E high-usage bin</t>
  </si>
  <si>
    <t>UEF tank setpoint (°F)</t>
  </si>
  <si>
    <t>10 CFR 430 App E / Maguire 2020</t>
  </si>
  <si>
    <t>UEF inlet temp (°F)</t>
  </si>
  <si>
    <t>UEF ambient temp (°F)</t>
  </si>
  <si>
    <t>Water density (lb/gal)</t>
  </si>
  <si>
    <t>Water property constant for the UEF-to-UA calculation</t>
  </si>
  <si>
    <t>Water cp (Btu/lb·°F)</t>
  </si>
  <si>
    <t>Btu/h·°F to W/K</t>
  </si>
  <si>
    <t>1 Btu/h·°F = 0.527527 W/K</t>
  </si>
  <si>
    <t>50% central water heating</t>
  </si>
  <si>
    <t>100% central water heating</t>
  </si>
  <si>
    <t xml:space="preserve">New Construction </t>
  </si>
  <si>
    <t>LPD (W/ft²)</t>
  </si>
  <si>
    <t>Additional LPD for Portable Lighting (W/ft²)</t>
  </si>
  <si>
    <t xml:space="preserve">LPD (W/ft²) </t>
  </si>
  <si>
    <t>T24, 2025, Table 170.2-M (Area category method). Retail merchandise: Table 140.6-C. Additional LPD (C): Table 140.6-C decorative/portable — meeting 0.25, office 0.20, lobby 0.25, retail decorative 0.35. Wall-display W/ft not used (no perimeter takeoff).</t>
  </si>
  <si>
    <t>T24, 2016, Table 140.6 C   
(Area category method) Additional LPD (F): 2016 Table 140.6-C footnote 7 decorative 0.20 W/ft² on meeting, office, lobby, and retail.</t>
  </si>
  <si>
    <t xml:space="preserve">CEC 2025 Single-Family ACM
Appendix E - Table 2 and 8 </t>
  </si>
  <si>
    <t xml:space="preserve">CEC 2016 Single-Family ACM
Section 2.2.12 </t>
  </si>
  <si>
    <t>*Annual kWh=100+0.1775×CFA (ft²)(Eq. 1)</t>
  </si>
  <si>
    <t>Daylight-adaptation zone width (ft)</t>
  </si>
  <si>
    <t>Daylight-adaptation zone depth (ft) — Table 140.6-C / 170.2-M note 2 maximum</t>
  </si>
  <si>
    <t>Parking LPD is area-weighted with Zones J39: general parking + one two-way entry (24 ft) × 66 ft at daylight-adaptation LPD (NC 1.00 / 2016 0.60).</t>
  </si>
  <si>
    <t>Plug load Power Density (W/ft2)</t>
  </si>
  <si>
    <t>New Construction/Existing</t>
  </si>
  <si>
    <t>Plug load and schedules project with CEC, 2025
Retail Sales RecptPwrDens from T24 2025 Appendix 5.4A (1.0 W/ft²).</t>
  </si>
  <si>
    <t>Plug load and schedules project with CBECC-COM, 2019</t>
  </si>
  <si>
    <t>Elevator</t>
  </si>
  <si>
    <t>Class</t>
  </si>
  <si>
    <t>Number of
elevators
(ne)</t>
  </si>
  <si>
    <t>Cab Lighting
Power Limit
(W/ft2)</t>
  </si>
  <si>
    <t>Fan Power
Limit (W/CFM)</t>
  </si>
  <si>
    <t>Cab Ventilation Fan &amp; Lighting Shutoff</t>
  </si>
  <si>
    <t>Design
Motor Load (W)</t>
  </si>
  <si>
    <t>Fan Load
(W)</t>
  </si>
  <si>
    <t>Lighting Load
(W)</t>
  </si>
  <si>
    <t>Total
(W)</t>
  </si>
  <si>
    <t>F/G</t>
  </si>
  <si>
    <t>When stopped and unoccupied with doors closed for over 15 minutes, cab interior lighting and ventilation shall be de-energized until required for operation.</t>
  </si>
  <si>
    <t>Design load is calculated according to ISO 25745-2 method using Class F/G. Cab lighting and fan requirements are based on ASHRAE 90.1 2013.</t>
  </si>
  <si>
    <t>E</t>
  </si>
  <si>
    <t>When the elevator cab is stopped and unoccupied with doors closed for over 15 minutes, the cab interior lighting and ventilation fans shall be switched off until elevator cab operation resumes.</t>
  </si>
  <si>
    <t>Design load is calculated according to ISO 25745-2 method using Class E. Cab lighting and fan requirements are based on T24 2025 §120.6 (f).</t>
  </si>
  <si>
    <t>Mid-Rise Apartment Elevator Calculations</t>
  </si>
  <si>
    <t>Symbol</t>
  </si>
  <si>
    <t>Definition</t>
  </si>
  <si>
    <t>Units</t>
  </si>
  <si>
    <t>Annual energy consumption of the elevator - Existing</t>
  </si>
  <si>
    <t>kWh/year</t>
  </si>
  <si>
    <t>Calculated</t>
  </si>
  <si>
    <t>Annual energy consumption of the elevator - New Construction</t>
  </si>
  <si>
    <t>C1</t>
  </si>
  <si>
    <t>Running-energy coefficient</t>
  </si>
  <si>
    <t>3.65 for Class E; 5.47 for Class F</t>
  </si>
  <si>
    <t>Coefficient</t>
  </si>
  <si>
    <t>ISO 25745-2 Table 7</t>
  </si>
  <si>
    <t>C2</t>
  </si>
  <si>
    <t>Idle/standby coefficient</t>
  </si>
  <si>
    <t>800 for Class E; 1,600 for Class F</t>
  </si>
  <si>
    <t>Q</t>
  </si>
  <si>
    <t>Rated load of elevator</t>
  </si>
  <si>
    <t>kg</t>
  </si>
  <si>
    <t>Assumed for all prototypes</t>
  </si>
  <si>
    <t>Elevator Size</t>
  </si>
  <si>
    <t>Cab floor area</t>
  </si>
  <si>
    <t>ft^2</t>
  </si>
  <si>
    <t>W=6.781 ft, L=4.406 ft; assumed based on representative manufacturer</t>
  </si>
  <si>
    <t>CFM</t>
  </si>
  <si>
    <t>Cab fan airflow</t>
  </si>
  <si>
    <t>cfm</t>
  </si>
  <si>
    <t>Assumed for multifamily and commercial prototypes</t>
  </si>
  <si>
    <t>cat</t>
  </si>
  <si>
    <t>Usage category</t>
  </si>
  <si>
    <t>ISO 25745-2 Table A.1</t>
  </si>
  <si>
    <t>d</t>
  </si>
  <si>
    <t>Operating days per year</t>
  </si>
  <si>
    <t>days/year</t>
  </si>
  <si>
    <t>nf</t>
  </si>
  <si>
    <t>Number of floors</t>
  </si>
  <si>
    <t>floors</t>
  </si>
  <si>
    <t>Prototype assumptions</t>
  </si>
  <si>
    <t>h</t>
  </si>
  <si>
    <t>Floor-to-floor height</t>
  </si>
  <si>
    <t>m</t>
  </si>
  <si>
    <t>v</t>
  </si>
  <si>
    <t>Elevator lift speed</t>
  </si>
  <si>
    <t>m/s</t>
  </si>
  <si>
    <t>nd</t>
  </si>
  <si>
    <t>Number of trips per day</t>
  </si>
  <si>
    <t>trips/day</t>
  </si>
  <si>
    <t>S_pct</t>
  </si>
  <si>
    <t>Percent of average travel distance</t>
  </si>
  <si>
    <t>%</t>
  </si>
  <si>
    <t>ISO 25745-2 Table 2</t>
  </si>
  <si>
    <t>a</t>
  </si>
  <si>
    <t>Acceleration</t>
  </si>
  <si>
    <t>m/s^2</t>
  </si>
  <si>
    <t>Annex B of ISO 25745-2</t>
  </si>
  <si>
    <t>j</t>
  </si>
  <si>
    <t>Jerk</t>
  </si>
  <si>
    <t>m/s^3</t>
  </si>
  <si>
    <t>td</t>
  </si>
  <si>
    <t>Door time</t>
  </si>
  <si>
    <t>seconds</t>
  </si>
  <si>
    <t>S_av</t>
  </si>
  <si>
    <t>Average distance traveled per trip</t>
  </si>
  <si>
    <t>m/trip</t>
  </si>
  <si>
    <t>Calculated (nf * h * S_pct)</t>
  </si>
  <si>
    <t>t_av</t>
  </si>
  <si>
    <t>Average trip time</t>
  </si>
  <si>
    <t>seconds/trip</t>
  </si>
  <si>
    <t>Calculated (S_av/v + v/a + a/j + td)</t>
  </si>
  <si>
    <t>t_nr</t>
  </si>
  <si>
    <t>Time not running per day</t>
  </si>
  <si>
    <t>hours/day</t>
  </si>
  <si>
    <t>Calculated (24 - nd * t_av)</t>
  </si>
  <si>
    <t>Standby Hours</t>
  </si>
  <si>
    <t>Annual standby hours</t>
  </si>
  <si>
    <t>hours/year</t>
  </si>
  <si>
    <t>Calculated (24*(365-d)+t_nr*d)</t>
  </si>
  <si>
    <t>Total light level</t>
  </si>
  <si>
    <t>lm/ft2</t>
  </si>
  <si>
    <t>PNNL Prototypes</t>
  </si>
  <si>
    <t>EFLH</t>
  </si>
  <si>
    <t>Equivalent full load hours</t>
  </si>
  <si>
    <t>hours</t>
  </si>
  <si>
    <t>Calculated using the elevator schedule</t>
  </si>
  <si>
    <t>Motion Controlled Luminaires (W)</t>
  </si>
  <si>
    <t>Non-motion Controlled Luminaires (W)</t>
  </si>
  <si>
    <t>Total (W)</t>
  </si>
  <si>
    <t>T24, 2022 &amp; 2025
2019 Outdoor Lighting CASE report 
 PNNL 90.1-2010 TSD</t>
  </si>
  <si>
    <t>Items (Assume LZ2)</t>
  </si>
  <si>
    <t>Assumptions
[2019 Outdoor Lighting CASE Report &amp; PNNL 90.1-2010 TSD]</t>
  </si>
  <si>
    <t>Unit</t>
  </si>
  <si>
    <t>Lighting Power Allowance 
[T24, 2025, Table 140.7-A &amp; 140.7-B]</t>
  </si>
  <si>
    <t>Exterior Lighting Power (W)</t>
  </si>
  <si>
    <t>IWA (Initial Wage Allowance)</t>
  </si>
  <si>
    <t>(W)</t>
  </si>
  <si>
    <t>Parking area</t>
  </si>
  <si>
    <t xml:space="preserve"> 400 ft² for every parking space 
1.5 parking spaces per living unit for residential
1 parking space per 360 ft² of gross building area</t>
  </si>
  <si>
    <t>(ft²)</t>
  </si>
  <si>
    <t>(W/ft²)</t>
  </si>
  <si>
    <t>Building Entrance</t>
  </si>
  <si>
    <t>5 building entrances: 1 residential lobby + 4 first-floor retail storefronts (Zones). Was 3 from 1 per 10,000 ft² footprint.</t>
  </si>
  <si>
    <t>(count)</t>
  </si>
  <si>
    <t>(W/ea)</t>
  </si>
  <si>
    <t>Hardscape Ornamental Light</t>
  </si>
  <si>
    <t>0.1 ft² per ft² of gross building area for hardscape ornamental light</t>
  </si>
  <si>
    <t>Building façade</t>
  </si>
  <si>
    <t>0.1 W per ft² of facade area 
Façade Area = Perimeter × 0.5 × 30 ft (30 ft is the max height that is lit) * 
The 0.5 factor assumes that only half of the perimeter walls are lit.
-Formula is developed based on the 2019 Outdoor Lighting CASE report</t>
  </si>
  <si>
    <t>Non-sales canopy</t>
  </si>
  <si>
    <t>0.1 ft² per ft² of one floor. LZ2 non-sales canopy 0.137 W/ft² (Table 140.7-B). Sales canopy would be 0.470 W/ft².</t>
  </si>
  <si>
    <t>Motion controlled Luminaires</t>
  </si>
  <si>
    <t>Non-motion-controlled Luminaires</t>
  </si>
  <si>
    <t>Perimeter (ft)</t>
  </si>
  <si>
    <t>Total floor area (ft²)</t>
  </si>
  <si>
    <t>Floors (above floor)</t>
  </si>
  <si>
    <t>Zone</t>
  </si>
  <si>
    <t>Schedule</t>
  </si>
  <si>
    <t>Day</t>
  </si>
  <si>
    <t>Hour</t>
  </si>
  <si>
    <t>Living Area</t>
  </si>
  <si>
    <t>Occupancy</t>
  </si>
  <si>
    <t>T24 2022 - Appendix 5.4B [ResidentialLiving]</t>
  </si>
  <si>
    <t>Weekday</t>
  </si>
  <si>
    <t>Saturday</t>
  </si>
  <si>
    <t>Sunday</t>
  </si>
  <si>
    <t>Lights</t>
  </si>
  <si>
    <t>ElecEquipment</t>
  </si>
  <si>
    <t>HVACAvail</t>
  </si>
  <si>
    <t>T24 2022 - Appendix 5.4B
 [ResidentialLiving]</t>
  </si>
  <si>
    <t>ServiceHotWater</t>
  </si>
  <si>
    <t>GasEquipment</t>
  </si>
  <si>
    <t>HtgSetpt</t>
  </si>
  <si>
    <t>ClgSetpt</t>
  </si>
  <si>
    <t>Refrigeration</t>
  </si>
  <si>
    <t xml:space="preserve"> Common Use Area</t>
  </si>
  <si>
    <t>Common Use Area</t>
  </si>
  <si>
    <t>T24 2022 - Appendix 5.4B
[ResidentialCommon]</t>
  </si>
  <si>
    <t>T24 2022 - Appendix 5.4B [Retail]</t>
  </si>
  <si>
    <t>Plug load and schedules project with CEC, 2025</t>
  </si>
  <si>
    <t>Other</t>
  </si>
  <si>
    <t>T24 2022 - Appendix 5.4B, [LivingResidential]</t>
  </si>
  <si>
    <t>ExtLightingNonMotionCtrl</t>
  </si>
  <si>
    <t>ExtLightingMotionCtrl</t>
  </si>
  <si>
    <t>Residential</t>
  </si>
  <si>
    <t>ResidentialSpcPeopleActivityLevel</t>
  </si>
  <si>
    <t xml:space="preserve">Based on Activity level schedules in  CEC Prototypes </t>
  </si>
  <si>
    <t>RetailSalePeopleActivityLevel</t>
  </si>
  <si>
    <t>MeetingRm</t>
  </si>
  <si>
    <t>MeetingAreaPeopleActivityLevel</t>
  </si>
  <si>
    <t>FunctionalAreaPeopleActivityLevel</t>
  </si>
  <si>
    <t>Corridor, ExcerciseArea, Lobby, MechanicalRM, Stair, Lounge</t>
  </si>
  <si>
    <t>CommonAreaPeopleActivityLevel</t>
  </si>
  <si>
    <t>Mechanical room</t>
  </si>
  <si>
    <t>T24 2022 - Appendix 5.4B [ResidentialLiving lights profile; ResidentialCommon 1.0 not used for the mechanical room]</t>
  </si>
  <si>
    <t>CZ</t>
  </si>
  <si>
    <t>Total Floorspace (Thousand of ft2)</t>
  </si>
  <si>
    <t>Electric Energy Intensity (kWh/ft2)</t>
  </si>
  <si>
    <t>Annual Gas Intensity (kBTU/ft2)</t>
  </si>
  <si>
    <t>Vintage Bin</t>
  </si>
  <si>
    <t>Pre-1978</t>
  </si>
  <si>
    <t>Not available</t>
  </si>
  <si>
    <t>Statewide</t>
  </si>
  <si>
    <t>TBD</t>
  </si>
  <si>
    <t>Space Function</t>
  </si>
  <si>
    <t>Electric Equipment Load Intensity</t>
  </si>
  <si>
    <t>LPD</t>
  </si>
  <si>
    <t>Aging Eye/Low-vision (Corridor Area)</t>
  </si>
  <si>
    <t>Aging Eye/Low-vision (Dining)</t>
  </si>
  <si>
    <t>Aging Eye/Low-vision (Lobby, Main Entry)</t>
  </si>
  <si>
    <t>Aging Eye/Low-vision (Lounge/Waiting Area)</t>
  </si>
  <si>
    <t>Aging Eye/Low-vision (Multipurpose Room)</t>
  </si>
  <si>
    <t>Aging Eye/Low-vision (Religious Worship Area)</t>
  </si>
  <si>
    <t>Aging Eye/Low-vision (Restroom)</t>
  </si>
  <si>
    <t>Aging Eye/Low-vision (Stairwell)</t>
  </si>
  <si>
    <t>Audience Seating Area</t>
  </si>
  <si>
    <t>Auditorium Area</t>
  </si>
  <si>
    <t>Auto Repair / Maintenance Area</t>
  </si>
  <si>
    <t>Barber, Beauty Salon, Spa Area</t>
  </si>
  <si>
    <t>Civic Meeting Place Area</t>
  </si>
  <si>
    <t>Classroom, Lecture, Training, Vocational Areas</t>
  </si>
  <si>
    <t>Concourse and Atria Area</t>
  </si>
  <si>
    <t>Copy Room</t>
  </si>
  <si>
    <t>Dining Area (Bar/Lounge and Fine Dining)</t>
  </si>
  <si>
    <t>Dining Area (Cafeteria/Fast Food)</t>
  </si>
  <si>
    <t>Dining Area (Family and Leisure)</t>
  </si>
  <si>
    <t>Financial Transaction Area</t>
  </si>
  <si>
    <t>Healthcare Facility and Hospitals (Exam/Treatment Room)</t>
  </si>
  <si>
    <t>Healthcare Facility and Hospitals (Imaging Room)</t>
  </si>
  <si>
    <t>Healthcare Facility and Hospitals (Medical Supply Room)</t>
  </si>
  <si>
    <t>Healthcare Facility and Hospitals (Nursery)</t>
  </si>
  <si>
    <t>Healthcare Facility and Hospitals (Nurse's Station)</t>
  </si>
  <si>
    <t>Healthcare Facility and Hospitals (Operating Room)</t>
  </si>
  <si>
    <t>Healthcare Facility and Hospitals (Patient Room)</t>
  </si>
  <si>
    <t>Healthcare Facility and Hospitals (Physical Therapy Room)</t>
  </si>
  <si>
    <t>Healthcare Facility and Hospitals (Recovery Room)</t>
  </si>
  <si>
    <t>Hotel Function Area</t>
  </si>
  <si>
    <t>Kitchen/Food Preparation Area</t>
  </si>
  <si>
    <t>Kitchenette or Residential Kitchen</t>
  </si>
  <si>
    <t>Laboratory, Scientific</t>
  </si>
  <si>
    <t>Library (Reading Area)</t>
  </si>
  <si>
    <t>Library (Stacks Area)</t>
  </si>
  <si>
    <t>Locker Room</t>
  </si>
  <si>
    <t>Lounge, Breakroom, or Waiting Area</t>
  </si>
  <si>
    <t>Manufacturing, Commercial &amp; Industrial Work Area (Low Bay)</t>
  </si>
  <si>
    <t>Manufacturing, Commercial &amp; Industrial Work Area (High Bay)</t>
  </si>
  <si>
    <t>Manufacturing, Commercial &amp; Industrial Work Area (Precision)</t>
  </si>
  <si>
    <t>Museum Area (Exhibition/Display)</t>
  </si>
  <si>
    <t>Museum Area (Restoration Room)</t>
  </si>
  <si>
    <t>Office Area (&lt;250 square feet)</t>
  </si>
  <si>
    <t>Parking Garage Area (Daylight Adaptation Zones)</t>
  </si>
  <si>
    <t>Pharmacy Area</t>
  </si>
  <si>
    <t>Retail Sales Area (Grocery Sales)</t>
  </si>
  <si>
    <t>Retail Sales Area (Fitting Room)</t>
  </si>
  <si>
    <t>Religious Worship Area</t>
  </si>
  <si>
    <t>Restrooms</t>
  </si>
  <si>
    <t>Stairwell</t>
  </si>
  <si>
    <t>Storage, Commercial/Industrial (Warehouse)</t>
  </si>
  <si>
    <t>Storage, Commercial/Industrial (Refrigerated)</t>
  </si>
  <si>
    <t>Storage, Commercial/Industrial (Shipping &amp; Handling)</t>
  </si>
  <si>
    <t>Storage (General)</t>
  </si>
  <si>
    <t>Sports Arena - Playing Area (&gt; 5,000 Spectators)</t>
  </si>
  <si>
    <t>Sports Arena - Playing Area (2,000 - 5,000 Spectators)</t>
  </si>
  <si>
    <t>Sports Arena - Playing Area (&lt; 2,000 Spectators)</t>
  </si>
  <si>
    <t>Sports Arena - Playing Area (Recreational)</t>
  </si>
  <si>
    <t>Theater Area (Motion Picture)</t>
  </si>
  <si>
    <t>Theater Area (Performance)</t>
  </si>
  <si>
    <t>Transportation Function (Baggage Area)</t>
  </si>
  <si>
    <t>Transportation Function (Ticketing Area)</t>
  </si>
  <si>
    <t>Videoconferencing Studio</t>
  </si>
  <si>
    <t>High-Rise Residential Living Spaces</t>
  </si>
  <si>
    <t>Hotel/Motel Guest Room</t>
  </si>
  <si>
    <t>All other</t>
  </si>
  <si>
    <t>Attic</t>
  </si>
  <si>
    <t>Reception Area</t>
  </si>
  <si>
    <t>Plenum</t>
  </si>
  <si>
    <t>IT Room (EPD 12)</t>
  </si>
  <si>
    <t>Computer Room (EPD 20)</t>
  </si>
  <si>
    <t>Server Room (EPD 45)</t>
  </si>
  <si>
    <t>TABLE 170.2-A All Other Fenestration RSHGC (NR in CZ1, 3, 5, 16), for those excluded climate zones, an SHGC of 0.6 was assumed (greater than other CZs)</t>
  </si>
  <si>
    <t>Renovation rate since 1980</t>
  </si>
  <si>
    <r>
      <rPr>
        <sz val="10"/>
        <color rgb="FF000000"/>
        <rFont val="Arial"/>
        <family val="2"/>
      </rPr>
      <t xml:space="preserve">Wood framed walls:
</t>
    </r>
    <r>
      <rPr>
        <sz val="10"/>
        <color rgb="FF000000"/>
        <rFont val="Arial"/>
        <family val="2"/>
      </rPr>
      <t>Wood frame + insulation + Gypsum board</t>
    </r>
  </si>
  <si>
    <t>Multifamily infiltration is modeled differently compared to other nonresidential models. Specifically, according to 2025 Nonresidentail and Multifamily ACM, infiltration is modeled per ACH 50 metrics.</t>
  </si>
  <si>
    <t>Pre-1978 exterior wall U value calculation:</t>
  </si>
  <si>
    <t>NORESCO, Updated September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</si>
</sst>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43" formatCode="_(* #,##0.00_);_(* \(#,##0.00\);_(* &quot;-&quot;??_);_(@_)"/>
    <numFmt numFmtId="164" formatCode="0.0%"/>
    <numFmt numFmtId="165" formatCode="0.0"/>
    <numFmt numFmtId="166" formatCode="#,##0.0"/>
    <numFmt numFmtId="167" formatCode="0.000"/>
    <numFmt numFmtId="168" formatCode="_(* #,##0_);_(* \(#,##0\);_(* &quot;-&quot;??_);_(@_)"/>
    <numFmt numFmtId="169" formatCode="0.00000"/>
    <numFmt numFmtId="170" formatCode="#,##0;\-0;[Color15]0"/>
    <numFmt numFmtId="171" formatCode="0.0000"/>
    <numFmt numFmtId="172" formatCode="0.000000"/>
  </numFmts>
  <fonts count="57" x14ac:knownFonts="1">
    <font>
      <sz val="11"/>
      <color theme="1"/>
      <name val="Calibri"/>
      <family val="2"/>
      <scheme val="minor"/>
    </font>
    <font>
      <sz val="10"/>
      <name val="Arial"/>
      <family val="2"/>
    </font>
    <font>
      <sz val="11"/>
      <color theme="1"/>
      <name val="Calibri"/>
      <family val="2"/>
      <scheme val="minor"/>
    </font>
    <font>
      <b/>
      <sz val="11"/>
      <color theme="1"/>
      <name val="Calibri"/>
      <family val="2"/>
      <scheme val="minor"/>
    </font>
    <font>
      <sz val="8"/>
      <color indexed="8"/>
      <name val="MS Sans Serif"/>
      <family val="2"/>
    </font>
    <font>
      <sz val="8"/>
      <name val="Calibri"/>
      <family val="2"/>
      <scheme val="minor"/>
    </font>
    <font>
      <sz val="10"/>
      <color theme="1"/>
      <name val="Arial"/>
      <family val="2"/>
    </font>
    <font>
      <b/>
      <sz val="10"/>
      <color theme="1"/>
      <name val="Arial"/>
      <family val="2"/>
    </font>
    <font>
      <u/>
      <sz val="11"/>
      <color theme="10"/>
      <name val="Calibri"/>
      <family val="2"/>
      <scheme val="minor"/>
    </font>
    <font>
      <b/>
      <sz val="12"/>
      <color theme="1"/>
      <name val="Calibri"/>
      <family val="2"/>
      <scheme val="minor"/>
    </font>
    <font>
      <sz val="10"/>
      <color indexed="8"/>
      <name val="Arial"/>
      <family val="2"/>
    </font>
    <font>
      <sz val="11"/>
      <color theme="1"/>
      <name val="Arial"/>
      <family val="2"/>
    </font>
    <font>
      <b/>
      <sz val="12"/>
      <color theme="0"/>
      <name val="Arial"/>
      <family val="2"/>
    </font>
    <font>
      <sz val="11"/>
      <color rgb="FF000000"/>
      <name val="Calibri"/>
      <family val="2"/>
      <scheme val="minor"/>
    </font>
    <font>
      <b/>
      <sz val="14"/>
      <color theme="1"/>
      <name val="Arial"/>
      <family val="2"/>
    </font>
    <font>
      <u/>
      <sz val="10"/>
      <color theme="10"/>
      <name val="Arial"/>
      <family val="2"/>
    </font>
    <font>
      <sz val="10"/>
      <color theme="1"/>
      <name val="Calibri"/>
      <family val="2"/>
      <scheme val="minor"/>
    </font>
    <font>
      <sz val="11"/>
      <color rgb="FF0070C0"/>
      <name val="Arial"/>
      <family val="2"/>
    </font>
    <font>
      <b/>
      <sz val="10"/>
      <name val="Arial"/>
      <family val="2"/>
    </font>
    <font>
      <b/>
      <sz val="10"/>
      <color indexed="8"/>
      <name val="Arial"/>
      <family val="2"/>
    </font>
    <font>
      <sz val="10"/>
      <color rgb="FF000000"/>
      <name val="Arial"/>
      <family val="2"/>
    </font>
    <font>
      <sz val="9"/>
      <color theme="1"/>
      <name val="Arial"/>
      <family val="2"/>
    </font>
    <font>
      <sz val="10"/>
      <color rgb="FF000000"/>
      <name val="Arial"/>
      <family val="2"/>
    </font>
    <font>
      <b/>
      <sz val="10"/>
      <color rgb="FF000000"/>
      <name val="Arial"/>
      <family val="2"/>
    </font>
    <font>
      <b/>
      <sz val="9"/>
      <color theme="0"/>
      <name val="Arial"/>
      <family val="2"/>
    </font>
    <font>
      <sz val="11"/>
      <color theme="1"/>
      <name val="Arial"/>
      <family val="2"/>
    </font>
    <font>
      <b/>
      <sz val="14"/>
      <color theme="1"/>
      <name val="Arial"/>
      <family val="2"/>
    </font>
    <font>
      <b/>
      <sz val="12"/>
      <color rgb="FFFFFFFF"/>
      <name val="Arial"/>
      <family val="2"/>
    </font>
    <font>
      <sz val="8"/>
      <color theme="1"/>
      <name val="Arial"/>
      <family val="2"/>
    </font>
    <font>
      <sz val="10"/>
      <color theme="0" tint="-0.499984740745262"/>
      <name val="Arial"/>
      <family val="2"/>
    </font>
    <font>
      <sz val="10"/>
      <color theme="0" tint="-0.499984740745262"/>
      <name val="Calibri"/>
      <family val="2"/>
      <scheme val="minor"/>
    </font>
    <font>
      <sz val="10"/>
      <color rgb="FF0070C0"/>
      <name val="Arial"/>
      <family val="2"/>
    </font>
    <font>
      <sz val="11"/>
      <name val="Calibri"/>
      <family val="2"/>
      <scheme val="minor"/>
    </font>
    <font>
      <sz val="10"/>
      <color theme="0" tint="-0.34998626667073579"/>
      <name val="Arial"/>
      <family val="2"/>
    </font>
    <font>
      <b/>
      <sz val="11"/>
      <color rgb="FF000000"/>
      <name val="Calibri"/>
      <family val="2"/>
      <scheme val="minor"/>
    </font>
    <font>
      <b/>
      <vertAlign val="superscript"/>
      <sz val="10"/>
      <color theme="1"/>
      <name val="Arial"/>
      <family val="2"/>
    </font>
    <font>
      <sz val="9"/>
      <name val="Arial"/>
      <family val="2"/>
    </font>
    <font>
      <b/>
      <sz val="9"/>
      <color theme="1"/>
      <name val="Arial"/>
      <family val="2"/>
    </font>
    <font>
      <b/>
      <sz val="10"/>
      <color rgb="FF000000"/>
      <name val="Arial"/>
      <family val="2"/>
    </font>
    <font>
      <sz val="10"/>
      <color rgb="FFFFFFFF"/>
      <name val="Arial"/>
      <family val="2"/>
    </font>
    <font>
      <sz val="11"/>
      <color rgb="FF000000"/>
      <name val="Calibri"/>
      <family val="2"/>
      <scheme val="minor"/>
    </font>
    <font>
      <sz val="10"/>
      <color rgb="FF000000"/>
      <name val="Arial"/>
      <family val="2"/>
    </font>
    <font>
      <u/>
      <sz val="11"/>
      <color rgb="FF000000"/>
      <name val="Calibri"/>
      <family val="2"/>
      <scheme val="minor"/>
    </font>
    <font>
      <sz val="11"/>
      <color rgb="FF000000"/>
      <name val="Arial"/>
      <family val="2"/>
    </font>
    <font>
      <b/>
      <sz val="12"/>
      <color rgb="FF000000"/>
      <name val="Arial"/>
      <family val="2"/>
    </font>
    <font>
      <sz val="9"/>
      <color rgb="FF000000"/>
      <name val="Arial"/>
      <family val="2"/>
    </font>
    <font>
      <u/>
      <sz val="10"/>
      <color rgb="FF000000"/>
      <name val="Arial"/>
      <family val="2"/>
    </font>
    <font>
      <u/>
      <sz val="12"/>
      <color rgb="FF000000"/>
      <name val="Calibri"/>
      <family val="2"/>
      <scheme val="minor"/>
    </font>
    <font>
      <b/>
      <sz val="11"/>
      <color rgb="FF000000"/>
      <name val="Calibri"/>
      <family val="2"/>
    </font>
    <font>
      <sz val="11"/>
      <color rgb="FF0563C1"/>
      <name val="Calibri"/>
      <family val="2"/>
    </font>
    <font>
      <sz val="11"/>
      <color rgb="FF000000"/>
      <name val="Calibri"/>
      <family val="2"/>
    </font>
    <font>
      <sz val="11"/>
      <color rgb="FF0563C1"/>
      <name val="Calibri"/>
      <family val="2"/>
      <scheme val="minor"/>
    </font>
    <font>
      <sz val="10"/>
      <color theme="1"/>
      <name val="Arial"/>
      <family val="2"/>
    </font>
    <font>
      <sz val="10"/>
      <name val="Arial"/>
      <family val="2"/>
    </font>
    <font>
      <b/>
      <sz val="14"/>
      <color rgb="FFFFFFFF"/>
      <name val="Calibri"/>
      <family val="2"/>
    </font>
    <font>
      <b/>
      <sz val="11"/>
      <color rgb="FFFFFFFF"/>
      <name val="Calibri"/>
      <family val="2"/>
    </font>
    <font>
      <b/>
      <sz val="12"/>
      <color rgb="FFFFFFFF"/>
      <name val="Calibri"/>
      <family val="2"/>
      <scheme val="minor"/>
    </font>
  </fonts>
  <fills count="25">
    <fill>
      <patternFill patternType="none"/>
    </fill>
    <fill>
      <patternFill patternType="gray125"/>
    </fill>
    <fill>
      <patternFill patternType="solid">
        <fgColor rgb="FF92D050"/>
        <bgColor indexed="64"/>
      </patternFill>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4" tint="-0.499984740745262"/>
        <bgColor indexed="64"/>
      </patternFill>
    </fill>
    <fill>
      <patternFill patternType="solid">
        <fgColor rgb="FFD9E1F2"/>
        <bgColor rgb="FF000000"/>
      </patternFill>
    </fill>
    <fill>
      <patternFill patternType="solid">
        <fgColor rgb="FFDDDDFF"/>
        <bgColor indexed="64"/>
      </patternFill>
    </fill>
    <fill>
      <patternFill patternType="solid">
        <fgColor theme="0" tint="-0.249977111117893"/>
        <bgColor indexed="64"/>
      </patternFill>
    </fill>
    <fill>
      <patternFill patternType="solid">
        <fgColor rgb="FF244062"/>
      </patternFill>
    </fill>
    <fill>
      <patternFill patternType="solid">
        <fgColor rgb="FFD9E1F2"/>
      </patternFill>
    </fill>
    <fill>
      <patternFill patternType="solid">
        <fgColor rgb="FF203864"/>
        <bgColor indexed="64"/>
      </patternFill>
    </fill>
    <fill>
      <patternFill patternType="solid">
        <fgColor rgb="FFD9E1F2"/>
        <bgColor indexed="64"/>
      </patternFill>
    </fill>
    <fill>
      <patternFill patternType="solid">
        <fgColor rgb="FFEAF1F8"/>
        <bgColor indexed="64"/>
      </patternFill>
    </fill>
    <fill>
      <patternFill patternType="solid">
        <fgColor rgb="FFF5F8FA"/>
        <bgColor indexed="64"/>
      </patternFill>
    </fill>
    <fill>
      <patternFill patternType="solid">
        <fgColor rgb="FFFFFFFF"/>
        <bgColor indexed="64"/>
      </patternFill>
    </fill>
    <fill>
      <patternFill patternType="solid">
        <fgColor rgb="FFFCE4D6"/>
        <bgColor indexed="64"/>
      </patternFill>
    </fill>
    <fill>
      <patternFill patternType="solid">
        <fgColor rgb="FF203764"/>
        <bgColor indexed="64"/>
      </patternFill>
    </fill>
    <fill>
      <patternFill patternType="solid">
        <fgColor rgb="FFFFFFFF"/>
        <bgColor rgb="FF000000"/>
      </patternFill>
    </fill>
    <fill>
      <patternFill patternType="solid">
        <fgColor rgb="FFC2BCBC"/>
        <bgColor indexed="64"/>
      </patternFill>
    </fill>
    <fill>
      <patternFill patternType="solid">
        <fgColor theme="0" tint="-0.34998626667073579"/>
        <bgColor indexed="64"/>
      </patternFill>
    </fill>
    <fill>
      <patternFill patternType="solid">
        <fgColor rgb="FFA6A6A6"/>
        <bgColor indexed="64"/>
      </patternFill>
    </fill>
    <fill>
      <patternFill patternType="solid">
        <fgColor rgb="FF8C8C8C"/>
        <bgColor indexed="64"/>
      </patternFill>
    </fill>
  </fills>
  <borders count="203">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right style="medium">
        <color indexed="64"/>
      </right>
      <top/>
      <bottom/>
      <diagonal/>
    </border>
    <border>
      <left style="medium">
        <color indexed="64"/>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thin">
        <color theme="0" tint="-0.499984740745262"/>
      </left>
      <right/>
      <top/>
      <bottom/>
      <diagonal/>
    </border>
    <border>
      <left style="thin">
        <color theme="0" tint="-0.499984740745262"/>
      </left>
      <right style="thin">
        <color theme="0" tint="-0.499984740745262"/>
      </right>
      <top style="medium">
        <color indexed="64"/>
      </top>
      <bottom/>
      <diagonal/>
    </border>
    <border>
      <left style="thin">
        <color theme="0" tint="-0.499984740745262"/>
      </left>
      <right/>
      <top style="medium">
        <color indexed="64"/>
      </top>
      <bottom/>
      <diagonal/>
    </border>
    <border>
      <left style="thin">
        <color theme="0" tint="-0.499984740745262"/>
      </left>
      <right style="medium">
        <color indexed="64"/>
      </right>
      <top style="thin">
        <color theme="0" tint="-0.499984740745262"/>
      </top>
      <bottom style="thin">
        <color theme="0" tint="-0.499984740745262"/>
      </bottom>
      <diagonal/>
    </border>
    <border>
      <left style="thin">
        <color theme="0" tint="-0.499984740745262"/>
      </left>
      <right style="medium">
        <color indexed="64"/>
      </right>
      <top style="thin">
        <color theme="0" tint="-0.499984740745262"/>
      </top>
      <bottom/>
      <diagonal/>
    </border>
    <border>
      <left style="thin">
        <color theme="0" tint="-0.499984740745262"/>
      </left>
      <right style="thin">
        <color theme="0" tint="-0.499984740745262"/>
      </right>
      <top/>
      <bottom style="medium">
        <color indexed="64"/>
      </bottom>
      <diagonal/>
    </border>
    <border>
      <left style="thin">
        <color theme="0" tint="-0.499984740745262"/>
      </left>
      <right/>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bottom/>
      <diagonal/>
    </border>
    <border>
      <left style="medium">
        <color indexed="64"/>
      </left>
      <right style="thin">
        <color theme="0" tint="-0.499984740745262"/>
      </right>
      <top/>
      <bottom style="medium">
        <color indexed="64"/>
      </bottom>
      <diagonal/>
    </border>
    <border>
      <left/>
      <right/>
      <top style="thin">
        <color theme="1"/>
      </top>
      <bottom/>
      <diagonal/>
    </border>
    <border>
      <left/>
      <right/>
      <top/>
      <bottom style="thin">
        <color theme="1"/>
      </bottom>
      <diagonal/>
    </border>
    <border>
      <left/>
      <right style="thin">
        <color indexed="64"/>
      </right>
      <top/>
      <bottom style="thin">
        <color theme="1"/>
      </bottom>
      <diagonal/>
    </border>
    <border>
      <left/>
      <right style="thin">
        <color indexed="64"/>
      </right>
      <top style="thin">
        <color theme="1"/>
      </top>
      <bottom/>
      <diagonal/>
    </border>
    <border>
      <left style="medium">
        <color indexed="64"/>
      </left>
      <right style="thin">
        <color theme="0" tint="-0.499984740745262"/>
      </right>
      <top style="medium">
        <color indexed="64"/>
      </top>
      <bottom/>
      <diagonal/>
    </border>
    <border>
      <left/>
      <right/>
      <top/>
      <bottom style="thin">
        <color theme="1" tint="0.34998626667073579"/>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style="thin">
        <color theme="1" tint="0.34998626667073579"/>
      </right>
      <top style="thin">
        <color theme="1" tint="0.34998626667073579"/>
      </top>
      <bottom/>
      <diagonal/>
    </border>
    <border>
      <left style="thin">
        <color theme="1" tint="0.34998626667073579"/>
      </left>
      <right style="thin">
        <color theme="1" tint="0.34998626667073579"/>
      </right>
      <top/>
      <bottom/>
      <diagonal/>
    </border>
    <border>
      <left style="thin">
        <color theme="1" tint="0.34998626667073579"/>
      </left>
      <right style="thin">
        <color theme="1" tint="0.34998626667073579"/>
      </right>
      <top/>
      <bottom style="thin">
        <color theme="1" tint="0.34998626667073579"/>
      </bottom>
      <diagonal/>
    </border>
    <border>
      <left style="thin">
        <color theme="1" tint="0.34998626667073579"/>
      </left>
      <right/>
      <top/>
      <bottom/>
      <diagonal/>
    </border>
    <border>
      <left/>
      <right style="thin">
        <color theme="1" tint="0.34998626667073579"/>
      </right>
      <top/>
      <bottom/>
      <diagonal/>
    </border>
    <border>
      <left style="thin">
        <color theme="1" tint="0.34998626667073579"/>
      </left>
      <right/>
      <top style="thin">
        <color theme="1" tint="0.34998626667073579"/>
      </top>
      <bottom style="thin">
        <color theme="1" tint="0.34998626667073579"/>
      </bottom>
      <diagonal/>
    </border>
    <border>
      <left/>
      <right style="thin">
        <color theme="1" tint="0.34998626667073579"/>
      </right>
      <top style="thin">
        <color theme="1" tint="0.34998626667073579"/>
      </top>
      <bottom style="thin">
        <color theme="1" tint="0.34998626667073579"/>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right style="thin">
        <color theme="0" tint="-0.499984740745262"/>
      </right>
      <top style="thin">
        <color theme="0" tint="-0.499984740745262"/>
      </top>
      <bottom/>
      <diagonal/>
    </border>
    <border>
      <left style="thin">
        <color indexed="64"/>
      </left>
      <right style="medium">
        <color indexed="64"/>
      </right>
      <top style="thin">
        <color indexed="64"/>
      </top>
      <bottom/>
      <diagonal/>
    </border>
    <border>
      <left style="thin">
        <color theme="1" tint="0.499984740745262"/>
      </left>
      <right/>
      <top style="thin">
        <color theme="1" tint="0.499984740745262"/>
      </top>
      <bottom style="thin">
        <color theme="1" tint="0.499984740745262"/>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theme="1" tint="0.34998626667073579"/>
      </left>
      <right style="thin">
        <color theme="1" tint="0.34998626667073579"/>
      </right>
      <top style="medium">
        <color theme="1" tint="0.34998626667073579"/>
      </top>
      <bottom style="thin">
        <color theme="1" tint="0.34998626667073579"/>
      </bottom>
      <diagonal/>
    </border>
    <border>
      <left style="thin">
        <color theme="1" tint="0.34998626667073579"/>
      </left>
      <right style="medium">
        <color theme="1" tint="0.34998626667073579"/>
      </right>
      <top style="medium">
        <color theme="1" tint="0.34998626667073579"/>
      </top>
      <bottom style="thin">
        <color theme="1" tint="0.34998626667073579"/>
      </bottom>
      <diagonal/>
    </border>
    <border>
      <left style="thin">
        <color theme="1" tint="0.34998626667073579"/>
      </left>
      <right style="medium">
        <color theme="1" tint="0.34998626667073579"/>
      </right>
      <top style="thin">
        <color theme="1" tint="0.34998626667073579"/>
      </top>
      <bottom style="thin">
        <color theme="1" tint="0.34998626667073579"/>
      </bottom>
      <diagonal/>
    </border>
    <border>
      <left style="thin">
        <color theme="1" tint="0.34998626667073579"/>
      </left>
      <right style="thin">
        <color theme="1" tint="0.34998626667073579"/>
      </right>
      <top style="thin">
        <color theme="1" tint="0.34998626667073579"/>
      </top>
      <bottom style="medium">
        <color theme="1" tint="0.34998626667073579"/>
      </bottom>
      <diagonal/>
    </border>
    <border>
      <left style="thin">
        <color theme="1" tint="0.34998626667073579"/>
      </left>
      <right style="medium">
        <color theme="1" tint="0.34998626667073579"/>
      </right>
      <top style="thin">
        <color theme="1" tint="0.34998626667073579"/>
      </top>
      <bottom style="medium">
        <color theme="1" tint="0.34998626667073579"/>
      </bottom>
      <diagonal/>
    </border>
    <border>
      <left style="thin">
        <color theme="1" tint="0.34998626667073579"/>
      </left>
      <right style="medium">
        <color theme="1" tint="0.34998626667073579"/>
      </right>
      <top/>
      <bottom style="thin">
        <color theme="1" tint="0.34998626667073579"/>
      </bottom>
      <diagonal/>
    </border>
    <border>
      <left style="medium">
        <color theme="1" tint="0.34998626667073579"/>
      </left>
      <right style="thin">
        <color theme="1" tint="0.34998626667073579"/>
      </right>
      <top style="medium">
        <color theme="1" tint="0.34998626667073579"/>
      </top>
      <bottom style="thin">
        <color theme="1" tint="0.34998626667073579"/>
      </bottom>
      <diagonal/>
    </border>
    <border>
      <left style="medium">
        <color theme="1" tint="0.34998626667073579"/>
      </left>
      <right style="thin">
        <color theme="1" tint="0.34998626667073579"/>
      </right>
      <top style="thin">
        <color theme="1" tint="0.34998626667073579"/>
      </top>
      <bottom style="medium">
        <color theme="1" tint="0.34998626667073579"/>
      </bottom>
      <diagonal/>
    </border>
    <border>
      <left/>
      <right style="thin">
        <color theme="1" tint="0.34998626667073579"/>
      </right>
      <top style="medium">
        <color theme="1" tint="0.34998626667073579"/>
      </top>
      <bottom style="thin">
        <color theme="1" tint="0.34998626667073579"/>
      </bottom>
      <diagonal/>
    </border>
    <border>
      <left/>
      <right style="thin">
        <color theme="1" tint="0.34998626667073579"/>
      </right>
      <top style="thin">
        <color theme="1" tint="0.34998626667073579"/>
      </top>
      <bottom style="medium">
        <color theme="1" tint="0.34998626667073579"/>
      </bottom>
      <diagonal/>
    </border>
    <border>
      <left style="thin">
        <color indexed="64"/>
      </left>
      <right style="thin">
        <color indexed="64"/>
      </right>
      <top style="medium">
        <color rgb="FF000000"/>
      </top>
      <bottom style="thin">
        <color indexed="64"/>
      </bottom>
      <diagonal/>
    </border>
    <border>
      <left style="thin">
        <color theme="1" tint="0.34998626667073579"/>
      </left>
      <right style="thin">
        <color theme="1" tint="0.34998626667073579"/>
      </right>
      <top style="medium">
        <color rgb="FF000000"/>
      </top>
      <bottom style="thin">
        <color theme="1" tint="0.34998626667073579"/>
      </bottom>
      <diagonal/>
    </border>
    <border>
      <left style="thin">
        <color theme="1" tint="0.34998626667073579"/>
      </left>
      <right style="thin">
        <color theme="1" tint="0.34998626667073579"/>
      </right>
      <top style="thin">
        <color theme="1" tint="0.34998626667073579"/>
      </top>
      <bottom style="medium">
        <color rgb="FF000000"/>
      </bottom>
      <diagonal/>
    </border>
    <border>
      <left style="thin">
        <color theme="1" tint="0.34998626667073579"/>
      </left>
      <right style="thin">
        <color theme="1" tint="0.34998626667073579"/>
      </right>
      <top style="medium">
        <color theme="1" tint="0.34998626667073579"/>
      </top>
      <bottom/>
      <diagonal/>
    </border>
    <border>
      <left style="thin">
        <color theme="1" tint="0.34998626667073579"/>
      </left>
      <right style="thin">
        <color theme="1" tint="0.34998626667073579"/>
      </right>
      <top/>
      <bottom style="medium">
        <color theme="1" tint="0.34998626667073579"/>
      </bottom>
      <diagonal/>
    </border>
    <border>
      <left style="thin">
        <color indexed="64"/>
      </left>
      <right style="medium">
        <color rgb="FF000000"/>
      </right>
      <top style="medium">
        <color rgb="FF000000"/>
      </top>
      <bottom style="thin">
        <color indexed="64"/>
      </bottom>
      <diagonal/>
    </border>
    <border>
      <left style="thin">
        <color indexed="64"/>
      </left>
      <right style="medium">
        <color rgb="FF000000"/>
      </right>
      <top style="thin">
        <color indexed="64"/>
      </top>
      <bottom style="thin">
        <color indexed="64"/>
      </bottom>
      <diagonal/>
    </border>
    <border>
      <left style="thin">
        <color indexed="64"/>
      </left>
      <right style="medium">
        <color indexed="64"/>
      </right>
      <top/>
      <bottom style="thin">
        <color indexed="64"/>
      </bottom>
      <diagonal/>
    </border>
    <border>
      <left style="medium">
        <color rgb="FF000000"/>
      </left>
      <right style="thin">
        <color theme="1" tint="0.34998626667073579"/>
      </right>
      <top style="medium">
        <color rgb="FF000000"/>
      </top>
      <bottom style="thin">
        <color theme="1" tint="0.34998626667073579"/>
      </bottom>
      <diagonal/>
    </border>
    <border>
      <left style="thin">
        <color indexed="64"/>
      </left>
      <right style="medium">
        <color indexed="64"/>
      </right>
      <top style="medium">
        <color rgb="FF000000"/>
      </top>
      <bottom style="thin">
        <color indexed="64"/>
      </bottom>
      <diagonal/>
    </border>
    <border>
      <left/>
      <right style="thin">
        <color theme="1" tint="0.34998626667073579"/>
      </right>
      <top style="medium">
        <color rgb="FF000000"/>
      </top>
      <bottom style="thin">
        <color theme="1" tint="0.34998626667073579"/>
      </bottom>
      <diagonal/>
    </border>
    <border>
      <left style="thin">
        <color theme="1" tint="0.34998626667073579"/>
      </left>
      <right style="medium">
        <color rgb="FF000000"/>
      </right>
      <top style="medium">
        <color rgb="FF000000"/>
      </top>
      <bottom style="thin">
        <color theme="1" tint="0.34998626667073579"/>
      </bottom>
      <diagonal/>
    </border>
    <border>
      <left style="medium">
        <color rgb="FF000000"/>
      </left>
      <right style="thin">
        <color theme="1" tint="0.34998626667073579"/>
      </right>
      <top style="thin">
        <color theme="1" tint="0.34998626667073579"/>
      </top>
      <bottom style="thin">
        <color theme="1" tint="0.34998626667073579"/>
      </bottom>
      <diagonal/>
    </border>
    <border>
      <left style="thin">
        <color theme="1" tint="0.34998626667073579"/>
      </left>
      <right style="medium">
        <color rgb="FF000000"/>
      </right>
      <top style="thin">
        <color theme="1" tint="0.34998626667073579"/>
      </top>
      <bottom style="thin">
        <color theme="1" tint="0.34998626667073579"/>
      </bottom>
      <diagonal/>
    </border>
    <border>
      <left style="medium">
        <color rgb="FF000000"/>
      </left>
      <right style="thin">
        <color theme="1" tint="0.34998626667073579"/>
      </right>
      <top style="thin">
        <color theme="1" tint="0.34998626667073579"/>
      </top>
      <bottom style="medium">
        <color rgb="FF000000"/>
      </bottom>
      <diagonal/>
    </border>
    <border>
      <left style="thin">
        <color theme="1" tint="0.34998626667073579"/>
      </left>
      <right style="thin">
        <color theme="1" tint="0.34998626667073579"/>
      </right>
      <top/>
      <bottom style="medium">
        <color rgb="FF000000"/>
      </bottom>
      <diagonal/>
    </border>
    <border>
      <left style="thin">
        <color indexed="64"/>
      </left>
      <right style="medium">
        <color indexed="64"/>
      </right>
      <top style="thin">
        <color indexed="64"/>
      </top>
      <bottom style="medium">
        <color rgb="FF000000"/>
      </bottom>
      <diagonal/>
    </border>
    <border>
      <left/>
      <right style="thin">
        <color theme="1" tint="0.34998626667073579"/>
      </right>
      <top style="thin">
        <color theme="1" tint="0.34998626667073579"/>
      </top>
      <bottom style="medium">
        <color rgb="FF000000"/>
      </bottom>
      <diagonal/>
    </border>
    <border>
      <left style="thin">
        <color theme="1" tint="0.34998626667073579"/>
      </left>
      <right style="medium">
        <color rgb="FF000000"/>
      </right>
      <top style="thin">
        <color theme="1" tint="0.34998626667073579"/>
      </top>
      <bottom style="medium">
        <color rgb="FF000000"/>
      </bottom>
      <diagonal/>
    </border>
    <border>
      <left style="medium">
        <color theme="1" tint="0.34998626667073579"/>
      </left>
      <right style="thin">
        <color theme="1" tint="0.34998626667073579"/>
      </right>
      <top/>
      <bottom style="thin">
        <color theme="1" tint="0.34998626667073579"/>
      </bottom>
      <diagonal/>
    </border>
    <border>
      <left style="thin">
        <color theme="1" tint="0.34998626667073579"/>
      </left>
      <right style="medium">
        <color indexed="64"/>
      </right>
      <top/>
      <bottom/>
      <diagonal/>
    </border>
    <border>
      <left/>
      <right style="thin">
        <color theme="1" tint="0.34998626667073579"/>
      </right>
      <top/>
      <bottom style="thin">
        <color theme="1" tint="0.34998626667073579"/>
      </bottom>
      <diagonal/>
    </border>
    <border>
      <left style="medium">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style="medium">
        <color indexed="64"/>
      </right>
      <top/>
      <bottom style="medium">
        <color theme="1" tint="0.34998626667073579"/>
      </bottom>
      <diagonal/>
    </border>
    <border>
      <left style="thin">
        <color theme="1" tint="0.34998626667073579"/>
      </left>
      <right style="medium">
        <color indexed="64"/>
      </right>
      <top style="medium">
        <color theme="1" tint="0.34998626667073579"/>
      </top>
      <bottom/>
      <diagonal/>
    </border>
    <border>
      <left style="medium">
        <color theme="1" tint="0.34998626667073579"/>
      </left>
      <right style="thin">
        <color theme="1" tint="0.34998626667073579"/>
      </right>
      <top style="medium">
        <color theme="1" tint="0.34998626667073579"/>
      </top>
      <bottom/>
      <diagonal/>
    </border>
    <border>
      <left style="medium">
        <color theme="1" tint="0.34998626667073579"/>
      </left>
      <right style="thin">
        <color theme="1" tint="0.34998626667073579"/>
      </right>
      <top/>
      <bottom/>
      <diagonal/>
    </border>
    <border>
      <left style="medium">
        <color theme="1" tint="0.34998626667073579"/>
      </left>
      <right style="thin">
        <color theme="1" tint="0.34998626667073579"/>
      </right>
      <top/>
      <bottom style="medium">
        <color theme="1" tint="0.34998626667073579"/>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style="thin">
        <color rgb="FF000000"/>
      </bottom>
      <diagonal/>
    </border>
    <border>
      <left style="thin">
        <color indexed="64"/>
      </left>
      <right style="medium">
        <color indexed="64"/>
      </right>
      <top/>
      <bottom/>
      <diagonal/>
    </border>
    <border>
      <left style="medium">
        <color theme="1" tint="0.34998626667073579"/>
      </left>
      <right style="thin">
        <color theme="1" tint="0.34998626667073579"/>
      </right>
      <top style="thin">
        <color theme="1" tint="0.34998626667073579"/>
      </top>
      <bottom/>
      <diagonal/>
    </border>
    <border>
      <left style="thin">
        <color theme="1" tint="0.34998626667073579"/>
      </left>
      <right style="medium">
        <color theme="1" tint="0.34998626667073579"/>
      </right>
      <top style="thin">
        <color theme="1" tint="0.34998626667073579"/>
      </top>
      <bottom/>
      <diagonal/>
    </border>
    <border>
      <left/>
      <right style="thin">
        <color rgb="FF000000"/>
      </right>
      <top/>
      <bottom style="thin">
        <color rgb="FF000000"/>
      </bottom>
      <diagonal/>
    </border>
    <border>
      <left style="thin">
        <color rgb="FF000000"/>
      </left>
      <right style="medium">
        <color indexed="64"/>
      </right>
      <top/>
      <bottom style="thin">
        <color rgb="FF000000"/>
      </bottom>
      <diagonal/>
    </border>
    <border>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right style="thin">
        <color rgb="FF000000"/>
      </right>
      <top style="thin">
        <color rgb="FF000000"/>
      </top>
      <bottom/>
      <diagonal/>
    </border>
    <border>
      <left style="thin">
        <color rgb="FF000000"/>
      </left>
      <right style="medium">
        <color indexed="64"/>
      </right>
      <top style="thin">
        <color rgb="FF000000"/>
      </top>
      <bottom/>
      <diagonal/>
    </border>
    <border>
      <left/>
      <right style="thin">
        <color rgb="FF000000"/>
      </right>
      <top style="medium">
        <color theme="1" tint="0.34998626667073579"/>
      </top>
      <bottom style="thin">
        <color rgb="FF000000"/>
      </bottom>
      <diagonal/>
    </border>
    <border>
      <left style="thin">
        <color indexed="64"/>
      </left>
      <right style="thin">
        <color indexed="64"/>
      </right>
      <top style="medium">
        <color theme="1" tint="0.34998626667073579"/>
      </top>
      <bottom style="thin">
        <color indexed="64"/>
      </bottom>
      <diagonal/>
    </border>
    <border>
      <left style="thin">
        <color indexed="64"/>
      </left>
      <right style="medium">
        <color theme="1" tint="0.34998626667073579"/>
      </right>
      <top style="medium">
        <color theme="1" tint="0.34998626667073579"/>
      </top>
      <bottom style="thin">
        <color indexed="64"/>
      </bottom>
      <diagonal/>
    </border>
    <border>
      <left style="thin">
        <color indexed="64"/>
      </left>
      <right style="medium">
        <color theme="1" tint="0.34998626667073579"/>
      </right>
      <top style="thin">
        <color indexed="64"/>
      </top>
      <bottom style="thin">
        <color indexed="64"/>
      </bottom>
      <diagonal/>
    </border>
    <border>
      <left style="thin">
        <color indexed="64"/>
      </left>
      <right style="medium">
        <color theme="1" tint="0.34998626667073579"/>
      </right>
      <top style="thin">
        <color indexed="64"/>
      </top>
      <bottom/>
      <diagonal/>
    </border>
    <border>
      <left style="medium">
        <color theme="1" tint="0.34998626667073579"/>
      </left>
      <right style="thin">
        <color rgb="FF000000"/>
      </right>
      <top style="medium">
        <color theme="1" tint="0.34998626667073579"/>
      </top>
      <bottom style="thin">
        <color rgb="FF000000"/>
      </bottom>
      <diagonal/>
    </border>
    <border>
      <left style="medium">
        <color theme="1" tint="0.34998626667073579"/>
      </left>
      <right style="thin">
        <color rgb="FF000000"/>
      </right>
      <top style="thin">
        <color rgb="FF000000"/>
      </top>
      <bottom style="thin">
        <color rgb="FF000000"/>
      </bottom>
      <diagonal/>
    </border>
    <border>
      <left style="medium">
        <color theme="1" tint="0.34998626667073579"/>
      </left>
      <right style="thin">
        <color rgb="FF000000"/>
      </right>
      <top style="thin">
        <color rgb="FF000000"/>
      </top>
      <bottom style="medium">
        <color theme="1" tint="0.34998626667073579"/>
      </bottom>
      <diagonal/>
    </border>
    <border>
      <left style="thin">
        <color indexed="64"/>
      </left>
      <right/>
      <top style="medium">
        <color theme="1" tint="0.34998626667073579"/>
      </top>
      <bottom/>
      <diagonal/>
    </border>
    <border>
      <left style="thin">
        <color indexed="64"/>
      </left>
      <right/>
      <top/>
      <bottom style="medium">
        <color theme="1" tint="0.34998626667073579"/>
      </bottom>
      <diagonal/>
    </border>
    <border>
      <left style="medium">
        <color theme="1" tint="0.34998626667073579"/>
      </left>
      <right style="thin">
        <color rgb="FF000000"/>
      </right>
      <top style="thin">
        <color rgb="FF000000"/>
      </top>
      <bottom/>
      <diagonal/>
    </border>
    <border>
      <left style="thin">
        <color theme="1" tint="0.34998626667073579"/>
      </left>
      <right style="thin">
        <color theme="1" tint="0.34998626667073579"/>
      </right>
      <top style="medium">
        <color indexed="64"/>
      </top>
      <bottom style="thin">
        <color theme="1" tint="0.34998626667073579"/>
      </bottom>
      <diagonal/>
    </border>
    <border>
      <left style="thin">
        <color theme="1" tint="0.34998626667073579"/>
      </left>
      <right style="medium">
        <color indexed="64"/>
      </right>
      <top style="medium">
        <color indexed="64"/>
      </top>
      <bottom style="thin">
        <color theme="1" tint="0.34998626667073579"/>
      </bottom>
      <diagonal/>
    </border>
    <border>
      <left/>
      <right/>
      <top style="medium">
        <color theme="1" tint="0.34998626667073579"/>
      </top>
      <bottom style="thin">
        <color rgb="FF000000"/>
      </bottom>
      <diagonal/>
    </border>
    <border>
      <left style="thin">
        <color theme="1" tint="0.34998626667073579"/>
      </left>
      <right style="medium">
        <color indexed="64"/>
      </right>
      <top style="thin">
        <color theme="1" tint="0.34998626667073579"/>
      </top>
      <bottom style="thin">
        <color theme="1" tint="0.34998626667073579"/>
      </bottom>
      <diagonal/>
    </border>
    <border>
      <left/>
      <right/>
      <top style="thin">
        <color rgb="FF000000"/>
      </top>
      <bottom style="thin">
        <color rgb="FF000000"/>
      </bottom>
      <diagonal/>
    </border>
    <border>
      <left style="thin">
        <color theme="1" tint="0.34998626667073579"/>
      </left>
      <right style="thin">
        <color theme="1" tint="0.34998626667073579"/>
      </right>
      <top style="thin">
        <color theme="1" tint="0.34998626667073579"/>
      </top>
      <bottom style="medium">
        <color indexed="64"/>
      </bottom>
      <diagonal/>
    </border>
    <border>
      <left style="thin">
        <color theme="1" tint="0.34998626667073579"/>
      </left>
      <right style="medium">
        <color indexed="64"/>
      </right>
      <top style="thin">
        <color theme="1" tint="0.34998626667073579"/>
      </top>
      <bottom style="medium">
        <color indexed="64"/>
      </bottom>
      <diagonal/>
    </border>
    <border>
      <left/>
      <right/>
      <top style="thin">
        <color rgb="FF000000"/>
      </top>
      <bottom style="medium">
        <color theme="1" tint="0.34998626667073579"/>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diagonal/>
    </border>
    <border>
      <left style="medium">
        <color indexed="64"/>
      </left>
      <right style="thin">
        <color rgb="FF000000"/>
      </right>
      <top/>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medium">
        <color indexed="64"/>
      </left>
      <right style="thin">
        <color rgb="FF000000"/>
      </right>
      <top style="thin">
        <color rgb="FF000000"/>
      </top>
      <bottom/>
      <diagonal/>
    </border>
    <border>
      <left style="medium">
        <color indexed="64"/>
      </left>
      <right style="thin">
        <color rgb="FF000000"/>
      </right>
      <top/>
      <bottom style="thin">
        <color rgb="FF000000"/>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thin">
        <color rgb="FF000000"/>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thin">
        <color indexed="64"/>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style="thin">
        <color indexed="64"/>
      </top>
      <bottom style="thin">
        <color indexed="64"/>
      </bottom>
      <diagonal/>
    </border>
    <border>
      <left style="thin">
        <color rgb="FF000000"/>
      </left>
      <right style="medium">
        <color rgb="FF000000"/>
      </right>
      <top style="thin">
        <color rgb="FF000000"/>
      </top>
      <bottom style="thin">
        <color rgb="FF000000"/>
      </bottom>
      <diagonal/>
    </border>
    <border>
      <left style="medium">
        <color rgb="FF000000"/>
      </left>
      <right/>
      <top style="thin">
        <color indexed="64"/>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style="medium">
        <color indexed="64"/>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medium">
        <color indexed="64"/>
      </bottom>
      <diagonal/>
    </border>
    <border>
      <left style="medium">
        <color rgb="FF000000"/>
      </left>
      <right/>
      <top/>
      <bottom style="thin">
        <color indexed="64"/>
      </bottom>
      <diagonal/>
    </border>
    <border>
      <left style="thin">
        <color rgb="FF000000"/>
      </left>
      <right style="medium">
        <color rgb="FF000000"/>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medium">
        <color indexed="64"/>
      </right>
      <top style="medium">
        <color rgb="FF000000"/>
      </top>
      <bottom style="thin">
        <color rgb="FF000000"/>
      </bottom>
      <diagonal/>
    </border>
    <border>
      <left/>
      <right style="thin">
        <color indexed="64"/>
      </right>
      <top style="medium">
        <color rgb="FF000000"/>
      </top>
      <bottom style="thin">
        <color indexed="64"/>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indexed="64"/>
      </right>
      <top style="thin">
        <color rgb="FF000000"/>
      </top>
      <bottom style="medium">
        <color rgb="FF000000"/>
      </bottom>
      <diagonal/>
    </border>
    <border>
      <left/>
      <right style="thin">
        <color indexed="64"/>
      </right>
      <top style="thin">
        <color indexed="64"/>
      </top>
      <bottom style="medium">
        <color rgb="FF000000"/>
      </bottom>
      <diagonal/>
    </border>
    <border>
      <left style="thin">
        <color indexed="64"/>
      </left>
      <right style="thin">
        <color indexed="64"/>
      </right>
      <top style="thin">
        <color indexed="64"/>
      </top>
      <bottom style="medium">
        <color rgb="FF000000"/>
      </bottom>
      <diagonal/>
    </border>
    <border>
      <left style="thin">
        <color indexed="64"/>
      </left>
      <right style="medium">
        <color rgb="FF000000"/>
      </right>
      <top style="thin">
        <color indexed="64"/>
      </top>
      <bottom style="medium">
        <color rgb="FF000000"/>
      </bottom>
      <diagonal/>
    </border>
    <border>
      <left style="thin">
        <color rgb="FF000000"/>
      </left>
      <right/>
      <top style="thin">
        <color rgb="FF000000"/>
      </top>
      <bottom/>
      <diagonal/>
    </border>
    <border>
      <left style="medium">
        <color rgb="FF000000"/>
      </left>
      <right/>
      <top style="thin">
        <color indexed="64"/>
      </top>
      <bottom/>
      <diagonal/>
    </border>
    <border>
      <left style="thin">
        <color rgb="FF000000"/>
      </left>
      <right style="medium">
        <color rgb="FF000000"/>
      </right>
      <top style="thin">
        <color rgb="FF000000"/>
      </top>
      <bottom/>
      <diagonal/>
    </border>
    <border>
      <left style="thin">
        <color rgb="FF595959"/>
      </left>
      <right/>
      <top/>
      <bottom/>
      <diagonal/>
    </border>
    <border>
      <left style="medium">
        <color rgb="FF000000"/>
      </left>
      <right style="thin">
        <color rgb="FF595959"/>
      </right>
      <top style="medium">
        <color rgb="FF000000"/>
      </top>
      <bottom/>
      <diagonal/>
    </border>
    <border>
      <left style="medium">
        <color rgb="FF000000"/>
      </left>
      <right style="thin">
        <color rgb="FF595959"/>
      </right>
      <top/>
      <bottom/>
      <diagonal/>
    </border>
    <border>
      <left style="medium">
        <color rgb="FF000000"/>
      </left>
      <right style="thin">
        <color rgb="FF595959"/>
      </right>
      <top/>
      <bottom style="medium">
        <color rgb="FF000000"/>
      </bottom>
      <diagonal/>
    </border>
    <border>
      <left style="thin">
        <color rgb="FF595959"/>
      </left>
      <right/>
      <top/>
      <bottom style="medium">
        <color rgb="FF000000"/>
      </bottom>
      <diagonal/>
    </border>
    <border>
      <left style="medium">
        <color rgb="FF000000"/>
      </left>
      <right style="thin">
        <color rgb="FF000000"/>
      </right>
      <top style="thin">
        <color rgb="FF000000"/>
      </top>
      <bottom/>
      <diagonal/>
    </border>
    <border>
      <left style="thin">
        <color rgb="FF000000"/>
      </left>
      <right/>
      <top style="medium">
        <color rgb="FF000000"/>
      </top>
      <bottom style="thin">
        <color rgb="FF000000"/>
      </bottom>
      <diagonal/>
    </border>
    <border>
      <left style="thin">
        <color rgb="FF000000"/>
      </left>
      <right style="thin">
        <color theme="1" tint="0.34998626667073579"/>
      </right>
      <top style="thin">
        <color theme="1" tint="0.34998626667073579"/>
      </top>
      <bottom/>
      <diagonal/>
    </border>
    <border>
      <left style="thin">
        <color rgb="FF000000"/>
      </left>
      <right style="thin">
        <color theme="1" tint="0.34998626667073579"/>
      </right>
      <top style="thin">
        <color theme="1" tint="0.34998626667073579"/>
      </top>
      <bottom style="thin">
        <color indexed="64"/>
      </bottom>
      <diagonal/>
    </border>
    <border>
      <left style="thin">
        <color theme="1" tint="0.34998626667073579"/>
      </left>
      <right style="thin">
        <color theme="1" tint="0.34998626667073579"/>
      </right>
      <top/>
      <bottom style="thin">
        <color indexed="64"/>
      </bottom>
      <diagonal/>
    </border>
    <border>
      <left style="thin">
        <color theme="1" tint="0.34998626667073579"/>
      </left>
      <right style="thin">
        <color theme="1" tint="0.34998626667073579"/>
      </right>
      <top style="thin">
        <color theme="1" tint="0.34998626667073579"/>
      </top>
      <bottom style="thin">
        <color indexed="64"/>
      </bottom>
      <diagonal/>
    </border>
    <border>
      <left style="thin">
        <color rgb="FF595959"/>
      </left>
      <right/>
      <top style="medium">
        <color rgb="FF000000"/>
      </top>
      <bottom/>
      <diagonal/>
    </border>
  </borders>
  <cellStyleXfs count="13">
    <xf numFmtId="0" fontId="0" fillId="0" borderId="0"/>
    <xf numFmtId="0" fontId="1" fillId="0" borderId="0"/>
    <xf numFmtId="9" fontId="2" fillId="0" borderId="0" applyFont="0" applyFill="0" applyBorder="0" applyAlignment="0" applyProtection="0"/>
    <xf numFmtId="0" fontId="4" fillId="0" borderId="0" applyNumberFormat="0" applyFill="0" applyBorder="0" applyAlignment="0" applyProtection="0"/>
    <xf numFmtId="0" fontId="6" fillId="0" borderId="0"/>
    <xf numFmtId="0" fontId="8" fillId="0" borderId="0" applyNumberFormat="0" applyFill="0" applyBorder="0" applyAlignment="0" applyProtection="0"/>
    <xf numFmtId="43" fontId="2" fillId="0" borderId="0" applyFont="0" applyFill="0" applyBorder="0" applyAlignment="0" applyProtection="0"/>
    <xf numFmtId="0" fontId="2" fillId="0" borderId="0"/>
    <xf numFmtId="9" fontId="6" fillId="0" borderId="0" applyFont="0" applyFill="0" applyBorder="0" applyAlignment="0" applyProtection="0"/>
    <xf numFmtId="0" fontId="13" fillId="0" borderId="0"/>
    <xf numFmtId="0" fontId="15" fillId="0" borderId="0" applyNumberFormat="0" applyFill="0" applyBorder="0" applyAlignment="0" applyProtection="0"/>
    <xf numFmtId="0" fontId="6" fillId="0" borderId="0"/>
    <xf numFmtId="0" fontId="6" fillId="0" borderId="0"/>
  </cellStyleXfs>
  <cellXfs count="870">
    <xf numFmtId="0" fontId="0" fillId="0" borderId="0" xfId="0"/>
    <xf numFmtId="0" fontId="11" fillId="0" borderId="0" xfId="0" applyFont="1"/>
    <xf numFmtId="0" fontId="11" fillId="0" borderId="0" xfId="0" applyFont="1" applyAlignment="1">
      <alignment horizontal="center" vertical="center"/>
    </xf>
    <xf numFmtId="0" fontId="6" fillId="0" borderId="0" xfId="0" applyFont="1"/>
    <xf numFmtId="0" fontId="6" fillId="0" borderId="0" xfId="0" applyFont="1" applyAlignment="1">
      <alignment horizontal="center"/>
    </xf>
    <xf numFmtId="0" fontId="6" fillId="0" borderId="0" xfId="0" applyFont="1" applyAlignment="1">
      <alignment horizontal="center" vertical="center"/>
    </xf>
    <xf numFmtId="0" fontId="6" fillId="0" borderId="0" xfId="0" applyFont="1" applyAlignment="1">
      <alignment vertical="center"/>
    </xf>
    <xf numFmtId="0" fontId="6" fillId="0" borderId="0" xfId="0" applyFont="1" applyAlignment="1">
      <alignment horizontal="center" vertical="center" wrapText="1"/>
    </xf>
    <xf numFmtId="0" fontId="15" fillId="0" borderId="0" xfId="5" applyFont="1"/>
    <xf numFmtId="0" fontId="14" fillId="0" borderId="0" xfId="0" applyFont="1" applyAlignment="1">
      <alignment vertical="center"/>
    </xf>
    <xf numFmtId="0" fontId="1" fillId="0" borderId="2" xfId="1" applyBorder="1" applyAlignment="1">
      <alignment vertical="center" wrapText="1"/>
    </xf>
    <xf numFmtId="3" fontId="1" fillId="0" borderId="2" xfId="1" applyNumberFormat="1" applyBorder="1" applyAlignment="1">
      <alignment horizontal="center" vertical="center" wrapText="1"/>
    </xf>
    <xf numFmtId="0" fontId="1" fillId="0" borderId="2" xfId="1" applyBorder="1" applyAlignment="1">
      <alignment vertical="center"/>
    </xf>
    <xf numFmtId="0" fontId="6" fillId="0" borderId="2" xfId="0" applyFont="1" applyBorder="1" applyAlignment="1">
      <alignment vertical="center"/>
    </xf>
    <xf numFmtId="0" fontId="6" fillId="0" borderId="2" xfId="0" applyFont="1" applyBorder="1" applyAlignment="1">
      <alignment vertical="center" wrapText="1"/>
    </xf>
    <xf numFmtId="0" fontId="18" fillId="5" borderId="2" xfId="0" applyFont="1" applyFill="1" applyBorder="1" applyAlignment="1">
      <alignment vertical="center"/>
    </xf>
    <xf numFmtId="0" fontId="18" fillId="5" borderId="2" xfId="0" applyFont="1" applyFill="1" applyBorder="1" applyAlignment="1">
      <alignment horizontal="left" vertical="center"/>
    </xf>
    <xf numFmtId="3" fontId="6" fillId="0" borderId="2" xfId="7" applyNumberFormat="1" applyFont="1" applyBorder="1" applyAlignment="1">
      <alignment horizontal="center" vertical="center"/>
    </xf>
    <xf numFmtId="3" fontId="10" fillId="0" borderId="2" xfId="3" applyNumberFormat="1" applyFont="1" applyBorder="1" applyAlignment="1">
      <alignment horizontal="center" vertical="center" wrapText="1"/>
    </xf>
    <xf numFmtId="3" fontId="10" fillId="0" borderId="2" xfId="3" applyNumberFormat="1" applyFont="1" applyFill="1" applyBorder="1" applyAlignment="1">
      <alignment horizontal="center" vertical="center" wrapText="1"/>
    </xf>
    <xf numFmtId="0" fontId="1" fillId="0" borderId="0" xfId="0" applyFont="1" applyAlignment="1">
      <alignment vertical="top"/>
    </xf>
    <xf numFmtId="0" fontId="6" fillId="0" borderId="0" xfId="0" applyFont="1" applyAlignment="1">
      <alignment horizontal="center" vertical="top" wrapText="1"/>
    </xf>
    <xf numFmtId="0" fontId="6" fillId="0" borderId="0" xfId="0" applyFont="1" applyAlignment="1">
      <alignment horizontal="left" vertical="top" wrapText="1"/>
    </xf>
    <xf numFmtId="0" fontId="7" fillId="2" borderId="0" xfId="0" applyFont="1" applyFill="1"/>
    <xf numFmtId="0" fontId="7" fillId="2" borderId="0" xfId="0" applyFont="1" applyFill="1" applyAlignment="1">
      <alignment wrapText="1"/>
    </xf>
    <xf numFmtId="0" fontId="7" fillId="2" borderId="0" xfId="0" applyFont="1" applyFill="1" applyAlignment="1">
      <alignment horizontal="left"/>
    </xf>
    <xf numFmtId="0" fontId="7" fillId="2" borderId="0" xfId="0" applyFont="1" applyFill="1" applyAlignment="1">
      <alignment horizontal="center"/>
    </xf>
    <xf numFmtId="0" fontId="19" fillId="5" borderId="2" xfId="0" applyFont="1" applyFill="1" applyBorder="1" applyAlignment="1">
      <alignment horizontal="center" vertical="center" wrapText="1"/>
    </xf>
    <xf numFmtId="0" fontId="18" fillId="5" borderId="2" xfId="0" applyFont="1" applyFill="1" applyBorder="1" applyAlignment="1">
      <alignment horizontal="center" vertical="center"/>
    </xf>
    <xf numFmtId="9" fontId="6" fillId="0" borderId="0" xfId="2" applyFont="1" applyFill="1" applyBorder="1" applyAlignment="1">
      <alignment horizontal="center" vertical="center"/>
    </xf>
    <xf numFmtId="0" fontId="7" fillId="0" borderId="0" xfId="0" applyFont="1" applyAlignment="1">
      <alignment horizontal="left" vertical="center" wrapText="1"/>
    </xf>
    <xf numFmtId="1" fontId="6" fillId="0" borderId="0" xfId="0" applyNumberFormat="1" applyFont="1"/>
    <xf numFmtId="9" fontId="6" fillId="0" borderId="0" xfId="2" applyFont="1" applyFill="1" applyBorder="1"/>
    <xf numFmtId="9" fontId="6" fillId="0" borderId="0" xfId="0" applyNumberFormat="1" applyFont="1"/>
    <xf numFmtId="9" fontId="7" fillId="0" borderId="0" xfId="2" applyFont="1" applyFill="1" applyBorder="1"/>
    <xf numFmtId="164" fontId="6" fillId="0" borderId="0" xfId="0" applyNumberFormat="1" applyFont="1"/>
    <xf numFmtId="0" fontId="22" fillId="0" borderId="0" xfId="0" applyFont="1" applyAlignment="1">
      <alignment horizontal="left" vertical="center"/>
    </xf>
    <xf numFmtId="0" fontId="20" fillId="0" borderId="0" xfId="0" applyFont="1" applyAlignment="1">
      <alignment wrapText="1"/>
    </xf>
    <xf numFmtId="0" fontId="6" fillId="0" borderId="22" xfId="4" applyBorder="1" applyAlignment="1">
      <alignment horizontal="center" vertical="center"/>
    </xf>
    <xf numFmtId="0" fontId="23" fillId="5" borderId="11" xfId="0" applyFont="1" applyFill="1" applyBorder="1" applyAlignment="1">
      <alignment horizontal="center" vertical="center" wrapText="1"/>
    </xf>
    <xf numFmtId="3" fontId="6" fillId="0" borderId="2" xfId="0" applyNumberFormat="1" applyFont="1" applyBorder="1" applyAlignment="1">
      <alignment horizontal="center" vertical="center"/>
    </xf>
    <xf numFmtId="2" fontId="6" fillId="0" borderId="22" xfId="0" applyNumberFormat="1" applyFont="1" applyBorder="1" applyAlignment="1">
      <alignment horizontal="center" vertical="center"/>
    </xf>
    <xf numFmtId="0" fontId="21" fillId="0" borderId="0" xfId="0" applyFont="1" applyAlignment="1">
      <alignment horizontal="center" vertical="center"/>
    </xf>
    <xf numFmtId="0" fontId="24" fillId="3" borderId="0" xfId="0" applyFont="1" applyFill="1" applyAlignment="1">
      <alignment vertical="center" wrapText="1"/>
    </xf>
    <xf numFmtId="0" fontId="21" fillId="3" borderId="0" xfId="0" applyFont="1" applyFill="1" applyAlignment="1">
      <alignment horizontal="center" vertical="center"/>
    </xf>
    <xf numFmtId="0" fontId="18" fillId="5" borderId="25" xfId="0" applyFont="1" applyFill="1" applyBorder="1" applyAlignment="1">
      <alignment horizontal="center" vertical="center" wrapText="1"/>
    </xf>
    <xf numFmtId="168" fontId="6" fillId="0" borderId="22" xfId="6" applyNumberFormat="1" applyFont="1" applyBorder="1" applyAlignment="1">
      <alignment horizontal="center" vertical="center"/>
    </xf>
    <xf numFmtId="0" fontId="22" fillId="0" borderId="0" xfId="0" applyFont="1" applyAlignment="1">
      <alignment horizontal="left"/>
    </xf>
    <xf numFmtId="0" fontId="23" fillId="0" borderId="0" xfId="0" applyFont="1" applyAlignment="1">
      <alignment horizontal="left" vertical="center" wrapText="1"/>
    </xf>
    <xf numFmtId="0" fontId="23" fillId="0" borderId="0" xfId="0" applyFont="1" applyAlignment="1">
      <alignment horizontal="left" vertical="center"/>
    </xf>
    <xf numFmtId="0" fontId="23" fillId="0" borderId="0" xfId="0" applyFont="1" applyAlignment="1">
      <alignment horizontal="center" vertical="center" wrapText="1"/>
    </xf>
    <xf numFmtId="10" fontId="6" fillId="0" borderId="0" xfId="8" applyNumberFormat="1" applyFont="1" applyFill="1" applyBorder="1" applyAlignment="1">
      <alignment horizontal="center"/>
    </xf>
    <xf numFmtId="0" fontId="7" fillId="0" borderId="0" xfId="4" applyFont="1" applyAlignment="1">
      <alignment horizontal="center"/>
    </xf>
    <xf numFmtId="3" fontId="6" fillId="0" borderId="0" xfId="0" applyNumberFormat="1" applyFont="1" applyAlignment="1">
      <alignment horizontal="center" vertical="center"/>
    </xf>
    <xf numFmtId="3" fontId="6" fillId="0" borderId="0" xfId="0" applyNumberFormat="1" applyFont="1"/>
    <xf numFmtId="0" fontId="12" fillId="0" borderId="0" xfId="0" applyFont="1" applyAlignment="1">
      <alignment vertical="center"/>
    </xf>
    <xf numFmtId="0" fontId="25" fillId="0" borderId="0" xfId="0" applyFont="1"/>
    <xf numFmtId="0" fontId="26" fillId="2" borderId="0" xfId="0" applyFont="1" applyFill="1"/>
    <xf numFmtId="0" fontId="25" fillId="0" borderId="0" xfId="0" applyFont="1" applyAlignment="1">
      <alignment wrapText="1"/>
    </xf>
    <xf numFmtId="0" fontId="25" fillId="0" borderId="0" xfId="0" applyFont="1" applyAlignment="1">
      <alignment horizontal="center"/>
    </xf>
    <xf numFmtId="166" fontId="1" fillId="0" borderId="2" xfId="1" applyNumberFormat="1" applyBorder="1" applyAlignment="1">
      <alignment horizontal="center" vertical="center" wrapText="1"/>
    </xf>
    <xf numFmtId="0" fontId="8" fillId="0" borderId="0" xfId="5" applyAlignment="1">
      <alignment vertical="center"/>
    </xf>
    <xf numFmtId="0" fontId="6" fillId="0" borderId="0" xfId="4" applyAlignment="1">
      <alignment horizontal="center" vertical="center"/>
    </xf>
    <xf numFmtId="9" fontId="6" fillId="0" borderId="0" xfId="0" applyNumberFormat="1" applyFont="1" applyAlignment="1">
      <alignment horizontal="center"/>
    </xf>
    <xf numFmtId="9" fontId="6" fillId="0" borderId="0" xfId="0" applyNumberFormat="1" applyFont="1" applyAlignment="1">
      <alignment horizontal="left"/>
    </xf>
    <xf numFmtId="0" fontId="10" fillId="0" borderId="2" xfId="0" applyFont="1" applyBorder="1" applyAlignment="1">
      <alignment horizontal="center" vertical="center" wrapText="1"/>
    </xf>
    <xf numFmtId="10" fontId="6" fillId="0" borderId="2" xfId="0" applyNumberFormat="1" applyFont="1" applyBorder="1" applyAlignment="1">
      <alignment horizontal="center" vertical="center" wrapText="1"/>
    </xf>
    <xf numFmtId="2" fontId="1" fillId="0" borderId="2" xfId="0" applyNumberFormat="1" applyFont="1" applyBorder="1" applyAlignment="1">
      <alignment horizontal="center" vertical="center"/>
    </xf>
    <xf numFmtId="9" fontId="10" fillId="0" borderId="2" xfId="2" applyFont="1" applyBorder="1" applyAlignment="1">
      <alignment horizontal="center" vertical="center" wrapText="1"/>
    </xf>
    <xf numFmtId="3" fontId="10" fillId="0" borderId="2" xfId="0" applyNumberFormat="1" applyFont="1" applyBorder="1" applyAlignment="1">
      <alignment horizontal="center" vertical="center" wrapText="1"/>
    </xf>
    <xf numFmtId="3" fontId="1" fillId="0" borderId="2" xfId="0" applyNumberFormat="1" applyFont="1" applyBorder="1" applyAlignment="1">
      <alignment horizontal="center" vertical="center"/>
    </xf>
    <xf numFmtId="0" fontId="1" fillId="0" borderId="0" xfId="0" applyFont="1" applyAlignment="1">
      <alignment horizontal="center" vertical="center" wrapText="1"/>
    </xf>
    <xf numFmtId="0" fontId="28" fillId="0" borderId="0" xfId="0" applyFont="1"/>
    <xf numFmtId="169" fontId="28" fillId="0" borderId="0" xfId="0" applyNumberFormat="1" applyFont="1"/>
    <xf numFmtId="0" fontId="29" fillId="0" borderId="45" xfId="0" applyFont="1" applyBorder="1"/>
    <xf numFmtId="0" fontId="29" fillId="0" borderId="0" xfId="0" applyFont="1"/>
    <xf numFmtId="0" fontId="30" fillId="0" borderId="46" xfId="0" applyFont="1" applyBorder="1" applyAlignment="1">
      <alignment horizontal="right" vertical="center" wrapText="1"/>
    </xf>
    <xf numFmtId="0" fontId="29" fillId="0" borderId="0" xfId="0" applyFont="1" applyAlignment="1">
      <alignment wrapText="1"/>
    </xf>
    <xf numFmtId="0" fontId="29" fillId="0" borderId="0" xfId="0" applyFont="1" applyAlignment="1">
      <alignment horizontal="center"/>
    </xf>
    <xf numFmtId="0" fontId="30" fillId="0" borderId="0" xfId="0" applyFont="1" applyAlignment="1">
      <alignment vertical="center"/>
    </xf>
    <xf numFmtId="0" fontId="30" fillId="9" borderId="0" xfId="0" applyFont="1" applyFill="1" applyAlignment="1">
      <alignment vertical="center"/>
    </xf>
    <xf numFmtId="0" fontId="30" fillId="0" borderId="0" xfId="0" applyFont="1" applyAlignment="1">
      <alignment wrapText="1"/>
    </xf>
    <xf numFmtId="0" fontId="30" fillId="0" borderId="0" xfId="0" applyFont="1"/>
    <xf numFmtId="0" fontId="30" fillId="0" borderId="0" xfId="0" applyFont="1" applyAlignment="1">
      <alignment vertical="center" wrapText="1"/>
    </xf>
    <xf numFmtId="0" fontId="30" fillId="0" borderId="0" xfId="0" applyFont="1" applyAlignment="1">
      <alignment horizontal="center" wrapText="1"/>
    </xf>
    <xf numFmtId="0" fontId="30" fillId="0" borderId="0" xfId="0" applyFont="1" applyAlignment="1">
      <alignment horizontal="right" wrapText="1"/>
    </xf>
    <xf numFmtId="0" fontId="30" fillId="0" borderId="0" xfId="0" applyFont="1" applyAlignment="1">
      <alignment horizontal="right"/>
    </xf>
    <xf numFmtId="0" fontId="29" fillId="0" borderId="12" xfId="0" applyFont="1" applyBorder="1"/>
    <xf numFmtId="0" fontId="29" fillId="0" borderId="13" xfId="0" applyFont="1" applyBorder="1"/>
    <xf numFmtId="0" fontId="29" fillId="0" borderId="16" xfId="0" applyFont="1" applyBorder="1"/>
    <xf numFmtId="0" fontId="30" fillId="0" borderId="47" xfId="0" applyFont="1" applyBorder="1" applyAlignment="1">
      <alignment horizontal="right" vertical="center" wrapText="1"/>
    </xf>
    <xf numFmtId="0" fontId="29" fillId="0" borderId="48" xfId="0" applyFont="1" applyBorder="1"/>
    <xf numFmtId="0" fontId="30" fillId="0" borderId="18" xfId="0" applyFont="1" applyBorder="1" applyAlignment="1">
      <alignment horizontal="right" vertical="center" wrapText="1"/>
    </xf>
    <xf numFmtId="0" fontId="30" fillId="0" borderId="19" xfId="0" applyFont="1" applyBorder="1" applyAlignment="1">
      <alignment horizontal="right" vertical="center" wrapText="1"/>
    </xf>
    <xf numFmtId="2" fontId="29" fillId="0" borderId="0" xfId="0" applyNumberFormat="1" applyFont="1"/>
    <xf numFmtId="2" fontId="29" fillId="0" borderId="16" xfId="0" applyNumberFormat="1" applyFont="1" applyBorder="1"/>
    <xf numFmtId="0" fontId="29" fillId="0" borderId="46" xfId="0" applyFont="1" applyBorder="1"/>
    <xf numFmtId="0" fontId="29" fillId="0" borderId="42" xfId="0" applyFont="1" applyBorder="1" applyAlignment="1">
      <alignment horizontal="center" vertical="center"/>
    </xf>
    <xf numFmtId="0" fontId="29" fillId="0" borderId="37" xfId="0" applyFont="1" applyBorder="1" applyAlignment="1">
      <alignment horizontal="center" vertical="center"/>
    </xf>
    <xf numFmtId="0" fontId="29" fillId="0" borderId="41" xfId="0" applyFont="1" applyBorder="1" applyAlignment="1">
      <alignment horizontal="center" vertical="center"/>
    </xf>
    <xf numFmtId="0" fontId="29" fillId="0" borderId="0" xfId="0" applyFont="1" applyAlignment="1">
      <alignment vertical="center" wrapText="1"/>
    </xf>
    <xf numFmtId="0" fontId="29" fillId="0" borderId="38" xfId="0" applyFont="1" applyBorder="1" applyAlignment="1">
      <alignment horizontal="center" vertical="center"/>
    </xf>
    <xf numFmtId="0" fontId="29" fillId="0" borderId="18" xfId="0" applyFont="1" applyBorder="1"/>
    <xf numFmtId="0" fontId="7" fillId="5" borderId="51" xfId="0" applyFont="1" applyFill="1" applyBorder="1" applyAlignment="1">
      <alignment horizontal="center" vertical="center"/>
    </xf>
    <xf numFmtId="0" fontId="7" fillId="5" borderId="52" xfId="0" applyFont="1" applyFill="1" applyBorder="1" applyAlignment="1">
      <alignment horizontal="center" vertical="center" wrapText="1"/>
    </xf>
    <xf numFmtId="0" fontId="7" fillId="5" borderId="52" xfId="0" applyFont="1" applyFill="1" applyBorder="1" applyAlignment="1">
      <alignment horizontal="center" vertical="center"/>
    </xf>
    <xf numFmtId="1" fontId="6" fillId="0" borderId="51" xfId="2" applyNumberFormat="1" applyFont="1" applyFill="1" applyBorder="1" applyAlignment="1">
      <alignment horizontal="center" vertical="center"/>
    </xf>
    <xf numFmtId="1" fontId="6" fillId="0" borderId="51" xfId="0" applyNumberFormat="1" applyFont="1" applyBorder="1" applyAlignment="1">
      <alignment horizontal="center" vertical="center"/>
    </xf>
    <xf numFmtId="0" fontId="6" fillId="0" borderId="51" xfId="0" applyFont="1" applyBorder="1" applyAlignment="1">
      <alignment vertical="center" wrapText="1"/>
    </xf>
    <xf numFmtId="0" fontId="18" fillId="5" borderId="51" xfId="0" applyFont="1" applyFill="1" applyBorder="1" applyAlignment="1">
      <alignment horizontal="center" vertical="center" wrapText="1"/>
    </xf>
    <xf numFmtId="0" fontId="9" fillId="0" borderId="0" xfId="0" applyFont="1" applyAlignment="1">
      <alignment vertical="center"/>
    </xf>
    <xf numFmtId="0" fontId="11" fillId="0" borderId="0" xfId="0" applyFont="1" applyAlignment="1">
      <alignment vertical="center" wrapText="1"/>
    </xf>
    <xf numFmtId="2" fontId="6" fillId="0" borderId="0" xfId="0" applyNumberFormat="1" applyFont="1" applyAlignment="1">
      <alignment horizontal="center" vertical="center" wrapText="1"/>
    </xf>
    <xf numFmtId="0" fontId="16" fillId="0" borderId="0" xfId="0" applyFont="1" applyAlignment="1">
      <alignment vertical="center"/>
    </xf>
    <xf numFmtId="0" fontId="16" fillId="0" borderId="0" xfId="0" applyFont="1" applyAlignment="1">
      <alignment vertical="center" wrapText="1"/>
    </xf>
    <xf numFmtId="0" fontId="0" fillId="0" borderId="0" xfId="0" applyAlignment="1">
      <alignment vertical="center" wrapText="1"/>
    </xf>
    <xf numFmtId="0" fontId="9" fillId="0" borderId="0" xfId="0" applyFont="1"/>
    <xf numFmtId="2" fontId="1" fillId="0" borderId="2" xfId="0" applyNumberFormat="1" applyFont="1" applyBorder="1" applyAlignment="1">
      <alignment horizontal="center" vertical="center" wrapText="1"/>
    </xf>
    <xf numFmtId="3" fontId="7" fillId="0" borderId="0" xfId="0" applyNumberFormat="1" applyFont="1" applyAlignment="1">
      <alignment vertical="center"/>
    </xf>
    <xf numFmtId="3" fontId="6" fillId="0" borderId="0" xfId="0" applyNumberFormat="1" applyFont="1" applyAlignment="1">
      <alignment vertical="center"/>
    </xf>
    <xf numFmtId="3" fontId="6" fillId="0" borderId="0" xfId="0" applyNumberFormat="1" applyFont="1" applyAlignment="1">
      <alignment vertical="center" wrapText="1"/>
    </xf>
    <xf numFmtId="0" fontId="23" fillId="5" borderId="11" xfId="0" applyFont="1" applyFill="1" applyBorder="1" applyAlignment="1">
      <alignment horizontal="left" vertical="center" wrapText="1"/>
    </xf>
    <xf numFmtId="0" fontId="23" fillId="5" borderId="51" xfId="0" applyFont="1" applyFill="1" applyBorder="1" applyAlignment="1">
      <alignment horizontal="center" vertical="center" wrapText="1"/>
    </xf>
    <xf numFmtId="0" fontId="6" fillId="0" borderId="2" xfId="0" applyFont="1" applyBorder="1" applyAlignment="1">
      <alignment horizontal="right" vertical="center"/>
    </xf>
    <xf numFmtId="170" fontId="6" fillId="0" borderId="2" xfId="0" applyNumberFormat="1" applyFont="1" applyBorder="1" applyAlignment="1">
      <alignment vertical="center"/>
    </xf>
    <xf numFmtId="0" fontId="6" fillId="0" borderId="10" xfId="0" applyFont="1" applyBorder="1" applyAlignment="1">
      <alignment vertical="center" wrapText="1"/>
    </xf>
    <xf numFmtId="168" fontId="6" fillId="0" borderId="10" xfId="6" applyNumberFormat="1" applyFont="1" applyBorder="1" applyAlignment="1">
      <alignment horizontal="right" vertical="center"/>
    </xf>
    <xf numFmtId="170" fontId="1" fillId="0" borderId="2" xfId="0" applyNumberFormat="1" applyFont="1" applyBorder="1" applyAlignment="1">
      <alignment vertical="center"/>
    </xf>
    <xf numFmtId="168" fontId="6" fillId="0" borderId="13" xfId="6" applyNumberFormat="1" applyFont="1" applyBorder="1" applyAlignment="1">
      <alignment horizontal="right" vertical="center"/>
    </xf>
    <xf numFmtId="170" fontId="1" fillId="6" borderId="10" xfId="0" applyNumberFormat="1" applyFont="1" applyFill="1" applyBorder="1" applyAlignment="1">
      <alignment vertical="center"/>
    </xf>
    <xf numFmtId="0" fontId="0" fillId="0" borderId="0" xfId="0" applyAlignment="1">
      <alignment horizontal="left" vertical="center"/>
    </xf>
    <xf numFmtId="170" fontId="32" fillId="0" borderId="0" xfId="0" applyNumberFormat="1" applyFont="1" applyAlignment="1">
      <alignment vertical="center"/>
    </xf>
    <xf numFmtId="0" fontId="16" fillId="0" borderId="0" xfId="0" applyFont="1"/>
    <xf numFmtId="170" fontId="32" fillId="0" borderId="0" xfId="0" applyNumberFormat="1" applyFont="1"/>
    <xf numFmtId="3" fontId="6" fillId="0" borderId="0" xfId="0" applyNumberFormat="1" applyFont="1" applyAlignment="1">
      <alignment horizontal="left"/>
    </xf>
    <xf numFmtId="168" fontId="1" fillId="0" borderId="2" xfId="6" applyNumberFormat="1" applyFont="1" applyBorder="1" applyAlignment="1">
      <alignment horizontal="right" vertical="center" wrapText="1"/>
    </xf>
    <xf numFmtId="0" fontId="1" fillId="0" borderId="51" xfId="1" quotePrefix="1" applyBorder="1" applyAlignment="1">
      <alignment horizontal="center" vertical="center" wrapText="1"/>
    </xf>
    <xf numFmtId="0" fontId="33" fillId="0" borderId="22" xfId="0" applyFont="1" applyBorder="1" applyAlignment="1">
      <alignment horizontal="left" vertical="top" wrapText="1"/>
    </xf>
    <xf numFmtId="168" fontId="33" fillId="0" borderId="22" xfId="6" applyNumberFormat="1" applyFont="1" applyBorder="1" applyAlignment="1">
      <alignment horizontal="center" vertical="center" wrapText="1"/>
    </xf>
    <xf numFmtId="0" fontId="29" fillId="0" borderId="60" xfId="0" applyFont="1" applyBorder="1" applyAlignment="1">
      <alignment horizontal="center" vertical="center"/>
    </xf>
    <xf numFmtId="0" fontId="29" fillId="0" borderId="26" xfId="0" applyFont="1" applyBorder="1" applyAlignment="1">
      <alignment horizontal="center" vertical="center"/>
    </xf>
    <xf numFmtId="0" fontId="29" fillId="0" borderId="61" xfId="0" applyFont="1" applyBorder="1" applyAlignment="1">
      <alignment horizontal="center" vertical="center"/>
    </xf>
    <xf numFmtId="0" fontId="29" fillId="0" borderId="62" xfId="0" applyFont="1" applyBorder="1" applyAlignment="1">
      <alignment horizontal="center" vertical="center"/>
    </xf>
    <xf numFmtId="0" fontId="7" fillId="5" borderId="25" xfId="0" applyFont="1" applyFill="1" applyBorder="1" applyAlignment="1">
      <alignment horizontal="center" vertical="center"/>
    </xf>
    <xf numFmtId="0" fontId="18" fillId="5" borderId="11" xfId="0" applyFont="1" applyFill="1" applyBorder="1" applyAlignment="1">
      <alignment horizontal="center" vertical="center" wrapText="1"/>
    </xf>
    <xf numFmtId="2" fontId="21" fillId="0" borderId="1" xfId="0" applyNumberFormat="1" applyFont="1" applyBorder="1" applyAlignment="1">
      <alignment horizontal="center" vertical="center"/>
    </xf>
    <xf numFmtId="2" fontId="21" fillId="0" borderId="5" xfId="0" applyNumberFormat="1" applyFont="1" applyBorder="1" applyAlignment="1">
      <alignment horizontal="center" vertical="center"/>
    </xf>
    <xf numFmtId="2" fontId="21" fillId="0" borderId="2" xfId="0" applyNumberFormat="1" applyFont="1" applyBorder="1" applyAlignment="1">
      <alignment horizontal="center" vertical="center"/>
    </xf>
    <xf numFmtId="2" fontId="21" fillId="0" borderId="6" xfId="0" applyNumberFormat="1" applyFont="1" applyBorder="1" applyAlignment="1">
      <alignment horizontal="center" vertical="center"/>
    </xf>
    <xf numFmtId="2" fontId="21" fillId="0" borderId="28" xfId="0" applyNumberFormat="1" applyFont="1" applyBorder="1" applyAlignment="1">
      <alignment horizontal="center" vertical="center"/>
    </xf>
    <xf numFmtId="2" fontId="21" fillId="0" borderId="8" xfId="0" applyNumberFormat="1" applyFont="1" applyBorder="1" applyAlignment="1">
      <alignment horizontal="center" vertical="center"/>
    </xf>
    <xf numFmtId="2" fontId="21" fillId="0" borderId="11" xfId="0" applyNumberFormat="1" applyFont="1" applyBorder="1" applyAlignment="1">
      <alignment horizontal="center" vertical="center"/>
    </xf>
    <xf numFmtId="2" fontId="21" fillId="0" borderId="63" xfId="0" applyNumberFormat="1" applyFont="1" applyBorder="1" applyAlignment="1">
      <alignment horizontal="center" vertical="center"/>
    </xf>
    <xf numFmtId="0" fontId="8" fillId="0" borderId="0" xfId="5" applyAlignment="1">
      <alignment horizontal="left"/>
    </xf>
    <xf numFmtId="0" fontId="13" fillId="0" borderId="0" xfId="0" applyFont="1"/>
    <xf numFmtId="0" fontId="1" fillId="0" borderId="2" xfId="0" applyFont="1" applyBorder="1" applyAlignment="1">
      <alignment horizontal="center" vertical="center" wrapText="1"/>
    </xf>
    <xf numFmtId="0" fontId="6" fillId="0" borderId="46" xfId="0" applyFont="1" applyBorder="1"/>
    <xf numFmtId="0" fontId="16" fillId="0" borderId="46" xfId="0" applyFont="1" applyBorder="1" applyAlignment="1">
      <alignment horizontal="right" vertical="center" wrapText="1"/>
    </xf>
    <xf numFmtId="0" fontId="16" fillId="0" borderId="47" xfId="0" applyFont="1" applyBorder="1" applyAlignment="1">
      <alignment horizontal="right" vertical="center" wrapText="1"/>
    </xf>
    <xf numFmtId="0" fontId="25" fillId="0" borderId="0" xfId="0" applyFont="1" applyAlignment="1">
      <alignment vertical="center"/>
    </xf>
    <xf numFmtId="3" fontId="6" fillId="0" borderId="51" xfId="2" applyNumberFormat="1" applyFont="1" applyFill="1" applyBorder="1" applyAlignment="1">
      <alignment horizontal="center" vertical="center"/>
    </xf>
    <xf numFmtId="10" fontId="6" fillId="0" borderId="51" xfId="2" applyNumberFormat="1" applyFont="1" applyFill="1" applyBorder="1" applyAlignment="1">
      <alignment horizontal="center" vertical="center"/>
    </xf>
    <xf numFmtId="0" fontId="6" fillId="0" borderId="51" xfId="0" applyFont="1" applyBorder="1" applyAlignment="1">
      <alignment vertical="center"/>
    </xf>
    <xf numFmtId="0" fontId="11" fillId="0" borderId="0" xfId="0" applyFont="1" applyAlignment="1">
      <alignment vertical="center"/>
    </xf>
    <xf numFmtId="3" fontId="6" fillId="0" borderId="51" xfId="6" applyNumberFormat="1" applyFont="1" applyFill="1" applyBorder="1" applyAlignment="1">
      <alignment horizontal="center" vertical="center"/>
    </xf>
    <xf numFmtId="1" fontId="10" fillId="0" borderId="59" xfId="3" applyNumberFormat="1" applyFont="1" applyBorder="1" applyAlignment="1">
      <alignment horizontal="center" vertical="center" wrapText="1"/>
    </xf>
    <xf numFmtId="0" fontId="6" fillId="0" borderId="2" xfId="0" applyFont="1" applyBorder="1" applyAlignment="1">
      <alignment horizontal="left" vertical="center"/>
    </xf>
    <xf numFmtId="0" fontId="8" fillId="0" borderId="0" xfId="5" applyBorder="1" applyAlignment="1">
      <alignment horizontal="left"/>
    </xf>
    <xf numFmtId="9" fontId="6" fillId="0" borderId="0" xfId="0" applyNumberFormat="1" applyFont="1" applyAlignment="1">
      <alignment horizontal="center" vertical="center"/>
    </xf>
    <xf numFmtId="0" fontId="8" fillId="0" borderId="0" xfId="5" applyBorder="1" applyAlignment="1">
      <alignment horizontal="left" vertical="top"/>
    </xf>
    <xf numFmtId="3" fontId="6" fillId="0" borderId="59" xfId="0" applyNumberFormat="1" applyFont="1" applyBorder="1" applyAlignment="1">
      <alignment horizontal="center"/>
    </xf>
    <xf numFmtId="0" fontId="1" fillId="0" borderId="0" xfId="0" applyFont="1" applyAlignment="1">
      <alignment horizontal="center" vertical="center"/>
    </xf>
    <xf numFmtId="0" fontId="14" fillId="2" borderId="0" xfId="0" applyFont="1" applyFill="1"/>
    <xf numFmtId="0" fontId="14" fillId="2" borderId="0" xfId="0" applyFont="1" applyFill="1" applyAlignment="1">
      <alignment wrapText="1"/>
    </xf>
    <xf numFmtId="0" fontId="14" fillId="2" borderId="0" xfId="0" applyFont="1" applyFill="1" applyAlignment="1">
      <alignment horizontal="left"/>
    </xf>
    <xf numFmtId="0" fontId="14" fillId="2" borderId="0" xfId="0" applyFont="1" applyFill="1" applyAlignment="1">
      <alignment horizontal="center"/>
    </xf>
    <xf numFmtId="0" fontId="11" fillId="0" borderId="0" xfId="0" applyFont="1" applyAlignment="1">
      <alignment wrapText="1"/>
    </xf>
    <xf numFmtId="0" fontId="11" fillId="0" borderId="0" xfId="0" applyFont="1" applyAlignment="1">
      <alignment horizontal="center"/>
    </xf>
    <xf numFmtId="0" fontId="10" fillId="0" borderId="2" xfId="3" applyFont="1" applyBorder="1" applyAlignment="1">
      <alignment horizontal="center" vertical="center" wrapText="1"/>
    </xf>
    <xf numFmtId="0" fontId="10" fillId="0" borderId="2" xfId="3" applyFont="1" applyFill="1" applyBorder="1" applyAlignment="1">
      <alignment horizontal="center" vertical="center" wrapText="1"/>
    </xf>
    <xf numFmtId="0" fontId="7" fillId="5" borderId="51" xfId="0" applyFont="1" applyFill="1" applyBorder="1" applyAlignment="1">
      <alignment horizontal="center" vertical="center" wrapText="1"/>
    </xf>
    <xf numFmtId="0" fontId="21" fillId="0" borderId="69" xfId="0" applyFont="1" applyBorder="1" applyAlignment="1">
      <alignment horizontal="center" vertical="center"/>
    </xf>
    <xf numFmtId="0" fontId="21" fillId="0" borderId="10" xfId="0" applyFont="1" applyBorder="1" applyAlignment="1">
      <alignment horizontal="center" vertical="center"/>
    </xf>
    <xf numFmtId="0" fontId="21" fillId="0" borderId="70" xfId="0" applyFont="1" applyBorder="1" applyAlignment="1">
      <alignment horizontal="center" vertical="center"/>
    </xf>
    <xf numFmtId="0" fontId="21" fillId="0" borderId="13" xfId="0" applyFont="1" applyBorder="1" applyAlignment="1">
      <alignment horizontal="center" vertical="center"/>
    </xf>
    <xf numFmtId="0" fontId="6" fillId="0" borderId="51" xfId="4" applyBorder="1" applyAlignment="1">
      <alignment horizontal="center" vertical="center"/>
    </xf>
    <xf numFmtId="9" fontId="6" fillId="0" borderId="51" xfId="0" applyNumberFormat="1" applyFont="1" applyBorder="1" applyAlignment="1">
      <alignment horizontal="center"/>
    </xf>
    <xf numFmtId="2" fontId="6" fillId="0" borderId="2" xfId="0" applyNumberFormat="1" applyFont="1" applyBorder="1" applyAlignment="1">
      <alignment horizontal="center" vertical="center" wrapText="1"/>
    </xf>
    <xf numFmtId="0" fontId="18" fillId="5" borderId="2" xfId="0" applyFont="1" applyFill="1" applyBorder="1" applyAlignment="1">
      <alignment horizontal="center" vertical="center" wrapText="1"/>
    </xf>
    <xf numFmtId="167" fontId="1" fillId="4" borderId="51" xfId="0" applyNumberFormat="1" applyFont="1" applyFill="1" applyBorder="1" applyAlignment="1">
      <alignment horizontal="center" vertical="center" wrapText="1"/>
    </xf>
    <xf numFmtId="0" fontId="7" fillId="5" borderId="11" xfId="0" applyFont="1" applyFill="1" applyBorder="1" applyAlignment="1">
      <alignment vertical="center"/>
    </xf>
    <xf numFmtId="0" fontId="21" fillId="0" borderId="19" xfId="0" applyFont="1" applyBorder="1" applyAlignment="1">
      <alignment horizontal="center" vertical="center"/>
    </xf>
    <xf numFmtId="2" fontId="21" fillId="0" borderId="17" xfId="0" applyNumberFormat="1" applyFont="1" applyBorder="1" applyAlignment="1">
      <alignment horizontal="center" vertical="center"/>
    </xf>
    <xf numFmtId="2" fontId="21" fillId="0" borderId="88" xfId="0" applyNumberFormat="1" applyFont="1" applyBorder="1" applyAlignment="1">
      <alignment horizontal="center" vertical="center"/>
    </xf>
    <xf numFmtId="0" fontId="21" fillId="0" borderId="91" xfId="0" applyFont="1" applyBorder="1" applyAlignment="1">
      <alignment horizontal="center" vertical="center"/>
    </xf>
    <xf numFmtId="165" fontId="36" fillId="0" borderId="82" xfId="0" applyNumberFormat="1" applyFont="1" applyBorder="1" applyAlignment="1">
      <alignment horizontal="center" vertical="center"/>
    </xf>
    <xf numFmtId="165" fontId="36" fillId="0" borderId="92" xfId="0" applyNumberFormat="1" applyFont="1" applyBorder="1" applyAlignment="1">
      <alignment horizontal="center" vertical="center"/>
    </xf>
    <xf numFmtId="0" fontId="21" fillId="0" borderId="58" xfId="0" applyFont="1" applyBorder="1" applyAlignment="1">
      <alignment horizontal="center" vertical="center"/>
    </xf>
    <xf numFmtId="165" fontId="36" fillId="0" borderId="51" xfId="0" applyNumberFormat="1" applyFont="1" applyBorder="1" applyAlignment="1">
      <alignment horizontal="center" vertical="center"/>
    </xf>
    <xf numFmtId="165" fontId="36" fillId="0" borderId="94" xfId="0" applyNumberFormat="1" applyFont="1" applyBorder="1" applyAlignment="1">
      <alignment horizontal="center" vertical="center"/>
    </xf>
    <xf numFmtId="0" fontId="21" fillId="0" borderId="98" xfId="0" applyFont="1" applyBorder="1" applyAlignment="1">
      <alignment horizontal="center" vertical="center"/>
    </xf>
    <xf numFmtId="165" fontId="36" fillId="0" borderId="83" xfId="0" applyNumberFormat="1" applyFont="1" applyBorder="1" applyAlignment="1">
      <alignment horizontal="center" vertical="center"/>
    </xf>
    <xf numFmtId="165" fontId="36" fillId="0" borderId="99" xfId="0" applyNumberFormat="1" applyFont="1" applyBorder="1" applyAlignment="1">
      <alignment horizontal="center" vertical="center"/>
    </xf>
    <xf numFmtId="0" fontId="21" fillId="0" borderId="102" xfId="0" applyFont="1" applyBorder="1" applyAlignment="1">
      <alignment horizontal="center" vertical="center"/>
    </xf>
    <xf numFmtId="1" fontId="36" fillId="0" borderId="54" xfId="0" applyNumberFormat="1" applyFont="1" applyBorder="1" applyAlignment="1">
      <alignment horizontal="center" vertical="center"/>
    </xf>
    <xf numFmtId="1" fontId="36" fillId="0" borderId="76" xfId="0" applyNumberFormat="1" applyFont="1" applyBorder="1" applyAlignment="1">
      <alignment horizontal="center" vertical="center"/>
    </xf>
    <xf numFmtId="1" fontId="36" fillId="0" borderId="51" xfId="0" applyNumberFormat="1" applyFont="1" applyBorder="1" applyAlignment="1">
      <alignment horizontal="center" vertical="center"/>
    </xf>
    <xf numFmtId="1" fontId="36" fillId="0" borderId="73" xfId="0" applyNumberFormat="1" applyFont="1" applyBorder="1" applyAlignment="1">
      <alignment horizontal="center" vertical="center"/>
    </xf>
    <xf numFmtId="0" fontId="21" fillId="0" borderId="80" xfId="0" applyFont="1" applyBorder="1" applyAlignment="1">
      <alignment horizontal="center" vertical="center"/>
    </xf>
    <xf numFmtId="1" fontId="36" fillId="0" borderId="74" xfId="0" applyNumberFormat="1" applyFont="1" applyBorder="1" applyAlignment="1">
      <alignment horizontal="center" vertical="center"/>
    </xf>
    <xf numFmtId="1" fontId="36" fillId="0" borderId="75" xfId="0" applyNumberFormat="1" applyFont="1" applyBorder="1" applyAlignment="1">
      <alignment horizontal="center" vertical="center"/>
    </xf>
    <xf numFmtId="0" fontId="21" fillId="0" borderId="79" xfId="0" applyFont="1" applyBorder="1" applyAlignment="1">
      <alignment horizontal="center" vertical="center"/>
    </xf>
    <xf numFmtId="1" fontId="36" fillId="0" borderId="71" xfId="0" applyNumberFormat="1" applyFont="1" applyBorder="1" applyAlignment="1">
      <alignment horizontal="center" vertical="center"/>
    </xf>
    <xf numFmtId="1" fontId="36" fillId="0" borderId="72" xfId="0" applyNumberFormat="1" applyFont="1" applyBorder="1" applyAlignment="1">
      <alignment horizontal="center" vertical="center"/>
    </xf>
    <xf numFmtId="0" fontId="6" fillId="0" borderId="0" xfId="0" quotePrefix="1" applyFont="1" applyAlignment="1">
      <alignment horizontal="center" vertical="center"/>
    </xf>
    <xf numFmtId="0" fontId="29" fillId="0" borderId="0" xfId="0" applyFont="1" applyAlignment="1">
      <alignment horizontal="center" vertical="center"/>
    </xf>
    <xf numFmtId="0" fontId="23" fillId="8" borderId="2" xfId="0" applyFont="1" applyFill="1" applyBorder="1" applyAlignment="1">
      <alignment horizontal="center" vertical="center"/>
    </xf>
    <xf numFmtId="0" fontId="21" fillId="0" borderId="16" xfId="0" applyFont="1" applyBorder="1" applyAlignment="1">
      <alignment horizontal="center" vertical="center"/>
    </xf>
    <xf numFmtId="2" fontId="21" fillId="0" borderId="14" xfId="0" applyNumberFormat="1" applyFont="1" applyBorder="1" applyAlignment="1">
      <alignment horizontal="center" vertical="center"/>
    </xf>
    <xf numFmtId="2" fontId="21" fillId="0" borderId="111" xfId="0" applyNumberFormat="1" applyFont="1" applyBorder="1" applyAlignment="1">
      <alignment horizontal="center" vertical="center"/>
    </xf>
    <xf numFmtId="165" fontId="21" fillId="3" borderId="0" xfId="0" applyNumberFormat="1" applyFont="1" applyFill="1" applyAlignment="1">
      <alignment horizontal="center" vertical="center"/>
    </xf>
    <xf numFmtId="2" fontId="21" fillId="0" borderId="68" xfId="0" applyNumberFormat="1" applyFont="1" applyBorder="1" applyAlignment="1">
      <alignment horizontal="center" vertical="center"/>
    </xf>
    <xf numFmtId="2" fontId="21" fillId="0" borderId="115" xfId="0" applyNumberFormat="1" applyFont="1" applyBorder="1" applyAlignment="1">
      <alignment horizontal="center" vertical="center"/>
    </xf>
    <xf numFmtId="167" fontId="21" fillId="0" borderId="0" xfId="0" applyNumberFormat="1" applyFont="1" applyAlignment="1">
      <alignment horizontal="center" vertical="center"/>
    </xf>
    <xf numFmtId="2" fontId="21" fillId="0" borderId="65" xfId="0" applyNumberFormat="1" applyFont="1" applyBorder="1" applyAlignment="1">
      <alignment horizontal="center" vertical="center"/>
    </xf>
    <xf numFmtId="2" fontId="21" fillId="0" borderId="117" xfId="0" applyNumberFormat="1" applyFont="1" applyBorder="1" applyAlignment="1">
      <alignment horizontal="center" vertical="center"/>
    </xf>
    <xf numFmtId="2" fontId="21" fillId="0" borderId="66" xfId="0" applyNumberFormat="1" applyFont="1" applyBorder="1" applyAlignment="1">
      <alignment horizontal="center" vertical="center"/>
    </xf>
    <xf numFmtId="2" fontId="21" fillId="0" borderId="119" xfId="0" applyNumberFormat="1" applyFont="1" applyBorder="1" applyAlignment="1">
      <alignment horizontal="center" vertical="center"/>
    </xf>
    <xf numFmtId="2" fontId="21" fillId="0" borderId="121" xfId="0" applyNumberFormat="1" applyFont="1" applyBorder="1" applyAlignment="1">
      <alignment horizontal="center" vertical="center"/>
    </xf>
    <xf numFmtId="2" fontId="21" fillId="0" borderId="122" xfId="0" applyNumberFormat="1" applyFont="1" applyBorder="1" applyAlignment="1">
      <alignment horizontal="center" vertical="center"/>
    </xf>
    <xf numFmtId="2" fontId="21" fillId="0" borderId="123" xfId="0" applyNumberFormat="1" applyFont="1" applyBorder="1" applyAlignment="1">
      <alignment horizontal="center" vertical="center"/>
    </xf>
    <xf numFmtId="2" fontId="21" fillId="0" borderId="124" xfId="0" applyNumberFormat="1" applyFont="1" applyBorder="1" applyAlignment="1">
      <alignment horizontal="center" vertical="center"/>
    </xf>
    <xf numFmtId="0" fontId="21" fillId="0" borderId="125" xfId="0" applyFont="1" applyBorder="1" applyAlignment="1">
      <alignment horizontal="center" vertical="center"/>
    </xf>
    <xf numFmtId="2" fontId="21" fillId="0" borderId="71" xfId="0" applyNumberFormat="1" applyFont="1" applyBorder="1" applyAlignment="1">
      <alignment horizontal="center" vertical="center"/>
    </xf>
    <xf numFmtId="2" fontId="21" fillId="0" borderId="72" xfId="0" applyNumberFormat="1" applyFont="1" applyBorder="1" applyAlignment="1">
      <alignment horizontal="center" vertical="center"/>
    </xf>
    <xf numFmtId="0" fontId="21" fillId="0" borderId="126" xfId="0" applyFont="1" applyBorder="1" applyAlignment="1">
      <alignment horizontal="center" vertical="center"/>
    </xf>
    <xf numFmtId="2" fontId="21" fillId="0" borderId="51" xfId="0" applyNumberFormat="1" applyFont="1" applyBorder="1" applyAlignment="1">
      <alignment horizontal="center" vertical="center"/>
    </xf>
    <xf numFmtId="2" fontId="21" fillId="0" borderId="73" xfId="0" applyNumberFormat="1" applyFont="1" applyBorder="1" applyAlignment="1">
      <alignment horizontal="center" vertical="center"/>
    </xf>
    <xf numFmtId="0" fontId="21" fillId="0" borderId="127" xfId="0" applyFont="1" applyBorder="1" applyAlignment="1">
      <alignment horizontal="center" vertical="center"/>
    </xf>
    <xf numFmtId="2" fontId="21" fillId="0" borderId="74" xfId="0" applyNumberFormat="1" applyFont="1" applyBorder="1" applyAlignment="1">
      <alignment horizontal="center" vertical="center"/>
    </xf>
    <xf numFmtId="2" fontId="21" fillId="0" borderId="75" xfId="0" applyNumberFormat="1" applyFont="1" applyBorder="1" applyAlignment="1">
      <alignment horizontal="center" vertical="center"/>
    </xf>
    <xf numFmtId="0" fontId="21" fillId="0" borderId="130" xfId="0" applyFont="1" applyBorder="1" applyAlignment="1">
      <alignment horizontal="center" vertical="center"/>
    </xf>
    <xf numFmtId="0" fontId="21" fillId="0" borderId="133" xfId="0" applyFont="1" applyBorder="1" applyAlignment="1">
      <alignment horizontal="center" vertical="center"/>
    </xf>
    <xf numFmtId="0" fontId="21" fillId="0" borderId="135" xfId="0" applyFont="1" applyBorder="1" applyAlignment="1">
      <alignment horizontal="center" vertical="center"/>
    </xf>
    <xf numFmtId="0" fontId="21" fillId="0" borderId="138" xfId="0" applyFont="1" applyBorder="1" applyAlignment="1">
      <alignment horizontal="center" vertical="center"/>
    </xf>
    <xf numFmtId="1" fontId="21" fillId="0" borderId="1" xfId="0" applyNumberFormat="1" applyFont="1" applyBorder="1" applyAlignment="1">
      <alignment horizontal="center" vertical="center"/>
    </xf>
    <xf numFmtId="1" fontId="21" fillId="0" borderId="71" xfId="0" applyNumberFormat="1" applyFont="1" applyBorder="1" applyAlignment="1">
      <alignment horizontal="center" vertical="center"/>
    </xf>
    <xf numFmtId="1" fontId="21" fillId="0" borderId="72" xfId="0" applyNumberFormat="1" applyFont="1" applyBorder="1" applyAlignment="1">
      <alignment horizontal="center" vertical="center"/>
    </xf>
    <xf numFmtId="1" fontId="21" fillId="0" borderId="51" xfId="0" applyNumberFormat="1" applyFont="1" applyBorder="1" applyAlignment="1">
      <alignment horizontal="center" vertical="center"/>
    </xf>
    <xf numFmtId="1" fontId="21" fillId="0" borderId="73" xfId="0" applyNumberFormat="1" applyFont="1" applyBorder="1" applyAlignment="1">
      <alignment horizontal="center" vertical="center"/>
    </xf>
    <xf numFmtId="1" fontId="21" fillId="0" borderId="74" xfId="0" applyNumberFormat="1" applyFont="1" applyBorder="1" applyAlignment="1">
      <alignment horizontal="center" vertical="center"/>
    </xf>
    <xf numFmtId="1" fontId="21" fillId="0" borderId="75" xfId="0" applyNumberFormat="1" applyFont="1" applyBorder="1" applyAlignment="1">
      <alignment horizontal="center" vertical="center"/>
    </xf>
    <xf numFmtId="1" fontId="21" fillId="0" borderId="2" xfId="0" applyNumberFormat="1" applyFont="1" applyBorder="1" applyAlignment="1">
      <alignment horizontal="center" vertical="center"/>
    </xf>
    <xf numFmtId="1" fontId="21" fillId="0" borderId="5" xfId="0" applyNumberFormat="1" applyFont="1" applyBorder="1" applyAlignment="1">
      <alignment horizontal="center" vertical="center"/>
    </xf>
    <xf numFmtId="1" fontId="21" fillId="0" borderId="6" xfId="0" applyNumberFormat="1" applyFont="1" applyBorder="1" applyAlignment="1">
      <alignment horizontal="center" vertical="center"/>
    </xf>
    <xf numFmtId="1" fontId="21" fillId="0" borderId="28" xfId="0" applyNumberFormat="1" applyFont="1" applyBorder="1" applyAlignment="1">
      <alignment horizontal="center" vertical="center"/>
    </xf>
    <xf numFmtId="1" fontId="21" fillId="0" borderId="8" xfId="0" applyNumberFormat="1" applyFont="1" applyBorder="1" applyAlignment="1">
      <alignment horizontal="center" vertical="center"/>
    </xf>
    <xf numFmtId="0" fontId="6" fillId="0" borderId="2" xfId="0" applyFont="1" applyBorder="1" applyAlignment="1">
      <alignment horizontal="left" vertical="center" wrapText="1"/>
    </xf>
    <xf numFmtId="3" fontId="11" fillId="0" borderId="2" xfId="0" applyNumberFormat="1" applyFont="1" applyBorder="1" applyAlignment="1">
      <alignment horizontal="center" vertical="center"/>
    </xf>
    <xf numFmtId="0" fontId="6" fillId="0" borderId="17" xfId="0" applyFont="1" applyBorder="1" applyAlignment="1">
      <alignment horizontal="center" vertical="center" wrapText="1"/>
    </xf>
    <xf numFmtId="0" fontId="6" fillId="0" borderId="11" xfId="0" applyFont="1" applyBorder="1" applyAlignment="1">
      <alignment horizontal="center" vertical="center"/>
    </xf>
    <xf numFmtId="0" fontId="36" fillId="0" borderId="114" xfId="0" applyFont="1" applyBorder="1" applyAlignment="1">
      <alignment horizontal="center" vertical="center"/>
    </xf>
    <xf numFmtId="2" fontId="36" fillId="0" borderId="68" xfId="0" applyNumberFormat="1" applyFont="1" applyBorder="1" applyAlignment="1">
      <alignment horizontal="center" vertical="center"/>
    </xf>
    <xf numFmtId="0" fontId="36" fillId="0" borderId="116" xfId="0" applyFont="1" applyBorder="1" applyAlignment="1">
      <alignment horizontal="center" vertical="center"/>
    </xf>
    <xf numFmtId="2" fontId="36" fillId="0" borderId="65" xfId="0" applyNumberFormat="1" applyFont="1" applyBorder="1" applyAlignment="1">
      <alignment horizontal="center" vertical="center"/>
    </xf>
    <xf numFmtId="0" fontId="36" fillId="0" borderId="118" xfId="0" applyFont="1" applyBorder="1" applyAlignment="1">
      <alignment horizontal="center" vertical="center"/>
    </xf>
    <xf numFmtId="2" fontId="36" fillId="0" borderId="66" xfId="0" applyNumberFormat="1" applyFont="1" applyBorder="1" applyAlignment="1">
      <alignment horizontal="center" vertical="center"/>
    </xf>
    <xf numFmtId="0" fontId="36" fillId="0" borderId="120" xfId="0" applyFont="1" applyBorder="1" applyAlignment="1">
      <alignment horizontal="center" vertical="center"/>
    </xf>
    <xf numFmtId="2" fontId="36" fillId="0" borderId="121" xfId="0" applyNumberFormat="1" applyFont="1" applyBorder="1" applyAlignment="1">
      <alignment horizontal="center" vertical="center"/>
    </xf>
    <xf numFmtId="2" fontId="36" fillId="0" borderId="2" xfId="0" applyNumberFormat="1" applyFont="1" applyBorder="1" applyAlignment="1">
      <alignment horizontal="center" vertical="center"/>
    </xf>
    <xf numFmtId="2" fontId="36" fillId="0" borderId="11" xfId="0" applyNumberFormat="1" applyFont="1" applyBorder="1" applyAlignment="1">
      <alignment horizontal="center" vertical="center"/>
    </xf>
    <xf numFmtId="0" fontId="36" fillId="0" borderId="125" xfId="0" applyFont="1" applyBorder="1" applyAlignment="1">
      <alignment horizontal="center" vertical="center"/>
    </xf>
    <xf numFmtId="2" fontId="36" fillId="0" borderId="71" xfId="0" applyNumberFormat="1" applyFont="1" applyBorder="1" applyAlignment="1">
      <alignment horizontal="center" vertical="center"/>
    </xf>
    <xf numFmtId="0" fontId="36" fillId="0" borderId="126" xfId="0" applyFont="1" applyBorder="1" applyAlignment="1">
      <alignment horizontal="center" vertical="center"/>
    </xf>
    <xf numFmtId="2" fontId="36" fillId="0" borderId="51" xfId="0" applyNumberFormat="1" applyFont="1" applyBorder="1" applyAlignment="1">
      <alignment horizontal="center" vertical="center"/>
    </xf>
    <xf numFmtId="0" fontId="36" fillId="0" borderId="127" xfId="0" applyFont="1" applyBorder="1" applyAlignment="1">
      <alignment horizontal="center" vertical="center"/>
    </xf>
    <xf numFmtId="2" fontId="36" fillId="0" borderId="74" xfId="0" applyNumberFormat="1" applyFont="1" applyBorder="1" applyAlignment="1">
      <alignment horizontal="center" vertical="center"/>
    </xf>
    <xf numFmtId="0" fontId="6" fillId="0" borderId="1" xfId="0" applyFont="1" applyBorder="1" applyAlignment="1">
      <alignment horizontal="center" vertical="center" wrapText="1"/>
    </xf>
    <xf numFmtId="0" fontId="1" fillId="0" borderId="153" xfId="0" applyFont="1" applyBorder="1" applyAlignment="1">
      <alignment horizontal="center" vertical="center" wrapText="1"/>
    </xf>
    <xf numFmtId="0" fontId="6" fillId="0" borderId="1" xfId="0" applyFont="1" applyBorder="1" applyAlignment="1">
      <alignment horizontal="center" vertical="center"/>
    </xf>
    <xf numFmtId="0" fontId="1" fillId="0" borderId="5" xfId="0" applyFont="1" applyBorder="1" applyAlignment="1">
      <alignment horizontal="center" vertical="center"/>
    </xf>
    <xf numFmtId="0" fontId="6" fillId="0" borderId="28" xfId="0" applyFont="1" applyBorder="1" applyAlignment="1">
      <alignment horizontal="center" vertical="center" wrapText="1"/>
    </xf>
    <xf numFmtId="0" fontId="1" fillId="0" borderId="28" xfId="0" applyFont="1" applyBorder="1" applyAlignment="1">
      <alignment horizontal="center" vertical="center" wrapText="1"/>
    </xf>
    <xf numFmtId="0" fontId="6" fillId="0" borderId="28" xfId="0" applyFont="1" applyBorder="1" applyAlignment="1">
      <alignment horizontal="center" vertical="center"/>
    </xf>
    <xf numFmtId="0" fontId="1" fillId="0" borderId="8" xfId="0" applyFont="1" applyBorder="1" applyAlignment="1">
      <alignment horizontal="center" vertical="center"/>
    </xf>
    <xf numFmtId="0" fontId="6" fillId="0" borderId="154" xfId="0" applyFont="1" applyBorder="1" applyAlignment="1">
      <alignment horizontal="center" vertical="center" wrapText="1"/>
    </xf>
    <xf numFmtId="0" fontId="37" fillId="3" borderId="0" xfId="0" applyFont="1" applyFill="1" applyAlignment="1">
      <alignment horizontal="center" vertical="center"/>
    </xf>
    <xf numFmtId="1" fontId="21" fillId="0" borderId="0" xfId="0" applyNumberFormat="1" applyFont="1" applyAlignment="1">
      <alignment horizontal="center" vertical="center"/>
    </xf>
    <xf numFmtId="0" fontId="6" fillId="0" borderId="0" xfId="0" applyFont="1" applyAlignment="1">
      <alignment horizontal="left" vertical="center"/>
    </xf>
    <xf numFmtId="0" fontId="41" fillId="0" borderId="0" xfId="0" applyFont="1" applyAlignment="1">
      <alignment wrapText="1"/>
    </xf>
    <xf numFmtId="0" fontId="42" fillId="0" borderId="0" xfId="5" applyFont="1" applyAlignment="1">
      <alignment horizontal="left" wrapText="1"/>
    </xf>
    <xf numFmtId="0" fontId="41" fillId="0" borderId="2" xfId="0" applyFont="1" applyBorder="1" applyAlignment="1">
      <alignment vertical="center" wrapText="1"/>
    </xf>
    <xf numFmtId="0" fontId="41" fillId="0" borderId="2" xfId="0" applyFont="1" applyBorder="1" applyAlignment="1">
      <alignment horizontal="left" vertical="center"/>
    </xf>
    <xf numFmtId="3" fontId="41" fillId="0" borderId="2" xfId="7" applyNumberFormat="1" applyFont="1" applyBorder="1" applyAlignment="1">
      <alignment horizontal="center" vertical="center"/>
    </xf>
    <xf numFmtId="0" fontId="41" fillId="0" borderId="2" xfId="0" applyFont="1" applyBorder="1" applyAlignment="1">
      <alignment horizontal="center" vertical="center"/>
    </xf>
    <xf numFmtId="0" fontId="41" fillId="0" borderId="2" xfId="3" applyFont="1" applyFill="1" applyBorder="1" applyAlignment="1">
      <alignment horizontal="center" vertical="center" wrapText="1"/>
    </xf>
    <xf numFmtId="0" fontId="41" fillId="0" borderId="51" xfId="0" applyFont="1" applyBorder="1" applyAlignment="1">
      <alignment vertical="center" wrapText="1"/>
    </xf>
    <xf numFmtId="10" fontId="41" fillId="0" borderId="51" xfId="2" applyNumberFormat="1" applyFont="1" applyFill="1" applyBorder="1" applyAlignment="1">
      <alignment horizontal="center" vertical="center" wrapText="1"/>
    </xf>
    <xf numFmtId="165" fontId="41" fillId="0" borderId="51" xfId="0" applyNumberFormat="1" applyFont="1" applyBorder="1" applyAlignment="1">
      <alignment horizontal="center" vertical="center"/>
    </xf>
    <xf numFmtId="2" fontId="41" fillId="0" borderId="2" xfId="0" applyNumberFormat="1" applyFont="1" applyBorder="1" applyAlignment="1">
      <alignment horizontal="center" vertical="center" wrapText="1"/>
    </xf>
    <xf numFmtId="0" fontId="41" fillId="0" borderId="11" xfId="0" applyFont="1" applyBorder="1" applyAlignment="1">
      <alignment vertical="center"/>
    </xf>
    <xf numFmtId="0" fontId="41" fillId="0" borderId="13" xfId="0" applyFont="1" applyBorder="1" applyAlignment="1">
      <alignment vertical="center" wrapText="1"/>
    </xf>
    <xf numFmtId="1" fontId="45" fillId="0" borderId="1" xfId="0" applyNumberFormat="1" applyFont="1" applyBorder="1" applyAlignment="1">
      <alignment horizontal="center" vertical="center"/>
    </xf>
    <xf numFmtId="1" fontId="45" fillId="0" borderId="5" xfId="0" applyNumberFormat="1" applyFont="1" applyBorder="1" applyAlignment="1">
      <alignment horizontal="center" vertical="center"/>
    </xf>
    <xf numFmtId="1" fontId="45" fillId="0" borderId="2" xfId="0" applyNumberFormat="1" applyFont="1" applyBorder="1" applyAlignment="1">
      <alignment horizontal="center" vertical="center"/>
    </xf>
    <xf numFmtId="1" fontId="45" fillId="0" borderId="6" xfId="0" applyNumberFormat="1" applyFont="1" applyBorder="1" applyAlignment="1">
      <alignment horizontal="center" vertical="center"/>
    </xf>
    <xf numFmtId="1" fontId="45" fillId="0" borderId="28" xfId="0" applyNumberFormat="1" applyFont="1" applyBorder="1" applyAlignment="1">
      <alignment horizontal="center" vertical="center"/>
    </xf>
    <xf numFmtId="1" fontId="45" fillId="0" borderId="8" xfId="0" applyNumberFormat="1" applyFont="1" applyBorder="1" applyAlignment="1">
      <alignment horizontal="center" vertical="center"/>
    </xf>
    <xf numFmtId="1" fontId="45" fillId="0" borderId="11" xfId="0" applyNumberFormat="1" applyFont="1" applyBorder="1" applyAlignment="1">
      <alignment horizontal="center" vertical="center"/>
    </xf>
    <xf numFmtId="1" fontId="45" fillId="0" borderId="63" xfId="0" applyNumberFormat="1" applyFont="1" applyBorder="1" applyAlignment="1">
      <alignment horizontal="center" vertical="center"/>
    </xf>
    <xf numFmtId="0" fontId="10" fillId="0" borderId="2" xfId="3" applyFont="1" applyFill="1" applyBorder="1" applyAlignment="1">
      <alignment vertical="center" wrapText="1"/>
    </xf>
    <xf numFmtId="3" fontId="6" fillId="0" borderId="2" xfId="7" applyNumberFormat="1" applyFont="1" applyBorder="1" applyAlignment="1">
      <alignment vertical="center"/>
    </xf>
    <xf numFmtId="0" fontId="40" fillId="0" borderId="2" xfId="0" applyFont="1" applyBorder="1"/>
    <xf numFmtId="168" fontId="41" fillId="0" borderId="59" xfId="6" applyNumberFormat="1" applyFont="1" applyBorder="1" applyAlignment="1">
      <alignment horizontal="center" vertical="center" wrapText="1"/>
    </xf>
    <xf numFmtId="4" fontId="41" fillId="0" borderId="59" xfId="6" applyNumberFormat="1" applyFont="1" applyBorder="1" applyAlignment="1">
      <alignment horizontal="center" vertical="center" wrapText="1"/>
    </xf>
    <xf numFmtId="2" fontId="41" fillId="0" borderId="59" xfId="6" applyNumberFormat="1" applyFont="1" applyBorder="1" applyAlignment="1">
      <alignment horizontal="center" vertical="center" wrapText="1"/>
    </xf>
    <xf numFmtId="2" fontId="6" fillId="0" borderId="59" xfId="6" applyNumberFormat="1" applyFont="1" applyBorder="1" applyAlignment="1">
      <alignment horizontal="center" vertical="center"/>
    </xf>
    <xf numFmtId="2" fontId="41" fillId="0" borderId="2" xfId="2" applyNumberFormat="1" applyFont="1" applyBorder="1" applyAlignment="1">
      <alignment horizontal="center" vertical="center" wrapText="1"/>
    </xf>
    <xf numFmtId="3" fontId="41" fillId="0" borderId="2" xfId="0" applyNumberFormat="1" applyFont="1" applyBorder="1" applyAlignment="1">
      <alignment horizontal="center" vertical="center" wrapText="1"/>
    </xf>
    <xf numFmtId="168" fontId="41" fillId="0" borderId="0" xfId="6" applyNumberFormat="1" applyFont="1" applyBorder="1" applyAlignment="1">
      <alignment horizontal="center" vertical="center" wrapText="1"/>
    </xf>
    <xf numFmtId="3" fontId="6" fillId="0" borderId="0" xfId="0" applyNumberFormat="1" applyFont="1" applyAlignment="1">
      <alignment horizontal="center"/>
    </xf>
    <xf numFmtId="4" fontId="41" fillId="0" borderId="0" xfId="6" applyNumberFormat="1" applyFont="1" applyBorder="1" applyAlignment="1">
      <alignment horizontal="center" vertical="center" wrapText="1"/>
    </xf>
    <xf numFmtId="2" fontId="41" fillId="0" borderId="0" xfId="6" applyNumberFormat="1" applyFont="1" applyBorder="1" applyAlignment="1">
      <alignment horizontal="center" vertical="center" wrapText="1"/>
    </xf>
    <xf numFmtId="2" fontId="6" fillId="0" borderId="0" xfId="6" applyNumberFormat="1" applyFont="1" applyBorder="1" applyAlignment="1">
      <alignment horizontal="center" vertical="center"/>
    </xf>
    <xf numFmtId="2" fontId="6" fillId="0" borderId="0" xfId="0" applyNumberFormat="1" applyFont="1" applyAlignment="1">
      <alignment horizontal="center"/>
    </xf>
    <xf numFmtId="1" fontId="19" fillId="0" borderId="0" xfId="3" applyNumberFormat="1" applyFont="1" applyBorder="1" applyAlignment="1">
      <alignment horizontal="center" vertical="center" wrapText="1"/>
    </xf>
    <xf numFmtId="1" fontId="41" fillId="0" borderId="0" xfId="6" applyNumberFormat="1" applyFont="1" applyBorder="1" applyAlignment="1">
      <alignment horizontal="center" vertical="center" wrapText="1"/>
    </xf>
    <xf numFmtId="3" fontId="41" fillId="0" borderId="0" xfId="6" applyNumberFormat="1" applyFont="1" applyBorder="1" applyAlignment="1">
      <alignment horizontal="center" vertical="center" wrapText="1"/>
    </xf>
    <xf numFmtId="165" fontId="41" fillId="0" borderId="0" xfId="6" applyNumberFormat="1" applyFont="1" applyBorder="1" applyAlignment="1">
      <alignment horizontal="center" vertical="center" wrapText="1"/>
    </xf>
    <xf numFmtId="167" fontId="41" fillId="0" borderId="0" xfId="6" applyNumberFormat="1" applyFont="1" applyBorder="1" applyAlignment="1">
      <alignment horizontal="center" vertical="center" wrapText="1"/>
    </xf>
    <xf numFmtId="171" fontId="41" fillId="0" borderId="0" xfId="6" applyNumberFormat="1" applyFont="1" applyBorder="1" applyAlignment="1">
      <alignment horizontal="center" vertical="center" wrapText="1"/>
    </xf>
    <xf numFmtId="2" fontId="6" fillId="0" borderId="64" xfId="0" applyNumberFormat="1" applyFont="1" applyBorder="1" applyAlignment="1">
      <alignment horizontal="center"/>
    </xf>
    <xf numFmtId="0" fontId="18" fillId="5" borderId="52" xfId="0" applyFont="1" applyFill="1" applyBorder="1" applyAlignment="1">
      <alignment horizontal="center" vertical="center" wrapText="1"/>
    </xf>
    <xf numFmtId="165" fontId="41" fillId="15" borderId="2" xfId="6" applyNumberFormat="1" applyFont="1" applyFill="1" applyBorder="1" applyAlignment="1">
      <alignment horizontal="center" vertical="center" wrapText="1"/>
    </xf>
    <xf numFmtId="3" fontId="41" fillId="0" borderId="2" xfId="6" applyNumberFormat="1" applyFont="1" applyBorder="1" applyAlignment="1">
      <alignment horizontal="center" vertical="center" wrapText="1"/>
    </xf>
    <xf numFmtId="2" fontId="6" fillId="0" borderId="2" xfId="0" applyNumberFormat="1" applyFont="1" applyBorder="1" applyAlignment="1">
      <alignment horizontal="center"/>
    </xf>
    <xf numFmtId="168" fontId="41" fillId="16" borderId="2" xfId="6" applyNumberFormat="1" applyFont="1" applyFill="1" applyBorder="1" applyAlignment="1">
      <alignment horizontal="center" vertical="center" wrapText="1"/>
    </xf>
    <xf numFmtId="4" fontId="41" fillId="0" borderId="2" xfId="6" applyNumberFormat="1" applyFont="1" applyBorder="1" applyAlignment="1">
      <alignment horizontal="center" vertical="center" wrapText="1"/>
    </xf>
    <xf numFmtId="1" fontId="41" fillId="16" borderId="2" xfId="6" applyNumberFormat="1" applyFont="1" applyFill="1" applyBorder="1" applyAlignment="1">
      <alignment horizontal="center" vertical="center" wrapText="1"/>
    </xf>
    <xf numFmtId="168" fontId="41" fillId="17" borderId="2" xfId="6" applyNumberFormat="1" applyFont="1" applyFill="1" applyBorder="1" applyAlignment="1">
      <alignment horizontal="center" vertical="center" wrapText="1"/>
    </xf>
    <xf numFmtId="1" fontId="41" fillId="17" borderId="2" xfId="6" applyNumberFormat="1" applyFont="1" applyFill="1" applyBorder="1" applyAlignment="1">
      <alignment horizontal="center" vertical="center" wrapText="1"/>
    </xf>
    <xf numFmtId="2" fontId="41" fillId="0" borderId="2" xfId="6" applyNumberFormat="1" applyFont="1" applyBorder="1" applyAlignment="1">
      <alignment horizontal="center" vertical="center" wrapText="1"/>
    </xf>
    <xf numFmtId="168" fontId="41" fillId="0" borderId="2" xfId="6" applyNumberFormat="1" applyFont="1" applyBorder="1" applyAlignment="1">
      <alignment horizontal="center" vertical="center" wrapText="1"/>
    </xf>
    <xf numFmtId="0" fontId="41" fillId="0" borderId="0" xfId="0" applyFont="1" applyAlignment="1">
      <alignment horizontal="center" vertical="center" wrapText="1"/>
    </xf>
    <xf numFmtId="3" fontId="6" fillId="0" borderId="0" xfId="0" applyNumberFormat="1" applyFont="1" applyAlignment="1">
      <alignment horizontal="left" vertical="top"/>
    </xf>
    <xf numFmtId="167" fontId="41" fillId="0" borderId="2" xfId="0" applyNumberFormat="1" applyFont="1" applyBorder="1" applyAlignment="1">
      <alignment horizontal="center" vertical="center" wrapText="1"/>
    </xf>
    <xf numFmtId="1" fontId="41" fillId="0" borderId="2" xfId="0" applyNumberFormat="1" applyFont="1" applyBorder="1" applyAlignment="1">
      <alignment horizontal="center" vertical="center" wrapText="1"/>
    </xf>
    <xf numFmtId="2" fontId="41" fillId="0" borderId="0" xfId="6" applyNumberFormat="1" applyFont="1" applyBorder="1" applyAlignment="1">
      <alignment horizontal="center" vertical="top"/>
    </xf>
    <xf numFmtId="3" fontId="41" fillId="0" borderId="0" xfId="6" applyNumberFormat="1" applyFont="1" applyBorder="1" applyAlignment="1">
      <alignment horizontal="center" vertical="center"/>
    </xf>
    <xf numFmtId="0" fontId="41" fillId="0" borderId="0" xfId="0" applyFont="1" applyAlignment="1">
      <alignment vertical="top" wrapText="1"/>
    </xf>
    <xf numFmtId="0" fontId="42" fillId="0" borderId="0" xfId="5" applyFont="1" applyAlignment="1">
      <alignment horizontal="left" vertical="top" wrapText="1"/>
    </xf>
    <xf numFmtId="167" fontId="41" fillId="0" borderId="51" xfId="0" applyNumberFormat="1" applyFont="1" applyBorder="1" applyAlignment="1">
      <alignment horizontal="center" vertical="center"/>
    </xf>
    <xf numFmtId="0" fontId="41" fillId="0" borderId="0" xfId="0" applyFont="1" applyAlignment="1">
      <alignment horizontal="center" wrapText="1"/>
    </xf>
    <xf numFmtId="0" fontId="43" fillId="0" borderId="2" xfId="0" applyFont="1" applyBorder="1" applyAlignment="1">
      <alignment horizontal="left" vertical="center"/>
    </xf>
    <xf numFmtId="0" fontId="43" fillId="0" borderId="2" xfId="0" applyFont="1" applyBorder="1" applyAlignment="1">
      <alignment horizontal="center" vertical="center"/>
    </xf>
    <xf numFmtId="0" fontId="43" fillId="0" borderId="2" xfId="0" applyFont="1" applyBorder="1" applyAlignment="1">
      <alignment horizontal="left" vertical="center" wrapText="1"/>
    </xf>
    <xf numFmtId="0" fontId="46" fillId="0" borderId="0" xfId="0" applyFont="1" applyAlignment="1">
      <alignment horizontal="center" wrapText="1"/>
    </xf>
    <xf numFmtId="0" fontId="47" fillId="0" borderId="0" xfId="5" applyFont="1" applyAlignment="1">
      <alignment horizontal="left" wrapText="1"/>
    </xf>
    <xf numFmtId="0" fontId="1" fillId="0" borderId="0" xfId="0" applyFont="1" applyAlignment="1">
      <alignment horizontal="left" vertical="center"/>
    </xf>
    <xf numFmtId="0" fontId="48" fillId="12" borderId="65" xfId="0" applyFont="1" applyFill="1" applyBorder="1" applyAlignment="1">
      <alignment horizontal="center" vertical="center" wrapText="1"/>
    </xf>
    <xf numFmtId="1" fontId="40" fillId="0" borderId="65" xfId="0" applyNumberFormat="1" applyFont="1" applyBorder="1" applyAlignment="1">
      <alignment horizontal="center" vertical="center" wrapText="1"/>
    </xf>
    <xf numFmtId="2" fontId="40" fillId="0" borderId="65" xfId="0" applyNumberFormat="1" applyFont="1" applyBorder="1" applyAlignment="1">
      <alignment horizontal="center" vertical="center" wrapText="1"/>
    </xf>
    <xf numFmtId="0" fontId="43" fillId="0" borderId="0" xfId="0" applyFont="1" applyAlignment="1">
      <alignment horizontal="center" wrapText="1"/>
    </xf>
    <xf numFmtId="0" fontId="40" fillId="0" borderId="0" xfId="0" applyFont="1" applyAlignment="1">
      <alignment wrapText="1"/>
    </xf>
    <xf numFmtId="0" fontId="41" fillId="0" borderId="0" xfId="0" applyFont="1" applyAlignment="1">
      <alignment horizontal="center" vertical="top" wrapText="1"/>
    </xf>
    <xf numFmtId="0" fontId="41" fillId="0" borderId="10" xfId="0" applyFont="1" applyBorder="1" applyAlignment="1">
      <alignment vertical="center" wrapText="1"/>
    </xf>
    <xf numFmtId="0" fontId="41" fillId="0" borderId="10" xfId="0" applyFont="1" applyBorder="1" applyAlignment="1">
      <alignment horizontal="right" vertical="center"/>
    </xf>
    <xf numFmtId="2" fontId="45" fillId="0" borderId="2" xfId="0" applyNumberFormat="1" applyFont="1" applyBorder="1" applyAlignment="1">
      <alignment horizontal="center" vertical="center"/>
    </xf>
    <xf numFmtId="2" fontId="41" fillId="0" borderId="2" xfId="0" applyNumberFormat="1" applyFont="1" applyBorder="1" applyAlignment="1">
      <alignment horizontal="center" vertical="center"/>
    </xf>
    <xf numFmtId="0" fontId="51" fillId="0" borderId="0" xfId="0" applyFont="1" applyAlignment="1">
      <alignment horizontal="center" vertical="center"/>
    </xf>
    <xf numFmtId="0" fontId="7" fillId="8" borderId="52" xfId="0" applyFont="1" applyFill="1" applyBorder="1" applyAlignment="1">
      <alignment horizontal="center" vertical="center" wrapText="1"/>
    </xf>
    <xf numFmtId="0" fontId="31" fillId="20" borderId="157" xfId="0" applyFont="1" applyFill="1" applyBorder="1" applyAlignment="1">
      <alignment horizontal="left" vertical="center"/>
    </xf>
    <xf numFmtId="0" fontId="38" fillId="5" borderId="51" xfId="0" applyFont="1" applyFill="1" applyBorder="1" applyAlignment="1">
      <alignment horizontal="center" vertical="center" wrapText="1"/>
    </xf>
    <xf numFmtId="168" fontId="38" fillId="0" borderId="0" xfId="6" applyNumberFormat="1" applyFont="1" applyBorder="1" applyAlignment="1">
      <alignment horizontal="center" vertical="center" wrapText="1"/>
    </xf>
    <xf numFmtId="168" fontId="38" fillId="14" borderId="2" xfId="6" applyNumberFormat="1" applyFont="1" applyFill="1" applyBorder="1" applyAlignment="1">
      <alignment horizontal="center" vertical="center" wrapText="1"/>
    </xf>
    <xf numFmtId="4" fontId="38" fillId="14" borderId="2" xfId="6" applyNumberFormat="1" applyFont="1" applyFill="1" applyBorder="1" applyAlignment="1">
      <alignment horizontal="center" vertical="center" wrapText="1"/>
    </xf>
    <xf numFmtId="2" fontId="38" fillId="14" borderId="2" xfId="6" applyNumberFormat="1" applyFont="1" applyFill="1" applyBorder="1" applyAlignment="1">
      <alignment horizontal="center" vertical="center" wrapText="1"/>
    </xf>
    <xf numFmtId="0" fontId="41" fillId="0" borderId="2" xfId="0" applyFont="1" applyBorder="1" applyAlignment="1">
      <alignment vertical="center"/>
    </xf>
    <xf numFmtId="0" fontId="23" fillId="14" borderId="11" xfId="0" applyFont="1" applyFill="1" applyBorder="1" applyAlignment="1">
      <alignment horizontal="center" vertical="center"/>
    </xf>
    <xf numFmtId="0" fontId="22" fillId="17" borderId="0" xfId="0" applyFont="1" applyFill="1" applyAlignment="1">
      <alignment vertical="center"/>
    </xf>
    <xf numFmtId="0" fontId="22" fillId="17" borderId="16" xfId="0" applyFont="1" applyFill="1" applyBorder="1" applyAlignment="1">
      <alignment vertical="center"/>
    </xf>
    <xf numFmtId="0" fontId="22" fillId="0" borderId="0" xfId="0" applyFont="1" applyAlignment="1">
      <alignment vertical="center"/>
    </xf>
    <xf numFmtId="0" fontId="41" fillId="0" borderId="0" xfId="0" applyFont="1" applyAlignment="1">
      <alignment vertical="center" wrapText="1"/>
    </xf>
    <xf numFmtId="1" fontId="10" fillId="0" borderId="0" xfId="3" applyNumberFormat="1" applyFont="1" applyBorder="1" applyAlignment="1">
      <alignment horizontal="center" vertical="center" wrapText="1"/>
    </xf>
    <xf numFmtId="0" fontId="7" fillId="3" borderId="158" xfId="0" applyFont="1" applyFill="1" applyBorder="1" applyAlignment="1">
      <alignment vertical="center"/>
    </xf>
    <xf numFmtId="0" fontId="7" fillId="3" borderId="159" xfId="0" applyFont="1" applyFill="1" applyBorder="1" applyAlignment="1">
      <alignment vertical="center"/>
    </xf>
    <xf numFmtId="0" fontId="6" fillId="3" borderId="160" xfId="0" applyFont="1" applyFill="1" applyBorder="1"/>
    <xf numFmtId="0" fontId="7" fillId="3" borderId="161" xfId="0" applyFont="1" applyFill="1" applyBorder="1" applyAlignment="1">
      <alignment vertical="center"/>
    </xf>
    <xf numFmtId="0" fontId="7" fillId="3" borderId="0" xfId="0" applyFont="1" applyFill="1" applyAlignment="1">
      <alignment vertical="center"/>
    </xf>
    <xf numFmtId="0" fontId="6" fillId="3" borderId="162" xfId="0" applyFont="1" applyFill="1" applyBorder="1"/>
    <xf numFmtId="0" fontId="6" fillId="3" borderId="165" xfId="0" applyFont="1" applyFill="1" applyBorder="1"/>
    <xf numFmtId="0" fontId="6" fillId="3" borderId="0" xfId="0" applyFont="1" applyFill="1"/>
    <xf numFmtId="0" fontId="6" fillId="3" borderId="161" xfId="0" applyFont="1" applyFill="1" applyBorder="1"/>
    <xf numFmtId="0" fontId="6" fillId="3" borderId="163" xfId="0" applyFont="1" applyFill="1" applyBorder="1"/>
    <xf numFmtId="0" fontId="6" fillId="3" borderId="164" xfId="0" applyFont="1" applyFill="1" applyBorder="1"/>
    <xf numFmtId="0" fontId="38" fillId="5" borderId="65" xfId="0" applyFont="1" applyFill="1" applyBorder="1" applyAlignment="1">
      <alignment horizontal="center" vertical="center" wrapText="1"/>
    </xf>
    <xf numFmtId="1" fontId="1" fillId="0" borderId="65" xfId="7" applyNumberFormat="1" applyFont="1" applyBorder="1" applyAlignment="1">
      <alignment vertical="center"/>
    </xf>
    <xf numFmtId="0" fontId="38" fillId="5" borderId="3" xfId="0" applyFont="1" applyFill="1" applyBorder="1" applyAlignment="1">
      <alignment horizontal="center" vertical="center" wrapText="1"/>
    </xf>
    <xf numFmtId="165" fontId="6" fillId="0" borderId="3" xfId="0" applyNumberFormat="1" applyFont="1" applyBorder="1" applyAlignment="1">
      <alignment horizontal="center" vertical="center" wrapText="1"/>
    </xf>
    <xf numFmtId="1" fontId="41" fillId="0" borderId="3" xfId="0" applyNumberFormat="1" applyFont="1" applyBorder="1" applyAlignment="1">
      <alignment horizontal="center" vertical="center" wrapText="1"/>
    </xf>
    <xf numFmtId="1" fontId="41" fillId="0" borderId="3" xfId="7" applyNumberFormat="1" applyFont="1" applyBorder="1" applyAlignment="1">
      <alignment horizontal="center" vertical="center"/>
    </xf>
    <xf numFmtId="1" fontId="1" fillId="0" borderId="3" xfId="7" applyNumberFormat="1" applyFont="1" applyBorder="1" applyAlignment="1">
      <alignment vertical="center"/>
    </xf>
    <xf numFmtId="1" fontId="41" fillId="0" borderId="2" xfId="2" applyNumberFormat="1" applyFont="1" applyBorder="1" applyAlignment="1">
      <alignment horizontal="center" vertical="center" wrapText="1"/>
    </xf>
    <xf numFmtId="1" fontId="38" fillId="14" borderId="2" xfId="3" applyNumberFormat="1" applyFont="1" applyFill="1" applyBorder="1" applyAlignment="1">
      <alignment horizontal="center" vertical="center" wrapText="1"/>
    </xf>
    <xf numFmtId="3" fontId="38" fillId="14" borderId="2" xfId="0" applyNumberFormat="1" applyFont="1" applyFill="1" applyBorder="1" applyAlignment="1">
      <alignment horizontal="center" wrapText="1"/>
    </xf>
    <xf numFmtId="0" fontId="38" fillId="14" borderId="2" xfId="0" applyFont="1" applyFill="1" applyBorder="1" applyAlignment="1">
      <alignment horizontal="center" vertical="center" wrapText="1"/>
    </xf>
    <xf numFmtId="3" fontId="41" fillId="0" borderId="2" xfId="0" applyNumberFormat="1" applyFont="1" applyBorder="1" applyAlignment="1">
      <alignment horizontal="center"/>
    </xf>
    <xf numFmtId="1" fontId="41" fillId="17" borderId="2" xfId="6" applyNumberFormat="1" applyFont="1" applyFill="1" applyBorder="1" applyAlignment="1">
      <alignment horizontal="center" vertical="center"/>
    </xf>
    <xf numFmtId="2" fontId="41" fillId="17" borderId="2" xfId="0" applyNumberFormat="1" applyFont="1" applyFill="1" applyBorder="1" applyAlignment="1">
      <alignment horizontal="center"/>
    </xf>
    <xf numFmtId="2" fontId="41" fillId="18" borderId="2" xfId="0" applyNumberFormat="1" applyFont="1" applyFill="1" applyBorder="1" applyAlignment="1">
      <alignment horizontal="center" vertical="center"/>
    </xf>
    <xf numFmtId="1" fontId="41" fillId="0" borderId="0" xfId="3" applyNumberFormat="1" applyFont="1" applyBorder="1" applyAlignment="1">
      <alignment horizontal="center" vertical="center" wrapText="1"/>
    </xf>
    <xf numFmtId="3" fontId="41" fillId="0" borderId="0" xfId="0" applyNumberFormat="1" applyFont="1" applyAlignment="1">
      <alignment horizontal="center"/>
    </xf>
    <xf numFmtId="2" fontId="41" fillId="0" borderId="0" xfId="6" applyNumberFormat="1" applyFont="1" applyBorder="1" applyAlignment="1">
      <alignment horizontal="center" vertical="center"/>
    </xf>
    <xf numFmtId="2" fontId="41" fillId="0" borderId="0" xfId="0" applyNumberFormat="1" applyFont="1" applyAlignment="1">
      <alignment horizontal="center"/>
    </xf>
    <xf numFmtId="0" fontId="41" fillId="0" borderId="0" xfId="0" applyFont="1" applyAlignment="1">
      <alignment horizontal="center" vertical="center"/>
    </xf>
    <xf numFmtId="0" fontId="6" fillId="6" borderId="51" xfId="0" applyFont="1" applyFill="1" applyBorder="1" applyAlignment="1">
      <alignment horizontal="center" vertical="center"/>
    </xf>
    <xf numFmtId="0" fontId="6" fillId="4" borderId="51" xfId="0" applyFont="1" applyFill="1" applyBorder="1" applyAlignment="1">
      <alignment horizontal="center" vertical="center"/>
    </xf>
    <xf numFmtId="0" fontId="41" fillId="4" borderId="51" xfId="0" applyFont="1" applyFill="1" applyBorder="1" applyAlignment="1">
      <alignment horizontal="center" vertical="center" wrapText="1"/>
    </xf>
    <xf numFmtId="167" fontId="41" fillId="4" borderId="51" xfId="0" applyNumberFormat="1" applyFont="1" applyFill="1" applyBorder="1" applyAlignment="1">
      <alignment horizontal="center" vertical="center"/>
    </xf>
    <xf numFmtId="0" fontId="6" fillId="10" borderId="51" xfId="0" applyFont="1" applyFill="1" applyBorder="1" applyAlignment="1">
      <alignment horizontal="center" vertical="center"/>
    </xf>
    <xf numFmtId="0" fontId="41" fillId="10" borderId="51" xfId="0" applyFont="1" applyFill="1" applyBorder="1" applyAlignment="1">
      <alignment horizontal="center" vertical="center" wrapText="1"/>
    </xf>
    <xf numFmtId="167" fontId="41" fillId="10" borderId="51" xfId="0" applyNumberFormat="1" applyFont="1" applyFill="1" applyBorder="1" applyAlignment="1">
      <alignment horizontal="center" vertical="center"/>
    </xf>
    <xf numFmtId="0" fontId="41" fillId="22" borderId="51" xfId="0" applyFont="1" applyFill="1" applyBorder="1" applyAlignment="1">
      <alignment horizontal="center" vertical="center"/>
    </xf>
    <xf numFmtId="0" fontId="41" fillId="23" borderId="51" xfId="0" applyFont="1" applyFill="1" applyBorder="1" applyAlignment="1">
      <alignment horizontal="center" vertical="center"/>
    </xf>
    <xf numFmtId="167" fontId="41" fillId="23" borderId="51" xfId="0" applyNumberFormat="1" applyFont="1" applyFill="1" applyBorder="1" applyAlignment="1">
      <alignment horizontal="center" vertical="center"/>
    </xf>
    <xf numFmtId="0" fontId="6" fillId="24" borderId="51" xfId="0" applyFont="1" applyFill="1" applyBorder="1" applyAlignment="1">
      <alignment horizontal="center" vertical="center"/>
    </xf>
    <xf numFmtId="0" fontId="1" fillId="24" borderId="51" xfId="0" applyFont="1" applyFill="1" applyBorder="1" applyAlignment="1">
      <alignment horizontal="center" vertical="center"/>
    </xf>
    <xf numFmtId="0" fontId="41" fillId="24" borderId="51" xfId="0" applyFont="1" applyFill="1" applyBorder="1" applyAlignment="1">
      <alignment horizontal="center" vertical="center" wrapText="1"/>
    </xf>
    <xf numFmtId="167" fontId="41" fillId="24" borderId="51" xfId="0" applyNumberFormat="1" applyFont="1" applyFill="1" applyBorder="1" applyAlignment="1">
      <alignment horizontal="center" vertical="center"/>
    </xf>
    <xf numFmtId="167" fontId="6" fillId="0" borderId="51" xfId="0" applyNumberFormat="1" applyFont="1" applyBorder="1" applyAlignment="1">
      <alignment horizontal="center" vertical="center"/>
    </xf>
    <xf numFmtId="167" fontId="6" fillId="4" borderId="51" xfId="0" applyNumberFormat="1" applyFont="1" applyFill="1" applyBorder="1" applyAlignment="1">
      <alignment horizontal="center" vertical="center"/>
    </xf>
    <xf numFmtId="167" fontId="6" fillId="10" borderId="51" xfId="0" applyNumberFormat="1" applyFont="1" applyFill="1" applyBorder="1" applyAlignment="1">
      <alignment horizontal="center" vertical="center"/>
    </xf>
    <xf numFmtId="0" fontId="1" fillId="24" borderId="51" xfId="0" applyFont="1" applyFill="1" applyBorder="1" applyAlignment="1">
      <alignment horizontal="center" vertical="center" wrapText="1"/>
    </xf>
    <xf numFmtId="167" fontId="6" fillId="24" borderId="51" xfId="0" applyNumberFormat="1" applyFont="1" applyFill="1" applyBorder="1" applyAlignment="1">
      <alignment horizontal="center" vertical="center"/>
    </xf>
    <xf numFmtId="0" fontId="1" fillId="4" borderId="51" xfId="0" applyFont="1" applyFill="1" applyBorder="1" applyAlignment="1">
      <alignment horizontal="center" vertical="center" wrapText="1"/>
    </xf>
    <xf numFmtId="0" fontId="1" fillId="10" borderId="51" xfId="0" applyFont="1" applyFill="1" applyBorder="1" applyAlignment="1">
      <alignment horizontal="center" vertical="center" wrapText="1"/>
    </xf>
    <xf numFmtId="167" fontId="6" fillId="6" borderId="51" xfId="0" applyNumberFormat="1" applyFont="1" applyFill="1" applyBorder="1" applyAlignment="1">
      <alignment horizontal="center" vertical="center"/>
    </xf>
    <xf numFmtId="0" fontId="21" fillId="0" borderId="3" xfId="0" applyFont="1" applyBorder="1" applyAlignment="1">
      <alignment horizontal="left" vertical="center"/>
    </xf>
    <xf numFmtId="0" fontId="21" fillId="0" borderId="10" xfId="0" applyFont="1" applyBorder="1" applyAlignment="1">
      <alignment horizontal="left" vertical="center"/>
    </xf>
    <xf numFmtId="9" fontId="6" fillId="0" borderId="2" xfId="0" applyNumberFormat="1" applyFont="1" applyBorder="1" applyAlignment="1">
      <alignment horizontal="center" vertical="center"/>
    </xf>
    <xf numFmtId="0" fontId="38" fillId="5" borderId="25" xfId="0" applyFont="1" applyFill="1" applyBorder="1" applyAlignment="1">
      <alignment horizontal="center" vertical="center" wrapText="1"/>
    </xf>
    <xf numFmtId="0" fontId="41" fillId="0" borderId="22" xfId="0" applyFont="1" applyBorder="1" applyAlignment="1">
      <alignment horizontal="center" vertical="center" wrapText="1"/>
    </xf>
    <xf numFmtId="0" fontId="41" fillId="0" borderId="65" xfId="0" applyFont="1" applyBorder="1" applyAlignment="1">
      <alignment horizontal="center"/>
    </xf>
    <xf numFmtId="9" fontId="6" fillId="0" borderId="51" xfId="2" applyFont="1" applyFill="1" applyBorder="1" applyAlignment="1">
      <alignment horizontal="center" vertical="center"/>
    </xf>
    <xf numFmtId="1" fontId="19" fillId="0" borderId="2" xfId="3" applyNumberFormat="1" applyFont="1" applyFill="1" applyBorder="1" applyAlignment="1">
      <alignment horizontal="center" vertical="center" wrapText="1"/>
    </xf>
    <xf numFmtId="168" fontId="38" fillId="0" borderId="2" xfId="6" applyNumberFormat="1" applyFont="1" applyFill="1" applyBorder="1" applyAlignment="1">
      <alignment horizontal="center" vertical="center" wrapText="1"/>
    </xf>
    <xf numFmtId="3" fontId="6" fillId="0" borderId="2" xfId="0" applyNumberFormat="1" applyFont="1" applyBorder="1" applyAlignment="1">
      <alignment horizontal="center"/>
    </xf>
    <xf numFmtId="4" fontId="41" fillId="0" borderId="2" xfId="6" applyNumberFormat="1" applyFont="1" applyFill="1" applyBorder="1" applyAlignment="1">
      <alignment horizontal="center" vertical="center" wrapText="1"/>
    </xf>
    <xf numFmtId="2" fontId="41" fillId="0" borderId="2" xfId="6" applyNumberFormat="1" applyFont="1" applyFill="1" applyBorder="1" applyAlignment="1">
      <alignment horizontal="center" vertical="center" wrapText="1"/>
    </xf>
    <xf numFmtId="2" fontId="7" fillId="0" borderId="2" xfId="6" applyNumberFormat="1" applyFont="1" applyFill="1" applyBorder="1" applyAlignment="1">
      <alignment horizontal="center" vertical="center"/>
    </xf>
    <xf numFmtId="3" fontId="41" fillId="0" borderId="2" xfId="6" applyNumberFormat="1" applyFont="1" applyFill="1" applyBorder="1" applyAlignment="1">
      <alignment horizontal="center" vertical="center" wrapText="1"/>
    </xf>
    <xf numFmtId="1" fontId="41" fillId="0" borderId="2" xfId="6" applyNumberFormat="1" applyFont="1" applyFill="1" applyBorder="1" applyAlignment="1">
      <alignment horizontal="center" vertical="center"/>
    </xf>
    <xf numFmtId="2" fontId="41" fillId="0" borderId="2" xfId="0" applyNumberFormat="1" applyFont="1" applyBorder="1" applyAlignment="1">
      <alignment horizontal="center"/>
    </xf>
    <xf numFmtId="2" fontId="41" fillId="17" borderId="2" xfId="0" applyNumberFormat="1" applyFont="1" applyFill="1" applyBorder="1" applyAlignment="1">
      <alignment horizontal="center" vertical="center"/>
    </xf>
    <xf numFmtId="3" fontId="41" fillId="16" borderId="2" xfId="3" applyNumberFormat="1" applyFont="1" applyFill="1" applyBorder="1" applyAlignment="1">
      <alignment horizontal="center" vertical="center" wrapText="1"/>
    </xf>
    <xf numFmtId="2" fontId="41" fillId="16" borderId="2" xfId="6" applyNumberFormat="1" applyFont="1" applyFill="1" applyBorder="1" applyAlignment="1">
      <alignment horizontal="center" vertical="center" wrapText="1"/>
    </xf>
    <xf numFmtId="3" fontId="41" fillId="16" borderId="2" xfId="0" applyNumberFormat="1" applyFont="1" applyFill="1" applyBorder="1" applyAlignment="1">
      <alignment horizontal="center" vertical="center"/>
    </xf>
    <xf numFmtId="0" fontId="41" fillId="16" borderId="2" xfId="0" applyFont="1" applyFill="1" applyBorder="1" applyAlignment="1">
      <alignment horizontal="center" vertical="center" wrapText="1"/>
    </xf>
    <xf numFmtId="1" fontId="41" fillId="16" borderId="2" xfId="0" applyNumberFormat="1" applyFont="1" applyFill="1" applyBorder="1" applyAlignment="1">
      <alignment horizontal="center" vertical="center"/>
    </xf>
    <xf numFmtId="3" fontId="41" fillId="17" borderId="2" xfId="3" applyNumberFormat="1" applyFont="1" applyFill="1" applyBorder="1" applyAlignment="1">
      <alignment horizontal="center" vertical="center" wrapText="1"/>
    </xf>
    <xf numFmtId="2" fontId="41" fillId="17" borderId="2" xfId="6" applyNumberFormat="1" applyFont="1" applyFill="1" applyBorder="1" applyAlignment="1">
      <alignment horizontal="center" vertical="center" wrapText="1"/>
    </xf>
    <xf numFmtId="3" fontId="41" fillId="17" borderId="2" xfId="0" applyNumberFormat="1" applyFont="1" applyFill="1" applyBorder="1" applyAlignment="1">
      <alignment horizontal="center" vertical="center"/>
    </xf>
    <xf numFmtId="0" fontId="41" fillId="17" borderId="2" xfId="0" applyFont="1" applyFill="1" applyBorder="1" applyAlignment="1">
      <alignment horizontal="center" vertical="center" wrapText="1"/>
    </xf>
    <xf numFmtId="1" fontId="41" fillId="17" borderId="2" xfId="0" applyNumberFormat="1" applyFont="1" applyFill="1" applyBorder="1" applyAlignment="1">
      <alignment horizontal="center" vertical="center"/>
    </xf>
    <xf numFmtId="2" fontId="41" fillId="0" borderId="2" xfId="6" applyNumberFormat="1" applyFont="1" applyBorder="1" applyAlignment="1">
      <alignment horizontal="center" vertical="center"/>
    </xf>
    <xf numFmtId="1" fontId="41" fillId="0" borderId="2" xfId="0" applyNumberFormat="1" applyFont="1" applyBorder="1" applyAlignment="1">
      <alignment horizontal="center" vertical="center"/>
    </xf>
    <xf numFmtId="165" fontId="41" fillId="0" borderId="2" xfId="0" applyNumberFormat="1" applyFont="1" applyBorder="1" applyAlignment="1">
      <alignment horizontal="center" vertical="center"/>
    </xf>
    <xf numFmtId="171" fontId="41" fillId="0" borderId="2" xfId="0" applyNumberFormat="1" applyFont="1" applyBorder="1" applyAlignment="1">
      <alignment horizontal="center" vertical="center"/>
    </xf>
    <xf numFmtId="172" fontId="41" fillId="0" borderId="2" xfId="0" applyNumberFormat="1" applyFont="1" applyBorder="1" applyAlignment="1">
      <alignment horizontal="center" vertical="center"/>
    </xf>
    <xf numFmtId="0" fontId="38" fillId="5" borderId="2" xfId="0" applyFont="1" applyFill="1" applyBorder="1" applyAlignment="1">
      <alignment horizontal="center" vertical="center" wrapText="1"/>
    </xf>
    <xf numFmtId="2" fontId="38" fillId="14" borderId="2" xfId="0" applyNumberFormat="1" applyFont="1" applyFill="1" applyBorder="1" applyAlignment="1">
      <alignment horizontal="center" vertical="center" wrapText="1"/>
    </xf>
    <xf numFmtId="2" fontId="38" fillId="0" borderId="2" xfId="6" applyNumberFormat="1" applyFont="1" applyFill="1" applyBorder="1" applyAlignment="1">
      <alignment horizontal="center" vertical="center"/>
    </xf>
    <xf numFmtId="2" fontId="41" fillId="0" borderId="0" xfId="6" applyNumberFormat="1" applyFont="1" applyFill="1" applyBorder="1" applyAlignment="1">
      <alignment horizontal="center" vertical="center" wrapText="1"/>
    </xf>
    <xf numFmtId="3" fontId="41" fillId="0" borderId="2" xfId="0" applyNumberFormat="1" applyFont="1" applyBorder="1" applyAlignment="1">
      <alignment horizontal="center" vertical="center"/>
    </xf>
    <xf numFmtId="0" fontId="45" fillId="0" borderId="69" xfId="0" applyFont="1" applyBorder="1" applyAlignment="1">
      <alignment horizontal="center" vertical="center"/>
    </xf>
    <xf numFmtId="2" fontId="45" fillId="0" borderId="1" xfId="0" applyNumberFormat="1" applyFont="1" applyBorder="1" applyAlignment="1">
      <alignment horizontal="center" vertical="center"/>
    </xf>
    <xf numFmtId="2" fontId="45" fillId="0" borderId="5" xfId="0" applyNumberFormat="1" applyFont="1" applyBorder="1" applyAlignment="1">
      <alignment horizontal="center" vertical="center"/>
    </xf>
    <xf numFmtId="0" fontId="45" fillId="0" borderId="10" xfId="0" applyFont="1" applyBorder="1" applyAlignment="1">
      <alignment horizontal="center" vertical="center"/>
    </xf>
    <xf numFmtId="2" fontId="45" fillId="0" borderId="6" xfId="0" applyNumberFormat="1" applyFont="1" applyBorder="1" applyAlignment="1">
      <alignment horizontal="center" vertical="center"/>
    </xf>
    <xf numFmtId="0" fontId="45" fillId="0" borderId="70" xfId="0" applyFont="1" applyBorder="1" applyAlignment="1">
      <alignment horizontal="center" vertical="center"/>
    </xf>
    <xf numFmtId="2" fontId="45" fillId="0" borderId="28" xfId="0" applyNumberFormat="1" applyFont="1" applyBorder="1" applyAlignment="1">
      <alignment horizontal="center" vertical="center"/>
    </xf>
    <xf numFmtId="2" fontId="45" fillId="0" borderId="8" xfId="0" applyNumberFormat="1" applyFont="1" applyBorder="1" applyAlignment="1">
      <alignment horizontal="center" vertical="center"/>
    </xf>
    <xf numFmtId="0" fontId="45" fillId="0" borderId="19" xfId="0" applyFont="1" applyBorder="1" applyAlignment="1">
      <alignment horizontal="center" vertical="center"/>
    </xf>
    <xf numFmtId="0" fontId="45" fillId="0" borderId="13" xfId="0" applyFont="1" applyBorder="1" applyAlignment="1">
      <alignment horizontal="center" vertical="center"/>
    </xf>
    <xf numFmtId="2" fontId="45" fillId="0" borderId="11" xfId="0" applyNumberFormat="1" applyFont="1" applyBorder="1" applyAlignment="1">
      <alignment horizontal="center" vertical="center"/>
    </xf>
    <xf numFmtId="2" fontId="45" fillId="0" borderId="63" xfId="0" applyNumberFormat="1" applyFont="1" applyBorder="1" applyAlignment="1">
      <alignment horizontal="center" vertical="center"/>
    </xf>
    <xf numFmtId="0" fontId="45" fillId="0" borderId="16" xfId="0" applyFont="1" applyBorder="1" applyAlignment="1">
      <alignment horizontal="center" vertical="center"/>
    </xf>
    <xf numFmtId="2" fontId="45" fillId="0" borderId="14" xfId="0" applyNumberFormat="1" applyFont="1" applyBorder="1" applyAlignment="1">
      <alignment horizontal="center" vertical="center"/>
    </xf>
    <xf numFmtId="2" fontId="45" fillId="0" borderId="111" xfId="0" applyNumberFormat="1" applyFont="1" applyBorder="1" applyAlignment="1">
      <alignment horizontal="center" vertical="center"/>
    </xf>
    <xf numFmtId="0" fontId="40" fillId="0" borderId="0" xfId="0" applyFont="1" applyAlignment="1">
      <alignment horizontal="center" vertical="center"/>
    </xf>
    <xf numFmtId="0" fontId="44" fillId="0" borderId="0" xfId="0" applyFont="1" applyAlignment="1">
      <alignment vertical="center" wrapText="1"/>
    </xf>
    <xf numFmtId="0" fontId="6" fillId="0" borderId="11" xfId="0" applyFont="1" applyBorder="1" applyAlignment="1">
      <alignment horizontal="left" vertical="center"/>
    </xf>
    <xf numFmtId="0" fontId="40" fillId="0" borderId="17" xfId="0" applyFont="1" applyBorder="1"/>
    <xf numFmtId="1" fontId="45" fillId="0" borderId="65" xfId="0" applyNumberFormat="1" applyFont="1" applyBorder="1" applyAlignment="1">
      <alignment horizontal="center" vertical="center"/>
    </xf>
    <xf numFmtId="0" fontId="45" fillId="0" borderId="166" xfId="0" applyFont="1" applyBorder="1" applyAlignment="1">
      <alignment horizontal="center" vertical="center"/>
    </xf>
    <xf numFmtId="1" fontId="45" fillId="0" borderId="167" xfId="0" applyNumberFormat="1" applyFont="1" applyBorder="1" applyAlignment="1">
      <alignment horizontal="center" vertical="center"/>
    </xf>
    <xf numFmtId="1" fontId="45" fillId="0" borderId="168" xfId="0" applyNumberFormat="1" applyFont="1" applyBorder="1" applyAlignment="1">
      <alignment horizontal="center" vertical="center"/>
    </xf>
    <xf numFmtId="0" fontId="45" fillId="0" borderId="169" xfId="0" applyFont="1" applyBorder="1" applyAlignment="1">
      <alignment horizontal="center" vertical="center"/>
    </xf>
    <xf numFmtId="1" fontId="45" fillId="0" borderId="170" xfId="0" applyNumberFormat="1" applyFont="1" applyBorder="1" applyAlignment="1">
      <alignment horizontal="center" vertical="center"/>
    </xf>
    <xf numFmtId="0" fontId="45" fillId="0" borderId="171" xfId="0" applyFont="1" applyBorder="1" applyAlignment="1">
      <alignment horizontal="center" vertical="center"/>
    </xf>
    <xf numFmtId="1" fontId="45" fillId="0" borderId="172" xfId="0" applyNumberFormat="1" applyFont="1" applyBorder="1" applyAlignment="1">
      <alignment horizontal="center" vertical="center"/>
    </xf>
    <xf numFmtId="1" fontId="45" fillId="0" borderId="173" xfId="0" applyNumberFormat="1" applyFont="1" applyBorder="1" applyAlignment="1">
      <alignment horizontal="center" vertical="center"/>
    </xf>
    <xf numFmtId="1" fontId="45" fillId="0" borderId="66" xfId="0" applyNumberFormat="1" applyFont="1" applyBorder="1" applyAlignment="1">
      <alignment horizontal="center" vertical="center"/>
    </xf>
    <xf numFmtId="0" fontId="45" fillId="0" borderId="177" xfId="0" applyFont="1" applyBorder="1" applyAlignment="1">
      <alignment horizontal="center" vertical="center"/>
    </xf>
    <xf numFmtId="1" fontId="45" fillId="0" borderId="68" xfId="0" applyNumberFormat="1" applyFont="1" applyBorder="1" applyAlignment="1">
      <alignment horizontal="center" vertical="center"/>
    </xf>
    <xf numFmtId="1" fontId="45" fillId="0" borderId="178" xfId="0" applyNumberFormat="1" applyFont="1" applyBorder="1" applyAlignment="1">
      <alignment horizontal="center" vertical="center"/>
    </xf>
    <xf numFmtId="0" fontId="45" fillId="0" borderId="181" xfId="0" applyFont="1" applyBorder="1" applyAlignment="1">
      <alignment horizontal="center" vertical="center"/>
    </xf>
    <xf numFmtId="2" fontId="45" fillId="0" borderId="81" xfId="0" applyNumberFormat="1" applyFont="1" applyBorder="1" applyAlignment="1">
      <alignment horizontal="center" vertical="center"/>
    </xf>
    <xf numFmtId="2" fontId="45" fillId="0" borderId="86" xfId="0" applyNumberFormat="1" applyFont="1" applyBorder="1" applyAlignment="1">
      <alignment horizontal="center" vertical="center"/>
    </xf>
    <xf numFmtId="2" fontId="45" fillId="0" borderId="87" xfId="0" applyNumberFormat="1" applyFont="1" applyBorder="1" applyAlignment="1">
      <alignment horizontal="center" vertical="center"/>
    </xf>
    <xf numFmtId="0" fontId="45" fillId="0" borderId="185" xfId="0" applyFont="1" applyBorder="1" applyAlignment="1">
      <alignment horizontal="center" vertical="center"/>
    </xf>
    <xf numFmtId="2" fontId="45" fillId="0" borderId="186" xfId="0" applyNumberFormat="1" applyFont="1" applyBorder="1" applyAlignment="1">
      <alignment horizontal="center" vertical="center"/>
    </xf>
    <xf numFmtId="2" fontId="45" fillId="0" borderId="187" xfId="0" applyNumberFormat="1" applyFont="1" applyBorder="1" applyAlignment="1">
      <alignment horizontal="center" vertical="center"/>
    </xf>
    <xf numFmtId="0" fontId="45" fillId="0" borderId="189" xfId="0" applyFont="1" applyBorder="1" applyAlignment="1">
      <alignment horizontal="center" vertical="center"/>
    </xf>
    <xf numFmtId="1" fontId="45" fillId="0" borderId="190" xfId="0" applyNumberFormat="1" applyFont="1" applyBorder="1" applyAlignment="1">
      <alignment horizontal="center" vertical="center"/>
    </xf>
    <xf numFmtId="0" fontId="41" fillId="6" borderId="51" xfId="0" applyFont="1" applyFill="1" applyBorder="1" applyAlignment="1">
      <alignment horizontal="center" vertical="center"/>
    </xf>
    <xf numFmtId="0" fontId="40" fillId="0" borderId="0" xfId="0" applyFont="1"/>
    <xf numFmtId="2" fontId="41" fillId="4" borderId="51" xfId="0" applyNumberFormat="1" applyFont="1" applyFill="1" applyBorder="1" applyAlignment="1">
      <alignment horizontal="center" vertical="center"/>
    </xf>
    <xf numFmtId="2" fontId="41" fillId="10" borderId="51" xfId="0" applyNumberFormat="1" applyFont="1" applyFill="1" applyBorder="1" applyAlignment="1">
      <alignment horizontal="center" vertical="center"/>
    </xf>
    <xf numFmtId="2" fontId="41" fillId="23" borderId="51" xfId="0" applyNumberFormat="1" applyFont="1" applyFill="1" applyBorder="1" applyAlignment="1">
      <alignment horizontal="center" vertical="center"/>
    </xf>
    <xf numFmtId="2" fontId="41" fillId="24" borderId="51" xfId="0" applyNumberFormat="1" applyFont="1" applyFill="1" applyBorder="1" applyAlignment="1">
      <alignment horizontal="center" vertical="center"/>
    </xf>
    <xf numFmtId="2" fontId="41" fillId="6" borderId="51" xfId="0" applyNumberFormat="1" applyFont="1" applyFill="1" applyBorder="1" applyAlignment="1">
      <alignment horizontal="center" vertical="center" wrapText="1"/>
    </xf>
    <xf numFmtId="0" fontId="14" fillId="0" borderId="0" xfId="0" applyFont="1"/>
    <xf numFmtId="0" fontId="26" fillId="0" borderId="0" xfId="0" applyFont="1"/>
    <xf numFmtId="0" fontId="41" fillId="0" borderId="0" xfId="0" applyFont="1"/>
    <xf numFmtId="0" fontId="22" fillId="0" borderId="0" xfId="0" applyFont="1"/>
    <xf numFmtId="0" fontId="22" fillId="0" borderId="0" xfId="0" applyFont="1" applyAlignment="1">
      <alignment wrapText="1"/>
    </xf>
    <xf numFmtId="0" fontId="7" fillId="5" borderId="0" xfId="0" applyFont="1" applyFill="1" applyAlignment="1">
      <alignment horizontal="center" vertical="center"/>
    </xf>
    <xf numFmtId="0" fontId="7" fillId="5" borderId="2" xfId="0" applyFont="1" applyFill="1" applyBorder="1" applyAlignment="1">
      <alignment horizontal="center" vertical="center"/>
    </xf>
    <xf numFmtId="0" fontId="7" fillId="5" borderId="11" xfId="0" applyFont="1" applyFill="1" applyBorder="1" applyAlignment="1">
      <alignment horizontal="center" vertical="center"/>
    </xf>
    <xf numFmtId="0" fontId="6" fillId="0" borderId="0" xfId="0" applyFont="1" applyAlignment="1">
      <alignment vertical="center" wrapText="1"/>
    </xf>
    <xf numFmtId="0" fontId="27" fillId="7" borderId="0" xfId="0" applyFont="1" applyFill="1" applyAlignment="1">
      <alignment horizontal="center" vertical="center"/>
    </xf>
    <xf numFmtId="0" fontId="6" fillId="0" borderId="0" xfId="0" applyFont="1" applyAlignment="1">
      <alignment horizontal="left"/>
    </xf>
    <xf numFmtId="0" fontId="41" fillId="0" borderId="51" xfId="0" applyFont="1" applyBorder="1" applyAlignment="1">
      <alignment horizontal="center" vertical="center"/>
    </xf>
    <xf numFmtId="0" fontId="6" fillId="0" borderId="51" xfId="0" applyFont="1" applyBorder="1" applyAlignment="1">
      <alignment horizontal="center" vertical="center"/>
    </xf>
    <xf numFmtId="0" fontId="6" fillId="0" borderId="51" xfId="0" applyFont="1" applyBorder="1" applyAlignment="1">
      <alignment horizontal="center" vertical="center" wrapText="1"/>
    </xf>
    <xf numFmtId="0" fontId="41" fillId="0" borderId="65" xfId="0" applyFont="1" applyBorder="1" applyAlignment="1">
      <alignment horizontal="center" vertical="center"/>
    </xf>
    <xf numFmtId="0" fontId="41" fillId="0" borderId="65" xfId="0" applyFont="1" applyBorder="1" applyAlignment="1">
      <alignment horizontal="center" vertical="center" wrapText="1"/>
    </xf>
    <xf numFmtId="0" fontId="6" fillId="0" borderId="54" xfId="0" applyFont="1" applyBorder="1" applyAlignment="1">
      <alignment horizontal="center" vertical="center"/>
    </xf>
    <xf numFmtId="0" fontId="6" fillId="0" borderId="54" xfId="0" applyFont="1" applyBorder="1" applyAlignment="1">
      <alignment horizontal="center" vertical="center" wrapText="1"/>
    </xf>
    <xf numFmtId="0" fontId="41" fillId="0" borderId="51" xfId="0" applyFont="1" applyBorder="1" applyAlignment="1">
      <alignment horizontal="center" vertical="center" wrapText="1"/>
    </xf>
    <xf numFmtId="0" fontId="41" fillId="6" borderId="51" xfId="0" applyFont="1" applyFill="1" applyBorder="1" applyAlignment="1">
      <alignment horizontal="center" vertical="center" wrapText="1"/>
    </xf>
    <xf numFmtId="0" fontId="6" fillId="0" borderId="2" xfId="0" applyFont="1" applyBorder="1" applyAlignment="1">
      <alignment horizontal="center" vertical="center" wrapText="1"/>
    </xf>
    <xf numFmtId="0" fontId="6" fillId="0" borderId="2" xfId="0" applyFont="1" applyBorder="1" applyAlignment="1">
      <alignment horizontal="center" vertical="center"/>
    </xf>
    <xf numFmtId="0" fontId="20" fillId="0" borderId="0" xfId="0" applyFont="1" applyAlignment="1">
      <alignment horizontal="left" vertical="center" wrapText="1"/>
    </xf>
    <xf numFmtId="0" fontId="1" fillId="0" borderId="2" xfId="0" applyFont="1" applyBorder="1" applyAlignment="1">
      <alignment horizontal="center" vertical="center"/>
    </xf>
    <xf numFmtId="0" fontId="22" fillId="0" borderId="65" xfId="0" applyFont="1" applyBorder="1" applyAlignment="1">
      <alignment horizontal="center" vertical="center" wrapText="1"/>
    </xf>
    <xf numFmtId="1" fontId="41" fillId="0" borderId="2" xfId="3" applyNumberFormat="1" applyFont="1" applyBorder="1" applyAlignment="1">
      <alignment horizontal="center" vertical="center" wrapText="1"/>
    </xf>
    <xf numFmtId="0" fontId="41" fillId="0" borderId="2" xfId="0" applyFont="1" applyBorder="1" applyAlignment="1">
      <alignment horizontal="center" vertical="center" wrapText="1"/>
    </xf>
    <xf numFmtId="0" fontId="7" fillId="5" borderId="2" xfId="0" applyFont="1" applyFill="1" applyBorder="1" applyAlignment="1">
      <alignment horizontal="center" vertical="center" wrapText="1"/>
    </xf>
    <xf numFmtId="0" fontId="40" fillId="0" borderId="65" xfId="0" applyFont="1" applyBorder="1" applyAlignment="1">
      <alignment horizontal="center" vertical="center" wrapText="1"/>
    </xf>
    <xf numFmtId="0" fontId="6" fillId="0" borderId="11" xfId="0" applyFont="1" applyBorder="1" applyAlignment="1">
      <alignment horizontal="center" vertical="center" wrapText="1"/>
    </xf>
    <xf numFmtId="0" fontId="23" fillId="5" borderId="11" xfId="0" applyFont="1" applyFill="1" applyBorder="1" applyAlignment="1">
      <alignment horizontal="center" vertical="center"/>
    </xf>
    <xf numFmtId="0" fontId="41" fillId="0" borderId="51" xfId="0" applyFont="1" applyBorder="1" applyAlignment="1">
      <alignment horizontal="center" vertical="center"/>
    </xf>
    <xf numFmtId="0" fontId="6" fillId="0" borderId="51" xfId="0" applyFont="1" applyBorder="1" applyAlignment="1">
      <alignment horizontal="center" vertical="center"/>
    </xf>
    <xf numFmtId="0" fontId="6" fillId="0" borderId="51" xfId="0" applyFont="1" applyBorder="1" applyAlignment="1">
      <alignment horizontal="center" vertical="center" wrapText="1"/>
    </xf>
    <xf numFmtId="0" fontId="41" fillId="0" borderId="179" xfId="0" applyFont="1" applyBorder="1" applyAlignment="1">
      <alignment horizontal="center" vertical="center"/>
    </xf>
    <xf numFmtId="0" fontId="41" fillId="0" borderId="182" xfId="0" applyFont="1" applyBorder="1" applyAlignment="1">
      <alignment horizontal="center" vertical="center"/>
    </xf>
    <xf numFmtId="0" fontId="41" fillId="0" borderId="196" xfId="0" applyFont="1" applyBorder="1" applyAlignment="1">
      <alignment horizontal="center" vertical="center"/>
    </xf>
    <xf numFmtId="0" fontId="41" fillId="0" borderId="65" xfId="0" applyFont="1" applyBorder="1" applyAlignment="1">
      <alignment horizontal="center" vertical="center"/>
    </xf>
    <xf numFmtId="0" fontId="41" fillId="0" borderId="65" xfId="0" applyFont="1" applyBorder="1" applyAlignment="1">
      <alignment horizontal="center" vertical="center" wrapText="1"/>
    </xf>
    <xf numFmtId="0" fontId="41" fillId="0" borderId="54" xfId="0" applyFont="1" applyBorder="1" applyAlignment="1">
      <alignment horizontal="center" vertical="center"/>
    </xf>
    <xf numFmtId="0" fontId="6" fillId="0" borderId="54" xfId="0" applyFont="1" applyBorder="1" applyAlignment="1">
      <alignment horizontal="center" vertical="center"/>
    </xf>
    <xf numFmtId="0" fontId="41" fillId="0" borderId="54" xfId="0" applyFont="1" applyBorder="1" applyAlignment="1">
      <alignment horizontal="center" vertical="center" wrapText="1"/>
    </xf>
    <xf numFmtId="0" fontId="6" fillId="0" borderId="54" xfId="0" applyFont="1" applyBorder="1" applyAlignment="1">
      <alignment horizontal="center" vertical="center" wrapText="1"/>
    </xf>
    <xf numFmtId="0" fontId="41" fillId="0" borderId="192" xfId="0" applyFont="1" applyBorder="1" applyAlignment="1">
      <alignment horizontal="center" vertical="center"/>
    </xf>
    <xf numFmtId="0" fontId="41" fillId="0" borderId="193" xfId="0" applyFont="1" applyBorder="1" applyAlignment="1">
      <alignment horizontal="center" vertical="center"/>
    </xf>
    <xf numFmtId="0" fontId="41" fillId="0" borderId="194" xfId="0" applyFont="1" applyBorder="1" applyAlignment="1">
      <alignment horizontal="center" vertical="center"/>
    </xf>
    <xf numFmtId="0" fontId="6" fillId="0" borderId="52" xfId="0" applyFont="1" applyBorder="1" applyAlignment="1">
      <alignment horizontal="center" vertical="center"/>
    </xf>
    <xf numFmtId="0" fontId="6" fillId="0" borderId="53" xfId="0" applyFont="1" applyBorder="1" applyAlignment="1">
      <alignment horizontal="center" vertical="center"/>
    </xf>
    <xf numFmtId="0" fontId="29" fillId="0" borderId="49" xfId="0" applyFont="1" applyBorder="1" applyAlignment="1">
      <alignment horizontal="center" vertical="center" wrapText="1"/>
    </xf>
    <xf numFmtId="0" fontId="29" fillId="0" borderId="43" xfId="0" applyFont="1" applyBorder="1" applyAlignment="1">
      <alignment horizontal="center" vertical="center" wrapText="1"/>
    </xf>
    <xf numFmtId="0" fontId="29" fillId="0" borderId="44" xfId="0" applyFont="1" applyBorder="1" applyAlignment="1">
      <alignment horizontal="center" vertical="center" wrapText="1"/>
    </xf>
    <xf numFmtId="0" fontId="29" fillId="0" borderId="49" xfId="0" applyFont="1" applyBorder="1" applyAlignment="1">
      <alignment horizontal="center" vertical="center"/>
    </xf>
    <xf numFmtId="0" fontId="29" fillId="0" borderId="43" xfId="0" applyFont="1" applyBorder="1" applyAlignment="1">
      <alignment horizontal="center" vertical="center"/>
    </xf>
    <xf numFmtId="0" fontId="29" fillId="0" borderId="44" xfId="0" applyFont="1" applyBorder="1" applyAlignment="1">
      <alignment horizontal="center" vertical="center"/>
    </xf>
    <xf numFmtId="0" fontId="29" fillId="0" borderId="35" xfId="0" applyFont="1" applyBorder="1" applyAlignment="1">
      <alignment horizontal="center" vertical="center"/>
    </xf>
    <xf numFmtId="0" fontId="29" fillId="0" borderId="23" xfId="0" applyFont="1" applyBorder="1" applyAlignment="1">
      <alignment horizontal="center" vertical="center"/>
    </xf>
    <xf numFmtId="0" fontId="29" fillId="0" borderId="39" xfId="0" applyFont="1" applyBorder="1" applyAlignment="1">
      <alignment horizontal="center" vertical="center"/>
    </xf>
    <xf numFmtId="0" fontId="8" fillId="0" borderId="52" xfId="5" applyBorder="1" applyAlignment="1">
      <alignment horizontal="center" vertical="center" wrapText="1"/>
    </xf>
    <xf numFmtId="0" fontId="29" fillId="0" borderId="36"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40" xfId="0" applyFont="1" applyBorder="1" applyAlignment="1">
      <alignment horizontal="center" vertical="center" wrapText="1"/>
    </xf>
    <xf numFmtId="0" fontId="41" fillId="0" borderId="191" xfId="0" applyFont="1" applyBorder="1" applyAlignment="1">
      <alignment horizontal="center" vertical="center"/>
    </xf>
    <xf numFmtId="0" fontId="41" fillId="0" borderId="195" xfId="0" applyFont="1" applyBorder="1" applyAlignment="1">
      <alignment horizontal="center" vertical="center"/>
    </xf>
    <xf numFmtId="0" fontId="41" fillId="0" borderId="51" xfId="0" applyFont="1" applyBorder="1" applyAlignment="1">
      <alignment horizontal="center" vertical="center" wrapText="1"/>
    </xf>
    <xf numFmtId="0" fontId="41" fillId="6" borderId="51" xfId="0" applyFont="1" applyFill="1" applyBorder="1" applyAlignment="1">
      <alignment horizontal="center" vertical="center" wrapText="1"/>
    </xf>
    <xf numFmtId="0" fontId="29" fillId="0" borderId="30" xfId="0" applyFont="1" applyBorder="1" applyAlignment="1">
      <alignment horizontal="center" vertical="center"/>
    </xf>
    <xf numFmtId="0" fontId="29" fillId="0" borderId="32" xfId="0" applyFont="1" applyBorder="1" applyAlignment="1">
      <alignment horizontal="center" vertical="center"/>
    </xf>
    <xf numFmtId="0" fontId="29" fillId="0" borderId="21" xfId="0" applyFont="1" applyBorder="1" applyAlignment="1">
      <alignment horizontal="center" vertical="center"/>
    </xf>
    <xf numFmtId="0" fontId="29" fillId="0" borderId="20" xfId="0" applyFont="1" applyBorder="1" applyAlignment="1">
      <alignment horizontal="center" vertical="center"/>
    </xf>
    <xf numFmtId="0" fontId="29" fillId="0" borderId="33" xfId="0" applyFont="1" applyBorder="1" applyAlignment="1">
      <alignment horizontal="center" vertical="center"/>
    </xf>
    <xf numFmtId="0" fontId="29" fillId="0" borderId="29" xfId="0" applyFont="1" applyBorder="1" applyAlignment="1">
      <alignment horizontal="center" vertical="center"/>
    </xf>
    <xf numFmtId="0" fontId="6" fillId="0" borderId="52" xfId="0" applyFont="1" applyBorder="1" applyAlignment="1">
      <alignment horizontal="center" vertical="center" wrapText="1"/>
    </xf>
    <xf numFmtId="0" fontId="8" fillId="0" borderId="51" xfId="5" applyBorder="1" applyAlignment="1">
      <alignment horizontal="center" vertical="center" wrapText="1"/>
    </xf>
    <xf numFmtId="0" fontId="11" fillId="0" borderId="0" xfId="0" applyFont="1" applyAlignment="1">
      <alignment horizontal="center" vertical="center" wrapText="1"/>
    </xf>
    <xf numFmtId="0" fontId="27" fillId="7" borderId="0" xfId="0" applyFont="1" applyFill="1" applyAlignment="1">
      <alignment horizontal="center" vertical="center"/>
    </xf>
    <xf numFmtId="0" fontId="27" fillId="7" borderId="56" xfId="0" applyFont="1" applyFill="1" applyBorder="1" applyAlignment="1">
      <alignment horizontal="center" vertical="center"/>
    </xf>
    <xf numFmtId="0" fontId="52" fillId="0" borderId="54" xfId="0" applyFont="1" applyBorder="1" applyAlignment="1">
      <alignment horizontal="center" vertical="center" wrapText="1"/>
    </xf>
    <xf numFmtId="0" fontId="27" fillId="7" borderId="30" xfId="0" applyFont="1" applyFill="1" applyBorder="1" applyAlignment="1">
      <alignment horizontal="center" vertical="center" wrapText="1"/>
    </xf>
    <xf numFmtId="0" fontId="27" fillId="7" borderId="31" xfId="0" applyFont="1" applyFill="1" applyBorder="1" applyAlignment="1">
      <alignment horizontal="center" vertical="center" wrapText="1"/>
    </xf>
    <xf numFmtId="0" fontId="6" fillId="6" borderId="51" xfId="0" applyFont="1" applyFill="1" applyBorder="1" applyAlignment="1">
      <alignment horizontal="center" vertical="center" wrapText="1"/>
    </xf>
    <xf numFmtId="0" fontId="53" fillId="0" borderId="51" xfId="0" applyFont="1" applyBorder="1" applyAlignment="1">
      <alignment horizontal="center" vertical="center" wrapText="1"/>
    </xf>
    <xf numFmtId="0" fontId="1" fillId="0" borderId="51" xfId="0" applyFont="1" applyBorder="1" applyAlignment="1">
      <alignment horizontal="center" vertical="center" wrapText="1"/>
    </xf>
    <xf numFmtId="0" fontId="6" fillId="0" borderId="0" xfId="0" applyFont="1" applyAlignment="1">
      <alignment vertical="center" wrapText="1"/>
    </xf>
    <xf numFmtId="0" fontId="6" fillId="0" borderId="0" xfId="0" applyFont="1" applyAlignment="1">
      <alignment horizontal="left"/>
    </xf>
    <xf numFmtId="0" fontId="1" fillId="0" borderId="0" xfId="0" applyFont="1" applyAlignment="1">
      <alignment horizontal="left" vertical="center" wrapText="1"/>
    </xf>
    <xf numFmtId="0" fontId="17" fillId="0" borderId="18" xfId="0" applyFont="1" applyBorder="1" applyAlignment="1">
      <alignment horizontal="left" vertical="center"/>
    </xf>
    <xf numFmtId="0" fontId="27" fillId="7" borderId="3" xfId="1" applyFont="1" applyFill="1" applyBorder="1" applyAlignment="1">
      <alignment horizontal="center" vertical="center" wrapText="1"/>
    </xf>
    <xf numFmtId="0" fontId="27" fillId="7" borderId="9" xfId="1" applyFont="1" applyFill="1" applyBorder="1" applyAlignment="1">
      <alignment horizontal="center" vertical="center" wrapText="1"/>
    </xf>
    <xf numFmtId="0" fontId="6" fillId="0" borderId="11" xfId="0" applyFont="1" applyBorder="1" applyAlignment="1">
      <alignment horizontal="left" vertical="center" wrapText="1"/>
    </xf>
    <xf numFmtId="0" fontId="6" fillId="0" borderId="14" xfId="0" applyFont="1" applyBorder="1" applyAlignment="1">
      <alignment horizontal="left" vertical="center" wrapText="1"/>
    </xf>
    <xf numFmtId="0" fontId="6" fillId="0" borderId="17" xfId="0" applyFont="1" applyBorder="1" applyAlignment="1">
      <alignment horizontal="left" vertical="center" wrapText="1"/>
    </xf>
    <xf numFmtId="165" fontId="6" fillId="0" borderId="66" xfId="0" applyNumberFormat="1" applyFont="1" applyBorder="1" applyAlignment="1">
      <alignment horizontal="center" vertical="center" wrapText="1"/>
    </xf>
    <xf numFmtId="165" fontId="6" fillId="0" borderId="67" xfId="0" applyNumberFormat="1" applyFont="1" applyBorder="1" applyAlignment="1">
      <alignment horizontal="center" vertical="center" wrapText="1"/>
    </xf>
    <xf numFmtId="165" fontId="6" fillId="0" borderId="68" xfId="0" applyNumberFormat="1" applyFont="1" applyBorder="1" applyAlignment="1">
      <alignment horizontal="center" vertical="center" wrapText="1"/>
    </xf>
    <xf numFmtId="0" fontId="27" fillId="7" borderId="18" xfId="0" applyFont="1" applyFill="1" applyBorder="1" applyAlignment="1">
      <alignment horizontal="center" vertical="center"/>
    </xf>
    <xf numFmtId="0" fontId="27" fillId="19" borderId="2" xfId="0" applyFont="1" applyFill="1" applyBorder="1" applyAlignment="1">
      <alignment horizontal="center" vertical="center"/>
    </xf>
    <xf numFmtId="0" fontId="27" fillId="19" borderId="0" xfId="0" applyFont="1" applyFill="1" applyAlignment="1">
      <alignment horizontal="center" vertical="center"/>
    </xf>
    <xf numFmtId="0" fontId="27" fillId="7" borderId="18" xfId="0" applyFont="1" applyFill="1" applyBorder="1" applyAlignment="1">
      <alignment horizontal="center" vertical="center" wrapText="1"/>
    </xf>
    <xf numFmtId="0" fontId="6" fillId="0" borderId="2" xfId="0" applyFont="1" applyBorder="1" applyAlignment="1">
      <alignment horizontal="center" vertical="center" wrapText="1"/>
    </xf>
    <xf numFmtId="0" fontId="6" fillId="0" borderId="2" xfId="0" applyFont="1" applyBorder="1" applyAlignment="1">
      <alignment horizontal="center" vertical="center"/>
    </xf>
    <xf numFmtId="0" fontId="27" fillId="7" borderId="0" xfId="0" applyFont="1" applyFill="1" applyAlignment="1">
      <alignment horizontal="center" vertical="center" wrapText="1"/>
    </xf>
    <xf numFmtId="0" fontId="6" fillId="0" borderId="4" xfId="0" applyFont="1" applyBorder="1" applyAlignment="1">
      <alignment horizontal="center" vertical="center" wrapText="1"/>
    </xf>
    <xf numFmtId="0" fontId="6" fillId="0" borderId="7" xfId="0" applyFont="1" applyBorder="1" applyAlignment="1">
      <alignment horizontal="center" vertical="center" wrapText="1"/>
    </xf>
    <xf numFmtId="0" fontId="6" fillId="0" borderId="155" xfId="0" applyFont="1" applyBorder="1" applyAlignment="1">
      <alignment horizontal="center" vertical="center"/>
    </xf>
    <xf numFmtId="0" fontId="6" fillId="0" borderId="156" xfId="0" applyFont="1" applyBorder="1" applyAlignment="1">
      <alignment horizontal="center" vertical="center"/>
    </xf>
    <xf numFmtId="0" fontId="41" fillId="0" borderId="21" xfId="0" applyFont="1" applyBorder="1" applyAlignment="1">
      <alignment horizontal="left" vertical="center" wrapText="1"/>
    </xf>
    <xf numFmtId="0" fontId="20" fillId="0" borderId="0" xfId="0" applyFont="1" applyAlignment="1">
      <alignment horizontal="left" vertical="center" wrapText="1"/>
    </xf>
    <xf numFmtId="0" fontId="1" fillId="0" borderId="2" xfId="0" applyFont="1" applyBorder="1" applyAlignment="1">
      <alignment horizontal="center" vertical="center"/>
    </xf>
    <xf numFmtId="0" fontId="41" fillId="0" borderId="0" xfId="0" applyFont="1" applyAlignment="1">
      <alignment horizontal="left" vertical="top" wrapText="1"/>
    </xf>
    <xf numFmtId="0" fontId="0" fillId="0" borderId="0" xfId="0" applyAlignment="1">
      <alignment horizontal="left" vertical="top" wrapText="1"/>
    </xf>
    <xf numFmtId="0" fontId="40" fillId="0" borderId="0" xfId="0" applyFont="1" applyAlignment="1">
      <alignment horizontal="left" vertical="top" wrapText="1"/>
    </xf>
    <xf numFmtId="0" fontId="50" fillId="0" borderId="65" xfId="0" applyFont="1" applyBorder="1" applyAlignment="1">
      <alignment horizontal="center" vertical="center" wrapText="1"/>
    </xf>
    <xf numFmtId="0" fontId="22" fillId="0" borderId="65" xfId="0" applyFont="1" applyBorder="1" applyAlignment="1">
      <alignment horizontal="center" vertical="center"/>
    </xf>
    <xf numFmtId="0" fontId="49" fillId="0" borderId="65" xfId="0" applyFont="1" applyBorder="1" applyAlignment="1">
      <alignment horizontal="center" vertical="center"/>
    </xf>
    <xf numFmtId="0" fontId="22" fillId="0" borderId="65" xfId="0" applyFont="1" applyBorder="1" applyAlignment="1">
      <alignment horizontal="center" vertical="center" wrapText="1"/>
    </xf>
    <xf numFmtId="0" fontId="41" fillId="21" borderId="65" xfId="0" applyFont="1" applyFill="1" applyBorder="1" applyAlignment="1">
      <alignment horizontal="center" vertical="center" wrapText="1"/>
    </xf>
    <xf numFmtId="0" fontId="27" fillId="7" borderId="2" xfId="0" applyFont="1" applyFill="1" applyBorder="1" applyAlignment="1">
      <alignment horizontal="center" vertical="center" wrapText="1"/>
    </xf>
    <xf numFmtId="0" fontId="0" fillId="0" borderId="2" xfId="0" applyBorder="1" applyAlignment="1">
      <alignment horizontal="center" vertical="center" wrapText="1"/>
    </xf>
    <xf numFmtId="0" fontId="40" fillId="0" borderId="2" xfId="0" applyFont="1" applyBorder="1" applyAlignment="1">
      <alignment horizontal="center" vertical="center"/>
    </xf>
    <xf numFmtId="0" fontId="27" fillId="7" borderId="15" xfId="0" applyFont="1" applyFill="1" applyBorder="1" applyAlignment="1">
      <alignment horizontal="center" vertical="center" wrapText="1"/>
    </xf>
    <xf numFmtId="0" fontId="41" fillId="0" borderId="11" xfId="0" applyFont="1" applyBorder="1" applyAlignment="1">
      <alignment horizontal="center" vertical="center" wrapText="1"/>
    </xf>
    <xf numFmtId="0" fontId="41" fillId="0" borderId="110" xfId="0" applyFont="1" applyBorder="1" applyAlignment="1">
      <alignment horizontal="center" vertical="center" wrapText="1"/>
    </xf>
    <xf numFmtId="0" fontId="6" fillId="0" borderId="17" xfId="0" applyFont="1" applyBorder="1" applyAlignment="1">
      <alignment horizontal="center" vertical="center" wrapText="1"/>
    </xf>
    <xf numFmtId="1" fontId="27" fillId="13" borderId="2" xfId="3" applyNumberFormat="1" applyFont="1" applyFill="1" applyBorder="1" applyAlignment="1">
      <alignment horizontal="center" vertical="center" wrapText="1"/>
    </xf>
    <xf numFmtId="1" fontId="41" fillId="0" borderId="2" xfId="3" applyNumberFormat="1" applyFont="1" applyBorder="1" applyAlignment="1">
      <alignment horizontal="center" vertical="center" wrapText="1"/>
    </xf>
    <xf numFmtId="0" fontId="27" fillId="7" borderId="50" xfId="0" applyFont="1" applyFill="1" applyBorder="1" applyAlignment="1">
      <alignment horizontal="center" vertical="center"/>
    </xf>
    <xf numFmtId="0" fontId="41" fillId="0" borderId="2" xfId="0" applyFont="1" applyBorder="1" applyAlignment="1">
      <alignment horizontal="center" vertical="center" wrapText="1"/>
    </xf>
    <xf numFmtId="0" fontId="38" fillId="14" borderId="3" xfId="0" applyFont="1" applyFill="1" applyBorder="1" applyAlignment="1">
      <alignment horizontal="center" vertical="center" wrapText="1"/>
    </xf>
    <xf numFmtId="0" fontId="38" fillId="14" borderId="10" xfId="0" applyFont="1" applyFill="1" applyBorder="1" applyAlignment="1">
      <alignment horizontal="center" vertical="center" wrapText="1"/>
    </xf>
    <xf numFmtId="0" fontId="38" fillId="0" borderId="2" xfId="0" applyFont="1" applyBorder="1" applyAlignment="1">
      <alignment horizontal="center" vertical="center" wrapText="1"/>
    </xf>
    <xf numFmtId="2" fontId="38" fillId="14" borderId="3" xfId="0" applyNumberFormat="1" applyFont="1" applyFill="1" applyBorder="1" applyAlignment="1">
      <alignment horizontal="center" vertical="center" wrapText="1"/>
    </xf>
    <xf numFmtId="2" fontId="38" fillId="14" borderId="10" xfId="0" applyNumberFormat="1" applyFont="1" applyFill="1" applyBorder="1" applyAlignment="1">
      <alignment horizontal="center" vertical="center" wrapText="1"/>
    </xf>
    <xf numFmtId="0" fontId="41" fillId="0" borderId="14" xfId="0" applyFont="1" applyBorder="1" applyAlignment="1">
      <alignment horizontal="center" vertical="center" wrapText="1"/>
    </xf>
    <xf numFmtId="0" fontId="41" fillId="0" borderId="17" xfId="0" applyFont="1" applyBorder="1" applyAlignment="1">
      <alignment horizontal="center" vertical="center" wrapText="1"/>
    </xf>
    <xf numFmtId="1" fontId="41" fillId="0" borderId="0" xfId="3" applyNumberFormat="1" applyFont="1" applyBorder="1" applyAlignment="1">
      <alignment horizontal="left" vertical="center" wrapText="1"/>
    </xf>
    <xf numFmtId="0" fontId="7" fillId="5" borderId="2" xfId="0" applyFont="1" applyFill="1" applyBorder="1" applyAlignment="1">
      <alignment horizontal="center" vertical="center" wrapText="1"/>
    </xf>
    <xf numFmtId="0" fontId="7" fillId="5" borderId="2" xfId="0" applyFont="1" applyFill="1" applyBorder="1" applyAlignment="1">
      <alignment horizontal="center" vertical="center"/>
    </xf>
    <xf numFmtId="0" fontId="1" fillId="0" borderId="14" xfId="0" applyFont="1" applyBorder="1" applyAlignment="1">
      <alignment horizontal="center" vertical="center" wrapText="1"/>
    </xf>
    <xf numFmtId="0" fontId="1" fillId="0" borderId="17" xfId="0" applyFont="1" applyBorder="1" applyAlignment="1">
      <alignment horizontal="center" vertical="center" wrapText="1"/>
    </xf>
    <xf numFmtId="0" fontId="54" fillId="11" borderId="0" xfId="0" applyFont="1" applyFill="1" applyAlignment="1">
      <alignment horizontal="center" vertical="center"/>
    </xf>
    <xf numFmtId="0" fontId="40" fillId="0" borderId="0" xfId="0" applyFont="1"/>
    <xf numFmtId="0" fontId="55" fillId="11" borderId="0" xfId="0" applyFont="1" applyFill="1" applyAlignment="1">
      <alignment horizontal="center" vertical="center"/>
    </xf>
    <xf numFmtId="0" fontId="40" fillId="0" borderId="65" xfId="0" applyFont="1" applyBorder="1" applyAlignment="1">
      <alignment horizontal="center" vertical="center" wrapText="1"/>
    </xf>
    <xf numFmtId="0" fontId="27" fillId="7" borderId="2" xfId="0" applyFont="1" applyFill="1" applyBorder="1" applyAlignment="1">
      <alignment horizontal="center" vertical="center"/>
    </xf>
    <xf numFmtId="2" fontId="6" fillId="0" borderId="11" xfId="0" applyNumberFormat="1" applyFont="1" applyBorder="1" applyAlignment="1">
      <alignment horizontal="center" vertical="center" wrapText="1"/>
    </xf>
    <xf numFmtId="2" fontId="6" fillId="0" borderId="110" xfId="0" applyNumberFormat="1" applyFont="1" applyBorder="1" applyAlignment="1">
      <alignment horizontal="center" vertical="center" wrapText="1"/>
    </xf>
    <xf numFmtId="0" fontId="1" fillId="0" borderId="11" xfId="0" applyFont="1" applyBorder="1" applyAlignment="1">
      <alignment horizontal="center" vertical="center" wrapText="1"/>
    </xf>
    <xf numFmtId="0" fontId="1" fillId="0" borderId="110" xfId="0" applyFont="1" applyBorder="1" applyAlignment="1">
      <alignment horizontal="center" vertical="center" wrapText="1"/>
    </xf>
    <xf numFmtId="0" fontId="6" fillId="0" borderId="109" xfId="0" applyFont="1" applyBorder="1" applyAlignment="1">
      <alignment horizontal="center" vertical="center"/>
    </xf>
    <xf numFmtId="0" fontId="6" fillId="0" borderId="11" xfId="0" applyFont="1" applyBorder="1" applyAlignment="1">
      <alignment horizontal="center" vertical="center" wrapText="1"/>
    </xf>
    <xf numFmtId="0" fontId="6" fillId="0" borderId="110" xfId="0" applyFont="1" applyBorder="1" applyAlignment="1">
      <alignment horizontal="center" vertical="center" wrapText="1"/>
    </xf>
    <xf numFmtId="0" fontId="6" fillId="6" borderId="2" xfId="0" applyFont="1" applyFill="1" applyBorder="1" applyAlignment="1">
      <alignment horizontal="left" vertical="center"/>
    </xf>
    <xf numFmtId="0" fontId="23" fillId="5" borderId="57" xfId="0" applyFont="1" applyFill="1" applyBorder="1" applyAlignment="1">
      <alignment horizontal="center" vertical="center" wrapText="1"/>
    </xf>
    <xf numFmtId="0" fontId="23" fillId="5" borderId="58" xfId="0" applyFont="1" applyFill="1" applyBorder="1" applyAlignment="1">
      <alignment horizontal="center" vertical="center" wrapText="1"/>
    </xf>
    <xf numFmtId="0" fontId="21" fillId="0" borderId="140" xfId="0" applyFont="1" applyBorder="1" applyAlignment="1">
      <alignment horizontal="center" vertical="center"/>
    </xf>
    <xf numFmtId="0" fontId="21" fillId="0" borderId="65" xfId="0" applyFont="1" applyBorder="1" applyAlignment="1">
      <alignment horizontal="center" vertical="center"/>
    </xf>
    <xf numFmtId="0" fontId="21" fillId="0" borderId="144" xfId="0" applyFont="1" applyBorder="1" applyAlignment="1">
      <alignment horizontal="center" vertical="center"/>
    </xf>
    <xf numFmtId="0" fontId="21" fillId="0" borderId="68" xfId="0" applyFont="1" applyBorder="1" applyAlignment="1">
      <alignment horizontal="center" vertical="center"/>
    </xf>
    <xf numFmtId="0" fontId="21" fillId="0" borderId="66" xfId="0" applyFont="1" applyBorder="1" applyAlignment="1">
      <alignment horizontal="center" vertical="center"/>
    </xf>
    <xf numFmtId="0" fontId="21" fillId="0" borderId="147" xfId="0" applyFont="1" applyBorder="1" applyAlignment="1">
      <alignment horizontal="center" vertical="center"/>
    </xf>
    <xf numFmtId="0" fontId="21" fillId="0" borderId="67" xfId="0" applyFont="1" applyBorder="1" applyAlignment="1">
      <alignment horizontal="center" vertical="center"/>
    </xf>
    <xf numFmtId="0" fontId="21" fillId="0" borderId="150" xfId="0" applyFont="1" applyBorder="1" applyAlignment="1">
      <alignment horizontal="center" vertical="center"/>
    </xf>
    <xf numFmtId="0" fontId="21" fillId="0" borderId="139" xfId="0" applyFont="1" applyBorder="1" applyAlignment="1">
      <alignment horizontal="center" vertical="center" wrapText="1"/>
    </xf>
    <xf numFmtId="0" fontId="21" fillId="0" borderId="142" xfId="0" applyFont="1" applyBorder="1" applyAlignment="1">
      <alignment horizontal="center" vertical="center" wrapText="1"/>
    </xf>
    <xf numFmtId="0" fontId="21" fillId="0" borderId="143" xfId="0" applyFont="1" applyBorder="1" applyAlignment="1">
      <alignment horizontal="center" vertical="center" wrapText="1"/>
    </xf>
    <xf numFmtId="0" fontId="21" fillId="0" borderId="106" xfId="0" applyFont="1" applyBorder="1" applyAlignment="1">
      <alignment horizontal="center" vertical="center" wrapText="1"/>
    </xf>
    <xf numFmtId="0" fontId="21" fillId="0" borderId="107" xfId="0" applyFont="1" applyBorder="1" applyAlignment="1">
      <alignment horizontal="center" vertical="center" wrapText="1"/>
    </xf>
    <xf numFmtId="0" fontId="21" fillId="0" borderId="108" xfId="0" applyFont="1" applyBorder="1" applyAlignment="1">
      <alignment horizontal="center" vertical="center" wrapText="1"/>
    </xf>
    <xf numFmtId="0" fontId="36" fillId="0" borderId="71" xfId="0" applyFont="1" applyBorder="1" applyAlignment="1">
      <alignment horizontal="center" vertical="center"/>
    </xf>
    <xf numFmtId="0" fontId="36" fillId="0" borderId="51" xfId="0" applyFont="1" applyBorder="1" applyAlignment="1">
      <alignment horizontal="center" vertical="center"/>
    </xf>
    <xf numFmtId="0" fontId="36" fillId="0" borderId="74" xfId="0" applyFont="1" applyBorder="1" applyAlignment="1">
      <alignment horizontal="center" vertical="center"/>
    </xf>
    <xf numFmtId="0" fontId="21" fillId="0" borderId="128" xfId="0" applyFont="1" applyBorder="1" applyAlignment="1">
      <alignment horizontal="center" vertical="center"/>
    </xf>
    <xf numFmtId="0" fontId="21" fillId="0" borderId="15" xfId="0" applyFont="1" applyBorder="1" applyAlignment="1">
      <alignment horizontal="center" vertical="center"/>
    </xf>
    <xf numFmtId="0" fontId="21" fillId="0" borderId="129" xfId="0" applyFont="1" applyBorder="1" applyAlignment="1">
      <alignment horizontal="center" vertical="center"/>
    </xf>
    <xf numFmtId="0" fontId="21" fillId="0" borderId="72" xfId="0" applyFont="1" applyBorder="1" applyAlignment="1">
      <alignment horizontal="center" vertical="center" wrapText="1"/>
    </xf>
    <xf numFmtId="0" fontId="21" fillId="0" borderId="73" xfId="0" applyFont="1" applyBorder="1" applyAlignment="1">
      <alignment horizontal="center" vertical="center" wrapText="1"/>
    </xf>
    <xf numFmtId="0" fontId="21" fillId="0" borderId="113" xfId="0" applyFont="1" applyBorder="1" applyAlignment="1">
      <alignment horizontal="center" vertical="center" wrapText="1"/>
    </xf>
    <xf numFmtId="0" fontId="21" fillId="0" borderId="168" xfId="0" applyFont="1" applyBorder="1" applyAlignment="1">
      <alignment horizontal="center" vertical="center" wrapText="1"/>
    </xf>
    <xf numFmtId="0" fontId="21" fillId="0" borderId="170" xfId="0" applyFont="1" applyBorder="1" applyAlignment="1">
      <alignment horizontal="center" vertical="center" wrapText="1"/>
    </xf>
    <xf numFmtId="0" fontId="21" fillId="0" borderId="172" xfId="0" applyFont="1" applyBorder="1" applyAlignment="1">
      <alignment horizontal="center" vertical="center"/>
    </xf>
    <xf numFmtId="0" fontId="21" fillId="0" borderId="152" xfId="0" applyFont="1" applyBorder="1" applyAlignment="1">
      <alignment horizontal="center" vertical="center" wrapText="1"/>
    </xf>
    <xf numFmtId="0" fontId="21" fillId="0" borderId="151" xfId="0" applyFont="1" applyBorder="1" applyAlignment="1">
      <alignment horizontal="center" vertical="center" wrapText="1"/>
    </xf>
    <xf numFmtId="0" fontId="21" fillId="0" borderId="17" xfId="0" applyFont="1" applyBorder="1" applyAlignment="1">
      <alignment horizontal="center" vertical="center"/>
    </xf>
    <xf numFmtId="0" fontId="21" fillId="0" borderId="2" xfId="0" applyFont="1" applyBorder="1" applyAlignment="1">
      <alignment horizontal="center" vertical="center"/>
    </xf>
    <xf numFmtId="0" fontId="21" fillId="0" borderId="11" xfId="0" applyFont="1" applyBorder="1" applyAlignment="1">
      <alignment horizontal="center" vertical="center"/>
    </xf>
    <xf numFmtId="0" fontId="21" fillId="0" borderId="141" xfId="0" applyFont="1" applyBorder="1" applyAlignment="1">
      <alignment horizontal="center" vertical="center" wrapText="1"/>
    </xf>
    <xf numFmtId="0" fontId="21" fillId="0" borderId="117" xfId="0" applyFont="1" applyBorder="1" applyAlignment="1">
      <alignment horizontal="center" vertical="center"/>
    </xf>
    <xf numFmtId="0" fontId="21" fillId="0" borderId="145" xfId="0" applyFont="1" applyBorder="1" applyAlignment="1">
      <alignment horizontal="center" vertical="center"/>
    </xf>
    <xf numFmtId="0" fontId="21" fillId="0" borderId="115" xfId="0" applyFont="1" applyBorder="1" applyAlignment="1">
      <alignment horizontal="center" vertical="center" wrapText="1"/>
    </xf>
    <xf numFmtId="0" fontId="21" fillId="0" borderId="119" xfId="0" applyFont="1" applyBorder="1" applyAlignment="1">
      <alignment horizontal="center" vertical="center"/>
    </xf>
    <xf numFmtId="0" fontId="21" fillId="0" borderId="17" xfId="0" applyFont="1" applyBorder="1" applyAlignment="1">
      <alignment horizontal="center" vertical="center" wrapText="1"/>
    </xf>
    <xf numFmtId="0" fontId="21" fillId="0" borderId="2" xfId="0" applyFont="1" applyBorder="1" applyAlignment="1">
      <alignment horizontal="center" vertical="center" wrapText="1"/>
    </xf>
    <xf numFmtId="0" fontId="21" fillId="0" borderId="11" xfId="0" applyFont="1" applyBorder="1" applyAlignment="1">
      <alignment horizontal="center" vertical="center" wrapText="1"/>
    </xf>
    <xf numFmtId="0" fontId="21" fillId="0" borderId="167" xfId="0" applyFont="1" applyBorder="1" applyAlignment="1">
      <alignment horizontal="center" vertical="center"/>
    </xf>
    <xf numFmtId="0" fontId="21" fillId="0" borderId="77" xfId="0" applyFont="1" applyBorder="1" applyAlignment="1">
      <alignment horizontal="center" vertical="center" wrapText="1"/>
    </xf>
    <xf numFmtId="0" fontId="21" fillId="0" borderId="103" xfId="0" applyFont="1" applyBorder="1" applyAlignment="1">
      <alignment horizontal="center" vertical="center" wrapText="1"/>
    </xf>
    <xf numFmtId="0" fontId="21" fillId="0" borderId="112" xfId="0" applyFont="1" applyBorder="1" applyAlignment="1">
      <alignment horizontal="center" vertical="center" wrapText="1"/>
    </xf>
    <xf numFmtId="3" fontId="21" fillId="0" borderId="71" xfId="0" applyNumberFormat="1" applyFont="1" applyBorder="1" applyAlignment="1">
      <alignment horizontal="center" vertical="center"/>
    </xf>
    <xf numFmtId="0" fontId="21" fillId="0" borderId="51" xfId="0" applyFont="1" applyBorder="1" applyAlignment="1">
      <alignment horizontal="center" vertical="center"/>
    </xf>
    <xf numFmtId="0" fontId="21" fillId="0" borderId="52" xfId="0" applyFont="1" applyBorder="1" applyAlignment="1">
      <alignment horizontal="center" vertical="center"/>
    </xf>
    <xf numFmtId="0" fontId="21" fillId="0" borderId="71" xfId="0" applyFont="1" applyBorder="1" applyAlignment="1">
      <alignment horizontal="center" vertical="center"/>
    </xf>
    <xf numFmtId="0" fontId="21" fillId="0" borderId="88" xfId="0" applyFont="1" applyBorder="1" applyAlignment="1">
      <alignment horizontal="center" vertical="center" wrapText="1"/>
    </xf>
    <xf numFmtId="0" fontId="21" fillId="0" borderId="6" xfId="0" applyFont="1" applyBorder="1" applyAlignment="1">
      <alignment horizontal="center" vertical="center"/>
    </xf>
    <xf numFmtId="0" fontId="21" fillId="0" borderId="63" xfId="0" applyFont="1" applyBorder="1" applyAlignment="1">
      <alignment horizontal="center" vertical="center"/>
    </xf>
    <xf numFmtId="0" fontId="7" fillId="5" borderId="55" xfId="0" applyFont="1" applyFill="1" applyBorder="1" applyAlignment="1">
      <alignment horizontal="center" vertical="center"/>
    </xf>
    <xf numFmtId="0" fontId="7" fillId="5" borderId="0" xfId="0" applyFont="1" applyFill="1" applyAlignment="1">
      <alignment horizontal="center" vertical="center"/>
    </xf>
    <xf numFmtId="0" fontId="7" fillId="5" borderId="56" xfId="0" applyFont="1" applyFill="1" applyBorder="1" applyAlignment="1">
      <alignment horizontal="center" vertical="center"/>
    </xf>
    <xf numFmtId="0" fontId="36" fillId="0" borderId="128" xfId="0" applyFont="1" applyBorder="1" applyAlignment="1">
      <alignment horizontal="center" vertical="center"/>
    </xf>
    <xf numFmtId="0" fontId="36" fillId="0" borderId="15" xfId="0" applyFont="1" applyBorder="1" applyAlignment="1">
      <alignment horizontal="center" vertical="center"/>
    </xf>
    <xf numFmtId="0" fontId="36" fillId="0" borderId="129" xfId="0" applyFont="1" applyBorder="1" applyAlignment="1">
      <alignment horizontal="center" vertical="center"/>
    </xf>
    <xf numFmtId="0" fontId="36" fillId="0" borderId="72" xfId="0" applyFont="1" applyBorder="1" applyAlignment="1">
      <alignment horizontal="center" vertical="center" wrapText="1"/>
    </xf>
    <xf numFmtId="0" fontId="36" fillId="0" borderId="73" xfId="0" applyFont="1" applyBorder="1" applyAlignment="1">
      <alignment horizontal="center" vertical="center" wrapText="1"/>
    </xf>
    <xf numFmtId="0" fontId="36" fillId="0" borderId="113" xfId="0" applyFont="1" applyBorder="1" applyAlignment="1">
      <alignment horizontal="center" vertical="center" wrapText="1"/>
    </xf>
    <xf numFmtId="0" fontId="27" fillId="7" borderId="19" xfId="0" applyFont="1" applyFill="1" applyBorder="1" applyAlignment="1">
      <alignment horizontal="center" vertical="center" wrapText="1"/>
    </xf>
    <xf numFmtId="0" fontId="7" fillId="5" borderId="3" xfId="0" applyFont="1" applyFill="1" applyBorder="1" applyAlignment="1">
      <alignment horizontal="center" vertical="center"/>
    </xf>
    <xf numFmtId="0" fontId="7" fillId="5" borderId="9" xfId="0" applyFont="1" applyFill="1" applyBorder="1" applyAlignment="1">
      <alignment horizontal="center" vertical="center"/>
    </xf>
    <xf numFmtId="3" fontId="21" fillId="0" borderId="140" xfId="0" applyNumberFormat="1" applyFont="1" applyBorder="1" applyAlignment="1">
      <alignment horizontal="center" vertical="center" wrapText="1"/>
    </xf>
    <xf numFmtId="0" fontId="21" fillId="0" borderId="65" xfId="0" applyFont="1" applyBorder="1" applyAlignment="1">
      <alignment horizontal="center" vertical="center" wrapText="1"/>
    </xf>
    <xf numFmtId="0" fontId="21" fillId="0" borderId="144" xfId="0" applyFont="1" applyBorder="1" applyAlignment="1">
      <alignment horizontal="center" vertical="center" wrapText="1"/>
    </xf>
    <xf numFmtId="0" fontId="7" fillId="5" borderId="11" xfId="0" applyFont="1" applyFill="1" applyBorder="1" applyAlignment="1">
      <alignment horizontal="center" vertical="center"/>
    </xf>
    <xf numFmtId="0" fontId="21" fillId="0" borderId="179" xfId="0" applyFont="1" applyBorder="1" applyAlignment="1">
      <alignment horizontal="center" vertical="center" wrapText="1"/>
    </xf>
    <xf numFmtId="0" fontId="21" fillId="0" borderId="182" xfId="0" applyFont="1" applyBorder="1" applyAlignment="1">
      <alignment horizontal="center" vertical="center" wrapText="1"/>
    </xf>
    <xf numFmtId="0" fontId="21" fillId="0" borderId="173" xfId="0" applyFont="1" applyBorder="1" applyAlignment="1">
      <alignment horizontal="center" vertical="center" wrapText="1"/>
    </xf>
    <xf numFmtId="0" fontId="21" fillId="0" borderId="183" xfId="0" applyFont="1" applyBorder="1" applyAlignment="1">
      <alignment horizontal="center" vertical="center" wrapText="1"/>
    </xf>
    <xf numFmtId="0" fontId="21" fillId="0" borderId="170" xfId="0" applyFont="1" applyBorder="1" applyAlignment="1">
      <alignment horizontal="center" vertical="center"/>
    </xf>
    <xf numFmtId="0" fontId="21" fillId="0" borderId="74" xfId="0" applyFont="1" applyBorder="1" applyAlignment="1">
      <alignment horizontal="center" vertical="center"/>
    </xf>
    <xf numFmtId="0" fontId="36" fillId="0" borderId="71" xfId="0" applyFont="1" applyBorder="1" applyAlignment="1">
      <alignment horizontal="center" vertical="center" wrapText="1"/>
    </xf>
    <xf numFmtId="0" fontId="36" fillId="0" borderId="53" xfId="0" applyFont="1" applyBorder="1" applyAlignment="1">
      <alignment horizontal="center" vertical="center" wrapText="1"/>
    </xf>
    <xf numFmtId="0" fontId="36" fillId="0" borderId="85" xfId="0" applyFont="1" applyBorder="1" applyAlignment="1">
      <alignment horizontal="center" vertical="center" wrapText="1"/>
    </xf>
    <xf numFmtId="0" fontId="21" fillId="0" borderId="105" xfId="0" applyFont="1" applyBorder="1" applyAlignment="1">
      <alignment horizontal="center" vertical="center" wrapText="1"/>
    </xf>
    <xf numFmtId="0" fontId="21" fillId="0" borderId="101" xfId="0" applyFont="1" applyBorder="1" applyAlignment="1">
      <alignment horizontal="center" vertical="center" wrapText="1"/>
    </xf>
    <xf numFmtId="0" fontId="21" fillId="0" borderId="104" xfId="0" applyFont="1" applyBorder="1" applyAlignment="1">
      <alignment horizontal="center" vertical="center" wrapText="1"/>
    </xf>
    <xf numFmtId="0" fontId="21" fillId="0" borderId="146" xfId="0" applyFont="1" applyBorder="1" applyAlignment="1">
      <alignment horizontal="center" vertical="center" wrapText="1"/>
    </xf>
    <xf numFmtId="0" fontId="21" fillId="0" borderId="148" xfId="0" applyFont="1" applyBorder="1" applyAlignment="1">
      <alignment horizontal="center" vertical="center" wrapText="1"/>
    </xf>
    <xf numFmtId="0" fontId="21" fillId="0" borderId="149" xfId="0" applyFont="1" applyBorder="1" applyAlignment="1">
      <alignment horizontal="center" vertical="center" wrapText="1"/>
    </xf>
    <xf numFmtId="0" fontId="21" fillId="0" borderId="54" xfId="0" applyFont="1" applyBorder="1" applyAlignment="1">
      <alignment horizontal="center" vertical="center"/>
    </xf>
    <xf numFmtId="0" fontId="21" fillId="0" borderId="89" xfId="0" applyFont="1" applyBorder="1" applyAlignment="1">
      <alignment horizontal="center" vertical="center" wrapText="1"/>
    </xf>
    <xf numFmtId="0" fontId="21" fillId="0" borderId="93" xfId="0" applyFont="1" applyBorder="1" applyAlignment="1">
      <alignment horizontal="center" vertical="center" wrapText="1"/>
    </xf>
    <xf numFmtId="0" fontId="21" fillId="0" borderId="95" xfId="0" applyFont="1" applyBorder="1" applyAlignment="1">
      <alignment horizontal="center" vertical="center" wrapText="1"/>
    </xf>
    <xf numFmtId="0" fontId="21" fillId="0" borderId="82" xfId="0" applyFont="1" applyBorder="1" applyAlignment="1">
      <alignment horizontal="center" vertical="center"/>
    </xf>
    <xf numFmtId="0" fontId="21" fillId="0" borderId="83" xfId="0" applyFont="1" applyBorder="1" applyAlignment="1">
      <alignment horizontal="center" vertical="center"/>
    </xf>
    <xf numFmtId="0" fontId="36" fillId="0" borderId="82" xfId="0" applyFont="1" applyBorder="1" applyAlignment="1">
      <alignment horizontal="center" vertical="center" wrapText="1"/>
    </xf>
    <xf numFmtId="0" fontId="36" fillId="0" borderId="96" xfId="0" applyFont="1" applyBorder="1" applyAlignment="1">
      <alignment horizontal="center" vertical="center" wrapText="1"/>
    </xf>
    <xf numFmtId="0" fontId="21" fillId="0" borderId="90" xfId="0" applyFont="1" applyBorder="1" applyAlignment="1">
      <alignment horizontal="center" vertical="center" wrapText="1"/>
    </xf>
    <xf numFmtId="0" fontId="21" fillId="0" borderId="6" xfId="0" applyFont="1" applyBorder="1" applyAlignment="1">
      <alignment horizontal="center" vertical="center" wrapText="1"/>
    </xf>
    <xf numFmtId="0" fontId="21" fillId="0" borderId="97" xfId="0" applyFont="1" applyBorder="1" applyAlignment="1">
      <alignment horizontal="center" vertical="center" wrapText="1"/>
    </xf>
    <xf numFmtId="0" fontId="21" fillId="0" borderId="100" xfId="0" applyFont="1" applyBorder="1" applyAlignment="1">
      <alignment horizontal="center" vertical="center" wrapText="1"/>
    </xf>
    <xf numFmtId="0" fontId="21" fillId="0" borderId="78" xfId="0" applyFont="1" applyBorder="1" applyAlignment="1">
      <alignment horizontal="center" vertical="center" wrapText="1"/>
    </xf>
    <xf numFmtId="0" fontId="36" fillId="0" borderId="54" xfId="0" applyFont="1" applyBorder="1" applyAlignment="1">
      <alignment horizontal="center" vertical="center" wrapText="1"/>
    </xf>
    <xf numFmtId="0" fontId="21" fillId="0" borderId="84" xfId="0" applyFont="1" applyBorder="1" applyAlignment="1">
      <alignment horizontal="center" vertical="center"/>
    </xf>
    <xf numFmtId="0" fontId="21" fillId="0" borderId="53" xfId="0" applyFont="1" applyBorder="1" applyAlignment="1">
      <alignment horizontal="center" vertical="center"/>
    </xf>
    <xf numFmtId="0" fontId="21" fillId="0" borderId="85" xfId="0" applyFont="1" applyBorder="1" applyAlignment="1">
      <alignment horizontal="center" vertical="center"/>
    </xf>
    <xf numFmtId="0" fontId="36" fillId="0" borderId="84" xfId="0" applyFont="1" applyBorder="1" applyAlignment="1">
      <alignment horizontal="center" vertical="center" wrapText="1"/>
    </xf>
    <xf numFmtId="0" fontId="36" fillId="0" borderId="52" xfId="0" applyFont="1" applyBorder="1" applyAlignment="1">
      <alignment horizontal="center" vertical="center"/>
    </xf>
    <xf numFmtId="0" fontId="36" fillId="0" borderId="51" xfId="0" applyFont="1" applyBorder="1" applyAlignment="1">
      <alignment horizontal="center" vertical="center" wrapText="1"/>
    </xf>
    <xf numFmtId="0" fontId="36" fillId="0" borderId="52" xfId="0" applyFont="1" applyBorder="1" applyAlignment="1">
      <alignment horizontal="center" vertical="center" wrapText="1"/>
    </xf>
    <xf numFmtId="0" fontId="36" fillId="0" borderId="75" xfId="0" applyFont="1" applyBorder="1" applyAlignment="1">
      <alignment horizontal="center" vertical="center" wrapText="1"/>
    </xf>
    <xf numFmtId="0" fontId="36" fillId="0" borderId="74" xfId="0" applyFont="1" applyBorder="1" applyAlignment="1">
      <alignment horizontal="center" vertical="center" wrapText="1"/>
    </xf>
    <xf numFmtId="0" fontId="21" fillId="0" borderId="54" xfId="0" applyFont="1" applyBorder="1" applyAlignment="1">
      <alignment horizontal="center" vertical="center" wrapText="1"/>
    </xf>
    <xf numFmtId="0" fontId="21" fillId="0" borderId="51" xfId="0" applyFont="1" applyBorder="1" applyAlignment="1">
      <alignment horizontal="center" vertical="center" wrapText="1"/>
    </xf>
    <xf numFmtId="0" fontId="21" fillId="0" borderId="52" xfId="0" applyFont="1" applyBorder="1" applyAlignment="1">
      <alignment horizontal="center" vertical="center" wrapText="1"/>
    </xf>
    <xf numFmtId="0" fontId="21" fillId="0" borderId="131" xfId="0" applyFont="1" applyBorder="1" applyAlignment="1">
      <alignment horizontal="center" vertical="center" wrapText="1"/>
    </xf>
    <xf numFmtId="0" fontId="21" fillId="0" borderId="136" xfId="0" applyFont="1" applyBorder="1" applyAlignment="1">
      <alignment horizontal="center" vertical="center" wrapText="1"/>
    </xf>
    <xf numFmtId="0" fontId="21" fillId="0" borderId="132" xfId="0" applyFont="1" applyBorder="1" applyAlignment="1">
      <alignment horizontal="center" vertical="center" wrapText="1"/>
    </xf>
    <xf numFmtId="0" fontId="21" fillId="0" borderId="134" xfId="0" applyFont="1" applyBorder="1" applyAlignment="1">
      <alignment horizontal="center" vertical="center" wrapText="1"/>
    </xf>
    <xf numFmtId="0" fontId="21" fillId="0" borderId="137" xfId="0" applyFont="1" applyBorder="1" applyAlignment="1">
      <alignment horizontal="center" vertical="center" wrapText="1"/>
    </xf>
    <xf numFmtId="0" fontId="45" fillId="0" borderId="152" xfId="0" applyFont="1" applyBorder="1" applyAlignment="1">
      <alignment horizontal="center" vertical="center" wrapText="1"/>
    </xf>
    <xf numFmtId="0" fontId="45" fillId="0" borderId="142" xfId="0" applyFont="1" applyBorder="1" applyAlignment="1">
      <alignment horizontal="center" vertical="center" wrapText="1"/>
    </xf>
    <xf numFmtId="0" fontId="45" fillId="0" borderId="143" xfId="0" applyFont="1" applyBorder="1" applyAlignment="1">
      <alignment horizontal="center" vertical="center" wrapText="1"/>
    </xf>
    <xf numFmtId="3" fontId="45" fillId="0" borderId="68" xfId="0" applyNumberFormat="1" applyFont="1" applyBorder="1" applyAlignment="1">
      <alignment horizontal="center" vertical="center"/>
    </xf>
    <xf numFmtId="0" fontId="45" fillId="0" borderId="65" xfId="0" applyFont="1" applyBorder="1" applyAlignment="1">
      <alignment horizontal="center" vertical="center"/>
    </xf>
    <xf numFmtId="0" fontId="45" fillId="0" borderId="144" xfId="0" applyFont="1" applyBorder="1" applyAlignment="1">
      <alignment horizontal="center" vertical="center"/>
    </xf>
    <xf numFmtId="0" fontId="45" fillId="0" borderId="68" xfId="0" applyFont="1" applyBorder="1" applyAlignment="1">
      <alignment horizontal="center" vertical="center"/>
    </xf>
    <xf numFmtId="0" fontId="45" fillId="0" borderId="66" xfId="0" applyFont="1" applyBorder="1" applyAlignment="1">
      <alignment horizontal="center" vertical="center"/>
    </xf>
    <xf numFmtId="0" fontId="45" fillId="0" borderId="115" xfId="0" applyFont="1" applyBorder="1" applyAlignment="1">
      <alignment horizontal="center" vertical="center" wrapText="1"/>
    </xf>
    <xf numFmtId="0" fontId="45" fillId="0" borderId="117" xfId="0" applyFont="1" applyBorder="1" applyAlignment="1">
      <alignment horizontal="center" vertical="center"/>
    </xf>
    <xf numFmtId="0" fontId="45" fillId="0" borderId="119" xfId="0" applyFont="1" applyBorder="1" applyAlignment="1">
      <alignment horizontal="center" vertical="center"/>
    </xf>
    <xf numFmtId="0" fontId="45" fillId="0" borderId="147" xfId="0" applyFont="1" applyBorder="1" applyAlignment="1">
      <alignment horizontal="center" vertical="center"/>
    </xf>
    <xf numFmtId="0" fontId="45" fillId="0" borderId="67" xfId="0" applyFont="1" applyBorder="1" applyAlignment="1">
      <alignment horizontal="center" vertical="center"/>
    </xf>
    <xf numFmtId="0" fontId="45" fillId="0" borderId="150" xfId="0" applyFont="1" applyBorder="1" applyAlignment="1">
      <alignment horizontal="center" vertical="center"/>
    </xf>
    <xf numFmtId="0" fontId="45" fillId="0" borderId="141" xfId="0" applyFont="1" applyBorder="1" applyAlignment="1">
      <alignment horizontal="center" vertical="center" wrapText="1"/>
    </xf>
    <xf numFmtId="0" fontId="45" fillId="0" borderId="145" xfId="0" applyFont="1" applyBorder="1" applyAlignment="1">
      <alignment horizontal="center" vertical="center"/>
    </xf>
    <xf numFmtId="0" fontId="38" fillId="5" borderId="55" xfId="0" applyFont="1" applyFill="1" applyBorder="1" applyAlignment="1">
      <alignment horizontal="center" vertical="center"/>
    </xf>
    <xf numFmtId="0" fontId="38" fillId="5" borderId="0" xfId="0" applyFont="1" applyFill="1" applyAlignment="1">
      <alignment horizontal="center" vertical="center"/>
    </xf>
    <xf numFmtId="0" fontId="38" fillId="5" borderId="56" xfId="0" applyFont="1" applyFill="1" applyBorder="1" applyAlignment="1">
      <alignment horizontal="center" vertical="center"/>
    </xf>
    <xf numFmtId="0" fontId="45" fillId="0" borderId="139" xfId="0" applyFont="1" applyBorder="1" applyAlignment="1">
      <alignment horizontal="center" vertical="center" wrapText="1"/>
    </xf>
    <xf numFmtId="3" fontId="45" fillId="0" borderId="140" xfId="0" applyNumberFormat="1" applyFont="1" applyBorder="1" applyAlignment="1">
      <alignment horizontal="center" vertical="center" wrapText="1"/>
    </xf>
    <xf numFmtId="0" fontId="45" fillId="0" borderId="65" xfId="0" applyFont="1" applyBorder="1" applyAlignment="1">
      <alignment horizontal="center" vertical="center" wrapText="1"/>
    </xf>
    <xf numFmtId="0" fontId="45" fillId="0" borderId="144" xfId="0" applyFont="1" applyBorder="1" applyAlignment="1">
      <alignment horizontal="center" vertical="center" wrapText="1"/>
    </xf>
    <xf numFmtId="0" fontId="45" fillId="0" borderId="140" xfId="0" applyFont="1" applyBorder="1" applyAlignment="1">
      <alignment horizontal="center" vertical="center"/>
    </xf>
    <xf numFmtId="0" fontId="45" fillId="0" borderId="179" xfId="0" applyFont="1" applyBorder="1" applyAlignment="1">
      <alignment horizontal="center" vertical="center" wrapText="1"/>
    </xf>
    <xf numFmtId="0" fontId="45" fillId="0" borderId="182" xfId="0" applyFont="1" applyBorder="1" applyAlignment="1">
      <alignment horizontal="center" vertical="center" wrapText="1"/>
    </xf>
    <xf numFmtId="0" fontId="45" fillId="0" borderId="183" xfId="0" applyFont="1" applyBorder="1" applyAlignment="1">
      <alignment horizontal="center" vertical="center" wrapText="1"/>
    </xf>
    <xf numFmtId="3" fontId="45" fillId="0" borderId="167" xfId="0" applyNumberFormat="1" applyFont="1" applyBorder="1" applyAlignment="1">
      <alignment horizontal="center" vertical="center"/>
    </xf>
    <xf numFmtId="0" fontId="45" fillId="0" borderId="172" xfId="0" applyFont="1" applyBorder="1" applyAlignment="1">
      <alignment horizontal="center" vertical="center"/>
    </xf>
    <xf numFmtId="0" fontId="45" fillId="0" borderId="167" xfId="0" applyFont="1" applyBorder="1" applyAlignment="1">
      <alignment horizontal="center" vertical="center"/>
    </xf>
    <xf numFmtId="0" fontId="45" fillId="0" borderId="180" xfId="0" applyFont="1" applyBorder="1" applyAlignment="1">
      <alignment horizontal="center" vertical="center" wrapText="1"/>
    </xf>
    <xf numFmtId="0" fontId="45" fillId="0" borderId="184" xfId="0" applyFont="1" applyBorder="1" applyAlignment="1">
      <alignment horizontal="center" vertical="center"/>
    </xf>
    <xf numFmtId="0" fontId="45" fillId="0" borderId="17" xfId="0" applyFont="1" applyBorder="1" applyAlignment="1">
      <alignment horizontal="center" vertical="center" wrapText="1"/>
    </xf>
    <xf numFmtId="0" fontId="45" fillId="0" borderId="2" xfId="0" applyFont="1" applyBorder="1" applyAlignment="1">
      <alignment horizontal="center" vertical="center" wrapText="1"/>
    </xf>
    <xf numFmtId="0" fontId="45" fillId="0" borderId="11" xfId="0" applyFont="1" applyBorder="1" applyAlignment="1">
      <alignment horizontal="center" vertical="center" wrapText="1"/>
    </xf>
    <xf numFmtId="0" fontId="45" fillId="0" borderId="88" xfId="0" applyFont="1" applyBorder="1" applyAlignment="1">
      <alignment horizontal="center" vertical="center" wrapText="1"/>
    </xf>
    <xf numFmtId="0" fontId="45" fillId="0" borderId="6" xfId="0" applyFont="1" applyBorder="1" applyAlignment="1">
      <alignment horizontal="center" vertical="center"/>
    </xf>
    <xf numFmtId="0" fontId="45" fillId="0" borderId="63" xfId="0" applyFont="1" applyBorder="1" applyAlignment="1">
      <alignment horizontal="center" vertical="center"/>
    </xf>
    <xf numFmtId="0" fontId="45" fillId="0" borderId="174" xfId="0" applyFont="1" applyBorder="1" applyAlignment="1">
      <alignment horizontal="center" vertical="center" wrapText="1"/>
    </xf>
    <xf numFmtId="0" fontId="45" fillId="0" borderId="175" xfId="0" applyFont="1" applyBorder="1" applyAlignment="1">
      <alignment horizontal="center" vertical="center"/>
    </xf>
    <xf numFmtId="0" fontId="45" fillId="0" borderId="176" xfId="0" applyFont="1" applyBorder="1" applyAlignment="1">
      <alignment horizontal="center" vertical="center"/>
    </xf>
    <xf numFmtId="0" fontId="45" fillId="0" borderId="151" xfId="0" applyFont="1" applyBorder="1" applyAlignment="1">
      <alignment horizontal="center" vertical="center" wrapText="1"/>
    </xf>
    <xf numFmtId="0" fontId="45" fillId="0" borderId="188" xfId="0" applyFont="1" applyBorder="1" applyAlignment="1">
      <alignment horizontal="center" vertical="center"/>
    </xf>
    <xf numFmtId="0" fontId="6" fillId="0" borderId="27" xfId="0" applyFont="1" applyBorder="1" applyAlignment="1">
      <alignment horizontal="center" vertical="center"/>
    </xf>
    <xf numFmtId="0" fontId="6" fillId="0" borderId="23" xfId="0" applyFont="1" applyBorder="1" applyAlignment="1">
      <alignment horizontal="center" vertical="center"/>
    </xf>
    <xf numFmtId="0" fontId="6" fillId="0" borderId="24" xfId="0" applyFont="1" applyBorder="1" applyAlignment="1">
      <alignment horizontal="center" vertical="center"/>
    </xf>
    <xf numFmtId="0" fontId="23" fillId="5" borderId="2" xfId="0" applyFont="1" applyFill="1" applyBorder="1" applyAlignment="1">
      <alignment horizontal="center" vertical="center"/>
    </xf>
    <xf numFmtId="0" fontId="23" fillId="5" borderId="11" xfId="0" applyFont="1" applyFill="1" applyBorder="1" applyAlignment="1">
      <alignment horizontal="center" vertical="center"/>
    </xf>
    <xf numFmtId="0" fontId="56" fillId="7" borderId="0" xfId="0" applyFont="1" applyFill="1" applyAlignment="1">
      <alignment horizontal="center" vertical="center" wrapText="1"/>
    </xf>
    <xf numFmtId="0" fontId="0" fillId="0" borderId="0" xfId="0" applyAlignment="1">
      <alignment horizontal="center"/>
    </xf>
    <xf numFmtId="0" fontId="6" fillId="0" borderId="198" xfId="0" applyFont="1" applyBorder="1" applyAlignment="1">
      <alignment horizontal="center" vertical="center"/>
    </xf>
    <xf numFmtId="0" fontId="6" fillId="0" borderId="199" xfId="0" applyFont="1" applyBorder="1" applyAlignment="1">
      <alignment horizontal="center" vertical="center"/>
    </xf>
    <xf numFmtId="0" fontId="8" fillId="0" borderId="200" xfId="5" applyBorder="1" applyAlignment="1">
      <alignment horizontal="center" vertical="center" wrapText="1"/>
    </xf>
    <xf numFmtId="0" fontId="6" fillId="0" borderId="201" xfId="0" applyFont="1" applyBorder="1" applyAlignment="1">
      <alignment horizontal="center" vertical="center"/>
    </xf>
    <xf numFmtId="0" fontId="6" fillId="0" borderId="201" xfId="0" applyFont="1" applyBorder="1" applyAlignment="1">
      <alignment horizontal="center" vertical="center" wrapText="1"/>
    </xf>
    <xf numFmtId="167" fontId="1" fillId="24" borderId="51" xfId="0" applyNumberFormat="1" applyFont="1" applyFill="1" applyBorder="1" applyAlignment="1">
      <alignment horizontal="center" vertical="center"/>
    </xf>
    <xf numFmtId="167" fontId="1" fillId="0" borderId="51" xfId="0" applyNumberFormat="1" applyFont="1" applyBorder="1" applyAlignment="1">
      <alignment horizontal="center" vertical="center"/>
    </xf>
    <xf numFmtId="167" fontId="1" fillId="6" borderId="51" xfId="0" applyNumberFormat="1" applyFont="1" applyFill="1" applyBorder="1" applyAlignment="1">
      <alignment horizontal="center" vertical="center"/>
    </xf>
    <xf numFmtId="167" fontId="1" fillId="4" borderId="51" xfId="0" applyNumberFormat="1" applyFont="1" applyFill="1" applyBorder="1" applyAlignment="1">
      <alignment horizontal="center" vertical="center"/>
    </xf>
    <xf numFmtId="167" fontId="1" fillId="10" borderId="51" xfId="0" applyNumberFormat="1" applyFont="1" applyFill="1" applyBorder="1" applyAlignment="1">
      <alignment horizontal="center" vertical="center"/>
    </xf>
    <xf numFmtId="167" fontId="1" fillId="23" borderId="51" xfId="0" applyNumberFormat="1" applyFont="1" applyFill="1" applyBorder="1" applyAlignment="1">
      <alignment horizontal="center" vertical="center"/>
    </xf>
    <xf numFmtId="2" fontId="1" fillId="0" borderId="51" xfId="0" applyNumberFormat="1" applyFont="1" applyBorder="1" applyAlignment="1">
      <alignment horizontal="center" vertical="center"/>
    </xf>
    <xf numFmtId="2" fontId="1" fillId="6" borderId="51" xfId="0" applyNumberFormat="1" applyFont="1" applyFill="1" applyBorder="1" applyAlignment="1">
      <alignment horizontal="center" vertical="center"/>
    </xf>
    <xf numFmtId="0" fontId="38" fillId="0" borderId="0" xfId="0" applyFont="1" applyFill="1" applyAlignment="1">
      <alignment wrapText="1"/>
    </xf>
    <xf numFmtId="0" fontId="38" fillId="0" borderId="0" xfId="0" applyFont="1" applyFill="1" applyAlignment="1">
      <alignment horizontal="center"/>
    </xf>
    <xf numFmtId="0" fontId="7" fillId="0" borderId="0" xfId="0" applyFont="1" applyFill="1"/>
    <xf numFmtId="0" fontId="7" fillId="0" borderId="0" xfId="0" applyFont="1" applyFill="1" applyAlignment="1">
      <alignment wrapText="1"/>
    </xf>
    <xf numFmtId="0" fontId="7" fillId="0" borderId="0" xfId="0" applyFont="1" applyFill="1" applyAlignment="1">
      <alignment horizontal="left"/>
    </xf>
    <xf numFmtId="0" fontId="20" fillId="0" borderId="51" xfId="0" applyFont="1" applyBorder="1" applyAlignment="1">
      <alignment horizontal="center" vertical="center" wrapText="1"/>
    </xf>
    <xf numFmtId="0" fontId="41" fillId="0" borderId="2" xfId="0" applyFont="1" applyBorder="1" applyAlignment="1">
      <alignment horizontal="center" vertical="center"/>
    </xf>
    <xf numFmtId="0" fontId="41" fillId="0" borderId="2" xfId="0" applyFont="1" applyBorder="1" applyAlignment="1">
      <alignment horizontal="left" vertical="center" wrapText="1"/>
    </xf>
    <xf numFmtId="167" fontId="41" fillId="0" borderId="2" xfId="0" applyNumberFormat="1" applyFont="1" applyBorder="1" applyAlignment="1">
      <alignment horizontal="center" vertical="center"/>
    </xf>
    <xf numFmtId="0" fontId="41" fillId="0" borderId="2" xfId="0" applyFont="1" applyBorder="1" applyAlignment="1">
      <alignment wrapText="1"/>
    </xf>
    <xf numFmtId="0" fontId="20" fillId="0" borderId="2" xfId="0" applyFont="1" applyBorder="1" applyAlignment="1">
      <alignment wrapText="1"/>
    </xf>
    <xf numFmtId="10" fontId="41" fillId="0" borderId="2" xfId="0" applyNumberFormat="1" applyFont="1" applyBorder="1" applyAlignment="1">
      <alignment horizontal="left" vertical="center"/>
    </xf>
    <xf numFmtId="0" fontId="41" fillId="0" borderId="2" xfId="0" applyFont="1" applyBorder="1" applyAlignment="1">
      <alignment horizontal="left" vertical="center"/>
    </xf>
    <xf numFmtId="0" fontId="20" fillId="0" borderId="2" xfId="0" applyFont="1" applyBorder="1" applyAlignment="1">
      <alignment horizontal="left" vertical="center" wrapText="1"/>
    </xf>
    <xf numFmtId="0" fontId="41" fillId="0" borderId="197" xfId="0" applyFont="1" applyBorder="1" applyAlignment="1">
      <alignment horizontal="center" vertical="center"/>
    </xf>
    <xf numFmtId="0" fontId="41" fillId="0" borderId="175" xfId="0" applyFont="1" applyBorder="1" applyAlignment="1">
      <alignment horizontal="center" vertical="center"/>
    </xf>
    <xf numFmtId="0" fontId="41" fillId="0" borderId="188" xfId="0" applyFont="1" applyBorder="1" applyAlignment="1">
      <alignment horizontal="center" vertical="center"/>
    </xf>
    <xf numFmtId="0" fontId="41" fillId="0" borderId="202" xfId="0" applyFont="1" applyBorder="1" applyAlignment="1">
      <alignment horizontal="center" vertical="center"/>
    </xf>
    <xf numFmtId="0" fontId="1" fillId="0" borderId="0" xfId="0" applyFont="1"/>
  </cellXfs>
  <cellStyles count="13">
    <cellStyle name="Comma" xfId="6" builtinId="3"/>
    <cellStyle name="Hyperlink" xfId="5" builtinId="8"/>
    <cellStyle name="Hyperlink 2" xfId="10" xr:uid="{10C1E3C0-F46B-4E25-BD9A-EE5D62F88FF2}"/>
    <cellStyle name="Normal" xfId="0" builtinId="0"/>
    <cellStyle name="Normal 2" xfId="3" xr:uid="{E38C2638-0821-4BB2-9C33-A89D3950ADA6}"/>
    <cellStyle name="Normal 2 2" xfId="4" xr:uid="{7604919E-E68F-4366-A693-6A7B8B8DA661}"/>
    <cellStyle name="Normal 2 3" xfId="9" xr:uid="{8A1E39CD-7ABA-4D79-A464-67010D1209C1}"/>
    <cellStyle name="Normal 3" xfId="7" xr:uid="{1C10DAE4-4F9C-4E19-81E4-5574511A6741}"/>
    <cellStyle name="Normal 4" xfId="11" xr:uid="{43272557-B37F-4996-BC18-AA3EDEAFA379}"/>
    <cellStyle name="Normal 5" xfId="12" xr:uid="{642BE191-BE2F-4847-8420-1C59B95E270E}"/>
    <cellStyle name="Normal_Prototype_Scorecard-LgOffice-2008-03-13" xfId="1" xr:uid="{F839F8A1-86E5-4008-9801-0F032E8A3317}"/>
    <cellStyle name="Percent" xfId="2" builtinId="5"/>
    <cellStyle name="Percent 2" xfId="8" xr:uid="{CB789C3E-741F-4464-8065-385A956411E6}"/>
  </cellStyles>
  <dxfs count="7">
    <dxf>
      <font>
        <b/>
        <i val="0"/>
      </font>
      <fill>
        <patternFill>
          <bgColor theme="0" tint="-0.14996795556505021"/>
        </patternFill>
      </fill>
      <border>
        <left style="thin">
          <color auto="1"/>
        </left>
        <right style="thin">
          <color auto="1"/>
        </right>
        <top style="thin">
          <color auto="1"/>
        </top>
        <bottom style="thin">
          <color auto="1"/>
        </bottom>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font>
        <b/>
        <i val="0"/>
      </font>
    </dxf>
    <dxf>
      <font>
        <b/>
        <i val="0"/>
      </font>
    </dxf>
    <dxf>
      <font>
        <b/>
        <i val="0"/>
      </font>
      <border diagonalDown="1">
        <left style="thin">
          <color auto="1"/>
        </left>
        <right style="thin">
          <color auto="1"/>
        </right>
        <top style="thin">
          <color auto="1"/>
        </top>
        <bottom style="thin">
          <color auto="1"/>
        </bottom>
        <diagonal style="thin">
          <color auto="1"/>
        </diagonal>
        <vertical style="thin">
          <color auto="1"/>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border>
    </dxf>
  </dxfs>
  <tableStyles count="1" defaultTableStyle="TableStyleMedium2" defaultPivotStyle="PivotStyleLight16">
    <tableStyle name="PivotTable Style_MFA1" table="0" count="7" xr9:uid="{14E84246-083A-4927-8273-A88944943105}">
      <tableStyleElement type="wholeTable" dxfId="6"/>
      <tableStyleElement type="headerRow" dxfId="5"/>
      <tableStyleElement type="totalRow" dxfId="4"/>
      <tableStyleElement type="firstColumn" dxfId="3"/>
      <tableStyleElement type="lastColumn" dxfId="2"/>
      <tableStyleElement type="pageFieldLabels" dxfId="1"/>
      <tableStyleElement type="pageFieldValues" dxfId="0"/>
    </tableStyle>
  </tableStyles>
  <colors>
    <mruColors>
      <color rgb="FF8C8C8C"/>
      <color rgb="FFA6A6A6"/>
      <color rgb="FFFF9900"/>
      <color rgb="FFCCCCFF"/>
      <color rgb="FF8238BA"/>
      <color rgb="FFFFEBCD"/>
      <color rgb="FF002F8E"/>
      <color rgb="FF0000CC"/>
      <color rgb="FF2E9F17"/>
      <color rgb="FFFFFA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Occupancy (Living Area)</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c:f>
              <c:strCache>
                <c:ptCount val="1"/>
                <c:pt idx="0">
                  <c:v>Weekday</c:v>
                </c:pt>
              </c:strCache>
            </c:strRef>
          </c:tx>
          <c:spPr>
            <a:ln w="28575" cap="rnd">
              <a:solidFill>
                <a:schemeClr val="accent1"/>
              </a:solidFill>
              <a:round/>
            </a:ln>
            <a:effectLst/>
          </c:spPr>
          <c:marker>
            <c:symbol val="none"/>
          </c:marker>
          <c:val>
            <c:numRef>
              <c:f>Schedules!$F$4:$AC$4</c:f>
              <c:numCache>
                <c:formatCode>0.00</c:formatCode>
                <c:ptCount val="24"/>
                <c:pt idx="0">
                  <c:v>0.9</c:v>
                </c:pt>
                <c:pt idx="1">
                  <c:v>0.9</c:v>
                </c:pt>
                <c:pt idx="2">
                  <c:v>0.9</c:v>
                </c:pt>
                <c:pt idx="3">
                  <c:v>0.9</c:v>
                </c:pt>
                <c:pt idx="4">
                  <c:v>0.9</c:v>
                </c:pt>
                <c:pt idx="5">
                  <c:v>0.9</c:v>
                </c:pt>
                <c:pt idx="6">
                  <c:v>0.7</c:v>
                </c:pt>
                <c:pt idx="7">
                  <c:v>0.4</c:v>
                </c:pt>
                <c:pt idx="8">
                  <c:v>0.4</c:v>
                </c:pt>
                <c:pt idx="9">
                  <c:v>0.2</c:v>
                </c:pt>
                <c:pt idx="10">
                  <c:v>0.2</c:v>
                </c:pt>
                <c:pt idx="11">
                  <c:v>0.2</c:v>
                </c:pt>
                <c:pt idx="12">
                  <c:v>0.2</c:v>
                </c:pt>
                <c:pt idx="13">
                  <c:v>0.2</c:v>
                </c:pt>
                <c:pt idx="14">
                  <c:v>0.2</c:v>
                </c:pt>
                <c:pt idx="15">
                  <c:v>0.3</c:v>
                </c:pt>
                <c:pt idx="16">
                  <c:v>0.5</c:v>
                </c:pt>
                <c:pt idx="17">
                  <c:v>0.5</c:v>
                </c:pt>
                <c:pt idx="18">
                  <c:v>0.5</c:v>
                </c:pt>
                <c:pt idx="19">
                  <c:v>0.7</c:v>
                </c:pt>
                <c:pt idx="20">
                  <c:v>0.7</c:v>
                </c:pt>
                <c:pt idx="21">
                  <c:v>0.8</c:v>
                </c:pt>
                <c:pt idx="22">
                  <c:v>0.9</c:v>
                </c:pt>
                <c:pt idx="23">
                  <c:v>0.9</c:v>
                </c:pt>
              </c:numCache>
            </c:numRef>
          </c:val>
          <c:smooth val="0"/>
          <c:extLst>
            <c:ext xmlns:c16="http://schemas.microsoft.com/office/drawing/2014/chart" uri="{C3380CC4-5D6E-409C-BE32-E72D297353CC}">
              <c16:uniqueId val="{00000000-35CE-4624-B9A9-6B1BB2CB425F}"/>
            </c:ext>
          </c:extLst>
        </c:ser>
        <c:ser>
          <c:idx val="1"/>
          <c:order val="1"/>
          <c:tx>
            <c:strRef>
              <c:f>Schedules!$E$5</c:f>
              <c:strCache>
                <c:ptCount val="1"/>
                <c:pt idx="0">
                  <c:v>Saturday</c:v>
                </c:pt>
              </c:strCache>
            </c:strRef>
          </c:tx>
          <c:spPr>
            <a:ln w="28575" cap="rnd">
              <a:solidFill>
                <a:schemeClr val="accent2"/>
              </a:solidFill>
              <a:round/>
            </a:ln>
            <a:effectLst/>
          </c:spPr>
          <c:marker>
            <c:symbol val="none"/>
          </c:marker>
          <c:val>
            <c:numRef>
              <c:f>Schedules!$F$5:$AC$5</c:f>
              <c:numCache>
                <c:formatCode>0.00</c:formatCode>
                <c:ptCount val="24"/>
                <c:pt idx="0">
                  <c:v>0.9</c:v>
                </c:pt>
                <c:pt idx="1">
                  <c:v>0.9</c:v>
                </c:pt>
                <c:pt idx="2">
                  <c:v>0.9</c:v>
                </c:pt>
                <c:pt idx="3">
                  <c:v>0.9</c:v>
                </c:pt>
                <c:pt idx="4">
                  <c:v>0.9</c:v>
                </c:pt>
                <c:pt idx="5">
                  <c:v>0.9</c:v>
                </c:pt>
                <c:pt idx="6">
                  <c:v>0.7</c:v>
                </c:pt>
                <c:pt idx="7">
                  <c:v>0.4</c:v>
                </c:pt>
                <c:pt idx="8">
                  <c:v>0.4</c:v>
                </c:pt>
                <c:pt idx="9">
                  <c:v>0.2</c:v>
                </c:pt>
                <c:pt idx="10">
                  <c:v>0.2</c:v>
                </c:pt>
                <c:pt idx="11">
                  <c:v>0.2</c:v>
                </c:pt>
                <c:pt idx="12">
                  <c:v>0.2</c:v>
                </c:pt>
                <c:pt idx="13">
                  <c:v>0.2</c:v>
                </c:pt>
                <c:pt idx="14">
                  <c:v>0.2</c:v>
                </c:pt>
                <c:pt idx="15">
                  <c:v>0.3</c:v>
                </c:pt>
                <c:pt idx="16">
                  <c:v>0.5</c:v>
                </c:pt>
                <c:pt idx="17">
                  <c:v>0.5</c:v>
                </c:pt>
                <c:pt idx="18">
                  <c:v>0.5</c:v>
                </c:pt>
                <c:pt idx="19">
                  <c:v>0.7</c:v>
                </c:pt>
                <c:pt idx="20">
                  <c:v>0.7</c:v>
                </c:pt>
                <c:pt idx="21">
                  <c:v>0.8</c:v>
                </c:pt>
                <c:pt idx="22">
                  <c:v>0.9</c:v>
                </c:pt>
                <c:pt idx="23">
                  <c:v>0.9</c:v>
                </c:pt>
              </c:numCache>
            </c:numRef>
          </c:val>
          <c:smooth val="0"/>
          <c:extLst>
            <c:ext xmlns:c16="http://schemas.microsoft.com/office/drawing/2014/chart" uri="{C3380CC4-5D6E-409C-BE32-E72D297353CC}">
              <c16:uniqueId val="{00000001-35CE-4624-B9A9-6B1BB2CB425F}"/>
            </c:ext>
          </c:extLst>
        </c:ser>
        <c:ser>
          <c:idx val="2"/>
          <c:order val="2"/>
          <c:tx>
            <c:strRef>
              <c:f>Schedules!$E$6</c:f>
              <c:strCache>
                <c:ptCount val="1"/>
                <c:pt idx="0">
                  <c:v>Sunday</c:v>
                </c:pt>
              </c:strCache>
            </c:strRef>
          </c:tx>
          <c:spPr>
            <a:ln w="28575" cap="rnd">
              <a:solidFill>
                <a:schemeClr val="accent3"/>
              </a:solidFill>
              <a:round/>
            </a:ln>
            <a:effectLst/>
          </c:spPr>
          <c:marker>
            <c:symbol val="none"/>
          </c:marker>
          <c:val>
            <c:numRef>
              <c:f>Schedules!$F$6:$AC$6</c:f>
              <c:numCache>
                <c:formatCode>0.00</c:formatCode>
                <c:ptCount val="24"/>
                <c:pt idx="0">
                  <c:v>0.9</c:v>
                </c:pt>
                <c:pt idx="1">
                  <c:v>0.9</c:v>
                </c:pt>
                <c:pt idx="2">
                  <c:v>0.9</c:v>
                </c:pt>
                <c:pt idx="3">
                  <c:v>0.9</c:v>
                </c:pt>
                <c:pt idx="4">
                  <c:v>0.9</c:v>
                </c:pt>
                <c:pt idx="5">
                  <c:v>0.9</c:v>
                </c:pt>
                <c:pt idx="6">
                  <c:v>0.7</c:v>
                </c:pt>
                <c:pt idx="7">
                  <c:v>0.4</c:v>
                </c:pt>
                <c:pt idx="8">
                  <c:v>0.4</c:v>
                </c:pt>
                <c:pt idx="9">
                  <c:v>0.2</c:v>
                </c:pt>
                <c:pt idx="10">
                  <c:v>0.2</c:v>
                </c:pt>
                <c:pt idx="11">
                  <c:v>0.2</c:v>
                </c:pt>
                <c:pt idx="12">
                  <c:v>0.2</c:v>
                </c:pt>
                <c:pt idx="13">
                  <c:v>0.2</c:v>
                </c:pt>
                <c:pt idx="14">
                  <c:v>0.2</c:v>
                </c:pt>
                <c:pt idx="15">
                  <c:v>0.3</c:v>
                </c:pt>
                <c:pt idx="16">
                  <c:v>0.5</c:v>
                </c:pt>
                <c:pt idx="17">
                  <c:v>0.5</c:v>
                </c:pt>
                <c:pt idx="18">
                  <c:v>0.5</c:v>
                </c:pt>
                <c:pt idx="19">
                  <c:v>0.7</c:v>
                </c:pt>
                <c:pt idx="20">
                  <c:v>0.7</c:v>
                </c:pt>
                <c:pt idx="21">
                  <c:v>0.8</c:v>
                </c:pt>
                <c:pt idx="22">
                  <c:v>0.9</c:v>
                </c:pt>
                <c:pt idx="23">
                  <c:v>0.9</c:v>
                </c:pt>
              </c:numCache>
            </c:numRef>
          </c:val>
          <c:smooth val="0"/>
          <c:extLst>
            <c:ext xmlns:c16="http://schemas.microsoft.com/office/drawing/2014/chart" uri="{C3380CC4-5D6E-409C-BE32-E72D297353CC}">
              <c16:uniqueId val="{00000002-35CE-4624-B9A9-6B1BB2CB425F}"/>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Lighting (Living Area)</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c:f>
              <c:strCache>
                <c:ptCount val="1"/>
                <c:pt idx="0">
                  <c:v>Weekday</c:v>
                </c:pt>
              </c:strCache>
            </c:strRef>
          </c:tx>
          <c:spPr>
            <a:ln w="28575" cap="rnd">
              <a:solidFill>
                <a:schemeClr val="accent1"/>
              </a:solidFill>
              <a:round/>
            </a:ln>
            <a:effectLst/>
          </c:spPr>
          <c:marker>
            <c:symbol val="none"/>
          </c:marker>
          <c:val>
            <c:numRef>
              <c:f>Schedules!$F$7:$AC$7</c:f>
              <c:numCache>
                <c:formatCode>0.00</c:formatCode>
                <c:ptCount val="24"/>
                <c:pt idx="0">
                  <c:v>0.1</c:v>
                </c:pt>
                <c:pt idx="1">
                  <c:v>0.1</c:v>
                </c:pt>
                <c:pt idx="2">
                  <c:v>0.1</c:v>
                </c:pt>
                <c:pt idx="3">
                  <c:v>0.1</c:v>
                </c:pt>
                <c:pt idx="4">
                  <c:v>0.1</c:v>
                </c:pt>
                <c:pt idx="5">
                  <c:v>0.3</c:v>
                </c:pt>
                <c:pt idx="6">
                  <c:v>0.45</c:v>
                </c:pt>
                <c:pt idx="7">
                  <c:v>0.45</c:v>
                </c:pt>
                <c:pt idx="8">
                  <c:v>0.45</c:v>
                </c:pt>
                <c:pt idx="9">
                  <c:v>0.45</c:v>
                </c:pt>
                <c:pt idx="10">
                  <c:v>0.3</c:v>
                </c:pt>
                <c:pt idx="11">
                  <c:v>0.3</c:v>
                </c:pt>
                <c:pt idx="12">
                  <c:v>0.3</c:v>
                </c:pt>
                <c:pt idx="13">
                  <c:v>0.3</c:v>
                </c:pt>
                <c:pt idx="14">
                  <c:v>0.3</c:v>
                </c:pt>
                <c:pt idx="15">
                  <c:v>0.3</c:v>
                </c:pt>
                <c:pt idx="16">
                  <c:v>0.3</c:v>
                </c:pt>
                <c:pt idx="17">
                  <c:v>0.3</c:v>
                </c:pt>
                <c:pt idx="18">
                  <c:v>0.6</c:v>
                </c:pt>
                <c:pt idx="19">
                  <c:v>0.8</c:v>
                </c:pt>
                <c:pt idx="20">
                  <c:v>0.9</c:v>
                </c:pt>
                <c:pt idx="21">
                  <c:v>0.8</c:v>
                </c:pt>
                <c:pt idx="22">
                  <c:v>0.6</c:v>
                </c:pt>
                <c:pt idx="23">
                  <c:v>0.3</c:v>
                </c:pt>
              </c:numCache>
            </c:numRef>
          </c:val>
          <c:smooth val="0"/>
          <c:extLst>
            <c:ext xmlns:c16="http://schemas.microsoft.com/office/drawing/2014/chart" uri="{C3380CC4-5D6E-409C-BE32-E72D297353CC}">
              <c16:uniqueId val="{00000000-D720-48B4-A768-12220D08ABB2}"/>
            </c:ext>
          </c:extLst>
        </c:ser>
        <c:ser>
          <c:idx val="1"/>
          <c:order val="1"/>
          <c:tx>
            <c:strRef>
              <c:f>Schedules!$E$8</c:f>
              <c:strCache>
                <c:ptCount val="1"/>
                <c:pt idx="0">
                  <c:v>Saturday</c:v>
                </c:pt>
              </c:strCache>
            </c:strRef>
          </c:tx>
          <c:spPr>
            <a:ln w="28575" cap="rnd">
              <a:solidFill>
                <a:schemeClr val="accent2"/>
              </a:solidFill>
              <a:round/>
            </a:ln>
            <a:effectLst/>
          </c:spPr>
          <c:marker>
            <c:symbol val="none"/>
          </c:marker>
          <c:val>
            <c:numRef>
              <c:f>Schedules!$F$8:$AC$8</c:f>
              <c:numCache>
                <c:formatCode>0.00</c:formatCode>
                <c:ptCount val="24"/>
                <c:pt idx="0">
                  <c:v>0.1</c:v>
                </c:pt>
                <c:pt idx="1">
                  <c:v>0.1</c:v>
                </c:pt>
                <c:pt idx="2">
                  <c:v>0.1</c:v>
                </c:pt>
                <c:pt idx="3">
                  <c:v>0.1</c:v>
                </c:pt>
                <c:pt idx="4">
                  <c:v>0.1</c:v>
                </c:pt>
                <c:pt idx="5">
                  <c:v>0.3</c:v>
                </c:pt>
                <c:pt idx="6">
                  <c:v>0.45</c:v>
                </c:pt>
                <c:pt idx="7">
                  <c:v>0.45</c:v>
                </c:pt>
                <c:pt idx="8">
                  <c:v>0.45</c:v>
                </c:pt>
                <c:pt idx="9">
                  <c:v>0.45</c:v>
                </c:pt>
                <c:pt idx="10">
                  <c:v>0.3</c:v>
                </c:pt>
                <c:pt idx="11">
                  <c:v>0.3</c:v>
                </c:pt>
                <c:pt idx="12">
                  <c:v>0.3</c:v>
                </c:pt>
                <c:pt idx="13">
                  <c:v>0.3</c:v>
                </c:pt>
                <c:pt idx="14">
                  <c:v>0.3</c:v>
                </c:pt>
                <c:pt idx="15">
                  <c:v>0.3</c:v>
                </c:pt>
                <c:pt idx="16">
                  <c:v>0.3</c:v>
                </c:pt>
                <c:pt idx="17">
                  <c:v>0.3</c:v>
                </c:pt>
                <c:pt idx="18">
                  <c:v>0.6</c:v>
                </c:pt>
                <c:pt idx="19">
                  <c:v>0.8</c:v>
                </c:pt>
                <c:pt idx="20">
                  <c:v>0.9</c:v>
                </c:pt>
                <c:pt idx="21">
                  <c:v>0.8</c:v>
                </c:pt>
                <c:pt idx="22">
                  <c:v>0.6</c:v>
                </c:pt>
                <c:pt idx="23">
                  <c:v>0.3</c:v>
                </c:pt>
              </c:numCache>
            </c:numRef>
          </c:val>
          <c:smooth val="0"/>
          <c:extLst>
            <c:ext xmlns:c16="http://schemas.microsoft.com/office/drawing/2014/chart" uri="{C3380CC4-5D6E-409C-BE32-E72D297353CC}">
              <c16:uniqueId val="{00000001-D720-48B4-A768-12220D08ABB2}"/>
            </c:ext>
          </c:extLst>
        </c:ser>
        <c:ser>
          <c:idx val="2"/>
          <c:order val="2"/>
          <c:tx>
            <c:strRef>
              <c:f>Schedules!$E$9</c:f>
              <c:strCache>
                <c:ptCount val="1"/>
                <c:pt idx="0">
                  <c:v>Sunday</c:v>
                </c:pt>
              </c:strCache>
            </c:strRef>
          </c:tx>
          <c:spPr>
            <a:ln w="28575" cap="rnd">
              <a:solidFill>
                <a:schemeClr val="accent3"/>
              </a:solidFill>
              <a:round/>
            </a:ln>
            <a:effectLst/>
          </c:spPr>
          <c:marker>
            <c:symbol val="none"/>
          </c:marker>
          <c:val>
            <c:numRef>
              <c:f>Schedules!$F$9:$AC$9</c:f>
              <c:numCache>
                <c:formatCode>0.00</c:formatCode>
                <c:ptCount val="24"/>
                <c:pt idx="0">
                  <c:v>0.1</c:v>
                </c:pt>
                <c:pt idx="1">
                  <c:v>0.1</c:v>
                </c:pt>
                <c:pt idx="2">
                  <c:v>0.1</c:v>
                </c:pt>
                <c:pt idx="3">
                  <c:v>0.1</c:v>
                </c:pt>
                <c:pt idx="4">
                  <c:v>0.1</c:v>
                </c:pt>
                <c:pt idx="5">
                  <c:v>0.3</c:v>
                </c:pt>
                <c:pt idx="6">
                  <c:v>0.45</c:v>
                </c:pt>
                <c:pt idx="7">
                  <c:v>0.45</c:v>
                </c:pt>
                <c:pt idx="8">
                  <c:v>0.45</c:v>
                </c:pt>
                <c:pt idx="9">
                  <c:v>0.45</c:v>
                </c:pt>
                <c:pt idx="10">
                  <c:v>0.3</c:v>
                </c:pt>
                <c:pt idx="11">
                  <c:v>0.3</c:v>
                </c:pt>
                <c:pt idx="12">
                  <c:v>0.3</c:v>
                </c:pt>
                <c:pt idx="13">
                  <c:v>0.3</c:v>
                </c:pt>
                <c:pt idx="14">
                  <c:v>0.3</c:v>
                </c:pt>
                <c:pt idx="15">
                  <c:v>0.3</c:v>
                </c:pt>
                <c:pt idx="16">
                  <c:v>0.3</c:v>
                </c:pt>
                <c:pt idx="17">
                  <c:v>0.3</c:v>
                </c:pt>
                <c:pt idx="18">
                  <c:v>0.6</c:v>
                </c:pt>
                <c:pt idx="19">
                  <c:v>0.8</c:v>
                </c:pt>
                <c:pt idx="20">
                  <c:v>0.9</c:v>
                </c:pt>
                <c:pt idx="21">
                  <c:v>0.8</c:v>
                </c:pt>
                <c:pt idx="22">
                  <c:v>0.6</c:v>
                </c:pt>
                <c:pt idx="23">
                  <c:v>0.3</c:v>
                </c:pt>
              </c:numCache>
            </c:numRef>
          </c:val>
          <c:smooth val="0"/>
          <c:extLst>
            <c:ext xmlns:c16="http://schemas.microsoft.com/office/drawing/2014/chart" uri="{C3380CC4-5D6E-409C-BE32-E72D297353CC}">
              <c16:uniqueId val="{00000002-D720-48B4-A768-12220D08ABB2}"/>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Equipment (Living Area)</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Schedules!$F$10:$AC$10</c:f>
              <c:numCache>
                <c:formatCode>0.00</c:formatCode>
                <c:ptCount val="24"/>
                <c:pt idx="0">
                  <c:v>0.1</c:v>
                </c:pt>
                <c:pt idx="1">
                  <c:v>0.1</c:v>
                </c:pt>
                <c:pt idx="2">
                  <c:v>0.1</c:v>
                </c:pt>
                <c:pt idx="3">
                  <c:v>0.1</c:v>
                </c:pt>
                <c:pt idx="4">
                  <c:v>0.1</c:v>
                </c:pt>
                <c:pt idx="5">
                  <c:v>0.3</c:v>
                </c:pt>
                <c:pt idx="6">
                  <c:v>0.45</c:v>
                </c:pt>
                <c:pt idx="7">
                  <c:v>0.45</c:v>
                </c:pt>
                <c:pt idx="8">
                  <c:v>0.45</c:v>
                </c:pt>
                <c:pt idx="9">
                  <c:v>0.45</c:v>
                </c:pt>
                <c:pt idx="10">
                  <c:v>0.3</c:v>
                </c:pt>
                <c:pt idx="11">
                  <c:v>0.3</c:v>
                </c:pt>
                <c:pt idx="12">
                  <c:v>0.3</c:v>
                </c:pt>
                <c:pt idx="13">
                  <c:v>0.3</c:v>
                </c:pt>
                <c:pt idx="14">
                  <c:v>0.3</c:v>
                </c:pt>
                <c:pt idx="15">
                  <c:v>0.3</c:v>
                </c:pt>
                <c:pt idx="16">
                  <c:v>0.3</c:v>
                </c:pt>
                <c:pt idx="17">
                  <c:v>0.3</c:v>
                </c:pt>
                <c:pt idx="18">
                  <c:v>0.6</c:v>
                </c:pt>
                <c:pt idx="19">
                  <c:v>0.8</c:v>
                </c:pt>
                <c:pt idx="20">
                  <c:v>0.9</c:v>
                </c:pt>
                <c:pt idx="21">
                  <c:v>0.8</c:v>
                </c:pt>
                <c:pt idx="22">
                  <c:v>0.6</c:v>
                </c:pt>
                <c:pt idx="23">
                  <c:v>0.3</c:v>
                </c:pt>
              </c:numCache>
            </c:numRef>
          </c:val>
          <c:smooth val="0"/>
          <c:extLst>
            <c:ext xmlns:c16="http://schemas.microsoft.com/office/drawing/2014/chart" uri="{C3380CC4-5D6E-409C-BE32-E72D297353CC}">
              <c16:uniqueId val="{00000000-CC0F-487F-8F48-A509A6006EE5}"/>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Schedules!$F$11:$AC$11</c:f>
              <c:numCache>
                <c:formatCode>0.00</c:formatCode>
                <c:ptCount val="24"/>
                <c:pt idx="0">
                  <c:v>0.1</c:v>
                </c:pt>
                <c:pt idx="1">
                  <c:v>0.1</c:v>
                </c:pt>
                <c:pt idx="2">
                  <c:v>0.1</c:v>
                </c:pt>
                <c:pt idx="3">
                  <c:v>0.1</c:v>
                </c:pt>
                <c:pt idx="4">
                  <c:v>0.1</c:v>
                </c:pt>
                <c:pt idx="5">
                  <c:v>0.3</c:v>
                </c:pt>
                <c:pt idx="6">
                  <c:v>0.45</c:v>
                </c:pt>
                <c:pt idx="7">
                  <c:v>0.45</c:v>
                </c:pt>
                <c:pt idx="8">
                  <c:v>0.45</c:v>
                </c:pt>
                <c:pt idx="9">
                  <c:v>0.45</c:v>
                </c:pt>
                <c:pt idx="10">
                  <c:v>0.3</c:v>
                </c:pt>
                <c:pt idx="11">
                  <c:v>0.3</c:v>
                </c:pt>
                <c:pt idx="12">
                  <c:v>0.3</c:v>
                </c:pt>
                <c:pt idx="13">
                  <c:v>0.3</c:v>
                </c:pt>
                <c:pt idx="14">
                  <c:v>0.3</c:v>
                </c:pt>
                <c:pt idx="15">
                  <c:v>0.3</c:v>
                </c:pt>
                <c:pt idx="16">
                  <c:v>0.3</c:v>
                </c:pt>
                <c:pt idx="17">
                  <c:v>0.3</c:v>
                </c:pt>
                <c:pt idx="18">
                  <c:v>0.6</c:v>
                </c:pt>
                <c:pt idx="19">
                  <c:v>0.8</c:v>
                </c:pt>
                <c:pt idx="20">
                  <c:v>0.9</c:v>
                </c:pt>
                <c:pt idx="21">
                  <c:v>0.8</c:v>
                </c:pt>
                <c:pt idx="22">
                  <c:v>0.6</c:v>
                </c:pt>
                <c:pt idx="23">
                  <c:v>0.3</c:v>
                </c:pt>
              </c:numCache>
            </c:numRef>
          </c:val>
          <c:smooth val="0"/>
          <c:extLst>
            <c:ext xmlns:c16="http://schemas.microsoft.com/office/drawing/2014/chart" uri="{C3380CC4-5D6E-409C-BE32-E72D297353CC}">
              <c16:uniqueId val="{00000001-CC0F-487F-8F48-A509A6006EE5}"/>
            </c:ext>
          </c:extLst>
        </c:ser>
        <c:ser>
          <c:idx val="2"/>
          <c:order val="2"/>
          <c:tx>
            <c:strRef>
              <c:f>Schedules!$E$12</c:f>
              <c:strCache>
                <c:ptCount val="1"/>
                <c:pt idx="0">
                  <c:v>Sunday</c:v>
                </c:pt>
              </c:strCache>
            </c:strRef>
          </c:tx>
          <c:spPr>
            <a:ln w="28575" cap="rnd">
              <a:solidFill>
                <a:schemeClr val="accent3"/>
              </a:solidFill>
              <a:prstDash val="dash"/>
              <a:round/>
            </a:ln>
            <a:effectLst/>
          </c:spPr>
          <c:marker>
            <c:symbol val="none"/>
          </c:marker>
          <c:val>
            <c:numRef>
              <c:f>Schedules!$F$12:$AC$12</c:f>
              <c:numCache>
                <c:formatCode>0.00</c:formatCode>
                <c:ptCount val="24"/>
                <c:pt idx="0">
                  <c:v>0.1</c:v>
                </c:pt>
                <c:pt idx="1">
                  <c:v>0.1</c:v>
                </c:pt>
                <c:pt idx="2">
                  <c:v>0.1</c:v>
                </c:pt>
                <c:pt idx="3">
                  <c:v>0.1</c:v>
                </c:pt>
                <c:pt idx="4">
                  <c:v>0.1</c:v>
                </c:pt>
                <c:pt idx="5">
                  <c:v>0.3</c:v>
                </c:pt>
                <c:pt idx="6">
                  <c:v>0.45</c:v>
                </c:pt>
                <c:pt idx="7">
                  <c:v>0.45</c:v>
                </c:pt>
                <c:pt idx="8">
                  <c:v>0.45</c:v>
                </c:pt>
                <c:pt idx="9">
                  <c:v>0.45</c:v>
                </c:pt>
                <c:pt idx="10">
                  <c:v>0.3</c:v>
                </c:pt>
                <c:pt idx="11">
                  <c:v>0.3</c:v>
                </c:pt>
                <c:pt idx="12">
                  <c:v>0.3</c:v>
                </c:pt>
                <c:pt idx="13">
                  <c:v>0.3</c:v>
                </c:pt>
                <c:pt idx="14">
                  <c:v>0.3</c:v>
                </c:pt>
                <c:pt idx="15">
                  <c:v>0.3</c:v>
                </c:pt>
                <c:pt idx="16">
                  <c:v>0.3</c:v>
                </c:pt>
                <c:pt idx="17">
                  <c:v>0.3</c:v>
                </c:pt>
                <c:pt idx="18">
                  <c:v>0.6</c:v>
                </c:pt>
                <c:pt idx="19">
                  <c:v>0.8</c:v>
                </c:pt>
                <c:pt idx="20">
                  <c:v>0.9</c:v>
                </c:pt>
                <c:pt idx="21">
                  <c:v>0.8</c:v>
                </c:pt>
                <c:pt idx="22">
                  <c:v>0.6</c:v>
                </c:pt>
                <c:pt idx="23">
                  <c:v>0.3</c:v>
                </c:pt>
              </c:numCache>
            </c:numRef>
          </c:val>
          <c:smooth val="0"/>
          <c:extLst>
            <c:ext xmlns:c16="http://schemas.microsoft.com/office/drawing/2014/chart" uri="{C3380CC4-5D6E-409C-BE32-E72D297353CC}">
              <c16:uniqueId val="{00000002-CC0F-487F-8F48-A509A6006EE5}"/>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HVAC System Availability (Living Area) </a:t>
            </a:r>
          </a:p>
        </c:rich>
      </c:tx>
      <c:layout>
        <c:manualLayout>
          <c:xMode val="edge"/>
          <c:yMode val="edge"/>
          <c:x val="6.5630326543619541E-2"/>
          <c:y val="4.6774493537201374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Schedules!$E$13</c:f>
              <c:strCache>
                <c:ptCount val="1"/>
                <c:pt idx="0">
                  <c:v>Weekday</c:v>
                </c:pt>
              </c:strCache>
            </c:strRef>
          </c:tx>
          <c:spPr>
            <a:ln w="28575" cap="rnd">
              <a:solidFill>
                <a:schemeClr val="accent1"/>
              </a:solidFill>
              <a:round/>
            </a:ln>
            <a:effectLst/>
          </c:spPr>
          <c:marker>
            <c:symbol val="none"/>
          </c:marker>
          <c:val>
            <c:numRef>
              <c:f>Schedules!$F$13:$AC$13</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0-11CF-4EFB-9CAD-7A35548D2F16}"/>
            </c:ext>
          </c:extLst>
        </c:ser>
        <c:ser>
          <c:idx val="1"/>
          <c:order val="1"/>
          <c:tx>
            <c:strRef>
              <c:f>Schedules!$E$14</c:f>
              <c:strCache>
                <c:ptCount val="1"/>
                <c:pt idx="0">
                  <c:v>Saturday</c:v>
                </c:pt>
              </c:strCache>
            </c:strRef>
          </c:tx>
          <c:spPr>
            <a:ln w="28575" cap="rnd">
              <a:solidFill>
                <a:schemeClr val="accent2"/>
              </a:solidFill>
              <a:round/>
            </a:ln>
            <a:effectLst/>
          </c:spPr>
          <c:marker>
            <c:symbol val="none"/>
          </c:marker>
          <c:val>
            <c:numRef>
              <c:f>Schedules!$F$14:$AC$14</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1-11CF-4EFB-9CAD-7A35548D2F16}"/>
            </c:ext>
          </c:extLst>
        </c:ser>
        <c:ser>
          <c:idx val="2"/>
          <c:order val="2"/>
          <c:tx>
            <c:strRef>
              <c:f>Schedules!$E$15</c:f>
              <c:strCache>
                <c:ptCount val="1"/>
                <c:pt idx="0">
                  <c:v>Sunday</c:v>
                </c:pt>
              </c:strCache>
            </c:strRef>
          </c:tx>
          <c:spPr>
            <a:ln w="28575" cap="rnd">
              <a:solidFill>
                <a:schemeClr val="accent3"/>
              </a:solidFill>
              <a:round/>
            </a:ln>
            <a:effectLst/>
          </c:spPr>
          <c:marker>
            <c:symbol val="none"/>
          </c:marker>
          <c:val>
            <c:numRef>
              <c:f>Schedules!$F$15:$AC$15</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0-C3C8-4DC9-9C20-B69064837B95}"/>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238276965537467"/>
          <c:y val="3.6261079321075841E-2"/>
          <c:w val="0.37617230344625335"/>
          <c:h val="0.2100917504402756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Domestic Hot Water (Living Area)</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Schedules!$E$16</c:f>
              <c:strCache>
                <c:ptCount val="1"/>
                <c:pt idx="0">
                  <c:v>Weekday</c:v>
                </c:pt>
              </c:strCache>
            </c:strRef>
          </c:tx>
          <c:spPr>
            <a:ln w="28575" cap="rnd">
              <a:solidFill>
                <a:schemeClr val="accent1"/>
              </a:solidFill>
              <a:round/>
            </a:ln>
            <a:effectLst/>
          </c:spPr>
          <c:marker>
            <c:symbol val="none"/>
          </c:marker>
          <c:val>
            <c:numRef>
              <c:f>Schedules!$F$16:$AC$16</c:f>
              <c:numCache>
                <c:formatCode>0.00</c:formatCode>
                <c:ptCount val="24"/>
                <c:pt idx="0">
                  <c:v>0.13100000000000001</c:v>
                </c:pt>
                <c:pt idx="1">
                  <c:v>7.4999999999999997E-2</c:v>
                </c:pt>
                <c:pt idx="2">
                  <c:v>8.4000000000000005E-2</c:v>
                </c:pt>
                <c:pt idx="3">
                  <c:v>0.10299999999999999</c:v>
                </c:pt>
                <c:pt idx="4">
                  <c:v>0.187</c:v>
                </c:pt>
                <c:pt idx="5">
                  <c:v>0.41099999999999998</c:v>
                </c:pt>
                <c:pt idx="6">
                  <c:v>0.83199999999999996</c:v>
                </c:pt>
                <c:pt idx="7">
                  <c:v>1</c:v>
                </c:pt>
                <c:pt idx="8">
                  <c:v>0.83199999999999996</c:v>
                </c:pt>
                <c:pt idx="9">
                  <c:v>0.61699999999999999</c:v>
                </c:pt>
                <c:pt idx="10">
                  <c:v>0.48599999999999999</c:v>
                </c:pt>
                <c:pt idx="11">
                  <c:v>0.35499999999999998</c:v>
                </c:pt>
                <c:pt idx="12">
                  <c:v>0.33600000000000002</c:v>
                </c:pt>
                <c:pt idx="13">
                  <c:v>0.308</c:v>
                </c:pt>
                <c:pt idx="14">
                  <c:v>0.29899999999999999</c:v>
                </c:pt>
                <c:pt idx="15">
                  <c:v>0.24299999999999999</c:v>
                </c:pt>
                <c:pt idx="16">
                  <c:v>0.39300000000000002</c:v>
                </c:pt>
                <c:pt idx="17">
                  <c:v>0.44900000000000001</c:v>
                </c:pt>
                <c:pt idx="18">
                  <c:v>0.48599999999999999</c:v>
                </c:pt>
                <c:pt idx="19">
                  <c:v>0.439</c:v>
                </c:pt>
                <c:pt idx="20">
                  <c:v>0.39300000000000002</c:v>
                </c:pt>
                <c:pt idx="21">
                  <c:v>0.36399999999999999</c:v>
                </c:pt>
                <c:pt idx="22">
                  <c:v>0.33600000000000002</c:v>
                </c:pt>
                <c:pt idx="23">
                  <c:v>0.20599999999999999</c:v>
                </c:pt>
              </c:numCache>
            </c:numRef>
          </c:val>
          <c:smooth val="0"/>
          <c:extLst>
            <c:ext xmlns:c16="http://schemas.microsoft.com/office/drawing/2014/chart" uri="{C3380CC4-5D6E-409C-BE32-E72D297353CC}">
              <c16:uniqueId val="{00000000-32A6-4561-915A-799ACC6B30A7}"/>
            </c:ext>
          </c:extLst>
        </c:ser>
        <c:ser>
          <c:idx val="1"/>
          <c:order val="1"/>
          <c:tx>
            <c:strRef>
              <c:f>Schedules!$E$17</c:f>
              <c:strCache>
                <c:ptCount val="1"/>
                <c:pt idx="0">
                  <c:v>Saturday</c:v>
                </c:pt>
              </c:strCache>
            </c:strRef>
          </c:tx>
          <c:spPr>
            <a:ln w="28575" cap="rnd">
              <a:solidFill>
                <a:schemeClr val="accent2"/>
              </a:solidFill>
              <a:round/>
            </a:ln>
            <a:effectLst/>
          </c:spPr>
          <c:marker>
            <c:symbol val="none"/>
          </c:marker>
          <c:val>
            <c:numRef>
              <c:f>Schedules!$F$17:$AC$17</c:f>
              <c:numCache>
                <c:formatCode>0.00</c:formatCode>
                <c:ptCount val="24"/>
                <c:pt idx="0">
                  <c:v>0.217</c:v>
                </c:pt>
                <c:pt idx="1">
                  <c:v>0.12</c:v>
                </c:pt>
                <c:pt idx="2">
                  <c:v>0.108</c:v>
                </c:pt>
                <c:pt idx="3">
                  <c:v>9.6000000000000002E-2</c:v>
                </c:pt>
                <c:pt idx="4">
                  <c:v>0.18099999999999999</c:v>
                </c:pt>
                <c:pt idx="5">
                  <c:v>0.27700000000000002</c:v>
                </c:pt>
                <c:pt idx="6">
                  <c:v>0.313</c:v>
                </c:pt>
                <c:pt idx="7">
                  <c:v>0.56599999999999995</c:v>
                </c:pt>
                <c:pt idx="8">
                  <c:v>0.92800000000000005</c:v>
                </c:pt>
                <c:pt idx="9">
                  <c:v>1</c:v>
                </c:pt>
                <c:pt idx="10">
                  <c:v>0.89200000000000002</c:v>
                </c:pt>
                <c:pt idx="11">
                  <c:v>0.73499999999999999</c:v>
                </c:pt>
                <c:pt idx="12">
                  <c:v>0.61399999999999999</c:v>
                </c:pt>
                <c:pt idx="13">
                  <c:v>0.51800000000000002</c:v>
                </c:pt>
                <c:pt idx="14">
                  <c:v>0.47</c:v>
                </c:pt>
                <c:pt idx="15">
                  <c:v>0.47</c:v>
                </c:pt>
                <c:pt idx="16">
                  <c:v>0.627</c:v>
                </c:pt>
                <c:pt idx="17">
                  <c:v>0.69899999999999995</c:v>
                </c:pt>
                <c:pt idx="18">
                  <c:v>0.67500000000000004</c:v>
                </c:pt>
                <c:pt idx="19">
                  <c:v>0.627</c:v>
                </c:pt>
                <c:pt idx="20">
                  <c:v>0.56599999999999995</c:v>
                </c:pt>
                <c:pt idx="21">
                  <c:v>0.53</c:v>
                </c:pt>
                <c:pt idx="22">
                  <c:v>0.48199999999999998</c:v>
                </c:pt>
                <c:pt idx="23">
                  <c:v>0.33700000000000002</c:v>
                </c:pt>
              </c:numCache>
            </c:numRef>
          </c:val>
          <c:smooth val="0"/>
          <c:extLst>
            <c:ext xmlns:c16="http://schemas.microsoft.com/office/drawing/2014/chart" uri="{C3380CC4-5D6E-409C-BE32-E72D297353CC}">
              <c16:uniqueId val="{00000001-32A6-4561-915A-799ACC6B30A7}"/>
            </c:ext>
          </c:extLst>
        </c:ser>
        <c:ser>
          <c:idx val="2"/>
          <c:order val="2"/>
          <c:tx>
            <c:strRef>
              <c:f>Schedules!$E$18</c:f>
              <c:strCache>
                <c:ptCount val="1"/>
                <c:pt idx="0">
                  <c:v>Sunday</c:v>
                </c:pt>
              </c:strCache>
            </c:strRef>
          </c:tx>
          <c:spPr>
            <a:ln w="28575" cap="rnd">
              <a:solidFill>
                <a:schemeClr val="accent3"/>
              </a:solidFill>
              <a:round/>
            </a:ln>
            <a:effectLst/>
          </c:spPr>
          <c:marker>
            <c:symbol val="none"/>
          </c:marker>
          <c:val>
            <c:numRef>
              <c:f>Schedules!$F$18:$AC$18</c:f>
              <c:numCache>
                <c:formatCode>0.00</c:formatCode>
                <c:ptCount val="24"/>
                <c:pt idx="0">
                  <c:v>0.217</c:v>
                </c:pt>
                <c:pt idx="1">
                  <c:v>0.12</c:v>
                </c:pt>
                <c:pt idx="2">
                  <c:v>0.108</c:v>
                </c:pt>
                <c:pt idx="3">
                  <c:v>9.6000000000000002E-2</c:v>
                </c:pt>
                <c:pt idx="4">
                  <c:v>0.18099999999999999</c:v>
                </c:pt>
                <c:pt idx="5">
                  <c:v>0.27700000000000002</c:v>
                </c:pt>
                <c:pt idx="6">
                  <c:v>0.313</c:v>
                </c:pt>
                <c:pt idx="7">
                  <c:v>0.56599999999999995</c:v>
                </c:pt>
                <c:pt idx="8">
                  <c:v>0.92800000000000005</c:v>
                </c:pt>
                <c:pt idx="9">
                  <c:v>1</c:v>
                </c:pt>
                <c:pt idx="10">
                  <c:v>0.89200000000000002</c:v>
                </c:pt>
                <c:pt idx="11">
                  <c:v>0.73499999999999999</c:v>
                </c:pt>
                <c:pt idx="12">
                  <c:v>0.61399999999999999</c:v>
                </c:pt>
                <c:pt idx="13">
                  <c:v>0.51800000000000002</c:v>
                </c:pt>
                <c:pt idx="14">
                  <c:v>0.47</c:v>
                </c:pt>
                <c:pt idx="15">
                  <c:v>0.47</c:v>
                </c:pt>
                <c:pt idx="16">
                  <c:v>0.627</c:v>
                </c:pt>
                <c:pt idx="17">
                  <c:v>0.69899999999999995</c:v>
                </c:pt>
                <c:pt idx="18">
                  <c:v>0.67500000000000004</c:v>
                </c:pt>
                <c:pt idx="19">
                  <c:v>0.627</c:v>
                </c:pt>
                <c:pt idx="20">
                  <c:v>0.56599999999999995</c:v>
                </c:pt>
                <c:pt idx="21">
                  <c:v>0.53</c:v>
                </c:pt>
                <c:pt idx="22">
                  <c:v>0.48199999999999998</c:v>
                </c:pt>
                <c:pt idx="23">
                  <c:v>0.33700000000000002</c:v>
                </c:pt>
              </c:numCache>
            </c:numRef>
          </c:val>
          <c:smooth val="0"/>
          <c:extLst>
            <c:ext xmlns:c16="http://schemas.microsoft.com/office/drawing/2014/chart" uri="{C3380CC4-5D6E-409C-BE32-E72D297353CC}">
              <c16:uniqueId val="{00000002-32A6-4561-915A-799ACC6B30A7}"/>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Gas Equipment (Living Area)</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Schedules!$E$19</c:f>
              <c:strCache>
                <c:ptCount val="1"/>
                <c:pt idx="0">
                  <c:v>Weekday</c:v>
                </c:pt>
              </c:strCache>
            </c:strRef>
          </c:tx>
          <c:spPr>
            <a:ln w="28575" cap="rnd">
              <a:solidFill>
                <a:schemeClr val="accent1"/>
              </a:solidFill>
              <a:round/>
            </a:ln>
            <a:effectLst/>
          </c:spPr>
          <c:marker>
            <c:symbol val="none"/>
          </c:marker>
          <c:val>
            <c:numRef>
              <c:f>Schedules!$F$19:$AC$19</c:f>
              <c:numCache>
                <c:formatCode>0.00</c:formatCode>
                <c:ptCount val="24"/>
                <c:pt idx="0">
                  <c:v>0</c:v>
                </c:pt>
                <c:pt idx="1">
                  <c:v>0</c:v>
                </c:pt>
                <c:pt idx="2">
                  <c:v>0</c:v>
                </c:pt>
                <c:pt idx="3">
                  <c:v>0</c:v>
                </c:pt>
                <c:pt idx="4">
                  <c:v>0</c:v>
                </c:pt>
                <c:pt idx="5">
                  <c:v>0</c:v>
                </c:pt>
                <c:pt idx="6">
                  <c:v>0.5</c:v>
                </c:pt>
                <c:pt idx="7">
                  <c:v>0.5</c:v>
                </c:pt>
                <c:pt idx="8">
                  <c:v>0</c:v>
                </c:pt>
                <c:pt idx="9">
                  <c:v>0</c:v>
                </c:pt>
                <c:pt idx="10">
                  <c:v>0</c:v>
                </c:pt>
                <c:pt idx="11">
                  <c:v>0.2</c:v>
                </c:pt>
                <c:pt idx="12">
                  <c:v>0.2</c:v>
                </c:pt>
                <c:pt idx="13">
                  <c:v>0</c:v>
                </c:pt>
                <c:pt idx="14">
                  <c:v>0</c:v>
                </c:pt>
                <c:pt idx="15">
                  <c:v>0</c:v>
                </c:pt>
                <c:pt idx="16">
                  <c:v>0.5</c:v>
                </c:pt>
                <c:pt idx="17">
                  <c:v>0.5</c:v>
                </c:pt>
                <c:pt idx="18">
                  <c:v>0.5</c:v>
                </c:pt>
                <c:pt idx="19">
                  <c:v>0</c:v>
                </c:pt>
                <c:pt idx="20">
                  <c:v>0</c:v>
                </c:pt>
                <c:pt idx="21">
                  <c:v>0</c:v>
                </c:pt>
                <c:pt idx="22">
                  <c:v>0</c:v>
                </c:pt>
                <c:pt idx="23">
                  <c:v>0</c:v>
                </c:pt>
              </c:numCache>
            </c:numRef>
          </c:val>
          <c:smooth val="0"/>
          <c:extLst>
            <c:ext xmlns:c16="http://schemas.microsoft.com/office/drawing/2014/chart" uri="{C3380CC4-5D6E-409C-BE32-E72D297353CC}">
              <c16:uniqueId val="{00000000-4744-440A-89C4-312D4CC7F10C}"/>
            </c:ext>
          </c:extLst>
        </c:ser>
        <c:ser>
          <c:idx val="1"/>
          <c:order val="1"/>
          <c:tx>
            <c:strRef>
              <c:f>Schedules!$E$20</c:f>
              <c:strCache>
                <c:ptCount val="1"/>
                <c:pt idx="0">
                  <c:v>Saturday</c:v>
                </c:pt>
              </c:strCache>
            </c:strRef>
          </c:tx>
          <c:spPr>
            <a:ln w="28575" cap="rnd">
              <a:solidFill>
                <a:schemeClr val="accent2"/>
              </a:solidFill>
              <a:round/>
            </a:ln>
            <a:effectLst/>
          </c:spPr>
          <c:marker>
            <c:symbol val="none"/>
          </c:marker>
          <c:val>
            <c:numRef>
              <c:f>Schedules!$F$20:$AC$20</c:f>
              <c:numCache>
                <c:formatCode>0.00</c:formatCode>
                <c:ptCount val="24"/>
                <c:pt idx="0">
                  <c:v>0</c:v>
                </c:pt>
                <c:pt idx="1">
                  <c:v>0</c:v>
                </c:pt>
                <c:pt idx="2">
                  <c:v>0</c:v>
                </c:pt>
                <c:pt idx="3">
                  <c:v>0</c:v>
                </c:pt>
                <c:pt idx="4">
                  <c:v>0</c:v>
                </c:pt>
                <c:pt idx="5">
                  <c:v>0</c:v>
                </c:pt>
                <c:pt idx="6">
                  <c:v>0.5</c:v>
                </c:pt>
                <c:pt idx="7">
                  <c:v>0.5</c:v>
                </c:pt>
                <c:pt idx="8">
                  <c:v>0</c:v>
                </c:pt>
                <c:pt idx="9">
                  <c:v>0</c:v>
                </c:pt>
                <c:pt idx="10">
                  <c:v>0</c:v>
                </c:pt>
                <c:pt idx="11">
                  <c:v>0.2</c:v>
                </c:pt>
                <c:pt idx="12">
                  <c:v>0.2</c:v>
                </c:pt>
                <c:pt idx="13">
                  <c:v>0</c:v>
                </c:pt>
                <c:pt idx="14">
                  <c:v>0</c:v>
                </c:pt>
                <c:pt idx="15">
                  <c:v>0</c:v>
                </c:pt>
                <c:pt idx="16">
                  <c:v>0.5</c:v>
                </c:pt>
                <c:pt idx="17">
                  <c:v>0.5</c:v>
                </c:pt>
                <c:pt idx="18">
                  <c:v>0.5</c:v>
                </c:pt>
                <c:pt idx="19">
                  <c:v>0</c:v>
                </c:pt>
                <c:pt idx="20">
                  <c:v>0</c:v>
                </c:pt>
                <c:pt idx="21">
                  <c:v>0</c:v>
                </c:pt>
                <c:pt idx="22">
                  <c:v>0</c:v>
                </c:pt>
                <c:pt idx="23">
                  <c:v>0</c:v>
                </c:pt>
              </c:numCache>
            </c:numRef>
          </c:val>
          <c:smooth val="0"/>
          <c:extLst>
            <c:ext xmlns:c16="http://schemas.microsoft.com/office/drawing/2014/chart" uri="{C3380CC4-5D6E-409C-BE32-E72D297353CC}">
              <c16:uniqueId val="{00000001-4744-440A-89C4-312D4CC7F10C}"/>
            </c:ext>
          </c:extLst>
        </c:ser>
        <c:ser>
          <c:idx val="2"/>
          <c:order val="2"/>
          <c:tx>
            <c:strRef>
              <c:f>Schedules!$E$21</c:f>
              <c:strCache>
                <c:ptCount val="1"/>
                <c:pt idx="0">
                  <c:v>Sunday</c:v>
                </c:pt>
              </c:strCache>
            </c:strRef>
          </c:tx>
          <c:spPr>
            <a:ln w="28575" cap="rnd">
              <a:solidFill>
                <a:schemeClr val="accent3"/>
              </a:solidFill>
              <a:round/>
            </a:ln>
            <a:effectLst/>
          </c:spPr>
          <c:marker>
            <c:symbol val="none"/>
          </c:marker>
          <c:val>
            <c:numRef>
              <c:f>Schedules!$F$21:$AC$21</c:f>
              <c:numCache>
                <c:formatCode>0.00</c:formatCode>
                <c:ptCount val="24"/>
                <c:pt idx="0">
                  <c:v>0</c:v>
                </c:pt>
                <c:pt idx="1">
                  <c:v>0</c:v>
                </c:pt>
                <c:pt idx="2">
                  <c:v>0</c:v>
                </c:pt>
                <c:pt idx="3">
                  <c:v>0</c:v>
                </c:pt>
                <c:pt idx="4">
                  <c:v>0</c:v>
                </c:pt>
                <c:pt idx="5">
                  <c:v>0</c:v>
                </c:pt>
                <c:pt idx="6">
                  <c:v>0.5</c:v>
                </c:pt>
                <c:pt idx="7">
                  <c:v>0.5</c:v>
                </c:pt>
                <c:pt idx="8">
                  <c:v>0</c:v>
                </c:pt>
                <c:pt idx="9">
                  <c:v>0</c:v>
                </c:pt>
                <c:pt idx="10">
                  <c:v>0</c:v>
                </c:pt>
                <c:pt idx="11">
                  <c:v>0.2</c:v>
                </c:pt>
                <c:pt idx="12">
                  <c:v>0.2</c:v>
                </c:pt>
                <c:pt idx="13">
                  <c:v>0</c:v>
                </c:pt>
                <c:pt idx="14">
                  <c:v>0</c:v>
                </c:pt>
                <c:pt idx="15">
                  <c:v>0</c:v>
                </c:pt>
                <c:pt idx="16">
                  <c:v>0.5</c:v>
                </c:pt>
                <c:pt idx="17">
                  <c:v>0.5</c:v>
                </c:pt>
                <c:pt idx="18">
                  <c:v>0.5</c:v>
                </c:pt>
                <c:pt idx="19">
                  <c:v>0</c:v>
                </c:pt>
                <c:pt idx="20">
                  <c:v>0</c:v>
                </c:pt>
                <c:pt idx="21">
                  <c:v>0</c:v>
                </c:pt>
                <c:pt idx="22">
                  <c:v>0</c:v>
                </c:pt>
                <c:pt idx="23">
                  <c:v>0</c:v>
                </c:pt>
              </c:numCache>
            </c:numRef>
          </c:val>
          <c:smooth val="0"/>
          <c:extLst>
            <c:ext xmlns:c16="http://schemas.microsoft.com/office/drawing/2014/chart" uri="{C3380CC4-5D6E-409C-BE32-E72D297353CC}">
              <c16:uniqueId val="{00000002-4744-440A-89C4-312D4CC7F10C}"/>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Heating Setpoint (Living Area)</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Schedules!$E$22</c:f>
              <c:strCache>
                <c:ptCount val="1"/>
                <c:pt idx="0">
                  <c:v>Weekday</c:v>
                </c:pt>
              </c:strCache>
            </c:strRef>
          </c:tx>
          <c:spPr>
            <a:ln w="28575" cap="rnd">
              <a:solidFill>
                <a:schemeClr val="accent1"/>
              </a:solidFill>
              <a:round/>
            </a:ln>
            <a:effectLst/>
          </c:spPr>
          <c:marker>
            <c:symbol val="none"/>
          </c:marker>
          <c:val>
            <c:numRef>
              <c:f>Schedules!$F$22:$AC$22</c:f>
              <c:numCache>
                <c:formatCode>0</c:formatCode>
                <c:ptCount val="24"/>
                <c:pt idx="0">
                  <c:v>60</c:v>
                </c:pt>
                <c:pt idx="1">
                  <c:v>60</c:v>
                </c:pt>
                <c:pt idx="2">
                  <c:v>60</c:v>
                </c:pt>
                <c:pt idx="3">
                  <c:v>60</c:v>
                </c:pt>
                <c:pt idx="4">
                  <c:v>60</c:v>
                </c:pt>
                <c:pt idx="5">
                  <c:v>60</c:v>
                </c:pt>
                <c:pt idx="6">
                  <c:v>68</c:v>
                </c:pt>
                <c:pt idx="7">
                  <c:v>68</c:v>
                </c:pt>
                <c:pt idx="8">
                  <c:v>68</c:v>
                </c:pt>
                <c:pt idx="9">
                  <c:v>68</c:v>
                </c:pt>
                <c:pt idx="10">
                  <c:v>68</c:v>
                </c:pt>
                <c:pt idx="11">
                  <c:v>68</c:v>
                </c:pt>
                <c:pt idx="12">
                  <c:v>68</c:v>
                </c:pt>
                <c:pt idx="13">
                  <c:v>68</c:v>
                </c:pt>
                <c:pt idx="14">
                  <c:v>68</c:v>
                </c:pt>
                <c:pt idx="15">
                  <c:v>68</c:v>
                </c:pt>
                <c:pt idx="16">
                  <c:v>68</c:v>
                </c:pt>
                <c:pt idx="17">
                  <c:v>68</c:v>
                </c:pt>
                <c:pt idx="18">
                  <c:v>68</c:v>
                </c:pt>
                <c:pt idx="19">
                  <c:v>68</c:v>
                </c:pt>
                <c:pt idx="20">
                  <c:v>68</c:v>
                </c:pt>
                <c:pt idx="21">
                  <c:v>68</c:v>
                </c:pt>
                <c:pt idx="22">
                  <c:v>60</c:v>
                </c:pt>
                <c:pt idx="23">
                  <c:v>60</c:v>
                </c:pt>
              </c:numCache>
            </c:numRef>
          </c:val>
          <c:smooth val="0"/>
          <c:extLst>
            <c:ext xmlns:c16="http://schemas.microsoft.com/office/drawing/2014/chart" uri="{C3380CC4-5D6E-409C-BE32-E72D297353CC}">
              <c16:uniqueId val="{00000000-C264-4C05-B8D9-3DAA8E0FE88B}"/>
            </c:ext>
          </c:extLst>
        </c:ser>
        <c:ser>
          <c:idx val="1"/>
          <c:order val="1"/>
          <c:tx>
            <c:strRef>
              <c:f>Schedules!$E$23</c:f>
              <c:strCache>
                <c:ptCount val="1"/>
                <c:pt idx="0">
                  <c:v>Saturday</c:v>
                </c:pt>
              </c:strCache>
            </c:strRef>
          </c:tx>
          <c:spPr>
            <a:ln w="28575" cap="rnd">
              <a:solidFill>
                <a:schemeClr val="accent2"/>
              </a:solidFill>
              <a:round/>
            </a:ln>
            <a:effectLst/>
          </c:spPr>
          <c:marker>
            <c:symbol val="none"/>
          </c:marker>
          <c:val>
            <c:numRef>
              <c:f>Schedules!$F$23:$AC$23</c:f>
              <c:numCache>
                <c:formatCode>0</c:formatCode>
                <c:ptCount val="24"/>
                <c:pt idx="0">
                  <c:v>60</c:v>
                </c:pt>
                <c:pt idx="1">
                  <c:v>60</c:v>
                </c:pt>
                <c:pt idx="2">
                  <c:v>60</c:v>
                </c:pt>
                <c:pt idx="3">
                  <c:v>60</c:v>
                </c:pt>
                <c:pt idx="4">
                  <c:v>60</c:v>
                </c:pt>
                <c:pt idx="5">
                  <c:v>60</c:v>
                </c:pt>
                <c:pt idx="6">
                  <c:v>68</c:v>
                </c:pt>
                <c:pt idx="7">
                  <c:v>68</c:v>
                </c:pt>
                <c:pt idx="8">
                  <c:v>68</c:v>
                </c:pt>
                <c:pt idx="9">
                  <c:v>68</c:v>
                </c:pt>
                <c:pt idx="10">
                  <c:v>68</c:v>
                </c:pt>
                <c:pt idx="11">
                  <c:v>68</c:v>
                </c:pt>
                <c:pt idx="12">
                  <c:v>68</c:v>
                </c:pt>
                <c:pt idx="13">
                  <c:v>68</c:v>
                </c:pt>
                <c:pt idx="14">
                  <c:v>68</c:v>
                </c:pt>
                <c:pt idx="15">
                  <c:v>68</c:v>
                </c:pt>
                <c:pt idx="16">
                  <c:v>68</c:v>
                </c:pt>
                <c:pt idx="17">
                  <c:v>68</c:v>
                </c:pt>
                <c:pt idx="18">
                  <c:v>68</c:v>
                </c:pt>
                <c:pt idx="19">
                  <c:v>68</c:v>
                </c:pt>
                <c:pt idx="20">
                  <c:v>68</c:v>
                </c:pt>
                <c:pt idx="21">
                  <c:v>68</c:v>
                </c:pt>
                <c:pt idx="22">
                  <c:v>60</c:v>
                </c:pt>
                <c:pt idx="23">
                  <c:v>60</c:v>
                </c:pt>
              </c:numCache>
            </c:numRef>
          </c:val>
          <c:smooth val="0"/>
          <c:extLst>
            <c:ext xmlns:c16="http://schemas.microsoft.com/office/drawing/2014/chart" uri="{C3380CC4-5D6E-409C-BE32-E72D297353CC}">
              <c16:uniqueId val="{00000001-C264-4C05-B8D9-3DAA8E0FE88B}"/>
            </c:ext>
          </c:extLst>
        </c:ser>
        <c:ser>
          <c:idx val="2"/>
          <c:order val="2"/>
          <c:tx>
            <c:strRef>
              <c:f>Schedules!$E$24</c:f>
              <c:strCache>
                <c:ptCount val="1"/>
                <c:pt idx="0">
                  <c:v>Sunday</c:v>
                </c:pt>
              </c:strCache>
            </c:strRef>
          </c:tx>
          <c:spPr>
            <a:ln w="28575" cap="rnd">
              <a:solidFill>
                <a:schemeClr val="accent3"/>
              </a:solidFill>
              <a:round/>
            </a:ln>
            <a:effectLst/>
          </c:spPr>
          <c:marker>
            <c:symbol val="none"/>
          </c:marker>
          <c:val>
            <c:numRef>
              <c:f>Schedules!$F$24:$AC$24</c:f>
              <c:numCache>
                <c:formatCode>0</c:formatCode>
                <c:ptCount val="24"/>
                <c:pt idx="0">
                  <c:v>60</c:v>
                </c:pt>
                <c:pt idx="1">
                  <c:v>60</c:v>
                </c:pt>
                <c:pt idx="2">
                  <c:v>60</c:v>
                </c:pt>
                <c:pt idx="3">
                  <c:v>60</c:v>
                </c:pt>
                <c:pt idx="4">
                  <c:v>60</c:v>
                </c:pt>
                <c:pt idx="5">
                  <c:v>60</c:v>
                </c:pt>
                <c:pt idx="6">
                  <c:v>68</c:v>
                </c:pt>
                <c:pt idx="7">
                  <c:v>68</c:v>
                </c:pt>
                <c:pt idx="8">
                  <c:v>68</c:v>
                </c:pt>
                <c:pt idx="9">
                  <c:v>68</c:v>
                </c:pt>
                <c:pt idx="10">
                  <c:v>68</c:v>
                </c:pt>
                <c:pt idx="11">
                  <c:v>68</c:v>
                </c:pt>
                <c:pt idx="12">
                  <c:v>68</c:v>
                </c:pt>
                <c:pt idx="13">
                  <c:v>68</c:v>
                </c:pt>
                <c:pt idx="14">
                  <c:v>68</c:v>
                </c:pt>
                <c:pt idx="15">
                  <c:v>68</c:v>
                </c:pt>
                <c:pt idx="16">
                  <c:v>68</c:v>
                </c:pt>
                <c:pt idx="17">
                  <c:v>68</c:v>
                </c:pt>
                <c:pt idx="18">
                  <c:v>68</c:v>
                </c:pt>
                <c:pt idx="19">
                  <c:v>68</c:v>
                </c:pt>
                <c:pt idx="20">
                  <c:v>68</c:v>
                </c:pt>
                <c:pt idx="21">
                  <c:v>68</c:v>
                </c:pt>
                <c:pt idx="22">
                  <c:v>60</c:v>
                </c:pt>
                <c:pt idx="23">
                  <c:v>60</c:v>
                </c:pt>
              </c:numCache>
            </c:numRef>
          </c:val>
          <c:smooth val="0"/>
          <c:extLst>
            <c:ext xmlns:c16="http://schemas.microsoft.com/office/drawing/2014/chart" uri="{C3380CC4-5D6E-409C-BE32-E72D297353CC}">
              <c16:uniqueId val="{00000002-C264-4C05-B8D9-3DAA8E0FE88B}"/>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10"/>
      </c:valAx>
      <c:spPr>
        <a:noFill/>
        <a:ln>
          <a:noFill/>
        </a:ln>
        <a:effectLst/>
      </c:spPr>
    </c:plotArea>
    <c:legend>
      <c:legendPos val="b"/>
      <c:layout>
        <c:manualLayout>
          <c:xMode val="edge"/>
          <c:yMode val="edge"/>
          <c:x val="0.69237621385546944"/>
          <c:y val="3.6261079321075841E-2"/>
          <c:w val="0.30762375107760692"/>
          <c:h val="0.1476808107319918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Cooling Setpoint (Living Area)</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Schedules!$E$25</c:f>
              <c:strCache>
                <c:ptCount val="1"/>
                <c:pt idx="0">
                  <c:v>Weekday</c:v>
                </c:pt>
              </c:strCache>
            </c:strRef>
          </c:tx>
          <c:spPr>
            <a:ln w="28575" cap="rnd">
              <a:solidFill>
                <a:schemeClr val="accent1"/>
              </a:solidFill>
              <a:round/>
            </a:ln>
            <a:effectLst/>
          </c:spPr>
          <c:marker>
            <c:symbol val="none"/>
          </c:marker>
          <c:val>
            <c:numRef>
              <c:f>Schedules!$F$25:$AC$25</c:f>
              <c:numCache>
                <c:formatCode>0</c:formatCode>
                <c:ptCount val="24"/>
                <c:pt idx="0">
                  <c:v>78</c:v>
                </c:pt>
                <c:pt idx="1">
                  <c:v>78</c:v>
                </c:pt>
                <c:pt idx="2">
                  <c:v>78</c:v>
                </c:pt>
                <c:pt idx="3">
                  <c:v>78</c:v>
                </c:pt>
                <c:pt idx="4">
                  <c:v>78</c:v>
                </c:pt>
                <c:pt idx="5">
                  <c:v>78</c:v>
                </c:pt>
                <c:pt idx="6">
                  <c:v>78</c:v>
                </c:pt>
                <c:pt idx="7">
                  <c:v>78</c:v>
                </c:pt>
                <c:pt idx="8">
                  <c:v>78</c:v>
                </c:pt>
                <c:pt idx="9">
                  <c:v>78</c:v>
                </c:pt>
                <c:pt idx="10">
                  <c:v>78</c:v>
                </c:pt>
                <c:pt idx="11">
                  <c:v>78</c:v>
                </c:pt>
                <c:pt idx="12">
                  <c:v>78</c:v>
                </c:pt>
                <c:pt idx="13">
                  <c:v>78</c:v>
                </c:pt>
                <c:pt idx="14">
                  <c:v>78</c:v>
                </c:pt>
                <c:pt idx="15">
                  <c:v>78</c:v>
                </c:pt>
                <c:pt idx="16">
                  <c:v>78</c:v>
                </c:pt>
                <c:pt idx="17">
                  <c:v>78</c:v>
                </c:pt>
                <c:pt idx="18">
                  <c:v>78</c:v>
                </c:pt>
                <c:pt idx="19">
                  <c:v>78</c:v>
                </c:pt>
                <c:pt idx="20">
                  <c:v>78</c:v>
                </c:pt>
                <c:pt idx="21">
                  <c:v>78</c:v>
                </c:pt>
                <c:pt idx="22">
                  <c:v>78</c:v>
                </c:pt>
                <c:pt idx="23">
                  <c:v>78</c:v>
                </c:pt>
              </c:numCache>
            </c:numRef>
          </c:val>
          <c:smooth val="0"/>
          <c:extLst>
            <c:ext xmlns:c16="http://schemas.microsoft.com/office/drawing/2014/chart" uri="{C3380CC4-5D6E-409C-BE32-E72D297353CC}">
              <c16:uniqueId val="{00000000-1C97-42C3-84D7-66A9294A5C8F}"/>
            </c:ext>
          </c:extLst>
        </c:ser>
        <c:ser>
          <c:idx val="1"/>
          <c:order val="1"/>
          <c:tx>
            <c:strRef>
              <c:f>Schedules!$E$26</c:f>
              <c:strCache>
                <c:ptCount val="1"/>
                <c:pt idx="0">
                  <c:v>Saturday</c:v>
                </c:pt>
              </c:strCache>
            </c:strRef>
          </c:tx>
          <c:spPr>
            <a:ln w="28575" cap="rnd">
              <a:solidFill>
                <a:schemeClr val="accent2"/>
              </a:solidFill>
              <a:round/>
            </a:ln>
            <a:effectLst/>
          </c:spPr>
          <c:marker>
            <c:symbol val="none"/>
          </c:marker>
          <c:val>
            <c:numRef>
              <c:f>Schedules!$F$26:$AC$26</c:f>
              <c:numCache>
                <c:formatCode>0</c:formatCode>
                <c:ptCount val="24"/>
                <c:pt idx="0">
                  <c:v>78</c:v>
                </c:pt>
                <c:pt idx="1">
                  <c:v>78</c:v>
                </c:pt>
                <c:pt idx="2">
                  <c:v>78</c:v>
                </c:pt>
                <c:pt idx="3">
                  <c:v>78</c:v>
                </c:pt>
                <c:pt idx="4">
                  <c:v>78</c:v>
                </c:pt>
                <c:pt idx="5">
                  <c:v>78</c:v>
                </c:pt>
                <c:pt idx="6">
                  <c:v>78</c:v>
                </c:pt>
                <c:pt idx="7">
                  <c:v>78</c:v>
                </c:pt>
                <c:pt idx="8">
                  <c:v>78</c:v>
                </c:pt>
                <c:pt idx="9">
                  <c:v>78</c:v>
                </c:pt>
                <c:pt idx="10">
                  <c:v>78</c:v>
                </c:pt>
                <c:pt idx="11">
                  <c:v>78</c:v>
                </c:pt>
                <c:pt idx="12">
                  <c:v>78</c:v>
                </c:pt>
                <c:pt idx="13">
                  <c:v>78</c:v>
                </c:pt>
                <c:pt idx="14">
                  <c:v>78</c:v>
                </c:pt>
                <c:pt idx="15">
                  <c:v>78</c:v>
                </c:pt>
                <c:pt idx="16">
                  <c:v>78</c:v>
                </c:pt>
                <c:pt idx="17">
                  <c:v>78</c:v>
                </c:pt>
                <c:pt idx="18">
                  <c:v>78</c:v>
                </c:pt>
                <c:pt idx="19">
                  <c:v>78</c:v>
                </c:pt>
                <c:pt idx="20">
                  <c:v>78</c:v>
                </c:pt>
                <c:pt idx="21">
                  <c:v>78</c:v>
                </c:pt>
                <c:pt idx="22">
                  <c:v>78</c:v>
                </c:pt>
                <c:pt idx="23">
                  <c:v>78</c:v>
                </c:pt>
              </c:numCache>
            </c:numRef>
          </c:val>
          <c:smooth val="0"/>
          <c:extLst>
            <c:ext xmlns:c16="http://schemas.microsoft.com/office/drawing/2014/chart" uri="{C3380CC4-5D6E-409C-BE32-E72D297353CC}">
              <c16:uniqueId val="{00000001-1C97-42C3-84D7-66A9294A5C8F}"/>
            </c:ext>
          </c:extLst>
        </c:ser>
        <c:ser>
          <c:idx val="2"/>
          <c:order val="2"/>
          <c:tx>
            <c:strRef>
              <c:f>Schedules!$E$27</c:f>
              <c:strCache>
                <c:ptCount val="1"/>
                <c:pt idx="0">
                  <c:v>Sunday</c:v>
                </c:pt>
              </c:strCache>
            </c:strRef>
          </c:tx>
          <c:spPr>
            <a:ln w="28575" cap="rnd">
              <a:solidFill>
                <a:schemeClr val="accent3"/>
              </a:solidFill>
              <a:round/>
            </a:ln>
            <a:effectLst/>
          </c:spPr>
          <c:marker>
            <c:symbol val="none"/>
          </c:marker>
          <c:val>
            <c:numRef>
              <c:f>Schedules!$F$27:$AC$27</c:f>
              <c:numCache>
                <c:formatCode>0</c:formatCode>
                <c:ptCount val="24"/>
                <c:pt idx="0">
                  <c:v>78</c:v>
                </c:pt>
                <c:pt idx="1">
                  <c:v>78</c:v>
                </c:pt>
                <c:pt idx="2">
                  <c:v>78</c:v>
                </c:pt>
                <c:pt idx="3">
                  <c:v>78</c:v>
                </c:pt>
                <c:pt idx="4">
                  <c:v>78</c:v>
                </c:pt>
                <c:pt idx="5">
                  <c:v>78</c:v>
                </c:pt>
                <c:pt idx="6">
                  <c:v>78</c:v>
                </c:pt>
                <c:pt idx="7">
                  <c:v>78</c:v>
                </c:pt>
                <c:pt idx="8">
                  <c:v>78</c:v>
                </c:pt>
                <c:pt idx="9">
                  <c:v>78</c:v>
                </c:pt>
                <c:pt idx="10">
                  <c:v>78</c:v>
                </c:pt>
                <c:pt idx="11">
                  <c:v>78</c:v>
                </c:pt>
                <c:pt idx="12">
                  <c:v>78</c:v>
                </c:pt>
                <c:pt idx="13">
                  <c:v>78</c:v>
                </c:pt>
                <c:pt idx="14">
                  <c:v>78</c:v>
                </c:pt>
                <c:pt idx="15">
                  <c:v>78</c:v>
                </c:pt>
                <c:pt idx="16">
                  <c:v>78</c:v>
                </c:pt>
                <c:pt idx="17">
                  <c:v>78</c:v>
                </c:pt>
                <c:pt idx="18">
                  <c:v>78</c:v>
                </c:pt>
                <c:pt idx="19">
                  <c:v>78</c:v>
                </c:pt>
                <c:pt idx="20">
                  <c:v>78</c:v>
                </c:pt>
                <c:pt idx="21">
                  <c:v>78</c:v>
                </c:pt>
                <c:pt idx="22">
                  <c:v>78</c:v>
                </c:pt>
                <c:pt idx="23">
                  <c:v>78</c:v>
                </c:pt>
              </c:numCache>
            </c:numRef>
          </c:val>
          <c:smooth val="0"/>
          <c:extLst>
            <c:ext xmlns:c16="http://schemas.microsoft.com/office/drawing/2014/chart" uri="{C3380CC4-5D6E-409C-BE32-E72D297353CC}">
              <c16:uniqueId val="{00000002-1C97-42C3-84D7-66A9294A5C8F}"/>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40"/>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Infiltration (Living Area)</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Schedules!$E$28</c:f>
              <c:strCache>
                <c:ptCount val="1"/>
                <c:pt idx="0">
                  <c:v>Weekday</c:v>
                </c:pt>
              </c:strCache>
            </c:strRef>
          </c:tx>
          <c:spPr>
            <a:ln w="28575" cap="rnd">
              <a:solidFill>
                <a:schemeClr val="accent1"/>
              </a:solidFill>
              <a:round/>
            </a:ln>
            <a:effectLst/>
          </c:spPr>
          <c:marker>
            <c:symbol val="none"/>
          </c:marker>
          <c:val>
            <c:numRef>
              <c:f>Schedules!$F$28:$AC$28</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0-7DE4-4FE9-8BAD-218E0FB6FE12}"/>
            </c:ext>
          </c:extLst>
        </c:ser>
        <c:ser>
          <c:idx val="1"/>
          <c:order val="1"/>
          <c:tx>
            <c:strRef>
              <c:f>Schedules!$E$29</c:f>
              <c:strCache>
                <c:ptCount val="1"/>
                <c:pt idx="0">
                  <c:v>Saturday</c:v>
                </c:pt>
              </c:strCache>
            </c:strRef>
          </c:tx>
          <c:spPr>
            <a:ln w="28575" cap="rnd">
              <a:solidFill>
                <a:schemeClr val="accent2"/>
              </a:solidFill>
              <a:round/>
            </a:ln>
            <a:effectLst/>
          </c:spPr>
          <c:marker>
            <c:symbol val="none"/>
          </c:marker>
          <c:val>
            <c:numRef>
              <c:f>Schedules!$F$29:$AC$29</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1-7DE4-4FE9-8BAD-218E0FB6FE12}"/>
            </c:ext>
          </c:extLst>
        </c:ser>
        <c:ser>
          <c:idx val="2"/>
          <c:order val="2"/>
          <c:tx>
            <c:strRef>
              <c:f>Schedules!$E$30</c:f>
              <c:strCache>
                <c:ptCount val="1"/>
                <c:pt idx="0">
                  <c:v>Sunday</c:v>
                </c:pt>
              </c:strCache>
            </c:strRef>
          </c:tx>
          <c:spPr>
            <a:ln w="28575" cap="rnd">
              <a:solidFill>
                <a:schemeClr val="accent3"/>
              </a:solidFill>
              <a:round/>
            </a:ln>
            <a:effectLst/>
          </c:spPr>
          <c:marker>
            <c:symbol val="none"/>
          </c:marker>
          <c:val>
            <c:numRef>
              <c:f>Schedules!$F$30:$AC$30</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2-7DE4-4FE9-8BAD-218E0FB6FE12}"/>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in val="0.2"/>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Refrigeration (Living Area)</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Schedules!$E$31</c:f>
              <c:strCache>
                <c:ptCount val="1"/>
                <c:pt idx="0">
                  <c:v>Weekday</c:v>
                </c:pt>
              </c:strCache>
            </c:strRef>
          </c:tx>
          <c:spPr>
            <a:ln w="28575" cap="rnd">
              <a:solidFill>
                <a:schemeClr val="accent1"/>
              </a:solidFill>
              <a:round/>
            </a:ln>
            <a:effectLst/>
          </c:spPr>
          <c:marker>
            <c:symbol val="none"/>
          </c:marker>
          <c:val>
            <c:numRef>
              <c:f>Schedules!$F$31:$AC$31</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0-350F-4592-8E02-EC4A0F4B5006}"/>
            </c:ext>
          </c:extLst>
        </c:ser>
        <c:ser>
          <c:idx val="1"/>
          <c:order val="1"/>
          <c:tx>
            <c:strRef>
              <c:f>Schedules!$E$32</c:f>
              <c:strCache>
                <c:ptCount val="1"/>
                <c:pt idx="0">
                  <c:v>Saturday</c:v>
                </c:pt>
              </c:strCache>
            </c:strRef>
          </c:tx>
          <c:spPr>
            <a:ln w="28575" cap="rnd">
              <a:solidFill>
                <a:schemeClr val="accent2"/>
              </a:solidFill>
              <a:round/>
            </a:ln>
            <a:effectLst/>
          </c:spPr>
          <c:marker>
            <c:symbol val="none"/>
          </c:marker>
          <c:val>
            <c:numRef>
              <c:f>Schedules!$F$32:$AC$32</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1-350F-4592-8E02-EC4A0F4B5006}"/>
            </c:ext>
          </c:extLst>
        </c:ser>
        <c:ser>
          <c:idx val="2"/>
          <c:order val="2"/>
          <c:tx>
            <c:strRef>
              <c:f>Schedules!$E$33</c:f>
              <c:strCache>
                <c:ptCount val="1"/>
                <c:pt idx="0">
                  <c:v>Sunday</c:v>
                </c:pt>
              </c:strCache>
            </c:strRef>
          </c:tx>
          <c:spPr>
            <a:ln w="28575" cap="rnd">
              <a:solidFill>
                <a:schemeClr val="accent3"/>
              </a:solidFill>
              <a:round/>
            </a:ln>
            <a:effectLst/>
          </c:spPr>
          <c:marker>
            <c:symbol val="none"/>
          </c:marker>
          <c:val>
            <c:numRef>
              <c:f>Schedules!$F$33:$AC$33</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2-350F-4592-8E02-EC4A0F4B500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Occupancy (Common Use Area)</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Schedules!$E$35</c:f>
              <c:strCache>
                <c:ptCount val="1"/>
                <c:pt idx="0">
                  <c:v>Weekday</c:v>
                </c:pt>
              </c:strCache>
            </c:strRef>
          </c:tx>
          <c:spPr>
            <a:ln w="28575" cap="rnd">
              <a:solidFill>
                <a:schemeClr val="accent1"/>
              </a:solidFill>
              <a:round/>
            </a:ln>
            <a:effectLst/>
          </c:spPr>
          <c:marker>
            <c:symbol val="none"/>
          </c:marker>
          <c:val>
            <c:numRef>
              <c:f>Schedules!$F$35:$AC$35</c:f>
              <c:numCache>
                <c:formatCode>0.00</c:formatCode>
                <c:ptCount val="24"/>
                <c:pt idx="0">
                  <c:v>0.1</c:v>
                </c:pt>
                <c:pt idx="1">
                  <c:v>0.1</c:v>
                </c:pt>
                <c:pt idx="2">
                  <c:v>0.1</c:v>
                </c:pt>
                <c:pt idx="3">
                  <c:v>0.1</c:v>
                </c:pt>
                <c:pt idx="4">
                  <c:v>0.1</c:v>
                </c:pt>
                <c:pt idx="5">
                  <c:v>0.3</c:v>
                </c:pt>
                <c:pt idx="6">
                  <c:v>0.45</c:v>
                </c:pt>
                <c:pt idx="7">
                  <c:v>0.45</c:v>
                </c:pt>
                <c:pt idx="8">
                  <c:v>0.45</c:v>
                </c:pt>
                <c:pt idx="9">
                  <c:v>0.45</c:v>
                </c:pt>
                <c:pt idx="10">
                  <c:v>0.3</c:v>
                </c:pt>
                <c:pt idx="11">
                  <c:v>0.3</c:v>
                </c:pt>
                <c:pt idx="12">
                  <c:v>0.3</c:v>
                </c:pt>
                <c:pt idx="13">
                  <c:v>0.3</c:v>
                </c:pt>
                <c:pt idx="14">
                  <c:v>0.3</c:v>
                </c:pt>
                <c:pt idx="15">
                  <c:v>0.3</c:v>
                </c:pt>
                <c:pt idx="16">
                  <c:v>0.3</c:v>
                </c:pt>
                <c:pt idx="17">
                  <c:v>0.3</c:v>
                </c:pt>
                <c:pt idx="18">
                  <c:v>0.6</c:v>
                </c:pt>
                <c:pt idx="19">
                  <c:v>0.8</c:v>
                </c:pt>
                <c:pt idx="20">
                  <c:v>0.9</c:v>
                </c:pt>
                <c:pt idx="21">
                  <c:v>0.8</c:v>
                </c:pt>
                <c:pt idx="22">
                  <c:v>0.6</c:v>
                </c:pt>
                <c:pt idx="23">
                  <c:v>0.3</c:v>
                </c:pt>
              </c:numCache>
            </c:numRef>
          </c:val>
          <c:smooth val="0"/>
          <c:extLst>
            <c:ext xmlns:c16="http://schemas.microsoft.com/office/drawing/2014/chart" uri="{C3380CC4-5D6E-409C-BE32-E72D297353CC}">
              <c16:uniqueId val="{00000000-32C7-42B5-9CE7-4880AE620BC6}"/>
            </c:ext>
          </c:extLst>
        </c:ser>
        <c:ser>
          <c:idx val="1"/>
          <c:order val="1"/>
          <c:tx>
            <c:strRef>
              <c:f>Schedules!$E$36</c:f>
              <c:strCache>
                <c:ptCount val="1"/>
                <c:pt idx="0">
                  <c:v>Saturday</c:v>
                </c:pt>
              </c:strCache>
            </c:strRef>
          </c:tx>
          <c:spPr>
            <a:ln w="28575" cap="rnd">
              <a:solidFill>
                <a:schemeClr val="accent2"/>
              </a:solidFill>
              <a:round/>
            </a:ln>
            <a:effectLst/>
          </c:spPr>
          <c:marker>
            <c:symbol val="none"/>
          </c:marker>
          <c:val>
            <c:numRef>
              <c:f>Schedules!$F$36:$AC$36</c:f>
              <c:numCache>
                <c:formatCode>0.00</c:formatCode>
                <c:ptCount val="24"/>
                <c:pt idx="0">
                  <c:v>0.1</c:v>
                </c:pt>
                <c:pt idx="1">
                  <c:v>0.1</c:v>
                </c:pt>
                <c:pt idx="2">
                  <c:v>0.1</c:v>
                </c:pt>
                <c:pt idx="3">
                  <c:v>0.1</c:v>
                </c:pt>
                <c:pt idx="4">
                  <c:v>0.1</c:v>
                </c:pt>
                <c:pt idx="5">
                  <c:v>0.3</c:v>
                </c:pt>
                <c:pt idx="6">
                  <c:v>0.45</c:v>
                </c:pt>
                <c:pt idx="7">
                  <c:v>0.45</c:v>
                </c:pt>
                <c:pt idx="8">
                  <c:v>0.45</c:v>
                </c:pt>
                <c:pt idx="9">
                  <c:v>0.45</c:v>
                </c:pt>
                <c:pt idx="10">
                  <c:v>0.3</c:v>
                </c:pt>
                <c:pt idx="11">
                  <c:v>0.3</c:v>
                </c:pt>
                <c:pt idx="12">
                  <c:v>0.3</c:v>
                </c:pt>
                <c:pt idx="13">
                  <c:v>0.3</c:v>
                </c:pt>
                <c:pt idx="14">
                  <c:v>0.3</c:v>
                </c:pt>
                <c:pt idx="15">
                  <c:v>0.3</c:v>
                </c:pt>
                <c:pt idx="16">
                  <c:v>0.3</c:v>
                </c:pt>
                <c:pt idx="17">
                  <c:v>0.3</c:v>
                </c:pt>
                <c:pt idx="18">
                  <c:v>0.6</c:v>
                </c:pt>
                <c:pt idx="19">
                  <c:v>0.8</c:v>
                </c:pt>
                <c:pt idx="20">
                  <c:v>0.9</c:v>
                </c:pt>
                <c:pt idx="21">
                  <c:v>0.8</c:v>
                </c:pt>
                <c:pt idx="22">
                  <c:v>0.6</c:v>
                </c:pt>
                <c:pt idx="23">
                  <c:v>0.3</c:v>
                </c:pt>
              </c:numCache>
            </c:numRef>
          </c:val>
          <c:smooth val="0"/>
          <c:extLst>
            <c:ext xmlns:c16="http://schemas.microsoft.com/office/drawing/2014/chart" uri="{C3380CC4-5D6E-409C-BE32-E72D297353CC}">
              <c16:uniqueId val="{00000001-32C7-42B5-9CE7-4880AE620BC6}"/>
            </c:ext>
          </c:extLst>
        </c:ser>
        <c:ser>
          <c:idx val="2"/>
          <c:order val="2"/>
          <c:tx>
            <c:strRef>
              <c:f>Schedules!$E$37</c:f>
              <c:strCache>
                <c:ptCount val="1"/>
                <c:pt idx="0">
                  <c:v>Sunday</c:v>
                </c:pt>
              </c:strCache>
            </c:strRef>
          </c:tx>
          <c:spPr>
            <a:ln w="28575" cap="rnd">
              <a:solidFill>
                <a:schemeClr val="accent3"/>
              </a:solidFill>
              <a:round/>
            </a:ln>
            <a:effectLst/>
          </c:spPr>
          <c:marker>
            <c:symbol val="none"/>
          </c:marker>
          <c:val>
            <c:numRef>
              <c:f>Schedules!$F$37:$AC$37</c:f>
              <c:numCache>
                <c:formatCode>0.00</c:formatCode>
                <c:ptCount val="24"/>
                <c:pt idx="0">
                  <c:v>0.1</c:v>
                </c:pt>
                <c:pt idx="1">
                  <c:v>0.1</c:v>
                </c:pt>
                <c:pt idx="2">
                  <c:v>0.1</c:v>
                </c:pt>
                <c:pt idx="3">
                  <c:v>0.1</c:v>
                </c:pt>
                <c:pt idx="4">
                  <c:v>0.1</c:v>
                </c:pt>
                <c:pt idx="5">
                  <c:v>0.3</c:v>
                </c:pt>
                <c:pt idx="6">
                  <c:v>0.45</c:v>
                </c:pt>
                <c:pt idx="7">
                  <c:v>0.45</c:v>
                </c:pt>
                <c:pt idx="8">
                  <c:v>0.45</c:v>
                </c:pt>
                <c:pt idx="9">
                  <c:v>0.45</c:v>
                </c:pt>
                <c:pt idx="10">
                  <c:v>0.3</c:v>
                </c:pt>
                <c:pt idx="11">
                  <c:v>0.3</c:v>
                </c:pt>
                <c:pt idx="12">
                  <c:v>0.3</c:v>
                </c:pt>
                <c:pt idx="13">
                  <c:v>0.3</c:v>
                </c:pt>
                <c:pt idx="14">
                  <c:v>0.3</c:v>
                </c:pt>
                <c:pt idx="15">
                  <c:v>0.3</c:v>
                </c:pt>
                <c:pt idx="16">
                  <c:v>0.3</c:v>
                </c:pt>
                <c:pt idx="17">
                  <c:v>0.3</c:v>
                </c:pt>
                <c:pt idx="18">
                  <c:v>0.6</c:v>
                </c:pt>
                <c:pt idx="19">
                  <c:v>0.8</c:v>
                </c:pt>
                <c:pt idx="20">
                  <c:v>0.9</c:v>
                </c:pt>
                <c:pt idx="21">
                  <c:v>0.8</c:v>
                </c:pt>
                <c:pt idx="22">
                  <c:v>0.6</c:v>
                </c:pt>
                <c:pt idx="23">
                  <c:v>0.3</c:v>
                </c:pt>
              </c:numCache>
            </c:numRef>
          </c:val>
          <c:smooth val="0"/>
          <c:extLst>
            <c:ext xmlns:c16="http://schemas.microsoft.com/office/drawing/2014/chart" uri="{C3380CC4-5D6E-409C-BE32-E72D297353CC}">
              <c16:uniqueId val="{00000002-32C7-42B5-9CE7-4880AE620BC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Lighting (Common Use Area)</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Schedules!$E$38</c:f>
              <c:strCache>
                <c:ptCount val="1"/>
                <c:pt idx="0">
                  <c:v>Weekday</c:v>
                </c:pt>
              </c:strCache>
            </c:strRef>
          </c:tx>
          <c:spPr>
            <a:ln w="28575" cap="rnd">
              <a:solidFill>
                <a:schemeClr val="accent1"/>
              </a:solidFill>
              <a:round/>
            </a:ln>
            <a:effectLst/>
          </c:spPr>
          <c:marker>
            <c:symbol val="none"/>
          </c:marker>
          <c:val>
            <c:numRef>
              <c:f>Schedules!$F$38:$AC$38</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0-8A82-4DBB-9A8A-435382D0828C}"/>
            </c:ext>
          </c:extLst>
        </c:ser>
        <c:ser>
          <c:idx val="1"/>
          <c:order val="1"/>
          <c:tx>
            <c:strRef>
              <c:f>Schedules!$E$39</c:f>
              <c:strCache>
                <c:ptCount val="1"/>
                <c:pt idx="0">
                  <c:v>Saturday</c:v>
                </c:pt>
              </c:strCache>
            </c:strRef>
          </c:tx>
          <c:spPr>
            <a:ln w="28575" cap="rnd">
              <a:solidFill>
                <a:schemeClr val="accent2"/>
              </a:solidFill>
              <a:round/>
            </a:ln>
            <a:effectLst/>
          </c:spPr>
          <c:marker>
            <c:symbol val="none"/>
          </c:marker>
          <c:val>
            <c:numRef>
              <c:f>Schedules!$F$39:$AC$39</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1-8A82-4DBB-9A8A-435382D0828C}"/>
            </c:ext>
          </c:extLst>
        </c:ser>
        <c:ser>
          <c:idx val="2"/>
          <c:order val="2"/>
          <c:tx>
            <c:strRef>
              <c:f>Schedules!$E$40</c:f>
              <c:strCache>
                <c:ptCount val="1"/>
                <c:pt idx="0">
                  <c:v>Sunday</c:v>
                </c:pt>
              </c:strCache>
            </c:strRef>
          </c:tx>
          <c:spPr>
            <a:ln w="28575" cap="rnd">
              <a:solidFill>
                <a:schemeClr val="accent3"/>
              </a:solidFill>
              <a:round/>
            </a:ln>
            <a:effectLst/>
          </c:spPr>
          <c:marker>
            <c:symbol val="none"/>
          </c:marker>
          <c:val>
            <c:numRef>
              <c:f>Schedules!$F$40:$AC$40</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2-8A82-4DBB-9A8A-435382D0828C}"/>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Equipment (Common Use Area)</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Schedules!$E$41</c:f>
              <c:strCache>
                <c:ptCount val="1"/>
                <c:pt idx="0">
                  <c:v>Weekday</c:v>
                </c:pt>
              </c:strCache>
            </c:strRef>
          </c:tx>
          <c:spPr>
            <a:ln w="28575" cap="rnd">
              <a:solidFill>
                <a:schemeClr val="accent1"/>
              </a:solidFill>
              <a:round/>
            </a:ln>
            <a:effectLst/>
          </c:spPr>
          <c:marker>
            <c:symbol val="none"/>
          </c:marker>
          <c:val>
            <c:numRef>
              <c:f>Schedules!$F$41:$AC$41</c:f>
              <c:numCache>
                <c:formatCode>0.00</c:formatCode>
                <c:ptCount val="24"/>
                <c:pt idx="0">
                  <c:v>0.1</c:v>
                </c:pt>
                <c:pt idx="1">
                  <c:v>0.1</c:v>
                </c:pt>
                <c:pt idx="2">
                  <c:v>0.1</c:v>
                </c:pt>
                <c:pt idx="3">
                  <c:v>0.1</c:v>
                </c:pt>
                <c:pt idx="4">
                  <c:v>0.1</c:v>
                </c:pt>
                <c:pt idx="5">
                  <c:v>0.3</c:v>
                </c:pt>
                <c:pt idx="6">
                  <c:v>0.45</c:v>
                </c:pt>
                <c:pt idx="7">
                  <c:v>0.45</c:v>
                </c:pt>
                <c:pt idx="8">
                  <c:v>0.45</c:v>
                </c:pt>
                <c:pt idx="9">
                  <c:v>0.45</c:v>
                </c:pt>
                <c:pt idx="10">
                  <c:v>0.3</c:v>
                </c:pt>
                <c:pt idx="11">
                  <c:v>0.3</c:v>
                </c:pt>
                <c:pt idx="12">
                  <c:v>0.3</c:v>
                </c:pt>
                <c:pt idx="13">
                  <c:v>0.3</c:v>
                </c:pt>
                <c:pt idx="14">
                  <c:v>0.3</c:v>
                </c:pt>
                <c:pt idx="15">
                  <c:v>0.3</c:v>
                </c:pt>
                <c:pt idx="16">
                  <c:v>0.3</c:v>
                </c:pt>
                <c:pt idx="17">
                  <c:v>0.3</c:v>
                </c:pt>
                <c:pt idx="18">
                  <c:v>0.6</c:v>
                </c:pt>
                <c:pt idx="19">
                  <c:v>0.8</c:v>
                </c:pt>
                <c:pt idx="20">
                  <c:v>0.9</c:v>
                </c:pt>
                <c:pt idx="21">
                  <c:v>0.8</c:v>
                </c:pt>
                <c:pt idx="22">
                  <c:v>0.6</c:v>
                </c:pt>
                <c:pt idx="23">
                  <c:v>0.3</c:v>
                </c:pt>
              </c:numCache>
            </c:numRef>
          </c:val>
          <c:smooth val="0"/>
          <c:extLst>
            <c:ext xmlns:c16="http://schemas.microsoft.com/office/drawing/2014/chart" uri="{C3380CC4-5D6E-409C-BE32-E72D297353CC}">
              <c16:uniqueId val="{00000000-6866-49E7-B3BF-1C615A834F79}"/>
            </c:ext>
          </c:extLst>
        </c:ser>
        <c:ser>
          <c:idx val="1"/>
          <c:order val="1"/>
          <c:tx>
            <c:strRef>
              <c:f>Schedules!$E$42</c:f>
              <c:strCache>
                <c:ptCount val="1"/>
                <c:pt idx="0">
                  <c:v>Saturday</c:v>
                </c:pt>
              </c:strCache>
            </c:strRef>
          </c:tx>
          <c:spPr>
            <a:ln w="28575" cap="rnd">
              <a:solidFill>
                <a:schemeClr val="accent2"/>
              </a:solidFill>
              <a:round/>
            </a:ln>
            <a:effectLst/>
          </c:spPr>
          <c:marker>
            <c:symbol val="none"/>
          </c:marker>
          <c:val>
            <c:numRef>
              <c:f>Schedules!$F$42:$AC$42</c:f>
              <c:numCache>
                <c:formatCode>0.00</c:formatCode>
                <c:ptCount val="24"/>
                <c:pt idx="0">
                  <c:v>0.1</c:v>
                </c:pt>
                <c:pt idx="1">
                  <c:v>0.1</c:v>
                </c:pt>
                <c:pt idx="2">
                  <c:v>0.1</c:v>
                </c:pt>
                <c:pt idx="3">
                  <c:v>0.1</c:v>
                </c:pt>
                <c:pt idx="4">
                  <c:v>0.1</c:v>
                </c:pt>
                <c:pt idx="5">
                  <c:v>0.3</c:v>
                </c:pt>
                <c:pt idx="6">
                  <c:v>0.45</c:v>
                </c:pt>
                <c:pt idx="7">
                  <c:v>0.45</c:v>
                </c:pt>
                <c:pt idx="8">
                  <c:v>0.45</c:v>
                </c:pt>
                <c:pt idx="9">
                  <c:v>0.45</c:v>
                </c:pt>
                <c:pt idx="10">
                  <c:v>0.3</c:v>
                </c:pt>
                <c:pt idx="11">
                  <c:v>0.3</c:v>
                </c:pt>
                <c:pt idx="12">
                  <c:v>0.3</c:v>
                </c:pt>
                <c:pt idx="13">
                  <c:v>0.3</c:v>
                </c:pt>
                <c:pt idx="14">
                  <c:v>0.3</c:v>
                </c:pt>
                <c:pt idx="15">
                  <c:v>0.3</c:v>
                </c:pt>
                <c:pt idx="16">
                  <c:v>0.3</c:v>
                </c:pt>
                <c:pt idx="17">
                  <c:v>0.3</c:v>
                </c:pt>
                <c:pt idx="18">
                  <c:v>0.6</c:v>
                </c:pt>
                <c:pt idx="19">
                  <c:v>0.8</c:v>
                </c:pt>
                <c:pt idx="20">
                  <c:v>0.9</c:v>
                </c:pt>
                <c:pt idx="21">
                  <c:v>0.8</c:v>
                </c:pt>
                <c:pt idx="22">
                  <c:v>0.6</c:v>
                </c:pt>
                <c:pt idx="23">
                  <c:v>0.3</c:v>
                </c:pt>
              </c:numCache>
            </c:numRef>
          </c:val>
          <c:smooth val="0"/>
          <c:extLst>
            <c:ext xmlns:c16="http://schemas.microsoft.com/office/drawing/2014/chart" uri="{C3380CC4-5D6E-409C-BE32-E72D297353CC}">
              <c16:uniqueId val="{00000001-6866-49E7-B3BF-1C615A834F79}"/>
            </c:ext>
          </c:extLst>
        </c:ser>
        <c:ser>
          <c:idx val="2"/>
          <c:order val="2"/>
          <c:tx>
            <c:strRef>
              <c:f>Schedules!$E$43</c:f>
              <c:strCache>
                <c:ptCount val="1"/>
                <c:pt idx="0">
                  <c:v>Sunday</c:v>
                </c:pt>
              </c:strCache>
            </c:strRef>
          </c:tx>
          <c:spPr>
            <a:ln w="28575" cap="rnd">
              <a:solidFill>
                <a:schemeClr val="accent3"/>
              </a:solidFill>
              <a:round/>
            </a:ln>
            <a:effectLst/>
          </c:spPr>
          <c:marker>
            <c:symbol val="none"/>
          </c:marker>
          <c:val>
            <c:numRef>
              <c:f>Schedules!$F$43:$AC$43</c:f>
              <c:numCache>
                <c:formatCode>0.00</c:formatCode>
                <c:ptCount val="24"/>
                <c:pt idx="0">
                  <c:v>0.1</c:v>
                </c:pt>
                <c:pt idx="1">
                  <c:v>0.1</c:v>
                </c:pt>
                <c:pt idx="2">
                  <c:v>0.1</c:v>
                </c:pt>
                <c:pt idx="3">
                  <c:v>0.1</c:v>
                </c:pt>
                <c:pt idx="4">
                  <c:v>0.1</c:v>
                </c:pt>
                <c:pt idx="5">
                  <c:v>0.3</c:v>
                </c:pt>
                <c:pt idx="6">
                  <c:v>0.45</c:v>
                </c:pt>
                <c:pt idx="7">
                  <c:v>0.45</c:v>
                </c:pt>
                <c:pt idx="8">
                  <c:v>0.45</c:v>
                </c:pt>
                <c:pt idx="9">
                  <c:v>0.45</c:v>
                </c:pt>
                <c:pt idx="10">
                  <c:v>0.3</c:v>
                </c:pt>
                <c:pt idx="11">
                  <c:v>0.3</c:v>
                </c:pt>
                <c:pt idx="12">
                  <c:v>0.3</c:v>
                </c:pt>
                <c:pt idx="13">
                  <c:v>0.3</c:v>
                </c:pt>
                <c:pt idx="14">
                  <c:v>0.3</c:v>
                </c:pt>
                <c:pt idx="15">
                  <c:v>0.3</c:v>
                </c:pt>
                <c:pt idx="16">
                  <c:v>0.3</c:v>
                </c:pt>
                <c:pt idx="17">
                  <c:v>0.3</c:v>
                </c:pt>
                <c:pt idx="18">
                  <c:v>0.6</c:v>
                </c:pt>
                <c:pt idx="19">
                  <c:v>0.8</c:v>
                </c:pt>
                <c:pt idx="20">
                  <c:v>0.9</c:v>
                </c:pt>
                <c:pt idx="21">
                  <c:v>0.8</c:v>
                </c:pt>
                <c:pt idx="22">
                  <c:v>0.6</c:v>
                </c:pt>
                <c:pt idx="23">
                  <c:v>0.3</c:v>
                </c:pt>
              </c:numCache>
            </c:numRef>
          </c:val>
          <c:smooth val="0"/>
          <c:extLst>
            <c:ext xmlns:c16="http://schemas.microsoft.com/office/drawing/2014/chart" uri="{C3380CC4-5D6E-409C-BE32-E72D297353CC}">
              <c16:uniqueId val="{00000002-6866-49E7-B3BF-1C615A834F79}"/>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Domestic Hot Water (Common Use Area)</a:t>
            </a:r>
          </a:p>
        </c:rich>
      </c:tx>
      <c:layout>
        <c:manualLayout>
          <c:xMode val="edge"/>
          <c:yMode val="edge"/>
          <c:x val="0.15287702683311813"/>
          <c:y val="5.507746262032835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Schedules!$E$44</c:f>
              <c:strCache>
                <c:ptCount val="1"/>
                <c:pt idx="0">
                  <c:v>Weekday</c:v>
                </c:pt>
              </c:strCache>
            </c:strRef>
          </c:tx>
          <c:spPr>
            <a:ln w="28575" cap="rnd">
              <a:solidFill>
                <a:schemeClr val="accent1"/>
              </a:solidFill>
              <a:round/>
            </a:ln>
            <a:effectLst/>
          </c:spPr>
          <c:marker>
            <c:symbol val="none"/>
          </c:marker>
          <c:val>
            <c:numRef>
              <c:f>Schedules!$F$44:$AC$44</c:f>
              <c:numCache>
                <c:formatCode>0.00</c:formatCode>
                <c:ptCount val="24"/>
                <c:pt idx="0">
                  <c:v>0</c:v>
                </c:pt>
                <c:pt idx="1">
                  <c:v>0</c:v>
                </c:pt>
                <c:pt idx="2">
                  <c:v>0</c:v>
                </c:pt>
                <c:pt idx="3">
                  <c:v>0.05</c:v>
                </c:pt>
                <c:pt idx="4">
                  <c:v>0.05</c:v>
                </c:pt>
                <c:pt idx="5">
                  <c:v>0.05</c:v>
                </c:pt>
                <c:pt idx="6">
                  <c:v>0.8</c:v>
                </c:pt>
                <c:pt idx="7">
                  <c:v>0.7</c:v>
                </c:pt>
                <c:pt idx="8">
                  <c:v>0.5</c:v>
                </c:pt>
                <c:pt idx="9">
                  <c:v>0.4</c:v>
                </c:pt>
                <c:pt idx="10">
                  <c:v>0.25</c:v>
                </c:pt>
                <c:pt idx="11">
                  <c:v>0.25</c:v>
                </c:pt>
                <c:pt idx="12">
                  <c:v>0.25</c:v>
                </c:pt>
                <c:pt idx="13">
                  <c:v>0.25</c:v>
                </c:pt>
                <c:pt idx="14">
                  <c:v>0.5</c:v>
                </c:pt>
                <c:pt idx="15">
                  <c:v>0.6</c:v>
                </c:pt>
                <c:pt idx="16">
                  <c:v>0.7</c:v>
                </c:pt>
                <c:pt idx="17">
                  <c:v>0.7</c:v>
                </c:pt>
                <c:pt idx="18">
                  <c:v>0.4</c:v>
                </c:pt>
                <c:pt idx="19">
                  <c:v>0.25</c:v>
                </c:pt>
                <c:pt idx="20">
                  <c:v>0.2</c:v>
                </c:pt>
                <c:pt idx="21">
                  <c:v>0.2</c:v>
                </c:pt>
                <c:pt idx="22">
                  <c:v>0.05</c:v>
                </c:pt>
                <c:pt idx="23">
                  <c:v>0.05</c:v>
                </c:pt>
              </c:numCache>
            </c:numRef>
          </c:val>
          <c:smooth val="0"/>
          <c:extLst>
            <c:ext xmlns:c16="http://schemas.microsoft.com/office/drawing/2014/chart" uri="{C3380CC4-5D6E-409C-BE32-E72D297353CC}">
              <c16:uniqueId val="{00000000-8F66-414C-8C73-2505538CF4D2}"/>
            </c:ext>
          </c:extLst>
        </c:ser>
        <c:ser>
          <c:idx val="1"/>
          <c:order val="1"/>
          <c:tx>
            <c:strRef>
              <c:f>Schedules!$E$45</c:f>
              <c:strCache>
                <c:ptCount val="1"/>
                <c:pt idx="0">
                  <c:v>Saturday</c:v>
                </c:pt>
              </c:strCache>
            </c:strRef>
          </c:tx>
          <c:spPr>
            <a:ln w="28575" cap="rnd">
              <a:solidFill>
                <a:schemeClr val="accent2"/>
              </a:solidFill>
              <a:round/>
            </a:ln>
            <a:effectLst/>
          </c:spPr>
          <c:marker>
            <c:symbol val="none"/>
          </c:marker>
          <c:val>
            <c:numRef>
              <c:f>Schedules!$F$45:$AC$45</c:f>
              <c:numCache>
                <c:formatCode>0.00</c:formatCode>
                <c:ptCount val="24"/>
                <c:pt idx="0">
                  <c:v>0</c:v>
                </c:pt>
                <c:pt idx="1">
                  <c:v>0</c:v>
                </c:pt>
                <c:pt idx="2">
                  <c:v>0</c:v>
                </c:pt>
                <c:pt idx="3">
                  <c:v>0.05</c:v>
                </c:pt>
                <c:pt idx="4">
                  <c:v>0.05</c:v>
                </c:pt>
                <c:pt idx="5">
                  <c:v>0.05</c:v>
                </c:pt>
                <c:pt idx="6">
                  <c:v>0.8</c:v>
                </c:pt>
                <c:pt idx="7">
                  <c:v>0.7</c:v>
                </c:pt>
                <c:pt idx="8">
                  <c:v>0.5</c:v>
                </c:pt>
                <c:pt idx="9">
                  <c:v>0.4</c:v>
                </c:pt>
                <c:pt idx="10">
                  <c:v>0.25</c:v>
                </c:pt>
                <c:pt idx="11">
                  <c:v>0.25</c:v>
                </c:pt>
                <c:pt idx="12">
                  <c:v>0.25</c:v>
                </c:pt>
                <c:pt idx="13">
                  <c:v>0.25</c:v>
                </c:pt>
                <c:pt idx="14">
                  <c:v>0.5</c:v>
                </c:pt>
                <c:pt idx="15">
                  <c:v>0.6</c:v>
                </c:pt>
                <c:pt idx="16">
                  <c:v>0.7</c:v>
                </c:pt>
                <c:pt idx="17">
                  <c:v>0.7</c:v>
                </c:pt>
                <c:pt idx="18">
                  <c:v>0.4</c:v>
                </c:pt>
                <c:pt idx="19">
                  <c:v>0.25</c:v>
                </c:pt>
                <c:pt idx="20">
                  <c:v>0.2</c:v>
                </c:pt>
                <c:pt idx="21">
                  <c:v>0.2</c:v>
                </c:pt>
                <c:pt idx="22">
                  <c:v>0.05</c:v>
                </c:pt>
                <c:pt idx="23">
                  <c:v>0.05</c:v>
                </c:pt>
              </c:numCache>
            </c:numRef>
          </c:val>
          <c:smooth val="0"/>
          <c:extLst>
            <c:ext xmlns:c16="http://schemas.microsoft.com/office/drawing/2014/chart" uri="{C3380CC4-5D6E-409C-BE32-E72D297353CC}">
              <c16:uniqueId val="{00000001-8F66-414C-8C73-2505538CF4D2}"/>
            </c:ext>
          </c:extLst>
        </c:ser>
        <c:ser>
          <c:idx val="2"/>
          <c:order val="2"/>
          <c:tx>
            <c:strRef>
              <c:f>Schedules!$E$46</c:f>
              <c:strCache>
                <c:ptCount val="1"/>
                <c:pt idx="0">
                  <c:v>Sunday</c:v>
                </c:pt>
              </c:strCache>
            </c:strRef>
          </c:tx>
          <c:spPr>
            <a:ln w="28575" cap="rnd">
              <a:solidFill>
                <a:schemeClr val="accent3"/>
              </a:solidFill>
              <a:round/>
            </a:ln>
            <a:effectLst/>
          </c:spPr>
          <c:marker>
            <c:symbol val="none"/>
          </c:marker>
          <c:val>
            <c:numRef>
              <c:f>Schedules!$F$46:$AC$46</c:f>
              <c:numCache>
                <c:formatCode>0.00</c:formatCode>
                <c:ptCount val="24"/>
                <c:pt idx="0">
                  <c:v>0</c:v>
                </c:pt>
                <c:pt idx="1">
                  <c:v>0</c:v>
                </c:pt>
                <c:pt idx="2">
                  <c:v>0</c:v>
                </c:pt>
                <c:pt idx="3">
                  <c:v>0.05</c:v>
                </c:pt>
                <c:pt idx="4">
                  <c:v>0.05</c:v>
                </c:pt>
                <c:pt idx="5">
                  <c:v>0.05</c:v>
                </c:pt>
                <c:pt idx="6">
                  <c:v>0.8</c:v>
                </c:pt>
                <c:pt idx="7">
                  <c:v>0.7</c:v>
                </c:pt>
                <c:pt idx="8">
                  <c:v>0.5</c:v>
                </c:pt>
                <c:pt idx="9">
                  <c:v>0.4</c:v>
                </c:pt>
                <c:pt idx="10">
                  <c:v>0.25</c:v>
                </c:pt>
                <c:pt idx="11">
                  <c:v>0.25</c:v>
                </c:pt>
                <c:pt idx="12">
                  <c:v>0.25</c:v>
                </c:pt>
                <c:pt idx="13">
                  <c:v>0.25</c:v>
                </c:pt>
                <c:pt idx="14">
                  <c:v>0.5</c:v>
                </c:pt>
                <c:pt idx="15">
                  <c:v>0.6</c:v>
                </c:pt>
                <c:pt idx="16">
                  <c:v>0.7</c:v>
                </c:pt>
                <c:pt idx="17">
                  <c:v>0.7</c:v>
                </c:pt>
                <c:pt idx="18">
                  <c:v>0.4</c:v>
                </c:pt>
                <c:pt idx="19">
                  <c:v>0.25</c:v>
                </c:pt>
                <c:pt idx="20">
                  <c:v>0.2</c:v>
                </c:pt>
                <c:pt idx="21">
                  <c:v>0.2</c:v>
                </c:pt>
                <c:pt idx="22">
                  <c:v>0.05</c:v>
                </c:pt>
                <c:pt idx="23">
                  <c:v>0.05</c:v>
                </c:pt>
              </c:numCache>
            </c:numRef>
          </c:val>
          <c:smooth val="0"/>
          <c:extLst>
            <c:ext xmlns:c16="http://schemas.microsoft.com/office/drawing/2014/chart" uri="{C3380CC4-5D6E-409C-BE32-E72D297353CC}">
              <c16:uniqueId val="{00000002-8F66-414C-8C73-2505538CF4D2}"/>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Gas Equipment (Common Use Area)</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Schedules!$E$47</c:f>
              <c:strCache>
                <c:ptCount val="1"/>
                <c:pt idx="0">
                  <c:v>Weekday</c:v>
                </c:pt>
              </c:strCache>
            </c:strRef>
          </c:tx>
          <c:spPr>
            <a:ln w="28575" cap="rnd">
              <a:solidFill>
                <a:schemeClr val="accent1"/>
              </a:solidFill>
              <a:round/>
            </a:ln>
            <a:effectLst/>
          </c:spPr>
          <c:marker>
            <c:symbol val="none"/>
          </c:marker>
          <c:val>
            <c:numRef>
              <c:f>Schedules!$F$47:$AC$47</c:f>
              <c:numCache>
                <c:formatCode>0.00</c:formatCode>
                <c:ptCount val="24"/>
                <c:pt idx="0">
                  <c:v>0</c:v>
                </c:pt>
                <c:pt idx="1">
                  <c:v>0</c:v>
                </c:pt>
                <c:pt idx="2">
                  <c:v>0</c:v>
                </c:pt>
                <c:pt idx="3">
                  <c:v>0</c:v>
                </c:pt>
                <c:pt idx="4">
                  <c:v>0</c:v>
                </c:pt>
                <c:pt idx="5">
                  <c:v>0.5</c:v>
                </c:pt>
                <c:pt idx="6">
                  <c:v>0.5</c:v>
                </c:pt>
                <c:pt idx="7">
                  <c:v>0.1</c:v>
                </c:pt>
                <c:pt idx="8">
                  <c:v>0.1</c:v>
                </c:pt>
                <c:pt idx="9">
                  <c:v>0.1</c:v>
                </c:pt>
                <c:pt idx="10">
                  <c:v>0.1</c:v>
                </c:pt>
                <c:pt idx="11">
                  <c:v>0.5</c:v>
                </c:pt>
                <c:pt idx="12">
                  <c:v>0.5</c:v>
                </c:pt>
                <c:pt idx="13">
                  <c:v>0.1</c:v>
                </c:pt>
                <c:pt idx="14">
                  <c:v>0.1</c:v>
                </c:pt>
                <c:pt idx="15">
                  <c:v>0.1</c:v>
                </c:pt>
                <c:pt idx="16">
                  <c:v>0.5</c:v>
                </c:pt>
                <c:pt idx="17">
                  <c:v>0.5</c:v>
                </c:pt>
                <c:pt idx="18">
                  <c:v>0.5</c:v>
                </c:pt>
                <c:pt idx="19">
                  <c:v>0.1</c:v>
                </c:pt>
                <c:pt idx="20">
                  <c:v>0</c:v>
                </c:pt>
                <c:pt idx="21">
                  <c:v>0</c:v>
                </c:pt>
                <c:pt idx="22">
                  <c:v>0</c:v>
                </c:pt>
                <c:pt idx="23">
                  <c:v>0</c:v>
                </c:pt>
              </c:numCache>
            </c:numRef>
          </c:val>
          <c:smooth val="0"/>
          <c:extLst>
            <c:ext xmlns:c16="http://schemas.microsoft.com/office/drawing/2014/chart" uri="{C3380CC4-5D6E-409C-BE32-E72D297353CC}">
              <c16:uniqueId val="{00000000-4827-4A9D-AF3A-BF483E00E64A}"/>
            </c:ext>
          </c:extLst>
        </c:ser>
        <c:ser>
          <c:idx val="1"/>
          <c:order val="1"/>
          <c:tx>
            <c:strRef>
              <c:f>Schedules!$E$48</c:f>
              <c:strCache>
                <c:ptCount val="1"/>
                <c:pt idx="0">
                  <c:v>Saturday</c:v>
                </c:pt>
              </c:strCache>
            </c:strRef>
          </c:tx>
          <c:spPr>
            <a:ln w="28575" cap="rnd">
              <a:solidFill>
                <a:schemeClr val="accent2"/>
              </a:solidFill>
              <a:round/>
            </a:ln>
            <a:effectLst/>
          </c:spPr>
          <c:marker>
            <c:symbol val="none"/>
          </c:marker>
          <c:val>
            <c:numRef>
              <c:f>Schedules!$F$48:$AC$48</c:f>
              <c:numCache>
                <c:formatCode>0.00</c:formatCode>
                <c:ptCount val="24"/>
                <c:pt idx="0">
                  <c:v>0</c:v>
                </c:pt>
                <c:pt idx="1">
                  <c:v>0</c:v>
                </c:pt>
                <c:pt idx="2">
                  <c:v>0</c:v>
                </c:pt>
                <c:pt idx="3">
                  <c:v>0</c:v>
                </c:pt>
                <c:pt idx="4">
                  <c:v>0</c:v>
                </c:pt>
                <c:pt idx="5">
                  <c:v>0.5</c:v>
                </c:pt>
                <c:pt idx="6">
                  <c:v>0.5</c:v>
                </c:pt>
                <c:pt idx="7">
                  <c:v>0.1</c:v>
                </c:pt>
                <c:pt idx="8">
                  <c:v>0.1</c:v>
                </c:pt>
                <c:pt idx="9">
                  <c:v>0.1</c:v>
                </c:pt>
                <c:pt idx="10">
                  <c:v>0.1</c:v>
                </c:pt>
                <c:pt idx="11">
                  <c:v>0.5</c:v>
                </c:pt>
                <c:pt idx="12">
                  <c:v>0.5</c:v>
                </c:pt>
                <c:pt idx="13">
                  <c:v>0.1</c:v>
                </c:pt>
                <c:pt idx="14">
                  <c:v>0.1</c:v>
                </c:pt>
                <c:pt idx="15">
                  <c:v>0.1</c:v>
                </c:pt>
                <c:pt idx="16">
                  <c:v>0.5</c:v>
                </c:pt>
                <c:pt idx="17">
                  <c:v>0.5</c:v>
                </c:pt>
                <c:pt idx="18">
                  <c:v>0.5</c:v>
                </c:pt>
                <c:pt idx="19">
                  <c:v>0.1</c:v>
                </c:pt>
                <c:pt idx="20">
                  <c:v>0</c:v>
                </c:pt>
                <c:pt idx="21">
                  <c:v>0</c:v>
                </c:pt>
                <c:pt idx="22">
                  <c:v>0</c:v>
                </c:pt>
                <c:pt idx="23">
                  <c:v>0</c:v>
                </c:pt>
              </c:numCache>
            </c:numRef>
          </c:val>
          <c:smooth val="0"/>
          <c:extLst>
            <c:ext xmlns:c16="http://schemas.microsoft.com/office/drawing/2014/chart" uri="{C3380CC4-5D6E-409C-BE32-E72D297353CC}">
              <c16:uniqueId val="{00000001-4827-4A9D-AF3A-BF483E00E64A}"/>
            </c:ext>
          </c:extLst>
        </c:ser>
        <c:ser>
          <c:idx val="2"/>
          <c:order val="2"/>
          <c:tx>
            <c:strRef>
              <c:f>Schedules!$E$49</c:f>
              <c:strCache>
                <c:ptCount val="1"/>
                <c:pt idx="0">
                  <c:v>Sunday</c:v>
                </c:pt>
              </c:strCache>
            </c:strRef>
          </c:tx>
          <c:spPr>
            <a:ln w="28575" cap="rnd">
              <a:solidFill>
                <a:schemeClr val="accent3"/>
              </a:solidFill>
              <a:round/>
            </a:ln>
            <a:effectLst/>
          </c:spPr>
          <c:marker>
            <c:symbol val="none"/>
          </c:marker>
          <c:val>
            <c:numRef>
              <c:f>Schedules!$F$49:$AC$49</c:f>
              <c:numCache>
                <c:formatCode>0.00</c:formatCode>
                <c:ptCount val="24"/>
                <c:pt idx="0">
                  <c:v>0</c:v>
                </c:pt>
                <c:pt idx="1">
                  <c:v>0</c:v>
                </c:pt>
                <c:pt idx="2">
                  <c:v>0</c:v>
                </c:pt>
                <c:pt idx="3">
                  <c:v>0</c:v>
                </c:pt>
                <c:pt idx="4">
                  <c:v>0</c:v>
                </c:pt>
                <c:pt idx="5">
                  <c:v>0.5</c:v>
                </c:pt>
                <c:pt idx="6">
                  <c:v>0.5</c:v>
                </c:pt>
                <c:pt idx="7">
                  <c:v>0.1</c:v>
                </c:pt>
                <c:pt idx="8">
                  <c:v>0.1</c:v>
                </c:pt>
                <c:pt idx="9">
                  <c:v>0.1</c:v>
                </c:pt>
                <c:pt idx="10">
                  <c:v>0.1</c:v>
                </c:pt>
                <c:pt idx="11">
                  <c:v>0.5</c:v>
                </c:pt>
                <c:pt idx="12">
                  <c:v>0.5</c:v>
                </c:pt>
                <c:pt idx="13">
                  <c:v>0.1</c:v>
                </c:pt>
                <c:pt idx="14">
                  <c:v>0.1</c:v>
                </c:pt>
                <c:pt idx="15">
                  <c:v>0.1</c:v>
                </c:pt>
                <c:pt idx="16">
                  <c:v>0.5</c:v>
                </c:pt>
                <c:pt idx="17">
                  <c:v>0.5</c:v>
                </c:pt>
                <c:pt idx="18">
                  <c:v>0.5</c:v>
                </c:pt>
                <c:pt idx="19">
                  <c:v>0.1</c:v>
                </c:pt>
                <c:pt idx="20">
                  <c:v>0</c:v>
                </c:pt>
                <c:pt idx="21">
                  <c:v>0</c:v>
                </c:pt>
                <c:pt idx="22">
                  <c:v>0</c:v>
                </c:pt>
                <c:pt idx="23">
                  <c:v>0</c:v>
                </c:pt>
              </c:numCache>
            </c:numRef>
          </c:val>
          <c:smooth val="0"/>
          <c:extLst>
            <c:ext xmlns:c16="http://schemas.microsoft.com/office/drawing/2014/chart" uri="{C3380CC4-5D6E-409C-BE32-E72D297353CC}">
              <c16:uniqueId val="{00000002-4827-4A9D-AF3A-BF483E00E64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Heating Setpoint (Common Use Area)</a:t>
            </a:r>
          </a:p>
        </c:rich>
      </c:tx>
      <c:layout>
        <c:manualLayout>
          <c:xMode val="edge"/>
          <c:yMode val="edge"/>
          <c:x val="0.20964270340077487"/>
          <c:y val="5.507746262032835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Schedules!$E$53</c:f>
              <c:strCache>
                <c:ptCount val="1"/>
                <c:pt idx="0">
                  <c:v>Weekday</c:v>
                </c:pt>
              </c:strCache>
            </c:strRef>
          </c:tx>
          <c:spPr>
            <a:ln w="28575" cap="rnd">
              <a:solidFill>
                <a:schemeClr val="accent1"/>
              </a:solidFill>
              <a:round/>
            </a:ln>
            <a:effectLst/>
          </c:spPr>
          <c:marker>
            <c:symbol val="none"/>
          </c:marker>
          <c:val>
            <c:numRef>
              <c:f>Schedules!$F$53:$AC$53</c:f>
              <c:numCache>
                <c:formatCode>0</c:formatCode>
                <c:ptCount val="24"/>
                <c:pt idx="0">
                  <c:v>68</c:v>
                </c:pt>
                <c:pt idx="1">
                  <c:v>68</c:v>
                </c:pt>
                <c:pt idx="2">
                  <c:v>68</c:v>
                </c:pt>
                <c:pt idx="3">
                  <c:v>68</c:v>
                </c:pt>
                <c:pt idx="4">
                  <c:v>68</c:v>
                </c:pt>
                <c:pt idx="5">
                  <c:v>68</c:v>
                </c:pt>
                <c:pt idx="6">
                  <c:v>68</c:v>
                </c:pt>
                <c:pt idx="7">
                  <c:v>68</c:v>
                </c:pt>
                <c:pt idx="8">
                  <c:v>68</c:v>
                </c:pt>
                <c:pt idx="9">
                  <c:v>68</c:v>
                </c:pt>
                <c:pt idx="10">
                  <c:v>68</c:v>
                </c:pt>
                <c:pt idx="11">
                  <c:v>68</c:v>
                </c:pt>
                <c:pt idx="12">
                  <c:v>68</c:v>
                </c:pt>
                <c:pt idx="13">
                  <c:v>68</c:v>
                </c:pt>
                <c:pt idx="14">
                  <c:v>68</c:v>
                </c:pt>
                <c:pt idx="15">
                  <c:v>68</c:v>
                </c:pt>
                <c:pt idx="16">
                  <c:v>68</c:v>
                </c:pt>
                <c:pt idx="17">
                  <c:v>68</c:v>
                </c:pt>
                <c:pt idx="18">
                  <c:v>68</c:v>
                </c:pt>
                <c:pt idx="19">
                  <c:v>68</c:v>
                </c:pt>
                <c:pt idx="20">
                  <c:v>68</c:v>
                </c:pt>
                <c:pt idx="21">
                  <c:v>68</c:v>
                </c:pt>
                <c:pt idx="22">
                  <c:v>68</c:v>
                </c:pt>
                <c:pt idx="23">
                  <c:v>68</c:v>
                </c:pt>
              </c:numCache>
            </c:numRef>
          </c:val>
          <c:smooth val="0"/>
          <c:extLst>
            <c:ext xmlns:c16="http://schemas.microsoft.com/office/drawing/2014/chart" uri="{C3380CC4-5D6E-409C-BE32-E72D297353CC}">
              <c16:uniqueId val="{00000000-3467-480F-86E6-CBB8FF907A4A}"/>
            </c:ext>
          </c:extLst>
        </c:ser>
        <c:ser>
          <c:idx val="1"/>
          <c:order val="1"/>
          <c:tx>
            <c:strRef>
              <c:f>Schedules!$E$54</c:f>
              <c:strCache>
                <c:ptCount val="1"/>
                <c:pt idx="0">
                  <c:v>Saturday</c:v>
                </c:pt>
              </c:strCache>
            </c:strRef>
          </c:tx>
          <c:spPr>
            <a:ln w="28575" cap="rnd">
              <a:solidFill>
                <a:schemeClr val="accent2"/>
              </a:solidFill>
              <a:round/>
            </a:ln>
            <a:effectLst/>
          </c:spPr>
          <c:marker>
            <c:symbol val="none"/>
          </c:marker>
          <c:val>
            <c:numRef>
              <c:f>Schedules!$F$54:$AC$54</c:f>
              <c:numCache>
                <c:formatCode>0</c:formatCode>
                <c:ptCount val="24"/>
                <c:pt idx="0">
                  <c:v>68</c:v>
                </c:pt>
                <c:pt idx="1">
                  <c:v>68</c:v>
                </c:pt>
                <c:pt idx="2">
                  <c:v>68</c:v>
                </c:pt>
                <c:pt idx="3">
                  <c:v>68</c:v>
                </c:pt>
                <c:pt idx="4">
                  <c:v>68</c:v>
                </c:pt>
                <c:pt idx="5">
                  <c:v>68</c:v>
                </c:pt>
                <c:pt idx="6">
                  <c:v>68</c:v>
                </c:pt>
                <c:pt idx="7">
                  <c:v>68</c:v>
                </c:pt>
                <c:pt idx="8">
                  <c:v>68</c:v>
                </c:pt>
                <c:pt idx="9">
                  <c:v>68</c:v>
                </c:pt>
                <c:pt idx="10">
                  <c:v>68</c:v>
                </c:pt>
                <c:pt idx="11">
                  <c:v>68</c:v>
                </c:pt>
                <c:pt idx="12">
                  <c:v>68</c:v>
                </c:pt>
                <c:pt idx="13">
                  <c:v>68</c:v>
                </c:pt>
                <c:pt idx="14">
                  <c:v>68</c:v>
                </c:pt>
                <c:pt idx="15">
                  <c:v>68</c:v>
                </c:pt>
                <c:pt idx="16">
                  <c:v>68</c:v>
                </c:pt>
                <c:pt idx="17">
                  <c:v>68</c:v>
                </c:pt>
                <c:pt idx="18">
                  <c:v>68</c:v>
                </c:pt>
                <c:pt idx="19">
                  <c:v>68</c:v>
                </c:pt>
                <c:pt idx="20">
                  <c:v>68</c:v>
                </c:pt>
                <c:pt idx="21">
                  <c:v>68</c:v>
                </c:pt>
                <c:pt idx="22">
                  <c:v>68</c:v>
                </c:pt>
                <c:pt idx="23">
                  <c:v>68</c:v>
                </c:pt>
              </c:numCache>
            </c:numRef>
          </c:val>
          <c:smooth val="0"/>
          <c:extLst>
            <c:ext xmlns:c16="http://schemas.microsoft.com/office/drawing/2014/chart" uri="{C3380CC4-5D6E-409C-BE32-E72D297353CC}">
              <c16:uniqueId val="{00000001-3467-480F-86E6-CBB8FF907A4A}"/>
            </c:ext>
          </c:extLst>
        </c:ser>
        <c:ser>
          <c:idx val="2"/>
          <c:order val="2"/>
          <c:tx>
            <c:strRef>
              <c:f>Schedules!$E$55</c:f>
              <c:strCache>
                <c:ptCount val="1"/>
                <c:pt idx="0">
                  <c:v>Sunday</c:v>
                </c:pt>
              </c:strCache>
            </c:strRef>
          </c:tx>
          <c:spPr>
            <a:ln w="28575" cap="rnd">
              <a:solidFill>
                <a:schemeClr val="accent3"/>
              </a:solidFill>
              <a:round/>
            </a:ln>
            <a:effectLst/>
          </c:spPr>
          <c:marker>
            <c:symbol val="none"/>
          </c:marker>
          <c:val>
            <c:numRef>
              <c:f>Schedules!$F$55:$AC$55</c:f>
              <c:numCache>
                <c:formatCode>0</c:formatCode>
                <c:ptCount val="24"/>
                <c:pt idx="0">
                  <c:v>68</c:v>
                </c:pt>
                <c:pt idx="1">
                  <c:v>68</c:v>
                </c:pt>
                <c:pt idx="2">
                  <c:v>68</c:v>
                </c:pt>
                <c:pt idx="3">
                  <c:v>68</c:v>
                </c:pt>
                <c:pt idx="4">
                  <c:v>68</c:v>
                </c:pt>
                <c:pt idx="5">
                  <c:v>68</c:v>
                </c:pt>
                <c:pt idx="6">
                  <c:v>68</c:v>
                </c:pt>
                <c:pt idx="7">
                  <c:v>68</c:v>
                </c:pt>
                <c:pt idx="8">
                  <c:v>68</c:v>
                </c:pt>
                <c:pt idx="9">
                  <c:v>68</c:v>
                </c:pt>
                <c:pt idx="10">
                  <c:v>68</c:v>
                </c:pt>
                <c:pt idx="11">
                  <c:v>68</c:v>
                </c:pt>
                <c:pt idx="12">
                  <c:v>68</c:v>
                </c:pt>
                <c:pt idx="13">
                  <c:v>68</c:v>
                </c:pt>
                <c:pt idx="14">
                  <c:v>68</c:v>
                </c:pt>
                <c:pt idx="15">
                  <c:v>68</c:v>
                </c:pt>
                <c:pt idx="16">
                  <c:v>68</c:v>
                </c:pt>
                <c:pt idx="17">
                  <c:v>68</c:v>
                </c:pt>
                <c:pt idx="18">
                  <c:v>68</c:v>
                </c:pt>
                <c:pt idx="19">
                  <c:v>68</c:v>
                </c:pt>
                <c:pt idx="20">
                  <c:v>68</c:v>
                </c:pt>
                <c:pt idx="21">
                  <c:v>68</c:v>
                </c:pt>
                <c:pt idx="22">
                  <c:v>68</c:v>
                </c:pt>
                <c:pt idx="23">
                  <c:v>68</c:v>
                </c:pt>
              </c:numCache>
            </c:numRef>
          </c:val>
          <c:smooth val="0"/>
          <c:extLst>
            <c:ext xmlns:c16="http://schemas.microsoft.com/office/drawing/2014/chart" uri="{C3380CC4-5D6E-409C-BE32-E72D297353CC}">
              <c16:uniqueId val="{00000002-3467-480F-86E6-CBB8FF907A4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20"/>
      </c:valAx>
      <c:spPr>
        <a:noFill/>
        <a:ln>
          <a:noFill/>
        </a:ln>
        <a:effectLst/>
      </c:spPr>
    </c:plotArea>
    <c:legend>
      <c:legendPos val="b"/>
      <c:layout>
        <c:manualLayout>
          <c:xMode val="edge"/>
          <c:yMode val="edge"/>
          <c:x val="0.69237621385546944"/>
          <c:y val="3.6261079321075841E-2"/>
          <c:w val="0.30762375107760692"/>
          <c:h val="0.1476808107319918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Cooling Setpoint (Common Use Area)</a:t>
            </a:r>
          </a:p>
        </c:rich>
      </c:tx>
      <c:layout>
        <c:manualLayout>
          <c:xMode val="edge"/>
          <c:yMode val="edge"/>
          <c:x val="0.19163426784308008"/>
          <c:y val="5.507746262032835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Schedules!$E$56</c:f>
              <c:strCache>
                <c:ptCount val="1"/>
                <c:pt idx="0">
                  <c:v>Weekday</c:v>
                </c:pt>
              </c:strCache>
            </c:strRef>
          </c:tx>
          <c:spPr>
            <a:ln w="28575" cap="rnd">
              <a:solidFill>
                <a:schemeClr val="accent1"/>
              </a:solidFill>
              <a:round/>
            </a:ln>
            <a:effectLst/>
          </c:spPr>
          <c:marker>
            <c:symbol val="none"/>
          </c:marker>
          <c:val>
            <c:numRef>
              <c:f>Schedules!$F$56:$AC$56</c:f>
              <c:numCache>
                <c:formatCode>0</c:formatCode>
                <c:ptCount val="24"/>
                <c:pt idx="0">
                  <c:v>78</c:v>
                </c:pt>
                <c:pt idx="1">
                  <c:v>78</c:v>
                </c:pt>
                <c:pt idx="2">
                  <c:v>78</c:v>
                </c:pt>
                <c:pt idx="3">
                  <c:v>78</c:v>
                </c:pt>
                <c:pt idx="4">
                  <c:v>78</c:v>
                </c:pt>
                <c:pt idx="5">
                  <c:v>78</c:v>
                </c:pt>
                <c:pt idx="6">
                  <c:v>78</c:v>
                </c:pt>
                <c:pt idx="7">
                  <c:v>78</c:v>
                </c:pt>
                <c:pt idx="8">
                  <c:v>78</c:v>
                </c:pt>
                <c:pt idx="9">
                  <c:v>78</c:v>
                </c:pt>
                <c:pt idx="10">
                  <c:v>78</c:v>
                </c:pt>
                <c:pt idx="11">
                  <c:v>78</c:v>
                </c:pt>
                <c:pt idx="12">
                  <c:v>78</c:v>
                </c:pt>
                <c:pt idx="13">
                  <c:v>78</c:v>
                </c:pt>
                <c:pt idx="14">
                  <c:v>78</c:v>
                </c:pt>
                <c:pt idx="15">
                  <c:v>78</c:v>
                </c:pt>
                <c:pt idx="16">
                  <c:v>78</c:v>
                </c:pt>
                <c:pt idx="17">
                  <c:v>78</c:v>
                </c:pt>
                <c:pt idx="18">
                  <c:v>78</c:v>
                </c:pt>
                <c:pt idx="19">
                  <c:v>78</c:v>
                </c:pt>
                <c:pt idx="20">
                  <c:v>78</c:v>
                </c:pt>
                <c:pt idx="21">
                  <c:v>78</c:v>
                </c:pt>
                <c:pt idx="22">
                  <c:v>78</c:v>
                </c:pt>
                <c:pt idx="23">
                  <c:v>78</c:v>
                </c:pt>
              </c:numCache>
            </c:numRef>
          </c:val>
          <c:smooth val="0"/>
          <c:extLst>
            <c:ext xmlns:c16="http://schemas.microsoft.com/office/drawing/2014/chart" uri="{C3380CC4-5D6E-409C-BE32-E72D297353CC}">
              <c16:uniqueId val="{00000000-2770-4DD0-BF38-77646011A652}"/>
            </c:ext>
          </c:extLst>
        </c:ser>
        <c:ser>
          <c:idx val="1"/>
          <c:order val="1"/>
          <c:tx>
            <c:strRef>
              <c:f>Schedules!$E$57</c:f>
              <c:strCache>
                <c:ptCount val="1"/>
                <c:pt idx="0">
                  <c:v>Saturday</c:v>
                </c:pt>
              </c:strCache>
            </c:strRef>
          </c:tx>
          <c:spPr>
            <a:ln w="28575" cap="rnd">
              <a:solidFill>
                <a:schemeClr val="accent2"/>
              </a:solidFill>
              <a:round/>
            </a:ln>
            <a:effectLst/>
          </c:spPr>
          <c:marker>
            <c:symbol val="none"/>
          </c:marker>
          <c:val>
            <c:numRef>
              <c:f>Schedules!$F$57:$AC$57</c:f>
              <c:numCache>
                <c:formatCode>0</c:formatCode>
                <c:ptCount val="24"/>
                <c:pt idx="0">
                  <c:v>78</c:v>
                </c:pt>
                <c:pt idx="1">
                  <c:v>78</c:v>
                </c:pt>
                <c:pt idx="2">
                  <c:v>78</c:v>
                </c:pt>
                <c:pt idx="3">
                  <c:v>78</c:v>
                </c:pt>
                <c:pt idx="4">
                  <c:v>78</c:v>
                </c:pt>
                <c:pt idx="5">
                  <c:v>78</c:v>
                </c:pt>
                <c:pt idx="6">
                  <c:v>78</c:v>
                </c:pt>
                <c:pt idx="7">
                  <c:v>78</c:v>
                </c:pt>
                <c:pt idx="8">
                  <c:v>78</c:v>
                </c:pt>
                <c:pt idx="9">
                  <c:v>78</c:v>
                </c:pt>
                <c:pt idx="10">
                  <c:v>78</c:v>
                </c:pt>
                <c:pt idx="11">
                  <c:v>78</c:v>
                </c:pt>
                <c:pt idx="12">
                  <c:v>78</c:v>
                </c:pt>
                <c:pt idx="13">
                  <c:v>78</c:v>
                </c:pt>
                <c:pt idx="14">
                  <c:v>78</c:v>
                </c:pt>
                <c:pt idx="15">
                  <c:v>78</c:v>
                </c:pt>
                <c:pt idx="16">
                  <c:v>78</c:v>
                </c:pt>
                <c:pt idx="17">
                  <c:v>78</c:v>
                </c:pt>
                <c:pt idx="18">
                  <c:v>78</c:v>
                </c:pt>
                <c:pt idx="19">
                  <c:v>78</c:v>
                </c:pt>
                <c:pt idx="20">
                  <c:v>78</c:v>
                </c:pt>
                <c:pt idx="21">
                  <c:v>78</c:v>
                </c:pt>
                <c:pt idx="22">
                  <c:v>78</c:v>
                </c:pt>
                <c:pt idx="23">
                  <c:v>78</c:v>
                </c:pt>
              </c:numCache>
            </c:numRef>
          </c:val>
          <c:smooth val="0"/>
          <c:extLst>
            <c:ext xmlns:c16="http://schemas.microsoft.com/office/drawing/2014/chart" uri="{C3380CC4-5D6E-409C-BE32-E72D297353CC}">
              <c16:uniqueId val="{00000001-2770-4DD0-BF38-77646011A652}"/>
            </c:ext>
          </c:extLst>
        </c:ser>
        <c:ser>
          <c:idx val="2"/>
          <c:order val="2"/>
          <c:tx>
            <c:strRef>
              <c:f>Schedules!$E$58</c:f>
              <c:strCache>
                <c:ptCount val="1"/>
                <c:pt idx="0">
                  <c:v>Sunday</c:v>
                </c:pt>
              </c:strCache>
            </c:strRef>
          </c:tx>
          <c:spPr>
            <a:ln w="28575" cap="rnd">
              <a:solidFill>
                <a:schemeClr val="accent3"/>
              </a:solidFill>
              <a:round/>
            </a:ln>
            <a:effectLst/>
          </c:spPr>
          <c:marker>
            <c:symbol val="none"/>
          </c:marker>
          <c:val>
            <c:numRef>
              <c:f>Schedules!$F$58:$AC$58</c:f>
              <c:numCache>
                <c:formatCode>0</c:formatCode>
                <c:ptCount val="24"/>
                <c:pt idx="0">
                  <c:v>78</c:v>
                </c:pt>
                <c:pt idx="1">
                  <c:v>78</c:v>
                </c:pt>
                <c:pt idx="2">
                  <c:v>78</c:v>
                </c:pt>
                <c:pt idx="3">
                  <c:v>78</c:v>
                </c:pt>
                <c:pt idx="4">
                  <c:v>78</c:v>
                </c:pt>
                <c:pt idx="5">
                  <c:v>78</c:v>
                </c:pt>
                <c:pt idx="6">
                  <c:v>78</c:v>
                </c:pt>
                <c:pt idx="7">
                  <c:v>78</c:v>
                </c:pt>
                <c:pt idx="8">
                  <c:v>78</c:v>
                </c:pt>
                <c:pt idx="9">
                  <c:v>78</c:v>
                </c:pt>
                <c:pt idx="10">
                  <c:v>78</c:v>
                </c:pt>
                <c:pt idx="11">
                  <c:v>78</c:v>
                </c:pt>
                <c:pt idx="12">
                  <c:v>78</c:v>
                </c:pt>
                <c:pt idx="13">
                  <c:v>78</c:v>
                </c:pt>
                <c:pt idx="14">
                  <c:v>78</c:v>
                </c:pt>
                <c:pt idx="15">
                  <c:v>78</c:v>
                </c:pt>
                <c:pt idx="16">
                  <c:v>78</c:v>
                </c:pt>
                <c:pt idx="17">
                  <c:v>78</c:v>
                </c:pt>
                <c:pt idx="18">
                  <c:v>78</c:v>
                </c:pt>
                <c:pt idx="19">
                  <c:v>78</c:v>
                </c:pt>
                <c:pt idx="20">
                  <c:v>78</c:v>
                </c:pt>
                <c:pt idx="21">
                  <c:v>78</c:v>
                </c:pt>
                <c:pt idx="22">
                  <c:v>78</c:v>
                </c:pt>
                <c:pt idx="23">
                  <c:v>78</c:v>
                </c:pt>
              </c:numCache>
            </c:numRef>
          </c:val>
          <c:smooth val="0"/>
          <c:extLst>
            <c:ext xmlns:c16="http://schemas.microsoft.com/office/drawing/2014/chart" uri="{C3380CC4-5D6E-409C-BE32-E72D297353CC}">
              <c16:uniqueId val="{00000002-2770-4DD0-BF38-77646011A652}"/>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40"/>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Infiltration (Common Use Area)</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Schedules!$E$59</c:f>
              <c:strCache>
                <c:ptCount val="1"/>
                <c:pt idx="0">
                  <c:v>Weekday</c:v>
                </c:pt>
              </c:strCache>
            </c:strRef>
          </c:tx>
          <c:spPr>
            <a:ln w="28575" cap="rnd">
              <a:solidFill>
                <a:schemeClr val="accent1"/>
              </a:solidFill>
              <a:round/>
            </a:ln>
            <a:effectLst/>
          </c:spPr>
          <c:marker>
            <c:symbol val="none"/>
          </c:marker>
          <c:val>
            <c:numRef>
              <c:f>Schedules!$F$59:$AC$59</c:f>
              <c:numCache>
                <c:formatCode>0.00</c:formatCode>
                <c:ptCount val="24"/>
                <c:pt idx="0">
                  <c:v>0.25</c:v>
                </c:pt>
                <c:pt idx="1">
                  <c:v>0.25</c:v>
                </c:pt>
                <c:pt idx="2">
                  <c:v>0.25</c:v>
                </c:pt>
                <c:pt idx="3">
                  <c:v>0.25</c:v>
                </c:pt>
                <c:pt idx="4">
                  <c:v>0.25</c:v>
                </c:pt>
                <c:pt idx="5">
                  <c:v>0.25</c:v>
                </c:pt>
                <c:pt idx="6">
                  <c:v>0.25</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0.25</c:v>
                </c:pt>
                <c:pt idx="20">
                  <c:v>0.25</c:v>
                </c:pt>
                <c:pt idx="21">
                  <c:v>0.25</c:v>
                </c:pt>
                <c:pt idx="22">
                  <c:v>0.25</c:v>
                </c:pt>
                <c:pt idx="23">
                  <c:v>0.25</c:v>
                </c:pt>
              </c:numCache>
            </c:numRef>
          </c:val>
          <c:smooth val="0"/>
          <c:extLst>
            <c:ext xmlns:c16="http://schemas.microsoft.com/office/drawing/2014/chart" uri="{C3380CC4-5D6E-409C-BE32-E72D297353CC}">
              <c16:uniqueId val="{00000000-F647-45F3-8E03-DF5CBA6E730C}"/>
            </c:ext>
          </c:extLst>
        </c:ser>
        <c:ser>
          <c:idx val="1"/>
          <c:order val="1"/>
          <c:tx>
            <c:strRef>
              <c:f>Schedules!$E$60</c:f>
              <c:strCache>
                <c:ptCount val="1"/>
                <c:pt idx="0">
                  <c:v>Saturday</c:v>
                </c:pt>
              </c:strCache>
            </c:strRef>
          </c:tx>
          <c:spPr>
            <a:ln w="28575" cap="rnd">
              <a:solidFill>
                <a:schemeClr val="accent2"/>
              </a:solidFill>
              <a:round/>
            </a:ln>
            <a:effectLst/>
          </c:spPr>
          <c:marker>
            <c:symbol val="none"/>
          </c:marker>
          <c:val>
            <c:numRef>
              <c:f>Schedules!$F$60:$AC$60</c:f>
              <c:numCache>
                <c:formatCode>0.00</c:formatCode>
                <c:ptCount val="24"/>
                <c:pt idx="0">
                  <c:v>0.25</c:v>
                </c:pt>
                <c:pt idx="1">
                  <c:v>0.25</c:v>
                </c:pt>
                <c:pt idx="2">
                  <c:v>0.25</c:v>
                </c:pt>
                <c:pt idx="3">
                  <c:v>0.25</c:v>
                </c:pt>
                <c:pt idx="4">
                  <c:v>0.25</c:v>
                </c:pt>
                <c:pt idx="5">
                  <c:v>0.25</c:v>
                </c:pt>
                <c:pt idx="6">
                  <c:v>0.25</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0.25</c:v>
                </c:pt>
                <c:pt idx="20">
                  <c:v>0.25</c:v>
                </c:pt>
                <c:pt idx="21">
                  <c:v>0.25</c:v>
                </c:pt>
                <c:pt idx="22">
                  <c:v>0.25</c:v>
                </c:pt>
                <c:pt idx="23">
                  <c:v>0.25</c:v>
                </c:pt>
              </c:numCache>
            </c:numRef>
          </c:val>
          <c:smooth val="0"/>
          <c:extLst>
            <c:ext xmlns:c16="http://schemas.microsoft.com/office/drawing/2014/chart" uri="{C3380CC4-5D6E-409C-BE32-E72D297353CC}">
              <c16:uniqueId val="{00000001-F647-45F3-8E03-DF5CBA6E730C}"/>
            </c:ext>
          </c:extLst>
        </c:ser>
        <c:ser>
          <c:idx val="2"/>
          <c:order val="2"/>
          <c:tx>
            <c:strRef>
              <c:f>Schedules!$E$61</c:f>
              <c:strCache>
                <c:ptCount val="1"/>
                <c:pt idx="0">
                  <c:v>Sunday</c:v>
                </c:pt>
              </c:strCache>
            </c:strRef>
          </c:tx>
          <c:spPr>
            <a:ln w="28575" cap="rnd">
              <a:solidFill>
                <a:schemeClr val="accent3"/>
              </a:solidFill>
              <a:round/>
            </a:ln>
            <a:effectLst/>
          </c:spPr>
          <c:marker>
            <c:symbol val="none"/>
          </c:marker>
          <c:val>
            <c:numRef>
              <c:f>Schedules!$F$61:$AC$61</c:f>
              <c:numCache>
                <c:formatCode>0.00</c:formatCode>
                <c:ptCount val="24"/>
                <c:pt idx="0">
                  <c:v>0.25</c:v>
                </c:pt>
                <c:pt idx="1">
                  <c:v>0.25</c:v>
                </c:pt>
                <c:pt idx="2">
                  <c:v>0.25</c:v>
                </c:pt>
                <c:pt idx="3">
                  <c:v>0.25</c:v>
                </c:pt>
                <c:pt idx="4">
                  <c:v>0.25</c:v>
                </c:pt>
                <c:pt idx="5">
                  <c:v>0.25</c:v>
                </c:pt>
                <c:pt idx="6">
                  <c:v>0.25</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0.25</c:v>
                </c:pt>
                <c:pt idx="20">
                  <c:v>0.25</c:v>
                </c:pt>
                <c:pt idx="21">
                  <c:v>0.25</c:v>
                </c:pt>
                <c:pt idx="22">
                  <c:v>0.25</c:v>
                </c:pt>
                <c:pt idx="23">
                  <c:v>0.25</c:v>
                </c:pt>
              </c:numCache>
            </c:numRef>
          </c:val>
          <c:smooth val="0"/>
          <c:extLst>
            <c:ext xmlns:c16="http://schemas.microsoft.com/office/drawing/2014/chart" uri="{C3380CC4-5D6E-409C-BE32-E72D297353CC}">
              <c16:uniqueId val="{00000002-F647-45F3-8E03-DF5CBA6E730C}"/>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5.000000000000001E-2"/>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Refrigeration (Common Use Area)</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Schedules!$E$62</c:f>
              <c:strCache>
                <c:ptCount val="1"/>
                <c:pt idx="0">
                  <c:v>Weekday</c:v>
                </c:pt>
              </c:strCache>
            </c:strRef>
          </c:tx>
          <c:spPr>
            <a:ln w="28575" cap="rnd">
              <a:solidFill>
                <a:schemeClr val="accent1"/>
              </a:solidFill>
              <a:round/>
            </a:ln>
            <a:effectLst/>
          </c:spPr>
          <c:marker>
            <c:symbol val="none"/>
          </c:marker>
          <c:val>
            <c:numRef>
              <c:f>Schedules!$F$62:$AC$62</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0-2DDD-4968-9FD4-4256393A051B}"/>
            </c:ext>
          </c:extLst>
        </c:ser>
        <c:ser>
          <c:idx val="1"/>
          <c:order val="1"/>
          <c:tx>
            <c:strRef>
              <c:f>Schedules!$E$63</c:f>
              <c:strCache>
                <c:ptCount val="1"/>
                <c:pt idx="0">
                  <c:v>Saturday</c:v>
                </c:pt>
              </c:strCache>
            </c:strRef>
          </c:tx>
          <c:spPr>
            <a:ln w="28575" cap="rnd">
              <a:solidFill>
                <a:schemeClr val="accent2"/>
              </a:solidFill>
              <a:round/>
            </a:ln>
            <a:effectLst/>
          </c:spPr>
          <c:marker>
            <c:symbol val="none"/>
          </c:marker>
          <c:val>
            <c:numRef>
              <c:f>Schedules!$F$63:$AC$63</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1-2DDD-4968-9FD4-4256393A051B}"/>
            </c:ext>
          </c:extLst>
        </c:ser>
        <c:ser>
          <c:idx val="2"/>
          <c:order val="2"/>
          <c:tx>
            <c:strRef>
              <c:f>Schedules!$E$64</c:f>
              <c:strCache>
                <c:ptCount val="1"/>
                <c:pt idx="0">
                  <c:v>Sunday</c:v>
                </c:pt>
              </c:strCache>
            </c:strRef>
          </c:tx>
          <c:spPr>
            <a:ln w="28575" cap="rnd">
              <a:solidFill>
                <a:schemeClr val="accent3"/>
              </a:solidFill>
              <a:round/>
            </a:ln>
            <a:effectLst/>
          </c:spPr>
          <c:marker>
            <c:symbol val="none"/>
          </c:marker>
          <c:val>
            <c:numRef>
              <c:f>Schedules!$F$64:$AC$64</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2-2DDD-4968-9FD4-4256393A051B}"/>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"Elevator"</c:f>
          <c:strCache>
            <c:ptCount val="1"/>
            <c:pt idx="0">
              <c:v>Elevator</c:v>
            </c:pt>
          </c:strCache>
        </c:strRef>
      </c:tx>
      <c:overlay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Schedules!$E$94</c:f>
              <c:strCache>
                <c:ptCount val="1"/>
                <c:pt idx="0">
                  <c:v>Weekday</c:v>
                </c:pt>
              </c:strCache>
            </c:strRef>
          </c:tx>
          <c:spPr>
            <a:ln w="28575" cap="rnd">
              <a:solidFill>
                <a:schemeClr val="accent1"/>
              </a:solidFill>
              <a:round/>
            </a:ln>
            <a:effectLst/>
          </c:spPr>
          <c:marker>
            <c:symbol val="none"/>
          </c:marker>
          <c:val>
            <c:numRef>
              <c:f>Schedules!$F$94:$AC$94</c:f>
              <c:numCache>
                <c:formatCode>0.0</c:formatCode>
                <c:ptCount val="24"/>
                <c:pt idx="0">
                  <c:v>0</c:v>
                </c:pt>
                <c:pt idx="1">
                  <c:v>0</c:v>
                </c:pt>
                <c:pt idx="2">
                  <c:v>0</c:v>
                </c:pt>
                <c:pt idx="3">
                  <c:v>0</c:v>
                </c:pt>
                <c:pt idx="4">
                  <c:v>0</c:v>
                </c:pt>
                <c:pt idx="5">
                  <c:v>0</c:v>
                </c:pt>
                <c:pt idx="6">
                  <c:v>0</c:v>
                </c:pt>
                <c:pt idx="7">
                  <c:v>0.35</c:v>
                </c:pt>
                <c:pt idx="8">
                  <c:v>0.69</c:v>
                </c:pt>
                <c:pt idx="9">
                  <c:v>0.43</c:v>
                </c:pt>
                <c:pt idx="10">
                  <c:v>0.37</c:v>
                </c:pt>
                <c:pt idx="11">
                  <c:v>0.43</c:v>
                </c:pt>
                <c:pt idx="12">
                  <c:v>0.57999999999999996</c:v>
                </c:pt>
                <c:pt idx="13">
                  <c:v>0.48</c:v>
                </c:pt>
                <c:pt idx="14">
                  <c:v>0.37</c:v>
                </c:pt>
                <c:pt idx="15">
                  <c:v>0.37</c:v>
                </c:pt>
                <c:pt idx="16">
                  <c:v>0.46</c:v>
                </c:pt>
                <c:pt idx="17">
                  <c:v>0.62</c:v>
                </c:pt>
                <c:pt idx="18">
                  <c:v>0.2</c:v>
                </c:pt>
                <c:pt idx="19">
                  <c:v>0.12</c:v>
                </c:pt>
                <c:pt idx="20">
                  <c:v>0.04</c:v>
                </c:pt>
                <c:pt idx="21">
                  <c:v>0.04</c:v>
                </c:pt>
                <c:pt idx="22">
                  <c:v>0</c:v>
                </c:pt>
                <c:pt idx="23">
                  <c:v>0</c:v>
                </c:pt>
              </c:numCache>
            </c:numRef>
          </c:val>
          <c:smooth val="0"/>
          <c:extLst>
            <c:ext xmlns:c16="http://schemas.microsoft.com/office/drawing/2014/chart" uri="{C3380CC4-5D6E-409C-BE32-E72D297353CC}">
              <c16:uniqueId val="{00000000-F0D4-4051-97B4-30D05BB3FF0D}"/>
            </c:ext>
          </c:extLst>
        </c:ser>
        <c:ser>
          <c:idx val="1"/>
          <c:order val="1"/>
          <c:tx>
            <c:strRef>
              <c:f>Schedules!$E$95</c:f>
              <c:strCache>
                <c:ptCount val="1"/>
                <c:pt idx="0">
                  <c:v>Saturday</c:v>
                </c:pt>
              </c:strCache>
            </c:strRef>
          </c:tx>
          <c:spPr>
            <a:ln w="28575" cap="rnd">
              <a:solidFill>
                <a:schemeClr val="accent2"/>
              </a:solidFill>
              <a:round/>
            </a:ln>
            <a:effectLst/>
          </c:spPr>
          <c:marker>
            <c:symbol val="none"/>
          </c:marker>
          <c:val>
            <c:numRef>
              <c:f>Schedules!$F$95:$AC$95</c:f>
              <c:numCache>
                <c:formatCode>0.0</c:formatCode>
                <c:ptCount val="24"/>
                <c:pt idx="0">
                  <c:v>0</c:v>
                </c:pt>
                <c:pt idx="1">
                  <c:v>0</c:v>
                </c:pt>
                <c:pt idx="2">
                  <c:v>0</c:v>
                </c:pt>
                <c:pt idx="3">
                  <c:v>0</c:v>
                </c:pt>
                <c:pt idx="4">
                  <c:v>0</c:v>
                </c:pt>
                <c:pt idx="5">
                  <c:v>0</c:v>
                </c:pt>
                <c:pt idx="6">
                  <c:v>0</c:v>
                </c:pt>
                <c:pt idx="7">
                  <c:v>0.35</c:v>
                </c:pt>
                <c:pt idx="8">
                  <c:v>0.69</c:v>
                </c:pt>
                <c:pt idx="9">
                  <c:v>0.43</c:v>
                </c:pt>
                <c:pt idx="10">
                  <c:v>0.37</c:v>
                </c:pt>
                <c:pt idx="11">
                  <c:v>0.43</c:v>
                </c:pt>
                <c:pt idx="12">
                  <c:v>0.57999999999999996</c:v>
                </c:pt>
                <c:pt idx="13">
                  <c:v>0.48</c:v>
                </c:pt>
                <c:pt idx="14">
                  <c:v>0.37</c:v>
                </c:pt>
                <c:pt idx="15">
                  <c:v>0.37</c:v>
                </c:pt>
                <c:pt idx="16">
                  <c:v>0.46</c:v>
                </c:pt>
                <c:pt idx="17">
                  <c:v>0.62</c:v>
                </c:pt>
                <c:pt idx="18">
                  <c:v>0.2</c:v>
                </c:pt>
                <c:pt idx="19">
                  <c:v>0.12</c:v>
                </c:pt>
                <c:pt idx="20">
                  <c:v>0.04</c:v>
                </c:pt>
                <c:pt idx="21">
                  <c:v>0.04</c:v>
                </c:pt>
                <c:pt idx="22">
                  <c:v>0</c:v>
                </c:pt>
                <c:pt idx="23">
                  <c:v>0</c:v>
                </c:pt>
              </c:numCache>
            </c:numRef>
          </c:val>
          <c:smooth val="0"/>
          <c:extLst>
            <c:ext xmlns:c16="http://schemas.microsoft.com/office/drawing/2014/chart" uri="{C3380CC4-5D6E-409C-BE32-E72D297353CC}">
              <c16:uniqueId val="{00000001-F0D4-4051-97B4-30D05BB3FF0D}"/>
            </c:ext>
          </c:extLst>
        </c:ser>
        <c:ser>
          <c:idx val="2"/>
          <c:order val="2"/>
          <c:tx>
            <c:strRef>
              <c:f>Schedules!$E$96</c:f>
              <c:strCache>
                <c:ptCount val="1"/>
                <c:pt idx="0">
                  <c:v>Sunday</c:v>
                </c:pt>
              </c:strCache>
            </c:strRef>
          </c:tx>
          <c:spPr>
            <a:ln w="28575" cap="rnd">
              <a:solidFill>
                <a:schemeClr val="accent3"/>
              </a:solidFill>
              <a:round/>
            </a:ln>
            <a:effectLst/>
          </c:spPr>
          <c:marker>
            <c:symbol val="none"/>
          </c:marker>
          <c:val>
            <c:numRef>
              <c:f>Schedules!$F$96:$AC$96</c:f>
              <c:numCache>
                <c:formatCode>0.0</c:formatCode>
                <c:ptCount val="24"/>
                <c:pt idx="0">
                  <c:v>0</c:v>
                </c:pt>
                <c:pt idx="1">
                  <c:v>0</c:v>
                </c:pt>
                <c:pt idx="2">
                  <c:v>0</c:v>
                </c:pt>
                <c:pt idx="3">
                  <c:v>0</c:v>
                </c:pt>
                <c:pt idx="4">
                  <c:v>0</c:v>
                </c:pt>
                <c:pt idx="5">
                  <c:v>0</c:v>
                </c:pt>
                <c:pt idx="6">
                  <c:v>0</c:v>
                </c:pt>
                <c:pt idx="7">
                  <c:v>0.35</c:v>
                </c:pt>
                <c:pt idx="8">
                  <c:v>0.69</c:v>
                </c:pt>
                <c:pt idx="9">
                  <c:v>0.43</c:v>
                </c:pt>
                <c:pt idx="10">
                  <c:v>0.37</c:v>
                </c:pt>
                <c:pt idx="11">
                  <c:v>0.43</c:v>
                </c:pt>
                <c:pt idx="12">
                  <c:v>0.57999999999999996</c:v>
                </c:pt>
                <c:pt idx="13">
                  <c:v>0.48</c:v>
                </c:pt>
                <c:pt idx="14">
                  <c:v>0.37</c:v>
                </c:pt>
                <c:pt idx="15">
                  <c:v>0.37</c:v>
                </c:pt>
                <c:pt idx="16">
                  <c:v>0.46</c:v>
                </c:pt>
                <c:pt idx="17">
                  <c:v>0.62</c:v>
                </c:pt>
                <c:pt idx="18">
                  <c:v>0.2</c:v>
                </c:pt>
                <c:pt idx="19">
                  <c:v>0.12</c:v>
                </c:pt>
                <c:pt idx="20">
                  <c:v>0.04</c:v>
                </c:pt>
                <c:pt idx="21">
                  <c:v>0.04</c:v>
                </c:pt>
                <c:pt idx="22">
                  <c:v>0</c:v>
                </c:pt>
                <c:pt idx="23">
                  <c:v>0</c:v>
                </c:pt>
              </c:numCache>
            </c:numRef>
          </c:val>
          <c:smooth val="0"/>
          <c:extLst>
            <c:ext xmlns:c16="http://schemas.microsoft.com/office/drawing/2014/chart" uri="{C3380CC4-5D6E-409C-BE32-E72D297353CC}">
              <c16:uniqueId val="{00000002-F0D4-4051-97B4-30D05BB3FF0D}"/>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5"/>
      </c:valAx>
      <c:spPr>
        <a:noFill/>
        <a:ln>
          <a:noFill/>
        </a:ln>
        <a:effectLst/>
      </c:spPr>
    </c:plotArea>
    <c:legend>
      <c:legendPos val="b"/>
      <c:layout>
        <c:manualLayout>
          <c:xMode val="edge"/>
          <c:yMode val="edge"/>
          <c:x val="0.69237621385546944"/>
          <c:y val="3.6261079321075841E-2"/>
          <c:w val="0.28941482691935089"/>
          <c:h val="0.412255420090281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HVAC System Availability (Common Living </a:t>
            </a:r>
          </a:p>
        </c:rich>
      </c:tx>
      <c:layout>
        <c:manualLayout>
          <c:xMode val="edge"/>
          <c:yMode val="edge"/>
          <c:x val="0.14378764951200443"/>
          <c:y val="4.7207479349825388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Lit>
          </c:val>
          <c:smooth val="0"/>
          <c:extLst>
            <c:ext xmlns:c16="http://schemas.microsoft.com/office/drawing/2014/chart" uri="{C3380CC4-5D6E-409C-BE32-E72D297353CC}">
              <c16:uniqueId val="{00000000-A639-4E4D-9CAB-72DA500401B3}"/>
            </c:ext>
          </c:extLst>
        </c:ser>
        <c:ser>
          <c:idx val="1"/>
          <c:order val="1"/>
          <c:tx>
            <c:v>Sunday</c:v>
          </c:tx>
          <c:spPr>
            <a:ln w="28575" cap="rnd">
              <a:solidFill>
                <a:schemeClr val="accent2"/>
              </a:solidFill>
              <a:round/>
            </a:ln>
            <a:effectLst/>
          </c:spPr>
          <c:marker>
            <c:symbol val="none"/>
          </c:marker>
          <c:val>
            <c:numLit>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Lit>
          </c:val>
          <c:smooth val="0"/>
          <c:extLst>
            <c:ext xmlns:c16="http://schemas.microsoft.com/office/drawing/2014/chart" uri="{C3380CC4-5D6E-409C-BE32-E72D297353CC}">
              <c16:uniqueId val="{00000001-A639-4E4D-9CAB-72DA500401B3}"/>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21" Type="http://schemas.openxmlformats.org/officeDocument/2006/relationships/chart" Target="../charts/chart21.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editAs="oneCell">
    <xdr:from>
      <xdr:col>1</xdr:col>
      <xdr:colOff>9526</xdr:colOff>
      <xdr:row>18</xdr:row>
      <xdr:rowOff>1</xdr:rowOff>
    </xdr:from>
    <xdr:to>
      <xdr:col>2</xdr:col>
      <xdr:colOff>1725931</xdr:colOff>
      <xdr:row>28</xdr:row>
      <xdr:rowOff>65697</xdr:rowOff>
    </xdr:to>
    <xdr:pic>
      <xdr:nvPicPr>
        <xdr:cNvPr id="2" name="Picture 1">
          <a:extLst>
            <a:ext uri="{FF2B5EF4-FFF2-40B4-BE49-F238E27FC236}">
              <a16:creationId xmlns:a16="http://schemas.microsoft.com/office/drawing/2014/main" id="{7290D6DB-8D82-BEB1-2190-56592FACB1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0601" y="3190876"/>
          <a:ext cx="7467600" cy="17135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1133475</xdr:colOff>
      <xdr:row>7</xdr:row>
      <xdr:rowOff>9526</xdr:rowOff>
    </xdr:from>
    <xdr:to>
      <xdr:col>1</xdr:col>
      <xdr:colOff>3200400</xdr:colOff>
      <xdr:row>7</xdr:row>
      <xdr:rowOff>1191310</xdr:rowOff>
    </xdr:to>
    <xdr:pic>
      <xdr:nvPicPr>
        <xdr:cNvPr id="2" name="Picture 1">
          <a:extLst>
            <a:ext uri="{FF2B5EF4-FFF2-40B4-BE49-F238E27FC236}">
              <a16:creationId xmlns:a16="http://schemas.microsoft.com/office/drawing/2014/main" id="{43F0D6AD-D735-55CF-B151-B173A16DEF94}"/>
            </a:ext>
          </a:extLst>
        </xdr:cNvPr>
        <xdr:cNvPicPr>
          <a:picLocks noChangeAspect="1"/>
        </xdr:cNvPicPr>
      </xdr:nvPicPr>
      <xdr:blipFill>
        <a:blip xmlns:r="http://schemas.openxmlformats.org/officeDocument/2006/relationships" r:embed="rId1"/>
        <a:stretch>
          <a:fillRect/>
        </a:stretch>
      </xdr:blipFill>
      <xdr:spPr>
        <a:xfrm>
          <a:off x="2800350" y="1571626"/>
          <a:ext cx="2066925" cy="118178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18</xdr:col>
      <xdr:colOff>1282561</xdr:colOff>
      <xdr:row>0</xdr:row>
      <xdr:rowOff>35035</xdr:rowOff>
    </xdr:from>
    <xdr:to>
      <xdr:col>18</xdr:col>
      <xdr:colOff>1282561</xdr:colOff>
      <xdr:row>0</xdr:row>
      <xdr:rowOff>321779</xdr:rowOff>
    </xdr:to>
    <xdr:cxnSp macro="">
      <xdr:nvCxnSpPr>
        <xdr:cNvPr id="2" name="Straight Arrow Connector 1">
          <a:extLst>
            <a:ext uri="{FF2B5EF4-FFF2-40B4-BE49-F238E27FC236}">
              <a16:creationId xmlns:a16="http://schemas.microsoft.com/office/drawing/2014/main" id="{57A09474-B727-4412-883A-CCC09F77E525}"/>
            </a:ext>
          </a:extLst>
        </xdr:cNvPr>
        <xdr:cNvCxnSpPr/>
      </xdr:nvCxnSpPr>
      <xdr:spPr>
        <a:xfrm flipV="1">
          <a:off x="24514036" y="35035"/>
          <a:ext cx="0" cy="286744"/>
        </a:xfrm>
        <a:prstGeom prst="straightConnector1">
          <a:avLst/>
        </a:prstGeom>
        <a:ln w="381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1325218</xdr:colOff>
      <xdr:row>0</xdr:row>
      <xdr:rowOff>67505</xdr:rowOff>
    </xdr:from>
    <xdr:to>
      <xdr:col>18</xdr:col>
      <xdr:colOff>1565412</xdr:colOff>
      <xdr:row>1</xdr:row>
      <xdr:rowOff>103203</xdr:rowOff>
    </xdr:to>
    <xdr:sp macro="" textlink="">
      <xdr:nvSpPr>
        <xdr:cNvPr id="3" name="TextBox 2">
          <a:extLst>
            <a:ext uri="{FF2B5EF4-FFF2-40B4-BE49-F238E27FC236}">
              <a16:creationId xmlns:a16="http://schemas.microsoft.com/office/drawing/2014/main" id="{72BED0B5-9B9A-420A-8B77-7C2E22A3B296}"/>
            </a:ext>
          </a:extLst>
        </xdr:cNvPr>
        <xdr:cNvSpPr txBox="1"/>
      </xdr:nvSpPr>
      <xdr:spPr>
        <a:xfrm>
          <a:off x="24556693" y="67505"/>
          <a:ext cx="240194" cy="359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rPr>
            <a:t>N</a:t>
          </a:r>
        </a:p>
      </xdr:txBody>
    </xdr:sp>
    <xdr:clientData/>
  </xdr:twoCellAnchor>
  <xdr:twoCellAnchor editAs="oneCell">
    <xdr:from>
      <xdr:col>17</xdr:col>
      <xdr:colOff>28575</xdr:colOff>
      <xdr:row>1</xdr:row>
      <xdr:rowOff>876300</xdr:rowOff>
    </xdr:from>
    <xdr:to>
      <xdr:col>20</xdr:col>
      <xdr:colOff>758353</xdr:colOff>
      <xdr:row>18</xdr:row>
      <xdr:rowOff>195326</xdr:rowOff>
    </xdr:to>
    <xdr:pic>
      <xdr:nvPicPr>
        <xdr:cNvPr id="4" name="Picture 3">
          <a:extLst>
            <a:ext uri="{FF2B5EF4-FFF2-40B4-BE49-F238E27FC236}">
              <a16:creationId xmlns:a16="http://schemas.microsoft.com/office/drawing/2014/main" id="{2EA8EFE1-C12D-4A75-8FCE-88C641481902}"/>
            </a:ext>
            <a:ext uri="{147F2762-F138-4A5C-976F-8EAC2B608ADB}">
              <a16:predDERef xmlns:a16="http://schemas.microsoft.com/office/drawing/2014/main" pred="{72BED0B5-9B9A-420A-8B77-7C2E22A3B296}"/>
            </a:ext>
          </a:extLst>
        </xdr:cNvPr>
        <xdr:cNvPicPr>
          <a:picLocks noChangeAspect="1"/>
        </xdr:cNvPicPr>
      </xdr:nvPicPr>
      <xdr:blipFill>
        <a:blip xmlns:r="http://schemas.openxmlformats.org/officeDocument/2006/relationships" r:embed="rId1"/>
        <a:stretch>
          <a:fillRect/>
        </a:stretch>
      </xdr:blipFill>
      <xdr:spPr>
        <a:xfrm>
          <a:off x="22212300" y="1200150"/>
          <a:ext cx="4749328" cy="3704336"/>
        </a:xfrm>
        <a:prstGeom prst="rect">
          <a:avLst/>
        </a:prstGeom>
      </xdr:spPr>
    </xdr:pic>
    <xdr:clientData/>
  </xdr:twoCellAnchor>
  <xdr:twoCellAnchor>
    <xdr:from>
      <xdr:col>22</xdr:col>
      <xdr:colOff>1325218</xdr:colOff>
      <xdr:row>0</xdr:row>
      <xdr:rowOff>67505</xdr:rowOff>
    </xdr:from>
    <xdr:to>
      <xdr:col>22</xdr:col>
      <xdr:colOff>1565412</xdr:colOff>
      <xdr:row>1</xdr:row>
      <xdr:rowOff>103203</xdr:rowOff>
    </xdr:to>
    <xdr:sp macro="" textlink="">
      <xdr:nvSpPr>
        <xdr:cNvPr id="5" name="TextBox 4">
          <a:extLst>
            <a:ext uri="{FF2B5EF4-FFF2-40B4-BE49-F238E27FC236}">
              <a16:creationId xmlns:a16="http://schemas.microsoft.com/office/drawing/2014/main" id="{3FB75409-64E2-4051-B208-580A3374A284}"/>
            </a:ext>
          </a:extLst>
        </xdr:cNvPr>
        <xdr:cNvSpPr txBox="1"/>
      </xdr:nvSpPr>
      <xdr:spPr>
        <a:xfrm>
          <a:off x="30662218" y="67505"/>
          <a:ext cx="192569" cy="359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rPr>
            <a:t>N</a:t>
          </a:r>
        </a:p>
      </xdr:txBody>
    </xdr:sp>
    <xdr:clientData/>
  </xdr:twoCellAnchor>
  <xdr:twoCellAnchor editAs="oneCell">
    <xdr:from>
      <xdr:col>20</xdr:col>
      <xdr:colOff>1143000</xdr:colOff>
      <xdr:row>1</xdr:row>
      <xdr:rowOff>838201</xdr:rowOff>
    </xdr:from>
    <xdr:to>
      <xdr:col>24</xdr:col>
      <xdr:colOff>443865</xdr:colOff>
      <xdr:row>19</xdr:row>
      <xdr:rowOff>26562</xdr:rowOff>
    </xdr:to>
    <xdr:pic>
      <xdr:nvPicPr>
        <xdr:cNvPr id="6" name="Picture 5">
          <a:extLst>
            <a:ext uri="{FF2B5EF4-FFF2-40B4-BE49-F238E27FC236}">
              <a16:creationId xmlns:a16="http://schemas.microsoft.com/office/drawing/2014/main" id="{EDF4D46D-690A-4EB2-ADE4-301AAC4A29C7}"/>
            </a:ext>
            <a:ext uri="{147F2762-F138-4A5C-976F-8EAC2B608ADB}">
              <a16:predDERef xmlns:a16="http://schemas.microsoft.com/office/drawing/2014/main" pred="{3FB75409-64E2-4051-B208-580A3374A284}"/>
            </a:ext>
          </a:extLst>
        </xdr:cNvPr>
        <xdr:cNvPicPr>
          <a:picLocks noChangeAspect="1"/>
        </xdr:cNvPicPr>
      </xdr:nvPicPr>
      <xdr:blipFill>
        <a:blip xmlns:r="http://schemas.openxmlformats.org/officeDocument/2006/relationships" r:embed="rId2"/>
        <a:stretch>
          <a:fillRect/>
        </a:stretch>
      </xdr:blipFill>
      <xdr:spPr>
        <a:xfrm>
          <a:off x="27346275" y="1162051"/>
          <a:ext cx="4834890" cy="375655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29</xdr:col>
      <xdr:colOff>110966</xdr:colOff>
      <xdr:row>3</xdr:row>
      <xdr:rowOff>25572</xdr:rowOff>
    </xdr:from>
    <xdr:to>
      <xdr:col>35</xdr:col>
      <xdr:colOff>440531</xdr:colOff>
      <xdr:row>5</xdr:row>
      <xdr:rowOff>397047</xdr:rowOff>
    </xdr:to>
    <xdr:graphicFrame macro="">
      <xdr:nvGraphicFramePr>
        <xdr:cNvPr id="2" name="Chart 5">
          <a:extLst>
            <a:ext uri="{FF2B5EF4-FFF2-40B4-BE49-F238E27FC236}">
              <a16:creationId xmlns:a16="http://schemas.microsoft.com/office/drawing/2014/main" id="{F4FDF5B2-7907-4F50-9F15-6D0549249492}"/>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122872</xdr:colOff>
      <xdr:row>5</xdr:row>
      <xdr:rowOff>464342</xdr:rowOff>
    </xdr:from>
    <xdr:to>
      <xdr:col>35</xdr:col>
      <xdr:colOff>452437</xdr:colOff>
      <xdr:row>8</xdr:row>
      <xdr:rowOff>335755</xdr:rowOff>
    </xdr:to>
    <xdr:graphicFrame macro="">
      <xdr:nvGraphicFramePr>
        <xdr:cNvPr id="3" name="Chart 5">
          <a:extLst>
            <a:ext uri="{FF2B5EF4-FFF2-40B4-BE49-F238E27FC236}">
              <a16:creationId xmlns:a16="http://schemas.microsoft.com/office/drawing/2014/main" id="{54DF0B20-C772-4D21-BA0A-4367186CBF19}"/>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125185</xdr:colOff>
      <xdr:row>8</xdr:row>
      <xdr:rowOff>464343</xdr:rowOff>
    </xdr:from>
    <xdr:to>
      <xdr:col>35</xdr:col>
      <xdr:colOff>454750</xdr:colOff>
      <xdr:row>11</xdr:row>
      <xdr:rowOff>335755</xdr:rowOff>
    </xdr:to>
    <xdr:graphicFrame macro="">
      <xdr:nvGraphicFramePr>
        <xdr:cNvPr id="4" name="Chart 5">
          <a:extLst>
            <a:ext uri="{FF2B5EF4-FFF2-40B4-BE49-F238E27FC236}">
              <a16:creationId xmlns:a16="http://schemas.microsoft.com/office/drawing/2014/main" id="{05C35631-C217-430B-846E-6508F920CE63}"/>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136070</xdr:colOff>
      <xdr:row>11</xdr:row>
      <xdr:rowOff>411618</xdr:rowOff>
    </xdr:from>
    <xdr:to>
      <xdr:col>35</xdr:col>
      <xdr:colOff>465635</xdr:colOff>
      <xdr:row>15</xdr:row>
      <xdr:rowOff>8711</xdr:rowOff>
    </xdr:to>
    <xdr:graphicFrame macro="">
      <xdr:nvGraphicFramePr>
        <xdr:cNvPr id="5" name="Chart 5">
          <a:extLst>
            <a:ext uri="{FF2B5EF4-FFF2-40B4-BE49-F238E27FC236}">
              <a16:creationId xmlns:a16="http://schemas.microsoft.com/office/drawing/2014/main" id="{C1F85458-EF6D-445D-8AEA-9DF421882C79}"/>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130969</xdr:colOff>
      <xdr:row>15</xdr:row>
      <xdr:rowOff>119062</xdr:rowOff>
    </xdr:from>
    <xdr:to>
      <xdr:col>35</xdr:col>
      <xdr:colOff>460534</xdr:colOff>
      <xdr:row>17</xdr:row>
      <xdr:rowOff>490537</xdr:rowOff>
    </xdr:to>
    <xdr:graphicFrame macro="">
      <xdr:nvGraphicFramePr>
        <xdr:cNvPr id="6" name="Chart 5">
          <a:extLst>
            <a:ext uri="{FF2B5EF4-FFF2-40B4-BE49-F238E27FC236}">
              <a16:creationId xmlns:a16="http://schemas.microsoft.com/office/drawing/2014/main" id="{8F080AF2-3EBF-4EBF-9486-C0F5D77BC860}"/>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130969</xdr:colOff>
      <xdr:row>18</xdr:row>
      <xdr:rowOff>95250</xdr:rowOff>
    </xdr:from>
    <xdr:to>
      <xdr:col>35</xdr:col>
      <xdr:colOff>460534</xdr:colOff>
      <xdr:row>20</xdr:row>
      <xdr:rowOff>466725</xdr:rowOff>
    </xdr:to>
    <xdr:graphicFrame macro="">
      <xdr:nvGraphicFramePr>
        <xdr:cNvPr id="7" name="Chart 5">
          <a:extLst>
            <a:ext uri="{FF2B5EF4-FFF2-40B4-BE49-F238E27FC236}">
              <a16:creationId xmlns:a16="http://schemas.microsoft.com/office/drawing/2014/main" id="{0622B128-D1C1-4A10-A798-366B31CE6485}"/>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29</xdr:col>
      <xdr:colOff>142876</xdr:colOff>
      <xdr:row>21</xdr:row>
      <xdr:rowOff>71439</xdr:rowOff>
    </xdr:from>
    <xdr:to>
      <xdr:col>35</xdr:col>
      <xdr:colOff>472441</xdr:colOff>
      <xdr:row>23</xdr:row>
      <xdr:rowOff>442914</xdr:rowOff>
    </xdr:to>
    <xdr:graphicFrame macro="">
      <xdr:nvGraphicFramePr>
        <xdr:cNvPr id="8" name="Chart 5">
          <a:extLst>
            <a:ext uri="{FF2B5EF4-FFF2-40B4-BE49-F238E27FC236}">
              <a16:creationId xmlns:a16="http://schemas.microsoft.com/office/drawing/2014/main" id="{5B15D24D-5A96-472C-B38C-D2D52296370A}"/>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29</xdr:col>
      <xdr:colOff>142876</xdr:colOff>
      <xdr:row>24</xdr:row>
      <xdr:rowOff>35718</xdr:rowOff>
    </xdr:from>
    <xdr:to>
      <xdr:col>35</xdr:col>
      <xdr:colOff>472441</xdr:colOff>
      <xdr:row>26</xdr:row>
      <xdr:rowOff>407193</xdr:rowOff>
    </xdr:to>
    <xdr:graphicFrame macro="">
      <xdr:nvGraphicFramePr>
        <xdr:cNvPr id="9" name="Chart 5">
          <a:extLst>
            <a:ext uri="{FF2B5EF4-FFF2-40B4-BE49-F238E27FC236}">
              <a16:creationId xmlns:a16="http://schemas.microsoft.com/office/drawing/2014/main" id="{5F2A9EA0-F32F-43B9-B230-00B8CA63516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29</xdr:col>
      <xdr:colOff>142875</xdr:colOff>
      <xdr:row>27</xdr:row>
      <xdr:rowOff>11907</xdr:rowOff>
    </xdr:from>
    <xdr:to>
      <xdr:col>35</xdr:col>
      <xdr:colOff>472440</xdr:colOff>
      <xdr:row>29</xdr:row>
      <xdr:rowOff>383382</xdr:rowOff>
    </xdr:to>
    <xdr:graphicFrame macro="">
      <xdr:nvGraphicFramePr>
        <xdr:cNvPr id="10" name="Chart 5">
          <a:extLst>
            <a:ext uri="{FF2B5EF4-FFF2-40B4-BE49-F238E27FC236}">
              <a16:creationId xmlns:a16="http://schemas.microsoft.com/office/drawing/2014/main" id="{79927674-C2DC-4235-9420-778BC6DB656D}"/>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29</xdr:col>
      <xdr:colOff>130969</xdr:colOff>
      <xdr:row>30</xdr:row>
      <xdr:rowOff>23812</xdr:rowOff>
    </xdr:from>
    <xdr:to>
      <xdr:col>35</xdr:col>
      <xdr:colOff>460534</xdr:colOff>
      <xdr:row>32</xdr:row>
      <xdr:rowOff>395287</xdr:rowOff>
    </xdr:to>
    <xdr:graphicFrame macro="">
      <xdr:nvGraphicFramePr>
        <xdr:cNvPr id="13" name="Chart 5">
          <a:extLst>
            <a:ext uri="{FF2B5EF4-FFF2-40B4-BE49-F238E27FC236}">
              <a16:creationId xmlns:a16="http://schemas.microsoft.com/office/drawing/2014/main" id="{1980748D-5DD0-4A8A-81C0-2256A850E88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29</xdr:col>
      <xdr:colOff>122873</xdr:colOff>
      <xdr:row>34</xdr:row>
      <xdr:rowOff>0</xdr:rowOff>
    </xdr:from>
    <xdr:to>
      <xdr:col>35</xdr:col>
      <xdr:colOff>452438</xdr:colOff>
      <xdr:row>36</xdr:row>
      <xdr:rowOff>347663</xdr:rowOff>
    </xdr:to>
    <xdr:graphicFrame macro="">
      <xdr:nvGraphicFramePr>
        <xdr:cNvPr id="14" name="Chart 5">
          <a:extLst>
            <a:ext uri="{FF2B5EF4-FFF2-40B4-BE49-F238E27FC236}">
              <a16:creationId xmlns:a16="http://schemas.microsoft.com/office/drawing/2014/main" id="{EA190C8D-50E8-48B2-8686-6CD4FAC6C96A}"/>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29</xdr:col>
      <xdr:colOff>122873</xdr:colOff>
      <xdr:row>36</xdr:row>
      <xdr:rowOff>486396</xdr:rowOff>
    </xdr:from>
    <xdr:to>
      <xdr:col>35</xdr:col>
      <xdr:colOff>452438</xdr:colOff>
      <xdr:row>39</xdr:row>
      <xdr:rowOff>357809</xdr:rowOff>
    </xdr:to>
    <xdr:graphicFrame macro="">
      <xdr:nvGraphicFramePr>
        <xdr:cNvPr id="15" name="Chart 5">
          <a:extLst>
            <a:ext uri="{FF2B5EF4-FFF2-40B4-BE49-F238E27FC236}">
              <a16:creationId xmlns:a16="http://schemas.microsoft.com/office/drawing/2014/main" id="{1232B6B2-09BB-463D-9F68-7B0A4F05FD63}"/>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29</xdr:col>
      <xdr:colOff>113280</xdr:colOff>
      <xdr:row>39</xdr:row>
      <xdr:rowOff>450678</xdr:rowOff>
    </xdr:from>
    <xdr:to>
      <xdr:col>35</xdr:col>
      <xdr:colOff>442845</xdr:colOff>
      <xdr:row>42</xdr:row>
      <xdr:rowOff>322090</xdr:rowOff>
    </xdr:to>
    <xdr:graphicFrame macro="">
      <xdr:nvGraphicFramePr>
        <xdr:cNvPr id="16" name="Chart 5">
          <a:extLst>
            <a:ext uri="{FF2B5EF4-FFF2-40B4-BE49-F238E27FC236}">
              <a16:creationId xmlns:a16="http://schemas.microsoft.com/office/drawing/2014/main" id="{4256543C-163D-4CAD-94E5-89BB3E5B07C3}"/>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29</xdr:col>
      <xdr:colOff>107157</xdr:colOff>
      <xdr:row>43</xdr:row>
      <xdr:rowOff>81584</xdr:rowOff>
    </xdr:from>
    <xdr:to>
      <xdr:col>35</xdr:col>
      <xdr:colOff>436722</xdr:colOff>
      <xdr:row>45</xdr:row>
      <xdr:rowOff>453059</xdr:rowOff>
    </xdr:to>
    <xdr:graphicFrame macro="">
      <xdr:nvGraphicFramePr>
        <xdr:cNvPr id="18" name="Chart 5">
          <a:extLst>
            <a:ext uri="{FF2B5EF4-FFF2-40B4-BE49-F238E27FC236}">
              <a16:creationId xmlns:a16="http://schemas.microsoft.com/office/drawing/2014/main" id="{274E7DD8-8C55-46EB-A664-100EC33AB4F6}"/>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29</xdr:col>
      <xdr:colOff>107157</xdr:colOff>
      <xdr:row>46</xdr:row>
      <xdr:rowOff>45866</xdr:rowOff>
    </xdr:from>
    <xdr:to>
      <xdr:col>35</xdr:col>
      <xdr:colOff>436722</xdr:colOff>
      <xdr:row>48</xdr:row>
      <xdr:rowOff>417341</xdr:rowOff>
    </xdr:to>
    <xdr:graphicFrame macro="">
      <xdr:nvGraphicFramePr>
        <xdr:cNvPr id="19" name="Chart 5">
          <a:extLst>
            <a:ext uri="{FF2B5EF4-FFF2-40B4-BE49-F238E27FC236}">
              <a16:creationId xmlns:a16="http://schemas.microsoft.com/office/drawing/2014/main" id="{05F43322-84E0-46C7-BD11-DC7B9E0B95D3}"/>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29</xdr:col>
      <xdr:colOff>107157</xdr:colOff>
      <xdr:row>52</xdr:row>
      <xdr:rowOff>22055</xdr:rowOff>
    </xdr:from>
    <xdr:to>
      <xdr:col>35</xdr:col>
      <xdr:colOff>436722</xdr:colOff>
      <xdr:row>54</xdr:row>
      <xdr:rowOff>393530</xdr:rowOff>
    </xdr:to>
    <xdr:graphicFrame macro="">
      <xdr:nvGraphicFramePr>
        <xdr:cNvPr id="20" name="Chart 5">
          <a:extLst>
            <a:ext uri="{FF2B5EF4-FFF2-40B4-BE49-F238E27FC236}">
              <a16:creationId xmlns:a16="http://schemas.microsoft.com/office/drawing/2014/main" id="{3B5A78B3-DE2D-410D-8550-407E057DD3C4}"/>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29</xdr:col>
      <xdr:colOff>83345</xdr:colOff>
      <xdr:row>55</xdr:row>
      <xdr:rowOff>33959</xdr:rowOff>
    </xdr:from>
    <xdr:to>
      <xdr:col>35</xdr:col>
      <xdr:colOff>412910</xdr:colOff>
      <xdr:row>57</xdr:row>
      <xdr:rowOff>405434</xdr:rowOff>
    </xdr:to>
    <xdr:graphicFrame macro="">
      <xdr:nvGraphicFramePr>
        <xdr:cNvPr id="21" name="Chart 5">
          <a:extLst>
            <a:ext uri="{FF2B5EF4-FFF2-40B4-BE49-F238E27FC236}">
              <a16:creationId xmlns:a16="http://schemas.microsoft.com/office/drawing/2014/main" id="{9A2D8071-CB02-4AF4-9C38-C97FB370AE81}"/>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29</xdr:col>
      <xdr:colOff>83343</xdr:colOff>
      <xdr:row>58</xdr:row>
      <xdr:rowOff>33959</xdr:rowOff>
    </xdr:from>
    <xdr:to>
      <xdr:col>35</xdr:col>
      <xdr:colOff>412908</xdr:colOff>
      <xdr:row>60</xdr:row>
      <xdr:rowOff>405434</xdr:rowOff>
    </xdr:to>
    <xdr:graphicFrame macro="">
      <xdr:nvGraphicFramePr>
        <xdr:cNvPr id="22" name="Chart 5">
          <a:extLst>
            <a:ext uri="{FF2B5EF4-FFF2-40B4-BE49-F238E27FC236}">
              <a16:creationId xmlns:a16="http://schemas.microsoft.com/office/drawing/2014/main" id="{FDEA3D6F-BC2A-4751-A000-54018981EE1F}"/>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29</xdr:col>
      <xdr:colOff>83344</xdr:colOff>
      <xdr:row>61</xdr:row>
      <xdr:rowOff>33959</xdr:rowOff>
    </xdr:from>
    <xdr:to>
      <xdr:col>35</xdr:col>
      <xdr:colOff>412909</xdr:colOff>
      <xdr:row>63</xdr:row>
      <xdr:rowOff>405434</xdr:rowOff>
    </xdr:to>
    <xdr:graphicFrame macro="">
      <xdr:nvGraphicFramePr>
        <xdr:cNvPr id="25" name="Chart 5">
          <a:extLst>
            <a:ext uri="{FF2B5EF4-FFF2-40B4-BE49-F238E27FC236}">
              <a16:creationId xmlns:a16="http://schemas.microsoft.com/office/drawing/2014/main" id="{543C7151-1BFB-4B91-AFCC-A9CB4E38FF4D}"/>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30</xdr:col>
      <xdr:colOff>192512</xdr:colOff>
      <xdr:row>93</xdr:row>
      <xdr:rowOff>10583</xdr:rowOff>
    </xdr:from>
    <xdr:to>
      <xdr:col>37</xdr:col>
      <xdr:colOff>92077</xdr:colOff>
      <xdr:row>96</xdr:row>
      <xdr:rowOff>78210</xdr:rowOff>
    </xdr:to>
    <xdr:graphicFrame macro="">
      <xdr:nvGraphicFramePr>
        <xdr:cNvPr id="26" name="Chart 5">
          <a:extLst>
            <a:ext uri="{FF2B5EF4-FFF2-40B4-BE49-F238E27FC236}">
              <a16:creationId xmlns:a16="http://schemas.microsoft.com/office/drawing/2014/main" id="{92DEBCA2-EC2E-40CE-B89F-8A5B1EBFB670}"/>
            </a:ext>
            <a:ext uri="{147F2762-F138-4A5C-976F-8EAC2B608ADB}">
              <a16:predDERef xmlns:a16="http://schemas.microsoft.com/office/drawing/2014/main" pred="{543C7151-1BFB-4B91-AFCC-A9CB4E38FF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29</xdr:col>
      <xdr:colOff>113658</xdr:colOff>
      <xdr:row>48</xdr:row>
      <xdr:rowOff>456441</xdr:rowOff>
    </xdr:from>
    <xdr:to>
      <xdr:col>35</xdr:col>
      <xdr:colOff>443223</xdr:colOff>
      <xdr:row>52</xdr:row>
      <xdr:rowOff>53534</xdr:rowOff>
    </xdr:to>
    <xdr:graphicFrame macro="">
      <xdr:nvGraphicFramePr>
        <xdr:cNvPr id="27" name="Chart 26">
          <a:extLst>
            <a:ext uri="{FF2B5EF4-FFF2-40B4-BE49-F238E27FC236}">
              <a16:creationId xmlns:a16="http://schemas.microsoft.com/office/drawing/2014/main" id="{BF0E9577-5D03-456E-880C-06D05BF21EB8}"/>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sound-data/DEER-Prototypes-EnergyPlus" TargetMode="External"/><Relationship Id="rId2" Type="http://schemas.openxmlformats.org/officeDocument/2006/relationships/hyperlink" Target="https://www.energycodes.gov/prototype-building-models" TargetMode="External"/><Relationship Id="rId1" Type="http://schemas.openxmlformats.org/officeDocument/2006/relationships/hyperlink" Target="https://bees.noresco.com/software2022.html" TargetMode="External"/><Relationship Id="rId6" Type="http://schemas.openxmlformats.org/officeDocument/2006/relationships/drawing" Target="../drawings/drawing1.xml"/><Relationship Id="rId5" Type="http://schemas.openxmlformats.org/officeDocument/2006/relationships/hyperlink" Target="https://www.pnnl.gov/main/publications/external/technical_reports/PNNL-20405.pdf" TargetMode="External"/><Relationship Id="rId4" Type="http://schemas.openxmlformats.org/officeDocument/2006/relationships/hyperlink" Target="https://title24stakeholders.com/wp-content/uploads/2020/10/2022-T24-Final-CASE-Report_Reduce-Infiltration.pdf"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title24stakeholders.com/wp-content/uploads/2020/09/2022_T24_Final-CASE-Report-MF-DHW-Dist.pdf" TargetMode="External"/><Relationship Id="rId1" Type="http://schemas.openxmlformats.org/officeDocument/2006/relationships/hyperlink" Target="https://www.energy.ca.gov/sites/default/files/2024-06/CEC-500-2024-054.pdf"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65BDF-3C17-4869-B954-111AEEDC46EB}">
  <sheetPr codeName="Sheet4"/>
  <dimension ref="A1:G34"/>
  <sheetViews>
    <sheetView zoomScaleNormal="100" workbookViewId="0">
      <selection sqref="A1:C1"/>
    </sheetView>
  </sheetViews>
  <sheetFormatPr defaultColWidth="9.33203125" defaultRowHeight="13.2" x14ac:dyDescent="0.25"/>
  <cols>
    <col min="1" max="1" width="14.6640625" style="3" customWidth="1"/>
    <col min="2" max="2" width="86.33203125" style="3" customWidth="1"/>
    <col min="3" max="3" width="41.33203125" style="3" customWidth="1"/>
    <col min="4" max="4" width="21.6640625" style="3" customWidth="1"/>
    <col min="5" max="5" width="10.6640625" style="3" customWidth="1"/>
    <col min="6" max="6" width="9.6640625" style="3" customWidth="1"/>
    <col min="7" max="7" width="9.6640625" style="3" bestFit="1" customWidth="1"/>
    <col min="8" max="16384" width="9.33203125" style="3"/>
  </cols>
  <sheetData>
    <row r="1" spans="1:4" ht="20.399999999999999" customHeight="1" x14ac:dyDescent="0.25">
      <c r="A1" s="596" t="s">
        <v>0</v>
      </c>
      <c r="B1" s="596"/>
      <c r="C1" s="596"/>
    </row>
    <row r="2" spans="1:4" x14ac:dyDescent="0.25">
      <c r="A2" s="358" t="s">
        <v>1</v>
      </c>
      <c r="B2" s="289" t="s">
        <v>2</v>
      </c>
      <c r="C2" s="4"/>
    </row>
    <row r="3" spans="1:4" x14ac:dyDescent="0.25">
      <c r="A3" s="606" t="s">
        <v>3</v>
      </c>
      <c r="B3" s="289" t="s">
        <v>4</v>
      </c>
      <c r="C3" s="352" t="s">
        <v>5</v>
      </c>
    </row>
    <row r="4" spans="1:4" ht="52.8" x14ac:dyDescent="0.25">
      <c r="A4" s="606"/>
      <c r="B4" s="289" t="s">
        <v>6</v>
      </c>
      <c r="C4" s="352" t="s">
        <v>7</v>
      </c>
    </row>
    <row r="5" spans="1:4" x14ac:dyDescent="0.25">
      <c r="A5" s="606" t="s">
        <v>8</v>
      </c>
      <c r="B5" s="289" t="s">
        <v>9</v>
      </c>
      <c r="C5" s="4"/>
    </row>
    <row r="6" spans="1:4" ht="14.4" x14ac:dyDescent="0.3">
      <c r="A6" s="606"/>
      <c r="B6" s="289" t="s">
        <v>10</v>
      </c>
      <c r="C6" s="153"/>
    </row>
    <row r="7" spans="1:4" ht="14.4" x14ac:dyDescent="0.3">
      <c r="A7" s="606"/>
      <c r="B7" s="289" t="s">
        <v>11</v>
      </c>
      <c r="C7" s="153"/>
      <c r="D7" s="3" t="s">
        <v>12</v>
      </c>
    </row>
    <row r="8" spans="1:4" ht="14.4" x14ac:dyDescent="0.3">
      <c r="A8" s="606"/>
      <c r="B8" s="289" t="s">
        <v>13</v>
      </c>
      <c r="C8" s="153"/>
      <c r="D8" s="3" t="s">
        <v>12</v>
      </c>
    </row>
    <row r="9" spans="1:4" ht="62.4" x14ac:dyDescent="0.3">
      <c r="A9" s="606" t="s">
        <v>14</v>
      </c>
      <c r="B9" s="289" t="s">
        <v>15</v>
      </c>
      <c r="C9" s="357" t="s">
        <v>16</v>
      </c>
    </row>
    <row r="10" spans="1:4" ht="26.4" x14ac:dyDescent="0.25">
      <c r="A10" s="606"/>
      <c r="B10" s="289" t="s">
        <v>17</v>
      </c>
      <c r="C10" s="356" t="s">
        <v>18</v>
      </c>
    </row>
    <row r="11" spans="1:4" ht="26.4" x14ac:dyDescent="0.25">
      <c r="A11" s="606"/>
      <c r="B11" s="289" t="s">
        <v>19</v>
      </c>
      <c r="C11" s="356" t="s">
        <v>20</v>
      </c>
      <c r="D11" s="3" t="s">
        <v>12</v>
      </c>
    </row>
    <row r="12" spans="1:4" ht="39.6" x14ac:dyDescent="0.25">
      <c r="A12" s="606"/>
      <c r="B12" s="289" t="s">
        <v>21</v>
      </c>
      <c r="C12" s="356" t="s">
        <v>22</v>
      </c>
      <c r="D12" s="3" t="s">
        <v>12</v>
      </c>
    </row>
    <row r="13" spans="1:4" ht="12.75" customHeight="1" x14ac:dyDescent="0.3">
      <c r="A13" s="606"/>
      <c r="B13" s="289" t="s">
        <v>23</v>
      </c>
      <c r="C13" s="290" t="s">
        <v>24</v>
      </c>
      <c r="D13" s="3" t="s">
        <v>12</v>
      </c>
    </row>
    <row r="14" spans="1:4" ht="12.75" customHeight="1" x14ac:dyDescent="0.3">
      <c r="A14" s="606"/>
      <c r="B14" s="289"/>
      <c r="C14" s="290"/>
      <c r="D14" s="3" t="s">
        <v>12</v>
      </c>
    </row>
    <row r="15" spans="1:4" ht="12.75" customHeight="1" x14ac:dyDescent="0.3">
      <c r="A15" s="288"/>
      <c r="C15" s="153"/>
      <c r="D15" s="3" t="s">
        <v>12</v>
      </c>
    </row>
    <row r="16" spans="1:4" ht="14.4" x14ac:dyDescent="0.25">
      <c r="A16" s="288"/>
      <c r="B16" s="349"/>
      <c r="C16" s="350"/>
    </row>
    <row r="17" spans="1:7" ht="18.600000000000001" customHeight="1" x14ac:dyDescent="0.25">
      <c r="A17" s="596" t="s">
        <v>25</v>
      </c>
      <c r="B17" s="596"/>
      <c r="C17" s="596"/>
    </row>
    <row r="18" spans="1:7" x14ac:dyDescent="0.25">
      <c r="C18" s="4"/>
    </row>
    <row r="19" spans="1:7" x14ac:dyDescent="0.25">
      <c r="C19" s="4"/>
    </row>
    <row r="20" spans="1:7" x14ac:dyDescent="0.25">
      <c r="C20" s="4"/>
    </row>
    <row r="21" spans="1:7" ht="14.4" x14ac:dyDescent="0.3">
      <c r="B21"/>
      <c r="C21" s="4"/>
    </row>
    <row r="22" spans="1:7" x14ac:dyDescent="0.25">
      <c r="C22" s="4"/>
    </row>
    <row r="23" spans="1:7" x14ac:dyDescent="0.25">
      <c r="C23" s="4"/>
    </row>
    <row r="24" spans="1:7" x14ac:dyDescent="0.25">
      <c r="C24" s="4"/>
    </row>
    <row r="25" spans="1:7" x14ac:dyDescent="0.25">
      <c r="C25" s="4"/>
    </row>
    <row r="26" spans="1:7" x14ac:dyDescent="0.25">
      <c r="C26" s="4"/>
    </row>
    <row r="27" spans="1:7" x14ac:dyDescent="0.25">
      <c r="C27" s="4"/>
    </row>
    <row r="28" spans="1:7" x14ac:dyDescent="0.25">
      <c r="C28" s="4"/>
    </row>
    <row r="29" spans="1:7" x14ac:dyDescent="0.25">
      <c r="C29" s="4"/>
    </row>
    <row r="30" spans="1:7" ht="19.2" customHeight="1" x14ac:dyDescent="0.25">
      <c r="A30" s="596" t="s">
        <v>26</v>
      </c>
      <c r="B30" s="596"/>
      <c r="C30" s="596"/>
    </row>
    <row r="31" spans="1:7" ht="14.7" customHeight="1" x14ac:dyDescent="0.25">
      <c r="B31" s="605"/>
      <c r="C31" s="605"/>
      <c r="D31" s="530"/>
      <c r="E31" s="5"/>
      <c r="F31" s="5"/>
      <c r="G31" s="5"/>
    </row>
    <row r="32" spans="1:7" x14ac:dyDescent="0.25">
      <c r="A32" s="7"/>
      <c r="B32" s="604"/>
      <c r="C32" s="604"/>
      <c r="D32" s="530"/>
      <c r="E32" s="29"/>
      <c r="F32" s="29"/>
      <c r="G32" s="29"/>
    </row>
    <row r="33" spans="1:3" x14ac:dyDescent="0.25">
      <c r="A33" s="7"/>
      <c r="B33" s="604"/>
      <c r="C33" s="604"/>
    </row>
    <row r="34" spans="1:3" x14ac:dyDescent="0.25">
      <c r="A34" s="7"/>
      <c r="B34" s="604"/>
      <c r="C34" s="604"/>
    </row>
  </sheetData>
  <mergeCells count="10">
    <mergeCell ref="A1:C1"/>
    <mergeCell ref="B31:C31"/>
    <mergeCell ref="A3:A4"/>
    <mergeCell ref="A5:A8"/>
    <mergeCell ref="A9:A14"/>
    <mergeCell ref="B32:C32"/>
    <mergeCell ref="B33:C33"/>
    <mergeCell ref="B34:C34"/>
    <mergeCell ref="A30:C30"/>
    <mergeCell ref="A17:C17"/>
  </mergeCells>
  <hyperlinks>
    <hyperlink ref="C6" r:id="rId1" display="https://bees.noresco.com/software2022.html" xr:uid="{BE11EEF8-3AF7-48F0-A38B-7309CE5A9491}"/>
    <hyperlink ref="C7" r:id="rId2" location="Commercial" display="https://www.energycodes.gov/prototype-building-models#Commercial" xr:uid="{626A4776-C2FA-489E-88C0-BC9C7C8EA36F}"/>
    <hyperlink ref="C8" r:id="rId3" display="https://github.com/sound-data/DEER-Prototypes-EnergyPlus" xr:uid="{0DEB00BB-3A26-4527-9ED4-40D17F93A579}"/>
    <hyperlink ref="C13" r:id="rId4" display="https://title24stakeholders.com/wp-content/uploads/2020/10/2022-T24-Final-CASE-Report_Reduce-Infiltration.pdf" xr:uid="{5814AF80-D2B1-423C-9148-8871BBDE5F13}"/>
    <hyperlink ref="C15" r:id="rId5" display="https://www.pnnl.gov/main/publications/external/technical_reports/PNNL-20405.pdf" xr:uid="{87573880-884C-4373-BE74-6BDCB4E6ECFE}"/>
  </hyperlinks>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A2FF8-E67F-4AF9-A6F9-E2B7AE862021}">
  <sheetPr codeName="Sheet1"/>
  <dimension ref="A1:I30"/>
  <sheetViews>
    <sheetView tabSelected="1" zoomScaleNormal="100" workbookViewId="0">
      <selection sqref="A1:C1"/>
    </sheetView>
  </sheetViews>
  <sheetFormatPr defaultColWidth="9.33203125" defaultRowHeight="13.8" x14ac:dyDescent="0.25"/>
  <cols>
    <col min="1" max="1" width="25" style="1" customWidth="1"/>
    <col min="2" max="2" width="67.88671875" style="1" customWidth="1"/>
    <col min="3" max="3" width="49.6640625" style="1" customWidth="1"/>
    <col min="4" max="9" width="8.6640625" style="1" customWidth="1"/>
    <col min="10" max="16384" width="9.33203125" style="1"/>
  </cols>
  <sheetData>
    <row r="1" spans="1:9" ht="17.399999999999999" x14ac:dyDescent="0.25">
      <c r="A1" s="607" t="s">
        <v>782</v>
      </c>
      <c r="B1" s="607"/>
      <c r="C1" s="607"/>
      <c r="D1" s="9"/>
      <c r="E1" s="9"/>
      <c r="F1" s="9"/>
    </row>
    <row r="2" spans="1:9" ht="25.2" customHeight="1" x14ac:dyDescent="0.25">
      <c r="A2" s="608" t="s">
        <v>27</v>
      </c>
      <c r="B2" s="609"/>
      <c r="C2" s="609"/>
      <c r="D2" s="9"/>
      <c r="E2" s="9"/>
      <c r="F2" s="9"/>
    </row>
    <row r="3" spans="1:9" ht="20.399999999999999" customHeight="1" x14ac:dyDescent="0.25">
      <c r="A3" s="15" t="s">
        <v>28</v>
      </c>
      <c r="B3" s="527" t="s">
        <v>29</v>
      </c>
      <c r="C3" s="16" t="s">
        <v>0</v>
      </c>
    </row>
    <row r="4" spans="1:9" ht="16.2" customHeight="1" x14ac:dyDescent="0.25">
      <c r="A4" s="13" t="s">
        <v>30</v>
      </c>
      <c r="B4" s="543" t="s">
        <v>31</v>
      </c>
      <c r="C4" s="13"/>
    </row>
    <row r="5" spans="1:9" ht="16.2" customHeight="1" x14ac:dyDescent="0.25">
      <c r="A5" s="13" t="s">
        <v>32</v>
      </c>
      <c r="B5" s="543" t="s">
        <v>33</v>
      </c>
      <c r="C5" s="13"/>
    </row>
    <row r="6" spans="1:9" ht="16.2" customHeight="1" x14ac:dyDescent="0.25">
      <c r="A6" s="377" t="s">
        <v>34</v>
      </c>
      <c r="B6" s="294" t="s">
        <v>35</v>
      </c>
      <c r="C6" s="13"/>
    </row>
    <row r="7" spans="1:9" ht="94.5" customHeight="1" x14ac:dyDescent="0.25">
      <c r="A7" s="13" t="s">
        <v>36</v>
      </c>
      <c r="B7" s="542" t="s">
        <v>37</v>
      </c>
      <c r="C7" s="14" t="s">
        <v>38</v>
      </c>
      <c r="D7" s="61"/>
    </row>
    <row r="8" spans="1:9" ht="97.2" customHeight="1" x14ac:dyDescent="0.25">
      <c r="A8" s="13" t="s">
        <v>39</v>
      </c>
      <c r="B8" s="543"/>
      <c r="C8" s="291" t="s">
        <v>40</v>
      </c>
      <c r="I8" s="2"/>
    </row>
    <row r="9" spans="1:9" ht="38.25" customHeight="1" x14ac:dyDescent="0.25">
      <c r="A9" s="10" t="s">
        <v>41</v>
      </c>
      <c r="B9" s="11">
        <f>Zones!K40</f>
        <v>141013.76000000001</v>
      </c>
      <c r="C9" s="610" t="s">
        <v>42</v>
      </c>
    </row>
    <row r="10" spans="1:9" ht="16.2" customHeight="1" x14ac:dyDescent="0.25">
      <c r="A10" s="10" t="s">
        <v>43</v>
      </c>
      <c r="B10" s="60">
        <f>180/155</f>
        <v>1.1612903225806452</v>
      </c>
      <c r="C10" s="611"/>
    </row>
    <row r="11" spans="1:9" x14ac:dyDescent="0.25">
      <c r="A11" s="12" t="s">
        <v>44</v>
      </c>
      <c r="B11" s="543" t="s">
        <v>45</v>
      </c>
      <c r="C11" s="611"/>
    </row>
    <row r="12" spans="1:9" x14ac:dyDescent="0.25">
      <c r="A12" s="12" t="s">
        <v>46</v>
      </c>
      <c r="B12" s="543" t="s">
        <v>47</v>
      </c>
      <c r="C12" s="611"/>
    </row>
    <row r="13" spans="1:9" ht="26.4" x14ac:dyDescent="0.25">
      <c r="A13" s="12" t="s">
        <v>48</v>
      </c>
      <c r="B13" s="66" t="s">
        <v>49</v>
      </c>
      <c r="C13" s="611"/>
    </row>
    <row r="14" spans="1:9" x14ac:dyDescent="0.25">
      <c r="A14" s="10" t="s">
        <v>50</v>
      </c>
      <c r="B14" s="543" t="s">
        <v>51</v>
      </c>
      <c r="C14" s="611"/>
    </row>
    <row r="15" spans="1:9" ht="21.6" customHeight="1" x14ac:dyDescent="0.25">
      <c r="A15" s="10" t="s">
        <v>52</v>
      </c>
      <c r="B15" s="136" t="s">
        <v>53</v>
      </c>
      <c r="C15" s="611"/>
    </row>
    <row r="16" spans="1:9" ht="48" customHeight="1" x14ac:dyDescent="0.25">
      <c r="A16" s="10" t="s">
        <v>54</v>
      </c>
      <c r="B16" s="542" t="s">
        <v>55</v>
      </c>
      <c r="C16" s="611"/>
    </row>
    <row r="17" spans="1:3" ht="39.6" customHeight="1" x14ac:dyDescent="0.25">
      <c r="A17" s="10" t="s">
        <v>56</v>
      </c>
      <c r="B17" s="542" t="s">
        <v>57</v>
      </c>
      <c r="C17" s="611"/>
    </row>
    <row r="18" spans="1:3" ht="20.399999999999999" customHeight="1" x14ac:dyDescent="0.25">
      <c r="A18" s="10" t="s">
        <v>58</v>
      </c>
      <c r="B18" s="542" t="s">
        <v>59</v>
      </c>
      <c r="C18" s="612"/>
    </row>
    <row r="19" spans="1:3" ht="41.4" x14ac:dyDescent="0.25">
      <c r="A19" s="353" t="s">
        <v>60</v>
      </c>
      <c r="B19" s="354">
        <v>88</v>
      </c>
      <c r="C19" s="355" t="s">
        <v>61</v>
      </c>
    </row>
    <row r="21" spans="1:3" ht="14.7" customHeight="1" x14ac:dyDescent="0.25"/>
    <row r="22" spans="1:3" ht="14.7" customHeight="1" x14ac:dyDescent="0.25">
      <c r="A22" s="137" t="s">
        <v>62</v>
      </c>
      <c r="B22" s="138">
        <v>42304.13</v>
      </c>
    </row>
    <row r="23" spans="1:3" x14ac:dyDescent="0.25">
      <c r="A23" s="137" t="s">
        <v>63</v>
      </c>
      <c r="B23" s="138">
        <v>51685.04</v>
      </c>
    </row>
    <row r="24" spans="1:3" ht="14.7" customHeight="1" x14ac:dyDescent="0.25">
      <c r="A24" s="137" t="s">
        <v>64</v>
      </c>
      <c r="B24" s="138">
        <v>27902.720000000001</v>
      </c>
    </row>
    <row r="25" spans="1:3" ht="14.7" customHeight="1" x14ac:dyDescent="0.25">
      <c r="A25" s="137" t="s">
        <v>65</v>
      </c>
      <c r="B25" s="138">
        <f>B23-B22</f>
        <v>9380.9100000000035</v>
      </c>
    </row>
    <row r="26" spans="1:3" ht="14.7" customHeight="1" x14ac:dyDescent="0.25"/>
    <row r="29" spans="1:3" ht="14.7" customHeight="1" x14ac:dyDescent="0.25"/>
    <row r="30" spans="1:3" ht="14.7" customHeight="1" x14ac:dyDescent="0.25"/>
  </sheetData>
  <mergeCells count="3">
    <mergeCell ref="A1:C1"/>
    <mergeCell ref="A2:C2"/>
    <mergeCell ref="C9:C18"/>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EFA7E-5301-47EF-897F-A5F351FF4E73}">
  <sheetPr codeName="Sheet12"/>
  <dimension ref="A1:Z170"/>
  <sheetViews>
    <sheetView zoomScaleNormal="100" workbookViewId="0">
      <selection sqref="A1:O1"/>
    </sheetView>
  </sheetViews>
  <sheetFormatPr defaultColWidth="8.6640625" defaultRowHeight="13.2" x14ac:dyDescent="0.25"/>
  <cols>
    <col min="1" max="1" width="17.88671875" style="3" customWidth="1"/>
    <col min="2" max="2" width="34.88671875" style="3" customWidth="1"/>
    <col min="3" max="3" width="49.109375" style="3" customWidth="1"/>
    <col min="4" max="4" width="12.44140625" style="3" customWidth="1"/>
    <col min="5" max="5" width="22.33203125" style="3" customWidth="1"/>
    <col min="6" max="8" width="31.6640625" style="3" customWidth="1"/>
    <col min="9" max="9" width="19" style="3" customWidth="1"/>
    <col min="10" max="10" width="14.6640625" style="3" customWidth="1"/>
    <col min="11" max="11" width="12.6640625" style="3" customWidth="1"/>
    <col min="12" max="12" width="12" style="3" customWidth="1"/>
    <col min="13" max="13" width="11.33203125" style="3" customWidth="1"/>
    <col min="14" max="14" width="13" style="3" customWidth="1"/>
    <col min="15" max="16" width="39.44140625" style="3" customWidth="1"/>
    <col min="17" max="17" width="10.109375" style="3" customWidth="1"/>
    <col min="18" max="18" width="12.6640625" style="3" customWidth="1"/>
    <col min="19" max="19" width="25.33203125" style="3" customWidth="1"/>
    <col min="20" max="20" width="22.33203125" style="3" bestFit="1" customWidth="1"/>
    <col min="21" max="21" width="18.33203125" style="3" customWidth="1"/>
    <col min="22" max="22" width="25.6640625" style="3" customWidth="1"/>
    <col min="23" max="23" width="22.6640625" style="3" customWidth="1"/>
    <col min="24" max="24" width="16.33203125" style="3" customWidth="1"/>
    <col min="25" max="25" width="6.6640625" style="3" bestFit="1" customWidth="1"/>
    <col min="26" max="30" width="17.33203125" style="3" customWidth="1"/>
    <col min="31" max="16384" width="8.6640625" style="3"/>
  </cols>
  <sheetData>
    <row r="1" spans="1:26" ht="25.95" customHeight="1" x14ac:dyDescent="0.25">
      <c r="A1" s="616" t="str">
        <f>"Proposed Layout - "&amp;Prototype!A2</f>
        <v xml:space="preserve">Proposed Layout - ApartmentMidRise </v>
      </c>
      <c r="B1" s="616"/>
      <c r="C1" s="616"/>
      <c r="D1" s="616"/>
      <c r="E1" s="616"/>
      <c r="F1" s="616"/>
      <c r="G1" s="616"/>
      <c r="H1" s="616"/>
      <c r="I1" s="616"/>
      <c r="J1" s="616"/>
      <c r="K1" s="616"/>
      <c r="L1" s="616"/>
      <c r="M1" s="616"/>
      <c r="N1" s="616"/>
      <c r="O1" s="616"/>
      <c r="P1" s="531"/>
    </row>
    <row r="2" spans="1:26" ht="39.6" x14ac:dyDescent="0.25">
      <c r="A2" s="28" t="s">
        <v>66</v>
      </c>
      <c r="B2" s="28" t="s">
        <v>67</v>
      </c>
      <c r="C2" s="188" t="s">
        <v>68</v>
      </c>
      <c r="D2" s="28" t="s">
        <v>69</v>
      </c>
      <c r="E2" s="28" t="s">
        <v>70</v>
      </c>
      <c r="F2" s="28" t="s">
        <v>71</v>
      </c>
      <c r="G2" s="28" t="s">
        <v>72</v>
      </c>
      <c r="H2" s="28" t="s">
        <v>73</v>
      </c>
      <c r="I2" s="27" t="s">
        <v>74</v>
      </c>
      <c r="J2" s="28" t="s">
        <v>75</v>
      </c>
      <c r="K2" s="28" t="s">
        <v>76</v>
      </c>
      <c r="L2" s="27" t="s">
        <v>77</v>
      </c>
      <c r="M2" s="27" t="s">
        <v>78</v>
      </c>
      <c r="N2" s="27" t="s">
        <v>79</v>
      </c>
      <c r="O2" s="397" t="s">
        <v>80</v>
      </c>
      <c r="P2" s="395" t="s">
        <v>26</v>
      </c>
      <c r="R2" s="384"/>
      <c r="S2" s="385" t="s">
        <v>81</v>
      </c>
      <c r="T2" s="385"/>
      <c r="U2" s="385"/>
      <c r="V2" s="385"/>
      <c r="W2" s="385"/>
      <c r="X2" s="385"/>
      <c r="Y2" s="385"/>
      <c r="Z2" s="386"/>
    </row>
    <row r="3" spans="1:26" ht="17.850000000000001" customHeight="1" x14ac:dyDescent="0.25">
      <c r="A3" s="543" t="s">
        <v>82</v>
      </c>
      <c r="B3" s="545" t="s">
        <v>83</v>
      </c>
      <c r="C3" s="545" t="s">
        <v>84</v>
      </c>
      <c r="D3" s="545" t="s">
        <v>85</v>
      </c>
      <c r="E3" s="545" t="s">
        <v>86</v>
      </c>
      <c r="F3" s="545" t="s">
        <v>87</v>
      </c>
      <c r="G3" s="545" t="s">
        <v>87</v>
      </c>
      <c r="H3" s="545" t="s">
        <v>88</v>
      </c>
      <c r="I3" s="65" t="s">
        <v>89</v>
      </c>
      <c r="J3" s="67">
        <f t="shared" ref="J3:J39" si="0">K3*M3/$K$40</f>
        <v>2.5532260114190276E-3</v>
      </c>
      <c r="K3" s="70">
        <v>360.04</v>
      </c>
      <c r="L3" s="69">
        <v>3600.53</v>
      </c>
      <c r="M3" s="65">
        <v>1</v>
      </c>
      <c r="N3" s="293">
        <f t="shared" ref="N3:N12" si="1">O3*K3*M3/1000</f>
        <v>24.003866800000004</v>
      </c>
      <c r="O3" s="398">
        <v>66.67</v>
      </c>
      <c r="P3" s="613" t="s">
        <v>90</v>
      </c>
      <c r="R3" s="387"/>
      <c r="S3" s="388"/>
      <c r="T3" s="388"/>
      <c r="U3" s="388"/>
      <c r="V3" s="388"/>
      <c r="W3" s="388"/>
      <c r="X3" s="388"/>
      <c r="Y3" s="388"/>
      <c r="Z3" s="389"/>
    </row>
    <row r="4" spans="1:26" ht="17.850000000000001" customHeight="1" x14ac:dyDescent="0.25">
      <c r="A4" s="543" t="s">
        <v>82</v>
      </c>
      <c r="B4" s="545" t="s">
        <v>91</v>
      </c>
      <c r="C4" s="545" t="s">
        <v>92</v>
      </c>
      <c r="D4" s="545" t="s">
        <v>85</v>
      </c>
      <c r="E4" s="545" t="s">
        <v>86</v>
      </c>
      <c r="F4" s="545" t="s">
        <v>87</v>
      </c>
      <c r="G4" s="545" t="s">
        <v>87</v>
      </c>
      <c r="H4" s="545" t="s">
        <v>93</v>
      </c>
      <c r="I4" s="65" t="s">
        <v>89</v>
      </c>
      <c r="J4" s="67">
        <f t="shared" si="0"/>
        <v>1.3617039925749089E-2</v>
      </c>
      <c r="K4" s="70">
        <v>1920.19</v>
      </c>
      <c r="L4" s="69">
        <v>19202.810000000001</v>
      </c>
      <c r="M4" s="65">
        <v>1</v>
      </c>
      <c r="N4" s="293">
        <f t="shared" si="1"/>
        <v>19.201900000000002</v>
      </c>
      <c r="O4" s="398">
        <v>10</v>
      </c>
      <c r="P4" s="614"/>
      <c r="R4" s="387"/>
      <c r="S4" s="388"/>
      <c r="T4" s="388"/>
      <c r="U4" s="388"/>
      <c r="V4" s="388"/>
      <c r="W4" s="388"/>
      <c r="X4" s="388"/>
      <c r="Y4" s="388"/>
      <c r="Z4" s="389"/>
    </row>
    <row r="5" spans="1:26" ht="17.850000000000001" customHeight="1" x14ac:dyDescent="0.25">
      <c r="A5" s="543" t="s">
        <v>82</v>
      </c>
      <c r="B5" s="545" t="s">
        <v>94</v>
      </c>
      <c r="C5" s="545" t="s">
        <v>95</v>
      </c>
      <c r="D5" s="545" t="s">
        <v>85</v>
      </c>
      <c r="E5" s="545" t="s">
        <v>86</v>
      </c>
      <c r="F5" s="545" t="s">
        <v>87</v>
      </c>
      <c r="G5" s="545" t="s">
        <v>87</v>
      </c>
      <c r="H5" s="545" t="s">
        <v>96</v>
      </c>
      <c r="I5" s="65" t="s">
        <v>89</v>
      </c>
      <c r="J5" s="67">
        <f t="shared" si="0"/>
        <v>6.3829941134822587E-3</v>
      </c>
      <c r="K5" s="70">
        <v>900.09</v>
      </c>
      <c r="L5" s="69">
        <v>9001.32</v>
      </c>
      <c r="M5" s="65">
        <v>1</v>
      </c>
      <c r="N5" s="293">
        <f t="shared" si="1"/>
        <v>18.001799999999999</v>
      </c>
      <c r="O5" s="398">
        <v>20</v>
      </c>
      <c r="P5" s="614"/>
      <c r="Q5" s="54"/>
      <c r="R5" s="387"/>
      <c r="S5" s="388"/>
      <c r="T5" s="388"/>
      <c r="U5" s="388"/>
      <c r="V5" s="388"/>
      <c r="W5" s="388"/>
      <c r="X5" s="388"/>
      <c r="Y5" s="388"/>
      <c r="Z5" s="389"/>
    </row>
    <row r="6" spans="1:26" ht="17.850000000000001" customHeight="1" x14ac:dyDescent="0.25">
      <c r="A6" s="543" t="s">
        <v>82</v>
      </c>
      <c r="B6" s="545" t="s">
        <v>97</v>
      </c>
      <c r="C6" s="545" t="s">
        <v>98</v>
      </c>
      <c r="D6" s="545" t="s">
        <v>85</v>
      </c>
      <c r="E6" s="545" t="s">
        <v>86</v>
      </c>
      <c r="F6" s="545" t="s">
        <v>87</v>
      </c>
      <c r="G6" s="545" t="s">
        <v>87</v>
      </c>
      <c r="H6" s="545" t="s">
        <v>99</v>
      </c>
      <c r="I6" s="65" t="s">
        <v>89</v>
      </c>
      <c r="J6" s="67">
        <f t="shared" si="0"/>
        <v>2.4467824983888092E-3</v>
      </c>
      <c r="K6" s="70">
        <v>345.03</v>
      </c>
      <c r="L6" s="69">
        <v>3450.51</v>
      </c>
      <c r="M6" s="65">
        <v>1</v>
      </c>
      <c r="N6" s="293">
        <f t="shared" si="1"/>
        <v>3.4502999999999999</v>
      </c>
      <c r="O6" s="398">
        <v>10</v>
      </c>
      <c r="P6" s="614"/>
      <c r="R6" s="387"/>
      <c r="S6" s="388"/>
      <c r="T6" s="388"/>
      <c r="U6" s="388"/>
      <c r="V6" s="388"/>
      <c r="W6" s="388"/>
      <c r="X6" s="388"/>
      <c r="Y6" s="388"/>
      <c r="Z6" s="389"/>
    </row>
    <row r="7" spans="1:26" ht="17.850000000000001" customHeight="1" x14ac:dyDescent="0.25">
      <c r="A7" s="543" t="s">
        <v>82</v>
      </c>
      <c r="B7" s="545" t="s">
        <v>100</v>
      </c>
      <c r="C7" s="545" t="s">
        <v>101</v>
      </c>
      <c r="D7" s="545" t="s">
        <v>85</v>
      </c>
      <c r="E7" s="545" t="s">
        <v>86</v>
      </c>
      <c r="F7" s="545" t="s">
        <v>87</v>
      </c>
      <c r="G7" s="545" t="s">
        <v>87</v>
      </c>
      <c r="H7" s="545" t="s">
        <v>102</v>
      </c>
      <c r="I7" s="65" t="s">
        <v>89</v>
      </c>
      <c r="J7" s="67">
        <f t="shared" si="0"/>
        <v>7.446791008196646E-3</v>
      </c>
      <c r="K7" s="70">
        <v>1050.0999999999999</v>
      </c>
      <c r="L7" s="69">
        <v>10501.54</v>
      </c>
      <c r="M7" s="65">
        <v>1</v>
      </c>
      <c r="N7" s="293">
        <f t="shared" si="1"/>
        <v>70.041669999999996</v>
      </c>
      <c r="O7" s="398">
        <v>66.7</v>
      </c>
      <c r="P7" s="614"/>
      <c r="R7" s="387"/>
      <c r="S7" s="388"/>
      <c r="T7" s="388"/>
      <c r="U7" s="388"/>
      <c r="V7" s="388"/>
      <c r="W7" s="388"/>
      <c r="X7" s="388"/>
      <c r="Y7" s="388"/>
      <c r="Z7" s="389"/>
    </row>
    <row r="8" spans="1:26" ht="17.850000000000001" customHeight="1" x14ac:dyDescent="0.25">
      <c r="A8" s="543" t="s">
        <v>82</v>
      </c>
      <c r="B8" s="545" t="s">
        <v>103</v>
      </c>
      <c r="C8" s="545" t="s">
        <v>104</v>
      </c>
      <c r="D8" s="545" t="s">
        <v>85</v>
      </c>
      <c r="E8" s="294" t="s">
        <v>105</v>
      </c>
      <c r="F8" s="545" t="s">
        <v>87</v>
      </c>
      <c r="G8" s="545" t="s">
        <v>87</v>
      </c>
      <c r="H8" s="545" t="s">
        <v>106</v>
      </c>
      <c r="I8" s="65" t="s">
        <v>89</v>
      </c>
      <c r="J8" s="67">
        <f t="shared" si="0"/>
        <v>3.0638144816505851E-3</v>
      </c>
      <c r="K8" s="70">
        <v>432.04</v>
      </c>
      <c r="L8" s="69">
        <v>4320.63</v>
      </c>
      <c r="M8" s="65">
        <v>1</v>
      </c>
      <c r="N8" s="293">
        <f t="shared" si="1"/>
        <v>1.2961200000000002</v>
      </c>
      <c r="O8" s="398">
        <v>3</v>
      </c>
      <c r="P8" s="614"/>
      <c r="R8" s="387"/>
      <c r="S8" s="388"/>
      <c r="T8" s="388"/>
      <c r="U8" s="388"/>
      <c r="V8" s="388"/>
      <c r="W8" s="388"/>
      <c r="X8" s="388"/>
      <c r="Y8" s="388"/>
      <c r="Z8" s="389"/>
    </row>
    <row r="9" spans="1:26" ht="17.850000000000001" customHeight="1" x14ac:dyDescent="0.25">
      <c r="A9" s="543" t="s">
        <v>82</v>
      </c>
      <c r="B9" s="545" t="s">
        <v>107</v>
      </c>
      <c r="C9" s="545" t="s">
        <v>108</v>
      </c>
      <c r="D9" s="545" t="s">
        <v>85</v>
      </c>
      <c r="E9" s="545" t="s">
        <v>109</v>
      </c>
      <c r="F9" s="545" t="s">
        <v>87</v>
      </c>
      <c r="G9" s="545" t="s">
        <v>87</v>
      </c>
      <c r="H9" s="545" t="s">
        <v>110</v>
      </c>
      <c r="I9" s="65" t="s">
        <v>89</v>
      </c>
      <c r="J9" s="67">
        <f t="shared" si="0"/>
        <v>4.2446779661786192E-2</v>
      </c>
      <c r="K9" s="70">
        <v>5985.58</v>
      </c>
      <c r="L9" s="69">
        <v>59858.76</v>
      </c>
      <c r="M9" s="65">
        <v>1</v>
      </c>
      <c r="N9" s="293">
        <f t="shared" si="1"/>
        <v>99.75966666666686</v>
      </c>
      <c r="O9" s="398">
        <v>16.6666666666667</v>
      </c>
      <c r="P9" s="614"/>
      <c r="R9" s="387"/>
      <c r="S9" s="388"/>
      <c r="T9" s="388"/>
      <c r="U9" s="388"/>
      <c r="V9" s="388"/>
      <c r="W9" s="388"/>
      <c r="X9" s="388"/>
      <c r="Y9" s="388"/>
      <c r="Z9" s="389"/>
    </row>
    <row r="10" spans="1:26" ht="17.850000000000001" customHeight="1" x14ac:dyDescent="0.25">
      <c r="A10" s="543" t="s">
        <v>82</v>
      </c>
      <c r="B10" s="545" t="s">
        <v>111</v>
      </c>
      <c r="C10" s="545" t="s">
        <v>108</v>
      </c>
      <c r="D10" s="545" t="s">
        <v>85</v>
      </c>
      <c r="E10" s="545" t="s">
        <v>109</v>
      </c>
      <c r="F10" s="545" t="s">
        <v>87</v>
      </c>
      <c r="G10" s="545" t="s">
        <v>87</v>
      </c>
      <c r="H10" s="545" t="s">
        <v>112</v>
      </c>
      <c r="I10" s="65" t="s">
        <v>89</v>
      </c>
      <c r="J10" s="67">
        <f t="shared" si="0"/>
        <v>3.0638286646636467E-2</v>
      </c>
      <c r="K10" s="70">
        <v>4320.42</v>
      </c>
      <c r="L10" s="69">
        <v>43206.32</v>
      </c>
      <c r="M10" s="65">
        <v>1</v>
      </c>
      <c r="N10" s="293">
        <f t="shared" si="1"/>
        <v>72.007000000000147</v>
      </c>
      <c r="O10" s="398">
        <v>16.6666666666667</v>
      </c>
      <c r="P10" s="614"/>
      <c r="R10" s="387"/>
      <c r="S10" s="388"/>
      <c r="T10" s="388"/>
      <c r="U10" s="388"/>
      <c r="V10" s="388"/>
      <c r="W10" s="388"/>
      <c r="X10" s="388"/>
      <c r="Y10" s="388"/>
      <c r="Z10" s="389"/>
    </row>
    <row r="11" spans="1:26" ht="17.850000000000001" customHeight="1" x14ac:dyDescent="0.25">
      <c r="A11" s="543" t="s">
        <v>82</v>
      </c>
      <c r="B11" s="545" t="s">
        <v>113</v>
      </c>
      <c r="C11" s="545" t="s">
        <v>108</v>
      </c>
      <c r="D11" s="545" t="s">
        <v>85</v>
      </c>
      <c r="E11" s="545" t="s">
        <v>109</v>
      </c>
      <c r="F11" s="545" t="s">
        <v>87</v>
      </c>
      <c r="G11" s="545" t="s">
        <v>87</v>
      </c>
      <c r="H11" s="545" t="s">
        <v>114</v>
      </c>
      <c r="I11" s="65" t="s">
        <v>89</v>
      </c>
      <c r="J11" s="67">
        <f t="shared" si="0"/>
        <v>2.0425524431090979E-2</v>
      </c>
      <c r="K11" s="70">
        <v>2880.28</v>
      </c>
      <c r="L11" s="69">
        <v>28804.22</v>
      </c>
      <c r="M11" s="65">
        <v>1</v>
      </c>
      <c r="N11" s="293">
        <f t="shared" si="1"/>
        <v>48.004666666666765</v>
      </c>
      <c r="O11" s="398">
        <v>16.6666666666667</v>
      </c>
      <c r="P11" s="614"/>
      <c r="R11" s="387"/>
      <c r="S11" s="388"/>
      <c r="T11" s="388"/>
      <c r="U11" s="388"/>
      <c r="V11" s="388"/>
      <c r="W11" s="388"/>
      <c r="X11" s="388"/>
      <c r="Y11" s="388"/>
      <c r="Z11" s="389"/>
    </row>
    <row r="12" spans="1:26" ht="17.850000000000001" customHeight="1" x14ac:dyDescent="0.25">
      <c r="A12" s="543" t="s">
        <v>82</v>
      </c>
      <c r="B12" s="545" t="s">
        <v>115</v>
      </c>
      <c r="C12" s="545" t="s">
        <v>108</v>
      </c>
      <c r="D12" s="545" t="s">
        <v>85</v>
      </c>
      <c r="E12" s="545" t="s">
        <v>109</v>
      </c>
      <c r="F12" s="545" t="s">
        <v>87</v>
      </c>
      <c r="G12" s="545" t="s">
        <v>87</v>
      </c>
      <c r="H12" s="545" t="s">
        <v>116</v>
      </c>
      <c r="I12" s="65" t="s">
        <v>89</v>
      </c>
      <c r="J12" s="67">
        <f t="shared" si="0"/>
        <v>3.1404240267049119E-2</v>
      </c>
      <c r="K12" s="70">
        <v>4428.43</v>
      </c>
      <c r="L12" s="69">
        <v>44286.48</v>
      </c>
      <c r="M12" s="65">
        <v>1</v>
      </c>
      <c r="N12" s="293">
        <f t="shared" si="1"/>
        <v>73.807166666666816</v>
      </c>
      <c r="O12" s="398">
        <v>16.6666666666667</v>
      </c>
      <c r="P12" s="614"/>
      <c r="R12" s="387"/>
      <c r="S12" s="388"/>
      <c r="T12" s="388"/>
      <c r="U12" s="388"/>
      <c r="V12" s="388"/>
      <c r="W12" s="388"/>
      <c r="X12" s="388"/>
      <c r="Y12" s="388"/>
      <c r="Z12" s="389"/>
    </row>
    <row r="13" spans="1:26" ht="17.850000000000001" customHeight="1" x14ac:dyDescent="0.25">
      <c r="A13" s="543" t="s">
        <v>82</v>
      </c>
      <c r="B13" s="545" t="s">
        <v>117</v>
      </c>
      <c r="C13" s="294" t="s">
        <v>118</v>
      </c>
      <c r="D13" s="545" t="s">
        <v>119</v>
      </c>
      <c r="E13" s="545" t="s">
        <v>120</v>
      </c>
      <c r="F13" s="294">
        <v>6</v>
      </c>
      <c r="G13" s="545" t="s">
        <v>121</v>
      </c>
      <c r="H13" s="545" t="s">
        <v>122</v>
      </c>
      <c r="I13" s="65" t="s">
        <v>89</v>
      </c>
      <c r="J13" s="67">
        <f t="shared" si="0"/>
        <v>3.0638286646636467E-2</v>
      </c>
      <c r="K13" s="70">
        <v>1440.14</v>
      </c>
      <c r="L13" s="69">
        <v>14402.11</v>
      </c>
      <c r="M13" s="65">
        <v>3</v>
      </c>
      <c r="N13" s="293">
        <f t="shared" ref="N13:N21" si="2">F13*O13</f>
        <v>12</v>
      </c>
      <c r="O13" s="399">
        <f t="shared" ref="O13:O21" si="3">MAX(2,1+IF(ISNUMBER(SEARCH("Studio",G13)),0,IF(ISNUMBER(SEARCH("3-Bed",G13)),3,IF(ISNUMBER(SEARCH("2-Bed",G13)),2,1))))</f>
        <v>2</v>
      </c>
      <c r="P13" s="614"/>
      <c r="R13" s="387"/>
      <c r="S13" s="388"/>
      <c r="T13" s="388"/>
      <c r="U13" s="388"/>
      <c r="V13" s="388"/>
      <c r="W13" s="388"/>
      <c r="X13" s="388"/>
      <c r="Y13" s="388"/>
      <c r="Z13" s="389"/>
    </row>
    <row r="14" spans="1:26" ht="17.850000000000001" customHeight="1" x14ac:dyDescent="0.25">
      <c r="A14" s="543" t="s">
        <v>82</v>
      </c>
      <c r="B14" s="545" t="s">
        <v>123</v>
      </c>
      <c r="C14" s="294" t="s">
        <v>118</v>
      </c>
      <c r="D14" s="545" t="s">
        <v>119</v>
      </c>
      <c r="E14" s="545" t="s">
        <v>120</v>
      </c>
      <c r="F14" s="294">
        <v>3</v>
      </c>
      <c r="G14" s="545" t="s">
        <v>121</v>
      </c>
      <c r="H14" s="545" t="s">
        <v>124</v>
      </c>
      <c r="I14" s="65" t="s">
        <v>89</v>
      </c>
      <c r="J14" s="67">
        <f t="shared" si="0"/>
        <v>1.5319143323318234E-2</v>
      </c>
      <c r="K14" s="70">
        <v>720.07</v>
      </c>
      <c r="L14" s="69">
        <v>7201.05</v>
      </c>
      <c r="M14" s="65">
        <v>3</v>
      </c>
      <c r="N14" s="293">
        <f t="shared" si="2"/>
        <v>6</v>
      </c>
      <c r="O14" s="399">
        <f t="shared" si="3"/>
        <v>2</v>
      </c>
      <c r="P14" s="614"/>
      <c r="R14" s="387"/>
      <c r="S14" s="388"/>
      <c r="T14" s="388"/>
      <c r="U14" s="388"/>
      <c r="V14" s="388"/>
      <c r="W14" s="388"/>
      <c r="X14" s="388"/>
      <c r="Y14" s="388"/>
      <c r="Z14" s="389"/>
    </row>
    <row r="15" spans="1:26" ht="17.850000000000001" customHeight="1" x14ac:dyDescent="0.25">
      <c r="A15" s="543" t="s">
        <v>82</v>
      </c>
      <c r="B15" s="545" t="s">
        <v>125</v>
      </c>
      <c r="C15" s="294" t="s">
        <v>118</v>
      </c>
      <c r="D15" s="545" t="s">
        <v>119</v>
      </c>
      <c r="E15" s="545" t="s">
        <v>120</v>
      </c>
      <c r="F15" s="294">
        <v>6</v>
      </c>
      <c r="G15" s="545" t="s">
        <v>121</v>
      </c>
      <c r="H15" s="545" t="s">
        <v>126</v>
      </c>
      <c r="I15" s="65" t="s">
        <v>89</v>
      </c>
      <c r="J15" s="67">
        <f t="shared" si="0"/>
        <v>3.0638286646636467E-2</v>
      </c>
      <c r="K15" s="70">
        <v>1440.14</v>
      </c>
      <c r="L15" s="69">
        <v>14402.11</v>
      </c>
      <c r="M15" s="65">
        <v>3</v>
      </c>
      <c r="N15" s="293">
        <f t="shared" si="2"/>
        <v>12</v>
      </c>
      <c r="O15" s="399">
        <f t="shared" si="3"/>
        <v>2</v>
      </c>
      <c r="P15" s="614"/>
      <c r="R15" s="387"/>
      <c r="S15" s="388"/>
      <c r="T15" s="388"/>
      <c r="U15" s="388"/>
      <c r="V15" s="388"/>
      <c r="W15" s="388"/>
      <c r="X15" s="388"/>
      <c r="Y15" s="388"/>
      <c r="Z15" s="389"/>
    </row>
    <row r="16" spans="1:26" ht="17.850000000000001" customHeight="1" x14ac:dyDescent="0.25">
      <c r="A16" s="543" t="s">
        <v>82</v>
      </c>
      <c r="B16" s="545" t="s">
        <v>127</v>
      </c>
      <c r="C16" s="294" t="s">
        <v>118</v>
      </c>
      <c r="D16" s="545" t="s">
        <v>119</v>
      </c>
      <c r="E16" s="545" t="s">
        <v>120</v>
      </c>
      <c r="F16" s="294">
        <v>15</v>
      </c>
      <c r="G16" s="545" t="s">
        <v>121</v>
      </c>
      <c r="H16" s="545" t="s">
        <v>128</v>
      </c>
      <c r="I16" s="65" t="s">
        <v>89</v>
      </c>
      <c r="J16" s="67">
        <f t="shared" si="0"/>
        <v>7.9148871712944893E-2</v>
      </c>
      <c r="K16" s="70">
        <v>3720.36</v>
      </c>
      <c r="L16" s="69">
        <v>37205.449999999997</v>
      </c>
      <c r="M16" s="65">
        <v>3</v>
      </c>
      <c r="N16" s="293">
        <f t="shared" si="2"/>
        <v>30</v>
      </c>
      <c r="O16" s="399">
        <f t="shared" si="3"/>
        <v>2</v>
      </c>
      <c r="P16" s="614"/>
      <c r="R16" s="387"/>
      <c r="S16" s="388"/>
      <c r="T16" s="388"/>
      <c r="U16" s="388"/>
      <c r="V16" s="388"/>
      <c r="W16" s="388"/>
      <c r="X16" s="388"/>
      <c r="Y16" s="388"/>
      <c r="Z16" s="389"/>
    </row>
    <row r="17" spans="1:26" ht="17.850000000000001" customHeight="1" x14ac:dyDescent="0.25">
      <c r="A17" s="543" t="s">
        <v>82</v>
      </c>
      <c r="B17" s="545" t="s">
        <v>129</v>
      </c>
      <c r="C17" s="294" t="s">
        <v>118</v>
      </c>
      <c r="D17" s="545" t="s">
        <v>119</v>
      </c>
      <c r="E17" s="545" t="s">
        <v>120</v>
      </c>
      <c r="F17" s="294">
        <v>6</v>
      </c>
      <c r="G17" s="545" t="s">
        <v>130</v>
      </c>
      <c r="H17" s="545" t="s">
        <v>131</v>
      </c>
      <c r="I17" s="65" t="s">
        <v>89</v>
      </c>
      <c r="J17" s="67">
        <f t="shared" si="0"/>
        <v>4.5957429969954701E-2</v>
      </c>
      <c r="K17" s="70">
        <v>2160.21</v>
      </c>
      <c r="L17" s="69">
        <v>21603.16</v>
      </c>
      <c r="M17" s="65">
        <v>3</v>
      </c>
      <c r="N17" s="293">
        <f t="shared" si="2"/>
        <v>18</v>
      </c>
      <c r="O17" s="399">
        <f t="shared" si="3"/>
        <v>3</v>
      </c>
      <c r="P17" s="614"/>
      <c r="R17" s="387"/>
      <c r="S17" s="388"/>
      <c r="T17" s="388"/>
      <c r="U17" s="388"/>
      <c r="V17" s="388"/>
      <c r="W17" s="388"/>
      <c r="X17" s="388"/>
      <c r="Y17" s="388"/>
      <c r="Z17" s="389"/>
    </row>
    <row r="18" spans="1:26" ht="17.850000000000001" customHeight="1" x14ac:dyDescent="0.25">
      <c r="A18" s="543" t="s">
        <v>82</v>
      </c>
      <c r="B18" s="545" t="s">
        <v>132</v>
      </c>
      <c r="C18" s="294" t="s">
        <v>118</v>
      </c>
      <c r="D18" s="545" t="s">
        <v>119</v>
      </c>
      <c r="E18" s="545" t="s">
        <v>120</v>
      </c>
      <c r="F18" s="294">
        <v>9</v>
      </c>
      <c r="G18" s="545" t="s">
        <v>130</v>
      </c>
      <c r="H18" s="545" t="s">
        <v>133</v>
      </c>
      <c r="I18" s="65" t="s">
        <v>89</v>
      </c>
      <c r="J18" s="67">
        <f t="shared" si="0"/>
        <v>6.8936251327530021E-2</v>
      </c>
      <c r="K18" s="70">
        <v>3240.32</v>
      </c>
      <c r="L18" s="69">
        <v>32404.74</v>
      </c>
      <c r="M18" s="65">
        <v>3</v>
      </c>
      <c r="N18" s="293">
        <f t="shared" si="2"/>
        <v>27</v>
      </c>
      <c r="O18" s="399">
        <f t="shared" si="3"/>
        <v>3</v>
      </c>
      <c r="P18" s="614"/>
      <c r="R18" s="392"/>
      <c r="S18" s="391"/>
      <c r="T18" s="391"/>
      <c r="U18" s="391"/>
      <c r="V18" s="391"/>
      <c r="W18" s="391"/>
      <c r="X18" s="391"/>
      <c r="Y18" s="391"/>
      <c r="Z18" s="389"/>
    </row>
    <row r="19" spans="1:26" ht="17.850000000000001" customHeight="1" x14ac:dyDescent="0.25">
      <c r="A19" s="543" t="s">
        <v>82</v>
      </c>
      <c r="B19" s="545" t="s">
        <v>134</v>
      </c>
      <c r="C19" s="294" t="s">
        <v>118</v>
      </c>
      <c r="D19" s="545" t="s">
        <v>119</v>
      </c>
      <c r="E19" s="545" t="s">
        <v>120</v>
      </c>
      <c r="F19" s="294">
        <v>9</v>
      </c>
      <c r="G19" s="545" t="s">
        <v>130</v>
      </c>
      <c r="H19" s="545" t="s">
        <v>135</v>
      </c>
      <c r="I19" s="65" t="s">
        <v>89</v>
      </c>
      <c r="J19" s="67">
        <f t="shared" si="0"/>
        <v>6.8936251327530021E-2</v>
      </c>
      <c r="K19" s="70">
        <v>3240.32</v>
      </c>
      <c r="L19" s="69">
        <v>32404.74</v>
      </c>
      <c r="M19" s="65">
        <v>3</v>
      </c>
      <c r="N19" s="293">
        <f t="shared" si="2"/>
        <v>27</v>
      </c>
      <c r="O19" s="399">
        <f t="shared" si="3"/>
        <v>3</v>
      </c>
      <c r="P19" s="614"/>
      <c r="R19" s="392"/>
      <c r="S19" s="391"/>
      <c r="T19" s="391"/>
      <c r="U19" s="391"/>
      <c r="V19" s="391"/>
      <c r="W19" s="391"/>
      <c r="X19" s="391"/>
      <c r="Y19" s="391"/>
      <c r="Z19" s="389"/>
    </row>
    <row r="20" spans="1:26" ht="17.850000000000001" customHeight="1" x14ac:dyDescent="0.25">
      <c r="A20" s="543" t="s">
        <v>82</v>
      </c>
      <c r="B20" s="545" t="s">
        <v>136</v>
      </c>
      <c r="C20" s="294" t="s">
        <v>118</v>
      </c>
      <c r="D20" s="545" t="s">
        <v>119</v>
      </c>
      <c r="E20" s="545" t="s">
        <v>120</v>
      </c>
      <c r="F20" s="294">
        <v>3</v>
      </c>
      <c r="G20" s="545" t="s">
        <v>137</v>
      </c>
      <c r="H20" s="545" t="s">
        <v>138</v>
      </c>
      <c r="I20" s="65" t="s">
        <v>89</v>
      </c>
      <c r="J20" s="67">
        <f t="shared" si="0"/>
        <v>3.0000051058847021E-2</v>
      </c>
      <c r="K20" s="70">
        <v>1410.14</v>
      </c>
      <c r="L20" s="69">
        <v>14102.06</v>
      </c>
      <c r="M20" s="65">
        <v>3</v>
      </c>
      <c r="N20" s="293">
        <f t="shared" si="2"/>
        <v>12</v>
      </c>
      <c r="O20" s="399">
        <f t="shared" si="3"/>
        <v>4</v>
      </c>
      <c r="P20" s="614"/>
      <c r="R20" s="392"/>
      <c r="S20" s="391"/>
      <c r="T20" s="391"/>
      <c r="U20" s="391"/>
      <c r="V20" s="391"/>
      <c r="W20" s="391"/>
      <c r="X20" s="391"/>
      <c r="Y20" s="391"/>
      <c r="Z20" s="389"/>
    </row>
    <row r="21" spans="1:26" ht="17.850000000000001" customHeight="1" x14ac:dyDescent="0.25">
      <c r="A21" s="543" t="s">
        <v>82</v>
      </c>
      <c r="B21" s="545" t="s">
        <v>139</v>
      </c>
      <c r="C21" s="294" t="s">
        <v>118</v>
      </c>
      <c r="D21" s="545" t="s">
        <v>119</v>
      </c>
      <c r="E21" s="545" t="s">
        <v>120</v>
      </c>
      <c r="F21" s="294">
        <v>3</v>
      </c>
      <c r="G21" s="545" t="s">
        <v>137</v>
      </c>
      <c r="H21" s="545" t="s">
        <v>140</v>
      </c>
      <c r="I21" s="65" t="s">
        <v>89</v>
      </c>
      <c r="J21" s="67">
        <f t="shared" si="0"/>
        <v>3.0000051058847021E-2</v>
      </c>
      <c r="K21" s="70">
        <v>1410.14</v>
      </c>
      <c r="L21" s="69">
        <v>14102.06</v>
      </c>
      <c r="M21" s="65">
        <v>3</v>
      </c>
      <c r="N21" s="293">
        <f t="shared" si="2"/>
        <v>12</v>
      </c>
      <c r="O21" s="399">
        <f t="shared" si="3"/>
        <v>4</v>
      </c>
      <c r="P21" s="614"/>
      <c r="R21" s="392"/>
      <c r="S21" s="391"/>
      <c r="T21" s="391"/>
      <c r="U21" s="391"/>
      <c r="V21" s="391"/>
      <c r="W21" s="391"/>
      <c r="X21" s="391"/>
      <c r="Y21" s="391"/>
      <c r="Z21" s="389"/>
    </row>
    <row r="22" spans="1:26" ht="17.850000000000001" customHeight="1" x14ac:dyDescent="0.25">
      <c r="A22" s="543" t="s">
        <v>82</v>
      </c>
      <c r="B22" s="545" t="s">
        <v>141</v>
      </c>
      <c r="C22" s="545" t="s">
        <v>92</v>
      </c>
      <c r="D22" s="545" t="s">
        <v>85</v>
      </c>
      <c r="E22" s="545" t="s">
        <v>86</v>
      </c>
      <c r="F22" s="545" t="s">
        <v>87</v>
      </c>
      <c r="G22" s="545" t="s">
        <v>87</v>
      </c>
      <c r="H22" s="545" t="s">
        <v>142</v>
      </c>
      <c r="I22" s="65" t="s">
        <v>89</v>
      </c>
      <c r="J22" s="67">
        <f t="shared" si="0"/>
        <v>5.489357917979068E-2</v>
      </c>
      <c r="K22" s="70">
        <v>2580.25</v>
      </c>
      <c r="L22" s="69">
        <v>25803.78</v>
      </c>
      <c r="M22" s="65">
        <v>3</v>
      </c>
      <c r="N22" s="293">
        <f>O22*K22*M22/1000</f>
        <v>77.407499999999999</v>
      </c>
      <c r="O22" s="398">
        <v>10</v>
      </c>
      <c r="P22" s="614"/>
      <c r="R22" s="393"/>
      <c r="S22" s="394"/>
      <c r="T22" s="394"/>
      <c r="U22" s="394"/>
      <c r="V22" s="394"/>
      <c r="W22" s="394"/>
      <c r="X22" s="394"/>
      <c r="Y22" s="394"/>
      <c r="Z22" s="390"/>
    </row>
    <row r="23" spans="1:26" ht="17.850000000000001" customHeight="1" x14ac:dyDescent="0.25">
      <c r="A23" s="543" t="s">
        <v>82</v>
      </c>
      <c r="B23" s="545" t="s">
        <v>143</v>
      </c>
      <c r="C23" s="545" t="s">
        <v>144</v>
      </c>
      <c r="D23" s="545" t="s">
        <v>85</v>
      </c>
      <c r="E23" s="545" t="s">
        <v>86</v>
      </c>
      <c r="F23" s="545" t="s">
        <v>87</v>
      </c>
      <c r="G23" s="545" t="s">
        <v>87</v>
      </c>
      <c r="H23" s="545" t="s">
        <v>145</v>
      </c>
      <c r="I23" s="65" t="s">
        <v>89</v>
      </c>
      <c r="J23" s="67">
        <f t="shared" si="0"/>
        <v>3.8298390171285415E-3</v>
      </c>
      <c r="K23" s="70">
        <v>180.02</v>
      </c>
      <c r="L23" s="69">
        <v>1800.26</v>
      </c>
      <c r="M23" s="65">
        <v>3</v>
      </c>
      <c r="N23" s="293">
        <f>O23*K23*M23/1000</f>
        <v>5.4006000000000007</v>
      </c>
      <c r="O23" s="398">
        <v>10</v>
      </c>
      <c r="P23" s="614"/>
    </row>
    <row r="24" spans="1:26" ht="17.850000000000001" customHeight="1" x14ac:dyDescent="0.25">
      <c r="A24" s="543" t="s">
        <v>82</v>
      </c>
      <c r="B24" s="545" t="s">
        <v>146</v>
      </c>
      <c r="C24" s="294" t="s">
        <v>118</v>
      </c>
      <c r="D24" s="545" t="s">
        <v>119</v>
      </c>
      <c r="E24" s="545" t="s">
        <v>120</v>
      </c>
      <c r="F24" s="294">
        <v>3</v>
      </c>
      <c r="G24" s="294" t="s">
        <v>147</v>
      </c>
      <c r="H24" s="545" t="s">
        <v>148</v>
      </c>
      <c r="I24" s="65" t="s">
        <v>89</v>
      </c>
      <c r="J24" s="67">
        <f t="shared" si="0"/>
        <v>1.1489304306189692E-2</v>
      </c>
      <c r="K24" s="70">
        <v>540.04999999999995</v>
      </c>
      <c r="L24" s="69">
        <v>5400.79</v>
      </c>
      <c r="M24" s="65">
        <v>3</v>
      </c>
      <c r="N24" s="293">
        <f t="shared" ref="N24:N34" si="4">F24*O24</f>
        <v>6</v>
      </c>
      <c r="O24" s="399">
        <f t="shared" ref="O24:O34" si="5">MAX(2,1+IF(ISNUMBER(SEARCH("Studio",G24)),0,IF(ISNUMBER(SEARCH("3-Bed",G24)),3,IF(ISNUMBER(SEARCH("2-Bed",G24)),2,1))))</f>
        <v>2</v>
      </c>
      <c r="P24" s="614"/>
    </row>
    <row r="25" spans="1:26" ht="17.850000000000001" customHeight="1" x14ac:dyDescent="0.25">
      <c r="A25" s="543" t="s">
        <v>82</v>
      </c>
      <c r="B25" s="545" t="s">
        <v>149</v>
      </c>
      <c r="C25" s="294" t="s">
        <v>118</v>
      </c>
      <c r="D25" s="545" t="s">
        <v>119</v>
      </c>
      <c r="E25" s="545" t="s">
        <v>120</v>
      </c>
      <c r="F25" s="294">
        <v>3</v>
      </c>
      <c r="G25" s="545" t="s">
        <v>147</v>
      </c>
      <c r="H25" s="545" t="s">
        <v>150</v>
      </c>
      <c r="I25" s="65" t="s">
        <v>89</v>
      </c>
      <c r="J25" s="67">
        <f t="shared" si="0"/>
        <v>1.1489304306189692E-2</v>
      </c>
      <c r="K25" s="70">
        <v>540.04999999999995</v>
      </c>
      <c r="L25" s="69">
        <v>5400.79</v>
      </c>
      <c r="M25" s="65">
        <v>3</v>
      </c>
      <c r="N25" s="293">
        <f t="shared" si="4"/>
        <v>6</v>
      </c>
      <c r="O25" s="399">
        <f t="shared" si="5"/>
        <v>2</v>
      </c>
      <c r="P25" s="614"/>
    </row>
    <row r="26" spans="1:26" ht="17.850000000000001" customHeight="1" x14ac:dyDescent="0.25">
      <c r="A26" s="543" t="s">
        <v>82</v>
      </c>
      <c r="B26" s="545" t="s">
        <v>151</v>
      </c>
      <c r="C26" s="294" t="s">
        <v>118</v>
      </c>
      <c r="D26" s="545" t="s">
        <v>119</v>
      </c>
      <c r="E26" s="545" t="s">
        <v>120</v>
      </c>
      <c r="F26" s="294">
        <v>2</v>
      </c>
      <c r="G26" s="545" t="s">
        <v>121</v>
      </c>
      <c r="H26" s="545" t="s">
        <v>152</v>
      </c>
      <c r="I26" s="65" t="s">
        <v>89</v>
      </c>
      <c r="J26" s="67">
        <f t="shared" si="0"/>
        <v>1.021276221554549E-2</v>
      </c>
      <c r="K26" s="70">
        <v>1440.14</v>
      </c>
      <c r="L26" s="69">
        <v>14402.11</v>
      </c>
      <c r="M26" s="65">
        <v>1</v>
      </c>
      <c r="N26" s="293">
        <f t="shared" si="4"/>
        <v>4</v>
      </c>
      <c r="O26" s="399">
        <f t="shared" si="5"/>
        <v>2</v>
      </c>
      <c r="P26" s="614"/>
    </row>
    <row r="27" spans="1:26" ht="17.850000000000001" customHeight="1" x14ac:dyDescent="0.25">
      <c r="A27" s="543" t="s">
        <v>82</v>
      </c>
      <c r="B27" s="545" t="s">
        <v>153</v>
      </c>
      <c r="C27" s="294" t="s">
        <v>118</v>
      </c>
      <c r="D27" s="545" t="s">
        <v>119</v>
      </c>
      <c r="E27" s="545" t="s">
        <v>120</v>
      </c>
      <c r="F27" s="294">
        <v>1</v>
      </c>
      <c r="G27" s="545" t="s">
        <v>121</v>
      </c>
      <c r="H27" s="545" t="s">
        <v>154</v>
      </c>
      <c r="I27" s="65" t="s">
        <v>89</v>
      </c>
      <c r="J27" s="67">
        <f t="shared" si="0"/>
        <v>5.1063811077727448E-3</v>
      </c>
      <c r="K27" s="70">
        <v>720.07</v>
      </c>
      <c r="L27" s="69">
        <v>7201.05</v>
      </c>
      <c r="M27" s="65">
        <v>1</v>
      </c>
      <c r="N27" s="293">
        <f t="shared" si="4"/>
        <v>2</v>
      </c>
      <c r="O27" s="399">
        <f t="shared" si="5"/>
        <v>2</v>
      </c>
      <c r="P27" s="614"/>
    </row>
    <row r="28" spans="1:26" ht="17.850000000000001" customHeight="1" x14ac:dyDescent="0.25">
      <c r="A28" s="543" t="s">
        <v>82</v>
      </c>
      <c r="B28" s="545" t="s">
        <v>155</v>
      </c>
      <c r="C28" s="294" t="s">
        <v>118</v>
      </c>
      <c r="D28" s="545" t="s">
        <v>119</v>
      </c>
      <c r="E28" s="545" t="s">
        <v>120</v>
      </c>
      <c r="F28" s="294">
        <v>2</v>
      </c>
      <c r="G28" s="545" t="s">
        <v>121</v>
      </c>
      <c r="H28" s="545" t="s">
        <v>156</v>
      </c>
      <c r="I28" s="65" t="s">
        <v>89</v>
      </c>
      <c r="J28" s="67">
        <f t="shared" si="0"/>
        <v>1.021276221554549E-2</v>
      </c>
      <c r="K28" s="70">
        <v>1440.14</v>
      </c>
      <c r="L28" s="69">
        <v>14402.11</v>
      </c>
      <c r="M28" s="65">
        <v>1</v>
      </c>
      <c r="N28" s="293">
        <f t="shared" si="4"/>
        <v>4</v>
      </c>
      <c r="O28" s="399">
        <f t="shared" si="5"/>
        <v>2</v>
      </c>
      <c r="P28" s="614"/>
    </row>
    <row r="29" spans="1:26" customFormat="1" ht="17.850000000000001" customHeight="1" x14ac:dyDescent="0.3">
      <c r="A29" s="543" t="s">
        <v>82</v>
      </c>
      <c r="B29" s="179" t="s">
        <v>157</v>
      </c>
      <c r="C29" s="294" t="s">
        <v>118</v>
      </c>
      <c r="D29" s="545" t="s">
        <v>119</v>
      </c>
      <c r="E29" s="545" t="s">
        <v>120</v>
      </c>
      <c r="F29" s="294">
        <v>5</v>
      </c>
      <c r="G29" s="545" t="s">
        <v>121</v>
      </c>
      <c r="H29" s="545" t="s">
        <v>158</v>
      </c>
      <c r="I29" s="65" t="s">
        <v>89</v>
      </c>
      <c r="J29" s="67">
        <f t="shared" si="0"/>
        <v>2.6382957237648295E-2</v>
      </c>
      <c r="K29" s="17">
        <v>3720.36</v>
      </c>
      <c r="L29" s="69">
        <v>37205.449999999997</v>
      </c>
      <c r="M29" s="65">
        <v>1</v>
      </c>
      <c r="N29" s="293">
        <f t="shared" si="4"/>
        <v>10</v>
      </c>
      <c r="O29" s="399">
        <f t="shared" si="5"/>
        <v>2</v>
      </c>
      <c r="P29" s="614"/>
    </row>
    <row r="30" spans="1:26" ht="17.850000000000001" customHeight="1" x14ac:dyDescent="0.25">
      <c r="A30" s="543" t="s">
        <v>82</v>
      </c>
      <c r="B30" s="179" t="s">
        <v>159</v>
      </c>
      <c r="C30" s="294" t="s">
        <v>118</v>
      </c>
      <c r="D30" s="545" t="s">
        <v>119</v>
      </c>
      <c r="E30" s="545" t="s">
        <v>120</v>
      </c>
      <c r="F30" s="294">
        <v>2</v>
      </c>
      <c r="G30" s="545" t="s">
        <v>130</v>
      </c>
      <c r="H30" s="545" t="s">
        <v>160</v>
      </c>
      <c r="I30" s="65" t="s">
        <v>89</v>
      </c>
      <c r="J30" s="67">
        <f t="shared" si="0"/>
        <v>1.5319143323318234E-2</v>
      </c>
      <c r="K30" s="17">
        <v>2160.21</v>
      </c>
      <c r="L30" s="69">
        <v>21603.16</v>
      </c>
      <c r="M30" s="65">
        <v>1</v>
      </c>
      <c r="N30" s="293">
        <f t="shared" si="4"/>
        <v>6</v>
      </c>
      <c r="O30" s="399">
        <f t="shared" si="5"/>
        <v>3</v>
      </c>
      <c r="P30" s="614"/>
    </row>
    <row r="31" spans="1:26" ht="17.850000000000001" customHeight="1" x14ac:dyDescent="0.25">
      <c r="A31" s="543" t="s">
        <v>82</v>
      </c>
      <c r="B31" s="179" t="s">
        <v>161</v>
      </c>
      <c r="C31" s="294" t="s">
        <v>118</v>
      </c>
      <c r="D31" s="545" t="s">
        <v>119</v>
      </c>
      <c r="E31" s="545" t="s">
        <v>120</v>
      </c>
      <c r="F31" s="294">
        <v>3</v>
      </c>
      <c r="G31" s="545" t="s">
        <v>130</v>
      </c>
      <c r="H31" s="545" t="s">
        <v>162</v>
      </c>
      <c r="I31" s="65" t="s">
        <v>89</v>
      </c>
      <c r="J31" s="67">
        <f t="shared" si="0"/>
        <v>2.2978750442510007E-2</v>
      </c>
      <c r="K31" s="17">
        <v>3240.32</v>
      </c>
      <c r="L31" s="69">
        <v>32404.74</v>
      </c>
      <c r="M31" s="65">
        <v>1</v>
      </c>
      <c r="N31" s="293">
        <f t="shared" si="4"/>
        <v>9</v>
      </c>
      <c r="O31" s="399">
        <f t="shared" si="5"/>
        <v>3</v>
      </c>
      <c r="P31" s="614"/>
    </row>
    <row r="32" spans="1:26" ht="17.850000000000001" customHeight="1" x14ac:dyDescent="0.25">
      <c r="A32" s="543" t="s">
        <v>82</v>
      </c>
      <c r="B32" s="179" t="s">
        <v>163</v>
      </c>
      <c r="C32" s="294" t="s">
        <v>118</v>
      </c>
      <c r="D32" s="545" t="s">
        <v>119</v>
      </c>
      <c r="E32" s="545" t="s">
        <v>120</v>
      </c>
      <c r="F32" s="294">
        <v>3</v>
      </c>
      <c r="G32" s="545" t="s">
        <v>130</v>
      </c>
      <c r="H32" s="545" t="s">
        <v>164</v>
      </c>
      <c r="I32" s="65" t="s">
        <v>89</v>
      </c>
      <c r="J32" s="67">
        <f t="shared" si="0"/>
        <v>2.2978750442510007E-2</v>
      </c>
      <c r="K32" s="17">
        <v>3240.32</v>
      </c>
      <c r="L32" s="69">
        <v>32404.74</v>
      </c>
      <c r="M32" s="65">
        <v>1</v>
      </c>
      <c r="N32" s="293">
        <f t="shared" si="4"/>
        <v>9</v>
      </c>
      <c r="O32" s="399">
        <f t="shared" si="5"/>
        <v>3</v>
      </c>
      <c r="P32" s="614"/>
    </row>
    <row r="33" spans="1:16" ht="17.850000000000001" customHeight="1" x14ac:dyDescent="0.25">
      <c r="A33" s="543" t="s">
        <v>82</v>
      </c>
      <c r="B33" s="179" t="s">
        <v>165</v>
      </c>
      <c r="C33" s="294" t="s">
        <v>118</v>
      </c>
      <c r="D33" s="545" t="s">
        <v>119</v>
      </c>
      <c r="E33" s="545" t="s">
        <v>120</v>
      </c>
      <c r="F33" s="294">
        <v>1</v>
      </c>
      <c r="G33" s="545" t="s">
        <v>137</v>
      </c>
      <c r="H33" s="545" t="s">
        <v>166</v>
      </c>
      <c r="I33" s="65" t="s">
        <v>89</v>
      </c>
      <c r="J33" s="67">
        <f t="shared" si="0"/>
        <v>1.0000017019615674E-2</v>
      </c>
      <c r="K33" s="17">
        <v>1410.14</v>
      </c>
      <c r="L33" s="69">
        <v>14102.06</v>
      </c>
      <c r="M33" s="65">
        <v>1</v>
      </c>
      <c r="N33" s="293">
        <f t="shared" si="4"/>
        <v>4</v>
      </c>
      <c r="O33" s="399">
        <f t="shared" si="5"/>
        <v>4</v>
      </c>
      <c r="P33" s="614"/>
    </row>
    <row r="34" spans="1:16" ht="17.850000000000001" customHeight="1" x14ac:dyDescent="0.25">
      <c r="A34" s="543" t="s">
        <v>82</v>
      </c>
      <c r="B34" s="179" t="s">
        <v>167</v>
      </c>
      <c r="C34" s="294" t="s">
        <v>118</v>
      </c>
      <c r="D34" s="545" t="s">
        <v>119</v>
      </c>
      <c r="E34" s="545" t="s">
        <v>120</v>
      </c>
      <c r="F34" s="294">
        <v>1</v>
      </c>
      <c r="G34" s="545" t="s">
        <v>137</v>
      </c>
      <c r="H34" s="545" t="s">
        <v>168</v>
      </c>
      <c r="I34" s="65" t="s">
        <v>89</v>
      </c>
      <c r="J34" s="67">
        <f t="shared" si="0"/>
        <v>1.0000017019615674E-2</v>
      </c>
      <c r="K34" s="17">
        <v>1410.14</v>
      </c>
      <c r="L34" s="69">
        <v>14102.06</v>
      </c>
      <c r="M34" s="65">
        <v>1</v>
      </c>
      <c r="N34" s="293">
        <f t="shared" si="4"/>
        <v>4</v>
      </c>
      <c r="O34" s="399">
        <f t="shared" si="5"/>
        <v>4</v>
      </c>
      <c r="P34" s="614"/>
    </row>
    <row r="35" spans="1:16" ht="17.850000000000001" customHeight="1" x14ac:dyDescent="0.25">
      <c r="A35" s="543" t="s">
        <v>82</v>
      </c>
      <c r="B35" s="179" t="s">
        <v>169</v>
      </c>
      <c r="C35" s="545" t="s">
        <v>92</v>
      </c>
      <c r="D35" s="545" t="s">
        <v>85</v>
      </c>
      <c r="E35" s="545" t="s">
        <v>86</v>
      </c>
      <c r="F35" s="545" t="s">
        <v>87</v>
      </c>
      <c r="G35" s="545" t="s">
        <v>87</v>
      </c>
      <c r="H35" s="545" t="s">
        <v>170</v>
      </c>
      <c r="I35" s="65" t="s">
        <v>89</v>
      </c>
      <c r="J35" s="67">
        <f t="shared" si="0"/>
        <v>1.8297859726596893E-2</v>
      </c>
      <c r="K35" s="17">
        <v>2580.25</v>
      </c>
      <c r="L35" s="69">
        <v>25803.78</v>
      </c>
      <c r="M35" s="65">
        <v>1</v>
      </c>
      <c r="N35" s="293">
        <f>O35*K35*M35/1000</f>
        <v>25.802499999999998</v>
      </c>
      <c r="O35" s="398">
        <v>10</v>
      </c>
      <c r="P35" s="614"/>
    </row>
    <row r="36" spans="1:16" ht="17.850000000000001" customHeight="1" x14ac:dyDescent="0.25">
      <c r="A36" s="543" t="s">
        <v>82</v>
      </c>
      <c r="B36" s="179" t="s">
        <v>171</v>
      </c>
      <c r="C36" s="179" t="s">
        <v>144</v>
      </c>
      <c r="D36" s="545" t="s">
        <v>85</v>
      </c>
      <c r="E36" s="545" t="s">
        <v>86</v>
      </c>
      <c r="F36" s="545" t="s">
        <v>87</v>
      </c>
      <c r="G36" s="545" t="s">
        <v>87</v>
      </c>
      <c r="H36" s="545" t="s">
        <v>172</v>
      </c>
      <c r="I36" s="65" t="s">
        <v>89</v>
      </c>
      <c r="J36" s="67">
        <f t="shared" si="0"/>
        <v>1.2766130057095138E-3</v>
      </c>
      <c r="K36" s="17">
        <v>180.02</v>
      </c>
      <c r="L36" s="69">
        <v>1800.26</v>
      </c>
      <c r="M36" s="65">
        <v>1</v>
      </c>
      <c r="N36" s="293">
        <f>O36*K36*M36/1000</f>
        <v>1.8002</v>
      </c>
      <c r="O36" s="398">
        <v>10</v>
      </c>
      <c r="P36" s="614"/>
    </row>
    <row r="37" spans="1:16" ht="17.850000000000001" customHeight="1" x14ac:dyDescent="0.25">
      <c r="A37" s="543" t="s">
        <v>82</v>
      </c>
      <c r="B37" s="179" t="s">
        <v>173</v>
      </c>
      <c r="C37" s="294" t="s">
        <v>118</v>
      </c>
      <c r="D37" s="545" t="s">
        <v>119</v>
      </c>
      <c r="E37" s="545" t="s">
        <v>120</v>
      </c>
      <c r="F37" s="294">
        <v>1</v>
      </c>
      <c r="G37" s="545" t="s">
        <v>147</v>
      </c>
      <c r="H37" s="545" t="s">
        <v>174</v>
      </c>
      <c r="I37" s="65" t="s">
        <v>89</v>
      </c>
      <c r="J37" s="67">
        <f t="shared" si="0"/>
        <v>3.8297681020632306E-3</v>
      </c>
      <c r="K37" s="17">
        <v>540.04999999999995</v>
      </c>
      <c r="L37" s="69">
        <v>5400.79</v>
      </c>
      <c r="M37" s="65">
        <v>1</v>
      </c>
      <c r="N37" s="293">
        <f>F37*O37</f>
        <v>2</v>
      </c>
      <c r="O37" s="399">
        <f>MAX(2,1+IF(ISNUMBER(SEARCH("Studio",G37)),0,IF(ISNUMBER(SEARCH("3-Bed",G37)),3,IF(ISNUMBER(SEARCH("2-Bed",G37)),2,1))))</f>
        <v>2</v>
      </c>
      <c r="P37" s="614"/>
    </row>
    <row r="38" spans="1:16" ht="17.850000000000001" customHeight="1" x14ac:dyDescent="0.25">
      <c r="A38" s="543" t="s">
        <v>82</v>
      </c>
      <c r="B38" s="179" t="s">
        <v>175</v>
      </c>
      <c r="C38" s="294" t="s">
        <v>118</v>
      </c>
      <c r="D38" s="545" t="s">
        <v>119</v>
      </c>
      <c r="E38" s="545" t="s">
        <v>120</v>
      </c>
      <c r="F38" s="294">
        <v>1</v>
      </c>
      <c r="G38" s="545" t="s">
        <v>147</v>
      </c>
      <c r="H38" s="545" t="s">
        <v>176</v>
      </c>
      <c r="I38" s="65" t="s">
        <v>89</v>
      </c>
      <c r="J38" s="67">
        <f t="shared" si="0"/>
        <v>3.8297681020632306E-3</v>
      </c>
      <c r="K38" s="17">
        <v>540.04999999999995</v>
      </c>
      <c r="L38" s="69">
        <v>5400.79</v>
      </c>
      <c r="M38" s="65">
        <v>1</v>
      </c>
      <c r="N38" s="293">
        <f>F38*O38</f>
        <v>2</v>
      </c>
      <c r="O38" s="399">
        <f>MAX(2,1+IF(ISNUMBER(SEARCH("Studio",G38)),0,IF(ISNUMBER(SEARCH("3-Bed",G38)),3,IF(ISNUMBER(SEARCH("2-Bed",G38)),2,1))))</f>
        <v>2</v>
      </c>
      <c r="P38" s="614"/>
    </row>
    <row r="39" spans="1:16" ht="17.850000000000001" customHeight="1" x14ac:dyDescent="0.25">
      <c r="A39" s="543" t="s">
        <v>82</v>
      </c>
      <c r="B39" s="179" t="s">
        <v>177</v>
      </c>
      <c r="C39" s="179" t="s">
        <v>178</v>
      </c>
      <c r="D39" s="545" t="s">
        <v>85</v>
      </c>
      <c r="E39" s="545" t="s">
        <v>86</v>
      </c>
      <c r="F39" s="545" t="s">
        <v>87</v>
      </c>
      <c r="G39" s="545" t="s">
        <v>87</v>
      </c>
      <c r="H39" s="179" t="s">
        <v>179</v>
      </c>
      <c r="I39" s="17" t="s">
        <v>180</v>
      </c>
      <c r="J39" s="67">
        <f t="shared" si="0"/>
        <v>0.19787232111249284</v>
      </c>
      <c r="K39" s="17">
        <v>27902.720000000001</v>
      </c>
      <c r="L39" s="69">
        <v>390657.19</v>
      </c>
      <c r="M39" s="65">
        <v>1</v>
      </c>
      <c r="N39" s="293">
        <f>O39*K39*M39/1000</f>
        <v>0</v>
      </c>
      <c r="O39" s="400">
        <v>0</v>
      </c>
      <c r="P39" s="615"/>
    </row>
    <row r="40" spans="1:16" ht="50.25" customHeight="1" x14ac:dyDescent="0.25">
      <c r="A40" s="543" t="s">
        <v>181</v>
      </c>
      <c r="B40" s="179" t="s">
        <v>182</v>
      </c>
      <c r="C40" s="179" t="s">
        <v>183</v>
      </c>
      <c r="D40" s="310"/>
      <c r="E40" s="310"/>
      <c r="F40" s="295" t="s">
        <v>184</v>
      </c>
      <c r="G40" s="179" t="s">
        <v>185</v>
      </c>
      <c r="H40" s="310" t="s">
        <v>186</v>
      </c>
      <c r="I40" s="19" t="s">
        <v>187</v>
      </c>
      <c r="J40" s="68">
        <f>SUM(J3:J39)</f>
        <v>0.99999999999999989</v>
      </c>
      <c r="K40" s="18">
        <f>SUMPRODUCT(K3:K39,M3:M39)</f>
        <v>141013.76000000001</v>
      </c>
      <c r="L40" s="17">
        <f>SUM(L3:L39)</f>
        <v>1069356.5100000002</v>
      </c>
      <c r="M40" s="311"/>
      <c r="N40" s="18">
        <f>SUM(N3:N39)</f>
        <v>763.98495680000065</v>
      </c>
      <c r="O40" s="401"/>
      <c r="P40" s="396"/>
    </row>
    <row r="41" spans="1:16" x14ac:dyDescent="0.25">
      <c r="K41" s="21"/>
      <c r="L41" s="21"/>
      <c r="M41" s="21"/>
      <c r="N41" s="21"/>
      <c r="O41" s="22"/>
      <c r="P41" s="22"/>
    </row>
    <row r="42" spans="1:16" x14ac:dyDescent="0.25">
      <c r="K42" s="21"/>
      <c r="L42" s="21"/>
      <c r="M42" s="21"/>
      <c r="N42" s="21"/>
      <c r="O42" s="22"/>
      <c r="P42" s="22"/>
    </row>
    <row r="43" spans="1:16" x14ac:dyDescent="0.25">
      <c r="K43" s="21"/>
      <c r="L43" s="21"/>
      <c r="M43" s="21"/>
      <c r="N43" s="21"/>
      <c r="O43" s="22"/>
      <c r="P43" s="22"/>
    </row>
    <row r="44" spans="1:16" x14ac:dyDescent="0.25">
      <c r="K44" s="21"/>
      <c r="L44" s="21"/>
      <c r="M44" s="21"/>
      <c r="N44" s="21"/>
      <c r="O44" s="22"/>
      <c r="P44" s="22"/>
    </row>
    <row r="45" spans="1:16" x14ac:dyDescent="0.25">
      <c r="K45" s="21"/>
      <c r="L45" s="21"/>
      <c r="M45" s="21"/>
      <c r="N45" s="21"/>
      <c r="O45" s="22"/>
      <c r="P45" s="22"/>
    </row>
    <row r="46" spans="1:16" x14ac:dyDescent="0.25">
      <c r="K46" s="21"/>
      <c r="L46" s="21"/>
      <c r="M46" s="21"/>
      <c r="N46" s="21"/>
      <c r="O46" s="22"/>
      <c r="P46" s="22"/>
    </row>
    <row r="47" spans="1:16" x14ac:dyDescent="0.25">
      <c r="K47" s="21"/>
      <c r="L47" s="21"/>
      <c r="M47" s="21"/>
      <c r="N47" s="21"/>
      <c r="O47" s="22"/>
      <c r="P47" s="22"/>
    </row>
    <row r="48" spans="1:16" x14ac:dyDescent="0.25">
      <c r="K48" s="21"/>
      <c r="L48" s="21"/>
      <c r="M48" s="21"/>
      <c r="N48" s="21"/>
      <c r="O48" s="22"/>
      <c r="P48" s="22"/>
    </row>
    <row r="49" spans="2:11" x14ac:dyDescent="0.25">
      <c r="B49" s="20"/>
      <c r="C49" s="20"/>
      <c r="D49" s="20"/>
      <c r="E49" s="20"/>
      <c r="F49" s="20"/>
      <c r="G49" s="20"/>
      <c r="H49" s="20"/>
      <c r="I49" s="20"/>
      <c r="J49" s="20"/>
    </row>
    <row r="55" spans="2:11" ht="14.4" x14ac:dyDescent="0.3">
      <c r="C55"/>
      <c r="D55"/>
      <c r="E55"/>
      <c r="F55"/>
      <c r="G55"/>
      <c r="H55"/>
      <c r="I55"/>
      <c r="J55"/>
      <c r="K55"/>
    </row>
    <row r="56" spans="2:11" ht="14.4" x14ac:dyDescent="0.3">
      <c r="C56"/>
      <c r="D56"/>
      <c r="E56"/>
      <c r="F56"/>
      <c r="G56"/>
      <c r="H56"/>
      <c r="I56"/>
      <c r="J56"/>
      <c r="K56"/>
    </row>
    <row r="57" spans="2:11" ht="14.4" x14ac:dyDescent="0.3">
      <c r="C57"/>
      <c r="D57"/>
      <c r="E57"/>
      <c r="F57"/>
      <c r="G57"/>
      <c r="H57"/>
      <c r="I57"/>
      <c r="J57"/>
      <c r="K57"/>
    </row>
    <row r="58" spans="2:11" ht="14.4" x14ac:dyDescent="0.3">
      <c r="C58"/>
      <c r="D58"/>
      <c r="E58"/>
      <c r="F58"/>
      <c r="G58"/>
      <c r="H58"/>
      <c r="I58"/>
      <c r="J58"/>
      <c r="K58"/>
    </row>
    <row r="59" spans="2:11" customFormat="1" ht="14.4" x14ac:dyDescent="0.3"/>
    <row r="60" spans="2:11" customFormat="1" ht="14.4" x14ac:dyDescent="0.3"/>
    <row r="61" spans="2:11" customFormat="1" ht="14.4" x14ac:dyDescent="0.3"/>
    <row r="62" spans="2:11" customFormat="1" ht="14.4" x14ac:dyDescent="0.3"/>
    <row r="63" spans="2:11" customFormat="1" ht="14.4" x14ac:dyDescent="0.3"/>
    <row r="64" spans="2:11" customFormat="1" ht="14.4" x14ac:dyDescent="0.3"/>
    <row r="65" customFormat="1" ht="14.4" x14ac:dyDescent="0.3"/>
    <row r="66" customFormat="1" ht="14.4" x14ac:dyDescent="0.3"/>
    <row r="67" customFormat="1" ht="14.4" x14ac:dyDescent="0.3"/>
    <row r="68" customFormat="1" ht="14.4" x14ac:dyDescent="0.3"/>
    <row r="69" customFormat="1" ht="14.4" x14ac:dyDescent="0.3"/>
    <row r="70" customFormat="1" ht="14.4" x14ac:dyDescent="0.3"/>
    <row r="71" customFormat="1" ht="14.4" x14ac:dyDescent="0.3"/>
    <row r="72" customFormat="1" ht="14.4" x14ac:dyDescent="0.3"/>
    <row r="73" customFormat="1" ht="14.4" x14ac:dyDescent="0.3"/>
    <row r="74" customFormat="1" ht="14.4" x14ac:dyDescent="0.3"/>
    <row r="75" customFormat="1" ht="14.4" x14ac:dyDescent="0.3"/>
    <row r="76" customFormat="1" ht="14.4" x14ac:dyDescent="0.3"/>
    <row r="77" customFormat="1" ht="14.4" x14ac:dyDescent="0.3"/>
    <row r="78" customFormat="1" ht="14.4" x14ac:dyDescent="0.3"/>
    <row r="79" customFormat="1" ht="14.4" x14ac:dyDescent="0.3"/>
    <row r="80" customFormat="1" ht="14.4" x14ac:dyDescent="0.3"/>
    <row r="81" customFormat="1" ht="14.4" x14ac:dyDescent="0.3"/>
    <row r="82" customFormat="1" ht="14.4" x14ac:dyDescent="0.3"/>
    <row r="83" customFormat="1" ht="14.4" x14ac:dyDescent="0.3"/>
    <row r="84" customFormat="1" ht="14.4" x14ac:dyDescent="0.3"/>
    <row r="85" customFormat="1" ht="14.4" x14ac:dyDescent="0.3"/>
    <row r="86" customFormat="1" ht="14.4" x14ac:dyDescent="0.3"/>
    <row r="87" customFormat="1" ht="14.4" x14ac:dyDescent="0.3"/>
    <row r="88" customFormat="1" ht="14.4" x14ac:dyDescent="0.3"/>
    <row r="89" customFormat="1" ht="14.4" x14ac:dyDescent="0.3"/>
    <row r="90" customFormat="1" ht="14.4" x14ac:dyDescent="0.3"/>
    <row r="91" customFormat="1" ht="14.4" x14ac:dyDescent="0.3"/>
    <row r="92" customFormat="1" ht="14.4" x14ac:dyDescent="0.3"/>
    <row r="93" customFormat="1" ht="14.4" x14ac:dyDescent="0.3"/>
    <row r="94" customFormat="1" ht="14.4" x14ac:dyDescent="0.3"/>
    <row r="95" customFormat="1" ht="14.4" x14ac:dyDescent="0.3"/>
    <row r="96" customFormat="1" ht="14.4" x14ac:dyDescent="0.3"/>
    <row r="97" customFormat="1" ht="14.4" x14ac:dyDescent="0.3"/>
    <row r="98" customFormat="1" ht="14.4" x14ac:dyDescent="0.3"/>
    <row r="99" customFormat="1" ht="14.4" x14ac:dyDescent="0.3"/>
    <row r="100" customFormat="1" ht="14.4" x14ac:dyDescent="0.3"/>
    <row r="101" customFormat="1" ht="14.4" x14ac:dyDescent="0.3"/>
    <row r="102" customFormat="1" ht="14.4" x14ac:dyDescent="0.3"/>
    <row r="103" customFormat="1" ht="14.4" x14ac:dyDescent="0.3"/>
    <row r="104" customFormat="1" ht="14.4" x14ac:dyDescent="0.3"/>
    <row r="105" customFormat="1" ht="14.4" x14ac:dyDescent="0.3"/>
    <row r="106" customFormat="1" ht="14.4" x14ac:dyDescent="0.3"/>
    <row r="107" customFormat="1" ht="14.4" x14ac:dyDescent="0.3"/>
    <row r="108" customFormat="1" ht="14.4" x14ac:dyDescent="0.3"/>
    <row r="109" customFormat="1" ht="14.4" x14ac:dyDescent="0.3"/>
    <row r="110" customFormat="1" ht="14.4" x14ac:dyDescent="0.3"/>
    <row r="111" customFormat="1" ht="14.4" x14ac:dyDescent="0.3"/>
    <row r="112" customFormat="1" ht="14.4" x14ac:dyDescent="0.3"/>
    <row r="113" customFormat="1" ht="14.4" x14ac:dyDescent="0.3"/>
    <row r="114" customFormat="1" ht="14.4" x14ac:dyDescent="0.3"/>
    <row r="115" customFormat="1" ht="14.4" x14ac:dyDescent="0.3"/>
    <row r="116" customFormat="1" ht="14.4" x14ac:dyDescent="0.3"/>
    <row r="117" customFormat="1" ht="14.4" x14ac:dyDescent="0.3"/>
    <row r="118" customFormat="1" ht="14.4" x14ac:dyDescent="0.3"/>
    <row r="119" customFormat="1" ht="14.4" x14ac:dyDescent="0.3"/>
    <row r="120" customFormat="1" ht="14.4" x14ac:dyDescent="0.3"/>
    <row r="121" customFormat="1" ht="14.4" x14ac:dyDescent="0.3"/>
    <row r="122" customFormat="1" ht="14.4" x14ac:dyDescent="0.3"/>
    <row r="123" customFormat="1" ht="14.4" x14ac:dyDescent="0.3"/>
    <row r="124" customFormat="1" ht="14.4" x14ac:dyDescent="0.3"/>
    <row r="125" customFormat="1" ht="14.4" x14ac:dyDescent="0.3"/>
    <row r="126" customFormat="1" ht="14.4" x14ac:dyDescent="0.3"/>
    <row r="127" customFormat="1" ht="14.4" x14ac:dyDescent="0.3"/>
    <row r="128" customFormat="1" ht="14.4" x14ac:dyDescent="0.3"/>
    <row r="129" customFormat="1" ht="14.4" x14ac:dyDescent="0.3"/>
    <row r="130" customFormat="1" ht="14.4" x14ac:dyDescent="0.3"/>
    <row r="131" customFormat="1" ht="14.4" x14ac:dyDescent="0.3"/>
    <row r="132" customFormat="1" ht="14.4" x14ac:dyDescent="0.3"/>
    <row r="133" customFormat="1" ht="14.4" x14ac:dyDescent="0.3"/>
    <row r="134" customFormat="1" ht="14.4" x14ac:dyDescent="0.3"/>
    <row r="135" customFormat="1" ht="14.4" x14ac:dyDescent="0.3"/>
    <row r="136" customFormat="1" ht="14.4" x14ac:dyDescent="0.3"/>
    <row r="137" customFormat="1" ht="14.4" x14ac:dyDescent="0.3"/>
    <row r="138" customFormat="1" ht="14.4" x14ac:dyDescent="0.3"/>
    <row r="139" customFormat="1" ht="14.4" x14ac:dyDescent="0.3"/>
    <row r="140" customFormat="1" ht="14.4" x14ac:dyDescent="0.3"/>
    <row r="141" customFormat="1" ht="14.4" x14ac:dyDescent="0.3"/>
    <row r="142" customFormat="1" ht="14.4" x14ac:dyDescent="0.3"/>
    <row r="143" customFormat="1" ht="14.4" x14ac:dyDescent="0.3"/>
    <row r="144" customFormat="1" ht="14.4" x14ac:dyDescent="0.3"/>
    <row r="145" customFormat="1" ht="14.4" x14ac:dyDescent="0.3"/>
    <row r="146" customFormat="1" ht="14.4" x14ac:dyDescent="0.3"/>
    <row r="147" customFormat="1" ht="14.4" x14ac:dyDescent="0.3"/>
    <row r="148" customFormat="1" ht="14.4" x14ac:dyDescent="0.3"/>
    <row r="149" customFormat="1" ht="14.4" x14ac:dyDescent="0.3"/>
    <row r="150" customFormat="1" ht="14.4" x14ac:dyDescent="0.3"/>
    <row r="151" customFormat="1" ht="14.4" x14ac:dyDescent="0.3"/>
    <row r="152" customFormat="1" ht="14.4" x14ac:dyDescent="0.3"/>
    <row r="153" customFormat="1" ht="14.4" x14ac:dyDescent="0.3"/>
    <row r="154" customFormat="1" ht="14.4" x14ac:dyDescent="0.3"/>
    <row r="155" customFormat="1" ht="14.4" x14ac:dyDescent="0.3"/>
    <row r="156" customFormat="1" ht="14.4" x14ac:dyDescent="0.3"/>
    <row r="157" customFormat="1" ht="14.4" x14ac:dyDescent="0.3"/>
    <row r="158" customFormat="1" ht="14.4" x14ac:dyDescent="0.3"/>
    <row r="159" customFormat="1" ht="14.4" x14ac:dyDescent="0.3"/>
    <row r="160" customFormat="1" ht="14.4" x14ac:dyDescent="0.3"/>
    <row r="161" customFormat="1" ht="14.4" x14ac:dyDescent="0.3"/>
    <row r="162" customFormat="1" ht="14.4" x14ac:dyDescent="0.3"/>
    <row r="163" customFormat="1" ht="14.4" x14ac:dyDescent="0.3"/>
    <row r="164" customFormat="1" ht="14.4" x14ac:dyDescent="0.3"/>
    <row r="165" customFormat="1" ht="14.4" x14ac:dyDescent="0.3"/>
    <row r="166" customFormat="1" ht="14.4" x14ac:dyDescent="0.3"/>
    <row r="167" customFormat="1" ht="14.4" x14ac:dyDescent="0.3"/>
    <row r="168" customFormat="1" ht="14.4" x14ac:dyDescent="0.3"/>
    <row r="169" customFormat="1" ht="14.4" x14ac:dyDescent="0.3"/>
    <row r="170" customFormat="1" ht="14.4" x14ac:dyDescent="0.3"/>
  </sheetData>
  <autoFilter ref="A2:ATI40" xr:uid="{CAAEFA7E-5301-47EF-897F-A5F351FF4E73}"/>
  <mergeCells count="2">
    <mergeCell ref="P3:P39"/>
    <mergeCell ref="A1:O1"/>
  </mergeCells>
  <phoneticPr fontId="5" type="noConversion"/>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C7793A55-DBAB-44CE-A6FE-B4281E53FAF8}">
          <x14:formula1>
            <xm:f>Data!$A$2:$A$200</xm:f>
          </x14:formula1>
          <xm:sqref>C3:C39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093AA-CE58-48DD-B4C9-82527CB4498E}">
  <sheetPr codeName="Sheet2"/>
  <dimension ref="A1:AU212"/>
  <sheetViews>
    <sheetView topLeftCell="C1" zoomScale="90" zoomScaleNormal="90" workbookViewId="0">
      <selection sqref="A1:X1"/>
    </sheetView>
  </sheetViews>
  <sheetFormatPr defaultColWidth="9.33203125" defaultRowHeight="13.8" x14ac:dyDescent="0.25"/>
  <cols>
    <col min="1" max="1" width="25.5546875" style="56" customWidth="1"/>
    <col min="2" max="2" width="17.6640625" style="58" bestFit="1" customWidth="1"/>
    <col min="3" max="3" width="36.44140625" style="56" customWidth="1"/>
    <col min="4" max="4" width="73.88671875" style="56" customWidth="1"/>
    <col min="5" max="5" width="23.33203125" style="56" customWidth="1"/>
    <col min="6" max="6" width="21.6640625" style="56" customWidth="1"/>
    <col min="7" max="7" width="32.5546875" style="59" customWidth="1"/>
    <col min="8" max="8" width="82.109375" style="59" customWidth="1"/>
    <col min="9" max="9" width="21" style="56" customWidth="1"/>
    <col min="10" max="10" width="12.109375" style="56" customWidth="1"/>
    <col min="11" max="11" width="14.109375" style="56" customWidth="1"/>
    <col min="12" max="12" width="7" style="56" customWidth="1"/>
    <col min="13" max="13" width="7.88671875" style="56" customWidth="1"/>
    <col min="14" max="14" width="8.6640625" style="56" customWidth="1"/>
    <col min="15" max="15" width="7" style="56" customWidth="1"/>
    <col min="16" max="16" width="10.6640625" style="56" customWidth="1"/>
    <col min="17" max="17" width="7.5546875" style="56" customWidth="1"/>
    <col min="18" max="21" width="7" style="56" customWidth="1"/>
    <col min="22" max="22" width="7.6640625" style="56" customWidth="1"/>
    <col min="23" max="24" width="7" style="56" customWidth="1"/>
    <col min="25" max="26" width="9.33203125" style="56"/>
    <col min="27" max="30" width="7.6640625" style="56" customWidth="1"/>
    <col min="31" max="31" width="9.6640625" style="56" customWidth="1"/>
    <col min="32" max="32" width="7.5546875" style="56" customWidth="1"/>
    <col min="33" max="33" width="11.44140625" style="56" customWidth="1"/>
    <col min="34" max="36" width="7.6640625" style="56" customWidth="1"/>
    <col min="37" max="37" width="13.6640625" style="56" customWidth="1"/>
    <col min="38" max="41" width="7.44140625" style="56" customWidth="1"/>
    <col min="42" max="43" width="9.6640625" style="56" bestFit="1" customWidth="1"/>
    <col min="44" max="16384" width="9.33203125" style="56"/>
  </cols>
  <sheetData>
    <row r="1" spans="1:47" ht="26.25" customHeight="1" x14ac:dyDescent="0.3">
      <c r="A1" s="599" t="str">
        <f>"Envelope - "&amp;Prototype!A2</f>
        <v xml:space="preserve">Envelope - ApartmentMidRise </v>
      </c>
      <c r="B1" s="600"/>
      <c r="C1" s="600"/>
      <c r="D1" s="600"/>
      <c r="E1" s="600"/>
      <c r="F1" s="600"/>
      <c r="G1" s="600"/>
      <c r="H1" s="600"/>
      <c r="I1" s="600"/>
      <c r="J1" s="600"/>
      <c r="K1" s="600"/>
      <c r="L1" s="600"/>
      <c r="M1" s="600"/>
      <c r="N1" s="600"/>
      <c r="O1" s="600"/>
      <c r="P1" s="600"/>
      <c r="Q1" s="600"/>
      <c r="R1" s="600"/>
      <c r="S1" s="600"/>
      <c r="T1" s="600"/>
      <c r="U1" s="600"/>
      <c r="V1" s="600"/>
      <c r="W1" s="600"/>
      <c r="X1" s="600"/>
      <c r="Y1"/>
      <c r="Z1" s="1"/>
      <c r="AA1" s="1"/>
      <c r="AB1" s="1"/>
      <c r="AC1" s="1"/>
      <c r="AD1" s="1"/>
      <c r="AE1" s="1"/>
      <c r="AF1" s="1"/>
      <c r="AG1" s="1"/>
      <c r="AH1" s="1"/>
      <c r="AI1" s="1"/>
      <c r="AJ1" s="1"/>
      <c r="AK1" s="1"/>
      <c r="AL1" s="1"/>
      <c r="AM1" s="1"/>
      <c r="AN1" s="1"/>
      <c r="AO1" s="1"/>
      <c r="AP1" s="1"/>
      <c r="AQ1" s="1"/>
      <c r="AR1" s="1"/>
      <c r="AS1" s="1"/>
      <c r="AT1" s="1"/>
      <c r="AU1" s="1"/>
    </row>
    <row r="2" spans="1:47" ht="30" customHeight="1" x14ac:dyDescent="0.25">
      <c r="A2" s="103" t="s">
        <v>189</v>
      </c>
      <c r="B2" s="103" t="s">
        <v>3</v>
      </c>
      <c r="C2" s="103" t="s">
        <v>190</v>
      </c>
      <c r="D2" s="103" t="s">
        <v>191</v>
      </c>
      <c r="E2" s="180" t="s">
        <v>192</v>
      </c>
      <c r="F2" s="103" t="s">
        <v>193</v>
      </c>
      <c r="G2" s="180" t="s">
        <v>194</v>
      </c>
      <c r="H2" s="103" t="s">
        <v>26</v>
      </c>
      <c r="I2" s="103" t="s">
        <v>195</v>
      </c>
      <c r="J2" s="103" t="s">
        <v>196</v>
      </c>
      <c r="K2" s="103" t="s">
        <v>197</v>
      </c>
      <c r="L2" s="103" t="s">
        <v>198</v>
      </c>
      <c r="M2" s="103" t="s">
        <v>199</v>
      </c>
      <c r="N2" s="103" t="s">
        <v>200</v>
      </c>
      <c r="O2" s="103" t="s">
        <v>201</v>
      </c>
      <c r="P2" s="103" t="s">
        <v>202</v>
      </c>
      <c r="Q2" s="103" t="s">
        <v>203</v>
      </c>
      <c r="R2" s="103" t="s">
        <v>204</v>
      </c>
      <c r="S2" s="103" t="s">
        <v>205</v>
      </c>
      <c r="T2" s="103" t="s">
        <v>206</v>
      </c>
      <c r="U2" s="103" t="s">
        <v>207</v>
      </c>
      <c r="V2" s="103" t="s">
        <v>208</v>
      </c>
      <c r="W2" s="103" t="s">
        <v>209</v>
      </c>
      <c r="X2" s="103" t="s">
        <v>210</v>
      </c>
      <c r="Y2" s="1"/>
      <c r="Z2" s="1"/>
      <c r="AA2" s="1"/>
      <c r="AB2" s="1"/>
      <c r="AC2" s="1"/>
      <c r="AD2" s="1"/>
      <c r="AE2" s="1"/>
      <c r="AF2" s="1"/>
      <c r="AG2" s="1"/>
      <c r="AH2" s="1"/>
      <c r="AI2" s="1"/>
      <c r="AJ2" s="1"/>
      <c r="AK2" s="1"/>
      <c r="AL2" s="1"/>
      <c r="AM2" s="1"/>
      <c r="AN2" s="1"/>
      <c r="AO2" s="1"/>
      <c r="AP2" s="1"/>
      <c r="AQ2" s="1"/>
      <c r="AR2" s="1"/>
      <c r="AS2" s="1"/>
      <c r="AT2" s="1"/>
      <c r="AU2" s="1"/>
    </row>
    <row r="3" spans="1:47" ht="62.25" customHeight="1" x14ac:dyDescent="0.25">
      <c r="A3" s="561" t="s">
        <v>211</v>
      </c>
      <c r="B3" s="562" t="str">
        <f>Prototype!$A$2</f>
        <v xml:space="preserve">ApartmentMidRise </v>
      </c>
      <c r="C3" s="563" t="s">
        <v>212</v>
      </c>
      <c r="D3" s="598" t="s">
        <v>213</v>
      </c>
      <c r="E3" s="562" t="s">
        <v>214</v>
      </c>
      <c r="F3" s="538" t="s">
        <v>215</v>
      </c>
      <c r="G3" s="538" t="s">
        <v>216</v>
      </c>
      <c r="H3" s="540" t="s">
        <v>217</v>
      </c>
      <c r="I3" s="351">
        <f>I60*(1-$I$62)+I61*$I$62</f>
        <v>0.35456895206479677</v>
      </c>
      <c r="J3" s="351">
        <f t="shared" ref="J3:X3" si="0">J60*(1-$I$62)+J61*$I$62</f>
        <v>0.36304220158699541</v>
      </c>
      <c r="K3" s="351">
        <f>K60*(1-$I$62)+K61*$I$62</f>
        <v>0.36304220158699541</v>
      </c>
      <c r="L3" s="351">
        <f t="shared" si="0"/>
        <v>0.36304220158699541</v>
      </c>
      <c r="M3" s="351">
        <f t="shared" si="0"/>
        <v>0.36304220158699541</v>
      </c>
      <c r="N3" s="351">
        <f t="shared" si="0"/>
        <v>0.36304220158699541</v>
      </c>
      <c r="O3" s="351">
        <f t="shared" si="0"/>
        <v>0.36304220158699541</v>
      </c>
      <c r="P3" s="351">
        <f t="shared" si="0"/>
        <v>0.36304220158699541</v>
      </c>
      <c r="Q3" s="351">
        <f t="shared" si="0"/>
        <v>0.36304220158699541</v>
      </c>
      <c r="R3" s="351">
        <f t="shared" si="0"/>
        <v>0.36304220158699541</v>
      </c>
      <c r="S3" s="351">
        <f t="shared" si="0"/>
        <v>0.34925595206479676</v>
      </c>
      <c r="T3" s="351">
        <f t="shared" si="0"/>
        <v>0.35456895206479677</v>
      </c>
      <c r="U3" s="351">
        <f t="shared" si="0"/>
        <v>0.35133495206479676</v>
      </c>
      <c r="V3" s="351">
        <f t="shared" si="0"/>
        <v>0.34925595206479676</v>
      </c>
      <c r="W3" s="351">
        <f t="shared" si="0"/>
        <v>0.34925595206479676</v>
      </c>
      <c r="X3" s="351">
        <f t="shared" si="0"/>
        <v>0.34740795206479674</v>
      </c>
      <c r="Y3" s="1"/>
      <c r="Z3" s="1"/>
      <c r="AA3" s="1"/>
      <c r="AB3" s="1"/>
      <c r="AC3" s="1"/>
      <c r="AD3" s="1"/>
      <c r="AE3" s="1"/>
      <c r="AF3" s="1"/>
      <c r="AG3" s="1"/>
      <c r="AH3" s="1"/>
      <c r="AI3" s="1"/>
      <c r="AJ3" s="1"/>
      <c r="AK3" s="1"/>
      <c r="AL3" s="1"/>
      <c r="AM3" s="1"/>
      <c r="AN3" s="1"/>
      <c r="AO3" s="1"/>
      <c r="AP3" s="1"/>
      <c r="AQ3" s="1"/>
      <c r="AR3" s="1"/>
      <c r="AS3" s="1"/>
      <c r="AT3" s="1"/>
      <c r="AU3" s="1"/>
    </row>
    <row r="4" spans="1:47" ht="39.6" x14ac:dyDescent="0.25">
      <c r="A4" s="554"/>
      <c r="B4" s="554"/>
      <c r="C4" s="555"/>
      <c r="D4" s="555"/>
      <c r="E4" s="554"/>
      <c r="F4" s="415" t="s">
        <v>218</v>
      </c>
      <c r="G4" s="515">
        <v>1992</v>
      </c>
      <c r="H4" s="541" t="s">
        <v>219</v>
      </c>
      <c r="I4" s="521">
        <f>MIN(0.36,I60)</f>
        <v>0.36</v>
      </c>
      <c r="J4" s="521">
        <f>MIN(0.65,J60)</f>
        <v>0.36304220158699535</v>
      </c>
      <c r="K4" s="521">
        <f t="shared" ref="K4:M4" si="1">MIN(0.65,K60)</f>
        <v>0.36304220158699535</v>
      </c>
      <c r="L4" s="521">
        <f t="shared" si="1"/>
        <v>0.36304220158699535</v>
      </c>
      <c r="M4" s="521">
        <f t="shared" si="1"/>
        <v>0.36304220158699535</v>
      </c>
      <c r="N4" s="521">
        <f>MIN(0.69,N60)</f>
        <v>0.36304220158699535</v>
      </c>
      <c r="O4" s="521">
        <f t="shared" ref="O4:S4" si="2">MIN(0.69,O60)</f>
        <v>0.36304220158699535</v>
      </c>
      <c r="P4" s="521">
        <f t="shared" si="2"/>
        <v>0.36304220158699535</v>
      </c>
      <c r="Q4" s="521">
        <f t="shared" si="2"/>
        <v>0.36304220158699535</v>
      </c>
      <c r="R4" s="521">
        <f t="shared" si="2"/>
        <v>0.36304220158699535</v>
      </c>
      <c r="S4" s="521">
        <f t="shared" si="2"/>
        <v>0.36304220158699535</v>
      </c>
      <c r="T4" s="521">
        <f>MIN(0.65,T60)</f>
        <v>0.36304220158699535</v>
      </c>
      <c r="U4" s="521">
        <f t="shared" ref="U4" si="3">MIN(0.65,U60)</f>
        <v>0.36304220158699535</v>
      </c>
      <c r="V4" s="521">
        <f>MIN(0.4,V60)</f>
        <v>0.36304220158699535</v>
      </c>
      <c r="W4" s="521">
        <f t="shared" ref="W4" si="4">MIN(0.4,W60)</f>
        <v>0.36304220158699535</v>
      </c>
      <c r="X4" s="521">
        <f>MIN(0.36,X60)</f>
        <v>0.36</v>
      </c>
      <c r="Y4" s="1"/>
      <c r="Z4" s="1"/>
      <c r="AA4" s="1"/>
      <c r="AB4" s="1"/>
      <c r="AC4" s="1"/>
      <c r="AD4" s="1"/>
      <c r="AE4" s="1"/>
      <c r="AF4" s="1"/>
      <c r="AG4" s="1"/>
      <c r="AH4" s="1"/>
      <c r="AI4" s="1"/>
      <c r="AJ4" s="1"/>
      <c r="AK4" s="1"/>
      <c r="AL4" s="1"/>
      <c r="AM4" s="1"/>
      <c r="AN4" s="1"/>
      <c r="AO4" s="1"/>
      <c r="AP4" s="1"/>
      <c r="AQ4" s="1"/>
      <c r="AR4" s="1"/>
      <c r="AS4" s="1"/>
      <c r="AT4" s="1"/>
      <c r="AU4" s="1"/>
    </row>
    <row r="5" spans="1:47" x14ac:dyDescent="0.25">
      <c r="A5" s="554"/>
      <c r="B5" s="554"/>
      <c r="C5" s="555"/>
      <c r="D5" s="555"/>
      <c r="E5" s="554"/>
      <c r="F5" s="416" t="s">
        <v>220</v>
      </c>
      <c r="G5" s="416">
        <v>2001</v>
      </c>
      <c r="H5" s="417" t="s">
        <v>221</v>
      </c>
      <c r="I5" s="517">
        <f>MIN(0.36,I60)</f>
        <v>0.36</v>
      </c>
      <c r="J5" s="517">
        <f>MIN(0.65,J60)</f>
        <v>0.36304220158699535</v>
      </c>
      <c r="K5" s="517">
        <f t="shared" ref="K5:M5" si="5">MIN(0.65,K60)</f>
        <v>0.36304220158699535</v>
      </c>
      <c r="L5" s="517">
        <f t="shared" si="5"/>
        <v>0.36304220158699535</v>
      </c>
      <c r="M5" s="517">
        <f t="shared" si="5"/>
        <v>0.36304220158699535</v>
      </c>
      <c r="N5" s="517">
        <f>MIN(0.69,N60)</f>
        <v>0.36304220158699535</v>
      </c>
      <c r="O5" s="517">
        <f t="shared" ref="O5:Q5" si="6">MIN(0.69,O60)</f>
        <v>0.36304220158699535</v>
      </c>
      <c r="P5" s="517">
        <f t="shared" si="6"/>
        <v>0.36304220158699535</v>
      </c>
      <c r="Q5" s="517">
        <f t="shared" si="6"/>
        <v>0.36304220158699535</v>
      </c>
      <c r="R5" s="517">
        <f>MIN(0.65,R60)</f>
        <v>0.36304220158699535</v>
      </c>
      <c r="S5" s="517">
        <f t="shared" ref="S5:U5" si="7">MIN(0.65,S60)</f>
        <v>0.36304220158699535</v>
      </c>
      <c r="T5" s="517">
        <f t="shared" si="7"/>
        <v>0.36304220158699535</v>
      </c>
      <c r="U5" s="517">
        <f t="shared" si="7"/>
        <v>0.36304220158699535</v>
      </c>
      <c r="V5" s="517">
        <f>MIN(0.4,V60)</f>
        <v>0.36304220158699535</v>
      </c>
      <c r="W5" s="517">
        <f t="shared" ref="W5" si="8">MIN(0.4,W60)</f>
        <v>0.36304220158699535</v>
      </c>
      <c r="X5" s="517">
        <f>MIN(0.36,X60)</f>
        <v>0.36</v>
      </c>
      <c r="Y5" s="1"/>
      <c r="Z5" s="1"/>
      <c r="AA5" s="1"/>
      <c r="AB5" s="1"/>
      <c r="AC5" s="1"/>
      <c r="AD5" s="1"/>
      <c r="AE5" s="1"/>
      <c r="AF5" s="1"/>
      <c r="AG5" s="1"/>
      <c r="AH5" s="1"/>
      <c r="AI5" s="1"/>
      <c r="AJ5" s="1"/>
      <c r="AK5" s="1"/>
      <c r="AL5" s="1"/>
      <c r="AM5" s="1"/>
      <c r="AN5" s="1"/>
      <c r="AO5" s="1"/>
      <c r="AP5" s="1"/>
      <c r="AQ5" s="1"/>
      <c r="AR5" s="1"/>
      <c r="AS5" s="1"/>
      <c r="AT5" s="1"/>
      <c r="AU5" s="1"/>
    </row>
    <row r="6" spans="1:47" ht="14.4" x14ac:dyDescent="0.3">
      <c r="A6" s="554"/>
      <c r="B6" s="554"/>
      <c r="C6" s="555"/>
      <c r="D6" s="555"/>
      <c r="E6" s="554"/>
      <c r="F6" s="419" t="s">
        <v>222</v>
      </c>
      <c r="G6" s="419">
        <v>2013</v>
      </c>
      <c r="H6" s="420" t="s">
        <v>223</v>
      </c>
      <c r="I6" s="518">
        <f>MIN(0.253,I60)</f>
        <v>0.253</v>
      </c>
      <c r="J6" s="518">
        <f>MIN(0.65,J60)</f>
        <v>0.36304220158699535</v>
      </c>
      <c r="K6" s="518">
        <f t="shared" ref="K6:M6" si="9">MIN(0.65,K60)</f>
        <v>0.36304220158699535</v>
      </c>
      <c r="L6" s="518">
        <f t="shared" si="9"/>
        <v>0.36304220158699535</v>
      </c>
      <c r="M6" s="518">
        <f t="shared" si="9"/>
        <v>0.36304220158699535</v>
      </c>
      <c r="N6" s="518">
        <f>MIN(0.69,N60)</f>
        <v>0.36304220158699535</v>
      </c>
      <c r="O6" s="518">
        <f t="shared" ref="O6:Q6" si="10">MIN(0.69,O60)</f>
        <v>0.36304220158699535</v>
      </c>
      <c r="P6" s="518">
        <f t="shared" si="10"/>
        <v>0.36304220158699535</v>
      </c>
      <c r="Q6" s="518">
        <f t="shared" si="10"/>
        <v>0.36304220158699535</v>
      </c>
      <c r="R6" s="518">
        <f>MIN(0.65,R60)</f>
        <v>0.36304220158699535</v>
      </c>
      <c r="S6" s="518">
        <f>MIN(0.18,S60)</f>
        <v>0.18</v>
      </c>
      <c r="T6" s="518">
        <f>MIN(0.25,T60)</f>
        <v>0.25</v>
      </c>
      <c r="U6" s="518">
        <f>MIN(0.21,U60)</f>
        <v>0.21</v>
      </c>
      <c r="V6" s="518">
        <f t="shared" ref="V6:W6" si="11">MIN(0.18,V60)</f>
        <v>0.18</v>
      </c>
      <c r="W6" s="518">
        <f t="shared" si="11"/>
        <v>0.18</v>
      </c>
      <c r="X6" s="518">
        <f>MIN(0.16,X60)</f>
        <v>0.16</v>
      </c>
      <c r="Y6" s="1"/>
      <c r="Z6" s="1"/>
      <c r="AA6" s="1"/>
      <c r="AB6" s="1"/>
      <c r="AC6" s="1"/>
      <c r="AD6" s="1"/>
      <c r="AE6" s="1"/>
      <c r="AF6" s="1"/>
      <c r="AG6" s="1"/>
      <c r="AH6" s="1"/>
      <c r="AI6" s="1"/>
      <c r="AJ6"/>
      <c r="AK6"/>
      <c r="AL6"/>
      <c r="AM6"/>
      <c r="AN6"/>
      <c r="AO6"/>
      <c r="AP6"/>
      <c r="AQ6"/>
      <c r="AR6"/>
      <c r="AS6"/>
      <c r="AT6"/>
      <c r="AU6" s="1"/>
    </row>
    <row r="7" spans="1:47" ht="14.4" x14ac:dyDescent="0.3">
      <c r="A7" s="554"/>
      <c r="B7" s="554"/>
      <c r="C7" s="555"/>
      <c r="D7" s="555"/>
      <c r="E7" s="554"/>
      <c r="F7" s="422" t="s">
        <v>224</v>
      </c>
      <c r="G7" s="422"/>
      <c r="H7" s="423" t="s">
        <v>225</v>
      </c>
      <c r="I7" s="519" cm="1">
        <f t="array" ref="I7:X7">_xlfn.BYCOL(TRANSPOSE(Weights!$C$4:$F$19)*I3:X6,_xlfn.LAMBDA(_xlpm.c,SUM(_xlpm.c)))</f>
        <v>0</v>
      </c>
      <c r="J7" s="519">
        <v>0</v>
      </c>
      <c r="K7" s="519">
        <v>0</v>
      </c>
      <c r="L7" s="519">
        <v>0</v>
      </c>
      <c r="M7" s="519">
        <v>0</v>
      </c>
      <c r="N7" s="519">
        <v>0</v>
      </c>
      <c r="O7" s="519">
        <v>0</v>
      </c>
      <c r="P7" s="519">
        <v>0</v>
      </c>
      <c r="Q7" s="519">
        <v>0</v>
      </c>
      <c r="R7" s="519">
        <v>0</v>
      </c>
      <c r="S7" s="519">
        <v>0</v>
      </c>
      <c r="T7" s="519">
        <v>0</v>
      </c>
      <c r="U7" s="519">
        <v>0</v>
      </c>
      <c r="V7" s="519">
        <v>0</v>
      </c>
      <c r="W7" s="519">
        <v>0</v>
      </c>
      <c r="X7" s="519">
        <v>0</v>
      </c>
      <c r="Y7" s="1"/>
      <c r="Z7" s="1"/>
      <c r="AA7" s="1"/>
      <c r="AB7" s="1"/>
      <c r="AC7" s="1"/>
      <c r="AD7" s="1"/>
      <c r="AE7" s="1"/>
      <c r="AF7" s="1"/>
      <c r="AG7" s="1"/>
      <c r="AH7" s="1"/>
      <c r="AI7" s="1"/>
      <c r="AJ7"/>
      <c r="AK7"/>
      <c r="AL7"/>
      <c r="AM7"/>
      <c r="AN7"/>
      <c r="AO7"/>
      <c r="AP7"/>
      <c r="AQ7"/>
      <c r="AR7"/>
      <c r="AS7"/>
      <c r="AT7"/>
      <c r="AU7" s="1"/>
    </row>
    <row r="8" spans="1:47" ht="14.4" x14ac:dyDescent="0.3">
      <c r="A8" s="554"/>
      <c r="B8" s="554"/>
      <c r="C8" s="555"/>
      <c r="D8" s="555"/>
      <c r="E8" s="554"/>
      <c r="F8" s="425" t="s">
        <v>226</v>
      </c>
      <c r="G8" s="426">
        <v>2025</v>
      </c>
      <c r="H8" s="427" t="s">
        <v>227</v>
      </c>
      <c r="I8" s="520">
        <f>MIN(0.211,I60)</f>
        <v>0.21099999999999999</v>
      </c>
      <c r="J8" s="520">
        <f>MIN(0.65,J60)</f>
        <v>0.36304220158699535</v>
      </c>
      <c r="K8" s="520">
        <f t="shared" ref="K8:M8" si="12">MIN(0.65,K60)</f>
        <v>0.36304220158699535</v>
      </c>
      <c r="L8" s="520">
        <f t="shared" si="12"/>
        <v>0.36304220158699535</v>
      </c>
      <c r="M8" s="520">
        <f t="shared" si="12"/>
        <v>0.36304220158699535</v>
      </c>
      <c r="N8" s="520">
        <f>MIN(0.69,N60)</f>
        <v>0.36304220158699535</v>
      </c>
      <c r="O8" s="520">
        <f t="shared" ref="O8:Q8" si="13">MIN(0.69,O60)</f>
        <v>0.36304220158699535</v>
      </c>
      <c r="P8" s="520">
        <f t="shared" si="13"/>
        <v>0.36304220158699535</v>
      </c>
      <c r="Q8" s="520">
        <f t="shared" si="13"/>
        <v>0.36304220158699535</v>
      </c>
      <c r="R8" s="520">
        <f>MIN(0.65,R60)</f>
        <v>0.36304220158699535</v>
      </c>
      <c r="S8" s="520">
        <f>MIN(0.16,S60)</f>
        <v>0.16</v>
      </c>
      <c r="T8" s="520">
        <f>MIN(0.21,T60)</f>
        <v>0.21</v>
      </c>
      <c r="U8" s="520">
        <f>MIN(0.18,U60)</f>
        <v>0.18</v>
      </c>
      <c r="V8" s="520">
        <f t="shared" ref="V8:W8" si="14">MIN(0.16,V60)</f>
        <v>0.16</v>
      </c>
      <c r="W8" s="520">
        <f t="shared" si="14"/>
        <v>0.16</v>
      </c>
      <c r="X8" s="520">
        <f>MIN(0.15,X60)</f>
        <v>0.15</v>
      </c>
      <c r="Y8" s="1"/>
      <c r="Z8" s="1"/>
      <c r="AA8" s="1"/>
      <c r="AB8" s="1"/>
      <c r="AC8" s="1"/>
      <c r="AD8" s="1"/>
      <c r="AE8" s="1"/>
      <c r="AF8" s="1"/>
      <c r="AG8" s="1"/>
      <c r="AH8" s="1"/>
      <c r="AI8" s="1"/>
      <c r="AJ8"/>
      <c r="AK8"/>
      <c r="AL8"/>
      <c r="AM8"/>
      <c r="AN8"/>
      <c r="AO8"/>
      <c r="AP8"/>
      <c r="AQ8"/>
      <c r="AR8"/>
      <c r="AS8"/>
      <c r="AT8"/>
      <c r="AU8" s="1"/>
    </row>
    <row r="9" spans="1:47" ht="39.6" x14ac:dyDescent="0.3">
      <c r="A9" s="553" t="s">
        <v>228</v>
      </c>
      <c r="B9" s="554" t="str">
        <f>Prototype!$A$2</f>
        <v xml:space="preserve">ApartmentMidRise </v>
      </c>
      <c r="C9" s="555" t="s">
        <v>229</v>
      </c>
      <c r="D9" s="856" t="s">
        <v>779</v>
      </c>
      <c r="E9" s="554" t="s">
        <v>214</v>
      </c>
      <c r="F9" s="534" t="s">
        <v>215</v>
      </c>
      <c r="G9" s="534" t="s">
        <v>216</v>
      </c>
      <c r="H9" s="540" t="s">
        <v>230</v>
      </c>
      <c r="I9" s="351">
        <f>I65*(1-$I$66)+I64*$I$66</f>
        <v>0.19098900000000002</v>
      </c>
      <c r="J9" s="351">
        <f t="shared" ref="J9:X9" si="15">J65*(1-$I$66)+J64*$I$66</f>
        <v>0.19098900000000002</v>
      </c>
      <c r="K9" s="351">
        <f t="shared" si="15"/>
        <v>0.19098900000000002</v>
      </c>
      <c r="L9" s="351">
        <f t="shared" si="15"/>
        <v>0.19098900000000002</v>
      </c>
      <c r="M9" s="351">
        <f t="shared" si="15"/>
        <v>0.19098900000000002</v>
      </c>
      <c r="N9" s="351">
        <f t="shared" si="15"/>
        <v>0.19098900000000002</v>
      </c>
      <c r="O9" s="351">
        <f t="shared" si="15"/>
        <v>0.19098900000000002</v>
      </c>
      <c r="P9" s="351">
        <f t="shared" si="15"/>
        <v>0.19098900000000002</v>
      </c>
      <c r="Q9" s="351">
        <f t="shared" si="15"/>
        <v>0.19098900000000002</v>
      </c>
      <c r="R9" s="351">
        <f t="shared" si="15"/>
        <v>0.19098900000000002</v>
      </c>
      <c r="S9" s="351">
        <f t="shared" si="15"/>
        <v>0.18968000000000002</v>
      </c>
      <c r="T9" s="351">
        <f t="shared" si="15"/>
        <v>0.19098900000000002</v>
      </c>
      <c r="U9" s="351">
        <f t="shared" si="15"/>
        <v>0.19098900000000002</v>
      </c>
      <c r="V9" s="351">
        <f t="shared" si="15"/>
        <v>0.18968000000000002</v>
      </c>
      <c r="W9" s="351">
        <f t="shared" si="15"/>
        <v>0.18968000000000002</v>
      </c>
      <c r="X9" s="351">
        <f t="shared" si="15"/>
        <v>0.18968000000000002</v>
      </c>
      <c r="Y9" s="1"/>
      <c r="Z9" s="1"/>
      <c r="AA9"/>
      <c r="AB9"/>
      <c r="AC9"/>
      <c r="AD9"/>
      <c r="AE9"/>
      <c r="AF9"/>
      <c r="AG9"/>
      <c r="AH9"/>
      <c r="AI9"/>
      <c r="AJ9"/>
      <c r="AK9"/>
      <c r="AL9"/>
      <c r="AM9"/>
      <c r="AN9"/>
      <c r="AO9"/>
      <c r="AP9"/>
      <c r="AQ9"/>
      <c r="AR9"/>
      <c r="AS9"/>
      <c r="AT9"/>
      <c r="AU9" s="1"/>
    </row>
    <row r="10" spans="1:47" ht="14.4" x14ac:dyDescent="0.3">
      <c r="A10" s="554"/>
      <c r="B10" s="554"/>
      <c r="C10" s="555"/>
      <c r="D10" s="555"/>
      <c r="E10" s="554"/>
      <c r="F10" s="415" t="s">
        <v>218</v>
      </c>
      <c r="G10" s="415">
        <v>1986</v>
      </c>
      <c r="H10" s="541" t="s">
        <v>231</v>
      </c>
      <c r="I10" s="415">
        <v>9.5000000000000001E-2</v>
      </c>
      <c r="J10" s="415">
        <v>9.5000000000000001E-2</v>
      </c>
      <c r="K10" s="415">
        <v>9.5000000000000001E-2</v>
      </c>
      <c r="L10" s="415">
        <v>9.5000000000000001E-2</v>
      </c>
      <c r="M10" s="415">
        <v>9.5000000000000001E-2</v>
      </c>
      <c r="N10" s="415">
        <v>9.5000000000000001E-2</v>
      </c>
      <c r="O10" s="415">
        <v>9.5000000000000001E-2</v>
      </c>
      <c r="P10" s="415">
        <v>9.5000000000000001E-2</v>
      </c>
      <c r="Q10" s="415">
        <v>9.5000000000000001E-2</v>
      </c>
      <c r="R10" s="415">
        <v>9.5000000000000001E-2</v>
      </c>
      <c r="S10" s="415">
        <v>9.5000000000000001E-2</v>
      </c>
      <c r="T10" s="415">
        <v>9.5000000000000001E-2</v>
      </c>
      <c r="U10" s="415">
        <v>9.5000000000000001E-2</v>
      </c>
      <c r="V10" s="415">
        <v>9.5000000000000001E-2</v>
      </c>
      <c r="W10" s="415">
        <v>9.5000000000000001E-2</v>
      </c>
      <c r="X10" s="415">
        <v>9.5000000000000001E-2</v>
      </c>
      <c r="Y10" s="1"/>
      <c r="Z10" s="1"/>
      <c r="AA10"/>
      <c r="AB10"/>
      <c r="AC10"/>
      <c r="AD10"/>
      <c r="AE10"/>
      <c r="AF10"/>
      <c r="AG10"/>
      <c r="AH10"/>
      <c r="AI10"/>
      <c r="AJ10"/>
      <c r="AK10"/>
      <c r="AL10"/>
      <c r="AM10"/>
      <c r="AN10"/>
      <c r="AO10"/>
      <c r="AP10"/>
      <c r="AQ10"/>
      <c r="AR10"/>
      <c r="AS10"/>
      <c r="AT10"/>
      <c r="AU10" s="1"/>
    </row>
    <row r="11" spans="1:47" ht="14.4" x14ac:dyDescent="0.3">
      <c r="A11" s="554"/>
      <c r="B11" s="554"/>
      <c r="C11" s="555"/>
      <c r="D11" s="555"/>
      <c r="E11" s="554"/>
      <c r="F11" s="416" t="s">
        <v>220</v>
      </c>
      <c r="G11" s="416">
        <v>2001</v>
      </c>
      <c r="H11" s="417" t="s">
        <v>232</v>
      </c>
      <c r="I11" s="418">
        <v>6.3E-2</v>
      </c>
      <c r="J11" s="418">
        <v>8.4000000000000005E-2</v>
      </c>
      <c r="K11" s="418">
        <v>9.1999999999999998E-2</v>
      </c>
      <c r="L11" s="418">
        <v>9.1999999999999998E-2</v>
      </c>
      <c r="M11" s="418">
        <v>9.1999999999999998E-2</v>
      </c>
      <c r="N11" s="418">
        <v>9.1999999999999998E-2</v>
      </c>
      <c r="O11" s="418">
        <v>9.1999999999999998E-2</v>
      </c>
      <c r="P11" s="418">
        <v>9.1999999999999998E-2</v>
      </c>
      <c r="Q11" s="418">
        <v>9.1999999999999998E-2</v>
      </c>
      <c r="R11" s="418">
        <v>8.4000000000000005E-2</v>
      </c>
      <c r="S11" s="418">
        <v>8.4000000000000005E-2</v>
      </c>
      <c r="T11" s="418">
        <v>8.4000000000000005E-2</v>
      </c>
      <c r="U11" s="418">
        <v>8.4000000000000005E-2</v>
      </c>
      <c r="V11" s="418">
        <v>8.4000000000000005E-2</v>
      </c>
      <c r="W11" s="418">
        <v>8.4000000000000005E-2</v>
      </c>
      <c r="X11" s="418">
        <v>6.3E-2</v>
      </c>
      <c r="Y11" s="1"/>
      <c r="Z11" s="1"/>
      <c r="AA11"/>
      <c r="AB11"/>
      <c r="AC11"/>
      <c r="AD11"/>
      <c r="AE11"/>
      <c r="AF11"/>
      <c r="AG11"/>
      <c r="AH11"/>
      <c r="AI11"/>
      <c r="AJ11"/>
      <c r="AK11"/>
      <c r="AL11"/>
      <c r="AM11"/>
      <c r="AN11"/>
      <c r="AO11"/>
      <c r="AP11"/>
      <c r="AQ11"/>
      <c r="AR11"/>
      <c r="AS11"/>
      <c r="AT11"/>
      <c r="AU11" s="1"/>
    </row>
    <row r="12" spans="1:47" ht="26.4" x14ac:dyDescent="0.3">
      <c r="A12" s="554"/>
      <c r="B12" s="554"/>
      <c r="C12" s="555"/>
      <c r="D12" s="555"/>
      <c r="E12" s="554"/>
      <c r="F12" s="419" t="s">
        <v>222</v>
      </c>
      <c r="G12" s="419">
        <v>2013</v>
      </c>
      <c r="H12" s="420" t="s">
        <v>233</v>
      </c>
      <c r="I12" s="421">
        <v>5.8999999999999997E-2</v>
      </c>
      <c r="J12" s="421">
        <v>5.8999999999999997E-2</v>
      </c>
      <c r="K12" s="421">
        <v>5.8999999999999997E-2</v>
      </c>
      <c r="L12" s="421">
        <v>5.8999999999999997E-2</v>
      </c>
      <c r="M12" s="421">
        <v>5.8999999999999997E-2</v>
      </c>
      <c r="N12" s="421">
        <v>5.8999999999999997E-2</v>
      </c>
      <c r="O12" s="421">
        <v>5.8999999999999997E-2</v>
      </c>
      <c r="P12" s="421">
        <v>5.8999999999999997E-2</v>
      </c>
      <c r="Q12" s="421">
        <v>5.8999999999999997E-2</v>
      </c>
      <c r="R12" s="421">
        <v>5.8999999999999997E-2</v>
      </c>
      <c r="S12" s="421">
        <v>4.2000000000000003E-2</v>
      </c>
      <c r="T12" s="421">
        <v>5.8999999999999997E-2</v>
      </c>
      <c r="U12" s="421">
        <v>5.8999999999999997E-2</v>
      </c>
      <c r="V12" s="421">
        <v>4.2000000000000003E-2</v>
      </c>
      <c r="W12" s="421">
        <v>4.2000000000000003E-2</v>
      </c>
      <c r="X12" s="421">
        <v>4.2000000000000003E-2</v>
      </c>
      <c r="Y12" s="1"/>
      <c r="Z12" s="1"/>
      <c r="AA12"/>
      <c r="AB12"/>
      <c r="AC12"/>
      <c r="AD12"/>
      <c r="AE12"/>
      <c r="AF12"/>
      <c r="AG12"/>
      <c r="AH12"/>
      <c r="AI12"/>
      <c r="AJ12"/>
      <c r="AK12"/>
      <c r="AL12"/>
      <c r="AM12"/>
      <c r="AN12"/>
      <c r="AO12"/>
      <c r="AP12"/>
      <c r="AQ12"/>
      <c r="AR12"/>
      <c r="AS12"/>
      <c r="AT12"/>
      <c r="AU12" s="1"/>
    </row>
    <row r="13" spans="1:47" ht="14.4" x14ac:dyDescent="0.3">
      <c r="A13" s="554"/>
      <c r="B13" s="554"/>
      <c r="C13" s="555"/>
      <c r="D13" s="555"/>
      <c r="E13" s="554"/>
      <c r="F13" s="422" t="s">
        <v>224</v>
      </c>
      <c r="G13" s="422"/>
      <c r="H13" s="422" t="s">
        <v>225</v>
      </c>
      <c r="I13" s="424" cm="1">
        <f t="array" ref="I13:X13">_xlfn.BYCOL(TRANSPOSE(Weights!$C$4:$F$19)*I9:X12,_xlfn.LAMBDA(_xlpm.c,SUM(_xlpm.c)))</f>
        <v>0</v>
      </c>
      <c r="J13" s="424">
        <v>0</v>
      </c>
      <c r="K13" s="424">
        <v>0</v>
      </c>
      <c r="L13" s="424">
        <v>0</v>
      </c>
      <c r="M13" s="424">
        <v>0</v>
      </c>
      <c r="N13" s="424">
        <v>0</v>
      </c>
      <c r="O13" s="424">
        <v>0</v>
      </c>
      <c r="P13" s="424">
        <v>0</v>
      </c>
      <c r="Q13" s="424">
        <v>0</v>
      </c>
      <c r="R13" s="424">
        <v>0</v>
      </c>
      <c r="S13" s="424">
        <v>0</v>
      </c>
      <c r="T13" s="424">
        <v>0</v>
      </c>
      <c r="U13" s="424">
        <v>0</v>
      </c>
      <c r="V13" s="424">
        <v>0</v>
      </c>
      <c r="W13" s="424">
        <v>0</v>
      </c>
      <c r="X13" s="424">
        <v>0</v>
      </c>
      <c r="Y13" s="1"/>
      <c r="Z13" s="1"/>
      <c r="AA13"/>
      <c r="AB13"/>
      <c r="AC13"/>
      <c r="AD13"/>
      <c r="AE13"/>
      <c r="AF13"/>
      <c r="AG13"/>
      <c r="AH13"/>
      <c r="AI13"/>
      <c r="AJ13"/>
      <c r="AK13"/>
      <c r="AL13"/>
      <c r="AM13"/>
      <c r="AN13"/>
      <c r="AO13"/>
      <c r="AP13"/>
      <c r="AQ13"/>
      <c r="AR13"/>
      <c r="AS13"/>
      <c r="AT13"/>
      <c r="AU13" s="1"/>
    </row>
    <row r="14" spans="1:47" ht="14.4" x14ac:dyDescent="0.3">
      <c r="A14" s="554"/>
      <c r="B14" s="554"/>
      <c r="C14" s="555"/>
      <c r="D14" s="555"/>
      <c r="E14" s="554"/>
      <c r="F14" s="425" t="s">
        <v>226</v>
      </c>
      <c r="G14" s="426">
        <v>2025</v>
      </c>
      <c r="H14" s="427" t="s">
        <v>234</v>
      </c>
      <c r="I14" s="428">
        <v>5.8999999999999997E-2</v>
      </c>
      <c r="J14" s="428">
        <v>5.8999999999999997E-2</v>
      </c>
      <c r="K14" s="428">
        <v>5.8999999999999997E-2</v>
      </c>
      <c r="L14" s="428">
        <v>5.8999999999999997E-2</v>
      </c>
      <c r="M14" s="428">
        <v>5.8999999999999997E-2</v>
      </c>
      <c r="N14" s="428">
        <v>6.5000000000000002E-2</v>
      </c>
      <c r="O14" s="428">
        <v>6.5000000000000002E-2</v>
      </c>
      <c r="P14" s="428">
        <v>5.8999999999999997E-2</v>
      </c>
      <c r="Q14" s="428">
        <v>5.8999999999999997E-2</v>
      </c>
      <c r="R14" s="428">
        <v>5.8999999999999997E-2</v>
      </c>
      <c r="S14" s="428">
        <v>5.0999999999999997E-2</v>
      </c>
      <c r="T14" s="428">
        <v>5.8999999999999997E-2</v>
      </c>
      <c r="U14" s="428">
        <v>5.8999999999999997E-2</v>
      </c>
      <c r="V14" s="428">
        <v>5.0999999999999997E-2</v>
      </c>
      <c r="W14" s="428">
        <v>5.0999999999999997E-2</v>
      </c>
      <c r="X14" s="428">
        <v>5.0999999999999997E-2</v>
      </c>
      <c r="Y14" s="1"/>
      <c r="Z14" s="1"/>
      <c r="AA14"/>
      <c r="AB14"/>
      <c r="AC14"/>
      <c r="AD14"/>
      <c r="AE14"/>
      <c r="AF14"/>
      <c r="AG14"/>
      <c r="AH14"/>
      <c r="AI14"/>
      <c r="AJ14"/>
      <c r="AK14"/>
      <c r="AL14"/>
      <c r="AM14"/>
      <c r="AN14"/>
      <c r="AO14"/>
      <c r="AP14"/>
      <c r="AQ14"/>
      <c r="AR14"/>
      <c r="AS14"/>
      <c r="AT14"/>
      <c r="AU14" s="1"/>
    </row>
    <row r="15" spans="1:47" ht="14.4" x14ac:dyDescent="0.3">
      <c r="A15" s="554" t="s">
        <v>235</v>
      </c>
      <c r="B15" s="554" t="str">
        <f>Prototype!$A$2</f>
        <v xml:space="preserve">ApartmentMidRise </v>
      </c>
      <c r="C15" s="555" t="s">
        <v>236</v>
      </c>
      <c r="D15" s="602" t="s">
        <v>237</v>
      </c>
      <c r="E15" s="554" t="s">
        <v>214</v>
      </c>
      <c r="F15" s="534" t="s">
        <v>215</v>
      </c>
      <c r="G15" s="534" t="s">
        <v>216</v>
      </c>
      <c r="H15" s="555" t="s">
        <v>238</v>
      </c>
      <c r="I15" s="429">
        <v>3.6999999999999998E-2</v>
      </c>
      <c r="J15" s="429">
        <v>5.0999999999999997E-2</v>
      </c>
      <c r="K15" s="429">
        <v>5.0999999999999997E-2</v>
      </c>
      <c r="L15" s="429">
        <v>5.0999999999999997E-2</v>
      </c>
      <c r="M15" s="429">
        <v>5.0999999999999997E-2</v>
      </c>
      <c r="N15" s="429">
        <v>5.0999999999999997E-2</v>
      </c>
      <c r="O15" s="429">
        <v>5.0999999999999997E-2</v>
      </c>
      <c r="P15" s="429">
        <v>5.0999999999999997E-2</v>
      </c>
      <c r="Q15" s="429">
        <v>5.0999999999999997E-2</v>
      </c>
      <c r="R15" s="429">
        <v>5.0999999999999997E-2</v>
      </c>
      <c r="S15" s="429">
        <v>3.6999999999999998E-2</v>
      </c>
      <c r="T15" s="429">
        <v>3.6999999999999998E-2</v>
      </c>
      <c r="U15" s="429">
        <v>3.6999999999999998E-2</v>
      </c>
      <c r="V15" s="429">
        <v>3.6999999999999998E-2</v>
      </c>
      <c r="W15" s="429">
        <v>3.6999999999999998E-2</v>
      </c>
      <c r="X15" s="429">
        <v>3.6999999999999998E-2</v>
      </c>
      <c r="Y15" s="1"/>
      <c r="Z15" s="1"/>
      <c r="AA15" s="1"/>
      <c r="AB15" s="1"/>
      <c r="AC15" s="1"/>
      <c r="AD15" s="1"/>
      <c r="AE15" s="1"/>
      <c r="AF15" s="1"/>
      <c r="AG15" s="1"/>
      <c r="AH15" s="1"/>
      <c r="AI15" s="1"/>
      <c r="AJ15"/>
      <c r="AK15"/>
      <c r="AL15"/>
      <c r="AM15"/>
      <c r="AN15"/>
      <c r="AO15"/>
      <c r="AP15"/>
      <c r="AQ15"/>
      <c r="AR15"/>
      <c r="AS15"/>
      <c r="AT15"/>
      <c r="AU15" s="1"/>
    </row>
    <row r="16" spans="1:47" ht="14.4" x14ac:dyDescent="0.3">
      <c r="A16" s="554"/>
      <c r="B16" s="554"/>
      <c r="C16" s="555"/>
      <c r="D16" s="603"/>
      <c r="E16" s="554"/>
      <c r="F16" s="415" t="s">
        <v>218</v>
      </c>
      <c r="G16" s="415" t="s">
        <v>216</v>
      </c>
      <c r="H16" s="601"/>
      <c r="I16" s="436">
        <v>3.6999999999999998E-2</v>
      </c>
      <c r="J16" s="436">
        <v>5.0999999999999997E-2</v>
      </c>
      <c r="K16" s="436">
        <v>5.0999999999999997E-2</v>
      </c>
      <c r="L16" s="436">
        <v>5.0999999999999997E-2</v>
      </c>
      <c r="M16" s="436">
        <v>5.0999999999999997E-2</v>
      </c>
      <c r="N16" s="436">
        <v>5.0999999999999997E-2</v>
      </c>
      <c r="O16" s="436">
        <v>5.0999999999999997E-2</v>
      </c>
      <c r="P16" s="436">
        <v>5.0999999999999997E-2</v>
      </c>
      <c r="Q16" s="436">
        <v>5.0999999999999997E-2</v>
      </c>
      <c r="R16" s="436">
        <v>5.0999999999999997E-2</v>
      </c>
      <c r="S16" s="436">
        <v>3.6999999999999998E-2</v>
      </c>
      <c r="T16" s="436">
        <v>3.6999999999999998E-2</v>
      </c>
      <c r="U16" s="436">
        <v>3.6999999999999998E-2</v>
      </c>
      <c r="V16" s="436">
        <v>3.6999999999999998E-2</v>
      </c>
      <c r="W16" s="436">
        <v>3.6999999999999998E-2</v>
      </c>
      <c r="X16" s="436">
        <v>3.6999999999999998E-2</v>
      </c>
      <c r="Y16" s="1"/>
      <c r="Z16" s="1"/>
      <c r="AA16" s="1"/>
      <c r="AB16" s="1"/>
      <c r="AC16" s="1"/>
      <c r="AD16" s="1"/>
      <c r="AE16" s="1"/>
      <c r="AF16" s="1"/>
      <c r="AG16" s="1"/>
      <c r="AH16" s="1"/>
      <c r="AI16" s="1"/>
      <c r="AJ16"/>
      <c r="AK16"/>
      <c r="AL16"/>
      <c r="AM16"/>
      <c r="AN16"/>
      <c r="AO16"/>
      <c r="AP16"/>
      <c r="AQ16"/>
      <c r="AR16"/>
      <c r="AS16"/>
      <c r="AT16"/>
      <c r="AU16" s="1"/>
    </row>
    <row r="17" spans="1:47" ht="14.4" x14ac:dyDescent="0.3">
      <c r="A17" s="554"/>
      <c r="B17" s="554"/>
      <c r="C17" s="555"/>
      <c r="D17" s="603"/>
      <c r="E17" s="554"/>
      <c r="F17" s="416" t="s">
        <v>220</v>
      </c>
      <c r="G17" s="416">
        <v>2001</v>
      </c>
      <c r="H17" s="416" t="s">
        <v>239</v>
      </c>
      <c r="I17" s="430">
        <v>3.6999999999999998E-2</v>
      </c>
      <c r="J17" s="430">
        <v>3.6999999999999998E-2</v>
      </c>
      <c r="K17" s="430">
        <v>5.0999999999999997E-2</v>
      </c>
      <c r="L17" s="430">
        <v>5.0999999999999997E-2</v>
      </c>
      <c r="M17" s="430">
        <v>5.0999999999999997E-2</v>
      </c>
      <c r="N17" s="430">
        <v>5.0999999999999997E-2</v>
      </c>
      <c r="O17" s="430">
        <v>5.0999999999999997E-2</v>
      </c>
      <c r="P17" s="430">
        <v>5.0999999999999997E-2</v>
      </c>
      <c r="Q17" s="430">
        <v>5.0999999999999997E-2</v>
      </c>
      <c r="R17" s="430">
        <v>3.6999999999999998E-2</v>
      </c>
      <c r="S17" s="430">
        <v>3.6999999999999998E-2</v>
      </c>
      <c r="T17" s="430">
        <v>3.6999999999999998E-2</v>
      </c>
      <c r="U17" s="430">
        <v>3.6999999999999998E-2</v>
      </c>
      <c r="V17" s="430">
        <v>3.6999999999999998E-2</v>
      </c>
      <c r="W17" s="430">
        <v>3.6999999999999998E-2</v>
      </c>
      <c r="X17" s="430">
        <v>3.6999999999999998E-2</v>
      </c>
      <c r="Y17" s="1"/>
      <c r="Z17" s="1"/>
      <c r="AA17" s="1"/>
      <c r="AB17" s="1"/>
      <c r="AC17" s="1"/>
      <c r="AD17" s="1"/>
      <c r="AE17" s="1"/>
      <c r="AF17" s="1"/>
      <c r="AG17" s="1"/>
      <c r="AH17" s="1"/>
      <c r="AI17" s="1"/>
      <c r="AJ17"/>
      <c r="AK17"/>
      <c r="AL17"/>
      <c r="AM17"/>
      <c r="AN17"/>
      <c r="AO17"/>
      <c r="AP17"/>
      <c r="AQ17"/>
      <c r="AR17"/>
      <c r="AS17"/>
      <c r="AT17"/>
      <c r="AU17" s="1"/>
    </row>
    <row r="18" spans="1:47" ht="14.4" x14ac:dyDescent="0.3">
      <c r="A18" s="554"/>
      <c r="B18" s="554"/>
      <c r="C18" s="555"/>
      <c r="D18" s="603"/>
      <c r="E18" s="554"/>
      <c r="F18" s="419" t="s">
        <v>222</v>
      </c>
      <c r="G18" s="419">
        <v>2013</v>
      </c>
      <c r="H18" s="419" t="s">
        <v>240</v>
      </c>
      <c r="I18" s="431">
        <v>3.4000000000000002E-2</v>
      </c>
      <c r="J18" s="431">
        <v>2.8000000000000001E-2</v>
      </c>
      <c r="K18" s="431">
        <v>3.9E-2</v>
      </c>
      <c r="L18" s="431">
        <v>2.8000000000000001E-2</v>
      </c>
      <c r="M18" s="431">
        <v>3.9E-2</v>
      </c>
      <c r="N18" s="431">
        <v>3.9E-2</v>
      </c>
      <c r="O18" s="431">
        <v>3.9E-2</v>
      </c>
      <c r="P18" s="431">
        <v>2.8000000000000001E-2</v>
      </c>
      <c r="Q18" s="431">
        <v>2.8000000000000001E-2</v>
      </c>
      <c r="R18" s="431">
        <v>2.8000000000000001E-2</v>
      </c>
      <c r="S18" s="431">
        <v>2.8000000000000001E-2</v>
      </c>
      <c r="T18" s="431">
        <v>2.8000000000000001E-2</v>
      </c>
      <c r="U18" s="431">
        <v>2.8000000000000001E-2</v>
      </c>
      <c r="V18" s="431">
        <v>2.8000000000000001E-2</v>
      </c>
      <c r="W18" s="431">
        <v>2.8000000000000001E-2</v>
      </c>
      <c r="X18" s="431">
        <v>2.8000000000000001E-2</v>
      </c>
      <c r="Y18" s="1"/>
      <c r="Z18" s="1"/>
      <c r="AA18" s="1"/>
      <c r="AB18" s="1"/>
      <c r="AC18" s="1"/>
      <c r="AD18" s="1"/>
      <c r="AE18" s="1"/>
      <c r="AF18" s="1"/>
      <c r="AG18" s="1"/>
      <c r="AH18" s="1"/>
      <c r="AI18" s="1"/>
      <c r="AJ18"/>
      <c r="AK18"/>
      <c r="AL18"/>
      <c r="AM18"/>
      <c r="AN18"/>
      <c r="AO18"/>
      <c r="AP18"/>
      <c r="AQ18"/>
      <c r="AR18"/>
      <c r="AS18"/>
      <c r="AT18"/>
      <c r="AU18" s="1"/>
    </row>
    <row r="19" spans="1:47" ht="14.4" x14ac:dyDescent="0.3">
      <c r="A19" s="554"/>
      <c r="B19" s="554"/>
      <c r="C19" s="555"/>
      <c r="D19" s="603"/>
      <c r="E19" s="554"/>
      <c r="F19" s="422" t="s">
        <v>224</v>
      </c>
      <c r="G19" s="422"/>
      <c r="H19" s="422" t="s">
        <v>225</v>
      </c>
      <c r="I19" s="424" cm="1">
        <f t="array" ref="I19:X19">_xlfn.BYCOL(TRANSPOSE(Weights!$C$4:$F$19)*I15:X18,_xlfn.LAMBDA(_xlpm.c,SUM(_xlpm.c)))</f>
        <v>0</v>
      </c>
      <c r="J19" s="424">
        <v>0</v>
      </c>
      <c r="K19" s="424">
        <v>0</v>
      </c>
      <c r="L19" s="424">
        <v>0</v>
      </c>
      <c r="M19" s="424">
        <v>0</v>
      </c>
      <c r="N19" s="424">
        <v>0</v>
      </c>
      <c r="O19" s="424">
        <v>0</v>
      </c>
      <c r="P19" s="424">
        <v>0</v>
      </c>
      <c r="Q19" s="424">
        <v>0</v>
      </c>
      <c r="R19" s="424">
        <v>0</v>
      </c>
      <c r="S19" s="424">
        <v>0</v>
      </c>
      <c r="T19" s="424">
        <v>0</v>
      </c>
      <c r="U19" s="424">
        <v>0</v>
      </c>
      <c r="V19" s="424">
        <v>0</v>
      </c>
      <c r="W19" s="424">
        <v>0</v>
      </c>
      <c r="X19" s="424">
        <v>0</v>
      </c>
      <c r="Y19" s="1"/>
      <c r="Z19" s="1"/>
      <c r="AA19" s="1"/>
      <c r="AB19" s="1"/>
      <c r="AC19" s="1"/>
      <c r="AD19" s="1"/>
      <c r="AE19" s="1"/>
      <c r="AF19" s="1"/>
      <c r="AG19" s="1"/>
      <c r="AH19" s="1"/>
      <c r="AI19" s="1"/>
      <c r="AJ19"/>
      <c r="AK19"/>
      <c r="AL19"/>
      <c r="AM19"/>
      <c r="AN19"/>
      <c r="AO19"/>
      <c r="AP19"/>
      <c r="AQ19"/>
      <c r="AR19"/>
      <c r="AS19"/>
      <c r="AT19"/>
      <c r="AU19" s="1"/>
    </row>
    <row r="20" spans="1:47" ht="14.4" x14ac:dyDescent="0.3">
      <c r="A20" s="554"/>
      <c r="B20" s="554"/>
      <c r="C20" s="555"/>
      <c r="D20" s="603"/>
      <c r="E20" s="554"/>
      <c r="F20" s="425" t="s">
        <v>226</v>
      </c>
      <c r="G20" s="426">
        <v>2025</v>
      </c>
      <c r="H20" s="432" t="s">
        <v>241</v>
      </c>
      <c r="I20" s="433">
        <v>2.8000000000000001E-2</v>
      </c>
      <c r="J20" s="433">
        <v>2.8000000000000001E-2</v>
      </c>
      <c r="K20" s="433">
        <v>3.4000000000000002E-2</v>
      </c>
      <c r="L20" s="433">
        <v>2.8000000000000001E-2</v>
      </c>
      <c r="M20" s="433">
        <v>3.4000000000000002E-2</v>
      </c>
      <c r="N20" s="433">
        <v>3.4000000000000002E-2</v>
      </c>
      <c r="O20" s="433">
        <v>3.9E-2</v>
      </c>
      <c r="P20" s="433">
        <v>2.8000000000000001E-2</v>
      </c>
      <c r="Q20" s="433">
        <v>2.8000000000000001E-2</v>
      </c>
      <c r="R20" s="433">
        <v>2.8000000000000001E-2</v>
      </c>
      <c r="S20" s="433">
        <v>2.8000000000000001E-2</v>
      </c>
      <c r="T20" s="433">
        <v>2.8000000000000001E-2</v>
      </c>
      <c r="U20" s="433">
        <v>2.8000000000000001E-2</v>
      </c>
      <c r="V20" s="433">
        <v>2.8000000000000001E-2</v>
      </c>
      <c r="W20" s="433">
        <v>2.8000000000000001E-2</v>
      </c>
      <c r="X20" s="433">
        <v>2.8000000000000001E-2</v>
      </c>
      <c r="Y20" s="1"/>
      <c r="Z20" s="1"/>
      <c r="AA20" s="1"/>
      <c r="AB20" s="1"/>
      <c r="AC20" s="1"/>
      <c r="AD20" s="1"/>
      <c r="AE20" s="1"/>
      <c r="AF20" s="1"/>
      <c r="AG20" s="1"/>
      <c r="AH20" s="1"/>
      <c r="AI20" s="1"/>
      <c r="AJ20"/>
      <c r="AK20"/>
      <c r="AL20"/>
      <c r="AM20"/>
      <c r="AN20"/>
      <c r="AO20"/>
      <c r="AP20"/>
      <c r="AQ20"/>
      <c r="AR20"/>
      <c r="AS20"/>
      <c r="AT20"/>
      <c r="AU20" s="1"/>
    </row>
    <row r="21" spans="1:47" s="1" customFormat="1" x14ac:dyDescent="0.25">
      <c r="A21" s="585" t="s">
        <v>242</v>
      </c>
      <c r="B21" s="554" t="str">
        <f>Prototype!$A$2</f>
        <v xml:space="preserve">ApartmentMidRise </v>
      </c>
      <c r="C21" s="555" t="s">
        <v>243</v>
      </c>
      <c r="D21" s="585" t="s">
        <v>244</v>
      </c>
      <c r="E21" s="554" t="s">
        <v>245</v>
      </c>
      <c r="F21" s="534" t="s">
        <v>215</v>
      </c>
      <c r="G21" s="534" t="s">
        <v>216</v>
      </c>
      <c r="H21" s="585" t="s">
        <v>246</v>
      </c>
      <c r="I21" s="351">
        <f t="shared" ref="I21:X22" si="16">(1-$C$74)*1.12+$C$74*1.23</f>
        <v>1.1475</v>
      </c>
      <c r="J21" s="351">
        <f t="shared" si="16"/>
        <v>1.1475</v>
      </c>
      <c r="K21" s="351">
        <f t="shared" si="16"/>
        <v>1.1475</v>
      </c>
      <c r="L21" s="351">
        <f t="shared" si="16"/>
        <v>1.1475</v>
      </c>
      <c r="M21" s="351">
        <f t="shared" si="16"/>
        <v>1.1475</v>
      </c>
      <c r="N21" s="351">
        <f t="shared" si="16"/>
        <v>1.1475</v>
      </c>
      <c r="O21" s="351">
        <f t="shared" si="16"/>
        <v>1.1475</v>
      </c>
      <c r="P21" s="351">
        <f t="shared" si="16"/>
        <v>1.1475</v>
      </c>
      <c r="Q21" s="351">
        <f t="shared" si="16"/>
        <v>1.1475</v>
      </c>
      <c r="R21" s="351">
        <f t="shared" si="16"/>
        <v>1.1475</v>
      </c>
      <c r="S21" s="351">
        <f t="shared" si="16"/>
        <v>1.1475</v>
      </c>
      <c r="T21" s="351">
        <f t="shared" si="16"/>
        <v>1.1475</v>
      </c>
      <c r="U21" s="351">
        <f t="shared" si="16"/>
        <v>1.1475</v>
      </c>
      <c r="V21" s="351">
        <f t="shared" si="16"/>
        <v>1.1475</v>
      </c>
      <c r="W21" s="351">
        <f t="shared" si="16"/>
        <v>1.1475</v>
      </c>
      <c r="X21" s="351">
        <f t="shared" si="16"/>
        <v>1.1475</v>
      </c>
    </row>
    <row r="22" spans="1:47" s="1" customFormat="1" x14ac:dyDescent="0.25">
      <c r="A22" s="555"/>
      <c r="B22" s="554"/>
      <c r="C22" s="555"/>
      <c r="D22" s="555"/>
      <c r="E22" s="554"/>
      <c r="F22" s="534" t="s">
        <v>218</v>
      </c>
      <c r="G22" s="534" t="s">
        <v>216</v>
      </c>
      <c r="H22" s="586"/>
      <c r="I22" s="351">
        <f t="shared" si="16"/>
        <v>1.1475</v>
      </c>
      <c r="J22" s="351">
        <f t="shared" si="16"/>
        <v>1.1475</v>
      </c>
      <c r="K22" s="351">
        <f t="shared" si="16"/>
        <v>1.1475</v>
      </c>
      <c r="L22" s="351">
        <f t="shared" si="16"/>
        <v>1.1475</v>
      </c>
      <c r="M22" s="351">
        <f t="shared" si="16"/>
        <v>1.1475</v>
      </c>
      <c r="N22" s="351">
        <f t="shared" si="16"/>
        <v>1.1475</v>
      </c>
      <c r="O22" s="351">
        <f t="shared" si="16"/>
        <v>1.1475</v>
      </c>
      <c r="P22" s="351">
        <f t="shared" si="16"/>
        <v>1.1475</v>
      </c>
      <c r="Q22" s="351">
        <f t="shared" si="16"/>
        <v>1.1475</v>
      </c>
      <c r="R22" s="351">
        <f t="shared" si="16"/>
        <v>1.1475</v>
      </c>
      <c r="S22" s="351">
        <f t="shared" si="16"/>
        <v>1.1475</v>
      </c>
      <c r="T22" s="351">
        <f t="shared" si="16"/>
        <v>1.1475</v>
      </c>
      <c r="U22" s="351">
        <f t="shared" si="16"/>
        <v>1.1475</v>
      </c>
      <c r="V22" s="351">
        <f t="shared" si="16"/>
        <v>1.1475</v>
      </c>
      <c r="W22" s="351">
        <f t="shared" si="16"/>
        <v>1.1475</v>
      </c>
      <c r="X22" s="351">
        <f t="shared" si="16"/>
        <v>1.1475</v>
      </c>
    </row>
    <row r="23" spans="1:47" s="1" customFormat="1" x14ac:dyDescent="0.25">
      <c r="A23" s="555"/>
      <c r="B23" s="554"/>
      <c r="C23" s="555"/>
      <c r="D23" s="554" t="s">
        <v>247</v>
      </c>
      <c r="E23" s="554"/>
      <c r="F23" s="416" t="s">
        <v>220</v>
      </c>
      <c r="G23" s="416">
        <v>2001</v>
      </c>
      <c r="H23" s="434" t="s">
        <v>248</v>
      </c>
      <c r="I23" s="189">
        <f t="shared" ref="I23:X23" si="17">(1-$C$74)*J93+$C$74*J113</f>
        <v>0.49</v>
      </c>
      <c r="J23" s="189">
        <f t="shared" si="17"/>
        <v>0.49</v>
      </c>
      <c r="K23" s="189">
        <f t="shared" si="17"/>
        <v>0.49</v>
      </c>
      <c r="L23" s="189">
        <f t="shared" si="17"/>
        <v>0.49</v>
      </c>
      <c r="M23" s="189">
        <f t="shared" si="17"/>
        <v>0.49</v>
      </c>
      <c r="N23" s="189">
        <f t="shared" si="17"/>
        <v>0.49</v>
      </c>
      <c r="O23" s="189">
        <f t="shared" si="17"/>
        <v>0.49</v>
      </c>
      <c r="P23" s="189">
        <f t="shared" si="17"/>
        <v>0.49</v>
      </c>
      <c r="Q23" s="189">
        <f t="shared" si="17"/>
        <v>0.49</v>
      </c>
      <c r="R23" s="189">
        <f t="shared" si="17"/>
        <v>0.49</v>
      </c>
      <c r="S23" s="189">
        <f t="shared" si="17"/>
        <v>0.49</v>
      </c>
      <c r="T23" s="189">
        <f t="shared" si="17"/>
        <v>0.49</v>
      </c>
      <c r="U23" s="189">
        <f t="shared" si="17"/>
        <v>0.49</v>
      </c>
      <c r="V23" s="189">
        <f t="shared" si="17"/>
        <v>0.49</v>
      </c>
      <c r="W23" s="189">
        <f t="shared" si="17"/>
        <v>0.49</v>
      </c>
      <c r="X23" s="189">
        <f t="shared" si="17"/>
        <v>0.49</v>
      </c>
    </row>
    <row r="24" spans="1:47" s="1" customFormat="1" x14ac:dyDescent="0.25">
      <c r="A24" s="555"/>
      <c r="B24" s="554"/>
      <c r="C24" s="555"/>
      <c r="D24" s="554"/>
      <c r="E24" s="554"/>
      <c r="F24" s="419" t="s">
        <v>222</v>
      </c>
      <c r="G24" s="419">
        <v>2013</v>
      </c>
      <c r="H24" s="435" t="s">
        <v>249</v>
      </c>
      <c r="I24" s="431">
        <f>(1-$C$74)*J94+$C$74*J114</f>
        <v>0.38500000000000001</v>
      </c>
      <c r="J24" s="431">
        <f t="shared" ref="J24:X24" si="18">(1-$C$74)*K94+$C$74*K114</f>
        <v>0.38500000000000001</v>
      </c>
      <c r="K24" s="431">
        <f t="shared" si="18"/>
        <v>0.38500000000000001</v>
      </c>
      <c r="L24" s="431">
        <f>(1-$C$74)*M94+$C$74*M114</f>
        <v>0.38500000000000001</v>
      </c>
      <c r="M24" s="431">
        <f t="shared" si="18"/>
        <v>0.38500000000000001</v>
      </c>
      <c r="N24" s="431">
        <f t="shared" si="18"/>
        <v>0.38500000000000001</v>
      </c>
      <c r="O24" s="431">
        <f t="shared" si="18"/>
        <v>0.38500000000000001</v>
      </c>
      <c r="P24" s="431">
        <f t="shared" si="18"/>
        <v>0.38500000000000001</v>
      </c>
      <c r="Q24" s="431">
        <f t="shared" si="18"/>
        <v>0.38500000000000001</v>
      </c>
      <c r="R24" s="431">
        <f t="shared" si="18"/>
        <v>0.38500000000000001</v>
      </c>
      <c r="S24" s="431">
        <f t="shared" si="18"/>
        <v>0.38500000000000001</v>
      </c>
      <c r="T24" s="431">
        <f t="shared" si="18"/>
        <v>0.38500000000000001</v>
      </c>
      <c r="U24" s="431">
        <f t="shared" si="18"/>
        <v>0.38500000000000001</v>
      </c>
      <c r="V24" s="431">
        <f t="shared" si="18"/>
        <v>0.38500000000000001</v>
      </c>
      <c r="W24" s="431">
        <f t="shared" si="18"/>
        <v>0.38500000000000001</v>
      </c>
      <c r="X24" s="431">
        <f t="shared" si="18"/>
        <v>0.38500000000000001</v>
      </c>
      <c r="Y24" s="72"/>
      <c r="Z24" s="72"/>
      <c r="AA24" s="72"/>
      <c r="AB24" s="72"/>
      <c r="AC24" s="72"/>
      <c r="AD24" s="72"/>
      <c r="AE24" s="72"/>
      <c r="AF24" s="72"/>
      <c r="AG24" s="72"/>
      <c r="AH24" s="72"/>
      <c r="AI24" s="72"/>
    </row>
    <row r="25" spans="1:47" s="1" customFormat="1" x14ac:dyDescent="0.25">
      <c r="A25" s="555"/>
      <c r="B25" s="554"/>
      <c r="C25" s="555"/>
      <c r="D25" s="554"/>
      <c r="E25" s="554"/>
      <c r="F25" s="422" t="s">
        <v>224</v>
      </c>
      <c r="G25" s="422"/>
      <c r="H25" s="422" t="s">
        <v>225</v>
      </c>
      <c r="I25" s="424" cm="1">
        <f t="array" ref="I25:X25">_xlfn.BYCOL(TRANSPOSE(Weights!$C$4:$F$19)*I21:X24,_xlfn.LAMBDA(_xlpm.c,SUM(_xlpm.c)))</f>
        <v>0</v>
      </c>
      <c r="J25" s="424">
        <v>0</v>
      </c>
      <c r="K25" s="424">
        <v>0</v>
      </c>
      <c r="L25" s="424">
        <v>0</v>
      </c>
      <c r="M25" s="424">
        <v>0</v>
      </c>
      <c r="N25" s="424">
        <v>0</v>
      </c>
      <c r="O25" s="424">
        <v>0</v>
      </c>
      <c r="P25" s="424">
        <v>0</v>
      </c>
      <c r="Q25" s="424">
        <v>0</v>
      </c>
      <c r="R25" s="424">
        <v>0</v>
      </c>
      <c r="S25" s="424">
        <v>0</v>
      </c>
      <c r="T25" s="424">
        <v>0</v>
      </c>
      <c r="U25" s="424">
        <v>0</v>
      </c>
      <c r="V25" s="424">
        <v>0</v>
      </c>
      <c r="W25" s="424">
        <v>0</v>
      </c>
      <c r="X25" s="424">
        <v>0</v>
      </c>
      <c r="Y25" s="72"/>
      <c r="Z25" s="72"/>
      <c r="AA25" s="72"/>
      <c r="AB25" s="72"/>
      <c r="AC25" s="72"/>
      <c r="AD25" s="72"/>
      <c r="AE25" s="72"/>
      <c r="AF25" s="72"/>
      <c r="AG25" s="72"/>
      <c r="AH25" s="72"/>
      <c r="AI25" s="72"/>
    </row>
    <row r="26" spans="1:47" s="1" customFormat="1" x14ac:dyDescent="0.25">
      <c r="A26" s="555"/>
      <c r="B26" s="554"/>
      <c r="C26" s="555"/>
      <c r="D26" s="554"/>
      <c r="E26" s="554"/>
      <c r="F26" s="425" t="s">
        <v>226</v>
      </c>
      <c r="G26" s="426">
        <v>2025</v>
      </c>
      <c r="H26" s="427" t="s">
        <v>250</v>
      </c>
      <c r="I26" s="428">
        <v>0.28000000000000003</v>
      </c>
      <c r="J26" s="428">
        <v>0.3</v>
      </c>
      <c r="K26" s="428">
        <v>0.28000000000000003</v>
      </c>
      <c r="L26" s="428">
        <v>0.28000000000000003</v>
      </c>
      <c r="M26" s="428">
        <v>0.28000000000000003</v>
      </c>
      <c r="N26" s="428">
        <v>0.34</v>
      </c>
      <c r="O26" s="428">
        <v>0.34</v>
      </c>
      <c r="P26" s="428">
        <v>0.3</v>
      </c>
      <c r="Q26" s="428">
        <v>0.3</v>
      </c>
      <c r="R26" s="428">
        <v>0.3</v>
      </c>
      <c r="S26" s="428">
        <v>0.28000000000000003</v>
      </c>
      <c r="T26" s="428">
        <v>0.3</v>
      </c>
      <c r="U26" s="428">
        <v>0.28000000000000003</v>
      </c>
      <c r="V26" s="428">
        <v>0.28000000000000003</v>
      </c>
      <c r="W26" s="428">
        <v>0.28000000000000003</v>
      </c>
      <c r="X26" s="428">
        <v>0.28000000000000003</v>
      </c>
      <c r="Y26" s="73"/>
      <c r="Z26" s="73"/>
      <c r="AA26" s="73"/>
      <c r="AB26" s="73"/>
      <c r="AC26" s="73"/>
      <c r="AD26" s="73"/>
      <c r="AE26" s="73"/>
      <c r="AF26" s="73"/>
      <c r="AG26" s="73"/>
      <c r="AH26" s="73"/>
      <c r="AI26" s="73"/>
    </row>
    <row r="27" spans="1:47" s="1" customFormat="1" x14ac:dyDescent="0.25">
      <c r="A27" s="555"/>
      <c r="B27" s="554"/>
      <c r="C27" s="555"/>
      <c r="D27" s="585" t="s">
        <v>244</v>
      </c>
      <c r="E27" s="554" t="s">
        <v>251</v>
      </c>
      <c r="F27" s="534" t="s">
        <v>215</v>
      </c>
      <c r="G27" s="534" t="s">
        <v>216</v>
      </c>
      <c r="H27" s="585" t="s">
        <v>252</v>
      </c>
      <c r="I27" s="844">
        <f t="shared" ref="I27:X28" si="19">(1-$C$74)*0.79+$C$74*0.78</f>
        <v>0.78750000000000009</v>
      </c>
      <c r="J27" s="844">
        <f t="shared" si="19"/>
        <v>0.78750000000000009</v>
      </c>
      <c r="K27" s="844">
        <f t="shared" si="19"/>
        <v>0.78750000000000009</v>
      </c>
      <c r="L27" s="844">
        <f t="shared" si="19"/>
        <v>0.78750000000000009</v>
      </c>
      <c r="M27" s="844">
        <f t="shared" si="19"/>
        <v>0.78750000000000009</v>
      </c>
      <c r="N27" s="844">
        <f t="shared" si="19"/>
        <v>0.78750000000000009</v>
      </c>
      <c r="O27" s="844">
        <f t="shared" si="19"/>
        <v>0.78750000000000009</v>
      </c>
      <c r="P27" s="844">
        <f t="shared" si="19"/>
        <v>0.78750000000000009</v>
      </c>
      <c r="Q27" s="844">
        <f t="shared" si="19"/>
        <v>0.78750000000000009</v>
      </c>
      <c r="R27" s="844">
        <f t="shared" si="19"/>
        <v>0.78750000000000009</v>
      </c>
      <c r="S27" s="844">
        <f t="shared" si="19"/>
        <v>0.78750000000000009</v>
      </c>
      <c r="T27" s="844">
        <f t="shared" si="19"/>
        <v>0.78750000000000009</v>
      </c>
      <c r="U27" s="844">
        <f t="shared" si="19"/>
        <v>0.78750000000000009</v>
      </c>
      <c r="V27" s="844">
        <f t="shared" si="19"/>
        <v>0.78750000000000009</v>
      </c>
      <c r="W27" s="844">
        <f t="shared" si="19"/>
        <v>0.78750000000000009</v>
      </c>
      <c r="X27" s="844">
        <f t="shared" si="19"/>
        <v>0.78750000000000009</v>
      </c>
      <c r="Y27" s="72"/>
      <c r="Z27" s="72"/>
      <c r="AA27" s="72"/>
      <c r="AB27" s="72"/>
      <c r="AC27" s="72"/>
      <c r="AD27" s="72"/>
      <c r="AE27" s="72"/>
      <c r="AF27" s="72"/>
      <c r="AG27" s="72"/>
      <c r="AH27" s="72"/>
      <c r="AI27" s="72"/>
    </row>
    <row r="28" spans="1:47" s="1" customFormat="1" x14ac:dyDescent="0.25">
      <c r="A28" s="555"/>
      <c r="B28" s="554"/>
      <c r="C28" s="555"/>
      <c r="D28" s="555"/>
      <c r="E28" s="554"/>
      <c r="F28" s="415" t="s">
        <v>218</v>
      </c>
      <c r="G28" s="415" t="s">
        <v>216</v>
      </c>
      <c r="H28" s="586"/>
      <c r="I28" s="845">
        <f t="shared" si="19"/>
        <v>0.78750000000000009</v>
      </c>
      <c r="J28" s="845">
        <f t="shared" si="19"/>
        <v>0.78750000000000009</v>
      </c>
      <c r="K28" s="845">
        <f t="shared" si="19"/>
        <v>0.78750000000000009</v>
      </c>
      <c r="L28" s="845">
        <f t="shared" si="19"/>
        <v>0.78750000000000009</v>
      </c>
      <c r="M28" s="845">
        <f t="shared" si="19"/>
        <v>0.78750000000000009</v>
      </c>
      <c r="N28" s="845">
        <f t="shared" si="19"/>
        <v>0.78750000000000009</v>
      </c>
      <c r="O28" s="845">
        <f t="shared" si="19"/>
        <v>0.78750000000000009</v>
      </c>
      <c r="P28" s="845">
        <f t="shared" si="19"/>
        <v>0.78750000000000009</v>
      </c>
      <c r="Q28" s="845">
        <f t="shared" si="19"/>
        <v>0.78750000000000009</v>
      </c>
      <c r="R28" s="845">
        <f t="shared" si="19"/>
        <v>0.78750000000000009</v>
      </c>
      <c r="S28" s="845">
        <f t="shared" si="19"/>
        <v>0.78750000000000009</v>
      </c>
      <c r="T28" s="845">
        <f t="shared" si="19"/>
        <v>0.78750000000000009</v>
      </c>
      <c r="U28" s="845">
        <f t="shared" si="19"/>
        <v>0.78750000000000009</v>
      </c>
      <c r="V28" s="845">
        <f t="shared" si="19"/>
        <v>0.78750000000000009</v>
      </c>
      <c r="W28" s="845">
        <f t="shared" si="19"/>
        <v>0.78750000000000009</v>
      </c>
      <c r="X28" s="845">
        <f t="shared" si="19"/>
        <v>0.78750000000000009</v>
      </c>
      <c r="Y28" s="72"/>
      <c r="Z28" s="72"/>
      <c r="AA28" s="72"/>
      <c r="AB28" s="72"/>
      <c r="AC28" s="72"/>
      <c r="AD28" s="72"/>
      <c r="AE28" s="72"/>
      <c r="AF28" s="72"/>
      <c r="AG28" s="72"/>
      <c r="AH28" s="72"/>
      <c r="AI28" s="72"/>
    </row>
    <row r="29" spans="1:47" s="1" customFormat="1" ht="26.4" x14ac:dyDescent="0.25">
      <c r="A29" s="555"/>
      <c r="B29" s="554"/>
      <c r="C29" s="555"/>
      <c r="D29" s="554" t="s">
        <v>247</v>
      </c>
      <c r="E29" s="554"/>
      <c r="F29" s="416" t="s">
        <v>220</v>
      </c>
      <c r="G29" s="416">
        <v>2001</v>
      </c>
      <c r="H29" s="417" t="s">
        <v>253</v>
      </c>
      <c r="I29" s="846">
        <f>J135</f>
        <v>0.36</v>
      </c>
      <c r="J29" s="846">
        <f t="shared" ref="J29:X29" si="20">K134</f>
        <v>0.4</v>
      </c>
      <c r="K29" s="846">
        <f t="shared" si="20"/>
        <v>0.61</v>
      </c>
      <c r="L29" s="846">
        <f t="shared" si="20"/>
        <v>0.61</v>
      </c>
      <c r="M29" s="846">
        <f t="shared" si="20"/>
        <v>0.61</v>
      </c>
      <c r="N29" s="846">
        <f t="shared" si="20"/>
        <v>0.61</v>
      </c>
      <c r="O29" s="846">
        <f t="shared" si="20"/>
        <v>0.61</v>
      </c>
      <c r="P29" s="846">
        <f t="shared" si="20"/>
        <v>0.61</v>
      </c>
      <c r="Q29" s="846">
        <f t="shared" si="20"/>
        <v>0.61</v>
      </c>
      <c r="R29" s="846">
        <f t="shared" si="20"/>
        <v>0.4</v>
      </c>
      <c r="S29" s="846">
        <f t="shared" si="20"/>
        <v>0.4</v>
      </c>
      <c r="T29" s="846">
        <f t="shared" si="20"/>
        <v>0.4</v>
      </c>
      <c r="U29" s="846">
        <f t="shared" si="20"/>
        <v>0.4</v>
      </c>
      <c r="V29" s="846">
        <f t="shared" si="20"/>
        <v>0.43</v>
      </c>
      <c r="W29" s="846">
        <f t="shared" si="20"/>
        <v>0.43</v>
      </c>
      <c r="X29" s="846">
        <f t="shared" si="20"/>
        <v>0.47</v>
      </c>
      <c r="Y29" s="72"/>
      <c r="Z29" s="72"/>
      <c r="AA29" s="72"/>
      <c r="AB29" s="72"/>
      <c r="AC29" s="72"/>
      <c r="AD29" s="72"/>
      <c r="AE29" s="72"/>
      <c r="AF29" s="72"/>
      <c r="AG29" s="72"/>
      <c r="AH29" s="72"/>
      <c r="AI29" s="72"/>
    </row>
    <row r="30" spans="1:47" s="1" customFormat="1" x14ac:dyDescent="0.25">
      <c r="A30" s="555"/>
      <c r="B30" s="554"/>
      <c r="C30" s="555"/>
      <c r="D30" s="554"/>
      <c r="E30" s="554"/>
      <c r="F30" s="419" t="s">
        <v>222</v>
      </c>
      <c r="G30" s="419">
        <v>2013</v>
      </c>
      <c r="H30" s="435" t="s">
        <v>254</v>
      </c>
      <c r="I30" s="847">
        <f t="shared" ref="I30:X30" si="21">(1-$C$74)*J99+$C$74*J119</f>
        <v>0.24249999999999999</v>
      </c>
      <c r="J30" s="847">
        <f t="shared" si="21"/>
        <v>0.24249999999999999</v>
      </c>
      <c r="K30" s="847">
        <f t="shared" si="21"/>
        <v>0.24249999999999999</v>
      </c>
      <c r="L30" s="847">
        <f t="shared" si="21"/>
        <v>0.24249999999999999</v>
      </c>
      <c r="M30" s="847">
        <f t="shared" si="21"/>
        <v>0.24249999999999999</v>
      </c>
      <c r="N30" s="847">
        <f t="shared" si="21"/>
        <v>0.24249999999999999</v>
      </c>
      <c r="O30" s="847">
        <f t="shared" si="21"/>
        <v>0.24249999999999999</v>
      </c>
      <c r="P30" s="847">
        <f t="shared" si="21"/>
        <v>0.24249999999999999</v>
      </c>
      <c r="Q30" s="847">
        <f t="shared" si="21"/>
        <v>0.24249999999999999</v>
      </c>
      <c r="R30" s="847">
        <f t="shared" si="21"/>
        <v>0.24249999999999999</v>
      </c>
      <c r="S30" s="847">
        <f t="shared" si="21"/>
        <v>0.24249999999999999</v>
      </c>
      <c r="T30" s="847">
        <f t="shared" si="21"/>
        <v>0.24249999999999999</v>
      </c>
      <c r="U30" s="847">
        <f t="shared" si="21"/>
        <v>0.24249999999999999</v>
      </c>
      <c r="V30" s="847">
        <f t="shared" si="21"/>
        <v>0.24249999999999999</v>
      </c>
      <c r="W30" s="847">
        <f t="shared" si="21"/>
        <v>0.24249999999999999</v>
      </c>
      <c r="X30" s="847">
        <f t="shared" si="21"/>
        <v>0.24249999999999999</v>
      </c>
      <c r="Y30" s="72"/>
      <c r="Z30" s="72"/>
      <c r="AA30" s="72"/>
      <c r="AB30" s="72"/>
      <c r="AC30" s="72"/>
      <c r="AD30" s="72"/>
      <c r="AE30" s="72"/>
      <c r="AF30" s="72"/>
      <c r="AG30" s="72"/>
      <c r="AH30" s="72"/>
      <c r="AI30" s="72"/>
    </row>
    <row r="31" spans="1:47" s="1" customFormat="1" x14ac:dyDescent="0.25">
      <c r="A31" s="555"/>
      <c r="B31" s="554"/>
      <c r="C31" s="555"/>
      <c r="D31" s="554"/>
      <c r="E31" s="554"/>
      <c r="F31" s="422" t="s">
        <v>224</v>
      </c>
      <c r="G31" s="422"/>
      <c r="H31" s="422" t="s">
        <v>225</v>
      </c>
      <c r="I31" s="848" cm="1">
        <f t="array" ref="I31:X31">_xlfn.BYCOL(TRANSPOSE(Weights!$C$4:$F$19)*I27:X30,_xlfn.LAMBDA(_xlpm.c,SUM(_xlpm.c)))</f>
        <v>0</v>
      </c>
      <c r="J31" s="848">
        <v>0</v>
      </c>
      <c r="K31" s="848">
        <v>0</v>
      </c>
      <c r="L31" s="848">
        <v>0</v>
      </c>
      <c r="M31" s="848">
        <v>0</v>
      </c>
      <c r="N31" s="848">
        <v>0</v>
      </c>
      <c r="O31" s="848">
        <v>0</v>
      </c>
      <c r="P31" s="848">
        <v>0</v>
      </c>
      <c r="Q31" s="848">
        <v>0</v>
      </c>
      <c r="R31" s="848">
        <v>0</v>
      </c>
      <c r="S31" s="848">
        <v>0</v>
      </c>
      <c r="T31" s="848">
        <v>0</v>
      </c>
      <c r="U31" s="848">
        <v>0</v>
      </c>
      <c r="V31" s="848">
        <v>0</v>
      </c>
      <c r="W31" s="848">
        <v>0</v>
      </c>
      <c r="X31" s="848">
        <v>0</v>
      </c>
      <c r="Y31" s="72"/>
      <c r="Z31" s="72"/>
      <c r="AA31" s="72"/>
      <c r="AB31" s="72"/>
      <c r="AC31" s="72"/>
      <c r="AD31" s="72"/>
      <c r="AE31" s="72"/>
      <c r="AF31" s="72"/>
      <c r="AG31" s="72"/>
      <c r="AH31" s="72"/>
      <c r="AI31" s="72"/>
    </row>
    <row r="32" spans="1:47" s="1" customFormat="1" ht="30.75" customHeight="1" x14ac:dyDescent="0.25">
      <c r="A32" s="555"/>
      <c r="B32" s="554"/>
      <c r="C32" s="555"/>
      <c r="D32" s="554"/>
      <c r="E32" s="554"/>
      <c r="F32" s="425" t="s">
        <v>226</v>
      </c>
      <c r="G32" s="426">
        <v>2025</v>
      </c>
      <c r="H32" s="432" t="s">
        <v>777</v>
      </c>
      <c r="I32" s="843">
        <v>0.6</v>
      </c>
      <c r="J32" s="843">
        <v>0.23</v>
      </c>
      <c r="K32" s="843">
        <v>0.6</v>
      </c>
      <c r="L32" s="843">
        <v>0.23</v>
      </c>
      <c r="M32" s="843">
        <v>0.6</v>
      </c>
      <c r="N32" s="843">
        <v>0.23</v>
      </c>
      <c r="O32" s="843">
        <v>0.23</v>
      </c>
      <c r="P32" s="843">
        <v>0.23</v>
      </c>
      <c r="Q32" s="843">
        <v>0.23</v>
      </c>
      <c r="R32" s="843">
        <v>0.23</v>
      </c>
      <c r="S32" s="843">
        <v>0.23</v>
      </c>
      <c r="T32" s="843">
        <v>0.23</v>
      </c>
      <c r="U32" s="843">
        <v>0.23</v>
      </c>
      <c r="V32" s="843">
        <v>0.23</v>
      </c>
      <c r="W32" s="843">
        <v>0.23</v>
      </c>
      <c r="X32" s="843">
        <v>0.6</v>
      </c>
      <c r="Y32" s="73"/>
      <c r="Z32" s="73"/>
      <c r="AA32" s="73"/>
      <c r="AB32" s="73"/>
      <c r="AC32" s="73"/>
      <c r="AD32" s="73"/>
      <c r="AE32" s="73"/>
      <c r="AF32" s="73"/>
      <c r="AG32" s="73"/>
      <c r="AH32" s="73"/>
      <c r="AI32" s="73"/>
    </row>
    <row r="33" spans="1:35" s="1" customFormat="1" x14ac:dyDescent="0.25">
      <c r="A33" s="585" t="s">
        <v>255</v>
      </c>
      <c r="B33" s="554" t="str">
        <f>Prototype!$A$2</f>
        <v xml:space="preserve">ApartmentMidRise </v>
      </c>
      <c r="C33" s="555" t="s">
        <v>256</v>
      </c>
      <c r="D33" s="585" t="s">
        <v>244</v>
      </c>
      <c r="E33" s="554" t="s">
        <v>245</v>
      </c>
      <c r="F33" s="534" t="s">
        <v>215</v>
      </c>
      <c r="G33" s="534" t="s">
        <v>216</v>
      </c>
      <c r="H33" s="585" t="s">
        <v>257</v>
      </c>
      <c r="I33" s="849">
        <v>1.1200000000000001</v>
      </c>
      <c r="J33" s="849">
        <v>1.1200000000000001</v>
      </c>
      <c r="K33" s="849">
        <v>1.1200000000000001</v>
      </c>
      <c r="L33" s="849">
        <v>1.1200000000000001</v>
      </c>
      <c r="M33" s="849">
        <v>1.1200000000000001</v>
      </c>
      <c r="N33" s="849">
        <v>1.1200000000000001</v>
      </c>
      <c r="O33" s="849">
        <v>1.1200000000000001</v>
      </c>
      <c r="P33" s="849">
        <v>1.1200000000000001</v>
      </c>
      <c r="Q33" s="849">
        <v>1.1200000000000001</v>
      </c>
      <c r="R33" s="849">
        <v>1.1200000000000001</v>
      </c>
      <c r="S33" s="849">
        <v>1.1200000000000001</v>
      </c>
      <c r="T33" s="849">
        <v>1.1200000000000001</v>
      </c>
      <c r="U33" s="849">
        <v>1.1200000000000001</v>
      </c>
      <c r="V33" s="849">
        <v>1.1200000000000001</v>
      </c>
      <c r="W33" s="849">
        <v>1.1200000000000001</v>
      </c>
      <c r="X33" s="849">
        <v>1.1200000000000001</v>
      </c>
      <c r="Y33" s="72"/>
      <c r="Z33" s="72"/>
      <c r="AA33" s="72"/>
      <c r="AB33" s="72"/>
      <c r="AC33" s="72"/>
      <c r="AD33" s="72"/>
      <c r="AE33" s="72"/>
      <c r="AF33" s="72"/>
      <c r="AG33" s="72"/>
      <c r="AH33" s="72"/>
      <c r="AI33" s="72"/>
    </row>
    <row r="34" spans="1:35" s="1" customFormat="1" x14ac:dyDescent="0.25">
      <c r="A34" s="555"/>
      <c r="B34" s="554"/>
      <c r="C34" s="555"/>
      <c r="D34" s="555"/>
      <c r="E34" s="554"/>
      <c r="F34" s="415" t="s">
        <v>218</v>
      </c>
      <c r="G34" s="415" t="s">
        <v>216</v>
      </c>
      <c r="H34" s="586"/>
      <c r="I34" s="850">
        <v>1.1200000000000001</v>
      </c>
      <c r="J34" s="850">
        <v>1.1200000000000001</v>
      </c>
      <c r="K34" s="850">
        <v>1.1200000000000001</v>
      </c>
      <c r="L34" s="850">
        <v>1.1200000000000001</v>
      </c>
      <c r="M34" s="850">
        <v>1.1200000000000001</v>
      </c>
      <c r="N34" s="850">
        <v>1.1200000000000001</v>
      </c>
      <c r="O34" s="850">
        <v>1.1200000000000001</v>
      </c>
      <c r="P34" s="850">
        <v>1.1200000000000001</v>
      </c>
      <c r="Q34" s="850">
        <v>1.1200000000000001</v>
      </c>
      <c r="R34" s="850">
        <v>1.1200000000000001</v>
      </c>
      <c r="S34" s="850">
        <v>1.1200000000000001</v>
      </c>
      <c r="T34" s="850">
        <v>1.1200000000000001</v>
      </c>
      <c r="U34" s="850">
        <v>1.1200000000000001</v>
      </c>
      <c r="V34" s="850">
        <v>1.1200000000000001</v>
      </c>
      <c r="W34" s="850">
        <v>1.1200000000000001</v>
      </c>
      <c r="X34" s="850">
        <v>1.1200000000000001</v>
      </c>
      <c r="Y34" s="72"/>
      <c r="Z34" s="72"/>
      <c r="AA34" s="72"/>
      <c r="AB34" s="72"/>
      <c r="AC34" s="72"/>
      <c r="AD34" s="72"/>
      <c r="AE34" s="72"/>
      <c r="AF34" s="72"/>
      <c r="AG34" s="72"/>
      <c r="AH34" s="72"/>
      <c r="AI34" s="72"/>
    </row>
    <row r="35" spans="1:35" s="1" customFormat="1" ht="33" customHeight="1" x14ac:dyDescent="0.25">
      <c r="A35" s="555"/>
      <c r="B35" s="554"/>
      <c r="C35" s="555"/>
      <c r="D35" s="554" t="s">
        <v>247</v>
      </c>
      <c r="E35" s="554"/>
      <c r="F35" s="416" t="s">
        <v>220</v>
      </c>
      <c r="G35" s="416">
        <v>2001</v>
      </c>
      <c r="H35" s="417" t="s">
        <v>258</v>
      </c>
      <c r="I35" s="846">
        <f t="shared" ref="I35:X35" si="22">J103</f>
        <v>0.49</v>
      </c>
      <c r="J35" s="846">
        <f t="shared" si="22"/>
        <v>0.49</v>
      </c>
      <c r="K35" s="846">
        <f t="shared" si="22"/>
        <v>0.81</v>
      </c>
      <c r="L35" s="846">
        <f t="shared" si="22"/>
        <v>0.81</v>
      </c>
      <c r="M35" s="846">
        <f t="shared" si="22"/>
        <v>0.81</v>
      </c>
      <c r="N35" s="846">
        <f t="shared" si="22"/>
        <v>0.81</v>
      </c>
      <c r="O35" s="846">
        <f t="shared" si="22"/>
        <v>0.81</v>
      </c>
      <c r="P35" s="846">
        <f t="shared" si="22"/>
        <v>0.81</v>
      </c>
      <c r="Q35" s="846">
        <f t="shared" si="22"/>
        <v>0.81</v>
      </c>
      <c r="R35" s="846">
        <f t="shared" si="22"/>
        <v>0.49</v>
      </c>
      <c r="S35" s="846">
        <f t="shared" si="22"/>
        <v>0.49</v>
      </c>
      <c r="T35" s="846">
        <f t="shared" si="22"/>
        <v>0.49</v>
      </c>
      <c r="U35" s="846">
        <f t="shared" si="22"/>
        <v>0.49</v>
      </c>
      <c r="V35" s="846">
        <f t="shared" si="22"/>
        <v>0.49</v>
      </c>
      <c r="W35" s="846">
        <f t="shared" si="22"/>
        <v>0.49</v>
      </c>
      <c r="X35" s="846">
        <f t="shared" si="22"/>
        <v>0.49</v>
      </c>
      <c r="Y35" s="72"/>
      <c r="Z35" s="72"/>
      <c r="AA35" s="72"/>
      <c r="AB35" s="72"/>
      <c r="AC35" s="72"/>
      <c r="AD35" s="72"/>
      <c r="AE35" s="72"/>
      <c r="AF35" s="72"/>
      <c r="AG35" s="72"/>
      <c r="AH35" s="72"/>
      <c r="AI35" s="72"/>
    </row>
    <row r="36" spans="1:35" s="1" customFormat="1" x14ac:dyDescent="0.25">
      <c r="A36" s="555"/>
      <c r="B36" s="554"/>
      <c r="C36" s="555"/>
      <c r="D36" s="554"/>
      <c r="E36" s="554"/>
      <c r="F36" s="419" t="s">
        <v>222</v>
      </c>
      <c r="G36" s="419">
        <v>2013</v>
      </c>
      <c r="H36" s="435" t="s">
        <v>259</v>
      </c>
      <c r="I36" s="847">
        <f>J104</f>
        <v>0.36</v>
      </c>
      <c r="J36" s="847">
        <f t="shared" ref="J36:X36" si="23">K104</f>
        <v>0.36</v>
      </c>
      <c r="K36" s="847">
        <f t="shared" si="23"/>
        <v>0.36</v>
      </c>
      <c r="L36" s="847">
        <f t="shared" si="23"/>
        <v>0.36</v>
      </c>
      <c r="M36" s="847">
        <f t="shared" si="23"/>
        <v>0.36</v>
      </c>
      <c r="N36" s="847">
        <f t="shared" si="23"/>
        <v>0.36</v>
      </c>
      <c r="O36" s="847">
        <f t="shared" si="23"/>
        <v>0.36</v>
      </c>
      <c r="P36" s="847">
        <f t="shared" si="23"/>
        <v>0.36</v>
      </c>
      <c r="Q36" s="847">
        <f t="shared" si="23"/>
        <v>0.36</v>
      </c>
      <c r="R36" s="847">
        <f t="shared" si="23"/>
        <v>0.36</v>
      </c>
      <c r="S36" s="847">
        <f t="shared" si="23"/>
        <v>0.36</v>
      </c>
      <c r="T36" s="847">
        <f t="shared" si="23"/>
        <v>0.36</v>
      </c>
      <c r="U36" s="847">
        <f t="shared" si="23"/>
        <v>0.36</v>
      </c>
      <c r="V36" s="847">
        <f t="shared" si="23"/>
        <v>0.36</v>
      </c>
      <c r="W36" s="847">
        <f t="shared" si="23"/>
        <v>0.36</v>
      </c>
      <c r="X36" s="847">
        <f t="shared" si="23"/>
        <v>0.36</v>
      </c>
      <c r="Y36" s="72"/>
      <c r="Z36" s="72"/>
      <c r="AA36" s="72"/>
      <c r="AB36" s="72"/>
      <c r="AC36" s="72"/>
      <c r="AD36" s="72"/>
      <c r="AE36" s="72"/>
      <c r="AF36" s="72"/>
      <c r="AG36" s="72"/>
      <c r="AH36" s="72"/>
      <c r="AI36" s="72"/>
    </row>
    <row r="37" spans="1:35" s="1" customFormat="1" x14ac:dyDescent="0.25">
      <c r="A37" s="555"/>
      <c r="B37" s="554"/>
      <c r="C37" s="555"/>
      <c r="D37" s="554"/>
      <c r="E37" s="554"/>
      <c r="F37" s="422" t="s">
        <v>224</v>
      </c>
      <c r="G37" s="422"/>
      <c r="H37" s="422" t="s">
        <v>225</v>
      </c>
      <c r="I37" s="848" cm="1">
        <f t="array" ref="I37:X37">_xlfn.BYCOL(TRANSPOSE(Weights!$C$4:$F$19)*I33:X36,_xlfn.LAMBDA(_xlpm.c,SUM(_xlpm.c)))</f>
        <v>0</v>
      </c>
      <c r="J37" s="848">
        <v>0</v>
      </c>
      <c r="K37" s="848">
        <v>0</v>
      </c>
      <c r="L37" s="848">
        <v>0</v>
      </c>
      <c r="M37" s="848">
        <v>0</v>
      </c>
      <c r="N37" s="848">
        <v>0</v>
      </c>
      <c r="O37" s="848">
        <v>0</v>
      </c>
      <c r="P37" s="848">
        <v>0</v>
      </c>
      <c r="Q37" s="848">
        <v>0</v>
      </c>
      <c r="R37" s="848">
        <v>0</v>
      </c>
      <c r="S37" s="848">
        <v>0</v>
      </c>
      <c r="T37" s="848">
        <v>0</v>
      </c>
      <c r="U37" s="848">
        <v>0</v>
      </c>
      <c r="V37" s="848">
        <v>0</v>
      </c>
      <c r="W37" s="848">
        <v>0</v>
      </c>
      <c r="X37" s="848">
        <v>0</v>
      </c>
      <c r="Y37" s="72"/>
      <c r="Z37" s="72"/>
      <c r="AA37" s="72"/>
      <c r="AB37" s="72"/>
      <c r="AC37" s="72"/>
      <c r="AD37" s="72"/>
      <c r="AE37" s="72"/>
      <c r="AF37" s="72"/>
      <c r="AG37" s="72"/>
      <c r="AH37" s="72"/>
      <c r="AI37" s="72"/>
    </row>
    <row r="38" spans="1:35" s="1" customFormat="1" x14ac:dyDescent="0.25">
      <c r="A38" s="555"/>
      <c r="B38" s="554"/>
      <c r="C38" s="555"/>
      <c r="D38" s="554"/>
      <c r="E38" s="554"/>
      <c r="F38" s="425" t="s">
        <v>226</v>
      </c>
      <c r="G38" s="426">
        <v>2025</v>
      </c>
      <c r="H38" s="432" t="s">
        <v>260</v>
      </c>
      <c r="I38" s="843">
        <f>J105</f>
        <v>0.36</v>
      </c>
      <c r="J38" s="843">
        <f t="shared" ref="J38:X38" si="24">K105</f>
        <v>0.36</v>
      </c>
      <c r="K38" s="843">
        <f t="shared" si="24"/>
        <v>0.36</v>
      </c>
      <c r="L38" s="843">
        <f t="shared" si="24"/>
        <v>0.36</v>
      </c>
      <c r="M38" s="843">
        <f t="shared" si="24"/>
        <v>0.36</v>
      </c>
      <c r="N38" s="843">
        <f t="shared" si="24"/>
        <v>0.36</v>
      </c>
      <c r="O38" s="843">
        <f t="shared" si="24"/>
        <v>0.36</v>
      </c>
      <c r="P38" s="843">
        <f t="shared" si="24"/>
        <v>0.36</v>
      </c>
      <c r="Q38" s="843">
        <f t="shared" si="24"/>
        <v>0.34</v>
      </c>
      <c r="R38" s="843">
        <f t="shared" si="24"/>
        <v>0.36</v>
      </c>
      <c r="S38" s="843">
        <f t="shared" si="24"/>
        <v>0.34</v>
      </c>
      <c r="T38" s="843">
        <f t="shared" si="24"/>
        <v>0.34</v>
      </c>
      <c r="U38" s="843">
        <f t="shared" si="24"/>
        <v>0.34</v>
      </c>
      <c r="V38" s="843">
        <f t="shared" si="24"/>
        <v>0.34</v>
      </c>
      <c r="W38" s="843">
        <f t="shared" si="24"/>
        <v>0.34</v>
      </c>
      <c r="X38" s="843">
        <f t="shared" si="24"/>
        <v>0.36</v>
      </c>
      <c r="Y38" s="72"/>
      <c r="Z38" s="72"/>
      <c r="AA38" s="72"/>
      <c r="AB38" s="72"/>
      <c r="AC38" s="72"/>
      <c r="AD38" s="72"/>
      <c r="AE38" s="72"/>
      <c r="AF38" s="72"/>
      <c r="AG38" s="72"/>
      <c r="AH38" s="72"/>
      <c r="AI38" s="72"/>
    </row>
    <row r="39" spans="1:35" s="1" customFormat="1" x14ac:dyDescent="0.25">
      <c r="A39" s="555"/>
      <c r="B39" s="554"/>
      <c r="C39" s="555"/>
      <c r="D39" s="585" t="s">
        <v>244</v>
      </c>
      <c r="E39" s="554" t="s">
        <v>251</v>
      </c>
      <c r="F39" s="534" t="s">
        <v>215</v>
      </c>
      <c r="G39" s="534" t="s">
        <v>216</v>
      </c>
      <c r="H39" s="585" t="s">
        <v>261</v>
      </c>
      <c r="I39" s="849">
        <v>0.79</v>
      </c>
      <c r="J39" s="849">
        <v>0.79</v>
      </c>
      <c r="K39" s="849">
        <v>0.79</v>
      </c>
      <c r="L39" s="849">
        <v>0.79</v>
      </c>
      <c r="M39" s="849">
        <v>0.79</v>
      </c>
      <c r="N39" s="849">
        <v>0.79</v>
      </c>
      <c r="O39" s="849">
        <v>0.79</v>
      </c>
      <c r="P39" s="849">
        <v>0.79</v>
      </c>
      <c r="Q39" s="849">
        <v>0.79</v>
      </c>
      <c r="R39" s="849">
        <v>0.79</v>
      </c>
      <c r="S39" s="849">
        <v>0.79</v>
      </c>
      <c r="T39" s="849">
        <v>0.79</v>
      </c>
      <c r="U39" s="849">
        <v>0.79</v>
      </c>
      <c r="V39" s="849">
        <v>0.79</v>
      </c>
      <c r="W39" s="849">
        <v>0.79</v>
      </c>
      <c r="X39" s="849">
        <v>0.79</v>
      </c>
    </row>
    <row r="40" spans="1:35" s="1" customFormat="1" x14ac:dyDescent="0.25">
      <c r="A40" s="555"/>
      <c r="B40" s="554"/>
      <c r="C40" s="555"/>
      <c r="D40" s="555"/>
      <c r="E40" s="554"/>
      <c r="F40" s="415" t="s">
        <v>218</v>
      </c>
      <c r="G40" s="415" t="s">
        <v>216</v>
      </c>
      <c r="H40" s="586"/>
      <c r="I40" s="850">
        <v>0.79</v>
      </c>
      <c r="J40" s="850">
        <v>0.79</v>
      </c>
      <c r="K40" s="850">
        <v>0.79</v>
      </c>
      <c r="L40" s="850">
        <v>0.79</v>
      </c>
      <c r="M40" s="850">
        <v>0.79</v>
      </c>
      <c r="N40" s="850">
        <v>0.79</v>
      </c>
      <c r="O40" s="850">
        <v>0.79</v>
      </c>
      <c r="P40" s="850">
        <v>0.79</v>
      </c>
      <c r="Q40" s="850">
        <v>0.79</v>
      </c>
      <c r="R40" s="850">
        <v>0.79</v>
      </c>
      <c r="S40" s="850">
        <v>0.79</v>
      </c>
      <c r="T40" s="850">
        <v>0.79</v>
      </c>
      <c r="U40" s="850">
        <v>0.79</v>
      </c>
      <c r="V40" s="850">
        <v>0.79</v>
      </c>
      <c r="W40" s="850">
        <v>0.79</v>
      </c>
      <c r="X40" s="850">
        <v>0.79</v>
      </c>
    </row>
    <row r="41" spans="1:35" s="1" customFormat="1" ht="26.4" x14ac:dyDescent="0.25">
      <c r="A41" s="555"/>
      <c r="B41" s="554"/>
      <c r="C41" s="555"/>
      <c r="D41" s="554" t="s">
        <v>247</v>
      </c>
      <c r="E41" s="554"/>
      <c r="F41" s="416" t="s">
        <v>220</v>
      </c>
      <c r="G41" s="416">
        <v>2001</v>
      </c>
      <c r="H41" s="417" t="s">
        <v>262</v>
      </c>
      <c r="I41" s="846">
        <f>J139</f>
        <v>0.43</v>
      </c>
      <c r="J41" s="846">
        <f t="shared" ref="J41:X41" si="25">K138</f>
        <v>0.47</v>
      </c>
      <c r="K41" s="846">
        <f t="shared" si="25"/>
        <v>0.61</v>
      </c>
      <c r="L41" s="846">
        <f t="shared" si="25"/>
        <v>0.61</v>
      </c>
      <c r="M41" s="846">
        <f t="shared" si="25"/>
        <v>0.61</v>
      </c>
      <c r="N41" s="846">
        <f t="shared" si="25"/>
        <v>0.61</v>
      </c>
      <c r="O41" s="846">
        <f t="shared" si="25"/>
        <v>0.61</v>
      </c>
      <c r="P41" s="846">
        <f t="shared" si="25"/>
        <v>0.61</v>
      </c>
      <c r="Q41" s="846">
        <f t="shared" si="25"/>
        <v>0.61</v>
      </c>
      <c r="R41" s="846">
        <f t="shared" si="25"/>
        <v>0.47</v>
      </c>
      <c r="S41" s="846">
        <f t="shared" si="25"/>
        <v>0.47</v>
      </c>
      <c r="T41" s="846">
        <f t="shared" si="25"/>
        <v>0.47</v>
      </c>
      <c r="U41" s="846">
        <f t="shared" si="25"/>
        <v>0.47</v>
      </c>
      <c r="V41" s="846">
        <f t="shared" si="25"/>
        <v>0.47</v>
      </c>
      <c r="W41" s="846">
        <f t="shared" si="25"/>
        <v>0.47</v>
      </c>
      <c r="X41" s="846">
        <f t="shared" si="25"/>
        <v>0.47</v>
      </c>
    </row>
    <row r="42" spans="1:35" s="1" customFormat="1" x14ac:dyDescent="0.25">
      <c r="A42" s="555"/>
      <c r="B42" s="554"/>
      <c r="C42" s="555"/>
      <c r="D42" s="554"/>
      <c r="E42" s="554"/>
      <c r="F42" s="419" t="s">
        <v>222</v>
      </c>
      <c r="G42" s="419">
        <v>2013</v>
      </c>
      <c r="H42" s="435" t="s">
        <v>263</v>
      </c>
      <c r="I42" s="847">
        <f>J109</f>
        <v>0.25</v>
      </c>
      <c r="J42" s="847">
        <f t="shared" ref="J42:X42" si="26">K109</f>
        <v>0.25</v>
      </c>
      <c r="K42" s="847">
        <f t="shared" si="26"/>
        <v>0.25</v>
      </c>
      <c r="L42" s="847">
        <f t="shared" si="26"/>
        <v>0.25</v>
      </c>
      <c r="M42" s="847">
        <f t="shared" si="26"/>
        <v>0.25</v>
      </c>
      <c r="N42" s="847">
        <f t="shared" si="26"/>
        <v>0.25</v>
      </c>
      <c r="O42" s="847">
        <f t="shared" si="26"/>
        <v>0.25</v>
      </c>
      <c r="P42" s="847">
        <f t="shared" si="26"/>
        <v>0.25</v>
      </c>
      <c r="Q42" s="847">
        <f t="shared" si="26"/>
        <v>0.25</v>
      </c>
      <c r="R42" s="847">
        <f t="shared" si="26"/>
        <v>0.25</v>
      </c>
      <c r="S42" s="847">
        <f t="shared" si="26"/>
        <v>0.25</v>
      </c>
      <c r="T42" s="847">
        <f t="shared" si="26"/>
        <v>0.25</v>
      </c>
      <c r="U42" s="847">
        <f t="shared" si="26"/>
        <v>0.25</v>
      </c>
      <c r="V42" s="847">
        <f t="shared" si="26"/>
        <v>0.25</v>
      </c>
      <c r="W42" s="847">
        <f t="shared" si="26"/>
        <v>0.25</v>
      </c>
      <c r="X42" s="847">
        <f t="shared" si="26"/>
        <v>0.25</v>
      </c>
    </row>
    <row r="43" spans="1:35" s="1" customFormat="1" x14ac:dyDescent="0.25">
      <c r="A43" s="555"/>
      <c r="B43" s="554"/>
      <c r="C43" s="555"/>
      <c r="D43" s="554"/>
      <c r="E43" s="554"/>
      <c r="F43" s="422" t="s">
        <v>224</v>
      </c>
      <c r="G43" s="422"/>
      <c r="H43" s="422" t="s">
        <v>225</v>
      </c>
      <c r="I43" s="848" cm="1">
        <f t="array" ref="I43:X43">_xlfn.BYCOL(TRANSPOSE(Weights!$C$4:$F$19)*I39:X42,_xlfn.LAMBDA(_xlpm.c,SUM(_xlpm.c)))</f>
        <v>0</v>
      </c>
      <c r="J43" s="848">
        <v>0</v>
      </c>
      <c r="K43" s="848">
        <v>0</v>
      </c>
      <c r="L43" s="848">
        <v>0</v>
      </c>
      <c r="M43" s="848">
        <v>0</v>
      </c>
      <c r="N43" s="848">
        <v>0</v>
      </c>
      <c r="O43" s="848">
        <v>0</v>
      </c>
      <c r="P43" s="848">
        <v>0</v>
      </c>
      <c r="Q43" s="848">
        <v>0</v>
      </c>
      <c r="R43" s="848">
        <v>0</v>
      </c>
      <c r="S43" s="848">
        <v>0</v>
      </c>
      <c r="T43" s="848">
        <v>0</v>
      </c>
      <c r="U43" s="848">
        <v>0</v>
      </c>
      <c r="V43" s="848">
        <v>0</v>
      </c>
      <c r="W43" s="848">
        <v>0</v>
      </c>
      <c r="X43" s="848">
        <v>0</v>
      </c>
    </row>
    <row r="44" spans="1:35" s="1" customFormat="1" x14ac:dyDescent="0.25">
      <c r="A44" s="555"/>
      <c r="B44" s="554"/>
      <c r="C44" s="555"/>
      <c r="D44" s="554"/>
      <c r="E44" s="554"/>
      <c r="F44" s="425" t="s">
        <v>226</v>
      </c>
      <c r="G44" s="426">
        <v>2025</v>
      </c>
      <c r="H44" s="432" t="s">
        <v>263</v>
      </c>
      <c r="I44" s="843">
        <f>J110</f>
        <v>0.25</v>
      </c>
      <c r="J44" s="843">
        <f t="shared" ref="J44:X44" si="27">K110</f>
        <v>0.25</v>
      </c>
      <c r="K44" s="843">
        <f t="shared" si="27"/>
        <v>0.25</v>
      </c>
      <c r="L44" s="843">
        <f t="shared" si="27"/>
        <v>0.25</v>
      </c>
      <c r="M44" s="843">
        <f t="shared" si="27"/>
        <v>0.25</v>
      </c>
      <c r="N44" s="843">
        <f t="shared" si="27"/>
        <v>0.25</v>
      </c>
      <c r="O44" s="843">
        <f t="shared" si="27"/>
        <v>0.25</v>
      </c>
      <c r="P44" s="843">
        <f t="shared" si="27"/>
        <v>0.25</v>
      </c>
      <c r="Q44" s="843">
        <f t="shared" si="27"/>
        <v>0.22</v>
      </c>
      <c r="R44" s="843">
        <f t="shared" si="27"/>
        <v>0.25</v>
      </c>
      <c r="S44" s="843">
        <f t="shared" si="27"/>
        <v>0.22</v>
      </c>
      <c r="T44" s="843">
        <f t="shared" si="27"/>
        <v>0.22</v>
      </c>
      <c r="U44" s="843">
        <f t="shared" si="27"/>
        <v>0.22</v>
      </c>
      <c r="V44" s="843">
        <f t="shared" si="27"/>
        <v>0.22</v>
      </c>
      <c r="W44" s="843">
        <f t="shared" si="27"/>
        <v>0.22</v>
      </c>
      <c r="X44" s="843">
        <f t="shared" si="27"/>
        <v>0.25</v>
      </c>
    </row>
    <row r="45" spans="1:35" customFormat="1" ht="14.4" x14ac:dyDescent="0.3">
      <c r="A45" t="s">
        <v>264</v>
      </c>
      <c r="C45" s="1"/>
    </row>
    <row r="46" spans="1:35" customFormat="1" ht="14.4" x14ac:dyDescent="0.3">
      <c r="C46" s="1"/>
    </row>
    <row r="47" spans="1:35" customFormat="1" ht="15.6" x14ac:dyDescent="0.3">
      <c r="C47" s="596" t="s">
        <v>265</v>
      </c>
      <c r="D47" s="596"/>
      <c r="E47" s="596"/>
      <c r="F47" s="596"/>
      <c r="G47" s="596"/>
      <c r="H47" s="596"/>
      <c r="I47" s="597"/>
    </row>
    <row r="48" spans="1:35" customFormat="1" ht="14.4" x14ac:dyDescent="0.3">
      <c r="C48" s="440"/>
      <c r="D48" s="440" t="s">
        <v>266</v>
      </c>
      <c r="E48" s="440" t="s">
        <v>267</v>
      </c>
      <c r="F48" s="103" t="s">
        <v>193</v>
      </c>
      <c r="G48" s="180" t="s">
        <v>268</v>
      </c>
      <c r="H48" s="180" t="s">
        <v>69</v>
      </c>
      <c r="I48" s="180" t="s">
        <v>269</v>
      </c>
    </row>
    <row r="49" spans="1:47" customFormat="1" ht="14.4" x14ac:dyDescent="0.3">
      <c r="C49" s="559" t="s">
        <v>265</v>
      </c>
      <c r="D49" s="559" t="s">
        <v>82</v>
      </c>
      <c r="E49" s="559"/>
      <c r="F49" s="534" t="s">
        <v>215</v>
      </c>
      <c r="G49" s="594" t="s">
        <v>270</v>
      </c>
      <c r="H49" s="568" t="s">
        <v>271</v>
      </c>
      <c r="I49" s="555">
        <v>3.97</v>
      </c>
    </row>
    <row r="50" spans="1:47" customFormat="1" ht="14.4" x14ac:dyDescent="0.3">
      <c r="C50" s="559"/>
      <c r="D50" s="559"/>
      <c r="E50" s="559"/>
      <c r="F50" s="534" t="s">
        <v>218</v>
      </c>
      <c r="G50" s="594"/>
      <c r="H50" s="569"/>
      <c r="I50" s="555"/>
    </row>
    <row r="51" spans="1:47" customFormat="1" ht="14.4" x14ac:dyDescent="0.3">
      <c r="C51" s="559"/>
      <c r="D51" s="559"/>
      <c r="E51" s="559"/>
      <c r="F51" s="534" t="s">
        <v>220</v>
      </c>
      <c r="G51" s="594"/>
      <c r="H51" s="569"/>
      <c r="I51" s="555"/>
    </row>
    <row r="52" spans="1:47" customFormat="1" ht="14.4" x14ac:dyDescent="0.3">
      <c r="C52" s="559"/>
      <c r="D52" s="559"/>
      <c r="E52" s="559"/>
      <c r="F52" s="534" t="s">
        <v>222</v>
      </c>
      <c r="G52" s="594"/>
      <c r="H52" s="562"/>
      <c r="I52" s="593"/>
    </row>
    <row r="53" spans="1:47" customFormat="1" ht="14.4" x14ac:dyDescent="0.3">
      <c r="C53" s="559"/>
      <c r="D53" s="559"/>
      <c r="E53" s="559"/>
      <c r="F53" s="536" t="s">
        <v>224</v>
      </c>
      <c r="G53" s="537"/>
      <c r="H53" s="441" t="s">
        <v>272</v>
      </c>
      <c r="I53" s="442">
        <f>I49</f>
        <v>3.97</v>
      </c>
    </row>
    <row r="54" spans="1:47" customFormat="1" ht="14.4" x14ac:dyDescent="0.3">
      <c r="C54" s="559"/>
      <c r="D54" s="559"/>
      <c r="E54" s="559"/>
      <c r="F54" s="838" t="s">
        <v>226</v>
      </c>
      <c r="G54" s="579" t="s">
        <v>273</v>
      </c>
      <c r="H54" s="534" t="s">
        <v>119</v>
      </c>
      <c r="I54" s="539">
        <v>2.2999999999999998</v>
      </c>
    </row>
    <row r="55" spans="1:47" ht="14.4" x14ac:dyDescent="0.3">
      <c r="A55" s="5"/>
      <c r="B55" s="5"/>
      <c r="C55" s="559"/>
      <c r="D55" s="559"/>
      <c r="E55" s="559"/>
      <c r="F55" s="839" t="s">
        <v>226</v>
      </c>
      <c r="G55" s="840"/>
      <c r="H55" s="841" t="s">
        <v>85</v>
      </c>
      <c r="I55" s="842">
        <v>7</v>
      </c>
      <c r="J55"/>
      <c r="K55"/>
      <c r="L55"/>
      <c r="M55"/>
      <c r="N55"/>
      <c r="O55"/>
      <c r="P55"/>
      <c r="Q55"/>
      <c r="R55"/>
      <c r="S55"/>
      <c r="T55"/>
      <c r="U55"/>
      <c r="V55"/>
      <c r="W55"/>
      <c r="X55"/>
      <c r="Y55"/>
      <c r="Z55"/>
      <c r="AA55"/>
      <c r="AB55"/>
      <c r="AC55" s="1"/>
      <c r="AD55" s="1"/>
      <c r="AE55" s="1"/>
      <c r="AF55" s="1"/>
      <c r="AG55" s="1"/>
      <c r="AH55" s="1"/>
      <c r="AI55" s="1"/>
      <c r="AJ55" s="1"/>
      <c r="AK55" s="1"/>
      <c r="AL55" s="1"/>
      <c r="AM55" s="1"/>
      <c r="AN55" s="1"/>
      <c r="AO55" s="1"/>
      <c r="AP55" s="1"/>
      <c r="AQ55" s="1"/>
      <c r="AR55" s="1"/>
      <c r="AS55" s="1"/>
      <c r="AT55" s="1"/>
      <c r="AU55" s="1"/>
    </row>
    <row r="56" spans="1:47" ht="14.4" x14ac:dyDescent="0.3">
      <c r="A56" s="5"/>
      <c r="B56" s="5"/>
      <c r="C56" s="5"/>
      <c r="D56" s="71"/>
      <c r="E56" s="288" t="s">
        <v>780</v>
      </c>
      <c r="F56" s="5"/>
      <c r="G56" s="171"/>
      <c r="H56" s="171"/>
      <c r="I56" s="71"/>
      <c r="J56"/>
      <c r="K56"/>
      <c r="L56"/>
      <c r="M56"/>
      <c r="N56"/>
      <c r="O56"/>
      <c r="P56"/>
      <c r="Q56"/>
      <c r="R56"/>
      <c r="S56"/>
      <c r="T56"/>
      <c r="U56"/>
      <c r="V56"/>
      <c r="W56"/>
      <c r="X56"/>
      <c r="Y56"/>
      <c r="Z56"/>
      <c r="AA56"/>
      <c r="AB56"/>
      <c r="AC56" s="1"/>
      <c r="AD56" s="1"/>
      <c r="AE56" s="1"/>
      <c r="AF56" s="1"/>
      <c r="AG56" s="1"/>
      <c r="AH56" s="1"/>
      <c r="AI56" s="1"/>
      <c r="AJ56" s="1"/>
      <c r="AK56" s="1"/>
      <c r="AL56" s="1"/>
      <c r="AM56" s="1"/>
      <c r="AN56" s="1"/>
      <c r="AO56" s="1"/>
      <c r="AP56" s="1"/>
      <c r="AQ56" s="1"/>
      <c r="AR56" s="1"/>
      <c r="AS56" s="1"/>
      <c r="AT56" s="1"/>
      <c r="AU56" s="1"/>
    </row>
    <row r="57" spans="1:47" ht="14.4" x14ac:dyDescent="0.3">
      <c r="A57" s="5"/>
      <c r="B57" s="5"/>
      <c r="C57" s="5"/>
      <c r="D57" s="71"/>
      <c r="E57" s="214" t="s">
        <v>53</v>
      </c>
      <c r="F57" s="5"/>
      <c r="G57" s="171"/>
      <c r="H57" s="171"/>
      <c r="I57" s="71"/>
      <c r="J57"/>
      <c r="K57"/>
      <c r="L57"/>
      <c r="M57"/>
      <c r="N57"/>
      <c r="O57"/>
      <c r="P57"/>
      <c r="Q57"/>
      <c r="R57"/>
      <c r="S57"/>
      <c r="T57"/>
      <c r="U57"/>
      <c r="V57"/>
      <c r="W57"/>
      <c r="X57"/>
      <c r="Y57"/>
      <c r="Z57"/>
      <c r="AA57"/>
      <c r="AB57"/>
      <c r="AC57" s="1"/>
      <c r="AD57" s="1"/>
      <c r="AE57" s="1"/>
      <c r="AF57" s="1"/>
      <c r="AG57" s="1"/>
      <c r="AH57" s="1"/>
      <c r="AI57" s="1"/>
      <c r="AJ57" s="1"/>
      <c r="AK57" s="1"/>
      <c r="AL57" s="1"/>
      <c r="AM57" s="1"/>
      <c r="AN57" s="1"/>
      <c r="AO57" s="1"/>
      <c r="AP57" s="1"/>
      <c r="AQ57" s="1"/>
      <c r="AR57" s="1"/>
      <c r="AS57" s="1"/>
      <c r="AT57" s="1"/>
      <c r="AU57" s="1"/>
    </row>
    <row r="58" spans="1:47" ht="14.4" x14ac:dyDescent="0.3">
      <c r="A58" s="5"/>
      <c r="B58" s="5"/>
      <c r="C58" s="5"/>
      <c r="D58" s="71"/>
      <c r="E58" s="5"/>
      <c r="F58" s="5"/>
      <c r="G58" s="171"/>
      <c r="H58" s="171"/>
      <c r="I58" s="71"/>
      <c r="J58"/>
      <c r="K58"/>
      <c r="L58"/>
      <c r="M58"/>
      <c r="N58"/>
      <c r="O58"/>
      <c r="P58"/>
      <c r="Q58"/>
      <c r="R58"/>
      <c r="S58"/>
      <c r="T58"/>
      <c r="U58"/>
      <c r="V58"/>
      <c r="W58"/>
      <c r="X58"/>
      <c r="Y58"/>
      <c r="Z58"/>
      <c r="AA58"/>
      <c r="AB58"/>
      <c r="AC58" s="1"/>
      <c r="AD58" s="1"/>
      <c r="AE58" s="1"/>
      <c r="AF58" s="1"/>
      <c r="AG58" s="1"/>
      <c r="AH58" s="1"/>
      <c r="AI58" s="1"/>
      <c r="AJ58" s="1"/>
      <c r="AK58" s="1"/>
      <c r="AL58" s="1"/>
      <c r="AM58" s="1"/>
      <c r="AN58" s="1"/>
      <c r="AO58" s="1"/>
      <c r="AP58" s="1"/>
      <c r="AQ58" s="1"/>
      <c r="AR58" s="1"/>
      <c r="AS58" s="1"/>
      <c r="AT58" s="1"/>
      <c r="AU58" s="1"/>
    </row>
    <row r="59" spans="1:47" ht="14.4" thickBot="1" x14ac:dyDescent="0.3">
      <c r="A59" s="1"/>
      <c r="B59" s="176"/>
      <c r="C59" s="869" t="s">
        <v>781</v>
      </c>
      <c r="D59" s="1"/>
      <c r="E59" s="1"/>
      <c r="F59" s="1"/>
      <c r="G59" s="177"/>
      <c r="H59" s="177"/>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row>
    <row r="60" spans="1:47" ht="32.25" customHeight="1" x14ac:dyDescent="0.25">
      <c r="A60" s="556" t="s">
        <v>211</v>
      </c>
      <c r="B60" s="865" t="str">
        <f>Prototype!$A$2</f>
        <v xml:space="preserve">ApartmentMidRise </v>
      </c>
      <c r="C60" s="648" t="s">
        <v>212</v>
      </c>
      <c r="D60" s="648" t="s">
        <v>274</v>
      </c>
      <c r="E60" s="857" t="s">
        <v>214</v>
      </c>
      <c r="F60" s="857" t="s">
        <v>215</v>
      </c>
      <c r="G60" s="857" t="s">
        <v>216</v>
      </c>
      <c r="H60" s="858" t="s">
        <v>275</v>
      </c>
      <c r="I60" s="859">
        <f>1/(1/0.74+1/5.523+1/1.746+1/1.54)</f>
        <v>0.36304220158699535</v>
      </c>
      <c r="J60" s="859">
        <f t="shared" ref="J60:X60" si="28">1/(1/0.74+1/5.523+1/1.746+1/1.54)</f>
        <v>0.36304220158699535</v>
      </c>
      <c r="K60" s="859">
        <f t="shared" si="28"/>
        <v>0.36304220158699535</v>
      </c>
      <c r="L60" s="859">
        <f t="shared" si="28"/>
        <v>0.36304220158699535</v>
      </c>
      <c r="M60" s="859">
        <f t="shared" si="28"/>
        <v>0.36304220158699535</v>
      </c>
      <c r="N60" s="859">
        <f t="shared" si="28"/>
        <v>0.36304220158699535</v>
      </c>
      <c r="O60" s="859">
        <f t="shared" si="28"/>
        <v>0.36304220158699535</v>
      </c>
      <c r="P60" s="859">
        <f t="shared" si="28"/>
        <v>0.36304220158699535</v>
      </c>
      <c r="Q60" s="859">
        <f t="shared" si="28"/>
        <v>0.36304220158699535</v>
      </c>
      <c r="R60" s="859">
        <f t="shared" si="28"/>
        <v>0.36304220158699535</v>
      </c>
      <c r="S60" s="859">
        <f t="shared" si="28"/>
        <v>0.36304220158699535</v>
      </c>
      <c r="T60" s="859">
        <f t="shared" si="28"/>
        <v>0.36304220158699535</v>
      </c>
      <c r="U60" s="859">
        <f t="shared" si="28"/>
        <v>0.36304220158699535</v>
      </c>
      <c r="V60" s="859">
        <f t="shared" si="28"/>
        <v>0.36304220158699535</v>
      </c>
      <c r="W60" s="859">
        <f t="shared" si="28"/>
        <v>0.36304220158699535</v>
      </c>
      <c r="X60" s="859">
        <f t="shared" si="28"/>
        <v>0.36304220158699535</v>
      </c>
      <c r="Y60" s="1"/>
      <c r="Z60" s="1"/>
      <c r="AA60" s="1"/>
      <c r="AB60" s="1"/>
      <c r="AC60" s="1"/>
      <c r="AD60" s="1"/>
      <c r="AE60" s="1"/>
      <c r="AF60" s="1"/>
      <c r="AG60" s="1"/>
      <c r="AH60" s="1"/>
      <c r="AI60" s="1"/>
      <c r="AJ60" s="1"/>
      <c r="AK60" s="1"/>
      <c r="AL60" s="1"/>
      <c r="AM60" s="1"/>
      <c r="AN60" s="1"/>
      <c r="AO60" s="1"/>
      <c r="AP60" s="1"/>
      <c r="AQ60" s="1"/>
      <c r="AR60" s="1"/>
      <c r="AS60" s="1"/>
      <c r="AT60" s="1"/>
      <c r="AU60" s="1"/>
    </row>
    <row r="61" spans="1:47" ht="14.25" customHeight="1" x14ac:dyDescent="0.25">
      <c r="A61" s="557"/>
      <c r="B61" s="866"/>
      <c r="C61" s="648"/>
      <c r="D61" s="648"/>
      <c r="E61" s="857"/>
      <c r="F61" s="857"/>
      <c r="G61" s="857"/>
      <c r="H61" s="860" t="s">
        <v>276</v>
      </c>
      <c r="I61" s="859">
        <f>MIN(0.253,I60)</f>
        <v>0.253</v>
      </c>
      <c r="J61" s="859">
        <f>MIN(0.65,J60)</f>
        <v>0.36304220158699535</v>
      </c>
      <c r="K61" s="859">
        <f t="shared" ref="K61:M61" si="29">MIN(0.65,K60)</f>
        <v>0.36304220158699535</v>
      </c>
      <c r="L61" s="859">
        <f t="shared" si="29"/>
        <v>0.36304220158699535</v>
      </c>
      <c r="M61" s="859">
        <f t="shared" si="29"/>
        <v>0.36304220158699535</v>
      </c>
      <c r="N61" s="859">
        <f>MIN(0.69,N60)</f>
        <v>0.36304220158699535</v>
      </c>
      <c r="O61" s="859">
        <f t="shared" ref="O61:Q61" si="30">MIN(0.69,O60)</f>
        <v>0.36304220158699535</v>
      </c>
      <c r="P61" s="859">
        <f t="shared" si="30"/>
        <v>0.36304220158699535</v>
      </c>
      <c r="Q61" s="859">
        <f t="shared" si="30"/>
        <v>0.36304220158699535</v>
      </c>
      <c r="R61" s="859">
        <f>MIN(0.65,R60)</f>
        <v>0.36304220158699535</v>
      </c>
      <c r="S61" s="859">
        <f>MIN(0.184,S60)</f>
        <v>0.184</v>
      </c>
      <c r="T61" s="859">
        <f>MIN(0.253,T60)</f>
        <v>0.253</v>
      </c>
      <c r="U61" s="859">
        <f>MIN(0.211,U60)</f>
        <v>0.21099999999999999</v>
      </c>
      <c r="V61" s="859">
        <f t="shared" ref="V61:W61" si="31">MIN(0.184,V60)</f>
        <v>0.184</v>
      </c>
      <c r="W61" s="859">
        <f t="shared" si="31"/>
        <v>0.184</v>
      </c>
      <c r="X61" s="859">
        <f>MIN(0.16,X60)</f>
        <v>0.16</v>
      </c>
      <c r="Y61" s="1"/>
      <c r="Z61" s="1"/>
      <c r="AA61" s="1"/>
      <c r="AB61" s="1"/>
      <c r="AC61" s="1"/>
      <c r="AD61" s="1"/>
      <c r="AE61" s="1"/>
      <c r="AF61" s="1"/>
      <c r="AG61" s="1"/>
      <c r="AH61" s="1"/>
      <c r="AI61" s="1"/>
      <c r="AJ61" s="1"/>
      <c r="AK61" s="1"/>
      <c r="AL61" s="1"/>
      <c r="AM61" s="1"/>
      <c r="AN61" s="1"/>
      <c r="AO61" s="1"/>
      <c r="AP61" s="1"/>
      <c r="AQ61" s="1"/>
      <c r="AR61" s="1"/>
      <c r="AS61" s="1"/>
      <c r="AT61" s="1"/>
      <c r="AU61" s="1"/>
    </row>
    <row r="62" spans="1:47" ht="14.25" customHeight="1" thickBot="1" x14ac:dyDescent="0.3">
      <c r="A62" s="558"/>
      <c r="B62" s="867"/>
      <c r="C62" s="648"/>
      <c r="D62" s="648"/>
      <c r="E62" s="857"/>
      <c r="F62" s="857"/>
      <c r="G62" s="857"/>
      <c r="H62" s="861" t="s">
        <v>778</v>
      </c>
      <c r="I62" s="862">
        <v>7.6999999999999999E-2</v>
      </c>
      <c r="J62" s="863"/>
      <c r="K62" s="863"/>
      <c r="L62" s="863"/>
      <c r="M62" s="863"/>
      <c r="N62" s="863"/>
      <c r="O62" s="863"/>
      <c r="P62" s="863"/>
      <c r="Q62" s="863"/>
      <c r="R62" s="863"/>
      <c r="S62" s="863"/>
      <c r="T62" s="863"/>
      <c r="U62" s="863"/>
      <c r="V62" s="863"/>
      <c r="W62" s="863"/>
      <c r="X62" s="863"/>
      <c r="Y62" s="1"/>
      <c r="Z62" s="1"/>
      <c r="AA62" s="1"/>
      <c r="AB62" s="1"/>
      <c r="AC62" s="1"/>
      <c r="AD62" s="1"/>
      <c r="AE62" s="1"/>
      <c r="AF62" s="1"/>
      <c r="AG62" s="1"/>
      <c r="AH62" s="1"/>
      <c r="AI62" s="1"/>
      <c r="AJ62" s="1"/>
      <c r="AK62" s="1"/>
      <c r="AL62" s="1"/>
      <c r="AM62" s="1"/>
      <c r="AN62" s="1"/>
      <c r="AO62" s="1"/>
      <c r="AP62" s="1"/>
      <c r="AQ62" s="1"/>
      <c r="AR62" s="1"/>
      <c r="AS62" s="1"/>
      <c r="AT62" s="1"/>
      <c r="AU62" s="1"/>
    </row>
    <row r="63" spans="1:47" ht="14.25" customHeight="1" x14ac:dyDescent="0.25">
      <c r="A63" s="565" t="s">
        <v>228</v>
      </c>
      <c r="B63" s="868" t="s">
        <v>27</v>
      </c>
      <c r="C63" s="648" t="s">
        <v>229</v>
      </c>
      <c r="D63" s="648" t="s">
        <v>277</v>
      </c>
      <c r="E63" s="857" t="s">
        <v>214</v>
      </c>
      <c r="F63" s="857" t="s">
        <v>215</v>
      </c>
      <c r="G63" s="857" t="s">
        <v>216</v>
      </c>
      <c r="H63" s="858" t="s">
        <v>278</v>
      </c>
      <c r="I63" s="294">
        <v>0.29199999999999998</v>
      </c>
      <c r="J63" s="294">
        <v>0.29199999999999998</v>
      </c>
      <c r="K63" s="294">
        <v>0.29199999999999998</v>
      </c>
      <c r="L63" s="294">
        <v>0.29199999999999998</v>
      </c>
      <c r="M63" s="294">
        <v>0.29199999999999998</v>
      </c>
      <c r="N63" s="294">
        <v>0.29199999999999998</v>
      </c>
      <c r="O63" s="294">
        <v>0.29199999999999998</v>
      </c>
      <c r="P63" s="294">
        <v>0.29199999999999998</v>
      </c>
      <c r="Q63" s="294">
        <v>0.29199999999999998</v>
      </c>
      <c r="R63" s="294">
        <v>0.29199999999999998</v>
      </c>
      <c r="S63" s="294">
        <v>0.29199999999999998</v>
      </c>
      <c r="T63" s="294">
        <v>0.29199999999999998</v>
      </c>
      <c r="U63" s="294">
        <v>0.29199999999999998</v>
      </c>
      <c r="V63" s="294">
        <v>0.29199999999999998</v>
      </c>
      <c r="W63" s="294">
        <v>0.29199999999999998</v>
      </c>
      <c r="X63" s="294">
        <v>0.29199999999999998</v>
      </c>
      <c r="Y63" s="1"/>
      <c r="Z63" s="1"/>
      <c r="AA63" s="1"/>
      <c r="AB63" s="1"/>
      <c r="AC63" s="1"/>
      <c r="AD63" s="1"/>
      <c r="AE63" s="1"/>
      <c r="AF63" s="1"/>
      <c r="AG63" s="1"/>
      <c r="AH63" s="1"/>
      <c r="AI63" s="1"/>
      <c r="AJ63" s="1"/>
      <c r="AK63" s="1"/>
      <c r="AL63" s="1"/>
      <c r="AM63" s="1"/>
      <c r="AN63" s="1"/>
      <c r="AO63" s="1"/>
      <c r="AP63" s="1"/>
      <c r="AQ63" s="1"/>
      <c r="AR63" s="1"/>
      <c r="AS63" s="1"/>
      <c r="AT63" s="1"/>
      <c r="AU63" s="1"/>
    </row>
    <row r="64" spans="1:47" ht="14.25" customHeight="1" x14ac:dyDescent="0.25">
      <c r="A64" s="566"/>
      <c r="B64" s="583"/>
      <c r="C64" s="648"/>
      <c r="D64" s="648"/>
      <c r="E64" s="857"/>
      <c r="F64" s="857"/>
      <c r="G64" s="857"/>
      <c r="H64" s="858" t="s">
        <v>279</v>
      </c>
      <c r="I64" s="294">
        <v>5.8999999999999997E-2</v>
      </c>
      <c r="J64" s="294">
        <v>5.8999999999999997E-2</v>
      </c>
      <c r="K64" s="294">
        <v>5.8999999999999997E-2</v>
      </c>
      <c r="L64" s="294">
        <v>5.8999999999999997E-2</v>
      </c>
      <c r="M64" s="294">
        <v>5.8999999999999997E-2</v>
      </c>
      <c r="N64" s="294">
        <v>5.8999999999999997E-2</v>
      </c>
      <c r="O64" s="294">
        <v>5.8999999999999997E-2</v>
      </c>
      <c r="P64" s="294">
        <v>5.8999999999999997E-2</v>
      </c>
      <c r="Q64" s="294">
        <v>5.8999999999999997E-2</v>
      </c>
      <c r="R64" s="294">
        <v>5.8999999999999997E-2</v>
      </c>
      <c r="S64" s="294">
        <v>4.2000000000000003E-2</v>
      </c>
      <c r="T64" s="294">
        <v>5.8999999999999997E-2</v>
      </c>
      <c r="U64" s="294">
        <v>5.8999999999999997E-2</v>
      </c>
      <c r="V64" s="294">
        <v>4.2000000000000003E-2</v>
      </c>
      <c r="W64" s="294">
        <v>4.2000000000000003E-2</v>
      </c>
      <c r="X64" s="294">
        <v>4.2000000000000003E-2</v>
      </c>
      <c r="Y64" s="1"/>
      <c r="Z64" s="1"/>
      <c r="AA64" s="1"/>
      <c r="AB64" s="1"/>
      <c r="AC64" s="1"/>
      <c r="AD64" s="1"/>
      <c r="AE64" s="1"/>
      <c r="AF64" s="1"/>
      <c r="AG64" s="1"/>
      <c r="AH64" s="1"/>
      <c r="AI64" s="1"/>
      <c r="AJ64" s="1"/>
      <c r="AK64" s="1"/>
      <c r="AL64" s="1"/>
      <c r="AM64" s="1"/>
      <c r="AN64" s="1"/>
      <c r="AO64" s="1"/>
      <c r="AP64" s="1"/>
      <c r="AQ64" s="1"/>
      <c r="AR64" s="1"/>
      <c r="AS64" s="1"/>
      <c r="AT64" s="1"/>
      <c r="AU64" s="1"/>
    </row>
    <row r="65" spans="1:47" ht="14.25" customHeight="1" x14ac:dyDescent="0.25">
      <c r="A65" s="566"/>
      <c r="B65" s="583"/>
      <c r="C65" s="648"/>
      <c r="D65" s="648"/>
      <c r="E65" s="857"/>
      <c r="F65" s="857"/>
      <c r="G65" s="857"/>
      <c r="H65" s="292" t="s">
        <v>280</v>
      </c>
      <c r="I65" s="294">
        <v>0.20200000000000001</v>
      </c>
      <c r="J65" s="294">
        <v>0.20200000000000001</v>
      </c>
      <c r="K65" s="294">
        <v>0.20200000000000001</v>
      </c>
      <c r="L65" s="294">
        <v>0.20200000000000001</v>
      </c>
      <c r="M65" s="294">
        <v>0.20200000000000001</v>
      </c>
      <c r="N65" s="294">
        <v>0.20200000000000001</v>
      </c>
      <c r="O65" s="294">
        <v>0.20200000000000001</v>
      </c>
      <c r="P65" s="294">
        <v>0.20200000000000001</v>
      </c>
      <c r="Q65" s="294">
        <v>0.20200000000000001</v>
      </c>
      <c r="R65" s="294">
        <v>0.20200000000000001</v>
      </c>
      <c r="S65" s="294">
        <v>0.20200000000000001</v>
      </c>
      <c r="T65" s="294">
        <v>0.20200000000000001</v>
      </c>
      <c r="U65" s="294">
        <v>0.20200000000000001</v>
      </c>
      <c r="V65" s="294">
        <v>0.20200000000000001</v>
      </c>
      <c r="W65" s="294">
        <v>0.20200000000000001</v>
      </c>
      <c r="X65" s="294">
        <v>0.20200000000000001</v>
      </c>
      <c r="Y65" s="1"/>
      <c r="Z65" s="1"/>
      <c r="AA65" s="1"/>
      <c r="AB65" s="1"/>
      <c r="AC65" s="1"/>
      <c r="AD65" s="1"/>
      <c r="AE65" s="1"/>
      <c r="AF65" s="1"/>
      <c r="AG65" s="1"/>
      <c r="AH65" s="1"/>
      <c r="AI65" s="1"/>
      <c r="AJ65" s="1"/>
      <c r="AK65" s="1"/>
      <c r="AL65" s="1"/>
      <c r="AM65" s="1"/>
      <c r="AN65" s="1"/>
      <c r="AO65" s="1"/>
      <c r="AP65" s="1"/>
      <c r="AQ65" s="1"/>
      <c r="AR65" s="1"/>
      <c r="AS65" s="1"/>
      <c r="AT65" s="1"/>
      <c r="AU65" s="1"/>
    </row>
    <row r="66" spans="1:47" ht="14.25" customHeight="1" thickBot="1" x14ac:dyDescent="0.3">
      <c r="A66" s="567"/>
      <c r="B66" s="584"/>
      <c r="C66" s="648"/>
      <c r="D66" s="648"/>
      <c r="E66" s="857"/>
      <c r="F66" s="857"/>
      <c r="G66" s="857"/>
      <c r="H66" s="864" t="s">
        <v>778</v>
      </c>
      <c r="I66" s="862">
        <v>7.6999999999999999E-2</v>
      </c>
      <c r="J66" s="862"/>
      <c r="K66" s="862"/>
      <c r="L66" s="862"/>
      <c r="M66" s="862"/>
      <c r="N66" s="862"/>
      <c r="O66" s="862"/>
      <c r="P66" s="862"/>
      <c r="Q66" s="862"/>
      <c r="R66" s="862"/>
      <c r="S66" s="862"/>
      <c r="T66" s="862"/>
      <c r="U66" s="862"/>
      <c r="V66" s="862"/>
      <c r="W66" s="862"/>
      <c r="X66" s="862"/>
      <c r="Y66" s="1"/>
      <c r="Z66" s="1"/>
      <c r="AA66" s="1"/>
      <c r="AB66" s="1"/>
      <c r="AC66" s="1"/>
      <c r="AD66" s="1"/>
      <c r="AE66" s="1"/>
      <c r="AF66" s="1"/>
      <c r="AG66" s="1"/>
      <c r="AH66" s="1"/>
      <c r="AI66" s="1"/>
      <c r="AJ66" s="1"/>
      <c r="AK66" s="1"/>
      <c r="AL66" s="1"/>
      <c r="AM66" s="1"/>
      <c r="AN66" s="1"/>
      <c r="AO66" s="1"/>
      <c r="AP66" s="1"/>
      <c r="AQ66" s="1"/>
      <c r="AR66" s="1"/>
      <c r="AS66" s="1"/>
      <c r="AT66" s="1"/>
      <c r="AU66" s="1"/>
    </row>
    <row r="67" spans="1:47" ht="14.25" customHeight="1" x14ac:dyDescent="0.25">
      <c r="A67" s="524"/>
      <c r="B67" s="525"/>
      <c r="C67" s="526"/>
      <c r="D67" s="526"/>
      <c r="E67" s="525"/>
      <c r="F67" s="525"/>
      <c r="G67" s="525"/>
      <c r="H67" s="289"/>
      <c r="I67" s="524"/>
      <c r="J67" s="524"/>
      <c r="K67" s="524"/>
      <c r="L67" s="524"/>
      <c r="M67" s="524"/>
      <c r="N67" s="524"/>
      <c r="O67" s="524"/>
      <c r="P67" s="524"/>
      <c r="Q67" s="524"/>
      <c r="R67" s="524"/>
      <c r="S67" s="524"/>
      <c r="T67" s="524"/>
      <c r="U67" s="524"/>
      <c r="V67" s="524"/>
      <c r="W67" s="524"/>
      <c r="X67" s="524"/>
      <c r="Y67" s="1"/>
      <c r="Z67" s="1"/>
      <c r="AA67" s="1"/>
      <c r="AB67" s="1"/>
      <c r="AC67" s="1"/>
      <c r="AD67" s="1"/>
      <c r="AE67" s="1"/>
      <c r="AF67" s="1"/>
      <c r="AG67" s="1"/>
      <c r="AH67" s="1"/>
      <c r="AI67" s="1"/>
      <c r="AJ67" s="1"/>
      <c r="AK67" s="1"/>
      <c r="AL67" s="1"/>
      <c r="AM67" s="1"/>
      <c r="AN67" s="1"/>
      <c r="AO67" s="1"/>
      <c r="AP67" s="1"/>
      <c r="AQ67" s="1"/>
      <c r="AR67" s="1"/>
      <c r="AS67" s="1"/>
      <c r="AT67" s="1"/>
      <c r="AU67" s="1"/>
    </row>
    <row r="68" spans="1:47" s="57" customFormat="1" ht="17.399999999999999" hidden="1" x14ac:dyDescent="0.3">
      <c r="A68" s="23" t="s">
        <v>188</v>
      </c>
      <c r="B68" s="172"/>
      <c r="C68" s="172"/>
      <c r="D68" s="172"/>
      <c r="E68" s="173"/>
      <c r="F68" s="174"/>
      <c r="G68" s="175"/>
      <c r="H68" s="175"/>
      <c r="I68" s="172"/>
      <c r="J68" s="172"/>
      <c r="K68" s="172"/>
      <c r="L68" s="172"/>
      <c r="M68" s="172"/>
      <c r="N68" s="172"/>
      <c r="O68" s="172"/>
      <c r="P68" s="172"/>
      <c r="Q68" s="172"/>
      <c r="R68" s="172"/>
      <c r="S68" s="172"/>
      <c r="T68" s="172"/>
      <c r="U68" s="172"/>
      <c r="V68" s="172"/>
      <c r="W68" s="172"/>
      <c r="X68" s="172"/>
      <c r="Y68" s="172"/>
      <c r="Z68" s="172"/>
      <c r="AA68" s="172"/>
      <c r="AB68" s="172"/>
      <c r="AC68" s="172"/>
      <c r="AD68" s="172"/>
      <c r="AE68" s="172"/>
      <c r="AF68" s="172"/>
      <c r="AG68" s="172"/>
      <c r="AH68" s="172"/>
      <c r="AI68" s="172"/>
      <c r="AJ68" s="172"/>
      <c r="AK68" s="172"/>
      <c r="AL68" s="172"/>
      <c r="AM68" s="172"/>
      <c r="AN68" s="172"/>
      <c r="AO68" s="172"/>
      <c r="AP68" s="172"/>
      <c r="AQ68" s="172"/>
      <c r="AR68" s="172"/>
      <c r="AS68" s="172"/>
      <c r="AT68" s="172"/>
      <c r="AU68" s="172"/>
    </row>
    <row r="69" spans="1:47" s="523" customFormat="1" ht="26.4" hidden="1" x14ac:dyDescent="0.3">
      <c r="A69" s="561" t="s">
        <v>211</v>
      </c>
      <c r="B69" s="562" t="str">
        <f>Prototype!$A$2</f>
        <v xml:space="preserve">ApartmentMidRise </v>
      </c>
      <c r="C69" s="563" t="s">
        <v>212</v>
      </c>
      <c r="D69" s="564" t="s">
        <v>281</v>
      </c>
      <c r="E69" s="562" t="s">
        <v>214</v>
      </c>
      <c r="F69" s="538" t="s">
        <v>215</v>
      </c>
      <c r="G69" s="538" t="s">
        <v>216</v>
      </c>
      <c r="H69" s="540" t="s">
        <v>282</v>
      </c>
      <c r="I69" s="351">
        <f>1/(1/0.74+1/5.523+1/1.746)</f>
        <v>0.47502552019948047</v>
      </c>
      <c r="J69" s="351">
        <f t="shared" ref="J69:X69" si="32">1/(1/0.74+1/5.523+1/1.746)</f>
        <v>0.47502552019948047</v>
      </c>
      <c r="K69" s="351">
        <f t="shared" si="32"/>
        <v>0.47502552019948047</v>
      </c>
      <c r="L69" s="351">
        <f t="shared" si="32"/>
        <v>0.47502552019948047</v>
      </c>
      <c r="M69" s="351">
        <f t="shared" si="32"/>
        <v>0.47502552019948047</v>
      </c>
      <c r="N69" s="351">
        <f t="shared" si="32"/>
        <v>0.47502552019948047</v>
      </c>
      <c r="O69" s="351">
        <f t="shared" si="32"/>
        <v>0.47502552019948047</v>
      </c>
      <c r="P69" s="351">
        <f t="shared" si="32"/>
        <v>0.47502552019948047</v>
      </c>
      <c r="Q69" s="351">
        <f t="shared" si="32"/>
        <v>0.47502552019948047</v>
      </c>
      <c r="R69" s="351">
        <f t="shared" si="32"/>
        <v>0.47502552019948047</v>
      </c>
      <c r="S69" s="351">
        <f t="shared" si="32"/>
        <v>0.47502552019948047</v>
      </c>
      <c r="T69" s="351">
        <f t="shared" si="32"/>
        <v>0.47502552019948047</v>
      </c>
      <c r="U69" s="351">
        <f t="shared" si="32"/>
        <v>0.47502552019948047</v>
      </c>
      <c r="V69" s="351">
        <f t="shared" si="32"/>
        <v>0.47502552019948047</v>
      </c>
      <c r="W69" s="351">
        <f t="shared" si="32"/>
        <v>0.47502552019948047</v>
      </c>
      <c r="X69" s="351">
        <f t="shared" si="32"/>
        <v>0.47502552019948047</v>
      </c>
      <c r="Y69" s="522"/>
      <c r="Z69" s="522"/>
      <c r="AA69" s="522"/>
      <c r="AB69" s="522"/>
      <c r="AC69" s="522"/>
      <c r="AD69" s="522"/>
      <c r="AE69" s="522"/>
      <c r="AF69" s="522"/>
      <c r="AG69" s="522"/>
      <c r="AH69" s="522"/>
      <c r="AI69" s="522"/>
      <c r="AJ69" s="522"/>
      <c r="AK69" s="522"/>
      <c r="AL69" s="522"/>
      <c r="AM69" s="522"/>
      <c r="AN69" s="522"/>
      <c r="AO69" s="522"/>
      <c r="AP69" s="522"/>
      <c r="AQ69" s="522"/>
      <c r="AR69" s="522"/>
      <c r="AS69" s="522"/>
      <c r="AT69" s="522"/>
      <c r="AU69" s="522"/>
    </row>
    <row r="70" spans="1:47" s="523" customFormat="1" ht="39.6" hidden="1" x14ac:dyDescent="0.3">
      <c r="A70" s="554"/>
      <c r="B70" s="554"/>
      <c r="C70" s="555"/>
      <c r="D70" s="555"/>
      <c r="E70" s="554"/>
      <c r="F70" s="415" t="s">
        <v>218</v>
      </c>
      <c r="G70" s="515">
        <v>1992</v>
      </c>
      <c r="H70" s="541" t="s">
        <v>219</v>
      </c>
      <c r="I70" s="521">
        <v>0.36</v>
      </c>
      <c r="J70" s="521">
        <v>0.65</v>
      </c>
      <c r="K70" s="521">
        <v>0.65</v>
      </c>
      <c r="L70" s="521">
        <v>0.65</v>
      </c>
      <c r="M70" s="521">
        <v>0.65</v>
      </c>
      <c r="N70" s="521">
        <v>0.69</v>
      </c>
      <c r="O70" s="521">
        <v>0.69</v>
      </c>
      <c r="P70" s="521">
        <v>0.69</v>
      </c>
      <c r="Q70" s="521">
        <v>0.69</v>
      </c>
      <c r="R70" s="521">
        <v>0.69</v>
      </c>
      <c r="S70" s="521">
        <v>0.65</v>
      </c>
      <c r="T70" s="521">
        <v>0.65</v>
      </c>
      <c r="U70" s="521">
        <v>0.65</v>
      </c>
      <c r="V70" s="521">
        <v>0.4</v>
      </c>
      <c r="W70" s="521">
        <v>0.4</v>
      </c>
      <c r="X70" s="521">
        <v>0.36</v>
      </c>
      <c r="Y70" s="522"/>
      <c r="Z70" s="522"/>
      <c r="AA70" s="522"/>
      <c r="AB70" s="522"/>
      <c r="AC70" s="522"/>
      <c r="AD70" s="522"/>
      <c r="AE70" s="522"/>
      <c r="AF70" s="522"/>
      <c r="AG70" s="522"/>
      <c r="AH70" s="522"/>
      <c r="AI70" s="522"/>
      <c r="AJ70" s="522"/>
      <c r="AK70" s="522"/>
      <c r="AL70" s="522"/>
      <c r="AM70" s="522"/>
      <c r="AN70" s="522"/>
      <c r="AO70" s="522"/>
      <c r="AP70" s="522"/>
      <c r="AQ70" s="522"/>
      <c r="AR70" s="522"/>
      <c r="AS70" s="522"/>
      <c r="AT70" s="522"/>
      <c r="AU70" s="522"/>
    </row>
    <row r="71" spans="1:47" s="523" customFormat="1" ht="17.399999999999999" hidden="1" x14ac:dyDescent="0.3">
      <c r="A71" s="553" t="s">
        <v>228</v>
      </c>
      <c r="B71" s="554" t="str">
        <f>Prototype!$A$2</f>
        <v xml:space="preserve">ApartmentMidRise </v>
      </c>
      <c r="C71" s="555" t="s">
        <v>229</v>
      </c>
      <c r="D71" s="555" t="s">
        <v>277</v>
      </c>
      <c r="E71" s="554" t="s">
        <v>214</v>
      </c>
      <c r="F71" s="534" t="s">
        <v>215</v>
      </c>
      <c r="G71" s="534" t="s">
        <v>216</v>
      </c>
      <c r="H71" s="535" t="s">
        <v>283</v>
      </c>
      <c r="I71" s="429">
        <v>0.29199999999999998</v>
      </c>
      <c r="J71" s="429">
        <v>0.29199999999999998</v>
      </c>
      <c r="K71" s="429">
        <v>0.29199999999999998</v>
      </c>
      <c r="L71" s="429">
        <v>0.29199999999999998</v>
      </c>
      <c r="M71" s="429">
        <v>0.29199999999999998</v>
      </c>
      <c r="N71" s="429">
        <v>0.29199999999999998</v>
      </c>
      <c r="O71" s="429">
        <v>0.29199999999999998</v>
      </c>
      <c r="P71" s="429">
        <v>0.29199999999999998</v>
      </c>
      <c r="Q71" s="429">
        <v>0.29199999999999998</v>
      </c>
      <c r="R71" s="429">
        <v>0.29199999999999998</v>
      </c>
      <c r="S71" s="429">
        <v>0.29199999999999998</v>
      </c>
      <c r="T71" s="429">
        <v>0.29199999999999998</v>
      </c>
      <c r="U71" s="429">
        <v>0.29199999999999998</v>
      </c>
      <c r="V71" s="429">
        <v>0.29199999999999998</v>
      </c>
      <c r="W71" s="429">
        <v>0.29199999999999998</v>
      </c>
      <c r="X71" s="429">
        <v>0.29199999999999998</v>
      </c>
      <c r="Y71" s="522"/>
      <c r="Z71" s="522"/>
      <c r="AA71" s="522"/>
      <c r="AB71" s="522"/>
      <c r="AC71" s="522"/>
      <c r="AD71" s="522"/>
      <c r="AE71" s="522"/>
      <c r="AF71" s="522"/>
      <c r="AG71" s="522"/>
      <c r="AH71" s="522"/>
      <c r="AI71" s="522"/>
      <c r="AJ71" s="522"/>
      <c r="AK71" s="522"/>
      <c r="AL71" s="522"/>
      <c r="AM71" s="522"/>
      <c r="AN71" s="522"/>
      <c r="AO71" s="522"/>
      <c r="AP71" s="522"/>
      <c r="AQ71" s="522"/>
      <c r="AR71" s="522"/>
      <c r="AS71" s="522"/>
      <c r="AT71" s="522"/>
      <c r="AU71" s="522"/>
    </row>
    <row r="72" spans="1:47" s="523" customFormat="1" ht="17.399999999999999" hidden="1" x14ac:dyDescent="0.3">
      <c r="A72" s="554"/>
      <c r="B72" s="554"/>
      <c r="C72" s="555"/>
      <c r="D72" s="555"/>
      <c r="E72" s="554"/>
      <c r="F72" s="415" t="s">
        <v>218</v>
      </c>
      <c r="G72" s="415">
        <v>1986</v>
      </c>
      <c r="H72" s="541" t="s">
        <v>231</v>
      </c>
      <c r="I72" s="415">
        <v>9.5000000000000001E-2</v>
      </c>
      <c r="J72" s="415">
        <v>9.5000000000000001E-2</v>
      </c>
      <c r="K72" s="415">
        <v>9.5000000000000001E-2</v>
      </c>
      <c r="L72" s="415">
        <v>9.5000000000000001E-2</v>
      </c>
      <c r="M72" s="415">
        <v>9.5000000000000001E-2</v>
      </c>
      <c r="N72" s="415">
        <v>9.5000000000000001E-2</v>
      </c>
      <c r="O72" s="415">
        <v>9.5000000000000001E-2</v>
      </c>
      <c r="P72" s="415">
        <v>9.5000000000000001E-2</v>
      </c>
      <c r="Q72" s="415">
        <v>9.5000000000000001E-2</v>
      </c>
      <c r="R72" s="415">
        <v>9.5000000000000001E-2</v>
      </c>
      <c r="S72" s="415">
        <v>9.5000000000000001E-2</v>
      </c>
      <c r="T72" s="415">
        <v>9.5000000000000001E-2</v>
      </c>
      <c r="U72" s="415">
        <v>9.5000000000000001E-2</v>
      </c>
      <c r="V72" s="415">
        <v>9.5000000000000001E-2</v>
      </c>
      <c r="W72" s="415">
        <v>9.5000000000000001E-2</v>
      </c>
      <c r="X72" s="415">
        <v>9.5000000000000001E-2</v>
      </c>
      <c r="Y72" s="522"/>
      <c r="Z72" s="522"/>
      <c r="AA72" s="522"/>
      <c r="AB72" s="522"/>
      <c r="AC72" s="522"/>
      <c r="AD72" s="522"/>
      <c r="AE72" s="522"/>
      <c r="AF72" s="522"/>
      <c r="AG72" s="522"/>
      <c r="AH72" s="522"/>
      <c r="AI72" s="522"/>
      <c r="AJ72" s="522"/>
      <c r="AK72" s="522"/>
      <c r="AL72" s="522"/>
      <c r="AM72" s="522"/>
      <c r="AN72" s="522"/>
      <c r="AO72" s="522"/>
      <c r="AP72" s="522"/>
      <c r="AQ72" s="522"/>
      <c r="AR72" s="522"/>
      <c r="AS72" s="522"/>
      <c r="AT72" s="522"/>
      <c r="AU72" s="522"/>
    </row>
    <row r="73" spans="1:47" ht="14.4" hidden="1" x14ac:dyDescent="0.3">
      <c r="A73" s="1"/>
      <c r="B73" s="176"/>
      <c r="C73" s="1"/>
      <c r="D73"/>
      <c r="E73" s="1"/>
      <c r="F73" s="1"/>
      <c r="G73" s="177"/>
      <c r="H73" s="177"/>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row>
    <row r="74" spans="1:47" ht="28.2" hidden="1" x14ac:dyDescent="0.3">
      <c r="A74" s="437" t="s">
        <v>284</v>
      </c>
      <c r="B74" s="438"/>
      <c r="C74" s="439">
        <v>0.25</v>
      </c>
      <c r="D74"/>
      <c r="E74" s="1"/>
      <c r="F74" s="1"/>
      <c r="G74" s="177"/>
      <c r="H74" s="362" t="s">
        <v>285</v>
      </c>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row>
    <row r="75" spans="1:47" ht="14.4" hidden="1" x14ac:dyDescent="0.3">
      <c r="A75" s="1"/>
      <c r="B75" s="176"/>
      <c r="C75" s="1"/>
      <c r="D75"/>
      <c r="E75" s="595" t="s">
        <v>286</v>
      </c>
      <c r="F75" s="1" t="s">
        <v>287</v>
      </c>
      <c r="G75" s="177">
        <f>(180+155)*2+(88*2)</f>
        <v>846</v>
      </c>
      <c r="H75" s="177"/>
      <c r="I75" s="1" t="s">
        <v>288</v>
      </c>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row>
    <row r="76" spans="1:47" ht="14.4" hidden="1" x14ac:dyDescent="0.3">
      <c r="A76" s="1"/>
      <c r="B76" s="176"/>
      <c r="C76" s="1"/>
      <c r="D76"/>
      <c r="E76" s="595"/>
      <c r="F76" s="1" t="s">
        <v>289</v>
      </c>
      <c r="G76" s="177">
        <f>(67*180)+(88*60*2)</f>
        <v>22620</v>
      </c>
      <c r="H76" s="177"/>
      <c r="I76" s="1" t="s">
        <v>290</v>
      </c>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row>
    <row r="77" spans="1:47" ht="14.4" hidden="1" x14ac:dyDescent="0.3">
      <c r="A77" s="1"/>
      <c r="B77" s="176"/>
      <c r="C77" s="1"/>
      <c r="D77" s="1"/>
      <c r="E77" s="595"/>
      <c r="F77" t="s">
        <v>291</v>
      </c>
      <c r="G77" s="177"/>
      <c r="H77" s="177"/>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row>
    <row r="78" spans="1:47" ht="14.4" hidden="1" x14ac:dyDescent="0.3">
      <c r="A78" s="1"/>
      <c r="B78" s="176"/>
      <c r="C78" s="1"/>
      <c r="D78" s="1"/>
      <c r="E78" s="595"/>
      <c r="F78" t="s">
        <v>292</v>
      </c>
      <c r="G78" s="177"/>
      <c r="H78" s="177"/>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row>
    <row r="79" spans="1:47" ht="14.4" hidden="1" x14ac:dyDescent="0.3">
      <c r="A79" s="1"/>
      <c r="B79" s="176"/>
      <c r="C79" s="1"/>
      <c r="D79" s="1"/>
      <c r="E79" s="595"/>
      <c r="F79" t="s">
        <v>293</v>
      </c>
      <c r="G79" s="177"/>
      <c r="H79" s="177"/>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row>
    <row r="80" spans="1:47" ht="14.4" hidden="1" x14ac:dyDescent="0.3">
      <c r="A80" s="1"/>
      <c r="B80" s="176"/>
      <c r="C80" s="1"/>
      <c r="D80" s="1"/>
      <c r="E80" s="595"/>
      <c r="F80" t="s">
        <v>294</v>
      </c>
      <c r="G80" s="177"/>
      <c r="H80" s="177"/>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row>
    <row r="81" spans="1:47" ht="14.4" hidden="1" x14ac:dyDescent="0.3">
      <c r="A81" s="1"/>
      <c r="B81" s="176"/>
      <c r="C81" s="1"/>
      <c r="D81" s="1"/>
      <c r="E81" s="595"/>
      <c r="F81" t="s">
        <v>295</v>
      </c>
      <c r="G81" s="177"/>
      <c r="H81" s="177"/>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row>
    <row r="82" spans="1:47" ht="14.4" hidden="1" x14ac:dyDescent="0.3">
      <c r="A82" s="1"/>
      <c r="B82" s="176"/>
      <c r="C82" s="1"/>
      <c r="D82" s="1"/>
      <c r="E82" s="595"/>
      <c r="F82" s="154" t="s">
        <v>296</v>
      </c>
      <c r="G82" s="177"/>
      <c r="H82" s="177"/>
      <c r="I82" s="1" t="s">
        <v>297</v>
      </c>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row>
    <row r="83" spans="1:47" ht="15.6" hidden="1" x14ac:dyDescent="0.3">
      <c r="A83" s="1"/>
      <c r="B83" s="176"/>
      <c r="C83" s="1"/>
      <c r="D83" s="1"/>
      <c r="E83" s="595"/>
      <c r="F83" s="110" t="s">
        <v>298</v>
      </c>
      <c r="G83" t="s">
        <v>299</v>
      </c>
      <c r="H83"/>
      <c r="I83" s="110" t="s">
        <v>300</v>
      </c>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row>
    <row r="84" spans="1:47" ht="15.6" hidden="1" x14ac:dyDescent="0.3">
      <c r="A84" s="1"/>
      <c r="B84" s="176"/>
      <c r="C84" s="1"/>
      <c r="D84" s="1"/>
      <c r="E84" s="595"/>
      <c r="F84" s="110" t="s">
        <v>301</v>
      </c>
      <c r="G84" t="s">
        <v>302</v>
      </c>
      <c r="H84"/>
      <c r="I84" s="1" t="s">
        <v>303</v>
      </c>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row>
    <row r="85" spans="1:47" hidden="1" x14ac:dyDescent="0.25">
      <c r="A85" s="1"/>
      <c r="B85" s="176"/>
      <c r="C85" s="1"/>
      <c r="D85" s="1"/>
      <c r="E85" s="111"/>
      <c r="F85" s="1"/>
      <c r="G85" s="177"/>
      <c r="H85" s="177"/>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row>
    <row r="86" spans="1:47" hidden="1" x14ac:dyDescent="0.25">
      <c r="A86" s="1"/>
      <c r="B86" s="176"/>
      <c r="C86" s="1"/>
      <c r="D86" s="1"/>
      <c r="E86" s="111"/>
      <c r="F86" s="1"/>
      <c r="G86" s="177"/>
      <c r="H86" s="177"/>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row>
    <row r="87" spans="1:47" hidden="1" x14ac:dyDescent="0.25">
      <c r="A87" s="1"/>
      <c r="B87" s="176"/>
      <c r="C87" s="1"/>
      <c r="D87" s="1"/>
      <c r="E87" s="1"/>
      <c r="F87" s="1"/>
      <c r="G87" s="177"/>
      <c r="H87" s="177"/>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row>
    <row r="88" spans="1:47" hidden="1" x14ac:dyDescent="0.25">
      <c r="A88" s="1"/>
      <c r="B88" s="176"/>
      <c r="C88" s="1"/>
      <c r="D88" s="1"/>
      <c r="E88" s="1"/>
      <c r="F88" s="1"/>
      <c r="G88" s="177"/>
      <c r="H88" s="177"/>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row>
    <row r="89" spans="1:47" ht="14.4" hidden="1" x14ac:dyDescent="0.3">
      <c r="A89" s="1"/>
      <c r="B89" s="176"/>
      <c r="C89" s="1"/>
      <c r="D89" s="1"/>
      <c r="E89" s="1"/>
      <c r="F89"/>
      <c r="G89" s="177"/>
      <c r="H89" s="177"/>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row>
    <row r="90" spans="1:47" ht="14.4" hidden="1" thickBot="1" x14ac:dyDescent="0.3">
      <c r="A90" s="1"/>
      <c r="B90" s="176"/>
      <c r="C90" s="1"/>
      <c r="D90" s="1"/>
      <c r="E90" s="1"/>
      <c r="F90" s="1"/>
      <c r="G90" s="177"/>
      <c r="H90" s="177"/>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row>
    <row r="91" spans="1:47" hidden="1" x14ac:dyDescent="0.25">
      <c r="A91" s="570" t="s">
        <v>304</v>
      </c>
      <c r="B91" s="576" t="s">
        <v>31</v>
      </c>
      <c r="C91" s="580" t="s">
        <v>305</v>
      </c>
      <c r="D91" s="587" t="s">
        <v>245</v>
      </c>
      <c r="E91" s="588"/>
      <c r="F91" s="139" t="s">
        <v>215</v>
      </c>
      <c r="G91" s="97" t="s">
        <v>216</v>
      </c>
      <c r="H91" s="215"/>
      <c r="I91" s="87"/>
      <c r="J91" s="87"/>
      <c r="K91" s="87"/>
      <c r="L91" s="87"/>
      <c r="M91" s="87"/>
      <c r="N91" s="87"/>
      <c r="O91" s="87"/>
      <c r="P91" s="87"/>
      <c r="Q91" s="87"/>
      <c r="R91" s="87"/>
      <c r="S91" s="87"/>
      <c r="T91" s="87"/>
      <c r="U91" s="87"/>
      <c r="V91" s="87"/>
      <c r="W91" s="87"/>
      <c r="X91" s="87"/>
      <c r="Y91" s="88"/>
      <c r="Z91" s="1"/>
      <c r="AA91" s="1"/>
      <c r="AB91" s="1"/>
      <c r="AC91" s="1"/>
      <c r="AD91" s="1"/>
      <c r="AE91" s="1"/>
      <c r="AF91" s="1"/>
      <c r="AG91" s="1"/>
      <c r="AH91" s="1"/>
      <c r="AI91" s="1"/>
      <c r="AJ91" s="1"/>
      <c r="AK91" s="1"/>
      <c r="AL91" s="1"/>
      <c r="AM91" s="1"/>
      <c r="AN91" s="1"/>
      <c r="AO91" s="1"/>
      <c r="AP91" s="1"/>
      <c r="AQ91" s="1"/>
      <c r="AR91" s="1"/>
      <c r="AS91" s="1"/>
      <c r="AT91" s="1"/>
      <c r="AU91" s="1"/>
    </row>
    <row r="92" spans="1:47" hidden="1" x14ac:dyDescent="0.25">
      <c r="A92" s="571"/>
      <c r="B92" s="577"/>
      <c r="C92" s="581"/>
      <c r="D92" s="589"/>
      <c r="E92" s="590"/>
      <c r="F92" s="140" t="s">
        <v>218</v>
      </c>
      <c r="G92" s="98">
        <v>1984</v>
      </c>
      <c r="H92" s="215"/>
      <c r="I92" s="75"/>
      <c r="J92" s="75"/>
      <c r="K92" s="75"/>
      <c r="L92" s="75"/>
      <c r="M92" s="75"/>
      <c r="N92" s="75"/>
      <c r="O92" s="75"/>
      <c r="P92" s="75"/>
      <c r="Q92" s="75"/>
      <c r="R92" s="75"/>
      <c r="S92" s="75"/>
      <c r="T92" s="75"/>
      <c r="U92" s="75"/>
      <c r="V92" s="75"/>
      <c r="W92" s="75"/>
      <c r="X92" s="75"/>
      <c r="Y92" s="89"/>
      <c r="Z92" s="1"/>
      <c r="AA92" s="1"/>
      <c r="AB92" s="1"/>
      <c r="AC92" s="1"/>
      <c r="AD92" s="1"/>
      <c r="AE92" s="1"/>
      <c r="AF92" s="1"/>
      <c r="AG92" s="1"/>
      <c r="AH92" s="1"/>
      <c r="AI92" s="1"/>
      <c r="AJ92" s="1"/>
      <c r="AK92" s="1"/>
      <c r="AL92" s="1"/>
      <c r="AM92" s="1"/>
      <c r="AN92" s="1"/>
      <c r="AO92" s="1"/>
      <c r="AP92" s="1"/>
      <c r="AQ92" s="1"/>
      <c r="AR92" s="1"/>
      <c r="AS92" s="1"/>
      <c r="AT92" s="1"/>
      <c r="AU92" s="1"/>
    </row>
    <row r="93" spans="1:47" hidden="1" x14ac:dyDescent="0.25">
      <c r="A93" s="571"/>
      <c r="B93" s="577"/>
      <c r="C93" s="581"/>
      <c r="D93" s="589"/>
      <c r="E93" s="590"/>
      <c r="F93" s="140" t="s">
        <v>220</v>
      </c>
      <c r="G93" s="98">
        <v>2001</v>
      </c>
      <c r="H93" s="215"/>
      <c r="I93" s="75"/>
      <c r="J93" s="75">
        <v>0.49</v>
      </c>
      <c r="K93" s="75">
        <v>0.49</v>
      </c>
      <c r="L93" s="75">
        <v>0.49</v>
      </c>
      <c r="M93" s="75">
        <v>0.49</v>
      </c>
      <c r="N93" s="75">
        <v>0.49</v>
      </c>
      <c r="O93" s="75">
        <v>0.49</v>
      </c>
      <c r="P93" s="75">
        <v>0.49</v>
      </c>
      <c r="Q93" s="75">
        <v>0.49</v>
      </c>
      <c r="R93" s="75">
        <v>0.49</v>
      </c>
      <c r="S93" s="75">
        <v>0.49</v>
      </c>
      <c r="T93" s="75">
        <v>0.49</v>
      </c>
      <c r="U93" s="75">
        <v>0.49</v>
      </c>
      <c r="V93" s="75">
        <v>0.49</v>
      </c>
      <c r="W93" s="75">
        <v>0.49</v>
      </c>
      <c r="X93" s="75">
        <v>0.49</v>
      </c>
      <c r="Y93" s="89">
        <v>0.49</v>
      </c>
      <c r="Z93" s="1"/>
      <c r="AA93" s="1"/>
      <c r="AB93" s="1"/>
      <c r="AC93" s="1"/>
      <c r="AD93" s="1"/>
      <c r="AE93" s="1"/>
      <c r="AF93" s="1"/>
      <c r="AG93" s="1"/>
      <c r="AH93" s="1"/>
      <c r="AI93" s="1"/>
      <c r="AJ93" s="1"/>
      <c r="AK93" s="1"/>
      <c r="AL93" s="1"/>
      <c r="AM93" s="1"/>
      <c r="AN93" s="1"/>
      <c r="AO93" s="1"/>
      <c r="AP93" s="1"/>
      <c r="AQ93" s="1"/>
      <c r="AR93" s="1"/>
      <c r="AS93" s="1"/>
      <c r="AT93" s="1"/>
      <c r="AU93" s="1"/>
    </row>
    <row r="94" spans="1:47" hidden="1" x14ac:dyDescent="0.25">
      <c r="A94" s="571"/>
      <c r="B94" s="577"/>
      <c r="C94" s="581"/>
      <c r="D94" s="589"/>
      <c r="E94" s="590"/>
      <c r="F94" s="140" t="s">
        <v>222</v>
      </c>
      <c r="G94" s="98">
        <v>2013</v>
      </c>
      <c r="H94" s="215"/>
      <c r="I94" s="75"/>
      <c r="J94" s="75">
        <v>0.36</v>
      </c>
      <c r="K94" s="75">
        <v>0.36</v>
      </c>
      <c r="L94" s="75">
        <v>0.36</v>
      </c>
      <c r="M94" s="75">
        <v>0.36</v>
      </c>
      <c r="N94" s="75">
        <v>0.36</v>
      </c>
      <c r="O94" s="75">
        <v>0.36</v>
      </c>
      <c r="P94" s="75">
        <v>0.36</v>
      </c>
      <c r="Q94" s="75">
        <v>0.36</v>
      </c>
      <c r="R94" s="75">
        <v>0.36</v>
      </c>
      <c r="S94" s="75">
        <v>0.36</v>
      </c>
      <c r="T94" s="75">
        <v>0.36</v>
      </c>
      <c r="U94" s="75">
        <v>0.36</v>
      </c>
      <c r="V94" s="75">
        <v>0.36</v>
      </c>
      <c r="W94" s="75">
        <v>0.36</v>
      </c>
      <c r="X94" s="75">
        <v>0.36</v>
      </c>
      <c r="Y94" s="89">
        <v>0.36</v>
      </c>
      <c r="Z94" s="1"/>
      <c r="AA94" s="1"/>
      <c r="AB94" s="1"/>
      <c r="AC94" s="1"/>
      <c r="AD94" s="1"/>
      <c r="AE94" s="1"/>
      <c r="AF94" s="1"/>
      <c r="AG94" s="1"/>
      <c r="AH94" s="1"/>
      <c r="AI94" s="1"/>
      <c r="AJ94" s="1"/>
      <c r="AK94" s="1"/>
      <c r="AL94" s="1"/>
      <c r="AM94" s="1"/>
      <c r="AN94" s="1"/>
      <c r="AO94" s="1"/>
      <c r="AP94" s="1"/>
      <c r="AQ94" s="1"/>
      <c r="AR94" s="1"/>
      <c r="AS94" s="1"/>
      <c r="AT94" s="1"/>
      <c r="AU94" s="1"/>
    </row>
    <row r="95" spans="1:47" ht="14.4" hidden="1" thickBot="1" x14ac:dyDescent="0.3">
      <c r="A95" s="571"/>
      <c r="B95" s="577"/>
      <c r="C95" s="581"/>
      <c r="D95" s="591"/>
      <c r="E95" s="592"/>
      <c r="F95" s="141" t="s">
        <v>226</v>
      </c>
      <c r="G95" s="99">
        <v>2025</v>
      </c>
      <c r="H95" s="215"/>
      <c r="I95" s="96"/>
      <c r="J95" s="76">
        <v>0.28000000000000003</v>
      </c>
      <c r="K95" s="76">
        <v>0.3</v>
      </c>
      <c r="L95" s="76">
        <v>0.28000000000000003</v>
      </c>
      <c r="M95" s="76">
        <v>0.28000000000000003</v>
      </c>
      <c r="N95" s="76">
        <v>0.28000000000000003</v>
      </c>
      <c r="O95" s="76">
        <v>0.34</v>
      </c>
      <c r="P95" s="76">
        <v>0.34</v>
      </c>
      <c r="Q95" s="76">
        <v>0.3</v>
      </c>
      <c r="R95" s="76">
        <v>0.3</v>
      </c>
      <c r="S95" s="76">
        <v>0.3</v>
      </c>
      <c r="T95" s="76">
        <v>0.28000000000000003</v>
      </c>
      <c r="U95" s="76">
        <v>0.3</v>
      </c>
      <c r="V95" s="76">
        <v>0.28000000000000003</v>
      </c>
      <c r="W95" s="76">
        <v>0.28000000000000003</v>
      </c>
      <c r="X95" s="76">
        <v>0.28000000000000003</v>
      </c>
      <c r="Y95" s="90">
        <v>0.28000000000000003</v>
      </c>
      <c r="Z95" s="1"/>
      <c r="AA95" s="1"/>
      <c r="AB95" s="1"/>
      <c r="AC95" s="1"/>
      <c r="AD95" s="1"/>
      <c r="AE95" s="1"/>
      <c r="AF95" s="1"/>
      <c r="AG95" s="1"/>
      <c r="AH95" s="1"/>
      <c r="AI95" s="1"/>
      <c r="AJ95" s="1"/>
      <c r="AK95" s="1"/>
      <c r="AL95" s="1"/>
      <c r="AM95" s="1"/>
      <c r="AN95" s="1"/>
      <c r="AO95" s="1"/>
      <c r="AP95" s="1"/>
      <c r="AQ95" s="1"/>
      <c r="AR95" s="1"/>
      <c r="AS95" s="1"/>
      <c r="AT95" s="1"/>
      <c r="AU95" s="1"/>
    </row>
    <row r="96" spans="1:47" hidden="1" x14ac:dyDescent="0.25">
      <c r="A96" s="571"/>
      <c r="B96" s="577"/>
      <c r="C96" s="581"/>
      <c r="D96" s="587" t="s">
        <v>251</v>
      </c>
      <c r="E96" s="588"/>
      <c r="F96" s="139" t="s">
        <v>215</v>
      </c>
      <c r="G96" s="97" t="s">
        <v>216</v>
      </c>
      <c r="H96" s="215"/>
      <c r="I96" s="74"/>
      <c r="J96" s="74"/>
      <c r="K96" s="74"/>
      <c r="L96" s="74"/>
      <c r="M96" s="74"/>
      <c r="N96" s="74"/>
      <c r="O96" s="74"/>
      <c r="P96" s="74"/>
      <c r="Q96" s="74"/>
      <c r="R96" s="74"/>
      <c r="S96" s="74"/>
      <c r="T96" s="74"/>
      <c r="U96" s="74"/>
      <c r="V96" s="74"/>
      <c r="W96" s="74"/>
      <c r="X96" s="74"/>
      <c r="Y96" s="91"/>
      <c r="Z96" s="1"/>
      <c r="AA96" s="1"/>
      <c r="AB96" s="1"/>
      <c r="AC96" s="1"/>
      <c r="AD96" s="1"/>
      <c r="AE96" s="1"/>
      <c r="AF96" s="1"/>
      <c r="AG96" s="1"/>
      <c r="AH96" s="1"/>
      <c r="AI96" s="1"/>
      <c r="AJ96" s="1"/>
      <c r="AK96" s="1"/>
      <c r="AL96" s="1"/>
      <c r="AM96" s="1"/>
      <c r="AN96" s="1"/>
      <c r="AO96" s="1"/>
      <c r="AP96" s="1"/>
      <c r="AQ96" s="1"/>
      <c r="AR96" s="1"/>
      <c r="AS96" s="1"/>
      <c r="AT96" s="1"/>
      <c r="AU96" s="1"/>
    </row>
    <row r="97" spans="1:47" hidden="1" x14ac:dyDescent="0.25">
      <c r="A97" s="571"/>
      <c r="B97" s="577"/>
      <c r="C97" s="581"/>
      <c r="D97" s="589"/>
      <c r="E97" s="590"/>
      <c r="F97" s="140" t="s">
        <v>218</v>
      </c>
      <c r="G97" s="98">
        <v>1984</v>
      </c>
      <c r="H97" s="215"/>
      <c r="I97" s="75"/>
      <c r="J97" s="75"/>
      <c r="K97" s="75"/>
      <c r="L97" s="75"/>
      <c r="M97" s="75"/>
      <c r="N97" s="75"/>
      <c r="O97" s="75"/>
      <c r="P97" s="75"/>
      <c r="Q97" s="75"/>
      <c r="R97" s="75"/>
      <c r="S97" s="75"/>
      <c r="T97" s="75"/>
      <c r="U97" s="75"/>
      <c r="V97" s="75"/>
      <c r="W97" s="75"/>
      <c r="X97" s="75"/>
      <c r="Y97" s="89"/>
      <c r="Z97" s="1"/>
      <c r="AA97" s="1"/>
      <c r="AB97" s="1"/>
      <c r="AC97" s="1"/>
      <c r="AD97" s="1"/>
      <c r="AE97" s="1"/>
      <c r="AF97" s="1"/>
      <c r="AG97" s="1"/>
      <c r="AH97" s="1"/>
      <c r="AI97" s="1"/>
      <c r="AJ97" s="1"/>
      <c r="AK97" s="1"/>
      <c r="AL97" s="1"/>
      <c r="AM97" s="1"/>
      <c r="AN97" s="1"/>
      <c r="AO97" s="1"/>
      <c r="AP97" s="1"/>
      <c r="AQ97" s="1"/>
      <c r="AR97" s="1"/>
      <c r="AS97" s="1"/>
      <c r="AT97" s="1"/>
      <c r="AU97" s="1"/>
    </row>
    <row r="98" spans="1:47" ht="52.8" hidden="1" x14ac:dyDescent="0.25">
      <c r="A98" s="571"/>
      <c r="B98" s="577"/>
      <c r="C98" s="581"/>
      <c r="D98" s="589"/>
      <c r="E98" s="590"/>
      <c r="F98" s="142" t="s">
        <v>220</v>
      </c>
      <c r="G98" s="101">
        <v>2001</v>
      </c>
      <c r="H98" s="215"/>
      <c r="I98" s="100" t="s">
        <v>306</v>
      </c>
      <c r="J98" s="94">
        <f>0.5*J134+0.5*J136</f>
        <v>0.38500000000000001</v>
      </c>
      <c r="K98" s="94">
        <f t="shared" ref="K98:Y98" si="33">0.5*K134+0.5*K136</f>
        <v>0.33</v>
      </c>
      <c r="L98" s="94">
        <f t="shared" si="33"/>
        <v>0.435</v>
      </c>
      <c r="M98" s="94">
        <f t="shared" si="33"/>
        <v>0.435</v>
      </c>
      <c r="N98" s="94">
        <f t="shared" si="33"/>
        <v>0.435</v>
      </c>
      <c r="O98" s="94">
        <f t="shared" si="33"/>
        <v>0.45999999999999996</v>
      </c>
      <c r="P98" s="94">
        <f t="shared" si="33"/>
        <v>0.45999999999999996</v>
      </c>
      <c r="Q98" s="94">
        <f t="shared" si="33"/>
        <v>0.45999999999999996</v>
      </c>
      <c r="R98" s="94">
        <f t="shared" si="33"/>
        <v>0.45999999999999996</v>
      </c>
      <c r="S98" s="94">
        <f t="shared" si="33"/>
        <v>0.33</v>
      </c>
      <c r="T98" s="94">
        <f t="shared" si="33"/>
        <v>0.33</v>
      </c>
      <c r="U98" s="94">
        <f t="shared" si="33"/>
        <v>0.33</v>
      </c>
      <c r="V98" s="94">
        <f t="shared" si="33"/>
        <v>0.33</v>
      </c>
      <c r="W98" s="94">
        <f t="shared" si="33"/>
        <v>0.34499999999999997</v>
      </c>
      <c r="X98" s="94">
        <f t="shared" si="33"/>
        <v>0.34499999999999997</v>
      </c>
      <c r="Y98" s="95">
        <f t="shared" si="33"/>
        <v>0.38500000000000001</v>
      </c>
      <c r="Z98" s="1"/>
      <c r="AA98" s="1"/>
      <c r="AB98" s="1"/>
      <c r="AC98" s="1"/>
      <c r="AD98" s="1"/>
      <c r="AE98" s="1"/>
      <c r="AF98" s="1"/>
      <c r="AG98" s="1"/>
      <c r="AH98" s="1"/>
      <c r="AI98" s="1"/>
      <c r="AJ98" s="1"/>
      <c r="AK98" s="1"/>
      <c r="AL98" s="1"/>
      <c r="AM98" s="1"/>
      <c r="AN98" s="1"/>
      <c r="AO98" s="1"/>
      <c r="AP98" s="1"/>
      <c r="AQ98" s="1"/>
      <c r="AR98" s="1"/>
      <c r="AS98" s="1"/>
      <c r="AT98" s="1"/>
      <c r="AU98" s="1"/>
    </row>
    <row r="99" spans="1:47" hidden="1" x14ac:dyDescent="0.25">
      <c r="A99" s="571"/>
      <c r="B99" s="577"/>
      <c r="C99" s="581"/>
      <c r="D99" s="589"/>
      <c r="E99" s="590"/>
      <c r="F99" s="140" t="s">
        <v>222</v>
      </c>
      <c r="G99" s="98">
        <v>2013</v>
      </c>
      <c r="H99" s="215"/>
      <c r="I99" s="75"/>
      <c r="J99" s="75">
        <v>0.25</v>
      </c>
      <c r="K99" s="75">
        <v>0.25</v>
      </c>
      <c r="L99" s="75">
        <v>0.25</v>
      </c>
      <c r="M99" s="75">
        <v>0.25</v>
      </c>
      <c r="N99" s="75">
        <v>0.25</v>
      </c>
      <c r="O99" s="75">
        <v>0.25</v>
      </c>
      <c r="P99" s="75">
        <v>0.25</v>
      </c>
      <c r="Q99" s="75">
        <v>0.25</v>
      </c>
      <c r="R99" s="75">
        <v>0.25</v>
      </c>
      <c r="S99" s="75">
        <v>0.25</v>
      </c>
      <c r="T99" s="75">
        <v>0.25</v>
      </c>
      <c r="U99" s="75">
        <v>0.25</v>
      </c>
      <c r="V99" s="75">
        <v>0.25</v>
      </c>
      <c r="W99" s="75">
        <v>0.25</v>
      </c>
      <c r="X99" s="75">
        <v>0.25</v>
      </c>
      <c r="Y99" s="89">
        <v>0.25</v>
      </c>
      <c r="Z99" s="1"/>
      <c r="AA99" s="1"/>
      <c r="AB99" s="1"/>
      <c r="AC99" s="1"/>
      <c r="AD99" s="1"/>
      <c r="AE99" s="1"/>
      <c r="AF99" s="1"/>
      <c r="AG99" s="1"/>
      <c r="AH99" s="1"/>
      <c r="AI99" s="1"/>
      <c r="AJ99" s="1"/>
      <c r="AK99" s="1"/>
      <c r="AL99" s="1"/>
      <c r="AM99" s="1"/>
      <c r="AN99" s="1"/>
      <c r="AO99" s="1"/>
      <c r="AP99" s="1"/>
      <c r="AQ99" s="1"/>
      <c r="AR99" s="1"/>
      <c r="AS99" s="1"/>
      <c r="AT99" s="1"/>
      <c r="AU99" s="1"/>
    </row>
    <row r="100" spans="1:47" ht="14.4" hidden="1" thickBot="1" x14ac:dyDescent="0.3">
      <c r="A100" s="572"/>
      <c r="B100" s="577"/>
      <c r="C100" s="581"/>
      <c r="D100" s="591"/>
      <c r="E100" s="592"/>
      <c r="F100" s="141" t="s">
        <v>226</v>
      </c>
      <c r="G100" s="99">
        <v>2025</v>
      </c>
      <c r="H100" s="215"/>
      <c r="I100" s="156"/>
      <c r="J100" s="157">
        <v>0.63</v>
      </c>
      <c r="K100" s="157">
        <v>0.23</v>
      </c>
      <c r="L100" s="157">
        <v>0.63</v>
      </c>
      <c r="M100" s="157">
        <v>0.23</v>
      </c>
      <c r="N100" s="157">
        <v>0.63</v>
      </c>
      <c r="O100" s="157">
        <v>0.23</v>
      </c>
      <c r="P100" s="157">
        <v>0.23</v>
      </c>
      <c r="Q100" s="157">
        <v>0.23</v>
      </c>
      <c r="R100" s="157">
        <v>0.23</v>
      </c>
      <c r="S100" s="157">
        <v>0.23</v>
      </c>
      <c r="T100" s="157">
        <v>0.23</v>
      </c>
      <c r="U100" s="157">
        <v>0.23</v>
      </c>
      <c r="V100" s="157">
        <v>0.23</v>
      </c>
      <c r="W100" s="157">
        <v>0.23</v>
      </c>
      <c r="X100" s="157">
        <v>0.23</v>
      </c>
      <c r="Y100" s="158">
        <v>0.63</v>
      </c>
      <c r="Z100" s="1"/>
      <c r="AA100" s="1"/>
      <c r="AB100" s="1"/>
      <c r="AC100" s="1"/>
      <c r="AD100" s="1"/>
      <c r="AE100" s="1"/>
      <c r="AF100" s="1"/>
      <c r="AG100" s="1"/>
      <c r="AH100" s="1"/>
      <c r="AI100" s="1"/>
      <c r="AJ100" s="1"/>
      <c r="AK100" s="1"/>
      <c r="AL100" s="1"/>
      <c r="AM100" s="1"/>
      <c r="AN100" s="1"/>
      <c r="AO100" s="1"/>
      <c r="AP100" s="1"/>
      <c r="AQ100" s="1"/>
      <c r="AR100" s="1"/>
      <c r="AS100" s="1"/>
      <c r="AT100" s="1"/>
      <c r="AU100" s="1"/>
    </row>
    <row r="101" spans="1:47" hidden="1" x14ac:dyDescent="0.25">
      <c r="A101" s="573" t="s">
        <v>307</v>
      </c>
      <c r="B101" s="577"/>
      <c r="C101" s="581"/>
      <c r="D101" s="587" t="s">
        <v>245</v>
      </c>
      <c r="E101" s="588"/>
      <c r="F101" s="139" t="s">
        <v>215</v>
      </c>
      <c r="G101" s="97" t="s">
        <v>216</v>
      </c>
      <c r="H101" s="215"/>
      <c r="I101" s="74"/>
      <c r="J101" s="74"/>
      <c r="K101" s="74"/>
      <c r="L101" s="74"/>
      <c r="M101" s="74"/>
      <c r="N101" s="74"/>
      <c r="O101" s="74"/>
      <c r="P101" s="74"/>
      <c r="Q101" s="74"/>
      <c r="R101" s="74"/>
      <c r="S101" s="74"/>
      <c r="T101" s="74"/>
      <c r="U101" s="74"/>
      <c r="V101" s="74"/>
      <c r="W101" s="74"/>
      <c r="X101" s="74"/>
      <c r="Y101" s="91"/>
      <c r="Z101" s="1"/>
      <c r="AA101" s="1"/>
      <c r="AB101" s="1"/>
      <c r="AC101" s="1"/>
      <c r="AD101" s="1"/>
      <c r="AE101" s="1"/>
      <c r="AF101" s="1"/>
      <c r="AG101" s="1"/>
      <c r="AH101" s="1"/>
      <c r="AI101" s="1"/>
      <c r="AJ101" s="1"/>
      <c r="AK101" s="1"/>
      <c r="AL101" s="1"/>
      <c r="AM101" s="1"/>
      <c r="AN101" s="1"/>
      <c r="AO101" s="1"/>
      <c r="AP101" s="1"/>
      <c r="AQ101" s="1"/>
      <c r="AR101" s="1"/>
      <c r="AS101" s="1"/>
      <c r="AT101" s="1"/>
      <c r="AU101" s="1"/>
    </row>
    <row r="102" spans="1:47" hidden="1" x14ac:dyDescent="0.25">
      <c r="A102" s="574"/>
      <c r="B102" s="577"/>
      <c r="C102" s="581"/>
      <c r="D102" s="589"/>
      <c r="E102" s="590"/>
      <c r="F102" s="140" t="s">
        <v>218</v>
      </c>
      <c r="G102" s="98">
        <v>1984</v>
      </c>
      <c r="H102" s="215"/>
      <c r="I102" s="75"/>
      <c r="J102" s="75"/>
      <c r="K102" s="75"/>
      <c r="L102" s="75"/>
      <c r="M102" s="75"/>
      <c r="N102" s="75"/>
      <c r="O102" s="75"/>
      <c r="P102" s="75"/>
      <c r="Q102" s="75"/>
      <c r="R102" s="75"/>
      <c r="S102" s="75"/>
      <c r="T102" s="75"/>
      <c r="U102" s="75"/>
      <c r="V102" s="75"/>
      <c r="W102" s="75"/>
      <c r="X102" s="75"/>
      <c r="Y102" s="89"/>
      <c r="Z102" s="1"/>
      <c r="AA102" s="1"/>
      <c r="AB102" s="1"/>
      <c r="AC102" s="1"/>
      <c r="AD102" s="1"/>
      <c r="AE102" s="1"/>
      <c r="AF102" s="1"/>
      <c r="AG102" s="1"/>
      <c r="AH102" s="1"/>
      <c r="AI102" s="1"/>
      <c r="AJ102" s="1"/>
      <c r="AK102" s="1"/>
      <c r="AL102" s="1"/>
      <c r="AM102" s="1"/>
      <c r="AN102" s="1"/>
      <c r="AO102" s="1"/>
      <c r="AP102" s="1"/>
      <c r="AQ102" s="1"/>
      <c r="AR102" s="1"/>
      <c r="AS102" s="1"/>
      <c r="AT102" s="1"/>
      <c r="AU102" s="1"/>
    </row>
    <row r="103" spans="1:47" hidden="1" x14ac:dyDescent="0.25">
      <c r="A103" s="574"/>
      <c r="B103" s="577"/>
      <c r="C103" s="581"/>
      <c r="D103" s="589"/>
      <c r="E103" s="590"/>
      <c r="F103" s="140" t="s">
        <v>220</v>
      </c>
      <c r="G103" s="98">
        <v>2001</v>
      </c>
      <c r="H103" s="215"/>
      <c r="I103" s="75"/>
      <c r="J103" s="75">
        <v>0.49</v>
      </c>
      <c r="K103" s="75">
        <v>0.49</v>
      </c>
      <c r="L103" s="75">
        <v>0.81</v>
      </c>
      <c r="M103" s="75">
        <v>0.81</v>
      </c>
      <c r="N103" s="75">
        <v>0.81</v>
      </c>
      <c r="O103" s="75">
        <v>0.81</v>
      </c>
      <c r="P103" s="75">
        <v>0.81</v>
      </c>
      <c r="Q103" s="75">
        <v>0.81</v>
      </c>
      <c r="R103" s="75">
        <v>0.81</v>
      </c>
      <c r="S103" s="75">
        <v>0.49</v>
      </c>
      <c r="T103" s="75">
        <v>0.49</v>
      </c>
      <c r="U103" s="75">
        <v>0.49</v>
      </c>
      <c r="V103" s="75">
        <v>0.49</v>
      </c>
      <c r="W103" s="75">
        <v>0.49</v>
      </c>
      <c r="X103" s="75">
        <v>0.49</v>
      </c>
      <c r="Y103" s="89">
        <v>0.49</v>
      </c>
      <c r="Z103" s="1"/>
      <c r="AA103" s="1"/>
      <c r="AB103" s="1"/>
      <c r="AC103" s="1"/>
      <c r="AD103" s="1"/>
      <c r="AE103" s="1"/>
      <c r="AF103" s="1"/>
      <c r="AG103" s="1"/>
      <c r="AH103" s="1"/>
      <c r="AI103" s="1"/>
      <c r="AJ103" s="1"/>
      <c r="AK103" s="1"/>
      <c r="AL103" s="1"/>
      <c r="AM103" s="1"/>
      <c r="AN103" s="1"/>
      <c r="AO103" s="1"/>
      <c r="AP103" s="1"/>
      <c r="AQ103" s="1"/>
      <c r="AR103" s="1"/>
      <c r="AS103" s="1"/>
      <c r="AT103" s="1"/>
      <c r="AU103" s="1"/>
    </row>
    <row r="104" spans="1:47" hidden="1" x14ac:dyDescent="0.25">
      <c r="A104" s="574"/>
      <c r="B104" s="577"/>
      <c r="C104" s="581"/>
      <c r="D104" s="589"/>
      <c r="E104" s="590"/>
      <c r="F104" s="140" t="s">
        <v>222</v>
      </c>
      <c r="G104" s="98">
        <v>2013</v>
      </c>
      <c r="H104" s="215"/>
      <c r="I104" s="75"/>
      <c r="J104" s="75">
        <v>0.36</v>
      </c>
      <c r="K104" s="75">
        <v>0.36</v>
      </c>
      <c r="L104" s="75">
        <v>0.36</v>
      </c>
      <c r="M104" s="75">
        <v>0.36</v>
      </c>
      <c r="N104" s="75">
        <v>0.36</v>
      </c>
      <c r="O104" s="75">
        <v>0.36</v>
      </c>
      <c r="P104" s="75">
        <v>0.36</v>
      </c>
      <c r="Q104" s="75">
        <v>0.36</v>
      </c>
      <c r="R104" s="75">
        <v>0.36</v>
      </c>
      <c r="S104" s="75">
        <v>0.36</v>
      </c>
      <c r="T104" s="75">
        <v>0.36</v>
      </c>
      <c r="U104" s="75">
        <v>0.36</v>
      </c>
      <c r="V104" s="75">
        <v>0.36</v>
      </c>
      <c r="W104" s="75">
        <v>0.36</v>
      </c>
      <c r="X104" s="75">
        <v>0.36</v>
      </c>
      <c r="Y104" s="89">
        <v>0.36</v>
      </c>
      <c r="Z104" s="1"/>
      <c r="AA104" s="1"/>
      <c r="AB104" s="1"/>
      <c r="AC104" s="1"/>
      <c r="AD104" s="1"/>
      <c r="AE104" s="1"/>
      <c r="AF104" s="1"/>
      <c r="AG104" s="1"/>
      <c r="AH104" s="1"/>
      <c r="AI104" s="1"/>
      <c r="AJ104" s="1"/>
      <c r="AK104" s="1"/>
      <c r="AL104" s="1"/>
      <c r="AM104" s="1"/>
      <c r="AN104" s="1"/>
      <c r="AO104" s="1"/>
      <c r="AP104" s="1"/>
      <c r="AQ104" s="1"/>
      <c r="AR104" s="1"/>
      <c r="AS104" s="1"/>
      <c r="AT104" s="1"/>
      <c r="AU104" s="1"/>
    </row>
    <row r="105" spans="1:47" ht="14.4" hidden="1" thickBot="1" x14ac:dyDescent="0.3">
      <c r="A105" s="574"/>
      <c r="B105" s="577"/>
      <c r="C105" s="581"/>
      <c r="D105" s="591"/>
      <c r="E105" s="592"/>
      <c r="F105" s="141" t="s">
        <v>226</v>
      </c>
      <c r="G105" s="99">
        <v>2025</v>
      </c>
      <c r="H105" s="215"/>
      <c r="I105" s="96"/>
      <c r="J105" s="76">
        <v>0.36</v>
      </c>
      <c r="K105" s="76">
        <v>0.36</v>
      </c>
      <c r="L105" s="76">
        <v>0.36</v>
      </c>
      <c r="M105" s="76">
        <v>0.36</v>
      </c>
      <c r="N105" s="76">
        <v>0.36</v>
      </c>
      <c r="O105" s="76">
        <v>0.36</v>
      </c>
      <c r="P105" s="76">
        <v>0.36</v>
      </c>
      <c r="Q105" s="76">
        <v>0.36</v>
      </c>
      <c r="R105" s="76">
        <v>0.34</v>
      </c>
      <c r="S105" s="76">
        <v>0.36</v>
      </c>
      <c r="T105" s="76">
        <v>0.34</v>
      </c>
      <c r="U105" s="76">
        <v>0.34</v>
      </c>
      <c r="V105" s="76">
        <v>0.34</v>
      </c>
      <c r="W105" s="76">
        <v>0.34</v>
      </c>
      <c r="X105" s="76">
        <v>0.34</v>
      </c>
      <c r="Y105" s="90">
        <v>0.36</v>
      </c>
      <c r="Z105" s="1"/>
      <c r="AA105" s="1"/>
      <c r="AB105" s="1"/>
      <c r="AC105" s="1"/>
      <c r="AD105" s="1"/>
      <c r="AE105" s="1"/>
      <c r="AF105" s="1"/>
      <c r="AG105" s="1"/>
      <c r="AH105" s="1"/>
      <c r="AI105" s="1"/>
      <c r="AJ105" s="1"/>
      <c r="AK105" s="1"/>
      <c r="AL105" s="1"/>
      <c r="AM105" s="1"/>
      <c r="AN105" s="1"/>
      <c r="AO105" s="1"/>
      <c r="AP105" s="1"/>
      <c r="AQ105" s="1"/>
      <c r="AR105" s="1"/>
      <c r="AS105" s="1"/>
      <c r="AT105" s="1"/>
      <c r="AU105" s="1"/>
    </row>
    <row r="106" spans="1:47" hidden="1" x14ac:dyDescent="0.25">
      <c r="A106" s="574"/>
      <c r="B106" s="577"/>
      <c r="C106" s="581"/>
      <c r="D106" s="587" t="s">
        <v>251</v>
      </c>
      <c r="E106" s="588"/>
      <c r="F106" s="139" t="s">
        <v>215</v>
      </c>
      <c r="G106" s="97" t="s">
        <v>216</v>
      </c>
      <c r="H106" s="215"/>
      <c r="I106" s="74"/>
      <c r="J106" s="74"/>
      <c r="K106" s="74"/>
      <c r="L106" s="74"/>
      <c r="M106" s="74"/>
      <c r="N106" s="74"/>
      <c r="O106" s="74"/>
      <c r="P106" s="74"/>
      <c r="Q106" s="74"/>
      <c r="R106" s="74"/>
      <c r="S106" s="74"/>
      <c r="T106" s="74"/>
      <c r="U106" s="74"/>
      <c r="V106" s="74"/>
      <c r="W106" s="74"/>
      <c r="X106" s="74"/>
      <c r="Y106" s="91"/>
      <c r="Z106" s="1"/>
      <c r="AA106" s="1"/>
      <c r="AB106" s="1"/>
      <c r="AC106" s="1"/>
      <c r="AD106" s="1"/>
      <c r="AE106" s="1"/>
      <c r="AF106" s="1"/>
      <c r="AG106" s="1"/>
      <c r="AH106" s="1"/>
      <c r="AI106" s="1"/>
      <c r="AJ106" s="1"/>
      <c r="AK106" s="1"/>
      <c r="AL106" s="1"/>
      <c r="AM106" s="1"/>
      <c r="AN106" s="1"/>
      <c r="AO106" s="1"/>
      <c r="AP106" s="1"/>
      <c r="AQ106" s="1"/>
      <c r="AR106" s="1"/>
      <c r="AS106" s="1"/>
      <c r="AT106" s="1"/>
      <c r="AU106" s="1"/>
    </row>
    <row r="107" spans="1:47" hidden="1" x14ac:dyDescent="0.25">
      <c r="A107" s="574"/>
      <c r="B107" s="577"/>
      <c r="C107" s="581"/>
      <c r="D107" s="589"/>
      <c r="E107" s="590"/>
      <c r="F107" s="140" t="s">
        <v>218</v>
      </c>
      <c r="G107" s="98">
        <v>1984</v>
      </c>
      <c r="H107" s="215"/>
      <c r="I107" s="75"/>
      <c r="J107" s="75"/>
      <c r="K107" s="75"/>
      <c r="L107" s="75"/>
      <c r="M107" s="75"/>
      <c r="N107" s="75"/>
      <c r="O107" s="75"/>
      <c r="P107" s="75"/>
      <c r="Q107" s="75"/>
      <c r="R107" s="75"/>
      <c r="S107" s="75"/>
      <c r="T107" s="75"/>
      <c r="U107" s="75"/>
      <c r="V107" s="75"/>
      <c r="W107" s="75"/>
      <c r="X107" s="75"/>
      <c r="Y107" s="89"/>
      <c r="Z107" s="1"/>
      <c r="AA107" s="1"/>
      <c r="AB107" s="1"/>
      <c r="AC107" s="1"/>
      <c r="AD107" s="1"/>
      <c r="AE107" s="1"/>
      <c r="AF107" s="1"/>
      <c r="AG107" s="1"/>
      <c r="AH107" s="1"/>
      <c r="AI107" s="1"/>
      <c r="AJ107" s="1"/>
      <c r="AK107" s="1"/>
      <c r="AL107" s="1"/>
      <c r="AM107" s="1"/>
      <c r="AN107" s="1"/>
      <c r="AO107" s="1"/>
      <c r="AP107" s="1"/>
      <c r="AQ107" s="1"/>
      <c r="AR107" s="1"/>
      <c r="AS107" s="1"/>
      <c r="AT107" s="1"/>
      <c r="AU107" s="1"/>
    </row>
    <row r="108" spans="1:47" hidden="1" x14ac:dyDescent="0.25">
      <c r="A108" s="574"/>
      <c r="B108" s="577"/>
      <c r="C108" s="581"/>
      <c r="D108" s="589"/>
      <c r="E108" s="590"/>
      <c r="F108" s="142" t="s">
        <v>220</v>
      </c>
      <c r="G108" s="101">
        <v>2001</v>
      </c>
      <c r="H108" s="215"/>
      <c r="I108" s="75"/>
      <c r="J108" s="75">
        <f>0.5*J138+0.5*J140</f>
        <v>0.44999999999999996</v>
      </c>
      <c r="K108" s="75">
        <f t="shared" ref="K108:Y108" si="34">0.5*K138+0.5*K140</f>
        <v>0.39</v>
      </c>
      <c r="L108" s="75">
        <f t="shared" si="34"/>
        <v>0.51</v>
      </c>
      <c r="M108" s="75">
        <f t="shared" si="34"/>
        <v>0.51</v>
      </c>
      <c r="N108" s="75">
        <f t="shared" si="34"/>
        <v>0.51</v>
      </c>
      <c r="O108" s="75">
        <f t="shared" si="34"/>
        <v>0.47499999999999998</v>
      </c>
      <c r="P108" s="75">
        <f t="shared" si="34"/>
        <v>0.47499999999999998</v>
      </c>
      <c r="Q108" s="75">
        <f t="shared" si="34"/>
        <v>0.47499999999999998</v>
      </c>
      <c r="R108" s="75">
        <f t="shared" si="34"/>
        <v>0.47499999999999998</v>
      </c>
      <c r="S108" s="75">
        <f t="shared" si="34"/>
        <v>0.39</v>
      </c>
      <c r="T108" s="75">
        <f t="shared" si="34"/>
        <v>0.39</v>
      </c>
      <c r="U108" s="75">
        <f t="shared" si="34"/>
        <v>0.39</v>
      </c>
      <c r="V108" s="75">
        <f t="shared" si="34"/>
        <v>0.39</v>
      </c>
      <c r="W108" s="75">
        <f t="shared" si="34"/>
        <v>0.39</v>
      </c>
      <c r="X108" s="75">
        <f t="shared" si="34"/>
        <v>0.39</v>
      </c>
      <c r="Y108" s="89">
        <f t="shared" si="34"/>
        <v>0.44999999999999996</v>
      </c>
      <c r="Z108" s="1"/>
      <c r="AA108" s="1"/>
      <c r="AB108" s="1"/>
      <c r="AC108" s="1"/>
      <c r="AD108" s="1"/>
      <c r="AE108" s="1"/>
      <c r="AF108" s="1"/>
      <c r="AG108" s="1"/>
      <c r="AH108" s="1"/>
      <c r="AI108" s="1"/>
      <c r="AJ108" s="1"/>
      <c r="AK108" s="1"/>
      <c r="AL108" s="1"/>
      <c r="AM108" s="1"/>
      <c r="AN108" s="1"/>
      <c r="AO108" s="1"/>
      <c r="AP108" s="1"/>
      <c r="AQ108" s="1"/>
      <c r="AR108" s="1"/>
      <c r="AS108" s="1"/>
      <c r="AT108" s="1"/>
      <c r="AU108" s="1"/>
    </row>
    <row r="109" spans="1:47" hidden="1" x14ac:dyDescent="0.25">
      <c r="A109" s="574"/>
      <c r="B109" s="577"/>
      <c r="C109" s="581"/>
      <c r="D109" s="589"/>
      <c r="E109" s="590"/>
      <c r="F109" s="140" t="s">
        <v>222</v>
      </c>
      <c r="G109" s="98">
        <v>2013</v>
      </c>
      <c r="H109" s="215"/>
      <c r="I109" s="75"/>
      <c r="J109" s="75">
        <v>0.25</v>
      </c>
      <c r="K109" s="75">
        <v>0.25</v>
      </c>
      <c r="L109" s="75">
        <v>0.25</v>
      </c>
      <c r="M109" s="75">
        <v>0.25</v>
      </c>
      <c r="N109" s="75">
        <v>0.25</v>
      </c>
      <c r="O109" s="75">
        <v>0.25</v>
      </c>
      <c r="P109" s="75">
        <v>0.25</v>
      </c>
      <c r="Q109" s="75">
        <v>0.25</v>
      </c>
      <c r="R109" s="75">
        <v>0.25</v>
      </c>
      <c r="S109" s="75">
        <v>0.25</v>
      </c>
      <c r="T109" s="75">
        <v>0.25</v>
      </c>
      <c r="U109" s="75">
        <v>0.25</v>
      </c>
      <c r="V109" s="75">
        <v>0.25</v>
      </c>
      <c r="W109" s="75">
        <v>0.25</v>
      </c>
      <c r="X109" s="75">
        <v>0.25</v>
      </c>
      <c r="Y109" s="89">
        <v>0.25</v>
      </c>
      <c r="Z109" s="1"/>
      <c r="AA109" s="1"/>
      <c r="AB109" s="1"/>
      <c r="AC109" s="1"/>
      <c r="AD109" s="1"/>
      <c r="AE109" s="1"/>
      <c r="AF109" s="1"/>
      <c r="AG109" s="1"/>
      <c r="AH109" s="1"/>
      <c r="AI109" s="1"/>
      <c r="AJ109" s="1"/>
      <c r="AK109" s="1"/>
      <c r="AL109" s="1"/>
      <c r="AM109" s="1"/>
      <c r="AN109" s="1"/>
      <c r="AO109" s="1"/>
      <c r="AP109" s="1"/>
      <c r="AQ109" s="1"/>
      <c r="AR109" s="1"/>
      <c r="AS109" s="1"/>
      <c r="AT109" s="1"/>
      <c r="AU109" s="1"/>
    </row>
    <row r="110" spans="1:47" ht="14.4" hidden="1" thickBot="1" x14ac:dyDescent="0.3">
      <c r="A110" s="575"/>
      <c r="B110" s="577"/>
      <c r="C110" s="582"/>
      <c r="D110" s="591"/>
      <c r="E110" s="592"/>
      <c r="F110" s="141" t="s">
        <v>226</v>
      </c>
      <c r="G110" s="99">
        <v>2025</v>
      </c>
      <c r="H110" s="215"/>
      <c r="I110" s="96"/>
      <c r="J110" s="76">
        <v>0.25</v>
      </c>
      <c r="K110" s="76">
        <v>0.25</v>
      </c>
      <c r="L110" s="76">
        <v>0.25</v>
      </c>
      <c r="M110" s="76">
        <v>0.25</v>
      </c>
      <c r="N110" s="76">
        <v>0.25</v>
      </c>
      <c r="O110" s="76">
        <v>0.25</v>
      </c>
      <c r="P110" s="76">
        <v>0.25</v>
      </c>
      <c r="Q110" s="76">
        <v>0.25</v>
      </c>
      <c r="R110" s="76">
        <v>0.22</v>
      </c>
      <c r="S110" s="76">
        <v>0.25</v>
      </c>
      <c r="T110" s="76">
        <v>0.22</v>
      </c>
      <c r="U110" s="76">
        <v>0.22</v>
      </c>
      <c r="V110" s="76">
        <v>0.22</v>
      </c>
      <c r="W110" s="76">
        <v>0.22</v>
      </c>
      <c r="X110" s="76">
        <v>0.22</v>
      </c>
      <c r="Y110" s="90">
        <v>0.25</v>
      </c>
      <c r="Z110" s="1"/>
      <c r="AA110" s="1"/>
      <c r="AB110" s="1"/>
      <c r="AC110" s="1"/>
      <c r="AD110" s="1"/>
      <c r="AE110" s="1"/>
      <c r="AF110" s="1"/>
      <c r="AG110" s="1"/>
      <c r="AH110" s="1"/>
      <c r="AI110" s="1"/>
      <c r="AJ110" s="1"/>
      <c r="AK110" s="1"/>
      <c r="AL110" s="1"/>
      <c r="AM110" s="1"/>
      <c r="AN110" s="1"/>
      <c r="AO110" s="1"/>
      <c r="AP110" s="1"/>
      <c r="AQ110" s="1"/>
      <c r="AR110" s="1"/>
      <c r="AS110" s="1"/>
      <c r="AT110" s="1"/>
      <c r="AU110" s="1"/>
    </row>
    <row r="111" spans="1:47" hidden="1" x14ac:dyDescent="0.25">
      <c r="A111" s="570" t="s">
        <v>304</v>
      </c>
      <c r="B111" s="577"/>
      <c r="C111" s="580" t="s">
        <v>308</v>
      </c>
      <c r="D111" s="587" t="s">
        <v>245</v>
      </c>
      <c r="E111" s="588"/>
      <c r="F111" s="139" t="s">
        <v>215</v>
      </c>
      <c r="G111" s="97" t="s">
        <v>216</v>
      </c>
      <c r="H111" s="215"/>
      <c r="I111" s="74"/>
      <c r="J111" s="74"/>
      <c r="K111" s="74"/>
      <c r="L111" s="74"/>
      <c r="M111" s="74"/>
      <c r="N111" s="74"/>
      <c r="O111" s="74"/>
      <c r="P111" s="74"/>
      <c r="Q111" s="74"/>
      <c r="R111" s="74"/>
      <c r="S111" s="74"/>
      <c r="T111" s="74"/>
      <c r="U111" s="74"/>
      <c r="V111" s="74"/>
      <c r="W111" s="74"/>
      <c r="X111" s="74"/>
      <c r="Y111" s="91"/>
      <c r="Z111" s="1"/>
      <c r="AA111" s="1"/>
      <c r="AB111" s="1"/>
      <c r="AC111" s="1"/>
      <c r="AD111" s="1"/>
      <c r="AE111" s="1"/>
      <c r="AF111" s="1"/>
      <c r="AG111" s="1"/>
      <c r="AH111" s="1"/>
      <c r="AI111" s="1"/>
      <c r="AJ111" s="1"/>
      <c r="AK111" s="1"/>
      <c r="AL111" s="1"/>
      <c r="AM111" s="1"/>
      <c r="AN111" s="1"/>
      <c r="AO111" s="1"/>
      <c r="AP111" s="1"/>
      <c r="AQ111" s="1"/>
      <c r="AR111" s="1"/>
      <c r="AS111" s="1"/>
      <c r="AT111" s="1"/>
      <c r="AU111" s="1"/>
    </row>
    <row r="112" spans="1:47" hidden="1" x14ac:dyDescent="0.25">
      <c r="A112" s="571"/>
      <c r="B112" s="577"/>
      <c r="C112" s="581"/>
      <c r="D112" s="589"/>
      <c r="E112" s="590"/>
      <c r="F112" s="140" t="s">
        <v>218</v>
      </c>
      <c r="G112" s="98">
        <v>1984</v>
      </c>
      <c r="H112" s="215"/>
      <c r="I112" s="75"/>
      <c r="J112" s="75"/>
      <c r="K112" s="75"/>
      <c r="L112" s="75"/>
      <c r="M112" s="75"/>
      <c r="N112" s="75"/>
      <c r="O112" s="75"/>
      <c r="P112" s="75"/>
      <c r="Q112" s="75"/>
      <c r="R112" s="75"/>
      <c r="S112" s="75"/>
      <c r="T112" s="75"/>
      <c r="U112" s="75"/>
      <c r="V112" s="75"/>
      <c r="W112" s="75"/>
      <c r="X112" s="75"/>
      <c r="Y112" s="89"/>
      <c r="Z112" s="1"/>
      <c r="AA112" s="1"/>
      <c r="AB112" s="1"/>
      <c r="AC112" s="1"/>
      <c r="AD112" s="1"/>
      <c r="AE112" s="1"/>
      <c r="AF112" s="1"/>
      <c r="AG112" s="1"/>
      <c r="AH112" s="1"/>
      <c r="AI112" s="1"/>
      <c r="AJ112" s="1"/>
      <c r="AK112" s="1"/>
      <c r="AL112" s="1"/>
      <c r="AM112" s="1"/>
      <c r="AN112" s="1"/>
      <c r="AO112" s="1"/>
      <c r="AP112" s="1"/>
      <c r="AQ112" s="1"/>
      <c r="AR112" s="1"/>
      <c r="AS112" s="1"/>
      <c r="AT112" s="1"/>
      <c r="AU112" s="1"/>
    </row>
    <row r="113" spans="1:47" hidden="1" x14ac:dyDescent="0.25">
      <c r="A113" s="571"/>
      <c r="B113" s="577"/>
      <c r="C113" s="581"/>
      <c r="D113" s="589"/>
      <c r="E113" s="590"/>
      <c r="F113" s="140" t="s">
        <v>220</v>
      </c>
      <c r="G113" s="98">
        <v>2001</v>
      </c>
      <c r="H113" s="215"/>
      <c r="I113" s="75"/>
      <c r="J113" s="75">
        <f>J93</f>
        <v>0.49</v>
      </c>
      <c r="K113" s="75">
        <f t="shared" ref="K113:Y113" si="35">K93</f>
        <v>0.49</v>
      </c>
      <c r="L113" s="75">
        <f t="shared" si="35"/>
        <v>0.49</v>
      </c>
      <c r="M113" s="75">
        <f t="shared" si="35"/>
        <v>0.49</v>
      </c>
      <c r="N113" s="75">
        <f t="shared" si="35"/>
        <v>0.49</v>
      </c>
      <c r="O113" s="75">
        <f t="shared" si="35"/>
        <v>0.49</v>
      </c>
      <c r="P113" s="75">
        <f t="shared" si="35"/>
        <v>0.49</v>
      </c>
      <c r="Q113" s="75">
        <f t="shared" si="35"/>
        <v>0.49</v>
      </c>
      <c r="R113" s="75">
        <f t="shared" si="35"/>
        <v>0.49</v>
      </c>
      <c r="S113" s="75">
        <f t="shared" si="35"/>
        <v>0.49</v>
      </c>
      <c r="T113" s="75">
        <f t="shared" si="35"/>
        <v>0.49</v>
      </c>
      <c r="U113" s="75">
        <f t="shared" si="35"/>
        <v>0.49</v>
      </c>
      <c r="V113" s="75">
        <f t="shared" si="35"/>
        <v>0.49</v>
      </c>
      <c r="W113" s="75">
        <f t="shared" si="35"/>
        <v>0.49</v>
      </c>
      <c r="X113" s="75">
        <f t="shared" si="35"/>
        <v>0.49</v>
      </c>
      <c r="Y113" s="89">
        <f t="shared" si="35"/>
        <v>0.49</v>
      </c>
      <c r="Z113" s="1"/>
      <c r="AA113" s="1"/>
      <c r="AB113" s="1"/>
      <c r="AC113" s="1"/>
      <c r="AD113" s="1"/>
      <c r="AE113" s="1"/>
      <c r="AF113" s="1"/>
      <c r="AG113" s="1"/>
      <c r="AH113" s="1"/>
      <c r="AI113" s="1"/>
      <c r="AJ113" s="1"/>
      <c r="AK113" s="1"/>
      <c r="AL113" s="1"/>
      <c r="AM113" s="1"/>
      <c r="AN113" s="1"/>
      <c r="AO113" s="1"/>
      <c r="AP113" s="1"/>
      <c r="AQ113" s="1"/>
      <c r="AR113" s="1"/>
      <c r="AS113" s="1"/>
      <c r="AT113" s="1"/>
      <c r="AU113" s="1"/>
    </row>
    <row r="114" spans="1:47" hidden="1" x14ac:dyDescent="0.25">
      <c r="A114" s="571"/>
      <c r="B114" s="577"/>
      <c r="C114" s="581"/>
      <c r="D114" s="589"/>
      <c r="E114" s="590"/>
      <c r="F114" s="140" t="s">
        <v>222</v>
      </c>
      <c r="G114" s="98">
        <v>2013</v>
      </c>
      <c r="H114" s="215"/>
      <c r="I114" s="75"/>
      <c r="J114" s="75">
        <v>0.46</v>
      </c>
      <c r="K114" s="75">
        <v>0.46</v>
      </c>
      <c r="L114" s="75">
        <v>0.46</v>
      </c>
      <c r="M114" s="75">
        <v>0.46</v>
      </c>
      <c r="N114" s="75">
        <v>0.46</v>
      </c>
      <c r="O114" s="75">
        <v>0.46</v>
      </c>
      <c r="P114" s="75">
        <v>0.46</v>
      </c>
      <c r="Q114" s="75">
        <v>0.46</v>
      </c>
      <c r="R114" s="75">
        <v>0.46</v>
      </c>
      <c r="S114" s="75">
        <v>0.46</v>
      </c>
      <c r="T114" s="75">
        <v>0.46</v>
      </c>
      <c r="U114" s="75">
        <v>0.46</v>
      </c>
      <c r="V114" s="75">
        <v>0.46</v>
      </c>
      <c r="W114" s="75">
        <v>0.46</v>
      </c>
      <c r="X114" s="75">
        <v>0.46</v>
      </c>
      <c r="Y114" s="89">
        <v>0.46</v>
      </c>
      <c r="Z114" s="1"/>
      <c r="AA114" s="1"/>
      <c r="AB114" s="1"/>
      <c r="AC114" s="1"/>
      <c r="AD114" s="1"/>
      <c r="AE114" s="1"/>
      <c r="AF114" s="1"/>
      <c r="AG114" s="1"/>
      <c r="AH114" s="1"/>
      <c r="AI114" s="1"/>
      <c r="AJ114" s="1"/>
      <c r="AK114" s="1"/>
      <c r="AL114" s="1"/>
      <c r="AM114" s="1"/>
      <c r="AN114" s="1"/>
      <c r="AO114" s="1"/>
      <c r="AP114" s="1"/>
      <c r="AQ114" s="1"/>
      <c r="AR114" s="1"/>
      <c r="AS114" s="1"/>
      <c r="AT114" s="1"/>
      <c r="AU114" s="1"/>
    </row>
    <row r="115" spans="1:47" ht="14.4" hidden="1" thickBot="1" x14ac:dyDescent="0.3">
      <c r="A115" s="571"/>
      <c r="B115" s="577"/>
      <c r="C115" s="581"/>
      <c r="D115" s="591"/>
      <c r="E115" s="592"/>
      <c r="F115" s="141" t="s">
        <v>226</v>
      </c>
      <c r="G115" s="99">
        <v>2025</v>
      </c>
      <c r="H115" s="215"/>
      <c r="I115" s="96"/>
      <c r="J115" s="76">
        <v>0.46</v>
      </c>
      <c r="K115" s="76">
        <v>0.46</v>
      </c>
      <c r="L115" s="76">
        <v>0.46</v>
      </c>
      <c r="M115" s="76">
        <v>0.46</v>
      </c>
      <c r="N115" s="76">
        <v>0.46</v>
      </c>
      <c r="O115" s="76">
        <v>0.46</v>
      </c>
      <c r="P115" s="76">
        <v>0.46</v>
      </c>
      <c r="Q115" s="76">
        <v>0.46</v>
      </c>
      <c r="R115" s="76">
        <v>0.46</v>
      </c>
      <c r="S115" s="76">
        <v>0.46</v>
      </c>
      <c r="T115" s="76">
        <v>0.46</v>
      </c>
      <c r="U115" s="76">
        <v>0.46</v>
      </c>
      <c r="V115" s="76">
        <v>0.46</v>
      </c>
      <c r="W115" s="76">
        <v>0.46</v>
      </c>
      <c r="X115" s="76">
        <v>0.46</v>
      </c>
      <c r="Y115" s="90">
        <v>0.46</v>
      </c>
      <c r="Z115" s="1"/>
      <c r="AA115" s="1"/>
      <c r="AB115" s="1"/>
      <c r="AC115" s="1"/>
      <c r="AD115" s="1"/>
      <c r="AE115" s="1"/>
      <c r="AF115" s="1"/>
      <c r="AG115" s="1"/>
      <c r="AH115" s="1"/>
      <c r="AI115" s="1"/>
      <c r="AJ115" s="1"/>
      <c r="AK115" s="1"/>
      <c r="AL115" s="1"/>
      <c r="AM115" s="1"/>
      <c r="AN115" s="1"/>
      <c r="AO115" s="1"/>
      <c r="AP115" s="1"/>
      <c r="AQ115" s="1"/>
      <c r="AR115" s="1"/>
      <c r="AS115" s="1"/>
      <c r="AT115" s="1"/>
      <c r="AU115" s="1"/>
    </row>
    <row r="116" spans="1:47" hidden="1" x14ac:dyDescent="0.25">
      <c r="A116" s="571"/>
      <c r="B116" s="577"/>
      <c r="C116" s="581"/>
      <c r="D116" s="587" t="s">
        <v>251</v>
      </c>
      <c r="E116" s="588"/>
      <c r="F116" s="139" t="s">
        <v>215</v>
      </c>
      <c r="G116" s="97" t="s">
        <v>216</v>
      </c>
      <c r="H116" s="215"/>
      <c r="I116" s="74"/>
      <c r="J116" s="74"/>
      <c r="K116" s="74"/>
      <c r="L116" s="74"/>
      <c r="M116" s="74"/>
      <c r="N116" s="74"/>
      <c r="O116" s="74"/>
      <c r="P116" s="74"/>
      <c r="Q116" s="74"/>
      <c r="R116" s="74"/>
      <c r="S116" s="74"/>
      <c r="T116" s="74"/>
      <c r="U116" s="74"/>
      <c r="V116" s="74"/>
      <c r="W116" s="74"/>
      <c r="X116" s="74"/>
      <c r="Y116" s="91"/>
      <c r="Z116" s="1"/>
      <c r="AA116" s="1"/>
      <c r="AB116" s="1"/>
      <c r="AC116" s="1"/>
      <c r="AD116" s="1"/>
      <c r="AE116" s="1"/>
      <c r="AF116" s="1"/>
      <c r="AG116" s="1"/>
      <c r="AH116" s="1"/>
      <c r="AI116" s="1"/>
      <c r="AJ116" s="1"/>
      <c r="AK116" s="1"/>
      <c r="AL116" s="1"/>
      <c r="AM116" s="1"/>
      <c r="AN116" s="1"/>
      <c r="AO116" s="1"/>
      <c r="AP116" s="1"/>
      <c r="AQ116" s="1"/>
      <c r="AR116" s="1"/>
      <c r="AS116" s="1"/>
      <c r="AT116" s="1"/>
      <c r="AU116" s="1"/>
    </row>
    <row r="117" spans="1:47" hidden="1" x14ac:dyDescent="0.25">
      <c r="A117" s="571"/>
      <c r="B117" s="577"/>
      <c r="C117" s="581"/>
      <c r="D117" s="589"/>
      <c r="E117" s="590"/>
      <c r="F117" s="140" t="s">
        <v>218</v>
      </c>
      <c r="G117" s="98">
        <v>1984</v>
      </c>
      <c r="H117" s="215"/>
      <c r="I117" s="75"/>
      <c r="J117" s="75"/>
      <c r="K117" s="75"/>
      <c r="L117" s="75"/>
      <c r="M117" s="75"/>
      <c r="N117" s="75"/>
      <c r="O117" s="75"/>
      <c r="P117" s="75"/>
      <c r="Q117" s="75"/>
      <c r="R117" s="75"/>
      <c r="S117" s="75"/>
      <c r="T117" s="75"/>
      <c r="U117" s="75"/>
      <c r="V117" s="75"/>
      <c r="W117" s="75"/>
      <c r="X117" s="75"/>
      <c r="Y117" s="89"/>
      <c r="Z117" s="1"/>
      <c r="AA117" s="1"/>
      <c r="AB117" s="1"/>
      <c r="AC117" s="1"/>
      <c r="AD117" s="1"/>
      <c r="AE117" s="1"/>
      <c r="AF117" s="1"/>
      <c r="AG117" s="1"/>
      <c r="AH117" s="1"/>
      <c r="AI117" s="1"/>
      <c r="AJ117" s="1"/>
      <c r="AK117" s="1"/>
      <c r="AL117" s="1"/>
      <c r="AM117" s="1"/>
      <c r="AN117" s="1"/>
      <c r="AO117" s="1"/>
      <c r="AP117" s="1"/>
      <c r="AQ117" s="1"/>
      <c r="AR117" s="1"/>
      <c r="AS117" s="1"/>
      <c r="AT117" s="1"/>
      <c r="AU117" s="1"/>
    </row>
    <row r="118" spans="1:47" ht="52.8" hidden="1" x14ac:dyDescent="0.25">
      <c r="A118" s="571"/>
      <c r="B118" s="577"/>
      <c r="C118" s="581"/>
      <c r="D118" s="589"/>
      <c r="E118" s="590"/>
      <c r="F118" s="142" t="s">
        <v>220</v>
      </c>
      <c r="G118" s="101">
        <v>2001</v>
      </c>
      <c r="H118" s="215"/>
      <c r="I118" s="100" t="s">
        <v>309</v>
      </c>
      <c r="J118" s="94">
        <f t="shared" ref="J118:Y118" si="36">J98</f>
        <v>0.38500000000000001</v>
      </c>
      <c r="K118" s="94">
        <f t="shared" si="36"/>
        <v>0.33</v>
      </c>
      <c r="L118" s="94">
        <f t="shared" si="36"/>
        <v>0.435</v>
      </c>
      <c r="M118" s="94">
        <f t="shared" si="36"/>
        <v>0.435</v>
      </c>
      <c r="N118" s="94">
        <f t="shared" si="36"/>
        <v>0.435</v>
      </c>
      <c r="O118" s="94">
        <f t="shared" si="36"/>
        <v>0.45999999999999996</v>
      </c>
      <c r="P118" s="94">
        <f t="shared" si="36"/>
        <v>0.45999999999999996</v>
      </c>
      <c r="Q118" s="94">
        <f t="shared" si="36"/>
        <v>0.45999999999999996</v>
      </c>
      <c r="R118" s="94">
        <f t="shared" si="36"/>
        <v>0.45999999999999996</v>
      </c>
      <c r="S118" s="94">
        <f t="shared" si="36"/>
        <v>0.33</v>
      </c>
      <c r="T118" s="94">
        <f t="shared" si="36"/>
        <v>0.33</v>
      </c>
      <c r="U118" s="94">
        <f t="shared" si="36"/>
        <v>0.33</v>
      </c>
      <c r="V118" s="94">
        <f t="shared" si="36"/>
        <v>0.33</v>
      </c>
      <c r="W118" s="94">
        <f t="shared" si="36"/>
        <v>0.34499999999999997</v>
      </c>
      <c r="X118" s="94">
        <f t="shared" si="36"/>
        <v>0.34499999999999997</v>
      </c>
      <c r="Y118" s="95">
        <f t="shared" si="36"/>
        <v>0.38500000000000001</v>
      </c>
      <c r="Z118" s="1"/>
      <c r="AA118" s="1"/>
      <c r="AB118" s="1"/>
      <c r="AC118" s="1"/>
      <c r="AD118" s="1"/>
      <c r="AE118" s="1"/>
      <c r="AF118" s="1"/>
      <c r="AG118" s="1"/>
      <c r="AH118" s="1"/>
      <c r="AI118" s="1"/>
      <c r="AJ118" s="1"/>
      <c r="AK118" s="1"/>
      <c r="AL118" s="1"/>
      <c r="AM118" s="1"/>
      <c r="AN118" s="1"/>
      <c r="AO118" s="1"/>
      <c r="AP118" s="1"/>
      <c r="AQ118" s="1"/>
      <c r="AR118" s="1"/>
      <c r="AS118" s="1"/>
      <c r="AT118" s="1"/>
      <c r="AU118" s="1"/>
    </row>
    <row r="119" spans="1:47" hidden="1" x14ac:dyDescent="0.25">
      <c r="A119" s="571"/>
      <c r="B119" s="577"/>
      <c r="C119" s="581"/>
      <c r="D119" s="589"/>
      <c r="E119" s="590"/>
      <c r="F119" s="140" t="s">
        <v>222</v>
      </c>
      <c r="G119" s="98">
        <v>2013</v>
      </c>
      <c r="H119" s="215"/>
      <c r="I119" s="75"/>
      <c r="J119" s="75">
        <v>0.22</v>
      </c>
      <c r="K119" s="75">
        <v>0.22</v>
      </c>
      <c r="L119" s="75">
        <v>0.22</v>
      </c>
      <c r="M119" s="75">
        <v>0.22</v>
      </c>
      <c r="N119" s="75">
        <v>0.22</v>
      </c>
      <c r="O119" s="75">
        <v>0.22</v>
      </c>
      <c r="P119" s="75">
        <v>0.22</v>
      </c>
      <c r="Q119" s="75">
        <v>0.22</v>
      </c>
      <c r="R119" s="75">
        <v>0.22</v>
      </c>
      <c r="S119" s="75">
        <v>0.22</v>
      </c>
      <c r="T119" s="75">
        <v>0.22</v>
      </c>
      <c r="U119" s="75">
        <v>0.22</v>
      </c>
      <c r="V119" s="75">
        <v>0.22</v>
      </c>
      <c r="W119" s="75">
        <v>0.22</v>
      </c>
      <c r="X119" s="75">
        <v>0.22</v>
      </c>
      <c r="Y119" s="89">
        <v>0.22</v>
      </c>
      <c r="Z119" s="1"/>
      <c r="AA119" s="1"/>
      <c r="AB119" s="1"/>
      <c r="AC119" s="1"/>
      <c r="AD119" s="1"/>
      <c r="AE119" s="1"/>
      <c r="AF119" s="1"/>
      <c r="AG119" s="1"/>
      <c r="AH119" s="1"/>
      <c r="AI119" s="1"/>
      <c r="AJ119" s="1"/>
      <c r="AK119" s="1"/>
      <c r="AL119" s="1"/>
      <c r="AM119" s="1"/>
      <c r="AN119" s="1"/>
      <c r="AO119" s="1"/>
      <c r="AP119" s="1"/>
      <c r="AQ119" s="1"/>
      <c r="AR119" s="1"/>
      <c r="AS119" s="1"/>
      <c r="AT119" s="1"/>
      <c r="AU119" s="1"/>
    </row>
    <row r="120" spans="1:47" ht="14.4" hidden="1" thickBot="1" x14ac:dyDescent="0.3">
      <c r="A120" s="572"/>
      <c r="B120" s="577"/>
      <c r="C120" s="581"/>
      <c r="D120" s="591"/>
      <c r="E120" s="592"/>
      <c r="F120" s="141" t="s">
        <v>226</v>
      </c>
      <c r="G120" s="99">
        <v>2025</v>
      </c>
      <c r="H120" s="215"/>
      <c r="I120" s="96"/>
      <c r="J120" s="76">
        <v>0.22</v>
      </c>
      <c r="K120" s="76">
        <v>0.22</v>
      </c>
      <c r="L120" s="76">
        <v>0.22</v>
      </c>
      <c r="M120" s="76">
        <v>0.22</v>
      </c>
      <c r="N120" s="76">
        <v>0.22</v>
      </c>
      <c r="O120" s="76">
        <v>0.22</v>
      </c>
      <c r="P120" s="76">
        <v>0.22</v>
      </c>
      <c r="Q120" s="76">
        <v>0.22</v>
      </c>
      <c r="R120" s="76">
        <v>0.22</v>
      </c>
      <c r="S120" s="76">
        <v>0.22</v>
      </c>
      <c r="T120" s="76">
        <v>0.22</v>
      </c>
      <c r="U120" s="76">
        <v>0.22</v>
      </c>
      <c r="V120" s="76">
        <v>0.22</v>
      </c>
      <c r="W120" s="76">
        <v>0.22</v>
      </c>
      <c r="X120" s="76">
        <v>0.22</v>
      </c>
      <c r="Y120" s="90">
        <v>0.22</v>
      </c>
      <c r="Z120" s="1"/>
      <c r="AA120" s="1"/>
      <c r="AB120" s="1"/>
      <c r="AC120" s="1"/>
      <c r="AD120" s="1"/>
      <c r="AE120" s="1"/>
      <c r="AF120" s="1"/>
      <c r="AG120" s="1"/>
      <c r="AH120" s="1"/>
      <c r="AI120" s="1"/>
      <c r="AJ120" s="1"/>
      <c r="AK120" s="1"/>
      <c r="AL120" s="1"/>
      <c r="AM120" s="1"/>
      <c r="AN120" s="1"/>
      <c r="AO120" s="1"/>
      <c r="AP120" s="1"/>
      <c r="AQ120" s="1"/>
      <c r="AR120" s="1"/>
      <c r="AS120" s="1"/>
      <c r="AT120" s="1"/>
      <c r="AU120" s="1"/>
    </row>
    <row r="121" spans="1:47" hidden="1" x14ac:dyDescent="0.25">
      <c r="A121" s="573" t="s">
        <v>307</v>
      </c>
      <c r="B121" s="577"/>
      <c r="C121" s="581"/>
      <c r="D121" s="587" t="s">
        <v>245</v>
      </c>
      <c r="E121" s="588"/>
      <c r="F121" s="139" t="s">
        <v>215</v>
      </c>
      <c r="G121" s="97" t="s">
        <v>216</v>
      </c>
      <c r="H121" s="215"/>
      <c r="I121" s="74"/>
      <c r="J121" s="74"/>
      <c r="K121" s="74"/>
      <c r="L121" s="74"/>
      <c r="M121" s="74"/>
      <c r="N121" s="74"/>
      <c r="O121" s="74"/>
      <c r="P121" s="74"/>
      <c r="Q121" s="74"/>
      <c r="R121" s="74"/>
      <c r="S121" s="74"/>
      <c r="T121" s="74"/>
      <c r="U121" s="74"/>
      <c r="V121" s="74"/>
      <c r="W121" s="74"/>
      <c r="X121" s="74"/>
      <c r="Y121" s="91"/>
      <c r="Z121" s="1"/>
      <c r="AA121" s="1"/>
      <c r="AB121" s="1"/>
      <c r="AC121" s="1"/>
      <c r="AD121" s="1"/>
      <c r="AE121" s="1"/>
      <c r="AF121" s="1"/>
      <c r="AG121" s="1"/>
      <c r="AH121" s="1"/>
      <c r="AI121" s="1"/>
      <c r="AJ121" s="1"/>
      <c r="AK121" s="1"/>
      <c r="AL121" s="1"/>
      <c r="AM121" s="1"/>
      <c r="AN121" s="1"/>
      <c r="AO121" s="1"/>
      <c r="AP121" s="1"/>
      <c r="AQ121" s="1"/>
      <c r="AR121" s="1"/>
      <c r="AS121" s="1"/>
      <c r="AT121" s="1"/>
      <c r="AU121" s="1"/>
    </row>
    <row r="122" spans="1:47" hidden="1" x14ac:dyDescent="0.25">
      <c r="A122" s="574"/>
      <c r="B122" s="577"/>
      <c r="C122" s="581"/>
      <c r="D122" s="589"/>
      <c r="E122" s="590"/>
      <c r="F122" s="140" t="s">
        <v>218</v>
      </c>
      <c r="G122" s="98">
        <v>1984</v>
      </c>
      <c r="H122" s="215"/>
      <c r="I122" s="75"/>
      <c r="J122" s="75"/>
      <c r="K122" s="75"/>
      <c r="L122" s="75"/>
      <c r="M122" s="75"/>
      <c r="N122" s="75"/>
      <c r="O122" s="75"/>
      <c r="P122" s="75"/>
      <c r="Q122" s="75"/>
      <c r="R122" s="75"/>
      <c r="S122" s="75"/>
      <c r="T122" s="75"/>
      <c r="U122" s="75"/>
      <c r="V122" s="75"/>
      <c r="W122" s="75"/>
      <c r="X122" s="75"/>
      <c r="Y122" s="89"/>
      <c r="Z122" s="1"/>
      <c r="AA122" s="1"/>
      <c r="AB122" s="1"/>
      <c r="AC122" s="1"/>
      <c r="AD122" s="1"/>
      <c r="AE122" s="1"/>
      <c r="AF122" s="1"/>
      <c r="AG122" s="1"/>
      <c r="AH122" s="1"/>
      <c r="AI122" s="1"/>
      <c r="AJ122" s="1"/>
      <c r="AK122" s="1"/>
      <c r="AL122" s="1"/>
      <c r="AM122" s="1"/>
      <c r="AN122" s="1"/>
      <c r="AO122" s="1"/>
      <c r="AP122" s="1"/>
      <c r="AQ122" s="1"/>
      <c r="AR122" s="1"/>
      <c r="AS122" s="1"/>
      <c r="AT122" s="1"/>
      <c r="AU122" s="1"/>
    </row>
    <row r="123" spans="1:47" ht="52.8" hidden="1" x14ac:dyDescent="0.25">
      <c r="A123" s="574"/>
      <c r="B123" s="577"/>
      <c r="C123" s="581"/>
      <c r="D123" s="589"/>
      <c r="E123" s="590"/>
      <c r="F123" s="140" t="s">
        <v>220</v>
      </c>
      <c r="G123" s="98">
        <v>2001</v>
      </c>
      <c r="H123" s="215"/>
      <c r="I123" s="100" t="s">
        <v>310</v>
      </c>
      <c r="J123" s="75">
        <v>0.49</v>
      </c>
      <c r="K123" s="75">
        <v>0.49</v>
      </c>
      <c r="L123" s="75">
        <v>0.81</v>
      </c>
      <c r="M123" s="75">
        <v>0.81</v>
      </c>
      <c r="N123" s="75">
        <v>0.81</v>
      </c>
      <c r="O123" s="75">
        <v>0.81</v>
      </c>
      <c r="P123" s="75">
        <v>0.81</v>
      </c>
      <c r="Q123" s="75">
        <v>0.81</v>
      </c>
      <c r="R123" s="75">
        <v>0.81</v>
      </c>
      <c r="S123" s="75">
        <v>0.49</v>
      </c>
      <c r="T123" s="75">
        <v>0.49</v>
      </c>
      <c r="U123" s="75">
        <v>0.49</v>
      </c>
      <c r="V123" s="75">
        <v>0.49</v>
      </c>
      <c r="W123" s="75">
        <v>0.49</v>
      </c>
      <c r="X123" s="75">
        <v>0.49</v>
      </c>
      <c r="Y123" s="89">
        <v>0.49</v>
      </c>
      <c r="Z123" s="1"/>
      <c r="AA123" s="1"/>
      <c r="AB123" s="1"/>
      <c r="AC123" s="1"/>
      <c r="AD123" s="1"/>
      <c r="AE123" s="1"/>
      <c r="AF123" s="1"/>
      <c r="AG123" s="1"/>
      <c r="AH123" s="1"/>
      <c r="AI123" s="1"/>
      <c r="AJ123" s="1"/>
      <c r="AK123" s="1"/>
      <c r="AL123" s="1"/>
      <c r="AM123" s="1"/>
      <c r="AN123" s="1"/>
      <c r="AO123" s="1"/>
      <c r="AP123" s="1"/>
      <c r="AQ123" s="1"/>
      <c r="AR123" s="1"/>
      <c r="AS123" s="1"/>
      <c r="AT123" s="1"/>
      <c r="AU123" s="1"/>
    </row>
    <row r="124" spans="1:47" hidden="1" x14ac:dyDescent="0.25">
      <c r="A124" s="574"/>
      <c r="B124" s="577"/>
      <c r="C124" s="581"/>
      <c r="D124" s="589"/>
      <c r="E124" s="590"/>
      <c r="F124" s="140" t="s">
        <v>222</v>
      </c>
      <c r="G124" s="98">
        <v>2013</v>
      </c>
      <c r="H124" s="215"/>
      <c r="I124" s="75"/>
      <c r="J124" s="75">
        <v>0.46</v>
      </c>
      <c r="K124" s="75">
        <v>0.46</v>
      </c>
      <c r="L124" s="75">
        <v>0.46</v>
      </c>
      <c r="M124" s="75">
        <v>0.46</v>
      </c>
      <c r="N124" s="75">
        <v>0.46</v>
      </c>
      <c r="O124" s="75">
        <v>0.46</v>
      </c>
      <c r="P124" s="75">
        <v>0.46</v>
      </c>
      <c r="Q124" s="75">
        <v>0.46</v>
      </c>
      <c r="R124" s="75">
        <v>0.46</v>
      </c>
      <c r="S124" s="75">
        <v>0.46</v>
      </c>
      <c r="T124" s="75">
        <v>0.46</v>
      </c>
      <c r="U124" s="75">
        <v>0.46</v>
      </c>
      <c r="V124" s="75">
        <v>0.46</v>
      </c>
      <c r="W124" s="75">
        <v>0.46</v>
      </c>
      <c r="X124" s="75">
        <v>0.46</v>
      </c>
      <c r="Y124" s="89">
        <v>0.46</v>
      </c>
      <c r="Z124" s="1"/>
      <c r="AA124" s="1"/>
      <c r="AB124" s="1"/>
      <c r="AC124" s="1"/>
      <c r="AD124" s="1"/>
      <c r="AE124" s="1"/>
      <c r="AF124" s="1"/>
      <c r="AG124" s="1"/>
      <c r="AH124" s="1"/>
      <c r="AI124" s="1"/>
      <c r="AJ124" s="1"/>
      <c r="AK124" s="1"/>
      <c r="AL124" s="1"/>
      <c r="AM124" s="1"/>
      <c r="AN124" s="1"/>
      <c r="AO124" s="1"/>
      <c r="AP124" s="1"/>
      <c r="AQ124" s="1"/>
      <c r="AR124" s="1"/>
      <c r="AS124" s="1"/>
      <c r="AT124" s="1"/>
      <c r="AU124" s="1"/>
    </row>
    <row r="125" spans="1:47" ht="14.4" hidden="1" thickBot="1" x14ac:dyDescent="0.3">
      <c r="A125" s="574"/>
      <c r="B125" s="577"/>
      <c r="C125" s="581"/>
      <c r="D125" s="591"/>
      <c r="E125" s="592"/>
      <c r="F125" s="141" t="s">
        <v>226</v>
      </c>
      <c r="G125" s="99">
        <v>2025</v>
      </c>
      <c r="H125" s="215"/>
      <c r="I125" s="96"/>
      <c r="J125" s="76">
        <v>0.46</v>
      </c>
      <c r="K125" s="76">
        <v>0.46</v>
      </c>
      <c r="L125" s="76">
        <v>0.46</v>
      </c>
      <c r="M125" s="76">
        <v>0.46</v>
      </c>
      <c r="N125" s="76">
        <v>0.46</v>
      </c>
      <c r="O125" s="76">
        <v>0.46</v>
      </c>
      <c r="P125" s="76">
        <v>0.46</v>
      </c>
      <c r="Q125" s="76">
        <v>0.46</v>
      </c>
      <c r="R125" s="76">
        <v>0.46</v>
      </c>
      <c r="S125" s="76">
        <v>0.46</v>
      </c>
      <c r="T125" s="76">
        <v>0.46</v>
      </c>
      <c r="U125" s="76">
        <v>0.46</v>
      </c>
      <c r="V125" s="76">
        <v>0.46</v>
      </c>
      <c r="W125" s="76">
        <v>0.46</v>
      </c>
      <c r="X125" s="76">
        <v>0.46</v>
      </c>
      <c r="Y125" s="90">
        <v>0.46</v>
      </c>
      <c r="Z125" s="1"/>
      <c r="AA125" s="1"/>
      <c r="AB125" s="1"/>
      <c r="AC125" s="1"/>
      <c r="AD125" s="1"/>
      <c r="AE125" s="1"/>
      <c r="AF125" s="1"/>
      <c r="AG125" s="1"/>
      <c r="AH125" s="1"/>
      <c r="AI125" s="1"/>
      <c r="AJ125" s="1"/>
      <c r="AK125" s="1"/>
      <c r="AL125" s="1"/>
      <c r="AM125" s="1"/>
      <c r="AN125" s="1"/>
      <c r="AO125" s="1"/>
      <c r="AP125" s="1"/>
      <c r="AQ125" s="1"/>
      <c r="AR125" s="1"/>
      <c r="AS125" s="1"/>
      <c r="AT125" s="1"/>
      <c r="AU125" s="1"/>
    </row>
    <row r="126" spans="1:47" hidden="1" x14ac:dyDescent="0.25">
      <c r="A126" s="574"/>
      <c r="B126" s="577"/>
      <c r="C126" s="581"/>
      <c r="D126" s="587" t="s">
        <v>251</v>
      </c>
      <c r="E126" s="588"/>
      <c r="F126" s="139" t="s">
        <v>215</v>
      </c>
      <c r="G126" s="97" t="s">
        <v>216</v>
      </c>
      <c r="H126" s="215"/>
      <c r="I126" s="74"/>
      <c r="J126" s="74"/>
      <c r="K126" s="74"/>
      <c r="L126" s="74"/>
      <c r="M126" s="74"/>
      <c r="N126" s="74"/>
      <c r="O126" s="74"/>
      <c r="P126" s="74"/>
      <c r="Q126" s="74"/>
      <c r="R126" s="74"/>
      <c r="S126" s="74"/>
      <c r="T126" s="74"/>
      <c r="U126" s="74"/>
      <c r="V126" s="74"/>
      <c r="W126" s="74"/>
      <c r="X126" s="74"/>
      <c r="Y126" s="91"/>
      <c r="Z126" s="1"/>
      <c r="AA126" s="1"/>
      <c r="AB126" s="1"/>
      <c r="AC126" s="1"/>
      <c r="AD126" s="1"/>
      <c r="AE126" s="1"/>
      <c r="AF126" s="1"/>
      <c r="AG126" s="1"/>
      <c r="AH126" s="1"/>
      <c r="AI126" s="1"/>
      <c r="AJ126" s="1"/>
      <c r="AK126" s="1"/>
      <c r="AL126" s="1"/>
      <c r="AM126" s="1"/>
      <c r="AN126" s="1"/>
      <c r="AO126" s="1"/>
      <c r="AP126" s="1"/>
      <c r="AQ126" s="1"/>
      <c r="AR126" s="1"/>
      <c r="AS126" s="1"/>
      <c r="AT126" s="1"/>
      <c r="AU126" s="1"/>
    </row>
    <row r="127" spans="1:47" hidden="1" x14ac:dyDescent="0.25">
      <c r="A127" s="574"/>
      <c r="B127" s="577"/>
      <c r="C127" s="581"/>
      <c r="D127" s="589"/>
      <c r="E127" s="590"/>
      <c r="F127" s="140" t="s">
        <v>218</v>
      </c>
      <c r="G127" s="98">
        <v>1984</v>
      </c>
      <c r="H127" s="215"/>
      <c r="I127" s="75"/>
      <c r="J127" s="75"/>
      <c r="K127" s="75"/>
      <c r="L127" s="75"/>
      <c r="M127" s="75"/>
      <c r="N127" s="75"/>
      <c r="O127" s="75"/>
      <c r="P127" s="75"/>
      <c r="Q127" s="75"/>
      <c r="R127" s="75"/>
      <c r="S127" s="75"/>
      <c r="T127" s="75"/>
      <c r="U127" s="75"/>
      <c r="V127" s="75"/>
      <c r="W127" s="75"/>
      <c r="X127" s="75"/>
      <c r="Y127" s="89"/>
      <c r="Z127" s="1"/>
      <c r="AA127" s="1"/>
      <c r="AB127" s="1"/>
      <c r="AC127" s="1"/>
      <c r="AD127" s="1"/>
      <c r="AE127" s="1"/>
      <c r="AF127" s="1"/>
      <c r="AG127" s="1"/>
      <c r="AH127" s="1"/>
      <c r="AI127" s="1"/>
      <c r="AJ127" s="1"/>
      <c r="AK127" s="1"/>
      <c r="AL127" s="1"/>
      <c r="AM127" s="1"/>
      <c r="AN127" s="1"/>
      <c r="AO127" s="1"/>
      <c r="AP127" s="1"/>
      <c r="AQ127" s="1"/>
      <c r="AR127" s="1"/>
      <c r="AS127" s="1"/>
      <c r="AT127" s="1"/>
      <c r="AU127" s="1"/>
    </row>
    <row r="128" spans="1:47" ht="52.8" hidden="1" x14ac:dyDescent="0.25">
      <c r="A128" s="574"/>
      <c r="B128" s="577"/>
      <c r="C128" s="581"/>
      <c r="D128" s="589"/>
      <c r="E128" s="590"/>
      <c r="F128" s="142" t="s">
        <v>220</v>
      </c>
      <c r="G128" s="101">
        <v>2001</v>
      </c>
      <c r="H128" s="215"/>
      <c r="I128" s="100" t="s">
        <v>310</v>
      </c>
      <c r="J128" s="75">
        <f>J108</f>
        <v>0.44999999999999996</v>
      </c>
      <c r="K128" s="75">
        <f t="shared" ref="K128:Y128" si="37">K108</f>
        <v>0.39</v>
      </c>
      <c r="L128" s="75">
        <f t="shared" si="37"/>
        <v>0.51</v>
      </c>
      <c r="M128" s="75">
        <f t="shared" si="37"/>
        <v>0.51</v>
      </c>
      <c r="N128" s="75">
        <f t="shared" si="37"/>
        <v>0.51</v>
      </c>
      <c r="O128" s="75">
        <f t="shared" si="37"/>
        <v>0.47499999999999998</v>
      </c>
      <c r="P128" s="75">
        <f t="shared" si="37"/>
        <v>0.47499999999999998</v>
      </c>
      <c r="Q128" s="75">
        <f t="shared" si="37"/>
        <v>0.47499999999999998</v>
      </c>
      <c r="R128" s="75">
        <f t="shared" si="37"/>
        <v>0.47499999999999998</v>
      </c>
      <c r="S128" s="75">
        <f t="shared" si="37"/>
        <v>0.39</v>
      </c>
      <c r="T128" s="75">
        <f t="shared" si="37"/>
        <v>0.39</v>
      </c>
      <c r="U128" s="75">
        <f t="shared" si="37"/>
        <v>0.39</v>
      </c>
      <c r="V128" s="75">
        <f t="shared" si="37"/>
        <v>0.39</v>
      </c>
      <c r="W128" s="75">
        <f t="shared" si="37"/>
        <v>0.39</v>
      </c>
      <c r="X128" s="75">
        <f t="shared" si="37"/>
        <v>0.39</v>
      </c>
      <c r="Y128" s="89">
        <f t="shared" si="37"/>
        <v>0.44999999999999996</v>
      </c>
      <c r="Z128" s="1"/>
      <c r="AA128" s="1"/>
      <c r="AB128" s="1"/>
      <c r="AC128" s="1"/>
      <c r="AD128" s="1"/>
      <c r="AE128" s="1"/>
      <c r="AF128" s="1"/>
      <c r="AG128" s="1"/>
      <c r="AH128" s="1"/>
      <c r="AI128" s="1"/>
      <c r="AJ128" s="1"/>
      <c r="AK128" s="1"/>
      <c r="AL128" s="1"/>
      <c r="AM128" s="1"/>
      <c r="AN128" s="1"/>
      <c r="AO128" s="1"/>
      <c r="AP128" s="1"/>
      <c r="AQ128" s="1"/>
      <c r="AR128" s="1"/>
      <c r="AS128" s="1"/>
      <c r="AT128" s="1"/>
      <c r="AU128" s="1"/>
    </row>
    <row r="129" spans="1:47" hidden="1" x14ac:dyDescent="0.25">
      <c r="A129" s="574"/>
      <c r="B129" s="577"/>
      <c r="C129" s="581"/>
      <c r="D129" s="589"/>
      <c r="E129" s="590"/>
      <c r="F129" s="140" t="s">
        <v>222</v>
      </c>
      <c r="G129" s="98">
        <v>2013</v>
      </c>
      <c r="H129" s="215"/>
      <c r="I129" s="75"/>
      <c r="J129" s="75">
        <v>0.22</v>
      </c>
      <c r="K129" s="75">
        <v>0.22</v>
      </c>
      <c r="L129" s="75">
        <v>0.22</v>
      </c>
      <c r="M129" s="75">
        <v>0.22</v>
      </c>
      <c r="N129" s="75">
        <v>0.22</v>
      </c>
      <c r="O129" s="75">
        <v>0.22</v>
      </c>
      <c r="P129" s="75">
        <v>0.22</v>
      </c>
      <c r="Q129" s="75">
        <v>0.22</v>
      </c>
      <c r="R129" s="75">
        <v>0.22</v>
      </c>
      <c r="S129" s="75">
        <v>0.22</v>
      </c>
      <c r="T129" s="75">
        <v>0.22</v>
      </c>
      <c r="U129" s="75">
        <v>0.22</v>
      </c>
      <c r="V129" s="75">
        <v>0.22</v>
      </c>
      <c r="W129" s="75">
        <v>0.22</v>
      </c>
      <c r="X129" s="75">
        <v>0.22</v>
      </c>
      <c r="Y129" s="89">
        <v>0.22</v>
      </c>
      <c r="Z129" s="1"/>
      <c r="AA129" s="1"/>
      <c r="AB129" s="1"/>
      <c r="AC129" s="1"/>
      <c r="AD129" s="1"/>
      <c r="AE129" s="1"/>
      <c r="AF129" s="1"/>
      <c r="AG129" s="1"/>
      <c r="AH129" s="1"/>
      <c r="AI129" s="1"/>
      <c r="AJ129" s="1"/>
      <c r="AK129" s="1"/>
      <c r="AL129" s="1"/>
      <c r="AM129" s="1"/>
      <c r="AN129" s="1"/>
      <c r="AO129" s="1"/>
      <c r="AP129" s="1"/>
      <c r="AQ129" s="1"/>
      <c r="AR129" s="1"/>
      <c r="AS129" s="1"/>
      <c r="AT129" s="1"/>
      <c r="AU129" s="1"/>
    </row>
    <row r="130" spans="1:47" ht="14.4" hidden="1" thickBot="1" x14ac:dyDescent="0.3">
      <c r="A130" s="575"/>
      <c r="B130" s="578"/>
      <c r="C130" s="582"/>
      <c r="D130" s="591"/>
      <c r="E130" s="592"/>
      <c r="F130" s="141" t="s">
        <v>226</v>
      </c>
      <c r="G130" s="99">
        <v>2025</v>
      </c>
      <c r="H130" s="215"/>
      <c r="I130" s="102"/>
      <c r="J130" s="92">
        <v>0.22</v>
      </c>
      <c r="K130" s="92">
        <v>0.22</v>
      </c>
      <c r="L130" s="92">
        <v>0.22</v>
      </c>
      <c r="M130" s="92">
        <v>0.22</v>
      </c>
      <c r="N130" s="92">
        <v>0.22</v>
      </c>
      <c r="O130" s="92">
        <v>0.22</v>
      </c>
      <c r="P130" s="92">
        <v>0.22</v>
      </c>
      <c r="Q130" s="92">
        <v>0.22</v>
      </c>
      <c r="R130" s="92">
        <v>0.22</v>
      </c>
      <c r="S130" s="92">
        <v>0.22</v>
      </c>
      <c r="T130" s="92">
        <v>0.22</v>
      </c>
      <c r="U130" s="92">
        <v>0.22</v>
      </c>
      <c r="V130" s="92">
        <v>0.22</v>
      </c>
      <c r="W130" s="92">
        <v>0.22</v>
      </c>
      <c r="X130" s="92">
        <v>0.22</v>
      </c>
      <c r="Y130" s="93">
        <v>0.22</v>
      </c>
      <c r="Z130" s="1"/>
      <c r="AA130" s="1"/>
      <c r="AB130" s="1"/>
      <c r="AC130" s="1"/>
      <c r="AD130" s="1"/>
      <c r="AE130" s="1"/>
      <c r="AF130" s="1"/>
      <c r="AG130" s="1"/>
      <c r="AH130" s="1"/>
      <c r="AI130" s="1"/>
      <c r="AJ130" s="1"/>
      <c r="AK130" s="1"/>
      <c r="AL130" s="1"/>
      <c r="AM130" s="1"/>
      <c r="AN130" s="1"/>
      <c r="AO130" s="1"/>
      <c r="AP130" s="1"/>
      <c r="AQ130" s="1"/>
      <c r="AR130" s="1"/>
      <c r="AS130" s="1"/>
      <c r="AT130" s="1"/>
      <c r="AU130" s="1"/>
    </row>
    <row r="131" spans="1:47" hidden="1" x14ac:dyDescent="0.25">
      <c r="A131" s="77"/>
      <c r="B131" s="75"/>
      <c r="C131" s="75"/>
      <c r="D131" s="75"/>
      <c r="E131" s="75"/>
      <c r="F131" s="78"/>
      <c r="G131" s="75"/>
      <c r="H131" s="75"/>
      <c r="I131" s="75"/>
      <c r="J131" s="75"/>
      <c r="K131" s="75"/>
      <c r="L131" s="75"/>
      <c r="M131" s="75"/>
      <c r="N131" s="75"/>
      <c r="O131" s="75"/>
      <c r="P131" s="75"/>
      <c r="Q131" s="75"/>
      <c r="R131" s="75"/>
      <c r="S131" s="75"/>
      <c r="T131" s="75"/>
      <c r="U131" s="75"/>
      <c r="V131" s="75"/>
      <c r="W131" s="75"/>
      <c r="X131" s="75"/>
      <c r="Y131" s="75"/>
      <c r="Z131" s="1"/>
      <c r="AA131" s="1"/>
      <c r="AB131" s="1"/>
      <c r="AC131" s="1"/>
      <c r="AD131" s="1"/>
      <c r="AE131" s="1"/>
      <c r="AF131" s="1"/>
      <c r="AG131" s="1"/>
      <c r="AH131" s="1"/>
      <c r="AI131" s="1"/>
      <c r="AJ131" s="1"/>
      <c r="AK131" s="1"/>
      <c r="AL131" s="1"/>
      <c r="AM131" s="1"/>
      <c r="AN131" s="1"/>
      <c r="AO131" s="1"/>
      <c r="AP131" s="1"/>
      <c r="AQ131" s="1"/>
      <c r="AR131" s="1"/>
      <c r="AS131" s="1"/>
      <c r="AT131" s="1"/>
      <c r="AU131" s="1"/>
    </row>
    <row r="132" spans="1:47" hidden="1" x14ac:dyDescent="0.25">
      <c r="A132" s="77"/>
      <c r="B132" s="75"/>
      <c r="C132" s="75"/>
      <c r="D132" s="75"/>
      <c r="E132" s="75"/>
      <c r="F132" s="78"/>
      <c r="G132" s="75"/>
      <c r="H132" s="75"/>
      <c r="I132" s="75"/>
      <c r="J132" s="75"/>
      <c r="K132" s="75"/>
      <c r="L132" s="75"/>
      <c r="M132" s="75"/>
      <c r="N132" s="75"/>
      <c r="O132" s="75"/>
      <c r="P132" s="75"/>
      <c r="Q132" s="75"/>
      <c r="R132" s="75"/>
      <c r="S132" s="75"/>
      <c r="T132" s="75"/>
      <c r="U132" s="75"/>
      <c r="V132" s="75"/>
      <c r="W132" s="75"/>
      <c r="X132" s="75"/>
      <c r="Y132" s="75"/>
      <c r="Z132" s="1"/>
      <c r="AA132" s="1"/>
      <c r="AB132" s="1"/>
      <c r="AC132" s="1"/>
      <c r="AD132" s="1"/>
      <c r="AE132" s="1"/>
      <c r="AF132" s="1"/>
      <c r="AG132" s="1"/>
      <c r="AH132" s="1"/>
      <c r="AI132" s="1"/>
      <c r="AJ132" s="1"/>
      <c r="AK132" s="1"/>
      <c r="AL132" s="1"/>
      <c r="AM132" s="1"/>
      <c r="AN132" s="1"/>
      <c r="AO132" s="1"/>
      <c r="AP132" s="1"/>
      <c r="AQ132" s="1"/>
      <c r="AR132" s="1"/>
      <c r="AS132" s="1"/>
      <c r="AT132" s="1"/>
      <c r="AU132" s="1"/>
    </row>
    <row r="133" spans="1:47" hidden="1" x14ac:dyDescent="0.25">
      <c r="A133" s="77"/>
      <c r="B133" s="75"/>
      <c r="C133" s="75"/>
      <c r="D133" s="75"/>
      <c r="E133" s="75"/>
      <c r="F133" s="78"/>
      <c r="G133" s="75"/>
      <c r="H133" s="75"/>
      <c r="I133" s="75"/>
      <c r="J133" s="75"/>
      <c r="K133" s="75"/>
      <c r="L133" s="75"/>
      <c r="M133" s="75"/>
      <c r="N133" s="75"/>
      <c r="O133" s="75"/>
      <c r="P133" s="75"/>
      <c r="Q133" s="75"/>
      <c r="R133" s="75"/>
      <c r="S133" s="75"/>
      <c r="T133" s="75"/>
      <c r="U133" s="75"/>
      <c r="V133" s="75"/>
      <c r="W133" s="75"/>
      <c r="X133" s="75"/>
      <c r="Y133" s="75"/>
      <c r="Z133" s="1"/>
      <c r="AA133" s="1"/>
      <c r="AB133" s="1"/>
      <c r="AC133" s="1"/>
      <c r="AD133" s="1"/>
      <c r="AE133" s="1"/>
      <c r="AF133" s="1"/>
      <c r="AG133" s="1"/>
      <c r="AH133" s="1"/>
      <c r="AI133" s="1"/>
      <c r="AJ133" s="1"/>
      <c r="AK133" s="1"/>
      <c r="AL133" s="1"/>
      <c r="AM133" s="1"/>
      <c r="AN133" s="1"/>
      <c r="AO133" s="1"/>
      <c r="AP133" s="1"/>
      <c r="AQ133" s="1"/>
      <c r="AR133" s="1"/>
      <c r="AS133" s="1"/>
      <c r="AT133" s="1"/>
      <c r="AU133" s="1"/>
    </row>
    <row r="134" spans="1:47" ht="14.4" hidden="1" x14ac:dyDescent="0.3">
      <c r="A134" s="79" t="s">
        <v>311</v>
      </c>
      <c r="B134" s="79">
        <v>2001</v>
      </c>
      <c r="C134" s="80" t="s">
        <v>312</v>
      </c>
      <c r="D134" s="79" t="s">
        <v>313</v>
      </c>
      <c r="E134" s="81" t="s">
        <v>314</v>
      </c>
      <c r="F134" s="82" t="s">
        <v>315</v>
      </c>
      <c r="G134" s="78">
        <v>2001</v>
      </c>
      <c r="H134" s="78"/>
      <c r="I134" s="82" t="s">
        <v>239</v>
      </c>
      <c r="J134" s="82">
        <v>0.47</v>
      </c>
      <c r="K134" s="84">
        <v>0.4</v>
      </c>
      <c r="L134" s="84">
        <v>0.61</v>
      </c>
      <c r="M134" s="81">
        <v>0.61</v>
      </c>
      <c r="N134" s="82">
        <v>0.61</v>
      </c>
      <c r="O134" s="82">
        <v>0.61</v>
      </c>
      <c r="P134" s="82">
        <v>0.61</v>
      </c>
      <c r="Q134" s="82">
        <v>0.61</v>
      </c>
      <c r="R134" s="82">
        <v>0.61</v>
      </c>
      <c r="S134" s="82">
        <v>0.4</v>
      </c>
      <c r="T134" s="82">
        <v>0.4</v>
      </c>
      <c r="U134" s="82">
        <v>0.4</v>
      </c>
      <c r="V134" s="82">
        <v>0.4</v>
      </c>
      <c r="W134" s="82">
        <v>0.43</v>
      </c>
      <c r="X134" s="82">
        <v>0.43</v>
      </c>
      <c r="Y134" s="82">
        <v>0.47</v>
      </c>
      <c r="Z134" s="82"/>
      <c r="AA134" s="1"/>
      <c r="AB134" s="1"/>
      <c r="AC134" s="1"/>
      <c r="AD134" s="1"/>
      <c r="AE134" s="1"/>
      <c r="AF134" s="1"/>
      <c r="AG134" s="1"/>
      <c r="AH134" s="1"/>
      <c r="AI134" s="1"/>
      <c r="AJ134" s="1"/>
      <c r="AK134" s="1"/>
      <c r="AL134" s="1"/>
      <c r="AM134" s="1"/>
      <c r="AN134" s="1"/>
      <c r="AO134" s="1"/>
      <c r="AP134" s="1"/>
      <c r="AQ134" s="1"/>
      <c r="AR134" s="1"/>
      <c r="AS134" s="1"/>
      <c r="AT134" s="1"/>
      <c r="AU134" s="1"/>
    </row>
    <row r="135" spans="1:47" ht="14.4" hidden="1" x14ac:dyDescent="0.3">
      <c r="A135" s="79" t="s">
        <v>311</v>
      </c>
      <c r="B135" s="79">
        <v>2001</v>
      </c>
      <c r="C135" s="80" t="s">
        <v>312</v>
      </c>
      <c r="D135" s="79" t="s">
        <v>316</v>
      </c>
      <c r="E135" s="81" t="s">
        <v>314</v>
      </c>
      <c r="F135" s="82" t="s">
        <v>315</v>
      </c>
      <c r="G135" s="78">
        <v>2001</v>
      </c>
      <c r="H135" s="78"/>
      <c r="I135" s="82" t="s">
        <v>239</v>
      </c>
      <c r="J135" s="82">
        <v>0.36</v>
      </c>
      <c r="K135" s="84">
        <v>0.31</v>
      </c>
      <c r="L135" s="84">
        <v>0.31</v>
      </c>
      <c r="M135" s="81">
        <v>0.31</v>
      </c>
      <c r="N135" s="82">
        <v>0.31</v>
      </c>
      <c r="O135" s="82">
        <v>0.36</v>
      </c>
      <c r="P135" s="82">
        <v>0.36</v>
      </c>
      <c r="Q135" s="82">
        <v>0.36</v>
      </c>
      <c r="R135" s="82">
        <v>0.36</v>
      </c>
      <c r="S135" s="82">
        <v>0.31</v>
      </c>
      <c r="T135" s="82">
        <v>0.31</v>
      </c>
      <c r="U135" s="82">
        <v>0.31</v>
      </c>
      <c r="V135" s="82">
        <v>0.31</v>
      </c>
      <c r="W135" s="82">
        <v>0.26</v>
      </c>
      <c r="X135" s="82">
        <v>0.26</v>
      </c>
      <c r="Y135" s="82">
        <v>0.36</v>
      </c>
      <c r="Z135" s="82"/>
      <c r="AA135" s="1"/>
      <c r="AB135" s="1"/>
      <c r="AC135" s="1"/>
      <c r="AD135" s="1"/>
      <c r="AE135" s="1"/>
      <c r="AF135" s="1"/>
      <c r="AG135" s="1"/>
      <c r="AH135" s="1"/>
      <c r="AI135" s="1"/>
      <c r="AJ135" s="1"/>
      <c r="AK135" s="1"/>
      <c r="AL135" s="1"/>
      <c r="AM135" s="1"/>
      <c r="AN135" s="1"/>
      <c r="AO135" s="1"/>
      <c r="AP135" s="1"/>
      <c r="AQ135" s="1"/>
      <c r="AR135" s="1"/>
      <c r="AS135" s="1"/>
      <c r="AT135" s="1"/>
      <c r="AU135" s="1"/>
    </row>
    <row r="136" spans="1:47" ht="14.4" hidden="1" x14ac:dyDescent="0.3">
      <c r="A136" s="79" t="s">
        <v>311</v>
      </c>
      <c r="B136" s="79">
        <v>2001</v>
      </c>
      <c r="C136" s="80" t="s">
        <v>312</v>
      </c>
      <c r="D136" s="79" t="s">
        <v>316</v>
      </c>
      <c r="E136" s="81" t="s">
        <v>317</v>
      </c>
      <c r="F136" s="82" t="s">
        <v>315</v>
      </c>
      <c r="G136" s="78">
        <v>2001</v>
      </c>
      <c r="H136" s="78"/>
      <c r="I136" s="82" t="s">
        <v>239</v>
      </c>
      <c r="J136" s="82">
        <v>0.3</v>
      </c>
      <c r="K136" s="84">
        <v>0.26</v>
      </c>
      <c r="L136" s="84">
        <v>0.26</v>
      </c>
      <c r="M136" s="81">
        <v>0.26</v>
      </c>
      <c r="N136" s="82">
        <v>0.26</v>
      </c>
      <c r="O136" s="82">
        <v>0.31</v>
      </c>
      <c r="P136" s="82">
        <v>0.31</v>
      </c>
      <c r="Q136" s="82">
        <v>0.31</v>
      </c>
      <c r="R136" s="82">
        <v>0.31</v>
      </c>
      <c r="S136" s="82">
        <v>0.26</v>
      </c>
      <c r="T136" s="82">
        <v>0.26</v>
      </c>
      <c r="U136" s="82">
        <v>0.26</v>
      </c>
      <c r="V136" s="82">
        <v>0.26</v>
      </c>
      <c r="W136" s="82">
        <v>0.26</v>
      </c>
      <c r="X136" s="82">
        <v>0.26</v>
      </c>
      <c r="Y136" s="82">
        <v>0.3</v>
      </c>
      <c r="Z136" s="82"/>
      <c r="AA136" s="1"/>
      <c r="AB136" s="1"/>
      <c r="AC136" s="1"/>
      <c r="AD136" s="1"/>
      <c r="AE136" s="1"/>
      <c r="AF136" s="1"/>
      <c r="AG136" s="1"/>
      <c r="AH136" s="1"/>
      <c r="AI136" s="1"/>
      <c r="AJ136" s="1"/>
      <c r="AK136" s="1"/>
      <c r="AL136" s="1"/>
      <c r="AM136" s="1"/>
      <c r="AN136" s="1"/>
      <c r="AO136" s="1"/>
      <c r="AP136" s="1"/>
      <c r="AQ136" s="1"/>
      <c r="AR136" s="1"/>
      <c r="AS136" s="1"/>
      <c r="AT136" s="1"/>
      <c r="AU136" s="1"/>
    </row>
    <row r="137" spans="1:47" hidden="1" x14ac:dyDescent="0.25">
      <c r="A137" s="75"/>
      <c r="B137" s="77"/>
      <c r="C137" s="75"/>
      <c r="D137" s="75"/>
      <c r="E137" s="75"/>
      <c r="F137" s="75"/>
      <c r="G137" s="78"/>
      <c r="H137" s="78"/>
      <c r="I137" s="75"/>
      <c r="J137" s="75"/>
      <c r="K137" s="75"/>
      <c r="L137" s="75"/>
      <c r="M137" s="75"/>
      <c r="N137" s="75"/>
      <c r="O137" s="75"/>
      <c r="P137" s="75"/>
      <c r="Q137" s="75"/>
      <c r="R137" s="75"/>
      <c r="S137" s="75"/>
      <c r="T137" s="75"/>
      <c r="U137" s="75"/>
      <c r="V137" s="75"/>
      <c r="W137" s="75"/>
      <c r="X137" s="75"/>
      <c r="Y137" s="75"/>
      <c r="Z137" s="75"/>
      <c r="AA137" s="1"/>
      <c r="AB137" s="1"/>
      <c r="AC137" s="1"/>
      <c r="AD137" s="1"/>
      <c r="AE137" s="1"/>
      <c r="AF137" s="1"/>
      <c r="AG137" s="1"/>
      <c r="AH137" s="1"/>
      <c r="AI137" s="1"/>
      <c r="AJ137" s="1"/>
      <c r="AK137" s="1"/>
      <c r="AL137" s="1"/>
      <c r="AM137" s="1"/>
      <c r="AN137" s="1"/>
      <c r="AO137" s="1"/>
      <c r="AP137" s="1"/>
      <c r="AQ137" s="1"/>
      <c r="AR137" s="1"/>
      <c r="AS137" s="1"/>
      <c r="AT137" s="1"/>
      <c r="AU137" s="1"/>
    </row>
    <row r="138" spans="1:47" ht="14.4" hidden="1" x14ac:dyDescent="0.3">
      <c r="A138" s="79" t="s">
        <v>318</v>
      </c>
      <c r="B138" s="79">
        <v>2001</v>
      </c>
      <c r="C138" s="80" t="s">
        <v>312</v>
      </c>
      <c r="D138" s="79" t="s">
        <v>313</v>
      </c>
      <c r="E138" s="83" t="s">
        <v>314</v>
      </c>
      <c r="F138" s="79" t="s">
        <v>315</v>
      </c>
      <c r="G138" s="78">
        <v>2001</v>
      </c>
      <c r="H138" s="78"/>
      <c r="I138" s="82" t="s">
        <v>319</v>
      </c>
      <c r="J138" s="82">
        <v>0.47</v>
      </c>
      <c r="K138" s="85">
        <v>0.47</v>
      </c>
      <c r="L138" s="85">
        <v>0.61</v>
      </c>
      <c r="M138" s="85">
        <v>0.61</v>
      </c>
      <c r="N138" s="86">
        <v>0.61</v>
      </c>
      <c r="O138" s="86">
        <v>0.61</v>
      </c>
      <c r="P138" s="82">
        <v>0.61</v>
      </c>
      <c r="Q138" s="82">
        <v>0.61</v>
      </c>
      <c r="R138" s="82">
        <v>0.61</v>
      </c>
      <c r="S138" s="82">
        <v>0.47</v>
      </c>
      <c r="T138" s="82">
        <v>0.47</v>
      </c>
      <c r="U138" s="82">
        <v>0.47</v>
      </c>
      <c r="V138" s="82">
        <v>0.47</v>
      </c>
      <c r="W138" s="82">
        <v>0.47</v>
      </c>
      <c r="X138" s="82">
        <v>0.47</v>
      </c>
      <c r="Y138" s="82">
        <v>0.47</v>
      </c>
      <c r="Z138" s="79"/>
      <c r="AA138" s="1"/>
      <c r="AB138" s="1"/>
      <c r="AC138" s="1"/>
      <c r="AD138" s="1"/>
      <c r="AE138" s="1"/>
      <c r="AF138" s="1"/>
      <c r="AG138" s="1"/>
      <c r="AH138" s="1"/>
      <c r="AI138" s="1"/>
      <c r="AJ138" s="1"/>
      <c r="AK138" s="1"/>
      <c r="AL138" s="1"/>
      <c r="AM138" s="1"/>
      <c r="AN138" s="1"/>
      <c r="AO138" s="1"/>
      <c r="AP138" s="1"/>
      <c r="AQ138" s="1"/>
      <c r="AR138" s="1"/>
      <c r="AS138" s="1"/>
      <c r="AT138" s="1"/>
      <c r="AU138" s="1"/>
    </row>
    <row r="139" spans="1:47" ht="14.4" hidden="1" x14ac:dyDescent="0.3">
      <c r="A139" s="79" t="s">
        <v>318</v>
      </c>
      <c r="B139" s="79">
        <v>2001</v>
      </c>
      <c r="C139" s="80" t="s">
        <v>312</v>
      </c>
      <c r="D139" s="79" t="s">
        <v>316</v>
      </c>
      <c r="E139" s="83" t="s">
        <v>314</v>
      </c>
      <c r="F139" s="79" t="s">
        <v>315</v>
      </c>
      <c r="G139" s="78">
        <v>2001</v>
      </c>
      <c r="H139" s="78"/>
      <c r="I139" s="82" t="s">
        <v>319</v>
      </c>
      <c r="J139" s="82">
        <v>0.43</v>
      </c>
      <c r="K139" s="85">
        <v>0.36</v>
      </c>
      <c r="L139" s="85">
        <v>0.41</v>
      </c>
      <c r="M139" s="85">
        <v>0.41</v>
      </c>
      <c r="N139" s="86">
        <v>0.41</v>
      </c>
      <c r="O139" s="86">
        <v>0.39</v>
      </c>
      <c r="P139" s="82">
        <v>0.39</v>
      </c>
      <c r="Q139" s="82">
        <v>0.39</v>
      </c>
      <c r="R139" s="82">
        <v>0.39</v>
      </c>
      <c r="S139" s="82">
        <v>0.36</v>
      </c>
      <c r="T139" s="82">
        <v>0.36</v>
      </c>
      <c r="U139" s="82">
        <v>0.36</v>
      </c>
      <c r="V139" s="82">
        <v>0.36</v>
      </c>
      <c r="W139" s="82">
        <v>0.36</v>
      </c>
      <c r="X139" s="82">
        <v>0.36</v>
      </c>
      <c r="Y139" s="82">
        <v>0.43</v>
      </c>
      <c r="Z139" s="79"/>
      <c r="AA139" s="1"/>
      <c r="AB139" s="1"/>
      <c r="AC139" s="1"/>
      <c r="AD139" s="1"/>
      <c r="AE139" s="1"/>
      <c r="AF139" s="1"/>
      <c r="AG139" s="1"/>
      <c r="AH139" s="1"/>
      <c r="AI139" s="1"/>
      <c r="AJ139" s="1"/>
      <c r="AK139" s="1"/>
      <c r="AL139" s="1"/>
      <c r="AM139" s="1"/>
      <c r="AN139" s="1"/>
      <c r="AO139" s="1"/>
      <c r="AP139" s="1"/>
      <c r="AQ139" s="1"/>
      <c r="AR139" s="1"/>
      <c r="AS139" s="1"/>
      <c r="AT139" s="1"/>
      <c r="AU139" s="1"/>
    </row>
    <row r="140" spans="1:47" ht="14.4" hidden="1" x14ac:dyDescent="0.3">
      <c r="A140" s="79" t="s">
        <v>318</v>
      </c>
      <c r="B140" s="79">
        <v>2001</v>
      </c>
      <c r="C140" s="80" t="s">
        <v>312</v>
      </c>
      <c r="D140" s="79" t="s">
        <v>316</v>
      </c>
      <c r="E140" s="83" t="s">
        <v>317</v>
      </c>
      <c r="F140" s="79" t="s">
        <v>315</v>
      </c>
      <c r="G140" s="78">
        <v>2001</v>
      </c>
      <c r="H140" s="78"/>
      <c r="I140" s="82" t="s">
        <v>319</v>
      </c>
      <c r="J140" s="82">
        <v>0.43</v>
      </c>
      <c r="K140" s="85">
        <v>0.31</v>
      </c>
      <c r="L140" s="85">
        <v>0.41</v>
      </c>
      <c r="M140" s="85">
        <v>0.41</v>
      </c>
      <c r="N140" s="86">
        <v>0.41</v>
      </c>
      <c r="O140" s="86">
        <v>0.34</v>
      </c>
      <c r="P140" s="82">
        <v>0.34</v>
      </c>
      <c r="Q140" s="82">
        <v>0.34</v>
      </c>
      <c r="R140" s="82">
        <v>0.34</v>
      </c>
      <c r="S140" s="82">
        <v>0.31</v>
      </c>
      <c r="T140" s="82">
        <v>0.31</v>
      </c>
      <c r="U140" s="82">
        <v>0.31</v>
      </c>
      <c r="V140" s="82">
        <v>0.31</v>
      </c>
      <c r="W140" s="82">
        <v>0.31</v>
      </c>
      <c r="X140" s="82">
        <v>0.31</v>
      </c>
      <c r="Y140" s="82">
        <v>0.43</v>
      </c>
      <c r="Z140" s="79"/>
      <c r="AA140" s="1"/>
      <c r="AB140" s="1"/>
      <c r="AC140" s="1"/>
      <c r="AD140" s="1"/>
      <c r="AE140" s="1"/>
      <c r="AF140" s="1"/>
      <c r="AG140" s="1"/>
      <c r="AH140" s="1"/>
      <c r="AI140" s="1"/>
      <c r="AJ140" s="1"/>
      <c r="AK140" s="1"/>
      <c r="AL140" s="1"/>
      <c r="AM140" s="1"/>
      <c r="AN140" s="1"/>
      <c r="AO140" s="1"/>
      <c r="AP140" s="1"/>
      <c r="AQ140" s="1"/>
      <c r="AR140" s="1"/>
      <c r="AS140" s="1"/>
      <c r="AT140" s="1"/>
      <c r="AU140" s="1"/>
    </row>
    <row r="141" spans="1:47" hidden="1" x14ac:dyDescent="0.25">
      <c r="A141" s="75"/>
      <c r="B141" s="77"/>
      <c r="C141" s="75"/>
      <c r="D141" s="75"/>
      <c r="E141" s="75"/>
      <c r="F141" s="75"/>
      <c r="G141" s="78"/>
      <c r="H141" s="78"/>
      <c r="I141" s="75"/>
      <c r="J141" s="75"/>
      <c r="K141" s="75"/>
      <c r="L141" s="75"/>
      <c r="M141" s="75"/>
      <c r="N141" s="75"/>
      <c r="O141" s="75"/>
      <c r="P141" s="75"/>
      <c r="Q141" s="75"/>
      <c r="R141" s="75"/>
      <c r="S141" s="75"/>
      <c r="T141" s="75"/>
      <c r="U141" s="75"/>
      <c r="V141" s="75"/>
      <c r="W141" s="75"/>
      <c r="X141" s="75"/>
      <c r="Y141" s="75"/>
      <c r="Z141" s="75"/>
      <c r="AA141" s="1"/>
      <c r="AB141" s="1"/>
      <c r="AC141" s="1"/>
      <c r="AD141" s="1"/>
      <c r="AE141" s="1"/>
      <c r="AF141" s="1"/>
      <c r="AG141" s="1"/>
      <c r="AH141" s="1"/>
      <c r="AI141" s="1"/>
      <c r="AJ141" s="1"/>
      <c r="AK141" s="1"/>
      <c r="AL141" s="1"/>
      <c r="AM141" s="1"/>
      <c r="AN141" s="1"/>
      <c r="AO141" s="1"/>
      <c r="AP141" s="1"/>
      <c r="AQ141" s="1"/>
      <c r="AR141" s="1"/>
      <c r="AS141" s="1"/>
      <c r="AT141" s="1"/>
      <c r="AU141" s="1"/>
    </row>
    <row r="142" spans="1:47" hidden="1" x14ac:dyDescent="0.25">
      <c r="A142" s="75"/>
      <c r="B142" s="77"/>
      <c r="C142" s="75"/>
      <c r="D142" s="75"/>
      <c r="E142" s="75"/>
      <c r="F142" s="75"/>
      <c r="G142" s="78"/>
      <c r="H142" s="78"/>
      <c r="I142" s="75"/>
      <c r="J142" s="75"/>
      <c r="K142" s="75"/>
      <c r="L142" s="75"/>
      <c r="M142" s="75"/>
      <c r="N142" s="75"/>
      <c r="O142" s="75"/>
      <c r="P142" s="75"/>
      <c r="Q142" s="75"/>
      <c r="R142" s="75"/>
      <c r="S142" s="75"/>
      <c r="T142" s="75"/>
      <c r="U142" s="75"/>
      <c r="V142" s="75"/>
      <c r="W142" s="75"/>
      <c r="X142" s="75"/>
      <c r="Y142" s="75"/>
      <c r="Z142" s="75"/>
      <c r="AA142" s="1"/>
      <c r="AB142" s="1"/>
      <c r="AC142" s="1"/>
      <c r="AD142" s="1"/>
      <c r="AE142" s="1"/>
      <c r="AF142" s="1"/>
      <c r="AG142" s="1"/>
      <c r="AH142" s="1"/>
      <c r="AI142" s="1"/>
      <c r="AJ142" s="1"/>
      <c r="AK142" s="1"/>
      <c r="AL142" s="1"/>
      <c r="AM142" s="1"/>
      <c r="AN142" s="1"/>
      <c r="AO142" s="1"/>
      <c r="AP142" s="1"/>
      <c r="AQ142" s="1"/>
      <c r="AR142" s="1"/>
      <c r="AS142" s="1"/>
      <c r="AT142" s="1"/>
      <c r="AU142" s="1"/>
    </row>
    <row r="143" spans="1:47" hidden="1" x14ac:dyDescent="0.25">
      <c r="A143" s="75"/>
      <c r="B143" s="77"/>
      <c r="C143" s="75"/>
      <c r="D143" s="75"/>
      <c r="E143" s="75"/>
      <c r="F143" s="75"/>
      <c r="G143" s="78"/>
      <c r="H143" s="78"/>
      <c r="I143" s="75"/>
      <c r="J143" s="75"/>
      <c r="K143" s="75"/>
      <c r="L143" s="75"/>
      <c r="M143" s="75"/>
      <c r="N143" s="75"/>
      <c r="O143" s="75"/>
      <c r="P143" s="75"/>
      <c r="Q143" s="75"/>
      <c r="R143" s="75"/>
      <c r="S143" s="75"/>
      <c r="T143" s="75"/>
      <c r="U143" s="75"/>
      <c r="V143" s="75"/>
      <c r="W143" s="75"/>
      <c r="X143" s="75"/>
      <c r="Y143" s="75"/>
      <c r="Z143" s="75"/>
      <c r="AA143" s="1"/>
      <c r="AB143" s="1"/>
      <c r="AC143" s="1"/>
      <c r="AD143" s="1"/>
      <c r="AE143" s="1"/>
      <c r="AF143" s="1"/>
      <c r="AG143" s="1"/>
      <c r="AH143" s="1"/>
      <c r="AI143" s="1"/>
      <c r="AJ143" s="1"/>
      <c r="AK143" s="1"/>
      <c r="AL143" s="1"/>
      <c r="AM143" s="1"/>
      <c r="AN143" s="1"/>
      <c r="AO143" s="1"/>
      <c r="AP143" s="1"/>
      <c r="AQ143" s="1"/>
      <c r="AR143" s="1"/>
      <c r="AS143" s="1"/>
      <c r="AT143" s="1"/>
      <c r="AU143" s="1"/>
    </row>
    <row r="144" spans="1:47" hidden="1" x14ac:dyDescent="0.25">
      <c r="A144" s="75" t="s">
        <v>320</v>
      </c>
      <c r="B144" s="77"/>
      <c r="C144" s="75"/>
      <c r="D144" s="75"/>
      <c r="E144" s="75"/>
      <c r="F144" s="75" t="s">
        <v>251</v>
      </c>
      <c r="G144" s="78">
        <v>2001</v>
      </c>
      <c r="H144" s="78"/>
      <c r="I144" s="75" t="s">
        <v>321</v>
      </c>
      <c r="J144" s="75">
        <f>J134*0.45+0.1*J135+0.45*J136</f>
        <v>0.38250000000000001</v>
      </c>
      <c r="K144" s="75">
        <f t="shared" ref="K144:Y144" si="38">K134*0.45+0.1*K135+0.45*K136</f>
        <v>0.32800000000000001</v>
      </c>
      <c r="L144" s="75">
        <f t="shared" si="38"/>
        <v>0.42249999999999999</v>
      </c>
      <c r="M144" s="75">
        <f t="shared" si="38"/>
        <v>0.42249999999999999</v>
      </c>
      <c r="N144" s="75">
        <f t="shared" si="38"/>
        <v>0.42249999999999999</v>
      </c>
      <c r="O144" s="75">
        <f t="shared" si="38"/>
        <v>0.45</v>
      </c>
      <c r="P144" s="75">
        <f t="shared" si="38"/>
        <v>0.45</v>
      </c>
      <c r="Q144" s="75">
        <f t="shared" si="38"/>
        <v>0.45</v>
      </c>
      <c r="R144" s="75">
        <f t="shared" si="38"/>
        <v>0.45</v>
      </c>
      <c r="S144" s="75">
        <f t="shared" si="38"/>
        <v>0.32800000000000001</v>
      </c>
      <c r="T144" s="75">
        <f t="shared" si="38"/>
        <v>0.32800000000000001</v>
      </c>
      <c r="U144" s="75">
        <f t="shared" si="38"/>
        <v>0.32800000000000001</v>
      </c>
      <c r="V144" s="75">
        <f t="shared" si="38"/>
        <v>0.32800000000000001</v>
      </c>
      <c r="W144" s="75">
        <f t="shared" si="38"/>
        <v>0.33650000000000002</v>
      </c>
      <c r="X144" s="75">
        <f t="shared" si="38"/>
        <v>0.33650000000000002</v>
      </c>
      <c r="Y144" s="75">
        <f t="shared" si="38"/>
        <v>0.38250000000000001</v>
      </c>
      <c r="Z144" s="75"/>
      <c r="AA144" s="1"/>
      <c r="AB144" s="1"/>
      <c r="AC144" s="1"/>
      <c r="AD144" s="1"/>
      <c r="AE144" s="1"/>
      <c r="AF144" s="1"/>
      <c r="AG144" s="1"/>
      <c r="AH144" s="1"/>
      <c r="AI144" s="1"/>
      <c r="AJ144" s="1"/>
      <c r="AK144" s="1"/>
      <c r="AL144" s="1"/>
      <c r="AM144" s="1"/>
      <c r="AN144" s="1"/>
      <c r="AO144" s="1"/>
      <c r="AP144" s="1"/>
      <c r="AQ144" s="1"/>
      <c r="AR144" s="1"/>
      <c r="AS144" s="1"/>
      <c r="AT144" s="1"/>
      <c r="AU144" s="1"/>
    </row>
    <row r="145" spans="1:47" hidden="1" x14ac:dyDescent="0.25">
      <c r="A145" s="75" t="s">
        <v>320</v>
      </c>
      <c r="B145" s="77"/>
      <c r="C145" s="75"/>
      <c r="D145" s="75"/>
      <c r="E145" s="75"/>
      <c r="F145" s="75" t="s">
        <v>251</v>
      </c>
      <c r="G145" s="78">
        <v>2001</v>
      </c>
      <c r="H145" s="78"/>
      <c r="I145" s="75" t="s">
        <v>321</v>
      </c>
      <c r="J145" s="75">
        <f>J138*0.45+0.1*J139+0.45*J140</f>
        <v>0.44800000000000001</v>
      </c>
      <c r="K145" s="75">
        <f t="shared" ref="K145:Y145" si="39">K138*0.45+0.1*K139+0.45*K140</f>
        <v>0.38700000000000001</v>
      </c>
      <c r="L145" s="75">
        <f t="shared" si="39"/>
        <v>0.5</v>
      </c>
      <c r="M145" s="75">
        <f t="shared" si="39"/>
        <v>0.5</v>
      </c>
      <c r="N145" s="75">
        <f t="shared" si="39"/>
        <v>0.5</v>
      </c>
      <c r="O145" s="75">
        <f t="shared" si="39"/>
        <v>0.46650000000000003</v>
      </c>
      <c r="P145" s="75">
        <f t="shared" si="39"/>
        <v>0.46650000000000003</v>
      </c>
      <c r="Q145" s="75">
        <f t="shared" si="39"/>
        <v>0.46650000000000003</v>
      </c>
      <c r="R145" s="75">
        <f t="shared" si="39"/>
        <v>0.46650000000000003</v>
      </c>
      <c r="S145" s="75">
        <f t="shared" si="39"/>
        <v>0.38700000000000001</v>
      </c>
      <c r="T145" s="75">
        <f t="shared" si="39"/>
        <v>0.38700000000000001</v>
      </c>
      <c r="U145" s="75">
        <f t="shared" si="39"/>
        <v>0.38700000000000001</v>
      </c>
      <c r="V145" s="75">
        <f t="shared" si="39"/>
        <v>0.38700000000000001</v>
      </c>
      <c r="W145" s="75">
        <f t="shared" si="39"/>
        <v>0.38700000000000001</v>
      </c>
      <c r="X145" s="75">
        <f t="shared" si="39"/>
        <v>0.38700000000000001</v>
      </c>
      <c r="Y145" s="75">
        <f t="shared" si="39"/>
        <v>0.44800000000000001</v>
      </c>
      <c r="Z145" s="75"/>
      <c r="AA145" s="1"/>
      <c r="AB145" s="1"/>
      <c r="AC145" s="1"/>
      <c r="AD145" s="1"/>
      <c r="AE145" s="1"/>
      <c r="AF145" s="1"/>
      <c r="AG145" s="1"/>
      <c r="AH145" s="1"/>
      <c r="AI145" s="1"/>
      <c r="AJ145" s="1"/>
      <c r="AK145" s="1"/>
      <c r="AL145" s="1"/>
      <c r="AM145" s="1"/>
      <c r="AN145" s="1"/>
      <c r="AO145" s="1"/>
      <c r="AP145" s="1"/>
      <c r="AQ145" s="1"/>
      <c r="AR145" s="1"/>
      <c r="AS145" s="1"/>
      <c r="AT145" s="1"/>
      <c r="AU145" s="1"/>
    </row>
    <row r="146" spans="1:47" hidden="1" x14ac:dyDescent="0.25">
      <c r="A146" s="1"/>
      <c r="B146" s="1"/>
      <c r="C146" s="1"/>
      <c r="D146" s="1"/>
      <c r="E146" s="177"/>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row>
    <row r="147" spans="1:47" hidden="1" x14ac:dyDescent="0.25">
      <c r="A147" s="1"/>
      <c r="B147" s="1"/>
      <c r="C147" s="1"/>
      <c r="D147" s="1"/>
      <c r="E147" s="177"/>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row>
    <row r="148" spans="1:47" hidden="1" x14ac:dyDescent="0.25">
      <c r="A148" s="1"/>
      <c r="B148" s="1"/>
      <c r="C148" s="1"/>
      <c r="D148" s="1"/>
      <c r="E148" s="177"/>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row>
    <row r="149" spans="1:47" hidden="1" x14ac:dyDescent="0.25">
      <c r="A149" s="1"/>
      <c r="B149" s="1"/>
      <c r="C149" s="1"/>
      <c r="D149" s="1"/>
      <c r="E149" s="177"/>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row>
    <row r="150" spans="1:47" hidden="1" x14ac:dyDescent="0.25">
      <c r="A150" s="1"/>
      <c r="B150" s="1"/>
      <c r="C150" s="1"/>
      <c r="D150" s="1"/>
      <c r="E150" s="177"/>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row>
    <row r="151" spans="1:47" hidden="1" x14ac:dyDescent="0.25">
      <c r="A151" s="1"/>
      <c r="B151" s="1"/>
      <c r="C151" s="1"/>
      <c r="D151" s="1"/>
      <c r="E151" s="177"/>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row>
    <row r="152" spans="1:47" hidden="1" x14ac:dyDescent="0.25">
      <c r="A152" s="1"/>
      <c r="B152" s="1"/>
      <c r="C152" s="1"/>
      <c r="D152" s="1"/>
      <c r="E152" s="177"/>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row>
    <row r="153" spans="1:47" hidden="1" x14ac:dyDescent="0.25">
      <c r="A153" s="1"/>
      <c r="B153" s="1"/>
      <c r="C153" s="1"/>
      <c r="D153" s="1"/>
      <c r="E153" s="177"/>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row>
    <row r="154" spans="1:47" hidden="1" x14ac:dyDescent="0.25">
      <c r="A154" s="1"/>
      <c r="B154" s="1"/>
      <c r="C154" s="1"/>
      <c r="D154" s="1"/>
      <c r="E154" s="177"/>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row>
    <row r="155" spans="1:47" hidden="1" x14ac:dyDescent="0.25">
      <c r="A155" s="1"/>
      <c r="B155" s="1"/>
      <c r="C155" s="1"/>
      <c r="D155" s="1"/>
      <c r="E155" s="177"/>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row>
    <row r="156" spans="1:47" hidden="1" x14ac:dyDescent="0.25">
      <c r="A156" s="1"/>
      <c r="B156" s="1"/>
      <c r="C156" s="1"/>
      <c r="D156" s="1"/>
      <c r="E156" s="177"/>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row>
    <row r="157" spans="1:47" hidden="1" x14ac:dyDescent="0.25">
      <c r="A157" s="1"/>
      <c r="B157" s="1"/>
      <c r="C157" s="1"/>
      <c r="D157" s="1"/>
      <c r="E157" s="177"/>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row>
    <row r="158" spans="1:47" hidden="1" x14ac:dyDescent="0.25">
      <c r="A158" s="1"/>
      <c r="B158" s="1"/>
      <c r="C158" s="1"/>
      <c r="D158" s="1"/>
      <c r="E158" s="177"/>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row>
    <row r="159" spans="1:47" hidden="1" x14ac:dyDescent="0.25">
      <c r="A159" s="1"/>
      <c r="B159" s="1"/>
      <c r="C159" s="1"/>
      <c r="D159" s="1"/>
      <c r="E159" s="177"/>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row>
    <row r="160" spans="1:47" hidden="1" x14ac:dyDescent="0.25">
      <c r="A160" s="1"/>
      <c r="B160" s="1"/>
      <c r="C160" s="1"/>
      <c r="D160" s="1"/>
      <c r="E160" s="177"/>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row>
    <row r="161" spans="1:47" hidden="1" x14ac:dyDescent="0.25">
      <c r="A161" s="1"/>
      <c r="B161" s="1"/>
      <c r="C161" s="1"/>
      <c r="D161" s="1"/>
      <c r="E161" s="177"/>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row>
    <row r="162" spans="1:47" hidden="1" x14ac:dyDescent="0.25">
      <c r="A162" s="1"/>
      <c r="B162" s="1"/>
      <c r="C162" s="1"/>
      <c r="D162" s="1"/>
      <c r="E162" s="177"/>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row>
    <row r="163" spans="1:47" hidden="1" x14ac:dyDescent="0.25">
      <c r="A163" s="1"/>
      <c r="B163" s="1"/>
      <c r="C163" s="1"/>
      <c r="D163" s="1"/>
      <c r="E163" s="177"/>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row>
    <row r="164" spans="1:47" hidden="1" x14ac:dyDescent="0.25">
      <c r="A164" s="1"/>
      <c r="B164" s="1"/>
      <c r="C164" s="1"/>
      <c r="D164" s="1"/>
      <c r="E164" s="177"/>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row>
    <row r="165" spans="1:47" hidden="1" x14ac:dyDescent="0.25">
      <c r="A165" s="1"/>
      <c r="B165" s="1"/>
      <c r="C165" s="1"/>
      <c r="D165" s="1"/>
      <c r="E165" s="177"/>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row>
    <row r="166" spans="1:47" hidden="1" x14ac:dyDescent="0.25">
      <c r="A166" s="1"/>
      <c r="B166" s="1"/>
      <c r="C166" s="1"/>
      <c r="D166" s="1"/>
      <c r="E166" s="177"/>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row>
    <row r="167" spans="1:47" hidden="1" x14ac:dyDescent="0.25">
      <c r="A167" s="1"/>
      <c r="B167" s="1"/>
      <c r="C167" s="1"/>
      <c r="D167" s="1"/>
      <c r="E167" s="177"/>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row>
    <row r="168" spans="1:47" hidden="1" x14ac:dyDescent="0.25">
      <c r="A168" s="1"/>
      <c r="B168" s="1"/>
      <c r="C168" s="1"/>
      <c r="D168" s="1"/>
      <c r="E168" s="177"/>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row>
    <row r="169" spans="1:47" hidden="1" x14ac:dyDescent="0.25">
      <c r="A169" s="1"/>
      <c r="B169" s="1"/>
      <c r="C169" s="1"/>
      <c r="D169" s="1"/>
      <c r="E169" s="177"/>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row>
    <row r="170" spans="1:47" hidden="1" x14ac:dyDescent="0.25">
      <c r="A170" s="1"/>
      <c r="B170" s="1"/>
      <c r="C170" s="1"/>
      <c r="D170" s="1"/>
      <c r="E170" s="177"/>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row>
    <row r="171" spans="1:47" hidden="1" x14ac:dyDescent="0.25">
      <c r="A171" s="1"/>
      <c r="B171" s="1"/>
      <c r="C171" s="1"/>
      <c r="D171" s="1"/>
      <c r="E171" s="177"/>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row>
    <row r="172" spans="1:47" hidden="1" x14ac:dyDescent="0.25">
      <c r="A172" s="1"/>
      <c r="B172" s="1"/>
      <c r="C172" s="1"/>
      <c r="D172" s="1"/>
      <c r="E172" s="177"/>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row>
    <row r="173" spans="1:47" hidden="1" x14ac:dyDescent="0.25">
      <c r="A173" s="1"/>
      <c r="B173" s="1"/>
      <c r="C173" s="1"/>
      <c r="D173" s="1"/>
      <c r="E173" s="177"/>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row>
    <row r="174" spans="1:47" hidden="1" x14ac:dyDescent="0.25">
      <c r="A174" s="1"/>
      <c r="B174" s="1"/>
      <c r="C174" s="1"/>
      <c r="D174" s="1"/>
      <c r="E174" s="177"/>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row>
    <row r="175" spans="1:47" hidden="1" x14ac:dyDescent="0.25">
      <c r="A175" s="1"/>
      <c r="B175" s="1"/>
      <c r="C175" s="1"/>
      <c r="D175" s="1"/>
      <c r="E175" s="177"/>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row>
    <row r="176" spans="1:47" x14ac:dyDescent="0.25">
      <c r="A176" s="1"/>
      <c r="B176" s="1"/>
      <c r="C176" s="1"/>
      <c r="D176" s="1"/>
      <c r="E176" s="177"/>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row>
    <row r="177" spans="1:47" x14ac:dyDescent="0.25">
      <c r="A177" s="1"/>
      <c r="B177" s="1"/>
      <c r="C177" s="1"/>
      <c r="D177" s="1"/>
      <c r="E177" s="177"/>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row>
    <row r="178" spans="1:47" x14ac:dyDescent="0.25">
      <c r="A178" s="1"/>
      <c r="B178" s="1"/>
      <c r="C178" s="1"/>
      <c r="D178" s="1"/>
      <c r="E178" s="177"/>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row>
    <row r="179" spans="1:47" x14ac:dyDescent="0.25">
      <c r="A179" s="1"/>
      <c r="B179" s="1"/>
      <c r="C179" s="1"/>
      <c r="D179" s="1"/>
      <c r="E179" s="177"/>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row>
    <row r="180" spans="1:47" x14ac:dyDescent="0.25">
      <c r="A180" s="1"/>
      <c r="B180" s="1"/>
      <c r="C180" s="1"/>
      <c r="D180" s="1"/>
      <c r="E180" s="177"/>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row>
    <row r="181" spans="1:47" x14ac:dyDescent="0.25">
      <c r="A181" s="1"/>
      <c r="B181" s="1"/>
      <c r="C181" s="1"/>
      <c r="D181" s="1"/>
      <c r="E181" s="177"/>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row>
    <row r="182" spans="1:47" x14ac:dyDescent="0.25">
      <c r="A182" s="1"/>
      <c r="B182" s="1"/>
      <c r="C182" s="1"/>
      <c r="D182" s="1"/>
      <c r="E182" s="177"/>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row>
    <row r="183" spans="1:47" x14ac:dyDescent="0.25">
      <c r="A183" s="1"/>
      <c r="B183" s="1"/>
      <c r="C183" s="1"/>
      <c r="D183" s="1"/>
      <c r="E183" s="177"/>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row>
    <row r="184" spans="1:47" x14ac:dyDescent="0.25">
      <c r="A184" s="1"/>
      <c r="B184" s="1"/>
      <c r="C184" s="1"/>
      <c r="D184" s="1"/>
      <c r="E184" s="177"/>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row>
    <row r="185" spans="1:47" x14ac:dyDescent="0.25">
      <c r="A185" s="1"/>
      <c r="B185" s="1"/>
      <c r="C185" s="1"/>
      <c r="D185" s="1"/>
      <c r="E185" s="177"/>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row>
    <row r="186" spans="1:47" x14ac:dyDescent="0.25">
      <c r="A186" s="1"/>
      <c r="B186" s="1"/>
      <c r="C186" s="1"/>
      <c r="D186" s="1"/>
      <c r="E186" s="177"/>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row>
    <row r="187" spans="1:47" x14ac:dyDescent="0.25">
      <c r="A187" s="1"/>
      <c r="B187" s="1"/>
      <c r="C187" s="1"/>
      <c r="D187" s="1"/>
      <c r="E187" s="177"/>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row>
    <row r="188" spans="1:47" x14ac:dyDescent="0.25">
      <c r="A188" s="1"/>
      <c r="B188" s="1"/>
      <c r="C188" s="1"/>
      <c r="D188" s="1"/>
      <c r="E188" s="177"/>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row>
    <row r="189" spans="1:47" x14ac:dyDescent="0.25">
      <c r="A189" s="1"/>
      <c r="B189" s="1"/>
      <c r="C189" s="1"/>
      <c r="D189" s="1"/>
      <c r="E189" s="177"/>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row>
    <row r="190" spans="1:47" x14ac:dyDescent="0.25">
      <c r="A190" s="1"/>
      <c r="B190" s="1"/>
      <c r="C190" s="1"/>
      <c r="D190" s="1"/>
      <c r="E190" s="177"/>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row>
    <row r="191" spans="1:47" x14ac:dyDescent="0.25">
      <c r="A191" s="1"/>
      <c r="B191" s="1"/>
      <c r="C191" s="1"/>
      <c r="D191" s="1"/>
      <c r="E191" s="177"/>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row>
    <row r="192" spans="1:47" x14ac:dyDescent="0.25">
      <c r="A192" s="1"/>
      <c r="B192" s="1"/>
      <c r="C192" s="1"/>
      <c r="D192" s="1"/>
      <c r="E192" s="177"/>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row>
    <row r="193" spans="1:47" x14ac:dyDescent="0.25">
      <c r="A193" s="1"/>
      <c r="B193" s="1"/>
      <c r="C193" s="1"/>
      <c r="D193" s="1"/>
      <c r="E193" s="177"/>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row>
    <row r="194" spans="1:47" x14ac:dyDescent="0.25">
      <c r="A194" s="1"/>
      <c r="B194" s="1"/>
      <c r="C194" s="1"/>
      <c r="D194" s="1"/>
      <c r="E194" s="177"/>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row>
    <row r="195" spans="1:47" x14ac:dyDescent="0.25">
      <c r="A195" s="1"/>
      <c r="B195" s="1"/>
      <c r="C195" s="1"/>
      <c r="D195" s="1"/>
      <c r="E195" s="177"/>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row>
    <row r="196" spans="1:47" x14ac:dyDescent="0.25">
      <c r="A196" s="1"/>
      <c r="B196" s="1"/>
      <c r="C196" s="1"/>
      <c r="D196" s="1"/>
      <c r="E196" s="177"/>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row>
    <row r="197" spans="1:47" x14ac:dyDescent="0.25">
      <c r="A197" s="1"/>
      <c r="B197" s="176"/>
      <c r="C197" s="1"/>
      <c r="D197" s="1"/>
      <c r="E197" s="1"/>
      <c r="F197" s="1"/>
      <c r="G197" s="177"/>
      <c r="H197" s="177"/>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row>
    <row r="198" spans="1:47" x14ac:dyDescent="0.25">
      <c r="A198" s="1"/>
      <c r="B198" s="176"/>
      <c r="C198" s="1"/>
      <c r="D198" s="1"/>
      <c r="E198" s="1"/>
      <c r="F198" s="1"/>
      <c r="G198" s="177"/>
      <c r="H198" s="177"/>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row>
    <row r="199" spans="1:47" x14ac:dyDescent="0.25">
      <c r="A199" s="1"/>
      <c r="B199" s="176"/>
      <c r="C199" s="1"/>
      <c r="D199" s="1"/>
      <c r="E199" s="1"/>
      <c r="F199" s="1"/>
      <c r="G199" s="177"/>
      <c r="H199" s="177"/>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row>
    <row r="200" spans="1:47" x14ac:dyDescent="0.25">
      <c r="A200" s="1"/>
      <c r="B200" s="176"/>
      <c r="C200" s="1"/>
      <c r="D200" s="1"/>
      <c r="E200" s="1"/>
      <c r="F200" s="1"/>
      <c r="G200" s="177"/>
      <c r="H200" s="177"/>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row>
    <row r="201" spans="1:47" x14ac:dyDescent="0.25">
      <c r="A201" s="1"/>
      <c r="B201" s="176"/>
      <c r="C201" s="1"/>
      <c r="D201" s="1"/>
      <c r="E201" s="1"/>
      <c r="F201" s="1"/>
      <c r="G201" s="177"/>
      <c r="H201" s="177"/>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row>
    <row r="202" spans="1:47" x14ac:dyDescent="0.25">
      <c r="A202" s="1"/>
      <c r="B202" s="176"/>
      <c r="C202" s="1"/>
      <c r="D202" s="1"/>
      <c r="E202" s="1"/>
      <c r="F202" s="1"/>
      <c r="G202" s="177"/>
      <c r="H202" s="177"/>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row>
    <row r="203" spans="1:47" x14ac:dyDescent="0.25">
      <c r="A203" s="1"/>
      <c r="B203" s="176"/>
      <c r="C203" s="1"/>
      <c r="D203" s="1"/>
      <c r="E203" s="1"/>
      <c r="F203" s="1"/>
      <c r="G203" s="177"/>
      <c r="H203" s="177"/>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row>
    <row r="204" spans="1:47" x14ac:dyDescent="0.25">
      <c r="A204" s="1"/>
      <c r="B204" s="176"/>
      <c r="C204" s="1"/>
      <c r="D204" s="1"/>
      <c r="E204" s="1"/>
      <c r="F204" s="1"/>
      <c r="G204" s="177"/>
      <c r="H204" s="177"/>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row>
    <row r="205" spans="1:47" x14ac:dyDescent="0.25">
      <c r="A205" s="1"/>
      <c r="B205" s="176"/>
      <c r="C205" s="1"/>
      <c r="D205" s="1"/>
      <c r="E205" s="1"/>
      <c r="F205" s="1"/>
      <c r="G205" s="177"/>
      <c r="H205" s="177"/>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row>
    <row r="206" spans="1:47" x14ac:dyDescent="0.25">
      <c r="A206" s="1"/>
      <c r="B206" s="176"/>
      <c r="C206" s="1"/>
      <c r="D206" s="1"/>
      <c r="E206" s="1"/>
      <c r="F206" s="1"/>
      <c r="G206" s="177"/>
      <c r="H206" s="177"/>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row>
    <row r="207" spans="1:47" x14ac:dyDescent="0.25">
      <c r="A207" s="1"/>
      <c r="B207" s="176"/>
      <c r="C207" s="1"/>
      <c r="D207" s="1"/>
      <c r="E207" s="1"/>
      <c r="F207" s="1"/>
      <c r="G207" s="177"/>
      <c r="H207" s="177"/>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row>
    <row r="208" spans="1:47" x14ac:dyDescent="0.25">
      <c r="A208" s="1"/>
      <c r="B208" s="176"/>
      <c r="C208" s="1"/>
      <c r="D208" s="1"/>
      <c r="E208" s="1"/>
      <c r="F208" s="1"/>
      <c r="G208" s="177"/>
      <c r="H208" s="177"/>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row>
    <row r="209" spans="1:47" x14ac:dyDescent="0.25">
      <c r="A209" s="1"/>
      <c r="B209" s="176"/>
      <c r="C209" s="1"/>
      <c r="D209" s="1"/>
      <c r="E209" s="1"/>
      <c r="F209" s="1"/>
      <c r="G209" s="177"/>
      <c r="H209" s="177"/>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row>
    <row r="210" spans="1:47" x14ac:dyDescent="0.25">
      <c r="A210" s="1"/>
      <c r="B210" s="176"/>
      <c r="C210" s="1"/>
      <c r="D210" s="1"/>
      <c r="E210" s="1"/>
      <c r="F210" s="1"/>
      <c r="G210" s="177"/>
      <c r="H210" s="177"/>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row>
    <row r="211" spans="1:47" x14ac:dyDescent="0.25">
      <c r="A211" s="1"/>
      <c r="B211" s="176"/>
      <c r="C211" s="1"/>
      <c r="D211" s="1"/>
      <c r="E211" s="1"/>
      <c r="F211" s="1"/>
      <c r="G211" s="177"/>
      <c r="H211" s="177"/>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row>
    <row r="212" spans="1:47" x14ac:dyDescent="0.25">
      <c r="A212" s="1"/>
      <c r="B212" s="176"/>
      <c r="C212" s="1"/>
      <c r="D212" s="1"/>
      <c r="E212" s="1"/>
      <c r="F212" s="1"/>
      <c r="G212" s="177"/>
      <c r="H212" s="177"/>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row>
  </sheetData>
  <mergeCells count="89">
    <mergeCell ref="A1:X1"/>
    <mergeCell ref="B21:B32"/>
    <mergeCell ref="B3:B8"/>
    <mergeCell ref="B9:B14"/>
    <mergeCell ref="B15:B20"/>
    <mergeCell ref="H15:H16"/>
    <mergeCell ref="C9:C14"/>
    <mergeCell ref="D9:D14"/>
    <mergeCell ref="E9:E14"/>
    <mergeCell ref="H27:H28"/>
    <mergeCell ref="D27:D28"/>
    <mergeCell ref="E27:E32"/>
    <mergeCell ref="D29:D32"/>
    <mergeCell ref="D15:D20"/>
    <mergeCell ref="D21:D22"/>
    <mergeCell ref="H21:H22"/>
    <mergeCell ref="A9:A14"/>
    <mergeCell ref="A15:A20"/>
    <mergeCell ref="E15:E20"/>
    <mergeCell ref="I66:X66"/>
    <mergeCell ref="E3:E8"/>
    <mergeCell ref="A3:A8"/>
    <mergeCell ref="D3:D8"/>
    <mergeCell ref="C3:C8"/>
    <mergeCell ref="C21:C32"/>
    <mergeCell ref="A21:A32"/>
    <mergeCell ref="E21:E26"/>
    <mergeCell ref="D23:D26"/>
    <mergeCell ref="C15:C20"/>
    <mergeCell ref="C33:C44"/>
    <mergeCell ref="A33:A44"/>
    <mergeCell ref="D39:D40"/>
    <mergeCell ref="E39:E44"/>
    <mergeCell ref="D41:D44"/>
    <mergeCell ref="D33:D34"/>
    <mergeCell ref="E33:E38"/>
    <mergeCell ref="D35:D38"/>
    <mergeCell ref="B33:B44"/>
    <mergeCell ref="H33:H34"/>
    <mergeCell ref="H39:H40"/>
    <mergeCell ref="D126:E130"/>
    <mergeCell ref="I49:I52"/>
    <mergeCell ref="G49:G52"/>
    <mergeCell ref="E75:E84"/>
    <mergeCell ref="D91:E95"/>
    <mergeCell ref="D96:E100"/>
    <mergeCell ref="D101:E105"/>
    <mergeCell ref="D106:E110"/>
    <mergeCell ref="D111:E115"/>
    <mergeCell ref="D116:E120"/>
    <mergeCell ref="D121:E125"/>
    <mergeCell ref="E49:E55"/>
    <mergeCell ref="C47:I47"/>
    <mergeCell ref="H49:H52"/>
    <mergeCell ref="A91:A100"/>
    <mergeCell ref="A101:A110"/>
    <mergeCell ref="A111:A120"/>
    <mergeCell ref="A121:A130"/>
    <mergeCell ref="B91:B130"/>
    <mergeCell ref="G54:G55"/>
    <mergeCell ref="C49:C55"/>
    <mergeCell ref="D49:D55"/>
    <mergeCell ref="C111:C130"/>
    <mergeCell ref="C91:C110"/>
    <mergeCell ref="F63:F66"/>
    <mergeCell ref="G63:G66"/>
    <mergeCell ref="E60:E62"/>
    <mergeCell ref="F60:F62"/>
    <mergeCell ref="G60:G62"/>
    <mergeCell ref="A63:A66"/>
    <mergeCell ref="B63:B66"/>
    <mergeCell ref="C63:C66"/>
    <mergeCell ref="D63:D66"/>
    <mergeCell ref="E63:E66"/>
    <mergeCell ref="A69:A70"/>
    <mergeCell ref="B69:B70"/>
    <mergeCell ref="C69:C70"/>
    <mergeCell ref="D69:D70"/>
    <mergeCell ref="E69:E70"/>
    <mergeCell ref="I62:X62"/>
    <mergeCell ref="A60:A62"/>
    <mergeCell ref="B60:B62"/>
    <mergeCell ref="C60:C62"/>
    <mergeCell ref="D60:D62"/>
    <mergeCell ref="A71:A72"/>
    <mergeCell ref="B71:B72"/>
    <mergeCell ref="C71:C72"/>
    <mergeCell ref="D71:D72"/>
    <mergeCell ref="E71:E72"/>
  </mergeCells>
  <phoneticPr fontId="5"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C1672-9EE3-40E4-AB75-7F6046861D1F}">
  <sheetPr codeName="Sheet6"/>
  <dimension ref="A1:AL54"/>
  <sheetViews>
    <sheetView zoomScaleNormal="100" workbookViewId="0">
      <selection sqref="A1:F1"/>
    </sheetView>
  </sheetViews>
  <sheetFormatPr defaultColWidth="8.6640625" defaultRowHeight="13.2" x14ac:dyDescent="0.25"/>
  <cols>
    <col min="1" max="1" width="32.109375" style="3" customWidth="1"/>
    <col min="2" max="2" width="29.5546875" style="3" customWidth="1"/>
    <col min="3" max="3" width="30.44140625" style="3" customWidth="1"/>
    <col min="4" max="4" width="32.6640625" style="3" customWidth="1"/>
    <col min="5" max="5" width="35.44140625" style="3" customWidth="1"/>
    <col min="6" max="6" width="32.88671875" style="3" bestFit="1" customWidth="1"/>
    <col min="7" max="7" width="20.5546875" style="3" customWidth="1"/>
    <col min="8" max="8" width="28.33203125" style="3" customWidth="1"/>
    <col min="9" max="9" width="22.5546875" style="3" customWidth="1"/>
    <col min="10" max="11" width="12.6640625" style="3" customWidth="1"/>
    <col min="12" max="19" width="15.33203125" style="3" customWidth="1"/>
    <col min="20" max="20" width="14.6640625" style="3" customWidth="1"/>
    <col min="21" max="21" width="13.5546875" style="3" customWidth="1"/>
    <col min="22" max="22" width="15.6640625" style="3" customWidth="1"/>
    <col min="23" max="29" width="11" style="3" customWidth="1"/>
    <col min="30" max="38" width="6.5546875" style="3" customWidth="1"/>
    <col min="39" max="39" width="8.6640625" style="3" customWidth="1"/>
    <col min="40" max="16384" width="8.6640625" style="3"/>
  </cols>
  <sheetData>
    <row r="1" spans="1:10" ht="27" customHeight="1" x14ac:dyDescent="0.25">
      <c r="A1" s="619" t="str">
        <f>"HVAC system - "&amp;Prototype!A2</f>
        <v xml:space="preserve">HVAC system - ApartmentMidRise </v>
      </c>
      <c r="B1" s="619"/>
      <c r="C1" s="619"/>
      <c r="D1" s="619"/>
      <c r="E1" s="619"/>
      <c r="F1" s="619"/>
    </row>
    <row r="2" spans="1:10" ht="19.2" customHeight="1" thickBot="1" x14ac:dyDescent="0.3">
      <c r="A2" s="144" t="s">
        <v>193</v>
      </c>
      <c r="B2" s="144" t="s">
        <v>322</v>
      </c>
      <c r="C2" s="144" t="s">
        <v>323</v>
      </c>
      <c r="D2" s="144" t="s">
        <v>324</v>
      </c>
      <c r="E2" s="144" t="s">
        <v>325</v>
      </c>
      <c r="F2" s="144" t="s">
        <v>268</v>
      </c>
    </row>
    <row r="3" spans="1:10" ht="27.6" customHeight="1" x14ac:dyDescent="0.25">
      <c r="A3" s="623" t="s">
        <v>326</v>
      </c>
      <c r="B3" s="277" t="s">
        <v>327</v>
      </c>
      <c r="C3" s="278" t="s">
        <v>328</v>
      </c>
      <c r="D3" s="278" t="s">
        <v>329</v>
      </c>
      <c r="E3" s="279" t="s">
        <v>330</v>
      </c>
      <c r="F3" s="280" t="s">
        <v>331</v>
      </c>
      <c r="G3" s="288"/>
      <c r="H3" s="288"/>
      <c r="I3" s="288"/>
      <c r="J3" s="288"/>
    </row>
    <row r="4" spans="1:10" ht="27.6" customHeight="1" thickBot="1" x14ac:dyDescent="0.3">
      <c r="A4" s="624"/>
      <c r="B4" s="281" t="s">
        <v>332</v>
      </c>
      <c r="C4" s="282" t="s">
        <v>333</v>
      </c>
      <c r="D4" s="281" t="s">
        <v>334</v>
      </c>
      <c r="E4" s="283" t="s">
        <v>335</v>
      </c>
      <c r="F4" s="284" t="s">
        <v>331</v>
      </c>
      <c r="G4" s="288"/>
      <c r="H4" s="288"/>
      <c r="I4" s="288"/>
      <c r="J4" s="288"/>
    </row>
    <row r="5" spans="1:10" ht="25.95" customHeight="1" x14ac:dyDescent="0.25">
      <c r="A5" s="623" t="s">
        <v>336</v>
      </c>
      <c r="B5" s="277" t="s">
        <v>337</v>
      </c>
      <c r="C5" s="285" t="s">
        <v>338</v>
      </c>
      <c r="D5" s="285" t="s">
        <v>338</v>
      </c>
      <c r="E5" s="279" t="s">
        <v>330</v>
      </c>
      <c r="F5" s="625" t="s">
        <v>339</v>
      </c>
      <c r="G5" s="627" t="s">
        <v>340</v>
      </c>
      <c r="H5" s="628"/>
      <c r="I5" s="628"/>
      <c r="J5" s="628"/>
    </row>
    <row r="6" spans="1:10" ht="27" customHeight="1" thickBot="1" x14ac:dyDescent="0.3">
      <c r="A6" s="624"/>
      <c r="B6" s="281" t="s">
        <v>332</v>
      </c>
      <c r="C6" s="282" t="s">
        <v>333</v>
      </c>
      <c r="D6" s="281" t="s">
        <v>334</v>
      </c>
      <c r="E6" s="283" t="s">
        <v>335</v>
      </c>
      <c r="F6" s="626"/>
      <c r="G6" s="544"/>
      <c r="H6" s="544"/>
      <c r="I6" s="544"/>
      <c r="J6" s="544"/>
    </row>
    <row r="7" spans="1:10" ht="15.6" customHeight="1" x14ac:dyDescent="0.25">
      <c r="A7" s="288" t="s">
        <v>341</v>
      </c>
      <c r="B7" s="5"/>
      <c r="C7" s="5"/>
      <c r="D7" s="5"/>
      <c r="E7" s="5"/>
    </row>
    <row r="8" spans="1:10" ht="15.6" customHeight="1" x14ac:dyDescent="0.25">
      <c r="A8" s="5"/>
      <c r="B8" s="5"/>
      <c r="C8" s="5"/>
      <c r="D8" s="5"/>
      <c r="E8" s="5"/>
    </row>
    <row r="9" spans="1:10" x14ac:dyDescent="0.25">
      <c r="A9" s="5"/>
      <c r="B9" s="5"/>
      <c r="C9" s="5"/>
      <c r="D9" s="5"/>
      <c r="E9" s="5"/>
    </row>
    <row r="10" spans="1:10" ht="25.95" customHeight="1" x14ac:dyDescent="0.25">
      <c r="A10" s="619" t="s">
        <v>342</v>
      </c>
      <c r="B10" s="619"/>
      <c r="C10" s="619"/>
      <c r="D10" s="619"/>
      <c r="E10" s="622"/>
    </row>
    <row r="11" spans="1:10" ht="17.7" customHeight="1" x14ac:dyDescent="0.25">
      <c r="A11" s="143" t="s">
        <v>193</v>
      </c>
      <c r="B11" s="143" t="s">
        <v>343</v>
      </c>
      <c r="C11" s="45" t="s">
        <v>323</v>
      </c>
      <c r="D11" s="45" t="s">
        <v>324</v>
      </c>
      <c r="E11" s="144" t="s">
        <v>268</v>
      </c>
    </row>
    <row r="12" spans="1:10" ht="17.7" customHeight="1" x14ac:dyDescent="0.25">
      <c r="A12" s="543" t="s">
        <v>215</v>
      </c>
      <c r="B12" s="621">
        <v>2008</v>
      </c>
      <c r="C12" s="621" t="s">
        <v>344</v>
      </c>
      <c r="D12" s="620" t="s">
        <v>345</v>
      </c>
      <c r="E12" s="621" t="s">
        <v>346</v>
      </c>
    </row>
    <row r="13" spans="1:10" ht="17.7" customHeight="1" x14ac:dyDescent="0.25">
      <c r="A13" s="543" t="s">
        <v>218</v>
      </c>
      <c r="B13" s="621"/>
      <c r="C13" s="621"/>
      <c r="D13" s="621"/>
      <c r="E13" s="621"/>
    </row>
    <row r="14" spans="1:10" ht="17.7" customHeight="1" x14ac:dyDescent="0.25">
      <c r="A14" s="543" t="s">
        <v>220</v>
      </c>
      <c r="B14" s="621"/>
      <c r="C14" s="621"/>
      <c r="D14" s="621"/>
      <c r="E14" s="621"/>
    </row>
    <row r="15" spans="1:10" ht="38.25" customHeight="1" x14ac:dyDescent="0.25">
      <c r="A15" s="543" t="s">
        <v>222</v>
      </c>
      <c r="B15" s="545">
        <v>2013</v>
      </c>
      <c r="C15" s="543" t="s">
        <v>344</v>
      </c>
      <c r="D15" s="542" t="s">
        <v>347</v>
      </c>
      <c r="E15" s="543" t="s">
        <v>348</v>
      </c>
    </row>
    <row r="16" spans="1:10" ht="73.5" customHeight="1" x14ac:dyDescent="0.25">
      <c r="A16" s="621" t="s">
        <v>336</v>
      </c>
      <c r="B16" s="629">
        <v>2025</v>
      </c>
      <c r="C16" s="542" t="s">
        <v>349</v>
      </c>
      <c r="D16" s="543" t="s">
        <v>350</v>
      </c>
      <c r="E16" s="542" t="s">
        <v>351</v>
      </c>
    </row>
    <row r="17" spans="1:38" ht="108" customHeight="1" x14ac:dyDescent="0.25">
      <c r="A17" s="621"/>
      <c r="B17" s="629"/>
      <c r="C17" s="548" t="s">
        <v>352</v>
      </c>
      <c r="D17" s="542" t="s">
        <v>353</v>
      </c>
      <c r="E17" s="543" t="s">
        <v>354</v>
      </c>
      <c r="F17" s="7"/>
    </row>
    <row r="18" spans="1:38" ht="13.95" customHeight="1" x14ac:dyDescent="0.25">
      <c r="A18" s="8"/>
      <c r="D18" s="33"/>
    </row>
    <row r="20" spans="1:38" ht="22.35" customHeight="1" x14ac:dyDescent="0.3">
      <c r="A20" s="617" t="s">
        <v>355</v>
      </c>
      <c r="B20" s="618"/>
      <c r="C20" s="618"/>
      <c r="D20" s="618"/>
      <c r="E20" s="618"/>
      <c r="F20" s="618"/>
      <c r="G20" s="618"/>
      <c r="H20" s="618"/>
      <c r="I20"/>
    </row>
    <row r="21" spans="1:38" ht="27.6" customHeight="1" x14ac:dyDescent="0.3">
      <c r="A21" s="378" t="s">
        <v>193</v>
      </c>
      <c r="B21" s="105" t="s">
        <v>356</v>
      </c>
      <c r="C21" s="105" t="s">
        <v>357</v>
      </c>
      <c r="D21" s="370" t="s">
        <v>358</v>
      </c>
      <c r="E21" s="370" t="s">
        <v>359</v>
      </c>
      <c r="F21" s="370" t="s">
        <v>360</v>
      </c>
      <c r="G21" s="370" t="s">
        <v>361</v>
      </c>
      <c r="H21" s="378" t="s">
        <v>362</v>
      </c>
      <c r="I21"/>
    </row>
    <row r="22" spans="1:38" ht="60.45" customHeight="1" x14ac:dyDescent="0.25">
      <c r="A22" s="634" t="s">
        <v>224</v>
      </c>
      <c r="B22" s="635" t="s">
        <v>363</v>
      </c>
      <c r="C22" s="546" t="s">
        <v>364</v>
      </c>
      <c r="D22" s="537">
        <v>1.33</v>
      </c>
      <c r="E22" s="636">
        <v>0.65</v>
      </c>
      <c r="F22" s="560" t="s">
        <v>365</v>
      </c>
      <c r="G22" s="637"/>
      <c r="H22" s="560" t="s">
        <v>366</v>
      </c>
      <c r="I22" s="369" t="s">
        <v>367</v>
      </c>
    </row>
    <row r="23" spans="1:38" ht="60.45" customHeight="1" x14ac:dyDescent="0.3">
      <c r="A23" s="634"/>
      <c r="B23" s="635"/>
      <c r="C23" s="546" t="s">
        <v>368</v>
      </c>
      <c r="D23" s="537">
        <v>5.58</v>
      </c>
      <c r="E23" s="636"/>
      <c r="F23" s="560"/>
      <c r="G23" s="637"/>
      <c r="H23" s="633"/>
      <c r="I23"/>
    </row>
    <row r="24" spans="1:38" ht="21.6" customHeight="1" x14ac:dyDescent="0.3">
      <c r="A24" s="371" t="s">
        <v>369</v>
      </c>
      <c r="B24" s="379"/>
      <c r="C24" s="379"/>
      <c r="D24" s="379"/>
      <c r="E24" s="379"/>
      <c r="F24" s="379"/>
      <c r="G24" s="379"/>
      <c r="H24" s="380"/>
      <c r="I24"/>
    </row>
    <row r="25" spans="1:38" ht="19.350000000000001" customHeight="1" x14ac:dyDescent="0.3">
      <c r="A25" s="371" t="s">
        <v>370</v>
      </c>
      <c r="B25" s="379"/>
      <c r="C25" s="379"/>
      <c r="D25" s="379"/>
      <c r="E25" s="379"/>
      <c r="F25" s="379"/>
      <c r="G25" s="379"/>
      <c r="H25" s="380"/>
      <c r="I25"/>
    </row>
    <row r="26" spans="1:38" ht="69.75" customHeight="1" x14ac:dyDescent="0.3">
      <c r="A26" s="634" t="s">
        <v>336</v>
      </c>
      <c r="B26" s="560" t="s">
        <v>371</v>
      </c>
      <c r="C26" s="537" t="s">
        <v>372</v>
      </c>
      <c r="D26" s="537" t="s">
        <v>373</v>
      </c>
      <c r="E26" s="560">
        <v>0.65</v>
      </c>
      <c r="F26" s="560" t="s">
        <v>374</v>
      </c>
      <c r="G26" s="537">
        <v>0.35</v>
      </c>
      <c r="H26" s="537" t="s">
        <v>375</v>
      </c>
      <c r="I26" s="363"/>
    </row>
    <row r="27" spans="1:38" ht="69.75" customHeight="1" x14ac:dyDescent="0.3">
      <c r="A27" s="634"/>
      <c r="B27" s="633"/>
      <c r="C27" s="537" t="s">
        <v>376</v>
      </c>
      <c r="D27" s="537" t="s">
        <v>373</v>
      </c>
      <c r="E27" s="560"/>
      <c r="F27" s="560"/>
      <c r="G27" s="537" t="s">
        <v>377</v>
      </c>
      <c r="H27" s="537" t="s">
        <v>378</v>
      </c>
      <c r="I27" s="363"/>
    </row>
    <row r="28" spans="1:38" ht="12.75" customHeight="1" x14ac:dyDescent="0.3">
      <c r="A28" s="381"/>
      <c r="B28" s="381"/>
      <c r="C28" s="381"/>
      <c r="D28" s="382"/>
      <c r="E28" s="381"/>
      <c r="F28" s="382"/>
      <c r="G28" s="381"/>
      <c r="H28" s="381"/>
      <c r="I28"/>
    </row>
    <row r="29" spans="1:38" ht="31.5" customHeight="1" x14ac:dyDescent="0.3">
      <c r="A29" s="630" t="s">
        <v>379</v>
      </c>
      <c r="B29" s="631"/>
      <c r="C29" s="631"/>
      <c r="D29" s="631"/>
      <c r="E29" s="631"/>
      <c r="F29" s="631"/>
      <c r="G29" s="631"/>
      <c r="H29" s="631"/>
      <c r="I29"/>
    </row>
    <row r="30" spans="1:38" ht="57" customHeight="1" x14ac:dyDescent="0.3">
      <c r="A30" s="630" t="s">
        <v>380</v>
      </c>
      <c r="B30" s="632"/>
      <c r="C30" s="632"/>
      <c r="D30" s="632"/>
      <c r="E30" s="632"/>
      <c r="F30" s="632"/>
      <c r="G30" s="632"/>
      <c r="H30" s="632"/>
      <c r="I30"/>
    </row>
    <row r="31" spans="1:38" x14ac:dyDescent="0.25">
      <c r="U31" s="30"/>
      <c r="V31" s="30"/>
      <c r="W31" s="52"/>
      <c r="X31" s="52"/>
      <c r="Y31" s="52"/>
      <c r="Z31" s="52"/>
      <c r="AA31" s="52"/>
      <c r="AB31" s="52"/>
      <c r="AC31" s="52"/>
      <c r="AD31" s="52"/>
      <c r="AE31" s="52"/>
      <c r="AF31" s="52"/>
      <c r="AG31" s="52"/>
      <c r="AH31" s="52"/>
      <c r="AI31" s="52"/>
      <c r="AJ31" s="52"/>
      <c r="AK31" s="52"/>
      <c r="AL31" s="52"/>
    </row>
    <row r="32" spans="1:38" x14ac:dyDescent="0.25">
      <c r="V32" s="35"/>
    </row>
    <row r="33" spans="21:22" x14ac:dyDescent="0.25">
      <c r="U33" s="32"/>
      <c r="V33" s="35"/>
    </row>
    <row r="34" spans="21:22" x14ac:dyDescent="0.25">
      <c r="U34" s="32"/>
      <c r="V34" s="35"/>
    </row>
    <row r="35" spans="21:22" x14ac:dyDescent="0.25">
      <c r="U35" s="32"/>
      <c r="V35" s="35"/>
    </row>
    <row r="36" spans="21:22" x14ac:dyDescent="0.25">
      <c r="U36" s="32"/>
      <c r="V36" s="35"/>
    </row>
    <row r="37" spans="21:22" x14ac:dyDescent="0.25">
      <c r="U37" s="32"/>
      <c r="V37" s="35"/>
    </row>
    <row r="38" spans="21:22" x14ac:dyDescent="0.25">
      <c r="U38" s="32"/>
      <c r="V38" s="35"/>
    </row>
    <row r="39" spans="21:22" x14ac:dyDescent="0.25">
      <c r="U39" s="32"/>
      <c r="V39" s="35"/>
    </row>
    <row r="40" spans="21:22" x14ac:dyDescent="0.25">
      <c r="U40" s="32"/>
      <c r="V40" s="35"/>
    </row>
    <row r="41" spans="21:22" x14ac:dyDescent="0.25">
      <c r="U41" s="32"/>
      <c r="V41" s="35"/>
    </row>
    <row r="42" spans="21:22" x14ac:dyDescent="0.25">
      <c r="U42" s="32"/>
      <c r="V42" s="35"/>
    </row>
    <row r="43" spans="21:22" x14ac:dyDescent="0.25">
      <c r="U43" s="32"/>
      <c r="V43" s="35"/>
    </row>
    <row r="44" spans="21:22" x14ac:dyDescent="0.25">
      <c r="U44" s="32"/>
      <c r="V44" s="35"/>
    </row>
    <row r="45" spans="21:22" x14ac:dyDescent="0.25">
      <c r="U45" s="32"/>
      <c r="V45" s="35"/>
    </row>
    <row r="46" spans="21:22" x14ac:dyDescent="0.25">
      <c r="U46" s="32"/>
      <c r="V46" s="35"/>
    </row>
    <row r="47" spans="21:22" x14ac:dyDescent="0.25">
      <c r="U47" s="32"/>
      <c r="V47" s="35"/>
    </row>
    <row r="48" spans="21:22" x14ac:dyDescent="0.25">
      <c r="U48" s="32"/>
      <c r="V48" s="35"/>
    </row>
    <row r="49" spans="21:38" x14ac:dyDescent="0.25">
      <c r="U49" s="32"/>
      <c r="V49" s="35"/>
    </row>
    <row r="50" spans="21:38" x14ac:dyDescent="0.25">
      <c r="U50" s="32"/>
      <c r="V50" s="35"/>
    </row>
    <row r="51" spans="21:38" x14ac:dyDescent="0.25">
      <c r="U51" s="32"/>
      <c r="V51" s="35"/>
    </row>
    <row r="52" spans="21:38" x14ac:dyDescent="0.25">
      <c r="U52" s="32"/>
      <c r="V52" s="35"/>
    </row>
    <row r="53" spans="21:38" x14ac:dyDescent="0.25">
      <c r="U53" s="32"/>
      <c r="W53" s="31"/>
      <c r="X53" s="31"/>
      <c r="Y53" s="31"/>
      <c r="Z53" s="31"/>
      <c r="AA53" s="31"/>
      <c r="AB53" s="31"/>
      <c r="AC53" s="31"/>
      <c r="AD53" s="31"/>
      <c r="AE53" s="31"/>
      <c r="AF53" s="31"/>
      <c r="AG53" s="31"/>
      <c r="AH53" s="31"/>
      <c r="AI53" s="31"/>
      <c r="AJ53" s="31"/>
      <c r="AK53" s="31"/>
      <c r="AL53" s="31"/>
    </row>
    <row r="54" spans="21:38" x14ac:dyDescent="0.25">
      <c r="U54" s="34"/>
      <c r="W54" s="32"/>
      <c r="X54" s="32"/>
      <c r="Y54" s="32"/>
      <c r="Z54" s="32"/>
      <c r="AA54" s="32"/>
      <c r="AB54" s="32"/>
      <c r="AC54" s="32"/>
      <c r="AD54" s="32"/>
      <c r="AE54" s="32"/>
      <c r="AF54" s="32"/>
      <c r="AG54" s="32"/>
      <c r="AH54" s="32"/>
      <c r="AI54" s="32"/>
      <c r="AJ54" s="32"/>
      <c r="AK54" s="32"/>
      <c r="AL54" s="32"/>
    </row>
  </sheetData>
  <mergeCells count="25">
    <mergeCell ref="A29:H29"/>
    <mergeCell ref="A30:H30"/>
    <mergeCell ref="H22:H23"/>
    <mergeCell ref="A26:A27"/>
    <mergeCell ref="B26:B27"/>
    <mergeCell ref="E26:E27"/>
    <mergeCell ref="F26:F27"/>
    <mergeCell ref="A22:A23"/>
    <mergeCell ref="B22:B23"/>
    <mergeCell ref="E22:E23"/>
    <mergeCell ref="F22:F23"/>
    <mergeCell ref="G22:G23"/>
    <mergeCell ref="A20:H20"/>
    <mergeCell ref="A1:F1"/>
    <mergeCell ref="D12:D14"/>
    <mergeCell ref="C12:C14"/>
    <mergeCell ref="A10:E10"/>
    <mergeCell ref="A3:A4"/>
    <mergeCell ref="A5:A6"/>
    <mergeCell ref="F5:F6"/>
    <mergeCell ref="G5:J5"/>
    <mergeCell ref="A16:A17"/>
    <mergeCell ref="B16:B17"/>
    <mergeCell ref="E12:E14"/>
    <mergeCell ref="B12:B14"/>
  </mergeCells>
  <phoneticPr fontId="5"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A39FB-0FF3-4EE1-BBDF-BEA1AF34949F}">
  <sheetPr codeName="Sheet9"/>
  <dimension ref="A1:R26"/>
  <sheetViews>
    <sheetView topLeftCell="A18" workbookViewId="0">
      <selection activeCell="A19" sqref="A19:R19"/>
    </sheetView>
  </sheetViews>
  <sheetFormatPr defaultRowHeight="14.4" x14ac:dyDescent="0.3"/>
  <cols>
    <col min="1" max="1" width="24.33203125" bestFit="1" customWidth="1"/>
    <col min="18" max="18" width="23.5546875" customWidth="1"/>
  </cols>
  <sheetData>
    <row r="1" spans="1:18" ht="24" customHeight="1" x14ac:dyDescent="0.3">
      <c r="A1" s="638" t="str">
        <f>"Thermostat Setpoints - "&amp;Prototype!A2&amp;": ResidentialLiving"</f>
        <v>Thermostat Setpoints - ApartmentMidRise : ResidentialLiving</v>
      </c>
      <c r="B1" s="638"/>
      <c r="C1" s="638"/>
      <c r="D1" s="638"/>
      <c r="E1" s="638"/>
      <c r="F1" s="638"/>
      <c r="G1" s="638"/>
      <c r="H1" s="638"/>
      <c r="I1" s="638"/>
      <c r="J1" s="638"/>
      <c r="K1" s="638"/>
      <c r="L1" s="638"/>
      <c r="M1" s="638"/>
      <c r="N1" s="638"/>
      <c r="O1" s="638"/>
      <c r="P1" s="638"/>
      <c r="Q1" s="638"/>
      <c r="R1" s="638"/>
    </row>
    <row r="2" spans="1:18" ht="21.6" customHeight="1" x14ac:dyDescent="0.3">
      <c r="A2" s="188" t="s">
        <v>381</v>
      </c>
      <c r="B2" s="528" t="s">
        <v>195</v>
      </c>
      <c r="C2" s="528" t="s">
        <v>196</v>
      </c>
      <c r="D2" s="528" t="s">
        <v>197</v>
      </c>
      <c r="E2" s="528" t="s">
        <v>198</v>
      </c>
      <c r="F2" s="528" t="s">
        <v>199</v>
      </c>
      <c r="G2" s="528" t="s">
        <v>200</v>
      </c>
      <c r="H2" s="528" t="s">
        <v>201</v>
      </c>
      <c r="I2" s="528" t="s">
        <v>202</v>
      </c>
      <c r="J2" s="528" t="s">
        <v>203</v>
      </c>
      <c r="K2" s="528" t="s">
        <v>204</v>
      </c>
      <c r="L2" s="528" t="s">
        <v>205</v>
      </c>
      <c r="M2" s="528" t="s">
        <v>206</v>
      </c>
      <c r="N2" s="528" t="s">
        <v>207</v>
      </c>
      <c r="O2" s="528" t="s">
        <v>208</v>
      </c>
      <c r="P2" s="528" t="s">
        <v>209</v>
      </c>
      <c r="Q2" s="528" t="s">
        <v>210</v>
      </c>
      <c r="R2" s="216" t="s">
        <v>268</v>
      </c>
    </row>
    <row r="3" spans="1:18" ht="26.4" customHeight="1" x14ac:dyDescent="0.3">
      <c r="A3" s="292" t="s">
        <v>382</v>
      </c>
      <c r="B3" s="543">
        <v>68</v>
      </c>
      <c r="C3" s="543">
        <v>68</v>
      </c>
      <c r="D3" s="543">
        <v>68</v>
      </c>
      <c r="E3" s="543">
        <v>68</v>
      </c>
      <c r="F3" s="543">
        <v>68</v>
      </c>
      <c r="G3" s="543">
        <v>68</v>
      </c>
      <c r="H3" s="543">
        <v>68</v>
      </c>
      <c r="I3" s="543">
        <v>68</v>
      </c>
      <c r="J3" s="543">
        <v>68</v>
      </c>
      <c r="K3" s="543">
        <v>68</v>
      </c>
      <c r="L3" s="543">
        <v>68</v>
      </c>
      <c r="M3" s="543">
        <v>68</v>
      </c>
      <c r="N3" s="543">
        <v>68</v>
      </c>
      <c r="O3" s="543">
        <v>68</v>
      </c>
      <c r="P3" s="543">
        <v>68</v>
      </c>
      <c r="Q3" s="543">
        <v>68</v>
      </c>
      <c r="R3" s="639" t="s">
        <v>383</v>
      </c>
    </row>
    <row r="4" spans="1:18" ht="26.4" customHeight="1" x14ac:dyDescent="0.3">
      <c r="A4" s="292" t="s">
        <v>384</v>
      </c>
      <c r="B4" s="543">
        <v>60</v>
      </c>
      <c r="C4" s="543">
        <v>60</v>
      </c>
      <c r="D4" s="543">
        <v>60</v>
      </c>
      <c r="E4" s="543">
        <v>60</v>
      </c>
      <c r="F4" s="543">
        <v>60</v>
      </c>
      <c r="G4" s="543">
        <v>60</v>
      </c>
      <c r="H4" s="543">
        <v>60</v>
      </c>
      <c r="I4" s="543">
        <v>60</v>
      </c>
      <c r="J4" s="543">
        <v>60</v>
      </c>
      <c r="K4" s="543">
        <v>60</v>
      </c>
      <c r="L4" s="543">
        <v>60</v>
      </c>
      <c r="M4" s="543">
        <v>60</v>
      </c>
      <c r="N4" s="543">
        <v>60</v>
      </c>
      <c r="O4" s="543">
        <v>60</v>
      </c>
      <c r="P4" s="543">
        <v>60</v>
      </c>
      <c r="Q4" s="543">
        <v>60</v>
      </c>
      <c r="R4" s="639"/>
    </row>
    <row r="5" spans="1:18" ht="22.95" customHeight="1" x14ac:dyDescent="0.3">
      <c r="A5" s="292" t="s">
        <v>385</v>
      </c>
      <c r="B5" s="543">
        <v>78</v>
      </c>
      <c r="C5" s="543">
        <v>78</v>
      </c>
      <c r="D5" s="543">
        <v>78</v>
      </c>
      <c r="E5" s="543">
        <v>78</v>
      </c>
      <c r="F5" s="543">
        <v>78</v>
      </c>
      <c r="G5" s="543">
        <v>78</v>
      </c>
      <c r="H5" s="543">
        <v>78</v>
      </c>
      <c r="I5" s="543">
        <v>78</v>
      </c>
      <c r="J5" s="543">
        <v>78</v>
      </c>
      <c r="K5" s="543">
        <v>78</v>
      </c>
      <c r="L5" s="543">
        <v>78</v>
      </c>
      <c r="M5" s="543">
        <v>78</v>
      </c>
      <c r="N5" s="543">
        <v>78</v>
      </c>
      <c r="O5" s="543">
        <v>78</v>
      </c>
      <c r="P5" s="543">
        <v>78</v>
      </c>
      <c r="Q5" s="543">
        <v>78</v>
      </c>
      <c r="R5" s="639" t="s">
        <v>383</v>
      </c>
    </row>
    <row r="6" spans="1:18" ht="22.95" customHeight="1" x14ac:dyDescent="0.3">
      <c r="A6" s="292" t="s">
        <v>386</v>
      </c>
      <c r="B6" s="543">
        <v>78</v>
      </c>
      <c r="C6" s="543">
        <v>78</v>
      </c>
      <c r="D6" s="543">
        <v>78</v>
      </c>
      <c r="E6" s="543">
        <v>78</v>
      </c>
      <c r="F6" s="543">
        <v>78</v>
      </c>
      <c r="G6" s="543">
        <v>78</v>
      </c>
      <c r="H6" s="543">
        <v>78</v>
      </c>
      <c r="I6" s="543">
        <v>78</v>
      </c>
      <c r="J6" s="543">
        <v>78</v>
      </c>
      <c r="K6" s="543">
        <v>78</v>
      </c>
      <c r="L6" s="543">
        <v>78</v>
      </c>
      <c r="M6" s="543">
        <v>78</v>
      </c>
      <c r="N6" s="543">
        <v>78</v>
      </c>
      <c r="O6" s="543">
        <v>78</v>
      </c>
      <c r="P6" s="543">
        <v>78</v>
      </c>
      <c r="Q6" s="543">
        <v>78</v>
      </c>
      <c r="R6" s="639"/>
    </row>
    <row r="8" spans="1:18" ht="24" customHeight="1" x14ac:dyDescent="0.3">
      <c r="A8" s="638" t="str">
        <f>"Thermostat Setpoints - "&amp;Prototype!A2  &amp; ":Retail"</f>
        <v>Thermostat Setpoints - ApartmentMidRise :Retail</v>
      </c>
      <c r="B8" s="638"/>
      <c r="C8" s="638"/>
      <c r="D8" s="638"/>
      <c r="E8" s="638"/>
      <c r="F8" s="638"/>
      <c r="G8" s="638"/>
      <c r="H8" s="638"/>
      <c r="I8" s="638"/>
      <c r="J8" s="638"/>
      <c r="K8" s="638"/>
      <c r="L8" s="638"/>
      <c r="M8" s="638"/>
      <c r="N8" s="638"/>
      <c r="O8" s="638"/>
      <c r="P8" s="638"/>
      <c r="Q8" s="638"/>
      <c r="R8" s="638"/>
    </row>
    <row r="9" spans="1:18" ht="21.6" customHeight="1" x14ac:dyDescent="0.3">
      <c r="A9" s="188" t="s">
        <v>381</v>
      </c>
      <c r="B9" s="528" t="s">
        <v>195</v>
      </c>
      <c r="C9" s="528" t="s">
        <v>196</v>
      </c>
      <c r="D9" s="528" t="s">
        <v>197</v>
      </c>
      <c r="E9" s="528" t="s">
        <v>198</v>
      </c>
      <c r="F9" s="528" t="s">
        <v>199</v>
      </c>
      <c r="G9" s="528" t="s">
        <v>200</v>
      </c>
      <c r="H9" s="528" t="s">
        <v>201</v>
      </c>
      <c r="I9" s="528" t="s">
        <v>202</v>
      </c>
      <c r="J9" s="528" t="s">
        <v>203</v>
      </c>
      <c r="K9" s="528" t="s">
        <v>204</v>
      </c>
      <c r="L9" s="528" t="s">
        <v>205</v>
      </c>
      <c r="M9" s="528" t="s">
        <v>206</v>
      </c>
      <c r="N9" s="528" t="s">
        <v>207</v>
      </c>
      <c r="O9" s="528" t="s">
        <v>208</v>
      </c>
      <c r="P9" s="528" t="s">
        <v>209</v>
      </c>
      <c r="Q9" s="528" t="s">
        <v>210</v>
      </c>
      <c r="R9" s="216" t="s">
        <v>268</v>
      </c>
    </row>
    <row r="10" spans="1:18" ht="26.4" customHeight="1" x14ac:dyDescent="0.3">
      <c r="A10" s="166" t="s">
        <v>382</v>
      </c>
      <c r="B10" s="543">
        <v>70</v>
      </c>
      <c r="C10" s="543">
        <v>70</v>
      </c>
      <c r="D10" s="543">
        <v>70</v>
      </c>
      <c r="E10" s="543">
        <v>70</v>
      </c>
      <c r="F10" s="543">
        <v>70</v>
      </c>
      <c r="G10" s="543">
        <v>70</v>
      </c>
      <c r="H10" s="543">
        <v>70</v>
      </c>
      <c r="I10" s="543">
        <v>70</v>
      </c>
      <c r="J10" s="543">
        <v>70</v>
      </c>
      <c r="K10" s="543">
        <v>70</v>
      </c>
      <c r="L10" s="543">
        <v>70</v>
      </c>
      <c r="M10" s="543">
        <v>70</v>
      </c>
      <c r="N10" s="543">
        <v>70</v>
      </c>
      <c r="O10" s="543">
        <v>70</v>
      </c>
      <c r="P10" s="543">
        <v>70</v>
      </c>
      <c r="Q10" s="543">
        <v>70</v>
      </c>
      <c r="R10" s="639" t="s">
        <v>387</v>
      </c>
    </row>
    <row r="11" spans="1:18" ht="26.4" customHeight="1" x14ac:dyDescent="0.3">
      <c r="A11" s="166" t="s">
        <v>384</v>
      </c>
      <c r="B11" s="543">
        <v>60</v>
      </c>
      <c r="C11" s="543">
        <v>60</v>
      </c>
      <c r="D11" s="543">
        <v>60</v>
      </c>
      <c r="E11" s="543">
        <v>60</v>
      </c>
      <c r="F11" s="543">
        <v>60</v>
      </c>
      <c r="G11" s="543">
        <v>60</v>
      </c>
      <c r="H11" s="543">
        <v>60</v>
      </c>
      <c r="I11" s="543">
        <v>60</v>
      </c>
      <c r="J11" s="543">
        <v>60</v>
      </c>
      <c r="K11" s="543">
        <v>60</v>
      </c>
      <c r="L11" s="543">
        <v>60</v>
      </c>
      <c r="M11" s="543">
        <v>60</v>
      </c>
      <c r="N11" s="543">
        <v>60</v>
      </c>
      <c r="O11" s="543">
        <v>60</v>
      </c>
      <c r="P11" s="543">
        <v>60</v>
      </c>
      <c r="Q11" s="543">
        <v>60</v>
      </c>
      <c r="R11" s="639"/>
    </row>
    <row r="12" spans="1:18" ht="22.95" customHeight="1" x14ac:dyDescent="0.3">
      <c r="A12" s="166" t="s">
        <v>385</v>
      </c>
      <c r="B12" s="543">
        <v>75</v>
      </c>
      <c r="C12" s="543">
        <v>75</v>
      </c>
      <c r="D12" s="543">
        <v>75</v>
      </c>
      <c r="E12" s="543">
        <v>75</v>
      </c>
      <c r="F12" s="543">
        <v>75</v>
      </c>
      <c r="G12" s="543">
        <v>75</v>
      </c>
      <c r="H12" s="543">
        <v>75</v>
      </c>
      <c r="I12" s="543">
        <v>75</v>
      </c>
      <c r="J12" s="543">
        <v>75</v>
      </c>
      <c r="K12" s="543">
        <v>75</v>
      </c>
      <c r="L12" s="543">
        <v>75</v>
      </c>
      <c r="M12" s="543">
        <v>75</v>
      </c>
      <c r="N12" s="543">
        <v>75</v>
      </c>
      <c r="O12" s="543">
        <v>75</v>
      </c>
      <c r="P12" s="543">
        <v>75</v>
      </c>
      <c r="Q12" s="543">
        <v>75</v>
      </c>
      <c r="R12" s="639"/>
    </row>
    <row r="13" spans="1:18" ht="22.95" customHeight="1" x14ac:dyDescent="0.3">
      <c r="A13" s="491" t="s">
        <v>386</v>
      </c>
      <c r="B13" s="260">
        <v>85</v>
      </c>
      <c r="C13" s="260">
        <v>85</v>
      </c>
      <c r="D13" s="260">
        <v>85</v>
      </c>
      <c r="E13" s="260">
        <v>85</v>
      </c>
      <c r="F13" s="260">
        <v>85</v>
      </c>
      <c r="G13" s="260">
        <v>85</v>
      </c>
      <c r="H13" s="260">
        <v>85</v>
      </c>
      <c r="I13" s="260">
        <v>85</v>
      </c>
      <c r="J13" s="260">
        <v>85</v>
      </c>
      <c r="K13" s="260">
        <v>85</v>
      </c>
      <c r="L13" s="260">
        <v>85</v>
      </c>
      <c r="M13" s="260">
        <v>85</v>
      </c>
      <c r="N13" s="260">
        <v>85</v>
      </c>
      <c r="O13" s="260">
        <v>85</v>
      </c>
      <c r="P13" s="260">
        <v>85</v>
      </c>
      <c r="Q13" s="260">
        <v>85</v>
      </c>
      <c r="R13" s="639"/>
    </row>
    <row r="14" spans="1:18" s="490" customFormat="1" ht="22.5" customHeight="1" x14ac:dyDescent="0.3">
      <c r="A14" s="638" t="str">
        <f>"Thermostat Setpoints - "&amp;Prototype!A2&amp;": ResidentialCommon"</f>
        <v>Thermostat Setpoints - ApartmentMidRise : ResidentialCommon</v>
      </c>
      <c r="B14" s="638"/>
      <c r="C14" s="638"/>
      <c r="D14" s="638"/>
      <c r="E14" s="638"/>
      <c r="F14" s="638"/>
      <c r="G14" s="638"/>
      <c r="H14" s="638"/>
      <c r="I14" s="638"/>
      <c r="J14" s="638"/>
      <c r="K14" s="638"/>
      <c r="L14" s="638"/>
      <c r="M14" s="638"/>
      <c r="N14" s="638"/>
      <c r="O14" s="638"/>
      <c r="P14" s="638"/>
      <c r="Q14" s="638"/>
      <c r="R14" s="638"/>
    </row>
    <row r="15" spans="1:18" x14ac:dyDescent="0.3">
      <c r="A15" s="492" t="s">
        <v>382</v>
      </c>
      <c r="B15" s="492">
        <v>68</v>
      </c>
      <c r="C15" s="492">
        <v>68</v>
      </c>
      <c r="D15" s="492">
        <v>68</v>
      </c>
      <c r="E15" s="492">
        <v>68</v>
      </c>
      <c r="F15" s="492">
        <v>68</v>
      </c>
      <c r="G15" s="492">
        <v>68</v>
      </c>
      <c r="H15" s="492">
        <v>68</v>
      </c>
      <c r="I15" s="492">
        <v>68</v>
      </c>
      <c r="J15" s="492">
        <v>68</v>
      </c>
      <c r="K15" s="492">
        <v>68</v>
      </c>
      <c r="L15" s="492">
        <v>68</v>
      </c>
      <c r="M15" s="492">
        <v>68</v>
      </c>
      <c r="N15" s="492">
        <v>68</v>
      </c>
      <c r="O15" s="492">
        <v>68</v>
      </c>
      <c r="P15" s="492">
        <v>68</v>
      </c>
      <c r="Q15" s="492">
        <v>68</v>
      </c>
      <c r="R15" s="640" t="s">
        <v>388</v>
      </c>
    </row>
    <row r="16" spans="1:18" x14ac:dyDescent="0.3">
      <c r="A16" s="312" t="s">
        <v>384</v>
      </c>
      <c r="B16" s="312">
        <v>68</v>
      </c>
      <c r="C16" s="312">
        <v>68</v>
      </c>
      <c r="D16" s="312">
        <v>68</v>
      </c>
      <c r="E16" s="312">
        <v>68</v>
      </c>
      <c r="F16" s="312">
        <v>68</v>
      </c>
      <c r="G16" s="312">
        <v>68</v>
      </c>
      <c r="H16" s="312">
        <v>68</v>
      </c>
      <c r="I16" s="312">
        <v>68</v>
      </c>
      <c r="J16" s="312">
        <v>68</v>
      </c>
      <c r="K16" s="312">
        <v>68</v>
      </c>
      <c r="L16" s="312">
        <v>68</v>
      </c>
      <c r="M16" s="312">
        <v>68</v>
      </c>
      <c r="N16" s="312">
        <v>68</v>
      </c>
      <c r="O16" s="312">
        <v>68</v>
      </c>
      <c r="P16" s="312">
        <v>68</v>
      </c>
      <c r="Q16" s="312">
        <v>68</v>
      </c>
      <c r="R16" s="640"/>
    </row>
    <row r="17" spans="1:18" x14ac:dyDescent="0.3">
      <c r="A17" s="312" t="s">
        <v>385</v>
      </c>
      <c r="B17" s="312">
        <v>78</v>
      </c>
      <c r="C17" s="312">
        <v>78</v>
      </c>
      <c r="D17" s="312">
        <v>78</v>
      </c>
      <c r="E17" s="312">
        <v>78</v>
      </c>
      <c r="F17" s="312">
        <v>78</v>
      </c>
      <c r="G17" s="312">
        <v>78</v>
      </c>
      <c r="H17" s="312">
        <v>78</v>
      </c>
      <c r="I17" s="312">
        <v>78</v>
      </c>
      <c r="J17" s="312">
        <v>78</v>
      </c>
      <c r="K17" s="312">
        <v>78</v>
      </c>
      <c r="L17" s="312">
        <v>78</v>
      </c>
      <c r="M17" s="312">
        <v>78</v>
      </c>
      <c r="N17" s="312">
        <v>78</v>
      </c>
      <c r="O17" s="312">
        <v>78</v>
      </c>
      <c r="P17" s="312">
        <v>78</v>
      </c>
      <c r="Q17" s="312">
        <v>78</v>
      </c>
      <c r="R17" s="640"/>
    </row>
    <row r="18" spans="1:18" x14ac:dyDescent="0.3">
      <c r="A18" s="312" t="s">
        <v>386</v>
      </c>
      <c r="B18" s="312">
        <v>78</v>
      </c>
      <c r="C18" s="312">
        <v>78</v>
      </c>
      <c r="D18" s="312">
        <v>78</v>
      </c>
      <c r="E18" s="312">
        <v>78</v>
      </c>
      <c r="F18" s="312">
        <v>78</v>
      </c>
      <c r="G18" s="312">
        <v>78</v>
      </c>
      <c r="H18" s="312">
        <v>78</v>
      </c>
      <c r="I18" s="312">
        <v>78</v>
      </c>
      <c r="J18" s="312">
        <v>78</v>
      </c>
      <c r="K18" s="312">
        <v>78</v>
      </c>
      <c r="L18" s="312">
        <v>78</v>
      </c>
      <c r="M18" s="312">
        <v>78</v>
      </c>
      <c r="N18" s="312">
        <v>78</v>
      </c>
      <c r="O18" s="312">
        <v>78</v>
      </c>
      <c r="P18" s="312">
        <v>78</v>
      </c>
      <c r="Q18" s="312">
        <v>78</v>
      </c>
      <c r="R18" s="640"/>
    </row>
    <row r="19" spans="1:18" ht="15.6" x14ac:dyDescent="0.3">
      <c r="A19" s="638" t="s">
        <v>389</v>
      </c>
      <c r="B19" s="638"/>
      <c r="C19" s="638"/>
      <c r="D19" s="638"/>
      <c r="E19" s="638"/>
      <c r="F19" s="638"/>
      <c r="G19" s="638"/>
      <c r="H19" s="638"/>
      <c r="I19" s="638"/>
      <c r="J19" s="638"/>
      <c r="K19" s="638"/>
      <c r="L19" s="638"/>
      <c r="M19" s="638"/>
      <c r="N19" s="638"/>
      <c r="O19" s="638"/>
      <c r="P19" s="638"/>
      <c r="Q19" s="638"/>
      <c r="R19" s="638"/>
    </row>
    <row r="20" spans="1:18" x14ac:dyDescent="0.3">
      <c r="A20" s="312" t="s">
        <v>382</v>
      </c>
      <c r="B20" s="312">
        <v>60</v>
      </c>
      <c r="C20" s="312">
        <v>60</v>
      </c>
      <c r="D20" s="312">
        <v>60</v>
      </c>
      <c r="E20" s="312">
        <v>60</v>
      </c>
      <c r="F20" s="312">
        <v>60</v>
      </c>
      <c r="G20" s="312">
        <v>60</v>
      </c>
      <c r="H20" s="312">
        <v>60</v>
      </c>
      <c r="I20" s="312">
        <v>60</v>
      </c>
      <c r="J20" s="312">
        <v>60</v>
      </c>
      <c r="K20" s="312">
        <v>60</v>
      </c>
      <c r="L20" s="312">
        <v>60</v>
      </c>
      <c r="M20" s="312">
        <v>60</v>
      </c>
      <c r="N20" s="312">
        <v>60</v>
      </c>
      <c r="O20" s="312">
        <v>60</v>
      </c>
      <c r="P20" s="312">
        <v>60</v>
      </c>
      <c r="Q20" s="312">
        <v>60</v>
      </c>
      <c r="R20" s="640"/>
    </row>
    <row r="21" spans="1:18" x14ac:dyDescent="0.3">
      <c r="A21" s="312" t="s">
        <v>384</v>
      </c>
      <c r="B21" s="312">
        <v>60</v>
      </c>
      <c r="C21" s="312">
        <v>60</v>
      </c>
      <c r="D21" s="312">
        <v>60</v>
      </c>
      <c r="E21" s="312">
        <v>60</v>
      </c>
      <c r="F21" s="312">
        <v>60</v>
      </c>
      <c r="G21" s="312">
        <v>60</v>
      </c>
      <c r="H21" s="312">
        <v>60</v>
      </c>
      <c r="I21" s="312">
        <v>60</v>
      </c>
      <c r="J21" s="312">
        <v>60</v>
      </c>
      <c r="K21" s="312">
        <v>60</v>
      </c>
      <c r="L21" s="312">
        <v>60</v>
      </c>
      <c r="M21" s="312">
        <v>60</v>
      </c>
      <c r="N21" s="312">
        <v>60</v>
      </c>
      <c r="O21" s="312">
        <v>60</v>
      </c>
      <c r="P21" s="312">
        <v>60</v>
      </c>
      <c r="Q21" s="312">
        <v>60</v>
      </c>
      <c r="R21" s="640"/>
    </row>
    <row r="22" spans="1:18" x14ac:dyDescent="0.3">
      <c r="A22" s="312" t="s">
        <v>385</v>
      </c>
      <c r="B22" s="312">
        <v>85</v>
      </c>
      <c r="C22" s="312">
        <v>85</v>
      </c>
      <c r="D22" s="312">
        <v>85</v>
      </c>
      <c r="E22" s="312">
        <v>85</v>
      </c>
      <c r="F22" s="312">
        <v>85</v>
      </c>
      <c r="G22" s="312">
        <v>85</v>
      </c>
      <c r="H22" s="312">
        <v>85</v>
      </c>
      <c r="I22" s="312">
        <v>85</v>
      </c>
      <c r="J22" s="312">
        <v>85</v>
      </c>
      <c r="K22" s="312">
        <v>85</v>
      </c>
      <c r="L22" s="312">
        <v>85</v>
      </c>
      <c r="M22" s="312">
        <v>85</v>
      </c>
      <c r="N22" s="312">
        <v>85</v>
      </c>
      <c r="O22" s="312">
        <v>85</v>
      </c>
      <c r="P22" s="312">
        <v>85</v>
      </c>
      <c r="Q22" s="312">
        <v>85</v>
      </c>
      <c r="R22" s="640"/>
    </row>
    <row r="23" spans="1:18" x14ac:dyDescent="0.3">
      <c r="A23" s="312" t="s">
        <v>386</v>
      </c>
      <c r="B23" s="312">
        <v>85</v>
      </c>
      <c r="C23" s="312">
        <v>85</v>
      </c>
      <c r="D23" s="312">
        <v>85</v>
      </c>
      <c r="E23" s="312">
        <v>85</v>
      </c>
      <c r="F23" s="312">
        <v>85</v>
      </c>
      <c r="G23" s="312">
        <v>85</v>
      </c>
      <c r="H23" s="312">
        <v>85</v>
      </c>
      <c r="I23" s="312">
        <v>85</v>
      </c>
      <c r="J23" s="312">
        <v>85</v>
      </c>
      <c r="K23" s="312">
        <v>85</v>
      </c>
      <c r="L23" s="312">
        <v>85</v>
      </c>
      <c r="M23" s="312">
        <v>85</v>
      </c>
      <c r="N23" s="312">
        <v>85</v>
      </c>
      <c r="O23" s="312">
        <v>85</v>
      </c>
      <c r="P23" s="312">
        <v>85</v>
      </c>
      <c r="Q23" s="312">
        <v>85</v>
      </c>
      <c r="R23" s="640"/>
    </row>
    <row r="24" spans="1:18" x14ac:dyDescent="0.3">
      <c r="A24" s="516"/>
      <c r="B24" s="516"/>
      <c r="C24" s="516"/>
      <c r="D24" s="516"/>
      <c r="E24" s="516"/>
      <c r="F24" s="516"/>
      <c r="G24" s="516"/>
      <c r="H24" s="516"/>
      <c r="I24" s="516"/>
      <c r="J24" s="516"/>
      <c r="K24" s="516"/>
      <c r="L24" s="516"/>
      <c r="M24" s="516"/>
      <c r="N24" s="516"/>
      <c r="O24" s="516"/>
      <c r="P24" s="516"/>
      <c r="Q24" s="516"/>
      <c r="R24" s="489"/>
    </row>
    <row r="26" spans="1:18" x14ac:dyDescent="0.3">
      <c r="A26" s="516" t="s">
        <v>390</v>
      </c>
    </row>
  </sheetData>
  <mergeCells count="10">
    <mergeCell ref="A19:R19"/>
    <mergeCell ref="R20:R23"/>
    <mergeCell ref="R15:R18"/>
    <mergeCell ref="A14:R14"/>
    <mergeCell ref="R12:R13"/>
    <mergeCell ref="A1:R1"/>
    <mergeCell ref="R3:R4"/>
    <mergeCell ref="R5:R6"/>
    <mergeCell ref="A8:R8"/>
    <mergeCell ref="R10:R1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730C9-5C61-418E-9D38-D82374F9BCB6}">
  <sheetPr codeName="Sheet15"/>
  <dimension ref="A1:L98"/>
  <sheetViews>
    <sheetView zoomScale="80" zoomScaleNormal="80" workbookViewId="0">
      <selection sqref="A1:L1"/>
    </sheetView>
  </sheetViews>
  <sheetFormatPr defaultColWidth="9.33203125" defaultRowHeight="13.8" x14ac:dyDescent="0.3"/>
  <cols>
    <col min="1" max="1" width="26.88671875" style="159" customWidth="1"/>
    <col min="2" max="2" width="20.33203125" style="159" customWidth="1"/>
    <col min="3" max="3" width="23.44140625" style="159" customWidth="1"/>
    <col min="4" max="5" width="25.6640625" style="163" customWidth="1"/>
    <col min="6" max="6" width="27.88671875" style="163" customWidth="1"/>
    <col min="7" max="7" width="26.44140625" style="163" bestFit="1" customWidth="1"/>
    <col min="8" max="8" width="17.88671875" style="163" customWidth="1"/>
    <col min="9" max="9" width="17.44140625" style="163" customWidth="1"/>
    <col min="10" max="10" width="15.33203125" style="163" customWidth="1"/>
    <col min="11" max="11" width="12.109375" style="163" customWidth="1"/>
    <col min="12" max="12" width="47.6640625" style="163" bestFit="1" customWidth="1"/>
    <col min="13" max="13" width="13.6640625" style="159" customWidth="1"/>
    <col min="14" max="14" width="11.6640625" style="159" customWidth="1"/>
    <col min="15" max="15" width="13.6640625" style="159" customWidth="1"/>
    <col min="16" max="16" width="12.33203125" style="159" customWidth="1"/>
    <col min="17" max="17" width="13.6640625" style="159" customWidth="1"/>
    <col min="18" max="18" width="12.33203125" style="159" customWidth="1"/>
    <col min="19" max="19" width="13.6640625" style="159" customWidth="1"/>
    <col min="20" max="20" width="11.6640625" style="159" customWidth="1"/>
    <col min="21" max="22" width="10.6640625" style="159" customWidth="1"/>
    <col min="23" max="23" width="9.33203125" style="159"/>
    <col min="24" max="28" width="11.33203125" style="159" customWidth="1"/>
    <col min="29" max="16384" width="9.33203125" style="159"/>
  </cols>
  <sheetData>
    <row r="1" spans="1:12" ht="24.6" customHeight="1" x14ac:dyDescent="0.3">
      <c r="A1" s="641" t="str">
        <f>"Outdoor Airflow Rate - "&amp;Prototype!A2</f>
        <v xml:space="preserve">Outdoor Airflow Rate - ApartmentMidRise </v>
      </c>
      <c r="B1" s="622"/>
      <c r="C1" s="622"/>
      <c r="D1" s="622"/>
      <c r="E1" s="622"/>
      <c r="F1" s="622"/>
      <c r="G1" s="622"/>
      <c r="H1" s="622"/>
      <c r="I1" s="622"/>
      <c r="J1" s="622"/>
      <c r="K1" s="622"/>
      <c r="L1" s="622"/>
    </row>
    <row r="2" spans="1:12" ht="65.25" customHeight="1" x14ac:dyDescent="0.3">
      <c r="A2" s="528" t="s">
        <v>391</v>
      </c>
      <c r="B2" s="528" t="s">
        <v>392</v>
      </c>
      <c r="C2" s="549" t="s">
        <v>393</v>
      </c>
      <c r="D2" s="104" t="s">
        <v>394</v>
      </c>
      <c r="E2" s="104" t="s">
        <v>395</v>
      </c>
      <c r="F2" s="104" t="s">
        <v>396</v>
      </c>
      <c r="G2" s="104" t="s">
        <v>397</v>
      </c>
      <c r="H2" s="104" t="s">
        <v>398</v>
      </c>
      <c r="I2" s="104" t="s">
        <v>399</v>
      </c>
      <c r="J2" s="104" t="s">
        <v>400</v>
      </c>
      <c r="K2" s="105" t="s">
        <v>401</v>
      </c>
      <c r="L2" s="105" t="s">
        <v>402</v>
      </c>
    </row>
    <row r="3" spans="1:12" ht="20.85" customHeight="1" x14ac:dyDescent="0.3">
      <c r="A3" s="178" t="str">
        <f>Zones!B3</f>
        <v>F1 BUSINESS CENTER</v>
      </c>
      <c r="B3" s="18">
        <f>Zones!N3</f>
        <v>24.003866800000004</v>
      </c>
      <c r="C3" s="258">
        <f>Zones!K3</f>
        <v>360.04</v>
      </c>
      <c r="D3" s="534">
        <v>15</v>
      </c>
      <c r="E3" s="534"/>
      <c r="F3" s="534">
        <v>0.15</v>
      </c>
      <c r="G3" s="160"/>
      <c r="H3" s="106">
        <f t="shared" ref="H3:H39" si="0">B3*D3</f>
        <v>360.05800200000004</v>
      </c>
      <c r="I3" s="106">
        <f t="shared" ref="I3:I36" si="1">C3*F3</f>
        <v>54.006</v>
      </c>
      <c r="J3" s="107"/>
      <c r="K3" s="164">
        <f>MAX(H3:J3)</f>
        <v>360.05800200000004</v>
      </c>
      <c r="L3" s="161"/>
    </row>
    <row r="4" spans="1:12" ht="20.85" customHeight="1" x14ac:dyDescent="0.3">
      <c r="A4" s="178" t="str">
        <f>Zones!B4</f>
        <v>F1 CORRIDOR</v>
      </c>
      <c r="B4" s="18">
        <f>Zones!N4</f>
        <v>19.201900000000002</v>
      </c>
      <c r="C4" s="258">
        <f>Zones!K4</f>
        <v>1920.19</v>
      </c>
      <c r="D4" s="534">
        <v>15</v>
      </c>
      <c r="E4" s="534"/>
      <c r="F4" s="534">
        <v>0.15</v>
      </c>
      <c r="G4" s="160"/>
      <c r="H4" s="106">
        <f t="shared" si="0"/>
        <v>288.02850000000001</v>
      </c>
      <c r="I4" s="106">
        <f t="shared" si="1"/>
        <v>288.02850000000001</v>
      </c>
      <c r="J4" s="107"/>
      <c r="K4" s="164">
        <f t="shared" ref="K4:K38" si="2">MAX(H4:J4)</f>
        <v>288.02850000000001</v>
      </c>
      <c r="L4" s="161"/>
    </row>
    <row r="5" spans="1:12" ht="20.85" customHeight="1" x14ac:dyDescent="0.3">
      <c r="A5" s="178" t="str">
        <f>Zones!B5</f>
        <v>F1 FITNESS CENTER</v>
      </c>
      <c r="B5" s="18">
        <f>Zones!N5</f>
        <v>18.001799999999999</v>
      </c>
      <c r="C5" s="258">
        <f>Zones!K5</f>
        <v>900.09</v>
      </c>
      <c r="D5" s="534">
        <v>15</v>
      </c>
      <c r="E5" s="534"/>
      <c r="F5" s="534">
        <v>0.15</v>
      </c>
      <c r="G5" s="160"/>
      <c r="H5" s="106">
        <f t="shared" si="0"/>
        <v>270.02699999999999</v>
      </c>
      <c r="I5" s="106">
        <f t="shared" si="1"/>
        <v>135.01349999999999</v>
      </c>
      <c r="J5" s="107"/>
      <c r="K5" s="164">
        <f t="shared" si="2"/>
        <v>270.02699999999999</v>
      </c>
      <c r="L5" s="161"/>
    </row>
    <row r="6" spans="1:12" ht="20.85" customHeight="1" x14ac:dyDescent="0.3">
      <c r="A6" s="178" t="str">
        <f>Zones!B6</f>
        <v>F1 LEASING OFFICE</v>
      </c>
      <c r="B6" s="18">
        <f>Zones!N6</f>
        <v>3.4502999999999999</v>
      </c>
      <c r="C6" s="258">
        <f>Zones!K6</f>
        <v>345.03</v>
      </c>
      <c r="D6" s="534">
        <v>15</v>
      </c>
      <c r="E6" s="534"/>
      <c r="F6" s="534">
        <v>0.15</v>
      </c>
      <c r="G6" s="160"/>
      <c r="H6" s="106">
        <f t="shared" si="0"/>
        <v>51.7545</v>
      </c>
      <c r="I6" s="106">
        <f t="shared" si="1"/>
        <v>51.754499999999993</v>
      </c>
      <c r="J6" s="107"/>
      <c r="K6" s="164">
        <f t="shared" si="2"/>
        <v>51.7545</v>
      </c>
      <c r="L6" s="161"/>
    </row>
    <row r="7" spans="1:12" ht="20.85" customHeight="1" x14ac:dyDescent="0.3">
      <c r="A7" s="178" t="str">
        <f>Zones!B7</f>
        <v>F1 LOUNGE</v>
      </c>
      <c r="B7" s="18">
        <f>Zones!N7</f>
        <v>70.041669999999996</v>
      </c>
      <c r="C7" s="258">
        <f>Zones!K7</f>
        <v>1050.0999999999999</v>
      </c>
      <c r="D7" s="534">
        <v>15</v>
      </c>
      <c r="E7" s="534"/>
      <c r="F7" s="534">
        <v>0.15</v>
      </c>
      <c r="G7" s="160"/>
      <c r="H7" s="106">
        <f t="shared" si="0"/>
        <v>1050.6250499999999</v>
      </c>
      <c r="I7" s="106">
        <f t="shared" si="1"/>
        <v>157.51499999999999</v>
      </c>
      <c r="J7" s="107"/>
      <c r="K7" s="164">
        <f t="shared" si="2"/>
        <v>1050.6250499999999</v>
      </c>
      <c r="L7" s="161"/>
    </row>
    <row r="8" spans="1:12" ht="20.25" customHeight="1" x14ac:dyDescent="0.3">
      <c r="A8" s="178" t="str">
        <f>Zones!B8</f>
        <v>F1 MECHANICAL ROOM</v>
      </c>
      <c r="B8" s="18">
        <f>Zones!N8</f>
        <v>1.2961200000000002</v>
      </c>
      <c r="C8" s="258">
        <f>Zones!K8</f>
        <v>432.04</v>
      </c>
      <c r="D8" s="534">
        <v>15</v>
      </c>
      <c r="E8" s="534"/>
      <c r="F8" s="534">
        <v>0.15</v>
      </c>
      <c r="G8" s="160"/>
      <c r="H8" s="106">
        <f t="shared" si="0"/>
        <v>19.441800000000001</v>
      </c>
      <c r="I8" s="106">
        <f t="shared" si="1"/>
        <v>64.805999999999997</v>
      </c>
      <c r="J8" s="107"/>
      <c r="K8" s="164">
        <f t="shared" si="2"/>
        <v>64.805999999999997</v>
      </c>
      <c r="L8" s="161"/>
    </row>
    <row r="9" spans="1:12" ht="40.5" customHeight="1" x14ac:dyDescent="0.3">
      <c r="A9" s="178" t="str">
        <f>Zones!B9</f>
        <v>F1 RETAIL N-NW</v>
      </c>
      <c r="B9" s="18">
        <f>Zones!N9</f>
        <v>99.75966666666686</v>
      </c>
      <c r="C9" s="258">
        <f>Zones!K9</f>
        <v>5985.58</v>
      </c>
      <c r="D9" s="534">
        <v>15</v>
      </c>
      <c r="E9" s="534"/>
      <c r="F9" s="533">
        <v>0.2</v>
      </c>
      <c r="G9" s="160"/>
      <c r="H9" s="106">
        <f t="shared" si="0"/>
        <v>1496.3950000000029</v>
      </c>
      <c r="I9" s="106">
        <f t="shared" si="1"/>
        <v>1197.116</v>
      </c>
      <c r="J9" s="107"/>
      <c r="K9" s="164">
        <f t="shared" si="2"/>
        <v>1496.3950000000029</v>
      </c>
      <c r="L9" s="297" t="s">
        <v>403</v>
      </c>
    </row>
    <row r="10" spans="1:12" ht="20.85" customHeight="1" x14ac:dyDescent="0.3">
      <c r="A10" s="178" t="str">
        <f>Zones!B10</f>
        <v>F1 RETAIL NE</v>
      </c>
      <c r="B10" s="18">
        <f>Zones!N10</f>
        <v>72.007000000000147</v>
      </c>
      <c r="C10" s="258">
        <f>Zones!K10</f>
        <v>4320.42</v>
      </c>
      <c r="D10" s="534">
        <v>15</v>
      </c>
      <c r="E10" s="534"/>
      <c r="F10" s="533">
        <v>0.2</v>
      </c>
      <c r="G10" s="160"/>
      <c r="H10" s="106">
        <f t="shared" si="0"/>
        <v>1080.1050000000023</v>
      </c>
      <c r="I10" s="106">
        <f t="shared" si="1"/>
        <v>864.08400000000006</v>
      </c>
      <c r="J10" s="107"/>
      <c r="K10" s="164">
        <f t="shared" si="2"/>
        <v>1080.1050000000023</v>
      </c>
      <c r="L10" s="161"/>
    </row>
    <row r="11" spans="1:12" ht="20.85" customHeight="1" x14ac:dyDescent="0.3">
      <c r="A11" s="178" t="str">
        <f>Zones!B11</f>
        <v>F1 RETAIL SE</v>
      </c>
      <c r="B11" s="18">
        <f>Zones!N11</f>
        <v>48.004666666666765</v>
      </c>
      <c r="C11" s="258">
        <f>Zones!K11</f>
        <v>2880.28</v>
      </c>
      <c r="D11" s="534">
        <v>15</v>
      </c>
      <c r="E11" s="534"/>
      <c r="F11" s="533">
        <v>0.2</v>
      </c>
      <c r="G11" s="160"/>
      <c r="H11" s="106">
        <f t="shared" si="0"/>
        <v>720.07000000000153</v>
      </c>
      <c r="I11" s="106">
        <f t="shared" si="1"/>
        <v>576.05600000000004</v>
      </c>
      <c r="J11" s="107"/>
      <c r="K11" s="164">
        <f t="shared" si="2"/>
        <v>720.07000000000153</v>
      </c>
      <c r="L11" s="161"/>
    </row>
    <row r="12" spans="1:12" ht="20.85" customHeight="1" x14ac:dyDescent="0.3">
      <c r="A12" s="178" t="str">
        <f>Zones!B12</f>
        <v>F1 RETAIL SW</v>
      </c>
      <c r="B12" s="18">
        <f>Zones!N12</f>
        <v>73.807166666666816</v>
      </c>
      <c r="C12" s="258">
        <f>Zones!K12</f>
        <v>4428.43</v>
      </c>
      <c r="D12" s="534">
        <v>15</v>
      </c>
      <c r="E12" s="534"/>
      <c r="F12" s="533">
        <v>0.2</v>
      </c>
      <c r="G12" s="160"/>
      <c r="H12" s="106">
        <f t="shared" si="0"/>
        <v>1107.1075000000023</v>
      </c>
      <c r="I12" s="106">
        <f t="shared" si="1"/>
        <v>885.68600000000015</v>
      </c>
      <c r="J12" s="107"/>
      <c r="K12" s="164">
        <f t="shared" si="2"/>
        <v>1107.1075000000023</v>
      </c>
      <c r="L12" s="161"/>
    </row>
    <row r="13" spans="1:12" ht="61.2" customHeight="1" x14ac:dyDescent="0.3">
      <c r="A13" s="178" t="str">
        <f>Zones!B13</f>
        <v>F2-4 1-BED CORE EAST</v>
      </c>
      <c r="B13" s="18">
        <f>Zones!N13</f>
        <v>12</v>
      </c>
      <c r="C13" s="258">
        <f>Zones!K13</f>
        <v>1440.14</v>
      </c>
      <c r="D13" s="534" t="s">
        <v>87</v>
      </c>
      <c r="E13" s="298">
        <f>0.03*C13*Zones!M13+7.5*Zones!F13*(1+IF(ISNUMBER(SEARCH("Studio",Zones!G13)),0,IF(ISNUMBER(SEARCH("3-Bed",Zones!G13)),3,IF(ISNUMBER(SEARCH("2-Bed",Zones!G13)),2,1))))</f>
        <v>219.61259999999999</v>
      </c>
      <c r="G13" s="160"/>
      <c r="H13" s="106"/>
      <c r="I13" s="106">
        <f>E13</f>
        <v>219.61259999999999</v>
      </c>
      <c r="J13" s="107">
        <f>I13</f>
        <v>219.61259999999999</v>
      </c>
      <c r="K13" s="164">
        <f t="shared" si="2"/>
        <v>219.61259999999999</v>
      </c>
      <c r="L13" s="296" t="s">
        <v>404</v>
      </c>
    </row>
    <row r="14" spans="1:12" ht="20.85" customHeight="1" x14ac:dyDescent="0.3">
      <c r="A14" s="178" t="str">
        <f>Zones!B14</f>
        <v>F2-4 1-BED CORE N</v>
      </c>
      <c r="B14" s="18">
        <f>Zones!N14</f>
        <v>6</v>
      </c>
      <c r="C14" s="258">
        <f>Zones!K14</f>
        <v>720.07</v>
      </c>
      <c r="D14" s="534" t="s">
        <v>87</v>
      </c>
      <c r="E14" s="298">
        <f>0.03*C14*Zones!M14+7.5*Zones!F14*(1+IF(ISNUMBER(SEARCH("Studio",Zones!G14)),0,IF(ISNUMBER(SEARCH("3-Bed",Zones!G14)),3,IF(ISNUMBER(SEARCH("2-Bed",Zones!G14)),2,1))))</f>
        <v>109.80629999999999</v>
      </c>
      <c r="F14" s="534"/>
      <c r="G14" s="162"/>
      <c r="H14" s="106"/>
      <c r="I14" s="106">
        <f>E14</f>
        <v>109.80629999999999</v>
      </c>
      <c r="J14" s="107">
        <f t="shared" ref="J14:J21" si="3">I14</f>
        <v>109.80629999999999</v>
      </c>
      <c r="K14" s="164">
        <f t="shared" si="2"/>
        <v>109.80629999999999</v>
      </c>
      <c r="L14" s="108" t="s">
        <v>405</v>
      </c>
    </row>
    <row r="15" spans="1:12" ht="20.85" customHeight="1" x14ac:dyDescent="0.3">
      <c r="A15" s="178" t="str">
        <f>Zones!B15</f>
        <v>F2-4 1-BED CORE WEST</v>
      </c>
      <c r="B15" s="18">
        <f>Zones!N15</f>
        <v>12</v>
      </c>
      <c r="C15" s="258">
        <f>Zones!K15</f>
        <v>1440.14</v>
      </c>
      <c r="D15" s="534" t="s">
        <v>87</v>
      </c>
      <c r="E15" s="298">
        <f>0.03*C15*Zones!M15+7.5*Zones!F15*(1+IF(ISNUMBER(SEARCH("Studio",Zones!G15)),0,IF(ISNUMBER(SEARCH("3-Bed",Zones!G15)),3,IF(ISNUMBER(SEARCH("2-Bed",Zones!G15)),2,1))))</f>
        <v>219.61259999999999</v>
      </c>
      <c r="F15" s="534"/>
      <c r="G15" s="162"/>
      <c r="H15" s="106"/>
      <c r="I15" s="106">
        <f t="shared" ref="I15:I21" si="4">E15</f>
        <v>219.61259999999999</v>
      </c>
      <c r="J15" s="107">
        <f t="shared" si="3"/>
        <v>219.61259999999999</v>
      </c>
      <c r="K15" s="164">
        <f t="shared" si="2"/>
        <v>219.61259999999999</v>
      </c>
      <c r="L15" s="108" t="s">
        <v>405</v>
      </c>
    </row>
    <row r="16" spans="1:12" ht="20.85" customHeight="1" x14ac:dyDescent="0.3">
      <c r="A16" s="178" t="str">
        <f>Zones!B16</f>
        <v>F2-4 1-BED NORTH</v>
      </c>
      <c r="B16" s="18">
        <f>Zones!N16</f>
        <v>30</v>
      </c>
      <c r="C16" s="258">
        <f>Zones!K16</f>
        <v>3720.36</v>
      </c>
      <c r="D16" s="534" t="s">
        <v>87</v>
      </c>
      <c r="E16" s="298">
        <f>0.03*C16*Zones!M16+7.5*Zones!F16*(1+IF(ISNUMBER(SEARCH("Studio",Zones!G16)),0,IF(ISNUMBER(SEARCH("3-Bed",Zones!G16)),3,IF(ISNUMBER(SEARCH("2-Bed",Zones!G16)),2,1))))</f>
        <v>559.83240000000001</v>
      </c>
      <c r="F16" s="534"/>
      <c r="G16" s="108"/>
      <c r="H16" s="106"/>
      <c r="I16" s="106">
        <f t="shared" si="4"/>
        <v>559.83240000000001</v>
      </c>
      <c r="J16" s="107">
        <f t="shared" si="3"/>
        <v>559.83240000000001</v>
      </c>
      <c r="K16" s="164">
        <f t="shared" si="2"/>
        <v>559.83240000000001</v>
      </c>
      <c r="L16" s="108" t="s">
        <v>405</v>
      </c>
    </row>
    <row r="17" spans="1:12" ht="20.85" customHeight="1" x14ac:dyDescent="0.3">
      <c r="A17" s="178" t="str">
        <f>Zones!B17</f>
        <v>F2-4 2-BED CORE NE-NW</v>
      </c>
      <c r="B17" s="18">
        <f>Zones!N17</f>
        <v>18</v>
      </c>
      <c r="C17" s="258">
        <f>Zones!K17</f>
        <v>2160.21</v>
      </c>
      <c r="D17" s="534" t="s">
        <v>87</v>
      </c>
      <c r="E17" s="298">
        <f>0.03*C17*Zones!M17+7.5*Zones!F17*(1+IF(ISNUMBER(SEARCH("Studio",Zones!G17)),0,IF(ISNUMBER(SEARCH("3-Bed",Zones!G17)),3,IF(ISNUMBER(SEARCH("2-Bed",Zones!G17)),2,1))))</f>
        <v>329.41890000000001</v>
      </c>
      <c r="F17" s="534"/>
      <c r="G17" s="108"/>
      <c r="H17" s="106"/>
      <c r="I17" s="106">
        <f t="shared" si="4"/>
        <v>329.41890000000001</v>
      </c>
      <c r="J17" s="107">
        <f t="shared" si="3"/>
        <v>329.41890000000001</v>
      </c>
      <c r="K17" s="164">
        <f t="shared" si="2"/>
        <v>329.41890000000001</v>
      </c>
      <c r="L17" s="108" t="s">
        <v>405</v>
      </c>
    </row>
    <row r="18" spans="1:12" ht="20.85" customHeight="1" x14ac:dyDescent="0.3">
      <c r="A18" s="178" t="str">
        <f>Zones!B18</f>
        <v>F2-4 2-BED EAST</v>
      </c>
      <c r="B18" s="18">
        <f>Zones!N18</f>
        <v>27</v>
      </c>
      <c r="C18" s="258">
        <f>Zones!K18</f>
        <v>3240.32</v>
      </c>
      <c r="D18" s="534" t="s">
        <v>87</v>
      </c>
      <c r="E18" s="298">
        <f>0.03*C18*Zones!M18+7.5*Zones!F18*(1+IF(ISNUMBER(SEARCH("Studio",Zones!G18)),0,IF(ISNUMBER(SEARCH("3-Bed",Zones!G18)),3,IF(ISNUMBER(SEARCH("2-Bed",Zones!G18)),2,1))))</f>
        <v>494.12879999999996</v>
      </c>
      <c r="F18" s="534"/>
      <c r="G18" s="108"/>
      <c r="H18" s="106"/>
      <c r="I18" s="106">
        <f t="shared" si="4"/>
        <v>494.12879999999996</v>
      </c>
      <c r="J18" s="107">
        <f t="shared" si="3"/>
        <v>494.12879999999996</v>
      </c>
      <c r="K18" s="164">
        <f t="shared" si="2"/>
        <v>494.12879999999996</v>
      </c>
      <c r="L18" s="108" t="s">
        <v>405</v>
      </c>
    </row>
    <row r="19" spans="1:12" ht="20.85" customHeight="1" x14ac:dyDescent="0.3">
      <c r="A19" s="178" t="str">
        <f>Zones!B19</f>
        <v>F2-4 2-BED WEST</v>
      </c>
      <c r="B19" s="18">
        <f>Zones!N19</f>
        <v>27</v>
      </c>
      <c r="C19" s="258">
        <f>Zones!K19</f>
        <v>3240.32</v>
      </c>
      <c r="D19" s="534" t="s">
        <v>87</v>
      </c>
      <c r="E19" s="298">
        <f>0.03*C19*Zones!M19+7.5*Zones!F19*(1+IF(ISNUMBER(SEARCH("Studio",Zones!G19)),0,IF(ISNUMBER(SEARCH("3-Bed",Zones!G19)),3,IF(ISNUMBER(SEARCH("2-Bed",Zones!G19)),2,1))))</f>
        <v>494.12879999999996</v>
      </c>
      <c r="F19" s="534"/>
      <c r="G19" s="108"/>
      <c r="H19" s="106"/>
      <c r="I19" s="106">
        <f t="shared" si="4"/>
        <v>494.12879999999996</v>
      </c>
      <c r="J19" s="107">
        <f t="shared" si="3"/>
        <v>494.12879999999996</v>
      </c>
      <c r="K19" s="164">
        <f t="shared" si="2"/>
        <v>494.12879999999996</v>
      </c>
      <c r="L19" s="108" t="s">
        <v>405</v>
      </c>
    </row>
    <row r="20" spans="1:12" ht="20.85" customHeight="1" x14ac:dyDescent="0.3">
      <c r="A20" s="178" t="str">
        <f>Zones!B20</f>
        <v>F2-4 3-BED NE</v>
      </c>
      <c r="B20" s="18">
        <f>Zones!N20</f>
        <v>12</v>
      </c>
      <c r="C20" s="258">
        <f>Zones!K20</f>
        <v>1410.14</v>
      </c>
      <c r="D20" s="534" t="s">
        <v>87</v>
      </c>
      <c r="E20" s="298">
        <f>0.03*C20*Zones!M20+7.5*Zones!F20*(1+IF(ISNUMBER(SEARCH("Studio",Zones!G20)),0,IF(ISNUMBER(SEARCH("3-Bed",Zones!G20)),3,IF(ISNUMBER(SEARCH("2-Bed",Zones!G20)),2,1))))</f>
        <v>216.9126</v>
      </c>
      <c r="F20" s="534"/>
      <c r="G20" s="108"/>
      <c r="H20" s="106"/>
      <c r="I20" s="106">
        <f t="shared" si="4"/>
        <v>216.9126</v>
      </c>
      <c r="J20" s="107">
        <f t="shared" si="3"/>
        <v>216.9126</v>
      </c>
      <c r="K20" s="164">
        <f t="shared" si="2"/>
        <v>216.9126</v>
      </c>
      <c r="L20" s="108" t="s">
        <v>405</v>
      </c>
    </row>
    <row r="21" spans="1:12" ht="20.85" customHeight="1" x14ac:dyDescent="0.3">
      <c r="A21" s="178" t="str">
        <f>Zones!B21</f>
        <v>F2-4 3-BED NW</v>
      </c>
      <c r="B21" s="18">
        <f>Zones!N21</f>
        <v>12</v>
      </c>
      <c r="C21" s="258">
        <f>Zones!K21</f>
        <v>1410.14</v>
      </c>
      <c r="D21" s="534" t="s">
        <v>87</v>
      </c>
      <c r="E21" s="298">
        <f>0.03*C21*Zones!M21+7.5*Zones!F21*(1+IF(ISNUMBER(SEARCH("Studio",Zones!G21)),0,IF(ISNUMBER(SEARCH("3-Bed",Zones!G21)),3,IF(ISNUMBER(SEARCH("2-Bed",Zones!G21)),2,1))))</f>
        <v>216.9126</v>
      </c>
      <c r="F21" s="534"/>
      <c r="G21" s="108"/>
      <c r="H21" s="106"/>
      <c r="I21" s="106">
        <f t="shared" si="4"/>
        <v>216.9126</v>
      </c>
      <c r="J21" s="107">
        <f t="shared" si="3"/>
        <v>216.9126</v>
      </c>
      <c r="K21" s="164">
        <f t="shared" si="2"/>
        <v>216.9126</v>
      </c>
      <c r="L21" s="108" t="s">
        <v>405</v>
      </c>
    </row>
    <row r="22" spans="1:12" ht="20.85" customHeight="1" x14ac:dyDescent="0.3">
      <c r="A22" s="178" t="str">
        <f>Zones!B22</f>
        <v>F2-4 CORRIDOR</v>
      </c>
      <c r="B22" s="18">
        <f>Zones!N22</f>
        <v>77.407499999999999</v>
      </c>
      <c r="C22" s="258">
        <f>Zones!K22</f>
        <v>2580.25</v>
      </c>
      <c r="D22" s="534">
        <v>15</v>
      </c>
      <c r="E22" s="534"/>
      <c r="F22" s="534">
        <v>0.15</v>
      </c>
      <c r="G22" s="108"/>
      <c r="H22" s="106">
        <f t="shared" si="0"/>
        <v>1161.1125</v>
      </c>
      <c r="I22" s="106">
        <f t="shared" si="1"/>
        <v>387.03749999999997</v>
      </c>
      <c r="J22" s="107"/>
      <c r="K22" s="164">
        <f t="shared" si="2"/>
        <v>1161.1125</v>
      </c>
      <c r="L22" s="108"/>
    </row>
    <row r="23" spans="1:12" ht="20.85" customHeight="1" x14ac:dyDescent="0.3">
      <c r="A23" s="178" t="str">
        <f>Zones!B23</f>
        <v>F2-4 LAUNDRY</v>
      </c>
      <c r="B23" s="18">
        <f>Zones!N23</f>
        <v>5.4006000000000007</v>
      </c>
      <c r="C23" s="258">
        <f>Zones!K23</f>
        <v>180.02</v>
      </c>
      <c r="D23" s="534">
        <v>15</v>
      </c>
      <c r="E23" s="534"/>
      <c r="F23" s="534">
        <v>0.15</v>
      </c>
      <c r="G23" s="108"/>
      <c r="H23" s="106">
        <f t="shared" si="0"/>
        <v>81.009000000000015</v>
      </c>
      <c r="I23" s="106">
        <f t="shared" si="1"/>
        <v>27.003</v>
      </c>
      <c r="J23" s="107"/>
      <c r="K23" s="164">
        <f t="shared" si="2"/>
        <v>81.009000000000015</v>
      </c>
      <c r="L23" s="108"/>
    </row>
    <row r="24" spans="1:12" ht="20.85" customHeight="1" x14ac:dyDescent="0.3">
      <c r="A24" s="178" t="str">
        <f>Zones!B24</f>
        <v>F2-4 STUDIO SE</v>
      </c>
      <c r="B24" s="18">
        <f>Zones!N24</f>
        <v>6</v>
      </c>
      <c r="C24" s="258">
        <f>Zones!K24</f>
        <v>540.04999999999995</v>
      </c>
      <c r="D24" s="534" t="s">
        <v>87</v>
      </c>
      <c r="E24" s="298">
        <f>0.03*C24*Zones!M24+7.5*Zones!F24*(1+IF(ISNUMBER(SEARCH("Studio",Zones!G24)),0,IF(ISNUMBER(SEARCH("3-Bed",Zones!G24)),3,IF(ISNUMBER(SEARCH("2-Bed",Zones!G24)),2,1))))</f>
        <v>71.104500000000002</v>
      </c>
      <c r="F24" s="534"/>
      <c r="G24" s="108"/>
      <c r="H24" s="106"/>
      <c r="I24" s="106">
        <f t="shared" ref="I24:I34" si="5">E24</f>
        <v>71.104500000000002</v>
      </c>
      <c r="J24" s="107">
        <f t="shared" ref="J24:J34" si="6">I24</f>
        <v>71.104500000000002</v>
      </c>
      <c r="K24" s="164">
        <f t="shared" si="2"/>
        <v>71.104500000000002</v>
      </c>
      <c r="L24" s="108" t="s">
        <v>405</v>
      </c>
    </row>
    <row r="25" spans="1:12" ht="20.85" customHeight="1" x14ac:dyDescent="0.3">
      <c r="A25" s="178" t="str">
        <f>Zones!B25</f>
        <v>F2-4 STUDIO SW</v>
      </c>
      <c r="B25" s="18">
        <f>Zones!N25</f>
        <v>6</v>
      </c>
      <c r="C25" s="258">
        <f>Zones!K25</f>
        <v>540.04999999999995</v>
      </c>
      <c r="D25" s="534" t="s">
        <v>87</v>
      </c>
      <c r="E25" s="298">
        <f>0.03*C25*Zones!M25+7.5*Zones!F25*(1+IF(ISNUMBER(SEARCH("Studio",Zones!G25)),0,IF(ISNUMBER(SEARCH("3-Bed",Zones!G25)),3,IF(ISNUMBER(SEARCH("2-Bed",Zones!G25)),2,1))))</f>
        <v>71.104500000000002</v>
      </c>
      <c r="F25" s="534"/>
      <c r="G25" s="108"/>
      <c r="H25" s="106"/>
      <c r="I25" s="106">
        <f t="shared" si="5"/>
        <v>71.104500000000002</v>
      </c>
      <c r="J25" s="107">
        <f t="shared" si="6"/>
        <v>71.104500000000002</v>
      </c>
      <c r="K25" s="164">
        <f t="shared" si="2"/>
        <v>71.104500000000002</v>
      </c>
      <c r="L25" s="108" t="s">
        <v>405</v>
      </c>
    </row>
    <row r="26" spans="1:12" ht="20.85" customHeight="1" x14ac:dyDescent="0.3">
      <c r="A26" s="178" t="str">
        <f>Zones!B26</f>
        <v>F5 1-BED CORE EAST</v>
      </c>
      <c r="B26" s="18">
        <f>Zones!N26</f>
        <v>4</v>
      </c>
      <c r="C26" s="258">
        <f>Zones!K26</f>
        <v>1440.14</v>
      </c>
      <c r="D26" s="534" t="s">
        <v>87</v>
      </c>
      <c r="E26" s="298">
        <f>0.03*C26*Zones!M26+7.5*Zones!F26*(1+IF(ISNUMBER(SEARCH("Studio",Zones!G26)),0,IF(ISNUMBER(SEARCH("3-Bed",Zones!G26)),3,IF(ISNUMBER(SEARCH("2-Bed",Zones!G26)),2,1))))</f>
        <v>73.2042</v>
      </c>
      <c r="F26" s="534"/>
      <c r="G26" s="108"/>
      <c r="H26" s="106"/>
      <c r="I26" s="106">
        <f t="shared" si="5"/>
        <v>73.2042</v>
      </c>
      <c r="J26" s="107">
        <f t="shared" si="6"/>
        <v>73.2042</v>
      </c>
      <c r="K26" s="164">
        <f t="shared" si="2"/>
        <v>73.2042</v>
      </c>
      <c r="L26" s="108" t="s">
        <v>405</v>
      </c>
    </row>
    <row r="27" spans="1:12" ht="20.85" customHeight="1" x14ac:dyDescent="0.3">
      <c r="A27" s="178" t="str">
        <f>Zones!B27</f>
        <v>F5 1-BED CORE N</v>
      </c>
      <c r="B27" s="18">
        <f>Zones!N27</f>
        <v>2</v>
      </c>
      <c r="C27" s="258">
        <f>Zones!K27</f>
        <v>720.07</v>
      </c>
      <c r="D27" s="534" t="s">
        <v>87</v>
      </c>
      <c r="E27" s="298">
        <f>0.03*C27*Zones!M27+7.5*Zones!F27*(1+IF(ISNUMBER(SEARCH("Studio",Zones!G27)),0,IF(ISNUMBER(SEARCH("3-Bed",Zones!G27)),3,IF(ISNUMBER(SEARCH("2-Bed",Zones!G27)),2,1))))</f>
        <v>36.6021</v>
      </c>
      <c r="F27" s="534"/>
      <c r="G27" s="108"/>
      <c r="H27" s="106"/>
      <c r="I27" s="106">
        <f t="shared" si="5"/>
        <v>36.6021</v>
      </c>
      <c r="J27" s="107">
        <f t="shared" si="6"/>
        <v>36.6021</v>
      </c>
      <c r="K27" s="164">
        <f t="shared" si="2"/>
        <v>36.6021</v>
      </c>
      <c r="L27" s="108" t="s">
        <v>405</v>
      </c>
    </row>
    <row r="28" spans="1:12" ht="20.85" customHeight="1" x14ac:dyDescent="0.3">
      <c r="A28" s="178" t="str">
        <f>Zones!B28</f>
        <v>F5 1-BED CORE WEST</v>
      </c>
      <c r="B28" s="18">
        <f>Zones!N28</f>
        <v>4</v>
      </c>
      <c r="C28" s="258">
        <f>Zones!K28</f>
        <v>1440.14</v>
      </c>
      <c r="D28" s="534" t="s">
        <v>87</v>
      </c>
      <c r="E28" s="298">
        <f>0.03*C28*Zones!M28+7.5*Zones!F28*(1+IF(ISNUMBER(SEARCH("Studio",Zones!G28)),0,IF(ISNUMBER(SEARCH("3-Bed",Zones!G28)),3,IF(ISNUMBER(SEARCH("2-Bed",Zones!G28)),2,1))))</f>
        <v>73.2042</v>
      </c>
      <c r="F28" s="534"/>
      <c r="G28" s="108"/>
      <c r="H28" s="106"/>
      <c r="I28" s="106">
        <f t="shared" si="5"/>
        <v>73.2042</v>
      </c>
      <c r="J28" s="107">
        <f t="shared" si="6"/>
        <v>73.2042</v>
      </c>
      <c r="K28" s="164">
        <f t="shared" si="2"/>
        <v>73.2042</v>
      </c>
      <c r="L28" s="108" t="s">
        <v>405</v>
      </c>
    </row>
    <row r="29" spans="1:12" ht="20.85" customHeight="1" x14ac:dyDescent="0.3">
      <c r="A29" s="178" t="str">
        <f>Zones!B29</f>
        <v>F5 1-BED NORTH</v>
      </c>
      <c r="B29" s="18">
        <f>Zones!N29</f>
        <v>10</v>
      </c>
      <c r="C29" s="258">
        <f>Zones!K29</f>
        <v>3720.36</v>
      </c>
      <c r="D29" s="534" t="s">
        <v>87</v>
      </c>
      <c r="E29" s="298">
        <f>0.03*C29*Zones!M29+7.5*Zones!F29*(1+IF(ISNUMBER(SEARCH("Studio",Zones!G29)),0,IF(ISNUMBER(SEARCH("3-Bed",Zones!G29)),3,IF(ISNUMBER(SEARCH("2-Bed",Zones!G29)),2,1))))</f>
        <v>186.61079999999998</v>
      </c>
      <c r="F29" s="534"/>
      <c r="G29" s="108"/>
      <c r="H29" s="106"/>
      <c r="I29" s="106">
        <f t="shared" si="5"/>
        <v>186.61079999999998</v>
      </c>
      <c r="J29" s="107">
        <f t="shared" si="6"/>
        <v>186.61079999999998</v>
      </c>
      <c r="K29" s="164">
        <f t="shared" si="2"/>
        <v>186.61079999999998</v>
      </c>
      <c r="L29" s="108" t="s">
        <v>405</v>
      </c>
    </row>
    <row r="30" spans="1:12" ht="20.85" customHeight="1" x14ac:dyDescent="0.3">
      <c r="A30" s="178" t="str">
        <f>Zones!B30</f>
        <v>F5 2-BED CORE NE-NW</v>
      </c>
      <c r="B30" s="18">
        <f>Zones!N30</f>
        <v>6</v>
      </c>
      <c r="C30" s="258">
        <f>Zones!K30</f>
        <v>2160.21</v>
      </c>
      <c r="D30" s="534" t="s">
        <v>87</v>
      </c>
      <c r="E30" s="298">
        <f>0.03*C30*Zones!M30+7.5*Zones!F30*(1+IF(ISNUMBER(SEARCH("Studio",Zones!G30)),0,IF(ISNUMBER(SEARCH("3-Bed",Zones!G30)),3,IF(ISNUMBER(SEARCH("2-Bed",Zones!G30)),2,1))))</f>
        <v>109.80629999999999</v>
      </c>
      <c r="F30" s="534"/>
      <c r="G30" s="108"/>
      <c r="H30" s="106"/>
      <c r="I30" s="106">
        <f t="shared" si="5"/>
        <v>109.80629999999999</v>
      </c>
      <c r="J30" s="107">
        <f t="shared" si="6"/>
        <v>109.80629999999999</v>
      </c>
      <c r="K30" s="164">
        <f t="shared" si="2"/>
        <v>109.80629999999999</v>
      </c>
      <c r="L30" s="108" t="s">
        <v>405</v>
      </c>
    </row>
    <row r="31" spans="1:12" ht="20.85" customHeight="1" x14ac:dyDescent="0.3">
      <c r="A31" s="178" t="str">
        <f>Zones!B31</f>
        <v>F5 2-BED EAST</v>
      </c>
      <c r="B31" s="18">
        <f>Zones!N31</f>
        <v>9</v>
      </c>
      <c r="C31" s="258">
        <f>Zones!K31</f>
        <v>3240.32</v>
      </c>
      <c r="D31" s="534" t="s">
        <v>87</v>
      </c>
      <c r="E31" s="298">
        <f>0.03*C31*Zones!M31+7.5*Zones!F31*(1+IF(ISNUMBER(SEARCH("Studio",Zones!G31)),0,IF(ISNUMBER(SEARCH("3-Bed",Zones!G31)),3,IF(ISNUMBER(SEARCH("2-Bed",Zones!G31)),2,1))))</f>
        <v>164.70959999999999</v>
      </c>
      <c r="F31" s="534"/>
      <c r="G31" s="108"/>
      <c r="H31" s="106"/>
      <c r="I31" s="106">
        <f t="shared" si="5"/>
        <v>164.70959999999999</v>
      </c>
      <c r="J31" s="107">
        <f t="shared" si="6"/>
        <v>164.70959999999999</v>
      </c>
      <c r="K31" s="164">
        <f t="shared" si="2"/>
        <v>164.70959999999999</v>
      </c>
      <c r="L31" s="108" t="s">
        <v>405</v>
      </c>
    </row>
    <row r="32" spans="1:12" ht="20.85" customHeight="1" x14ac:dyDescent="0.3">
      <c r="A32" s="178" t="str">
        <f>Zones!B32</f>
        <v>F5 2-BED WEST</v>
      </c>
      <c r="B32" s="18">
        <f>Zones!N32</f>
        <v>9</v>
      </c>
      <c r="C32" s="258">
        <f>Zones!K32</f>
        <v>3240.32</v>
      </c>
      <c r="D32" s="534" t="s">
        <v>87</v>
      </c>
      <c r="E32" s="298">
        <f>0.03*C32*Zones!M32+7.5*Zones!F32*(1+IF(ISNUMBER(SEARCH("Studio",Zones!G32)),0,IF(ISNUMBER(SEARCH("3-Bed",Zones!G32)),3,IF(ISNUMBER(SEARCH("2-Bed",Zones!G32)),2,1))))</f>
        <v>164.70959999999999</v>
      </c>
      <c r="F32" s="534"/>
      <c r="G32" s="108"/>
      <c r="H32" s="106"/>
      <c r="I32" s="106">
        <f t="shared" si="5"/>
        <v>164.70959999999999</v>
      </c>
      <c r="J32" s="107">
        <f t="shared" si="6"/>
        <v>164.70959999999999</v>
      </c>
      <c r="K32" s="164">
        <f t="shared" si="2"/>
        <v>164.70959999999999</v>
      </c>
      <c r="L32" s="108" t="s">
        <v>405</v>
      </c>
    </row>
    <row r="33" spans="1:12" ht="20.85" customHeight="1" x14ac:dyDescent="0.3">
      <c r="A33" s="178" t="str">
        <f>Zones!B33</f>
        <v>F5 3-BED NE</v>
      </c>
      <c r="B33" s="18">
        <f>Zones!N33</f>
        <v>4</v>
      </c>
      <c r="C33" s="258">
        <f>Zones!K33</f>
        <v>1410.14</v>
      </c>
      <c r="D33" s="534" t="s">
        <v>87</v>
      </c>
      <c r="E33" s="298">
        <f>0.03*C33*Zones!M33+7.5*Zones!F33*(1+IF(ISNUMBER(SEARCH("Studio",Zones!G33)),0,IF(ISNUMBER(SEARCH("3-Bed",Zones!G33)),3,IF(ISNUMBER(SEARCH("2-Bed",Zones!G33)),2,1))))</f>
        <v>72.304200000000009</v>
      </c>
      <c r="F33" s="534"/>
      <c r="G33" s="108"/>
      <c r="H33" s="106"/>
      <c r="I33" s="106">
        <f t="shared" si="5"/>
        <v>72.304200000000009</v>
      </c>
      <c r="J33" s="107">
        <f t="shared" si="6"/>
        <v>72.304200000000009</v>
      </c>
      <c r="K33" s="164">
        <f t="shared" si="2"/>
        <v>72.304200000000009</v>
      </c>
      <c r="L33" s="108" t="s">
        <v>405</v>
      </c>
    </row>
    <row r="34" spans="1:12" ht="20.85" customHeight="1" x14ac:dyDescent="0.3">
      <c r="A34" s="178" t="str">
        <f>Zones!B34</f>
        <v>F5 3-BED NW</v>
      </c>
      <c r="B34" s="18">
        <f>Zones!N34</f>
        <v>4</v>
      </c>
      <c r="C34" s="258">
        <f>Zones!K34</f>
        <v>1410.14</v>
      </c>
      <c r="D34" s="534" t="s">
        <v>87</v>
      </c>
      <c r="E34" s="298">
        <f>0.03*C34*Zones!M34+7.5*Zones!F34*(1+IF(ISNUMBER(SEARCH("Studio",Zones!G34)),0,IF(ISNUMBER(SEARCH("3-Bed",Zones!G34)),3,IF(ISNUMBER(SEARCH("2-Bed",Zones!G34)),2,1))))</f>
        <v>72.304200000000009</v>
      </c>
      <c r="F34" s="534"/>
      <c r="G34" s="108"/>
      <c r="H34" s="106"/>
      <c r="I34" s="106">
        <f t="shared" si="5"/>
        <v>72.304200000000009</v>
      </c>
      <c r="J34" s="107">
        <f t="shared" si="6"/>
        <v>72.304200000000009</v>
      </c>
      <c r="K34" s="164">
        <f t="shared" si="2"/>
        <v>72.304200000000009</v>
      </c>
      <c r="L34" s="108" t="s">
        <v>405</v>
      </c>
    </row>
    <row r="35" spans="1:12" ht="20.85" customHeight="1" x14ac:dyDescent="0.3">
      <c r="A35" s="178" t="str">
        <f>Zones!B35</f>
        <v>F5 CORRIDOR</v>
      </c>
      <c r="B35" s="18">
        <f>Zones!N35</f>
        <v>25.802499999999998</v>
      </c>
      <c r="C35" s="258">
        <f>Zones!K35</f>
        <v>2580.25</v>
      </c>
      <c r="D35" s="534">
        <v>15</v>
      </c>
      <c r="E35" s="534"/>
      <c r="F35" s="534">
        <v>0.15</v>
      </c>
      <c r="G35" s="108"/>
      <c r="H35" s="106">
        <f t="shared" si="0"/>
        <v>387.03749999999997</v>
      </c>
      <c r="I35" s="106">
        <f t="shared" si="1"/>
        <v>387.03749999999997</v>
      </c>
      <c r="J35" s="107"/>
      <c r="K35" s="164">
        <f t="shared" si="2"/>
        <v>387.03749999999997</v>
      </c>
      <c r="L35" s="108"/>
    </row>
    <row r="36" spans="1:12" ht="20.85" customHeight="1" x14ac:dyDescent="0.3">
      <c r="A36" s="178" t="str">
        <f>Zones!B36</f>
        <v>F5 LAUNDRY</v>
      </c>
      <c r="B36" s="18">
        <f>Zones!N36</f>
        <v>1.8002</v>
      </c>
      <c r="C36" s="258">
        <f>Zones!K36</f>
        <v>180.02</v>
      </c>
      <c r="D36" s="534">
        <v>15</v>
      </c>
      <c r="E36" s="534"/>
      <c r="F36" s="534">
        <v>0.15</v>
      </c>
      <c r="G36" s="108"/>
      <c r="H36" s="106">
        <f t="shared" si="0"/>
        <v>27.003</v>
      </c>
      <c r="I36" s="106">
        <f t="shared" si="1"/>
        <v>27.003</v>
      </c>
      <c r="J36" s="107"/>
      <c r="K36" s="164">
        <f t="shared" si="2"/>
        <v>27.003</v>
      </c>
      <c r="L36" s="108"/>
    </row>
    <row r="37" spans="1:12" ht="20.85" customHeight="1" x14ac:dyDescent="0.3">
      <c r="A37" s="178" t="str">
        <f>Zones!B37</f>
        <v>F5 STUDIO SE</v>
      </c>
      <c r="B37" s="18">
        <f>Zones!N37</f>
        <v>2</v>
      </c>
      <c r="C37" s="258">
        <f>Zones!K37</f>
        <v>540.04999999999995</v>
      </c>
      <c r="D37" s="534" t="s">
        <v>87</v>
      </c>
      <c r="E37" s="298">
        <f>0.03*C37*Zones!M37+7.5*Zones!F37*(1+IF(ISNUMBER(SEARCH("Studio",Zones!G37)),0,IF(ISNUMBER(SEARCH("3-Bed",Zones!G37)),3,IF(ISNUMBER(SEARCH("2-Bed",Zones!G37)),2,1))))</f>
        <v>23.701499999999999</v>
      </c>
      <c r="F37" s="534"/>
      <c r="G37" s="108"/>
      <c r="H37" s="106"/>
      <c r="I37" s="106">
        <f t="shared" ref="I37:I38" si="7">E37</f>
        <v>23.701499999999999</v>
      </c>
      <c r="J37" s="107">
        <f t="shared" ref="J37:J38" si="8">I37</f>
        <v>23.701499999999999</v>
      </c>
      <c r="K37" s="164">
        <f t="shared" si="2"/>
        <v>23.701499999999999</v>
      </c>
      <c r="L37" s="108" t="s">
        <v>405</v>
      </c>
    </row>
    <row r="38" spans="1:12" ht="20.85" customHeight="1" x14ac:dyDescent="0.3">
      <c r="A38" s="178" t="str">
        <f>Zones!B38</f>
        <v>F5 STUDIO SW</v>
      </c>
      <c r="B38" s="18">
        <f>Zones!N38</f>
        <v>2</v>
      </c>
      <c r="C38" s="258">
        <f>Zones!K38</f>
        <v>540.04999999999995</v>
      </c>
      <c r="D38" s="534" t="s">
        <v>87</v>
      </c>
      <c r="E38" s="298">
        <f>0.03*C38*Zones!M38+7.5*Zones!F38*(1+IF(ISNUMBER(SEARCH("Studio",Zones!G38)),0,IF(ISNUMBER(SEARCH("3-Bed",Zones!G38)),3,IF(ISNUMBER(SEARCH("2-Bed",Zones!G38)),2,1))))</f>
        <v>23.701499999999999</v>
      </c>
      <c r="F38" s="534"/>
      <c r="G38" s="108"/>
      <c r="H38" s="106"/>
      <c r="I38" s="106">
        <f t="shared" si="7"/>
        <v>23.701499999999999</v>
      </c>
      <c r="J38" s="107">
        <f t="shared" si="8"/>
        <v>23.701499999999999</v>
      </c>
      <c r="K38" s="164">
        <f t="shared" si="2"/>
        <v>23.701499999999999</v>
      </c>
      <c r="L38" s="108" t="s">
        <v>405</v>
      </c>
    </row>
    <row r="39" spans="1:12" ht="43.5" customHeight="1" x14ac:dyDescent="0.3">
      <c r="A39" s="178" t="str">
        <f>Zones!B39</f>
        <v>PARKING GARAGE</v>
      </c>
      <c r="B39" s="18">
        <f>Zones!N39</f>
        <v>0</v>
      </c>
      <c r="C39" s="258">
        <f>Zones!K39</f>
        <v>27902.720000000001</v>
      </c>
      <c r="D39" s="533">
        <v>0</v>
      </c>
      <c r="E39" s="534"/>
      <c r="F39" s="533">
        <v>0</v>
      </c>
      <c r="G39" s="535">
        <v>0.75</v>
      </c>
      <c r="H39" s="106">
        <f t="shared" si="0"/>
        <v>0</v>
      </c>
      <c r="I39" s="106">
        <f>C39*F39</f>
        <v>0</v>
      </c>
      <c r="J39" s="107">
        <f>C39*G39</f>
        <v>20927.04</v>
      </c>
      <c r="K39" s="164">
        <f>MAX(H39:J39)</f>
        <v>20927.04</v>
      </c>
      <c r="L39" s="296" t="s">
        <v>406</v>
      </c>
    </row>
    <row r="40" spans="1:12" customFormat="1" ht="24" customHeight="1" x14ac:dyDescent="0.3"/>
    <row r="41" spans="1:12" customFormat="1" ht="14.4" x14ac:dyDescent="0.3"/>
    <row r="42" spans="1:12" customFormat="1" ht="14.4" x14ac:dyDescent="0.3"/>
    <row r="43" spans="1:12" customFormat="1" ht="14.4" x14ac:dyDescent="0.3"/>
    <row r="44" spans="1:12" customFormat="1" ht="14.4" x14ac:dyDescent="0.3"/>
    <row r="45" spans="1:12" customFormat="1" ht="14.4" x14ac:dyDescent="0.3"/>
    <row r="46" spans="1:12" customFormat="1" ht="14.4" x14ac:dyDescent="0.3"/>
    <row r="47" spans="1:12" customFormat="1" ht="14.4" x14ac:dyDescent="0.3"/>
    <row r="48" spans="1:12" customFormat="1" ht="14.4" x14ac:dyDescent="0.3"/>
    <row r="49" customFormat="1" ht="14.4" x14ac:dyDescent="0.3"/>
    <row r="50" customFormat="1" ht="14.4" x14ac:dyDescent="0.3"/>
    <row r="51" customFormat="1" ht="14.4" x14ac:dyDescent="0.3"/>
    <row r="52" customFormat="1" ht="14.4" x14ac:dyDescent="0.3"/>
    <row r="53" customFormat="1" ht="14.4" x14ac:dyDescent="0.3"/>
    <row r="54" customFormat="1" ht="14.4" x14ac:dyDescent="0.3"/>
    <row r="55" customFormat="1" ht="14.4" x14ac:dyDescent="0.3"/>
    <row r="56" customFormat="1" ht="14.4" x14ac:dyDescent="0.3"/>
    <row r="57" customFormat="1" ht="14.4" x14ac:dyDescent="0.3"/>
    <row r="58" customFormat="1" ht="14.4" x14ac:dyDescent="0.3"/>
    <row r="59" customFormat="1" ht="14.4" x14ac:dyDescent="0.3"/>
    <row r="60" customFormat="1" ht="14.4" x14ac:dyDescent="0.3"/>
    <row r="61" customFormat="1" ht="14.4" x14ac:dyDescent="0.3"/>
    <row r="62" customFormat="1" ht="14.4" x14ac:dyDescent="0.3"/>
    <row r="63" customFormat="1" ht="14.4" x14ac:dyDescent="0.3"/>
    <row r="64" customFormat="1" ht="14.4" x14ac:dyDescent="0.3"/>
    <row r="65" customFormat="1" ht="14.4" x14ac:dyDescent="0.3"/>
    <row r="66" customFormat="1" ht="14.4" x14ac:dyDescent="0.3"/>
    <row r="67" customFormat="1" ht="14.4" x14ac:dyDescent="0.3"/>
    <row r="68" customFormat="1" ht="14.4" x14ac:dyDescent="0.3"/>
    <row r="69" customFormat="1" ht="14.4" x14ac:dyDescent="0.3"/>
    <row r="70" customFormat="1" ht="14.4" x14ac:dyDescent="0.3"/>
    <row r="71" customFormat="1" ht="14.4" x14ac:dyDescent="0.3"/>
    <row r="72" customFormat="1" ht="14.4" x14ac:dyDescent="0.3"/>
    <row r="73" customFormat="1" ht="14.4" x14ac:dyDescent="0.3"/>
    <row r="74" customFormat="1" ht="14.4" x14ac:dyDescent="0.3"/>
    <row r="75" customFormat="1" ht="14.4" x14ac:dyDescent="0.3"/>
    <row r="76" customFormat="1" ht="14.4" x14ac:dyDescent="0.3"/>
    <row r="77" customFormat="1" ht="14.4" x14ac:dyDescent="0.3"/>
    <row r="78" customFormat="1" ht="14.4" x14ac:dyDescent="0.3"/>
    <row r="79" customFormat="1" ht="14.4" x14ac:dyDescent="0.3"/>
    <row r="80" customFormat="1" ht="14.4" x14ac:dyDescent="0.3"/>
    <row r="81" customFormat="1" ht="14.4" x14ac:dyDescent="0.3"/>
    <row r="82" customFormat="1" ht="14.4" x14ac:dyDescent="0.3"/>
    <row r="83" customFormat="1" ht="14.4" x14ac:dyDescent="0.3"/>
    <row r="84" customFormat="1" ht="14.4" x14ac:dyDescent="0.3"/>
    <row r="85" customFormat="1" ht="14.4" x14ac:dyDescent="0.3"/>
    <row r="86" customFormat="1" ht="14.4" x14ac:dyDescent="0.3"/>
    <row r="87" customFormat="1" ht="14.4" x14ac:dyDescent="0.3"/>
    <row r="88" customFormat="1" ht="14.4" x14ac:dyDescent="0.3"/>
    <row r="89" customFormat="1" ht="14.4" x14ac:dyDescent="0.3"/>
    <row r="90" customFormat="1" ht="14.4" x14ac:dyDescent="0.3"/>
    <row r="91" customFormat="1" ht="14.4" x14ac:dyDescent="0.3"/>
    <row r="92" customFormat="1" ht="20.85" customHeight="1" x14ac:dyDescent="0.3"/>
    <row r="93" customFormat="1" ht="14.4" x14ac:dyDescent="0.3"/>
    <row r="94" customFormat="1" ht="14.4" x14ac:dyDescent="0.3"/>
    <row r="95" customFormat="1" ht="14.4" x14ac:dyDescent="0.3"/>
    <row r="96" customFormat="1" ht="14.4" x14ac:dyDescent="0.3"/>
    <row r="97" customFormat="1" ht="14.4" x14ac:dyDescent="0.3"/>
    <row r="98" customFormat="1" ht="14.4" x14ac:dyDescent="0.3"/>
  </sheetData>
  <mergeCells count="1">
    <mergeCell ref="A1:L1"/>
  </mergeCells>
  <phoneticPr fontId="5"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41C6C-3EF0-4751-99C2-52618F6BD20C}">
  <dimension ref="A1:AJ153"/>
  <sheetViews>
    <sheetView topLeftCell="C1" zoomScaleNormal="100" workbookViewId="0">
      <selection sqref="A1:H1"/>
    </sheetView>
  </sheetViews>
  <sheetFormatPr defaultColWidth="8.6640625" defaultRowHeight="13.2" x14ac:dyDescent="0.3"/>
  <cols>
    <col min="1" max="1" width="55.33203125" style="5" customWidth="1"/>
    <col min="2" max="2" width="35.109375" style="5" customWidth="1"/>
    <col min="3" max="3" width="26.33203125" style="5" customWidth="1"/>
    <col min="4" max="4" width="30" style="5" customWidth="1"/>
    <col min="5" max="5" width="27.33203125" style="5" bestFit="1" customWidth="1"/>
    <col min="6" max="6" width="21.44140625" style="5" customWidth="1"/>
    <col min="7" max="7" width="46.6640625" style="5" customWidth="1"/>
    <col min="8" max="8" width="26.109375" style="5" bestFit="1" customWidth="1"/>
    <col min="9" max="10" width="23" style="5" customWidth="1"/>
    <col min="11" max="11" width="86.5546875" style="5" customWidth="1"/>
    <col min="12" max="12" width="22.6640625" style="5" customWidth="1"/>
    <col min="13" max="13" width="15.33203125" style="5" customWidth="1"/>
    <col min="14" max="14" width="42.6640625" style="5" customWidth="1"/>
    <col min="15" max="15" width="12.6640625" style="5" customWidth="1"/>
    <col min="16" max="16" width="40.6640625" style="5" customWidth="1"/>
    <col min="17" max="18" width="15.33203125" style="5" customWidth="1"/>
    <col min="19" max="19" width="7.6640625" style="5" hidden="1" customWidth="1"/>
    <col min="20" max="20" width="12.44140625" style="5" hidden="1" customWidth="1"/>
    <col min="21" max="36" width="6.5546875" style="5" hidden="1" customWidth="1"/>
    <col min="37" max="37" width="15.33203125" style="5" customWidth="1"/>
    <col min="38" max="38" width="11.33203125" style="5" customWidth="1"/>
    <col min="39" max="39" width="6.33203125" style="5" customWidth="1"/>
    <col min="40" max="43" width="4.6640625" style="5" customWidth="1"/>
    <col min="44" max="44" width="6.33203125" style="5" customWidth="1"/>
    <col min="45" max="59" width="4.6640625" style="5" customWidth="1"/>
    <col min="60" max="16384" width="8.6640625" style="5"/>
  </cols>
  <sheetData>
    <row r="1" spans="1:8" ht="19.2" customHeight="1" x14ac:dyDescent="0.3">
      <c r="A1" s="641" t="str">
        <f>"Water Heater - "&amp;Prototype!A2</f>
        <v xml:space="preserve">Water Heater - ApartmentMidRise </v>
      </c>
      <c r="B1" s="622"/>
      <c r="C1" s="622"/>
      <c r="D1" s="622"/>
      <c r="E1" s="622"/>
      <c r="F1" s="622"/>
      <c r="G1" s="622"/>
      <c r="H1" s="622"/>
    </row>
    <row r="2" spans="1:8" x14ac:dyDescent="0.3">
      <c r="A2" s="109" t="s">
        <v>193</v>
      </c>
      <c r="B2" s="188" t="s">
        <v>407</v>
      </c>
      <c r="C2" s="188" t="s">
        <v>408</v>
      </c>
      <c r="D2" s="469" t="s">
        <v>409</v>
      </c>
      <c r="E2" s="188" t="s">
        <v>410</v>
      </c>
      <c r="F2" s="188" t="s">
        <v>411</v>
      </c>
      <c r="G2" s="188" t="s">
        <v>268</v>
      </c>
      <c r="H2" s="188" t="s">
        <v>402</v>
      </c>
    </row>
    <row r="3" spans="1:8" ht="51" customHeight="1" x14ac:dyDescent="0.3">
      <c r="A3" s="259" t="s">
        <v>224</v>
      </c>
      <c r="B3" s="548" t="s">
        <v>412</v>
      </c>
      <c r="C3" s="317">
        <v>0.8</v>
      </c>
      <c r="D3" s="402">
        <f>B51</f>
        <v>88</v>
      </c>
      <c r="E3" s="318" t="str">
        <f>"See Existing in-unit CZ table, col F (gal/unit); building = 88 x F"</f>
        <v>See Existing in-unit CZ table, col F (gal/unit); building = 88 x F</v>
      </c>
      <c r="F3" s="345">
        <f>IF(F62&lt;=55,0.692-0.0013*F62,0.8072-0.0003*F62)</f>
        <v>0.65299999999999991</v>
      </c>
      <c r="G3" s="642" t="s">
        <v>413</v>
      </c>
      <c r="H3" s="642" t="s">
        <v>414</v>
      </c>
    </row>
    <row r="4" spans="1:8" ht="58.5" customHeight="1" x14ac:dyDescent="0.3">
      <c r="A4" s="259" t="s">
        <v>336</v>
      </c>
      <c r="B4" s="548" t="s">
        <v>415</v>
      </c>
      <c r="C4" s="299">
        <v>0.81</v>
      </c>
      <c r="D4" s="346">
        <f>D3</f>
        <v>88</v>
      </c>
      <c r="E4" s="318">
        <v>0</v>
      </c>
      <c r="F4" s="318" t="s">
        <v>416</v>
      </c>
      <c r="G4" s="643"/>
      <c r="H4" s="644"/>
    </row>
    <row r="5" spans="1:8" x14ac:dyDescent="0.3">
      <c r="A5" s="630" t="s">
        <v>417</v>
      </c>
      <c r="B5" s="630"/>
      <c r="C5" s="630"/>
      <c r="D5" s="630"/>
      <c r="E5" s="630"/>
      <c r="F5" s="630"/>
      <c r="G5" s="630"/>
    </row>
    <row r="8" spans="1:8" ht="15.6" x14ac:dyDescent="0.3">
      <c r="A8" s="647" t="s">
        <v>418</v>
      </c>
      <c r="B8" s="647"/>
      <c r="C8" s="647"/>
      <c r="D8" s="647"/>
      <c r="E8" s="647"/>
      <c r="F8" s="647"/>
      <c r="G8" s="647"/>
      <c r="H8" s="647"/>
    </row>
    <row r="9" spans="1:8" ht="79.2" x14ac:dyDescent="0.3">
      <c r="A9" s="109" t="s">
        <v>419</v>
      </c>
      <c r="B9" s="372" t="s">
        <v>420</v>
      </c>
      <c r="C9" s="109" t="s">
        <v>421</v>
      </c>
      <c r="D9" s="109" t="s">
        <v>392</v>
      </c>
      <c r="E9" s="109" t="s">
        <v>422</v>
      </c>
      <c r="F9" s="109" t="s">
        <v>423</v>
      </c>
      <c r="G9" s="109" t="s">
        <v>424</v>
      </c>
      <c r="H9" s="332" t="s">
        <v>26</v>
      </c>
    </row>
    <row r="10" spans="1:8" x14ac:dyDescent="0.25">
      <c r="A10" s="165" t="str">
        <f>Zones!B3</f>
        <v>F1 BUSINESS CENTER</v>
      </c>
      <c r="B10" s="313" t="s">
        <v>425</v>
      </c>
      <c r="C10" s="170">
        <f>Zones!K3*Zones!M3</f>
        <v>360.04</v>
      </c>
      <c r="D10" s="314">
        <f>Zones!N3</f>
        <v>24.003866800000004</v>
      </c>
      <c r="E10" s="315">
        <v>0.18</v>
      </c>
      <c r="F10" s="316">
        <f t="shared" ref="F10:F46" si="0">D10*E10</f>
        <v>4.320696024000001</v>
      </c>
      <c r="G10" s="331">
        <f t="shared" ref="G10:G46" si="1">F10/60</f>
        <v>7.2011600400000014E-2</v>
      </c>
      <c r="H10" s="648" t="s">
        <v>426</v>
      </c>
    </row>
    <row r="11" spans="1:8" x14ac:dyDescent="0.25">
      <c r="A11" s="165" t="str">
        <f>Zones!B4</f>
        <v>F1 CORRIDOR</v>
      </c>
      <c r="B11" s="313" t="s">
        <v>425</v>
      </c>
      <c r="C11" s="170">
        <f>Zones!K4*Zones!M4</f>
        <v>1920.19</v>
      </c>
      <c r="D11" s="314">
        <f>Zones!N4</f>
        <v>19.201900000000002</v>
      </c>
      <c r="E11" s="315">
        <v>0</v>
      </c>
      <c r="F11" s="316">
        <f t="shared" si="0"/>
        <v>0</v>
      </c>
      <c r="G11" s="331">
        <f t="shared" si="1"/>
        <v>0</v>
      </c>
      <c r="H11" s="648"/>
    </row>
    <row r="12" spans="1:8" x14ac:dyDescent="0.25">
      <c r="A12" s="165" t="str">
        <f>Zones!B5</f>
        <v>F1 FITNESS CENTER</v>
      </c>
      <c r="B12" s="313" t="s">
        <v>425</v>
      </c>
      <c r="C12" s="170">
        <f>Zones!K5*Zones!M5</f>
        <v>900.09</v>
      </c>
      <c r="D12" s="314">
        <f>Zones!N5</f>
        <v>18.001799999999999</v>
      </c>
      <c r="E12" s="315">
        <v>0.18</v>
      </c>
      <c r="F12" s="316">
        <f t="shared" si="0"/>
        <v>3.2403239999999998</v>
      </c>
      <c r="G12" s="331">
        <f t="shared" si="1"/>
        <v>5.4005399999999995E-2</v>
      </c>
      <c r="H12" s="648"/>
    </row>
    <row r="13" spans="1:8" x14ac:dyDescent="0.25">
      <c r="A13" s="165" t="str">
        <f>Zones!B6</f>
        <v>F1 LEASING OFFICE</v>
      </c>
      <c r="B13" s="313" t="s">
        <v>425</v>
      </c>
      <c r="C13" s="170">
        <f>Zones!K6*Zones!M6</f>
        <v>345.03</v>
      </c>
      <c r="D13" s="314">
        <f>Zones!N6</f>
        <v>3.4502999999999999</v>
      </c>
      <c r="E13" s="315">
        <v>0.09</v>
      </c>
      <c r="F13" s="316">
        <f t="shared" si="0"/>
        <v>0.310527</v>
      </c>
      <c r="G13" s="331">
        <f t="shared" si="1"/>
        <v>5.1754499999999998E-3</v>
      </c>
      <c r="H13" s="648"/>
    </row>
    <row r="14" spans="1:8" x14ac:dyDescent="0.25">
      <c r="A14" s="165" t="str">
        <f>Zones!B7</f>
        <v>F1 LOUNGE</v>
      </c>
      <c r="B14" s="313" t="s">
        <v>425</v>
      </c>
      <c r="C14" s="170">
        <f>Zones!K7*Zones!M7</f>
        <v>1050.0999999999999</v>
      </c>
      <c r="D14" s="314">
        <f>Zones!N7</f>
        <v>70.041669999999996</v>
      </c>
      <c r="E14" s="315">
        <v>0.09</v>
      </c>
      <c r="F14" s="316">
        <f t="shared" si="0"/>
        <v>6.303750299999999</v>
      </c>
      <c r="G14" s="331">
        <f t="shared" si="1"/>
        <v>0.10506250499999999</v>
      </c>
      <c r="H14" s="648"/>
    </row>
    <row r="15" spans="1:8" x14ac:dyDescent="0.25">
      <c r="A15" s="165" t="str">
        <f>Zones!B8</f>
        <v>F1 MECHANICAL ROOM</v>
      </c>
      <c r="B15" s="313" t="s">
        <v>425</v>
      </c>
      <c r="C15" s="170">
        <f>Zones!K8*Zones!M8</f>
        <v>432.04</v>
      </c>
      <c r="D15" s="314">
        <f>Zones!N8</f>
        <v>1.2961200000000002</v>
      </c>
      <c r="E15" s="315">
        <v>0</v>
      </c>
      <c r="F15" s="316">
        <f t="shared" si="0"/>
        <v>0</v>
      </c>
      <c r="G15" s="331">
        <f t="shared" si="1"/>
        <v>0</v>
      </c>
      <c r="H15" s="648"/>
    </row>
    <row r="16" spans="1:8" x14ac:dyDescent="0.25">
      <c r="A16" s="165" t="str">
        <f>Zones!B9</f>
        <v>F1 RETAIL N-NW</v>
      </c>
      <c r="B16" s="313" t="s">
        <v>425</v>
      </c>
      <c r="C16" s="170">
        <f>Zones!K9*Zones!M9</f>
        <v>5985.58</v>
      </c>
      <c r="D16" s="314">
        <f>Zones!N9</f>
        <v>99.75966666666686</v>
      </c>
      <c r="E16" s="315">
        <v>0.18</v>
      </c>
      <c r="F16" s="316">
        <f t="shared" si="0"/>
        <v>17.956740000000035</v>
      </c>
      <c r="G16" s="331">
        <f t="shared" si="1"/>
        <v>0.29927900000000057</v>
      </c>
      <c r="H16" s="648"/>
    </row>
    <row r="17" spans="1:8" x14ac:dyDescent="0.25">
      <c r="A17" s="165" t="str">
        <f>Zones!B10</f>
        <v>F1 RETAIL NE</v>
      </c>
      <c r="B17" s="313" t="s">
        <v>425</v>
      </c>
      <c r="C17" s="170">
        <f>Zones!K10*Zones!M10</f>
        <v>4320.42</v>
      </c>
      <c r="D17" s="314">
        <f>Zones!N10</f>
        <v>72.007000000000147</v>
      </c>
      <c r="E17" s="315">
        <v>0.18</v>
      </c>
      <c r="F17" s="316">
        <f t="shared" si="0"/>
        <v>12.961260000000026</v>
      </c>
      <c r="G17" s="331">
        <f t="shared" si="1"/>
        <v>0.21602100000000043</v>
      </c>
      <c r="H17" s="648"/>
    </row>
    <row r="18" spans="1:8" x14ac:dyDescent="0.25">
      <c r="A18" s="165" t="str">
        <f>Zones!B11</f>
        <v>F1 RETAIL SE</v>
      </c>
      <c r="B18" s="313" t="s">
        <v>425</v>
      </c>
      <c r="C18" s="170">
        <f>Zones!K11*Zones!M11</f>
        <v>2880.28</v>
      </c>
      <c r="D18" s="314">
        <f>Zones!N11</f>
        <v>48.004666666666765</v>
      </c>
      <c r="E18" s="315">
        <v>0.18</v>
      </c>
      <c r="F18" s="316">
        <f t="shared" si="0"/>
        <v>8.6408400000000167</v>
      </c>
      <c r="G18" s="331">
        <f t="shared" si="1"/>
        <v>0.14401400000000028</v>
      </c>
      <c r="H18" s="648"/>
    </row>
    <row r="19" spans="1:8" x14ac:dyDescent="0.25">
      <c r="A19" s="165" t="str">
        <f>Zones!B12</f>
        <v>F1 RETAIL SW</v>
      </c>
      <c r="B19" s="313" t="s">
        <v>425</v>
      </c>
      <c r="C19" s="170">
        <f>Zones!K12*Zones!M12</f>
        <v>4428.43</v>
      </c>
      <c r="D19" s="314">
        <f>Zones!N12</f>
        <v>73.807166666666816</v>
      </c>
      <c r="E19" s="315">
        <v>0.18</v>
      </c>
      <c r="F19" s="316">
        <f t="shared" si="0"/>
        <v>13.285290000000026</v>
      </c>
      <c r="G19" s="331">
        <f t="shared" si="1"/>
        <v>0.22142150000000044</v>
      </c>
      <c r="H19" s="648"/>
    </row>
    <row r="20" spans="1:8" x14ac:dyDescent="0.25">
      <c r="A20" s="165" t="str">
        <f>Zones!B13</f>
        <v>F2-4 1-BED CORE EAST</v>
      </c>
      <c r="B20" s="313" t="s">
        <v>427</v>
      </c>
      <c r="C20" s="170">
        <f>Zones!K13*Zones!M13</f>
        <v>4320.42</v>
      </c>
      <c r="D20" s="314">
        <f>Zones!N13</f>
        <v>12</v>
      </c>
      <c r="E20" s="315">
        <v>0.18</v>
      </c>
      <c r="F20" s="316">
        <f t="shared" si="0"/>
        <v>2.16</v>
      </c>
      <c r="G20" s="331">
        <f t="shared" si="1"/>
        <v>3.6000000000000004E-2</v>
      </c>
      <c r="H20" s="648"/>
    </row>
    <row r="21" spans="1:8" x14ac:dyDescent="0.25">
      <c r="A21" s="165" t="str">
        <f>Zones!B14</f>
        <v>F2-4 1-BED CORE N</v>
      </c>
      <c r="B21" s="313" t="s">
        <v>427</v>
      </c>
      <c r="C21" s="170">
        <f>Zones!K14*Zones!M14</f>
        <v>2160.21</v>
      </c>
      <c r="D21" s="314">
        <f>Zones!N14</f>
        <v>6</v>
      </c>
      <c r="E21" s="315">
        <v>0.18</v>
      </c>
      <c r="F21" s="316">
        <f t="shared" si="0"/>
        <v>1.08</v>
      </c>
      <c r="G21" s="331">
        <f t="shared" si="1"/>
        <v>1.8000000000000002E-2</v>
      </c>
      <c r="H21" s="648"/>
    </row>
    <row r="22" spans="1:8" x14ac:dyDescent="0.25">
      <c r="A22" s="165" t="str">
        <f>Zones!B15</f>
        <v>F2-4 1-BED CORE WEST</v>
      </c>
      <c r="B22" s="313" t="s">
        <v>427</v>
      </c>
      <c r="C22" s="170">
        <f>Zones!K15*Zones!M15</f>
        <v>4320.42</v>
      </c>
      <c r="D22" s="314">
        <f>Zones!N15</f>
        <v>12</v>
      </c>
      <c r="E22" s="315">
        <v>0.18</v>
      </c>
      <c r="F22" s="316">
        <f t="shared" si="0"/>
        <v>2.16</v>
      </c>
      <c r="G22" s="331">
        <f t="shared" si="1"/>
        <v>3.6000000000000004E-2</v>
      </c>
      <c r="H22" s="648"/>
    </row>
    <row r="23" spans="1:8" x14ac:dyDescent="0.25">
      <c r="A23" s="165" t="str">
        <f>Zones!B16</f>
        <v>F2-4 1-BED NORTH</v>
      </c>
      <c r="B23" s="313" t="s">
        <v>427</v>
      </c>
      <c r="C23" s="170">
        <f>Zones!K16*Zones!M16</f>
        <v>11161.08</v>
      </c>
      <c r="D23" s="314">
        <f>Zones!N16</f>
        <v>30</v>
      </c>
      <c r="E23" s="315">
        <v>0.18</v>
      </c>
      <c r="F23" s="316">
        <f t="shared" si="0"/>
        <v>5.3999999999999995</v>
      </c>
      <c r="G23" s="331">
        <f t="shared" si="1"/>
        <v>0.09</v>
      </c>
      <c r="H23" s="648"/>
    </row>
    <row r="24" spans="1:8" x14ac:dyDescent="0.25">
      <c r="A24" s="165" t="str">
        <f>Zones!B17</f>
        <v>F2-4 2-BED CORE NE-NW</v>
      </c>
      <c r="B24" s="313" t="s">
        <v>427</v>
      </c>
      <c r="C24" s="170">
        <f>Zones!K17*Zones!M17</f>
        <v>6480.63</v>
      </c>
      <c r="D24" s="314">
        <f>Zones!N17</f>
        <v>18</v>
      </c>
      <c r="E24" s="315">
        <v>0.18</v>
      </c>
      <c r="F24" s="316">
        <f t="shared" si="0"/>
        <v>3.2399999999999998</v>
      </c>
      <c r="G24" s="331">
        <f t="shared" si="1"/>
        <v>5.3999999999999999E-2</v>
      </c>
      <c r="H24" s="648"/>
    </row>
    <row r="25" spans="1:8" x14ac:dyDescent="0.25">
      <c r="A25" s="165" t="str">
        <f>Zones!B18</f>
        <v>F2-4 2-BED EAST</v>
      </c>
      <c r="B25" s="313" t="s">
        <v>427</v>
      </c>
      <c r="C25" s="170">
        <f>Zones!K18*Zones!M18</f>
        <v>9720.9600000000009</v>
      </c>
      <c r="D25" s="314">
        <f>Zones!N18</f>
        <v>27</v>
      </c>
      <c r="E25" s="315">
        <v>0.18</v>
      </c>
      <c r="F25" s="316">
        <f t="shared" si="0"/>
        <v>4.8599999999999994</v>
      </c>
      <c r="G25" s="331">
        <f t="shared" si="1"/>
        <v>8.0999999999999989E-2</v>
      </c>
      <c r="H25" s="648"/>
    </row>
    <row r="26" spans="1:8" x14ac:dyDescent="0.25">
      <c r="A26" s="165" t="str">
        <f>Zones!B19</f>
        <v>F2-4 2-BED WEST</v>
      </c>
      <c r="B26" s="313" t="s">
        <v>427</v>
      </c>
      <c r="C26" s="170">
        <f>Zones!K19*Zones!M19</f>
        <v>9720.9600000000009</v>
      </c>
      <c r="D26" s="314">
        <f>Zones!N19</f>
        <v>27</v>
      </c>
      <c r="E26" s="315">
        <v>0.18</v>
      </c>
      <c r="F26" s="316">
        <f t="shared" si="0"/>
        <v>4.8599999999999994</v>
      </c>
      <c r="G26" s="331">
        <f t="shared" si="1"/>
        <v>8.0999999999999989E-2</v>
      </c>
      <c r="H26" s="648"/>
    </row>
    <row r="27" spans="1:8" x14ac:dyDescent="0.25">
      <c r="A27" s="165" t="str">
        <f>Zones!B20</f>
        <v>F2-4 3-BED NE</v>
      </c>
      <c r="B27" s="313" t="s">
        <v>427</v>
      </c>
      <c r="C27" s="170">
        <f>Zones!K20*Zones!M20</f>
        <v>4230.42</v>
      </c>
      <c r="D27" s="314">
        <f>Zones!N20</f>
        <v>12</v>
      </c>
      <c r="E27" s="315">
        <v>0.18</v>
      </c>
      <c r="F27" s="316">
        <f t="shared" si="0"/>
        <v>2.16</v>
      </c>
      <c r="G27" s="331">
        <f t="shared" si="1"/>
        <v>3.6000000000000004E-2</v>
      </c>
      <c r="H27" s="648"/>
    </row>
    <row r="28" spans="1:8" x14ac:dyDescent="0.25">
      <c r="A28" s="165" t="str">
        <f>Zones!B21</f>
        <v>F2-4 3-BED NW</v>
      </c>
      <c r="B28" s="313" t="s">
        <v>427</v>
      </c>
      <c r="C28" s="170">
        <f>Zones!K21*Zones!M21</f>
        <v>4230.42</v>
      </c>
      <c r="D28" s="314">
        <f>Zones!N21</f>
        <v>12</v>
      </c>
      <c r="E28" s="315">
        <v>0.18</v>
      </c>
      <c r="F28" s="316">
        <f t="shared" si="0"/>
        <v>2.16</v>
      </c>
      <c r="G28" s="331">
        <f t="shared" si="1"/>
        <v>3.6000000000000004E-2</v>
      </c>
      <c r="H28" s="648"/>
    </row>
    <row r="29" spans="1:8" x14ac:dyDescent="0.25">
      <c r="A29" s="165" t="str">
        <f>Zones!B22</f>
        <v>F2-4 CORRIDOR</v>
      </c>
      <c r="B29" s="313" t="s">
        <v>425</v>
      </c>
      <c r="C29" s="170">
        <f>Zones!K22*Zones!M22</f>
        <v>7740.75</v>
      </c>
      <c r="D29" s="314">
        <f>Zones!N22</f>
        <v>77.407499999999999</v>
      </c>
      <c r="E29" s="315">
        <v>0</v>
      </c>
      <c r="F29" s="316">
        <f t="shared" si="0"/>
        <v>0</v>
      </c>
      <c r="G29" s="331">
        <f t="shared" si="1"/>
        <v>0</v>
      </c>
      <c r="H29" s="648"/>
    </row>
    <row r="30" spans="1:8" x14ac:dyDescent="0.25">
      <c r="A30" s="165" t="str">
        <f>Zones!B23</f>
        <v>F2-4 LAUNDRY</v>
      </c>
      <c r="B30" s="313" t="s">
        <v>425</v>
      </c>
      <c r="C30" s="170">
        <f>Zones!K23*Zones!M23</f>
        <v>540.06000000000006</v>
      </c>
      <c r="D30" s="314">
        <f>Zones!N23</f>
        <v>5.4006000000000007</v>
      </c>
      <c r="E30" s="315">
        <v>0.57799999999999996</v>
      </c>
      <c r="F30" s="316">
        <f t="shared" si="0"/>
        <v>3.1215468000000004</v>
      </c>
      <c r="G30" s="331">
        <f t="shared" si="1"/>
        <v>5.2025780000000008E-2</v>
      </c>
      <c r="H30" s="648"/>
    </row>
    <row r="31" spans="1:8" x14ac:dyDescent="0.25">
      <c r="A31" s="165" t="str">
        <f>Zones!B24</f>
        <v>F2-4 STUDIO SE</v>
      </c>
      <c r="B31" s="313" t="s">
        <v>427</v>
      </c>
      <c r="C31" s="170">
        <f>Zones!K24*Zones!M24</f>
        <v>1620.1499999999999</v>
      </c>
      <c r="D31" s="314">
        <f>Zones!N24</f>
        <v>6</v>
      </c>
      <c r="E31" s="315">
        <v>0.18</v>
      </c>
      <c r="F31" s="316">
        <f t="shared" si="0"/>
        <v>1.08</v>
      </c>
      <c r="G31" s="331">
        <f t="shared" si="1"/>
        <v>1.8000000000000002E-2</v>
      </c>
      <c r="H31" s="648"/>
    </row>
    <row r="32" spans="1:8" x14ac:dyDescent="0.25">
      <c r="A32" s="165" t="str">
        <f>Zones!B25</f>
        <v>F2-4 STUDIO SW</v>
      </c>
      <c r="B32" s="313" t="s">
        <v>427</v>
      </c>
      <c r="C32" s="170">
        <f>Zones!K25*Zones!M25</f>
        <v>1620.1499999999999</v>
      </c>
      <c r="D32" s="314">
        <f>Zones!N25</f>
        <v>6</v>
      </c>
      <c r="E32" s="315">
        <v>0.18</v>
      </c>
      <c r="F32" s="316">
        <f t="shared" si="0"/>
        <v>1.08</v>
      </c>
      <c r="G32" s="331">
        <f t="shared" si="1"/>
        <v>1.8000000000000002E-2</v>
      </c>
      <c r="H32" s="648"/>
    </row>
    <row r="33" spans="1:8" x14ac:dyDescent="0.25">
      <c r="A33" s="165" t="str">
        <f>Zones!B26</f>
        <v>F5 1-BED CORE EAST</v>
      </c>
      <c r="B33" s="313" t="s">
        <v>427</v>
      </c>
      <c r="C33" s="170">
        <f>Zones!K26*Zones!M26</f>
        <v>1440.14</v>
      </c>
      <c r="D33" s="314">
        <f>Zones!N26</f>
        <v>4</v>
      </c>
      <c r="E33" s="315">
        <v>0.18</v>
      </c>
      <c r="F33" s="316">
        <f t="shared" si="0"/>
        <v>0.72</v>
      </c>
      <c r="G33" s="331">
        <f t="shared" si="1"/>
        <v>1.2E-2</v>
      </c>
      <c r="H33" s="648"/>
    </row>
    <row r="34" spans="1:8" x14ac:dyDescent="0.25">
      <c r="A34" s="165" t="str">
        <f>Zones!B27</f>
        <v>F5 1-BED CORE N</v>
      </c>
      <c r="B34" s="313" t="s">
        <v>427</v>
      </c>
      <c r="C34" s="170">
        <f>Zones!K27*Zones!M27</f>
        <v>720.07</v>
      </c>
      <c r="D34" s="314">
        <f>Zones!N27</f>
        <v>2</v>
      </c>
      <c r="E34" s="315">
        <v>0.18</v>
      </c>
      <c r="F34" s="316">
        <f t="shared" si="0"/>
        <v>0.36</v>
      </c>
      <c r="G34" s="331">
        <f t="shared" si="1"/>
        <v>6.0000000000000001E-3</v>
      </c>
      <c r="H34" s="648"/>
    </row>
    <row r="35" spans="1:8" x14ac:dyDescent="0.25">
      <c r="A35" s="165" t="str">
        <f>Zones!B28</f>
        <v>F5 1-BED CORE WEST</v>
      </c>
      <c r="B35" s="313" t="s">
        <v>427</v>
      </c>
      <c r="C35" s="170">
        <f>Zones!K28*Zones!M28</f>
        <v>1440.14</v>
      </c>
      <c r="D35" s="314">
        <f>Zones!N28</f>
        <v>4</v>
      </c>
      <c r="E35" s="315">
        <v>0.18</v>
      </c>
      <c r="F35" s="316">
        <f t="shared" si="0"/>
        <v>0.72</v>
      </c>
      <c r="G35" s="331">
        <f t="shared" si="1"/>
        <v>1.2E-2</v>
      </c>
      <c r="H35" s="648"/>
    </row>
    <row r="36" spans="1:8" x14ac:dyDescent="0.25">
      <c r="A36" s="165" t="str">
        <f>Zones!B29</f>
        <v>F5 1-BED NORTH</v>
      </c>
      <c r="B36" s="313" t="s">
        <v>427</v>
      </c>
      <c r="C36" s="170">
        <f>Zones!K29*Zones!M29</f>
        <v>3720.36</v>
      </c>
      <c r="D36" s="314">
        <f>Zones!N29</f>
        <v>10</v>
      </c>
      <c r="E36" s="315">
        <v>0.18</v>
      </c>
      <c r="F36" s="316">
        <f t="shared" si="0"/>
        <v>1.7999999999999998</v>
      </c>
      <c r="G36" s="331">
        <f t="shared" si="1"/>
        <v>2.9999999999999995E-2</v>
      </c>
      <c r="H36" s="648"/>
    </row>
    <row r="37" spans="1:8" x14ac:dyDescent="0.25">
      <c r="A37" s="165" t="str">
        <f>Zones!B30</f>
        <v>F5 2-BED CORE NE-NW</v>
      </c>
      <c r="B37" s="313" t="s">
        <v>427</v>
      </c>
      <c r="C37" s="170">
        <f>Zones!K30*Zones!M30</f>
        <v>2160.21</v>
      </c>
      <c r="D37" s="314">
        <f>Zones!N30</f>
        <v>6</v>
      </c>
      <c r="E37" s="315">
        <v>0.18</v>
      </c>
      <c r="F37" s="316">
        <f t="shared" si="0"/>
        <v>1.08</v>
      </c>
      <c r="G37" s="331">
        <f t="shared" si="1"/>
        <v>1.8000000000000002E-2</v>
      </c>
      <c r="H37" s="648"/>
    </row>
    <row r="38" spans="1:8" x14ac:dyDescent="0.25">
      <c r="A38" s="165" t="str">
        <f>Zones!B31</f>
        <v>F5 2-BED EAST</v>
      </c>
      <c r="B38" s="313" t="s">
        <v>427</v>
      </c>
      <c r="C38" s="170">
        <f>Zones!K31*Zones!M31</f>
        <v>3240.32</v>
      </c>
      <c r="D38" s="314">
        <f>Zones!N31</f>
        <v>9</v>
      </c>
      <c r="E38" s="315">
        <v>0.18</v>
      </c>
      <c r="F38" s="316">
        <f t="shared" si="0"/>
        <v>1.6199999999999999</v>
      </c>
      <c r="G38" s="331">
        <f t="shared" si="1"/>
        <v>2.7E-2</v>
      </c>
      <c r="H38" s="648"/>
    </row>
    <row r="39" spans="1:8" x14ac:dyDescent="0.25">
      <c r="A39" s="165" t="str">
        <f>Zones!B32</f>
        <v>F5 2-BED WEST</v>
      </c>
      <c r="B39" s="313" t="s">
        <v>427</v>
      </c>
      <c r="C39" s="170">
        <f>Zones!K32*Zones!M32</f>
        <v>3240.32</v>
      </c>
      <c r="D39" s="314">
        <f>Zones!N32</f>
        <v>9</v>
      </c>
      <c r="E39" s="315">
        <v>0.18</v>
      </c>
      <c r="F39" s="316">
        <f t="shared" si="0"/>
        <v>1.6199999999999999</v>
      </c>
      <c r="G39" s="331">
        <f t="shared" si="1"/>
        <v>2.7E-2</v>
      </c>
      <c r="H39" s="648"/>
    </row>
    <row r="40" spans="1:8" x14ac:dyDescent="0.25">
      <c r="A40" s="165" t="str">
        <f>Zones!B33</f>
        <v>F5 3-BED NE</v>
      </c>
      <c r="B40" s="313" t="s">
        <v>427</v>
      </c>
      <c r="C40" s="170">
        <f>Zones!K33*Zones!M33</f>
        <v>1410.14</v>
      </c>
      <c r="D40" s="314">
        <f>Zones!N33</f>
        <v>4</v>
      </c>
      <c r="E40" s="315">
        <v>0.18</v>
      </c>
      <c r="F40" s="316">
        <f t="shared" si="0"/>
        <v>0.72</v>
      </c>
      <c r="G40" s="331">
        <f t="shared" si="1"/>
        <v>1.2E-2</v>
      </c>
      <c r="H40" s="648"/>
    </row>
    <row r="41" spans="1:8" x14ac:dyDescent="0.25">
      <c r="A41" s="165" t="str">
        <f>Zones!B34</f>
        <v>F5 3-BED NW</v>
      </c>
      <c r="B41" s="313" t="s">
        <v>427</v>
      </c>
      <c r="C41" s="170">
        <f>Zones!K34*Zones!M34</f>
        <v>1410.14</v>
      </c>
      <c r="D41" s="314">
        <f>Zones!N34</f>
        <v>4</v>
      </c>
      <c r="E41" s="315">
        <v>0.18</v>
      </c>
      <c r="F41" s="316">
        <f t="shared" si="0"/>
        <v>0.72</v>
      </c>
      <c r="G41" s="331">
        <f t="shared" si="1"/>
        <v>1.2E-2</v>
      </c>
      <c r="H41" s="648"/>
    </row>
    <row r="42" spans="1:8" x14ac:dyDescent="0.25">
      <c r="A42" s="165" t="str">
        <f>Zones!B35</f>
        <v>F5 CORRIDOR</v>
      </c>
      <c r="B42" s="313" t="s">
        <v>425</v>
      </c>
      <c r="C42" s="170">
        <f>Zones!K35*Zones!M35</f>
        <v>2580.25</v>
      </c>
      <c r="D42" s="314">
        <f>Zones!N35</f>
        <v>25.802499999999998</v>
      </c>
      <c r="E42" s="315">
        <v>0</v>
      </c>
      <c r="F42" s="316">
        <f t="shared" si="0"/>
        <v>0</v>
      </c>
      <c r="G42" s="331">
        <f t="shared" si="1"/>
        <v>0</v>
      </c>
      <c r="H42" s="648"/>
    </row>
    <row r="43" spans="1:8" x14ac:dyDescent="0.25">
      <c r="A43" s="165" t="str">
        <f>Zones!B36</f>
        <v>F5 LAUNDRY</v>
      </c>
      <c r="B43" s="313" t="s">
        <v>425</v>
      </c>
      <c r="C43" s="170">
        <f>Zones!K36*Zones!M36</f>
        <v>180.02</v>
      </c>
      <c r="D43" s="314">
        <f>Zones!N36</f>
        <v>1.8002</v>
      </c>
      <c r="E43" s="315">
        <v>0.57799999999999996</v>
      </c>
      <c r="F43" s="316">
        <f t="shared" si="0"/>
        <v>1.0405156</v>
      </c>
      <c r="G43" s="331">
        <f t="shared" si="1"/>
        <v>1.7341926666666667E-2</v>
      </c>
      <c r="H43" s="648"/>
    </row>
    <row r="44" spans="1:8" x14ac:dyDescent="0.25">
      <c r="A44" s="165" t="str">
        <f>Zones!B37</f>
        <v>F5 STUDIO SE</v>
      </c>
      <c r="B44" s="313" t="s">
        <v>427</v>
      </c>
      <c r="C44" s="170">
        <f>Zones!K37*Zones!M37</f>
        <v>540.04999999999995</v>
      </c>
      <c r="D44" s="314">
        <f>Zones!N37</f>
        <v>2</v>
      </c>
      <c r="E44" s="315">
        <v>0.18</v>
      </c>
      <c r="F44" s="316">
        <f t="shared" si="0"/>
        <v>0.36</v>
      </c>
      <c r="G44" s="331">
        <f t="shared" si="1"/>
        <v>6.0000000000000001E-3</v>
      </c>
      <c r="H44" s="648"/>
    </row>
    <row r="45" spans="1:8" x14ac:dyDescent="0.25">
      <c r="A45" s="165" t="str">
        <f>Zones!B38</f>
        <v>F5 STUDIO SW</v>
      </c>
      <c r="B45" s="313" t="s">
        <v>427</v>
      </c>
      <c r="C45" s="170">
        <f>Zones!K38*Zones!M38</f>
        <v>540.04999999999995</v>
      </c>
      <c r="D45" s="314">
        <f>Zones!N38</f>
        <v>2</v>
      </c>
      <c r="E45" s="315">
        <v>0.18</v>
      </c>
      <c r="F45" s="316">
        <f t="shared" si="0"/>
        <v>0.36</v>
      </c>
      <c r="G45" s="331">
        <f t="shared" si="1"/>
        <v>6.0000000000000001E-3</v>
      </c>
      <c r="H45" s="648"/>
    </row>
    <row r="46" spans="1:8" x14ac:dyDescent="0.25">
      <c r="A46" s="165" t="str">
        <f>Zones!B39</f>
        <v>PARKING GARAGE</v>
      </c>
      <c r="B46" s="313" t="s">
        <v>425</v>
      </c>
      <c r="C46" s="170">
        <f>Zones!K39*Zones!M39</f>
        <v>27902.720000000001</v>
      </c>
      <c r="D46" s="314">
        <f>Zones!N39</f>
        <v>0</v>
      </c>
      <c r="E46" s="315">
        <v>0</v>
      </c>
      <c r="F46" s="316">
        <f t="shared" si="0"/>
        <v>0</v>
      </c>
      <c r="G46" s="331">
        <f t="shared" si="1"/>
        <v>0</v>
      </c>
      <c r="H46" s="648"/>
    </row>
    <row r="47" spans="1:8" x14ac:dyDescent="0.25">
      <c r="A47" s="383"/>
      <c r="B47" s="319"/>
      <c r="C47" s="320"/>
      <c r="D47" s="321"/>
      <c r="E47" s="322"/>
      <c r="F47" s="323"/>
      <c r="G47" s="324"/>
      <c r="H47" s="343"/>
    </row>
    <row r="48" spans="1:8" ht="52.8" x14ac:dyDescent="0.25">
      <c r="A48" s="444" t="s">
        <v>428</v>
      </c>
      <c r="B48" s="445" t="s">
        <v>429</v>
      </c>
      <c r="C48" s="446"/>
      <c r="D48" s="447"/>
      <c r="E48" s="448"/>
      <c r="F48" s="471">
        <f>_xlfn.AGGREGATE(14,6,$F$10:$F$46/Zones!$F$3:$F$39/($B$10:$B$46="In-unit"),1)</f>
        <v>0.72000000000000008</v>
      </c>
      <c r="G48" s="335"/>
      <c r="H48" s="548" t="s">
        <v>430</v>
      </c>
    </row>
    <row r="49" spans="1:12" ht="39.6" x14ac:dyDescent="0.25">
      <c r="A49" s="444" t="s">
        <v>428</v>
      </c>
      <c r="B49" s="445" t="s">
        <v>431</v>
      </c>
      <c r="C49" s="446"/>
      <c r="D49" s="447"/>
      <c r="E49" s="448"/>
      <c r="F49" s="449">
        <f>_xlfn.LET(_xlpm.g,SUMIF($B$10:$B$46,"Common",$F$10:$F$46),IF(_xlpm.g&gt;0,MAX(75,_xlpm.g),0))</f>
        <v>75</v>
      </c>
      <c r="G49" s="335"/>
      <c r="H49" s="542" t="s">
        <v>432</v>
      </c>
    </row>
    <row r="50" spans="1:12" ht="14.4" x14ac:dyDescent="0.3">
      <c r="A50" s="325"/>
      <c r="B50" s="373"/>
      <c r="C50" s="320"/>
      <c r="D50" s="321"/>
      <c r="E50" s="322"/>
      <c r="F50"/>
      <c r="G50" s="324"/>
      <c r="H50" s="7"/>
    </row>
    <row r="51" spans="1:12" x14ac:dyDescent="0.25">
      <c r="A51" s="383" t="s">
        <v>60</v>
      </c>
      <c r="B51" s="326">
        <v>88</v>
      </c>
      <c r="C51" s="344" t="s">
        <v>433</v>
      </c>
      <c r="D51" s="321"/>
      <c r="E51" s="322"/>
      <c r="F51" s="323"/>
      <c r="G51" s="324"/>
    </row>
    <row r="52" spans="1:12" x14ac:dyDescent="0.25">
      <c r="A52" s="383" t="s">
        <v>434</v>
      </c>
      <c r="B52" s="472">
        <f>F48</f>
        <v>0.72000000000000008</v>
      </c>
      <c r="C52" s="344"/>
      <c r="D52" s="321"/>
      <c r="E52" s="322"/>
      <c r="F52" s="323"/>
      <c r="G52" s="324"/>
    </row>
    <row r="53" spans="1:12" x14ac:dyDescent="0.25">
      <c r="A53" s="383" t="s">
        <v>435</v>
      </c>
      <c r="B53" s="327">
        <v>200000</v>
      </c>
      <c r="C53" s="344" t="s">
        <v>436</v>
      </c>
      <c r="D53" s="321"/>
      <c r="G53" s="324"/>
    </row>
    <row r="54" spans="1:12" x14ac:dyDescent="0.25">
      <c r="A54" s="347" t="s">
        <v>437</v>
      </c>
      <c r="B54" s="348">
        <f>B53*B51</f>
        <v>17600000</v>
      </c>
      <c r="D54" s="321"/>
      <c r="E54" s="322"/>
      <c r="F54" s="323"/>
      <c r="G54" s="324"/>
    </row>
    <row r="55" spans="1:12" x14ac:dyDescent="0.25">
      <c r="A55" s="383" t="s">
        <v>438</v>
      </c>
      <c r="B55" s="328">
        <v>135</v>
      </c>
      <c r="C55" s="344" t="s">
        <v>439</v>
      </c>
      <c r="D55" s="321"/>
      <c r="E55" s="322"/>
      <c r="F55" s="323"/>
      <c r="G55" s="324"/>
    </row>
    <row r="56" spans="1:12" x14ac:dyDescent="0.25">
      <c r="A56" s="383" t="s">
        <v>440</v>
      </c>
      <c r="B56" s="329">
        <v>0.6</v>
      </c>
      <c r="C56" s="344" t="s">
        <v>441</v>
      </c>
      <c r="D56" s="321"/>
      <c r="E56" s="322"/>
      <c r="F56" s="323"/>
      <c r="G56" s="324"/>
    </row>
    <row r="57" spans="1:12" x14ac:dyDescent="0.25">
      <c r="A57" s="383" t="s">
        <v>442</v>
      </c>
      <c r="B57" s="330">
        <v>8.2876999999999992</v>
      </c>
      <c r="C57" s="344" t="s">
        <v>441</v>
      </c>
      <c r="D57" s="321"/>
      <c r="E57" s="322"/>
      <c r="F57" s="323"/>
      <c r="G57" s="324"/>
    </row>
    <row r="58" spans="1:12" x14ac:dyDescent="0.25">
      <c r="A58" s="383" t="s">
        <v>443</v>
      </c>
      <c r="B58" s="328">
        <v>0.4</v>
      </c>
      <c r="C58" s="344" t="s">
        <v>444</v>
      </c>
      <c r="D58" s="321"/>
      <c r="E58" s="322"/>
      <c r="F58" s="323"/>
      <c r="G58" s="324"/>
    </row>
    <row r="59" spans="1:12" x14ac:dyDescent="0.25">
      <c r="A59" s="383"/>
      <c r="B59" s="319"/>
      <c r="C59" s="320"/>
      <c r="D59" s="321"/>
      <c r="E59" s="322"/>
      <c r="F59" s="323"/>
      <c r="G59" s="324"/>
    </row>
    <row r="60" spans="1:12" x14ac:dyDescent="0.3">
      <c r="A60" s="645" t="s">
        <v>445</v>
      </c>
      <c r="B60" s="646"/>
      <c r="C60" s="646"/>
      <c r="D60" s="646"/>
      <c r="E60" s="646"/>
      <c r="F60" s="646"/>
      <c r="G60" s="646"/>
      <c r="H60" s="646"/>
      <c r="I60" s="646"/>
      <c r="J60" s="646"/>
      <c r="K60" s="646"/>
    </row>
    <row r="61" spans="1:12" ht="40.200000000000003" x14ac:dyDescent="0.3">
      <c r="A61" s="403" t="s">
        <v>446</v>
      </c>
      <c r="B61" s="374" t="s">
        <v>447</v>
      </c>
      <c r="C61" s="404" t="s">
        <v>448</v>
      </c>
      <c r="D61" s="375" t="s">
        <v>449</v>
      </c>
      <c r="E61" s="376" t="s">
        <v>450</v>
      </c>
      <c r="F61" s="376" t="s">
        <v>451</v>
      </c>
      <c r="G61" s="649" t="s">
        <v>452</v>
      </c>
      <c r="H61" s="650"/>
      <c r="I61" s="649" t="s">
        <v>453</v>
      </c>
      <c r="J61" s="650"/>
      <c r="K61" s="405" t="s">
        <v>454</v>
      </c>
      <c r="L61"/>
    </row>
    <row r="62" spans="1:12" x14ac:dyDescent="0.25">
      <c r="A62" s="547" t="s">
        <v>455</v>
      </c>
      <c r="B62" s="333">
        <v>47.9</v>
      </c>
      <c r="C62" s="406">
        <f t="shared" ref="C62:C77" si="2">$B$52*($B$55-B62)*$B$57</f>
        <v>519.73824239999999</v>
      </c>
      <c r="D62" s="334">
        <f t="shared" ref="D62:D77" si="3">C62*$B$56</f>
        <v>311.84294543999999</v>
      </c>
      <c r="E62" s="450">
        <f t="shared" ref="E62:E77" si="4">_xlfn.LET(_xlpm.x,IFERROR(_xlfn.XLOOKUP(D62/$C$3,$A$120:$A$128,$A$120:$A$128,"",1),""),IF(_xlpm.x="","Exceeds consumer input list",_xlpm.x))</f>
        <v>30000</v>
      </c>
      <c r="F62" s="407">
        <f t="shared" ref="F62:F77" si="5">_xlfn.LET(_xlpm.x,IFERROR(_xlfn.XLOOKUP(MAX(30,$B$52*$B$58),$E$120:$E$124,$E$120:$E$124,"",1),""),IF(_xlpm.x="","Exceeds consumer tank list",_xlpm.x))</f>
        <v>30</v>
      </c>
      <c r="G62" s="408">
        <f t="shared" ref="G62:G77" si="6">IF(AND(ISNUMBER(I62),F62&gt;0),I62/(0.0834*F62),NA())</f>
        <v>3.3813726412457483</v>
      </c>
      <c r="H62" s="294" t="s">
        <v>456</v>
      </c>
      <c r="I62" s="409">
        <f t="shared" ref="I62:I77" si="7">_xlfn.LET(_xlpm.re,$C$3,_xlpm.vr,F62,_xlpm.qin,E62,_xlpm.uef,IF(_xlpm.vr&lt;=55,0.692-0.0013*_xlpm.vr,0.8072-0.0003*_xlpm.vr),_xlpm.qload,$B$134*$B$138*$B$139*($B$135-$B$136),_xlpm.dT,$B$135-$B$137,((_xlpm.re/_xlpm.uef)-1)/(_xlpm.dT*(24/_xlpm.qload)-_xlpm.dT/(_xlpm.qin*_xlpm.uef)))</f>
        <v>8.4601943483968629</v>
      </c>
      <c r="J62" s="409" t="s">
        <v>457</v>
      </c>
      <c r="K62" s="648" t="s">
        <v>458</v>
      </c>
    </row>
    <row r="63" spans="1:12" x14ac:dyDescent="0.25">
      <c r="A63" s="547" t="s">
        <v>459</v>
      </c>
      <c r="B63" s="333">
        <v>50.8</v>
      </c>
      <c r="C63" s="406">
        <f t="shared" si="2"/>
        <v>502.43352480000004</v>
      </c>
      <c r="D63" s="334">
        <f t="shared" si="3"/>
        <v>301.46011487999999</v>
      </c>
      <c r="E63" s="450">
        <f t="shared" si="4"/>
        <v>30000</v>
      </c>
      <c r="F63" s="407">
        <f t="shared" si="5"/>
        <v>30</v>
      </c>
      <c r="G63" s="408">
        <f t="shared" si="6"/>
        <v>3.3813726412457483</v>
      </c>
      <c r="H63" s="294" t="s">
        <v>456</v>
      </c>
      <c r="I63" s="409">
        <f t="shared" si="7"/>
        <v>8.4601943483968629</v>
      </c>
      <c r="J63" s="409" t="s">
        <v>457</v>
      </c>
      <c r="K63" s="648"/>
    </row>
    <row r="64" spans="1:12" x14ac:dyDescent="0.25">
      <c r="A64" s="547" t="s">
        <v>460</v>
      </c>
      <c r="B64" s="333">
        <v>52.2</v>
      </c>
      <c r="C64" s="406">
        <f t="shared" si="2"/>
        <v>494.07952319999998</v>
      </c>
      <c r="D64" s="334">
        <f t="shared" si="3"/>
        <v>296.44771391999996</v>
      </c>
      <c r="E64" s="450">
        <f t="shared" si="4"/>
        <v>30000</v>
      </c>
      <c r="F64" s="407">
        <f t="shared" si="5"/>
        <v>30</v>
      </c>
      <c r="G64" s="408">
        <f t="shared" si="6"/>
        <v>3.3813726412457483</v>
      </c>
      <c r="H64" s="294" t="s">
        <v>456</v>
      </c>
      <c r="I64" s="409">
        <f t="shared" si="7"/>
        <v>8.4601943483968629</v>
      </c>
      <c r="J64" s="409" t="s">
        <v>457</v>
      </c>
      <c r="K64" s="648"/>
    </row>
    <row r="65" spans="1:12" x14ac:dyDescent="0.25">
      <c r="A65" s="547" t="s">
        <v>461</v>
      </c>
      <c r="B65" s="333">
        <v>52.7</v>
      </c>
      <c r="C65" s="406">
        <f t="shared" si="2"/>
        <v>491.0959512</v>
      </c>
      <c r="D65" s="334">
        <f t="shared" si="3"/>
        <v>294.65757071999997</v>
      </c>
      <c r="E65" s="450">
        <f t="shared" si="4"/>
        <v>30000</v>
      </c>
      <c r="F65" s="407">
        <f t="shared" si="5"/>
        <v>30</v>
      </c>
      <c r="G65" s="408">
        <f t="shared" si="6"/>
        <v>3.3813726412457483</v>
      </c>
      <c r="H65" s="294" t="s">
        <v>456</v>
      </c>
      <c r="I65" s="409">
        <f t="shared" si="7"/>
        <v>8.4601943483968629</v>
      </c>
      <c r="J65" s="409" t="s">
        <v>457</v>
      </c>
      <c r="K65" s="648"/>
    </row>
    <row r="66" spans="1:12" x14ac:dyDescent="0.25">
      <c r="A66" s="547" t="s">
        <v>462</v>
      </c>
      <c r="B66" s="333">
        <v>51.6</v>
      </c>
      <c r="C66" s="406">
        <f t="shared" si="2"/>
        <v>497.65980960000002</v>
      </c>
      <c r="D66" s="334">
        <f t="shared" si="3"/>
        <v>298.59588575999999</v>
      </c>
      <c r="E66" s="450">
        <f t="shared" si="4"/>
        <v>30000</v>
      </c>
      <c r="F66" s="407">
        <f t="shared" si="5"/>
        <v>30</v>
      </c>
      <c r="G66" s="408">
        <f t="shared" si="6"/>
        <v>3.3813726412457483</v>
      </c>
      <c r="H66" s="294" t="s">
        <v>456</v>
      </c>
      <c r="I66" s="409">
        <f t="shared" si="7"/>
        <v>8.4601943483968629</v>
      </c>
      <c r="J66" s="409" t="s">
        <v>457</v>
      </c>
      <c r="K66" s="648"/>
    </row>
    <row r="67" spans="1:12" x14ac:dyDescent="0.25">
      <c r="A67" s="547" t="s">
        <v>463</v>
      </c>
      <c r="B67" s="333">
        <v>56.8</v>
      </c>
      <c r="C67" s="406">
        <f t="shared" si="2"/>
        <v>466.63066080000004</v>
      </c>
      <c r="D67" s="334">
        <f t="shared" si="3"/>
        <v>279.97839648000001</v>
      </c>
      <c r="E67" s="450">
        <f t="shared" si="4"/>
        <v>30000</v>
      </c>
      <c r="F67" s="407">
        <f t="shared" si="5"/>
        <v>30</v>
      </c>
      <c r="G67" s="408">
        <f t="shared" si="6"/>
        <v>3.3813726412457483</v>
      </c>
      <c r="H67" s="294" t="s">
        <v>456</v>
      </c>
      <c r="I67" s="409">
        <f t="shared" si="7"/>
        <v>8.4601943483968629</v>
      </c>
      <c r="J67" s="409" t="s">
        <v>457</v>
      </c>
      <c r="K67" s="648"/>
    </row>
    <row r="68" spans="1:12" x14ac:dyDescent="0.25">
      <c r="A68" s="547" t="s">
        <v>464</v>
      </c>
      <c r="B68" s="333">
        <v>58.4</v>
      </c>
      <c r="C68" s="406">
        <f t="shared" si="2"/>
        <v>457.08323039999999</v>
      </c>
      <c r="D68" s="334">
        <f t="shared" si="3"/>
        <v>274.24993824000001</v>
      </c>
      <c r="E68" s="450">
        <f t="shared" si="4"/>
        <v>30000</v>
      </c>
      <c r="F68" s="407">
        <f t="shared" si="5"/>
        <v>30</v>
      </c>
      <c r="G68" s="408">
        <f t="shared" si="6"/>
        <v>3.3813726412457483</v>
      </c>
      <c r="H68" s="294" t="s">
        <v>456</v>
      </c>
      <c r="I68" s="409">
        <f t="shared" si="7"/>
        <v>8.4601943483968629</v>
      </c>
      <c r="J68" s="409" t="s">
        <v>457</v>
      </c>
      <c r="K68" s="648"/>
    </row>
    <row r="69" spans="1:12" x14ac:dyDescent="0.25">
      <c r="A69" s="547" t="s">
        <v>465</v>
      </c>
      <c r="B69" s="333">
        <v>58.4</v>
      </c>
      <c r="C69" s="406">
        <f t="shared" si="2"/>
        <v>457.08323039999999</v>
      </c>
      <c r="D69" s="334">
        <f t="shared" si="3"/>
        <v>274.24993824000001</v>
      </c>
      <c r="E69" s="450">
        <f t="shared" si="4"/>
        <v>30000</v>
      </c>
      <c r="F69" s="407">
        <f t="shared" si="5"/>
        <v>30</v>
      </c>
      <c r="G69" s="408">
        <f t="shared" si="6"/>
        <v>3.3813726412457483</v>
      </c>
      <c r="H69" s="294" t="s">
        <v>456</v>
      </c>
      <c r="I69" s="409">
        <f t="shared" si="7"/>
        <v>8.4601943483968629</v>
      </c>
      <c r="J69" s="409" t="s">
        <v>457</v>
      </c>
      <c r="K69" s="648"/>
    </row>
    <row r="70" spans="1:12" x14ac:dyDescent="0.25">
      <c r="A70" s="547" t="s">
        <v>466</v>
      </c>
      <c r="B70" s="333">
        <v>57.6</v>
      </c>
      <c r="C70" s="406">
        <f t="shared" si="2"/>
        <v>461.85694560000002</v>
      </c>
      <c r="D70" s="334">
        <f t="shared" si="3"/>
        <v>277.11416736000001</v>
      </c>
      <c r="E70" s="450">
        <f t="shared" si="4"/>
        <v>30000</v>
      </c>
      <c r="F70" s="407">
        <f t="shared" si="5"/>
        <v>30</v>
      </c>
      <c r="G70" s="408">
        <f t="shared" si="6"/>
        <v>3.3813726412457483</v>
      </c>
      <c r="H70" s="294" t="s">
        <v>456</v>
      </c>
      <c r="I70" s="409">
        <f t="shared" si="7"/>
        <v>8.4601943483968629</v>
      </c>
      <c r="J70" s="409" t="s">
        <v>457</v>
      </c>
      <c r="K70" s="648"/>
    </row>
    <row r="71" spans="1:12" x14ac:dyDescent="0.25">
      <c r="A71" s="547" t="s">
        <v>204</v>
      </c>
      <c r="B71" s="333">
        <v>57.1</v>
      </c>
      <c r="C71" s="406">
        <f t="shared" si="2"/>
        <v>464.8405176</v>
      </c>
      <c r="D71" s="334">
        <f t="shared" si="3"/>
        <v>278.90431056</v>
      </c>
      <c r="E71" s="450">
        <f t="shared" si="4"/>
        <v>30000</v>
      </c>
      <c r="F71" s="407">
        <f t="shared" si="5"/>
        <v>30</v>
      </c>
      <c r="G71" s="408">
        <f t="shared" si="6"/>
        <v>3.3813726412457483</v>
      </c>
      <c r="H71" s="294" t="s">
        <v>456</v>
      </c>
      <c r="I71" s="409">
        <f t="shared" si="7"/>
        <v>8.4601943483968629</v>
      </c>
      <c r="J71" s="409" t="s">
        <v>457</v>
      </c>
      <c r="K71" s="648"/>
    </row>
    <row r="72" spans="1:12" x14ac:dyDescent="0.25">
      <c r="A72" s="547" t="s">
        <v>205</v>
      </c>
      <c r="B72" s="333">
        <v>50.5</v>
      </c>
      <c r="C72" s="406">
        <f t="shared" si="2"/>
        <v>504.22366800000003</v>
      </c>
      <c r="D72" s="334">
        <f t="shared" si="3"/>
        <v>302.53420080000001</v>
      </c>
      <c r="E72" s="450">
        <f t="shared" si="4"/>
        <v>30000</v>
      </c>
      <c r="F72" s="407">
        <f t="shared" si="5"/>
        <v>30</v>
      </c>
      <c r="G72" s="408">
        <f t="shared" si="6"/>
        <v>3.3813726412457483</v>
      </c>
      <c r="H72" s="294" t="s">
        <v>456</v>
      </c>
      <c r="I72" s="409">
        <f t="shared" si="7"/>
        <v>8.4601943483968629</v>
      </c>
      <c r="J72" s="409" t="s">
        <v>457</v>
      </c>
      <c r="K72" s="648"/>
    </row>
    <row r="73" spans="1:12" x14ac:dyDescent="0.25">
      <c r="A73" s="547" t="s">
        <v>206</v>
      </c>
      <c r="B73" s="333">
        <v>51.4</v>
      </c>
      <c r="C73" s="406">
        <f t="shared" si="2"/>
        <v>498.85323839999995</v>
      </c>
      <c r="D73" s="334">
        <f t="shared" si="3"/>
        <v>299.31194303999996</v>
      </c>
      <c r="E73" s="450">
        <f t="shared" si="4"/>
        <v>30000</v>
      </c>
      <c r="F73" s="407">
        <f t="shared" si="5"/>
        <v>30</v>
      </c>
      <c r="G73" s="408">
        <f t="shared" si="6"/>
        <v>3.3813726412457483</v>
      </c>
      <c r="H73" s="294" t="s">
        <v>456</v>
      </c>
      <c r="I73" s="409">
        <f t="shared" si="7"/>
        <v>8.4601943483968629</v>
      </c>
      <c r="J73" s="409" t="s">
        <v>457</v>
      </c>
      <c r="K73" s="648"/>
    </row>
    <row r="74" spans="1:12" x14ac:dyDescent="0.25">
      <c r="A74" s="547" t="s">
        <v>207</v>
      </c>
      <c r="B74" s="333">
        <v>51.7</v>
      </c>
      <c r="C74" s="406">
        <f t="shared" si="2"/>
        <v>497.06309520000002</v>
      </c>
      <c r="D74" s="334">
        <f t="shared" si="3"/>
        <v>298.23785712</v>
      </c>
      <c r="E74" s="450">
        <f t="shared" si="4"/>
        <v>30000</v>
      </c>
      <c r="F74" s="407">
        <f t="shared" si="5"/>
        <v>30</v>
      </c>
      <c r="G74" s="408">
        <f t="shared" si="6"/>
        <v>3.3813726412457483</v>
      </c>
      <c r="H74" s="294" t="s">
        <v>456</v>
      </c>
      <c r="I74" s="409">
        <f t="shared" si="7"/>
        <v>8.4601943483968629</v>
      </c>
      <c r="J74" s="409" t="s">
        <v>457</v>
      </c>
      <c r="K74" s="648"/>
    </row>
    <row r="75" spans="1:12" x14ac:dyDescent="0.25">
      <c r="A75" s="547" t="s">
        <v>208</v>
      </c>
      <c r="B75" s="333">
        <v>50.1</v>
      </c>
      <c r="C75" s="406">
        <f t="shared" si="2"/>
        <v>506.61052560000007</v>
      </c>
      <c r="D75" s="334">
        <f t="shared" si="3"/>
        <v>303.96631536000001</v>
      </c>
      <c r="E75" s="450">
        <f t="shared" si="4"/>
        <v>30000</v>
      </c>
      <c r="F75" s="407">
        <f t="shared" si="5"/>
        <v>30</v>
      </c>
      <c r="G75" s="408">
        <f t="shared" si="6"/>
        <v>3.3813726412457483</v>
      </c>
      <c r="H75" s="294" t="s">
        <v>456</v>
      </c>
      <c r="I75" s="409">
        <f t="shared" si="7"/>
        <v>8.4601943483968629</v>
      </c>
      <c r="J75" s="409" t="s">
        <v>457</v>
      </c>
      <c r="K75" s="648"/>
    </row>
    <row r="76" spans="1:12" x14ac:dyDescent="0.25">
      <c r="A76" s="547" t="s">
        <v>209</v>
      </c>
      <c r="B76" s="333">
        <v>63.2</v>
      </c>
      <c r="C76" s="406">
        <f t="shared" si="2"/>
        <v>428.4409392</v>
      </c>
      <c r="D76" s="334">
        <f t="shared" si="3"/>
        <v>257.06456351999998</v>
      </c>
      <c r="E76" s="450">
        <f t="shared" si="4"/>
        <v>30000</v>
      </c>
      <c r="F76" s="407">
        <f t="shared" si="5"/>
        <v>30</v>
      </c>
      <c r="G76" s="408">
        <f t="shared" si="6"/>
        <v>3.3813726412457483</v>
      </c>
      <c r="H76" s="294" t="s">
        <v>456</v>
      </c>
      <c r="I76" s="409">
        <f t="shared" si="7"/>
        <v>8.4601943483968629</v>
      </c>
      <c r="J76" s="409" t="s">
        <v>457</v>
      </c>
      <c r="K76" s="648"/>
    </row>
    <row r="77" spans="1:12" x14ac:dyDescent="0.25">
      <c r="A77" s="547" t="s">
        <v>210</v>
      </c>
      <c r="B77" s="333">
        <v>41.4</v>
      </c>
      <c r="C77" s="406">
        <f t="shared" si="2"/>
        <v>558.52467840000008</v>
      </c>
      <c r="D77" s="334">
        <f t="shared" si="3"/>
        <v>335.11480704000002</v>
      </c>
      <c r="E77" s="450">
        <f t="shared" si="4"/>
        <v>30000</v>
      </c>
      <c r="F77" s="407">
        <f t="shared" si="5"/>
        <v>30</v>
      </c>
      <c r="G77" s="408">
        <f t="shared" si="6"/>
        <v>3.3813726412457483</v>
      </c>
      <c r="H77" s="294" t="s">
        <v>456</v>
      </c>
      <c r="I77" s="409">
        <f t="shared" si="7"/>
        <v>8.4601943483968629</v>
      </c>
      <c r="J77" s="409" t="s">
        <v>457</v>
      </c>
      <c r="K77" s="648"/>
    </row>
    <row r="78" spans="1:12" x14ac:dyDescent="0.25">
      <c r="A78" s="410"/>
      <c r="B78" s="319"/>
      <c r="C78" s="411"/>
      <c r="D78" s="321"/>
      <c r="E78" s="322"/>
      <c r="F78" s="412"/>
      <c r="G78" s="413"/>
      <c r="H78" s="414"/>
      <c r="I78" s="414"/>
      <c r="J78" s="414"/>
      <c r="K78" s="414"/>
    </row>
    <row r="79" spans="1:12" x14ac:dyDescent="0.3">
      <c r="A79" s="645" t="s">
        <v>467</v>
      </c>
      <c r="B79" s="646"/>
      <c r="C79" s="646"/>
      <c r="D79" s="646"/>
      <c r="E79" s="646"/>
      <c r="F79" s="646"/>
      <c r="G79" s="646"/>
      <c r="H79" s="646"/>
      <c r="I79" s="646"/>
      <c r="J79" s="646"/>
      <c r="K79" s="646"/>
    </row>
    <row r="80" spans="1:12" ht="40.200000000000003" x14ac:dyDescent="0.3">
      <c r="A80" s="403" t="s">
        <v>446</v>
      </c>
      <c r="B80" s="374" t="s">
        <v>447</v>
      </c>
      <c r="C80" s="404" t="s">
        <v>448</v>
      </c>
      <c r="D80" s="375" t="s">
        <v>449</v>
      </c>
      <c r="E80" s="376" t="s">
        <v>450</v>
      </c>
      <c r="F80" s="376" t="s">
        <v>451</v>
      </c>
      <c r="G80" s="652" t="s">
        <v>468</v>
      </c>
      <c r="H80" s="653"/>
      <c r="I80" s="649" t="s">
        <v>453</v>
      </c>
      <c r="J80" s="650"/>
      <c r="K80" s="405" t="s">
        <v>454</v>
      </c>
      <c r="L80"/>
    </row>
    <row r="81" spans="1:11" x14ac:dyDescent="0.25">
      <c r="A81" s="547" t="s">
        <v>455</v>
      </c>
      <c r="B81" s="333">
        <v>47.9</v>
      </c>
      <c r="C81" s="406">
        <f t="shared" ref="C81:C96" si="8">$B$52*($B$55-B81)*$B$57</f>
        <v>519.73824239999999</v>
      </c>
      <c r="D81" s="334">
        <f t="shared" ref="D81:D96" si="9">C81*$B$56</f>
        <v>311.84294543999999</v>
      </c>
      <c r="E81" s="450">
        <f t="shared" ref="E81:E96" si="10">$C$120</f>
        <v>200000</v>
      </c>
      <c r="F81" s="451">
        <f t="shared" ref="F81:F96" si="11">$G$120</f>
        <v>0</v>
      </c>
      <c r="G81" s="452">
        <f t="shared" ref="G81:G96" si="12">IF(F81&gt;0,I81/(0.0834*F81),0)</f>
        <v>0</v>
      </c>
      <c r="H81" s="294" t="s">
        <v>456</v>
      </c>
      <c r="I81" s="409">
        <f>0</f>
        <v>0</v>
      </c>
      <c r="J81" s="409" t="s">
        <v>457</v>
      </c>
      <c r="K81" s="642" t="s">
        <v>469</v>
      </c>
    </row>
    <row r="82" spans="1:11" x14ac:dyDescent="0.25">
      <c r="A82" s="547" t="s">
        <v>459</v>
      </c>
      <c r="B82" s="333">
        <v>50.8</v>
      </c>
      <c r="C82" s="406">
        <f t="shared" si="8"/>
        <v>502.43352480000004</v>
      </c>
      <c r="D82" s="334">
        <f t="shared" si="9"/>
        <v>301.46011487999999</v>
      </c>
      <c r="E82" s="450">
        <f t="shared" si="10"/>
        <v>200000</v>
      </c>
      <c r="F82" s="451">
        <f t="shared" si="11"/>
        <v>0</v>
      </c>
      <c r="G82" s="452">
        <f t="shared" si="12"/>
        <v>0</v>
      </c>
      <c r="H82" s="294" t="s">
        <v>456</v>
      </c>
      <c r="I82" s="409">
        <f>0</f>
        <v>0</v>
      </c>
      <c r="J82" s="409" t="s">
        <v>457</v>
      </c>
      <c r="K82" s="654"/>
    </row>
    <row r="83" spans="1:11" x14ac:dyDescent="0.25">
      <c r="A83" s="547" t="s">
        <v>460</v>
      </c>
      <c r="B83" s="333">
        <v>52.2</v>
      </c>
      <c r="C83" s="406">
        <f t="shared" si="8"/>
        <v>494.07952319999998</v>
      </c>
      <c r="D83" s="334">
        <f t="shared" si="9"/>
        <v>296.44771391999996</v>
      </c>
      <c r="E83" s="450">
        <f t="shared" si="10"/>
        <v>200000</v>
      </c>
      <c r="F83" s="451">
        <f t="shared" si="11"/>
        <v>0</v>
      </c>
      <c r="G83" s="452">
        <f t="shared" si="12"/>
        <v>0</v>
      </c>
      <c r="H83" s="294" t="s">
        <v>456</v>
      </c>
      <c r="I83" s="409">
        <f>0</f>
        <v>0</v>
      </c>
      <c r="J83" s="409" t="s">
        <v>457</v>
      </c>
      <c r="K83" s="654"/>
    </row>
    <row r="84" spans="1:11" x14ac:dyDescent="0.25">
      <c r="A84" s="547" t="s">
        <v>461</v>
      </c>
      <c r="B84" s="333">
        <v>52.7</v>
      </c>
      <c r="C84" s="406">
        <f t="shared" si="8"/>
        <v>491.0959512</v>
      </c>
      <c r="D84" s="334">
        <f t="shared" si="9"/>
        <v>294.65757071999997</v>
      </c>
      <c r="E84" s="450">
        <f t="shared" si="10"/>
        <v>200000</v>
      </c>
      <c r="F84" s="451">
        <f t="shared" si="11"/>
        <v>0</v>
      </c>
      <c r="G84" s="452">
        <f t="shared" si="12"/>
        <v>0</v>
      </c>
      <c r="H84" s="294" t="s">
        <v>456</v>
      </c>
      <c r="I84" s="409">
        <f>0</f>
        <v>0</v>
      </c>
      <c r="J84" s="409" t="s">
        <v>457</v>
      </c>
      <c r="K84" s="654"/>
    </row>
    <row r="85" spans="1:11" x14ac:dyDescent="0.25">
      <c r="A85" s="547" t="s">
        <v>462</v>
      </c>
      <c r="B85" s="333">
        <v>51.6</v>
      </c>
      <c r="C85" s="406">
        <f t="shared" si="8"/>
        <v>497.65980960000002</v>
      </c>
      <c r="D85" s="334">
        <f t="shared" si="9"/>
        <v>298.59588575999999</v>
      </c>
      <c r="E85" s="450">
        <f t="shared" si="10"/>
        <v>200000</v>
      </c>
      <c r="F85" s="451">
        <f t="shared" si="11"/>
        <v>0</v>
      </c>
      <c r="G85" s="452">
        <f t="shared" si="12"/>
        <v>0</v>
      </c>
      <c r="H85" s="294" t="s">
        <v>456</v>
      </c>
      <c r="I85" s="409">
        <f>0</f>
        <v>0</v>
      </c>
      <c r="J85" s="409" t="s">
        <v>457</v>
      </c>
      <c r="K85" s="654"/>
    </row>
    <row r="86" spans="1:11" x14ac:dyDescent="0.25">
      <c r="A86" s="547" t="s">
        <v>463</v>
      </c>
      <c r="B86" s="333">
        <v>56.8</v>
      </c>
      <c r="C86" s="406">
        <f t="shared" si="8"/>
        <v>466.63066080000004</v>
      </c>
      <c r="D86" s="334">
        <f t="shared" si="9"/>
        <v>279.97839648000001</v>
      </c>
      <c r="E86" s="450">
        <f t="shared" si="10"/>
        <v>200000</v>
      </c>
      <c r="F86" s="451">
        <f t="shared" si="11"/>
        <v>0</v>
      </c>
      <c r="G86" s="452">
        <f t="shared" si="12"/>
        <v>0</v>
      </c>
      <c r="H86" s="294" t="s">
        <v>456</v>
      </c>
      <c r="I86" s="409">
        <f>0</f>
        <v>0</v>
      </c>
      <c r="J86" s="409" t="s">
        <v>457</v>
      </c>
      <c r="K86" s="654"/>
    </row>
    <row r="87" spans="1:11" x14ac:dyDescent="0.25">
      <c r="A87" s="547" t="s">
        <v>464</v>
      </c>
      <c r="B87" s="333">
        <v>58.4</v>
      </c>
      <c r="C87" s="406">
        <f t="shared" si="8"/>
        <v>457.08323039999999</v>
      </c>
      <c r="D87" s="334">
        <f t="shared" si="9"/>
        <v>274.24993824000001</v>
      </c>
      <c r="E87" s="450">
        <f t="shared" si="10"/>
        <v>200000</v>
      </c>
      <c r="F87" s="451">
        <f t="shared" si="11"/>
        <v>0</v>
      </c>
      <c r="G87" s="452">
        <f t="shared" si="12"/>
        <v>0</v>
      </c>
      <c r="H87" s="294" t="s">
        <v>456</v>
      </c>
      <c r="I87" s="409">
        <f>0</f>
        <v>0</v>
      </c>
      <c r="J87" s="409" t="s">
        <v>457</v>
      </c>
      <c r="K87" s="654"/>
    </row>
    <row r="88" spans="1:11" x14ac:dyDescent="0.25">
      <c r="A88" s="547" t="s">
        <v>465</v>
      </c>
      <c r="B88" s="333">
        <v>58.4</v>
      </c>
      <c r="C88" s="406">
        <f t="shared" si="8"/>
        <v>457.08323039999999</v>
      </c>
      <c r="D88" s="334">
        <f t="shared" si="9"/>
        <v>274.24993824000001</v>
      </c>
      <c r="E88" s="450">
        <f t="shared" si="10"/>
        <v>200000</v>
      </c>
      <c r="F88" s="451">
        <f t="shared" si="11"/>
        <v>0</v>
      </c>
      <c r="G88" s="452">
        <f t="shared" si="12"/>
        <v>0</v>
      </c>
      <c r="H88" s="294" t="s">
        <v>456</v>
      </c>
      <c r="I88" s="409">
        <f>0</f>
        <v>0</v>
      </c>
      <c r="J88" s="409" t="s">
        <v>457</v>
      </c>
      <c r="K88" s="654"/>
    </row>
    <row r="89" spans="1:11" x14ac:dyDescent="0.25">
      <c r="A89" s="547" t="s">
        <v>466</v>
      </c>
      <c r="B89" s="333">
        <v>57.6</v>
      </c>
      <c r="C89" s="406">
        <f t="shared" si="8"/>
        <v>461.85694560000002</v>
      </c>
      <c r="D89" s="334">
        <f t="shared" si="9"/>
        <v>277.11416736000001</v>
      </c>
      <c r="E89" s="450">
        <f t="shared" si="10"/>
        <v>200000</v>
      </c>
      <c r="F89" s="451">
        <f t="shared" si="11"/>
        <v>0</v>
      </c>
      <c r="G89" s="452">
        <f t="shared" si="12"/>
        <v>0</v>
      </c>
      <c r="H89" s="294" t="s">
        <v>456</v>
      </c>
      <c r="I89" s="409">
        <f>0</f>
        <v>0</v>
      </c>
      <c r="J89" s="409" t="s">
        <v>457</v>
      </c>
      <c r="K89" s="654"/>
    </row>
    <row r="90" spans="1:11" x14ac:dyDescent="0.25">
      <c r="A90" s="547" t="s">
        <v>204</v>
      </c>
      <c r="B90" s="333">
        <v>57.1</v>
      </c>
      <c r="C90" s="406">
        <f t="shared" si="8"/>
        <v>464.8405176</v>
      </c>
      <c r="D90" s="334">
        <f t="shared" si="9"/>
        <v>278.90431056</v>
      </c>
      <c r="E90" s="450">
        <f t="shared" si="10"/>
        <v>200000</v>
      </c>
      <c r="F90" s="451">
        <f t="shared" si="11"/>
        <v>0</v>
      </c>
      <c r="G90" s="452">
        <f t="shared" si="12"/>
        <v>0</v>
      </c>
      <c r="H90" s="294" t="s">
        <v>456</v>
      </c>
      <c r="I90" s="409">
        <f>0</f>
        <v>0</v>
      </c>
      <c r="J90" s="409" t="s">
        <v>457</v>
      </c>
      <c r="K90" s="654"/>
    </row>
    <row r="91" spans="1:11" x14ac:dyDescent="0.25">
      <c r="A91" s="547" t="s">
        <v>205</v>
      </c>
      <c r="B91" s="333">
        <v>50.5</v>
      </c>
      <c r="C91" s="406">
        <f t="shared" si="8"/>
        <v>504.22366800000003</v>
      </c>
      <c r="D91" s="334">
        <f t="shared" si="9"/>
        <v>302.53420080000001</v>
      </c>
      <c r="E91" s="450">
        <f t="shared" si="10"/>
        <v>200000</v>
      </c>
      <c r="F91" s="451">
        <f t="shared" si="11"/>
        <v>0</v>
      </c>
      <c r="G91" s="452">
        <f t="shared" si="12"/>
        <v>0</v>
      </c>
      <c r="H91" s="294" t="s">
        <v>456</v>
      </c>
      <c r="I91" s="409">
        <f>0</f>
        <v>0</v>
      </c>
      <c r="J91" s="409" t="s">
        <v>457</v>
      </c>
      <c r="K91" s="654"/>
    </row>
    <row r="92" spans="1:11" x14ac:dyDescent="0.25">
      <c r="A92" s="547" t="s">
        <v>206</v>
      </c>
      <c r="B92" s="333">
        <v>51.4</v>
      </c>
      <c r="C92" s="406">
        <f t="shared" si="8"/>
        <v>498.85323839999995</v>
      </c>
      <c r="D92" s="334">
        <f t="shared" si="9"/>
        <v>299.31194303999996</v>
      </c>
      <c r="E92" s="450">
        <f t="shared" si="10"/>
        <v>200000</v>
      </c>
      <c r="F92" s="451">
        <f t="shared" si="11"/>
        <v>0</v>
      </c>
      <c r="G92" s="452">
        <f t="shared" si="12"/>
        <v>0</v>
      </c>
      <c r="H92" s="294" t="s">
        <v>456</v>
      </c>
      <c r="I92" s="409">
        <f>0</f>
        <v>0</v>
      </c>
      <c r="J92" s="409" t="s">
        <v>457</v>
      </c>
      <c r="K92" s="654"/>
    </row>
    <row r="93" spans="1:11" x14ac:dyDescent="0.25">
      <c r="A93" s="547" t="s">
        <v>207</v>
      </c>
      <c r="B93" s="333">
        <v>51.7</v>
      </c>
      <c r="C93" s="406">
        <f t="shared" si="8"/>
        <v>497.06309520000002</v>
      </c>
      <c r="D93" s="334">
        <f t="shared" si="9"/>
        <v>298.23785712</v>
      </c>
      <c r="E93" s="450">
        <f t="shared" si="10"/>
        <v>200000</v>
      </c>
      <c r="F93" s="451">
        <f t="shared" si="11"/>
        <v>0</v>
      </c>
      <c r="G93" s="452">
        <f t="shared" si="12"/>
        <v>0</v>
      </c>
      <c r="H93" s="294" t="s">
        <v>456</v>
      </c>
      <c r="I93" s="409">
        <f>0</f>
        <v>0</v>
      </c>
      <c r="J93" s="409" t="s">
        <v>457</v>
      </c>
      <c r="K93" s="654"/>
    </row>
    <row r="94" spans="1:11" x14ac:dyDescent="0.25">
      <c r="A94" s="547" t="s">
        <v>208</v>
      </c>
      <c r="B94" s="333">
        <v>50.1</v>
      </c>
      <c r="C94" s="406">
        <f t="shared" si="8"/>
        <v>506.61052560000007</v>
      </c>
      <c r="D94" s="334">
        <f t="shared" si="9"/>
        <v>303.96631536000001</v>
      </c>
      <c r="E94" s="450">
        <f t="shared" si="10"/>
        <v>200000</v>
      </c>
      <c r="F94" s="451">
        <f t="shared" si="11"/>
        <v>0</v>
      </c>
      <c r="G94" s="452">
        <f t="shared" si="12"/>
        <v>0</v>
      </c>
      <c r="H94" s="294" t="s">
        <v>456</v>
      </c>
      <c r="I94" s="409">
        <f>0</f>
        <v>0</v>
      </c>
      <c r="J94" s="409" t="s">
        <v>457</v>
      </c>
      <c r="K94" s="654"/>
    </row>
    <row r="95" spans="1:11" x14ac:dyDescent="0.25">
      <c r="A95" s="547" t="s">
        <v>209</v>
      </c>
      <c r="B95" s="333">
        <v>63.2</v>
      </c>
      <c r="C95" s="406">
        <f t="shared" si="8"/>
        <v>428.4409392</v>
      </c>
      <c r="D95" s="334">
        <f t="shared" si="9"/>
        <v>257.06456351999998</v>
      </c>
      <c r="E95" s="450">
        <f t="shared" si="10"/>
        <v>200000</v>
      </c>
      <c r="F95" s="451">
        <f t="shared" si="11"/>
        <v>0</v>
      </c>
      <c r="G95" s="452">
        <f t="shared" si="12"/>
        <v>0</v>
      </c>
      <c r="H95" s="294" t="s">
        <v>456</v>
      </c>
      <c r="I95" s="409">
        <f>0</f>
        <v>0</v>
      </c>
      <c r="J95" s="409" t="s">
        <v>457</v>
      </c>
      <c r="K95" s="654"/>
    </row>
    <row r="96" spans="1:11" x14ac:dyDescent="0.25">
      <c r="A96" s="547" t="s">
        <v>210</v>
      </c>
      <c r="B96" s="333">
        <v>41.4</v>
      </c>
      <c r="C96" s="406">
        <f t="shared" si="8"/>
        <v>558.52467840000008</v>
      </c>
      <c r="D96" s="334">
        <f t="shared" si="9"/>
        <v>335.11480704000002</v>
      </c>
      <c r="E96" s="450">
        <f t="shared" si="10"/>
        <v>200000</v>
      </c>
      <c r="F96" s="451">
        <f t="shared" si="11"/>
        <v>0</v>
      </c>
      <c r="G96" s="452">
        <f t="shared" si="12"/>
        <v>0</v>
      </c>
      <c r="H96" s="294" t="s">
        <v>456</v>
      </c>
      <c r="I96" s="409">
        <f>0</f>
        <v>0</v>
      </c>
      <c r="J96" s="409" t="s">
        <v>457</v>
      </c>
      <c r="K96" s="655"/>
    </row>
    <row r="97" spans="1:12" x14ac:dyDescent="0.25">
      <c r="A97" s="383"/>
      <c r="B97" s="319"/>
      <c r="C97" s="320"/>
      <c r="D97" s="321"/>
      <c r="E97" s="322"/>
      <c r="F97" s="323"/>
      <c r="G97" s="324"/>
    </row>
    <row r="98" spans="1:12" x14ac:dyDescent="0.3">
      <c r="A98" s="645" t="s">
        <v>470</v>
      </c>
      <c r="B98" s="646"/>
      <c r="C98" s="646"/>
      <c r="D98" s="646"/>
      <c r="E98" s="646"/>
      <c r="F98" s="646"/>
      <c r="G98" s="646"/>
      <c r="H98" s="646"/>
      <c r="I98" s="646"/>
      <c r="J98" s="646"/>
      <c r="K98" s="646"/>
    </row>
    <row r="99" spans="1:12" ht="40.200000000000003" x14ac:dyDescent="0.3">
      <c r="A99" s="403" t="s">
        <v>446</v>
      </c>
      <c r="B99" s="374" t="s">
        <v>447</v>
      </c>
      <c r="C99" s="404" t="s">
        <v>448</v>
      </c>
      <c r="D99" s="375" t="s">
        <v>449</v>
      </c>
      <c r="E99" s="376" t="s">
        <v>450</v>
      </c>
      <c r="F99" s="376" t="s">
        <v>451</v>
      </c>
      <c r="G99" s="652" t="s">
        <v>471</v>
      </c>
      <c r="H99" s="653"/>
      <c r="I99" s="649" t="s">
        <v>453</v>
      </c>
      <c r="J99" s="650"/>
      <c r="K99" s="405" t="s">
        <v>454</v>
      </c>
      <c r="L99"/>
    </row>
    <row r="100" spans="1:12" x14ac:dyDescent="0.25">
      <c r="A100" s="547" t="s">
        <v>455</v>
      </c>
      <c r="B100" s="333">
        <v>47.9</v>
      </c>
      <c r="C100" s="406">
        <f t="shared" ref="C100:C115" si="13">$F$49*($B$55-B100)*$B$57</f>
        <v>54139.400249999992</v>
      </c>
      <c r="D100" s="334">
        <f t="shared" ref="D100:D115" si="14">C100*$B$56</f>
        <v>32483.640149999992</v>
      </c>
      <c r="E100" s="450">
        <f t="shared" ref="E100:E115" si="15">_xlfn.LET(_xlpm.x,IFERROR(_xlfn.XLOOKUP(D100/$C$3,$I$120:$I$129,$I$120:$I$129,"",1),""),IF(_xlpm.x="","Exceeds commercial input list",_xlpm.x))</f>
        <v>60000</v>
      </c>
      <c r="F100" s="407">
        <f t="shared" ref="F100:F115" si="16">_xlfn.LET(_xlpm.x,IFERROR(_xlfn.XLOOKUP(MAX(30,$F$49*$B$58),$K$120:$K$124,$K$120:$K$124,"",1),""),IF(_xlpm.x="","Exceeds commercial tank list",_xlpm.x))</f>
        <v>80</v>
      </c>
      <c r="G100" s="406">
        <f t="shared" ref="G100:G115" si="17">(E100/800)+110*SQRT(F100)</f>
        <v>1058.8699100999074</v>
      </c>
      <c r="H100" s="294" t="s">
        <v>472</v>
      </c>
      <c r="I100" s="409">
        <f t="shared" ref="I100:I115" si="18">G100/70</f>
        <v>15.126713001427248</v>
      </c>
      <c r="J100" s="453" t="s">
        <v>457</v>
      </c>
      <c r="K100" s="648" t="s">
        <v>473</v>
      </c>
    </row>
    <row r="101" spans="1:12" x14ac:dyDescent="0.25">
      <c r="A101" s="547" t="s">
        <v>459</v>
      </c>
      <c r="B101" s="333">
        <v>50.8</v>
      </c>
      <c r="C101" s="406">
        <f t="shared" si="13"/>
        <v>52336.825499999992</v>
      </c>
      <c r="D101" s="334">
        <f t="shared" si="14"/>
        <v>31402.095299999994</v>
      </c>
      <c r="E101" s="450">
        <f t="shared" si="15"/>
        <v>60000</v>
      </c>
      <c r="F101" s="407">
        <f t="shared" si="16"/>
        <v>80</v>
      </c>
      <c r="G101" s="406">
        <f t="shared" si="17"/>
        <v>1058.8699100999074</v>
      </c>
      <c r="H101" s="294" t="s">
        <v>472</v>
      </c>
      <c r="I101" s="409">
        <f t="shared" si="18"/>
        <v>15.126713001427248</v>
      </c>
      <c r="J101" s="453" t="s">
        <v>457</v>
      </c>
      <c r="K101" s="648"/>
    </row>
    <row r="102" spans="1:12" x14ac:dyDescent="0.25">
      <c r="A102" s="547" t="s">
        <v>460</v>
      </c>
      <c r="B102" s="333">
        <v>52.2</v>
      </c>
      <c r="C102" s="406">
        <f t="shared" si="13"/>
        <v>51466.616999999998</v>
      </c>
      <c r="D102" s="334">
        <f t="shared" si="14"/>
        <v>30879.970199999996</v>
      </c>
      <c r="E102" s="450">
        <f t="shared" si="15"/>
        <v>60000</v>
      </c>
      <c r="F102" s="407">
        <f t="shared" si="16"/>
        <v>80</v>
      </c>
      <c r="G102" s="406">
        <f t="shared" si="17"/>
        <v>1058.8699100999074</v>
      </c>
      <c r="H102" s="294" t="s">
        <v>472</v>
      </c>
      <c r="I102" s="409">
        <f t="shared" si="18"/>
        <v>15.126713001427248</v>
      </c>
      <c r="J102" s="453" t="s">
        <v>457</v>
      </c>
      <c r="K102" s="648"/>
    </row>
    <row r="103" spans="1:12" x14ac:dyDescent="0.25">
      <c r="A103" s="547" t="s">
        <v>461</v>
      </c>
      <c r="B103" s="333">
        <v>52.7</v>
      </c>
      <c r="C103" s="406">
        <f t="shared" si="13"/>
        <v>51155.828249999991</v>
      </c>
      <c r="D103" s="334">
        <f t="shared" si="14"/>
        <v>30693.496949999993</v>
      </c>
      <c r="E103" s="450">
        <f t="shared" si="15"/>
        <v>60000</v>
      </c>
      <c r="F103" s="407">
        <f t="shared" si="16"/>
        <v>80</v>
      </c>
      <c r="G103" s="406">
        <f t="shared" si="17"/>
        <v>1058.8699100999074</v>
      </c>
      <c r="H103" s="294" t="s">
        <v>472</v>
      </c>
      <c r="I103" s="409">
        <f t="shared" si="18"/>
        <v>15.126713001427248</v>
      </c>
      <c r="J103" s="453" t="s">
        <v>457</v>
      </c>
      <c r="K103" s="648"/>
    </row>
    <row r="104" spans="1:12" x14ac:dyDescent="0.25">
      <c r="A104" s="547" t="s">
        <v>462</v>
      </c>
      <c r="B104" s="333">
        <v>51.6</v>
      </c>
      <c r="C104" s="406">
        <f t="shared" si="13"/>
        <v>51839.563499999997</v>
      </c>
      <c r="D104" s="334">
        <f t="shared" si="14"/>
        <v>31103.738099999995</v>
      </c>
      <c r="E104" s="450">
        <f t="shared" si="15"/>
        <v>60000</v>
      </c>
      <c r="F104" s="407">
        <f t="shared" si="16"/>
        <v>80</v>
      </c>
      <c r="G104" s="406">
        <f t="shared" si="17"/>
        <v>1058.8699100999074</v>
      </c>
      <c r="H104" s="294" t="s">
        <v>472</v>
      </c>
      <c r="I104" s="409">
        <f t="shared" si="18"/>
        <v>15.126713001427248</v>
      </c>
      <c r="J104" s="453" t="s">
        <v>457</v>
      </c>
      <c r="K104" s="648"/>
    </row>
    <row r="105" spans="1:12" x14ac:dyDescent="0.25">
      <c r="A105" s="547" t="s">
        <v>463</v>
      </c>
      <c r="B105" s="333">
        <v>56.8</v>
      </c>
      <c r="C105" s="406">
        <f t="shared" si="13"/>
        <v>48607.360499999995</v>
      </c>
      <c r="D105" s="334">
        <f t="shared" si="14"/>
        <v>29164.416299999997</v>
      </c>
      <c r="E105" s="450">
        <f t="shared" si="15"/>
        <v>60000</v>
      </c>
      <c r="F105" s="407">
        <f t="shared" si="16"/>
        <v>80</v>
      </c>
      <c r="G105" s="406">
        <f t="shared" si="17"/>
        <v>1058.8699100999074</v>
      </c>
      <c r="H105" s="294" t="s">
        <v>472</v>
      </c>
      <c r="I105" s="409">
        <f t="shared" si="18"/>
        <v>15.126713001427248</v>
      </c>
      <c r="J105" s="453" t="s">
        <v>457</v>
      </c>
      <c r="K105" s="648"/>
    </row>
    <row r="106" spans="1:12" x14ac:dyDescent="0.25">
      <c r="A106" s="547" t="s">
        <v>464</v>
      </c>
      <c r="B106" s="333">
        <v>58.4</v>
      </c>
      <c r="C106" s="406">
        <f t="shared" si="13"/>
        <v>47612.836499999998</v>
      </c>
      <c r="D106" s="334">
        <f t="shared" si="14"/>
        <v>28567.701899999996</v>
      </c>
      <c r="E106" s="450">
        <f t="shared" si="15"/>
        <v>60000</v>
      </c>
      <c r="F106" s="407">
        <f t="shared" si="16"/>
        <v>80</v>
      </c>
      <c r="G106" s="406">
        <f t="shared" si="17"/>
        <v>1058.8699100999074</v>
      </c>
      <c r="H106" s="294" t="s">
        <v>472</v>
      </c>
      <c r="I106" s="409">
        <f t="shared" si="18"/>
        <v>15.126713001427248</v>
      </c>
      <c r="J106" s="453" t="s">
        <v>457</v>
      </c>
      <c r="K106" s="648"/>
    </row>
    <row r="107" spans="1:12" x14ac:dyDescent="0.25">
      <c r="A107" s="547" t="s">
        <v>465</v>
      </c>
      <c r="B107" s="333">
        <v>58.4</v>
      </c>
      <c r="C107" s="406">
        <f t="shared" si="13"/>
        <v>47612.836499999998</v>
      </c>
      <c r="D107" s="334">
        <f t="shared" si="14"/>
        <v>28567.701899999996</v>
      </c>
      <c r="E107" s="450">
        <f t="shared" si="15"/>
        <v>60000</v>
      </c>
      <c r="F107" s="407">
        <f t="shared" si="16"/>
        <v>80</v>
      </c>
      <c r="G107" s="406">
        <f t="shared" si="17"/>
        <v>1058.8699100999074</v>
      </c>
      <c r="H107" s="294" t="s">
        <v>472</v>
      </c>
      <c r="I107" s="409">
        <f t="shared" si="18"/>
        <v>15.126713001427248</v>
      </c>
      <c r="J107" s="453" t="s">
        <v>457</v>
      </c>
      <c r="K107" s="648"/>
    </row>
    <row r="108" spans="1:12" x14ac:dyDescent="0.25">
      <c r="A108" s="547" t="s">
        <v>466</v>
      </c>
      <c r="B108" s="333">
        <v>57.6</v>
      </c>
      <c r="C108" s="406">
        <f t="shared" si="13"/>
        <v>48110.098499999993</v>
      </c>
      <c r="D108" s="334">
        <f t="shared" si="14"/>
        <v>28866.059099999995</v>
      </c>
      <c r="E108" s="450">
        <f t="shared" si="15"/>
        <v>60000</v>
      </c>
      <c r="F108" s="407">
        <f t="shared" si="16"/>
        <v>80</v>
      </c>
      <c r="G108" s="406">
        <f t="shared" si="17"/>
        <v>1058.8699100999074</v>
      </c>
      <c r="H108" s="294" t="s">
        <v>472</v>
      </c>
      <c r="I108" s="409">
        <f t="shared" si="18"/>
        <v>15.126713001427248</v>
      </c>
      <c r="J108" s="453" t="s">
        <v>457</v>
      </c>
      <c r="K108" s="648"/>
    </row>
    <row r="109" spans="1:12" x14ac:dyDescent="0.25">
      <c r="A109" s="547" t="s">
        <v>204</v>
      </c>
      <c r="B109" s="333">
        <v>57.1</v>
      </c>
      <c r="C109" s="406">
        <f t="shared" si="13"/>
        <v>48420.887249999992</v>
      </c>
      <c r="D109" s="334">
        <f t="shared" si="14"/>
        <v>29052.532349999994</v>
      </c>
      <c r="E109" s="450">
        <f t="shared" si="15"/>
        <v>60000</v>
      </c>
      <c r="F109" s="407">
        <f t="shared" si="16"/>
        <v>80</v>
      </c>
      <c r="G109" s="406">
        <f t="shared" si="17"/>
        <v>1058.8699100999074</v>
      </c>
      <c r="H109" s="294" t="s">
        <v>472</v>
      </c>
      <c r="I109" s="409">
        <f t="shared" si="18"/>
        <v>15.126713001427248</v>
      </c>
      <c r="J109" s="453" t="s">
        <v>457</v>
      </c>
      <c r="K109" s="648"/>
    </row>
    <row r="110" spans="1:12" x14ac:dyDescent="0.25">
      <c r="A110" s="547" t="s">
        <v>205</v>
      </c>
      <c r="B110" s="333">
        <v>50.5</v>
      </c>
      <c r="C110" s="406">
        <f t="shared" si="13"/>
        <v>52523.298749999994</v>
      </c>
      <c r="D110" s="334">
        <f t="shared" si="14"/>
        <v>31513.979249999997</v>
      </c>
      <c r="E110" s="450">
        <f t="shared" si="15"/>
        <v>60000</v>
      </c>
      <c r="F110" s="407">
        <f t="shared" si="16"/>
        <v>80</v>
      </c>
      <c r="G110" s="406">
        <f t="shared" si="17"/>
        <v>1058.8699100999074</v>
      </c>
      <c r="H110" s="294" t="s">
        <v>472</v>
      </c>
      <c r="I110" s="409">
        <f t="shared" si="18"/>
        <v>15.126713001427248</v>
      </c>
      <c r="J110" s="453" t="s">
        <v>457</v>
      </c>
      <c r="K110" s="648"/>
    </row>
    <row r="111" spans="1:12" x14ac:dyDescent="0.25">
      <c r="A111" s="547" t="s">
        <v>206</v>
      </c>
      <c r="B111" s="333">
        <v>51.4</v>
      </c>
      <c r="C111" s="406">
        <f t="shared" si="13"/>
        <v>51963.878999999994</v>
      </c>
      <c r="D111" s="334">
        <f t="shared" si="14"/>
        <v>31178.327399999995</v>
      </c>
      <c r="E111" s="450">
        <f t="shared" si="15"/>
        <v>60000</v>
      </c>
      <c r="F111" s="407">
        <f t="shared" si="16"/>
        <v>80</v>
      </c>
      <c r="G111" s="406">
        <f t="shared" si="17"/>
        <v>1058.8699100999074</v>
      </c>
      <c r="H111" s="294" t="s">
        <v>472</v>
      </c>
      <c r="I111" s="409">
        <f t="shared" si="18"/>
        <v>15.126713001427248</v>
      </c>
      <c r="J111" s="453" t="s">
        <v>457</v>
      </c>
      <c r="K111" s="648"/>
    </row>
    <row r="112" spans="1:12" x14ac:dyDescent="0.25">
      <c r="A112" s="547" t="s">
        <v>207</v>
      </c>
      <c r="B112" s="333">
        <v>51.7</v>
      </c>
      <c r="C112" s="406">
        <f t="shared" si="13"/>
        <v>51777.405749999998</v>
      </c>
      <c r="D112" s="334">
        <f t="shared" si="14"/>
        <v>31066.443449999999</v>
      </c>
      <c r="E112" s="450">
        <f t="shared" si="15"/>
        <v>60000</v>
      </c>
      <c r="F112" s="407">
        <f t="shared" si="16"/>
        <v>80</v>
      </c>
      <c r="G112" s="406">
        <f t="shared" si="17"/>
        <v>1058.8699100999074</v>
      </c>
      <c r="H112" s="294" t="s">
        <v>472</v>
      </c>
      <c r="I112" s="409">
        <f t="shared" si="18"/>
        <v>15.126713001427248</v>
      </c>
      <c r="J112" s="453" t="s">
        <v>457</v>
      </c>
      <c r="K112" s="648"/>
    </row>
    <row r="113" spans="1:12" x14ac:dyDescent="0.25">
      <c r="A113" s="547" t="s">
        <v>208</v>
      </c>
      <c r="B113" s="333">
        <v>50.1</v>
      </c>
      <c r="C113" s="406">
        <f t="shared" si="13"/>
        <v>52771.929749999996</v>
      </c>
      <c r="D113" s="334">
        <f t="shared" si="14"/>
        <v>31663.157849999996</v>
      </c>
      <c r="E113" s="450">
        <f t="shared" si="15"/>
        <v>60000</v>
      </c>
      <c r="F113" s="407">
        <f t="shared" si="16"/>
        <v>80</v>
      </c>
      <c r="G113" s="406">
        <f t="shared" si="17"/>
        <v>1058.8699100999074</v>
      </c>
      <c r="H113" s="294" t="s">
        <v>472</v>
      </c>
      <c r="I113" s="409">
        <f t="shared" si="18"/>
        <v>15.126713001427248</v>
      </c>
      <c r="J113" s="453" t="s">
        <v>457</v>
      </c>
      <c r="K113" s="648"/>
    </row>
    <row r="114" spans="1:12" x14ac:dyDescent="0.25">
      <c r="A114" s="547" t="s">
        <v>209</v>
      </c>
      <c r="B114" s="333">
        <v>63.2</v>
      </c>
      <c r="C114" s="406">
        <f t="shared" si="13"/>
        <v>44629.264499999997</v>
      </c>
      <c r="D114" s="334">
        <f t="shared" si="14"/>
        <v>26777.558699999998</v>
      </c>
      <c r="E114" s="450">
        <f t="shared" si="15"/>
        <v>60000</v>
      </c>
      <c r="F114" s="407">
        <f t="shared" si="16"/>
        <v>80</v>
      </c>
      <c r="G114" s="406">
        <f t="shared" si="17"/>
        <v>1058.8699100999074</v>
      </c>
      <c r="H114" s="294" t="s">
        <v>472</v>
      </c>
      <c r="I114" s="409">
        <f t="shared" si="18"/>
        <v>15.126713001427248</v>
      </c>
      <c r="J114" s="453" t="s">
        <v>457</v>
      </c>
      <c r="K114" s="648"/>
    </row>
    <row r="115" spans="1:12" x14ac:dyDescent="0.25">
      <c r="A115" s="547" t="s">
        <v>210</v>
      </c>
      <c r="B115" s="333">
        <v>41.4</v>
      </c>
      <c r="C115" s="406">
        <f t="shared" si="13"/>
        <v>58179.653999999995</v>
      </c>
      <c r="D115" s="334">
        <f t="shared" si="14"/>
        <v>34907.792399999998</v>
      </c>
      <c r="E115" s="450">
        <f t="shared" si="15"/>
        <v>60000</v>
      </c>
      <c r="F115" s="407">
        <f t="shared" si="16"/>
        <v>80</v>
      </c>
      <c r="G115" s="406">
        <f t="shared" si="17"/>
        <v>1058.8699100999074</v>
      </c>
      <c r="H115" s="294" t="s">
        <v>472</v>
      </c>
      <c r="I115" s="409">
        <f t="shared" si="18"/>
        <v>15.126713001427248</v>
      </c>
      <c r="J115" s="453" t="s">
        <v>457</v>
      </c>
      <c r="K115" s="648"/>
    </row>
    <row r="116" spans="1:12" x14ac:dyDescent="0.25">
      <c r="A116" s="383"/>
      <c r="B116" s="319"/>
      <c r="C116" s="320"/>
      <c r="D116" s="321"/>
      <c r="E116" s="322"/>
      <c r="F116" s="323"/>
      <c r="G116" s="324"/>
    </row>
    <row r="117" spans="1:12" x14ac:dyDescent="0.25">
      <c r="A117" s="383"/>
      <c r="B117" s="319"/>
      <c r="C117" s="320"/>
      <c r="D117" s="321"/>
      <c r="E117" s="322"/>
      <c r="F117" s="323"/>
      <c r="G117" s="324"/>
    </row>
    <row r="118" spans="1:12" x14ac:dyDescent="0.3">
      <c r="A118" s="645" t="s">
        <v>474</v>
      </c>
      <c r="B118" s="646"/>
      <c r="C118" s="646"/>
      <c r="D118" s="646"/>
      <c r="E118" s="646"/>
      <c r="F118" s="646"/>
      <c r="G118" s="646"/>
      <c r="H118" s="646"/>
      <c r="I118" s="646"/>
      <c r="J118" s="646"/>
      <c r="K118" s="646"/>
      <c r="L118" s="646"/>
    </row>
    <row r="119" spans="1:12" ht="26.4" x14ac:dyDescent="0.25">
      <c r="A119" s="403" t="s">
        <v>475</v>
      </c>
      <c r="B119" s="374" t="s">
        <v>476</v>
      </c>
      <c r="C119" s="404" t="s">
        <v>477</v>
      </c>
      <c r="D119" s="375" t="s">
        <v>478</v>
      </c>
      <c r="E119" s="376" t="s">
        <v>479</v>
      </c>
      <c r="F119" s="376" t="s">
        <v>480</v>
      </c>
      <c r="G119" s="470" t="s">
        <v>481</v>
      </c>
      <c r="H119" s="405" t="s">
        <v>482</v>
      </c>
      <c r="I119" s="405" t="s">
        <v>483</v>
      </c>
      <c r="J119" s="405" t="s">
        <v>484</v>
      </c>
      <c r="K119" s="405" t="s">
        <v>485</v>
      </c>
      <c r="L119" s="405" t="s">
        <v>486</v>
      </c>
    </row>
    <row r="120" spans="1:12" ht="39.6" x14ac:dyDescent="0.3">
      <c r="A120" s="454">
        <v>30000</v>
      </c>
      <c r="B120" s="336" t="s">
        <v>487</v>
      </c>
      <c r="C120" s="473">
        <v>200000</v>
      </c>
      <c r="D120" s="337" t="s">
        <v>488</v>
      </c>
      <c r="E120" s="338">
        <v>30</v>
      </c>
      <c r="F120" s="455" t="s">
        <v>489</v>
      </c>
      <c r="G120" s="465">
        <v>0</v>
      </c>
      <c r="H120" s="294" t="s">
        <v>490</v>
      </c>
      <c r="I120" s="456">
        <v>60000</v>
      </c>
      <c r="J120" s="457" t="s">
        <v>491</v>
      </c>
      <c r="K120" s="458">
        <v>80</v>
      </c>
      <c r="L120" s="457" t="s">
        <v>492</v>
      </c>
    </row>
    <row r="121" spans="1:12" ht="39.6" x14ac:dyDescent="0.25">
      <c r="A121" s="459">
        <v>32000</v>
      </c>
      <c r="B121" s="339" t="s">
        <v>487</v>
      </c>
      <c r="C121" s="406"/>
      <c r="D121" s="337"/>
      <c r="E121" s="340">
        <v>40</v>
      </c>
      <c r="F121" s="460" t="s">
        <v>489</v>
      </c>
      <c r="G121" s="452"/>
      <c r="H121" s="294"/>
      <c r="I121" s="461">
        <v>75000</v>
      </c>
      <c r="J121" s="462" t="s">
        <v>491</v>
      </c>
      <c r="K121" s="463">
        <v>100</v>
      </c>
      <c r="L121" s="462" t="s">
        <v>492</v>
      </c>
    </row>
    <row r="122" spans="1:12" ht="39.6" x14ac:dyDescent="0.25">
      <c r="A122" s="454">
        <v>34000</v>
      </c>
      <c r="B122" s="336" t="s">
        <v>487</v>
      </c>
      <c r="C122" s="406"/>
      <c r="D122" s="337"/>
      <c r="E122" s="338">
        <v>50</v>
      </c>
      <c r="F122" s="455" t="s">
        <v>489</v>
      </c>
      <c r="G122" s="452"/>
      <c r="H122" s="294"/>
      <c r="I122" s="456">
        <v>100000</v>
      </c>
      <c r="J122" s="457" t="s">
        <v>491</v>
      </c>
      <c r="K122" s="458">
        <v>119</v>
      </c>
      <c r="L122" s="457" t="s">
        <v>492</v>
      </c>
    </row>
    <row r="123" spans="1:12" ht="39.6" x14ac:dyDescent="0.25">
      <c r="A123" s="459">
        <v>36000</v>
      </c>
      <c r="B123" s="339" t="s">
        <v>487</v>
      </c>
      <c r="C123" s="406"/>
      <c r="D123" s="337"/>
      <c r="E123" s="340">
        <v>60</v>
      </c>
      <c r="F123" s="460" t="s">
        <v>489</v>
      </c>
      <c r="G123" s="452"/>
      <c r="H123" s="294"/>
      <c r="I123" s="461">
        <v>125000</v>
      </c>
      <c r="J123" s="462" t="s">
        <v>491</v>
      </c>
      <c r="K123" s="463">
        <v>120</v>
      </c>
      <c r="L123" s="462" t="s">
        <v>492</v>
      </c>
    </row>
    <row r="124" spans="1:12" ht="39.6" x14ac:dyDescent="0.25">
      <c r="A124" s="454">
        <v>38000</v>
      </c>
      <c r="B124" s="336" t="s">
        <v>487</v>
      </c>
      <c r="C124" s="406"/>
      <c r="D124" s="337"/>
      <c r="E124" s="338">
        <v>75</v>
      </c>
      <c r="F124" s="455" t="s">
        <v>489</v>
      </c>
      <c r="G124" s="452"/>
      <c r="H124" s="294"/>
      <c r="I124" s="456">
        <v>150000</v>
      </c>
      <c r="J124" s="457" t="s">
        <v>491</v>
      </c>
      <c r="K124" s="458">
        <v>125</v>
      </c>
      <c r="L124" s="457" t="s">
        <v>492</v>
      </c>
    </row>
    <row r="125" spans="1:12" ht="39.6" x14ac:dyDescent="0.25">
      <c r="A125" s="459">
        <v>40000</v>
      </c>
      <c r="B125" s="339" t="s">
        <v>487</v>
      </c>
      <c r="C125" s="406"/>
      <c r="D125" s="337"/>
      <c r="E125" s="341"/>
      <c r="F125" s="464"/>
      <c r="G125" s="452"/>
      <c r="H125" s="294"/>
      <c r="I125" s="461">
        <v>199000</v>
      </c>
      <c r="J125" s="462" t="s">
        <v>491</v>
      </c>
      <c r="K125" s="294"/>
      <c r="L125" s="294"/>
    </row>
    <row r="126" spans="1:12" ht="39.6" x14ac:dyDescent="0.25">
      <c r="A126" s="454">
        <v>50000</v>
      </c>
      <c r="B126" s="336" t="s">
        <v>487</v>
      </c>
      <c r="C126" s="406"/>
      <c r="D126" s="337"/>
      <c r="E126" s="341"/>
      <c r="F126" s="464"/>
      <c r="G126" s="452"/>
      <c r="H126" s="294"/>
      <c r="I126" s="456">
        <v>250000</v>
      </c>
      <c r="J126" s="457" t="s">
        <v>491</v>
      </c>
      <c r="K126" s="294"/>
      <c r="L126" s="294"/>
    </row>
    <row r="127" spans="1:12" ht="39.6" x14ac:dyDescent="0.25">
      <c r="A127" s="459">
        <v>65000</v>
      </c>
      <c r="B127" s="339" t="s">
        <v>487</v>
      </c>
      <c r="C127" s="406"/>
      <c r="D127" s="337"/>
      <c r="E127" s="341"/>
      <c r="F127" s="464"/>
      <c r="G127" s="452"/>
      <c r="H127" s="294"/>
      <c r="I127" s="461">
        <v>300000</v>
      </c>
      <c r="J127" s="462" t="s">
        <v>491</v>
      </c>
      <c r="K127" s="294"/>
      <c r="L127" s="294"/>
    </row>
    <row r="128" spans="1:12" ht="39.6" x14ac:dyDescent="0.25">
      <c r="A128" s="454">
        <v>75000</v>
      </c>
      <c r="B128" s="336" t="s">
        <v>487</v>
      </c>
      <c r="C128" s="406"/>
      <c r="D128" s="337"/>
      <c r="E128" s="341"/>
      <c r="F128" s="464"/>
      <c r="G128" s="452"/>
      <c r="H128" s="294"/>
      <c r="I128" s="456">
        <v>399000</v>
      </c>
      <c r="J128" s="457" t="s">
        <v>491</v>
      </c>
      <c r="K128" s="294"/>
      <c r="L128" s="294"/>
    </row>
    <row r="129" spans="1:12" ht="39.6" x14ac:dyDescent="0.25">
      <c r="A129" s="547"/>
      <c r="B129" s="342"/>
      <c r="C129" s="406"/>
      <c r="D129" s="337"/>
      <c r="E129" s="341"/>
      <c r="F129" s="464"/>
      <c r="G129" s="452"/>
      <c r="H129" s="294"/>
      <c r="I129" s="461">
        <v>500000</v>
      </c>
      <c r="J129" s="462" t="s">
        <v>491</v>
      </c>
      <c r="K129" s="294"/>
      <c r="L129" s="294"/>
    </row>
    <row r="130" spans="1:12" x14ac:dyDescent="0.3">
      <c r="A130" s="656" t="s">
        <v>493</v>
      </c>
      <c r="B130" s="656"/>
      <c r="C130" s="656"/>
      <c r="D130" s="656"/>
      <c r="E130" s="656"/>
      <c r="F130" s="656"/>
      <c r="G130" s="656"/>
      <c r="H130" s="656"/>
      <c r="I130" s="656"/>
      <c r="J130" s="656"/>
      <c r="K130" s="656"/>
      <c r="L130" s="656"/>
    </row>
    <row r="131" spans="1:12" x14ac:dyDescent="0.3">
      <c r="A131" s="656"/>
      <c r="B131" s="656"/>
      <c r="C131" s="656"/>
      <c r="D131" s="656"/>
      <c r="E131" s="656"/>
      <c r="F131" s="656"/>
      <c r="G131" s="656"/>
      <c r="H131" s="656"/>
      <c r="I131" s="656"/>
      <c r="J131" s="656"/>
      <c r="K131" s="656"/>
      <c r="L131" s="656"/>
    </row>
    <row r="132" spans="1:12" x14ac:dyDescent="0.25">
      <c r="A132" s="383"/>
      <c r="B132" s="319"/>
      <c r="C132" s="320"/>
      <c r="D132" s="321"/>
      <c r="E132" s="322"/>
      <c r="F132" s="323"/>
      <c r="G132" s="324"/>
    </row>
    <row r="133" spans="1:12" ht="24.75" customHeight="1" x14ac:dyDescent="0.25">
      <c r="A133" s="651" t="s">
        <v>494</v>
      </c>
      <c r="B133" s="651"/>
      <c r="C133" s="651"/>
      <c r="D133" s="321"/>
      <c r="E133" s="322"/>
      <c r="F133" s="323"/>
      <c r="G133" s="324"/>
    </row>
    <row r="134" spans="1:12" ht="26.4" x14ac:dyDescent="0.25">
      <c r="A134" s="548" t="s">
        <v>495</v>
      </c>
      <c r="B134" s="465">
        <v>84</v>
      </c>
      <c r="C134" s="548" t="s">
        <v>496</v>
      </c>
      <c r="D134" s="321"/>
      <c r="E134" s="322"/>
      <c r="F134" s="323"/>
      <c r="G134" s="324"/>
    </row>
    <row r="135" spans="1:12" ht="26.4" x14ac:dyDescent="0.25">
      <c r="A135" s="548" t="s">
        <v>497</v>
      </c>
      <c r="B135" s="465">
        <v>125</v>
      </c>
      <c r="C135" s="548" t="s">
        <v>498</v>
      </c>
      <c r="D135" s="321"/>
      <c r="E135" s="322"/>
      <c r="F135" s="323"/>
      <c r="G135" s="324"/>
    </row>
    <row r="136" spans="1:12" ht="26.4" x14ac:dyDescent="0.25">
      <c r="A136" s="548" t="s">
        <v>499</v>
      </c>
      <c r="B136" s="465">
        <v>58</v>
      </c>
      <c r="C136" s="548" t="s">
        <v>498</v>
      </c>
      <c r="D136" s="321"/>
      <c r="E136" s="322"/>
      <c r="F136" s="323"/>
      <c r="G136" s="324"/>
    </row>
    <row r="137" spans="1:12" ht="26.4" x14ac:dyDescent="0.25">
      <c r="A137" s="548" t="s">
        <v>500</v>
      </c>
      <c r="B137" s="466">
        <v>67.5</v>
      </c>
      <c r="C137" s="548" t="s">
        <v>498</v>
      </c>
      <c r="D137" s="321"/>
      <c r="E137" s="322"/>
      <c r="F137" s="323"/>
      <c r="G137" s="324"/>
    </row>
    <row r="138" spans="1:12" ht="26.4" x14ac:dyDescent="0.25">
      <c r="A138" s="548" t="s">
        <v>501</v>
      </c>
      <c r="B138" s="467">
        <v>8.2937999999999992</v>
      </c>
      <c r="C138" s="548" t="s">
        <v>502</v>
      </c>
      <c r="D138" s="321"/>
      <c r="E138" s="322"/>
      <c r="F138" s="323"/>
      <c r="G138" s="324"/>
    </row>
    <row r="139" spans="1:12" ht="26.4" x14ac:dyDescent="0.25">
      <c r="A139" s="548" t="s">
        <v>503</v>
      </c>
      <c r="B139" s="467">
        <v>1.0006999999999999</v>
      </c>
      <c r="C139" s="548" t="s">
        <v>502</v>
      </c>
      <c r="D139" s="321"/>
      <c r="E139" s="322"/>
      <c r="F139" s="323"/>
      <c r="G139" s="324"/>
    </row>
    <row r="140" spans="1:12" x14ac:dyDescent="0.25">
      <c r="A140" s="548" t="s">
        <v>504</v>
      </c>
      <c r="B140" s="468">
        <v>0.52752699999999997</v>
      </c>
      <c r="C140" s="548" t="s">
        <v>505</v>
      </c>
      <c r="D140" s="321"/>
      <c r="E140" s="322"/>
      <c r="F140" s="323"/>
      <c r="G140" s="324"/>
    </row>
    <row r="141" spans="1:12" x14ac:dyDescent="0.25">
      <c r="A141" s="383"/>
      <c r="B141" s="319"/>
      <c r="C141" s="320"/>
      <c r="D141" s="321"/>
      <c r="E141" s="322"/>
      <c r="F141" s="323"/>
      <c r="G141" s="324"/>
    </row>
    <row r="142" spans="1:12" x14ac:dyDescent="0.25">
      <c r="A142" s="383"/>
      <c r="B142" s="319"/>
      <c r="C142" s="320"/>
      <c r="D142" s="321"/>
      <c r="E142" s="322"/>
      <c r="F142" s="323"/>
      <c r="G142" s="324"/>
    </row>
    <row r="143" spans="1:12" x14ac:dyDescent="0.25">
      <c r="A143" s="383"/>
      <c r="B143" s="319"/>
      <c r="C143" s="320"/>
      <c r="D143" s="321"/>
      <c r="E143" s="322"/>
      <c r="F143" s="323"/>
      <c r="G143" s="324"/>
    </row>
    <row r="144" spans="1:12" x14ac:dyDescent="0.25">
      <c r="A144" s="383"/>
      <c r="B144" s="319"/>
      <c r="C144" s="320"/>
      <c r="D144" s="321"/>
      <c r="E144" s="322"/>
      <c r="F144" s="323"/>
      <c r="G144" s="324"/>
    </row>
    <row r="145" spans="1:7" x14ac:dyDescent="0.25">
      <c r="A145" s="383"/>
      <c r="B145" s="319"/>
      <c r="C145" s="320"/>
      <c r="D145" s="321"/>
      <c r="E145" s="322"/>
      <c r="F145" s="323"/>
      <c r="G145" s="324"/>
    </row>
    <row r="146" spans="1:7" x14ac:dyDescent="0.25">
      <c r="A146" s="383"/>
      <c r="B146" s="319"/>
      <c r="C146" s="320"/>
      <c r="D146" s="321"/>
      <c r="E146" s="322"/>
      <c r="F146" s="323"/>
      <c r="G146" s="324"/>
    </row>
    <row r="147" spans="1:7" x14ac:dyDescent="0.25">
      <c r="A147" s="383"/>
      <c r="B147" s="319"/>
      <c r="C147" s="320"/>
      <c r="D147" s="321"/>
      <c r="E147" s="322"/>
      <c r="F147" s="323"/>
      <c r="G147" s="324"/>
    </row>
    <row r="148" spans="1:7" s="23" customFormat="1" hidden="1" x14ac:dyDescent="0.25">
      <c r="A148" s="23" t="s">
        <v>188</v>
      </c>
    </row>
    <row r="149" spans="1:7" ht="14.4" hidden="1" x14ac:dyDescent="0.3">
      <c r="A149" s="3" t="s">
        <v>19</v>
      </c>
      <c r="B149" s="167" t="s">
        <v>20</v>
      </c>
      <c r="C149" s="168" t="s">
        <v>506</v>
      </c>
    </row>
    <row r="150" spans="1:7" ht="14.4" hidden="1" x14ac:dyDescent="0.25">
      <c r="A150" s="3" t="s">
        <v>21</v>
      </c>
      <c r="B150" s="169" t="s">
        <v>22</v>
      </c>
      <c r="C150" s="6" t="s">
        <v>507</v>
      </c>
    </row>
    <row r="151" spans="1:7" hidden="1" x14ac:dyDescent="0.3"/>
    <row r="152" spans="1:7" hidden="1" x14ac:dyDescent="0.3"/>
    <row r="153" spans="1:7" hidden="1" x14ac:dyDescent="0.3"/>
  </sheetData>
  <mergeCells count="21">
    <mergeCell ref="G61:H61"/>
    <mergeCell ref="I61:J61"/>
    <mergeCell ref="K62:K77"/>
    <mergeCell ref="A133:C133"/>
    <mergeCell ref="A79:K79"/>
    <mergeCell ref="G80:H80"/>
    <mergeCell ref="I80:J80"/>
    <mergeCell ref="K81:K96"/>
    <mergeCell ref="A98:K98"/>
    <mergeCell ref="G99:H99"/>
    <mergeCell ref="I99:J99"/>
    <mergeCell ref="K100:K115"/>
    <mergeCell ref="A118:L118"/>
    <mergeCell ref="A130:L131"/>
    <mergeCell ref="A1:H1"/>
    <mergeCell ref="G3:G4"/>
    <mergeCell ref="H3:H4"/>
    <mergeCell ref="A5:G5"/>
    <mergeCell ref="A60:K60"/>
    <mergeCell ref="A8:H8"/>
    <mergeCell ref="H10:H46"/>
  </mergeCells>
  <hyperlinks>
    <hyperlink ref="B149" r:id="rId1" xr:uid="{49D28FCF-33F6-4ADA-A647-9635E78B1942}"/>
    <hyperlink ref="B150" r:id="rId2" xr:uid="{4C407B57-D1FF-4336-B7F6-25608B3BF606}"/>
  </hyperlinks>
  <pageMargins left="0.7" right="0.7" top="0.75" bottom="0.75" header="0.3" footer="0.3"/>
  <pageSetup orientation="portrait"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6AAB3-37D4-40C4-AD32-87DEB55DC747}">
  <sheetPr codeName="Sheet17"/>
  <dimension ref="A1:H92"/>
  <sheetViews>
    <sheetView zoomScale="80" zoomScaleNormal="80" workbookViewId="0">
      <pane ySplit="3" topLeftCell="A4" activePane="bottomLeft" state="frozen"/>
      <selection pane="bottomLeft" sqref="A1:G1"/>
    </sheetView>
  </sheetViews>
  <sheetFormatPr defaultColWidth="8.6640625" defaultRowHeight="13.2" x14ac:dyDescent="0.25"/>
  <cols>
    <col min="1" max="1" width="50.109375" style="3" customWidth="1"/>
    <col min="2" max="2" width="20.5546875" style="3" customWidth="1"/>
    <col min="3" max="3" width="22.6640625" style="3" customWidth="1"/>
    <col min="4" max="4" width="39.5546875" style="3" customWidth="1"/>
    <col min="5" max="5" width="20.33203125" style="3" customWidth="1"/>
    <col min="6" max="6" width="22.109375" style="3" customWidth="1"/>
    <col min="7" max="7" width="42.33203125" style="3" customWidth="1"/>
    <col min="8" max="8" width="9.6640625" style="3" customWidth="1"/>
    <col min="9" max="9" width="13.33203125" style="3" customWidth="1"/>
    <col min="10" max="10" width="24" style="3" customWidth="1"/>
    <col min="11" max="11" width="10.5546875" style="3" customWidth="1"/>
    <col min="12" max="12" width="11.44140625" style="3" customWidth="1"/>
    <col min="13" max="13" width="10.5546875" style="3" customWidth="1"/>
    <col min="14" max="14" width="13.33203125" style="3" customWidth="1"/>
    <col min="15" max="15" width="9.6640625" style="3" customWidth="1"/>
    <col min="16" max="16" width="9.44140625" style="3" customWidth="1"/>
    <col min="17" max="17" width="12.6640625" style="3" customWidth="1"/>
    <col min="18" max="18" width="14.6640625" style="3" customWidth="1"/>
    <col min="19" max="19" width="20.6640625" style="3" customWidth="1"/>
    <col min="20" max="20" width="19.6640625" style="3" customWidth="1"/>
    <col min="21" max="26" width="8.6640625" style="3"/>
    <col min="27" max="27" width="13.6640625" style="3" bestFit="1" customWidth="1"/>
    <col min="28" max="16384" width="8.6640625" style="3"/>
  </cols>
  <sheetData>
    <row r="1" spans="1:8" ht="25.95" customHeight="1" x14ac:dyDescent="0.25">
      <c r="A1" s="638" t="str">
        <f>"Interior Lighting - "&amp;Prototype!A2</f>
        <v xml:space="preserve">Interior Lighting - ApartmentMidRise </v>
      </c>
      <c r="B1" s="638"/>
      <c r="C1" s="638"/>
      <c r="D1" s="638"/>
      <c r="E1" s="638"/>
      <c r="F1" s="638"/>
      <c r="G1" s="638"/>
    </row>
    <row r="2" spans="1:8" ht="30.6" customHeight="1" x14ac:dyDescent="0.25">
      <c r="A2" s="658" t="s">
        <v>322</v>
      </c>
      <c r="B2" s="657" t="s">
        <v>508</v>
      </c>
      <c r="C2" s="657"/>
      <c r="D2" s="657"/>
      <c r="E2" s="657" t="s">
        <v>224</v>
      </c>
      <c r="F2" s="657"/>
      <c r="G2" s="657"/>
    </row>
    <row r="3" spans="1:8" ht="50.25" customHeight="1" x14ac:dyDescent="0.25">
      <c r="A3" s="658"/>
      <c r="B3" s="549" t="s">
        <v>509</v>
      </c>
      <c r="C3" s="549" t="s">
        <v>510</v>
      </c>
      <c r="D3" s="549" t="s">
        <v>268</v>
      </c>
      <c r="E3" s="549" t="s">
        <v>511</v>
      </c>
      <c r="F3" s="549" t="s">
        <v>510</v>
      </c>
      <c r="G3" s="549" t="s">
        <v>268</v>
      </c>
    </row>
    <row r="4" spans="1:8" ht="24.9" customHeight="1" x14ac:dyDescent="0.25">
      <c r="A4" s="257" t="str">
        <f>Zones!C3</f>
        <v>Convention, Conference, Multipurpose and Meeting Area</v>
      </c>
      <c r="B4" s="187">
        <v>0.75</v>
      </c>
      <c r="C4" s="299">
        <f>0.25*0.5</f>
        <v>0.125</v>
      </c>
      <c r="D4" s="642" t="s">
        <v>512</v>
      </c>
      <c r="E4" s="299">
        <v>1.2</v>
      </c>
      <c r="F4" s="368">
        <v>0.2</v>
      </c>
      <c r="G4" s="642" t="s">
        <v>513</v>
      </c>
    </row>
    <row r="5" spans="1:8" ht="24.9" customHeight="1" x14ac:dyDescent="0.25">
      <c r="A5" s="257" t="str">
        <f>Zones!C4</f>
        <v>Corridor Area</v>
      </c>
      <c r="B5" s="187">
        <v>0.4</v>
      </c>
      <c r="C5" s="548"/>
      <c r="D5" s="659"/>
      <c r="E5" s="117">
        <v>0.6</v>
      </c>
      <c r="F5" s="294"/>
      <c r="G5" s="659"/>
      <c r="H5" s="37"/>
    </row>
    <row r="6" spans="1:8" ht="24.9" customHeight="1" x14ac:dyDescent="0.25">
      <c r="A6" s="257" t="str">
        <f>Zones!C5</f>
        <v>Exercise/Fitness Center and Gymnasium Areas</v>
      </c>
      <c r="B6" s="187">
        <v>0.5</v>
      </c>
      <c r="C6" s="548"/>
      <c r="D6" s="659"/>
      <c r="E6" s="117">
        <v>1</v>
      </c>
      <c r="F6" s="294"/>
      <c r="G6" s="659"/>
      <c r="H6" s="37"/>
    </row>
    <row r="7" spans="1:8" ht="24.9" customHeight="1" x14ac:dyDescent="0.25">
      <c r="A7" s="257" t="str">
        <f>Zones!C6</f>
        <v>Office Area (&gt;250 square feet)</v>
      </c>
      <c r="B7" s="299">
        <v>0.6</v>
      </c>
      <c r="C7" s="299">
        <f>0.2*0.5</f>
        <v>0.1</v>
      </c>
      <c r="D7" s="659"/>
      <c r="E7" s="299">
        <v>0.75</v>
      </c>
      <c r="F7" s="368">
        <v>0.2</v>
      </c>
      <c r="G7" s="659"/>
      <c r="H7" s="37"/>
    </row>
    <row r="8" spans="1:8" ht="24.9" customHeight="1" x14ac:dyDescent="0.25">
      <c r="A8" s="257" t="str">
        <f>Zones!C7</f>
        <v>Lobby, Main Entry</v>
      </c>
      <c r="B8" s="187">
        <v>0.7</v>
      </c>
      <c r="C8" s="299">
        <f>0.25*0.5</f>
        <v>0.125</v>
      </c>
      <c r="D8" s="659"/>
      <c r="E8" s="117">
        <v>0.95</v>
      </c>
      <c r="F8" s="368">
        <v>0.2</v>
      </c>
      <c r="G8" s="659"/>
      <c r="H8" s="37"/>
    </row>
    <row r="9" spans="1:8" ht="24.9" customHeight="1" x14ac:dyDescent="0.25">
      <c r="A9" s="257" t="str">
        <f>Zones!C8</f>
        <v>Electrical, Mechanical, Telephone Rooms</v>
      </c>
      <c r="B9" s="187">
        <v>0.4</v>
      </c>
      <c r="C9" s="548"/>
      <c r="D9" s="659"/>
      <c r="E9" s="299">
        <v>0.55000000000000004</v>
      </c>
      <c r="F9" s="294"/>
      <c r="G9" s="659"/>
      <c r="H9" s="37"/>
    </row>
    <row r="10" spans="1:8" ht="24.9" customHeight="1" x14ac:dyDescent="0.25">
      <c r="A10" s="257" t="str">
        <f>Zones!C9</f>
        <v>Retail Sales Area (Retail Merchandise Sales)</v>
      </c>
      <c r="B10" s="187">
        <v>0.95</v>
      </c>
      <c r="C10" s="299">
        <f>0.35*0.5</f>
        <v>0.17499999999999999</v>
      </c>
      <c r="D10" s="654"/>
      <c r="E10" s="299">
        <v>1.2</v>
      </c>
      <c r="F10" s="368">
        <v>0.2</v>
      </c>
      <c r="G10" s="659"/>
      <c r="H10" s="37"/>
    </row>
    <row r="11" spans="1:8" ht="24.9" customHeight="1" x14ac:dyDescent="0.25">
      <c r="A11" s="257" t="str">
        <f>Zones!C23</f>
        <v xml:space="preserve">Laundry Area </v>
      </c>
      <c r="B11" s="187">
        <v>0.45</v>
      </c>
      <c r="C11" s="548"/>
      <c r="D11" s="659"/>
      <c r="E11" s="299">
        <v>0.7</v>
      </c>
      <c r="F11" s="294"/>
      <c r="G11" s="659"/>
      <c r="H11" s="37"/>
    </row>
    <row r="12" spans="1:8" ht="24.9" customHeight="1" x14ac:dyDescent="0.25">
      <c r="A12" s="257" t="str">
        <f>Zones!C39</f>
        <v>Parking Garage Area (Parking Zone and Ramps)</v>
      </c>
      <c r="B12" s="345">
        <f>(0.1*(Zones!K39-$B$16*$B$17)+1*$B$16*$B$17)/Zones!K39</f>
        <v>0.15109179320152302</v>
      </c>
      <c r="C12" s="548"/>
      <c r="D12" s="660"/>
      <c r="E12" s="345">
        <f>(0.14*(Zones!K39-$B$16*$B$17)+0.6*$B$16*$B$17)/Zones!K39</f>
        <v>0.16611358319188954</v>
      </c>
      <c r="F12" s="294"/>
      <c r="G12" s="660"/>
    </row>
    <row r="13" spans="1:8" ht="57" customHeight="1" x14ac:dyDescent="0.25">
      <c r="A13" s="257" t="str">
        <f>Zones!C13</f>
        <v>Residential Living Spaces</v>
      </c>
      <c r="B13" s="187">
        <v>0.79</v>
      </c>
      <c r="C13" s="548"/>
      <c r="D13" s="155" t="s">
        <v>514</v>
      </c>
      <c r="E13" s="187">
        <v>0.79</v>
      </c>
      <c r="F13" s="294"/>
      <c r="G13" s="155" t="s">
        <v>515</v>
      </c>
    </row>
    <row r="14" spans="1:8" ht="16.95" customHeight="1" x14ac:dyDescent="0.25">
      <c r="A14" s="7"/>
      <c r="B14" s="112"/>
      <c r="C14" s="71"/>
      <c r="D14" s="71"/>
      <c r="E14" s="112"/>
      <c r="G14" s="71"/>
    </row>
    <row r="15" spans="1:8" ht="16.95" customHeight="1" x14ac:dyDescent="0.25">
      <c r="A15" s="113" t="s">
        <v>516</v>
      </c>
      <c r="B15" s="114"/>
      <c r="C15" s="114"/>
      <c r="D15" s="114"/>
      <c r="E15" s="114"/>
      <c r="F15" s="115"/>
      <c r="G15" s="115"/>
    </row>
    <row r="16" spans="1:8" ht="13.2" customHeight="1" x14ac:dyDescent="0.25">
      <c r="A16" s="289" t="s">
        <v>517</v>
      </c>
      <c r="B16" s="364">
        <v>24</v>
      </c>
      <c r="C16" s="21"/>
      <c r="D16" s="21"/>
      <c r="E16" s="21"/>
    </row>
    <row r="17" spans="1:7" s="853" customFormat="1" ht="13.2" customHeight="1" x14ac:dyDescent="0.25">
      <c r="A17" s="851" t="s">
        <v>518</v>
      </c>
      <c r="B17" s="852">
        <v>66</v>
      </c>
      <c r="F17" s="854"/>
      <c r="G17" s="855"/>
    </row>
    <row r="18" spans="1:7" ht="39.6" x14ac:dyDescent="0.25">
      <c r="A18" s="349" t="s">
        <v>519</v>
      </c>
    </row>
    <row r="20" spans="1:7" ht="15.6" x14ac:dyDescent="0.3">
      <c r="A20" s="116"/>
      <c r="G20" s="116"/>
    </row>
    <row r="36" customFormat="1" ht="14.4" x14ac:dyDescent="0.3"/>
    <row r="37" customFormat="1" ht="14.4" x14ac:dyDescent="0.3"/>
    <row r="38" customFormat="1" ht="14.4" x14ac:dyDescent="0.3"/>
    <row r="39" customFormat="1" ht="14.4" x14ac:dyDescent="0.3"/>
    <row r="40" customFormat="1" ht="14.4" x14ac:dyDescent="0.3"/>
    <row r="41" customFormat="1" ht="14.4" x14ac:dyDescent="0.3"/>
    <row r="42" customFormat="1" ht="14.4" x14ac:dyDescent="0.3"/>
    <row r="43" customFormat="1" ht="14.4" x14ac:dyDescent="0.3"/>
    <row r="44" customFormat="1" ht="14.4" x14ac:dyDescent="0.3"/>
    <row r="45" customFormat="1" ht="14.4" x14ac:dyDescent="0.3"/>
    <row r="46" customFormat="1" ht="14.4" x14ac:dyDescent="0.3"/>
    <row r="47" customFormat="1" ht="14.4" x14ac:dyDescent="0.3"/>
    <row r="48" customFormat="1" ht="14.4" x14ac:dyDescent="0.3"/>
    <row r="49" customFormat="1" ht="14.4" x14ac:dyDescent="0.3"/>
    <row r="50" customFormat="1" ht="14.4" x14ac:dyDescent="0.3"/>
    <row r="51" customFormat="1" ht="14.4" x14ac:dyDescent="0.3"/>
    <row r="52" customFormat="1" ht="14.4" x14ac:dyDescent="0.3"/>
    <row r="53" customFormat="1" ht="14.4" x14ac:dyDescent="0.3"/>
    <row r="54" customFormat="1" ht="14.4" x14ac:dyDescent="0.3"/>
    <row r="55" customFormat="1" ht="14.4" x14ac:dyDescent="0.3"/>
    <row r="56" customFormat="1" ht="14.4" x14ac:dyDescent="0.3"/>
    <row r="57" customFormat="1" ht="14.4" x14ac:dyDescent="0.3"/>
    <row r="58" customFormat="1" ht="14.4" x14ac:dyDescent="0.3"/>
    <row r="59" customFormat="1" ht="14.4" x14ac:dyDescent="0.3"/>
    <row r="60" customFormat="1" ht="14.4" x14ac:dyDescent="0.3"/>
    <row r="61" customFormat="1" ht="14.4" x14ac:dyDescent="0.3"/>
    <row r="62" customFormat="1" ht="14.4" x14ac:dyDescent="0.3"/>
    <row r="63" customFormat="1" ht="14.4" x14ac:dyDescent="0.3"/>
    <row r="64" customFormat="1" ht="14.4" x14ac:dyDescent="0.3"/>
    <row r="65" customFormat="1" ht="14.4" x14ac:dyDescent="0.3"/>
    <row r="66" customFormat="1" ht="14.4" x14ac:dyDescent="0.3"/>
    <row r="67" customFormat="1" ht="14.4" x14ac:dyDescent="0.3"/>
    <row r="68" customFormat="1" ht="14.4" x14ac:dyDescent="0.3"/>
    <row r="69" customFormat="1" ht="14.4" x14ac:dyDescent="0.3"/>
    <row r="70" customFormat="1" ht="14.4" x14ac:dyDescent="0.3"/>
    <row r="71" customFormat="1" ht="14.4" x14ac:dyDescent="0.3"/>
    <row r="72" customFormat="1" ht="14.4" x14ac:dyDescent="0.3"/>
    <row r="73" customFormat="1" ht="14.4" x14ac:dyDescent="0.3"/>
    <row r="74" customFormat="1" ht="14.4" x14ac:dyDescent="0.3"/>
    <row r="75" customFormat="1" ht="14.4" x14ac:dyDescent="0.3"/>
    <row r="76" customFormat="1" ht="14.4" x14ac:dyDescent="0.3"/>
    <row r="77" customFormat="1" ht="14.4" x14ac:dyDescent="0.3"/>
    <row r="78" customFormat="1" ht="14.4" x14ac:dyDescent="0.3"/>
    <row r="79" customFormat="1" ht="14.4" x14ac:dyDescent="0.3"/>
    <row r="80" customFormat="1" ht="14.4" x14ac:dyDescent="0.3"/>
    <row r="81" customFormat="1" ht="14.4" x14ac:dyDescent="0.3"/>
    <row r="82" customFormat="1" ht="14.4" x14ac:dyDescent="0.3"/>
    <row r="83" customFormat="1" ht="14.4" x14ac:dyDescent="0.3"/>
    <row r="84" customFormat="1" ht="14.4" x14ac:dyDescent="0.3"/>
    <row r="85" customFormat="1" ht="14.4" x14ac:dyDescent="0.3"/>
    <row r="86" customFormat="1" ht="14.4" x14ac:dyDescent="0.3"/>
    <row r="87" customFormat="1" ht="14.4" x14ac:dyDescent="0.3"/>
    <row r="88" customFormat="1" ht="14.4" x14ac:dyDescent="0.3"/>
    <row r="89" customFormat="1" ht="14.4" x14ac:dyDescent="0.3"/>
    <row r="90" customFormat="1" ht="14.4" x14ac:dyDescent="0.3"/>
    <row r="91" customFormat="1" ht="14.4" x14ac:dyDescent="0.3"/>
    <row r="92" customFormat="1" ht="14.4" x14ac:dyDescent="0.3"/>
  </sheetData>
  <mergeCells count="6">
    <mergeCell ref="E2:G2"/>
    <mergeCell ref="A1:G1"/>
    <mergeCell ref="A2:A3"/>
    <mergeCell ref="B2:D2"/>
    <mergeCell ref="G4:G12"/>
    <mergeCell ref="D4:D12"/>
  </mergeCells>
  <phoneticPr fontId="5"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19C81-B0B9-4AE9-9154-3628732CA590}">
  <sheetPr codeName="Sheet3"/>
  <dimension ref="A1:K46"/>
  <sheetViews>
    <sheetView zoomScale="80" zoomScaleNormal="80" workbookViewId="0">
      <selection sqref="A1:D1"/>
    </sheetView>
  </sheetViews>
  <sheetFormatPr defaultColWidth="8.6640625" defaultRowHeight="12.75" customHeight="1" x14ac:dyDescent="0.25"/>
  <cols>
    <col min="1" max="1" width="28.5546875" style="3" customWidth="1"/>
    <col min="2" max="2" width="55.109375" style="3" customWidth="1"/>
    <col min="3" max="3" width="31.44140625" style="3" customWidth="1"/>
    <col min="4" max="4" width="41.88671875" style="3" customWidth="1"/>
    <col min="5" max="5" width="35.33203125" style="3" customWidth="1"/>
    <col min="6" max="6" width="39.6640625" style="3" customWidth="1"/>
    <col min="7" max="7" width="13.33203125" style="3" customWidth="1"/>
    <col min="8" max="8" width="10.5546875" style="3" bestFit="1" customWidth="1"/>
    <col min="9" max="9" width="16.33203125" style="3" customWidth="1"/>
    <col min="10" max="10" width="10.6640625" style="3" bestFit="1" customWidth="1"/>
    <col min="11" max="11" width="49.6640625" style="3" customWidth="1"/>
    <col min="12" max="16384" width="8.6640625" style="3"/>
  </cols>
  <sheetData>
    <row r="1" spans="1:11" ht="23.4" customHeight="1" x14ac:dyDescent="0.25">
      <c r="A1" s="665" t="str">
        <f>"Equipment - "&amp;Prototype!A2</f>
        <v xml:space="preserve">Equipment - ApartmentMidRise </v>
      </c>
      <c r="B1" s="665"/>
      <c r="C1" s="665"/>
      <c r="D1" s="665"/>
      <c r="E1" s="55"/>
    </row>
    <row r="2" spans="1:11" ht="21" customHeight="1" x14ac:dyDescent="0.25">
      <c r="A2" s="529" t="s">
        <v>193</v>
      </c>
      <c r="B2" s="529" t="s">
        <v>322</v>
      </c>
      <c r="C2" s="529" t="s">
        <v>520</v>
      </c>
      <c r="D2" s="529" t="s">
        <v>268</v>
      </c>
      <c r="E2" s="5"/>
    </row>
    <row r="3" spans="1:11" ht="15.75" customHeight="1" x14ac:dyDescent="0.3">
      <c r="A3" s="621" t="s">
        <v>521</v>
      </c>
      <c r="B3" s="551" t="str">
        <f>Zones!C3</f>
        <v>Convention, Conference, Multipurpose and Meeting Area</v>
      </c>
      <c r="C3" s="187">
        <v>1</v>
      </c>
      <c r="D3" s="642" t="s">
        <v>522</v>
      </c>
      <c r="E3"/>
      <c r="F3"/>
      <c r="G3"/>
    </row>
    <row r="4" spans="1:11" ht="16.95" customHeight="1" x14ac:dyDescent="0.3">
      <c r="A4" s="621"/>
      <c r="B4" s="551" t="str">
        <f>Zones!C4</f>
        <v>Corridor Area</v>
      </c>
      <c r="C4" s="187">
        <v>0</v>
      </c>
      <c r="D4" s="659"/>
      <c r="E4"/>
      <c r="F4"/>
      <c r="G4"/>
      <c r="H4" s="37"/>
    </row>
    <row r="5" spans="1:11" ht="16.95" customHeight="1" x14ac:dyDescent="0.3">
      <c r="A5" s="621"/>
      <c r="B5" s="551" t="str">
        <f>Zones!C5</f>
        <v>Exercise/Fitness Center and Gymnasium Areas</v>
      </c>
      <c r="C5" s="187">
        <v>0.5</v>
      </c>
      <c r="D5" s="659"/>
      <c r="E5"/>
      <c r="F5"/>
      <c r="G5"/>
      <c r="H5" s="37"/>
    </row>
    <row r="6" spans="1:11" ht="16.95" customHeight="1" x14ac:dyDescent="0.3">
      <c r="A6" s="621"/>
      <c r="B6" s="551" t="str">
        <f>Zones!C6</f>
        <v>Office Area (&gt;250 square feet)</v>
      </c>
      <c r="C6" s="187">
        <v>1.5</v>
      </c>
      <c r="D6" s="659"/>
      <c r="E6"/>
      <c r="F6"/>
      <c r="G6"/>
      <c r="H6" s="37"/>
    </row>
    <row r="7" spans="1:11" ht="17.25" customHeight="1" x14ac:dyDescent="0.3">
      <c r="A7" s="621"/>
      <c r="B7" s="551" t="str">
        <f>Zones!C7</f>
        <v>Lobby, Main Entry</v>
      </c>
      <c r="C7" s="187">
        <v>0.5</v>
      </c>
      <c r="D7" s="659"/>
      <c r="E7"/>
      <c r="F7"/>
      <c r="G7"/>
      <c r="H7" s="37"/>
    </row>
    <row r="8" spans="1:11" ht="16.95" customHeight="1" x14ac:dyDescent="0.3">
      <c r="A8" s="621"/>
      <c r="B8" s="551" t="str">
        <f>Zones!C8</f>
        <v>Electrical, Mechanical, Telephone Rooms</v>
      </c>
      <c r="C8" s="187">
        <v>3</v>
      </c>
      <c r="D8" s="659"/>
      <c r="E8"/>
      <c r="F8"/>
      <c r="G8"/>
      <c r="H8" s="37"/>
    </row>
    <row r="9" spans="1:11" ht="16.95" customHeight="1" x14ac:dyDescent="0.3">
      <c r="A9" s="621"/>
      <c r="B9" s="551" t="str">
        <f>Zones!C9</f>
        <v>Retail Sales Area (Retail Merchandise Sales)</v>
      </c>
      <c r="C9" s="299">
        <v>1</v>
      </c>
      <c r="D9" s="654"/>
      <c r="E9"/>
      <c r="F9"/>
      <c r="G9"/>
      <c r="H9" s="37"/>
    </row>
    <row r="10" spans="1:11" ht="16.95" customHeight="1" x14ac:dyDescent="0.3">
      <c r="A10" s="621"/>
      <c r="B10" s="551" t="str">
        <f>Zones!C23</f>
        <v xml:space="preserve">Laundry Area </v>
      </c>
      <c r="C10" s="187">
        <v>3</v>
      </c>
      <c r="D10" s="659"/>
      <c r="E10"/>
      <c r="F10"/>
      <c r="G10"/>
      <c r="H10" s="37"/>
    </row>
    <row r="11" spans="1:11" ht="16.95" customHeight="1" x14ac:dyDescent="0.3">
      <c r="A11" s="621"/>
      <c r="B11" s="542" t="str">
        <f>Zones!C39</f>
        <v>Parking Garage Area (Parking Zone and Ramps)</v>
      </c>
      <c r="C11" s="117">
        <v>0</v>
      </c>
      <c r="D11" s="660"/>
      <c r="E11"/>
      <c r="F11"/>
      <c r="G11"/>
    </row>
    <row r="12" spans="1:11" ht="16.95" customHeight="1" x14ac:dyDescent="0.3">
      <c r="A12" s="621"/>
      <c r="B12" s="671" t="str">
        <f>Zones!C34</f>
        <v>Residential Living Spaces</v>
      </c>
      <c r="C12" s="666">
        <v>0.5</v>
      </c>
      <c r="D12" s="668" t="s">
        <v>523</v>
      </c>
      <c r="E12"/>
      <c r="F12"/>
      <c r="G12"/>
    </row>
    <row r="13" spans="1:11" ht="16.95" customHeight="1" x14ac:dyDescent="0.3">
      <c r="A13" s="670"/>
      <c r="B13" s="672"/>
      <c r="C13" s="667"/>
      <c r="D13" s="669"/>
      <c r="E13"/>
      <c r="F13"/>
      <c r="G13"/>
    </row>
    <row r="14" spans="1:11" customFormat="1" ht="16.95" customHeight="1" x14ac:dyDescent="0.3"/>
    <row r="15" spans="1:11" ht="16.95" customHeight="1" x14ac:dyDescent="0.3">
      <c r="A15" s="5"/>
      <c r="B15" s="7"/>
      <c r="C15" s="112"/>
      <c r="D15" s="71"/>
      <c r="E15"/>
      <c r="F15"/>
      <c r="G15"/>
    </row>
    <row r="16" spans="1:11" ht="18" customHeight="1" x14ac:dyDescent="0.3">
      <c r="A16" s="661" t="s">
        <v>524</v>
      </c>
      <c r="B16" s="662"/>
      <c r="C16" s="662"/>
      <c r="D16" s="662"/>
      <c r="E16" s="662"/>
      <c r="F16" s="662"/>
      <c r="G16" s="662"/>
      <c r="H16" s="662"/>
      <c r="I16" s="662"/>
      <c r="J16" s="662"/>
      <c r="K16" s="662"/>
    </row>
    <row r="17" spans="1:11" ht="60.6" customHeight="1" x14ac:dyDescent="0.25">
      <c r="A17" s="359" t="s">
        <v>193</v>
      </c>
      <c r="B17" s="359" t="s">
        <v>525</v>
      </c>
      <c r="C17" s="359" t="s">
        <v>526</v>
      </c>
      <c r="D17" s="359" t="s">
        <v>527</v>
      </c>
      <c r="E17" s="359" t="s">
        <v>528</v>
      </c>
      <c r="F17" s="359" t="s">
        <v>529</v>
      </c>
      <c r="G17" s="359" t="s">
        <v>530</v>
      </c>
      <c r="H17" s="359" t="s">
        <v>531</v>
      </c>
      <c r="I17" s="359" t="s">
        <v>532</v>
      </c>
      <c r="J17" s="359" t="s">
        <v>533</v>
      </c>
      <c r="K17" s="359" t="s">
        <v>402</v>
      </c>
    </row>
    <row r="18" spans="1:11" ht="75.599999999999994" customHeight="1" x14ac:dyDescent="0.25">
      <c r="A18" s="550" t="s">
        <v>224</v>
      </c>
      <c r="B18" s="550" t="s">
        <v>534</v>
      </c>
      <c r="C18" s="550">
        <v>1</v>
      </c>
      <c r="D18" s="361">
        <v>1.1399999999999999</v>
      </c>
      <c r="E18" s="361">
        <v>0.33</v>
      </c>
      <c r="F18" s="550" t="s">
        <v>535</v>
      </c>
      <c r="G18" s="361">
        <f>ROUND(INDEX($C:$C,MATCH("Annual energy consumption of the elevator - Existing",$B:$B,0))/INDEX($C:$C,MATCH("Equivalent full load hours",$B:$B,0))*1000,2)</f>
        <v>9527.68</v>
      </c>
      <c r="H18" s="361">
        <f>ROUND(C18*INDEX($C:$C,MATCH("Cab fan airflow",$B:$B,0))*E18,2)</f>
        <v>82.5</v>
      </c>
      <c r="I18" s="361">
        <f>ROUND(C18*INDEX($C:$C,MATCH("Cab floor area",$B:$B,0))*D18,2)</f>
        <v>34.090000000000003</v>
      </c>
      <c r="J18" s="361">
        <f>ROUND(SUM(G18:I18),2)</f>
        <v>9644.27</v>
      </c>
      <c r="K18" s="550" t="s">
        <v>536</v>
      </c>
    </row>
    <row r="19" spans="1:11" ht="75.599999999999994" customHeight="1" x14ac:dyDescent="0.25">
      <c r="A19" s="550" t="s">
        <v>336</v>
      </c>
      <c r="B19" s="550" t="s">
        <v>537</v>
      </c>
      <c r="C19" s="550">
        <v>1</v>
      </c>
      <c r="D19" s="361">
        <v>0.6</v>
      </c>
      <c r="E19" s="361">
        <v>0.33</v>
      </c>
      <c r="F19" s="550" t="s">
        <v>538</v>
      </c>
      <c r="G19" s="361">
        <f>ROUND(INDEX($C:$C,MATCH("Annual energy consumption of the elevator - New Construction",$B:$B,0))/INDEX($C:$C,MATCH("Equivalent full load hours",$B:$B,0))*1000,2)</f>
        <v>5259.96</v>
      </c>
      <c r="H19" s="361">
        <f>ROUND(C19*INDEX($C:$C,MATCH("Cab fan airflow",$B:$B,0))*E19,2)</f>
        <v>82.5</v>
      </c>
      <c r="I19" s="361">
        <f>ROUND(C19*INDEX($C:$C,MATCH("Cab floor area",$B:$B,0))*D19,2)</f>
        <v>17.940000000000001</v>
      </c>
      <c r="J19" s="361">
        <f>ROUND(SUM(G19:I19),2)</f>
        <v>5360.4</v>
      </c>
      <c r="K19" s="550" t="s">
        <v>539</v>
      </c>
    </row>
    <row r="20" spans="1:11" ht="14.4" x14ac:dyDescent="0.3">
      <c r="A20"/>
      <c r="B20"/>
      <c r="C20"/>
      <c r="D20"/>
      <c r="E20"/>
      <c r="F20"/>
      <c r="G20"/>
      <c r="H20"/>
      <c r="I20"/>
      <c r="J20"/>
      <c r="K20"/>
    </row>
    <row r="21" spans="1:11" ht="14.4" x14ac:dyDescent="0.3">
      <c r="A21"/>
      <c r="B21"/>
      <c r="C21"/>
      <c r="D21"/>
      <c r="E21"/>
      <c r="F21"/>
      <c r="G21"/>
      <c r="H21"/>
      <c r="I21"/>
      <c r="J21"/>
      <c r="K21"/>
    </row>
    <row r="22" spans="1:11" ht="43.95" customHeight="1" x14ac:dyDescent="0.3">
      <c r="A22" s="663" t="s">
        <v>540</v>
      </c>
      <c r="B22" s="662"/>
      <c r="C22" s="662"/>
      <c r="D22" s="662"/>
      <c r="E22" s="662"/>
      <c r="F22"/>
      <c r="G22"/>
      <c r="H22"/>
      <c r="I22"/>
      <c r="J22"/>
      <c r="K22"/>
    </row>
    <row r="23" spans="1:11" ht="12.75" customHeight="1" x14ac:dyDescent="0.3">
      <c r="A23" s="359" t="s">
        <v>541</v>
      </c>
      <c r="B23" s="359" t="s">
        <v>542</v>
      </c>
      <c r="C23" s="359" t="s">
        <v>29</v>
      </c>
      <c r="D23" s="359" t="s">
        <v>543</v>
      </c>
      <c r="E23" s="359" t="s">
        <v>268</v>
      </c>
      <c r="F23"/>
      <c r="G23"/>
      <c r="H23"/>
      <c r="I23"/>
      <c r="J23"/>
      <c r="K23"/>
    </row>
    <row r="24" spans="1:11" ht="14.4" x14ac:dyDescent="0.3">
      <c r="A24" s="664" t="s">
        <v>537</v>
      </c>
      <c r="B24" s="550" t="s">
        <v>544</v>
      </c>
      <c r="C24" s="550">
        <v>19300.7</v>
      </c>
      <c r="D24" s="550" t="s">
        <v>545</v>
      </c>
      <c r="E24" s="550" t="s">
        <v>546</v>
      </c>
      <c r="F24"/>
      <c r="G24"/>
      <c r="H24"/>
      <c r="I24"/>
      <c r="J24"/>
      <c r="K24"/>
    </row>
    <row r="25" spans="1:11" ht="14.4" x14ac:dyDescent="0.3">
      <c r="A25" s="664"/>
      <c r="B25" s="550" t="s">
        <v>547</v>
      </c>
      <c r="C25" s="550">
        <v>10655.36</v>
      </c>
      <c r="D25" s="550" t="s">
        <v>545</v>
      </c>
      <c r="E25" s="550" t="s">
        <v>546</v>
      </c>
      <c r="F25"/>
      <c r="G25"/>
      <c r="H25"/>
      <c r="I25"/>
      <c r="J25"/>
      <c r="K25"/>
    </row>
    <row r="26" spans="1:11" ht="14.4" x14ac:dyDescent="0.3">
      <c r="A26" s="550" t="s">
        <v>548</v>
      </c>
      <c r="B26" s="550" t="s">
        <v>549</v>
      </c>
      <c r="C26" s="550" t="s">
        <v>550</v>
      </c>
      <c r="D26" s="550" t="s">
        <v>551</v>
      </c>
      <c r="E26" s="550" t="s">
        <v>552</v>
      </c>
      <c r="F26"/>
      <c r="G26"/>
      <c r="H26"/>
      <c r="I26"/>
      <c r="J26"/>
      <c r="K26"/>
    </row>
    <row r="27" spans="1:11" ht="14.4" x14ac:dyDescent="0.3">
      <c r="A27" s="550" t="s">
        <v>553</v>
      </c>
      <c r="B27" s="550" t="s">
        <v>554</v>
      </c>
      <c r="C27" s="550" t="s">
        <v>555</v>
      </c>
      <c r="D27" s="550" t="s">
        <v>551</v>
      </c>
      <c r="E27" s="550" t="s">
        <v>552</v>
      </c>
      <c r="F27"/>
      <c r="G27"/>
      <c r="H27"/>
      <c r="I27"/>
      <c r="J27"/>
      <c r="K27"/>
    </row>
    <row r="28" spans="1:11" ht="14.4" x14ac:dyDescent="0.3">
      <c r="A28" s="550" t="s">
        <v>556</v>
      </c>
      <c r="B28" s="550" t="s">
        <v>557</v>
      </c>
      <c r="C28" s="550">
        <v>1361</v>
      </c>
      <c r="D28" s="550" t="s">
        <v>558</v>
      </c>
      <c r="E28" s="550" t="s">
        <v>559</v>
      </c>
      <c r="F28"/>
      <c r="G28"/>
      <c r="H28"/>
      <c r="I28"/>
      <c r="J28"/>
      <c r="K28"/>
    </row>
    <row r="29" spans="1:11" ht="28.8" x14ac:dyDescent="0.3">
      <c r="A29" s="550" t="s">
        <v>560</v>
      </c>
      <c r="B29" s="550" t="s">
        <v>561</v>
      </c>
      <c r="C29" s="550">
        <v>29.9</v>
      </c>
      <c r="D29" s="550" t="s">
        <v>562</v>
      </c>
      <c r="E29" s="550" t="s">
        <v>563</v>
      </c>
      <c r="F29"/>
      <c r="G29"/>
      <c r="H29"/>
      <c r="I29"/>
      <c r="J29"/>
      <c r="K29"/>
    </row>
    <row r="30" spans="1:11" ht="28.8" x14ac:dyDescent="0.3">
      <c r="A30" s="550" t="s">
        <v>564</v>
      </c>
      <c r="B30" s="550" t="s">
        <v>565</v>
      </c>
      <c r="C30" s="550">
        <v>250</v>
      </c>
      <c r="D30" s="550" t="s">
        <v>566</v>
      </c>
      <c r="E30" s="550" t="s">
        <v>567</v>
      </c>
      <c r="F30"/>
      <c r="G30"/>
      <c r="H30"/>
      <c r="I30"/>
      <c r="J30"/>
      <c r="K30"/>
    </row>
    <row r="31" spans="1:11" ht="14.4" x14ac:dyDescent="0.3">
      <c r="A31" s="550" t="s">
        <v>568</v>
      </c>
      <c r="B31" s="550" t="s">
        <v>569</v>
      </c>
      <c r="C31" s="550">
        <v>3</v>
      </c>
      <c r="D31" s="550" t="s">
        <v>53</v>
      </c>
      <c r="E31" s="550" t="s">
        <v>570</v>
      </c>
      <c r="F31"/>
      <c r="G31"/>
      <c r="H31"/>
      <c r="I31"/>
      <c r="J31"/>
      <c r="K31"/>
    </row>
    <row r="32" spans="1:11" ht="14.4" x14ac:dyDescent="0.3">
      <c r="A32" s="550" t="s">
        <v>571</v>
      </c>
      <c r="B32" s="550" t="s">
        <v>572</v>
      </c>
      <c r="C32" s="550">
        <v>360</v>
      </c>
      <c r="D32" s="550" t="s">
        <v>573</v>
      </c>
      <c r="E32" s="550" t="s">
        <v>570</v>
      </c>
      <c r="F32"/>
      <c r="G32"/>
      <c r="H32"/>
      <c r="I32"/>
      <c r="J32"/>
      <c r="K32"/>
    </row>
    <row r="33" spans="1:11" ht="14.4" x14ac:dyDescent="0.3">
      <c r="A33" s="550" t="s">
        <v>574</v>
      </c>
      <c r="B33" s="550" t="s">
        <v>575</v>
      </c>
      <c r="C33" s="550">
        <v>5</v>
      </c>
      <c r="D33" s="550" t="s">
        <v>576</v>
      </c>
      <c r="E33" s="550" t="s">
        <v>577</v>
      </c>
      <c r="F33"/>
      <c r="G33"/>
      <c r="H33"/>
      <c r="I33"/>
      <c r="J33"/>
      <c r="K33"/>
    </row>
    <row r="34" spans="1:11" ht="14.4" x14ac:dyDescent="0.3">
      <c r="A34" s="550" t="s">
        <v>578</v>
      </c>
      <c r="B34" s="550" t="s">
        <v>579</v>
      </c>
      <c r="C34" s="550">
        <v>3.05</v>
      </c>
      <c r="D34" s="550" t="s">
        <v>580</v>
      </c>
      <c r="E34" s="550" t="s">
        <v>577</v>
      </c>
      <c r="F34"/>
      <c r="G34"/>
      <c r="H34"/>
      <c r="I34"/>
      <c r="J34"/>
      <c r="K34"/>
    </row>
    <row r="35" spans="1:11" ht="14.4" x14ac:dyDescent="0.3">
      <c r="A35" s="550" t="s">
        <v>581</v>
      </c>
      <c r="B35" s="550" t="s">
        <v>582</v>
      </c>
      <c r="C35" s="550">
        <v>1.6</v>
      </c>
      <c r="D35" s="550" t="s">
        <v>583</v>
      </c>
      <c r="E35" s="550" t="s">
        <v>570</v>
      </c>
      <c r="F35"/>
      <c r="G35"/>
      <c r="H35"/>
      <c r="I35"/>
      <c r="J35"/>
      <c r="K35"/>
    </row>
    <row r="36" spans="1:11" ht="14.4" x14ac:dyDescent="0.3">
      <c r="A36" s="550" t="s">
        <v>584</v>
      </c>
      <c r="B36" s="550" t="s">
        <v>585</v>
      </c>
      <c r="C36" s="550">
        <v>300</v>
      </c>
      <c r="D36" s="550" t="s">
        <v>586</v>
      </c>
      <c r="E36" s="550" t="s">
        <v>570</v>
      </c>
      <c r="F36"/>
      <c r="G36"/>
      <c r="H36"/>
      <c r="I36"/>
      <c r="J36"/>
      <c r="K36"/>
    </row>
    <row r="37" spans="1:11" ht="14.4" x14ac:dyDescent="0.3">
      <c r="A37" s="550" t="s">
        <v>587</v>
      </c>
      <c r="B37" s="550" t="s">
        <v>588</v>
      </c>
      <c r="C37" s="550">
        <v>0.49</v>
      </c>
      <c r="D37" s="550" t="s">
        <v>589</v>
      </c>
      <c r="E37" s="550" t="s">
        <v>590</v>
      </c>
      <c r="F37"/>
      <c r="G37"/>
      <c r="H37"/>
      <c r="I37"/>
      <c r="J37"/>
      <c r="K37"/>
    </row>
    <row r="38" spans="1:11" ht="14.4" x14ac:dyDescent="0.3">
      <c r="A38" s="550" t="s">
        <v>591</v>
      </c>
      <c r="B38" s="550" t="s">
        <v>592</v>
      </c>
      <c r="C38" s="550">
        <v>1</v>
      </c>
      <c r="D38" s="550" t="s">
        <v>593</v>
      </c>
      <c r="E38" s="550" t="s">
        <v>594</v>
      </c>
      <c r="F38"/>
      <c r="G38"/>
      <c r="H38"/>
      <c r="I38"/>
      <c r="J38"/>
      <c r="K38"/>
    </row>
    <row r="39" spans="1:11" ht="14.4" x14ac:dyDescent="0.3">
      <c r="A39" s="550" t="s">
        <v>595</v>
      </c>
      <c r="B39" s="550" t="s">
        <v>596</v>
      </c>
      <c r="C39" s="550">
        <v>1.25</v>
      </c>
      <c r="D39" s="550" t="s">
        <v>597</v>
      </c>
      <c r="E39" s="550" t="s">
        <v>594</v>
      </c>
      <c r="F39"/>
      <c r="G39"/>
      <c r="H39"/>
      <c r="I39"/>
      <c r="J39"/>
      <c r="K39"/>
    </row>
    <row r="40" spans="1:11" ht="14.4" x14ac:dyDescent="0.3">
      <c r="A40" s="550" t="s">
        <v>598</v>
      </c>
      <c r="B40" s="550" t="s">
        <v>599</v>
      </c>
      <c r="C40" s="550">
        <v>8</v>
      </c>
      <c r="D40" s="550" t="s">
        <v>600</v>
      </c>
      <c r="E40" s="550" t="s">
        <v>594</v>
      </c>
      <c r="F40"/>
      <c r="G40"/>
      <c r="H40"/>
      <c r="I40"/>
      <c r="J40"/>
      <c r="K40"/>
    </row>
    <row r="41" spans="1:11" ht="14.4" x14ac:dyDescent="0.3">
      <c r="A41" s="550" t="s">
        <v>601</v>
      </c>
      <c r="B41" s="550" t="s">
        <v>602</v>
      </c>
      <c r="C41" s="550">
        <v>7.47</v>
      </c>
      <c r="D41" s="550" t="s">
        <v>603</v>
      </c>
      <c r="E41" s="550" t="s">
        <v>604</v>
      </c>
      <c r="F41"/>
      <c r="G41"/>
      <c r="H41"/>
      <c r="I41"/>
      <c r="J41"/>
      <c r="K41"/>
    </row>
    <row r="42" spans="1:11" ht="14.4" x14ac:dyDescent="0.3">
      <c r="A42" s="550" t="s">
        <v>605</v>
      </c>
      <c r="B42" s="550" t="s">
        <v>606</v>
      </c>
      <c r="C42" s="550">
        <v>15.07</v>
      </c>
      <c r="D42" s="550" t="s">
        <v>607</v>
      </c>
      <c r="E42" s="550" t="s">
        <v>608</v>
      </c>
      <c r="F42"/>
      <c r="G42"/>
      <c r="H42"/>
      <c r="I42"/>
      <c r="J42"/>
      <c r="K42"/>
    </row>
    <row r="43" spans="1:11" ht="14.4" x14ac:dyDescent="0.3">
      <c r="A43" s="550" t="s">
        <v>609</v>
      </c>
      <c r="B43" s="550" t="s">
        <v>610</v>
      </c>
      <c r="C43" s="550">
        <v>22.74</v>
      </c>
      <c r="D43" s="550" t="s">
        <v>611</v>
      </c>
      <c r="E43" s="550" t="s">
        <v>612</v>
      </c>
      <c r="F43"/>
      <c r="G43"/>
      <c r="H43"/>
      <c r="I43"/>
      <c r="J43"/>
      <c r="K43"/>
    </row>
    <row r="44" spans="1:11" ht="14.4" x14ac:dyDescent="0.3">
      <c r="A44" s="550" t="s">
        <v>613</v>
      </c>
      <c r="B44" s="550" t="s">
        <v>614</v>
      </c>
      <c r="C44" s="550">
        <v>8307.89</v>
      </c>
      <c r="D44" s="550" t="s">
        <v>615</v>
      </c>
      <c r="E44" s="550" t="s">
        <v>616</v>
      </c>
      <c r="F44"/>
      <c r="G44"/>
      <c r="H44"/>
      <c r="I44"/>
      <c r="J44"/>
      <c r="K44"/>
    </row>
    <row r="45" spans="1:11" ht="14.4" x14ac:dyDescent="0.3">
      <c r="A45" s="550" t="s">
        <v>617</v>
      </c>
      <c r="B45" s="550" t="s">
        <v>617</v>
      </c>
      <c r="C45" s="550">
        <v>40</v>
      </c>
      <c r="D45" s="550" t="s">
        <v>618</v>
      </c>
      <c r="E45" s="550" t="s">
        <v>619</v>
      </c>
      <c r="F45"/>
      <c r="G45"/>
      <c r="H45"/>
      <c r="I45"/>
      <c r="J45"/>
      <c r="K45"/>
    </row>
    <row r="46" spans="1:11" ht="14.4" x14ac:dyDescent="0.3">
      <c r="A46" s="550" t="s">
        <v>620</v>
      </c>
      <c r="B46" s="550" t="s">
        <v>621</v>
      </c>
      <c r="C46" s="360">
        <f>Schedules!AD94</f>
        <v>2025.75</v>
      </c>
      <c r="D46" s="550" t="s">
        <v>622</v>
      </c>
      <c r="E46" s="550" t="s">
        <v>623</v>
      </c>
      <c r="F46"/>
      <c r="G46"/>
      <c r="H46"/>
      <c r="I46"/>
      <c r="J46"/>
      <c r="K46"/>
    </row>
  </sheetData>
  <mergeCells count="9">
    <mergeCell ref="A16:K16"/>
    <mergeCell ref="A22:E22"/>
    <mergeCell ref="A24:A25"/>
    <mergeCell ref="A1:D1"/>
    <mergeCell ref="C12:C13"/>
    <mergeCell ref="D12:D13"/>
    <mergeCell ref="D3:D11"/>
    <mergeCell ref="A3:A13"/>
    <mergeCell ref="B12:B1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98FA8-1D97-4D12-96EB-6911ACEC625A}">
  <sheetPr codeName="Sheet18"/>
  <dimension ref="A1:G26"/>
  <sheetViews>
    <sheetView zoomScaleNormal="100" workbookViewId="0">
      <selection sqref="A1:D1"/>
    </sheetView>
  </sheetViews>
  <sheetFormatPr defaultColWidth="8.6640625" defaultRowHeight="13.2" x14ac:dyDescent="0.25"/>
  <cols>
    <col min="1" max="1" width="35.6640625" style="3" customWidth="1"/>
    <col min="2" max="2" width="41.6640625" style="3" customWidth="1"/>
    <col min="3" max="3" width="17.88671875" style="3" customWidth="1"/>
    <col min="4" max="4" width="34.33203125" style="3" customWidth="1"/>
    <col min="5" max="5" width="31.33203125" style="3" customWidth="1"/>
    <col min="6" max="6" width="19.33203125" style="3" customWidth="1"/>
    <col min="7" max="7" width="21.33203125" style="3" customWidth="1"/>
    <col min="8" max="8" width="15.5546875" style="3" customWidth="1"/>
    <col min="9" max="9" width="13.33203125" style="3" customWidth="1"/>
    <col min="10" max="16384" width="8.6640625" style="3"/>
  </cols>
  <sheetData>
    <row r="1" spans="1:7" ht="25.2" customHeight="1" x14ac:dyDescent="0.25">
      <c r="A1" s="616" t="str">
        <f>"Exterior Lighting - "&amp;Prototype!A2</f>
        <v xml:space="preserve">Exterior Lighting - ApartmentMidRise </v>
      </c>
      <c r="B1" s="616"/>
      <c r="C1" s="616"/>
      <c r="D1" s="616"/>
    </row>
    <row r="2" spans="1:7" ht="37.200000000000003" customHeight="1" x14ac:dyDescent="0.25">
      <c r="A2" s="39" t="s">
        <v>624</v>
      </c>
      <c r="B2" s="39" t="s">
        <v>625</v>
      </c>
      <c r="C2" s="39" t="s">
        <v>626</v>
      </c>
      <c r="D2" s="39" t="s">
        <v>268</v>
      </c>
    </row>
    <row r="3" spans="1:7" ht="50.25" customHeight="1" x14ac:dyDescent="0.25">
      <c r="A3" s="40">
        <f>G16</f>
        <v>2259.9691335111111</v>
      </c>
      <c r="B3" s="40">
        <f>G17</f>
        <v>1367.7096320000001</v>
      </c>
      <c r="C3" s="40">
        <f>B3+A3</f>
        <v>3627.6787655111111</v>
      </c>
      <c r="D3" s="542" t="s">
        <v>627</v>
      </c>
    </row>
    <row r="4" spans="1:7" ht="22.2" customHeight="1" x14ac:dyDescent="0.25">
      <c r="A4" s="53"/>
      <c r="B4" s="53"/>
      <c r="C4" s="53"/>
      <c r="D4" s="53"/>
    </row>
    <row r="5" spans="1:7" ht="15.6" customHeight="1" x14ac:dyDescent="0.25">
      <c r="A5" s="118"/>
      <c r="B5" s="118"/>
      <c r="C5" s="118"/>
      <c r="D5" s="118"/>
      <c r="E5" s="118"/>
    </row>
    <row r="6" spans="1:7" ht="15.6" customHeight="1" x14ac:dyDescent="0.25">
      <c r="A6" s="119"/>
      <c r="B6" s="119"/>
      <c r="C6" s="119"/>
      <c r="D6" s="119"/>
      <c r="E6" s="120"/>
    </row>
    <row r="7" spans="1:7" ht="15.6" customHeight="1" x14ac:dyDescent="0.25"/>
    <row r="8" spans="1:7" ht="15.6" x14ac:dyDescent="0.25">
      <c r="A8" s="616" t="str">
        <f xml:space="preserve"> "Exterior Lighting - "&amp; Prototype!A2</f>
        <v xml:space="preserve">Exterior Lighting - ApartmentMidRise </v>
      </c>
      <c r="B8" s="616"/>
      <c r="C8" s="616"/>
      <c r="D8" s="616"/>
      <c r="E8" s="616"/>
      <c r="F8" s="616"/>
      <c r="G8" s="616"/>
    </row>
    <row r="9" spans="1:7" ht="39.6" x14ac:dyDescent="0.25">
      <c r="A9" s="121" t="s">
        <v>628</v>
      </c>
      <c r="B9" s="674" t="s">
        <v>629</v>
      </c>
      <c r="C9" s="675"/>
      <c r="D9" s="122" t="s">
        <v>630</v>
      </c>
      <c r="E9" s="122" t="s">
        <v>631</v>
      </c>
      <c r="F9" s="122" t="s">
        <v>630</v>
      </c>
      <c r="G9" s="122" t="s">
        <v>632</v>
      </c>
    </row>
    <row r="10" spans="1:7" ht="24" customHeight="1" x14ac:dyDescent="0.25">
      <c r="A10" s="13" t="s">
        <v>633</v>
      </c>
      <c r="B10" s="13"/>
      <c r="C10" s="123"/>
      <c r="D10" s="543"/>
      <c r="E10" s="543">
        <v>200</v>
      </c>
      <c r="F10" s="543" t="s">
        <v>634</v>
      </c>
      <c r="G10" s="124">
        <f>$E10</f>
        <v>200</v>
      </c>
    </row>
    <row r="11" spans="1:7" ht="52.8" x14ac:dyDescent="0.25">
      <c r="A11" s="14" t="s">
        <v>635</v>
      </c>
      <c r="B11" s="14" t="s">
        <v>636</v>
      </c>
      <c r="C11" s="135">
        <f>400*B25*1.5+B23/B24/360*400</f>
        <v>84136.391111111108</v>
      </c>
      <c r="D11" s="543" t="s">
        <v>637</v>
      </c>
      <c r="E11" s="543">
        <v>1.9E-2</v>
      </c>
      <c r="F11" s="543" t="s">
        <v>638</v>
      </c>
      <c r="G11" s="124">
        <f>$E11*C11</f>
        <v>1598.591431111111</v>
      </c>
    </row>
    <row r="12" spans="1:7" ht="28.5" customHeight="1" x14ac:dyDescent="0.25">
      <c r="A12" s="13" t="s">
        <v>639</v>
      </c>
      <c r="B12" s="365" t="s">
        <v>640</v>
      </c>
      <c r="C12" s="366">
        <v>5</v>
      </c>
      <c r="D12" s="543" t="s">
        <v>641</v>
      </c>
      <c r="E12" s="543">
        <v>15</v>
      </c>
      <c r="F12" s="543" t="s">
        <v>642</v>
      </c>
      <c r="G12" s="124">
        <f>E12*C12</f>
        <v>75</v>
      </c>
    </row>
    <row r="13" spans="1:7" ht="26.4" x14ac:dyDescent="0.25">
      <c r="A13" s="13" t="s">
        <v>643</v>
      </c>
      <c r="B13" s="125" t="s">
        <v>644</v>
      </c>
      <c r="C13" s="126">
        <f>B23*0.1</f>
        <v>14101.376000000002</v>
      </c>
      <c r="D13" s="543" t="s">
        <v>637</v>
      </c>
      <c r="E13" s="543">
        <v>7.0000000000000001E-3</v>
      </c>
      <c r="F13" s="543" t="s">
        <v>638</v>
      </c>
      <c r="G13" s="127">
        <f>E13*C13</f>
        <v>98.709632000000013</v>
      </c>
    </row>
    <row r="14" spans="1:7" ht="94.5" customHeight="1" x14ac:dyDescent="0.25">
      <c r="A14" s="13" t="s">
        <v>645</v>
      </c>
      <c r="B14" s="125" t="s">
        <v>646</v>
      </c>
      <c r="C14" s="126">
        <f>B22*0.5*30</f>
        <v>12690</v>
      </c>
      <c r="D14" s="543" t="s">
        <v>637</v>
      </c>
      <c r="E14" s="543">
        <v>0.1</v>
      </c>
      <c r="F14" s="543" t="s">
        <v>638</v>
      </c>
      <c r="G14" s="127">
        <f>E14*C14</f>
        <v>1269</v>
      </c>
    </row>
    <row r="15" spans="1:7" ht="39.6" x14ac:dyDescent="0.25">
      <c r="A15" s="300" t="s">
        <v>647</v>
      </c>
      <c r="B15" s="301" t="s">
        <v>648</v>
      </c>
      <c r="C15" s="128">
        <f>(B23/B24)*0.1</f>
        <v>2820.2752</v>
      </c>
      <c r="D15" s="260" t="s">
        <v>637</v>
      </c>
      <c r="E15" s="260">
        <v>0.13700000000000001</v>
      </c>
      <c r="F15" s="260" t="s">
        <v>638</v>
      </c>
      <c r="G15" s="127">
        <f>E15*C15</f>
        <v>386.37770240000003</v>
      </c>
    </row>
    <row r="16" spans="1:7" x14ac:dyDescent="0.25">
      <c r="A16" s="673" t="s">
        <v>649</v>
      </c>
      <c r="B16" s="673"/>
      <c r="C16" s="673"/>
      <c r="D16" s="673"/>
      <c r="E16" s="673"/>
      <c r="F16" s="673"/>
      <c r="G16" s="129">
        <f>G11+G10+G15+G12</f>
        <v>2259.9691335111111</v>
      </c>
    </row>
    <row r="17" spans="1:7" customFormat="1" ht="14.4" x14ac:dyDescent="0.3">
      <c r="A17" s="673" t="s">
        <v>650</v>
      </c>
      <c r="B17" s="673"/>
      <c r="C17" s="673"/>
      <c r="D17" s="673"/>
      <c r="E17" s="673"/>
      <c r="F17" s="673"/>
      <c r="G17" s="129">
        <f>G13+G14</f>
        <v>1367.7096320000001</v>
      </c>
    </row>
    <row r="18" spans="1:7" x14ac:dyDescent="0.25">
      <c r="A18" s="673" t="s">
        <v>428</v>
      </c>
      <c r="B18" s="673"/>
      <c r="C18" s="673"/>
      <c r="D18" s="673"/>
      <c r="E18" s="673"/>
      <c r="F18" s="673"/>
      <c r="G18" s="129">
        <f>G16+G17</f>
        <v>3627.6787655111111</v>
      </c>
    </row>
    <row r="19" spans="1:7" ht="14.4" x14ac:dyDescent="0.25">
      <c r="A19" s="130"/>
      <c r="B19" s="130"/>
      <c r="C19" s="130"/>
      <c r="D19" s="130"/>
      <c r="E19" s="130"/>
      <c r="F19" s="130"/>
      <c r="G19" s="131"/>
    </row>
    <row r="20" spans="1:7" ht="14.4" x14ac:dyDescent="0.3">
      <c r="C20" s="4"/>
      <c r="D20" s="132"/>
      <c r="F20" s="133"/>
    </row>
    <row r="21" spans="1:7" ht="14.4" x14ac:dyDescent="0.3">
      <c r="C21" s="4"/>
      <c r="D21" s="132"/>
      <c r="F21" s="133"/>
    </row>
    <row r="22" spans="1:7" ht="14.4" x14ac:dyDescent="0.3">
      <c r="A22" s="3" t="s">
        <v>651</v>
      </c>
      <c r="B22" s="532">
        <f>(180+155)*2+(88*2)</f>
        <v>846</v>
      </c>
      <c r="C22" s="4"/>
      <c r="D22" s="132"/>
      <c r="F22" s="133"/>
    </row>
    <row r="23" spans="1:7" ht="14.4" x14ac:dyDescent="0.3">
      <c r="A23" s="3" t="s">
        <v>652</v>
      </c>
      <c r="B23" s="134">
        <f>Zones!K40</f>
        <v>141013.76000000001</v>
      </c>
      <c r="D23" s="132"/>
      <c r="F23" s="133"/>
    </row>
    <row r="24" spans="1:7" ht="14.4" x14ac:dyDescent="0.3">
      <c r="A24" s="3" t="s">
        <v>653</v>
      </c>
      <c r="B24" s="532">
        <v>5</v>
      </c>
      <c r="D24" s="132"/>
      <c r="F24" s="133"/>
    </row>
    <row r="25" spans="1:7" ht="14.4" x14ac:dyDescent="0.3">
      <c r="A25" s="3" t="s">
        <v>60</v>
      </c>
      <c r="B25" s="532">
        <v>88</v>
      </c>
      <c r="D25" s="132"/>
      <c r="F25" s="133"/>
    </row>
    <row r="26" spans="1:7" ht="14.4" x14ac:dyDescent="0.3">
      <c r="A26"/>
      <c r="B26"/>
      <c r="D26" s="132"/>
      <c r="F26" s="133"/>
    </row>
  </sheetData>
  <mergeCells count="6">
    <mergeCell ref="A17:F17"/>
    <mergeCell ref="A18:F18"/>
    <mergeCell ref="A1:D1"/>
    <mergeCell ref="A8:G8"/>
    <mergeCell ref="B9:C9"/>
    <mergeCell ref="A16:F16"/>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EF2FF-2B6F-4A27-8A54-7B571ED83A7C}">
  <sheetPr codeName="Sheet7"/>
  <dimension ref="A1:BE164"/>
  <sheetViews>
    <sheetView zoomScale="70" zoomScaleNormal="70" workbookViewId="0">
      <selection sqref="A1:AC1"/>
    </sheetView>
  </sheetViews>
  <sheetFormatPr defaultColWidth="9.33203125" defaultRowHeight="14.4" x14ac:dyDescent="0.3"/>
  <cols>
    <col min="1" max="1" width="28" style="42" customWidth="1"/>
    <col min="2" max="2" width="19" style="42" bestFit="1" customWidth="1"/>
    <col min="3" max="3" width="28.33203125" style="42" bestFit="1" customWidth="1"/>
    <col min="4" max="4" width="24.44140625" style="42" customWidth="1"/>
    <col min="5" max="5" width="15.33203125" style="42" customWidth="1"/>
    <col min="6" max="6" width="11" style="42" customWidth="1"/>
    <col min="7" max="7" width="8.109375" style="42" bestFit="1" customWidth="1"/>
    <col min="8" max="29" width="6.5546875" style="42" bestFit="1" customWidth="1"/>
    <col min="30" max="30" width="11.88671875" customWidth="1"/>
    <col min="31" max="31" width="12.44140625" customWidth="1"/>
    <col min="32" max="37" width="9.33203125" style="42"/>
    <col min="57" max="16384" width="9.33203125" style="42"/>
  </cols>
  <sheetData>
    <row r="1" spans="1:57" customFormat="1" ht="31.5" customHeight="1" x14ac:dyDescent="0.3">
      <c r="A1" s="619" t="str">
        <f>"Schedules - "&amp;Prototype!A2</f>
        <v xml:space="preserve">Schedules - ApartmentMidRise </v>
      </c>
      <c r="B1" s="619"/>
      <c r="C1" s="619"/>
      <c r="D1" s="619"/>
      <c r="E1" s="619"/>
      <c r="F1" s="619"/>
      <c r="G1" s="619"/>
      <c r="H1" s="619"/>
      <c r="I1" s="619"/>
      <c r="J1" s="619"/>
      <c r="K1" s="619"/>
      <c r="L1" s="619"/>
      <c r="M1" s="619"/>
      <c r="N1" s="619"/>
      <c r="O1" s="619"/>
      <c r="P1" s="619"/>
      <c r="Q1" s="619"/>
      <c r="R1" s="619"/>
      <c r="S1" s="619"/>
      <c r="T1" s="619"/>
      <c r="U1" s="619"/>
      <c r="V1" s="619"/>
      <c r="W1" s="619"/>
      <c r="X1" s="619"/>
      <c r="Y1" s="619"/>
      <c r="Z1" s="619"/>
      <c r="AA1" s="619"/>
      <c r="AB1" s="619"/>
      <c r="AC1" s="735"/>
    </row>
    <row r="2" spans="1:57" ht="24" customHeight="1" x14ac:dyDescent="0.3">
      <c r="A2" s="658" t="s">
        <v>654</v>
      </c>
      <c r="B2" s="658" t="s">
        <v>70</v>
      </c>
      <c r="C2" s="658" t="s">
        <v>655</v>
      </c>
      <c r="D2" s="658" t="s">
        <v>268</v>
      </c>
      <c r="E2" s="658" t="s">
        <v>656</v>
      </c>
      <c r="F2" s="736" t="s">
        <v>657</v>
      </c>
      <c r="G2" s="737"/>
      <c r="H2" s="737"/>
      <c r="I2" s="737"/>
      <c r="J2" s="737"/>
      <c r="K2" s="737"/>
      <c r="L2" s="737"/>
      <c r="M2" s="737"/>
      <c r="N2" s="737"/>
      <c r="O2" s="737"/>
      <c r="P2" s="737"/>
      <c r="Q2" s="737"/>
      <c r="R2" s="737"/>
      <c r="S2" s="737"/>
      <c r="T2" s="737"/>
      <c r="U2" s="737"/>
      <c r="V2" s="737"/>
      <c r="W2" s="737"/>
      <c r="X2" s="737"/>
      <c r="Y2" s="737"/>
      <c r="Z2" s="737"/>
      <c r="AA2" s="737"/>
      <c r="AB2" s="737"/>
      <c r="AC2" s="737"/>
      <c r="AE2" s="43"/>
      <c r="AF2" s="43"/>
      <c r="AG2" s="43"/>
      <c r="AH2" s="43"/>
      <c r="AI2" s="43"/>
      <c r="AJ2" s="44"/>
      <c r="AK2" s="44"/>
      <c r="AL2" s="44"/>
      <c r="AM2" s="44"/>
      <c r="AN2" s="44"/>
      <c r="AO2" s="44"/>
      <c r="AP2" s="44"/>
      <c r="AQ2" s="44"/>
      <c r="AR2" s="44"/>
      <c r="AS2" s="44"/>
      <c r="AT2" s="44"/>
      <c r="AU2" s="44"/>
      <c r="AV2" s="44"/>
      <c r="AW2" s="44"/>
      <c r="AX2" s="44"/>
      <c r="AY2" s="44"/>
      <c r="BE2"/>
    </row>
    <row r="3" spans="1:57" ht="25.2" customHeight="1" x14ac:dyDescent="0.3">
      <c r="A3" s="741"/>
      <c r="B3" s="741"/>
      <c r="C3" s="741"/>
      <c r="D3" s="741"/>
      <c r="E3" s="741"/>
      <c r="F3" s="190">
        <v>1</v>
      </c>
      <c r="G3" s="529">
        <v>2</v>
      </c>
      <c r="H3" s="529">
        <v>3</v>
      </c>
      <c r="I3" s="529">
        <v>4</v>
      </c>
      <c r="J3" s="529">
        <v>5</v>
      </c>
      <c r="K3" s="529">
        <v>6</v>
      </c>
      <c r="L3" s="529">
        <v>7</v>
      </c>
      <c r="M3" s="529">
        <v>8</v>
      </c>
      <c r="N3" s="529">
        <v>9</v>
      </c>
      <c r="O3" s="529">
        <v>10</v>
      </c>
      <c r="P3" s="529">
        <v>11</v>
      </c>
      <c r="Q3" s="529">
        <v>12</v>
      </c>
      <c r="R3" s="529">
        <v>13</v>
      </c>
      <c r="S3" s="529">
        <v>14</v>
      </c>
      <c r="T3" s="529">
        <v>15</v>
      </c>
      <c r="U3" s="529">
        <v>16</v>
      </c>
      <c r="V3" s="529">
        <v>17</v>
      </c>
      <c r="W3" s="529">
        <v>18</v>
      </c>
      <c r="X3" s="529">
        <v>19</v>
      </c>
      <c r="Y3" s="529">
        <v>20</v>
      </c>
      <c r="Z3" s="529">
        <v>21</v>
      </c>
      <c r="AA3" s="529">
        <v>22</v>
      </c>
      <c r="AB3" s="529">
        <v>23</v>
      </c>
      <c r="AC3" s="529">
        <v>24</v>
      </c>
      <c r="AE3" s="44"/>
      <c r="AF3" s="44"/>
      <c r="AG3" s="44"/>
      <c r="AH3" s="44"/>
      <c r="AI3" s="44"/>
      <c r="AJ3" s="44"/>
      <c r="AK3" s="44"/>
      <c r="AL3" s="44"/>
      <c r="AM3" s="44"/>
      <c r="AN3" s="44"/>
      <c r="AO3" s="44"/>
      <c r="AP3" s="44"/>
      <c r="AQ3" s="44"/>
      <c r="AR3" s="44"/>
      <c r="AS3" s="44"/>
      <c r="AT3" s="44"/>
      <c r="AU3" s="44"/>
      <c r="AV3" s="44"/>
      <c r="AW3" s="44"/>
      <c r="AX3" s="44"/>
      <c r="AY3" s="44"/>
      <c r="BE3"/>
    </row>
    <row r="4" spans="1:57" ht="39.9" customHeight="1" x14ac:dyDescent="0.3">
      <c r="A4" s="742" t="s">
        <v>658</v>
      </c>
      <c r="B4" s="715" t="s">
        <v>120</v>
      </c>
      <c r="C4" s="715" t="s">
        <v>659</v>
      </c>
      <c r="D4" s="699" t="s">
        <v>660</v>
      </c>
      <c r="E4" s="181" t="s">
        <v>661</v>
      </c>
      <c r="F4" s="145">
        <v>0.9</v>
      </c>
      <c r="G4" s="145">
        <v>0.9</v>
      </c>
      <c r="H4" s="145">
        <v>0.9</v>
      </c>
      <c r="I4" s="145">
        <v>0.9</v>
      </c>
      <c r="J4" s="145">
        <v>0.9</v>
      </c>
      <c r="K4" s="145">
        <v>0.9</v>
      </c>
      <c r="L4" s="145">
        <v>0.7</v>
      </c>
      <c r="M4" s="145">
        <v>0.4</v>
      </c>
      <c r="N4" s="145">
        <v>0.4</v>
      </c>
      <c r="O4" s="145">
        <v>0.2</v>
      </c>
      <c r="P4" s="145">
        <v>0.2</v>
      </c>
      <c r="Q4" s="145">
        <v>0.2</v>
      </c>
      <c r="R4" s="145">
        <v>0.2</v>
      </c>
      <c r="S4" s="145">
        <v>0.2</v>
      </c>
      <c r="T4" s="145">
        <v>0.2</v>
      </c>
      <c r="U4" s="145">
        <v>0.3</v>
      </c>
      <c r="V4" s="145">
        <v>0.5</v>
      </c>
      <c r="W4" s="145">
        <v>0.5</v>
      </c>
      <c r="X4" s="145">
        <v>0.5</v>
      </c>
      <c r="Y4" s="145">
        <v>0.7</v>
      </c>
      <c r="Z4" s="145">
        <v>0.7</v>
      </c>
      <c r="AA4" s="145">
        <v>0.8</v>
      </c>
      <c r="AB4" s="145">
        <v>0.9</v>
      </c>
      <c r="AC4" s="146">
        <v>0.9</v>
      </c>
      <c r="AE4" s="44"/>
      <c r="AF4" s="44"/>
      <c r="AG4" s="44"/>
      <c r="AH4" s="44"/>
      <c r="AI4" s="44"/>
      <c r="AJ4" s="44"/>
      <c r="AK4" s="44"/>
      <c r="AL4" s="44"/>
      <c r="AM4" s="44"/>
      <c r="AN4" s="44"/>
      <c r="AO4" s="44"/>
      <c r="AP4" s="44"/>
      <c r="AQ4" s="44"/>
      <c r="AR4" s="44"/>
      <c r="AS4" s="44"/>
      <c r="AT4" s="44"/>
      <c r="AU4" s="44"/>
      <c r="AV4" s="44"/>
      <c r="AW4" s="44"/>
      <c r="AX4" s="44"/>
    </row>
    <row r="5" spans="1:57" ht="39.9" customHeight="1" x14ac:dyDescent="0.3">
      <c r="A5" s="743"/>
      <c r="B5" s="677"/>
      <c r="C5" s="677"/>
      <c r="D5" s="700"/>
      <c r="E5" s="182" t="s">
        <v>662</v>
      </c>
      <c r="F5" s="147">
        <v>0.9</v>
      </c>
      <c r="G5" s="147">
        <v>0.9</v>
      </c>
      <c r="H5" s="147">
        <v>0.9</v>
      </c>
      <c r="I5" s="147">
        <v>0.9</v>
      </c>
      <c r="J5" s="147">
        <v>0.9</v>
      </c>
      <c r="K5" s="147">
        <v>0.9</v>
      </c>
      <c r="L5" s="147">
        <v>0.7</v>
      </c>
      <c r="M5" s="147">
        <v>0.4</v>
      </c>
      <c r="N5" s="147">
        <v>0.4</v>
      </c>
      <c r="O5" s="147">
        <v>0.2</v>
      </c>
      <c r="P5" s="147">
        <v>0.2</v>
      </c>
      <c r="Q5" s="147">
        <v>0.2</v>
      </c>
      <c r="R5" s="147">
        <v>0.2</v>
      </c>
      <c r="S5" s="147">
        <v>0.2</v>
      </c>
      <c r="T5" s="147">
        <v>0.2</v>
      </c>
      <c r="U5" s="147">
        <v>0.3</v>
      </c>
      <c r="V5" s="147">
        <v>0.5</v>
      </c>
      <c r="W5" s="147">
        <v>0.5</v>
      </c>
      <c r="X5" s="147">
        <v>0.5</v>
      </c>
      <c r="Y5" s="147">
        <v>0.7</v>
      </c>
      <c r="Z5" s="147">
        <v>0.7</v>
      </c>
      <c r="AA5" s="147">
        <v>0.8</v>
      </c>
      <c r="AB5" s="147">
        <v>0.9</v>
      </c>
      <c r="AC5" s="148">
        <v>0.9</v>
      </c>
      <c r="AE5" s="44"/>
      <c r="AF5" s="44"/>
      <c r="AG5" s="44"/>
      <c r="AH5" s="44"/>
      <c r="AI5" s="44"/>
      <c r="AJ5" s="44"/>
      <c r="AK5" s="44"/>
      <c r="AL5" s="44"/>
      <c r="AM5" s="44"/>
      <c r="AN5" s="44"/>
      <c r="AO5" s="44"/>
      <c r="AP5" s="44"/>
      <c r="AQ5" s="44"/>
      <c r="AR5" s="44"/>
      <c r="AS5" s="44"/>
      <c r="AT5" s="44"/>
      <c r="AU5" s="44"/>
      <c r="AV5" s="44"/>
      <c r="AW5" s="44"/>
      <c r="AX5" s="44"/>
    </row>
    <row r="6" spans="1:57" ht="39.9" customHeight="1" x14ac:dyDescent="0.3">
      <c r="A6" s="743"/>
      <c r="B6" s="677"/>
      <c r="C6" s="677"/>
      <c r="D6" s="700"/>
      <c r="E6" s="183" t="s">
        <v>663</v>
      </c>
      <c r="F6" s="149">
        <v>0.9</v>
      </c>
      <c r="G6" s="149">
        <v>0.9</v>
      </c>
      <c r="H6" s="149">
        <v>0.9</v>
      </c>
      <c r="I6" s="149">
        <v>0.9</v>
      </c>
      <c r="J6" s="149">
        <v>0.9</v>
      </c>
      <c r="K6" s="149">
        <v>0.9</v>
      </c>
      <c r="L6" s="149">
        <v>0.7</v>
      </c>
      <c r="M6" s="149">
        <v>0.4</v>
      </c>
      <c r="N6" s="149">
        <v>0.4</v>
      </c>
      <c r="O6" s="149">
        <v>0.2</v>
      </c>
      <c r="P6" s="149">
        <v>0.2</v>
      </c>
      <c r="Q6" s="149">
        <v>0.2</v>
      </c>
      <c r="R6" s="149">
        <v>0.2</v>
      </c>
      <c r="S6" s="149">
        <v>0.2</v>
      </c>
      <c r="T6" s="149">
        <v>0.2</v>
      </c>
      <c r="U6" s="149">
        <v>0.3</v>
      </c>
      <c r="V6" s="149">
        <v>0.5</v>
      </c>
      <c r="W6" s="149">
        <v>0.5</v>
      </c>
      <c r="X6" s="149">
        <v>0.5</v>
      </c>
      <c r="Y6" s="149">
        <v>0.7</v>
      </c>
      <c r="Z6" s="149">
        <v>0.7</v>
      </c>
      <c r="AA6" s="149">
        <v>0.8</v>
      </c>
      <c r="AB6" s="149">
        <v>0.9</v>
      </c>
      <c r="AC6" s="150">
        <v>0.9</v>
      </c>
      <c r="AE6" s="44"/>
      <c r="AF6" s="44"/>
      <c r="AG6" s="44"/>
      <c r="AH6" s="44"/>
      <c r="AI6" s="44"/>
      <c r="AJ6" s="44"/>
      <c r="AK6" s="44"/>
      <c r="AL6" s="44"/>
      <c r="AM6" s="44"/>
      <c r="AN6" s="44"/>
      <c r="AO6" s="44"/>
      <c r="AP6" s="44"/>
      <c r="AQ6" s="44"/>
      <c r="AR6" s="44"/>
      <c r="AS6" s="44"/>
      <c r="AT6" s="44"/>
      <c r="AU6" s="44"/>
      <c r="AV6" s="44"/>
      <c r="AW6" s="44"/>
      <c r="AX6" s="44"/>
    </row>
    <row r="7" spans="1:57" ht="39.9" customHeight="1" x14ac:dyDescent="0.3">
      <c r="A7" s="743" t="s">
        <v>658</v>
      </c>
      <c r="B7" s="677" t="str">
        <f>B4</f>
        <v>ResidentialLiving</v>
      </c>
      <c r="C7" s="677" t="s">
        <v>664</v>
      </c>
      <c r="D7" s="700" t="s">
        <v>660</v>
      </c>
      <c r="E7" s="181" t="s">
        <v>661</v>
      </c>
      <c r="F7" s="145">
        <v>0.1</v>
      </c>
      <c r="G7" s="145">
        <v>0.1</v>
      </c>
      <c r="H7" s="145">
        <v>0.1</v>
      </c>
      <c r="I7" s="145">
        <v>0.1</v>
      </c>
      <c r="J7" s="145">
        <v>0.1</v>
      </c>
      <c r="K7" s="145">
        <v>0.3</v>
      </c>
      <c r="L7" s="145">
        <v>0.45</v>
      </c>
      <c r="M7" s="145">
        <v>0.45</v>
      </c>
      <c r="N7" s="145">
        <v>0.45</v>
      </c>
      <c r="O7" s="145">
        <v>0.45</v>
      </c>
      <c r="P7" s="145">
        <v>0.3</v>
      </c>
      <c r="Q7" s="145">
        <v>0.3</v>
      </c>
      <c r="R7" s="145">
        <v>0.3</v>
      </c>
      <c r="S7" s="145">
        <v>0.3</v>
      </c>
      <c r="T7" s="145">
        <v>0.3</v>
      </c>
      <c r="U7" s="145">
        <v>0.3</v>
      </c>
      <c r="V7" s="145">
        <v>0.3</v>
      </c>
      <c r="W7" s="145">
        <v>0.3</v>
      </c>
      <c r="X7" s="145">
        <v>0.6</v>
      </c>
      <c r="Y7" s="145">
        <v>0.8</v>
      </c>
      <c r="Z7" s="145">
        <v>0.9</v>
      </c>
      <c r="AA7" s="145">
        <v>0.8</v>
      </c>
      <c r="AB7" s="145">
        <v>0.6</v>
      </c>
      <c r="AC7" s="146">
        <v>0.3</v>
      </c>
      <c r="AE7" s="44"/>
      <c r="AF7" s="44"/>
      <c r="AG7" s="44"/>
      <c r="AH7" s="44"/>
      <c r="AI7" s="44"/>
      <c r="AJ7" s="44"/>
      <c r="AK7" s="44"/>
      <c r="AL7" s="44"/>
      <c r="AM7" s="44"/>
      <c r="AN7" s="44"/>
      <c r="AO7" s="44"/>
      <c r="AP7" s="44"/>
      <c r="AQ7" s="44"/>
      <c r="AR7" s="44"/>
      <c r="AS7" s="44"/>
      <c r="AT7" s="44"/>
      <c r="AU7" s="44"/>
      <c r="AV7" s="44"/>
      <c r="AW7" s="44"/>
      <c r="AX7" s="44"/>
    </row>
    <row r="8" spans="1:57" ht="39.9" customHeight="1" x14ac:dyDescent="0.3">
      <c r="A8" s="743"/>
      <c r="B8" s="677"/>
      <c r="C8" s="677"/>
      <c r="D8" s="700"/>
      <c r="E8" s="182" t="s">
        <v>662</v>
      </c>
      <c r="F8" s="147">
        <v>0.1</v>
      </c>
      <c r="G8" s="147">
        <v>0.1</v>
      </c>
      <c r="H8" s="147">
        <v>0.1</v>
      </c>
      <c r="I8" s="147">
        <v>0.1</v>
      </c>
      <c r="J8" s="147">
        <v>0.1</v>
      </c>
      <c r="K8" s="147">
        <v>0.3</v>
      </c>
      <c r="L8" s="147">
        <v>0.45</v>
      </c>
      <c r="M8" s="147">
        <v>0.45</v>
      </c>
      <c r="N8" s="147">
        <v>0.45</v>
      </c>
      <c r="O8" s="147">
        <v>0.45</v>
      </c>
      <c r="P8" s="147">
        <v>0.3</v>
      </c>
      <c r="Q8" s="147">
        <v>0.3</v>
      </c>
      <c r="R8" s="147">
        <v>0.3</v>
      </c>
      <c r="S8" s="147">
        <v>0.3</v>
      </c>
      <c r="T8" s="147">
        <v>0.3</v>
      </c>
      <c r="U8" s="147">
        <v>0.3</v>
      </c>
      <c r="V8" s="147">
        <v>0.3</v>
      </c>
      <c r="W8" s="147">
        <v>0.3</v>
      </c>
      <c r="X8" s="147">
        <v>0.6</v>
      </c>
      <c r="Y8" s="147">
        <v>0.8</v>
      </c>
      <c r="Z8" s="147">
        <v>0.9</v>
      </c>
      <c r="AA8" s="147">
        <v>0.8</v>
      </c>
      <c r="AB8" s="147">
        <v>0.6</v>
      </c>
      <c r="AC8" s="148">
        <v>0.3</v>
      </c>
      <c r="AE8" s="44"/>
      <c r="AF8" s="44"/>
      <c r="AG8" s="44"/>
      <c r="AH8" s="44"/>
      <c r="AI8" s="44"/>
      <c r="AJ8" s="44"/>
      <c r="AK8" s="44"/>
      <c r="AL8" s="44"/>
      <c r="AM8" s="44"/>
      <c r="AN8" s="44"/>
      <c r="AO8" s="44"/>
      <c r="AP8" s="44"/>
      <c r="AQ8" s="44"/>
      <c r="AR8" s="44"/>
      <c r="AS8" s="44"/>
      <c r="AT8" s="44"/>
      <c r="AU8" s="44"/>
      <c r="AV8" s="44"/>
      <c r="AW8" s="44"/>
      <c r="AX8" s="44"/>
    </row>
    <row r="9" spans="1:57" ht="39.9" customHeight="1" x14ac:dyDescent="0.3">
      <c r="A9" s="743"/>
      <c r="B9" s="677"/>
      <c r="C9" s="677"/>
      <c r="D9" s="700"/>
      <c r="E9" s="183" t="s">
        <v>663</v>
      </c>
      <c r="F9" s="149">
        <v>0.1</v>
      </c>
      <c r="G9" s="149">
        <v>0.1</v>
      </c>
      <c r="H9" s="149">
        <v>0.1</v>
      </c>
      <c r="I9" s="149">
        <v>0.1</v>
      </c>
      <c r="J9" s="149">
        <v>0.1</v>
      </c>
      <c r="K9" s="149">
        <v>0.3</v>
      </c>
      <c r="L9" s="149">
        <v>0.45</v>
      </c>
      <c r="M9" s="149">
        <v>0.45</v>
      </c>
      <c r="N9" s="149">
        <v>0.45</v>
      </c>
      <c r="O9" s="149">
        <v>0.45</v>
      </c>
      <c r="P9" s="149">
        <v>0.3</v>
      </c>
      <c r="Q9" s="149">
        <v>0.3</v>
      </c>
      <c r="R9" s="149">
        <v>0.3</v>
      </c>
      <c r="S9" s="149">
        <v>0.3</v>
      </c>
      <c r="T9" s="149">
        <v>0.3</v>
      </c>
      <c r="U9" s="149">
        <v>0.3</v>
      </c>
      <c r="V9" s="149">
        <v>0.3</v>
      </c>
      <c r="W9" s="149">
        <v>0.3</v>
      </c>
      <c r="X9" s="149">
        <v>0.6</v>
      </c>
      <c r="Y9" s="149">
        <v>0.8</v>
      </c>
      <c r="Z9" s="149">
        <v>0.9</v>
      </c>
      <c r="AA9" s="149">
        <v>0.8</v>
      </c>
      <c r="AB9" s="149">
        <v>0.6</v>
      </c>
      <c r="AC9" s="150">
        <v>0.3</v>
      </c>
      <c r="AE9" s="44"/>
      <c r="AF9" s="44"/>
      <c r="AG9" s="44"/>
      <c r="AH9" s="44"/>
      <c r="AI9" s="44"/>
      <c r="AJ9" s="44"/>
      <c r="AK9" s="44"/>
      <c r="AL9" s="44"/>
      <c r="AM9" s="44"/>
      <c r="AN9" s="44"/>
      <c r="AO9" s="44"/>
      <c r="AP9" s="44"/>
      <c r="AQ9" s="44"/>
      <c r="AR9" s="44"/>
      <c r="AS9" s="44"/>
      <c r="AT9" s="44"/>
      <c r="AU9" s="44"/>
      <c r="AV9" s="44"/>
      <c r="AW9" s="44"/>
      <c r="AX9" s="44"/>
    </row>
    <row r="10" spans="1:57" ht="39.9" customHeight="1" x14ac:dyDescent="0.3">
      <c r="A10" s="743" t="s">
        <v>658</v>
      </c>
      <c r="B10" s="677" t="str">
        <f>B4</f>
        <v>ResidentialLiving</v>
      </c>
      <c r="C10" s="677" t="s">
        <v>665</v>
      </c>
      <c r="D10" s="700" t="s">
        <v>660</v>
      </c>
      <c r="E10" s="181" t="s">
        <v>661</v>
      </c>
      <c r="F10" s="145">
        <v>0.1</v>
      </c>
      <c r="G10" s="145">
        <v>0.1</v>
      </c>
      <c r="H10" s="145">
        <v>0.1</v>
      </c>
      <c r="I10" s="145">
        <v>0.1</v>
      </c>
      <c r="J10" s="145">
        <v>0.1</v>
      </c>
      <c r="K10" s="145">
        <v>0.3</v>
      </c>
      <c r="L10" s="145">
        <v>0.45</v>
      </c>
      <c r="M10" s="145">
        <v>0.45</v>
      </c>
      <c r="N10" s="145">
        <v>0.45</v>
      </c>
      <c r="O10" s="145">
        <v>0.45</v>
      </c>
      <c r="P10" s="145">
        <v>0.3</v>
      </c>
      <c r="Q10" s="145">
        <v>0.3</v>
      </c>
      <c r="R10" s="145">
        <v>0.3</v>
      </c>
      <c r="S10" s="145">
        <v>0.3</v>
      </c>
      <c r="T10" s="145">
        <v>0.3</v>
      </c>
      <c r="U10" s="145">
        <v>0.3</v>
      </c>
      <c r="V10" s="145">
        <v>0.3</v>
      </c>
      <c r="W10" s="145">
        <v>0.3</v>
      </c>
      <c r="X10" s="145">
        <v>0.6</v>
      </c>
      <c r="Y10" s="145">
        <v>0.8</v>
      </c>
      <c r="Z10" s="145">
        <v>0.9</v>
      </c>
      <c r="AA10" s="145">
        <v>0.8</v>
      </c>
      <c r="AB10" s="145">
        <v>0.6</v>
      </c>
      <c r="AC10" s="146">
        <v>0.3</v>
      </c>
      <c r="AE10" s="44"/>
      <c r="AF10" s="44"/>
      <c r="AG10" s="44"/>
      <c r="AH10" s="44"/>
      <c r="AI10" s="44"/>
      <c r="AJ10" s="44"/>
      <c r="AK10" s="44"/>
      <c r="AL10" s="44"/>
      <c r="AM10" s="44"/>
      <c r="AN10" s="44"/>
      <c r="AO10" s="44"/>
      <c r="AP10" s="44"/>
      <c r="AQ10" s="44"/>
      <c r="AR10" s="44"/>
      <c r="AS10" s="44"/>
      <c r="AT10" s="44"/>
      <c r="AU10" s="44"/>
      <c r="AV10" s="44"/>
      <c r="AW10" s="44"/>
      <c r="AX10" s="44"/>
    </row>
    <row r="11" spans="1:57" ht="39.9" customHeight="1" x14ac:dyDescent="0.3">
      <c r="A11" s="743"/>
      <c r="B11" s="677"/>
      <c r="C11" s="677"/>
      <c r="D11" s="700"/>
      <c r="E11" s="182" t="s">
        <v>662</v>
      </c>
      <c r="F11" s="147">
        <v>0.1</v>
      </c>
      <c r="G11" s="147">
        <v>0.1</v>
      </c>
      <c r="H11" s="147">
        <v>0.1</v>
      </c>
      <c r="I11" s="147">
        <v>0.1</v>
      </c>
      <c r="J11" s="147">
        <v>0.1</v>
      </c>
      <c r="K11" s="147">
        <v>0.3</v>
      </c>
      <c r="L11" s="147">
        <v>0.45</v>
      </c>
      <c r="M11" s="147">
        <v>0.45</v>
      </c>
      <c r="N11" s="147">
        <v>0.45</v>
      </c>
      <c r="O11" s="147">
        <v>0.45</v>
      </c>
      <c r="P11" s="147">
        <v>0.3</v>
      </c>
      <c r="Q11" s="147">
        <v>0.3</v>
      </c>
      <c r="R11" s="147">
        <v>0.3</v>
      </c>
      <c r="S11" s="147">
        <v>0.3</v>
      </c>
      <c r="T11" s="147">
        <v>0.3</v>
      </c>
      <c r="U11" s="147">
        <v>0.3</v>
      </c>
      <c r="V11" s="147">
        <v>0.3</v>
      </c>
      <c r="W11" s="147">
        <v>0.3</v>
      </c>
      <c r="X11" s="147">
        <v>0.6</v>
      </c>
      <c r="Y11" s="147">
        <v>0.8</v>
      </c>
      <c r="Z11" s="147">
        <v>0.9</v>
      </c>
      <c r="AA11" s="147">
        <v>0.8</v>
      </c>
      <c r="AB11" s="147">
        <v>0.6</v>
      </c>
      <c r="AC11" s="148">
        <v>0.3</v>
      </c>
      <c r="AE11" s="44"/>
      <c r="AF11" s="44"/>
      <c r="AG11" s="44"/>
      <c r="AH11" s="44"/>
      <c r="AI11" s="44"/>
      <c r="AJ11" s="44"/>
      <c r="AK11" s="44"/>
      <c r="AL11" s="44"/>
      <c r="AM11" s="44"/>
      <c r="AN11" s="44"/>
      <c r="AO11" s="44"/>
      <c r="AP11" s="44"/>
      <c r="AQ11" s="44"/>
      <c r="AR11" s="44"/>
      <c r="AS11" s="44"/>
      <c r="AT11" s="44"/>
      <c r="AU11" s="44"/>
      <c r="AV11" s="44"/>
      <c r="AW11" s="44"/>
      <c r="AX11" s="44"/>
    </row>
    <row r="12" spans="1:57" ht="39.9" customHeight="1" x14ac:dyDescent="0.3">
      <c r="A12" s="743"/>
      <c r="B12" s="677"/>
      <c r="C12" s="677"/>
      <c r="D12" s="700"/>
      <c r="E12" s="183" t="s">
        <v>663</v>
      </c>
      <c r="F12" s="149">
        <v>0.1</v>
      </c>
      <c r="G12" s="149">
        <v>0.1</v>
      </c>
      <c r="H12" s="149">
        <v>0.1</v>
      </c>
      <c r="I12" s="149">
        <v>0.1</v>
      </c>
      <c r="J12" s="149">
        <v>0.1</v>
      </c>
      <c r="K12" s="149">
        <v>0.3</v>
      </c>
      <c r="L12" s="149">
        <v>0.45</v>
      </c>
      <c r="M12" s="149">
        <v>0.45</v>
      </c>
      <c r="N12" s="149">
        <v>0.45</v>
      </c>
      <c r="O12" s="149">
        <v>0.45</v>
      </c>
      <c r="P12" s="149">
        <v>0.3</v>
      </c>
      <c r="Q12" s="149">
        <v>0.3</v>
      </c>
      <c r="R12" s="149">
        <v>0.3</v>
      </c>
      <c r="S12" s="149">
        <v>0.3</v>
      </c>
      <c r="T12" s="149">
        <v>0.3</v>
      </c>
      <c r="U12" s="149">
        <v>0.3</v>
      </c>
      <c r="V12" s="149">
        <v>0.3</v>
      </c>
      <c r="W12" s="149">
        <v>0.3</v>
      </c>
      <c r="X12" s="149">
        <v>0.6</v>
      </c>
      <c r="Y12" s="149">
        <v>0.8</v>
      </c>
      <c r="Z12" s="149">
        <v>0.9</v>
      </c>
      <c r="AA12" s="149">
        <v>0.8</v>
      </c>
      <c r="AB12" s="149">
        <v>0.6</v>
      </c>
      <c r="AC12" s="150">
        <v>0.3</v>
      </c>
      <c r="AE12" s="44"/>
      <c r="AF12" s="44"/>
      <c r="AG12" s="44"/>
      <c r="AH12" s="44"/>
      <c r="AI12" s="44"/>
      <c r="AJ12" s="44"/>
      <c r="AK12" s="44"/>
      <c r="AL12" s="44"/>
      <c r="AM12" s="44"/>
      <c r="AN12" s="44"/>
      <c r="AO12" s="44"/>
      <c r="AP12" s="44"/>
      <c r="AQ12" s="44"/>
      <c r="AR12" s="44"/>
      <c r="AS12" s="44"/>
      <c r="AT12" s="44"/>
      <c r="AU12" s="44"/>
      <c r="AV12" s="44"/>
      <c r="AW12" s="44"/>
      <c r="AX12" s="44"/>
    </row>
    <row r="13" spans="1:57" ht="39.9" customHeight="1" x14ac:dyDescent="0.3">
      <c r="A13" s="743" t="s">
        <v>658</v>
      </c>
      <c r="B13" s="677" t="str">
        <f>B4</f>
        <v>ResidentialLiving</v>
      </c>
      <c r="C13" s="677" t="s">
        <v>666</v>
      </c>
      <c r="D13" s="700" t="s">
        <v>667</v>
      </c>
      <c r="E13" s="181" t="s">
        <v>661</v>
      </c>
      <c r="F13" s="145">
        <v>1</v>
      </c>
      <c r="G13" s="145">
        <v>1</v>
      </c>
      <c r="H13" s="145">
        <v>1</v>
      </c>
      <c r="I13" s="145">
        <v>1</v>
      </c>
      <c r="J13" s="145">
        <v>1</v>
      </c>
      <c r="K13" s="145">
        <v>1</v>
      </c>
      <c r="L13" s="145">
        <v>1</v>
      </c>
      <c r="M13" s="145">
        <v>1</v>
      </c>
      <c r="N13" s="145">
        <v>1</v>
      </c>
      <c r="O13" s="145">
        <v>1</v>
      </c>
      <c r="P13" s="145">
        <v>1</v>
      </c>
      <c r="Q13" s="145">
        <v>1</v>
      </c>
      <c r="R13" s="145">
        <v>1</v>
      </c>
      <c r="S13" s="145">
        <v>1</v>
      </c>
      <c r="T13" s="145">
        <v>1</v>
      </c>
      <c r="U13" s="145">
        <v>1</v>
      </c>
      <c r="V13" s="145">
        <v>1</v>
      </c>
      <c r="W13" s="145">
        <v>1</v>
      </c>
      <c r="X13" s="145">
        <v>1</v>
      </c>
      <c r="Y13" s="145">
        <v>1</v>
      </c>
      <c r="Z13" s="145">
        <v>1</v>
      </c>
      <c r="AA13" s="145">
        <v>1</v>
      </c>
      <c r="AB13" s="145">
        <v>1</v>
      </c>
      <c r="AC13" s="146">
        <v>1</v>
      </c>
      <c r="AE13" s="44"/>
      <c r="AF13" s="44"/>
      <c r="AG13" s="44"/>
      <c r="AH13" s="44"/>
      <c r="AI13" s="44"/>
      <c r="AJ13" s="44"/>
      <c r="AK13" s="44"/>
      <c r="AL13" s="44"/>
      <c r="AM13" s="44"/>
      <c r="AN13" s="44"/>
      <c r="AO13" s="44"/>
      <c r="AP13" s="44"/>
      <c r="AQ13" s="44"/>
      <c r="AR13" s="44"/>
      <c r="AS13" s="44"/>
      <c r="AT13" s="44"/>
      <c r="AU13" s="44"/>
      <c r="AV13" s="44"/>
      <c r="AW13" s="44"/>
      <c r="AX13" s="44"/>
    </row>
    <row r="14" spans="1:57" ht="39.9" customHeight="1" x14ac:dyDescent="0.3">
      <c r="A14" s="743"/>
      <c r="B14" s="677"/>
      <c r="C14" s="677"/>
      <c r="D14" s="700"/>
      <c r="E14" s="217" t="s">
        <v>662</v>
      </c>
      <c r="F14" s="218">
        <v>1</v>
      </c>
      <c r="G14" s="218">
        <v>1</v>
      </c>
      <c r="H14" s="218">
        <v>1</v>
      </c>
      <c r="I14" s="218">
        <v>1</v>
      </c>
      <c r="J14" s="218">
        <v>1</v>
      </c>
      <c r="K14" s="218">
        <v>1</v>
      </c>
      <c r="L14" s="218">
        <v>1</v>
      </c>
      <c r="M14" s="218">
        <v>1</v>
      </c>
      <c r="N14" s="218">
        <v>1</v>
      </c>
      <c r="O14" s="218">
        <v>1</v>
      </c>
      <c r="P14" s="218">
        <v>1</v>
      </c>
      <c r="Q14" s="218">
        <v>1</v>
      </c>
      <c r="R14" s="218">
        <v>1</v>
      </c>
      <c r="S14" s="218">
        <v>1</v>
      </c>
      <c r="T14" s="218">
        <v>1</v>
      </c>
      <c r="U14" s="218">
        <v>1</v>
      </c>
      <c r="V14" s="218">
        <v>1</v>
      </c>
      <c r="W14" s="218">
        <v>1</v>
      </c>
      <c r="X14" s="218">
        <v>1</v>
      </c>
      <c r="Y14" s="218">
        <v>1</v>
      </c>
      <c r="Z14" s="218">
        <v>1</v>
      </c>
      <c r="AA14" s="218">
        <v>1</v>
      </c>
      <c r="AB14" s="218">
        <v>1</v>
      </c>
      <c r="AC14" s="219">
        <v>1</v>
      </c>
      <c r="AE14" s="44"/>
      <c r="AF14" s="44"/>
      <c r="AG14" s="44"/>
      <c r="AH14" s="44"/>
      <c r="AI14" s="44"/>
      <c r="AJ14" s="44"/>
      <c r="AK14" s="44"/>
      <c r="AL14" s="44"/>
      <c r="AM14" s="44"/>
      <c r="AN14" s="44"/>
      <c r="AO14" s="44"/>
      <c r="AP14" s="44"/>
      <c r="AQ14" s="44"/>
      <c r="AR14" s="44"/>
      <c r="AS14" s="44"/>
      <c r="AT14" s="44"/>
      <c r="AU14" s="44"/>
      <c r="AV14" s="44"/>
      <c r="AW14" s="44"/>
      <c r="AX14" s="44"/>
    </row>
    <row r="15" spans="1:57" ht="39.9" customHeight="1" x14ac:dyDescent="0.3">
      <c r="A15" s="743"/>
      <c r="B15" s="677"/>
      <c r="C15" s="677"/>
      <c r="D15" s="746"/>
      <c r="E15" s="184" t="s">
        <v>663</v>
      </c>
      <c r="F15" s="151">
        <v>1</v>
      </c>
      <c r="G15" s="151">
        <v>1</v>
      </c>
      <c r="H15" s="151">
        <v>1</v>
      </c>
      <c r="I15" s="151">
        <v>1</v>
      </c>
      <c r="J15" s="151">
        <v>1</v>
      </c>
      <c r="K15" s="151">
        <v>1</v>
      </c>
      <c r="L15" s="151">
        <v>1</v>
      </c>
      <c r="M15" s="151">
        <v>1</v>
      </c>
      <c r="N15" s="151">
        <v>1</v>
      </c>
      <c r="O15" s="151">
        <v>1</v>
      </c>
      <c r="P15" s="151">
        <v>1</v>
      </c>
      <c r="Q15" s="151">
        <v>1</v>
      </c>
      <c r="R15" s="151">
        <v>1</v>
      </c>
      <c r="S15" s="151">
        <v>1</v>
      </c>
      <c r="T15" s="151">
        <v>1</v>
      </c>
      <c r="U15" s="151">
        <v>1</v>
      </c>
      <c r="V15" s="151">
        <v>1</v>
      </c>
      <c r="W15" s="151">
        <v>1</v>
      </c>
      <c r="X15" s="151">
        <v>1</v>
      </c>
      <c r="Y15" s="151">
        <v>1</v>
      </c>
      <c r="Z15" s="151">
        <v>1</v>
      </c>
      <c r="AA15" s="151">
        <v>1</v>
      </c>
      <c r="AB15" s="151">
        <v>1</v>
      </c>
      <c r="AC15" s="152">
        <v>1</v>
      </c>
      <c r="AE15" s="44"/>
      <c r="AF15" s="44"/>
      <c r="AG15" s="44"/>
      <c r="AH15" s="44"/>
      <c r="AI15" s="44"/>
      <c r="AJ15" s="44"/>
      <c r="AK15" s="44"/>
      <c r="AL15" s="44"/>
      <c r="AM15" s="44"/>
      <c r="AN15" s="44"/>
      <c r="AO15" s="44"/>
      <c r="AP15" s="44"/>
      <c r="AQ15" s="44"/>
      <c r="AR15" s="44"/>
      <c r="AS15" s="44"/>
      <c r="AT15" s="44"/>
      <c r="AU15" s="44"/>
      <c r="AV15" s="44"/>
      <c r="AW15" s="44"/>
      <c r="AX15" s="44"/>
    </row>
    <row r="16" spans="1:57" ht="39.9" customHeight="1" x14ac:dyDescent="0.3">
      <c r="A16" s="743" t="s">
        <v>658</v>
      </c>
      <c r="B16" s="677" t="str">
        <f>B4</f>
        <v>ResidentialLiving</v>
      </c>
      <c r="C16" s="677" t="s">
        <v>668</v>
      </c>
      <c r="D16" s="700" t="s">
        <v>660</v>
      </c>
      <c r="E16" s="181" t="s">
        <v>661</v>
      </c>
      <c r="F16" s="145">
        <v>0.13100000000000001</v>
      </c>
      <c r="G16" s="145">
        <v>7.4999999999999997E-2</v>
      </c>
      <c r="H16" s="145">
        <v>8.4000000000000005E-2</v>
      </c>
      <c r="I16" s="145">
        <v>0.10299999999999999</v>
      </c>
      <c r="J16" s="145">
        <v>0.187</v>
      </c>
      <c r="K16" s="145">
        <v>0.41099999999999998</v>
      </c>
      <c r="L16" s="145">
        <v>0.83199999999999996</v>
      </c>
      <c r="M16" s="145">
        <v>1</v>
      </c>
      <c r="N16" s="145">
        <v>0.83199999999999996</v>
      </c>
      <c r="O16" s="145">
        <v>0.61699999999999999</v>
      </c>
      <c r="P16" s="145">
        <v>0.48599999999999999</v>
      </c>
      <c r="Q16" s="145">
        <v>0.35499999999999998</v>
      </c>
      <c r="R16" s="145">
        <v>0.33600000000000002</v>
      </c>
      <c r="S16" s="145">
        <v>0.308</v>
      </c>
      <c r="T16" s="145">
        <v>0.29899999999999999</v>
      </c>
      <c r="U16" s="145">
        <v>0.24299999999999999</v>
      </c>
      <c r="V16" s="145">
        <v>0.39300000000000002</v>
      </c>
      <c r="W16" s="145">
        <v>0.44900000000000001</v>
      </c>
      <c r="X16" s="145">
        <v>0.48599999999999999</v>
      </c>
      <c r="Y16" s="145">
        <v>0.439</v>
      </c>
      <c r="Z16" s="145">
        <v>0.39300000000000002</v>
      </c>
      <c r="AA16" s="145">
        <v>0.36399999999999999</v>
      </c>
      <c r="AB16" s="145">
        <v>0.33600000000000002</v>
      </c>
      <c r="AC16" s="146">
        <v>0.20599999999999999</v>
      </c>
      <c r="AE16" s="44"/>
      <c r="AF16" s="44"/>
      <c r="AG16" s="44"/>
      <c r="AH16" s="44"/>
      <c r="AI16" s="44"/>
      <c r="AJ16" s="44"/>
      <c r="AK16" s="44"/>
      <c r="AL16" s="44"/>
      <c r="AM16" s="44"/>
      <c r="AN16" s="44"/>
      <c r="AO16" s="44"/>
      <c r="AP16" s="44"/>
      <c r="AQ16" s="44"/>
      <c r="AR16" s="44"/>
      <c r="AS16" s="44"/>
      <c r="AT16" s="44"/>
      <c r="AU16" s="44"/>
      <c r="AV16" s="44"/>
      <c r="AW16" s="44"/>
      <c r="AX16" s="44"/>
    </row>
    <row r="17" spans="1:50" ht="39.9" customHeight="1" x14ac:dyDescent="0.3">
      <c r="A17" s="743"/>
      <c r="B17" s="677"/>
      <c r="C17" s="677"/>
      <c r="D17" s="700"/>
      <c r="E17" s="182" t="s">
        <v>662</v>
      </c>
      <c r="F17" s="147">
        <v>0.217</v>
      </c>
      <c r="G17" s="147">
        <v>0.12</v>
      </c>
      <c r="H17" s="147">
        <v>0.108</v>
      </c>
      <c r="I17" s="147">
        <v>9.6000000000000002E-2</v>
      </c>
      <c r="J17" s="147">
        <v>0.18099999999999999</v>
      </c>
      <c r="K17" s="147">
        <v>0.27700000000000002</v>
      </c>
      <c r="L17" s="147">
        <v>0.313</v>
      </c>
      <c r="M17" s="147">
        <v>0.56599999999999995</v>
      </c>
      <c r="N17" s="147">
        <v>0.92800000000000005</v>
      </c>
      <c r="O17" s="147">
        <v>1</v>
      </c>
      <c r="P17" s="147">
        <v>0.89200000000000002</v>
      </c>
      <c r="Q17" s="147">
        <v>0.73499999999999999</v>
      </c>
      <c r="R17" s="147">
        <v>0.61399999999999999</v>
      </c>
      <c r="S17" s="147">
        <v>0.51800000000000002</v>
      </c>
      <c r="T17" s="147">
        <v>0.47</v>
      </c>
      <c r="U17" s="147">
        <v>0.47</v>
      </c>
      <c r="V17" s="147">
        <v>0.627</v>
      </c>
      <c r="W17" s="147">
        <v>0.69899999999999995</v>
      </c>
      <c r="X17" s="147">
        <v>0.67500000000000004</v>
      </c>
      <c r="Y17" s="147">
        <v>0.627</v>
      </c>
      <c r="Z17" s="147">
        <v>0.56599999999999995</v>
      </c>
      <c r="AA17" s="147">
        <v>0.53</v>
      </c>
      <c r="AB17" s="147">
        <v>0.48199999999999998</v>
      </c>
      <c r="AC17" s="148">
        <v>0.33700000000000002</v>
      </c>
      <c r="AE17" s="44"/>
      <c r="AF17" s="44"/>
      <c r="AG17" s="44"/>
      <c r="AH17" s="44"/>
      <c r="AI17" s="44"/>
      <c r="AJ17" s="44"/>
      <c r="AK17" s="44"/>
      <c r="AL17" s="44"/>
      <c r="AM17" s="44"/>
      <c r="AN17" s="44"/>
      <c r="AO17" s="44"/>
      <c r="AP17" s="44"/>
      <c r="AQ17" s="44"/>
      <c r="AR17" s="44"/>
      <c r="AS17" s="44"/>
      <c r="AT17" s="44"/>
      <c r="AU17" s="44"/>
      <c r="AV17" s="44"/>
      <c r="AW17" s="44"/>
      <c r="AX17" s="44"/>
    </row>
    <row r="18" spans="1:50" ht="39.9" customHeight="1" x14ac:dyDescent="0.3">
      <c r="A18" s="743"/>
      <c r="B18" s="677"/>
      <c r="C18" s="677"/>
      <c r="D18" s="700"/>
      <c r="E18" s="183" t="s">
        <v>663</v>
      </c>
      <c r="F18" s="149">
        <v>0.217</v>
      </c>
      <c r="G18" s="149">
        <v>0.12</v>
      </c>
      <c r="H18" s="149">
        <v>0.108</v>
      </c>
      <c r="I18" s="149">
        <v>9.6000000000000002E-2</v>
      </c>
      <c r="J18" s="149">
        <v>0.18099999999999999</v>
      </c>
      <c r="K18" s="149">
        <v>0.27700000000000002</v>
      </c>
      <c r="L18" s="149">
        <v>0.313</v>
      </c>
      <c r="M18" s="149">
        <v>0.56599999999999995</v>
      </c>
      <c r="N18" s="149">
        <v>0.92800000000000005</v>
      </c>
      <c r="O18" s="149">
        <v>1</v>
      </c>
      <c r="P18" s="149">
        <v>0.89200000000000002</v>
      </c>
      <c r="Q18" s="149">
        <v>0.73499999999999999</v>
      </c>
      <c r="R18" s="149">
        <v>0.61399999999999999</v>
      </c>
      <c r="S18" s="149">
        <v>0.51800000000000002</v>
      </c>
      <c r="T18" s="149">
        <v>0.47</v>
      </c>
      <c r="U18" s="149">
        <v>0.47</v>
      </c>
      <c r="V18" s="149">
        <v>0.627</v>
      </c>
      <c r="W18" s="149">
        <v>0.69899999999999995</v>
      </c>
      <c r="X18" s="149">
        <v>0.67500000000000004</v>
      </c>
      <c r="Y18" s="149">
        <v>0.627</v>
      </c>
      <c r="Z18" s="149">
        <v>0.56599999999999995</v>
      </c>
      <c r="AA18" s="149">
        <v>0.53</v>
      </c>
      <c r="AB18" s="149">
        <v>0.48199999999999998</v>
      </c>
      <c r="AC18" s="150">
        <v>0.33700000000000002</v>
      </c>
      <c r="AE18" s="44"/>
      <c r="AF18" s="44"/>
      <c r="AG18" s="44"/>
      <c r="AH18" s="44"/>
      <c r="AI18" s="44"/>
      <c r="AJ18" s="44"/>
      <c r="AK18" s="44"/>
      <c r="AL18" s="44"/>
      <c r="AM18" s="44"/>
      <c r="AN18" s="44"/>
      <c r="AO18" s="44"/>
      <c r="AP18" s="44"/>
      <c r="AQ18" s="44"/>
      <c r="AR18" s="44"/>
      <c r="AS18" s="44"/>
      <c r="AT18" s="44"/>
      <c r="AU18" s="44"/>
      <c r="AV18" s="44"/>
      <c r="AW18" s="44"/>
      <c r="AX18" s="44"/>
    </row>
    <row r="19" spans="1:50" ht="39.9" customHeight="1" x14ac:dyDescent="0.3">
      <c r="A19" s="743" t="s">
        <v>658</v>
      </c>
      <c r="B19" s="677" t="str">
        <f>B4</f>
        <v>ResidentialLiving</v>
      </c>
      <c r="C19" s="677" t="s">
        <v>669</v>
      </c>
      <c r="D19" s="700" t="s">
        <v>660</v>
      </c>
      <c r="E19" s="181" t="s">
        <v>661</v>
      </c>
      <c r="F19" s="145">
        <v>0</v>
      </c>
      <c r="G19" s="145">
        <v>0</v>
      </c>
      <c r="H19" s="145">
        <v>0</v>
      </c>
      <c r="I19" s="145">
        <v>0</v>
      </c>
      <c r="J19" s="145">
        <v>0</v>
      </c>
      <c r="K19" s="145">
        <v>0</v>
      </c>
      <c r="L19" s="145">
        <v>0.5</v>
      </c>
      <c r="M19" s="145">
        <v>0.5</v>
      </c>
      <c r="N19" s="145">
        <v>0</v>
      </c>
      <c r="O19" s="145">
        <v>0</v>
      </c>
      <c r="P19" s="145">
        <v>0</v>
      </c>
      <c r="Q19" s="145">
        <v>0.2</v>
      </c>
      <c r="R19" s="145">
        <v>0.2</v>
      </c>
      <c r="S19" s="145">
        <v>0</v>
      </c>
      <c r="T19" s="145">
        <v>0</v>
      </c>
      <c r="U19" s="145">
        <v>0</v>
      </c>
      <c r="V19" s="145">
        <v>0.5</v>
      </c>
      <c r="W19" s="145">
        <v>0.5</v>
      </c>
      <c r="X19" s="145">
        <v>0.5</v>
      </c>
      <c r="Y19" s="145">
        <v>0</v>
      </c>
      <c r="Z19" s="145">
        <v>0</v>
      </c>
      <c r="AA19" s="145">
        <v>0</v>
      </c>
      <c r="AB19" s="145">
        <v>0</v>
      </c>
      <c r="AC19" s="146">
        <v>0</v>
      </c>
      <c r="AE19" s="44"/>
      <c r="AF19" s="44"/>
      <c r="AG19" s="44"/>
      <c r="AH19" s="44"/>
      <c r="AI19" s="44"/>
      <c r="AJ19" s="44"/>
      <c r="AK19" s="44"/>
      <c r="AL19" s="44"/>
      <c r="AM19" s="44"/>
      <c r="AN19" s="44"/>
      <c r="AO19" s="44"/>
      <c r="AP19" s="44"/>
      <c r="AQ19" s="44"/>
      <c r="AR19" s="44"/>
      <c r="AS19" s="44"/>
      <c r="AT19" s="44"/>
      <c r="AU19" s="44"/>
      <c r="AV19" s="44"/>
      <c r="AW19" s="44"/>
      <c r="AX19" s="44"/>
    </row>
    <row r="20" spans="1:50" ht="39.9" customHeight="1" x14ac:dyDescent="0.3">
      <c r="A20" s="743"/>
      <c r="B20" s="677"/>
      <c r="C20" s="677"/>
      <c r="D20" s="700"/>
      <c r="E20" s="182" t="s">
        <v>662</v>
      </c>
      <c r="F20" s="147">
        <v>0</v>
      </c>
      <c r="G20" s="147">
        <v>0</v>
      </c>
      <c r="H20" s="147">
        <v>0</v>
      </c>
      <c r="I20" s="147">
        <v>0</v>
      </c>
      <c r="J20" s="147">
        <v>0</v>
      </c>
      <c r="K20" s="147">
        <v>0</v>
      </c>
      <c r="L20" s="147">
        <v>0.5</v>
      </c>
      <c r="M20" s="147">
        <v>0.5</v>
      </c>
      <c r="N20" s="147">
        <v>0</v>
      </c>
      <c r="O20" s="147">
        <v>0</v>
      </c>
      <c r="P20" s="147">
        <v>0</v>
      </c>
      <c r="Q20" s="147">
        <v>0.2</v>
      </c>
      <c r="R20" s="147">
        <v>0.2</v>
      </c>
      <c r="S20" s="147">
        <v>0</v>
      </c>
      <c r="T20" s="147">
        <v>0</v>
      </c>
      <c r="U20" s="147">
        <v>0</v>
      </c>
      <c r="V20" s="147">
        <v>0.5</v>
      </c>
      <c r="W20" s="147">
        <v>0.5</v>
      </c>
      <c r="X20" s="147">
        <v>0.5</v>
      </c>
      <c r="Y20" s="147">
        <v>0</v>
      </c>
      <c r="Z20" s="147">
        <v>0</v>
      </c>
      <c r="AA20" s="147">
        <v>0</v>
      </c>
      <c r="AB20" s="147">
        <v>0</v>
      </c>
      <c r="AC20" s="148">
        <v>0</v>
      </c>
      <c r="AE20" s="44"/>
      <c r="AF20" s="44"/>
      <c r="AG20" s="44"/>
      <c r="AH20" s="44"/>
      <c r="AI20" s="44"/>
      <c r="AJ20" s="44"/>
      <c r="AK20" s="44"/>
      <c r="AL20" s="44"/>
      <c r="AM20" s="44"/>
      <c r="AN20" s="44"/>
      <c r="AO20" s="44"/>
      <c r="AP20" s="44"/>
      <c r="AQ20" s="44"/>
      <c r="AR20" s="44"/>
      <c r="AS20" s="44"/>
      <c r="AT20" s="44"/>
      <c r="AU20" s="44"/>
      <c r="AV20" s="44"/>
      <c r="AW20" s="44"/>
      <c r="AX20" s="44"/>
    </row>
    <row r="21" spans="1:50" ht="39.9" customHeight="1" x14ac:dyDescent="0.3">
      <c r="A21" s="743"/>
      <c r="B21" s="677"/>
      <c r="C21" s="677"/>
      <c r="D21" s="700"/>
      <c r="E21" s="184" t="s">
        <v>663</v>
      </c>
      <c r="F21" s="151">
        <v>0</v>
      </c>
      <c r="G21" s="151">
        <v>0</v>
      </c>
      <c r="H21" s="151">
        <v>0</v>
      </c>
      <c r="I21" s="151">
        <v>0</v>
      </c>
      <c r="J21" s="151">
        <v>0</v>
      </c>
      <c r="K21" s="151">
        <v>0</v>
      </c>
      <c r="L21" s="151">
        <v>0.5</v>
      </c>
      <c r="M21" s="151">
        <v>0.5</v>
      </c>
      <c r="N21" s="151">
        <v>0</v>
      </c>
      <c r="O21" s="151">
        <v>0</v>
      </c>
      <c r="P21" s="151">
        <v>0</v>
      </c>
      <c r="Q21" s="151">
        <v>0.2</v>
      </c>
      <c r="R21" s="151">
        <v>0.2</v>
      </c>
      <c r="S21" s="151">
        <v>0</v>
      </c>
      <c r="T21" s="151">
        <v>0</v>
      </c>
      <c r="U21" s="151">
        <v>0</v>
      </c>
      <c r="V21" s="151">
        <v>0.5</v>
      </c>
      <c r="W21" s="151">
        <v>0.5</v>
      </c>
      <c r="X21" s="151">
        <v>0.5</v>
      </c>
      <c r="Y21" s="151">
        <v>0</v>
      </c>
      <c r="Z21" s="151">
        <v>0</v>
      </c>
      <c r="AA21" s="151">
        <v>0</v>
      </c>
      <c r="AB21" s="151">
        <v>0</v>
      </c>
      <c r="AC21" s="152">
        <v>0</v>
      </c>
      <c r="AE21" s="44"/>
      <c r="AF21" s="44"/>
      <c r="AG21" s="44"/>
      <c r="AH21" s="44"/>
      <c r="AI21" s="44"/>
      <c r="AJ21" s="44"/>
      <c r="AK21" s="44"/>
      <c r="AL21" s="44"/>
      <c r="AM21" s="44"/>
      <c r="AN21" s="44"/>
      <c r="AO21" s="44"/>
      <c r="AP21" s="44"/>
      <c r="AQ21" s="44"/>
      <c r="AR21" s="44"/>
      <c r="AS21" s="44"/>
      <c r="AT21" s="44"/>
      <c r="AU21" s="44"/>
      <c r="AV21" s="44"/>
      <c r="AW21" s="44"/>
      <c r="AX21" s="44"/>
    </row>
    <row r="22" spans="1:50" ht="39.9" customHeight="1" x14ac:dyDescent="0.3">
      <c r="A22" s="743" t="s">
        <v>658</v>
      </c>
      <c r="B22" s="677" t="str">
        <f>B4</f>
        <v>ResidentialLiving</v>
      </c>
      <c r="C22" s="677" t="s">
        <v>670</v>
      </c>
      <c r="D22" s="700" t="s">
        <v>660</v>
      </c>
      <c r="E22" s="181" t="s">
        <v>661</v>
      </c>
      <c r="F22" s="302">
        <f>IF(OR(F$3&lt;=6,F$3&gt;=23),Thermostat!$B$4,Thermostat!$B$3)</f>
        <v>60</v>
      </c>
      <c r="G22" s="302">
        <f>IF(OR(G$3&lt;=6,G$3&gt;=23),Thermostat!$B$4,Thermostat!$B$3)</f>
        <v>60</v>
      </c>
      <c r="H22" s="302">
        <f>IF(OR(H$3&lt;=6,H$3&gt;=23),Thermostat!$B$4,Thermostat!$B$3)</f>
        <v>60</v>
      </c>
      <c r="I22" s="302">
        <f>IF(OR(I$3&lt;=6,I$3&gt;=23),Thermostat!$B$4,Thermostat!$B$3)</f>
        <v>60</v>
      </c>
      <c r="J22" s="302">
        <f>IF(OR(J$3&lt;=6,J$3&gt;=23),Thermostat!$B$4,Thermostat!$B$3)</f>
        <v>60</v>
      </c>
      <c r="K22" s="302">
        <f>IF(OR(K$3&lt;=6,K$3&gt;=23),Thermostat!$B$4,Thermostat!$B$3)</f>
        <v>60</v>
      </c>
      <c r="L22" s="302">
        <f>IF(OR(L$3&lt;=6,L$3&gt;=23),Thermostat!$B$4,Thermostat!$B$3)</f>
        <v>68</v>
      </c>
      <c r="M22" s="302">
        <f>IF(OR(M$3&lt;=6,M$3&gt;=23),Thermostat!$B$4,Thermostat!$B$3)</f>
        <v>68</v>
      </c>
      <c r="N22" s="302">
        <f>IF(OR(N$3&lt;=6,N$3&gt;=23),Thermostat!$B$4,Thermostat!$B$3)</f>
        <v>68</v>
      </c>
      <c r="O22" s="302">
        <f>IF(OR(O$3&lt;=6,O$3&gt;=23),Thermostat!$B$4,Thermostat!$B$3)</f>
        <v>68</v>
      </c>
      <c r="P22" s="302">
        <f>IF(OR(P$3&lt;=6,P$3&gt;=23),Thermostat!$B$4,Thermostat!$B$3)</f>
        <v>68</v>
      </c>
      <c r="Q22" s="302">
        <f>IF(OR(Q$3&lt;=6,Q$3&gt;=23),Thermostat!$B$4,Thermostat!$B$3)</f>
        <v>68</v>
      </c>
      <c r="R22" s="302">
        <f>IF(OR(R$3&lt;=6,R$3&gt;=23),Thermostat!$B$4,Thermostat!$B$3)</f>
        <v>68</v>
      </c>
      <c r="S22" s="302">
        <f>IF(OR(S$3&lt;=6,S$3&gt;=23),Thermostat!$B$4,Thermostat!$B$3)</f>
        <v>68</v>
      </c>
      <c r="T22" s="302">
        <f>IF(OR(T$3&lt;=6,T$3&gt;=23),Thermostat!$B$4,Thermostat!$B$3)</f>
        <v>68</v>
      </c>
      <c r="U22" s="302">
        <f>IF(OR(U$3&lt;=6,U$3&gt;=23),Thermostat!$B$4,Thermostat!$B$3)</f>
        <v>68</v>
      </c>
      <c r="V22" s="302">
        <f>IF(OR(V$3&lt;=6,V$3&gt;=23),Thermostat!$B$4,Thermostat!$B$3)</f>
        <v>68</v>
      </c>
      <c r="W22" s="302">
        <f>IF(OR(W$3&lt;=6,W$3&gt;=23),Thermostat!$B$4,Thermostat!$B$3)</f>
        <v>68</v>
      </c>
      <c r="X22" s="302">
        <f>IF(OR(X$3&lt;=6,X$3&gt;=23),Thermostat!$B$4,Thermostat!$B$3)</f>
        <v>68</v>
      </c>
      <c r="Y22" s="302">
        <f>IF(OR(Y$3&lt;=6,Y$3&gt;=23),Thermostat!$B$4,Thermostat!$B$3)</f>
        <v>68</v>
      </c>
      <c r="Z22" s="302">
        <f>IF(OR(Z$3&lt;=6,Z$3&gt;=23),Thermostat!$B$4,Thermostat!$B$3)</f>
        <v>68</v>
      </c>
      <c r="AA22" s="302">
        <f>IF(OR(AA$3&lt;=6,AA$3&gt;=23),Thermostat!$B$4,Thermostat!$B$3)</f>
        <v>68</v>
      </c>
      <c r="AB22" s="302">
        <f>IF(OR(AB$3&lt;=6,AB$3&gt;=23),Thermostat!$B$4,Thermostat!$B$3)</f>
        <v>60</v>
      </c>
      <c r="AC22" s="303">
        <f>IF(OR(AC$3&lt;=6,AC$3&gt;=23),Thermostat!$B$4,Thermostat!$B$3)</f>
        <v>60</v>
      </c>
      <c r="AE22" s="44"/>
      <c r="AF22" s="44"/>
      <c r="AG22" s="44"/>
      <c r="AH22" s="44"/>
      <c r="AI22" s="44"/>
      <c r="AJ22" s="44"/>
      <c r="AK22" s="44"/>
      <c r="AL22" s="44"/>
      <c r="AM22" s="44"/>
      <c r="AN22" s="44"/>
      <c r="AO22" s="44"/>
      <c r="AP22" s="44"/>
      <c r="AQ22" s="44"/>
      <c r="AR22" s="44"/>
      <c r="AS22" s="44"/>
      <c r="AT22" s="44"/>
      <c r="AU22" s="44"/>
      <c r="AV22" s="44"/>
      <c r="AW22" s="44"/>
      <c r="AX22" s="44"/>
    </row>
    <row r="23" spans="1:50" ht="39.9" customHeight="1" x14ac:dyDescent="0.3">
      <c r="A23" s="743"/>
      <c r="B23" s="677"/>
      <c r="C23" s="677"/>
      <c r="D23" s="700"/>
      <c r="E23" s="182" t="s">
        <v>662</v>
      </c>
      <c r="F23" s="304">
        <f>IF(OR(F$3&lt;=6,F$3&gt;=23),Thermostat!$B$4,Thermostat!$B$3)</f>
        <v>60</v>
      </c>
      <c r="G23" s="304">
        <f>IF(OR(G$3&lt;=6,G$3&gt;=23),Thermostat!$B$4,Thermostat!$B$3)</f>
        <v>60</v>
      </c>
      <c r="H23" s="304">
        <f>IF(OR(H$3&lt;=6,H$3&gt;=23),Thermostat!$B$4,Thermostat!$B$3)</f>
        <v>60</v>
      </c>
      <c r="I23" s="304">
        <f>IF(OR(I$3&lt;=6,I$3&gt;=23),Thermostat!$B$4,Thermostat!$B$3)</f>
        <v>60</v>
      </c>
      <c r="J23" s="304">
        <f>IF(OR(J$3&lt;=6,J$3&gt;=23),Thermostat!$B$4,Thermostat!$B$3)</f>
        <v>60</v>
      </c>
      <c r="K23" s="304">
        <f>IF(OR(K$3&lt;=6,K$3&gt;=23),Thermostat!$B$4,Thermostat!$B$3)</f>
        <v>60</v>
      </c>
      <c r="L23" s="304">
        <f>IF(OR(L$3&lt;=6,L$3&gt;=23),Thermostat!$B$4,Thermostat!$B$3)</f>
        <v>68</v>
      </c>
      <c r="M23" s="304">
        <f>IF(OR(M$3&lt;=6,M$3&gt;=23),Thermostat!$B$4,Thermostat!$B$3)</f>
        <v>68</v>
      </c>
      <c r="N23" s="304">
        <f>IF(OR(N$3&lt;=6,N$3&gt;=23),Thermostat!$B$4,Thermostat!$B$3)</f>
        <v>68</v>
      </c>
      <c r="O23" s="304">
        <f>IF(OR(O$3&lt;=6,O$3&gt;=23),Thermostat!$B$4,Thermostat!$B$3)</f>
        <v>68</v>
      </c>
      <c r="P23" s="304">
        <f>IF(OR(P$3&lt;=6,P$3&gt;=23),Thermostat!$B$4,Thermostat!$B$3)</f>
        <v>68</v>
      </c>
      <c r="Q23" s="304">
        <f>IF(OR(Q$3&lt;=6,Q$3&gt;=23),Thermostat!$B$4,Thermostat!$B$3)</f>
        <v>68</v>
      </c>
      <c r="R23" s="304">
        <f>IF(OR(R$3&lt;=6,R$3&gt;=23),Thermostat!$B$4,Thermostat!$B$3)</f>
        <v>68</v>
      </c>
      <c r="S23" s="304">
        <f>IF(OR(S$3&lt;=6,S$3&gt;=23),Thermostat!$B$4,Thermostat!$B$3)</f>
        <v>68</v>
      </c>
      <c r="T23" s="304">
        <f>IF(OR(T$3&lt;=6,T$3&gt;=23),Thermostat!$B$4,Thermostat!$B$3)</f>
        <v>68</v>
      </c>
      <c r="U23" s="304">
        <f>IF(OR(U$3&lt;=6,U$3&gt;=23),Thermostat!$B$4,Thermostat!$B$3)</f>
        <v>68</v>
      </c>
      <c r="V23" s="304">
        <f>IF(OR(V$3&lt;=6,V$3&gt;=23),Thermostat!$B$4,Thermostat!$B$3)</f>
        <v>68</v>
      </c>
      <c r="W23" s="304">
        <f>IF(OR(W$3&lt;=6,W$3&gt;=23),Thermostat!$B$4,Thermostat!$B$3)</f>
        <v>68</v>
      </c>
      <c r="X23" s="304">
        <f>IF(OR(X$3&lt;=6,X$3&gt;=23),Thermostat!$B$4,Thermostat!$B$3)</f>
        <v>68</v>
      </c>
      <c r="Y23" s="304">
        <f>IF(OR(Y$3&lt;=6,Y$3&gt;=23),Thermostat!$B$4,Thermostat!$B$3)</f>
        <v>68</v>
      </c>
      <c r="Z23" s="304">
        <f>IF(OR(Z$3&lt;=6,Z$3&gt;=23),Thermostat!$B$4,Thermostat!$B$3)</f>
        <v>68</v>
      </c>
      <c r="AA23" s="304">
        <f>IF(OR(AA$3&lt;=6,AA$3&gt;=23),Thermostat!$B$4,Thermostat!$B$3)</f>
        <v>68</v>
      </c>
      <c r="AB23" s="304">
        <f>IF(OR(AB$3&lt;=6,AB$3&gt;=23),Thermostat!$B$4,Thermostat!$B$3)</f>
        <v>60</v>
      </c>
      <c r="AC23" s="305">
        <f>IF(OR(AC$3&lt;=6,AC$3&gt;=23),Thermostat!$B$4,Thermostat!$B$3)</f>
        <v>60</v>
      </c>
      <c r="AE23" s="44"/>
      <c r="AF23" s="44"/>
      <c r="AG23" s="44"/>
      <c r="AH23" s="44"/>
      <c r="AI23" s="44"/>
      <c r="AJ23" s="44"/>
      <c r="AK23" s="44"/>
      <c r="AL23" s="44"/>
      <c r="AM23" s="44"/>
      <c r="AN23" s="44"/>
      <c r="AO23" s="44"/>
      <c r="AP23" s="44"/>
      <c r="AQ23" s="44"/>
      <c r="AR23" s="44"/>
      <c r="AS23" s="44"/>
      <c r="AT23" s="44"/>
      <c r="AU23" s="44"/>
      <c r="AV23" s="44"/>
      <c r="AW23" s="44"/>
      <c r="AX23" s="44"/>
    </row>
    <row r="24" spans="1:50" ht="39.9" customHeight="1" x14ac:dyDescent="0.3">
      <c r="A24" s="743"/>
      <c r="B24" s="677"/>
      <c r="C24" s="677"/>
      <c r="D24" s="700"/>
      <c r="E24" s="184" t="s">
        <v>663</v>
      </c>
      <c r="F24" s="306">
        <f>IF(OR(F$3&lt;=6,F$3&gt;=23),Thermostat!$B$4,Thermostat!$B$3)</f>
        <v>60</v>
      </c>
      <c r="G24" s="306">
        <f>IF(OR(G$3&lt;=6,G$3&gt;=23),Thermostat!$B$4,Thermostat!$B$3)</f>
        <v>60</v>
      </c>
      <c r="H24" s="306">
        <f>IF(OR(H$3&lt;=6,H$3&gt;=23),Thermostat!$B$4,Thermostat!$B$3)</f>
        <v>60</v>
      </c>
      <c r="I24" s="306">
        <f>IF(OR(I$3&lt;=6,I$3&gt;=23),Thermostat!$B$4,Thermostat!$B$3)</f>
        <v>60</v>
      </c>
      <c r="J24" s="306">
        <f>IF(OR(J$3&lt;=6,J$3&gt;=23),Thermostat!$B$4,Thermostat!$B$3)</f>
        <v>60</v>
      </c>
      <c r="K24" s="306">
        <f>IF(OR(K$3&lt;=6,K$3&gt;=23),Thermostat!$B$4,Thermostat!$B$3)</f>
        <v>60</v>
      </c>
      <c r="L24" s="306">
        <f>IF(OR(L$3&lt;=6,L$3&gt;=23),Thermostat!$B$4,Thermostat!$B$3)</f>
        <v>68</v>
      </c>
      <c r="M24" s="306">
        <f>IF(OR(M$3&lt;=6,M$3&gt;=23),Thermostat!$B$4,Thermostat!$B$3)</f>
        <v>68</v>
      </c>
      <c r="N24" s="306">
        <f>IF(OR(N$3&lt;=6,N$3&gt;=23),Thermostat!$B$4,Thermostat!$B$3)</f>
        <v>68</v>
      </c>
      <c r="O24" s="306">
        <f>IF(OR(O$3&lt;=6,O$3&gt;=23),Thermostat!$B$4,Thermostat!$B$3)</f>
        <v>68</v>
      </c>
      <c r="P24" s="306">
        <f>IF(OR(P$3&lt;=6,P$3&gt;=23),Thermostat!$B$4,Thermostat!$B$3)</f>
        <v>68</v>
      </c>
      <c r="Q24" s="306">
        <f>IF(OR(Q$3&lt;=6,Q$3&gt;=23),Thermostat!$B$4,Thermostat!$B$3)</f>
        <v>68</v>
      </c>
      <c r="R24" s="306">
        <f>IF(OR(R$3&lt;=6,R$3&gt;=23),Thermostat!$B$4,Thermostat!$B$3)</f>
        <v>68</v>
      </c>
      <c r="S24" s="306">
        <f>IF(OR(S$3&lt;=6,S$3&gt;=23),Thermostat!$B$4,Thermostat!$B$3)</f>
        <v>68</v>
      </c>
      <c r="T24" s="306">
        <f>IF(OR(T$3&lt;=6,T$3&gt;=23),Thermostat!$B$4,Thermostat!$B$3)</f>
        <v>68</v>
      </c>
      <c r="U24" s="306">
        <f>IF(OR(U$3&lt;=6,U$3&gt;=23),Thermostat!$B$4,Thermostat!$B$3)</f>
        <v>68</v>
      </c>
      <c r="V24" s="306">
        <f>IF(OR(V$3&lt;=6,V$3&gt;=23),Thermostat!$B$4,Thermostat!$B$3)</f>
        <v>68</v>
      </c>
      <c r="W24" s="306">
        <f>IF(OR(W$3&lt;=6,W$3&gt;=23),Thermostat!$B$4,Thermostat!$B$3)</f>
        <v>68</v>
      </c>
      <c r="X24" s="306">
        <f>IF(OR(X$3&lt;=6,X$3&gt;=23),Thermostat!$B$4,Thermostat!$B$3)</f>
        <v>68</v>
      </c>
      <c r="Y24" s="306">
        <f>IF(OR(Y$3&lt;=6,Y$3&gt;=23),Thermostat!$B$4,Thermostat!$B$3)</f>
        <v>68</v>
      </c>
      <c r="Z24" s="306">
        <f>IF(OR(Z$3&lt;=6,Z$3&gt;=23),Thermostat!$B$4,Thermostat!$B$3)</f>
        <v>68</v>
      </c>
      <c r="AA24" s="306">
        <f>IF(OR(AA$3&lt;=6,AA$3&gt;=23),Thermostat!$B$4,Thermostat!$B$3)</f>
        <v>68</v>
      </c>
      <c r="AB24" s="306">
        <f>IF(OR(AB$3&lt;=6,AB$3&gt;=23),Thermostat!$B$4,Thermostat!$B$3)</f>
        <v>60</v>
      </c>
      <c r="AC24" s="307">
        <f>IF(OR(AC$3&lt;=6,AC$3&gt;=23),Thermostat!$B$4,Thermostat!$B$3)</f>
        <v>60</v>
      </c>
      <c r="AE24" s="44"/>
      <c r="AF24" s="44"/>
      <c r="AG24" s="44"/>
      <c r="AH24" s="44"/>
      <c r="AI24" s="44"/>
      <c r="AJ24" s="44"/>
      <c r="AK24" s="44"/>
      <c r="AL24" s="44"/>
      <c r="AM24" s="44"/>
      <c r="AN24" s="44"/>
      <c r="AO24" s="44"/>
      <c r="AP24" s="44"/>
      <c r="AQ24" s="44"/>
      <c r="AR24" s="44"/>
      <c r="AS24" s="44"/>
      <c r="AT24" s="44"/>
      <c r="AU24" s="44"/>
      <c r="AV24" s="44"/>
      <c r="AW24" s="44"/>
      <c r="AX24" s="44"/>
    </row>
    <row r="25" spans="1:50" ht="39.9" customHeight="1" x14ac:dyDescent="0.3">
      <c r="A25" s="743" t="s">
        <v>658</v>
      </c>
      <c r="B25" s="677" t="str">
        <f>B4</f>
        <v>ResidentialLiving</v>
      </c>
      <c r="C25" s="677" t="s">
        <v>671</v>
      </c>
      <c r="D25" s="700" t="s">
        <v>660</v>
      </c>
      <c r="E25" s="181" t="s">
        <v>661</v>
      </c>
      <c r="F25" s="245">
        <f>IF(F16=0,Thermostat!$B$6,Thermostat!$B$5)</f>
        <v>78</v>
      </c>
      <c r="G25" s="245">
        <f>IF(G16=0,Thermostat!$B$6,Thermostat!$B$5)</f>
        <v>78</v>
      </c>
      <c r="H25" s="245">
        <f>IF(H16=0,Thermostat!$B$6,Thermostat!$B$5)</f>
        <v>78</v>
      </c>
      <c r="I25" s="245">
        <f>IF(I16=0,Thermostat!$B$6,Thermostat!$B$5)</f>
        <v>78</v>
      </c>
      <c r="J25" s="245">
        <f>IF(J16=0,Thermostat!$B$6,Thermostat!$B$5)</f>
        <v>78</v>
      </c>
      <c r="K25" s="245">
        <f>IF(K16=0,Thermostat!$B$6,Thermostat!$B$5)</f>
        <v>78</v>
      </c>
      <c r="L25" s="245">
        <f>IF(L16=0,Thermostat!$B$6,Thermostat!$B$5)</f>
        <v>78</v>
      </c>
      <c r="M25" s="245">
        <f>IF(M16=0,Thermostat!$B$6,Thermostat!$B$5)</f>
        <v>78</v>
      </c>
      <c r="N25" s="245">
        <f>IF(N16=0,Thermostat!$B$6,Thermostat!$B$5)</f>
        <v>78</v>
      </c>
      <c r="O25" s="245">
        <f>IF(O16=0,Thermostat!$B$6,Thermostat!$B$5)</f>
        <v>78</v>
      </c>
      <c r="P25" s="245">
        <f>IF(P16=0,Thermostat!$B$6,Thermostat!$B$5)</f>
        <v>78</v>
      </c>
      <c r="Q25" s="245">
        <f>IF(Q16=0,Thermostat!$B$6,Thermostat!$B$5)</f>
        <v>78</v>
      </c>
      <c r="R25" s="245">
        <f>IF(R16=0,Thermostat!$B$6,Thermostat!$B$5)</f>
        <v>78</v>
      </c>
      <c r="S25" s="245">
        <f>IF(S16=0,Thermostat!$B$6,Thermostat!$B$5)</f>
        <v>78</v>
      </c>
      <c r="T25" s="245">
        <f>IF(T16=0,Thermostat!$B$6,Thermostat!$B$5)</f>
        <v>78</v>
      </c>
      <c r="U25" s="245">
        <f>IF(U16=0,Thermostat!$B$6,Thermostat!$B$5)</f>
        <v>78</v>
      </c>
      <c r="V25" s="245">
        <f>IF(V16=0,Thermostat!$B$6,Thermostat!$B$5)</f>
        <v>78</v>
      </c>
      <c r="W25" s="245">
        <f>IF(W16=0,Thermostat!$B$6,Thermostat!$B$5)</f>
        <v>78</v>
      </c>
      <c r="X25" s="245">
        <f>IF(X16=0,Thermostat!$B$6,Thermostat!$B$5)</f>
        <v>78</v>
      </c>
      <c r="Y25" s="245">
        <f>IF(Y16=0,Thermostat!$B$6,Thermostat!$B$5)</f>
        <v>78</v>
      </c>
      <c r="Z25" s="245">
        <f>IF(Z16=0,Thermostat!$B$6,Thermostat!$B$5)</f>
        <v>78</v>
      </c>
      <c r="AA25" s="245">
        <f>IF(AA16=0,Thermostat!$B$6,Thermostat!$B$5)</f>
        <v>78</v>
      </c>
      <c r="AB25" s="245">
        <f>IF(AB16=0,Thermostat!$B$6,Thermostat!$B$5)</f>
        <v>78</v>
      </c>
      <c r="AC25" s="253">
        <f>IF(AC16=0,Thermostat!$B$6,Thermostat!$B$5)</f>
        <v>78</v>
      </c>
      <c r="AE25" s="44"/>
      <c r="AF25" s="44"/>
      <c r="AG25" s="44"/>
      <c r="AH25" s="44"/>
      <c r="AI25" s="44"/>
      <c r="AJ25" s="44"/>
      <c r="AK25" s="44"/>
      <c r="AL25" s="44"/>
      <c r="AM25" s="44"/>
      <c r="AN25" s="44"/>
      <c r="AO25" s="44"/>
      <c r="AP25" s="44"/>
      <c r="AQ25" s="44"/>
      <c r="AR25" s="44"/>
      <c r="AS25" s="44"/>
      <c r="AT25" s="44"/>
      <c r="AU25" s="44"/>
      <c r="AV25" s="44"/>
      <c r="AW25" s="44"/>
      <c r="AX25" s="44"/>
    </row>
    <row r="26" spans="1:50" ht="39.9" customHeight="1" x14ac:dyDescent="0.3">
      <c r="A26" s="743"/>
      <c r="B26" s="677"/>
      <c r="C26" s="677"/>
      <c r="D26" s="700"/>
      <c r="E26" s="182" t="s">
        <v>662</v>
      </c>
      <c r="F26" s="252">
        <f>IF(F17=0,Thermostat!$B$6,Thermostat!$B$5)</f>
        <v>78</v>
      </c>
      <c r="G26" s="252">
        <f>IF(G17=0,Thermostat!$B$6,Thermostat!$B$5)</f>
        <v>78</v>
      </c>
      <c r="H26" s="252">
        <f>IF(H17=0,Thermostat!$B$6,Thermostat!$B$5)</f>
        <v>78</v>
      </c>
      <c r="I26" s="252">
        <f>IF(I17=0,Thermostat!$B$6,Thermostat!$B$5)</f>
        <v>78</v>
      </c>
      <c r="J26" s="252">
        <f>IF(J17=0,Thermostat!$B$6,Thermostat!$B$5)</f>
        <v>78</v>
      </c>
      <c r="K26" s="252">
        <f>IF(K17=0,Thermostat!$B$6,Thermostat!$B$5)</f>
        <v>78</v>
      </c>
      <c r="L26" s="252">
        <f>IF(L17=0,Thermostat!$B$6,Thermostat!$B$5)</f>
        <v>78</v>
      </c>
      <c r="M26" s="252">
        <f>IF(M17=0,Thermostat!$B$6,Thermostat!$B$5)</f>
        <v>78</v>
      </c>
      <c r="N26" s="252">
        <f>IF(N17=0,Thermostat!$B$6,Thermostat!$B$5)</f>
        <v>78</v>
      </c>
      <c r="O26" s="252">
        <f>IF(O17=0,Thermostat!$B$6,Thermostat!$B$5)</f>
        <v>78</v>
      </c>
      <c r="P26" s="252">
        <f>IF(P17=0,Thermostat!$B$6,Thermostat!$B$5)</f>
        <v>78</v>
      </c>
      <c r="Q26" s="252">
        <f>IF(Q17=0,Thermostat!$B$6,Thermostat!$B$5)</f>
        <v>78</v>
      </c>
      <c r="R26" s="252">
        <f>IF(R17=0,Thermostat!$B$6,Thermostat!$B$5)</f>
        <v>78</v>
      </c>
      <c r="S26" s="252">
        <f>IF(S17=0,Thermostat!$B$6,Thermostat!$B$5)</f>
        <v>78</v>
      </c>
      <c r="T26" s="252">
        <f>IF(T17=0,Thermostat!$B$6,Thermostat!$B$5)</f>
        <v>78</v>
      </c>
      <c r="U26" s="252">
        <f>IF(U17=0,Thermostat!$B$6,Thermostat!$B$5)</f>
        <v>78</v>
      </c>
      <c r="V26" s="252">
        <f>IF(V17=0,Thermostat!$B$6,Thermostat!$B$5)</f>
        <v>78</v>
      </c>
      <c r="W26" s="252">
        <f>IF(W17=0,Thermostat!$B$6,Thermostat!$B$5)</f>
        <v>78</v>
      </c>
      <c r="X26" s="252">
        <f>IF(X17=0,Thermostat!$B$6,Thermostat!$B$5)</f>
        <v>78</v>
      </c>
      <c r="Y26" s="252">
        <f>IF(Y17=0,Thermostat!$B$6,Thermostat!$B$5)</f>
        <v>78</v>
      </c>
      <c r="Z26" s="252">
        <f>IF(Z17=0,Thermostat!$B$6,Thermostat!$B$5)</f>
        <v>78</v>
      </c>
      <c r="AA26" s="252">
        <f>IF(AA17=0,Thermostat!$B$6,Thermostat!$B$5)</f>
        <v>78</v>
      </c>
      <c r="AB26" s="252">
        <f>IF(AB17=0,Thermostat!$B$6,Thermostat!$B$5)</f>
        <v>78</v>
      </c>
      <c r="AC26" s="254">
        <f>IF(AC17=0,Thermostat!$B$6,Thermostat!$B$5)</f>
        <v>78</v>
      </c>
      <c r="AE26" s="44"/>
      <c r="AF26" s="44"/>
      <c r="AG26" s="44"/>
      <c r="AH26" s="44"/>
      <c r="AI26" s="44"/>
      <c r="AJ26" s="44"/>
      <c r="AK26" s="44"/>
      <c r="AL26" s="44"/>
      <c r="AM26" s="44"/>
      <c r="AN26" s="44"/>
      <c r="AO26" s="44"/>
      <c r="AP26" s="44"/>
      <c r="AQ26" s="44"/>
      <c r="AR26" s="44"/>
      <c r="AS26" s="44"/>
      <c r="AT26" s="44"/>
      <c r="AU26" s="44"/>
      <c r="AV26" s="44"/>
      <c r="AW26" s="44"/>
      <c r="AX26" s="44"/>
    </row>
    <row r="27" spans="1:50" ht="39.9" customHeight="1" x14ac:dyDescent="0.3">
      <c r="A27" s="743"/>
      <c r="B27" s="677"/>
      <c r="C27" s="677"/>
      <c r="D27" s="700"/>
      <c r="E27" s="183" t="s">
        <v>663</v>
      </c>
      <c r="F27" s="255">
        <f>IF(F18=0,Thermostat!$B$6,Thermostat!$B$5)</f>
        <v>78</v>
      </c>
      <c r="G27" s="255">
        <f>IF(G18=0,Thermostat!$B$6,Thermostat!$B$5)</f>
        <v>78</v>
      </c>
      <c r="H27" s="255">
        <f>IF(H18=0,Thermostat!$B$6,Thermostat!$B$5)</f>
        <v>78</v>
      </c>
      <c r="I27" s="255">
        <f>IF(I18=0,Thermostat!$B$6,Thermostat!$B$5)</f>
        <v>78</v>
      </c>
      <c r="J27" s="255">
        <f>IF(J18=0,Thermostat!$B$6,Thermostat!$B$5)</f>
        <v>78</v>
      </c>
      <c r="K27" s="255">
        <f>IF(K18=0,Thermostat!$B$6,Thermostat!$B$5)</f>
        <v>78</v>
      </c>
      <c r="L27" s="255">
        <f>IF(L18=0,Thermostat!$B$6,Thermostat!$B$5)</f>
        <v>78</v>
      </c>
      <c r="M27" s="255">
        <f>IF(M18=0,Thermostat!$B$6,Thermostat!$B$5)</f>
        <v>78</v>
      </c>
      <c r="N27" s="255">
        <f>IF(N18=0,Thermostat!$B$6,Thermostat!$B$5)</f>
        <v>78</v>
      </c>
      <c r="O27" s="255">
        <f>IF(O18=0,Thermostat!$B$6,Thermostat!$B$5)</f>
        <v>78</v>
      </c>
      <c r="P27" s="255">
        <f>IF(P18=0,Thermostat!$B$6,Thermostat!$B$5)</f>
        <v>78</v>
      </c>
      <c r="Q27" s="255">
        <f>IF(Q18=0,Thermostat!$B$6,Thermostat!$B$5)</f>
        <v>78</v>
      </c>
      <c r="R27" s="255">
        <f>IF(R18=0,Thermostat!$B$6,Thermostat!$B$5)</f>
        <v>78</v>
      </c>
      <c r="S27" s="255">
        <f>IF(S18=0,Thermostat!$B$6,Thermostat!$B$5)</f>
        <v>78</v>
      </c>
      <c r="T27" s="255">
        <f>IF(T18=0,Thermostat!$B$6,Thermostat!$B$5)</f>
        <v>78</v>
      </c>
      <c r="U27" s="255">
        <f>IF(U18=0,Thermostat!$B$6,Thermostat!$B$5)</f>
        <v>78</v>
      </c>
      <c r="V27" s="255">
        <f>IF(V18=0,Thermostat!$B$6,Thermostat!$B$5)</f>
        <v>78</v>
      </c>
      <c r="W27" s="255">
        <f>IF(W18=0,Thermostat!$B$6,Thermostat!$B$5)</f>
        <v>78</v>
      </c>
      <c r="X27" s="255">
        <f>IF(X18=0,Thermostat!$B$6,Thermostat!$B$5)</f>
        <v>78</v>
      </c>
      <c r="Y27" s="255">
        <f>IF(Y18=0,Thermostat!$B$6,Thermostat!$B$5)</f>
        <v>78</v>
      </c>
      <c r="Z27" s="255">
        <f>IF(Z18=0,Thermostat!$B$6,Thermostat!$B$5)</f>
        <v>78</v>
      </c>
      <c r="AA27" s="255">
        <f>IF(AA18=0,Thermostat!$B$6,Thermostat!$B$5)</f>
        <v>78</v>
      </c>
      <c r="AB27" s="255">
        <f>IF(AB18=0,Thermostat!$B$6,Thermostat!$B$5)</f>
        <v>78</v>
      </c>
      <c r="AC27" s="256">
        <f>IF(AC18=0,Thermostat!$B$6,Thermostat!$B$5)</f>
        <v>78</v>
      </c>
      <c r="AE27" s="44"/>
      <c r="AF27" s="44"/>
      <c r="AG27" s="44"/>
      <c r="AH27" s="44"/>
      <c r="AI27" s="44"/>
      <c r="AJ27" s="44"/>
      <c r="AK27" s="44"/>
      <c r="AL27" s="44"/>
      <c r="AM27" s="44"/>
      <c r="AN27" s="44"/>
      <c r="AO27" s="44"/>
      <c r="AP27" s="44"/>
      <c r="AQ27" s="44"/>
      <c r="AR27" s="44"/>
      <c r="AS27" s="44"/>
      <c r="AT27" s="44"/>
      <c r="AU27" s="44"/>
      <c r="AV27" s="44"/>
      <c r="AW27" s="44"/>
      <c r="AX27" s="44"/>
    </row>
    <row r="28" spans="1:50" ht="39.9" customHeight="1" x14ac:dyDescent="0.3">
      <c r="A28" s="743" t="s">
        <v>658</v>
      </c>
      <c r="B28" s="677" t="str">
        <f>B4</f>
        <v>ResidentialLiving</v>
      </c>
      <c r="C28" s="677" t="s">
        <v>265</v>
      </c>
      <c r="D28" s="700" t="s">
        <v>660</v>
      </c>
      <c r="E28" s="191" t="s">
        <v>661</v>
      </c>
      <c r="F28" s="192">
        <v>1</v>
      </c>
      <c r="G28" s="192">
        <v>1</v>
      </c>
      <c r="H28" s="192">
        <v>1</v>
      </c>
      <c r="I28" s="192">
        <v>1</v>
      </c>
      <c r="J28" s="192">
        <v>1</v>
      </c>
      <c r="K28" s="192">
        <v>1</v>
      </c>
      <c r="L28" s="192">
        <v>1</v>
      </c>
      <c r="M28" s="192">
        <v>1</v>
      </c>
      <c r="N28" s="192">
        <v>1</v>
      </c>
      <c r="O28" s="192">
        <v>1</v>
      </c>
      <c r="P28" s="192">
        <v>1</v>
      </c>
      <c r="Q28" s="192">
        <v>1</v>
      </c>
      <c r="R28" s="192">
        <v>1</v>
      </c>
      <c r="S28" s="192">
        <v>1</v>
      </c>
      <c r="T28" s="192">
        <v>1</v>
      </c>
      <c r="U28" s="192">
        <v>1</v>
      </c>
      <c r="V28" s="192">
        <v>1</v>
      </c>
      <c r="W28" s="192">
        <v>1</v>
      </c>
      <c r="X28" s="192">
        <v>1</v>
      </c>
      <c r="Y28" s="192">
        <v>1</v>
      </c>
      <c r="Z28" s="192">
        <v>1</v>
      </c>
      <c r="AA28" s="192">
        <v>1</v>
      </c>
      <c r="AB28" s="192">
        <v>1</v>
      </c>
      <c r="AC28" s="193">
        <v>1</v>
      </c>
      <c r="AE28" s="44"/>
      <c r="AF28" s="44"/>
      <c r="AG28" s="44"/>
      <c r="AH28" s="44"/>
      <c r="AI28" s="44"/>
      <c r="AJ28" s="44"/>
      <c r="AK28" s="44"/>
      <c r="AL28" s="44"/>
      <c r="AM28" s="44"/>
      <c r="AN28" s="44"/>
      <c r="AO28" s="44"/>
      <c r="AP28" s="44"/>
      <c r="AQ28" s="44"/>
      <c r="AR28" s="44"/>
      <c r="AS28" s="44"/>
      <c r="AT28" s="44"/>
      <c r="AU28" s="44"/>
      <c r="AV28" s="44"/>
      <c r="AW28" s="44"/>
      <c r="AX28" s="44"/>
    </row>
    <row r="29" spans="1:50" ht="39.9" customHeight="1" x14ac:dyDescent="0.3">
      <c r="A29" s="743"/>
      <c r="B29" s="677"/>
      <c r="C29" s="677"/>
      <c r="D29" s="700"/>
      <c r="E29" s="182" t="s">
        <v>662</v>
      </c>
      <c r="F29" s="147">
        <v>1</v>
      </c>
      <c r="G29" s="147">
        <v>1</v>
      </c>
      <c r="H29" s="147">
        <v>1</v>
      </c>
      <c r="I29" s="147">
        <v>1</v>
      </c>
      <c r="J29" s="147">
        <v>1</v>
      </c>
      <c r="K29" s="147">
        <v>1</v>
      </c>
      <c r="L29" s="147">
        <v>1</v>
      </c>
      <c r="M29" s="147">
        <v>1</v>
      </c>
      <c r="N29" s="147">
        <v>1</v>
      </c>
      <c r="O29" s="147">
        <v>1</v>
      </c>
      <c r="P29" s="147">
        <v>1</v>
      </c>
      <c r="Q29" s="147">
        <v>1</v>
      </c>
      <c r="R29" s="147">
        <v>1</v>
      </c>
      <c r="S29" s="147">
        <v>1</v>
      </c>
      <c r="T29" s="147">
        <v>1</v>
      </c>
      <c r="U29" s="147">
        <v>1</v>
      </c>
      <c r="V29" s="147">
        <v>1</v>
      </c>
      <c r="W29" s="147">
        <v>1</v>
      </c>
      <c r="X29" s="147">
        <v>1</v>
      </c>
      <c r="Y29" s="147">
        <v>1</v>
      </c>
      <c r="Z29" s="147">
        <v>1</v>
      </c>
      <c r="AA29" s="147">
        <v>1</v>
      </c>
      <c r="AB29" s="147">
        <v>1</v>
      </c>
      <c r="AC29" s="148">
        <v>1</v>
      </c>
      <c r="AE29" s="44"/>
      <c r="AF29" s="44"/>
      <c r="AG29" s="44"/>
      <c r="AH29" s="44"/>
      <c r="AI29" s="44"/>
      <c r="AJ29" s="44"/>
      <c r="AK29" s="44"/>
      <c r="AL29" s="44"/>
      <c r="AM29" s="44"/>
      <c r="AN29" s="44"/>
      <c r="AO29" s="44"/>
      <c r="AP29" s="44"/>
      <c r="AQ29" s="44"/>
      <c r="AR29" s="44"/>
      <c r="AS29" s="44"/>
      <c r="AT29" s="44"/>
      <c r="AU29" s="44"/>
      <c r="AV29" s="44"/>
      <c r="AW29" s="44"/>
      <c r="AX29" s="44"/>
    </row>
    <row r="30" spans="1:50" ht="39.9" customHeight="1" x14ac:dyDescent="0.3">
      <c r="A30" s="743"/>
      <c r="B30" s="677"/>
      <c r="C30" s="677"/>
      <c r="D30" s="700"/>
      <c r="E30" s="183" t="s">
        <v>663</v>
      </c>
      <c r="F30" s="149">
        <v>1</v>
      </c>
      <c r="G30" s="149">
        <v>1</v>
      </c>
      <c r="H30" s="149">
        <v>1</v>
      </c>
      <c r="I30" s="149">
        <v>1</v>
      </c>
      <c r="J30" s="149">
        <v>1</v>
      </c>
      <c r="K30" s="149">
        <v>1</v>
      </c>
      <c r="L30" s="149">
        <v>1</v>
      </c>
      <c r="M30" s="149">
        <v>1</v>
      </c>
      <c r="N30" s="149">
        <v>1</v>
      </c>
      <c r="O30" s="149">
        <v>1</v>
      </c>
      <c r="P30" s="149">
        <v>1</v>
      </c>
      <c r="Q30" s="149">
        <v>1</v>
      </c>
      <c r="R30" s="149">
        <v>1</v>
      </c>
      <c r="S30" s="149">
        <v>1</v>
      </c>
      <c r="T30" s="149">
        <v>1</v>
      </c>
      <c r="U30" s="149">
        <v>1</v>
      </c>
      <c r="V30" s="149">
        <v>1</v>
      </c>
      <c r="W30" s="149">
        <v>1</v>
      </c>
      <c r="X30" s="149">
        <v>1</v>
      </c>
      <c r="Y30" s="149">
        <v>1</v>
      </c>
      <c r="Z30" s="149">
        <v>1</v>
      </c>
      <c r="AA30" s="149">
        <v>1</v>
      </c>
      <c r="AB30" s="149">
        <v>1</v>
      </c>
      <c r="AC30" s="150">
        <v>1</v>
      </c>
      <c r="AE30" s="44"/>
      <c r="AF30" s="44"/>
      <c r="AG30" s="44"/>
      <c r="AH30" s="44"/>
      <c r="AI30" s="44"/>
      <c r="AJ30" s="44"/>
      <c r="AK30" s="44"/>
      <c r="AL30" s="44"/>
      <c r="AM30" s="44"/>
      <c r="AN30" s="44"/>
      <c r="AO30" s="44"/>
      <c r="AP30" s="44"/>
      <c r="AQ30" s="44"/>
      <c r="AR30" s="44"/>
      <c r="AS30" s="44"/>
      <c r="AT30" s="44"/>
      <c r="AU30" s="44"/>
      <c r="AV30" s="44"/>
      <c r="AW30" s="44"/>
      <c r="AX30" s="44"/>
    </row>
    <row r="31" spans="1:50" ht="39.9" customHeight="1" x14ac:dyDescent="0.3">
      <c r="A31" s="743" t="s">
        <v>658</v>
      </c>
      <c r="B31" s="677" t="str">
        <f>B4</f>
        <v>ResidentialLiving</v>
      </c>
      <c r="C31" s="677" t="s">
        <v>672</v>
      </c>
      <c r="D31" s="700" t="s">
        <v>660</v>
      </c>
      <c r="E31" s="181" t="s">
        <v>661</v>
      </c>
      <c r="F31" s="145">
        <v>0.9</v>
      </c>
      <c r="G31" s="145">
        <v>0.9</v>
      </c>
      <c r="H31" s="145">
        <v>0.9</v>
      </c>
      <c r="I31" s="145">
        <v>0.9</v>
      </c>
      <c r="J31" s="145">
        <v>0.9</v>
      </c>
      <c r="K31" s="145">
        <v>0.9</v>
      </c>
      <c r="L31" s="145">
        <v>0.9</v>
      </c>
      <c r="M31" s="145">
        <v>0.9</v>
      </c>
      <c r="N31" s="145">
        <v>0.9</v>
      </c>
      <c r="O31" s="145">
        <v>0.9</v>
      </c>
      <c r="P31" s="145">
        <v>0.9</v>
      </c>
      <c r="Q31" s="145">
        <v>0.9</v>
      </c>
      <c r="R31" s="145">
        <v>0.9</v>
      </c>
      <c r="S31" s="145">
        <v>0.9</v>
      </c>
      <c r="T31" s="145">
        <v>0.9</v>
      </c>
      <c r="U31" s="145">
        <v>0.9</v>
      </c>
      <c r="V31" s="145">
        <v>0.9</v>
      </c>
      <c r="W31" s="145">
        <v>0.9</v>
      </c>
      <c r="X31" s="145">
        <v>0.9</v>
      </c>
      <c r="Y31" s="145">
        <v>0.9</v>
      </c>
      <c r="Z31" s="145">
        <v>0.9</v>
      </c>
      <c r="AA31" s="145">
        <v>0.9</v>
      </c>
      <c r="AB31" s="145">
        <v>0.9</v>
      </c>
      <c r="AC31" s="146">
        <v>0.9</v>
      </c>
      <c r="AE31" s="44"/>
      <c r="AF31" s="44"/>
      <c r="AG31" s="44"/>
      <c r="AH31" s="44"/>
      <c r="AI31" s="44"/>
      <c r="AJ31" s="44"/>
      <c r="AK31" s="44"/>
      <c r="AL31" s="44"/>
      <c r="AM31" s="44"/>
      <c r="AN31" s="44"/>
      <c r="AO31" s="44"/>
      <c r="AP31" s="44"/>
      <c r="AQ31" s="44"/>
      <c r="AR31" s="44"/>
      <c r="AS31" s="44"/>
      <c r="AT31" s="44"/>
      <c r="AU31" s="44"/>
      <c r="AV31" s="44"/>
      <c r="AW31" s="44"/>
      <c r="AX31" s="44"/>
    </row>
    <row r="32" spans="1:50" ht="39.9" customHeight="1" x14ac:dyDescent="0.3">
      <c r="A32" s="743"/>
      <c r="B32" s="677"/>
      <c r="C32" s="677"/>
      <c r="D32" s="700"/>
      <c r="E32" s="182" t="s">
        <v>662</v>
      </c>
      <c r="F32" s="147">
        <v>0.9</v>
      </c>
      <c r="G32" s="147">
        <v>0.9</v>
      </c>
      <c r="H32" s="147">
        <v>0.9</v>
      </c>
      <c r="I32" s="147">
        <v>0.9</v>
      </c>
      <c r="J32" s="147">
        <v>0.9</v>
      </c>
      <c r="K32" s="147">
        <v>0.9</v>
      </c>
      <c r="L32" s="147">
        <v>0.9</v>
      </c>
      <c r="M32" s="147">
        <v>0.9</v>
      </c>
      <c r="N32" s="147">
        <v>0.9</v>
      </c>
      <c r="O32" s="147">
        <v>0.9</v>
      </c>
      <c r="P32" s="147">
        <v>0.9</v>
      </c>
      <c r="Q32" s="147">
        <v>0.9</v>
      </c>
      <c r="R32" s="147">
        <v>0.9</v>
      </c>
      <c r="S32" s="147">
        <v>0.9</v>
      </c>
      <c r="T32" s="147">
        <v>0.9</v>
      </c>
      <c r="U32" s="147">
        <v>0.9</v>
      </c>
      <c r="V32" s="147">
        <v>0.9</v>
      </c>
      <c r="W32" s="147">
        <v>0.9</v>
      </c>
      <c r="X32" s="147">
        <v>0.9</v>
      </c>
      <c r="Y32" s="147">
        <v>0.9</v>
      </c>
      <c r="Z32" s="147">
        <v>0.9</v>
      </c>
      <c r="AA32" s="147">
        <v>0.9</v>
      </c>
      <c r="AB32" s="147">
        <v>0.9</v>
      </c>
      <c r="AC32" s="148">
        <v>0.9</v>
      </c>
      <c r="AE32" s="44"/>
      <c r="AF32" s="44"/>
      <c r="AG32" s="44"/>
      <c r="AH32" s="44"/>
      <c r="AI32" s="44"/>
      <c r="AJ32" s="44"/>
      <c r="AK32" s="44"/>
      <c r="AL32" s="44"/>
      <c r="AM32" s="44"/>
      <c r="AN32" s="44"/>
      <c r="AO32" s="44"/>
      <c r="AP32" s="44"/>
      <c r="AQ32" s="44"/>
      <c r="AR32" s="44"/>
      <c r="AS32" s="44"/>
      <c r="AT32" s="44"/>
      <c r="AU32" s="44"/>
      <c r="AV32" s="44"/>
      <c r="AW32" s="44"/>
      <c r="AX32" s="44"/>
    </row>
    <row r="33" spans="1:50" ht="39.75" customHeight="1" x14ac:dyDescent="0.3">
      <c r="A33" s="745"/>
      <c r="B33" s="701"/>
      <c r="C33" s="701"/>
      <c r="D33" s="744"/>
      <c r="E33" s="183" t="s">
        <v>663</v>
      </c>
      <c r="F33" s="149">
        <v>0.9</v>
      </c>
      <c r="G33" s="149">
        <v>0.9</v>
      </c>
      <c r="H33" s="149">
        <v>0.9</v>
      </c>
      <c r="I33" s="149">
        <v>0.9</v>
      </c>
      <c r="J33" s="149">
        <v>0.9</v>
      </c>
      <c r="K33" s="149">
        <v>0.9</v>
      </c>
      <c r="L33" s="149">
        <v>0.9</v>
      </c>
      <c r="M33" s="149">
        <v>0.9</v>
      </c>
      <c r="N33" s="149">
        <v>0.9</v>
      </c>
      <c r="O33" s="149">
        <v>0.9</v>
      </c>
      <c r="P33" s="149">
        <v>0.9</v>
      </c>
      <c r="Q33" s="149">
        <v>0.9</v>
      </c>
      <c r="R33" s="149">
        <v>0.9</v>
      </c>
      <c r="S33" s="149">
        <v>0.9</v>
      </c>
      <c r="T33" s="149">
        <v>0.9</v>
      </c>
      <c r="U33" s="149">
        <v>0.9</v>
      </c>
      <c r="V33" s="149">
        <v>0.9</v>
      </c>
      <c r="W33" s="149">
        <v>0.9</v>
      </c>
      <c r="X33" s="149">
        <v>0.9</v>
      </c>
      <c r="Y33" s="149">
        <v>0.9</v>
      </c>
      <c r="Z33" s="149">
        <v>0.9</v>
      </c>
      <c r="AA33" s="149">
        <v>0.9</v>
      </c>
      <c r="AB33" s="149">
        <v>0.9</v>
      </c>
      <c r="AC33" s="150">
        <v>0.9</v>
      </c>
      <c r="AE33" s="44"/>
      <c r="AF33" s="44"/>
      <c r="AG33" s="44"/>
      <c r="AH33" s="44"/>
      <c r="AI33" s="44"/>
      <c r="AJ33" s="44"/>
      <c r="AK33" s="44"/>
      <c r="AL33" s="44"/>
      <c r="AM33" s="44"/>
      <c r="AN33" s="44"/>
      <c r="AO33" s="44"/>
      <c r="AP33" s="44"/>
      <c r="AQ33" s="44"/>
      <c r="AR33" s="44"/>
      <c r="AS33" s="44"/>
      <c r="AT33" s="44"/>
      <c r="AU33" s="44"/>
      <c r="AV33" s="44"/>
      <c r="AW33" s="44"/>
      <c r="AX33" s="44"/>
    </row>
    <row r="34" spans="1:50" ht="29.25" customHeight="1" x14ac:dyDescent="0.3">
      <c r="A34" s="726" t="s">
        <v>673</v>
      </c>
      <c r="B34" s="727"/>
      <c r="C34" s="727"/>
      <c r="D34" s="727"/>
      <c r="E34" s="727"/>
      <c r="F34" s="727"/>
      <c r="G34" s="727"/>
      <c r="H34" s="727"/>
      <c r="I34" s="727"/>
      <c r="J34" s="727"/>
      <c r="K34" s="727"/>
      <c r="L34" s="727"/>
      <c r="M34" s="727"/>
      <c r="N34" s="727"/>
      <c r="O34" s="727"/>
      <c r="P34" s="727"/>
      <c r="Q34" s="727"/>
      <c r="R34" s="727"/>
      <c r="S34" s="727"/>
      <c r="T34" s="727"/>
      <c r="U34" s="727"/>
      <c r="V34" s="727"/>
      <c r="W34" s="727"/>
      <c r="X34" s="727"/>
      <c r="Y34" s="727"/>
      <c r="Z34" s="727"/>
      <c r="AA34" s="727"/>
      <c r="AB34" s="727"/>
      <c r="AC34" s="728"/>
      <c r="AD34" s="44"/>
      <c r="AE34" s="44"/>
      <c r="AF34" s="44"/>
      <c r="AG34" s="44"/>
      <c r="AH34" s="44"/>
      <c r="AI34" s="44"/>
      <c r="AJ34" s="44"/>
      <c r="AK34" s="44"/>
      <c r="AL34" s="44"/>
      <c r="AM34" s="44"/>
      <c r="AN34" s="44"/>
      <c r="AO34" s="44"/>
      <c r="AP34" s="44"/>
      <c r="AQ34" s="44"/>
      <c r="AR34" s="44"/>
      <c r="AS34" s="44"/>
      <c r="AT34" s="44"/>
      <c r="AU34" s="44"/>
      <c r="AV34" s="44"/>
      <c r="AW34" s="44"/>
      <c r="AX34" s="44"/>
    </row>
    <row r="35" spans="1:50" ht="39.9" customHeight="1" x14ac:dyDescent="0.3">
      <c r="A35" s="684" t="s">
        <v>674</v>
      </c>
      <c r="B35" s="738" t="s">
        <v>86</v>
      </c>
      <c r="C35" s="676" t="s">
        <v>659</v>
      </c>
      <c r="D35" s="707" t="s">
        <v>675</v>
      </c>
      <c r="E35" s="181" t="s">
        <v>661</v>
      </c>
      <c r="F35" s="145">
        <v>0.1</v>
      </c>
      <c r="G35" s="145">
        <v>0.1</v>
      </c>
      <c r="H35" s="145">
        <v>0.1</v>
      </c>
      <c r="I35" s="145">
        <v>0.1</v>
      </c>
      <c r="J35" s="145">
        <v>0.1</v>
      </c>
      <c r="K35" s="145">
        <v>0.3</v>
      </c>
      <c r="L35" s="145">
        <v>0.45</v>
      </c>
      <c r="M35" s="145">
        <v>0.45</v>
      </c>
      <c r="N35" s="145">
        <v>0.45</v>
      </c>
      <c r="O35" s="145">
        <v>0.45</v>
      </c>
      <c r="P35" s="145">
        <v>0.3</v>
      </c>
      <c r="Q35" s="145">
        <v>0.3</v>
      </c>
      <c r="R35" s="145">
        <v>0.3</v>
      </c>
      <c r="S35" s="145">
        <v>0.3</v>
      </c>
      <c r="T35" s="145">
        <v>0.3</v>
      </c>
      <c r="U35" s="145">
        <v>0.3</v>
      </c>
      <c r="V35" s="145">
        <v>0.3</v>
      </c>
      <c r="W35" s="145">
        <v>0.3</v>
      </c>
      <c r="X35" s="145">
        <v>0.6</v>
      </c>
      <c r="Y35" s="145">
        <v>0.8</v>
      </c>
      <c r="Z35" s="145">
        <v>0.9</v>
      </c>
      <c r="AA35" s="145">
        <v>0.8</v>
      </c>
      <c r="AB35" s="145">
        <v>0.6</v>
      </c>
      <c r="AC35" s="146">
        <v>0.3</v>
      </c>
      <c r="AE35" s="44"/>
      <c r="AF35" s="44"/>
      <c r="AG35" s="44"/>
      <c r="AH35" s="44"/>
      <c r="AI35" s="44"/>
      <c r="AJ35" s="44"/>
      <c r="AK35" s="44"/>
      <c r="AL35" s="44"/>
      <c r="AM35" s="44"/>
      <c r="AN35" s="44"/>
      <c r="AO35" s="44"/>
      <c r="AP35" s="44"/>
      <c r="AQ35" s="44"/>
      <c r="AR35" s="44"/>
      <c r="AS35" s="44"/>
      <c r="AT35" s="44"/>
      <c r="AU35" s="44"/>
      <c r="AV35" s="44"/>
      <c r="AW35" s="44"/>
      <c r="AX35" s="44"/>
    </row>
    <row r="36" spans="1:50" ht="39.9" customHeight="1" x14ac:dyDescent="0.3">
      <c r="A36" s="685"/>
      <c r="B36" s="739"/>
      <c r="C36" s="677"/>
      <c r="D36" s="708"/>
      <c r="E36" s="182" t="s">
        <v>662</v>
      </c>
      <c r="F36" s="147">
        <v>0.1</v>
      </c>
      <c r="G36" s="147">
        <v>0.1</v>
      </c>
      <c r="H36" s="147">
        <v>0.1</v>
      </c>
      <c r="I36" s="147">
        <v>0.1</v>
      </c>
      <c r="J36" s="147">
        <v>0.1</v>
      </c>
      <c r="K36" s="147">
        <v>0.3</v>
      </c>
      <c r="L36" s="147">
        <v>0.45</v>
      </c>
      <c r="M36" s="147">
        <v>0.45</v>
      </c>
      <c r="N36" s="147">
        <v>0.45</v>
      </c>
      <c r="O36" s="147">
        <v>0.45</v>
      </c>
      <c r="P36" s="147">
        <v>0.3</v>
      </c>
      <c r="Q36" s="147">
        <v>0.3</v>
      </c>
      <c r="R36" s="147">
        <v>0.3</v>
      </c>
      <c r="S36" s="147">
        <v>0.3</v>
      </c>
      <c r="T36" s="147">
        <v>0.3</v>
      </c>
      <c r="U36" s="147">
        <v>0.3</v>
      </c>
      <c r="V36" s="147">
        <v>0.3</v>
      </c>
      <c r="W36" s="147">
        <v>0.3</v>
      </c>
      <c r="X36" s="147">
        <v>0.6</v>
      </c>
      <c r="Y36" s="147">
        <v>0.8</v>
      </c>
      <c r="Z36" s="147">
        <v>0.9</v>
      </c>
      <c r="AA36" s="147">
        <v>0.8</v>
      </c>
      <c r="AB36" s="147">
        <v>0.6</v>
      </c>
      <c r="AC36" s="148">
        <v>0.3</v>
      </c>
      <c r="AE36" s="44"/>
      <c r="AF36" s="44"/>
      <c r="AG36" s="44"/>
      <c r="AH36" s="44"/>
      <c r="AI36" s="44"/>
      <c r="AJ36" s="44"/>
      <c r="AK36" s="44"/>
      <c r="AL36" s="44"/>
      <c r="AM36" s="44"/>
      <c r="AN36" s="44"/>
      <c r="AO36" s="44"/>
      <c r="AP36" s="44"/>
      <c r="AQ36" s="44"/>
      <c r="AR36" s="44"/>
      <c r="AS36" s="44"/>
      <c r="AT36" s="44"/>
      <c r="AU36" s="44"/>
      <c r="AV36" s="44"/>
      <c r="AW36" s="44"/>
      <c r="AX36" s="44"/>
    </row>
    <row r="37" spans="1:50" ht="39.9" customHeight="1" thickBot="1" x14ac:dyDescent="0.35">
      <c r="A37" s="686"/>
      <c r="B37" s="740"/>
      <c r="C37" s="678"/>
      <c r="D37" s="709"/>
      <c r="E37" s="183" t="s">
        <v>663</v>
      </c>
      <c r="F37" s="149">
        <v>0.1</v>
      </c>
      <c r="G37" s="149">
        <v>0.1</v>
      </c>
      <c r="H37" s="149">
        <v>0.1</v>
      </c>
      <c r="I37" s="149">
        <v>0.1</v>
      </c>
      <c r="J37" s="149">
        <v>0.1</v>
      </c>
      <c r="K37" s="149">
        <v>0.3</v>
      </c>
      <c r="L37" s="149">
        <v>0.45</v>
      </c>
      <c r="M37" s="149">
        <v>0.45</v>
      </c>
      <c r="N37" s="149">
        <v>0.45</v>
      </c>
      <c r="O37" s="149">
        <v>0.45</v>
      </c>
      <c r="P37" s="149">
        <v>0.3</v>
      </c>
      <c r="Q37" s="149">
        <v>0.3</v>
      </c>
      <c r="R37" s="149">
        <v>0.3</v>
      </c>
      <c r="S37" s="149">
        <v>0.3</v>
      </c>
      <c r="T37" s="149">
        <v>0.3</v>
      </c>
      <c r="U37" s="149">
        <v>0.3</v>
      </c>
      <c r="V37" s="149">
        <v>0.3</v>
      </c>
      <c r="W37" s="149">
        <v>0.3</v>
      </c>
      <c r="X37" s="149">
        <v>0.6</v>
      </c>
      <c r="Y37" s="149">
        <v>0.8</v>
      </c>
      <c r="Z37" s="149">
        <v>0.9</v>
      </c>
      <c r="AA37" s="149">
        <v>0.8</v>
      </c>
      <c r="AB37" s="149">
        <v>0.6</v>
      </c>
      <c r="AC37" s="150">
        <v>0.3</v>
      </c>
      <c r="AE37" s="44"/>
      <c r="AF37" s="44"/>
      <c r="AG37" s="44"/>
      <c r="AH37" s="44"/>
      <c r="AI37" s="44"/>
      <c r="AJ37" s="44"/>
      <c r="AK37" s="44"/>
      <c r="AL37" s="44"/>
      <c r="AM37" s="44"/>
      <c r="AN37" s="44"/>
      <c r="AO37" s="44"/>
      <c r="AP37" s="44"/>
      <c r="AQ37" s="44"/>
      <c r="AR37" s="44"/>
      <c r="AS37" s="44"/>
      <c r="AT37" s="44"/>
      <c r="AU37" s="44"/>
      <c r="AV37" s="44"/>
      <c r="AW37" s="44"/>
      <c r="AX37" s="44"/>
    </row>
    <row r="38" spans="1:50" ht="39.9" customHeight="1" x14ac:dyDescent="0.3">
      <c r="A38" s="702" t="s">
        <v>674</v>
      </c>
      <c r="B38" s="679" t="s">
        <v>86</v>
      </c>
      <c r="C38" s="679" t="s">
        <v>664</v>
      </c>
      <c r="D38" s="710" t="s">
        <v>675</v>
      </c>
      <c r="E38" s="191" t="s">
        <v>661</v>
      </c>
      <c r="F38" s="192">
        <v>1</v>
      </c>
      <c r="G38" s="192">
        <v>1</v>
      </c>
      <c r="H38" s="192">
        <v>1</v>
      </c>
      <c r="I38" s="192">
        <v>1</v>
      </c>
      <c r="J38" s="192">
        <v>1</v>
      </c>
      <c r="K38" s="192">
        <v>1</v>
      </c>
      <c r="L38" s="192">
        <v>1</v>
      </c>
      <c r="M38" s="192">
        <v>1</v>
      </c>
      <c r="N38" s="192">
        <v>1</v>
      </c>
      <c r="O38" s="192">
        <v>1</v>
      </c>
      <c r="P38" s="192">
        <v>1</v>
      </c>
      <c r="Q38" s="192">
        <v>1</v>
      </c>
      <c r="R38" s="192">
        <v>1</v>
      </c>
      <c r="S38" s="192">
        <v>1</v>
      </c>
      <c r="T38" s="192">
        <v>1</v>
      </c>
      <c r="U38" s="192">
        <v>1</v>
      </c>
      <c r="V38" s="192">
        <v>1</v>
      </c>
      <c r="W38" s="192">
        <v>1</v>
      </c>
      <c r="X38" s="192">
        <v>1</v>
      </c>
      <c r="Y38" s="192">
        <v>1</v>
      </c>
      <c r="Z38" s="192">
        <v>1</v>
      </c>
      <c r="AA38" s="192">
        <v>1</v>
      </c>
      <c r="AB38" s="192">
        <v>1</v>
      </c>
      <c r="AC38" s="193">
        <v>1</v>
      </c>
      <c r="AE38" s="44"/>
      <c r="AF38" s="44"/>
      <c r="AG38" s="44"/>
      <c r="AH38" s="44"/>
      <c r="AI38" s="44"/>
      <c r="AJ38" s="44"/>
      <c r="AK38" s="44"/>
      <c r="AL38" s="44"/>
      <c r="AM38" s="44"/>
      <c r="AN38" s="44"/>
      <c r="AO38" s="44"/>
      <c r="AP38" s="44"/>
      <c r="AQ38" s="44"/>
      <c r="AR38" s="44"/>
      <c r="AS38" s="44"/>
      <c r="AT38" s="44"/>
      <c r="AU38" s="44"/>
      <c r="AV38" s="44"/>
      <c r="AW38" s="44"/>
      <c r="AX38" s="44"/>
    </row>
    <row r="39" spans="1:50" ht="39.9" customHeight="1" x14ac:dyDescent="0.3">
      <c r="A39" s="685"/>
      <c r="B39" s="677"/>
      <c r="C39" s="677"/>
      <c r="D39" s="708"/>
      <c r="E39" s="182" t="s">
        <v>662</v>
      </c>
      <c r="F39" s="147">
        <v>1</v>
      </c>
      <c r="G39" s="147">
        <v>1</v>
      </c>
      <c r="H39" s="147">
        <v>1</v>
      </c>
      <c r="I39" s="147">
        <v>1</v>
      </c>
      <c r="J39" s="147">
        <v>1</v>
      </c>
      <c r="K39" s="147">
        <v>1</v>
      </c>
      <c r="L39" s="147">
        <v>1</v>
      </c>
      <c r="M39" s="147">
        <v>1</v>
      </c>
      <c r="N39" s="147">
        <v>1</v>
      </c>
      <c r="O39" s="147">
        <v>1</v>
      </c>
      <c r="P39" s="147">
        <v>1</v>
      </c>
      <c r="Q39" s="147">
        <v>1</v>
      </c>
      <c r="R39" s="147">
        <v>1</v>
      </c>
      <c r="S39" s="147">
        <v>1</v>
      </c>
      <c r="T39" s="147">
        <v>1</v>
      </c>
      <c r="U39" s="147">
        <v>1</v>
      </c>
      <c r="V39" s="147">
        <v>1</v>
      </c>
      <c r="W39" s="147">
        <v>1</v>
      </c>
      <c r="X39" s="147">
        <v>1</v>
      </c>
      <c r="Y39" s="147">
        <v>1</v>
      </c>
      <c r="Z39" s="147">
        <v>1</v>
      </c>
      <c r="AA39" s="147">
        <v>1</v>
      </c>
      <c r="AB39" s="147">
        <v>1</v>
      </c>
      <c r="AC39" s="148">
        <v>1</v>
      </c>
      <c r="AE39" s="44"/>
      <c r="AF39" s="44"/>
      <c r="AG39" s="44"/>
      <c r="AH39" s="44"/>
      <c r="AI39" s="44"/>
      <c r="AJ39" s="44"/>
      <c r="AK39" s="44"/>
      <c r="AL39" s="44"/>
      <c r="AM39" s="44"/>
      <c r="AN39" s="44"/>
      <c r="AO39" s="44"/>
      <c r="AP39" s="44"/>
      <c r="AQ39" s="44"/>
      <c r="AR39" s="44"/>
      <c r="AS39" s="44"/>
      <c r="AT39" s="44"/>
      <c r="AU39" s="44"/>
      <c r="AV39" s="44"/>
      <c r="AW39" s="44"/>
      <c r="AX39" s="44"/>
    </row>
    <row r="40" spans="1:50" ht="39.9" customHeight="1" x14ac:dyDescent="0.3">
      <c r="A40" s="686"/>
      <c r="B40" s="678"/>
      <c r="C40" s="678"/>
      <c r="D40" s="709"/>
      <c r="E40" s="183" t="s">
        <v>663</v>
      </c>
      <c r="F40" s="149">
        <v>1</v>
      </c>
      <c r="G40" s="149">
        <v>1</v>
      </c>
      <c r="H40" s="149">
        <v>1</v>
      </c>
      <c r="I40" s="149">
        <v>1</v>
      </c>
      <c r="J40" s="149">
        <v>1</v>
      </c>
      <c r="K40" s="149">
        <v>1</v>
      </c>
      <c r="L40" s="149">
        <v>1</v>
      </c>
      <c r="M40" s="149">
        <v>1</v>
      </c>
      <c r="N40" s="149">
        <v>1</v>
      </c>
      <c r="O40" s="149">
        <v>1</v>
      </c>
      <c r="P40" s="149">
        <v>1</v>
      </c>
      <c r="Q40" s="149">
        <v>1</v>
      </c>
      <c r="R40" s="149">
        <v>1</v>
      </c>
      <c r="S40" s="149">
        <v>1</v>
      </c>
      <c r="T40" s="149">
        <v>1</v>
      </c>
      <c r="U40" s="149">
        <v>1</v>
      </c>
      <c r="V40" s="149">
        <v>1</v>
      </c>
      <c r="W40" s="149">
        <v>1</v>
      </c>
      <c r="X40" s="149">
        <v>1</v>
      </c>
      <c r="Y40" s="149">
        <v>1</v>
      </c>
      <c r="Z40" s="149">
        <v>1</v>
      </c>
      <c r="AA40" s="149">
        <v>1</v>
      </c>
      <c r="AB40" s="149">
        <v>1</v>
      </c>
      <c r="AC40" s="150">
        <v>1</v>
      </c>
      <c r="AE40" s="44"/>
      <c r="AF40" s="44"/>
      <c r="AG40" s="44"/>
      <c r="AH40" s="44"/>
      <c r="AI40" s="44"/>
      <c r="AJ40" s="44"/>
      <c r="AK40" s="44"/>
      <c r="AL40" s="44"/>
      <c r="AM40" s="44"/>
      <c r="AN40" s="44"/>
      <c r="AO40" s="44"/>
      <c r="AP40" s="44"/>
      <c r="AQ40" s="44"/>
      <c r="AR40" s="44"/>
      <c r="AS40" s="44"/>
      <c r="AT40" s="44"/>
      <c r="AU40" s="44"/>
      <c r="AV40" s="44"/>
      <c r="AW40" s="44"/>
      <c r="AX40" s="44"/>
    </row>
    <row r="41" spans="1:50" ht="39.9" customHeight="1" x14ac:dyDescent="0.3">
      <c r="A41" s="702" t="s">
        <v>674</v>
      </c>
      <c r="B41" s="679" t="s">
        <v>86</v>
      </c>
      <c r="C41" s="679" t="s">
        <v>665</v>
      </c>
      <c r="D41" s="710" t="s">
        <v>675</v>
      </c>
      <c r="E41" s="181" t="s">
        <v>661</v>
      </c>
      <c r="F41" s="145">
        <v>0.1</v>
      </c>
      <c r="G41" s="145">
        <v>0.1</v>
      </c>
      <c r="H41" s="145">
        <v>0.1</v>
      </c>
      <c r="I41" s="145">
        <v>0.1</v>
      </c>
      <c r="J41" s="145">
        <v>0.1</v>
      </c>
      <c r="K41" s="145">
        <v>0.3</v>
      </c>
      <c r="L41" s="145">
        <v>0.45</v>
      </c>
      <c r="M41" s="145">
        <v>0.45</v>
      </c>
      <c r="N41" s="145">
        <v>0.45</v>
      </c>
      <c r="O41" s="145">
        <v>0.45</v>
      </c>
      <c r="P41" s="145">
        <v>0.3</v>
      </c>
      <c r="Q41" s="145">
        <v>0.3</v>
      </c>
      <c r="R41" s="145">
        <v>0.3</v>
      </c>
      <c r="S41" s="145">
        <v>0.3</v>
      </c>
      <c r="T41" s="145">
        <v>0.3</v>
      </c>
      <c r="U41" s="145">
        <v>0.3</v>
      </c>
      <c r="V41" s="145">
        <v>0.3</v>
      </c>
      <c r="W41" s="145">
        <v>0.3</v>
      </c>
      <c r="X41" s="145">
        <v>0.6</v>
      </c>
      <c r="Y41" s="145">
        <v>0.8</v>
      </c>
      <c r="Z41" s="145">
        <v>0.9</v>
      </c>
      <c r="AA41" s="145">
        <v>0.8</v>
      </c>
      <c r="AB41" s="145">
        <v>0.6</v>
      </c>
      <c r="AC41" s="146">
        <v>0.3</v>
      </c>
      <c r="AE41" s="44"/>
      <c r="AF41" s="44"/>
      <c r="AG41" s="44"/>
      <c r="AH41" s="44"/>
      <c r="AI41" s="44"/>
      <c r="AJ41" s="44"/>
      <c r="AK41" s="44"/>
      <c r="AL41" s="44"/>
      <c r="AM41" s="44"/>
      <c r="AN41" s="44"/>
      <c r="AO41" s="44"/>
      <c r="AP41" s="44"/>
      <c r="AQ41" s="44"/>
      <c r="AR41" s="44"/>
      <c r="AS41" s="44"/>
      <c r="AT41" s="44"/>
      <c r="AU41" s="44"/>
      <c r="AV41" s="44"/>
      <c r="AW41" s="44"/>
      <c r="AX41" s="44"/>
    </row>
    <row r="42" spans="1:50" ht="39.9" customHeight="1" x14ac:dyDescent="0.3">
      <c r="A42" s="685"/>
      <c r="B42" s="677"/>
      <c r="C42" s="677"/>
      <c r="D42" s="708"/>
      <c r="E42" s="182" t="s">
        <v>662</v>
      </c>
      <c r="F42" s="147">
        <v>0.1</v>
      </c>
      <c r="G42" s="147">
        <v>0.1</v>
      </c>
      <c r="H42" s="147">
        <v>0.1</v>
      </c>
      <c r="I42" s="147">
        <v>0.1</v>
      </c>
      <c r="J42" s="147">
        <v>0.1</v>
      </c>
      <c r="K42" s="147">
        <v>0.3</v>
      </c>
      <c r="L42" s="147">
        <v>0.45</v>
      </c>
      <c r="M42" s="147">
        <v>0.45</v>
      </c>
      <c r="N42" s="147">
        <v>0.45</v>
      </c>
      <c r="O42" s="147">
        <v>0.45</v>
      </c>
      <c r="P42" s="147">
        <v>0.3</v>
      </c>
      <c r="Q42" s="147">
        <v>0.3</v>
      </c>
      <c r="R42" s="147">
        <v>0.3</v>
      </c>
      <c r="S42" s="147">
        <v>0.3</v>
      </c>
      <c r="T42" s="147">
        <v>0.3</v>
      </c>
      <c r="U42" s="147">
        <v>0.3</v>
      </c>
      <c r="V42" s="147">
        <v>0.3</v>
      </c>
      <c r="W42" s="147">
        <v>0.3</v>
      </c>
      <c r="X42" s="147">
        <v>0.6</v>
      </c>
      <c r="Y42" s="147">
        <v>0.8</v>
      </c>
      <c r="Z42" s="147">
        <v>0.9</v>
      </c>
      <c r="AA42" s="147">
        <v>0.8</v>
      </c>
      <c r="AB42" s="147">
        <v>0.6</v>
      </c>
      <c r="AC42" s="148">
        <v>0.3</v>
      </c>
      <c r="AE42" s="44"/>
      <c r="AF42" s="44"/>
      <c r="AG42" s="44"/>
      <c r="AH42" s="44"/>
      <c r="AI42" s="44"/>
      <c r="AJ42" s="44"/>
      <c r="AK42" s="44"/>
      <c r="AL42" s="44"/>
      <c r="AM42" s="44"/>
      <c r="AN42" s="44"/>
      <c r="AO42" s="44"/>
      <c r="AP42" s="44"/>
      <c r="AQ42" s="44"/>
      <c r="AR42" s="44"/>
      <c r="AS42" s="44"/>
      <c r="AT42" s="44"/>
      <c r="AU42" s="44"/>
      <c r="AV42" s="44"/>
      <c r="AW42" s="44"/>
      <c r="AX42" s="44"/>
    </row>
    <row r="43" spans="1:50" ht="39.9" customHeight="1" x14ac:dyDescent="0.3">
      <c r="A43" s="703"/>
      <c r="B43" s="678"/>
      <c r="C43" s="680"/>
      <c r="D43" s="711"/>
      <c r="E43" s="184" t="s">
        <v>663</v>
      </c>
      <c r="F43" s="151">
        <v>0.1</v>
      </c>
      <c r="G43" s="151">
        <v>0.1</v>
      </c>
      <c r="H43" s="151">
        <v>0.1</v>
      </c>
      <c r="I43" s="151">
        <v>0.1</v>
      </c>
      <c r="J43" s="151">
        <v>0.1</v>
      </c>
      <c r="K43" s="151">
        <v>0.3</v>
      </c>
      <c r="L43" s="151">
        <v>0.45</v>
      </c>
      <c r="M43" s="151">
        <v>0.45</v>
      </c>
      <c r="N43" s="151">
        <v>0.45</v>
      </c>
      <c r="O43" s="151">
        <v>0.45</v>
      </c>
      <c r="P43" s="151">
        <v>0.3</v>
      </c>
      <c r="Q43" s="151">
        <v>0.3</v>
      </c>
      <c r="R43" s="151">
        <v>0.3</v>
      </c>
      <c r="S43" s="151">
        <v>0.3</v>
      </c>
      <c r="T43" s="151">
        <v>0.3</v>
      </c>
      <c r="U43" s="151">
        <v>0.3</v>
      </c>
      <c r="V43" s="151">
        <v>0.3</v>
      </c>
      <c r="W43" s="151">
        <v>0.3</v>
      </c>
      <c r="X43" s="151">
        <v>0.6</v>
      </c>
      <c r="Y43" s="151">
        <v>0.8</v>
      </c>
      <c r="Z43" s="151">
        <v>0.9</v>
      </c>
      <c r="AA43" s="151">
        <v>0.8</v>
      </c>
      <c r="AB43" s="151">
        <v>0.6</v>
      </c>
      <c r="AC43" s="152">
        <v>0.3</v>
      </c>
      <c r="AE43" s="44"/>
      <c r="AF43" s="44"/>
      <c r="AG43" s="44"/>
      <c r="AH43" s="44"/>
      <c r="AI43" s="44"/>
      <c r="AJ43" s="44"/>
      <c r="AK43" s="44"/>
      <c r="AL43" s="44"/>
      <c r="AM43" s="44"/>
      <c r="AN43" s="44"/>
      <c r="AO43" s="44"/>
      <c r="AP43" s="44"/>
      <c r="AQ43" s="44"/>
      <c r="AR43" s="44"/>
      <c r="AS43" s="44"/>
      <c r="AT43" s="44"/>
      <c r="AU43" s="44"/>
      <c r="AV43" s="44"/>
      <c r="AW43" s="44"/>
      <c r="AX43" s="44"/>
    </row>
    <row r="44" spans="1:50" ht="39.9" customHeight="1" x14ac:dyDescent="0.3">
      <c r="A44" s="754" t="s">
        <v>674</v>
      </c>
      <c r="B44" s="679" t="s">
        <v>86</v>
      </c>
      <c r="C44" s="681" t="s">
        <v>668</v>
      </c>
      <c r="D44" s="707" t="s">
        <v>675</v>
      </c>
      <c r="E44" s="181" t="s">
        <v>661</v>
      </c>
      <c r="F44" s="145">
        <v>0</v>
      </c>
      <c r="G44" s="145">
        <v>0</v>
      </c>
      <c r="H44" s="145">
        <v>0</v>
      </c>
      <c r="I44" s="145">
        <v>0.05</v>
      </c>
      <c r="J44" s="145">
        <v>0.05</v>
      </c>
      <c r="K44" s="145">
        <v>0.05</v>
      </c>
      <c r="L44" s="145">
        <v>0.8</v>
      </c>
      <c r="M44" s="145">
        <v>0.7</v>
      </c>
      <c r="N44" s="145">
        <v>0.5</v>
      </c>
      <c r="O44" s="145">
        <v>0.4</v>
      </c>
      <c r="P44" s="145">
        <v>0.25</v>
      </c>
      <c r="Q44" s="145">
        <v>0.25</v>
      </c>
      <c r="R44" s="145">
        <v>0.25</v>
      </c>
      <c r="S44" s="145">
        <v>0.25</v>
      </c>
      <c r="T44" s="145">
        <v>0.5</v>
      </c>
      <c r="U44" s="145">
        <v>0.6</v>
      </c>
      <c r="V44" s="145">
        <v>0.7</v>
      </c>
      <c r="W44" s="145">
        <v>0.7</v>
      </c>
      <c r="X44" s="145">
        <v>0.4</v>
      </c>
      <c r="Y44" s="145">
        <v>0.25</v>
      </c>
      <c r="Z44" s="145">
        <v>0.2</v>
      </c>
      <c r="AA44" s="145">
        <v>0.2</v>
      </c>
      <c r="AB44" s="145">
        <v>0.05</v>
      </c>
      <c r="AC44" s="146">
        <v>0.05</v>
      </c>
      <c r="AE44" s="44"/>
      <c r="AF44" s="44"/>
      <c r="AG44" s="44"/>
      <c r="AH44" s="44"/>
      <c r="AI44" s="44"/>
      <c r="AJ44" s="44"/>
      <c r="AK44" s="44"/>
      <c r="AL44" s="44"/>
      <c r="AM44" s="44"/>
      <c r="AN44" s="44"/>
      <c r="AO44" s="44"/>
      <c r="AP44" s="44"/>
      <c r="AQ44" s="44"/>
      <c r="AR44" s="44"/>
      <c r="AS44" s="44"/>
      <c r="AT44" s="44"/>
      <c r="AU44" s="44"/>
      <c r="AV44" s="44"/>
      <c r="AW44" s="44"/>
      <c r="AX44" s="44"/>
    </row>
    <row r="45" spans="1:50" ht="39.9" customHeight="1" x14ac:dyDescent="0.3">
      <c r="A45" s="755"/>
      <c r="B45" s="677"/>
      <c r="C45" s="682"/>
      <c r="D45" s="708"/>
      <c r="E45" s="182" t="s">
        <v>662</v>
      </c>
      <c r="F45" s="147">
        <v>0</v>
      </c>
      <c r="G45" s="147">
        <v>0</v>
      </c>
      <c r="H45" s="147">
        <v>0</v>
      </c>
      <c r="I45" s="147">
        <v>0.05</v>
      </c>
      <c r="J45" s="147">
        <v>0.05</v>
      </c>
      <c r="K45" s="147">
        <v>0.05</v>
      </c>
      <c r="L45" s="147">
        <v>0.8</v>
      </c>
      <c r="M45" s="147">
        <v>0.7</v>
      </c>
      <c r="N45" s="147">
        <v>0.5</v>
      </c>
      <c r="O45" s="147">
        <v>0.4</v>
      </c>
      <c r="P45" s="147">
        <v>0.25</v>
      </c>
      <c r="Q45" s="147">
        <v>0.25</v>
      </c>
      <c r="R45" s="147">
        <v>0.25</v>
      </c>
      <c r="S45" s="147">
        <v>0.25</v>
      </c>
      <c r="T45" s="147">
        <v>0.5</v>
      </c>
      <c r="U45" s="147">
        <v>0.6</v>
      </c>
      <c r="V45" s="147">
        <v>0.7</v>
      </c>
      <c r="W45" s="147">
        <v>0.7</v>
      </c>
      <c r="X45" s="147">
        <v>0.4</v>
      </c>
      <c r="Y45" s="147">
        <v>0.25</v>
      </c>
      <c r="Z45" s="147">
        <v>0.2</v>
      </c>
      <c r="AA45" s="147">
        <v>0.2</v>
      </c>
      <c r="AB45" s="147">
        <v>0.05</v>
      </c>
      <c r="AC45" s="148">
        <v>0.05</v>
      </c>
      <c r="AE45" s="44"/>
      <c r="AF45" s="44"/>
      <c r="AG45" s="44"/>
      <c r="AH45" s="44"/>
      <c r="AI45" s="44"/>
      <c r="AJ45" s="44"/>
      <c r="AK45" s="44"/>
      <c r="AL45" s="44"/>
      <c r="AM45" s="44"/>
      <c r="AN45" s="44"/>
      <c r="AO45" s="44"/>
      <c r="AP45" s="44"/>
      <c r="AQ45" s="44"/>
      <c r="AR45" s="44"/>
      <c r="AS45" s="44"/>
      <c r="AT45" s="44"/>
      <c r="AU45" s="44"/>
      <c r="AV45" s="44"/>
      <c r="AW45" s="44"/>
      <c r="AX45" s="44"/>
    </row>
    <row r="46" spans="1:50" ht="39.9" customHeight="1" x14ac:dyDescent="0.3">
      <c r="A46" s="756"/>
      <c r="B46" s="678"/>
      <c r="C46" s="683"/>
      <c r="D46" s="709"/>
      <c r="E46" s="183" t="s">
        <v>663</v>
      </c>
      <c r="F46" s="149">
        <v>0</v>
      </c>
      <c r="G46" s="149">
        <v>0</v>
      </c>
      <c r="H46" s="149">
        <v>0</v>
      </c>
      <c r="I46" s="149">
        <v>0.05</v>
      </c>
      <c r="J46" s="149">
        <v>0.05</v>
      </c>
      <c r="K46" s="149">
        <v>0.05</v>
      </c>
      <c r="L46" s="149">
        <v>0.8</v>
      </c>
      <c r="M46" s="149">
        <v>0.7</v>
      </c>
      <c r="N46" s="149">
        <v>0.5</v>
      </c>
      <c r="O46" s="149">
        <v>0.4</v>
      </c>
      <c r="P46" s="149">
        <v>0.25</v>
      </c>
      <c r="Q46" s="149">
        <v>0.25</v>
      </c>
      <c r="R46" s="149">
        <v>0.25</v>
      </c>
      <c r="S46" s="149">
        <v>0.25</v>
      </c>
      <c r="T46" s="149">
        <v>0.5</v>
      </c>
      <c r="U46" s="149">
        <v>0.6</v>
      </c>
      <c r="V46" s="149">
        <v>0.7</v>
      </c>
      <c r="W46" s="149">
        <v>0.7</v>
      </c>
      <c r="X46" s="149">
        <v>0.4</v>
      </c>
      <c r="Y46" s="149">
        <v>0.25</v>
      </c>
      <c r="Z46" s="149">
        <v>0.2</v>
      </c>
      <c r="AA46" s="149">
        <v>0.2</v>
      </c>
      <c r="AB46" s="149">
        <v>0.05</v>
      </c>
      <c r="AC46" s="150">
        <v>0.05</v>
      </c>
      <c r="AE46" s="44"/>
      <c r="AF46" s="44"/>
      <c r="AG46" s="44"/>
      <c r="AH46" s="44"/>
      <c r="AI46" s="44"/>
      <c r="AJ46" s="44"/>
      <c r="AK46" s="44"/>
      <c r="AL46" s="44"/>
      <c r="AM46" s="44"/>
      <c r="AN46" s="44"/>
      <c r="AO46" s="44"/>
      <c r="AP46" s="44"/>
      <c r="AQ46" s="44"/>
      <c r="AR46" s="44"/>
      <c r="AS46" s="44"/>
      <c r="AT46" s="44"/>
      <c r="AU46" s="44"/>
      <c r="AV46" s="44"/>
      <c r="AW46" s="44"/>
      <c r="AX46" s="44"/>
    </row>
    <row r="47" spans="1:50" ht="39.9" customHeight="1" x14ac:dyDescent="0.3">
      <c r="A47" s="684" t="s">
        <v>674</v>
      </c>
      <c r="B47" s="676" t="s">
        <v>86</v>
      </c>
      <c r="C47" s="676" t="s">
        <v>669</v>
      </c>
      <c r="D47" s="707" t="s">
        <v>675</v>
      </c>
      <c r="E47" s="181" t="s">
        <v>661</v>
      </c>
      <c r="F47" s="145">
        <v>0</v>
      </c>
      <c r="G47" s="145">
        <v>0</v>
      </c>
      <c r="H47" s="145">
        <v>0</v>
      </c>
      <c r="I47" s="145">
        <v>0</v>
      </c>
      <c r="J47" s="145">
        <v>0</v>
      </c>
      <c r="K47" s="145">
        <v>0.5</v>
      </c>
      <c r="L47" s="145">
        <v>0.5</v>
      </c>
      <c r="M47" s="145">
        <v>0.1</v>
      </c>
      <c r="N47" s="145">
        <v>0.1</v>
      </c>
      <c r="O47" s="145">
        <v>0.1</v>
      </c>
      <c r="P47" s="145">
        <v>0.1</v>
      </c>
      <c r="Q47" s="145">
        <v>0.5</v>
      </c>
      <c r="R47" s="145">
        <v>0.5</v>
      </c>
      <c r="S47" s="145">
        <v>0.1</v>
      </c>
      <c r="T47" s="145">
        <v>0.1</v>
      </c>
      <c r="U47" s="145">
        <v>0.1</v>
      </c>
      <c r="V47" s="145">
        <v>0.5</v>
      </c>
      <c r="W47" s="145">
        <v>0.5</v>
      </c>
      <c r="X47" s="145">
        <v>0.5</v>
      </c>
      <c r="Y47" s="145">
        <v>0.1</v>
      </c>
      <c r="Z47" s="145">
        <v>0</v>
      </c>
      <c r="AA47" s="145">
        <v>0</v>
      </c>
      <c r="AB47" s="145">
        <v>0</v>
      </c>
      <c r="AC47" s="146">
        <v>0</v>
      </c>
      <c r="AE47" s="44"/>
      <c r="AF47" s="44"/>
      <c r="AG47" s="44"/>
      <c r="AH47" s="44"/>
      <c r="AI47" s="44"/>
      <c r="AJ47" s="44"/>
      <c r="AK47" s="44"/>
      <c r="AL47" s="44"/>
      <c r="AM47" s="44"/>
      <c r="AN47" s="44"/>
      <c r="AO47" s="44"/>
      <c r="AP47" s="44"/>
      <c r="AQ47" s="44"/>
      <c r="AR47" s="44"/>
      <c r="AS47" s="44"/>
      <c r="AT47" s="44"/>
      <c r="AU47" s="44"/>
      <c r="AV47" s="44"/>
      <c r="AW47" s="44"/>
      <c r="AX47" s="44"/>
    </row>
    <row r="48" spans="1:50" ht="39.9" customHeight="1" x14ac:dyDescent="0.3">
      <c r="A48" s="685"/>
      <c r="B48" s="677"/>
      <c r="C48" s="677"/>
      <c r="D48" s="708"/>
      <c r="E48" s="182" t="s">
        <v>662</v>
      </c>
      <c r="F48" s="147">
        <v>0</v>
      </c>
      <c r="G48" s="147">
        <v>0</v>
      </c>
      <c r="H48" s="147">
        <v>0</v>
      </c>
      <c r="I48" s="147">
        <v>0</v>
      </c>
      <c r="J48" s="147">
        <v>0</v>
      </c>
      <c r="K48" s="147">
        <v>0.5</v>
      </c>
      <c r="L48" s="147">
        <v>0.5</v>
      </c>
      <c r="M48" s="147">
        <v>0.1</v>
      </c>
      <c r="N48" s="147">
        <v>0.1</v>
      </c>
      <c r="O48" s="147">
        <v>0.1</v>
      </c>
      <c r="P48" s="147">
        <v>0.1</v>
      </c>
      <c r="Q48" s="147">
        <v>0.5</v>
      </c>
      <c r="R48" s="147">
        <v>0.5</v>
      </c>
      <c r="S48" s="147">
        <v>0.1</v>
      </c>
      <c r="T48" s="147">
        <v>0.1</v>
      </c>
      <c r="U48" s="147">
        <v>0.1</v>
      </c>
      <c r="V48" s="147">
        <v>0.5</v>
      </c>
      <c r="W48" s="147">
        <v>0.5</v>
      </c>
      <c r="X48" s="147">
        <v>0.5</v>
      </c>
      <c r="Y48" s="147">
        <v>0.1</v>
      </c>
      <c r="Z48" s="147">
        <v>0</v>
      </c>
      <c r="AA48" s="147">
        <v>0</v>
      </c>
      <c r="AB48" s="147">
        <v>0</v>
      </c>
      <c r="AC48" s="148">
        <v>0</v>
      </c>
      <c r="AE48" s="44"/>
      <c r="AF48" s="44"/>
      <c r="AG48" s="44"/>
      <c r="AH48" s="44"/>
      <c r="AI48" s="44"/>
      <c r="AJ48" s="44"/>
      <c r="AK48" s="44"/>
      <c r="AL48" s="44"/>
      <c r="AM48" s="44"/>
      <c r="AN48" s="44"/>
      <c r="AO48" s="44"/>
      <c r="AP48" s="44"/>
      <c r="AQ48" s="44"/>
      <c r="AR48" s="44"/>
      <c r="AS48" s="44"/>
      <c r="AT48" s="44"/>
      <c r="AU48" s="44"/>
      <c r="AV48" s="44"/>
      <c r="AW48" s="44"/>
      <c r="AX48" s="44"/>
    </row>
    <row r="49" spans="1:50" ht="39.9" customHeight="1" thickBot="1" x14ac:dyDescent="0.35">
      <c r="A49" s="686"/>
      <c r="B49" s="678"/>
      <c r="C49" s="678"/>
      <c r="D49" s="709"/>
      <c r="E49" s="183" t="s">
        <v>663</v>
      </c>
      <c r="F49" s="151">
        <v>0</v>
      </c>
      <c r="G49" s="151">
        <v>0</v>
      </c>
      <c r="H49" s="151">
        <v>0</v>
      </c>
      <c r="I49" s="151">
        <v>0</v>
      </c>
      <c r="J49" s="151">
        <v>0</v>
      </c>
      <c r="K49" s="151">
        <v>0.5</v>
      </c>
      <c r="L49" s="151">
        <v>0.5</v>
      </c>
      <c r="M49" s="151">
        <v>0.1</v>
      </c>
      <c r="N49" s="151">
        <v>0.1</v>
      </c>
      <c r="O49" s="151">
        <v>0.1</v>
      </c>
      <c r="P49" s="151">
        <v>0.1</v>
      </c>
      <c r="Q49" s="151">
        <v>0.5</v>
      </c>
      <c r="R49" s="151">
        <v>0.5</v>
      </c>
      <c r="S49" s="151">
        <v>0.1</v>
      </c>
      <c r="T49" s="151">
        <v>0.1</v>
      </c>
      <c r="U49" s="151">
        <v>0.1</v>
      </c>
      <c r="V49" s="151">
        <v>0.5</v>
      </c>
      <c r="W49" s="151">
        <v>0.5</v>
      </c>
      <c r="X49" s="151">
        <v>0.5</v>
      </c>
      <c r="Y49" s="151">
        <v>0.1</v>
      </c>
      <c r="Z49" s="151">
        <v>0</v>
      </c>
      <c r="AA49" s="151">
        <v>0</v>
      </c>
      <c r="AB49" s="151">
        <v>0</v>
      </c>
      <c r="AC49" s="152">
        <v>0</v>
      </c>
      <c r="AE49" s="44"/>
      <c r="AF49" s="44"/>
      <c r="AG49" s="44"/>
      <c r="AH49" s="44"/>
      <c r="AI49" s="44"/>
      <c r="AJ49" s="44"/>
      <c r="AK49" s="44"/>
      <c r="AL49" s="44"/>
      <c r="AM49" s="44"/>
      <c r="AN49" s="44"/>
      <c r="AO49" s="44"/>
      <c r="AP49" s="44"/>
      <c r="AQ49" s="44"/>
      <c r="AR49" s="44"/>
      <c r="AS49" s="44"/>
      <c r="AT49" s="44"/>
      <c r="AU49" s="44"/>
      <c r="AV49" s="44"/>
      <c r="AW49" s="44"/>
      <c r="AX49" s="44"/>
    </row>
    <row r="50" spans="1:50" ht="39.9" customHeight="1" x14ac:dyDescent="0.3">
      <c r="A50" s="702" t="s">
        <v>674</v>
      </c>
      <c r="B50" s="704" t="str">
        <f>B41</f>
        <v>ResidentialCommon</v>
      </c>
      <c r="C50" s="712" t="s">
        <v>666</v>
      </c>
      <c r="D50" s="723" t="s">
        <v>675</v>
      </c>
      <c r="E50" s="181" t="s">
        <v>661</v>
      </c>
      <c r="F50" s="145">
        <v>1</v>
      </c>
      <c r="G50" s="145">
        <v>1</v>
      </c>
      <c r="H50" s="145">
        <v>1</v>
      </c>
      <c r="I50" s="145">
        <v>1</v>
      </c>
      <c r="J50" s="145">
        <v>1</v>
      </c>
      <c r="K50" s="145">
        <v>1</v>
      </c>
      <c r="L50" s="145">
        <v>1</v>
      </c>
      <c r="M50" s="145">
        <v>1</v>
      </c>
      <c r="N50" s="145">
        <v>1</v>
      </c>
      <c r="O50" s="145">
        <v>1</v>
      </c>
      <c r="P50" s="145">
        <v>1</v>
      </c>
      <c r="Q50" s="145">
        <v>1</v>
      </c>
      <c r="R50" s="145">
        <v>1</v>
      </c>
      <c r="S50" s="145">
        <v>1</v>
      </c>
      <c r="T50" s="145">
        <v>1</v>
      </c>
      <c r="U50" s="145">
        <v>1</v>
      </c>
      <c r="V50" s="145">
        <v>1</v>
      </c>
      <c r="W50" s="145">
        <v>1</v>
      </c>
      <c r="X50" s="145">
        <v>1</v>
      </c>
      <c r="Y50" s="145">
        <v>1</v>
      </c>
      <c r="Z50" s="145">
        <v>1</v>
      </c>
      <c r="AA50" s="145">
        <v>1</v>
      </c>
      <c r="AB50" s="145">
        <v>1</v>
      </c>
      <c r="AC50" s="146">
        <v>1</v>
      </c>
      <c r="AD50" s="220"/>
      <c r="AE50" s="44"/>
      <c r="AF50" s="44"/>
      <c r="AG50" s="44"/>
      <c r="AH50" s="44"/>
      <c r="AI50" s="44"/>
      <c r="AJ50" s="44"/>
      <c r="AK50" s="44"/>
      <c r="AL50" s="44"/>
      <c r="AM50" s="44"/>
      <c r="AN50" s="44"/>
      <c r="AO50" s="44"/>
      <c r="AP50" s="44"/>
      <c r="AQ50" s="44"/>
      <c r="AR50" s="44"/>
      <c r="AS50" s="44"/>
      <c r="AT50" s="44"/>
      <c r="AU50" s="44"/>
      <c r="AV50" s="44"/>
      <c r="AW50" s="44"/>
      <c r="AX50" s="44"/>
    </row>
    <row r="51" spans="1:50" ht="39.9" customHeight="1" x14ac:dyDescent="0.3">
      <c r="A51" s="685"/>
      <c r="B51" s="705"/>
      <c r="C51" s="713"/>
      <c r="D51" s="724"/>
      <c r="E51" s="217" t="s">
        <v>662</v>
      </c>
      <c r="F51" s="218">
        <v>1</v>
      </c>
      <c r="G51" s="218">
        <v>1</v>
      </c>
      <c r="H51" s="218">
        <v>1</v>
      </c>
      <c r="I51" s="218">
        <v>1</v>
      </c>
      <c r="J51" s="218">
        <v>1</v>
      </c>
      <c r="K51" s="218">
        <v>1</v>
      </c>
      <c r="L51" s="218">
        <v>1</v>
      </c>
      <c r="M51" s="218">
        <v>1</v>
      </c>
      <c r="N51" s="218">
        <v>1</v>
      </c>
      <c r="O51" s="218">
        <v>1</v>
      </c>
      <c r="P51" s="218">
        <v>1</v>
      </c>
      <c r="Q51" s="218">
        <v>1</v>
      </c>
      <c r="R51" s="218">
        <v>1</v>
      </c>
      <c r="S51" s="218">
        <v>1</v>
      </c>
      <c r="T51" s="218">
        <v>1</v>
      </c>
      <c r="U51" s="218">
        <v>1</v>
      </c>
      <c r="V51" s="218">
        <v>1</v>
      </c>
      <c r="W51" s="218">
        <v>1</v>
      </c>
      <c r="X51" s="218">
        <v>1</v>
      </c>
      <c r="Y51" s="218">
        <v>1</v>
      </c>
      <c r="Z51" s="218">
        <v>1</v>
      </c>
      <c r="AA51" s="218">
        <v>1</v>
      </c>
      <c r="AB51" s="218">
        <v>1</v>
      </c>
      <c r="AC51" s="219">
        <v>1</v>
      </c>
      <c r="AD51" s="220"/>
      <c r="AE51" s="44"/>
      <c r="AF51" s="44"/>
      <c r="AG51" s="44"/>
      <c r="AH51" s="44"/>
      <c r="AI51" s="44"/>
      <c r="AJ51" s="44"/>
      <c r="AK51" s="44"/>
      <c r="AL51" s="44"/>
      <c r="AM51" s="44"/>
      <c r="AN51" s="44"/>
      <c r="AO51" s="44"/>
      <c r="AP51" s="44"/>
      <c r="AQ51" s="44"/>
      <c r="AR51" s="44"/>
      <c r="AS51" s="44"/>
      <c r="AT51" s="44"/>
      <c r="AU51" s="44"/>
      <c r="AV51" s="44"/>
      <c r="AW51" s="44"/>
      <c r="AX51" s="44"/>
    </row>
    <row r="52" spans="1:50" ht="39.9" customHeight="1" thickBot="1" x14ac:dyDescent="0.35">
      <c r="A52" s="703"/>
      <c r="B52" s="706"/>
      <c r="C52" s="714"/>
      <c r="D52" s="725"/>
      <c r="E52" s="184" t="s">
        <v>663</v>
      </c>
      <c r="F52" s="151">
        <v>1</v>
      </c>
      <c r="G52" s="151">
        <v>1</v>
      </c>
      <c r="H52" s="151">
        <v>1</v>
      </c>
      <c r="I52" s="151">
        <v>1</v>
      </c>
      <c r="J52" s="151">
        <v>1</v>
      </c>
      <c r="K52" s="151">
        <v>1</v>
      </c>
      <c r="L52" s="151">
        <v>1</v>
      </c>
      <c r="M52" s="151">
        <v>1</v>
      </c>
      <c r="N52" s="151">
        <v>1</v>
      </c>
      <c r="O52" s="151">
        <v>1</v>
      </c>
      <c r="P52" s="151">
        <v>1</v>
      </c>
      <c r="Q52" s="151">
        <v>1</v>
      </c>
      <c r="R52" s="151">
        <v>1</v>
      </c>
      <c r="S52" s="151">
        <v>1</v>
      </c>
      <c r="T52" s="151">
        <v>1</v>
      </c>
      <c r="U52" s="151">
        <v>1</v>
      </c>
      <c r="V52" s="151">
        <v>1</v>
      </c>
      <c r="W52" s="151">
        <v>1</v>
      </c>
      <c r="X52" s="151">
        <v>1</v>
      </c>
      <c r="Y52" s="151">
        <v>1</v>
      </c>
      <c r="Z52" s="151">
        <v>1</v>
      </c>
      <c r="AA52" s="151">
        <v>1</v>
      </c>
      <c r="AB52" s="151">
        <v>1</v>
      </c>
      <c r="AC52" s="152">
        <v>1</v>
      </c>
      <c r="AD52" s="44"/>
      <c r="AE52" s="44"/>
      <c r="AF52" s="44"/>
      <c r="AG52" s="44"/>
      <c r="AH52" s="44"/>
      <c r="AI52" s="44"/>
      <c r="AJ52" s="44"/>
      <c r="AK52" s="44"/>
      <c r="AL52" s="44"/>
      <c r="AM52" s="44"/>
      <c r="AN52" s="44"/>
      <c r="AO52" s="44"/>
      <c r="AP52" s="44"/>
      <c r="AQ52" s="44"/>
      <c r="AR52" s="44"/>
      <c r="AS52" s="44"/>
      <c r="AT52" s="44"/>
      <c r="AU52" s="44"/>
      <c r="AV52" s="44"/>
      <c r="AW52" s="44"/>
      <c r="AX52" s="44"/>
    </row>
    <row r="53" spans="1:50" ht="39.9" customHeight="1" x14ac:dyDescent="0.3">
      <c r="A53" s="684" t="s">
        <v>674</v>
      </c>
      <c r="B53" s="676" t="s">
        <v>86</v>
      </c>
      <c r="C53" s="676" t="s">
        <v>670</v>
      </c>
      <c r="D53" s="707" t="s">
        <v>675</v>
      </c>
      <c r="E53" s="181" t="s">
        <v>661</v>
      </c>
      <c r="F53" s="302">
        <f>IF(F50=0,Thermostat!$B$16,Thermostat!$B$15)</f>
        <v>68</v>
      </c>
      <c r="G53" s="302">
        <f>IF(G50=0,Thermostat!$B$16,Thermostat!$B$15)</f>
        <v>68</v>
      </c>
      <c r="H53" s="302">
        <f>IF(H50=0,Thermostat!$B$16,Thermostat!$B$15)</f>
        <v>68</v>
      </c>
      <c r="I53" s="302">
        <f>IF(I50=0,Thermostat!$B$16,Thermostat!$B$15)</f>
        <v>68</v>
      </c>
      <c r="J53" s="302">
        <f>IF(J50=0,Thermostat!$B$16,Thermostat!$B$15)</f>
        <v>68</v>
      </c>
      <c r="K53" s="302">
        <f>IF(K50=0,Thermostat!$B$16,Thermostat!$B$15)</f>
        <v>68</v>
      </c>
      <c r="L53" s="302">
        <f>IF(L50=0,Thermostat!$B$16,Thermostat!$B$15)</f>
        <v>68</v>
      </c>
      <c r="M53" s="302">
        <f>IF(M50=0,Thermostat!$B$16,Thermostat!$B$15)</f>
        <v>68</v>
      </c>
      <c r="N53" s="302">
        <f>IF(N50=0,Thermostat!$B$16,Thermostat!$B$15)</f>
        <v>68</v>
      </c>
      <c r="O53" s="302">
        <f>IF(O50=0,Thermostat!$B$16,Thermostat!$B$15)</f>
        <v>68</v>
      </c>
      <c r="P53" s="302">
        <f>IF(P50=0,Thermostat!$B$16,Thermostat!$B$15)</f>
        <v>68</v>
      </c>
      <c r="Q53" s="302">
        <f>IF(Q50=0,Thermostat!$B$16,Thermostat!$B$15)</f>
        <v>68</v>
      </c>
      <c r="R53" s="302">
        <f>IF(R50=0,Thermostat!$B$16,Thermostat!$B$15)</f>
        <v>68</v>
      </c>
      <c r="S53" s="302">
        <f>IF(S50=0,Thermostat!$B$16,Thermostat!$B$15)</f>
        <v>68</v>
      </c>
      <c r="T53" s="302">
        <f>IF(T50=0,Thermostat!$B$16,Thermostat!$B$15)</f>
        <v>68</v>
      </c>
      <c r="U53" s="302">
        <f>IF(U50=0,Thermostat!$B$16,Thermostat!$B$15)</f>
        <v>68</v>
      </c>
      <c r="V53" s="302">
        <f>IF(V50=0,Thermostat!$B$16,Thermostat!$B$15)</f>
        <v>68</v>
      </c>
      <c r="W53" s="302">
        <f>IF(W50=0,Thermostat!$B$16,Thermostat!$B$15)</f>
        <v>68</v>
      </c>
      <c r="X53" s="302">
        <f>IF(X50=0,Thermostat!$B$16,Thermostat!$B$15)</f>
        <v>68</v>
      </c>
      <c r="Y53" s="302">
        <f>IF(Y50=0,Thermostat!$B$16,Thermostat!$B$15)</f>
        <v>68</v>
      </c>
      <c r="Z53" s="302">
        <f>IF(Z50=0,Thermostat!$B$16,Thermostat!$B$15)</f>
        <v>68</v>
      </c>
      <c r="AA53" s="302">
        <f>IF(AA50=0,Thermostat!$B$16,Thermostat!$B$15)</f>
        <v>68</v>
      </c>
      <c r="AB53" s="302">
        <f>IF(AB50=0,Thermostat!$B$16,Thermostat!$B$15)</f>
        <v>68</v>
      </c>
      <c r="AC53" s="303">
        <f>IF(AC50=0,Thermostat!$B$16,Thermostat!$B$15)</f>
        <v>68</v>
      </c>
      <c r="AE53" s="44"/>
      <c r="AF53" s="44"/>
      <c r="AG53" s="44"/>
      <c r="AH53" s="44"/>
      <c r="AI53" s="44"/>
      <c r="AJ53" s="44"/>
      <c r="AK53" s="44"/>
      <c r="AL53" s="44"/>
      <c r="AM53" s="44"/>
      <c r="AN53" s="44"/>
      <c r="AO53" s="44"/>
      <c r="AP53" s="44"/>
      <c r="AQ53" s="44"/>
      <c r="AR53" s="44"/>
      <c r="AS53" s="44"/>
      <c r="AT53" s="44"/>
      <c r="AU53" s="44"/>
      <c r="AV53" s="44"/>
      <c r="AW53" s="44"/>
      <c r="AX53" s="44"/>
    </row>
    <row r="54" spans="1:50" ht="39.9" customHeight="1" x14ac:dyDescent="0.3">
      <c r="A54" s="685"/>
      <c r="B54" s="677"/>
      <c r="C54" s="677"/>
      <c r="D54" s="708"/>
      <c r="E54" s="182" t="s">
        <v>662</v>
      </c>
      <c r="F54" s="304">
        <f>IF(F51=0,Thermostat!$B$16,Thermostat!$B$15)</f>
        <v>68</v>
      </c>
      <c r="G54" s="304">
        <f>IF(G51=0,Thermostat!$B$16,Thermostat!$B$15)</f>
        <v>68</v>
      </c>
      <c r="H54" s="304">
        <f>IF(H51=0,Thermostat!$B$16,Thermostat!$B$15)</f>
        <v>68</v>
      </c>
      <c r="I54" s="304">
        <f>IF(I51=0,Thermostat!$B$16,Thermostat!$B$15)</f>
        <v>68</v>
      </c>
      <c r="J54" s="304">
        <f>IF(J51=0,Thermostat!$B$16,Thermostat!$B$15)</f>
        <v>68</v>
      </c>
      <c r="K54" s="304">
        <f>IF(K51=0,Thermostat!$B$16,Thermostat!$B$15)</f>
        <v>68</v>
      </c>
      <c r="L54" s="304">
        <f>IF(L51=0,Thermostat!$B$16,Thermostat!$B$15)</f>
        <v>68</v>
      </c>
      <c r="M54" s="304">
        <f>IF(M51=0,Thermostat!$B$16,Thermostat!$B$15)</f>
        <v>68</v>
      </c>
      <c r="N54" s="304">
        <f>IF(N51=0,Thermostat!$B$16,Thermostat!$B$15)</f>
        <v>68</v>
      </c>
      <c r="O54" s="304">
        <f>IF(O51=0,Thermostat!$B$16,Thermostat!$B$15)</f>
        <v>68</v>
      </c>
      <c r="P54" s="304">
        <f>IF(P51=0,Thermostat!$B$16,Thermostat!$B$15)</f>
        <v>68</v>
      </c>
      <c r="Q54" s="304">
        <f>IF(Q51=0,Thermostat!$B$16,Thermostat!$B$15)</f>
        <v>68</v>
      </c>
      <c r="R54" s="304">
        <f>IF(R51=0,Thermostat!$B$16,Thermostat!$B$15)</f>
        <v>68</v>
      </c>
      <c r="S54" s="304">
        <f>IF(S51=0,Thermostat!$B$16,Thermostat!$B$15)</f>
        <v>68</v>
      </c>
      <c r="T54" s="304">
        <f>IF(T51=0,Thermostat!$B$16,Thermostat!$B$15)</f>
        <v>68</v>
      </c>
      <c r="U54" s="304">
        <f>IF(U51=0,Thermostat!$B$16,Thermostat!$B$15)</f>
        <v>68</v>
      </c>
      <c r="V54" s="304">
        <f>IF(V51=0,Thermostat!$B$16,Thermostat!$B$15)</f>
        <v>68</v>
      </c>
      <c r="W54" s="304">
        <f>IF(W51=0,Thermostat!$B$16,Thermostat!$B$15)</f>
        <v>68</v>
      </c>
      <c r="X54" s="304">
        <f>IF(X51=0,Thermostat!$B$16,Thermostat!$B$15)</f>
        <v>68</v>
      </c>
      <c r="Y54" s="304">
        <f>IF(Y51=0,Thermostat!$B$16,Thermostat!$B$15)</f>
        <v>68</v>
      </c>
      <c r="Z54" s="304">
        <f>IF(Z51=0,Thermostat!$B$16,Thermostat!$B$15)</f>
        <v>68</v>
      </c>
      <c r="AA54" s="304">
        <f>IF(AA51=0,Thermostat!$B$16,Thermostat!$B$15)</f>
        <v>68</v>
      </c>
      <c r="AB54" s="304">
        <f>IF(AB51=0,Thermostat!$B$16,Thermostat!$B$15)</f>
        <v>68</v>
      </c>
      <c r="AC54" s="305">
        <f>IF(AC51=0,Thermostat!$B$16,Thermostat!$B$15)</f>
        <v>68</v>
      </c>
      <c r="AE54" s="44"/>
      <c r="AF54" s="44"/>
      <c r="AG54" s="44"/>
      <c r="AH54" s="44"/>
      <c r="AI54" s="44"/>
      <c r="AJ54" s="44"/>
      <c r="AK54" s="44"/>
      <c r="AL54" s="44"/>
      <c r="AM54" s="44"/>
      <c r="AN54" s="44"/>
      <c r="AO54" s="44"/>
      <c r="AP54" s="44"/>
      <c r="AQ54" s="44"/>
      <c r="AR54" s="44"/>
      <c r="AS54" s="44"/>
      <c r="AT54" s="44"/>
      <c r="AU54" s="44"/>
      <c r="AV54" s="44"/>
      <c r="AW54" s="44"/>
      <c r="AX54" s="44"/>
    </row>
    <row r="55" spans="1:50" ht="39.9" customHeight="1" thickBot="1" x14ac:dyDescent="0.35">
      <c r="A55" s="686"/>
      <c r="B55" s="678"/>
      <c r="C55" s="678"/>
      <c r="D55" s="709"/>
      <c r="E55" s="184" t="s">
        <v>663</v>
      </c>
      <c r="F55" s="308">
        <f>IF(F52=0,Thermostat!$B$16,Thermostat!$B$15)</f>
        <v>68</v>
      </c>
      <c r="G55" s="308">
        <f>IF(G52=0,Thermostat!$B$16,Thermostat!$B$15)</f>
        <v>68</v>
      </c>
      <c r="H55" s="308">
        <f>IF(H52=0,Thermostat!$B$16,Thermostat!$B$15)</f>
        <v>68</v>
      </c>
      <c r="I55" s="308">
        <f>IF(I52=0,Thermostat!$B$16,Thermostat!$B$15)</f>
        <v>68</v>
      </c>
      <c r="J55" s="308">
        <f>IF(J52=0,Thermostat!$B$16,Thermostat!$B$15)</f>
        <v>68</v>
      </c>
      <c r="K55" s="308">
        <f>IF(K52=0,Thermostat!$B$16,Thermostat!$B$15)</f>
        <v>68</v>
      </c>
      <c r="L55" s="308">
        <f>IF(L52=0,Thermostat!$B$16,Thermostat!$B$15)</f>
        <v>68</v>
      </c>
      <c r="M55" s="308">
        <f>IF(M52=0,Thermostat!$B$16,Thermostat!$B$15)</f>
        <v>68</v>
      </c>
      <c r="N55" s="308">
        <f>IF(N52=0,Thermostat!$B$16,Thermostat!$B$15)</f>
        <v>68</v>
      </c>
      <c r="O55" s="308">
        <f>IF(O52=0,Thermostat!$B$16,Thermostat!$B$15)</f>
        <v>68</v>
      </c>
      <c r="P55" s="308">
        <f>IF(P52=0,Thermostat!$B$16,Thermostat!$B$15)</f>
        <v>68</v>
      </c>
      <c r="Q55" s="308">
        <f>IF(Q52=0,Thermostat!$B$16,Thermostat!$B$15)</f>
        <v>68</v>
      </c>
      <c r="R55" s="308">
        <f>IF(R52=0,Thermostat!$B$16,Thermostat!$B$15)</f>
        <v>68</v>
      </c>
      <c r="S55" s="308">
        <f>IF(S52=0,Thermostat!$B$16,Thermostat!$B$15)</f>
        <v>68</v>
      </c>
      <c r="T55" s="308">
        <f>IF(T52=0,Thermostat!$B$16,Thermostat!$B$15)</f>
        <v>68</v>
      </c>
      <c r="U55" s="308">
        <f>IF(U52=0,Thermostat!$B$16,Thermostat!$B$15)</f>
        <v>68</v>
      </c>
      <c r="V55" s="308">
        <f>IF(V52=0,Thermostat!$B$16,Thermostat!$B$15)</f>
        <v>68</v>
      </c>
      <c r="W55" s="308">
        <f>IF(W52=0,Thermostat!$B$16,Thermostat!$B$15)</f>
        <v>68</v>
      </c>
      <c r="X55" s="308">
        <f>IF(X52=0,Thermostat!$B$16,Thermostat!$B$15)</f>
        <v>68</v>
      </c>
      <c r="Y55" s="308">
        <f>IF(Y52=0,Thermostat!$B$16,Thermostat!$B$15)</f>
        <v>68</v>
      </c>
      <c r="Z55" s="308">
        <f>IF(Z52=0,Thermostat!$B$16,Thermostat!$B$15)</f>
        <v>68</v>
      </c>
      <c r="AA55" s="308">
        <f>IF(AA52=0,Thermostat!$B$16,Thermostat!$B$15)</f>
        <v>68</v>
      </c>
      <c r="AB55" s="308">
        <f>IF(AB52=0,Thermostat!$B$16,Thermostat!$B$15)</f>
        <v>68</v>
      </c>
      <c r="AC55" s="309">
        <f>IF(AC52=0,Thermostat!$B$16,Thermostat!$B$15)</f>
        <v>68</v>
      </c>
      <c r="AE55" s="44"/>
      <c r="AF55" s="44"/>
      <c r="AG55" s="44"/>
      <c r="AH55" s="44"/>
      <c r="AI55" s="44"/>
      <c r="AJ55" s="44"/>
      <c r="AK55" s="44"/>
      <c r="AL55" s="44"/>
      <c r="AM55" s="44"/>
      <c r="AN55" s="44"/>
      <c r="AO55" s="44"/>
      <c r="AP55" s="44"/>
      <c r="AQ55" s="44"/>
      <c r="AR55" s="44"/>
      <c r="AS55" s="44"/>
      <c r="AT55" s="44"/>
      <c r="AU55" s="44"/>
      <c r="AV55" s="44"/>
      <c r="AW55" s="44"/>
      <c r="AX55" s="44"/>
    </row>
    <row r="56" spans="1:50" ht="39.9" customHeight="1" x14ac:dyDescent="0.3">
      <c r="A56" s="684" t="s">
        <v>674</v>
      </c>
      <c r="B56" s="676" t="s">
        <v>86</v>
      </c>
      <c r="C56" s="676" t="s">
        <v>671</v>
      </c>
      <c r="D56" s="707" t="s">
        <v>675</v>
      </c>
      <c r="E56" s="181" t="s">
        <v>661</v>
      </c>
      <c r="F56" s="302">
        <f>IF(F50=0,Thermostat!$B$18,Thermostat!$B$17)</f>
        <v>78</v>
      </c>
      <c r="G56" s="302">
        <f>IF(G50=0,Thermostat!$B$18,Thermostat!$B$17)</f>
        <v>78</v>
      </c>
      <c r="H56" s="302">
        <f>IF(H50=0,Thermostat!$B$18,Thermostat!$B$17)</f>
        <v>78</v>
      </c>
      <c r="I56" s="302">
        <f>IF(I50=0,Thermostat!$B$18,Thermostat!$B$17)</f>
        <v>78</v>
      </c>
      <c r="J56" s="302">
        <f>IF(J50=0,Thermostat!$B$18,Thermostat!$B$17)</f>
        <v>78</v>
      </c>
      <c r="K56" s="302">
        <f>IF(K50=0,Thermostat!$B$18,Thermostat!$B$17)</f>
        <v>78</v>
      </c>
      <c r="L56" s="302">
        <f>IF(L50=0,Thermostat!$B$18,Thermostat!$B$17)</f>
        <v>78</v>
      </c>
      <c r="M56" s="302">
        <f>IF(M50=0,Thermostat!$B$18,Thermostat!$B$17)</f>
        <v>78</v>
      </c>
      <c r="N56" s="302">
        <f>IF(N50=0,Thermostat!$B$18,Thermostat!$B$17)</f>
        <v>78</v>
      </c>
      <c r="O56" s="302">
        <f>IF(O50=0,Thermostat!$B$18,Thermostat!$B$17)</f>
        <v>78</v>
      </c>
      <c r="P56" s="302">
        <f>IF(P50=0,Thermostat!$B$18,Thermostat!$B$17)</f>
        <v>78</v>
      </c>
      <c r="Q56" s="302">
        <f>IF(Q50=0,Thermostat!$B$18,Thermostat!$B$17)</f>
        <v>78</v>
      </c>
      <c r="R56" s="302">
        <f>IF(R50=0,Thermostat!$B$18,Thermostat!$B$17)</f>
        <v>78</v>
      </c>
      <c r="S56" s="302">
        <f>IF(S50=0,Thermostat!$B$18,Thermostat!$B$17)</f>
        <v>78</v>
      </c>
      <c r="T56" s="302">
        <f>IF(T50=0,Thermostat!$B$18,Thermostat!$B$17)</f>
        <v>78</v>
      </c>
      <c r="U56" s="302">
        <f>IF(U50=0,Thermostat!$B$18,Thermostat!$B$17)</f>
        <v>78</v>
      </c>
      <c r="V56" s="302">
        <f>IF(V50=0,Thermostat!$B$18,Thermostat!$B$17)</f>
        <v>78</v>
      </c>
      <c r="W56" s="302">
        <f>IF(W50=0,Thermostat!$B$18,Thermostat!$B$17)</f>
        <v>78</v>
      </c>
      <c r="X56" s="302">
        <f>IF(X50=0,Thermostat!$B$18,Thermostat!$B$17)</f>
        <v>78</v>
      </c>
      <c r="Y56" s="302">
        <f>IF(Y50=0,Thermostat!$B$18,Thermostat!$B$17)</f>
        <v>78</v>
      </c>
      <c r="Z56" s="302">
        <f>IF(Z50=0,Thermostat!$B$18,Thermostat!$B$17)</f>
        <v>78</v>
      </c>
      <c r="AA56" s="302">
        <f>IF(AA50=0,Thermostat!$B$18,Thermostat!$B$17)</f>
        <v>78</v>
      </c>
      <c r="AB56" s="302">
        <f>IF(AB50=0,Thermostat!$B$18,Thermostat!$B$17)</f>
        <v>78</v>
      </c>
      <c r="AC56" s="303">
        <f>IF(AC50=0,Thermostat!$B$18,Thermostat!$B$17)</f>
        <v>78</v>
      </c>
      <c r="AE56" s="44"/>
      <c r="AF56" s="44"/>
      <c r="AG56" s="44"/>
      <c r="AH56" s="44"/>
      <c r="AI56" s="44"/>
      <c r="AJ56" s="44"/>
      <c r="AK56" s="44"/>
      <c r="AL56" s="44"/>
      <c r="AM56" s="44"/>
      <c r="AN56" s="44"/>
      <c r="AO56" s="44"/>
      <c r="AP56" s="44"/>
      <c r="AQ56" s="44"/>
      <c r="AR56" s="44"/>
      <c r="AS56" s="44"/>
      <c r="AT56" s="44"/>
      <c r="AU56" s="44"/>
      <c r="AV56" s="44"/>
      <c r="AW56" s="44"/>
      <c r="AX56" s="44"/>
    </row>
    <row r="57" spans="1:50" ht="39.9" customHeight="1" x14ac:dyDescent="0.3">
      <c r="A57" s="685"/>
      <c r="B57" s="677"/>
      <c r="C57" s="677"/>
      <c r="D57" s="708"/>
      <c r="E57" s="182" t="s">
        <v>662</v>
      </c>
      <c r="F57" s="304">
        <f>IF(F51=0,Thermostat!$B$18,Thermostat!$B$17)</f>
        <v>78</v>
      </c>
      <c r="G57" s="304">
        <f>IF(G51=0,Thermostat!$B$18,Thermostat!$B$17)</f>
        <v>78</v>
      </c>
      <c r="H57" s="304">
        <f>IF(H51=0,Thermostat!$B$18,Thermostat!$B$17)</f>
        <v>78</v>
      </c>
      <c r="I57" s="304">
        <f>IF(I51=0,Thermostat!$B$18,Thermostat!$B$17)</f>
        <v>78</v>
      </c>
      <c r="J57" s="304">
        <f>IF(J51=0,Thermostat!$B$18,Thermostat!$B$17)</f>
        <v>78</v>
      </c>
      <c r="K57" s="304">
        <f>IF(K51=0,Thermostat!$B$18,Thermostat!$B$17)</f>
        <v>78</v>
      </c>
      <c r="L57" s="304">
        <f>IF(L51=0,Thermostat!$B$18,Thermostat!$B$17)</f>
        <v>78</v>
      </c>
      <c r="M57" s="304">
        <f>IF(M51=0,Thermostat!$B$18,Thermostat!$B$17)</f>
        <v>78</v>
      </c>
      <c r="N57" s="304">
        <f>IF(N51=0,Thermostat!$B$18,Thermostat!$B$17)</f>
        <v>78</v>
      </c>
      <c r="O57" s="304">
        <f>IF(O51=0,Thermostat!$B$18,Thermostat!$B$17)</f>
        <v>78</v>
      </c>
      <c r="P57" s="304">
        <f>IF(P51=0,Thermostat!$B$18,Thermostat!$B$17)</f>
        <v>78</v>
      </c>
      <c r="Q57" s="304">
        <f>IF(Q51=0,Thermostat!$B$18,Thermostat!$B$17)</f>
        <v>78</v>
      </c>
      <c r="R57" s="304">
        <f>IF(R51=0,Thermostat!$B$18,Thermostat!$B$17)</f>
        <v>78</v>
      </c>
      <c r="S57" s="304">
        <f>IF(S51=0,Thermostat!$B$18,Thermostat!$B$17)</f>
        <v>78</v>
      </c>
      <c r="T57" s="304">
        <f>IF(T51=0,Thermostat!$B$18,Thermostat!$B$17)</f>
        <v>78</v>
      </c>
      <c r="U57" s="304">
        <f>IF(U51=0,Thermostat!$B$18,Thermostat!$B$17)</f>
        <v>78</v>
      </c>
      <c r="V57" s="304">
        <f>IF(V51=0,Thermostat!$B$18,Thermostat!$B$17)</f>
        <v>78</v>
      </c>
      <c r="W57" s="304">
        <f>IF(W51=0,Thermostat!$B$18,Thermostat!$B$17)</f>
        <v>78</v>
      </c>
      <c r="X57" s="304">
        <f>IF(X51=0,Thermostat!$B$18,Thermostat!$B$17)</f>
        <v>78</v>
      </c>
      <c r="Y57" s="304">
        <f>IF(Y51=0,Thermostat!$B$18,Thermostat!$B$17)</f>
        <v>78</v>
      </c>
      <c r="Z57" s="304">
        <f>IF(Z51=0,Thermostat!$B$18,Thermostat!$B$17)</f>
        <v>78</v>
      </c>
      <c r="AA57" s="304">
        <f>IF(AA51=0,Thermostat!$B$18,Thermostat!$B$17)</f>
        <v>78</v>
      </c>
      <c r="AB57" s="304">
        <f>IF(AB51=0,Thermostat!$B$18,Thermostat!$B$17)</f>
        <v>78</v>
      </c>
      <c r="AC57" s="305">
        <f>IF(AC51=0,Thermostat!$B$18,Thermostat!$B$17)</f>
        <v>78</v>
      </c>
      <c r="AE57" s="44"/>
      <c r="AF57" s="44"/>
      <c r="AG57" s="44"/>
      <c r="AH57" s="44"/>
      <c r="AI57" s="44"/>
      <c r="AJ57" s="44"/>
      <c r="AK57" s="44"/>
      <c r="AL57" s="44"/>
      <c r="AM57" s="44"/>
      <c r="AN57" s="44"/>
      <c r="AO57" s="44"/>
      <c r="AP57" s="44"/>
      <c r="AQ57" s="44"/>
      <c r="AR57" s="44"/>
      <c r="AS57" s="44"/>
      <c r="AT57" s="44"/>
      <c r="AU57" s="44"/>
      <c r="AV57" s="44"/>
      <c r="AW57" s="44"/>
      <c r="AX57" s="44"/>
    </row>
    <row r="58" spans="1:50" ht="39.9" customHeight="1" thickBot="1" x14ac:dyDescent="0.35">
      <c r="A58" s="686"/>
      <c r="B58" s="678"/>
      <c r="C58" s="678"/>
      <c r="D58" s="709"/>
      <c r="E58" s="183" t="s">
        <v>663</v>
      </c>
      <c r="F58" s="306">
        <f>IF(F52=0,Thermostat!$B$18,Thermostat!$B$17)</f>
        <v>78</v>
      </c>
      <c r="G58" s="306">
        <f>IF(G52=0,Thermostat!$B$18,Thermostat!$B$17)</f>
        <v>78</v>
      </c>
      <c r="H58" s="306">
        <f>IF(H52=0,Thermostat!$B$18,Thermostat!$B$17)</f>
        <v>78</v>
      </c>
      <c r="I58" s="306">
        <f>IF(I52=0,Thermostat!$B$18,Thermostat!$B$17)</f>
        <v>78</v>
      </c>
      <c r="J58" s="306">
        <f>IF(J52=0,Thermostat!$B$18,Thermostat!$B$17)</f>
        <v>78</v>
      </c>
      <c r="K58" s="306">
        <f>IF(K52=0,Thermostat!$B$18,Thermostat!$B$17)</f>
        <v>78</v>
      </c>
      <c r="L58" s="306">
        <f>IF(L52=0,Thermostat!$B$18,Thermostat!$B$17)</f>
        <v>78</v>
      </c>
      <c r="M58" s="306">
        <f>IF(M52=0,Thermostat!$B$18,Thermostat!$B$17)</f>
        <v>78</v>
      </c>
      <c r="N58" s="306">
        <f>IF(N52=0,Thermostat!$B$18,Thermostat!$B$17)</f>
        <v>78</v>
      </c>
      <c r="O58" s="306">
        <f>IF(O52=0,Thermostat!$B$18,Thermostat!$B$17)</f>
        <v>78</v>
      </c>
      <c r="P58" s="306">
        <f>IF(P52=0,Thermostat!$B$18,Thermostat!$B$17)</f>
        <v>78</v>
      </c>
      <c r="Q58" s="306">
        <f>IF(Q52=0,Thermostat!$B$18,Thermostat!$B$17)</f>
        <v>78</v>
      </c>
      <c r="R58" s="306">
        <f>IF(R52=0,Thermostat!$B$18,Thermostat!$B$17)</f>
        <v>78</v>
      </c>
      <c r="S58" s="306">
        <f>IF(S52=0,Thermostat!$B$18,Thermostat!$B$17)</f>
        <v>78</v>
      </c>
      <c r="T58" s="306">
        <f>IF(T52=0,Thermostat!$B$18,Thermostat!$B$17)</f>
        <v>78</v>
      </c>
      <c r="U58" s="306">
        <f>IF(U52=0,Thermostat!$B$18,Thermostat!$B$17)</f>
        <v>78</v>
      </c>
      <c r="V58" s="306">
        <f>IF(V52=0,Thermostat!$B$18,Thermostat!$B$17)</f>
        <v>78</v>
      </c>
      <c r="W58" s="306">
        <f>IF(W52=0,Thermostat!$B$18,Thermostat!$B$17)</f>
        <v>78</v>
      </c>
      <c r="X58" s="306">
        <f>IF(X52=0,Thermostat!$B$18,Thermostat!$B$17)</f>
        <v>78</v>
      </c>
      <c r="Y58" s="306">
        <f>IF(Y52=0,Thermostat!$B$18,Thermostat!$B$17)</f>
        <v>78</v>
      </c>
      <c r="Z58" s="306">
        <f>IF(Z52=0,Thermostat!$B$18,Thermostat!$B$17)</f>
        <v>78</v>
      </c>
      <c r="AA58" s="306">
        <f>IF(AA52=0,Thermostat!$B$18,Thermostat!$B$17)</f>
        <v>78</v>
      </c>
      <c r="AB58" s="306">
        <f>IF(AB52=0,Thermostat!$B$18,Thermostat!$B$17)</f>
        <v>78</v>
      </c>
      <c r="AC58" s="307">
        <f>IF(AC52=0,Thermostat!$B$18,Thermostat!$B$17)</f>
        <v>78</v>
      </c>
      <c r="AE58" s="44"/>
      <c r="AF58" s="44"/>
      <c r="AG58" s="44"/>
      <c r="AH58" s="44"/>
      <c r="AI58" s="44"/>
      <c r="AJ58" s="44"/>
      <c r="AK58" s="44"/>
      <c r="AL58" s="44"/>
      <c r="AM58" s="44"/>
      <c r="AN58" s="44"/>
      <c r="AO58" s="44"/>
      <c r="AP58" s="44"/>
      <c r="AQ58" s="44"/>
      <c r="AR58" s="44"/>
      <c r="AS58" s="44"/>
      <c r="AT58" s="44"/>
      <c r="AU58" s="44"/>
      <c r="AV58" s="44"/>
      <c r="AW58" s="44"/>
      <c r="AX58" s="44"/>
    </row>
    <row r="59" spans="1:50" ht="39.9" customHeight="1" x14ac:dyDescent="0.3">
      <c r="A59" s="702" t="s">
        <v>674</v>
      </c>
      <c r="B59" s="679" t="s">
        <v>86</v>
      </c>
      <c r="C59" s="679" t="s">
        <v>265</v>
      </c>
      <c r="D59" s="710" t="s">
        <v>675</v>
      </c>
      <c r="E59" s="191" t="s">
        <v>661</v>
      </c>
      <c r="F59" s="192">
        <v>0.25</v>
      </c>
      <c r="G59" s="192">
        <v>0.25</v>
      </c>
      <c r="H59" s="192">
        <v>0.25</v>
      </c>
      <c r="I59" s="192">
        <v>0.25</v>
      </c>
      <c r="J59" s="192">
        <v>0.25</v>
      </c>
      <c r="K59" s="192">
        <v>0.25</v>
      </c>
      <c r="L59" s="192">
        <v>0.25</v>
      </c>
      <c r="M59" s="192">
        <v>0.25</v>
      </c>
      <c r="N59" s="192">
        <v>0.25</v>
      </c>
      <c r="O59" s="192">
        <v>0.25</v>
      </c>
      <c r="P59" s="192">
        <v>0.25</v>
      </c>
      <c r="Q59" s="192">
        <v>0.25</v>
      </c>
      <c r="R59" s="192">
        <v>0.25</v>
      </c>
      <c r="S59" s="192">
        <v>0.25</v>
      </c>
      <c r="T59" s="192">
        <v>0.25</v>
      </c>
      <c r="U59" s="192">
        <v>0.25</v>
      </c>
      <c r="V59" s="192">
        <v>0.25</v>
      </c>
      <c r="W59" s="192">
        <v>0.25</v>
      </c>
      <c r="X59" s="192">
        <v>0.25</v>
      </c>
      <c r="Y59" s="192">
        <v>0.25</v>
      </c>
      <c r="Z59" s="192">
        <v>0.25</v>
      </c>
      <c r="AA59" s="192">
        <v>0.25</v>
      </c>
      <c r="AB59" s="192">
        <v>0.25</v>
      </c>
      <c r="AC59" s="193">
        <v>0.25</v>
      </c>
      <c r="AE59" s="44"/>
      <c r="AF59" s="44"/>
      <c r="AG59" s="44"/>
      <c r="AH59" s="44"/>
      <c r="AI59" s="44"/>
      <c r="AJ59" s="44"/>
      <c r="AK59" s="44"/>
      <c r="AL59" s="44"/>
      <c r="AM59" s="44"/>
      <c r="AN59" s="44"/>
      <c r="AO59" s="44"/>
      <c r="AP59" s="44"/>
      <c r="AQ59" s="44"/>
      <c r="AR59" s="44"/>
      <c r="AS59" s="44"/>
      <c r="AT59" s="44"/>
      <c r="AU59" s="44"/>
      <c r="AV59" s="44"/>
      <c r="AW59" s="44"/>
      <c r="AX59" s="44"/>
    </row>
    <row r="60" spans="1:50" ht="39.9" customHeight="1" x14ac:dyDescent="0.3">
      <c r="A60" s="685"/>
      <c r="B60" s="677"/>
      <c r="C60" s="677"/>
      <c r="D60" s="708"/>
      <c r="E60" s="182" t="s">
        <v>662</v>
      </c>
      <c r="F60" s="147">
        <v>0.25</v>
      </c>
      <c r="G60" s="147">
        <v>0.25</v>
      </c>
      <c r="H60" s="147">
        <v>0.25</v>
      </c>
      <c r="I60" s="147">
        <v>0.25</v>
      </c>
      <c r="J60" s="147">
        <v>0.25</v>
      </c>
      <c r="K60" s="147">
        <v>0.25</v>
      </c>
      <c r="L60" s="147">
        <v>0.25</v>
      </c>
      <c r="M60" s="147">
        <v>0.25</v>
      </c>
      <c r="N60" s="147">
        <v>0.25</v>
      </c>
      <c r="O60" s="147">
        <v>0.25</v>
      </c>
      <c r="P60" s="147">
        <v>0.25</v>
      </c>
      <c r="Q60" s="147">
        <v>0.25</v>
      </c>
      <c r="R60" s="147">
        <v>0.25</v>
      </c>
      <c r="S60" s="147">
        <v>0.25</v>
      </c>
      <c r="T60" s="147">
        <v>0.25</v>
      </c>
      <c r="U60" s="147">
        <v>0.25</v>
      </c>
      <c r="V60" s="147">
        <v>0.25</v>
      </c>
      <c r="W60" s="147">
        <v>0.25</v>
      </c>
      <c r="X60" s="147">
        <v>0.25</v>
      </c>
      <c r="Y60" s="147">
        <v>0.25</v>
      </c>
      <c r="Z60" s="147">
        <v>0.25</v>
      </c>
      <c r="AA60" s="147">
        <v>0.25</v>
      </c>
      <c r="AB60" s="147">
        <v>0.25</v>
      </c>
      <c r="AC60" s="148">
        <v>0.25</v>
      </c>
      <c r="AE60" s="44"/>
      <c r="AF60" s="44"/>
      <c r="AG60" s="44"/>
      <c r="AH60" s="44"/>
      <c r="AI60" s="44"/>
      <c r="AJ60" s="44"/>
      <c r="AK60" s="44"/>
      <c r="AL60" s="44"/>
      <c r="AM60" s="44"/>
      <c r="AN60" s="44"/>
      <c r="AO60" s="44"/>
      <c r="AP60" s="44"/>
      <c r="AQ60" s="44"/>
      <c r="AR60" s="44"/>
      <c r="AS60" s="44"/>
      <c r="AT60" s="44"/>
      <c r="AU60" s="44"/>
      <c r="AV60" s="44"/>
      <c r="AW60" s="44"/>
      <c r="AX60" s="44"/>
    </row>
    <row r="61" spans="1:50" ht="39.9" customHeight="1" thickBot="1" x14ac:dyDescent="0.35">
      <c r="A61" s="703"/>
      <c r="B61" s="680"/>
      <c r="C61" s="680"/>
      <c r="D61" s="711"/>
      <c r="E61" s="183" t="s">
        <v>663</v>
      </c>
      <c r="F61" s="151">
        <v>0.25</v>
      </c>
      <c r="G61" s="151">
        <v>0.25</v>
      </c>
      <c r="H61" s="151">
        <v>0.25</v>
      </c>
      <c r="I61" s="151">
        <v>0.25</v>
      </c>
      <c r="J61" s="151">
        <v>0.25</v>
      </c>
      <c r="K61" s="151">
        <v>0.25</v>
      </c>
      <c r="L61" s="151">
        <v>0.25</v>
      </c>
      <c r="M61" s="151">
        <v>0.25</v>
      </c>
      <c r="N61" s="151">
        <v>0.25</v>
      </c>
      <c r="O61" s="151">
        <v>0.25</v>
      </c>
      <c r="P61" s="151">
        <v>0.25</v>
      </c>
      <c r="Q61" s="151">
        <v>0.25</v>
      </c>
      <c r="R61" s="151">
        <v>0.25</v>
      </c>
      <c r="S61" s="151">
        <v>0.25</v>
      </c>
      <c r="T61" s="151">
        <v>0.25</v>
      </c>
      <c r="U61" s="151">
        <v>0.25</v>
      </c>
      <c r="V61" s="151">
        <v>0.25</v>
      </c>
      <c r="W61" s="151">
        <v>0.25</v>
      </c>
      <c r="X61" s="151">
        <v>0.25</v>
      </c>
      <c r="Y61" s="151">
        <v>0.25</v>
      </c>
      <c r="Z61" s="151">
        <v>0.25</v>
      </c>
      <c r="AA61" s="151">
        <v>0.25</v>
      </c>
      <c r="AB61" s="151">
        <v>0.25</v>
      </c>
      <c r="AC61" s="152">
        <v>0.25</v>
      </c>
      <c r="AE61" s="44"/>
      <c r="AF61" s="44"/>
      <c r="AG61" s="44"/>
      <c r="AH61" s="44"/>
      <c r="AI61" s="44"/>
      <c r="AJ61" s="44"/>
      <c r="AK61" s="44"/>
      <c r="AL61" s="44"/>
      <c r="AM61" s="44"/>
      <c r="AN61" s="44"/>
      <c r="AO61" s="44"/>
      <c r="AP61" s="44"/>
      <c r="AQ61" s="44"/>
      <c r="AR61" s="44"/>
      <c r="AS61" s="44"/>
      <c r="AT61" s="44"/>
      <c r="AU61" s="44"/>
      <c r="AV61" s="44"/>
      <c r="AW61" s="44"/>
      <c r="AX61" s="44"/>
    </row>
    <row r="62" spans="1:50" ht="39.9" customHeight="1" x14ac:dyDescent="0.3">
      <c r="A62" s="684" t="s">
        <v>674</v>
      </c>
      <c r="B62" s="676" t="s">
        <v>86</v>
      </c>
      <c r="C62" s="676" t="s">
        <v>672</v>
      </c>
      <c r="D62" s="707" t="s">
        <v>675</v>
      </c>
      <c r="E62" s="181" t="s">
        <v>661</v>
      </c>
      <c r="F62" s="145">
        <v>0.9</v>
      </c>
      <c r="G62" s="145">
        <v>0.9</v>
      </c>
      <c r="H62" s="145">
        <v>0.9</v>
      </c>
      <c r="I62" s="145">
        <v>0.9</v>
      </c>
      <c r="J62" s="145">
        <v>0.9</v>
      </c>
      <c r="K62" s="145">
        <v>0.9</v>
      </c>
      <c r="L62" s="145">
        <v>0.9</v>
      </c>
      <c r="M62" s="145">
        <v>0.9</v>
      </c>
      <c r="N62" s="145">
        <v>0.9</v>
      </c>
      <c r="O62" s="145">
        <v>0.9</v>
      </c>
      <c r="P62" s="145">
        <v>0.9</v>
      </c>
      <c r="Q62" s="145">
        <v>0.9</v>
      </c>
      <c r="R62" s="145">
        <v>0.9</v>
      </c>
      <c r="S62" s="145">
        <v>0.9</v>
      </c>
      <c r="T62" s="145">
        <v>0.9</v>
      </c>
      <c r="U62" s="145">
        <v>0.9</v>
      </c>
      <c r="V62" s="145">
        <v>0.9</v>
      </c>
      <c r="W62" s="145">
        <v>0.9</v>
      </c>
      <c r="X62" s="145">
        <v>0.9</v>
      </c>
      <c r="Y62" s="145">
        <v>0.9</v>
      </c>
      <c r="Z62" s="145">
        <v>0.9</v>
      </c>
      <c r="AA62" s="145">
        <v>0.9</v>
      </c>
      <c r="AB62" s="145">
        <v>0.9</v>
      </c>
      <c r="AC62" s="146">
        <v>0.9</v>
      </c>
      <c r="AE62" s="44"/>
      <c r="AF62" s="44"/>
      <c r="AG62" s="44"/>
      <c r="AH62" s="44"/>
      <c r="AI62" s="44"/>
      <c r="AJ62" s="44"/>
      <c r="AK62" s="44"/>
      <c r="AL62" s="44"/>
      <c r="AM62" s="44"/>
      <c r="AN62" s="44"/>
      <c r="AO62" s="44"/>
      <c r="AP62" s="44"/>
      <c r="AQ62" s="44"/>
      <c r="AR62" s="44"/>
      <c r="AS62" s="44"/>
      <c r="AT62" s="44"/>
      <c r="AU62" s="44"/>
      <c r="AV62" s="44"/>
      <c r="AW62" s="44"/>
      <c r="AX62" s="44"/>
    </row>
    <row r="63" spans="1:50" ht="39.9" customHeight="1" x14ac:dyDescent="0.3">
      <c r="A63" s="685"/>
      <c r="B63" s="677"/>
      <c r="C63" s="677"/>
      <c r="D63" s="708"/>
      <c r="E63" s="182" t="s">
        <v>662</v>
      </c>
      <c r="F63" s="147">
        <v>0.9</v>
      </c>
      <c r="G63" s="147">
        <v>0.9</v>
      </c>
      <c r="H63" s="147">
        <v>0.9</v>
      </c>
      <c r="I63" s="147">
        <v>0.9</v>
      </c>
      <c r="J63" s="147">
        <v>0.9</v>
      </c>
      <c r="K63" s="147">
        <v>0.9</v>
      </c>
      <c r="L63" s="147">
        <v>0.9</v>
      </c>
      <c r="M63" s="147">
        <v>0.9</v>
      </c>
      <c r="N63" s="147">
        <v>0.9</v>
      </c>
      <c r="O63" s="147">
        <v>0.9</v>
      </c>
      <c r="P63" s="147">
        <v>0.9</v>
      </c>
      <c r="Q63" s="147">
        <v>0.9</v>
      </c>
      <c r="R63" s="147">
        <v>0.9</v>
      </c>
      <c r="S63" s="147">
        <v>0.9</v>
      </c>
      <c r="T63" s="147">
        <v>0.9</v>
      </c>
      <c r="U63" s="147">
        <v>0.9</v>
      </c>
      <c r="V63" s="147">
        <v>0.9</v>
      </c>
      <c r="W63" s="147">
        <v>0.9</v>
      </c>
      <c r="X63" s="147">
        <v>0.9</v>
      </c>
      <c r="Y63" s="147">
        <v>0.9</v>
      </c>
      <c r="Z63" s="147">
        <v>0.9</v>
      </c>
      <c r="AA63" s="147">
        <v>0.9</v>
      </c>
      <c r="AB63" s="147">
        <v>0.9</v>
      </c>
      <c r="AC63" s="148">
        <v>0.9</v>
      </c>
      <c r="AE63" s="44"/>
      <c r="AF63" s="44"/>
      <c r="AG63" s="44"/>
      <c r="AH63" s="44"/>
      <c r="AI63" s="44"/>
      <c r="AJ63" s="44"/>
      <c r="AK63" s="44"/>
      <c r="AL63" s="44"/>
      <c r="AM63" s="44"/>
      <c r="AN63" s="44"/>
      <c r="AO63" s="44"/>
      <c r="AP63" s="44"/>
      <c r="AQ63" s="44"/>
      <c r="AR63" s="44"/>
      <c r="AS63" s="44"/>
      <c r="AT63" s="44"/>
      <c r="AU63" s="44"/>
      <c r="AV63" s="44"/>
      <c r="AW63" s="44"/>
      <c r="AX63" s="44"/>
    </row>
    <row r="64" spans="1:50" ht="39.9" customHeight="1" thickBot="1" x14ac:dyDescent="0.35">
      <c r="A64" s="686"/>
      <c r="B64" s="678"/>
      <c r="C64" s="678"/>
      <c r="D64" s="709"/>
      <c r="E64" s="183" t="s">
        <v>663</v>
      </c>
      <c r="F64" s="149">
        <v>0.9</v>
      </c>
      <c r="G64" s="149">
        <v>0.9</v>
      </c>
      <c r="H64" s="149">
        <v>0.9</v>
      </c>
      <c r="I64" s="149">
        <v>0.9</v>
      </c>
      <c r="J64" s="149">
        <v>0.9</v>
      </c>
      <c r="K64" s="149">
        <v>0.9</v>
      </c>
      <c r="L64" s="149">
        <v>0.9</v>
      </c>
      <c r="M64" s="149">
        <v>0.9</v>
      </c>
      <c r="N64" s="149">
        <v>0.9</v>
      </c>
      <c r="O64" s="149">
        <v>0.9</v>
      </c>
      <c r="P64" s="149">
        <v>0.9</v>
      </c>
      <c r="Q64" s="149">
        <v>0.9</v>
      </c>
      <c r="R64" s="149">
        <v>0.9</v>
      </c>
      <c r="S64" s="149">
        <v>0.9</v>
      </c>
      <c r="T64" s="149">
        <v>0.9</v>
      </c>
      <c r="U64" s="149">
        <v>0.9</v>
      </c>
      <c r="V64" s="149">
        <v>0.9</v>
      </c>
      <c r="W64" s="149">
        <v>0.9</v>
      </c>
      <c r="X64" s="149">
        <v>0.9</v>
      </c>
      <c r="Y64" s="149">
        <v>0.9</v>
      </c>
      <c r="Z64" s="149">
        <v>0.9</v>
      </c>
      <c r="AA64" s="149">
        <v>0.9</v>
      </c>
      <c r="AB64" s="149">
        <v>0.9</v>
      </c>
      <c r="AC64" s="150">
        <v>0.9</v>
      </c>
      <c r="AE64" s="44"/>
      <c r="AF64" s="44"/>
      <c r="AG64" s="44"/>
      <c r="AH64" s="44"/>
      <c r="AI64" s="44"/>
      <c r="AJ64" s="44"/>
      <c r="AK64" s="44"/>
      <c r="AL64" s="44"/>
      <c r="AM64" s="44"/>
      <c r="AN64" s="44"/>
      <c r="AO64" s="44"/>
      <c r="AP64" s="44"/>
      <c r="AQ64" s="44"/>
      <c r="AR64" s="44"/>
      <c r="AS64" s="44"/>
      <c r="AT64" s="44"/>
      <c r="AU64" s="44"/>
      <c r="AV64" s="44"/>
      <c r="AW64" s="44"/>
      <c r="AX64" s="44"/>
    </row>
    <row r="65" spans="1:56" ht="29.25" customHeight="1" thickBot="1" x14ac:dyDescent="0.35">
      <c r="A65" s="726" t="s">
        <v>109</v>
      </c>
      <c r="B65" s="727"/>
      <c r="C65" s="727"/>
      <c r="D65" s="727"/>
      <c r="E65" s="727"/>
      <c r="F65" s="727"/>
      <c r="G65" s="727"/>
      <c r="H65" s="727"/>
      <c r="I65" s="727"/>
      <c r="J65" s="727"/>
      <c r="K65" s="727"/>
      <c r="L65" s="727"/>
      <c r="M65" s="727"/>
      <c r="N65" s="727"/>
      <c r="O65" s="727"/>
      <c r="P65" s="727"/>
      <c r="Q65" s="727"/>
      <c r="R65" s="727"/>
      <c r="S65" s="727"/>
      <c r="T65" s="727"/>
      <c r="U65" s="727"/>
      <c r="V65" s="727"/>
      <c r="W65" s="727"/>
      <c r="X65" s="727"/>
      <c r="Y65" s="727"/>
      <c r="Z65" s="727"/>
      <c r="AA65" s="727"/>
      <c r="AB65" s="727"/>
      <c r="AC65" s="728"/>
      <c r="AD65" s="44"/>
      <c r="AE65" s="44"/>
      <c r="AF65" s="44"/>
      <c r="AG65" s="44"/>
      <c r="AH65" s="44"/>
      <c r="AI65" s="44"/>
      <c r="AJ65" s="44"/>
      <c r="AK65" s="44"/>
      <c r="AL65" s="44"/>
      <c r="AM65" s="44"/>
      <c r="AN65" s="44"/>
      <c r="AO65" s="44"/>
      <c r="AP65" s="44"/>
      <c r="AQ65" s="44"/>
      <c r="AR65" s="44"/>
      <c r="AS65" s="44"/>
      <c r="AT65" s="44"/>
      <c r="AU65" s="44"/>
      <c r="AV65" s="44"/>
      <c r="AW65" s="44"/>
      <c r="AX65" s="44"/>
    </row>
    <row r="66" spans="1:56" ht="25.2" customHeight="1" x14ac:dyDescent="0.3">
      <c r="A66" s="716" t="s">
        <v>109</v>
      </c>
      <c r="B66" s="719" t="s">
        <v>109</v>
      </c>
      <c r="C66" s="722" t="s">
        <v>659</v>
      </c>
      <c r="D66" s="696" t="s">
        <v>676</v>
      </c>
      <c r="E66" s="181" t="s">
        <v>661</v>
      </c>
      <c r="F66" s="145">
        <v>0</v>
      </c>
      <c r="G66" s="145">
        <v>0</v>
      </c>
      <c r="H66" s="145">
        <v>0</v>
      </c>
      <c r="I66" s="145">
        <v>0</v>
      </c>
      <c r="J66" s="145">
        <v>0</v>
      </c>
      <c r="K66" s="145">
        <v>0</v>
      </c>
      <c r="L66" s="145">
        <v>0</v>
      </c>
      <c r="M66" s="145">
        <v>0.1</v>
      </c>
      <c r="N66" s="145">
        <v>0.2</v>
      </c>
      <c r="O66" s="145">
        <v>0.5</v>
      </c>
      <c r="P66" s="145">
        <v>0.5</v>
      </c>
      <c r="Q66" s="145">
        <v>0.7</v>
      </c>
      <c r="R66" s="145">
        <v>0.7</v>
      </c>
      <c r="S66" s="145">
        <v>0.7</v>
      </c>
      <c r="T66" s="145">
        <v>0.7</v>
      </c>
      <c r="U66" s="145">
        <v>0.8</v>
      </c>
      <c r="V66" s="145">
        <v>0.7</v>
      </c>
      <c r="W66" s="145">
        <v>0.5</v>
      </c>
      <c r="X66" s="145">
        <v>0.5</v>
      </c>
      <c r="Y66" s="145">
        <v>0.3</v>
      </c>
      <c r="Z66" s="145">
        <v>0.3</v>
      </c>
      <c r="AA66" s="145">
        <v>0</v>
      </c>
      <c r="AB66" s="145">
        <v>0</v>
      </c>
      <c r="AC66" s="146">
        <v>0</v>
      </c>
      <c r="AD66" s="44"/>
      <c r="AE66" s="44"/>
      <c r="AF66" s="44"/>
      <c r="AG66" s="44"/>
      <c r="AH66" s="44"/>
      <c r="AI66" s="44"/>
      <c r="AJ66" s="44"/>
      <c r="AK66" s="44"/>
      <c r="AL66" s="42"/>
      <c r="AM66" s="42"/>
      <c r="AN66" s="42"/>
      <c r="AO66" s="42"/>
      <c r="AP66" s="42"/>
      <c r="AQ66" s="42"/>
      <c r="AR66" s="42"/>
      <c r="AS66" s="42"/>
      <c r="AT66" s="42"/>
      <c r="AU66" s="42"/>
      <c r="AV66" s="42"/>
      <c r="AW66" s="42"/>
      <c r="AX66" s="42"/>
      <c r="AY66" s="42"/>
      <c r="AZ66" s="42"/>
      <c r="BA66" s="42"/>
      <c r="BB66" s="42"/>
      <c r="BC66" s="42"/>
      <c r="BD66" s="42"/>
    </row>
    <row r="67" spans="1:56" ht="33" customHeight="1" x14ac:dyDescent="0.3">
      <c r="A67" s="717"/>
      <c r="B67" s="720"/>
      <c r="C67" s="720"/>
      <c r="D67" s="697"/>
      <c r="E67" s="182" t="s">
        <v>662</v>
      </c>
      <c r="F67" s="147">
        <v>0</v>
      </c>
      <c r="G67" s="147">
        <v>0</v>
      </c>
      <c r="H67" s="147">
        <v>0</v>
      </c>
      <c r="I67" s="147">
        <v>0</v>
      </c>
      <c r="J67" s="147">
        <v>0</v>
      </c>
      <c r="K67" s="147">
        <v>0</v>
      </c>
      <c r="L67" s="147">
        <v>0</v>
      </c>
      <c r="M67" s="147">
        <v>0.1</v>
      </c>
      <c r="N67" s="147">
        <v>0.2</v>
      </c>
      <c r="O67" s="147">
        <v>0.5</v>
      </c>
      <c r="P67" s="147">
        <v>0.6</v>
      </c>
      <c r="Q67" s="147">
        <v>0.8</v>
      </c>
      <c r="R67" s="147">
        <v>0.8</v>
      </c>
      <c r="S67" s="147">
        <v>0.8</v>
      </c>
      <c r="T67" s="147">
        <v>0.8</v>
      </c>
      <c r="U67" s="147">
        <v>0.8</v>
      </c>
      <c r="V67" s="147">
        <v>0.8</v>
      </c>
      <c r="W67" s="147">
        <v>0.6</v>
      </c>
      <c r="X67" s="147">
        <v>0.2</v>
      </c>
      <c r="Y67" s="147">
        <v>0.2</v>
      </c>
      <c r="Z67" s="147">
        <v>0.2</v>
      </c>
      <c r="AA67" s="147">
        <v>0.1</v>
      </c>
      <c r="AB67" s="147">
        <v>0</v>
      </c>
      <c r="AC67" s="148">
        <v>0</v>
      </c>
      <c r="AD67" s="44"/>
      <c r="AE67" s="44"/>
      <c r="AF67" s="44"/>
      <c r="AG67" s="44"/>
      <c r="AH67" s="44"/>
      <c r="AI67" s="44"/>
      <c r="AJ67" s="44"/>
      <c r="AK67" s="44"/>
      <c r="AL67" s="42"/>
      <c r="AM67" s="42"/>
      <c r="AN67" s="42"/>
      <c r="AO67" s="42"/>
      <c r="AP67" s="42"/>
      <c r="AQ67" s="42"/>
      <c r="AR67" s="42"/>
      <c r="AS67" s="42"/>
      <c r="AT67" s="42"/>
      <c r="AU67" s="42"/>
      <c r="AV67" s="42"/>
      <c r="AW67" s="42"/>
      <c r="AX67" s="42"/>
      <c r="AY67" s="42"/>
      <c r="AZ67" s="42"/>
      <c r="BA67" s="42"/>
      <c r="BB67" s="42"/>
      <c r="BC67" s="42"/>
      <c r="BD67" s="42"/>
    </row>
    <row r="68" spans="1:56" ht="33" customHeight="1" thickBot="1" x14ac:dyDescent="0.35">
      <c r="A68" s="718"/>
      <c r="B68" s="721"/>
      <c r="C68" s="721"/>
      <c r="D68" s="698"/>
      <c r="E68" s="183" t="s">
        <v>663</v>
      </c>
      <c r="F68" s="149">
        <v>0</v>
      </c>
      <c r="G68" s="149">
        <v>0</v>
      </c>
      <c r="H68" s="149">
        <v>0</v>
      </c>
      <c r="I68" s="149">
        <v>0</v>
      </c>
      <c r="J68" s="149">
        <v>0</v>
      </c>
      <c r="K68" s="149">
        <v>0</v>
      </c>
      <c r="L68" s="149">
        <v>0</v>
      </c>
      <c r="M68" s="149">
        <v>0</v>
      </c>
      <c r="N68" s="149">
        <v>0</v>
      </c>
      <c r="O68" s="149">
        <v>0.1</v>
      </c>
      <c r="P68" s="149">
        <v>0.2</v>
      </c>
      <c r="Q68" s="149">
        <v>0.2</v>
      </c>
      <c r="R68" s="149">
        <v>0.4</v>
      </c>
      <c r="S68" s="149">
        <v>0.4</v>
      </c>
      <c r="T68" s="149">
        <v>0.4</v>
      </c>
      <c r="U68" s="149">
        <v>0.4</v>
      </c>
      <c r="V68" s="149">
        <v>0.4</v>
      </c>
      <c r="W68" s="149">
        <v>0.2</v>
      </c>
      <c r="X68" s="149">
        <v>0.1</v>
      </c>
      <c r="Y68" s="149">
        <v>0</v>
      </c>
      <c r="Z68" s="149">
        <v>0</v>
      </c>
      <c r="AA68" s="149">
        <v>0</v>
      </c>
      <c r="AB68" s="149">
        <v>0</v>
      </c>
      <c r="AC68" s="150">
        <v>0</v>
      </c>
      <c r="AD68" s="44"/>
      <c r="AE68" s="44"/>
      <c r="AF68" s="44"/>
      <c r="AG68" s="44"/>
      <c r="AH68" s="44"/>
      <c r="AI68" s="44"/>
      <c r="AJ68" s="44"/>
      <c r="AK68" s="44"/>
      <c r="AL68" s="42"/>
      <c r="AM68" s="42"/>
      <c r="AN68" s="42"/>
      <c r="AO68" s="42"/>
      <c r="AP68" s="42"/>
      <c r="AQ68" s="42"/>
      <c r="AR68" s="42"/>
      <c r="AS68" s="42"/>
      <c r="AT68" s="42"/>
      <c r="AU68" s="42"/>
      <c r="AV68" s="42"/>
      <c r="AW68" s="42"/>
      <c r="AX68" s="42"/>
      <c r="AY68" s="42"/>
      <c r="AZ68" s="42"/>
      <c r="BA68" s="42"/>
      <c r="BB68" s="42"/>
      <c r="BC68" s="42"/>
      <c r="BD68" s="42"/>
    </row>
    <row r="69" spans="1:56" ht="38.700000000000003" customHeight="1" x14ac:dyDescent="0.3">
      <c r="A69" s="687" t="str">
        <f>A66</f>
        <v>Retail</v>
      </c>
      <c r="B69" s="690" t="str">
        <f>B66</f>
        <v>Retail</v>
      </c>
      <c r="C69" s="690" t="s">
        <v>664</v>
      </c>
      <c r="D69" s="732" t="s">
        <v>676</v>
      </c>
      <c r="E69" s="261" t="s">
        <v>661</v>
      </c>
      <c r="F69" s="262">
        <v>0.05</v>
      </c>
      <c r="G69" s="221">
        <v>0.05</v>
      </c>
      <c r="H69" s="221">
        <v>0.05</v>
      </c>
      <c r="I69" s="221">
        <v>0.05</v>
      </c>
      <c r="J69" s="221">
        <v>0.05</v>
      </c>
      <c r="K69" s="221">
        <v>0.05</v>
      </c>
      <c r="L69" s="221">
        <v>0.05</v>
      </c>
      <c r="M69" s="221">
        <v>0.2</v>
      </c>
      <c r="N69" s="221">
        <v>0.5</v>
      </c>
      <c r="O69" s="221">
        <v>0.85</v>
      </c>
      <c r="P69" s="221">
        <v>0.85</v>
      </c>
      <c r="Q69" s="221">
        <v>0.85</v>
      </c>
      <c r="R69" s="221">
        <v>0.85</v>
      </c>
      <c r="S69" s="221">
        <v>0.85</v>
      </c>
      <c r="T69" s="221">
        <v>0.85</v>
      </c>
      <c r="U69" s="221">
        <v>0.85</v>
      </c>
      <c r="V69" s="221">
        <v>0.85</v>
      </c>
      <c r="W69" s="221">
        <v>0.85</v>
      </c>
      <c r="X69" s="221">
        <v>0.55000000000000004</v>
      </c>
      <c r="Y69" s="221">
        <v>0.55000000000000004</v>
      </c>
      <c r="Z69" s="221">
        <v>0.5</v>
      </c>
      <c r="AA69" s="221">
        <v>0.2</v>
      </c>
      <c r="AB69" s="221">
        <v>0.05</v>
      </c>
      <c r="AC69" s="222">
        <v>0.05</v>
      </c>
      <c r="AD69" s="44"/>
      <c r="AE69" s="44"/>
      <c r="AF69" s="44"/>
      <c r="AG69" s="44"/>
      <c r="AH69" s="44"/>
      <c r="AI69" s="44"/>
      <c r="AJ69" s="44"/>
      <c r="AK69" s="44"/>
      <c r="AL69" s="42"/>
      <c r="AM69" s="223"/>
      <c r="AN69" s="42"/>
      <c r="AO69" s="42"/>
      <c r="AP69" s="42"/>
      <c r="AQ69" s="42"/>
      <c r="AR69" s="42"/>
      <c r="AS69" s="42"/>
      <c r="AT69" s="42"/>
      <c r="AU69" s="42"/>
      <c r="AV69" s="42"/>
      <c r="AW69" s="42"/>
      <c r="AX69" s="42"/>
      <c r="AY69" s="42"/>
      <c r="AZ69" s="42"/>
      <c r="BA69" s="42"/>
      <c r="BB69" s="42"/>
      <c r="BC69" s="42"/>
      <c r="BD69" s="42"/>
    </row>
    <row r="70" spans="1:56" ht="38.700000000000003" customHeight="1" x14ac:dyDescent="0.3">
      <c r="A70" s="688"/>
      <c r="B70" s="691"/>
      <c r="C70" s="691"/>
      <c r="D70" s="733"/>
      <c r="E70" s="263" t="s">
        <v>662</v>
      </c>
      <c r="F70" s="264">
        <v>0.05</v>
      </c>
      <c r="G70" s="224">
        <v>0.05</v>
      </c>
      <c r="H70" s="224">
        <v>0.05</v>
      </c>
      <c r="I70" s="224">
        <v>0.05</v>
      </c>
      <c r="J70" s="224">
        <v>0.05</v>
      </c>
      <c r="K70" s="224">
        <v>0.05</v>
      </c>
      <c r="L70" s="224">
        <v>0.05</v>
      </c>
      <c r="M70" s="224">
        <v>0.1</v>
      </c>
      <c r="N70" s="224">
        <v>0.3</v>
      </c>
      <c r="O70" s="224">
        <v>0.55000000000000004</v>
      </c>
      <c r="P70" s="224">
        <v>0.85</v>
      </c>
      <c r="Q70" s="224">
        <v>0.85</v>
      </c>
      <c r="R70" s="224">
        <v>0.85</v>
      </c>
      <c r="S70" s="224">
        <v>0.85</v>
      </c>
      <c r="T70" s="224">
        <v>0.85</v>
      </c>
      <c r="U70" s="224">
        <v>0.85</v>
      </c>
      <c r="V70" s="224">
        <v>0.85</v>
      </c>
      <c r="W70" s="224">
        <v>0.85</v>
      </c>
      <c r="X70" s="224">
        <v>0.5</v>
      </c>
      <c r="Y70" s="224">
        <v>0.3</v>
      </c>
      <c r="Z70" s="224">
        <v>0.3</v>
      </c>
      <c r="AA70" s="224">
        <v>0.1</v>
      </c>
      <c r="AB70" s="224">
        <v>0.05</v>
      </c>
      <c r="AC70" s="225">
        <v>0.05</v>
      </c>
      <c r="AD70" s="44"/>
      <c r="AE70" s="44"/>
      <c r="AF70" s="44"/>
      <c r="AG70" s="44"/>
      <c r="AH70" s="44"/>
      <c r="AI70" s="44"/>
      <c r="AJ70" s="44"/>
      <c r="AK70" s="44"/>
      <c r="AL70" s="42"/>
      <c r="AM70" s="223"/>
      <c r="AN70" s="42"/>
      <c r="AO70" s="42"/>
      <c r="AP70" s="42"/>
      <c r="AQ70" s="42"/>
      <c r="AR70" s="42"/>
      <c r="AS70" s="42"/>
      <c r="AT70" s="42"/>
      <c r="AU70" s="42"/>
      <c r="AV70" s="42"/>
      <c r="AW70" s="42"/>
      <c r="AX70" s="42"/>
      <c r="AY70" s="42"/>
      <c r="AZ70" s="42"/>
      <c r="BA70" s="42"/>
      <c r="BB70" s="42"/>
      <c r="BC70" s="42"/>
      <c r="BD70" s="42"/>
    </row>
    <row r="71" spans="1:56" ht="38.700000000000003" customHeight="1" thickBot="1" x14ac:dyDescent="0.35">
      <c r="A71" s="689"/>
      <c r="B71" s="775"/>
      <c r="C71" s="775"/>
      <c r="D71" s="734"/>
      <c r="E71" s="265" t="s">
        <v>663</v>
      </c>
      <c r="F71" s="266">
        <v>0.05</v>
      </c>
      <c r="G71" s="226">
        <v>0.05</v>
      </c>
      <c r="H71" s="226">
        <v>0.05</v>
      </c>
      <c r="I71" s="226">
        <v>0.05</v>
      </c>
      <c r="J71" s="226">
        <v>0.05</v>
      </c>
      <c r="K71" s="226">
        <v>0.05</v>
      </c>
      <c r="L71" s="226">
        <v>0.05</v>
      </c>
      <c r="M71" s="226">
        <v>0.05</v>
      </c>
      <c r="N71" s="226">
        <v>0.1</v>
      </c>
      <c r="O71" s="226">
        <v>0.1</v>
      </c>
      <c r="P71" s="226">
        <v>0.4</v>
      </c>
      <c r="Q71" s="226">
        <v>0.4</v>
      </c>
      <c r="R71" s="226">
        <v>0.55000000000000004</v>
      </c>
      <c r="S71" s="226">
        <v>0.55000000000000004</v>
      </c>
      <c r="T71" s="226">
        <v>0.55000000000000004</v>
      </c>
      <c r="U71" s="226">
        <v>0.55000000000000004</v>
      </c>
      <c r="V71" s="226">
        <v>0.55000000000000004</v>
      </c>
      <c r="W71" s="226">
        <v>0.4</v>
      </c>
      <c r="X71" s="226">
        <v>0.2</v>
      </c>
      <c r="Y71" s="226">
        <v>0.05</v>
      </c>
      <c r="Z71" s="226">
        <v>0.05</v>
      </c>
      <c r="AA71" s="226">
        <v>0.05</v>
      </c>
      <c r="AB71" s="226">
        <v>0.05</v>
      </c>
      <c r="AC71" s="227">
        <v>0.05</v>
      </c>
      <c r="AD71" s="44"/>
      <c r="AE71" s="44"/>
      <c r="AF71" s="44"/>
      <c r="AG71" s="44"/>
      <c r="AH71" s="44"/>
      <c r="AI71" s="44"/>
      <c r="AJ71" s="44"/>
      <c r="AK71" s="44"/>
      <c r="AL71" s="42"/>
      <c r="AM71" s="223"/>
      <c r="AN71" s="42"/>
      <c r="AO71" s="42"/>
      <c r="AP71" s="42"/>
      <c r="AQ71" s="42"/>
      <c r="AR71" s="42"/>
      <c r="AS71" s="42"/>
      <c r="AT71" s="42"/>
      <c r="AU71" s="42"/>
      <c r="AV71" s="42"/>
      <c r="AW71" s="42"/>
      <c r="AX71" s="42"/>
      <c r="AY71" s="42"/>
      <c r="AZ71" s="42"/>
      <c r="BA71" s="42"/>
      <c r="BB71" s="42"/>
      <c r="BC71" s="42"/>
      <c r="BD71" s="42"/>
    </row>
    <row r="72" spans="1:56" ht="36" customHeight="1" x14ac:dyDescent="0.3">
      <c r="A72" s="687" t="str">
        <f>A66</f>
        <v>Retail</v>
      </c>
      <c r="B72" s="690" t="str">
        <f>B66</f>
        <v>Retail</v>
      </c>
      <c r="C72" s="748" t="s">
        <v>665</v>
      </c>
      <c r="D72" s="732" t="s">
        <v>677</v>
      </c>
      <c r="E72" s="267" t="s">
        <v>661</v>
      </c>
      <c r="F72" s="268">
        <v>0.4</v>
      </c>
      <c r="G72" s="228">
        <v>0.4</v>
      </c>
      <c r="H72" s="228">
        <v>0.4</v>
      </c>
      <c r="I72" s="228">
        <v>0.4</v>
      </c>
      <c r="J72" s="228">
        <v>0.4</v>
      </c>
      <c r="K72" s="228">
        <v>0.4</v>
      </c>
      <c r="L72" s="228">
        <v>0.6</v>
      </c>
      <c r="M72" s="228">
        <v>0.6</v>
      </c>
      <c r="N72" s="228">
        <v>0.9</v>
      </c>
      <c r="O72" s="228">
        <v>0.9</v>
      </c>
      <c r="P72" s="228">
        <v>0.9</v>
      </c>
      <c r="Q72" s="228">
        <v>0.9</v>
      </c>
      <c r="R72" s="228">
        <v>0.9</v>
      </c>
      <c r="S72" s="228">
        <v>0.9</v>
      </c>
      <c r="T72" s="228">
        <v>0.9</v>
      </c>
      <c r="U72" s="228">
        <v>0.9</v>
      </c>
      <c r="V72" s="228">
        <v>0.9</v>
      </c>
      <c r="W72" s="228">
        <v>0.9</v>
      </c>
      <c r="X72" s="228">
        <v>0.9</v>
      </c>
      <c r="Y72" s="228">
        <v>0.6</v>
      </c>
      <c r="Z72" s="228">
        <v>0.6</v>
      </c>
      <c r="AA72" s="228">
        <v>0.4</v>
      </c>
      <c r="AB72" s="228">
        <v>0.4</v>
      </c>
      <c r="AC72" s="229">
        <v>0.4</v>
      </c>
      <c r="AD72" s="220"/>
      <c r="AE72" s="44"/>
      <c r="AF72" s="44"/>
      <c r="AG72" s="44"/>
      <c r="AH72" s="44"/>
      <c r="AI72" s="44"/>
      <c r="AJ72" s="44"/>
      <c r="AK72" s="44"/>
      <c r="AL72" s="42"/>
      <c r="AM72" s="223"/>
      <c r="AN72" s="42"/>
      <c r="AO72" s="42"/>
      <c r="AP72" s="42"/>
      <c r="AQ72" s="42"/>
      <c r="AR72" s="42"/>
      <c r="AS72" s="42"/>
      <c r="AT72" s="42"/>
      <c r="AU72" s="42"/>
      <c r="AV72" s="42"/>
      <c r="AW72" s="42"/>
      <c r="AX72" s="42"/>
      <c r="AY72" s="42"/>
      <c r="AZ72" s="42"/>
      <c r="BA72" s="42"/>
      <c r="BB72" s="42"/>
      <c r="BC72" s="42"/>
      <c r="BD72" s="42"/>
    </row>
    <row r="73" spans="1:56" ht="36" customHeight="1" x14ac:dyDescent="0.3">
      <c r="A73" s="688"/>
      <c r="B73" s="691"/>
      <c r="C73" s="776"/>
      <c r="D73" s="733"/>
      <c r="E73" s="263" t="s">
        <v>662</v>
      </c>
      <c r="F73" s="269">
        <v>0.4</v>
      </c>
      <c r="G73" s="147">
        <v>0.4</v>
      </c>
      <c r="H73" s="147">
        <v>0.4</v>
      </c>
      <c r="I73" s="147">
        <v>0.4</v>
      </c>
      <c r="J73" s="147">
        <v>0.4</v>
      </c>
      <c r="K73" s="147">
        <v>0.4</v>
      </c>
      <c r="L73" s="147">
        <v>0.6</v>
      </c>
      <c r="M73" s="147">
        <v>0.6</v>
      </c>
      <c r="N73" s="147">
        <v>0.9</v>
      </c>
      <c r="O73" s="147">
        <v>0.9</v>
      </c>
      <c r="P73" s="147">
        <v>0.9</v>
      </c>
      <c r="Q73" s="147">
        <v>0.9</v>
      </c>
      <c r="R73" s="147">
        <v>0.9</v>
      </c>
      <c r="S73" s="147">
        <v>0.9</v>
      </c>
      <c r="T73" s="147">
        <v>0.9</v>
      </c>
      <c r="U73" s="147">
        <v>0.9</v>
      </c>
      <c r="V73" s="147">
        <v>0.9</v>
      </c>
      <c r="W73" s="147">
        <v>0.9</v>
      </c>
      <c r="X73" s="147">
        <v>0.9</v>
      </c>
      <c r="Y73" s="367">
        <v>0.9</v>
      </c>
      <c r="Z73" s="147">
        <v>0.6</v>
      </c>
      <c r="AA73" s="367">
        <v>0.6</v>
      </c>
      <c r="AB73" s="147">
        <v>0.4</v>
      </c>
      <c r="AC73" s="230">
        <v>0.4</v>
      </c>
      <c r="AD73" s="220"/>
      <c r="AE73" s="44"/>
      <c r="AF73" s="44"/>
      <c r="AG73" s="44"/>
      <c r="AH73" s="44"/>
      <c r="AI73" s="44"/>
      <c r="AJ73" s="44"/>
      <c r="AK73" s="44"/>
      <c r="AL73" s="42"/>
      <c r="AM73" s="223"/>
      <c r="AN73" s="42"/>
      <c r="AO73" s="42"/>
      <c r="AP73" s="42"/>
      <c r="AQ73" s="42"/>
      <c r="AR73" s="42"/>
      <c r="AS73" s="42"/>
      <c r="AT73" s="42"/>
      <c r="AU73" s="42"/>
      <c r="AV73" s="42"/>
      <c r="AW73" s="42"/>
      <c r="AX73" s="42"/>
      <c r="AY73" s="42"/>
      <c r="AZ73" s="42"/>
      <c r="BA73" s="42"/>
      <c r="BB73" s="42"/>
      <c r="BC73" s="42"/>
      <c r="BD73" s="42"/>
    </row>
    <row r="74" spans="1:56" ht="36" customHeight="1" thickBot="1" x14ac:dyDescent="0.35">
      <c r="A74" s="689"/>
      <c r="B74" s="692"/>
      <c r="C74" s="777"/>
      <c r="D74" s="778"/>
      <c r="E74" s="265" t="s">
        <v>663</v>
      </c>
      <c r="F74" s="270">
        <v>0.4</v>
      </c>
      <c r="G74" s="151">
        <v>0.4</v>
      </c>
      <c r="H74" s="151">
        <v>0.4</v>
      </c>
      <c r="I74" s="151">
        <v>0.4</v>
      </c>
      <c r="J74" s="151">
        <v>0.4</v>
      </c>
      <c r="K74" s="151">
        <v>0.4</v>
      </c>
      <c r="L74" s="151">
        <v>0.4</v>
      </c>
      <c r="M74" s="151">
        <v>0.4</v>
      </c>
      <c r="N74" s="151">
        <v>0.6</v>
      </c>
      <c r="O74" s="151">
        <v>0.6</v>
      </c>
      <c r="P74" s="151">
        <v>0.6</v>
      </c>
      <c r="Q74" s="151">
        <v>0.9</v>
      </c>
      <c r="R74" s="151">
        <v>0.9</v>
      </c>
      <c r="S74" s="151">
        <v>0.9</v>
      </c>
      <c r="T74" s="151">
        <v>0.9</v>
      </c>
      <c r="U74" s="151">
        <v>0.9</v>
      </c>
      <c r="V74" s="151">
        <v>0.9</v>
      </c>
      <c r="W74" s="151">
        <v>0.6</v>
      </c>
      <c r="X74" s="151">
        <v>0.6</v>
      </c>
      <c r="Y74" s="151">
        <v>0.4</v>
      </c>
      <c r="Z74" s="151">
        <v>0.4</v>
      </c>
      <c r="AA74" s="151">
        <v>0.4</v>
      </c>
      <c r="AB74" s="151">
        <v>0.4</v>
      </c>
      <c r="AC74" s="231">
        <v>0.4</v>
      </c>
      <c r="AD74" s="220"/>
      <c r="AE74" s="44"/>
      <c r="AF74" s="44"/>
      <c r="AG74" s="44"/>
      <c r="AH74" s="44"/>
      <c r="AI74" s="44"/>
      <c r="AJ74" s="44"/>
      <c r="AK74" s="44"/>
      <c r="AL74" s="42"/>
      <c r="AM74" s="223"/>
      <c r="AN74" s="42"/>
      <c r="AO74" s="42"/>
      <c r="AP74" s="42"/>
      <c r="AQ74" s="42"/>
      <c r="AR74" s="42"/>
      <c r="AS74" s="42"/>
      <c r="AT74" s="42"/>
      <c r="AU74" s="42"/>
      <c r="AV74" s="42"/>
      <c r="AW74" s="42"/>
      <c r="AX74" s="42"/>
      <c r="AY74" s="42"/>
      <c r="AZ74" s="42"/>
      <c r="BA74" s="42"/>
      <c r="BB74" s="42"/>
      <c r="BC74" s="42"/>
      <c r="BD74" s="42"/>
    </row>
    <row r="75" spans="1:56" ht="26.4" customHeight="1" x14ac:dyDescent="0.3">
      <c r="A75" s="687" t="str">
        <f t="shared" ref="A75:B75" si="0">A69</f>
        <v>Retail</v>
      </c>
      <c r="B75" s="690" t="str">
        <f t="shared" si="0"/>
        <v>Retail</v>
      </c>
      <c r="C75" s="748" t="s">
        <v>666</v>
      </c>
      <c r="D75" s="732" t="s">
        <v>676</v>
      </c>
      <c r="E75" s="271" t="s">
        <v>661</v>
      </c>
      <c r="F75" s="272">
        <v>0</v>
      </c>
      <c r="G75" s="233">
        <v>0</v>
      </c>
      <c r="H75" s="233">
        <v>0</v>
      </c>
      <c r="I75" s="233">
        <v>0</v>
      </c>
      <c r="J75" s="233">
        <v>0</v>
      </c>
      <c r="K75" s="233">
        <v>0</v>
      </c>
      <c r="L75" s="233">
        <v>1</v>
      </c>
      <c r="M75" s="233">
        <v>1</v>
      </c>
      <c r="N75" s="233">
        <v>1</v>
      </c>
      <c r="O75" s="233">
        <v>1</v>
      </c>
      <c r="P75" s="233">
        <v>1</v>
      </c>
      <c r="Q75" s="233">
        <v>1</v>
      </c>
      <c r="R75" s="233">
        <v>1</v>
      </c>
      <c r="S75" s="233">
        <v>1</v>
      </c>
      <c r="T75" s="233">
        <v>1</v>
      </c>
      <c r="U75" s="233">
        <v>1</v>
      </c>
      <c r="V75" s="233">
        <v>1</v>
      </c>
      <c r="W75" s="233">
        <v>1</v>
      </c>
      <c r="X75" s="233">
        <v>1</v>
      </c>
      <c r="Y75" s="233">
        <v>1</v>
      </c>
      <c r="Z75" s="233">
        <v>1</v>
      </c>
      <c r="AA75" s="233">
        <v>0</v>
      </c>
      <c r="AB75" s="233">
        <v>0</v>
      </c>
      <c r="AC75" s="234">
        <v>0</v>
      </c>
      <c r="AD75" s="42"/>
      <c r="AE75" s="42"/>
      <c r="AL75" s="42"/>
      <c r="AM75" s="42"/>
      <c r="AN75" s="42"/>
      <c r="AO75" s="42"/>
      <c r="AP75" s="42"/>
      <c r="AQ75" s="42"/>
      <c r="AR75" s="42"/>
      <c r="AS75" s="42"/>
      <c r="AT75" s="42"/>
      <c r="AU75" s="42"/>
      <c r="AV75" s="42"/>
      <c r="AW75" s="42"/>
      <c r="AX75" s="42"/>
      <c r="AY75" s="42"/>
      <c r="AZ75" s="42"/>
      <c r="BA75" s="42"/>
      <c r="BB75" s="42"/>
      <c r="BC75" s="42"/>
      <c r="BD75" s="42"/>
    </row>
    <row r="76" spans="1:56" ht="26.4" customHeight="1" x14ac:dyDescent="0.3">
      <c r="A76" s="688"/>
      <c r="B76" s="691"/>
      <c r="C76" s="776"/>
      <c r="D76" s="733"/>
      <c r="E76" s="273" t="s">
        <v>662</v>
      </c>
      <c r="F76" s="274">
        <v>0</v>
      </c>
      <c r="G76" s="236">
        <v>0</v>
      </c>
      <c r="H76" s="236">
        <v>0</v>
      </c>
      <c r="I76" s="236">
        <v>0</v>
      </c>
      <c r="J76" s="236">
        <v>0</v>
      </c>
      <c r="K76" s="236">
        <v>0</v>
      </c>
      <c r="L76" s="236">
        <v>1</v>
      </c>
      <c r="M76" s="236">
        <v>1</v>
      </c>
      <c r="N76" s="236">
        <v>1</v>
      </c>
      <c r="O76" s="236">
        <v>1</v>
      </c>
      <c r="P76" s="236">
        <v>1</v>
      </c>
      <c r="Q76" s="236">
        <v>1</v>
      </c>
      <c r="R76" s="236">
        <v>1</v>
      </c>
      <c r="S76" s="236">
        <v>1</v>
      </c>
      <c r="T76" s="236">
        <v>1</v>
      </c>
      <c r="U76" s="236">
        <v>1</v>
      </c>
      <c r="V76" s="236">
        <v>1</v>
      </c>
      <c r="W76" s="236">
        <v>1</v>
      </c>
      <c r="X76" s="236">
        <v>1</v>
      </c>
      <c r="Y76" s="236">
        <v>1</v>
      </c>
      <c r="Z76" s="236">
        <v>1</v>
      </c>
      <c r="AA76" s="236">
        <v>1</v>
      </c>
      <c r="AB76" s="236">
        <v>0</v>
      </c>
      <c r="AC76" s="237">
        <v>0</v>
      </c>
      <c r="AD76" s="42"/>
      <c r="AE76" s="42"/>
      <c r="AL76" s="42"/>
      <c r="AM76" s="42"/>
      <c r="AN76" s="42"/>
      <c r="AO76" s="42"/>
      <c r="AP76" s="42"/>
      <c r="AQ76" s="42"/>
      <c r="AR76" s="42"/>
      <c r="AS76" s="42"/>
      <c r="AT76" s="42"/>
      <c r="AU76" s="42"/>
      <c r="AV76" s="42"/>
      <c r="AW76" s="42"/>
      <c r="AX76" s="42"/>
      <c r="AY76" s="42"/>
      <c r="AZ76" s="42"/>
      <c r="BA76" s="42"/>
      <c r="BB76" s="42"/>
      <c r="BC76" s="42"/>
      <c r="BD76" s="42"/>
    </row>
    <row r="77" spans="1:56" ht="26.4" customHeight="1" thickBot="1" x14ac:dyDescent="0.35">
      <c r="A77" s="689"/>
      <c r="B77" s="692"/>
      <c r="C77" s="779"/>
      <c r="D77" s="734"/>
      <c r="E77" s="275" t="s">
        <v>663</v>
      </c>
      <c r="F77" s="276">
        <v>0</v>
      </c>
      <c r="G77" s="239">
        <v>0</v>
      </c>
      <c r="H77" s="239">
        <v>0</v>
      </c>
      <c r="I77" s="239">
        <v>0</v>
      </c>
      <c r="J77" s="239">
        <v>0</v>
      </c>
      <c r="K77" s="239">
        <v>0</v>
      </c>
      <c r="L77" s="239">
        <v>0</v>
      </c>
      <c r="M77" s="239">
        <v>0</v>
      </c>
      <c r="N77" s="239">
        <v>1</v>
      </c>
      <c r="O77" s="239">
        <v>1</v>
      </c>
      <c r="P77" s="239">
        <v>1</v>
      </c>
      <c r="Q77" s="239">
        <v>1</v>
      </c>
      <c r="R77" s="239">
        <v>1</v>
      </c>
      <c r="S77" s="239">
        <v>1</v>
      </c>
      <c r="T77" s="239">
        <v>1</v>
      </c>
      <c r="U77" s="239">
        <v>1</v>
      </c>
      <c r="V77" s="239">
        <v>1</v>
      </c>
      <c r="W77" s="239">
        <v>1</v>
      </c>
      <c r="X77" s="239">
        <v>1</v>
      </c>
      <c r="Y77" s="239">
        <v>0</v>
      </c>
      <c r="Z77" s="239">
        <v>0</v>
      </c>
      <c r="AA77" s="239">
        <v>0</v>
      </c>
      <c r="AB77" s="239">
        <v>0</v>
      </c>
      <c r="AC77" s="240">
        <v>0</v>
      </c>
      <c r="AD77" s="42"/>
      <c r="AE77" s="42"/>
      <c r="AL77" s="42"/>
      <c r="AM77" s="42"/>
      <c r="AN77" s="42"/>
      <c r="AO77" s="42"/>
      <c r="AP77" s="42"/>
      <c r="AQ77" s="42"/>
      <c r="AR77" s="42"/>
      <c r="AS77" s="42"/>
      <c r="AT77" s="42"/>
      <c r="AU77" s="42"/>
      <c r="AV77" s="42"/>
      <c r="AW77" s="42"/>
      <c r="AX77" s="42"/>
      <c r="AY77" s="42"/>
      <c r="AZ77" s="42"/>
      <c r="BA77" s="42"/>
      <c r="BB77" s="42"/>
      <c r="BC77" s="42"/>
      <c r="BD77" s="42"/>
    </row>
    <row r="78" spans="1:56" ht="26.4" customHeight="1" x14ac:dyDescent="0.3">
      <c r="A78" s="687" t="str">
        <f t="shared" ref="A78:B78" si="1">A72</f>
        <v>Retail</v>
      </c>
      <c r="B78" s="690" t="str">
        <f t="shared" si="1"/>
        <v>Retail</v>
      </c>
      <c r="C78" s="730" t="s">
        <v>668</v>
      </c>
      <c r="D78" s="732" t="s">
        <v>676</v>
      </c>
      <c r="E78" s="271" t="s">
        <v>661</v>
      </c>
      <c r="F78" s="272">
        <v>0.04</v>
      </c>
      <c r="G78" s="233">
        <v>0.05</v>
      </c>
      <c r="H78" s="233">
        <v>0.05</v>
      </c>
      <c r="I78" s="233">
        <v>0.04</v>
      </c>
      <c r="J78" s="233">
        <v>0.04</v>
      </c>
      <c r="K78" s="233">
        <v>0.04</v>
      </c>
      <c r="L78" s="233">
        <v>0.04</v>
      </c>
      <c r="M78" s="233">
        <v>0.15</v>
      </c>
      <c r="N78" s="233">
        <v>0.23</v>
      </c>
      <c r="O78" s="233">
        <v>0.32</v>
      </c>
      <c r="P78" s="233">
        <v>0.41</v>
      </c>
      <c r="Q78" s="233">
        <v>0.56999999999999995</v>
      </c>
      <c r="R78" s="233">
        <v>0.62</v>
      </c>
      <c r="S78" s="233">
        <v>0.61</v>
      </c>
      <c r="T78" s="233">
        <v>0.5</v>
      </c>
      <c r="U78" s="233">
        <v>0.45</v>
      </c>
      <c r="V78" s="233">
        <v>0.46</v>
      </c>
      <c r="W78" s="233">
        <v>0.47</v>
      </c>
      <c r="X78" s="233">
        <v>0.42</v>
      </c>
      <c r="Y78" s="233">
        <v>0.34</v>
      </c>
      <c r="Z78" s="233">
        <v>0.33</v>
      </c>
      <c r="AA78" s="233">
        <v>0.23</v>
      </c>
      <c r="AB78" s="233">
        <v>0.13</v>
      </c>
      <c r="AC78" s="234">
        <v>0.08</v>
      </c>
      <c r="AD78" s="42"/>
      <c r="AE78" s="42"/>
      <c r="AL78" s="42"/>
      <c r="AM78" s="42"/>
      <c r="AN78" s="42"/>
      <c r="AO78" s="42"/>
      <c r="AP78" s="42"/>
      <c r="AQ78" s="42"/>
      <c r="AR78" s="42"/>
      <c r="AS78" s="42"/>
      <c r="AT78" s="42"/>
      <c r="AU78" s="42"/>
      <c r="AV78" s="42"/>
      <c r="AW78" s="42"/>
      <c r="AX78" s="42"/>
      <c r="AY78" s="42"/>
      <c r="AZ78" s="42"/>
      <c r="BA78" s="42"/>
      <c r="BB78" s="42"/>
      <c r="BC78" s="42"/>
      <c r="BD78" s="42"/>
    </row>
    <row r="79" spans="1:56" ht="26.4" customHeight="1" x14ac:dyDescent="0.3">
      <c r="A79" s="688"/>
      <c r="B79" s="691"/>
      <c r="C79" s="730"/>
      <c r="D79" s="733"/>
      <c r="E79" s="273" t="s">
        <v>662</v>
      </c>
      <c r="F79" s="274">
        <v>0.11</v>
      </c>
      <c r="G79" s="236">
        <v>0.1</v>
      </c>
      <c r="H79" s="236">
        <v>0.08</v>
      </c>
      <c r="I79" s="236">
        <v>0.06</v>
      </c>
      <c r="J79" s="236">
        <v>0.06</v>
      </c>
      <c r="K79" s="236">
        <v>0.06</v>
      </c>
      <c r="L79" s="236">
        <v>7.0000000000000007E-2</v>
      </c>
      <c r="M79" s="236">
        <v>0.2</v>
      </c>
      <c r="N79" s="236">
        <v>0.24</v>
      </c>
      <c r="O79" s="236">
        <v>0.27</v>
      </c>
      <c r="P79" s="236">
        <v>0.42</v>
      </c>
      <c r="Q79" s="236">
        <v>0.54</v>
      </c>
      <c r="R79" s="236">
        <v>0.59</v>
      </c>
      <c r="S79" s="236">
        <v>0.6</v>
      </c>
      <c r="T79" s="236">
        <v>0.49</v>
      </c>
      <c r="U79" s="236">
        <v>0.48</v>
      </c>
      <c r="V79" s="236">
        <v>0.47</v>
      </c>
      <c r="W79" s="236">
        <v>0.46</v>
      </c>
      <c r="X79" s="236">
        <v>0.44</v>
      </c>
      <c r="Y79" s="236">
        <v>0.36</v>
      </c>
      <c r="Z79" s="236">
        <v>0.28999999999999998</v>
      </c>
      <c r="AA79" s="236">
        <v>0.22</v>
      </c>
      <c r="AB79" s="236">
        <v>0.16</v>
      </c>
      <c r="AC79" s="237">
        <v>0.13</v>
      </c>
      <c r="AD79" s="42"/>
      <c r="AE79" s="42"/>
      <c r="AL79" s="42"/>
      <c r="AM79" s="42"/>
      <c r="AN79" s="42"/>
      <c r="AO79" s="42"/>
      <c r="AP79" s="42"/>
      <c r="AQ79" s="42"/>
      <c r="AR79" s="42"/>
      <c r="AS79" s="42"/>
      <c r="AT79" s="42"/>
      <c r="AU79" s="42"/>
      <c r="AV79" s="42"/>
      <c r="AW79" s="42"/>
      <c r="AX79" s="42"/>
      <c r="AY79" s="42"/>
      <c r="AZ79" s="42"/>
      <c r="BA79" s="42"/>
      <c r="BB79" s="42"/>
      <c r="BC79" s="42"/>
      <c r="BD79" s="42"/>
    </row>
    <row r="80" spans="1:56" ht="26.4" customHeight="1" thickBot="1" x14ac:dyDescent="0.35">
      <c r="A80" s="689"/>
      <c r="B80" s="692"/>
      <c r="C80" s="730"/>
      <c r="D80" s="734"/>
      <c r="E80" s="275" t="s">
        <v>663</v>
      </c>
      <c r="F80" s="276">
        <v>7.0000000000000007E-2</v>
      </c>
      <c r="G80" s="239">
        <v>7.0000000000000007E-2</v>
      </c>
      <c r="H80" s="239">
        <v>7.0000000000000007E-2</v>
      </c>
      <c r="I80" s="239">
        <v>0.06</v>
      </c>
      <c r="J80" s="239">
        <v>0.06</v>
      </c>
      <c r="K80" s="239">
        <v>0.06</v>
      </c>
      <c r="L80" s="239">
        <v>7.0000000000000007E-2</v>
      </c>
      <c r="M80" s="239">
        <v>0.1</v>
      </c>
      <c r="N80" s="239">
        <v>0.12</v>
      </c>
      <c r="O80" s="239">
        <v>0.14000000000000001</v>
      </c>
      <c r="P80" s="239">
        <v>0.28999999999999998</v>
      </c>
      <c r="Q80" s="239">
        <v>0.31</v>
      </c>
      <c r="R80" s="239">
        <v>0.36</v>
      </c>
      <c r="S80" s="239">
        <v>0.36</v>
      </c>
      <c r="T80" s="239">
        <v>0.34</v>
      </c>
      <c r="U80" s="239">
        <v>0.35</v>
      </c>
      <c r="V80" s="239">
        <v>0.37</v>
      </c>
      <c r="W80" s="239">
        <v>0.34</v>
      </c>
      <c r="X80" s="239">
        <v>0.25</v>
      </c>
      <c r="Y80" s="239">
        <v>0.27</v>
      </c>
      <c r="Z80" s="239">
        <v>0.21</v>
      </c>
      <c r="AA80" s="239">
        <v>0.16</v>
      </c>
      <c r="AB80" s="239">
        <v>0.1</v>
      </c>
      <c r="AC80" s="240">
        <v>0.06</v>
      </c>
      <c r="AD80" s="42"/>
      <c r="AE80" s="42"/>
      <c r="AL80" s="42"/>
      <c r="AM80" s="42"/>
      <c r="AN80" s="42"/>
      <c r="AO80" s="42"/>
      <c r="AP80" s="42"/>
      <c r="AQ80" s="42"/>
      <c r="AR80" s="42"/>
      <c r="AS80" s="42"/>
      <c r="AT80" s="42"/>
      <c r="AU80" s="42"/>
      <c r="AV80" s="42"/>
      <c r="AW80" s="42"/>
      <c r="AX80" s="42"/>
      <c r="AY80" s="42"/>
      <c r="AZ80" s="42"/>
      <c r="BA80" s="42"/>
      <c r="BB80" s="42"/>
      <c r="BC80" s="42"/>
      <c r="BD80" s="42"/>
    </row>
    <row r="81" spans="1:56" ht="26.4" customHeight="1" x14ac:dyDescent="0.3">
      <c r="A81" s="687" t="str">
        <f t="shared" ref="A81:B81" si="2">A75</f>
        <v>Retail</v>
      </c>
      <c r="B81" s="690" t="str">
        <f t="shared" si="2"/>
        <v>Retail</v>
      </c>
      <c r="C81" s="729" t="s">
        <v>265</v>
      </c>
      <c r="D81" s="732" t="s">
        <v>676</v>
      </c>
      <c r="E81" s="271" t="s">
        <v>661</v>
      </c>
      <c r="F81" s="272">
        <v>1</v>
      </c>
      <c r="G81" s="233">
        <v>1</v>
      </c>
      <c r="H81" s="233">
        <v>1</v>
      </c>
      <c r="I81" s="233">
        <v>1</v>
      </c>
      <c r="J81" s="233">
        <v>1</v>
      </c>
      <c r="K81" s="233">
        <v>1</v>
      </c>
      <c r="L81" s="233">
        <v>0.25</v>
      </c>
      <c r="M81" s="233">
        <v>0.25</v>
      </c>
      <c r="N81" s="233">
        <v>0.25</v>
      </c>
      <c r="O81" s="233">
        <v>0.25</v>
      </c>
      <c r="P81" s="233">
        <v>0.25</v>
      </c>
      <c r="Q81" s="233">
        <v>0.25</v>
      </c>
      <c r="R81" s="233">
        <v>0.25</v>
      </c>
      <c r="S81" s="233">
        <v>0.25</v>
      </c>
      <c r="T81" s="233">
        <v>0.25</v>
      </c>
      <c r="U81" s="233">
        <v>0.25</v>
      </c>
      <c r="V81" s="233">
        <v>0.25</v>
      </c>
      <c r="W81" s="233">
        <v>0.25</v>
      </c>
      <c r="X81" s="233">
        <v>0.25</v>
      </c>
      <c r="Y81" s="233">
        <v>0.25</v>
      </c>
      <c r="Z81" s="233">
        <v>0.25</v>
      </c>
      <c r="AA81" s="233">
        <v>1</v>
      </c>
      <c r="AB81" s="233">
        <v>1</v>
      </c>
      <c r="AC81" s="234">
        <v>1</v>
      </c>
      <c r="AD81" s="42"/>
      <c r="AE81" s="42"/>
      <c r="AL81" s="42"/>
      <c r="AM81" s="42"/>
      <c r="AN81" s="42"/>
      <c r="AO81" s="42"/>
      <c r="AP81" s="42"/>
      <c r="AQ81" s="42"/>
      <c r="AR81" s="42"/>
      <c r="AS81" s="42"/>
      <c r="AT81" s="42"/>
      <c r="AU81" s="42"/>
      <c r="AV81" s="42"/>
      <c r="AW81" s="42"/>
      <c r="AX81" s="42"/>
      <c r="AY81" s="42"/>
      <c r="AZ81" s="42"/>
      <c r="BA81" s="42"/>
      <c r="BB81" s="42"/>
      <c r="BC81" s="42"/>
      <c r="BD81" s="42"/>
    </row>
    <row r="82" spans="1:56" ht="26.4" customHeight="1" x14ac:dyDescent="0.3">
      <c r="A82" s="688"/>
      <c r="B82" s="691"/>
      <c r="C82" s="730"/>
      <c r="D82" s="733"/>
      <c r="E82" s="273" t="s">
        <v>662</v>
      </c>
      <c r="F82" s="274">
        <v>1</v>
      </c>
      <c r="G82" s="236">
        <v>1</v>
      </c>
      <c r="H82" s="236">
        <v>1</v>
      </c>
      <c r="I82" s="236">
        <v>1</v>
      </c>
      <c r="J82" s="236">
        <v>1</v>
      </c>
      <c r="K82" s="236">
        <v>1</v>
      </c>
      <c r="L82" s="236">
        <v>0.25</v>
      </c>
      <c r="M82" s="236">
        <v>0.25</v>
      </c>
      <c r="N82" s="236">
        <v>0.25</v>
      </c>
      <c r="O82" s="236">
        <v>0.25</v>
      </c>
      <c r="P82" s="236">
        <v>0.25</v>
      </c>
      <c r="Q82" s="236">
        <v>0.25</v>
      </c>
      <c r="R82" s="236">
        <v>0.25</v>
      </c>
      <c r="S82" s="236">
        <v>0.25</v>
      </c>
      <c r="T82" s="236">
        <v>0.25</v>
      </c>
      <c r="U82" s="236">
        <v>0.25</v>
      </c>
      <c r="V82" s="236">
        <v>0.25</v>
      </c>
      <c r="W82" s="236">
        <v>0.25</v>
      </c>
      <c r="X82" s="236">
        <v>0.25</v>
      </c>
      <c r="Y82" s="236">
        <v>0.25</v>
      </c>
      <c r="Z82" s="236">
        <v>0.25</v>
      </c>
      <c r="AA82" s="236">
        <v>0.25</v>
      </c>
      <c r="AB82" s="236">
        <v>1</v>
      </c>
      <c r="AC82" s="237">
        <v>1</v>
      </c>
      <c r="AD82" s="42"/>
      <c r="AE82" s="42"/>
      <c r="AL82" s="42"/>
      <c r="AM82" s="42"/>
      <c r="AN82" s="42"/>
      <c r="AO82" s="42"/>
      <c r="AP82" s="42"/>
      <c r="AQ82" s="42"/>
      <c r="AR82" s="42"/>
      <c r="AS82" s="42"/>
      <c r="AT82" s="42"/>
      <c r="AU82" s="42"/>
      <c r="AV82" s="42"/>
      <c r="AW82" s="42"/>
      <c r="AX82" s="42"/>
      <c r="AY82" s="42"/>
      <c r="AZ82" s="42"/>
      <c r="BA82" s="42"/>
      <c r="BB82" s="42"/>
      <c r="BC82" s="42"/>
      <c r="BD82" s="42"/>
    </row>
    <row r="83" spans="1:56" ht="26.4" customHeight="1" thickBot="1" x14ac:dyDescent="0.35">
      <c r="A83" s="689"/>
      <c r="B83" s="692"/>
      <c r="C83" s="731"/>
      <c r="D83" s="734"/>
      <c r="E83" s="275" t="s">
        <v>663</v>
      </c>
      <c r="F83" s="276">
        <v>1</v>
      </c>
      <c r="G83" s="239">
        <v>1</v>
      </c>
      <c r="H83" s="239">
        <v>1</v>
      </c>
      <c r="I83" s="239">
        <v>1</v>
      </c>
      <c r="J83" s="239">
        <v>1</v>
      </c>
      <c r="K83" s="239">
        <v>1</v>
      </c>
      <c r="L83" s="239">
        <v>1</v>
      </c>
      <c r="M83" s="239">
        <v>1</v>
      </c>
      <c r="N83" s="239">
        <v>0.25</v>
      </c>
      <c r="O83" s="239">
        <v>0.25</v>
      </c>
      <c r="P83" s="239">
        <v>0.25</v>
      </c>
      <c r="Q83" s="239">
        <v>0.25</v>
      </c>
      <c r="R83" s="239">
        <v>0.25</v>
      </c>
      <c r="S83" s="239">
        <v>0.25</v>
      </c>
      <c r="T83" s="239">
        <v>0.25</v>
      </c>
      <c r="U83" s="239">
        <v>0.25</v>
      </c>
      <c r="V83" s="239">
        <v>0.25</v>
      </c>
      <c r="W83" s="239">
        <v>0.25</v>
      </c>
      <c r="X83" s="239">
        <v>0.25</v>
      </c>
      <c r="Y83" s="239">
        <v>1</v>
      </c>
      <c r="Z83" s="239">
        <v>1</v>
      </c>
      <c r="AA83" s="239">
        <v>1</v>
      </c>
      <c r="AB83" s="239">
        <v>1</v>
      </c>
      <c r="AC83" s="240">
        <v>1</v>
      </c>
      <c r="AD83" s="42"/>
      <c r="AE83" s="42"/>
      <c r="AL83" s="42"/>
      <c r="AM83" s="42"/>
      <c r="AN83" s="42"/>
      <c r="AO83" s="42"/>
      <c r="AP83" s="42"/>
      <c r="AQ83" s="42"/>
      <c r="AR83" s="42"/>
      <c r="AS83" s="42"/>
      <c r="AT83" s="42"/>
      <c r="AU83" s="42"/>
      <c r="AV83" s="42"/>
      <c r="AW83" s="42"/>
      <c r="AX83" s="42"/>
      <c r="AY83" s="42"/>
      <c r="AZ83" s="42"/>
      <c r="BA83" s="42"/>
      <c r="BB83" s="42"/>
      <c r="BC83" s="42"/>
      <c r="BD83" s="42"/>
    </row>
    <row r="84" spans="1:56" ht="26.4" customHeight="1" x14ac:dyDescent="0.3">
      <c r="A84" s="687" t="str">
        <f>A78</f>
        <v>Retail</v>
      </c>
      <c r="B84" s="690" t="str">
        <f>B78</f>
        <v>Retail</v>
      </c>
      <c r="C84" s="693" t="s">
        <v>672</v>
      </c>
      <c r="D84" s="696" t="s">
        <v>676</v>
      </c>
      <c r="E84" s="232" t="s">
        <v>661</v>
      </c>
      <c r="F84" s="233">
        <v>0.9</v>
      </c>
      <c r="G84" s="233">
        <v>0.9</v>
      </c>
      <c r="H84" s="233">
        <v>0.9</v>
      </c>
      <c r="I84" s="233">
        <v>0.9</v>
      </c>
      <c r="J84" s="233">
        <v>0.9</v>
      </c>
      <c r="K84" s="233">
        <v>0.9</v>
      </c>
      <c r="L84" s="233">
        <v>0.9</v>
      </c>
      <c r="M84" s="233">
        <v>0.9</v>
      </c>
      <c r="N84" s="233">
        <v>0.9</v>
      </c>
      <c r="O84" s="233">
        <v>0.9</v>
      </c>
      <c r="P84" s="233">
        <v>0.9</v>
      </c>
      <c r="Q84" s="233">
        <v>0.9</v>
      </c>
      <c r="R84" s="233">
        <v>0.9</v>
      </c>
      <c r="S84" s="233">
        <v>0.9</v>
      </c>
      <c r="T84" s="233">
        <v>0.9</v>
      </c>
      <c r="U84" s="233">
        <v>0.9</v>
      </c>
      <c r="V84" s="233">
        <v>0.9</v>
      </c>
      <c r="W84" s="233">
        <v>0.9</v>
      </c>
      <c r="X84" s="233">
        <v>0.9</v>
      </c>
      <c r="Y84" s="233">
        <v>0.9</v>
      </c>
      <c r="Z84" s="233">
        <v>0.9</v>
      </c>
      <c r="AA84" s="233">
        <v>0.9</v>
      </c>
      <c r="AB84" s="233">
        <v>0.9</v>
      </c>
      <c r="AC84" s="234">
        <v>0.9</v>
      </c>
      <c r="AD84" s="42"/>
      <c r="AE84" s="42"/>
      <c r="AL84" s="42"/>
      <c r="AM84" s="42"/>
      <c r="AN84" s="42"/>
      <c r="AO84" s="42"/>
      <c r="AP84" s="42"/>
      <c r="AQ84" s="42"/>
      <c r="AR84" s="42"/>
      <c r="AS84" s="42"/>
      <c r="AT84" s="42"/>
      <c r="AU84" s="42"/>
      <c r="AV84" s="42"/>
      <c r="AW84" s="42"/>
      <c r="AX84" s="42"/>
      <c r="AY84" s="42"/>
      <c r="AZ84" s="42"/>
      <c r="BA84" s="42"/>
      <c r="BB84" s="42"/>
      <c r="BC84" s="42"/>
      <c r="BD84" s="42"/>
    </row>
    <row r="85" spans="1:56" ht="26.4" customHeight="1" x14ac:dyDescent="0.3">
      <c r="A85" s="688"/>
      <c r="B85" s="691"/>
      <c r="C85" s="694"/>
      <c r="D85" s="697"/>
      <c r="E85" s="235" t="s">
        <v>662</v>
      </c>
      <c r="F85" s="236">
        <v>0.9</v>
      </c>
      <c r="G85" s="236">
        <v>0.9</v>
      </c>
      <c r="H85" s="236">
        <v>0.9</v>
      </c>
      <c r="I85" s="236">
        <v>0.9</v>
      </c>
      <c r="J85" s="236">
        <v>0.9</v>
      </c>
      <c r="K85" s="236">
        <v>0.9</v>
      </c>
      <c r="L85" s="236">
        <v>0.9</v>
      </c>
      <c r="M85" s="236">
        <v>0.9</v>
      </c>
      <c r="N85" s="236">
        <v>0.9</v>
      </c>
      <c r="O85" s="236">
        <v>0.9</v>
      </c>
      <c r="P85" s="236">
        <v>0.9</v>
      </c>
      <c r="Q85" s="236">
        <v>0.9</v>
      </c>
      <c r="R85" s="236">
        <v>0.9</v>
      </c>
      <c r="S85" s="236">
        <v>0.9</v>
      </c>
      <c r="T85" s="236">
        <v>0.9</v>
      </c>
      <c r="U85" s="236">
        <v>0.9</v>
      </c>
      <c r="V85" s="236">
        <v>0.9</v>
      </c>
      <c r="W85" s="236">
        <v>0.9</v>
      </c>
      <c r="X85" s="236">
        <v>0.9</v>
      </c>
      <c r="Y85" s="236">
        <v>0.9</v>
      </c>
      <c r="Z85" s="236">
        <v>0.9</v>
      </c>
      <c r="AA85" s="236">
        <v>0.9</v>
      </c>
      <c r="AB85" s="236">
        <v>0.9</v>
      </c>
      <c r="AC85" s="237">
        <v>0.9</v>
      </c>
      <c r="AD85" s="42"/>
      <c r="AE85" s="42"/>
      <c r="AL85" s="42"/>
      <c r="AM85" s="42"/>
      <c r="AN85" s="42"/>
      <c r="AO85" s="42"/>
      <c r="AP85" s="42"/>
      <c r="AQ85" s="42"/>
      <c r="AR85" s="42"/>
      <c r="AS85" s="42"/>
      <c r="AT85" s="42"/>
      <c r="AU85" s="42"/>
      <c r="AV85" s="42"/>
      <c r="AW85" s="42"/>
      <c r="AX85" s="42"/>
      <c r="AY85" s="42"/>
      <c r="AZ85" s="42"/>
      <c r="BA85" s="42"/>
      <c r="BB85" s="42"/>
      <c r="BC85" s="42"/>
      <c r="BD85" s="42"/>
    </row>
    <row r="86" spans="1:56" ht="26.4" customHeight="1" thickBot="1" x14ac:dyDescent="0.35">
      <c r="A86" s="689"/>
      <c r="B86" s="692"/>
      <c r="C86" s="695"/>
      <c r="D86" s="698"/>
      <c r="E86" s="238" t="s">
        <v>663</v>
      </c>
      <c r="F86" s="239">
        <v>0.9</v>
      </c>
      <c r="G86" s="239">
        <v>0.9</v>
      </c>
      <c r="H86" s="239">
        <v>0.9</v>
      </c>
      <c r="I86" s="239">
        <v>0.9</v>
      </c>
      <c r="J86" s="239">
        <v>0.9</v>
      </c>
      <c r="K86" s="239">
        <v>0.9</v>
      </c>
      <c r="L86" s="239">
        <v>0.9</v>
      </c>
      <c r="M86" s="239">
        <v>0.9</v>
      </c>
      <c r="N86" s="239">
        <v>0.9</v>
      </c>
      <c r="O86" s="239">
        <v>0.9</v>
      </c>
      <c r="P86" s="239">
        <v>0.9</v>
      </c>
      <c r="Q86" s="239">
        <v>0.9</v>
      </c>
      <c r="R86" s="239">
        <v>0.9</v>
      </c>
      <c r="S86" s="239">
        <v>0.9</v>
      </c>
      <c r="T86" s="239">
        <v>0.9</v>
      </c>
      <c r="U86" s="239">
        <v>0.9</v>
      </c>
      <c r="V86" s="239">
        <v>0.9</v>
      </c>
      <c r="W86" s="239">
        <v>0.9</v>
      </c>
      <c r="X86" s="239">
        <v>0.9</v>
      </c>
      <c r="Y86" s="239">
        <v>0.9</v>
      </c>
      <c r="Z86" s="239">
        <v>0.9</v>
      </c>
      <c r="AA86" s="239">
        <v>0.9</v>
      </c>
      <c r="AB86" s="239">
        <v>0.9</v>
      </c>
      <c r="AC86" s="240">
        <v>0.9</v>
      </c>
      <c r="AD86" s="42"/>
      <c r="AE86" s="42"/>
      <c r="AL86" s="42"/>
      <c r="AM86" s="42"/>
      <c r="AN86" s="42"/>
      <c r="AO86" s="42"/>
      <c r="AP86" s="42"/>
      <c r="AQ86" s="42"/>
      <c r="AR86" s="42"/>
      <c r="AS86" s="42"/>
      <c r="AT86" s="42"/>
      <c r="AU86" s="42"/>
      <c r="AV86" s="42"/>
      <c r="AW86" s="42"/>
      <c r="AX86" s="42"/>
      <c r="AY86" s="42"/>
      <c r="AZ86" s="42"/>
      <c r="BA86" s="42"/>
      <c r="BB86" s="42"/>
      <c r="BC86" s="42"/>
      <c r="BD86" s="42"/>
    </row>
    <row r="87" spans="1:56" ht="26.4" customHeight="1" x14ac:dyDescent="0.3">
      <c r="A87" s="716" t="str">
        <f t="shared" ref="A87:B87" si="3">A78</f>
        <v>Retail</v>
      </c>
      <c r="B87" s="690" t="str">
        <f t="shared" si="3"/>
        <v>Retail</v>
      </c>
      <c r="C87" s="780" t="s">
        <v>670</v>
      </c>
      <c r="D87" s="696" t="s">
        <v>676</v>
      </c>
      <c r="E87" s="232" t="s">
        <v>661</v>
      </c>
      <c r="F87" s="246">
        <f>IF(F75=0,Thermostat!$B$11,Thermostat!$B$10)</f>
        <v>60</v>
      </c>
      <c r="G87" s="246">
        <f>IF(G75=0,Thermostat!$B$11,Thermostat!$B$10)</f>
        <v>60</v>
      </c>
      <c r="H87" s="246">
        <f>IF(H75=0,Thermostat!$B$11,Thermostat!$B$10)</f>
        <v>60</v>
      </c>
      <c r="I87" s="246">
        <f>IF(I75=0,Thermostat!$B$11,Thermostat!$B$10)</f>
        <v>60</v>
      </c>
      <c r="J87" s="246">
        <f>IF(J75=0,Thermostat!$B$11,Thermostat!$B$10)</f>
        <v>60</v>
      </c>
      <c r="K87" s="246">
        <f>IF(K75=0,Thermostat!$B$11,Thermostat!$B$10)</f>
        <v>60</v>
      </c>
      <c r="L87" s="246">
        <f>IF(L75=0,Thermostat!$B$11,Thermostat!$B$10)</f>
        <v>70</v>
      </c>
      <c r="M87" s="246">
        <f>IF(M75=0,Thermostat!$B$11,Thermostat!$B$10)</f>
        <v>70</v>
      </c>
      <c r="N87" s="246">
        <f>IF(N75=0,Thermostat!$B$11,Thermostat!$B$10)</f>
        <v>70</v>
      </c>
      <c r="O87" s="246">
        <f>IF(O75=0,Thermostat!$B$11,Thermostat!$B$10)</f>
        <v>70</v>
      </c>
      <c r="P87" s="246">
        <f>IF(P75=0,Thermostat!$B$11,Thermostat!$B$10)</f>
        <v>70</v>
      </c>
      <c r="Q87" s="246">
        <f>IF(Q75=0,Thermostat!$B$11,Thermostat!$B$10)</f>
        <v>70</v>
      </c>
      <c r="R87" s="246">
        <f>IF(R75=0,Thermostat!$B$11,Thermostat!$B$10)</f>
        <v>70</v>
      </c>
      <c r="S87" s="246">
        <f>IF(S75=0,Thermostat!$B$11,Thermostat!$B$10)</f>
        <v>70</v>
      </c>
      <c r="T87" s="246">
        <f>IF(T75=0,Thermostat!$B$11,Thermostat!$B$10)</f>
        <v>70</v>
      </c>
      <c r="U87" s="246">
        <f>IF(U75=0,Thermostat!$B$11,Thermostat!$B$10)</f>
        <v>70</v>
      </c>
      <c r="V87" s="246">
        <f>IF(V75=0,Thermostat!$B$11,Thermostat!$B$10)</f>
        <v>70</v>
      </c>
      <c r="W87" s="246">
        <f>IF(W75=0,Thermostat!$B$11,Thermostat!$B$10)</f>
        <v>70</v>
      </c>
      <c r="X87" s="246">
        <f>IF(X75=0,Thermostat!$B$11,Thermostat!$B$10)</f>
        <v>70</v>
      </c>
      <c r="Y87" s="246">
        <f>IF(Y75=0,Thermostat!$B$11,Thermostat!$B$10)</f>
        <v>70</v>
      </c>
      <c r="Z87" s="246">
        <f>IF(Z75=0,Thermostat!$B$11,Thermostat!$B$10)</f>
        <v>70</v>
      </c>
      <c r="AA87" s="246">
        <f>IF(AA75=0,Thermostat!$B$11,Thermostat!$B$10)</f>
        <v>60</v>
      </c>
      <c r="AB87" s="246">
        <f>IF(AB75=0,Thermostat!$B$11,Thermostat!$B$10)</f>
        <v>60</v>
      </c>
      <c r="AC87" s="247">
        <f>IF(AC75=0,Thermostat!$B$11,Thermostat!$B$10)</f>
        <v>60</v>
      </c>
      <c r="AD87" s="42"/>
      <c r="AE87" s="42"/>
      <c r="AL87" s="42"/>
      <c r="AM87" s="42"/>
      <c r="AN87" s="42"/>
      <c r="AO87" s="42"/>
      <c r="AP87" s="42"/>
      <c r="AQ87" s="42"/>
      <c r="AR87" s="42"/>
      <c r="AS87" s="42"/>
      <c r="AT87" s="42"/>
      <c r="AU87" s="42"/>
      <c r="AV87" s="42"/>
      <c r="AW87" s="42"/>
      <c r="AX87" s="42"/>
      <c r="AY87" s="42"/>
      <c r="AZ87" s="42"/>
      <c r="BA87" s="42"/>
      <c r="BB87" s="42"/>
      <c r="BC87" s="42"/>
      <c r="BD87" s="42"/>
    </row>
    <row r="88" spans="1:56" ht="26.4" customHeight="1" x14ac:dyDescent="0.3">
      <c r="A88" s="717"/>
      <c r="B88" s="691"/>
      <c r="C88" s="781"/>
      <c r="D88" s="697"/>
      <c r="E88" s="235" t="s">
        <v>662</v>
      </c>
      <c r="F88" s="248">
        <f>IF(F76=0,Thermostat!$B$11,Thermostat!$B$10)</f>
        <v>60</v>
      </c>
      <c r="G88" s="248">
        <f>IF(G76=0,Thermostat!$B$11,Thermostat!$B$10)</f>
        <v>60</v>
      </c>
      <c r="H88" s="248">
        <f>IF(H76=0,Thermostat!$B$11,Thermostat!$B$10)</f>
        <v>60</v>
      </c>
      <c r="I88" s="248">
        <f>IF(I76=0,Thermostat!$B$11,Thermostat!$B$10)</f>
        <v>60</v>
      </c>
      <c r="J88" s="248">
        <f>IF(J76=0,Thermostat!$B$11,Thermostat!$B$10)</f>
        <v>60</v>
      </c>
      <c r="K88" s="248">
        <f>IF(K76=0,Thermostat!$B$11,Thermostat!$B$10)</f>
        <v>60</v>
      </c>
      <c r="L88" s="248">
        <f>IF(L76=0,Thermostat!$B$11,Thermostat!$B$10)</f>
        <v>70</v>
      </c>
      <c r="M88" s="248">
        <f>IF(M76=0,Thermostat!$B$11,Thermostat!$B$10)</f>
        <v>70</v>
      </c>
      <c r="N88" s="248">
        <f>IF(N76=0,Thermostat!$B$11,Thermostat!$B$10)</f>
        <v>70</v>
      </c>
      <c r="O88" s="248">
        <f>IF(O76=0,Thermostat!$B$11,Thermostat!$B$10)</f>
        <v>70</v>
      </c>
      <c r="P88" s="248">
        <f>IF(P76=0,Thermostat!$B$11,Thermostat!$B$10)</f>
        <v>70</v>
      </c>
      <c r="Q88" s="248">
        <f>IF(Q76=0,Thermostat!$B$11,Thermostat!$B$10)</f>
        <v>70</v>
      </c>
      <c r="R88" s="248">
        <f>IF(R76=0,Thermostat!$B$11,Thermostat!$B$10)</f>
        <v>70</v>
      </c>
      <c r="S88" s="248">
        <f>IF(S76=0,Thermostat!$B$11,Thermostat!$B$10)</f>
        <v>70</v>
      </c>
      <c r="T88" s="248">
        <f>IF(T76=0,Thermostat!$B$11,Thermostat!$B$10)</f>
        <v>70</v>
      </c>
      <c r="U88" s="248">
        <f>IF(U76=0,Thermostat!$B$11,Thermostat!$B$10)</f>
        <v>70</v>
      </c>
      <c r="V88" s="248">
        <f>IF(V76=0,Thermostat!$B$11,Thermostat!$B$10)</f>
        <v>70</v>
      </c>
      <c r="W88" s="248">
        <f>IF(W76=0,Thermostat!$B$11,Thermostat!$B$10)</f>
        <v>70</v>
      </c>
      <c r="X88" s="248">
        <f>IF(X76=0,Thermostat!$B$11,Thermostat!$B$10)</f>
        <v>70</v>
      </c>
      <c r="Y88" s="248">
        <f>IF(Y76=0,Thermostat!$B$11,Thermostat!$B$10)</f>
        <v>70</v>
      </c>
      <c r="Z88" s="248">
        <f>IF(Z76=0,Thermostat!$B$11,Thermostat!$B$10)</f>
        <v>70</v>
      </c>
      <c r="AA88" s="248">
        <f>IF(AA76=0,Thermostat!$B$11,Thermostat!$B$10)</f>
        <v>70</v>
      </c>
      <c r="AB88" s="248">
        <f>IF(AB76=0,Thermostat!$B$11,Thermostat!$B$10)</f>
        <v>60</v>
      </c>
      <c r="AC88" s="249">
        <f>IF(AC76=0,Thermostat!$B$11,Thermostat!$B$10)</f>
        <v>60</v>
      </c>
      <c r="AD88" s="42"/>
      <c r="AE88" s="42"/>
      <c r="AL88" s="42"/>
      <c r="AM88" s="42"/>
      <c r="AN88" s="42"/>
      <c r="AO88" s="42"/>
      <c r="AP88" s="42"/>
      <c r="AQ88" s="42"/>
      <c r="AR88" s="42"/>
      <c r="AS88" s="42"/>
      <c r="AT88" s="42"/>
      <c r="AU88" s="42"/>
      <c r="AV88" s="42"/>
      <c r="AW88" s="42"/>
      <c r="AX88" s="42"/>
      <c r="AY88" s="42"/>
      <c r="AZ88" s="42"/>
      <c r="BA88" s="42"/>
      <c r="BB88" s="42"/>
      <c r="BC88" s="42"/>
      <c r="BD88" s="42"/>
    </row>
    <row r="89" spans="1:56" ht="26.4" customHeight="1" thickBot="1" x14ac:dyDescent="0.35">
      <c r="A89" s="769"/>
      <c r="B89" s="692"/>
      <c r="C89" s="782"/>
      <c r="D89" s="698"/>
      <c r="E89" s="241" t="s">
        <v>663</v>
      </c>
      <c r="F89" s="250">
        <f>IF(F77=0,Thermostat!$B$11,Thermostat!$B$10)</f>
        <v>60</v>
      </c>
      <c r="G89" s="250">
        <f>IF(G77=0,Thermostat!$B$11,Thermostat!$B$10)</f>
        <v>60</v>
      </c>
      <c r="H89" s="250">
        <f>IF(H77=0,Thermostat!$B$11,Thermostat!$B$10)</f>
        <v>60</v>
      </c>
      <c r="I89" s="250">
        <f>IF(I77=0,Thermostat!$B$11,Thermostat!$B$10)</f>
        <v>60</v>
      </c>
      <c r="J89" s="250">
        <f>IF(J77=0,Thermostat!$B$11,Thermostat!$B$10)</f>
        <v>60</v>
      </c>
      <c r="K89" s="250">
        <f>IF(K77=0,Thermostat!$B$11,Thermostat!$B$10)</f>
        <v>60</v>
      </c>
      <c r="L89" s="250">
        <f>IF(L77=0,Thermostat!$B$11,Thermostat!$B$10)</f>
        <v>60</v>
      </c>
      <c r="M89" s="250">
        <f>IF(M77=0,Thermostat!$B$11,Thermostat!$B$10)</f>
        <v>60</v>
      </c>
      <c r="N89" s="250">
        <f>IF(N77=0,Thermostat!$B$11,Thermostat!$B$10)</f>
        <v>70</v>
      </c>
      <c r="O89" s="250">
        <f>IF(O77=0,Thermostat!$B$11,Thermostat!$B$10)</f>
        <v>70</v>
      </c>
      <c r="P89" s="250">
        <f>IF(P77=0,Thermostat!$B$11,Thermostat!$B$10)</f>
        <v>70</v>
      </c>
      <c r="Q89" s="250">
        <f>IF(Q77=0,Thermostat!$B$11,Thermostat!$B$10)</f>
        <v>70</v>
      </c>
      <c r="R89" s="250">
        <f>IF(R77=0,Thermostat!$B$11,Thermostat!$B$10)</f>
        <v>70</v>
      </c>
      <c r="S89" s="250">
        <f>IF(S77=0,Thermostat!$B$11,Thermostat!$B$10)</f>
        <v>70</v>
      </c>
      <c r="T89" s="250">
        <f>IF(T77=0,Thermostat!$B$11,Thermostat!$B$10)</f>
        <v>70</v>
      </c>
      <c r="U89" s="250">
        <f>IF(U77=0,Thermostat!$B$11,Thermostat!$B$10)</f>
        <v>70</v>
      </c>
      <c r="V89" s="250">
        <f>IF(V77=0,Thermostat!$B$11,Thermostat!$B$10)</f>
        <v>70</v>
      </c>
      <c r="W89" s="250">
        <f>IF(W77=0,Thermostat!$B$11,Thermostat!$B$10)</f>
        <v>70</v>
      </c>
      <c r="X89" s="250">
        <f>IF(X77=0,Thermostat!$B$11,Thermostat!$B$10)</f>
        <v>70</v>
      </c>
      <c r="Y89" s="250">
        <f>IF(Y77=0,Thermostat!$B$11,Thermostat!$B$10)</f>
        <v>60</v>
      </c>
      <c r="Z89" s="250">
        <f>IF(Z77=0,Thermostat!$B$11,Thermostat!$B$10)</f>
        <v>60</v>
      </c>
      <c r="AA89" s="250">
        <f>IF(AA77=0,Thermostat!$B$11,Thermostat!$B$10)</f>
        <v>60</v>
      </c>
      <c r="AB89" s="250">
        <f>IF(AB77=0,Thermostat!$B$11,Thermostat!$B$10)</f>
        <v>60</v>
      </c>
      <c r="AC89" s="251">
        <f>IF(AC77=0,Thermostat!$B$11,Thermostat!$B$10)</f>
        <v>60</v>
      </c>
      <c r="AD89" s="42"/>
      <c r="AE89" s="42"/>
      <c r="AL89" s="42"/>
      <c r="AM89" s="42"/>
      <c r="AN89" s="42"/>
      <c r="AO89" s="42"/>
      <c r="AP89" s="42"/>
      <c r="AQ89" s="42"/>
      <c r="AR89" s="42"/>
      <c r="AS89" s="42"/>
      <c r="AT89" s="42"/>
      <c r="AU89" s="42"/>
      <c r="AV89" s="42"/>
      <c r="AW89" s="42"/>
      <c r="AX89" s="42"/>
      <c r="AY89" s="42"/>
      <c r="AZ89" s="42"/>
      <c r="BA89" s="42"/>
      <c r="BB89" s="42"/>
      <c r="BC89" s="42"/>
      <c r="BD89" s="42"/>
    </row>
    <row r="90" spans="1:56" ht="26.4" customHeight="1" x14ac:dyDescent="0.3">
      <c r="A90" s="716" t="str">
        <f t="shared" ref="A90:B90" si="4">A81</f>
        <v>Retail</v>
      </c>
      <c r="B90" s="690" t="str">
        <f t="shared" si="4"/>
        <v>Retail</v>
      </c>
      <c r="C90" s="783" t="s">
        <v>671</v>
      </c>
      <c r="D90" s="785" t="s">
        <v>676</v>
      </c>
      <c r="E90" s="242" t="s">
        <v>661</v>
      </c>
      <c r="F90" s="246">
        <f>IF(F75=0,Thermostat!$B$13,Thermostat!$B$12)</f>
        <v>85</v>
      </c>
      <c r="G90" s="246">
        <f>IF(G75=0,Thermostat!$B$13,Thermostat!$B$12)</f>
        <v>85</v>
      </c>
      <c r="H90" s="246">
        <f>IF(H75=0,Thermostat!$B$13,Thermostat!$B$12)</f>
        <v>85</v>
      </c>
      <c r="I90" s="246">
        <f>IF(I75=0,Thermostat!$B$13,Thermostat!$B$12)</f>
        <v>85</v>
      </c>
      <c r="J90" s="246">
        <f>IF(J75=0,Thermostat!$B$13,Thermostat!$B$12)</f>
        <v>85</v>
      </c>
      <c r="K90" s="246">
        <f>IF(K75=0,Thermostat!$B$13,Thermostat!$B$12)</f>
        <v>85</v>
      </c>
      <c r="L90" s="246">
        <f>IF(L75=0,Thermostat!$B$13,Thermostat!$B$12)</f>
        <v>75</v>
      </c>
      <c r="M90" s="246">
        <f>IF(M75=0,Thermostat!$B$13,Thermostat!$B$12)</f>
        <v>75</v>
      </c>
      <c r="N90" s="246">
        <f>IF(N75=0,Thermostat!$B$13,Thermostat!$B$12)</f>
        <v>75</v>
      </c>
      <c r="O90" s="246">
        <f>IF(O75=0,Thermostat!$B$13,Thermostat!$B$12)</f>
        <v>75</v>
      </c>
      <c r="P90" s="246">
        <f>IF(P75=0,Thermostat!$B$13,Thermostat!$B$12)</f>
        <v>75</v>
      </c>
      <c r="Q90" s="246">
        <f>IF(Q75=0,Thermostat!$B$13,Thermostat!$B$12)</f>
        <v>75</v>
      </c>
      <c r="R90" s="246">
        <f>IF(R75=0,Thermostat!$B$13,Thermostat!$B$12)</f>
        <v>75</v>
      </c>
      <c r="S90" s="246">
        <f>IF(S75=0,Thermostat!$B$13,Thermostat!$B$12)</f>
        <v>75</v>
      </c>
      <c r="T90" s="246">
        <f>IF(T75=0,Thermostat!$B$13,Thermostat!$B$12)</f>
        <v>75</v>
      </c>
      <c r="U90" s="246">
        <f>IF(U75=0,Thermostat!$B$13,Thermostat!$B$12)</f>
        <v>75</v>
      </c>
      <c r="V90" s="246">
        <f>IF(V75=0,Thermostat!$B$13,Thermostat!$B$12)</f>
        <v>75</v>
      </c>
      <c r="W90" s="246">
        <f>IF(W75=0,Thermostat!$B$13,Thermostat!$B$12)</f>
        <v>75</v>
      </c>
      <c r="X90" s="246">
        <f>IF(X75=0,Thermostat!$B$13,Thermostat!$B$12)</f>
        <v>75</v>
      </c>
      <c r="Y90" s="246">
        <f>IF(Y75=0,Thermostat!$B$13,Thermostat!$B$12)</f>
        <v>75</v>
      </c>
      <c r="Z90" s="246">
        <f>IF(Z75=0,Thermostat!$B$13,Thermostat!$B$12)</f>
        <v>75</v>
      </c>
      <c r="AA90" s="246">
        <f>IF(AA75=0,Thermostat!$B$13,Thermostat!$B$12)</f>
        <v>85</v>
      </c>
      <c r="AB90" s="246">
        <f>IF(AB75=0,Thermostat!$B$13,Thermostat!$B$12)</f>
        <v>85</v>
      </c>
      <c r="AC90" s="247">
        <f>IF(AC75=0,Thermostat!$B$13,Thermostat!$B$12)</f>
        <v>85</v>
      </c>
      <c r="AD90" s="42"/>
      <c r="AE90" s="42"/>
      <c r="AL90" s="42"/>
      <c r="AM90" s="42"/>
      <c r="AN90" s="42"/>
      <c r="AO90" s="42"/>
      <c r="AP90" s="42"/>
      <c r="AQ90" s="42"/>
      <c r="AR90" s="42"/>
      <c r="AS90" s="42"/>
      <c r="AT90" s="42"/>
      <c r="AU90" s="42"/>
      <c r="AV90" s="42"/>
      <c r="AW90" s="42"/>
      <c r="AX90" s="42"/>
      <c r="AY90" s="42"/>
      <c r="AZ90" s="42"/>
      <c r="BA90" s="42"/>
      <c r="BB90" s="42"/>
      <c r="BC90" s="42"/>
      <c r="BD90" s="42"/>
    </row>
    <row r="91" spans="1:56" ht="26.4" customHeight="1" x14ac:dyDescent="0.3">
      <c r="A91" s="717"/>
      <c r="B91" s="691"/>
      <c r="C91" s="781"/>
      <c r="D91" s="786"/>
      <c r="E91" s="243" t="s">
        <v>662</v>
      </c>
      <c r="F91" s="248">
        <f>IF(F76=0,Thermostat!$B$13,Thermostat!$B$12)</f>
        <v>85</v>
      </c>
      <c r="G91" s="248">
        <f>IF(G76=0,Thermostat!$B$13,Thermostat!$B$12)</f>
        <v>85</v>
      </c>
      <c r="H91" s="248">
        <f>IF(H76=0,Thermostat!$B$13,Thermostat!$B$12)</f>
        <v>85</v>
      </c>
      <c r="I91" s="248">
        <f>IF(I76=0,Thermostat!$B$13,Thermostat!$B$12)</f>
        <v>85</v>
      </c>
      <c r="J91" s="248">
        <f>IF(J76=0,Thermostat!$B$13,Thermostat!$B$12)</f>
        <v>85</v>
      </c>
      <c r="K91" s="248">
        <f>IF(K76=0,Thermostat!$B$13,Thermostat!$B$12)</f>
        <v>85</v>
      </c>
      <c r="L91" s="248">
        <f>IF(L76=0,Thermostat!$B$13,Thermostat!$B$12)</f>
        <v>75</v>
      </c>
      <c r="M91" s="248">
        <f>IF(M76=0,Thermostat!$B$13,Thermostat!$B$12)</f>
        <v>75</v>
      </c>
      <c r="N91" s="248">
        <f>IF(N76=0,Thermostat!$B$13,Thermostat!$B$12)</f>
        <v>75</v>
      </c>
      <c r="O91" s="248">
        <f>IF(O76=0,Thermostat!$B$13,Thermostat!$B$12)</f>
        <v>75</v>
      </c>
      <c r="P91" s="248">
        <f>IF(P76=0,Thermostat!$B$13,Thermostat!$B$12)</f>
        <v>75</v>
      </c>
      <c r="Q91" s="248">
        <f>IF(Q76=0,Thermostat!$B$13,Thermostat!$B$12)</f>
        <v>75</v>
      </c>
      <c r="R91" s="248">
        <f>IF(R76=0,Thermostat!$B$13,Thermostat!$B$12)</f>
        <v>75</v>
      </c>
      <c r="S91" s="248">
        <f>IF(S76=0,Thermostat!$B$13,Thermostat!$B$12)</f>
        <v>75</v>
      </c>
      <c r="T91" s="248">
        <f>IF(T76=0,Thermostat!$B$13,Thermostat!$B$12)</f>
        <v>75</v>
      </c>
      <c r="U91" s="248">
        <f>IF(U76=0,Thermostat!$B$13,Thermostat!$B$12)</f>
        <v>75</v>
      </c>
      <c r="V91" s="248">
        <f>IF(V76=0,Thermostat!$B$13,Thermostat!$B$12)</f>
        <v>75</v>
      </c>
      <c r="W91" s="248">
        <f>IF(W76=0,Thermostat!$B$13,Thermostat!$B$12)</f>
        <v>75</v>
      </c>
      <c r="X91" s="248">
        <f>IF(X76=0,Thermostat!$B$13,Thermostat!$B$12)</f>
        <v>75</v>
      </c>
      <c r="Y91" s="248">
        <f>IF(Y76=0,Thermostat!$B$13,Thermostat!$B$12)</f>
        <v>75</v>
      </c>
      <c r="Z91" s="248">
        <f>IF(Z76=0,Thermostat!$B$13,Thermostat!$B$12)</f>
        <v>75</v>
      </c>
      <c r="AA91" s="248">
        <f>IF(AA76=0,Thermostat!$B$13,Thermostat!$B$12)</f>
        <v>75</v>
      </c>
      <c r="AB91" s="248">
        <f>IF(AB76=0,Thermostat!$B$13,Thermostat!$B$12)</f>
        <v>85</v>
      </c>
      <c r="AC91" s="249">
        <f>IF(AC76=0,Thermostat!$B$13,Thermostat!$B$12)</f>
        <v>85</v>
      </c>
      <c r="AD91" s="42"/>
      <c r="AE91" s="42"/>
      <c r="AL91" s="42"/>
      <c r="AM91" s="42"/>
      <c r="AN91" s="42"/>
      <c r="AO91" s="42"/>
      <c r="AP91" s="42"/>
      <c r="AQ91" s="42"/>
      <c r="AR91" s="42"/>
      <c r="AS91" s="42"/>
      <c r="AT91" s="42"/>
      <c r="AU91" s="42"/>
      <c r="AV91" s="42"/>
      <c r="AW91" s="42"/>
      <c r="AX91" s="42"/>
      <c r="AY91" s="42"/>
      <c r="AZ91" s="42"/>
      <c r="BA91" s="42"/>
      <c r="BB91" s="42"/>
      <c r="BC91" s="42"/>
      <c r="BD91" s="42"/>
    </row>
    <row r="92" spans="1:56" ht="26.4" customHeight="1" thickBot="1" x14ac:dyDescent="0.35">
      <c r="A92" s="769"/>
      <c r="B92" s="692"/>
      <c r="C92" s="784"/>
      <c r="D92" s="787"/>
      <c r="E92" s="244" t="s">
        <v>663</v>
      </c>
      <c r="F92" s="250">
        <f>IF(F77=0,Thermostat!$B$13,Thermostat!$B$12)</f>
        <v>85</v>
      </c>
      <c r="G92" s="250">
        <f>IF(G77=0,Thermostat!$B$13,Thermostat!$B$12)</f>
        <v>85</v>
      </c>
      <c r="H92" s="250">
        <f>IF(H77=0,Thermostat!$B$13,Thermostat!$B$12)</f>
        <v>85</v>
      </c>
      <c r="I92" s="250">
        <f>IF(I77=0,Thermostat!$B$13,Thermostat!$B$12)</f>
        <v>85</v>
      </c>
      <c r="J92" s="250">
        <f>IF(J77=0,Thermostat!$B$13,Thermostat!$B$12)</f>
        <v>85</v>
      </c>
      <c r="K92" s="250">
        <f>IF(K77=0,Thermostat!$B$13,Thermostat!$B$12)</f>
        <v>85</v>
      </c>
      <c r="L92" s="250">
        <f>IF(L77=0,Thermostat!$B$13,Thermostat!$B$12)</f>
        <v>85</v>
      </c>
      <c r="M92" s="250">
        <f>IF(M77=0,Thermostat!$B$13,Thermostat!$B$12)</f>
        <v>85</v>
      </c>
      <c r="N92" s="250">
        <f>IF(N77=0,Thermostat!$B$13,Thermostat!$B$12)</f>
        <v>75</v>
      </c>
      <c r="O92" s="250">
        <f>IF(O77=0,Thermostat!$B$13,Thermostat!$B$12)</f>
        <v>75</v>
      </c>
      <c r="P92" s="250">
        <f>IF(P77=0,Thermostat!$B$13,Thermostat!$B$12)</f>
        <v>75</v>
      </c>
      <c r="Q92" s="250">
        <f>IF(Q77=0,Thermostat!$B$13,Thermostat!$B$12)</f>
        <v>75</v>
      </c>
      <c r="R92" s="250">
        <f>IF(R77=0,Thermostat!$B$13,Thermostat!$B$12)</f>
        <v>75</v>
      </c>
      <c r="S92" s="250">
        <f>IF(S77=0,Thermostat!$B$13,Thermostat!$B$12)</f>
        <v>75</v>
      </c>
      <c r="T92" s="250">
        <f>IF(T77=0,Thermostat!$B$13,Thermostat!$B$12)</f>
        <v>75</v>
      </c>
      <c r="U92" s="250">
        <f>IF(U77=0,Thermostat!$B$13,Thermostat!$B$12)</f>
        <v>75</v>
      </c>
      <c r="V92" s="250">
        <f>IF(V77=0,Thermostat!$B$13,Thermostat!$B$12)</f>
        <v>75</v>
      </c>
      <c r="W92" s="250">
        <f>IF(W77=0,Thermostat!$B$13,Thermostat!$B$12)</f>
        <v>75</v>
      </c>
      <c r="X92" s="250">
        <f>IF(X77=0,Thermostat!$B$13,Thermostat!$B$12)</f>
        <v>75</v>
      </c>
      <c r="Y92" s="250">
        <f>IF(Y77=0,Thermostat!$B$13,Thermostat!$B$12)</f>
        <v>85</v>
      </c>
      <c r="Z92" s="250">
        <f>IF(Z77=0,Thermostat!$B$13,Thermostat!$B$12)</f>
        <v>85</v>
      </c>
      <c r="AA92" s="250">
        <f>IF(AA77=0,Thermostat!$B$13,Thermostat!$B$12)</f>
        <v>85</v>
      </c>
      <c r="AB92" s="250">
        <f>IF(AB77=0,Thermostat!$B$13,Thermostat!$B$12)</f>
        <v>85</v>
      </c>
      <c r="AC92" s="251">
        <f>IF(AC77=0,Thermostat!$B$13,Thermostat!$B$12)</f>
        <v>85</v>
      </c>
      <c r="AD92" s="42"/>
      <c r="AE92" s="42"/>
      <c r="AL92" s="42"/>
      <c r="AM92" s="42"/>
      <c r="AN92" s="42"/>
      <c r="AO92" s="42"/>
      <c r="AP92" s="42"/>
      <c r="AQ92" s="42"/>
      <c r="AR92" s="42"/>
      <c r="AS92" s="42"/>
      <c r="AT92" s="42"/>
      <c r="AU92" s="42"/>
      <c r="AV92" s="42"/>
      <c r="AW92" s="42"/>
      <c r="AX92" s="42"/>
      <c r="AY92" s="42"/>
      <c r="AZ92" s="42"/>
      <c r="BA92" s="42"/>
      <c r="BB92" s="42"/>
      <c r="BC92" s="42"/>
      <c r="BD92" s="42"/>
    </row>
    <row r="93" spans="1:56" ht="29.25" customHeight="1" x14ac:dyDescent="0.3">
      <c r="A93" s="726" t="s">
        <v>678</v>
      </c>
      <c r="B93" s="727"/>
      <c r="C93" s="727"/>
      <c r="D93" s="727"/>
      <c r="E93" s="727"/>
      <c r="F93" s="727"/>
      <c r="G93" s="727"/>
      <c r="H93" s="727"/>
      <c r="I93" s="727"/>
      <c r="J93" s="727"/>
      <c r="K93" s="727"/>
      <c r="L93" s="727"/>
      <c r="M93" s="727"/>
      <c r="N93" s="727"/>
      <c r="O93" s="727"/>
      <c r="P93" s="727"/>
      <c r="Q93" s="727"/>
      <c r="R93" s="727"/>
      <c r="S93" s="727"/>
      <c r="T93" s="727"/>
      <c r="U93" s="727"/>
      <c r="V93" s="727"/>
      <c r="W93" s="727"/>
      <c r="X93" s="727"/>
      <c r="Y93" s="727"/>
      <c r="Z93" s="727"/>
      <c r="AA93" s="727"/>
      <c r="AB93" s="727"/>
      <c r="AC93" s="728"/>
      <c r="AD93" s="286" t="s">
        <v>620</v>
      </c>
      <c r="AE93" s="44"/>
      <c r="AF93" s="44"/>
      <c r="AG93" s="44"/>
      <c r="AH93" s="44"/>
      <c r="AI93" s="44"/>
      <c r="AJ93" s="44"/>
      <c r="AK93" s="44"/>
      <c r="AL93" s="44"/>
      <c r="AM93" s="44"/>
      <c r="AN93" s="44"/>
      <c r="AO93" s="44"/>
      <c r="AP93" s="44"/>
      <c r="AQ93" s="44"/>
      <c r="AR93" s="44"/>
      <c r="AS93" s="44"/>
      <c r="AT93" s="44"/>
      <c r="AU93" s="44"/>
      <c r="AV93" s="44"/>
      <c r="AW93" s="44"/>
      <c r="AX93" s="44"/>
    </row>
    <row r="94" spans="1:56" ht="27" customHeight="1" x14ac:dyDescent="0.3">
      <c r="A94" s="758"/>
      <c r="B94" s="761" t="s">
        <v>266</v>
      </c>
      <c r="C94" s="763" t="s">
        <v>524</v>
      </c>
      <c r="D94" s="765" t="s">
        <v>679</v>
      </c>
      <c r="E94" s="194" t="s">
        <v>661</v>
      </c>
      <c r="F94" s="195">
        <v>0</v>
      </c>
      <c r="G94" s="195">
        <v>0</v>
      </c>
      <c r="H94" s="195">
        <v>0</v>
      </c>
      <c r="I94" s="195">
        <v>0</v>
      </c>
      <c r="J94" s="195">
        <v>0</v>
      </c>
      <c r="K94" s="195">
        <v>0</v>
      </c>
      <c r="L94" s="195">
        <v>0</v>
      </c>
      <c r="M94" s="195">
        <v>0.35</v>
      </c>
      <c r="N94" s="195">
        <v>0.69</v>
      </c>
      <c r="O94" s="195">
        <v>0.43</v>
      </c>
      <c r="P94" s="195">
        <v>0.37</v>
      </c>
      <c r="Q94" s="195">
        <v>0.43</v>
      </c>
      <c r="R94" s="195">
        <v>0.57999999999999996</v>
      </c>
      <c r="S94" s="195">
        <v>0.48</v>
      </c>
      <c r="T94" s="195">
        <v>0.37</v>
      </c>
      <c r="U94" s="195">
        <v>0.37</v>
      </c>
      <c r="V94" s="195">
        <v>0.46</v>
      </c>
      <c r="W94" s="195">
        <v>0.62</v>
      </c>
      <c r="X94" s="195">
        <v>0.2</v>
      </c>
      <c r="Y94" s="195">
        <v>0.12</v>
      </c>
      <c r="Z94" s="195">
        <v>0.04</v>
      </c>
      <c r="AA94" s="195">
        <v>0.04</v>
      </c>
      <c r="AB94" s="195">
        <v>0</v>
      </c>
      <c r="AC94" s="196">
        <v>0</v>
      </c>
      <c r="AD94" s="287">
        <f>SUM(F94:AC94)*261+ SUM(F95:AC95)*52+ SUM(F96:AC96)*52</f>
        <v>2025.75</v>
      </c>
      <c r="AE94" s="42"/>
      <c r="AL94" s="42"/>
      <c r="AM94" s="42"/>
      <c r="AN94" s="42"/>
      <c r="AO94" s="42"/>
      <c r="AP94" s="42"/>
      <c r="AQ94" s="42"/>
      <c r="AR94" s="42"/>
      <c r="AS94" s="42"/>
      <c r="AT94" s="42"/>
      <c r="AU94" s="42"/>
      <c r="AV94" s="42"/>
      <c r="AW94" s="42"/>
      <c r="AX94" s="42"/>
      <c r="AY94" s="42"/>
      <c r="AZ94" s="42"/>
      <c r="BA94" s="42"/>
      <c r="BB94" s="42"/>
      <c r="BC94" s="42"/>
      <c r="BD94" s="42"/>
    </row>
    <row r="95" spans="1:56" ht="27" customHeight="1" x14ac:dyDescent="0.3">
      <c r="A95" s="759"/>
      <c r="B95" s="720"/>
      <c r="C95" s="749"/>
      <c r="D95" s="766"/>
      <c r="E95" s="197" t="s">
        <v>662</v>
      </c>
      <c r="F95" s="198">
        <v>0</v>
      </c>
      <c r="G95" s="198">
        <v>0</v>
      </c>
      <c r="H95" s="198">
        <v>0</v>
      </c>
      <c r="I95" s="198">
        <v>0</v>
      </c>
      <c r="J95" s="198">
        <v>0</v>
      </c>
      <c r="K95" s="198">
        <v>0</v>
      </c>
      <c r="L95" s="198">
        <v>0</v>
      </c>
      <c r="M95" s="198">
        <v>0.35</v>
      </c>
      <c r="N95" s="198">
        <v>0.69</v>
      </c>
      <c r="O95" s="198">
        <v>0.43</v>
      </c>
      <c r="P95" s="198">
        <v>0.37</v>
      </c>
      <c r="Q95" s="198">
        <v>0.43</v>
      </c>
      <c r="R95" s="198">
        <v>0.57999999999999996</v>
      </c>
      <c r="S95" s="198">
        <v>0.48</v>
      </c>
      <c r="T95" s="198">
        <v>0.37</v>
      </c>
      <c r="U95" s="198">
        <v>0.37</v>
      </c>
      <c r="V95" s="198">
        <v>0.46</v>
      </c>
      <c r="W95" s="198">
        <v>0.62</v>
      </c>
      <c r="X95" s="198">
        <v>0.2</v>
      </c>
      <c r="Y95" s="198">
        <v>0.12</v>
      </c>
      <c r="Z95" s="198">
        <v>0.04</v>
      </c>
      <c r="AA95" s="198">
        <v>0.04</v>
      </c>
      <c r="AB95" s="198">
        <v>0</v>
      </c>
      <c r="AC95" s="199">
        <v>0</v>
      </c>
      <c r="AD95" s="42"/>
      <c r="AE95" s="42"/>
      <c r="AL95" s="42"/>
      <c r="AM95" s="42"/>
      <c r="AN95" s="42"/>
      <c r="AO95" s="42"/>
      <c r="AP95" s="42"/>
      <c r="AQ95" s="42"/>
      <c r="AR95" s="42"/>
      <c r="AS95" s="42"/>
      <c r="AT95" s="42"/>
      <c r="AU95" s="42"/>
      <c r="AV95" s="42"/>
      <c r="AW95" s="42"/>
      <c r="AX95" s="42"/>
      <c r="AY95" s="42"/>
      <c r="AZ95" s="42"/>
      <c r="BA95" s="42"/>
      <c r="BB95" s="42"/>
      <c r="BC95" s="42"/>
      <c r="BD95" s="42"/>
    </row>
    <row r="96" spans="1:56" ht="27" customHeight="1" thickBot="1" x14ac:dyDescent="0.35">
      <c r="A96" s="760"/>
      <c r="B96" s="762"/>
      <c r="C96" s="764"/>
      <c r="D96" s="767"/>
      <c r="E96" s="200" t="s">
        <v>663</v>
      </c>
      <c r="F96" s="201">
        <v>0</v>
      </c>
      <c r="G96" s="201">
        <v>0</v>
      </c>
      <c r="H96" s="201">
        <v>0</v>
      </c>
      <c r="I96" s="201">
        <v>0</v>
      </c>
      <c r="J96" s="201">
        <v>0</v>
      </c>
      <c r="K96" s="201">
        <v>0</v>
      </c>
      <c r="L96" s="201">
        <v>0</v>
      </c>
      <c r="M96" s="201">
        <v>0.35</v>
      </c>
      <c r="N96" s="201">
        <v>0.69</v>
      </c>
      <c r="O96" s="201">
        <v>0.43</v>
      </c>
      <c r="P96" s="201">
        <v>0.37</v>
      </c>
      <c r="Q96" s="201">
        <v>0.43</v>
      </c>
      <c r="R96" s="201">
        <v>0.57999999999999996</v>
      </c>
      <c r="S96" s="201">
        <v>0.48</v>
      </c>
      <c r="T96" s="201">
        <v>0.37</v>
      </c>
      <c r="U96" s="201">
        <v>0.37</v>
      </c>
      <c r="V96" s="201">
        <v>0.46</v>
      </c>
      <c r="W96" s="201">
        <v>0.62</v>
      </c>
      <c r="X96" s="201">
        <v>0.2</v>
      </c>
      <c r="Y96" s="201">
        <v>0.12</v>
      </c>
      <c r="Z96" s="201">
        <v>0.04</v>
      </c>
      <c r="AA96" s="201">
        <v>0.04</v>
      </c>
      <c r="AB96" s="201">
        <v>0</v>
      </c>
      <c r="AC96" s="202">
        <v>0</v>
      </c>
      <c r="AD96" s="42"/>
      <c r="AE96" s="42"/>
      <c r="AL96" s="42"/>
      <c r="AM96" s="42"/>
      <c r="AN96" s="42"/>
      <c r="AO96" s="42"/>
      <c r="AP96" s="42"/>
      <c r="AQ96" s="42"/>
      <c r="AR96" s="42"/>
      <c r="AS96" s="42"/>
      <c r="AT96" s="42"/>
      <c r="AU96" s="42"/>
      <c r="AV96" s="42"/>
      <c r="AW96" s="42"/>
      <c r="AX96" s="42"/>
      <c r="AY96" s="42"/>
      <c r="AZ96" s="42"/>
      <c r="BA96" s="42"/>
      <c r="BB96" s="42"/>
      <c r="BC96" s="42"/>
      <c r="BD96" s="42"/>
    </row>
    <row r="97" spans="1:56" ht="27" customHeight="1" x14ac:dyDescent="0.3">
      <c r="A97" s="768"/>
      <c r="B97" s="757" t="s">
        <v>266</v>
      </c>
      <c r="C97" s="770" t="s">
        <v>680</v>
      </c>
      <c r="D97" s="752"/>
      <c r="E97" s="203" t="s">
        <v>661</v>
      </c>
      <c r="F97" s="204">
        <v>1</v>
      </c>
      <c r="G97" s="204">
        <v>1</v>
      </c>
      <c r="H97" s="204">
        <v>1</v>
      </c>
      <c r="I97" s="204">
        <v>1</v>
      </c>
      <c r="J97" s="204">
        <v>1</v>
      </c>
      <c r="K97" s="204">
        <v>1</v>
      </c>
      <c r="L97" s="204">
        <v>1</v>
      </c>
      <c r="M97" s="204">
        <v>1</v>
      </c>
      <c r="N97" s="204">
        <v>1</v>
      </c>
      <c r="O97" s="204">
        <v>1</v>
      </c>
      <c r="P97" s="204">
        <v>1</v>
      </c>
      <c r="Q97" s="204">
        <v>1</v>
      </c>
      <c r="R97" s="204">
        <v>1</v>
      </c>
      <c r="S97" s="204">
        <v>1</v>
      </c>
      <c r="T97" s="204">
        <v>1</v>
      </c>
      <c r="U97" s="204">
        <v>1</v>
      </c>
      <c r="V97" s="204">
        <v>1</v>
      </c>
      <c r="W97" s="204">
        <v>1</v>
      </c>
      <c r="X97" s="204">
        <v>1</v>
      </c>
      <c r="Y97" s="204">
        <v>1</v>
      </c>
      <c r="Z97" s="204">
        <v>1</v>
      </c>
      <c r="AA97" s="204">
        <v>1</v>
      </c>
      <c r="AB97" s="204">
        <v>1</v>
      </c>
      <c r="AC97" s="205">
        <v>1</v>
      </c>
      <c r="AD97" s="42"/>
      <c r="AE97" s="42"/>
      <c r="AL97" s="42"/>
      <c r="AM97" s="42"/>
      <c r="AN97" s="42"/>
      <c r="AO97" s="42"/>
      <c r="AP97" s="42"/>
      <c r="AQ97" s="42"/>
      <c r="AR97" s="42"/>
      <c r="AS97" s="42"/>
      <c r="AT97" s="42"/>
      <c r="AU97" s="42"/>
      <c r="AV97" s="42"/>
      <c r="AW97" s="42"/>
      <c r="AX97" s="42"/>
      <c r="AY97" s="42"/>
      <c r="AZ97" s="42"/>
      <c r="BA97" s="42"/>
      <c r="BB97" s="42"/>
      <c r="BC97" s="42"/>
      <c r="BD97" s="42"/>
    </row>
    <row r="98" spans="1:56" ht="27" customHeight="1" x14ac:dyDescent="0.3">
      <c r="A98" s="717"/>
      <c r="B98" s="720"/>
      <c r="C98" s="749"/>
      <c r="D98" s="752"/>
      <c r="E98" s="197" t="s">
        <v>662</v>
      </c>
      <c r="F98" s="206">
        <v>1</v>
      </c>
      <c r="G98" s="206">
        <v>1</v>
      </c>
      <c r="H98" s="206">
        <v>1</v>
      </c>
      <c r="I98" s="206">
        <v>1</v>
      </c>
      <c r="J98" s="206">
        <v>1</v>
      </c>
      <c r="K98" s="206">
        <v>1</v>
      </c>
      <c r="L98" s="206">
        <v>1</v>
      </c>
      <c r="M98" s="206">
        <v>1</v>
      </c>
      <c r="N98" s="206">
        <v>1</v>
      </c>
      <c r="O98" s="206">
        <v>1</v>
      </c>
      <c r="P98" s="206">
        <v>1</v>
      </c>
      <c r="Q98" s="206">
        <v>1</v>
      </c>
      <c r="R98" s="206">
        <v>1</v>
      </c>
      <c r="S98" s="206">
        <v>1</v>
      </c>
      <c r="T98" s="206">
        <v>1</v>
      </c>
      <c r="U98" s="206">
        <v>1</v>
      </c>
      <c r="V98" s="206">
        <v>1</v>
      </c>
      <c r="W98" s="206">
        <v>1</v>
      </c>
      <c r="X98" s="206">
        <v>1</v>
      </c>
      <c r="Y98" s="206">
        <v>1</v>
      </c>
      <c r="Z98" s="206">
        <v>1</v>
      </c>
      <c r="AA98" s="206">
        <v>1</v>
      </c>
      <c r="AB98" s="206">
        <v>1</v>
      </c>
      <c r="AC98" s="207">
        <v>1</v>
      </c>
      <c r="AD98" s="42"/>
      <c r="AE98" s="42"/>
      <c r="AL98" s="42"/>
      <c r="AM98" s="42"/>
      <c r="AN98" s="42"/>
      <c r="AO98" s="42"/>
      <c r="AP98" s="42"/>
      <c r="AQ98" s="42"/>
      <c r="AR98" s="42"/>
      <c r="AS98" s="42"/>
      <c r="AT98" s="42"/>
      <c r="AU98" s="42"/>
      <c r="AV98" s="42"/>
      <c r="AW98" s="42"/>
      <c r="AX98" s="42"/>
      <c r="AY98" s="42"/>
      <c r="AZ98" s="42"/>
      <c r="BA98" s="42"/>
      <c r="BB98" s="42"/>
      <c r="BC98" s="42"/>
      <c r="BD98" s="42"/>
    </row>
    <row r="99" spans="1:56" ht="27" customHeight="1" thickBot="1" x14ac:dyDescent="0.35">
      <c r="A99" s="769"/>
      <c r="B99" s="747"/>
      <c r="C99" s="750"/>
      <c r="D99" s="753"/>
      <c r="E99" s="208" t="s">
        <v>663</v>
      </c>
      <c r="F99" s="209">
        <v>1</v>
      </c>
      <c r="G99" s="209">
        <v>1</v>
      </c>
      <c r="H99" s="209">
        <v>1</v>
      </c>
      <c r="I99" s="209">
        <v>1</v>
      </c>
      <c r="J99" s="209">
        <v>1</v>
      </c>
      <c r="K99" s="209">
        <v>1</v>
      </c>
      <c r="L99" s="209">
        <v>1</v>
      </c>
      <c r="M99" s="209">
        <v>1</v>
      </c>
      <c r="N99" s="209">
        <v>1</v>
      </c>
      <c r="O99" s="209">
        <v>1</v>
      </c>
      <c r="P99" s="209">
        <v>1</v>
      </c>
      <c r="Q99" s="209">
        <v>1</v>
      </c>
      <c r="R99" s="209">
        <v>1</v>
      </c>
      <c r="S99" s="209">
        <v>1</v>
      </c>
      <c r="T99" s="209">
        <v>1</v>
      </c>
      <c r="U99" s="209">
        <v>1</v>
      </c>
      <c r="V99" s="209">
        <v>1</v>
      </c>
      <c r="W99" s="209">
        <v>1</v>
      </c>
      <c r="X99" s="209">
        <v>1</v>
      </c>
      <c r="Y99" s="209">
        <v>1</v>
      </c>
      <c r="Z99" s="209">
        <v>1</v>
      </c>
      <c r="AA99" s="209">
        <v>1</v>
      </c>
      <c r="AB99" s="209">
        <v>1</v>
      </c>
      <c r="AC99" s="210">
        <v>1</v>
      </c>
      <c r="AD99" s="42"/>
      <c r="AE99" s="42"/>
      <c r="AL99" s="42"/>
      <c r="AM99" s="42"/>
      <c r="AN99" s="42"/>
      <c r="AO99" s="42"/>
      <c r="AP99" s="42"/>
      <c r="AQ99" s="42"/>
      <c r="AR99" s="42"/>
      <c r="AS99" s="42"/>
      <c r="AT99" s="42"/>
      <c r="AU99" s="42"/>
      <c r="AV99" s="42"/>
      <c r="AW99" s="42"/>
      <c r="AX99" s="42"/>
      <c r="AY99" s="42"/>
      <c r="AZ99" s="42"/>
      <c r="BA99" s="42"/>
      <c r="BB99" s="42"/>
      <c r="BC99" s="42"/>
      <c r="BD99" s="42"/>
    </row>
    <row r="100" spans="1:56" ht="27" customHeight="1" x14ac:dyDescent="0.3">
      <c r="A100" s="716"/>
      <c r="B100" s="722" t="s">
        <v>266</v>
      </c>
      <c r="C100" s="748" t="s">
        <v>681</v>
      </c>
      <c r="D100" s="751"/>
      <c r="E100" s="211" t="s">
        <v>661</v>
      </c>
      <c r="F100" s="212">
        <v>0</v>
      </c>
      <c r="G100" s="212">
        <v>0</v>
      </c>
      <c r="H100" s="212">
        <v>0</v>
      </c>
      <c r="I100" s="212">
        <v>0</v>
      </c>
      <c r="J100" s="212">
        <v>0</v>
      </c>
      <c r="K100" s="212">
        <v>1</v>
      </c>
      <c r="L100" s="212">
        <v>1</v>
      </c>
      <c r="M100" s="212">
        <v>1</v>
      </c>
      <c r="N100" s="212">
        <v>1</v>
      </c>
      <c r="O100" s="212">
        <v>1</v>
      </c>
      <c r="P100" s="212">
        <v>1</v>
      </c>
      <c r="Q100" s="212">
        <v>1</v>
      </c>
      <c r="R100" s="212">
        <v>1</v>
      </c>
      <c r="S100" s="212">
        <v>1</v>
      </c>
      <c r="T100" s="212">
        <v>1</v>
      </c>
      <c r="U100" s="212">
        <v>1</v>
      </c>
      <c r="V100" s="212">
        <v>1</v>
      </c>
      <c r="W100" s="212">
        <v>1</v>
      </c>
      <c r="X100" s="212">
        <v>1</v>
      </c>
      <c r="Y100" s="212">
        <v>1</v>
      </c>
      <c r="Z100" s="212">
        <v>1</v>
      </c>
      <c r="AA100" s="212">
        <v>1</v>
      </c>
      <c r="AB100" s="212">
        <v>0</v>
      </c>
      <c r="AC100" s="213">
        <v>0</v>
      </c>
      <c r="AD100" s="42"/>
      <c r="AE100" s="42"/>
      <c r="AL100" s="42"/>
      <c r="AM100" s="42"/>
      <c r="AN100" s="42"/>
      <c r="AO100" s="42"/>
      <c r="AP100" s="42"/>
      <c r="AQ100" s="42"/>
      <c r="AR100" s="42"/>
      <c r="AS100" s="42"/>
      <c r="AT100" s="42"/>
      <c r="AU100" s="42"/>
      <c r="AV100" s="42"/>
      <c r="AW100" s="42"/>
      <c r="AX100" s="42"/>
      <c r="AY100" s="42"/>
      <c r="AZ100" s="42"/>
      <c r="BA100" s="42"/>
      <c r="BB100" s="42"/>
      <c r="BC100" s="42"/>
      <c r="BD100" s="42"/>
    </row>
    <row r="101" spans="1:56" ht="27" customHeight="1" x14ac:dyDescent="0.3">
      <c r="A101" s="717"/>
      <c r="B101" s="720"/>
      <c r="C101" s="749"/>
      <c r="D101" s="752"/>
      <c r="E101" s="197" t="s">
        <v>662</v>
      </c>
      <c r="F101" s="206">
        <v>0</v>
      </c>
      <c r="G101" s="206">
        <v>0</v>
      </c>
      <c r="H101" s="206">
        <v>0</v>
      </c>
      <c r="I101" s="206">
        <v>0</v>
      </c>
      <c r="J101" s="206">
        <v>0</v>
      </c>
      <c r="K101" s="206">
        <v>1</v>
      </c>
      <c r="L101" s="206">
        <v>1</v>
      </c>
      <c r="M101" s="206">
        <v>1</v>
      </c>
      <c r="N101" s="206">
        <v>1</v>
      </c>
      <c r="O101" s="206">
        <v>1</v>
      </c>
      <c r="P101" s="206">
        <v>1</v>
      </c>
      <c r="Q101" s="206">
        <v>1</v>
      </c>
      <c r="R101" s="206">
        <v>1</v>
      </c>
      <c r="S101" s="206">
        <v>1</v>
      </c>
      <c r="T101" s="206">
        <v>1</v>
      </c>
      <c r="U101" s="206">
        <v>1</v>
      </c>
      <c r="V101" s="206">
        <v>1</v>
      </c>
      <c r="W101" s="206">
        <v>1</v>
      </c>
      <c r="X101" s="206">
        <v>1</v>
      </c>
      <c r="Y101" s="206">
        <v>1</v>
      </c>
      <c r="Z101" s="206">
        <v>1</v>
      </c>
      <c r="AA101" s="206">
        <v>1</v>
      </c>
      <c r="AB101" s="206">
        <v>1</v>
      </c>
      <c r="AC101" s="207">
        <v>1</v>
      </c>
      <c r="AD101" s="42"/>
      <c r="AE101" s="42"/>
      <c r="AL101" s="42"/>
      <c r="AM101" s="42"/>
      <c r="AN101" s="42"/>
      <c r="AO101" s="42"/>
      <c r="AP101" s="42"/>
      <c r="AQ101" s="42"/>
      <c r="AR101" s="42"/>
      <c r="AS101" s="42"/>
      <c r="AT101" s="42"/>
      <c r="AU101" s="42"/>
      <c r="AV101" s="42"/>
      <c r="AW101" s="42"/>
      <c r="AX101" s="42"/>
      <c r="AY101" s="42"/>
      <c r="AZ101" s="42"/>
      <c r="BA101" s="42"/>
      <c r="BB101" s="42"/>
      <c r="BC101" s="42"/>
      <c r="BD101" s="42"/>
    </row>
    <row r="102" spans="1:56" ht="27" customHeight="1" thickBot="1" x14ac:dyDescent="0.35">
      <c r="A102" s="769"/>
      <c r="B102" s="747"/>
      <c r="C102" s="750"/>
      <c r="D102" s="753"/>
      <c r="E102" s="208" t="s">
        <v>663</v>
      </c>
      <c r="F102" s="209">
        <v>0</v>
      </c>
      <c r="G102" s="209">
        <v>0</v>
      </c>
      <c r="H102" s="209">
        <v>0</v>
      </c>
      <c r="I102" s="209">
        <v>0</v>
      </c>
      <c r="J102" s="209">
        <v>0</v>
      </c>
      <c r="K102" s="209">
        <v>1</v>
      </c>
      <c r="L102" s="209">
        <v>1</v>
      </c>
      <c r="M102" s="209">
        <v>1</v>
      </c>
      <c r="N102" s="209">
        <v>1</v>
      </c>
      <c r="O102" s="209">
        <v>1</v>
      </c>
      <c r="P102" s="209">
        <v>1</v>
      </c>
      <c r="Q102" s="209">
        <v>1</v>
      </c>
      <c r="R102" s="209">
        <v>1</v>
      </c>
      <c r="S102" s="209">
        <v>1</v>
      </c>
      <c r="T102" s="209">
        <v>1</v>
      </c>
      <c r="U102" s="209">
        <v>1</v>
      </c>
      <c r="V102" s="209">
        <v>1</v>
      </c>
      <c r="W102" s="209">
        <v>1</v>
      </c>
      <c r="X102" s="209">
        <v>1</v>
      </c>
      <c r="Y102" s="209">
        <v>1</v>
      </c>
      <c r="Z102" s="209">
        <v>1</v>
      </c>
      <c r="AA102" s="209">
        <v>1</v>
      </c>
      <c r="AB102" s="209">
        <v>1</v>
      </c>
      <c r="AC102" s="210">
        <v>1</v>
      </c>
      <c r="AD102" s="42"/>
      <c r="AE102" s="42"/>
      <c r="AL102" s="42"/>
      <c r="AM102" s="42"/>
      <c r="AN102" s="42"/>
      <c r="AO102" s="42"/>
      <c r="AP102" s="42"/>
      <c r="AQ102" s="42"/>
      <c r="AR102" s="42"/>
      <c r="AS102" s="42"/>
      <c r="AT102" s="42"/>
      <c r="AU102" s="42"/>
      <c r="AV102" s="42"/>
      <c r="AW102" s="42"/>
      <c r="AX102" s="42"/>
      <c r="AY102" s="42"/>
      <c r="AZ102" s="42"/>
      <c r="BA102" s="42"/>
      <c r="BB102" s="42"/>
      <c r="BC102" s="42"/>
      <c r="BD102" s="42"/>
    </row>
    <row r="103" spans="1:56" ht="27" customHeight="1" x14ac:dyDescent="0.3">
      <c r="A103" s="687" t="s">
        <v>682</v>
      </c>
      <c r="B103" s="771" t="s">
        <v>266</v>
      </c>
      <c r="C103" s="774" t="s">
        <v>683</v>
      </c>
      <c r="D103" s="751" t="s">
        <v>684</v>
      </c>
      <c r="E103" s="211" t="s">
        <v>661</v>
      </c>
      <c r="F103" s="212">
        <v>110</v>
      </c>
      <c r="G103" s="212">
        <v>110</v>
      </c>
      <c r="H103" s="212">
        <v>110</v>
      </c>
      <c r="I103" s="212">
        <v>110</v>
      </c>
      <c r="J103" s="212">
        <v>110</v>
      </c>
      <c r="K103" s="212">
        <v>110</v>
      </c>
      <c r="L103" s="212">
        <v>110</v>
      </c>
      <c r="M103" s="212">
        <v>130</v>
      </c>
      <c r="N103" s="212">
        <v>130</v>
      </c>
      <c r="O103" s="212">
        <v>130</v>
      </c>
      <c r="P103" s="212">
        <v>130</v>
      </c>
      <c r="Q103" s="212">
        <v>140</v>
      </c>
      <c r="R103" s="212">
        <v>140</v>
      </c>
      <c r="S103" s="212">
        <v>140</v>
      </c>
      <c r="T103" s="212">
        <v>140</v>
      </c>
      <c r="U103" s="212">
        <v>140</v>
      </c>
      <c r="V103" s="212">
        <v>110</v>
      </c>
      <c r="W103" s="212">
        <v>110</v>
      </c>
      <c r="X103" s="212">
        <v>110</v>
      </c>
      <c r="Y103" s="212">
        <v>110</v>
      </c>
      <c r="Z103" s="212">
        <v>110</v>
      </c>
      <c r="AA103" s="212">
        <v>110</v>
      </c>
      <c r="AB103" s="212">
        <v>110</v>
      </c>
      <c r="AC103" s="213">
        <v>110</v>
      </c>
      <c r="AD103" s="42"/>
      <c r="AE103" s="42"/>
      <c r="AL103" s="42"/>
      <c r="AM103" s="42"/>
      <c r="AN103" s="42"/>
      <c r="AO103" s="42"/>
      <c r="AP103" s="42"/>
      <c r="AQ103" s="42"/>
      <c r="AR103" s="42"/>
      <c r="AS103" s="42"/>
      <c r="AT103" s="42"/>
      <c r="AU103" s="42"/>
      <c r="AV103" s="42"/>
      <c r="AW103" s="42"/>
      <c r="AX103" s="42"/>
      <c r="AY103" s="42"/>
      <c r="AZ103" s="42"/>
      <c r="BA103" s="42"/>
      <c r="BB103" s="42"/>
      <c r="BC103" s="42"/>
      <c r="BD103" s="42"/>
    </row>
    <row r="104" spans="1:56" ht="27" customHeight="1" x14ac:dyDescent="0.3">
      <c r="A104" s="688"/>
      <c r="B104" s="772"/>
      <c r="C104" s="749"/>
      <c r="D104" s="752"/>
      <c r="E104" s="197" t="s">
        <v>662</v>
      </c>
      <c r="F104" s="206">
        <v>110</v>
      </c>
      <c r="G104" s="206">
        <v>110</v>
      </c>
      <c r="H104" s="206">
        <v>110</v>
      </c>
      <c r="I104" s="206">
        <v>110</v>
      </c>
      <c r="J104" s="206">
        <v>110</v>
      </c>
      <c r="K104" s="206">
        <v>110</v>
      </c>
      <c r="L104" s="206">
        <v>110</v>
      </c>
      <c r="M104" s="206">
        <v>130</v>
      </c>
      <c r="N104" s="206">
        <v>130</v>
      </c>
      <c r="O104" s="206">
        <v>130</v>
      </c>
      <c r="P104" s="206">
        <v>130</v>
      </c>
      <c r="Q104" s="206">
        <v>140</v>
      </c>
      <c r="R104" s="206">
        <v>140</v>
      </c>
      <c r="S104" s="206">
        <v>140</v>
      </c>
      <c r="T104" s="206">
        <v>140</v>
      </c>
      <c r="U104" s="206">
        <v>140</v>
      </c>
      <c r="V104" s="206">
        <v>110</v>
      </c>
      <c r="W104" s="206">
        <v>110</v>
      </c>
      <c r="X104" s="206">
        <v>110</v>
      </c>
      <c r="Y104" s="206">
        <v>110</v>
      </c>
      <c r="Z104" s="206">
        <v>110</v>
      </c>
      <c r="AA104" s="206">
        <v>110</v>
      </c>
      <c r="AB104" s="206">
        <v>110</v>
      </c>
      <c r="AC104" s="207">
        <v>110</v>
      </c>
      <c r="AD104" s="42"/>
      <c r="AE104" s="42"/>
      <c r="AL104" s="42"/>
      <c r="AM104" s="42"/>
      <c r="AN104" s="42"/>
      <c r="AO104" s="42"/>
      <c r="AP104" s="42"/>
      <c r="AQ104" s="42"/>
      <c r="AR104" s="42"/>
      <c r="AS104" s="42"/>
      <c r="AT104" s="42"/>
      <c r="AU104" s="42"/>
      <c r="AV104" s="42"/>
      <c r="AW104" s="42"/>
      <c r="AX104" s="42"/>
      <c r="AY104" s="42"/>
      <c r="AZ104" s="42"/>
      <c r="BA104" s="42"/>
      <c r="BB104" s="42"/>
      <c r="BC104" s="42"/>
      <c r="BD104" s="42"/>
    </row>
    <row r="105" spans="1:56" ht="27" customHeight="1" thickBot="1" x14ac:dyDescent="0.35">
      <c r="A105" s="689"/>
      <c r="B105" s="773"/>
      <c r="C105" s="750"/>
      <c r="D105" s="753"/>
      <c r="E105" s="208" t="s">
        <v>663</v>
      </c>
      <c r="F105" s="209">
        <v>110</v>
      </c>
      <c r="G105" s="209">
        <v>110</v>
      </c>
      <c r="H105" s="209">
        <v>110</v>
      </c>
      <c r="I105" s="209">
        <v>110</v>
      </c>
      <c r="J105" s="209">
        <v>110</v>
      </c>
      <c r="K105" s="209">
        <v>110</v>
      </c>
      <c r="L105" s="209">
        <v>110</v>
      </c>
      <c r="M105" s="209">
        <v>130</v>
      </c>
      <c r="N105" s="209">
        <v>130</v>
      </c>
      <c r="O105" s="209">
        <v>130</v>
      </c>
      <c r="P105" s="209">
        <v>130</v>
      </c>
      <c r="Q105" s="209">
        <v>140</v>
      </c>
      <c r="R105" s="209">
        <v>140</v>
      </c>
      <c r="S105" s="209">
        <v>140</v>
      </c>
      <c r="T105" s="209">
        <v>140</v>
      </c>
      <c r="U105" s="209">
        <v>140</v>
      </c>
      <c r="V105" s="209">
        <v>110</v>
      </c>
      <c r="W105" s="209">
        <v>110</v>
      </c>
      <c r="X105" s="209">
        <v>110</v>
      </c>
      <c r="Y105" s="209">
        <v>110</v>
      </c>
      <c r="Z105" s="209">
        <v>110</v>
      </c>
      <c r="AA105" s="209">
        <v>110</v>
      </c>
      <c r="AB105" s="209">
        <v>110</v>
      </c>
      <c r="AC105" s="210">
        <v>110</v>
      </c>
      <c r="AD105" s="42"/>
      <c r="AE105" s="42"/>
      <c r="AL105" s="42"/>
      <c r="AM105" s="42"/>
      <c r="AN105" s="42"/>
      <c r="AO105" s="42"/>
      <c r="AP105" s="42"/>
      <c r="AQ105" s="42"/>
      <c r="AR105" s="42"/>
      <c r="AS105" s="42"/>
      <c r="AT105" s="42"/>
      <c r="AU105" s="42"/>
      <c r="AV105" s="42"/>
      <c r="AW105" s="42"/>
      <c r="AX105" s="42"/>
      <c r="AY105" s="42"/>
      <c r="AZ105" s="42"/>
      <c r="BA105" s="42"/>
      <c r="BB105" s="42"/>
      <c r="BC105" s="42"/>
      <c r="BD105" s="42"/>
    </row>
    <row r="106" spans="1:56" ht="27" customHeight="1" x14ac:dyDescent="0.3">
      <c r="A106" s="716" t="s">
        <v>109</v>
      </c>
      <c r="B106" s="722" t="s">
        <v>266</v>
      </c>
      <c r="C106" s="748" t="s">
        <v>685</v>
      </c>
      <c r="D106" s="751" t="s">
        <v>684</v>
      </c>
      <c r="E106" s="211" t="s">
        <v>661</v>
      </c>
      <c r="F106" s="212">
        <v>131.9</v>
      </c>
      <c r="G106" s="212">
        <v>131.9</v>
      </c>
      <c r="H106" s="212">
        <v>131.9</v>
      </c>
      <c r="I106" s="212">
        <v>131.9</v>
      </c>
      <c r="J106" s="212">
        <v>131.9</v>
      </c>
      <c r="K106" s="212">
        <v>131.9</v>
      </c>
      <c r="L106" s="212">
        <v>131.9</v>
      </c>
      <c r="M106" s="212">
        <v>131.9</v>
      </c>
      <c r="N106" s="212">
        <v>131.9</v>
      </c>
      <c r="O106" s="212">
        <v>131.9</v>
      </c>
      <c r="P106" s="212">
        <v>131.9</v>
      </c>
      <c r="Q106" s="212">
        <v>131.9</v>
      </c>
      <c r="R106" s="212">
        <v>131.9</v>
      </c>
      <c r="S106" s="212">
        <v>131.9</v>
      </c>
      <c r="T106" s="212">
        <v>131.9</v>
      </c>
      <c r="U106" s="212">
        <v>131.9</v>
      </c>
      <c r="V106" s="212">
        <v>131.9</v>
      </c>
      <c r="W106" s="212">
        <v>131.9</v>
      </c>
      <c r="X106" s="212">
        <v>131.9</v>
      </c>
      <c r="Y106" s="212">
        <v>131.9</v>
      </c>
      <c r="Z106" s="212">
        <v>131.9</v>
      </c>
      <c r="AA106" s="212">
        <v>131.9</v>
      </c>
      <c r="AB106" s="212">
        <v>131.9</v>
      </c>
      <c r="AC106" s="213">
        <v>131.9</v>
      </c>
      <c r="AD106" s="42"/>
      <c r="AE106" s="42"/>
      <c r="AL106" s="42"/>
      <c r="AM106" s="42"/>
      <c r="AN106" s="42"/>
      <c r="AO106" s="42"/>
      <c r="AP106" s="42"/>
      <c r="AQ106" s="42"/>
      <c r="AR106" s="42"/>
      <c r="AS106" s="42"/>
      <c r="AT106" s="42"/>
      <c r="AU106" s="42"/>
      <c r="AV106" s="42"/>
      <c r="AW106" s="42"/>
      <c r="AX106" s="42"/>
      <c r="AY106" s="42"/>
      <c r="AZ106" s="42"/>
      <c r="BA106" s="42"/>
      <c r="BB106" s="42"/>
      <c r="BC106" s="42"/>
      <c r="BD106" s="42"/>
    </row>
    <row r="107" spans="1:56" ht="27" customHeight="1" x14ac:dyDescent="0.3">
      <c r="A107" s="717"/>
      <c r="B107" s="720"/>
      <c r="C107" s="749"/>
      <c r="D107" s="752"/>
      <c r="E107" s="197" t="s">
        <v>662</v>
      </c>
      <c r="F107" s="206">
        <v>131.9</v>
      </c>
      <c r="G107" s="206">
        <v>131.9</v>
      </c>
      <c r="H107" s="206">
        <v>131.9</v>
      </c>
      <c r="I107" s="206">
        <v>131.9</v>
      </c>
      <c r="J107" s="206">
        <v>131.9</v>
      </c>
      <c r="K107" s="206">
        <v>131.9</v>
      </c>
      <c r="L107" s="206">
        <v>131.9</v>
      </c>
      <c r="M107" s="206">
        <v>131.9</v>
      </c>
      <c r="N107" s="206">
        <v>131.9</v>
      </c>
      <c r="O107" s="206">
        <v>131.9</v>
      </c>
      <c r="P107" s="206">
        <v>131.9</v>
      </c>
      <c r="Q107" s="206">
        <v>131.9</v>
      </c>
      <c r="R107" s="206">
        <v>131.9</v>
      </c>
      <c r="S107" s="206">
        <v>131.9</v>
      </c>
      <c r="T107" s="206">
        <v>131.9</v>
      </c>
      <c r="U107" s="206">
        <v>131.9</v>
      </c>
      <c r="V107" s="206">
        <v>131.9</v>
      </c>
      <c r="W107" s="206">
        <v>131.9</v>
      </c>
      <c r="X107" s="206">
        <v>131.9</v>
      </c>
      <c r="Y107" s="206">
        <v>131.9</v>
      </c>
      <c r="Z107" s="206">
        <v>131.9</v>
      </c>
      <c r="AA107" s="206">
        <v>131.9</v>
      </c>
      <c r="AB107" s="206">
        <v>131.9</v>
      </c>
      <c r="AC107" s="207">
        <v>131.9</v>
      </c>
      <c r="AD107" s="42"/>
      <c r="AE107" s="42"/>
      <c r="AL107" s="42"/>
      <c r="AM107" s="42"/>
      <c r="AN107" s="42"/>
      <c r="AO107" s="42"/>
      <c r="AP107" s="42"/>
      <c r="AQ107" s="42"/>
      <c r="AR107" s="42"/>
      <c r="AS107" s="42"/>
      <c r="AT107" s="42"/>
      <c r="AU107" s="42"/>
      <c r="AV107" s="42"/>
      <c r="AW107" s="42"/>
      <c r="AX107" s="42"/>
      <c r="AY107" s="42"/>
      <c r="AZ107" s="42"/>
      <c r="BA107" s="42"/>
      <c r="BB107" s="42"/>
      <c r="BC107" s="42"/>
      <c r="BD107" s="42"/>
    </row>
    <row r="108" spans="1:56" ht="27" customHeight="1" thickBot="1" x14ac:dyDescent="0.35">
      <c r="A108" s="769"/>
      <c r="B108" s="747"/>
      <c r="C108" s="750"/>
      <c r="D108" s="753"/>
      <c r="E108" s="208" t="s">
        <v>663</v>
      </c>
      <c r="F108" s="209">
        <v>131.9</v>
      </c>
      <c r="G108" s="209">
        <v>131.9</v>
      </c>
      <c r="H108" s="209">
        <v>131.9</v>
      </c>
      <c r="I108" s="209">
        <v>131.9</v>
      </c>
      <c r="J108" s="209">
        <v>131.9</v>
      </c>
      <c r="K108" s="209">
        <v>131.9</v>
      </c>
      <c r="L108" s="209">
        <v>131.9</v>
      </c>
      <c r="M108" s="209">
        <v>131.9</v>
      </c>
      <c r="N108" s="209">
        <v>131.9</v>
      </c>
      <c r="O108" s="209">
        <v>131.9</v>
      </c>
      <c r="P108" s="209">
        <v>131.9</v>
      </c>
      <c r="Q108" s="209">
        <v>131.9</v>
      </c>
      <c r="R108" s="209">
        <v>131.9</v>
      </c>
      <c r="S108" s="209">
        <v>131.9</v>
      </c>
      <c r="T108" s="209">
        <v>131.9</v>
      </c>
      <c r="U108" s="209">
        <v>131.9</v>
      </c>
      <c r="V108" s="209">
        <v>131.9</v>
      </c>
      <c r="W108" s="209">
        <v>131.9</v>
      </c>
      <c r="X108" s="209">
        <v>131.9</v>
      </c>
      <c r="Y108" s="209">
        <v>131.9</v>
      </c>
      <c r="Z108" s="209">
        <v>131.9</v>
      </c>
      <c r="AA108" s="209">
        <v>131.9</v>
      </c>
      <c r="AB108" s="209">
        <v>131.9</v>
      </c>
      <c r="AC108" s="210">
        <v>131.9</v>
      </c>
      <c r="AD108" s="42"/>
      <c r="AE108" s="42"/>
      <c r="AL108" s="42"/>
      <c r="AM108" s="42"/>
      <c r="AN108" s="42"/>
      <c r="AO108" s="42"/>
      <c r="AP108" s="42"/>
      <c r="AQ108" s="42"/>
      <c r="AR108" s="42"/>
      <c r="AS108" s="42"/>
      <c r="AT108" s="42"/>
      <c r="AU108" s="42"/>
      <c r="AV108" s="42"/>
      <c r="AW108" s="42"/>
      <c r="AX108" s="42"/>
      <c r="AY108" s="42"/>
      <c r="AZ108" s="42"/>
      <c r="BA108" s="42"/>
      <c r="BB108" s="42"/>
      <c r="BC108" s="42"/>
      <c r="BD108" s="42"/>
    </row>
    <row r="109" spans="1:56" ht="27" customHeight="1" x14ac:dyDescent="0.3">
      <c r="A109" s="716" t="s">
        <v>686</v>
      </c>
      <c r="B109" s="722" t="s">
        <v>266</v>
      </c>
      <c r="C109" s="748" t="s">
        <v>687</v>
      </c>
      <c r="D109" s="751" t="s">
        <v>684</v>
      </c>
      <c r="E109" s="211" t="s">
        <v>661</v>
      </c>
      <c r="F109" s="212">
        <v>117.2</v>
      </c>
      <c r="G109" s="212">
        <v>117.2</v>
      </c>
      <c r="H109" s="212">
        <v>117.2</v>
      </c>
      <c r="I109" s="212">
        <v>117.2</v>
      </c>
      <c r="J109" s="212">
        <v>117.2</v>
      </c>
      <c r="K109" s="212">
        <v>117.2</v>
      </c>
      <c r="L109" s="212">
        <v>117.2</v>
      </c>
      <c r="M109" s="212">
        <v>117.2</v>
      </c>
      <c r="N109" s="212">
        <v>117.2</v>
      </c>
      <c r="O109" s="212">
        <v>117.2</v>
      </c>
      <c r="P109" s="212">
        <v>117.2</v>
      </c>
      <c r="Q109" s="212">
        <v>117.2</v>
      </c>
      <c r="R109" s="212">
        <v>117.2</v>
      </c>
      <c r="S109" s="212">
        <v>117.2</v>
      </c>
      <c r="T109" s="212">
        <v>117.2</v>
      </c>
      <c r="U109" s="212">
        <v>117.2</v>
      </c>
      <c r="V109" s="212">
        <v>117.2</v>
      </c>
      <c r="W109" s="212">
        <v>117.2</v>
      </c>
      <c r="X109" s="212">
        <v>117.2</v>
      </c>
      <c r="Y109" s="212">
        <v>117.2</v>
      </c>
      <c r="Z109" s="212">
        <v>117.2</v>
      </c>
      <c r="AA109" s="212">
        <v>117.2</v>
      </c>
      <c r="AB109" s="212">
        <v>117.2</v>
      </c>
      <c r="AC109" s="213">
        <v>117.2</v>
      </c>
      <c r="AD109" s="42"/>
      <c r="AE109" s="42"/>
      <c r="AL109" s="42"/>
      <c r="AM109" s="42"/>
      <c r="AN109" s="42"/>
      <c r="AO109" s="42"/>
      <c r="AP109" s="42"/>
      <c r="AQ109" s="42"/>
      <c r="AR109" s="42"/>
      <c r="AS109" s="42"/>
      <c r="AT109" s="42"/>
      <c r="AU109" s="42"/>
      <c r="AV109" s="42"/>
      <c r="AW109" s="42"/>
      <c r="AX109" s="42"/>
      <c r="AY109" s="42"/>
      <c r="AZ109" s="42"/>
      <c r="BA109" s="42"/>
      <c r="BB109" s="42"/>
      <c r="BC109" s="42"/>
      <c r="BD109" s="42"/>
    </row>
    <row r="110" spans="1:56" ht="27" customHeight="1" x14ac:dyDescent="0.3">
      <c r="A110" s="717"/>
      <c r="B110" s="720"/>
      <c r="C110" s="749"/>
      <c r="D110" s="752"/>
      <c r="E110" s="197" t="s">
        <v>662</v>
      </c>
      <c r="F110" s="206">
        <v>117.2</v>
      </c>
      <c r="G110" s="206">
        <v>117.2</v>
      </c>
      <c r="H110" s="206">
        <v>117.2</v>
      </c>
      <c r="I110" s="206">
        <v>117.2</v>
      </c>
      <c r="J110" s="206">
        <v>117.2</v>
      </c>
      <c r="K110" s="206">
        <v>117.2</v>
      </c>
      <c r="L110" s="206">
        <v>117.2</v>
      </c>
      <c r="M110" s="206">
        <v>117.2</v>
      </c>
      <c r="N110" s="206">
        <v>117.2</v>
      </c>
      <c r="O110" s="206">
        <v>117.2</v>
      </c>
      <c r="P110" s="206">
        <v>117.2</v>
      </c>
      <c r="Q110" s="206">
        <v>117.2</v>
      </c>
      <c r="R110" s="206">
        <v>117.2</v>
      </c>
      <c r="S110" s="206">
        <v>117.2</v>
      </c>
      <c r="T110" s="206">
        <v>117.2</v>
      </c>
      <c r="U110" s="206">
        <v>117.2</v>
      </c>
      <c r="V110" s="206">
        <v>117.2</v>
      </c>
      <c r="W110" s="206">
        <v>117.2</v>
      </c>
      <c r="X110" s="206">
        <v>117.2</v>
      </c>
      <c r="Y110" s="206">
        <v>117.2</v>
      </c>
      <c r="Z110" s="206">
        <v>117.2</v>
      </c>
      <c r="AA110" s="206">
        <v>117.2</v>
      </c>
      <c r="AB110" s="206">
        <v>117.2</v>
      </c>
      <c r="AC110" s="207">
        <v>117.2</v>
      </c>
      <c r="AD110" s="42"/>
      <c r="AE110" s="42"/>
      <c r="AL110" s="42"/>
      <c r="AM110" s="42"/>
      <c r="AN110" s="42"/>
      <c r="AO110" s="42"/>
      <c r="AP110" s="42"/>
      <c r="AQ110" s="42"/>
      <c r="AR110" s="42"/>
      <c r="AS110" s="42"/>
      <c r="AT110" s="42"/>
      <c r="AU110" s="42"/>
      <c r="AV110" s="42"/>
      <c r="AW110" s="42"/>
      <c r="AX110" s="42"/>
      <c r="AY110" s="42"/>
      <c r="AZ110" s="42"/>
      <c r="BA110" s="42"/>
      <c r="BB110" s="42"/>
      <c r="BC110" s="42"/>
      <c r="BD110" s="42"/>
    </row>
    <row r="111" spans="1:56" ht="27" customHeight="1" thickBot="1" x14ac:dyDescent="0.35">
      <c r="A111" s="769"/>
      <c r="B111" s="747"/>
      <c r="C111" s="750"/>
      <c r="D111" s="753"/>
      <c r="E111" s="208" t="s">
        <v>663</v>
      </c>
      <c r="F111" s="209">
        <v>117.2</v>
      </c>
      <c r="G111" s="209">
        <v>117.2</v>
      </c>
      <c r="H111" s="209">
        <v>117.2</v>
      </c>
      <c r="I111" s="209">
        <v>117.2</v>
      </c>
      <c r="J111" s="209">
        <v>117.2</v>
      </c>
      <c r="K111" s="209">
        <v>117.2</v>
      </c>
      <c r="L111" s="209">
        <v>117.2</v>
      </c>
      <c r="M111" s="209">
        <v>117.2</v>
      </c>
      <c r="N111" s="209">
        <v>117.2</v>
      </c>
      <c r="O111" s="209">
        <v>117.2</v>
      </c>
      <c r="P111" s="209">
        <v>117.2</v>
      </c>
      <c r="Q111" s="209">
        <v>117.2</v>
      </c>
      <c r="R111" s="209">
        <v>117.2</v>
      </c>
      <c r="S111" s="209">
        <v>117.2</v>
      </c>
      <c r="T111" s="209">
        <v>117.2</v>
      </c>
      <c r="U111" s="209">
        <v>117.2</v>
      </c>
      <c r="V111" s="209">
        <v>117.2</v>
      </c>
      <c r="W111" s="209">
        <v>117.2</v>
      </c>
      <c r="X111" s="209">
        <v>117.2</v>
      </c>
      <c r="Y111" s="209">
        <v>117.2</v>
      </c>
      <c r="Z111" s="209">
        <v>117.2</v>
      </c>
      <c r="AA111" s="209">
        <v>117.2</v>
      </c>
      <c r="AB111" s="209">
        <v>117.2</v>
      </c>
      <c r="AC111" s="210">
        <v>117.2</v>
      </c>
      <c r="AD111" s="42"/>
      <c r="AE111" s="42"/>
      <c r="AL111" s="42"/>
      <c r="AM111" s="42"/>
      <c r="AN111" s="42"/>
      <c r="AO111" s="42"/>
      <c r="AP111" s="42"/>
      <c r="AQ111" s="42"/>
      <c r="AR111" s="42"/>
      <c r="AS111" s="42"/>
      <c r="AT111" s="42"/>
      <c r="AU111" s="42"/>
      <c r="AV111" s="42"/>
      <c r="AW111" s="42"/>
      <c r="AX111" s="42"/>
      <c r="AY111" s="42"/>
      <c r="AZ111" s="42"/>
      <c r="BA111" s="42"/>
      <c r="BB111" s="42"/>
      <c r="BC111" s="42"/>
      <c r="BD111" s="42"/>
    </row>
    <row r="112" spans="1:56" ht="27" customHeight="1" x14ac:dyDescent="0.3">
      <c r="A112" s="716" t="s">
        <v>98</v>
      </c>
      <c r="B112" s="722" t="s">
        <v>266</v>
      </c>
      <c r="C112" s="748" t="s">
        <v>688</v>
      </c>
      <c r="D112" s="751" t="s">
        <v>684</v>
      </c>
      <c r="E112" s="211" t="s">
        <v>661</v>
      </c>
      <c r="F112" s="212">
        <v>131.9</v>
      </c>
      <c r="G112" s="212">
        <v>131.9</v>
      </c>
      <c r="H112" s="212">
        <v>131.9</v>
      </c>
      <c r="I112" s="212">
        <v>131.9</v>
      </c>
      <c r="J112" s="212">
        <v>131.9</v>
      </c>
      <c r="K112" s="212">
        <v>131.9</v>
      </c>
      <c r="L112" s="212">
        <v>131.9</v>
      </c>
      <c r="M112" s="212">
        <v>131.9</v>
      </c>
      <c r="N112" s="212">
        <v>131.9</v>
      </c>
      <c r="O112" s="212">
        <v>131.9</v>
      </c>
      <c r="P112" s="212">
        <v>131.9</v>
      </c>
      <c r="Q112" s="212">
        <v>131.9</v>
      </c>
      <c r="R112" s="212">
        <v>131.9</v>
      </c>
      <c r="S112" s="212">
        <v>131.9</v>
      </c>
      <c r="T112" s="212">
        <v>131.9</v>
      </c>
      <c r="U112" s="212">
        <v>131.9</v>
      </c>
      <c r="V112" s="212">
        <v>131.9</v>
      </c>
      <c r="W112" s="212">
        <v>131.9</v>
      </c>
      <c r="X112" s="212">
        <v>131.9</v>
      </c>
      <c r="Y112" s="212">
        <v>131.9</v>
      </c>
      <c r="Z112" s="212">
        <v>131.9</v>
      </c>
      <c r="AA112" s="212">
        <v>131.9</v>
      </c>
      <c r="AB112" s="212">
        <v>131.9</v>
      </c>
      <c r="AC112" s="213">
        <v>131.9</v>
      </c>
      <c r="AD112" s="42"/>
      <c r="AE112" s="42"/>
      <c r="AL112" s="42"/>
      <c r="AM112" s="42"/>
      <c r="AN112" s="42"/>
      <c r="AO112" s="42"/>
      <c r="AP112" s="42"/>
      <c r="AQ112" s="42"/>
      <c r="AR112" s="42"/>
      <c r="AS112" s="42"/>
      <c r="AT112" s="42"/>
      <c r="AU112" s="42"/>
      <c r="AV112" s="42"/>
      <c r="AW112" s="42"/>
      <c r="AX112" s="42"/>
      <c r="AY112" s="42"/>
      <c r="AZ112" s="42"/>
      <c r="BA112" s="42"/>
      <c r="BB112" s="42"/>
      <c r="BC112" s="42"/>
      <c r="BD112" s="42"/>
    </row>
    <row r="113" spans="1:56" ht="27" customHeight="1" x14ac:dyDescent="0.3">
      <c r="A113" s="717"/>
      <c r="B113" s="720"/>
      <c r="C113" s="749"/>
      <c r="D113" s="752"/>
      <c r="E113" s="197" t="s">
        <v>662</v>
      </c>
      <c r="F113" s="206">
        <v>131.9</v>
      </c>
      <c r="G113" s="206">
        <v>131.9</v>
      </c>
      <c r="H113" s="206">
        <v>131.9</v>
      </c>
      <c r="I113" s="206">
        <v>131.9</v>
      </c>
      <c r="J113" s="206">
        <v>131.9</v>
      </c>
      <c r="K113" s="206">
        <v>131.9</v>
      </c>
      <c r="L113" s="206">
        <v>131.9</v>
      </c>
      <c r="M113" s="206">
        <v>131.9</v>
      </c>
      <c r="N113" s="206">
        <v>131.9</v>
      </c>
      <c r="O113" s="206">
        <v>131.9</v>
      </c>
      <c r="P113" s="206">
        <v>131.9</v>
      </c>
      <c r="Q113" s="206">
        <v>131.9</v>
      </c>
      <c r="R113" s="206">
        <v>131.9</v>
      </c>
      <c r="S113" s="206">
        <v>131.9</v>
      </c>
      <c r="T113" s="206">
        <v>131.9</v>
      </c>
      <c r="U113" s="206">
        <v>131.9</v>
      </c>
      <c r="V113" s="206">
        <v>131.9</v>
      </c>
      <c r="W113" s="206">
        <v>131.9</v>
      </c>
      <c r="X113" s="206">
        <v>131.9</v>
      </c>
      <c r="Y113" s="206">
        <v>131.9</v>
      </c>
      <c r="Z113" s="206">
        <v>131.9</v>
      </c>
      <c r="AA113" s="206">
        <v>131.9</v>
      </c>
      <c r="AB113" s="206">
        <v>131.9</v>
      </c>
      <c r="AC113" s="207">
        <v>131.9</v>
      </c>
      <c r="AD113" s="42"/>
      <c r="AE113" s="42"/>
      <c r="AL113" s="42"/>
      <c r="AM113" s="42"/>
      <c r="AN113" s="42"/>
      <c r="AO113" s="42"/>
      <c r="AP113" s="42"/>
      <c r="AQ113" s="42"/>
      <c r="AR113" s="42"/>
      <c r="AS113" s="42"/>
      <c r="AT113" s="42"/>
      <c r="AU113" s="42"/>
      <c r="AV113" s="42"/>
      <c r="AW113" s="42"/>
      <c r="AX113" s="42"/>
      <c r="AY113" s="42"/>
      <c r="AZ113" s="42"/>
      <c r="BA113" s="42"/>
      <c r="BB113" s="42"/>
      <c r="BC113" s="42"/>
      <c r="BD113" s="42"/>
    </row>
    <row r="114" spans="1:56" ht="27" customHeight="1" thickBot="1" x14ac:dyDescent="0.35">
      <c r="A114" s="769"/>
      <c r="B114" s="747"/>
      <c r="C114" s="750"/>
      <c r="D114" s="753"/>
      <c r="E114" s="208" t="s">
        <v>663</v>
      </c>
      <c r="F114" s="209">
        <v>131.9</v>
      </c>
      <c r="G114" s="209">
        <v>131.9</v>
      </c>
      <c r="H114" s="209">
        <v>131.9</v>
      </c>
      <c r="I114" s="209">
        <v>131.9</v>
      </c>
      <c r="J114" s="209">
        <v>131.9</v>
      </c>
      <c r="K114" s="209">
        <v>131.9</v>
      </c>
      <c r="L114" s="209">
        <v>131.9</v>
      </c>
      <c r="M114" s="209">
        <v>131.9</v>
      </c>
      <c r="N114" s="209">
        <v>131.9</v>
      </c>
      <c r="O114" s="209">
        <v>131.9</v>
      </c>
      <c r="P114" s="209">
        <v>131.9</v>
      </c>
      <c r="Q114" s="209">
        <v>131.9</v>
      </c>
      <c r="R114" s="209">
        <v>131.9</v>
      </c>
      <c r="S114" s="209">
        <v>131.9</v>
      </c>
      <c r="T114" s="209">
        <v>131.9</v>
      </c>
      <c r="U114" s="209">
        <v>131.9</v>
      </c>
      <c r="V114" s="209">
        <v>131.9</v>
      </c>
      <c r="W114" s="209">
        <v>131.9</v>
      </c>
      <c r="X114" s="209">
        <v>131.9</v>
      </c>
      <c r="Y114" s="209">
        <v>131.9</v>
      </c>
      <c r="Z114" s="209">
        <v>131.9</v>
      </c>
      <c r="AA114" s="209">
        <v>131.9</v>
      </c>
      <c r="AB114" s="209">
        <v>131.9</v>
      </c>
      <c r="AC114" s="210">
        <v>131.9</v>
      </c>
      <c r="AD114" s="42"/>
      <c r="AE114" s="42"/>
      <c r="AL114" s="42"/>
      <c r="AM114" s="42"/>
      <c r="AN114" s="42"/>
      <c r="AO114" s="42"/>
      <c r="AP114" s="42"/>
      <c r="AQ114" s="42"/>
      <c r="AR114" s="42"/>
      <c r="AS114" s="42"/>
      <c r="AT114" s="42"/>
      <c r="AU114" s="42"/>
      <c r="AV114" s="42"/>
      <c r="AW114" s="42"/>
      <c r="AX114" s="42"/>
      <c r="AY114" s="42"/>
      <c r="AZ114" s="42"/>
      <c r="BA114" s="42"/>
      <c r="BB114" s="42"/>
      <c r="BC114" s="42"/>
      <c r="BD114" s="42"/>
    </row>
    <row r="115" spans="1:56" ht="27" customHeight="1" x14ac:dyDescent="0.3">
      <c r="A115" s="716" t="s">
        <v>689</v>
      </c>
      <c r="B115" s="722" t="s">
        <v>266</v>
      </c>
      <c r="C115" s="748" t="s">
        <v>690</v>
      </c>
      <c r="D115" s="751" t="s">
        <v>684</v>
      </c>
      <c r="E115" s="211" t="s">
        <v>661</v>
      </c>
      <c r="F115" s="212">
        <v>146.5</v>
      </c>
      <c r="G115" s="212">
        <v>146.5</v>
      </c>
      <c r="H115" s="212">
        <v>146.5</v>
      </c>
      <c r="I115" s="212">
        <v>146.5</v>
      </c>
      <c r="J115" s="212">
        <v>146.5</v>
      </c>
      <c r="K115" s="212">
        <v>146.5</v>
      </c>
      <c r="L115" s="212">
        <v>146.5</v>
      </c>
      <c r="M115" s="212">
        <v>146.5</v>
      </c>
      <c r="N115" s="212">
        <v>146.5</v>
      </c>
      <c r="O115" s="212">
        <v>146.5</v>
      </c>
      <c r="P115" s="212">
        <v>146.5</v>
      </c>
      <c r="Q115" s="212">
        <v>146.5</v>
      </c>
      <c r="R115" s="212">
        <v>146.5</v>
      </c>
      <c r="S115" s="212">
        <v>146.5</v>
      </c>
      <c r="T115" s="212">
        <v>146.5</v>
      </c>
      <c r="U115" s="212">
        <v>146.5</v>
      </c>
      <c r="V115" s="212">
        <v>146.5</v>
      </c>
      <c r="W115" s="212">
        <v>146.5</v>
      </c>
      <c r="X115" s="212">
        <v>146.5</v>
      </c>
      <c r="Y115" s="212">
        <v>146.5</v>
      </c>
      <c r="Z115" s="212">
        <v>146.5</v>
      </c>
      <c r="AA115" s="212">
        <v>146.5</v>
      </c>
      <c r="AB115" s="212">
        <v>146.5</v>
      </c>
      <c r="AC115" s="213">
        <v>146.5</v>
      </c>
      <c r="AD115" s="42"/>
      <c r="AE115" s="42"/>
      <c r="AL115" s="42"/>
      <c r="AM115" s="42"/>
      <c r="AN115" s="42"/>
      <c r="AO115" s="42"/>
      <c r="AP115" s="42"/>
      <c r="AQ115" s="42"/>
      <c r="AR115" s="42"/>
      <c r="AS115" s="42"/>
      <c r="AT115" s="42"/>
      <c r="AU115" s="42"/>
      <c r="AV115" s="42"/>
      <c r="AW115" s="42"/>
      <c r="AX115" s="42"/>
      <c r="AY115" s="42"/>
      <c r="AZ115" s="42"/>
      <c r="BA115" s="42"/>
      <c r="BB115" s="42"/>
      <c r="BC115" s="42"/>
      <c r="BD115" s="42"/>
    </row>
    <row r="116" spans="1:56" ht="27" customHeight="1" x14ac:dyDescent="0.3">
      <c r="A116" s="717"/>
      <c r="B116" s="720"/>
      <c r="C116" s="749"/>
      <c r="D116" s="752"/>
      <c r="E116" s="197" t="s">
        <v>662</v>
      </c>
      <c r="F116" s="206">
        <v>146.5</v>
      </c>
      <c r="G116" s="206">
        <v>146.5</v>
      </c>
      <c r="H116" s="206">
        <v>146.5</v>
      </c>
      <c r="I116" s="206">
        <v>146.5</v>
      </c>
      <c r="J116" s="206">
        <v>146.5</v>
      </c>
      <c r="K116" s="206">
        <v>146.5</v>
      </c>
      <c r="L116" s="206">
        <v>146.5</v>
      </c>
      <c r="M116" s="206">
        <v>146.5</v>
      </c>
      <c r="N116" s="206">
        <v>146.5</v>
      </c>
      <c r="O116" s="206">
        <v>146.5</v>
      </c>
      <c r="P116" s="206">
        <v>146.5</v>
      </c>
      <c r="Q116" s="206">
        <v>146.5</v>
      </c>
      <c r="R116" s="206">
        <v>146.5</v>
      </c>
      <c r="S116" s="206">
        <v>146.5</v>
      </c>
      <c r="T116" s="206">
        <v>146.5</v>
      </c>
      <c r="U116" s="206">
        <v>146.5</v>
      </c>
      <c r="V116" s="206">
        <v>146.5</v>
      </c>
      <c r="W116" s="206">
        <v>146.5</v>
      </c>
      <c r="X116" s="206">
        <v>146.5</v>
      </c>
      <c r="Y116" s="206">
        <v>146.5</v>
      </c>
      <c r="Z116" s="206">
        <v>146.5</v>
      </c>
      <c r="AA116" s="206">
        <v>146.5</v>
      </c>
      <c r="AB116" s="206">
        <v>146.5</v>
      </c>
      <c r="AC116" s="207">
        <v>146.5</v>
      </c>
      <c r="AD116" s="42"/>
      <c r="AE116" s="42"/>
      <c r="AL116" s="42"/>
      <c r="AM116" s="42"/>
      <c r="AN116" s="42"/>
      <c r="AO116" s="42"/>
      <c r="AP116" s="42"/>
      <c r="AQ116" s="42"/>
      <c r="AR116" s="42"/>
      <c r="AS116" s="42"/>
      <c r="AT116" s="42"/>
      <c r="AU116" s="42"/>
      <c r="AV116" s="42"/>
      <c r="AW116" s="42"/>
      <c r="AX116" s="42"/>
      <c r="AY116" s="42"/>
      <c r="AZ116" s="42"/>
      <c r="BA116" s="42"/>
      <c r="BB116" s="42"/>
      <c r="BC116" s="42"/>
      <c r="BD116" s="42"/>
    </row>
    <row r="117" spans="1:56" ht="27" customHeight="1" x14ac:dyDescent="0.3">
      <c r="A117" s="769"/>
      <c r="B117" s="747"/>
      <c r="C117" s="750"/>
      <c r="D117" s="753"/>
      <c r="E117" s="208" t="s">
        <v>663</v>
      </c>
      <c r="F117" s="209">
        <v>146.5</v>
      </c>
      <c r="G117" s="209">
        <v>146.5</v>
      </c>
      <c r="H117" s="209">
        <v>146.5</v>
      </c>
      <c r="I117" s="209">
        <v>146.5</v>
      </c>
      <c r="J117" s="209">
        <v>146.5</v>
      </c>
      <c r="K117" s="209">
        <v>146.5</v>
      </c>
      <c r="L117" s="209">
        <v>146.5</v>
      </c>
      <c r="M117" s="209">
        <v>146.5</v>
      </c>
      <c r="N117" s="209">
        <v>146.5</v>
      </c>
      <c r="O117" s="209">
        <v>146.5</v>
      </c>
      <c r="P117" s="209">
        <v>146.5</v>
      </c>
      <c r="Q117" s="209">
        <v>146.5</v>
      </c>
      <c r="R117" s="209">
        <v>146.5</v>
      </c>
      <c r="S117" s="209">
        <v>146.5</v>
      </c>
      <c r="T117" s="209">
        <v>146.5</v>
      </c>
      <c r="U117" s="209">
        <v>146.5</v>
      </c>
      <c r="V117" s="209">
        <v>146.5</v>
      </c>
      <c r="W117" s="209">
        <v>146.5</v>
      </c>
      <c r="X117" s="209">
        <v>146.5</v>
      </c>
      <c r="Y117" s="209">
        <v>146.5</v>
      </c>
      <c r="Z117" s="209">
        <v>146.5</v>
      </c>
      <c r="AA117" s="209">
        <v>146.5</v>
      </c>
      <c r="AB117" s="209">
        <v>146.5</v>
      </c>
      <c r="AC117" s="210">
        <v>146.5</v>
      </c>
      <c r="AD117" s="42"/>
      <c r="AE117" s="42"/>
      <c r="AL117" s="42"/>
      <c r="AM117" s="42"/>
      <c r="AN117" s="42"/>
      <c r="AO117" s="42"/>
      <c r="AP117" s="42"/>
      <c r="AQ117" s="42"/>
      <c r="AR117" s="42"/>
      <c r="AS117" s="42"/>
      <c r="AT117" s="42"/>
      <c r="AU117" s="42"/>
      <c r="AV117" s="42"/>
      <c r="AW117" s="42"/>
      <c r="AX117" s="42"/>
      <c r="AY117" s="42"/>
      <c r="AZ117" s="42"/>
      <c r="BA117" s="42"/>
      <c r="BB117" s="42"/>
      <c r="BC117" s="42"/>
      <c r="BD117" s="42"/>
    </row>
    <row r="118" spans="1:56" ht="19.5" customHeight="1" x14ac:dyDescent="0.3">
      <c r="A118" s="804" t="s">
        <v>105</v>
      </c>
      <c r="B118" s="805"/>
      <c r="C118" s="805"/>
      <c r="D118" s="805"/>
      <c r="E118" s="805"/>
      <c r="F118" s="805"/>
      <c r="G118" s="805"/>
      <c r="H118" s="805"/>
      <c r="I118" s="805"/>
      <c r="J118" s="805"/>
      <c r="K118" s="805"/>
      <c r="L118" s="805"/>
      <c r="M118" s="805"/>
      <c r="N118" s="805"/>
      <c r="O118" s="805"/>
      <c r="P118" s="805"/>
      <c r="Q118" s="805"/>
      <c r="R118" s="805"/>
      <c r="S118" s="805"/>
      <c r="T118" s="805"/>
      <c r="U118" s="805"/>
      <c r="V118" s="805"/>
      <c r="W118" s="805"/>
      <c r="X118" s="805"/>
      <c r="Y118" s="805"/>
      <c r="Z118" s="805"/>
      <c r="AA118" s="805"/>
      <c r="AB118" s="805"/>
      <c r="AC118" s="806"/>
    </row>
    <row r="119" spans="1:56" ht="19.5" customHeight="1" x14ac:dyDescent="0.3">
      <c r="A119" s="807" t="s">
        <v>691</v>
      </c>
      <c r="B119" s="808" t="s">
        <v>105</v>
      </c>
      <c r="C119" s="811" t="s">
        <v>659</v>
      </c>
      <c r="D119" s="802" t="s">
        <v>675</v>
      </c>
      <c r="E119" s="474" t="s">
        <v>661</v>
      </c>
      <c r="F119" s="475">
        <v>0.1</v>
      </c>
      <c r="G119" s="475">
        <v>0.1</v>
      </c>
      <c r="H119" s="475">
        <v>0.1</v>
      </c>
      <c r="I119" s="475">
        <v>0.1</v>
      </c>
      <c r="J119" s="475">
        <v>0.1</v>
      </c>
      <c r="K119" s="475">
        <v>0.3</v>
      </c>
      <c r="L119" s="475">
        <v>0.45</v>
      </c>
      <c r="M119" s="475">
        <v>0.45</v>
      </c>
      <c r="N119" s="475">
        <v>0.45</v>
      </c>
      <c r="O119" s="475">
        <v>0.45</v>
      </c>
      <c r="P119" s="475">
        <v>0.3</v>
      </c>
      <c r="Q119" s="475">
        <v>0.3</v>
      </c>
      <c r="R119" s="475">
        <v>0.3</v>
      </c>
      <c r="S119" s="475">
        <v>0.3</v>
      </c>
      <c r="T119" s="475">
        <v>0.3</v>
      </c>
      <c r="U119" s="475">
        <v>0.3</v>
      </c>
      <c r="V119" s="475">
        <v>0.3</v>
      </c>
      <c r="W119" s="475">
        <v>0.3</v>
      </c>
      <c r="X119" s="475">
        <v>0.6</v>
      </c>
      <c r="Y119" s="475">
        <v>0.8</v>
      </c>
      <c r="Z119" s="475">
        <v>0.9</v>
      </c>
      <c r="AA119" s="475">
        <v>0.8</v>
      </c>
      <c r="AB119" s="475">
        <v>0.6</v>
      </c>
      <c r="AC119" s="476">
        <v>0.3</v>
      </c>
    </row>
    <row r="120" spans="1:56" ht="19.5" customHeight="1" x14ac:dyDescent="0.3">
      <c r="A120" s="789"/>
      <c r="B120" s="809"/>
      <c r="C120" s="792"/>
      <c r="D120" s="797"/>
      <c r="E120" s="477" t="s">
        <v>662</v>
      </c>
      <c r="F120" s="367">
        <v>0.1</v>
      </c>
      <c r="G120" s="367">
        <v>0.1</v>
      </c>
      <c r="H120" s="367">
        <v>0.1</v>
      </c>
      <c r="I120" s="367">
        <v>0.1</v>
      </c>
      <c r="J120" s="367">
        <v>0.1</v>
      </c>
      <c r="K120" s="367">
        <v>0.3</v>
      </c>
      <c r="L120" s="367">
        <v>0.45</v>
      </c>
      <c r="M120" s="367">
        <v>0.45</v>
      </c>
      <c r="N120" s="367">
        <v>0.45</v>
      </c>
      <c r="O120" s="367">
        <v>0.45</v>
      </c>
      <c r="P120" s="367">
        <v>0.3</v>
      </c>
      <c r="Q120" s="367">
        <v>0.3</v>
      </c>
      <c r="R120" s="367">
        <v>0.3</v>
      </c>
      <c r="S120" s="367">
        <v>0.3</v>
      </c>
      <c r="T120" s="367">
        <v>0.3</v>
      </c>
      <c r="U120" s="367">
        <v>0.3</v>
      </c>
      <c r="V120" s="367">
        <v>0.3</v>
      </c>
      <c r="W120" s="367">
        <v>0.3</v>
      </c>
      <c r="X120" s="367">
        <v>0.6</v>
      </c>
      <c r="Y120" s="367">
        <v>0.8</v>
      </c>
      <c r="Z120" s="367">
        <v>0.9</v>
      </c>
      <c r="AA120" s="367">
        <v>0.8</v>
      </c>
      <c r="AB120" s="367">
        <v>0.6</v>
      </c>
      <c r="AC120" s="478">
        <v>0.3</v>
      </c>
    </row>
    <row r="121" spans="1:56" ht="19.5" customHeight="1" x14ac:dyDescent="0.3">
      <c r="A121" s="790"/>
      <c r="B121" s="810"/>
      <c r="C121" s="793"/>
      <c r="D121" s="803"/>
      <c r="E121" s="479" t="s">
        <v>663</v>
      </c>
      <c r="F121" s="480">
        <v>0.1</v>
      </c>
      <c r="G121" s="480">
        <v>0.1</v>
      </c>
      <c r="H121" s="480">
        <v>0.1</v>
      </c>
      <c r="I121" s="480">
        <v>0.1</v>
      </c>
      <c r="J121" s="480">
        <v>0.1</v>
      </c>
      <c r="K121" s="480">
        <v>0.3</v>
      </c>
      <c r="L121" s="480">
        <v>0.45</v>
      </c>
      <c r="M121" s="480">
        <v>0.45</v>
      </c>
      <c r="N121" s="480">
        <v>0.45</v>
      </c>
      <c r="O121" s="480">
        <v>0.45</v>
      </c>
      <c r="P121" s="480">
        <v>0.3</v>
      </c>
      <c r="Q121" s="480">
        <v>0.3</v>
      </c>
      <c r="R121" s="480">
        <v>0.3</v>
      </c>
      <c r="S121" s="480">
        <v>0.3</v>
      </c>
      <c r="T121" s="480">
        <v>0.3</v>
      </c>
      <c r="U121" s="480">
        <v>0.3</v>
      </c>
      <c r="V121" s="480">
        <v>0.3</v>
      </c>
      <c r="W121" s="480">
        <v>0.3</v>
      </c>
      <c r="X121" s="480">
        <v>0.6</v>
      </c>
      <c r="Y121" s="480">
        <v>0.8</v>
      </c>
      <c r="Z121" s="480">
        <v>0.9</v>
      </c>
      <c r="AA121" s="480">
        <v>0.8</v>
      </c>
      <c r="AB121" s="480">
        <v>0.6</v>
      </c>
      <c r="AC121" s="481">
        <v>0.3</v>
      </c>
    </row>
    <row r="122" spans="1:56" ht="19.5" customHeight="1" x14ac:dyDescent="0.3">
      <c r="A122" s="788" t="str">
        <f>A119</f>
        <v>Mechanical room</v>
      </c>
      <c r="B122" s="791" t="str">
        <f>B119</f>
        <v>Ancillary</v>
      </c>
      <c r="C122" s="794" t="s">
        <v>664</v>
      </c>
      <c r="D122" s="796" t="s">
        <v>692</v>
      </c>
      <c r="E122" s="482" t="s">
        <v>661</v>
      </c>
      <c r="F122" s="475">
        <v>0.1</v>
      </c>
      <c r="G122" s="475">
        <v>0.1</v>
      </c>
      <c r="H122" s="475">
        <v>0.1</v>
      </c>
      <c r="I122" s="475">
        <v>0.1</v>
      </c>
      <c r="J122" s="475">
        <v>0.1</v>
      </c>
      <c r="K122" s="475">
        <v>0.3</v>
      </c>
      <c r="L122" s="475">
        <v>0.45</v>
      </c>
      <c r="M122" s="475">
        <v>0.45</v>
      </c>
      <c r="N122" s="475">
        <v>0.45</v>
      </c>
      <c r="O122" s="475">
        <v>0.45</v>
      </c>
      <c r="P122" s="475">
        <v>0.3</v>
      </c>
      <c r="Q122" s="475">
        <v>0.3</v>
      </c>
      <c r="R122" s="475">
        <v>0.3</v>
      </c>
      <c r="S122" s="475">
        <v>0.3</v>
      </c>
      <c r="T122" s="475">
        <v>0.3</v>
      </c>
      <c r="U122" s="475">
        <v>0.3</v>
      </c>
      <c r="V122" s="475">
        <v>0.3</v>
      </c>
      <c r="W122" s="475">
        <v>0.3</v>
      </c>
      <c r="X122" s="475">
        <v>0.6</v>
      </c>
      <c r="Y122" s="475">
        <v>0.8</v>
      </c>
      <c r="Z122" s="475">
        <v>0.9</v>
      </c>
      <c r="AA122" s="475">
        <v>0.8</v>
      </c>
      <c r="AB122" s="475">
        <v>0.6</v>
      </c>
      <c r="AC122" s="476">
        <v>0.3</v>
      </c>
    </row>
    <row r="123" spans="1:56" ht="19.5" customHeight="1" x14ac:dyDescent="0.3">
      <c r="A123" s="789"/>
      <c r="B123" s="792"/>
      <c r="C123" s="792"/>
      <c r="D123" s="797"/>
      <c r="E123" s="477" t="s">
        <v>662</v>
      </c>
      <c r="F123" s="367">
        <v>0.1</v>
      </c>
      <c r="G123" s="367">
        <v>0.1</v>
      </c>
      <c r="H123" s="367">
        <v>0.1</v>
      </c>
      <c r="I123" s="367">
        <v>0.1</v>
      </c>
      <c r="J123" s="367">
        <v>0.1</v>
      </c>
      <c r="K123" s="367">
        <v>0.3</v>
      </c>
      <c r="L123" s="367">
        <v>0.45</v>
      </c>
      <c r="M123" s="367">
        <v>0.45</v>
      </c>
      <c r="N123" s="367">
        <v>0.45</v>
      </c>
      <c r="O123" s="367">
        <v>0.45</v>
      </c>
      <c r="P123" s="367">
        <v>0.3</v>
      </c>
      <c r="Q123" s="367">
        <v>0.3</v>
      </c>
      <c r="R123" s="367">
        <v>0.3</v>
      </c>
      <c r="S123" s="367">
        <v>0.3</v>
      </c>
      <c r="T123" s="367">
        <v>0.3</v>
      </c>
      <c r="U123" s="367">
        <v>0.3</v>
      </c>
      <c r="V123" s="367">
        <v>0.3</v>
      </c>
      <c r="W123" s="367">
        <v>0.3</v>
      </c>
      <c r="X123" s="367">
        <v>0.6</v>
      </c>
      <c r="Y123" s="367">
        <v>0.8</v>
      </c>
      <c r="Z123" s="367">
        <v>0.9</v>
      </c>
      <c r="AA123" s="367">
        <v>0.8</v>
      </c>
      <c r="AB123" s="367">
        <v>0.6</v>
      </c>
      <c r="AC123" s="478">
        <v>0.3</v>
      </c>
    </row>
    <row r="124" spans="1:56" ht="19.5" customHeight="1" x14ac:dyDescent="0.3">
      <c r="A124" s="790"/>
      <c r="B124" s="793"/>
      <c r="C124" s="793"/>
      <c r="D124" s="803"/>
      <c r="E124" s="479" t="s">
        <v>663</v>
      </c>
      <c r="F124" s="480">
        <v>0.1</v>
      </c>
      <c r="G124" s="480">
        <v>0.1</v>
      </c>
      <c r="H124" s="480">
        <v>0.1</v>
      </c>
      <c r="I124" s="480">
        <v>0.1</v>
      </c>
      <c r="J124" s="480">
        <v>0.1</v>
      </c>
      <c r="K124" s="480">
        <v>0.3</v>
      </c>
      <c r="L124" s="480">
        <v>0.45</v>
      </c>
      <c r="M124" s="480">
        <v>0.45</v>
      </c>
      <c r="N124" s="480">
        <v>0.45</v>
      </c>
      <c r="O124" s="480">
        <v>0.45</v>
      </c>
      <c r="P124" s="480">
        <v>0.3</v>
      </c>
      <c r="Q124" s="480">
        <v>0.3</v>
      </c>
      <c r="R124" s="480">
        <v>0.3</v>
      </c>
      <c r="S124" s="480">
        <v>0.3</v>
      </c>
      <c r="T124" s="480">
        <v>0.3</v>
      </c>
      <c r="U124" s="480">
        <v>0.3</v>
      </c>
      <c r="V124" s="480">
        <v>0.3</v>
      </c>
      <c r="W124" s="480">
        <v>0.3</v>
      </c>
      <c r="X124" s="480">
        <v>0.6</v>
      </c>
      <c r="Y124" s="480">
        <v>0.8</v>
      </c>
      <c r="Z124" s="480">
        <v>0.9</v>
      </c>
      <c r="AA124" s="480">
        <v>0.8</v>
      </c>
      <c r="AB124" s="480">
        <v>0.6</v>
      </c>
      <c r="AC124" s="481">
        <v>0.3</v>
      </c>
    </row>
    <row r="125" spans="1:56" ht="19.5" customHeight="1" x14ac:dyDescent="0.3">
      <c r="A125" s="788" t="str">
        <f t="shared" ref="A125:B125" si="5">A122</f>
        <v>Mechanical room</v>
      </c>
      <c r="B125" s="791" t="str">
        <f t="shared" si="5"/>
        <v>Ancillary</v>
      </c>
      <c r="C125" s="794" t="s">
        <v>665</v>
      </c>
      <c r="D125" s="796" t="s">
        <v>675</v>
      </c>
      <c r="E125" s="474" t="s">
        <v>661</v>
      </c>
      <c r="F125" s="475">
        <v>0.1</v>
      </c>
      <c r="G125" s="475">
        <v>0.1</v>
      </c>
      <c r="H125" s="475">
        <v>0.1</v>
      </c>
      <c r="I125" s="475">
        <v>0.1</v>
      </c>
      <c r="J125" s="475">
        <v>0.1</v>
      </c>
      <c r="K125" s="475">
        <v>0.3</v>
      </c>
      <c r="L125" s="475">
        <v>0.45</v>
      </c>
      <c r="M125" s="475">
        <v>0.45</v>
      </c>
      <c r="N125" s="475">
        <v>0.45</v>
      </c>
      <c r="O125" s="475">
        <v>0.45</v>
      </c>
      <c r="P125" s="475">
        <v>0.3</v>
      </c>
      <c r="Q125" s="475">
        <v>0.3</v>
      </c>
      <c r="R125" s="475">
        <v>0.3</v>
      </c>
      <c r="S125" s="475">
        <v>0.3</v>
      </c>
      <c r="T125" s="475">
        <v>0.3</v>
      </c>
      <c r="U125" s="475">
        <v>0.3</v>
      </c>
      <c r="V125" s="475">
        <v>0.3</v>
      </c>
      <c r="W125" s="475">
        <v>0.3</v>
      </c>
      <c r="X125" s="475">
        <v>0.6</v>
      </c>
      <c r="Y125" s="475">
        <v>0.8</v>
      </c>
      <c r="Z125" s="475">
        <v>0.9</v>
      </c>
      <c r="AA125" s="475">
        <v>0.8</v>
      </c>
      <c r="AB125" s="475">
        <v>0.6</v>
      </c>
      <c r="AC125" s="476">
        <v>0.3</v>
      </c>
    </row>
    <row r="126" spans="1:56" ht="19.5" customHeight="1" x14ac:dyDescent="0.3">
      <c r="A126" s="789"/>
      <c r="B126" s="792"/>
      <c r="C126" s="792"/>
      <c r="D126" s="797"/>
      <c r="E126" s="477" t="s">
        <v>662</v>
      </c>
      <c r="F126" s="367">
        <v>0.1</v>
      </c>
      <c r="G126" s="367">
        <v>0.1</v>
      </c>
      <c r="H126" s="367">
        <v>0.1</v>
      </c>
      <c r="I126" s="367">
        <v>0.1</v>
      </c>
      <c r="J126" s="367">
        <v>0.1</v>
      </c>
      <c r="K126" s="367">
        <v>0.3</v>
      </c>
      <c r="L126" s="367">
        <v>0.45</v>
      </c>
      <c r="M126" s="367">
        <v>0.45</v>
      </c>
      <c r="N126" s="367">
        <v>0.45</v>
      </c>
      <c r="O126" s="367">
        <v>0.45</v>
      </c>
      <c r="P126" s="367">
        <v>0.3</v>
      </c>
      <c r="Q126" s="367">
        <v>0.3</v>
      </c>
      <c r="R126" s="367">
        <v>0.3</v>
      </c>
      <c r="S126" s="367">
        <v>0.3</v>
      </c>
      <c r="T126" s="367">
        <v>0.3</v>
      </c>
      <c r="U126" s="367">
        <v>0.3</v>
      </c>
      <c r="V126" s="367">
        <v>0.3</v>
      </c>
      <c r="W126" s="367">
        <v>0.3</v>
      </c>
      <c r="X126" s="367">
        <v>0.6</v>
      </c>
      <c r="Y126" s="367">
        <v>0.8</v>
      </c>
      <c r="Z126" s="367">
        <v>0.9</v>
      </c>
      <c r="AA126" s="367">
        <v>0.8</v>
      </c>
      <c r="AB126" s="367">
        <v>0.6</v>
      </c>
      <c r="AC126" s="478">
        <v>0.3</v>
      </c>
    </row>
    <row r="127" spans="1:56" ht="19.5" customHeight="1" x14ac:dyDescent="0.3">
      <c r="A127" s="790"/>
      <c r="B127" s="793"/>
      <c r="C127" s="795"/>
      <c r="D127" s="798"/>
      <c r="E127" s="483" t="s">
        <v>663</v>
      </c>
      <c r="F127" s="484">
        <v>0.1</v>
      </c>
      <c r="G127" s="484">
        <v>0.1</v>
      </c>
      <c r="H127" s="484">
        <v>0.1</v>
      </c>
      <c r="I127" s="484">
        <v>0.1</v>
      </c>
      <c r="J127" s="484">
        <v>0.1</v>
      </c>
      <c r="K127" s="484">
        <v>0.3</v>
      </c>
      <c r="L127" s="484">
        <v>0.45</v>
      </c>
      <c r="M127" s="484">
        <v>0.45</v>
      </c>
      <c r="N127" s="484">
        <v>0.45</v>
      </c>
      <c r="O127" s="484">
        <v>0.45</v>
      </c>
      <c r="P127" s="484">
        <v>0.3</v>
      </c>
      <c r="Q127" s="484">
        <v>0.3</v>
      </c>
      <c r="R127" s="484">
        <v>0.3</v>
      </c>
      <c r="S127" s="484">
        <v>0.3</v>
      </c>
      <c r="T127" s="484">
        <v>0.3</v>
      </c>
      <c r="U127" s="484">
        <v>0.3</v>
      </c>
      <c r="V127" s="484">
        <v>0.3</v>
      </c>
      <c r="W127" s="484">
        <v>0.3</v>
      </c>
      <c r="X127" s="484">
        <v>0.6</v>
      </c>
      <c r="Y127" s="484">
        <v>0.8</v>
      </c>
      <c r="Z127" s="484">
        <v>0.9</v>
      </c>
      <c r="AA127" s="484">
        <v>0.8</v>
      </c>
      <c r="AB127" s="484">
        <v>0.6</v>
      </c>
      <c r="AC127" s="485">
        <v>0.3</v>
      </c>
    </row>
    <row r="128" spans="1:56" ht="19.5" customHeight="1" x14ac:dyDescent="0.3">
      <c r="A128" s="788" t="str">
        <f t="shared" ref="A128:B128" si="6">A125</f>
        <v>Mechanical room</v>
      </c>
      <c r="B128" s="791" t="str">
        <f t="shared" si="6"/>
        <v>Ancillary</v>
      </c>
      <c r="C128" s="799" t="s">
        <v>668</v>
      </c>
      <c r="D128" s="802" t="s">
        <v>675</v>
      </c>
      <c r="E128" s="474" t="s">
        <v>661</v>
      </c>
      <c r="F128" s="475">
        <v>0</v>
      </c>
      <c r="G128" s="475">
        <v>0</v>
      </c>
      <c r="H128" s="475">
        <v>0</v>
      </c>
      <c r="I128" s="475">
        <v>0.05</v>
      </c>
      <c r="J128" s="475">
        <v>0.05</v>
      </c>
      <c r="K128" s="475">
        <v>0.05</v>
      </c>
      <c r="L128" s="475">
        <v>0.8</v>
      </c>
      <c r="M128" s="475">
        <v>0.7</v>
      </c>
      <c r="N128" s="475">
        <v>0.5</v>
      </c>
      <c r="O128" s="475">
        <v>0.4</v>
      </c>
      <c r="P128" s="475">
        <v>0.25</v>
      </c>
      <c r="Q128" s="475">
        <v>0.25</v>
      </c>
      <c r="R128" s="475">
        <v>0.25</v>
      </c>
      <c r="S128" s="475">
        <v>0.25</v>
      </c>
      <c r="T128" s="475">
        <v>0.5</v>
      </c>
      <c r="U128" s="475">
        <v>0.6</v>
      </c>
      <c r="V128" s="475">
        <v>0.7</v>
      </c>
      <c r="W128" s="475">
        <v>0.7</v>
      </c>
      <c r="X128" s="475">
        <v>0.4</v>
      </c>
      <c r="Y128" s="475">
        <v>0.25</v>
      </c>
      <c r="Z128" s="475">
        <v>0.2</v>
      </c>
      <c r="AA128" s="475">
        <v>0.2</v>
      </c>
      <c r="AB128" s="475">
        <v>0.05</v>
      </c>
      <c r="AC128" s="476">
        <v>0.05</v>
      </c>
    </row>
    <row r="129" spans="1:29" ht="19.5" customHeight="1" x14ac:dyDescent="0.3">
      <c r="A129" s="789"/>
      <c r="B129" s="792"/>
      <c r="C129" s="800"/>
      <c r="D129" s="797"/>
      <c r="E129" s="477" t="s">
        <v>662</v>
      </c>
      <c r="F129" s="367">
        <v>0</v>
      </c>
      <c r="G129" s="367">
        <v>0</v>
      </c>
      <c r="H129" s="367">
        <v>0</v>
      </c>
      <c r="I129" s="367">
        <v>0.05</v>
      </c>
      <c r="J129" s="367">
        <v>0.05</v>
      </c>
      <c r="K129" s="367">
        <v>0.05</v>
      </c>
      <c r="L129" s="367">
        <v>0.8</v>
      </c>
      <c r="M129" s="367">
        <v>0.7</v>
      </c>
      <c r="N129" s="367">
        <v>0.5</v>
      </c>
      <c r="O129" s="367">
        <v>0.4</v>
      </c>
      <c r="P129" s="367">
        <v>0.25</v>
      </c>
      <c r="Q129" s="367">
        <v>0.25</v>
      </c>
      <c r="R129" s="367">
        <v>0.25</v>
      </c>
      <c r="S129" s="367">
        <v>0.25</v>
      </c>
      <c r="T129" s="367">
        <v>0.5</v>
      </c>
      <c r="U129" s="367">
        <v>0.6</v>
      </c>
      <c r="V129" s="367">
        <v>0.7</v>
      </c>
      <c r="W129" s="367">
        <v>0.7</v>
      </c>
      <c r="X129" s="367">
        <v>0.4</v>
      </c>
      <c r="Y129" s="367">
        <v>0.25</v>
      </c>
      <c r="Z129" s="367">
        <v>0.2</v>
      </c>
      <c r="AA129" s="367">
        <v>0.2</v>
      </c>
      <c r="AB129" s="367">
        <v>0.05</v>
      </c>
      <c r="AC129" s="478">
        <v>0.05</v>
      </c>
    </row>
    <row r="130" spans="1:29" ht="19.5" customHeight="1" x14ac:dyDescent="0.3">
      <c r="A130" s="790"/>
      <c r="B130" s="793"/>
      <c r="C130" s="801"/>
      <c r="D130" s="803"/>
      <c r="E130" s="479" t="s">
        <v>663</v>
      </c>
      <c r="F130" s="480">
        <v>0</v>
      </c>
      <c r="G130" s="480">
        <v>0</v>
      </c>
      <c r="H130" s="480">
        <v>0</v>
      </c>
      <c r="I130" s="480">
        <v>0.05</v>
      </c>
      <c r="J130" s="480">
        <v>0.05</v>
      </c>
      <c r="K130" s="480">
        <v>0.05</v>
      </c>
      <c r="L130" s="480">
        <v>0.8</v>
      </c>
      <c r="M130" s="480">
        <v>0.7</v>
      </c>
      <c r="N130" s="480">
        <v>0.5</v>
      </c>
      <c r="O130" s="480">
        <v>0.4</v>
      </c>
      <c r="P130" s="480">
        <v>0.25</v>
      </c>
      <c r="Q130" s="480">
        <v>0.25</v>
      </c>
      <c r="R130" s="480">
        <v>0.25</v>
      </c>
      <c r="S130" s="480">
        <v>0.25</v>
      </c>
      <c r="T130" s="480">
        <v>0.5</v>
      </c>
      <c r="U130" s="480">
        <v>0.6</v>
      </c>
      <c r="V130" s="480">
        <v>0.7</v>
      </c>
      <c r="W130" s="480">
        <v>0.7</v>
      </c>
      <c r="X130" s="480">
        <v>0.4</v>
      </c>
      <c r="Y130" s="480">
        <v>0.25</v>
      </c>
      <c r="Z130" s="480">
        <v>0.2</v>
      </c>
      <c r="AA130" s="480">
        <v>0.2</v>
      </c>
      <c r="AB130" s="480">
        <v>0.05</v>
      </c>
      <c r="AC130" s="481">
        <v>0.05</v>
      </c>
    </row>
    <row r="131" spans="1:29" ht="19.5" customHeight="1" x14ac:dyDescent="0.3">
      <c r="A131" s="788" t="str">
        <f t="shared" ref="A131:B131" si="7">A128</f>
        <v>Mechanical room</v>
      </c>
      <c r="B131" s="791" t="str">
        <f t="shared" si="7"/>
        <v>Ancillary</v>
      </c>
      <c r="C131" s="820" t="s">
        <v>666</v>
      </c>
      <c r="D131" s="823" t="s">
        <v>675</v>
      </c>
      <c r="E131" s="474" t="s">
        <v>661</v>
      </c>
      <c r="F131" s="475">
        <v>1</v>
      </c>
      <c r="G131" s="475">
        <v>1</v>
      </c>
      <c r="H131" s="475">
        <v>1</v>
      </c>
      <c r="I131" s="475">
        <v>1</v>
      </c>
      <c r="J131" s="475">
        <v>1</v>
      </c>
      <c r="K131" s="475">
        <v>1</v>
      </c>
      <c r="L131" s="475">
        <v>1</v>
      </c>
      <c r="M131" s="475">
        <v>1</v>
      </c>
      <c r="N131" s="475">
        <v>1</v>
      </c>
      <c r="O131" s="475">
        <v>1</v>
      </c>
      <c r="P131" s="475">
        <v>1</v>
      </c>
      <c r="Q131" s="475">
        <v>1</v>
      </c>
      <c r="R131" s="475">
        <v>1</v>
      </c>
      <c r="S131" s="475">
        <v>1</v>
      </c>
      <c r="T131" s="475">
        <v>1</v>
      </c>
      <c r="U131" s="475">
        <v>1</v>
      </c>
      <c r="V131" s="475">
        <v>1</v>
      </c>
      <c r="W131" s="475">
        <v>1</v>
      </c>
      <c r="X131" s="475">
        <v>1</v>
      </c>
      <c r="Y131" s="475">
        <v>1</v>
      </c>
      <c r="Z131" s="475">
        <v>1</v>
      </c>
      <c r="AA131" s="475">
        <v>1</v>
      </c>
      <c r="AB131" s="475">
        <v>1</v>
      </c>
      <c r="AC131" s="476">
        <v>1</v>
      </c>
    </row>
    <row r="132" spans="1:29" ht="19.5" customHeight="1" x14ac:dyDescent="0.3">
      <c r="A132" s="789"/>
      <c r="B132" s="792"/>
      <c r="C132" s="821"/>
      <c r="D132" s="824"/>
      <c r="E132" s="486" t="s">
        <v>662</v>
      </c>
      <c r="F132" s="487">
        <v>1</v>
      </c>
      <c r="G132" s="487">
        <v>1</v>
      </c>
      <c r="H132" s="487">
        <v>1</v>
      </c>
      <c r="I132" s="487">
        <v>1</v>
      </c>
      <c r="J132" s="487">
        <v>1</v>
      </c>
      <c r="K132" s="487">
        <v>1</v>
      </c>
      <c r="L132" s="487">
        <v>1</v>
      </c>
      <c r="M132" s="487">
        <v>1</v>
      </c>
      <c r="N132" s="487">
        <v>1</v>
      </c>
      <c r="O132" s="487">
        <v>1</v>
      </c>
      <c r="P132" s="487">
        <v>1</v>
      </c>
      <c r="Q132" s="487">
        <v>1</v>
      </c>
      <c r="R132" s="487">
        <v>1</v>
      </c>
      <c r="S132" s="487">
        <v>1</v>
      </c>
      <c r="T132" s="487">
        <v>1</v>
      </c>
      <c r="U132" s="487">
        <v>1</v>
      </c>
      <c r="V132" s="487">
        <v>1</v>
      </c>
      <c r="W132" s="487">
        <v>1</v>
      </c>
      <c r="X132" s="487">
        <v>1</v>
      </c>
      <c r="Y132" s="487">
        <v>1</v>
      </c>
      <c r="Z132" s="487">
        <v>1</v>
      </c>
      <c r="AA132" s="487">
        <v>1</v>
      </c>
      <c r="AB132" s="487">
        <v>1</v>
      </c>
      <c r="AC132" s="488">
        <v>1</v>
      </c>
    </row>
    <row r="133" spans="1:29" ht="19.5" customHeight="1" x14ac:dyDescent="0.3">
      <c r="A133" s="790"/>
      <c r="B133" s="793"/>
      <c r="C133" s="822"/>
      <c r="D133" s="825"/>
      <c r="E133" s="483" t="s">
        <v>663</v>
      </c>
      <c r="F133" s="484">
        <v>1</v>
      </c>
      <c r="G133" s="484">
        <v>1</v>
      </c>
      <c r="H133" s="484">
        <v>1</v>
      </c>
      <c r="I133" s="484">
        <v>1</v>
      </c>
      <c r="J133" s="484">
        <v>1</v>
      </c>
      <c r="K133" s="484">
        <v>1</v>
      </c>
      <c r="L133" s="484">
        <v>1</v>
      </c>
      <c r="M133" s="484">
        <v>1</v>
      </c>
      <c r="N133" s="484">
        <v>1</v>
      </c>
      <c r="O133" s="484">
        <v>1</v>
      </c>
      <c r="P133" s="484">
        <v>1</v>
      </c>
      <c r="Q133" s="484">
        <v>1</v>
      </c>
      <c r="R133" s="484">
        <v>1</v>
      </c>
      <c r="S133" s="484">
        <v>1</v>
      </c>
      <c r="T133" s="484">
        <v>1</v>
      </c>
      <c r="U133" s="484">
        <v>1</v>
      </c>
      <c r="V133" s="484">
        <v>1</v>
      </c>
      <c r="W133" s="484">
        <v>1</v>
      </c>
      <c r="X133" s="484">
        <v>1</v>
      </c>
      <c r="Y133" s="484">
        <v>1</v>
      </c>
      <c r="Z133" s="484">
        <v>1</v>
      </c>
      <c r="AA133" s="484">
        <v>1</v>
      </c>
      <c r="AB133" s="484">
        <v>1</v>
      </c>
      <c r="AC133" s="485">
        <v>1</v>
      </c>
    </row>
    <row r="134" spans="1:29" ht="19.5" customHeight="1" x14ac:dyDescent="0.3">
      <c r="A134" s="788" t="str">
        <f t="shared" ref="A134:B134" si="8">A131</f>
        <v>Mechanical room</v>
      </c>
      <c r="B134" s="791" t="str">
        <f t="shared" si="8"/>
        <v>Ancillary</v>
      </c>
      <c r="C134" s="811" t="s">
        <v>670</v>
      </c>
      <c r="D134" s="826" t="s">
        <v>675</v>
      </c>
      <c r="E134" s="494" t="s">
        <v>661</v>
      </c>
      <c r="F134" s="495">
        <f>Thermostat!$B$20</f>
        <v>60</v>
      </c>
      <c r="G134" s="495">
        <f>Thermostat!$B$20</f>
        <v>60</v>
      </c>
      <c r="H134" s="495">
        <f>Thermostat!$B$20</f>
        <v>60</v>
      </c>
      <c r="I134" s="495">
        <f>Thermostat!$B$20</f>
        <v>60</v>
      </c>
      <c r="J134" s="495">
        <f>Thermostat!$B$20</f>
        <v>60</v>
      </c>
      <c r="K134" s="495">
        <f>Thermostat!$B$20</f>
        <v>60</v>
      </c>
      <c r="L134" s="495">
        <f>Thermostat!$B$20</f>
        <v>60</v>
      </c>
      <c r="M134" s="495">
        <f>Thermostat!$B$20</f>
        <v>60</v>
      </c>
      <c r="N134" s="495">
        <f>Thermostat!$B$20</f>
        <v>60</v>
      </c>
      <c r="O134" s="495">
        <f>Thermostat!$B$20</f>
        <v>60</v>
      </c>
      <c r="P134" s="495">
        <f>Thermostat!$B$20</f>
        <v>60</v>
      </c>
      <c r="Q134" s="495">
        <f>Thermostat!$B$20</f>
        <v>60</v>
      </c>
      <c r="R134" s="495">
        <f>Thermostat!$B$20</f>
        <v>60</v>
      </c>
      <c r="S134" s="495">
        <f>Thermostat!$B$20</f>
        <v>60</v>
      </c>
      <c r="T134" s="495">
        <f>Thermostat!$B$20</f>
        <v>60</v>
      </c>
      <c r="U134" s="495">
        <f>Thermostat!$B$20</f>
        <v>60</v>
      </c>
      <c r="V134" s="495">
        <f>Thermostat!$B$20</f>
        <v>60</v>
      </c>
      <c r="W134" s="495">
        <f>Thermostat!$B$20</f>
        <v>60</v>
      </c>
      <c r="X134" s="495">
        <f>Thermostat!$B$20</f>
        <v>60</v>
      </c>
      <c r="Y134" s="495">
        <f>Thermostat!$B$20</f>
        <v>60</v>
      </c>
      <c r="Z134" s="495">
        <f>Thermostat!$B$20</f>
        <v>60</v>
      </c>
      <c r="AA134" s="495">
        <f>Thermostat!$B$20</f>
        <v>60</v>
      </c>
      <c r="AB134" s="495">
        <f>Thermostat!$B$20</f>
        <v>60</v>
      </c>
      <c r="AC134" s="496">
        <f>Thermostat!$B$20</f>
        <v>60</v>
      </c>
    </row>
    <row r="135" spans="1:29" ht="19.5" customHeight="1" x14ac:dyDescent="0.3">
      <c r="A135" s="789"/>
      <c r="B135" s="792"/>
      <c r="C135" s="792"/>
      <c r="D135" s="827"/>
      <c r="E135" s="497" t="s">
        <v>662</v>
      </c>
      <c r="F135" s="493">
        <f>Thermostat!$B$20</f>
        <v>60</v>
      </c>
      <c r="G135" s="493">
        <f>Thermostat!$B$20</f>
        <v>60</v>
      </c>
      <c r="H135" s="493">
        <f>Thermostat!$B$20</f>
        <v>60</v>
      </c>
      <c r="I135" s="493">
        <f>Thermostat!$B$20</f>
        <v>60</v>
      </c>
      <c r="J135" s="493">
        <f>Thermostat!$B$20</f>
        <v>60</v>
      </c>
      <c r="K135" s="493">
        <f>Thermostat!$B$20</f>
        <v>60</v>
      </c>
      <c r="L135" s="493">
        <f>Thermostat!$B$20</f>
        <v>60</v>
      </c>
      <c r="M135" s="493">
        <f>Thermostat!$B$20</f>
        <v>60</v>
      </c>
      <c r="N135" s="493">
        <f>Thermostat!$B$20</f>
        <v>60</v>
      </c>
      <c r="O135" s="493">
        <f>Thermostat!$B$20</f>
        <v>60</v>
      </c>
      <c r="P135" s="493">
        <f>Thermostat!$B$20</f>
        <v>60</v>
      </c>
      <c r="Q135" s="493">
        <f>Thermostat!$B$20</f>
        <v>60</v>
      </c>
      <c r="R135" s="493">
        <f>Thermostat!$B$20</f>
        <v>60</v>
      </c>
      <c r="S135" s="493">
        <f>Thermostat!$B$20</f>
        <v>60</v>
      </c>
      <c r="T135" s="493">
        <f>Thermostat!$B$20</f>
        <v>60</v>
      </c>
      <c r="U135" s="493">
        <f>Thermostat!$B$20</f>
        <v>60</v>
      </c>
      <c r="V135" s="493">
        <f>Thermostat!$B$20</f>
        <v>60</v>
      </c>
      <c r="W135" s="493">
        <f>Thermostat!$B$20</f>
        <v>60</v>
      </c>
      <c r="X135" s="493">
        <f>Thermostat!$B$20</f>
        <v>60</v>
      </c>
      <c r="Y135" s="493">
        <f>Thermostat!$B$20</f>
        <v>60</v>
      </c>
      <c r="Z135" s="493">
        <f>Thermostat!$B$20</f>
        <v>60</v>
      </c>
      <c r="AA135" s="493">
        <f>Thermostat!$B$20</f>
        <v>60</v>
      </c>
      <c r="AB135" s="493">
        <f>Thermostat!$B$20</f>
        <v>60</v>
      </c>
      <c r="AC135" s="498">
        <f>Thermostat!$B$20</f>
        <v>60</v>
      </c>
    </row>
    <row r="136" spans="1:29" ht="19.5" customHeight="1" x14ac:dyDescent="0.3">
      <c r="A136" s="790"/>
      <c r="B136" s="793"/>
      <c r="C136" s="793"/>
      <c r="D136" s="828"/>
      <c r="E136" s="499" t="s">
        <v>663</v>
      </c>
      <c r="F136" s="500">
        <f>Thermostat!$B$20</f>
        <v>60</v>
      </c>
      <c r="G136" s="500">
        <f>Thermostat!$B$20</f>
        <v>60</v>
      </c>
      <c r="H136" s="500">
        <f>Thermostat!$B$20</f>
        <v>60</v>
      </c>
      <c r="I136" s="500">
        <f>Thermostat!$B$20</f>
        <v>60</v>
      </c>
      <c r="J136" s="500">
        <f>Thermostat!$B$20</f>
        <v>60</v>
      </c>
      <c r="K136" s="500">
        <f>Thermostat!$B$20</f>
        <v>60</v>
      </c>
      <c r="L136" s="500">
        <f>Thermostat!$B$20</f>
        <v>60</v>
      </c>
      <c r="M136" s="500">
        <f>Thermostat!$B$20</f>
        <v>60</v>
      </c>
      <c r="N136" s="500">
        <f>Thermostat!$B$20</f>
        <v>60</v>
      </c>
      <c r="O136" s="500">
        <f>Thermostat!$B$20</f>
        <v>60</v>
      </c>
      <c r="P136" s="500">
        <f>Thermostat!$B$20</f>
        <v>60</v>
      </c>
      <c r="Q136" s="500">
        <f>Thermostat!$B$20</f>
        <v>60</v>
      </c>
      <c r="R136" s="500">
        <f>Thermostat!$B$20</f>
        <v>60</v>
      </c>
      <c r="S136" s="500">
        <f>Thermostat!$B$20</f>
        <v>60</v>
      </c>
      <c r="T136" s="500">
        <f>Thermostat!$B$20</f>
        <v>60</v>
      </c>
      <c r="U136" s="500">
        <f>Thermostat!$B$20</f>
        <v>60</v>
      </c>
      <c r="V136" s="500">
        <f>Thermostat!$B$20</f>
        <v>60</v>
      </c>
      <c r="W136" s="500">
        <f>Thermostat!$B$20</f>
        <v>60</v>
      </c>
      <c r="X136" s="500">
        <f>Thermostat!$B$20</f>
        <v>60</v>
      </c>
      <c r="Y136" s="500">
        <f>Thermostat!$B$20</f>
        <v>60</v>
      </c>
      <c r="Z136" s="500">
        <f>Thermostat!$B$20</f>
        <v>60</v>
      </c>
      <c r="AA136" s="500">
        <f>Thermostat!$B$20</f>
        <v>60</v>
      </c>
      <c r="AB136" s="500">
        <f>Thermostat!$B$20</f>
        <v>60</v>
      </c>
      <c r="AC136" s="501">
        <f>Thermostat!$B$20</f>
        <v>60</v>
      </c>
    </row>
    <row r="137" spans="1:29" ht="19.5" customHeight="1" x14ac:dyDescent="0.3">
      <c r="A137" s="788" t="str">
        <f t="shared" ref="A137:B137" si="9">A134</f>
        <v>Mechanical room</v>
      </c>
      <c r="B137" s="791" t="str">
        <f t="shared" si="9"/>
        <v>Ancillary</v>
      </c>
      <c r="C137" s="811" t="s">
        <v>671</v>
      </c>
      <c r="D137" s="826" t="s">
        <v>675</v>
      </c>
      <c r="E137" s="503" t="s">
        <v>661</v>
      </c>
      <c r="F137" s="504">
        <f>Thermostat!$B$22</f>
        <v>85</v>
      </c>
      <c r="G137" s="504">
        <f>Thermostat!$B$22</f>
        <v>85</v>
      </c>
      <c r="H137" s="504">
        <f>Thermostat!$B$22</f>
        <v>85</v>
      </c>
      <c r="I137" s="504">
        <f>Thermostat!$B$22</f>
        <v>85</v>
      </c>
      <c r="J137" s="504">
        <f>Thermostat!$B$22</f>
        <v>85</v>
      </c>
      <c r="K137" s="504">
        <f>Thermostat!$B$22</f>
        <v>85</v>
      </c>
      <c r="L137" s="504">
        <f>Thermostat!$B$22</f>
        <v>85</v>
      </c>
      <c r="M137" s="504">
        <f>Thermostat!$B$22</f>
        <v>85</v>
      </c>
      <c r="N137" s="504">
        <f>Thermostat!$B$22</f>
        <v>85</v>
      </c>
      <c r="O137" s="504">
        <f>Thermostat!$B$22</f>
        <v>85</v>
      </c>
      <c r="P137" s="504">
        <f>Thermostat!$B$22</f>
        <v>85</v>
      </c>
      <c r="Q137" s="504">
        <f>Thermostat!$B$22</f>
        <v>85</v>
      </c>
      <c r="R137" s="504">
        <f>Thermostat!$B$22</f>
        <v>85</v>
      </c>
      <c r="S137" s="504">
        <f>Thermostat!$B$22</f>
        <v>85</v>
      </c>
      <c r="T137" s="504">
        <f>Thermostat!$B$22</f>
        <v>85</v>
      </c>
      <c r="U137" s="504">
        <f>Thermostat!$B$22</f>
        <v>85</v>
      </c>
      <c r="V137" s="504">
        <f>Thermostat!$B$22</f>
        <v>85</v>
      </c>
      <c r="W137" s="504">
        <f>Thermostat!$B$22</f>
        <v>85</v>
      </c>
      <c r="X137" s="504">
        <f>Thermostat!$B$22</f>
        <v>85</v>
      </c>
      <c r="Y137" s="504">
        <f>Thermostat!$B$22</f>
        <v>85</v>
      </c>
      <c r="Z137" s="504">
        <f>Thermostat!$B$22</f>
        <v>85</v>
      </c>
      <c r="AA137" s="504">
        <f>Thermostat!$B$22</f>
        <v>85</v>
      </c>
      <c r="AB137" s="504">
        <f>Thermostat!$B$22</f>
        <v>85</v>
      </c>
      <c r="AC137" s="505">
        <f>Thermostat!$B$22</f>
        <v>85</v>
      </c>
    </row>
    <row r="138" spans="1:29" ht="19.5" customHeight="1" x14ac:dyDescent="0.3">
      <c r="A138" s="789"/>
      <c r="B138" s="792"/>
      <c r="C138" s="792"/>
      <c r="D138" s="827"/>
      <c r="E138" s="497" t="s">
        <v>662</v>
      </c>
      <c r="F138" s="493">
        <f>Thermostat!$B$22</f>
        <v>85</v>
      </c>
      <c r="G138" s="493">
        <f>Thermostat!$B$22</f>
        <v>85</v>
      </c>
      <c r="H138" s="493">
        <f>Thermostat!$B$22</f>
        <v>85</v>
      </c>
      <c r="I138" s="493">
        <f>Thermostat!$B$22</f>
        <v>85</v>
      </c>
      <c r="J138" s="493">
        <f>Thermostat!$B$22</f>
        <v>85</v>
      </c>
      <c r="K138" s="493">
        <f>Thermostat!$B$22</f>
        <v>85</v>
      </c>
      <c r="L138" s="493">
        <f>Thermostat!$B$22</f>
        <v>85</v>
      </c>
      <c r="M138" s="493">
        <f>Thermostat!$B$22</f>
        <v>85</v>
      </c>
      <c r="N138" s="493">
        <f>Thermostat!$B$22</f>
        <v>85</v>
      </c>
      <c r="O138" s="493">
        <f>Thermostat!$B$22</f>
        <v>85</v>
      </c>
      <c r="P138" s="493">
        <f>Thermostat!$B$22</f>
        <v>85</v>
      </c>
      <c r="Q138" s="493">
        <f>Thermostat!$B$22</f>
        <v>85</v>
      </c>
      <c r="R138" s="493">
        <f>Thermostat!$B$22</f>
        <v>85</v>
      </c>
      <c r="S138" s="493">
        <f>Thermostat!$B$22</f>
        <v>85</v>
      </c>
      <c r="T138" s="493">
        <f>Thermostat!$B$22</f>
        <v>85</v>
      </c>
      <c r="U138" s="493">
        <f>Thermostat!$B$22</f>
        <v>85</v>
      </c>
      <c r="V138" s="493">
        <f>Thermostat!$B$22</f>
        <v>85</v>
      </c>
      <c r="W138" s="493">
        <f>Thermostat!$B$22</f>
        <v>85</v>
      </c>
      <c r="X138" s="493">
        <f>Thermostat!$B$22</f>
        <v>85</v>
      </c>
      <c r="Y138" s="493">
        <f>Thermostat!$B$22</f>
        <v>85</v>
      </c>
      <c r="Z138" s="493">
        <f>Thermostat!$B$22</f>
        <v>85</v>
      </c>
      <c r="AA138" s="493">
        <f>Thermostat!$B$22</f>
        <v>85</v>
      </c>
      <c r="AB138" s="493">
        <f>Thermostat!$B$22</f>
        <v>85</v>
      </c>
      <c r="AC138" s="498">
        <f>Thermostat!$B$22</f>
        <v>85</v>
      </c>
    </row>
    <row r="139" spans="1:29" ht="19.5" customHeight="1" x14ac:dyDescent="0.3">
      <c r="A139" s="829"/>
      <c r="B139" s="795"/>
      <c r="C139" s="795"/>
      <c r="D139" s="830"/>
      <c r="E139" s="513" t="s">
        <v>663</v>
      </c>
      <c r="F139" s="502">
        <f>Thermostat!$B$22</f>
        <v>85</v>
      </c>
      <c r="G139" s="502">
        <f>Thermostat!$B$22</f>
        <v>85</v>
      </c>
      <c r="H139" s="502">
        <f>Thermostat!$B$22</f>
        <v>85</v>
      </c>
      <c r="I139" s="502">
        <f>Thermostat!$B$22</f>
        <v>85</v>
      </c>
      <c r="J139" s="502">
        <f>Thermostat!$B$22</f>
        <v>85</v>
      </c>
      <c r="K139" s="502">
        <f>Thermostat!$B$22</f>
        <v>85</v>
      </c>
      <c r="L139" s="502">
        <f>Thermostat!$B$22</f>
        <v>85</v>
      </c>
      <c r="M139" s="502">
        <f>Thermostat!$B$22</f>
        <v>85</v>
      </c>
      <c r="N139" s="502">
        <f>Thermostat!$B$22</f>
        <v>85</v>
      </c>
      <c r="O139" s="502">
        <f>Thermostat!$B$22</f>
        <v>85</v>
      </c>
      <c r="P139" s="502">
        <f>Thermostat!$B$22</f>
        <v>85</v>
      </c>
      <c r="Q139" s="502">
        <f>Thermostat!$B$22</f>
        <v>85</v>
      </c>
      <c r="R139" s="502">
        <f>Thermostat!$B$22</f>
        <v>85</v>
      </c>
      <c r="S139" s="502">
        <f>Thermostat!$B$22</f>
        <v>85</v>
      </c>
      <c r="T139" s="502">
        <f>Thermostat!$B$22</f>
        <v>85</v>
      </c>
      <c r="U139" s="502">
        <f>Thermostat!$B$22</f>
        <v>85</v>
      </c>
      <c r="V139" s="502">
        <f>Thermostat!$B$22</f>
        <v>85</v>
      </c>
      <c r="W139" s="502">
        <f>Thermostat!$B$22</f>
        <v>85</v>
      </c>
      <c r="X139" s="502">
        <f>Thermostat!$B$22</f>
        <v>85</v>
      </c>
      <c r="Y139" s="502">
        <f>Thermostat!$B$22</f>
        <v>85</v>
      </c>
      <c r="Z139" s="502">
        <f>Thermostat!$B$22</f>
        <v>85</v>
      </c>
      <c r="AA139" s="502">
        <f>Thermostat!$B$22</f>
        <v>85</v>
      </c>
      <c r="AB139" s="502">
        <f>Thermostat!$B$22</f>
        <v>85</v>
      </c>
      <c r="AC139" s="514">
        <f>Thermostat!$B$22</f>
        <v>85</v>
      </c>
    </row>
    <row r="140" spans="1:29" ht="19.5" customHeight="1" x14ac:dyDescent="0.3">
      <c r="A140" s="812" t="str">
        <f t="shared" ref="A140:B140" si="10">A137</f>
        <v>Mechanical room</v>
      </c>
      <c r="B140" s="815" t="str">
        <f t="shared" si="10"/>
        <v>Ancillary</v>
      </c>
      <c r="C140" s="817" t="s">
        <v>265</v>
      </c>
      <c r="D140" s="818" t="s">
        <v>675</v>
      </c>
      <c r="E140" s="506" t="s">
        <v>661</v>
      </c>
      <c r="F140" s="507">
        <v>0.25</v>
      </c>
      <c r="G140" s="507">
        <v>0.25</v>
      </c>
      <c r="H140" s="507">
        <v>0.25</v>
      </c>
      <c r="I140" s="507">
        <v>0.25</v>
      </c>
      <c r="J140" s="507">
        <v>0.25</v>
      </c>
      <c r="K140" s="507">
        <v>0.25</v>
      </c>
      <c r="L140" s="507">
        <v>0.25</v>
      </c>
      <c r="M140" s="507">
        <v>0.25</v>
      </c>
      <c r="N140" s="507">
        <v>0.25</v>
      </c>
      <c r="O140" s="507">
        <v>0.25</v>
      </c>
      <c r="P140" s="507">
        <v>0.25</v>
      </c>
      <c r="Q140" s="507">
        <v>0.25</v>
      </c>
      <c r="R140" s="507">
        <v>0.25</v>
      </c>
      <c r="S140" s="507">
        <v>0.25</v>
      </c>
      <c r="T140" s="507">
        <v>0.25</v>
      </c>
      <c r="U140" s="507">
        <v>0.25</v>
      </c>
      <c r="V140" s="507">
        <v>0.25</v>
      </c>
      <c r="W140" s="507">
        <v>0.25</v>
      </c>
      <c r="X140" s="507">
        <v>0.25</v>
      </c>
      <c r="Y140" s="507">
        <v>0.25</v>
      </c>
      <c r="Z140" s="507">
        <v>0.25</v>
      </c>
      <c r="AA140" s="507">
        <v>0.25</v>
      </c>
      <c r="AB140" s="507">
        <v>0.25</v>
      </c>
      <c r="AC140" s="508">
        <v>0.25</v>
      </c>
    </row>
    <row r="141" spans="1:29" ht="19.5" customHeight="1" x14ac:dyDescent="0.3">
      <c r="A141" s="813"/>
      <c r="B141" s="792"/>
      <c r="C141" s="792"/>
      <c r="D141" s="797"/>
      <c r="E141" s="477" t="s">
        <v>662</v>
      </c>
      <c r="F141" s="367">
        <v>0.25</v>
      </c>
      <c r="G141" s="367">
        <v>0.25</v>
      </c>
      <c r="H141" s="367">
        <v>0.25</v>
      </c>
      <c r="I141" s="367">
        <v>0.25</v>
      </c>
      <c r="J141" s="367">
        <v>0.25</v>
      </c>
      <c r="K141" s="367">
        <v>0.25</v>
      </c>
      <c r="L141" s="367">
        <v>0.25</v>
      </c>
      <c r="M141" s="367">
        <v>0.25</v>
      </c>
      <c r="N141" s="367">
        <v>0.25</v>
      </c>
      <c r="O141" s="367">
        <v>0.25</v>
      </c>
      <c r="P141" s="367">
        <v>0.25</v>
      </c>
      <c r="Q141" s="367">
        <v>0.25</v>
      </c>
      <c r="R141" s="367">
        <v>0.25</v>
      </c>
      <c r="S141" s="367">
        <v>0.25</v>
      </c>
      <c r="T141" s="367">
        <v>0.25</v>
      </c>
      <c r="U141" s="367">
        <v>0.25</v>
      </c>
      <c r="V141" s="367">
        <v>0.25</v>
      </c>
      <c r="W141" s="367">
        <v>0.25</v>
      </c>
      <c r="X141" s="367">
        <v>0.25</v>
      </c>
      <c r="Y141" s="367">
        <v>0.25</v>
      </c>
      <c r="Z141" s="367">
        <v>0.25</v>
      </c>
      <c r="AA141" s="367">
        <v>0.25</v>
      </c>
      <c r="AB141" s="367">
        <v>0.25</v>
      </c>
      <c r="AC141" s="509">
        <v>0.25</v>
      </c>
    </row>
    <row r="142" spans="1:29" ht="19.5" customHeight="1" x14ac:dyDescent="0.3">
      <c r="A142" s="814"/>
      <c r="B142" s="816"/>
      <c r="C142" s="816"/>
      <c r="D142" s="819"/>
      <c r="E142" s="510" t="s">
        <v>663</v>
      </c>
      <c r="F142" s="511">
        <v>0.25</v>
      </c>
      <c r="G142" s="511">
        <v>0.25</v>
      </c>
      <c r="H142" s="511">
        <v>0.25</v>
      </c>
      <c r="I142" s="511">
        <v>0.25</v>
      </c>
      <c r="J142" s="511">
        <v>0.25</v>
      </c>
      <c r="K142" s="511">
        <v>0.25</v>
      </c>
      <c r="L142" s="511">
        <v>0.25</v>
      </c>
      <c r="M142" s="511">
        <v>0.25</v>
      </c>
      <c r="N142" s="511">
        <v>0.25</v>
      </c>
      <c r="O142" s="511">
        <v>0.25</v>
      </c>
      <c r="P142" s="511">
        <v>0.25</v>
      </c>
      <c r="Q142" s="511">
        <v>0.25</v>
      </c>
      <c r="R142" s="511">
        <v>0.25</v>
      </c>
      <c r="S142" s="511">
        <v>0.25</v>
      </c>
      <c r="T142" s="511">
        <v>0.25</v>
      </c>
      <c r="U142" s="511">
        <v>0.25</v>
      </c>
      <c r="V142" s="511">
        <v>0.25</v>
      </c>
      <c r="W142" s="511">
        <v>0.25</v>
      </c>
      <c r="X142" s="511">
        <v>0.25</v>
      </c>
      <c r="Y142" s="511">
        <v>0.25</v>
      </c>
      <c r="Z142" s="511">
        <v>0.25</v>
      </c>
      <c r="AA142" s="511">
        <v>0.25</v>
      </c>
      <c r="AB142" s="511">
        <v>0.25</v>
      </c>
      <c r="AC142" s="512">
        <v>0.25</v>
      </c>
    </row>
    <row r="143" spans="1:29" x14ac:dyDescent="0.3">
      <c r="B143"/>
    </row>
    <row r="144" spans="1:29" x14ac:dyDescent="0.3">
      <c r="B144"/>
    </row>
    <row r="145" spans="2:2" x14ac:dyDescent="0.3">
      <c r="B145"/>
    </row>
    <row r="146" spans="2:2" x14ac:dyDescent="0.3">
      <c r="B146"/>
    </row>
    <row r="147" spans="2:2" x14ac:dyDescent="0.3">
      <c r="B147"/>
    </row>
    <row r="148" spans="2:2" x14ac:dyDescent="0.3">
      <c r="B148"/>
    </row>
    <row r="149" spans="2:2" x14ac:dyDescent="0.3">
      <c r="B149"/>
    </row>
    <row r="150" spans="2:2" x14ac:dyDescent="0.3">
      <c r="B150"/>
    </row>
    <row r="151" spans="2:2" x14ac:dyDescent="0.3">
      <c r="B151"/>
    </row>
    <row r="152" spans="2:2" x14ac:dyDescent="0.3">
      <c r="B152"/>
    </row>
    <row r="153" spans="2:2" x14ac:dyDescent="0.3">
      <c r="B153"/>
    </row>
    <row r="154" spans="2:2" x14ac:dyDescent="0.3">
      <c r="B154"/>
    </row>
    <row r="155" spans="2:2" x14ac:dyDescent="0.3">
      <c r="B155"/>
    </row>
    <row r="156" spans="2:2" x14ac:dyDescent="0.3">
      <c r="B156"/>
    </row>
    <row r="157" spans="2:2" x14ac:dyDescent="0.3">
      <c r="B157"/>
    </row>
    <row r="158" spans="2:2" x14ac:dyDescent="0.3">
      <c r="B158"/>
    </row>
    <row r="159" spans="2:2" x14ac:dyDescent="0.3">
      <c r="B159"/>
    </row>
    <row r="160" spans="2:2" x14ac:dyDescent="0.3">
      <c r="B160"/>
    </row>
    <row r="161" spans="2:2" x14ac:dyDescent="0.3">
      <c r="B161"/>
    </row>
    <row r="162" spans="2:2" x14ac:dyDescent="0.3">
      <c r="B162"/>
    </row>
    <row r="163" spans="2:2" x14ac:dyDescent="0.3">
      <c r="B163"/>
    </row>
    <row r="164" spans="2:2" x14ac:dyDescent="0.3">
      <c r="B164"/>
    </row>
  </sheetData>
  <mergeCells count="191">
    <mergeCell ref="A140:A142"/>
    <mergeCell ref="B140:B142"/>
    <mergeCell ref="C140:C142"/>
    <mergeCell ref="D140:D142"/>
    <mergeCell ref="A131:A133"/>
    <mergeCell ref="B131:B133"/>
    <mergeCell ref="C131:C133"/>
    <mergeCell ref="D131:D133"/>
    <mergeCell ref="A134:A136"/>
    <mergeCell ref="B134:B136"/>
    <mergeCell ref="C134:C136"/>
    <mergeCell ref="D134:D136"/>
    <mergeCell ref="A137:A139"/>
    <mergeCell ref="B137:B139"/>
    <mergeCell ref="C137:C139"/>
    <mergeCell ref="D137:D139"/>
    <mergeCell ref="A125:A127"/>
    <mergeCell ref="B125:B127"/>
    <mergeCell ref="C125:C127"/>
    <mergeCell ref="D125:D127"/>
    <mergeCell ref="A128:A130"/>
    <mergeCell ref="B128:B130"/>
    <mergeCell ref="C128:C130"/>
    <mergeCell ref="D128:D130"/>
    <mergeCell ref="A118:AC118"/>
    <mergeCell ref="A119:A121"/>
    <mergeCell ref="B119:B121"/>
    <mergeCell ref="C119:C121"/>
    <mergeCell ref="D119:D121"/>
    <mergeCell ref="A122:A124"/>
    <mergeCell ref="B122:B124"/>
    <mergeCell ref="C122:C124"/>
    <mergeCell ref="D122:D124"/>
    <mergeCell ref="A109:A111"/>
    <mergeCell ref="B109:B111"/>
    <mergeCell ref="C109:C111"/>
    <mergeCell ref="D109:D111"/>
    <mergeCell ref="A106:A108"/>
    <mergeCell ref="B106:B108"/>
    <mergeCell ref="C106:C108"/>
    <mergeCell ref="D106:D108"/>
    <mergeCell ref="A115:A117"/>
    <mergeCell ref="B115:B117"/>
    <mergeCell ref="C115:C117"/>
    <mergeCell ref="D115:D117"/>
    <mergeCell ref="A112:A114"/>
    <mergeCell ref="B112:B114"/>
    <mergeCell ref="C112:C114"/>
    <mergeCell ref="D112:D114"/>
    <mergeCell ref="A103:A105"/>
    <mergeCell ref="B103:B105"/>
    <mergeCell ref="C103:C105"/>
    <mergeCell ref="D103:D105"/>
    <mergeCell ref="A69:A71"/>
    <mergeCell ref="B69:B71"/>
    <mergeCell ref="C69:C71"/>
    <mergeCell ref="D69:D71"/>
    <mergeCell ref="A72:A74"/>
    <mergeCell ref="B72:B74"/>
    <mergeCell ref="C72:C74"/>
    <mergeCell ref="D72:D74"/>
    <mergeCell ref="A75:A77"/>
    <mergeCell ref="B75:B77"/>
    <mergeCell ref="C75:C77"/>
    <mergeCell ref="D75:D77"/>
    <mergeCell ref="A87:A89"/>
    <mergeCell ref="B87:B89"/>
    <mergeCell ref="C87:C89"/>
    <mergeCell ref="D87:D89"/>
    <mergeCell ref="B90:B92"/>
    <mergeCell ref="C90:C92"/>
    <mergeCell ref="D90:D92"/>
    <mergeCell ref="A100:A102"/>
    <mergeCell ref="B100:B102"/>
    <mergeCell ref="C100:C102"/>
    <mergeCell ref="D100:D102"/>
    <mergeCell ref="A59:A61"/>
    <mergeCell ref="A35:A37"/>
    <mergeCell ref="A38:A40"/>
    <mergeCell ref="A41:A43"/>
    <mergeCell ref="A44:A46"/>
    <mergeCell ref="B97:B99"/>
    <mergeCell ref="B62:B64"/>
    <mergeCell ref="A93:AC93"/>
    <mergeCell ref="A94:A96"/>
    <mergeCell ref="B94:B96"/>
    <mergeCell ref="C94:C96"/>
    <mergeCell ref="D94:D96"/>
    <mergeCell ref="A97:A99"/>
    <mergeCell ref="C97:C99"/>
    <mergeCell ref="D97:D99"/>
    <mergeCell ref="A90:A92"/>
    <mergeCell ref="A78:A80"/>
    <mergeCell ref="B78:B80"/>
    <mergeCell ref="C78:C80"/>
    <mergeCell ref="D78:D80"/>
    <mergeCell ref="A81:A83"/>
    <mergeCell ref="A25:A27"/>
    <mergeCell ref="A28:A30"/>
    <mergeCell ref="A31:A33"/>
    <mergeCell ref="E2:E3"/>
    <mergeCell ref="D2:D3"/>
    <mergeCell ref="B2:B3"/>
    <mergeCell ref="D13:D15"/>
    <mergeCell ref="D28:D30"/>
    <mergeCell ref="C2:C3"/>
    <mergeCell ref="C25:C27"/>
    <mergeCell ref="C28:C30"/>
    <mergeCell ref="B28:B30"/>
    <mergeCell ref="B22:B24"/>
    <mergeCell ref="B25:B27"/>
    <mergeCell ref="B4:B6"/>
    <mergeCell ref="B7:B9"/>
    <mergeCell ref="C16:C18"/>
    <mergeCell ref="C19:C21"/>
    <mergeCell ref="C22:C24"/>
    <mergeCell ref="D19:D21"/>
    <mergeCell ref="D22:D24"/>
    <mergeCell ref="B19:B21"/>
    <mergeCell ref="B81:B83"/>
    <mergeCell ref="C81:C83"/>
    <mergeCell ref="D81:D83"/>
    <mergeCell ref="A1:AC1"/>
    <mergeCell ref="F2:AC2"/>
    <mergeCell ref="B31:B33"/>
    <mergeCell ref="A34:AC34"/>
    <mergeCell ref="B35:B37"/>
    <mergeCell ref="B38:B40"/>
    <mergeCell ref="B44:B46"/>
    <mergeCell ref="B47:B49"/>
    <mergeCell ref="A2:A3"/>
    <mergeCell ref="A4:A6"/>
    <mergeCell ref="A7:A9"/>
    <mergeCell ref="A10:A12"/>
    <mergeCell ref="A13:A15"/>
    <mergeCell ref="A16:A18"/>
    <mergeCell ref="A19:A21"/>
    <mergeCell ref="A22:A24"/>
    <mergeCell ref="D31:D33"/>
    <mergeCell ref="D47:D49"/>
    <mergeCell ref="D53:D55"/>
    <mergeCell ref="D35:D37"/>
    <mergeCell ref="D38:D40"/>
    <mergeCell ref="D41:D43"/>
    <mergeCell ref="A66:A68"/>
    <mergeCell ref="B66:B68"/>
    <mergeCell ref="C66:C68"/>
    <mergeCell ref="D66:D68"/>
    <mergeCell ref="A62:A64"/>
    <mergeCell ref="C62:C64"/>
    <mergeCell ref="C47:C49"/>
    <mergeCell ref="D50:D52"/>
    <mergeCell ref="D62:D64"/>
    <mergeCell ref="A65:AC65"/>
    <mergeCell ref="C53:C55"/>
    <mergeCell ref="C56:C58"/>
    <mergeCell ref="C59:C61"/>
    <mergeCell ref="A84:A86"/>
    <mergeCell ref="B84:B86"/>
    <mergeCell ref="C84:C86"/>
    <mergeCell ref="D84:D86"/>
    <mergeCell ref="D4:D6"/>
    <mergeCell ref="D7:D9"/>
    <mergeCell ref="D10:D12"/>
    <mergeCell ref="D16:D18"/>
    <mergeCell ref="D25:D27"/>
    <mergeCell ref="B10:B12"/>
    <mergeCell ref="B13:B15"/>
    <mergeCell ref="B16:B18"/>
    <mergeCell ref="C31:C33"/>
    <mergeCell ref="B41:B43"/>
    <mergeCell ref="A50:A52"/>
    <mergeCell ref="B50:B52"/>
    <mergeCell ref="D56:D58"/>
    <mergeCell ref="D59:D61"/>
    <mergeCell ref="C50:C52"/>
    <mergeCell ref="D44:D46"/>
    <mergeCell ref="C4:C6"/>
    <mergeCell ref="C7:C9"/>
    <mergeCell ref="C10:C12"/>
    <mergeCell ref="C13:C15"/>
    <mergeCell ref="C35:C37"/>
    <mergeCell ref="C38:C40"/>
    <mergeCell ref="C41:C43"/>
    <mergeCell ref="C44:C46"/>
    <mergeCell ref="B53:B55"/>
    <mergeCell ref="B56:B58"/>
    <mergeCell ref="B59:B61"/>
    <mergeCell ref="A47:A49"/>
    <mergeCell ref="A53:A55"/>
    <mergeCell ref="A56:A58"/>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9D48C-EFB6-440B-BE4F-FD4465FADBA0}">
  <sheetPr codeName="Sheet20"/>
  <dimension ref="A1:G25"/>
  <sheetViews>
    <sheetView zoomScaleNormal="100" workbookViewId="0">
      <selection sqref="A1:E1"/>
    </sheetView>
  </sheetViews>
  <sheetFormatPr defaultColWidth="8.6640625" defaultRowHeight="13.2" x14ac:dyDescent="0.25"/>
  <cols>
    <col min="1" max="1" width="28.6640625" style="3" customWidth="1"/>
    <col min="2" max="2" width="15.44140625" style="3" customWidth="1"/>
    <col min="3" max="3" width="19.33203125" style="3" customWidth="1"/>
    <col min="4" max="5" width="18.33203125" style="3" customWidth="1"/>
    <col min="6" max="8" width="13.6640625" style="3" customWidth="1"/>
    <col min="9" max="9" width="10.6640625" style="3" customWidth="1"/>
    <col min="10" max="11" width="8.6640625" style="3"/>
    <col min="12" max="12" width="13.6640625" style="3" customWidth="1"/>
    <col min="13" max="15" width="8.6640625" style="3"/>
    <col min="16" max="16" width="12.44140625" style="3" customWidth="1"/>
    <col min="17" max="16384" width="8.6640625" style="3"/>
  </cols>
  <sheetData>
    <row r="1" spans="1:5" ht="27" customHeight="1" x14ac:dyDescent="0.25">
      <c r="A1" s="596" t="str">
        <f>"Energy Consumption - " &amp;Prototype!A2</f>
        <v xml:space="preserve">Energy Consumption - ApartmentMidRise </v>
      </c>
      <c r="B1" s="596"/>
      <c r="C1" s="596"/>
      <c r="D1" s="596"/>
      <c r="E1" s="596"/>
    </row>
    <row r="2" spans="1:5" ht="39.6" customHeight="1" x14ac:dyDescent="0.25">
      <c r="A2" s="552" t="s">
        <v>3</v>
      </c>
      <c r="B2" s="45" t="s">
        <v>693</v>
      </c>
      <c r="C2" s="45" t="s">
        <v>694</v>
      </c>
      <c r="D2" s="45" t="s">
        <v>695</v>
      </c>
      <c r="E2" s="45" t="s">
        <v>696</v>
      </c>
    </row>
    <row r="3" spans="1:5" ht="19.2" customHeight="1" x14ac:dyDescent="0.25">
      <c r="A3" s="831" t="str">
        <f>Prototype!A2</f>
        <v xml:space="preserve">ApartmentMidRise </v>
      </c>
      <c r="B3" s="38">
        <v>1</v>
      </c>
      <c r="C3" s="46"/>
      <c r="D3" s="41"/>
      <c r="E3" s="41"/>
    </row>
    <row r="4" spans="1:5" ht="19.2" customHeight="1" x14ac:dyDescent="0.25">
      <c r="A4" s="832"/>
      <c r="B4" s="38">
        <v>2</v>
      </c>
      <c r="C4" s="46"/>
      <c r="D4" s="41"/>
      <c r="E4" s="41"/>
    </row>
    <row r="5" spans="1:5" ht="19.2" customHeight="1" x14ac:dyDescent="0.25">
      <c r="A5" s="832"/>
      <c r="B5" s="38">
        <v>3</v>
      </c>
      <c r="C5" s="46"/>
      <c r="D5" s="41"/>
      <c r="E5" s="41"/>
    </row>
    <row r="6" spans="1:5" ht="19.2" customHeight="1" x14ac:dyDescent="0.25">
      <c r="A6" s="832"/>
      <c r="B6" s="38">
        <v>4</v>
      </c>
      <c r="C6" s="46"/>
      <c r="D6" s="41"/>
      <c r="E6" s="41"/>
    </row>
    <row r="7" spans="1:5" ht="19.2" customHeight="1" x14ac:dyDescent="0.25">
      <c r="A7" s="832"/>
      <c r="B7" s="38">
        <v>5</v>
      </c>
      <c r="C7" s="46"/>
      <c r="D7" s="41"/>
      <c r="E7" s="41"/>
    </row>
    <row r="8" spans="1:5" ht="19.2" customHeight="1" x14ac:dyDescent="0.25">
      <c r="A8" s="832"/>
      <c r="B8" s="38">
        <v>6</v>
      </c>
      <c r="C8" s="46"/>
      <c r="D8" s="41"/>
      <c r="E8" s="41"/>
    </row>
    <row r="9" spans="1:5" ht="19.2" customHeight="1" x14ac:dyDescent="0.25">
      <c r="A9" s="832"/>
      <c r="B9" s="38">
        <v>7</v>
      </c>
      <c r="C9" s="46"/>
      <c r="D9" s="41"/>
      <c r="E9" s="41"/>
    </row>
    <row r="10" spans="1:5" ht="19.2" customHeight="1" x14ac:dyDescent="0.25">
      <c r="A10" s="832"/>
      <c r="B10" s="38">
        <v>8</v>
      </c>
      <c r="C10" s="46"/>
      <c r="D10" s="41"/>
      <c r="E10" s="41"/>
    </row>
    <row r="11" spans="1:5" ht="19.2" customHeight="1" x14ac:dyDescent="0.25">
      <c r="A11" s="832"/>
      <c r="B11" s="38">
        <v>9</v>
      </c>
      <c r="C11" s="46"/>
      <c r="D11" s="41"/>
      <c r="E11" s="41"/>
    </row>
    <row r="12" spans="1:5" ht="19.2" customHeight="1" x14ac:dyDescent="0.25">
      <c r="A12" s="832"/>
      <c r="B12" s="38">
        <v>10</v>
      </c>
      <c r="C12" s="46"/>
      <c r="D12" s="41"/>
      <c r="E12" s="41"/>
    </row>
    <row r="13" spans="1:5" ht="19.2" customHeight="1" x14ac:dyDescent="0.25">
      <c r="A13" s="832"/>
      <c r="B13" s="38">
        <v>11</v>
      </c>
      <c r="C13" s="46"/>
      <c r="D13" s="41"/>
      <c r="E13" s="41"/>
    </row>
    <row r="14" spans="1:5" ht="19.2" customHeight="1" x14ac:dyDescent="0.25">
      <c r="A14" s="832"/>
      <c r="B14" s="38">
        <v>12</v>
      </c>
      <c r="C14" s="46"/>
      <c r="D14" s="41"/>
      <c r="E14" s="41"/>
    </row>
    <row r="15" spans="1:5" ht="19.2" customHeight="1" x14ac:dyDescent="0.25">
      <c r="A15" s="832"/>
      <c r="B15" s="38">
        <v>13</v>
      </c>
      <c r="C15" s="46"/>
      <c r="D15" s="41"/>
      <c r="E15" s="41"/>
    </row>
    <row r="16" spans="1:5" ht="19.2" customHeight="1" x14ac:dyDescent="0.25">
      <c r="A16" s="832"/>
      <c r="B16" s="38">
        <v>14</v>
      </c>
      <c r="C16" s="46"/>
      <c r="D16" s="41"/>
      <c r="E16" s="41"/>
    </row>
    <row r="17" spans="1:7" ht="19.2" customHeight="1" x14ac:dyDescent="0.25">
      <c r="A17" s="832"/>
      <c r="B17" s="38">
        <v>15</v>
      </c>
      <c r="C17" s="46"/>
      <c r="D17" s="41"/>
      <c r="E17" s="41"/>
    </row>
    <row r="18" spans="1:7" ht="19.2" customHeight="1" x14ac:dyDescent="0.25">
      <c r="A18" s="833"/>
      <c r="B18" s="38">
        <v>16</v>
      </c>
      <c r="C18" s="46"/>
      <c r="D18" s="41"/>
      <c r="E18" s="41"/>
    </row>
    <row r="25" spans="1:7" s="23" customFormat="1" hidden="1" x14ac:dyDescent="0.25">
      <c r="A25" s="23" t="s">
        <v>188</v>
      </c>
      <c r="E25" s="24"/>
      <c r="F25" s="25"/>
      <c r="G25" s="26"/>
    </row>
  </sheetData>
  <mergeCells count="2">
    <mergeCell ref="A3:A18"/>
    <mergeCell ref="A1:E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C2528-244E-42F6-AB8E-307C68E3EB6B}">
  <sheetPr codeName="Sheet21"/>
  <dimension ref="A1:AC29"/>
  <sheetViews>
    <sheetView zoomScaleNormal="100" workbookViewId="0">
      <selection sqref="A1:G1"/>
    </sheetView>
  </sheetViews>
  <sheetFormatPr defaultColWidth="8.6640625" defaultRowHeight="13.2" x14ac:dyDescent="0.25"/>
  <cols>
    <col min="1" max="1" width="22.109375" style="3" customWidth="1"/>
    <col min="2" max="2" width="12" style="3" customWidth="1"/>
    <col min="3" max="6" width="13.6640625" style="3" customWidth="1"/>
    <col min="7" max="7" width="13.33203125" style="3" customWidth="1"/>
    <col min="8" max="8" width="12.6640625" style="3" bestFit="1" customWidth="1"/>
    <col min="9" max="9" width="8.6640625" style="3"/>
    <col min="10" max="10" width="17.33203125" style="3" customWidth="1"/>
    <col min="11" max="11" width="14.109375" style="3" customWidth="1"/>
    <col min="12" max="12" width="10.33203125" style="3" customWidth="1"/>
    <col min="13" max="27" width="5.6640625" style="3" customWidth="1"/>
    <col min="28" max="16384" width="8.6640625" style="3"/>
  </cols>
  <sheetData>
    <row r="1" spans="1:29" ht="28.95" customHeight="1" x14ac:dyDescent="0.3">
      <c r="A1" s="622" t="str">
        <f>"% of Floor Area per CZ and Vintage Bin - "&amp;Prototype!A2</f>
        <v xml:space="preserve">% of Floor Area per CZ and Vintage Bin - ApartmentMidRise </v>
      </c>
      <c r="B1" s="622"/>
      <c r="C1" s="622"/>
      <c r="D1" s="622"/>
      <c r="E1" s="622"/>
      <c r="F1" s="622"/>
      <c r="G1" s="622"/>
      <c r="J1"/>
      <c r="K1"/>
      <c r="L1"/>
      <c r="M1"/>
      <c r="N1"/>
      <c r="O1"/>
      <c r="P1"/>
      <c r="Q1"/>
      <c r="R1"/>
      <c r="S1"/>
      <c r="T1"/>
      <c r="U1"/>
      <c r="V1"/>
      <c r="W1"/>
      <c r="X1"/>
      <c r="Y1"/>
      <c r="Z1"/>
      <c r="AA1"/>
      <c r="AB1"/>
      <c r="AC1"/>
    </row>
    <row r="2" spans="1:29" ht="21" customHeight="1" x14ac:dyDescent="0.3">
      <c r="A2" s="834" t="s">
        <v>3</v>
      </c>
      <c r="B2" s="834" t="s">
        <v>693</v>
      </c>
      <c r="C2" s="834" t="s">
        <v>697</v>
      </c>
      <c r="D2" s="834"/>
      <c r="E2" s="834"/>
      <c r="F2" s="834"/>
      <c r="G2" s="834"/>
      <c r="J2"/>
      <c r="K2"/>
      <c r="L2"/>
      <c r="M2"/>
      <c r="N2"/>
      <c r="O2"/>
      <c r="P2"/>
      <c r="Q2"/>
      <c r="R2"/>
      <c r="S2"/>
      <c r="T2"/>
      <c r="U2"/>
      <c r="V2"/>
      <c r="W2"/>
      <c r="X2"/>
      <c r="Y2"/>
      <c r="Z2"/>
      <c r="AA2"/>
      <c r="AB2"/>
      <c r="AC2"/>
    </row>
    <row r="3" spans="1:29" ht="21" customHeight="1" x14ac:dyDescent="0.3">
      <c r="A3" s="835"/>
      <c r="B3" s="835"/>
      <c r="C3" s="552" t="s">
        <v>698</v>
      </c>
      <c r="D3" s="552" t="s">
        <v>218</v>
      </c>
      <c r="E3" s="552" t="s">
        <v>220</v>
      </c>
      <c r="F3" s="552" t="s">
        <v>222</v>
      </c>
      <c r="G3" s="552" t="s">
        <v>699</v>
      </c>
      <c r="J3"/>
      <c r="K3"/>
      <c r="L3"/>
      <c r="M3"/>
      <c r="N3"/>
      <c r="O3"/>
      <c r="P3"/>
      <c r="Q3"/>
      <c r="R3"/>
      <c r="S3"/>
      <c r="T3"/>
      <c r="U3"/>
      <c r="V3"/>
      <c r="W3"/>
      <c r="X3"/>
      <c r="Y3"/>
      <c r="Z3"/>
      <c r="AA3"/>
      <c r="AB3"/>
      <c r="AC3"/>
    </row>
    <row r="4" spans="1:29" ht="16.95" customHeight="1" x14ac:dyDescent="0.3">
      <c r="A4" s="554" t="str">
        <f>Prototype!A2</f>
        <v xml:space="preserve">ApartmentMidRise </v>
      </c>
      <c r="B4" s="185">
        <v>1</v>
      </c>
      <c r="C4" s="443"/>
      <c r="D4" s="443"/>
      <c r="E4" s="443"/>
      <c r="F4" s="443"/>
      <c r="G4" s="186"/>
      <c r="H4" s="64">
        <f>SUM(C4:F4)</f>
        <v>0</v>
      </c>
      <c r="J4"/>
      <c r="K4"/>
      <c r="L4"/>
      <c r="M4"/>
      <c r="N4"/>
      <c r="O4"/>
      <c r="P4"/>
      <c r="Q4"/>
      <c r="R4"/>
      <c r="S4"/>
      <c r="T4"/>
      <c r="U4"/>
      <c r="V4"/>
      <c r="W4"/>
      <c r="X4"/>
      <c r="Y4"/>
      <c r="Z4"/>
      <c r="AA4"/>
      <c r="AB4"/>
      <c r="AC4"/>
    </row>
    <row r="5" spans="1:29" ht="16.95" customHeight="1" x14ac:dyDescent="0.3">
      <c r="A5" s="554"/>
      <c r="B5" s="185">
        <v>2</v>
      </c>
      <c r="C5" s="443"/>
      <c r="D5" s="443"/>
      <c r="E5" s="443"/>
      <c r="F5" s="443"/>
      <c r="G5" s="186"/>
      <c r="H5" s="64">
        <f t="shared" ref="H5:H20" si="0">SUM(C5:F5)</f>
        <v>0</v>
      </c>
      <c r="J5"/>
      <c r="K5"/>
      <c r="L5"/>
      <c r="M5"/>
      <c r="N5"/>
      <c r="O5"/>
      <c r="P5"/>
      <c r="Q5"/>
      <c r="R5"/>
      <c r="S5"/>
      <c r="T5"/>
      <c r="U5"/>
      <c r="V5"/>
      <c r="W5"/>
      <c r="X5"/>
      <c r="Y5"/>
      <c r="Z5"/>
      <c r="AA5"/>
      <c r="AB5"/>
      <c r="AC5"/>
    </row>
    <row r="6" spans="1:29" ht="16.95" customHeight="1" x14ac:dyDescent="0.3">
      <c r="A6" s="554"/>
      <c r="B6" s="185">
        <v>3</v>
      </c>
      <c r="C6" s="443"/>
      <c r="D6" s="443"/>
      <c r="E6" s="443"/>
      <c r="F6" s="443"/>
      <c r="G6" s="186"/>
      <c r="H6" s="64">
        <f t="shared" si="0"/>
        <v>0</v>
      </c>
      <c r="J6"/>
      <c r="K6"/>
      <c r="L6"/>
      <c r="M6"/>
      <c r="N6"/>
      <c r="O6"/>
      <c r="P6"/>
      <c r="Q6"/>
      <c r="R6"/>
      <c r="S6"/>
      <c r="T6"/>
      <c r="U6"/>
      <c r="V6"/>
      <c r="W6"/>
      <c r="X6"/>
      <c r="Y6"/>
      <c r="Z6"/>
      <c r="AA6"/>
      <c r="AB6"/>
      <c r="AC6"/>
    </row>
    <row r="7" spans="1:29" ht="16.95" customHeight="1" x14ac:dyDescent="0.3">
      <c r="A7" s="554"/>
      <c r="B7" s="185">
        <v>4</v>
      </c>
      <c r="C7" s="443"/>
      <c r="D7" s="443"/>
      <c r="E7" s="443"/>
      <c r="F7" s="443"/>
      <c r="G7" s="186"/>
      <c r="H7" s="64">
        <f t="shared" si="0"/>
        <v>0</v>
      </c>
      <c r="J7"/>
      <c r="K7"/>
      <c r="L7"/>
      <c r="M7"/>
      <c r="N7"/>
      <c r="O7"/>
      <c r="P7"/>
      <c r="Q7"/>
      <c r="R7"/>
      <c r="S7"/>
      <c r="T7"/>
      <c r="U7"/>
      <c r="V7"/>
      <c r="W7"/>
      <c r="X7"/>
      <c r="Y7"/>
      <c r="Z7"/>
      <c r="AA7"/>
      <c r="AB7"/>
      <c r="AC7"/>
    </row>
    <row r="8" spans="1:29" ht="16.95" customHeight="1" x14ac:dyDescent="0.3">
      <c r="A8" s="554"/>
      <c r="B8" s="185">
        <v>5</v>
      </c>
      <c r="C8" s="443"/>
      <c r="D8" s="443"/>
      <c r="E8" s="443"/>
      <c r="F8" s="443"/>
      <c r="G8" s="186"/>
      <c r="H8" s="64">
        <f t="shared" si="0"/>
        <v>0</v>
      </c>
      <c r="J8"/>
      <c r="K8"/>
      <c r="L8"/>
      <c r="M8"/>
      <c r="N8"/>
      <c r="O8"/>
      <c r="P8"/>
      <c r="Q8"/>
      <c r="R8"/>
      <c r="S8"/>
      <c r="T8"/>
      <c r="U8"/>
      <c r="V8"/>
      <c r="W8"/>
      <c r="X8"/>
      <c r="Y8"/>
      <c r="Z8"/>
      <c r="AA8"/>
      <c r="AB8"/>
      <c r="AC8"/>
    </row>
    <row r="9" spans="1:29" ht="16.95" customHeight="1" x14ac:dyDescent="0.3">
      <c r="A9" s="554"/>
      <c r="B9" s="185">
        <v>6</v>
      </c>
      <c r="C9" s="443"/>
      <c r="D9" s="443"/>
      <c r="E9" s="443"/>
      <c r="F9" s="443"/>
      <c r="G9" s="186"/>
      <c r="H9" s="64">
        <f t="shared" si="0"/>
        <v>0</v>
      </c>
      <c r="J9"/>
      <c r="K9"/>
      <c r="L9"/>
      <c r="M9"/>
      <c r="N9"/>
      <c r="O9"/>
      <c r="P9"/>
      <c r="Q9"/>
      <c r="R9"/>
      <c r="S9"/>
      <c r="T9"/>
      <c r="U9"/>
      <c r="V9"/>
      <c r="W9"/>
      <c r="X9"/>
      <c r="Y9"/>
      <c r="Z9"/>
      <c r="AA9"/>
      <c r="AB9"/>
      <c r="AC9"/>
    </row>
    <row r="10" spans="1:29" ht="16.95" customHeight="1" x14ac:dyDescent="0.3">
      <c r="A10" s="554"/>
      <c r="B10" s="185">
        <v>7</v>
      </c>
      <c r="C10" s="443"/>
      <c r="D10" s="443"/>
      <c r="E10" s="443"/>
      <c r="F10" s="443"/>
      <c r="G10" s="186"/>
      <c r="H10" s="64">
        <f t="shared" si="0"/>
        <v>0</v>
      </c>
      <c r="J10"/>
      <c r="K10"/>
      <c r="L10"/>
      <c r="M10"/>
      <c r="N10"/>
      <c r="O10"/>
      <c r="P10"/>
      <c r="Q10"/>
      <c r="R10"/>
      <c r="S10"/>
      <c r="T10"/>
      <c r="U10"/>
      <c r="V10"/>
      <c r="W10"/>
      <c r="X10"/>
      <c r="Y10"/>
      <c r="Z10"/>
      <c r="AA10"/>
      <c r="AB10"/>
      <c r="AC10"/>
    </row>
    <row r="11" spans="1:29" ht="16.95" customHeight="1" x14ac:dyDescent="0.3">
      <c r="A11" s="554"/>
      <c r="B11" s="185">
        <v>8</v>
      </c>
      <c r="C11" s="443"/>
      <c r="D11" s="443"/>
      <c r="E11" s="443"/>
      <c r="F11" s="443"/>
      <c r="G11" s="186"/>
      <c r="H11" s="64">
        <f t="shared" si="0"/>
        <v>0</v>
      </c>
      <c r="J11"/>
      <c r="K11"/>
      <c r="L11"/>
      <c r="M11"/>
      <c r="N11"/>
      <c r="O11"/>
      <c r="P11"/>
      <c r="Q11"/>
      <c r="R11"/>
      <c r="S11"/>
      <c r="T11"/>
      <c r="U11"/>
      <c r="V11"/>
      <c r="W11"/>
      <c r="X11"/>
      <c r="Y11"/>
      <c r="Z11"/>
      <c r="AA11"/>
      <c r="AB11"/>
      <c r="AC11"/>
    </row>
    <row r="12" spans="1:29" ht="16.95" customHeight="1" x14ac:dyDescent="0.3">
      <c r="A12" s="554"/>
      <c r="B12" s="185">
        <v>9</v>
      </c>
      <c r="C12" s="443"/>
      <c r="D12" s="443"/>
      <c r="E12" s="443"/>
      <c r="F12" s="443"/>
      <c r="G12" s="186"/>
      <c r="H12" s="64">
        <f t="shared" si="0"/>
        <v>0</v>
      </c>
      <c r="J12"/>
      <c r="K12"/>
      <c r="L12"/>
      <c r="M12"/>
      <c r="N12"/>
      <c r="O12"/>
      <c r="P12"/>
      <c r="Q12"/>
      <c r="R12"/>
      <c r="S12"/>
      <c r="T12"/>
      <c r="U12"/>
      <c r="V12"/>
      <c r="W12"/>
      <c r="X12"/>
      <c r="Y12"/>
      <c r="Z12"/>
      <c r="AA12"/>
      <c r="AB12"/>
      <c r="AC12"/>
    </row>
    <row r="13" spans="1:29" ht="16.95" customHeight="1" x14ac:dyDescent="0.3">
      <c r="A13" s="554"/>
      <c r="B13" s="185">
        <v>10</v>
      </c>
      <c r="C13" s="443"/>
      <c r="D13" s="443"/>
      <c r="E13" s="443"/>
      <c r="F13" s="443"/>
      <c r="G13" s="186"/>
      <c r="H13" s="64">
        <f t="shared" si="0"/>
        <v>0</v>
      </c>
      <c r="J13"/>
      <c r="K13"/>
      <c r="L13"/>
      <c r="M13"/>
      <c r="N13"/>
      <c r="O13"/>
      <c r="P13"/>
      <c r="Q13"/>
      <c r="R13"/>
      <c r="S13"/>
      <c r="T13"/>
      <c r="U13"/>
      <c r="V13"/>
      <c r="W13"/>
      <c r="X13"/>
      <c r="Y13"/>
      <c r="Z13"/>
      <c r="AA13"/>
      <c r="AB13"/>
      <c r="AC13"/>
    </row>
    <row r="14" spans="1:29" ht="16.95" customHeight="1" x14ac:dyDescent="0.25">
      <c r="A14" s="554"/>
      <c r="B14" s="185">
        <v>11</v>
      </c>
      <c r="C14" s="443"/>
      <c r="D14" s="443"/>
      <c r="E14" s="443"/>
      <c r="F14" s="443"/>
      <c r="G14" s="186"/>
      <c r="H14" s="64">
        <f t="shared" si="0"/>
        <v>0</v>
      </c>
      <c r="J14" s="6"/>
      <c r="K14" s="62"/>
      <c r="L14" s="29"/>
      <c r="M14" s="29"/>
      <c r="N14" s="29"/>
      <c r="O14" s="29"/>
      <c r="P14" s="63"/>
    </row>
    <row r="15" spans="1:29" ht="16.95" customHeight="1" x14ac:dyDescent="0.25">
      <c r="A15" s="554"/>
      <c r="B15" s="185">
        <v>12</v>
      </c>
      <c r="C15" s="443"/>
      <c r="D15" s="443"/>
      <c r="E15" s="443"/>
      <c r="F15" s="443"/>
      <c r="G15" s="186"/>
      <c r="H15" s="64">
        <f t="shared" si="0"/>
        <v>0</v>
      </c>
      <c r="J15" s="6"/>
      <c r="K15" s="62"/>
      <c r="L15" s="29"/>
      <c r="M15" s="29"/>
      <c r="N15" s="29"/>
      <c r="O15" s="29"/>
      <c r="P15" s="63"/>
    </row>
    <row r="16" spans="1:29" ht="16.95" customHeight="1" x14ac:dyDescent="0.25">
      <c r="A16" s="554"/>
      <c r="B16" s="185">
        <v>13</v>
      </c>
      <c r="C16" s="443"/>
      <c r="D16" s="443"/>
      <c r="E16" s="443"/>
      <c r="F16" s="443"/>
      <c r="G16" s="186"/>
      <c r="H16" s="64">
        <f t="shared" si="0"/>
        <v>0</v>
      </c>
      <c r="J16" s="6"/>
      <c r="K16" s="62"/>
      <c r="L16" s="29"/>
      <c r="M16" s="29"/>
      <c r="N16" s="29"/>
      <c r="O16" s="29"/>
      <c r="P16" s="63"/>
    </row>
    <row r="17" spans="1:16" ht="16.95" customHeight="1" x14ac:dyDescent="0.25">
      <c r="A17" s="554"/>
      <c r="B17" s="185">
        <v>14</v>
      </c>
      <c r="C17" s="443"/>
      <c r="D17" s="443"/>
      <c r="E17" s="443"/>
      <c r="F17" s="443"/>
      <c r="G17" s="186"/>
      <c r="H17" s="64">
        <f t="shared" si="0"/>
        <v>0</v>
      </c>
      <c r="J17" s="6"/>
      <c r="K17" s="62"/>
      <c r="L17" s="29"/>
      <c r="M17" s="29"/>
      <c r="N17" s="29"/>
      <c r="O17" s="29"/>
      <c r="P17" s="63"/>
    </row>
    <row r="18" spans="1:16" ht="16.95" customHeight="1" x14ac:dyDescent="0.25">
      <c r="A18" s="554"/>
      <c r="B18" s="185">
        <v>15</v>
      </c>
      <c r="C18" s="443"/>
      <c r="D18" s="443"/>
      <c r="E18" s="443"/>
      <c r="F18" s="443"/>
      <c r="G18" s="186"/>
      <c r="H18" s="64">
        <f t="shared" si="0"/>
        <v>0</v>
      </c>
      <c r="J18" s="6"/>
      <c r="K18" s="62"/>
      <c r="L18" s="29"/>
      <c r="M18" s="29"/>
      <c r="N18" s="29"/>
      <c r="O18" s="29"/>
      <c r="P18" s="63"/>
    </row>
    <row r="19" spans="1:16" ht="16.95" customHeight="1" x14ac:dyDescent="0.25">
      <c r="A19" s="554"/>
      <c r="B19" s="185">
        <v>16</v>
      </c>
      <c r="C19" s="443"/>
      <c r="D19" s="443"/>
      <c r="E19" s="443"/>
      <c r="F19" s="443"/>
      <c r="G19" s="186"/>
      <c r="H19" s="64">
        <f t="shared" si="0"/>
        <v>0</v>
      </c>
      <c r="J19" s="6"/>
      <c r="K19" s="62"/>
      <c r="L19" s="29"/>
      <c r="M19" s="29"/>
      <c r="N19" s="29"/>
      <c r="O19" s="29"/>
      <c r="P19" s="63"/>
    </row>
    <row r="20" spans="1:16" x14ac:dyDescent="0.25">
      <c r="A20" s="554"/>
      <c r="B20" s="186" t="s">
        <v>700</v>
      </c>
      <c r="C20" s="186"/>
      <c r="D20" s="186"/>
      <c r="E20" s="186"/>
      <c r="F20" s="186"/>
      <c r="G20" s="186"/>
      <c r="H20" s="64">
        <f t="shared" si="0"/>
        <v>0</v>
      </c>
    </row>
    <row r="29" spans="1:16" s="23" customFormat="1" hidden="1" x14ac:dyDescent="0.25">
      <c r="A29" s="23" t="s">
        <v>188</v>
      </c>
      <c r="E29" s="24"/>
      <c r="F29" s="25"/>
      <c r="G29" s="26"/>
    </row>
  </sheetData>
  <mergeCells count="5">
    <mergeCell ref="A4:A20"/>
    <mergeCell ref="C2:G2"/>
    <mergeCell ref="A1:G1"/>
    <mergeCell ref="B2:B3"/>
    <mergeCell ref="A2:A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638C3-9269-4523-B14B-D8D22DE74C86}">
  <sheetPr codeName="Sheet8"/>
  <dimension ref="A1:J2"/>
  <sheetViews>
    <sheetView workbookViewId="0">
      <selection activeCell="A2" sqref="A2"/>
    </sheetView>
  </sheetViews>
  <sheetFormatPr defaultRowHeight="14.4" x14ac:dyDescent="0.3"/>
  <sheetData>
    <row r="1" spans="1:10" ht="15.6" customHeight="1" x14ac:dyDescent="0.3">
      <c r="A1" s="836" t="str">
        <f>"PV - "&amp;Prototype!A2</f>
        <v xml:space="preserve">PV - ApartmentMidRise </v>
      </c>
      <c r="B1" s="836"/>
      <c r="C1" s="836"/>
      <c r="D1" s="836"/>
      <c r="E1" s="836"/>
      <c r="F1" s="836"/>
      <c r="G1" s="836"/>
      <c r="H1" s="836"/>
      <c r="I1" s="836"/>
      <c r="J1" s="836"/>
    </row>
    <row r="2" spans="1:10" x14ac:dyDescent="0.3">
      <c r="A2" t="s">
        <v>701</v>
      </c>
    </row>
  </sheetData>
  <mergeCells count="1">
    <mergeCell ref="A1:J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BB9E4-8E7A-41B8-B067-A47E2307C7E6}">
  <sheetPr codeName="Sheet22"/>
  <dimension ref="A1:H11"/>
  <sheetViews>
    <sheetView zoomScaleNormal="70" workbookViewId="0">
      <selection sqref="A1:H1"/>
    </sheetView>
  </sheetViews>
  <sheetFormatPr defaultColWidth="8.6640625" defaultRowHeight="13.2" x14ac:dyDescent="0.25"/>
  <cols>
    <col min="1" max="1" width="21" style="3" customWidth="1"/>
    <col min="2" max="2" width="14.33203125" style="3" customWidth="1"/>
    <col min="3" max="3" width="14.5546875" style="3" customWidth="1"/>
    <col min="4" max="8" width="8.6640625" style="3"/>
    <col min="9" max="9" width="13.6640625" style="3" customWidth="1"/>
    <col min="10" max="10" width="14.44140625" style="3" customWidth="1"/>
    <col min="11" max="16384" width="8.6640625" style="3"/>
  </cols>
  <sheetData>
    <row r="1" spans="1:8" ht="15.6" x14ac:dyDescent="0.25">
      <c r="A1" s="622" t="str">
        <f>"EV Charger - "&amp;Prototype!A2</f>
        <v xml:space="preserve">EV Charger - ApartmentMidRise </v>
      </c>
      <c r="B1" s="622"/>
      <c r="C1" s="622"/>
      <c r="D1" s="622"/>
      <c r="E1" s="622"/>
      <c r="F1" s="622"/>
      <c r="G1" s="622"/>
      <c r="H1" s="622"/>
    </row>
    <row r="2" spans="1:8" x14ac:dyDescent="0.25">
      <c r="A2" s="3" t="s">
        <v>701</v>
      </c>
      <c r="B2" s="48"/>
      <c r="C2" s="49"/>
      <c r="D2" s="50"/>
      <c r="E2" s="50"/>
    </row>
    <row r="3" spans="1:8" x14ac:dyDescent="0.25">
      <c r="A3" s="36"/>
      <c r="B3" s="47"/>
      <c r="C3" s="532"/>
      <c r="D3" s="51"/>
      <c r="E3" s="51"/>
    </row>
    <row r="11" spans="1:8" s="23" customFormat="1" hidden="1" x14ac:dyDescent="0.25">
      <c r="A11" s="23" t="s">
        <v>188</v>
      </c>
      <c r="E11" s="24"/>
      <c r="F11" s="25"/>
      <c r="G11" s="26"/>
    </row>
  </sheetData>
  <mergeCells count="1">
    <mergeCell ref="A1:H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909D2-E09E-457A-A8F8-583A51E09AF7}">
  <sheetPr codeName="Sheet11"/>
  <dimension ref="A1:G83"/>
  <sheetViews>
    <sheetView workbookViewId="0"/>
  </sheetViews>
  <sheetFormatPr defaultRowHeight="14.4" x14ac:dyDescent="0.3"/>
  <cols>
    <col min="1" max="1" width="58.6640625" customWidth="1"/>
    <col min="2" max="2" width="30.88671875" customWidth="1"/>
    <col min="3" max="3" width="30.33203125" customWidth="1"/>
  </cols>
  <sheetData>
    <row r="1" spans="1:7" x14ac:dyDescent="0.3">
      <c r="A1" t="s">
        <v>702</v>
      </c>
      <c r="B1" t="s">
        <v>703</v>
      </c>
      <c r="C1" t="s">
        <v>703</v>
      </c>
      <c r="D1" s="837" t="s">
        <v>704</v>
      </c>
      <c r="E1" s="837"/>
      <c r="F1" s="837"/>
      <c r="G1" s="837"/>
    </row>
    <row r="2" spans="1:7" x14ac:dyDescent="0.3">
      <c r="A2" s="288" t="s">
        <v>705</v>
      </c>
      <c r="D2">
        <v>2013</v>
      </c>
      <c r="E2">
        <v>2016</v>
      </c>
      <c r="F2">
        <v>2019</v>
      </c>
      <c r="G2">
        <v>2025</v>
      </c>
    </row>
    <row r="3" spans="1:7" x14ac:dyDescent="0.3">
      <c r="A3" s="288" t="s">
        <v>706</v>
      </c>
    </row>
    <row r="4" spans="1:7" x14ac:dyDescent="0.3">
      <c r="A4" t="s">
        <v>707</v>
      </c>
    </row>
    <row r="5" spans="1:7" x14ac:dyDescent="0.3">
      <c r="A5" t="s">
        <v>708</v>
      </c>
    </row>
    <row r="6" spans="1:7" x14ac:dyDescent="0.3">
      <c r="A6" t="s">
        <v>709</v>
      </c>
    </row>
    <row r="7" spans="1:7" x14ac:dyDescent="0.3">
      <c r="A7" t="s">
        <v>710</v>
      </c>
    </row>
    <row r="8" spans="1:7" x14ac:dyDescent="0.3">
      <c r="A8" t="s">
        <v>711</v>
      </c>
    </row>
    <row r="9" spans="1:7" x14ac:dyDescent="0.3">
      <c r="A9" t="s">
        <v>712</v>
      </c>
    </row>
    <row r="10" spans="1:7" x14ac:dyDescent="0.3">
      <c r="A10" t="s">
        <v>713</v>
      </c>
    </row>
    <row r="11" spans="1:7" x14ac:dyDescent="0.3">
      <c r="A11" t="s">
        <v>714</v>
      </c>
    </row>
    <row r="12" spans="1:7" x14ac:dyDescent="0.3">
      <c r="A12" t="s">
        <v>715</v>
      </c>
    </row>
    <row r="13" spans="1:7" x14ac:dyDescent="0.3">
      <c r="A13" t="s">
        <v>716</v>
      </c>
    </row>
    <row r="14" spans="1:7" x14ac:dyDescent="0.3">
      <c r="A14" t="s">
        <v>717</v>
      </c>
    </row>
    <row r="15" spans="1:7" x14ac:dyDescent="0.3">
      <c r="A15" t="s">
        <v>718</v>
      </c>
    </row>
    <row r="16" spans="1:7" x14ac:dyDescent="0.3">
      <c r="A16" t="s">
        <v>719</v>
      </c>
    </row>
    <row r="17" spans="1:1" x14ac:dyDescent="0.3">
      <c r="A17" t="s">
        <v>84</v>
      </c>
    </row>
    <row r="18" spans="1:1" x14ac:dyDescent="0.3">
      <c r="A18" t="s">
        <v>720</v>
      </c>
    </row>
    <row r="19" spans="1:1" x14ac:dyDescent="0.3">
      <c r="A19" t="s">
        <v>92</v>
      </c>
    </row>
    <row r="20" spans="1:1" x14ac:dyDescent="0.3">
      <c r="A20" t="s">
        <v>721</v>
      </c>
    </row>
    <row r="21" spans="1:1" x14ac:dyDescent="0.3">
      <c r="A21" t="s">
        <v>722</v>
      </c>
    </row>
    <row r="22" spans="1:1" x14ac:dyDescent="0.3">
      <c r="A22" t="s">
        <v>723</v>
      </c>
    </row>
    <row r="23" spans="1:1" x14ac:dyDescent="0.3">
      <c r="A23" t="s">
        <v>104</v>
      </c>
    </row>
    <row r="24" spans="1:1" x14ac:dyDescent="0.3">
      <c r="A24" t="s">
        <v>95</v>
      </c>
    </row>
    <row r="25" spans="1:1" x14ac:dyDescent="0.3">
      <c r="A25" t="s">
        <v>724</v>
      </c>
    </row>
    <row r="26" spans="1:1" x14ac:dyDescent="0.3">
      <c r="A26" t="s">
        <v>725</v>
      </c>
    </row>
    <row r="27" spans="1:1" x14ac:dyDescent="0.3">
      <c r="A27" t="s">
        <v>726</v>
      </c>
    </row>
    <row r="28" spans="1:1" x14ac:dyDescent="0.3">
      <c r="A28" t="s">
        <v>727</v>
      </c>
    </row>
    <row r="29" spans="1:1" x14ac:dyDescent="0.3">
      <c r="A29" t="s">
        <v>728</v>
      </c>
    </row>
    <row r="30" spans="1:1" x14ac:dyDescent="0.3">
      <c r="A30" t="s">
        <v>729</v>
      </c>
    </row>
    <row r="31" spans="1:1" x14ac:dyDescent="0.3">
      <c r="A31" t="s">
        <v>730</v>
      </c>
    </row>
    <row r="32" spans="1:1" x14ac:dyDescent="0.3">
      <c r="A32" t="s">
        <v>731</v>
      </c>
    </row>
    <row r="33" spans="1:1" x14ac:dyDescent="0.3">
      <c r="A33" t="s">
        <v>732</v>
      </c>
    </row>
    <row r="34" spans="1:1" x14ac:dyDescent="0.3">
      <c r="A34" t="s">
        <v>733</v>
      </c>
    </row>
    <row r="35" spans="1:1" x14ac:dyDescent="0.3">
      <c r="A35" t="s">
        <v>734</v>
      </c>
    </row>
    <row r="36" spans="1:1" x14ac:dyDescent="0.3">
      <c r="A36" t="s">
        <v>735</v>
      </c>
    </row>
    <row r="37" spans="1:1" x14ac:dyDescent="0.3">
      <c r="A37" t="s">
        <v>736</v>
      </c>
    </row>
    <row r="38" spans="1:1" x14ac:dyDescent="0.3">
      <c r="A38" t="s">
        <v>737</v>
      </c>
    </row>
    <row r="39" spans="1:1" x14ac:dyDescent="0.3">
      <c r="A39" t="s">
        <v>144</v>
      </c>
    </row>
    <row r="40" spans="1:1" x14ac:dyDescent="0.3">
      <c r="A40" t="s">
        <v>738</v>
      </c>
    </row>
    <row r="41" spans="1:1" x14ac:dyDescent="0.3">
      <c r="A41" t="s">
        <v>739</v>
      </c>
    </row>
    <row r="42" spans="1:1" x14ac:dyDescent="0.3">
      <c r="A42" t="s">
        <v>101</v>
      </c>
    </row>
    <row r="43" spans="1:1" x14ac:dyDescent="0.3">
      <c r="A43" t="s">
        <v>740</v>
      </c>
    </row>
    <row r="44" spans="1:1" x14ac:dyDescent="0.3">
      <c r="A44" t="s">
        <v>741</v>
      </c>
    </row>
    <row r="45" spans="1:1" x14ac:dyDescent="0.3">
      <c r="A45" t="s">
        <v>742</v>
      </c>
    </row>
    <row r="46" spans="1:1" x14ac:dyDescent="0.3">
      <c r="A46" t="s">
        <v>743</v>
      </c>
    </row>
    <row r="47" spans="1:1" x14ac:dyDescent="0.3">
      <c r="A47" t="s">
        <v>744</v>
      </c>
    </row>
    <row r="48" spans="1:1" x14ac:dyDescent="0.3">
      <c r="A48" t="s">
        <v>745</v>
      </c>
    </row>
    <row r="49" spans="1:1" x14ac:dyDescent="0.3">
      <c r="A49" t="s">
        <v>746</v>
      </c>
    </row>
    <row r="50" spans="1:1" x14ac:dyDescent="0.3">
      <c r="A50" t="s">
        <v>98</v>
      </c>
    </row>
    <row r="51" spans="1:1" x14ac:dyDescent="0.3">
      <c r="A51" t="s">
        <v>747</v>
      </c>
    </row>
    <row r="52" spans="1:1" x14ac:dyDescent="0.3">
      <c r="A52" t="s">
        <v>178</v>
      </c>
    </row>
    <row r="53" spans="1:1" x14ac:dyDescent="0.3">
      <c r="A53" t="s">
        <v>748</v>
      </c>
    </row>
    <row r="54" spans="1:1" x14ac:dyDescent="0.3">
      <c r="A54" t="s">
        <v>749</v>
      </c>
    </row>
    <row r="55" spans="1:1" x14ac:dyDescent="0.3">
      <c r="A55" t="s">
        <v>750</v>
      </c>
    </row>
    <row r="56" spans="1:1" x14ac:dyDescent="0.3">
      <c r="A56" t="s">
        <v>108</v>
      </c>
    </row>
    <row r="57" spans="1:1" x14ac:dyDescent="0.3">
      <c r="A57" t="s">
        <v>751</v>
      </c>
    </row>
    <row r="58" spans="1:1" x14ac:dyDescent="0.3">
      <c r="A58" t="s">
        <v>752</v>
      </c>
    </row>
    <row r="59" spans="1:1" x14ac:dyDescent="0.3">
      <c r="A59" t="s">
        <v>753</v>
      </c>
    </row>
    <row r="60" spans="1:1" x14ac:dyDescent="0.3">
      <c r="A60" t="s">
        <v>754</v>
      </c>
    </row>
    <row r="61" spans="1:1" x14ac:dyDescent="0.3">
      <c r="A61" t="s">
        <v>755</v>
      </c>
    </row>
    <row r="62" spans="1:1" x14ac:dyDescent="0.3">
      <c r="A62" t="s">
        <v>756</v>
      </c>
    </row>
    <row r="63" spans="1:1" x14ac:dyDescent="0.3">
      <c r="A63" t="s">
        <v>757</v>
      </c>
    </row>
    <row r="64" spans="1:1" x14ac:dyDescent="0.3">
      <c r="A64" t="s">
        <v>758</v>
      </c>
    </row>
    <row r="65" spans="1:1" x14ac:dyDescent="0.3">
      <c r="A65" t="s">
        <v>759</v>
      </c>
    </row>
    <row r="66" spans="1:1" x14ac:dyDescent="0.3">
      <c r="A66" t="s">
        <v>760</v>
      </c>
    </row>
    <row r="67" spans="1:1" x14ac:dyDescent="0.3">
      <c r="A67" t="s">
        <v>761</v>
      </c>
    </row>
    <row r="68" spans="1:1" x14ac:dyDescent="0.3">
      <c r="A68" t="s">
        <v>762</v>
      </c>
    </row>
    <row r="69" spans="1:1" x14ac:dyDescent="0.3">
      <c r="A69" t="s">
        <v>763</v>
      </c>
    </row>
    <row r="70" spans="1:1" x14ac:dyDescent="0.3">
      <c r="A70" t="s">
        <v>764</v>
      </c>
    </row>
    <row r="71" spans="1:1" x14ac:dyDescent="0.3">
      <c r="A71" t="s">
        <v>765</v>
      </c>
    </row>
    <row r="72" spans="1:1" x14ac:dyDescent="0.3">
      <c r="A72" t="s">
        <v>766</v>
      </c>
    </row>
    <row r="73" spans="1:1" x14ac:dyDescent="0.3">
      <c r="A73" t="s">
        <v>767</v>
      </c>
    </row>
    <row r="74" spans="1:1" x14ac:dyDescent="0.3">
      <c r="A74" t="s">
        <v>768</v>
      </c>
    </row>
    <row r="75" spans="1:1" x14ac:dyDescent="0.3">
      <c r="A75" t="s">
        <v>769</v>
      </c>
    </row>
    <row r="76" spans="1:1" x14ac:dyDescent="0.3">
      <c r="A76" t="s">
        <v>770</v>
      </c>
    </row>
    <row r="77" spans="1:1" x14ac:dyDescent="0.3">
      <c r="A77" t="s">
        <v>771</v>
      </c>
    </row>
    <row r="78" spans="1:1" x14ac:dyDescent="0.3">
      <c r="A78" t="s">
        <v>772</v>
      </c>
    </row>
    <row r="79" spans="1:1" x14ac:dyDescent="0.3">
      <c r="A79" t="s">
        <v>524</v>
      </c>
    </row>
    <row r="80" spans="1:1" x14ac:dyDescent="0.3">
      <c r="A80" t="s">
        <v>773</v>
      </c>
    </row>
    <row r="81" spans="1:1" x14ac:dyDescent="0.3">
      <c r="A81" t="s">
        <v>774</v>
      </c>
    </row>
    <row r="82" spans="1:1" x14ac:dyDescent="0.3">
      <c r="A82" t="s">
        <v>775</v>
      </c>
    </row>
    <row r="83" spans="1:1" x14ac:dyDescent="0.3">
      <c r="A83" t="s">
        <v>776</v>
      </c>
    </row>
  </sheetData>
  <mergeCells count="1">
    <mergeCell ref="D1:G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D1D6A7EB2452B4A86A9506D4E13D4C9" ma:contentTypeVersion="3" ma:contentTypeDescription="Create a new document." ma:contentTypeScope="" ma:versionID="7cd6ed0cd056f112062446d0d1c544ce">
  <xsd:schema xmlns:xsd="http://www.w3.org/2001/XMLSchema" xmlns:xs="http://www.w3.org/2001/XMLSchema" xmlns:p="http://schemas.microsoft.com/office/2006/metadata/properties" xmlns:ns2="41613948-0554-4f13-babe-277410c056ca" targetNamespace="http://schemas.microsoft.com/office/2006/metadata/properties" ma:root="true" ma:fieldsID="60ca449bf2be89171a15d05d28af00ea" ns2:_="">
    <xsd:import namespace="41613948-0554-4f13-babe-277410c056c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613948-0554-4f13-babe-277410c056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0816333-575B-4274-8A3E-18699B071E90}">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DAB10F67-72F9-44A9-AB16-25A5CD92870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1613948-0554-4f13-babe-277410c056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921AF10-0BF8-441A-BDBA-64AF3E09D45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vt:i4>
      </vt:variant>
    </vt:vector>
  </HeadingPairs>
  <TitlesOfParts>
    <vt:vector size="18" baseType="lpstr">
      <vt:lpstr>Notes</vt:lpstr>
      <vt:lpstr>Prototype</vt:lpstr>
      <vt:lpstr>Zones</vt:lpstr>
      <vt:lpstr>Envelope</vt:lpstr>
      <vt:lpstr>HVAC System</vt:lpstr>
      <vt:lpstr>Thermostat</vt:lpstr>
      <vt:lpstr>Ventilation</vt:lpstr>
      <vt:lpstr>Water Heater</vt:lpstr>
      <vt:lpstr>Interior Lights</vt:lpstr>
      <vt:lpstr>Equipment</vt:lpstr>
      <vt:lpstr>Ext Lighting</vt:lpstr>
      <vt:lpstr>Schedules</vt:lpstr>
      <vt:lpstr>Energy Usage</vt:lpstr>
      <vt:lpstr>Weights</vt:lpstr>
      <vt:lpstr>PV</vt:lpstr>
      <vt:lpstr>EV Charger</vt:lpstr>
      <vt:lpstr>Data</vt:lpstr>
      <vt:lpstr>Space_Function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Yousefi, Fatemeh</dc:creator>
  <cp:keywords/>
  <dc:description/>
  <cp:lastModifiedBy>Yousefi, Fatemeh (Noresco EE)</cp:lastModifiedBy>
  <cp:revision/>
  <dcterms:created xsi:type="dcterms:W3CDTF">2024-06-21T17:19:36Z</dcterms:created>
  <dcterms:modified xsi:type="dcterms:W3CDTF">2026-10-27T16:04:08Z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864bb8-b671-4bed-ba85-9478127ab5e9_Enabled">
    <vt:lpwstr>true</vt:lpwstr>
  </property>
  <property fmtid="{D5CDD505-2E9C-101B-9397-08002B2CF9AE}" pid="3" name="MSIP_Label_b7864bb8-b671-4bed-ba85-9478127ab5e9_SetDate">
    <vt:lpwstr>2024-06-21T17:19:48Z</vt:lpwstr>
  </property>
  <property fmtid="{D5CDD505-2E9C-101B-9397-08002B2CF9AE}" pid="4" name="MSIP_Label_b7864bb8-b671-4bed-ba85-9478127ab5e9_Method">
    <vt:lpwstr>Standard</vt:lpwstr>
  </property>
  <property fmtid="{D5CDD505-2E9C-101B-9397-08002B2CF9AE}" pid="5" name="MSIP_Label_b7864bb8-b671-4bed-ba85-9478127ab5e9_Name">
    <vt:lpwstr>Confidential – 2023</vt:lpwstr>
  </property>
  <property fmtid="{D5CDD505-2E9C-101B-9397-08002B2CF9AE}" pid="6" name="MSIP_Label_b7864bb8-b671-4bed-ba85-9478127ab5e9_SiteId">
    <vt:lpwstr>36839a65-7f3f-4bac-9ea4-f571f10a9a03</vt:lpwstr>
  </property>
  <property fmtid="{D5CDD505-2E9C-101B-9397-08002B2CF9AE}" pid="7" name="MSIP_Label_b7864bb8-b671-4bed-ba85-9478127ab5e9_ActionId">
    <vt:lpwstr>0e6e9a60-d2ab-4ce7-9a0a-ef72169e4f66</vt:lpwstr>
  </property>
  <property fmtid="{D5CDD505-2E9C-101B-9397-08002B2CF9AE}" pid="8" name="MSIP_Label_b7864bb8-b671-4bed-ba85-9478127ab5e9_ContentBits">
    <vt:lpwstr>0</vt:lpwstr>
  </property>
  <property fmtid="{D5CDD505-2E9C-101B-9397-08002B2CF9AE}" pid="9" name="MSIP_Label_aa7be39c-9e9f-446a-a199-286f73f56a3f_Enabled">
    <vt:lpwstr>true</vt:lpwstr>
  </property>
  <property fmtid="{D5CDD505-2E9C-101B-9397-08002B2CF9AE}" pid="10" name="MSIP_Label_aa7be39c-9e9f-446a-a199-286f73f56a3f_SetDate">
    <vt:lpwstr>2024-11-12T07:01:00Z</vt:lpwstr>
  </property>
  <property fmtid="{D5CDD505-2E9C-101B-9397-08002B2CF9AE}" pid="11" name="MSIP_Label_aa7be39c-9e9f-446a-a199-286f73f56a3f_Method">
    <vt:lpwstr>Standard</vt:lpwstr>
  </property>
  <property fmtid="{D5CDD505-2E9C-101B-9397-08002B2CF9AE}" pid="12" name="MSIP_Label_aa7be39c-9e9f-446a-a199-286f73f56a3f_Name">
    <vt:lpwstr>Confidential</vt:lpwstr>
  </property>
  <property fmtid="{D5CDD505-2E9C-101B-9397-08002B2CF9AE}" pid="13" name="MSIP_Label_aa7be39c-9e9f-446a-a199-286f73f56a3f_SiteId">
    <vt:lpwstr>85ad2a97-6942-4d5d-bc9c-35cd3905d69a</vt:lpwstr>
  </property>
  <property fmtid="{D5CDD505-2E9C-101B-9397-08002B2CF9AE}" pid="14" name="MSIP_Label_aa7be39c-9e9f-446a-a199-286f73f56a3f_ActionId">
    <vt:lpwstr>9aa52be7-e90f-4db3-9dfa-3134fb3d14a1</vt:lpwstr>
  </property>
  <property fmtid="{D5CDD505-2E9C-101B-9397-08002B2CF9AE}" pid="15" name="MSIP_Label_aa7be39c-9e9f-446a-a199-286f73f56a3f_ContentBits">
    <vt:lpwstr>0</vt:lpwstr>
  </property>
  <property fmtid="{D5CDD505-2E9C-101B-9397-08002B2CF9AE}" pid="16" name="ContentTypeId">
    <vt:lpwstr>0x0101003D1D6A7EB2452B4A86A9506D4E13D4C9</vt:lpwstr>
  </property>
  <property fmtid="{D5CDD505-2E9C-101B-9397-08002B2CF9AE}" pid="17" name="MediaServiceImageTags">
    <vt:lpwstr/>
  </property>
  <property fmtid="{D5CDD505-2E9C-101B-9397-08002B2CF9AE}" pid="18" name="xd_ProgID">
    <vt:lpwstr/>
  </property>
  <property fmtid="{D5CDD505-2E9C-101B-9397-08002B2CF9AE}" pid="19" name="ComplianceAssetId">
    <vt:lpwstr/>
  </property>
  <property fmtid="{D5CDD505-2E9C-101B-9397-08002B2CF9AE}" pid="20" name="TemplateUrl">
    <vt:lpwstr/>
  </property>
  <property fmtid="{D5CDD505-2E9C-101B-9397-08002B2CF9AE}" pid="21" name="_ExtendedDescription">
    <vt:lpwstr/>
  </property>
  <property fmtid="{D5CDD505-2E9C-101B-9397-08002B2CF9AE}" pid="22" name="TriggerFlowInfo">
    <vt:lpwstr/>
  </property>
  <property fmtid="{D5CDD505-2E9C-101B-9397-08002B2CF9AE}" pid="23" name="xd_Signature">
    <vt:bool>false</vt:bool>
  </property>
</Properties>
</file>