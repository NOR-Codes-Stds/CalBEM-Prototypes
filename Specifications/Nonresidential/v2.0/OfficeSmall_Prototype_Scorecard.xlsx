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FB076E3C-9EF0-4892-89C3-62A1E592451B}" xr6:coauthVersionLast="47" xr6:coauthVersionMax="47" xr10:uidLastSave="{00000000-0000-0000-0000-000000000000}"/>
  <bookViews>
    <workbookView xWindow="-108" yWindow="-108" windowWidth="23256" windowHeight="13896" tabRatio="673" activeTab="1" xr2:uid="{EAC23EE3-0CA0-4FF8-990D-9B21A59FA3E0}"/>
  </bookViews>
  <sheets>
    <sheet name="Notes" sheetId="23" r:id="rId1"/>
    <sheet name="Prototype" sheetId="2" r:id="rId2"/>
    <sheet name="Zones" sheetId="13" r:id="rId3"/>
    <sheet name="Envelope" sheetId="1" r:id="rId4"/>
    <sheet name="HVAC System" sheetId="34" r:id="rId5"/>
    <sheet name="Thermostat" sheetId="30"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r:id="rId13"/>
    <sheet name="EV Charger" sheetId="22" state="hidden" r:id="rId14"/>
    <sheet name="Weights" sheetId="21" r:id="rId15"/>
    <sheet name="PV" sheetId="27" state="hidden" r:id="rId16"/>
    <sheet name="Data" sheetId="32" state="hidden" r:id="rId17"/>
  </sheets>
  <definedNames>
    <definedName name="_xlnm._FilterDatabase" localSheetId="16" hidden="1">Data!$D$1:$G$1</definedName>
    <definedName name="_xlnm._FilterDatabase" localSheetId="7" hidden="1">'Water Heater'!$B$34:$J$34</definedName>
    <definedName name="_xlnm._FilterDatabase" localSheetId="2" hidden="1">Zones!$A$2:$AB$2</definedName>
    <definedName name="nonparticipating_forecastzone_scale_factor" localSheetId="16">#REF!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22" i="1"/>
  <c r="I3" i="1"/>
  <c r="A1" i="1"/>
  <c r="AB9" i="21"/>
  <c r="J3" i="1"/>
  <c r="K3" i="1"/>
  <c r="L3" i="1"/>
  <c r="M3" i="1"/>
  <c r="N3" i="1"/>
  <c r="O3" i="1"/>
  <c r="P3" i="1"/>
  <c r="Q3" i="1"/>
  <c r="R3" i="1"/>
  <c r="S3" i="1"/>
  <c r="T3" i="1"/>
  <c r="U3" i="1"/>
  <c r="V3" i="1"/>
  <c r="W3" i="1"/>
  <c r="X3" i="1"/>
  <c r="J4" i="1"/>
  <c r="K4" i="1"/>
  <c r="L4" i="1"/>
  <c r="M4" i="1"/>
  <c r="N4" i="1"/>
  <c r="O4" i="1"/>
  <c r="P4" i="1"/>
  <c r="Q4" i="1"/>
  <c r="R4" i="1"/>
  <c r="S4" i="1"/>
  <c r="T4" i="1"/>
  <c r="U4" i="1"/>
  <c r="V4" i="1"/>
  <c r="W4" i="1"/>
  <c r="X4" i="1"/>
  <c r="G47" i="28"/>
  <c r="H47" i="28"/>
  <c r="I47" i="28"/>
  <c r="J47" i="28"/>
  <c r="K47" i="28"/>
  <c r="L47" i="28"/>
  <c r="M47" i="28"/>
  <c r="N47" i="28"/>
  <c r="O47" i="28"/>
  <c r="P47" i="28"/>
  <c r="Q47" i="28"/>
  <c r="R47" i="28"/>
  <c r="S47" i="28"/>
  <c r="T47" i="28"/>
  <c r="U47" i="28"/>
  <c r="V47" i="28"/>
  <c r="W47" i="28"/>
  <c r="X47" i="28"/>
  <c r="Y47" i="28"/>
  <c r="Z47" i="28"/>
  <c r="AA47" i="28"/>
  <c r="AB47" i="28"/>
  <c r="AC47" i="28"/>
  <c r="G48" i="28"/>
  <c r="H48" i="28"/>
  <c r="I48" i="28"/>
  <c r="J48" i="28"/>
  <c r="K48" i="28"/>
  <c r="L48" i="28"/>
  <c r="M48" i="28"/>
  <c r="N48" i="28"/>
  <c r="O48" i="28"/>
  <c r="P48" i="28"/>
  <c r="Q48" i="28"/>
  <c r="R48" i="28"/>
  <c r="S48" i="28"/>
  <c r="T48" i="28"/>
  <c r="U48" i="28"/>
  <c r="V48" i="28"/>
  <c r="W48" i="28"/>
  <c r="X48" i="28"/>
  <c r="Y48" i="28"/>
  <c r="Z48" i="28"/>
  <c r="AA48" i="28"/>
  <c r="AB48" i="28"/>
  <c r="AC48" i="28"/>
  <c r="G49" i="28"/>
  <c r="H49" i="28"/>
  <c r="I49" i="28"/>
  <c r="J49" i="28"/>
  <c r="K49" i="28"/>
  <c r="L49" i="28"/>
  <c r="M49" i="28"/>
  <c r="N49" i="28"/>
  <c r="O49" i="28"/>
  <c r="P49" i="28"/>
  <c r="Q49" i="28"/>
  <c r="R49" i="28"/>
  <c r="S49" i="28"/>
  <c r="T49" i="28"/>
  <c r="U49" i="28"/>
  <c r="V49" i="28"/>
  <c r="W49" i="28"/>
  <c r="X49" i="28"/>
  <c r="Y49" i="28"/>
  <c r="Z49" i="28"/>
  <c r="AA49" i="28"/>
  <c r="AB49" i="28"/>
  <c r="AC49" i="28"/>
  <c r="G50" i="28"/>
  <c r="H50" i="28"/>
  <c r="I50" i="28"/>
  <c r="J50" i="28"/>
  <c r="K50" i="28"/>
  <c r="L50" i="28"/>
  <c r="M50" i="28"/>
  <c r="N50" i="28"/>
  <c r="O50" i="28"/>
  <c r="P50" i="28"/>
  <c r="Q50" i="28"/>
  <c r="R50" i="28"/>
  <c r="S50" i="28"/>
  <c r="T50" i="28"/>
  <c r="U50" i="28"/>
  <c r="V50" i="28"/>
  <c r="W50" i="28"/>
  <c r="X50" i="28"/>
  <c r="Y50" i="28"/>
  <c r="Z50" i="28"/>
  <c r="AA50" i="28"/>
  <c r="AB50" i="28"/>
  <c r="AC50" i="28"/>
  <c r="G51" i="28"/>
  <c r="H51" i="28"/>
  <c r="I51" i="28"/>
  <c r="J51" i="28"/>
  <c r="K51" i="28"/>
  <c r="L51" i="28"/>
  <c r="M51" i="28"/>
  <c r="N51" i="28"/>
  <c r="O51" i="28"/>
  <c r="P51" i="28"/>
  <c r="Q51" i="28"/>
  <c r="R51" i="28"/>
  <c r="S51" i="28"/>
  <c r="T51" i="28"/>
  <c r="U51" i="28"/>
  <c r="V51" i="28"/>
  <c r="W51" i="28"/>
  <c r="X51" i="28"/>
  <c r="Y51" i="28"/>
  <c r="Z51" i="28"/>
  <c r="AA51" i="28"/>
  <c r="AB51" i="28"/>
  <c r="AC51" i="28"/>
  <c r="G52" i="28"/>
  <c r="H52" i="28"/>
  <c r="I52" i="28"/>
  <c r="J52" i="28"/>
  <c r="K52" i="28"/>
  <c r="L52" i="28"/>
  <c r="M52" i="28"/>
  <c r="N52" i="28"/>
  <c r="O52" i="28"/>
  <c r="P52" i="28"/>
  <c r="Q52" i="28"/>
  <c r="R52" i="28"/>
  <c r="S52" i="28"/>
  <c r="T52" i="28"/>
  <c r="U52" i="28"/>
  <c r="V52" i="28"/>
  <c r="W52" i="28"/>
  <c r="X52" i="28"/>
  <c r="Y52" i="28"/>
  <c r="Z52" i="28"/>
  <c r="AA52" i="28"/>
  <c r="AB52" i="28"/>
  <c r="AC52" i="28"/>
  <c r="F52" i="28"/>
  <c r="F51" i="28"/>
  <c r="F50" i="28"/>
  <c r="F49" i="28"/>
  <c r="F48" i="28"/>
  <c r="F47" i="28"/>
  <c r="H5" i="21"/>
  <c r="H6" i="21"/>
  <c r="H7" i="21"/>
  <c r="H8" i="21"/>
  <c r="H9" i="21"/>
  <c r="H10" i="21"/>
  <c r="H11" i="21"/>
  <c r="H12" i="21"/>
  <c r="H13" i="21"/>
  <c r="H14" i="21"/>
  <c r="H15" i="21"/>
  <c r="H16" i="21"/>
  <c r="H17" i="21"/>
  <c r="H18" i="21"/>
  <c r="H19" i="21"/>
  <c r="H4" i="21"/>
  <c r="I13" i="1" a="1"/>
  <c r="I13" i="1" s="1"/>
  <c r="I10" i="18"/>
  <c r="AA33" i="1" l="1"/>
  <c r="C4" i="25"/>
  <c r="AA34" i="1" l="1"/>
  <c r="AA35" i="1" s="1"/>
  <c r="AA31" i="1" s="1"/>
  <c r="AA30" i="1" s="1"/>
  <c r="AA32" i="1" l="1"/>
  <c r="I34" i="1" s="1"/>
  <c r="I31" i="1" l="1"/>
  <c r="I35" i="1"/>
  <c r="I32" i="1"/>
  <c r="I33" i="1"/>
  <c r="I30" i="1"/>
  <c r="G4" i="33" l="1"/>
  <c r="F4" i="33"/>
  <c r="E4" i="33"/>
  <c r="C10" i="25" l="1"/>
  <c r="A32" i="28" l="1"/>
  <c r="A35" i="28" s="1"/>
  <c r="I55" i="33" l="1"/>
  <c r="C4" i="18" l="1"/>
  <c r="C5" i="18"/>
  <c r="C6" i="18"/>
  <c r="C7" i="18"/>
  <c r="C8" i="18"/>
  <c r="C9" i="18"/>
  <c r="C10" i="18"/>
  <c r="C11" i="18"/>
  <c r="C12" i="18"/>
  <c r="C13" i="18"/>
  <c r="C14" i="18"/>
  <c r="C15" i="18"/>
  <c r="C16" i="18"/>
  <c r="G16" i="34"/>
  <c r="G15" i="34"/>
  <c r="G14" i="34"/>
  <c r="G13" i="34"/>
  <c r="G12" i="34"/>
  <c r="A1" i="34"/>
  <c r="D23" i="33"/>
  <c r="F23" i="33" s="1"/>
  <c r="G23" i="33" s="1"/>
  <c r="C23" i="33"/>
  <c r="A23" i="33"/>
  <c r="C22" i="33"/>
  <c r="A22" i="33"/>
  <c r="C21" i="33"/>
  <c r="A21" i="33"/>
  <c r="C20" i="33"/>
  <c r="A20" i="33"/>
  <c r="C19" i="33"/>
  <c r="A19" i="33"/>
  <c r="C18" i="33"/>
  <c r="A18" i="33"/>
  <c r="D17" i="33"/>
  <c r="F17" i="33" s="1"/>
  <c r="G17" i="33" s="1"/>
  <c r="C17" i="33"/>
  <c r="A17" i="33"/>
  <c r="D16" i="33"/>
  <c r="F16" i="33" s="1"/>
  <c r="G16" i="33" s="1"/>
  <c r="C16" i="33"/>
  <c r="A16" i="33"/>
  <c r="C15" i="33"/>
  <c r="A15" i="33"/>
  <c r="C14" i="33"/>
  <c r="A14" i="33"/>
  <c r="C13" i="33"/>
  <c r="A13" i="33"/>
  <c r="C12" i="33"/>
  <c r="A12" i="33"/>
  <c r="C11" i="33"/>
  <c r="A11" i="33"/>
  <c r="C10" i="33"/>
  <c r="A10" i="33"/>
  <c r="A1" i="33"/>
  <c r="B93" i="33"/>
  <c r="A47" i="28" l="1"/>
  <c r="H16" i="18"/>
  <c r="B9" i="18"/>
  <c r="B10" i="18"/>
  <c r="B16" i="18"/>
  <c r="G16" i="18" s="1"/>
  <c r="J16" i="18" s="1"/>
  <c r="B50" i="28"/>
  <c r="A50" i="28"/>
  <c r="B44" i="28"/>
  <c r="A44" i="28"/>
  <c r="B41" i="28"/>
  <c r="A41" i="28"/>
  <c r="B38" i="28"/>
  <c r="A38" i="28"/>
  <c r="B32" i="28"/>
  <c r="B47" i="28" l="1"/>
  <c r="B35" i="28"/>
  <c r="J4" i="20"/>
  <c r="K4" i="20"/>
  <c r="J5" i="20"/>
  <c r="K5" i="20"/>
  <c r="J6" i="20"/>
  <c r="K6" i="20"/>
  <c r="J7" i="20"/>
  <c r="K7" i="20"/>
  <c r="J8" i="20"/>
  <c r="K8" i="20"/>
  <c r="J9" i="20"/>
  <c r="K9" i="20"/>
  <c r="J10" i="20"/>
  <c r="K10" i="20"/>
  <c r="J11" i="20"/>
  <c r="L11" i="20" s="1"/>
  <c r="K11" i="20"/>
  <c r="J12" i="20"/>
  <c r="K12" i="20"/>
  <c r="J13" i="20"/>
  <c r="K13" i="20"/>
  <c r="J14" i="20"/>
  <c r="K14" i="20"/>
  <c r="J15" i="20"/>
  <c r="K15" i="20"/>
  <c r="J16" i="20"/>
  <c r="K16" i="20"/>
  <c r="J17" i="20"/>
  <c r="K17" i="20"/>
  <c r="J18" i="20"/>
  <c r="K18" i="20"/>
  <c r="K3" i="20"/>
  <c r="J3" i="20"/>
  <c r="L18" i="20" l="1"/>
  <c r="L17" i="20"/>
  <c r="L16" i="20"/>
  <c r="L15" i="20"/>
  <c r="L14" i="20"/>
  <c r="L13" i="20"/>
  <c r="L12" i="20"/>
  <c r="L10" i="20"/>
  <c r="L9" i="20"/>
  <c r="L8" i="20"/>
  <c r="L7" i="20"/>
  <c r="L6" i="20"/>
  <c r="L5" i="20"/>
  <c r="L4" i="20"/>
  <c r="L3" i="20"/>
  <c r="S3" i="20"/>
  <c r="S4" i="20"/>
  <c r="S5" i="20"/>
  <c r="S6" i="20"/>
  <c r="S7" i="20"/>
  <c r="S8" i="20"/>
  <c r="S9" i="20"/>
  <c r="S10" i="20"/>
  <c r="S11" i="20"/>
  <c r="S12" i="20"/>
  <c r="S13" i="20"/>
  <c r="S14" i="20"/>
  <c r="S15" i="20"/>
  <c r="S16" i="20"/>
  <c r="S17" i="20"/>
  <c r="S18" i="20"/>
  <c r="T9" i="20" l="1"/>
  <c r="U9" i="20"/>
  <c r="T8" i="20"/>
  <c r="U8" i="20"/>
  <c r="T7" i="20"/>
  <c r="U7" i="20"/>
  <c r="T6" i="20"/>
  <c r="U6" i="20"/>
  <c r="T5" i="20"/>
  <c r="U5" i="20"/>
  <c r="T4" i="20"/>
  <c r="U4" i="20"/>
  <c r="U3" i="20"/>
  <c r="T3" i="20"/>
  <c r="T18" i="20"/>
  <c r="V18" i="20" s="1"/>
  <c r="U18" i="20"/>
  <c r="T17" i="20"/>
  <c r="U17" i="20"/>
  <c r="T16" i="20"/>
  <c r="V16" i="20" s="1"/>
  <c r="U16" i="20"/>
  <c r="T15" i="20"/>
  <c r="V15" i="20" s="1"/>
  <c r="U15" i="20"/>
  <c r="T14" i="20"/>
  <c r="U14" i="20"/>
  <c r="T13" i="20"/>
  <c r="V13" i="20" s="1"/>
  <c r="U13" i="20"/>
  <c r="T12" i="20"/>
  <c r="U12" i="20"/>
  <c r="T11" i="20"/>
  <c r="V11" i="20" s="1"/>
  <c r="U11" i="20"/>
  <c r="T10" i="20"/>
  <c r="V10" i="20" s="1"/>
  <c r="U10" i="20"/>
  <c r="V14" i="20"/>
  <c r="V12" i="20"/>
  <c r="V9" i="20"/>
  <c r="V8" i="20"/>
  <c r="V7" i="20"/>
  <c r="V6" i="20"/>
  <c r="V5" i="20"/>
  <c r="V4" i="20"/>
  <c r="V3" i="20"/>
  <c r="V17" i="20" l="1"/>
  <c r="E75" i="2"/>
  <c r="F75" i="2"/>
  <c r="G75" i="2"/>
  <c r="A1" i="29"/>
  <c r="A1" i="9"/>
  <c r="A1" i="25"/>
  <c r="A1" i="28"/>
  <c r="H4" i="18" l="1"/>
  <c r="H5" i="18"/>
  <c r="H6" i="18"/>
  <c r="H7" i="18"/>
  <c r="H8" i="18"/>
  <c r="G9" i="18"/>
  <c r="H9" i="18"/>
  <c r="G10" i="18"/>
  <c r="H10" i="18"/>
  <c r="J10" i="18"/>
  <c r="H11" i="18"/>
  <c r="H12" i="18"/>
  <c r="H13" i="18"/>
  <c r="H14" i="18"/>
  <c r="H15" i="18"/>
  <c r="C3" i="18"/>
  <c r="H3" i="18" s="1"/>
  <c r="A14" i="18"/>
  <c r="A15" i="18"/>
  <c r="A16" i="18"/>
  <c r="A4" i="18"/>
  <c r="A5" i="18"/>
  <c r="A6" i="18"/>
  <c r="A7" i="18"/>
  <c r="A8" i="18"/>
  <c r="A9" i="18"/>
  <c r="A10" i="18"/>
  <c r="A11" i="18"/>
  <c r="A12" i="18"/>
  <c r="A13" i="18"/>
  <c r="A3" i="18"/>
  <c r="A1" i="18"/>
  <c r="A1" i="30"/>
  <c r="A1" i="13"/>
  <c r="H17" i="13"/>
  <c r="G9" i="9"/>
  <c r="B18" i="9"/>
  <c r="C11" i="9" s="1"/>
  <c r="G11" i="9" s="1"/>
  <c r="G7" i="9"/>
  <c r="J9" i="18" l="1"/>
  <c r="AC22" i="28"/>
  <c r="AC23" i="28"/>
  <c r="AC24" i="28"/>
  <c r="G22" i="28"/>
  <c r="H22" i="28"/>
  <c r="I22" i="28"/>
  <c r="J22" i="28"/>
  <c r="K22" i="28"/>
  <c r="L22" i="28"/>
  <c r="M22" i="28"/>
  <c r="N22" i="28"/>
  <c r="O22" i="28"/>
  <c r="P22" i="28"/>
  <c r="Q22" i="28"/>
  <c r="R22" i="28"/>
  <c r="S22" i="28"/>
  <c r="T22" i="28"/>
  <c r="U22" i="28"/>
  <c r="V22" i="28"/>
  <c r="W22" i="28"/>
  <c r="X22" i="28"/>
  <c r="Y22" i="28"/>
  <c r="Z22" i="28"/>
  <c r="AA22" i="28"/>
  <c r="AB22" i="28"/>
  <c r="G23" i="28"/>
  <c r="H23" i="28"/>
  <c r="I23" i="28"/>
  <c r="J23" i="28"/>
  <c r="K23" i="28"/>
  <c r="L23" i="28"/>
  <c r="M23" i="28"/>
  <c r="N23" i="28"/>
  <c r="O23" i="28"/>
  <c r="P23" i="28"/>
  <c r="Q23" i="28"/>
  <c r="R23" i="28"/>
  <c r="S23" i="28"/>
  <c r="T23" i="28"/>
  <c r="U23" i="28"/>
  <c r="V23" i="28"/>
  <c r="W23" i="28"/>
  <c r="X23" i="28"/>
  <c r="Y23" i="28"/>
  <c r="Z23" i="28"/>
  <c r="AA23" i="28"/>
  <c r="AB23" i="28"/>
  <c r="G24" i="28"/>
  <c r="H24" i="28"/>
  <c r="I24" i="28"/>
  <c r="J24" i="28"/>
  <c r="K24" i="28"/>
  <c r="L24" i="28"/>
  <c r="M24" i="28"/>
  <c r="N24" i="28"/>
  <c r="O24" i="28"/>
  <c r="P24" i="28"/>
  <c r="Q24" i="28"/>
  <c r="R24" i="28"/>
  <c r="S24" i="28"/>
  <c r="T24" i="28"/>
  <c r="U24" i="28"/>
  <c r="V24" i="28"/>
  <c r="W24" i="28"/>
  <c r="X24" i="28"/>
  <c r="Y24" i="28"/>
  <c r="Z24" i="28"/>
  <c r="AA24" i="28"/>
  <c r="AB24" i="28"/>
  <c r="F23" i="28"/>
  <c r="F24"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F22" i="28"/>
  <c r="A13" i="28"/>
  <c r="A16" i="28"/>
  <c r="A19" i="28"/>
  <c r="A7" i="28"/>
  <c r="A10" i="28" s="1"/>
  <c r="A25" i="28" s="1"/>
  <c r="A22" i="28" l="1"/>
  <c r="I16" i="1"/>
  <c r="I15" i="1"/>
  <c r="J15" i="1"/>
  <c r="K15" i="1"/>
  <c r="L15" i="1"/>
  <c r="M15" i="1"/>
  <c r="N15" i="1"/>
  <c r="O15" i="1"/>
  <c r="P15" i="1"/>
  <c r="Q15" i="1"/>
  <c r="R15" i="1"/>
  <c r="S15" i="1"/>
  <c r="T15" i="1"/>
  <c r="U15" i="1"/>
  <c r="V15" i="1"/>
  <c r="W15" i="1"/>
  <c r="X15" i="1"/>
  <c r="J16" i="1"/>
  <c r="K16" i="1"/>
  <c r="L16" i="1"/>
  <c r="M16" i="1"/>
  <c r="N16" i="1"/>
  <c r="O16" i="1"/>
  <c r="P16" i="1"/>
  <c r="Q16" i="1"/>
  <c r="R16" i="1"/>
  <c r="S16" i="1"/>
  <c r="T16" i="1"/>
  <c r="U16" i="1"/>
  <c r="V16" i="1"/>
  <c r="W16" i="1"/>
  <c r="X16" i="1"/>
  <c r="J21" i="1"/>
  <c r="K21" i="1"/>
  <c r="L21" i="1"/>
  <c r="M21" i="1"/>
  <c r="N21" i="1"/>
  <c r="O21" i="1"/>
  <c r="P21" i="1"/>
  <c r="Q21" i="1"/>
  <c r="R21" i="1"/>
  <c r="S21" i="1"/>
  <c r="T21" i="1"/>
  <c r="U21" i="1"/>
  <c r="V21" i="1"/>
  <c r="W21" i="1"/>
  <c r="X21" i="1"/>
  <c r="J22" i="1"/>
  <c r="K22" i="1"/>
  <c r="L22" i="1"/>
  <c r="M22" i="1"/>
  <c r="N22" i="1"/>
  <c r="O22" i="1"/>
  <c r="P22" i="1"/>
  <c r="Q22" i="1"/>
  <c r="R22" i="1"/>
  <c r="S22" i="1"/>
  <c r="T22" i="1"/>
  <c r="U22" i="1"/>
  <c r="V22" i="1"/>
  <c r="W22" i="1"/>
  <c r="X22" i="1"/>
  <c r="I21" i="1"/>
  <c r="I25" i="1" s="1" a="1"/>
  <c r="I25" i="1" s="1"/>
  <c r="I19" i="1" l="1" a="1"/>
  <c r="I19" i="1" s="1"/>
  <c r="G3" i="13" l="1"/>
  <c r="B19" i="9"/>
  <c r="C10" i="9" l="1"/>
  <c r="G10" i="9" s="1"/>
  <c r="G13" i="9" s="1"/>
  <c r="B3" i="9" s="1"/>
  <c r="C8" i="9"/>
  <c r="G8" i="9" s="1"/>
  <c r="G12" i="9" s="1"/>
  <c r="A3" i="9" l="1"/>
  <c r="C3" i="9" s="1"/>
  <c r="G14" i="9"/>
  <c r="K4" i="13" l="1"/>
  <c r="K5" i="13"/>
  <c r="K6" i="13"/>
  <c r="K7" i="13"/>
  <c r="K8" i="13"/>
  <c r="K11" i="13"/>
  <c r="K12" i="13"/>
  <c r="K13" i="13"/>
  <c r="K14" i="13"/>
  <c r="K15" i="13"/>
  <c r="K3" i="13"/>
  <c r="D10" i="33" s="1"/>
  <c r="F10" i="33" s="1"/>
  <c r="G10" i="33" s="1"/>
  <c r="D22" i="33" l="1"/>
  <c r="F22" i="33" s="1"/>
  <c r="G22" i="33" s="1"/>
  <c r="B15" i="18"/>
  <c r="G15" i="18" s="1"/>
  <c r="J15" i="18" s="1"/>
  <c r="D21" i="33"/>
  <c r="F21" i="33" s="1"/>
  <c r="G21" i="33" s="1"/>
  <c r="B14" i="18"/>
  <c r="G14" i="18" s="1"/>
  <c r="J14" i="18" s="1"/>
  <c r="D20" i="33"/>
  <c r="F20" i="33" s="1"/>
  <c r="G20" i="33" s="1"/>
  <c r="B13" i="18"/>
  <c r="G13" i="18" s="1"/>
  <c r="J13" i="18" s="1"/>
  <c r="D19" i="33"/>
  <c r="F19" i="33" s="1"/>
  <c r="G19" i="33" s="1"/>
  <c r="B12" i="18"/>
  <c r="G12" i="18" s="1"/>
  <c r="J12" i="18" s="1"/>
  <c r="D18" i="33"/>
  <c r="F18" i="33" s="1"/>
  <c r="G18" i="33" s="1"/>
  <c r="B11" i="18"/>
  <c r="G11" i="18" s="1"/>
  <c r="J11" i="18" s="1"/>
  <c r="D14" i="33"/>
  <c r="F14" i="33" s="1"/>
  <c r="G14" i="33" s="1"/>
  <c r="B7" i="18"/>
  <c r="G7" i="18" s="1"/>
  <c r="J7" i="18" s="1"/>
  <c r="D13" i="33"/>
  <c r="F13" i="33" s="1"/>
  <c r="G13" i="33" s="1"/>
  <c r="B6" i="18"/>
  <c r="G6" i="18" s="1"/>
  <c r="J6" i="18" s="1"/>
  <c r="D12" i="33"/>
  <c r="F12" i="33" s="1"/>
  <c r="G12" i="33" s="1"/>
  <c r="B5" i="18"/>
  <c r="G5" i="18" s="1"/>
  <c r="J5" i="18" s="1"/>
  <c r="D11" i="33"/>
  <c r="F11" i="33" s="1"/>
  <c r="B4" i="18"/>
  <c r="G4" i="18" s="1"/>
  <c r="J4" i="18" s="1"/>
  <c r="D15" i="33"/>
  <c r="F15" i="33" s="1"/>
  <c r="B8" i="18"/>
  <c r="G8" i="18" s="1"/>
  <c r="J8" i="18" s="1"/>
  <c r="O5" i="18" s="1"/>
  <c r="B3" i="18"/>
  <c r="G3" i="18" s="1"/>
  <c r="J3" i="18" s="1"/>
  <c r="O4" i="18" s="1"/>
  <c r="AB4" i="21"/>
  <c r="I4" i="13"/>
  <c r="I5" i="13"/>
  <c r="I6" i="13"/>
  <c r="I7" i="13"/>
  <c r="I8" i="13"/>
  <c r="I9" i="13"/>
  <c r="I10" i="13"/>
  <c r="I11" i="13"/>
  <c r="I12" i="13"/>
  <c r="I13" i="13"/>
  <c r="I14" i="13"/>
  <c r="I15" i="13"/>
  <c r="G12" i="13"/>
  <c r="AB5" i="21"/>
  <c r="AB6" i="21"/>
  <c r="AB7" i="21"/>
  <c r="O6" i="18" l="1"/>
  <c r="O7" i="18"/>
  <c r="G11" i="33"/>
  <c r="F25" i="33"/>
  <c r="F24" i="33"/>
  <c r="G15" i="33"/>
  <c r="G13" i="13"/>
  <c r="G11" i="13"/>
  <c r="R27" i="13" s="1"/>
  <c r="G14" i="13"/>
  <c r="G10" i="13"/>
  <c r="R26" i="13" s="1"/>
  <c r="G15" i="13"/>
  <c r="G5" i="13"/>
  <c r="G7" i="13"/>
  <c r="R23" i="13" s="1"/>
  <c r="G4" i="13"/>
  <c r="R21" i="13" s="1"/>
  <c r="G6" i="13"/>
  <c r="R22" i="13" s="1"/>
  <c r="G8" i="13"/>
  <c r="R24" i="13" s="1"/>
  <c r="G9" i="13"/>
  <c r="R25" i="13" s="1"/>
  <c r="G36" i="33" l="1"/>
  <c r="G37" i="33"/>
  <c r="G38" i="33"/>
  <c r="G39" i="33"/>
  <c r="G40" i="33"/>
  <c r="G41" i="33"/>
  <c r="G42" i="33"/>
  <c r="G43" i="33"/>
  <c r="G44" i="33"/>
  <c r="G45" i="33"/>
  <c r="G46" i="33"/>
  <c r="G47" i="33"/>
  <c r="G48" i="33"/>
  <c r="G49" i="33"/>
  <c r="G50" i="33"/>
  <c r="D36" i="33"/>
  <c r="D37" i="33"/>
  <c r="D38" i="33"/>
  <c r="D39" i="33"/>
  <c r="E39" i="33" s="1"/>
  <c r="F39" i="33" s="1"/>
  <c r="H39" i="33" s="1"/>
  <c r="J39" i="33" s="1"/>
  <c r="D40" i="33"/>
  <c r="D41" i="33"/>
  <c r="E41" i="33" s="1"/>
  <c r="F41" i="33" s="1"/>
  <c r="H41" i="33" s="1"/>
  <c r="J41" i="33" s="1"/>
  <c r="D42" i="33"/>
  <c r="E42" i="33" s="1"/>
  <c r="F42" i="33" s="1"/>
  <c r="H42" i="33" s="1"/>
  <c r="J42" i="33" s="1"/>
  <c r="D43" i="33"/>
  <c r="D44" i="33"/>
  <c r="E44" i="33" s="1"/>
  <c r="F44" i="33" s="1"/>
  <c r="H44" i="33" s="1"/>
  <c r="J44" i="33" s="1"/>
  <c r="D45" i="33"/>
  <c r="D46" i="33"/>
  <c r="D47" i="33"/>
  <c r="D48" i="33"/>
  <c r="D49" i="33"/>
  <c r="E49" i="33" s="1"/>
  <c r="F49" i="33" s="1"/>
  <c r="H49" i="33" s="1"/>
  <c r="J49" i="33" s="1"/>
  <c r="D50" i="33"/>
  <c r="E50" i="33" s="1"/>
  <c r="F50" i="33" s="1"/>
  <c r="H50" i="33" s="1"/>
  <c r="J50" i="33" s="1"/>
  <c r="G35" i="33"/>
  <c r="D35" i="33"/>
  <c r="E35" i="33"/>
  <c r="F35" i="33" s="1"/>
  <c r="H35" i="33" s="1"/>
  <c r="J35" i="33" s="1"/>
  <c r="E46" i="33"/>
  <c r="F46" i="33" s="1"/>
  <c r="H46" i="33" s="1"/>
  <c r="J46" i="33" s="1"/>
  <c r="E45" i="33"/>
  <c r="F45" i="33" s="1"/>
  <c r="H45" i="33" s="1"/>
  <c r="J45" i="33" s="1"/>
  <c r="E47" i="33"/>
  <c r="F47" i="33" s="1"/>
  <c r="E48" i="33"/>
  <c r="F48" i="33" s="1"/>
  <c r="H48" i="33" s="1"/>
  <c r="J48" i="33" s="1"/>
  <c r="E37" i="33"/>
  <c r="F37" i="33" s="1"/>
  <c r="H37" i="33" s="1"/>
  <c r="J37" i="33" s="1"/>
  <c r="E43" i="33"/>
  <c r="F43" i="33" s="1"/>
  <c r="H43" i="33" s="1"/>
  <c r="J43" i="33" s="1"/>
  <c r="E38" i="33"/>
  <c r="F38" i="33" s="1"/>
  <c r="H38" i="33" s="1"/>
  <c r="J38" i="33" s="1"/>
  <c r="E40" i="33"/>
  <c r="F40" i="33" s="1"/>
  <c r="H40" i="33" s="1"/>
  <c r="J40" i="33" s="1"/>
  <c r="E36" i="33"/>
  <c r="F36" i="33" s="1"/>
  <c r="H36" i="33" s="1"/>
  <c r="J36" i="33" s="1"/>
  <c r="R28" i="13"/>
  <c r="R29" i="13" s="1"/>
  <c r="G17" i="13"/>
  <c r="I3" i="13"/>
  <c r="I17" i="13" s="1"/>
  <c r="H47" i="33" l="1"/>
  <c r="J47" i="33" s="1"/>
  <c r="I7" i="1" l="1" a="1"/>
  <c r="I7"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<sst xmlns="http://schemas.openxmlformats.org/spreadsheetml/2006/main" count="1279" uniqueCount="657">
  <si>
    <t>Data Sources</t>
  </si>
  <si>
    <t>Dataset</t>
  </si>
  <si>
    <t>Dodge 2023</t>
  </si>
  <si>
    <r>
      <rPr>
        <sz val="10"/>
        <color rgb="FF000000"/>
        <rFont val="Arial"/>
        <family val="2"/>
      </rPr>
      <t xml:space="preserve">Commercial End-Use Survey </t>
    </r>
    <r>
      <rPr>
        <sz val="10"/>
        <color theme="1"/>
        <rFont val="Arial"/>
        <family val="2"/>
      </rPr>
      <t>(CEUS) 2022</t>
    </r>
  </si>
  <si>
    <t>https://www.energy.ca.gov/publications/2023/2022-california-commercial-end-use-survey-ceus-final-report</t>
  </si>
  <si>
    <t xml:space="preserve"> </t>
  </si>
  <si>
    <r>
      <rPr>
        <sz val="10"/>
        <color rgb="FF000000"/>
        <rFont val="Arial"/>
        <family val="2"/>
      </rPr>
      <t>Commercial Buildings Energy Consumption Survey</t>
    </r>
    <r>
      <rPr>
        <sz val="10"/>
        <color theme="1"/>
        <rFont val="Arial"/>
        <family val="2"/>
      </rPr>
      <t xml:space="preserve"> (CBECS) 2018</t>
    </r>
  </si>
  <si>
    <t>https://www.eia.gov/consumption/commercial/data/2018/</t>
  </si>
  <si>
    <t>ComStock 2023</t>
  </si>
  <si>
    <t>https://comstock.nlr.gov/page/datasets</t>
  </si>
  <si>
    <t>Prototypes</t>
  </si>
  <si>
    <r>
      <rPr>
        <sz val="10"/>
        <color rgb="FF000000"/>
        <rFont val="Arial"/>
        <family val="2"/>
      </rPr>
      <t>California Energy Commission</t>
    </r>
    <r>
      <rPr>
        <sz val="10"/>
        <color rgb="FF000000"/>
        <rFont val="Arial"/>
        <family val="2"/>
      </rPr>
      <t xml:space="preserve"> (CEC) Small Office prototype (CBECC 2022.3.1)</t>
    </r>
  </si>
  <si>
    <t>https://bees.noresco.com/software2022.html</t>
  </si>
  <si>
    <r>
      <rPr>
        <sz val="10"/>
        <color rgb="FF000000"/>
        <rFont val="Arial"/>
        <family val="2"/>
      </rPr>
      <t>Pacific Northwest National Laboratory</t>
    </r>
    <r>
      <rPr>
        <sz val="10"/>
        <color theme="1"/>
        <rFont val="Arial"/>
        <family val="2"/>
      </rPr>
      <t xml:space="preserve"> (PNNL) Small Office prototype (90.1-2022)</t>
    </r>
  </si>
  <si>
    <t>https://www.energycodes.gov/prototype-building-models#Commercial</t>
  </si>
  <si>
    <r>
      <rPr>
        <sz val="10"/>
        <color rgb="FF000000"/>
        <rFont val="Arial"/>
        <family val="2"/>
      </rPr>
      <t>Database for Energy Efficient Resources</t>
    </r>
    <r>
      <rPr>
        <sz val="10"/>
        <color theme="1"/>
        <rFont val="Arial"/>
        <family val="2"/>
      </rPr>
      <t xml:space="preserve"> (DEER) Small Office prototype (June 2023)</t>
    </r>
  </si>
  <si>
    <t>https://github.com/sound-data/DEER-Prototypes-EnergyPlus</t>
  </si>
  <si>
    <r>
      <rPr>
        <sz val="10"/>
        <color rgb="FF000000"/>
        <rFont val="Arial"/>
        <family val="2"/>
      </rPr>
      <t xml:space="preserve">Oak Ridge National Laboratory </t>
    </r>
    <r>
      <rPr>
        <sz val="10"/>
        <color theme="1"/>
        <rFont val="Arial"/>
        <family val="2"/>
      </rPr>
      <t>(ORNL) 2019 Small Office prototype zoning</t>
    </r>
  </si>
  <si>
    <t>https://web.eecs.utk.edu/~jnew1/publications/2019_IBPSA_OpenStudioOffice.pdf</t>
  </si>
  <si>
    <t>Codes</t>
  </si>
  <si>
    <t>https://www.energy.ca.gov/publications/2025/2025-building-energy-efficiency-standards-residential-and-nonresidential</t>
  </si>
  <si>
    <t>https://codes.iccsafe.org/codes/united-states/california</t>
  </si>
  <si>
    <t>2010+</t>
  </si>
  <si>
    <t>Title 20</t>
  </si>
  <si>
    <t>https://govt.westlaw.com/calregs/Document/I270DCA634B4011EFA8F7F119BAF97AD6?viewType=FullText&amp;originationContext=documenttoc&amp;transitionType=CategoryPageItem&amp;contextData=(sc.Default)</t>
  </si>
  <si>
    <r>
      <rPr>
        <sz val="10"/>
        <color rgb="FF000000"/>
        <rFont val="Arial"/>
        <family val="2"/>
      </rPr>
      <t>American Society of Heating, Refrigerating and Air-Conditioning Engineers</t>
    </r>
    <r>
      <rPr>
        <sz val="10"/>
        <color theme="1"/>
        <rFont val="Arial"/>
        <family val="2"/>
      </rPr>
      <t xml:space="preserve"> (ASHRAE) 90.1 (2022)</t>
    </r>
  </si>
  <si>
    <t>https://www.ashrae.org/technical-resources/standards-and-guidelines/read-only-versions-of-ashrae-standards</t>
  </si>
  <si>
    <r>
      <rPr>
        <sz val="10"/>
        <color rgb="FF000000"/>
        <rFont val="Arial"/>
        <family val="2"/>
      </rPr>
      <t xml:space="preserve">Code of Federal Regulations </t>
    </r>
    <r>
      <rPr>
        <sz val="10"/>
        <color theme="1"/>
        <rFont val="Arial"/>
        <family val="2"/>
      </rPr>
      <t>(CFR) Title 10 (2010)</t>
    </r>
  </si>
  <si>
    <t xml:space="preserve">https://www.govinfo.gov/content/pkg/FR-2009-03-23/pdf/FR-2009-03-23.pdf </t>
  </si>
  <si>
    <t>CFR Title 10 (2013)</t>
  </si>
  <si>
    <t>https://www.govinfo.gov/content/pkg/CFR-2013-title10-vol3/pdf/CFR-2013-title10-vol3-part431.pdf</t>
  </si>
  <si>
    <t>CFR Title 10 (2024)</t>
  </si>
  <si>
    <t>https://www.govinfo.gov/content/pkg/CFR-2024-title10-vol3/pdf/CFR-2024-title10-vol3-part431-subpartF.pdf</t>
  </si>
  <si>
    <t>Others</t>
  </si>
  <si>
    <t>Massachusetts uses commercial prototype for its stretch code energy analysis and the above ones are the supporting documents for small office prototype</t>
  </si>
  <si>
    <t>https://www.mass.gov/lists/stretch-energy-code-development-support-documentation</t>
  </si>
  <si>
    <t>https://www.mass.gov/doc/small-office-prototype-basis-of-design-report/download</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</si>
  <si>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</si>
  <si>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</si>
  <si>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</si>
  <si>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</si>
  <si>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t>Title 24, 2025,  Appendix B: Water Heating Calculation Method</t>
  </si>
  <si>
    <t>https://www.energy.ca.gov/sites/default/files/2025-11/CEC-400-2025-006-AP-B.pdf</t>
  </si>
  <si>
    <r>
      <rPr>
        <sz val="10"/>
        <color rgb="FF000000"/>
        <rFont val="Arial"/>
        <family val="2"/>
      </rPr>
      <t>Nonres ACM 2022,</t>
    </r>
    <r>
      <rPr>
        <sz val="10"/>
        <color theme="1"/>
        <rFont val="Arial"/>
        <family val="2"/>
      </rPr>
      <t xml:space="preserve"> Appendix 5.4A and Appendix 5.4B</t>
    </r>
  </si>
  <si>
    <r>
      <rPr>
        <sz val="10"/>
        <color rgb="FF000000"/>
        <rFont val="Arial"/>
        <family val="2"/>
      </rPr>
      <t xml:space="preserve">2022 Reduced infiltration </t>
    </r>
    <r>
      <rPr>
        <sz val="10"/>
        <color rgb="FF000000"/>
        <rFont val="Arial"/>
        <family val="2"/>
      </rPr>
      <t>Codes and Standards Enhancement</t>
    </r>
    <r>
      <rPr>
        <sz val="10"/>
        <color rgb="FF000000"/>
        <rFont val="Arial"/>
        <family val="2"/>
      </rPr>
      <t xml:space="preserve"> (CASE)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</si>
  <si>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</si>
  <si>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</si>
  <si>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</si>
  <si>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</si>
  <si>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</si>
  <si>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</si>
  <si>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</si>
  <si>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</si>
  <si>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</si>
  <si>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</si>
  <si>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</si>
  <si>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Yousefi, F., Athalye, R. (2026). "Developing a New Set of Prototypical Models for Office Buildings in California," IBPSA-USA Conference</t>
  </si>
  <si>
    <t>https://publications.ibpsa.org/conference/paper/?id=simbuild2026_1372</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</si>
  <si>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</si>
  <si>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</si>
  <si>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</si>
  <si>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</si>
  <si>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</si>
  <si>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</si>
  <si>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</si>
  <si>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1978-84</t>
  </si>
  <si>
    <t>1985-97</t>
  </si>
  <si>
    <t>1992-1997</t>
  </si>
  <si>
    <t>Construction rate (Dodge 2023 data for new small offices)</t>
  </si>
  <si>
    <t xml:space="preserve">Source:Dodge Construction Data, 2023 ( NEW small office built after 1967) (STC refers to building types in Dodge terminology). </t>
  </si>
  <si>
    <t>Notes</t>
  </si>
  <si>
    <t xml:space="preserve">OfficeSmall Prototype </t>
  </si>
  <si>
    <r>
      <t>The Small Office prototype was developed to represent California office buildings below 25,000 ft². Based on California construction data, the existing CEC/PNNL Small Office geometry was retained because it aligned well with observed building stock characteristics. The prototype is modeled as a one-story building with a total floor area of 5,502 ft². Its zoning layout was updated using ORNL-based layouts, with modifications to better reflect current design practice and simplify the model. These changes included consolidating spaces, reducing the total number of thermal zones, and incorporating elevator space into the vertical circulation area. The resulting Small Office prototype includes approximately 49.6% office space, 8.3% conference space, 13.5% storage, 12.1% corridor, 8.3% lobby, 4.1% restroom, 2% breakroom, and 2.1% mechanical room. The same geometry and zoning layout are applied across vintages and California climate zones.
Information about the geometry and underlying logic of the office prototypes can be found in this paper: "Yousefi, F., Athalye, R. (2026). ‘</t>
    </r>
    <r>
      <rPr>
        <b/>
        <sz val="10"/>
        <color rgb="FF000000"/>
        <rFont val="Arial"/>
        <family val="2"/>
      </rPr>
      <t>Developing a New Set of Prototypical Models for Office Buildings in California</t>
    </r>
    <r>
      <rPr>
        <sz val="10"/>
        <color rgb="FF000000"/>
        <rFont val="Arial"/>
        <family val="2"/>
      </rPr>
      <t>." IBPSA-USA Conference.
The link is provided above in the Data Source section. The floor area was slightly modified in some spaces during the geometry‑drawing phase.</t>
    </r>
  </si>
  <si>
    <t>1986 is  the representative year for the 1984-1997 vintage bin</t>
  </si>
  <si>
    <t>Most offices in this vintage bin were built after 1984 (more than 53% ) and the CA energy code did not  noticeably change between 1984 and 1992. Edition 1986 included 6 prescriptive packages per CZ for office buildings compared to 1984 with 3 package per CZ.
Also "Heat Capacity" for external wall is considered between 10.0 to 14.99 (BTU/F/ft²) 
Package A  was selected for the thermal properties</t>
  </si>
  <si>
    <t>2001 is  the representative year for the 1998-2007 vintage bin</t>
  </si>
  <si>
    <t xml:space="preserve">Wall and roof prescriptive criteria from 1998 to 2005  remain unchanged except for CZ2 and 6 in 2001 code  (the percentage of change is less than 10%). 
Since the construction rate between 1998-2005 is greater than the 2006-2007 period,  the envelope properties of 1998 -2005 were chosen for envelope properties. Since the windows requirement considerably changed in the 2001 code,  the nominated year for this vintage is 2001. 
It should be noticed that, only one Title 24 should be chosen within each vintage bin for building envelope properties since the entire envelope is built at once. We can't choose 1998 for walls and 2001 for windows. Wall and roof prescriptive criteria from 1998 to 2005  remain unchanged except for CZ2 and 6 in 2001 version (the percentage of change is less than 10%). </t>
  </si>
  <si>
    <t>2013 is  the representative year for the 2008-2018 vintage bin</t>
  </si>
  <si>
    <t>Wall properties remain unchanged from the 2008 code to the 2016 code but the roof did change. Although the 2016 code introduced improvement for roof in nearly all CZ and for wall in a few CZ, and  construction activity surged between 2017 and 2018, the extended period from 2008 to 2016 resulted in a higher construction rate during that time . As a result, it was decided to select the code that was effective during 2008-2016. 
The 2013 code modified the solar reflectance requirement for low-sloped roof products ( by approximately 15%), and enhanced window properties. Therefore, the 2013 code was chosen as the representative code.  Additionally, construction activity from 2014-2018  was higher compared to 2008-2013 period.</t>
  </si>
  <si>
    <t>OfficeSmall</t>
  </si>
  <si>
    <t>Characteristic</t>
  </si>
  <si>
    <t>Value</t>
  </si>
  <si>
    <t>Building Type</t>
  </si>
  <si>
    <t xml:space="preserve">Small Office </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</si>
  <si>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</si>
  <si>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</si>
  <si>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</si>
  <si>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</si>
  <si>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</si>
  <si>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</si>
  <si>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</si>
  <si>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</si>
  <si>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r>
      <t xml:space="preserve">Assume rectangular shape; supported by CBECS, CEC, and PNNL.
</t>
    </r>
    <r>
      <rPr>
        <sz val="10"/>
        <color rgb="FF000000"/>
        <rFont val="Arial"/>
        <family val="2"/>
      </rPr>
      <t>The logic behind the geometry of the CalBEM Office prototypes' shell is described in the following paper, with a link provided in the Notes tab:
Yousefi, F., &amp; Athalye, R. (2026). "Developing a New Set of Prototypical Models for Office Buildings in California", IBPSA-USA Conference.</t>
    </r>
  </si>
  <si>
    <t>Total Floor Area (ft²)</t>
  </si>
  <si>
    <r>
      <t>5502 (90.8 ft x 60.</t>
    </r>
    <r>
      <rPr>
        <sz val="10"/>
        <color rgb="FF000000"/>
        <rFont val="Arial"/>
        <family val="2"/>
      </rPr>
      <t>6</t>
    </r>
    <r>
      <rPr>
        <sz val="10"/>
        <rFont val="Arial"/>
        <family val="2"/>
      </rPr>
      <t>ft)</t>
    </r>
  </si>
  <si>
    <t>Supported by Dodge 2023 data (Same as CEC and PNNL)</t>
  </si>
  <si>
    <t>Aspect Ratio</t>
  </si>
  <si>
    <t>Assumption; same as CEC and PNNL Small Office prototype</t>
  </si>
  <si>
    <t>Number of Floors</t>
  </si>
  <si>
    <t>Supported by Dodge 2023 data -(Same as CEC and PNNL)
DEER considered two floors</t>
  </si>
  <si>
    <t>Roof type</t>
  </si>
  <si>
    <t>Tilted (Steep-Sloped)</t>
  </si>
  <si>
    <t>Supported by CBECS 2018 data  (Same as CEC and PNNL)</t>
  </si>
  <si>
    <t>WWR</t>
  </si>
  <si>
    <t xml:space="preserve">24.4% for South and 19.8% for the other three orientations
</t>
  </si>
  <si>
    <r>
      <rPr>
        <sz val="10"/>
        <color rgb="FF000000"/>
        <rFont val="Arial"/>
        <family val="2"/>
      </rPr>
      <t>Assumed based on CBECS data as well as CEC and PNNL Small Office prototype.</t>
    </r>
    <r>
      <rPr>
        <sz val="10"/>
        <color theme="1"/>
        <rFont val="Arial"/>
        <family val="2"/>
      </rPr>
      <t xml:space="preserve">
CEC: overall 21.2% same as PNNL 
DEER: 33% in all directions
CBECS: </t>
    </r>
    <r>
      <rPr>
        <sz val="10"/>
        <color rgb="FF000000"/>
        <rFont val="Arial"/>
        <family val="2"/>
      </rPr>
      <t>11-25% (38% of samples have WWR of 11-25%; 33% have WWR 2-10%)</t>
    </r>
  </si>
  <si>
    <t>Shading Geometry</t>
  </si>
  <si>
    <t xml:space="preserve">No Shades </t>
  </si>
  <si>
    <t>Floor to floor height (feet)</t>
  </si>
  <si>
    <t>Assumption, standard ceiling height in office buildings; same as CEC and PNNL Small Office prototype.</t>
  </si>
  <si>
    <t>Floor to ceiling height (feet)</t>
  </si>
  <si>
    <t>Glazing sill height (feet)</t>
  </si>
  <si>
    <t>3 
(top of the window is 8 ft high with 5 ft high glass)</t>
  </si>
  <si>
    <t>Water Heater</t>
  </si>
  <si>
    <t>Background Data [To be deleted prior to publication]</t>
  </si>
  <si>
    <t>Equipment (Plug Load )- Prototypes comparison</t>
  </si>
  <si>
    <t>Unit</t>
  </si>
  <si>
    <t>CEC OffSml</t>
  </si>
  <si>
    <t xml:space="preserve">DEER  OFS </t>
  </si>
  <si>
    <t xml:space="preserve">PNNL </t>
  </si>
  <si>
    <t>ComStock</t>
  </si>
  <si>
    <t>Note</t>
  </si>
  <si>
    <t>W/ft2</t>
  </si>
  <si>
    <t xml:space="preserve"> PNNL considers higher load for electric equipment</t>
  </si>
  <si>
    <t xml:space="preserve">Yearly Load multiplier </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</si>
  <si>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</si>
  <si>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</si>
  <si>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</si>
  <si>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t>
  </si>
  <si>
    <t>Schedule Category</t>
  </si>
  <si>
    <t>Conditioned (Y/N)</t>
  </si>
  <si>
    <t>Area Fraction</t>
  </si>
  <si>
    <t>Area (ft²)</t>
  </si>
  <si>
    <t>Volume (ft³)</t>
  </si>
  <si>
    <t>Multipliers</t>
  </si>
  <si>
    <t>Number of People</t>
  </si>
  <si>
    <t xml:space="preserve">People 
(Persons/1,000 ft²)
[T24, 2025,Table 120.1-A] </t>
  </si>
  <si>
    <t>Thermal Zone Layout - Each space has its own thermal zone</t>
  </si>
  <si>
    <t>Office Small</t>
  </si>
  <si>
    <t>Open_Office_N</t>
  </si>
  <si>
    <t>Office Area (&gt;250 square feet)</t>
  </si>
  <si>
    <t>AHU_N</t>
  </si>
  <si>
    <t>Office</t>
  </si>
  <si>
    <t>Yes</t>
  </si>
  <si>
    <r>
      <rPr>
        <sz val="10"/>
        <color rgb="FF000000"/>
        <rFont val="Arial"/>
        <family val="2"/>
      </rPr>
      <t>Enclosed</t>
    </r>
    <r>
      <rPr>
        <sz val="10"/>
        <color rgb="FF000000"/>
        <rFont val="Arial"/>
        <family val="2"/>
      </rPr>
      <t>_Office_W</t>
    </r>
  </si>
  <si>
    <t>AHU_W</t>
  </si>
  <si>
    <r>
      <rPr>
        <sz val="10"/>
        <color rgb="FF000000"/>
        <rFont val="Arial"/>
        <family val="2"/>
      </rPr>
      <t>Enclosed</t>
    </r>
    <r>
      <rPr>
        <sz val="10"/>
        <color rgb="FF000000"/>
        <rFont val="Arial"/>
        <family val="2"/>
      </rPr>
      <t>_Office_E</t>
    </r>
  </si>
  <si>
    <t>AHU_E</t>
  </si>
  <si>
    <t>Conference</t>
  </si>
  <si>
    <t>Convention, Conference, Multipurpose and Meeting Area</t>
  </si>
  <si>
    <t>AHU_S</t>
  </si>
  <si>
    <t>Lobby_Lounge</t>
  </si>
  <si>
    <t>Lobby, Main Entry</t>
  </si>
  <si>
    <t>For entrance lobbies, assumed 10 persons/1000 ft² based on ASHRAE 62.1 Table 6-1
T24 assumed 33 persons/1,000 ft² for main Entry lobbies &amp; 5 persons/1000 ft² for reception area</t>
  </si>
  <si>
    <t>Storage</t>
  </si>
  <si>
    <t>Storage (General)</t>
  </si>
  <si>
    <t>Occupant  load density for storage is based on T24, 2025, Appendix 5.4A.
Conditioned but with higher cooling setpoint</t>
  </si>
  <si>
    <t>Mechanical_Electrical</t>
  </si>
  <si>
    <t>Electrical, Mechanical, Telephone Rooms</t>
  </si>
  <si>
    <t>Ancillary</t>
  </si>
  <si>
    <t>-</t>
  </si>
  <si>
    <t>Conditioned but with higher cooling setpoint</t>
  </si>
  <si>
    <t>Restroom</t>
  </si>
  <si>
    <t>Restrooms</t>
  </si>
  <si>
    <t>Indirectly conditioned</t>
  </si>
  <si>
    <t>Break_CopyRoom</t>
  </si>
  <si>
    <t>Lounge, Breakroom, or Waiting Area</t>
  </si>
  <si>
    <t>Corridor_W</t>
  </si>
  <si>
    <t>Corridor Area</t>
  </si>
  <si>
    <t>Corridor_N</t>
  </si>
  <si>
    <t>Corridor_E</t>
  </si>
  <si>
    <t>Corridor_S</t>
  </si>
  <si>
    <t>Attic</t>
  </si>
  <si>
    <t>No</t>
  </si>
  <si>
    <t xml:space="preserve"> Total ( 1 Building)</t>
  </si>
  <si>
    <t>Total (14 Space)</t>
  </si>
  <si>
    <t>Total (9 Space)</t>
  </si>
  <si>
    <t>Total (4 HVAC system)</t>
  </si>
  <si>
    <t xml:space="preserve"> Total (1 category)</t>
  </si>
  <si>
    <t xml:space="preserve"> Total (4 Conditioned zones, 1 Unconditioned Zones)</t>
  </si>
  <si>
    <r>
      <rPr>
        <b/>
        <sz val="10"/>
        <color rgb="FF000000"/>
        <rFont val="Arial"/>
        <family val="2"/>
      </rPr>
      <t>Ref:</t>
    </r>
    <r>
      <rPr>
        <sz val="10"/>
        <color rgb="FF000000"/>
        <rFont val="Arial"/>
        <family val="2"/>
      </rPr>
      <t xml:space="preserve"> Geometry and zones: ORNL 2019 small office prototype with modification</t>
    </r>
  </si>
  <si>
    <t>Area Distribution By Space Type</t>
  </si>
  <si>
    <t>Space Type</t>
  </si>
  <si>
    <t>%  Area</t>
  </si>
  <si>
    <t>https://web.eecs.utk.edu/~jnew1/presentations/2019_IBPSA_OpenStudioOffice.pdf</t>
  </si>
  <si>
    <t>Total</t>
  </si>
  <si>
    <t>CEC</t>
  </si>
  <si>
    <t>DEER</t>
  </si>
  <si>
    <t>Element</t>
  </si>
  <si>
    <t>Prototype</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</si>
  <si>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</si>
  <si>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</si>
  <si>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</si>
  <si>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</si>
  <si>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</si>
  <si>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</si>
  <si>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</si>
  <si>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</si>
  <si>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</si>
  <si>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</si>
  <si>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</si>
  <si>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</si>
  <si>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</si>
  <si>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</si>
  <si>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</si>
  <si>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</si>
  <si>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</si>
  <si>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</si>
  <si>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</si>
  <si>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</si>
  <si>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</si>
  <si>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</si>
  <si>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 xml:space="preserve">OfficeSmall </t>
  </si>
  <si>
    <t>ExtWall_WoodFramed_NonRes</t>
  </si>
  <si>
    <t>Wood framed wall:
 Wood frame + insulation + Gypsum board</t>
  </si>
  <si>
    <t>U-factor IP</t>
  </si>
  <si>
    <t>Pre 1978</t>
  </si>
  <si>
    <t>N/A</t>
  </si>
  <si>
    <t>Using ASHRAE 90.1, 2022 Table A3.4.3.1, 3.5", R-1.5 U-values and a 7.4% cumulative wall renovation rate through 2028, based on the average annual rate from CBECS 2003 and 2012 projected over 48 years.</t>
  </si>
  <si>
    <t>1978-1997</t>
  </si>
  <si>
    <r>
      <rPr>
        <sz val="10"/>
        <color rgb="FF000000"/>
        <rFont val="Arial"/>
        <family val="2"/>
      </rPr>
      <t>Table 2-53V-16: Package A/ Heat Capacity was considered</t>
    </r>
    <r>
      <rPr>
        <sz val="10"/>
        <color rgb="FF000000"/>
        <rFont val="Arial"/>
        <family val="2"/>
      </rPr>
      <t xml:space="preserve"> 0-3.99 </t>
    </r>
    <r>
      <rPr>
        <sz val="10"/>
        <color rgb="FF000000"/>
        <rFont val="Arial"/>
        <family val="2"/>
      </rPr>
      <t xml:space="preserve">(BTU/F/ft²) </t>
    </r>
  </si>
  <si>
    <t>1998-2007</t>
  </si>
  <si>
    <t>Table 1-H</t>
  </si>
  <si>
    <t>2008-2018</t>
  </si>
  <si>
    <t>Table 140.3-B</t>
  </si>
  <si>
    <t>Existing</t>
  </si>
  <si>
    <t>Weighted average of all 4 vintages</t>
  </si>
  <si>
    <t>2019+</t>
  </si>
  <si>
    <t>Flat Roof</t>
  </si>
  <si>
    <t>AtticFloor Reversed</t>
  </si>
  <si>
    <t xml:space="preserve">
Ceiling: Wood-frame roof + insulation + Acoustic tile/Gypsum board
(Attic Roof: Asphalt shingle + Plywood)</t>
  </si>
  <si>
    <t>Table 2-53V-16: Considering 30 years for roof/ insulation replacement.</t>
  </si>
  <si>
    <t>Windows</t>
  </si>
  <si>
    <t>FixedWindow_NonRes</t>
  </si>
  <si>
    <t xml:space="preserve">Mix Single and Double: CBECS 2018 shows that ~53% of small offices that were built before 2000 are single pane </t>
  </si>
  <si>
    <t>ASHRAE Handbook of Fundamentals (Table 10-Ch15) for single pane &amp; T24, 2013  for double pane(53%-47%)*</t>
  </si>
  <si>
    <t>Double pane</t>
  </si>
  <si>
    <t>SHGC</t>
  </si>
  <si>
    <t>Table 1-H : WWR:20-30 / SHGC non-north</t>
  </si>
  <si>
    <t>Infiltration</t>
  </si>
  <si>
    <t>Zones</t>
  </si>
  <si>
    <t>I_75
6-sided Infiltration rate 
@ 75 pa</t>
  </si>
  <si>
    <t xml:space="preserve"> I-design (cfm/ft²) 
(4-sided Infiltration rate at normal pressure) 
(Design flow rate approach and Flow/Exterior Wall Area calculation method) </t>
  </si>
  <si>
    <t>2022 CASE report (Table 38)</t>
  </si>
  <si>
    <t>Building 6 sided area=</t>
  </si>
  <si>
    <t>Building 4 sided area=</t>
  </si>
  <si>
    <t>6 sided /4 sided factor=</t>
  </si>
  <si>
    <t>2022 CASE report (Table 38) &amp;
T24, 2008-2016 (Table 140.3-C)</t>
  </si>
  <si>
    <t>Floor Area</t>
  </si>
  <si>
    <t>height</t>
  </si>
  <si>
    <t>0.6*</t>
  </si>
  <si>
    <t>2022 CASE report (Table 38) &amp;  
T24, 2025 (Table 140.3-C)</t>
  </si>
  <si>
    <t>Wall Area</t>
  </si>
  <si>
    <t>Source:  Title 24 air barrier requirements (all editions) and the standardized infiltration rate reported in the 2022 CASE report and Dodge 2023 data</t>
  </si>
  <si>
    <t xml:space="preserve">Floor Number </t>
  </si>
  <si>
    <t>* Better to consider 0.6 for New construction instead of being very stringent align with the Appendix G of ASHRAE 90.1 (which is almost 0.4)</t>
  </si>
  <si>
    <t xml:space="preserve">Air Leakage Memo: </t>
  </si>
  <si>
    <t>ASHRAE 90.1, 2022 Table A3.4.3.1, 3.5", R-0</t>
  </si>
  <si>
    <t>T24 (2008 U value)</t>
  </si>
  <si>
    <t>ASHRAE 90.1, 2022 Table A3.4.3.1, 3.5", R-1.5</t>
  </si>
  <si>
    <t>Schedule</t>
  </si>
  <si>
    <t>ASHRAE 90.1, 2022, Table A3.4.3.1, 3.5", R-0</t>
  </si>
  <si>
    <t>HVAC System Layout</t>
  </si>
  <si>
    <t xml:space="preserve">Heating </t>
  </si>
  <si>
    <t>Cooling</t>
  </si>
  <si>
    <t>Air Distribution</t>
  </si>
  <si>
    <t>Other Systems</t>
  </si>
  <si>
    <t>Source</t>
  </si>
  <si>
    <t xml:space="preserve">Existing </t>
  </si>
  <si>
    <t xml:space="preserve">Furnace (Gas) </t>
  </si>
  <si>
    <t>Packaged (DX)</t>
  </si>
  <si>
    <t>Single Duct CAV</t>
  </si>
  <si>
    <t>OA mixing 
Economizer for Vintage 3 and 4
DCV for 4 (for qualifying high density rooms)</t>
  </si>
  <si>
    <t>CEUS 2022</t>
  </si>
  <si>
    <t>New Construction</t>
  </si>
  <si>
    <t>Packaged SZ HP</t>
  </si>
  <si>
    <t>OA mixing 
Economizer 
DCV for qualifying high density rooms</t>
  </si>
  <si>
    <t>T24 2025</t>
  </si>
  <si>
    <r>
      <t xml:space="preserve">Efficiency of HVAC System
</t>
    </r>
    <r>
      <rPr>
        <sz val="10"/>
        <color rgb="FFFFFFFF"/>
        <rFont val="Arial"/>
        <family val="2"/>
      </rPr>
      <t xml:space="preserve"> (Efficiency is capacity-dependent. The following table provides a general estimate of system efficiency based on what we saw in the existing prototype runs, or assuming cooling load based on rule of thumb)</t>
    </r>
  </si>
  <si>
    <t>Upgrade Code</t>
  </si>
  <si>
    <t>COP</t>
  </si>
  <si>
    <t>R (Adjustment factor)</t>
  </si>
  <si>
    <t>Efficiency 80%</t>
  </si>
  <si>
    <t>SEER=13.0 for &lt;65 kBtu/h
10.1 EER  for 65-135 kBtu/h
9.5 EER for 135-240 kBtu/h
9.3 EER &amp; 9.7 IPLV  for &gt;240 kBtu/h</t>
  </si>
  <si>
    <t>T24, Table 112-A (2008)
10 CFR § 431.97, Table 1 (2008)
California Title 20 Appliance Efficiency Regulations, Table E-4, Standards for Gas- and Oil-Fired Central Furnaces (2008)</t>
  </si>
  <si>
    <t>PNNL,2010,"Technical Support Document: 50% Energy Savings for Small Office Buildings"</t>
  </si>
  <si>
    <t>SEER 13 for &lt;65 kBtu/h
11 EER &amp; 11.2 IEER for 65-135 kBtu/h
10.8 EER &amp; 11 IEER for 135-240 kBtu/h
9.8 EER &amp; 9.9 IEER for &gt;240 kBtu/h</t>
  </si>
  <si>
    <t>T24, 2013  Table 110.2-J &amp; Table 110.2-A (2013)
10 CFR § 431.97(b) Table 1 (2013)</t>
  </si>
  <si>
    <t>HSPF 8.0 for &lt;65 kBtu/h
COP 3.4 for 65-135 kBtu/h
COP 3.3 for 135-240 kBtu/h
COP 3.2 for &gt;240 kBtu/h</t>
  </si>
  <si>
    <t>SEER 14 for &lt;65 kBtu/h
EER 10.8, IEER 13.9 for 65-135 kBtu/h
EER 10.4,  IEER = 13.3 135-240 kBtu/h
EER 9.3, IEER=12.3 for &gt;240 kBtu/h</t>
  </si>
  <si>
    <t xml:space="preserve"> 10 CFR § 431.97(b) Table 1 (2025)
Title 20 Appliance Efficiency Regulations, Section 1605.1, Table C-5 (2025)
T24, Table 110.2-B (2025)</t>
  </si>
  <si>
    <t>Fan power</t>
  </si>
  <si>
    <t>Approach</t>
  </si>
  <si>
    <t>System</t>
  </si>
  <si>
    <t>Total Static Pressure (TSP)
(in w.c.)</t>
  </si>
  <si>
    <t>Fan Efficiency
[ACM 2025]</t>
  </si>
  <si>
    <t xml:space="preserve">Motor Efficiency </t>
  </si>
  <si>
    <t xml:space="preserve"> Fan Power Index 
(W/cfm)</t>
  </si>
  <si>
    <t>Data Source</t>
  </si>
  <si>
    <t>PNNL 90.1-2011, TSP</t>
  </si>
  <si>
    <t>CAV, design airflow &lt; 7,437 cfm</t>
  </si>
  <si>
    <t>ASHRAE 90.1, 2004, Table 10.8 *</t>
  </si>
  <si>
    <t>Fan power formula: PNNL 20405, 2010, section 5.2.2.5
TSP and fan efficiency: PNNL 20405, 2010, Table 5.11, 90.1-04ac values
Motor and drive efficiency: ASHRAE 90.1, 2004, Table 10.8</t>
  </si>
  <si>
    <t>PNNL 20405, 2010, Table 5.11</t>
  </si>
  <si>
    <t>Brake horsepower (bhp) = (Supply cfm × TSP in w.c.) / (6356 × fan efficiency)</t>
  </si>
  <si>
    <t>Fan power (w/cfm) = (bhp ×  746) / ( supply cfm × motor efficiency )</t>
  </si>
  <si>
    <t>ACM 2025</t>
  </si>
  <si>
    <t>Packaged SZHP (System 3b), CAV, ≤5,000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</si>
  <si>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</si>
  <si>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</si>
  <si>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</si>
  <si>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</si>
  <si>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Same index as Hotel Small System 3b SZHP ≤5,000 cfm.</t>
  </si>
  <si>
    <t xml:space="preserve">CEUS 2022 data </t>
  </si>
  <si>
    <t>% of total impacted  floor area</t>
  </si>
  <si>
    <t>Dominated system</t>
  </si>
  <si>
    <t>Package System / Heat Pump</t>
  </si>
  <si>
    <t>Spaces/Zones</t>
  </si>
  <si>
    <t>Setpoint</t>
  </si>
  <si>
    <t>All conditioned zones except Storage &amp; Mechanical_Electrical</t>
  </si>
  <si>
    <t xml:space="preserve"> Heating Setpoint (F)</t>
  </si>
  <si>
    <t>T24 2022 - Appendix 5.4B</t>
  </si>
  <si>
    <t>Heating Setback (F)</t>
  </si>
  <si>
    <t>Cooling Setpoint (F)</t>
  </si>
  <si>
    <t>Cooling Setback (F)</t>
  </si>
  <si>
    <t>Storage &amp; Mechanical_Electrical</t>
  </si>
  <si>
    <t>Heating Setpoint (F)</t>
  </si>
  <si>
    <t xml:space="preserve">Enginnering Judgment </t>
  </si>
  <si>
    <r>
      <rPr>
        <b/>
        <sz val="10"/>
        <color rgb="FF000000"/>
        <rFont val="Arial"/>
        <family val="2"/>
      </rPr>
      <t>Note:</t>
    </r>
    <r>
      <rPr>
        <sz val="10"/>
        <color rgb="FF000000"/>
        <rFont val="Arial"/>
        <family val="2"/>
      </rPr>
      <t xml:space="preserve"> The Small Office prototypes by CEC and DEER both use the same setpoints.</t>
    </r>
  </si>
  <si>
    <r>
      <rPr>
        <b/>
        <sz val="10"/>
        <color rgb="FF000000"/>
        <rFont val="Arial"/>
        <family val="2"/>
      </rPr>
      <t>Note:</t>
    </r>
    <r>
      <rPr>
        <sz val="10"/>
        <color rgb="FF000000"/>
        <rFont val="Arial"/>
        <family val="2"/>
      </rPr>
      <t xml:space="preserve"> The Small Office prototype by PNNL also uses the same setpoints, except for one of the perimeter zones, which has a heating setpoint of 69 °F and a cooling setpoint of 76 °F during hours of 10:00-11:00, 12:00-13:00, and 14:00-15:00 .</t>
    </r>
  </si>
  <si>
    <t>Weekday</t>
  </si>
  <si>
    <t>Saturday</t>
  </si>
  <si>
    <t>Sunday</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</si>
  <si>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</si>
  <si>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</si>
  <si>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</si>
  <si>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</si>
  <si>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</si>
  <si>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</si>
  <si>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</si>
  <si>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</si>
  <si>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Office space/Occupancy Category - Office Buildings</t>
  </si>
  <si>
    <t>AHU</t>
  </si>
  <si>
    <t>cfm</t>
  </si>
  <si>
    <t xml:space="preserve">Conference/meeting/Occupancy Category - General </t>
  </si>
  <si>
    <t>Main entry lobbies/Occupancy Category - Office Buildings</t>
  </si>
  <si>
    <t>Occupiable storage rooms for dry 
materials/Occupancy Category - Office Buildings</t>
  </si>
  <si>
    <t>All Other</t>
  </si>
  <si>
    <t>2 * 25/50 per unit</t>
  </si>
  <si>
    <t>Breakrooms/Occupancy Category - Office Buildings</t>
  </si>
  <si>
    <t xml:space="preserve">Corridors /Occupancy Category - General </t>
  </si>
  <si>
    <t>Statewide/  Utility/ FCZ</t>
  </si>
  <si>
    <t>Statewide</t>
  </si>
  <si>
    <t>FCZ01 Tot</t>
  </si>
  <si>
    <t>FCZ02 Tot</t>
  </si>
  <si>
    <t>FCZ03 Tot</t>
  </si>
  <si>
    <t>FCZ04 Tot</t>
  </si>
  <si>
    <t>FCZ05 Tot</t>
  </si>
  <si>
    <t>FCZ06 Tot</t>
  </si>
  <si>
    <t>FCZ07 Tot</t>
  </si>
  <si>
    <t>FCZ08 Tot</t>
  </si>
  <si>
    <t>FCZ09 Tot</t>
  </si>
  <si>
    <t>FCZ10 Tot</t>
  </si>
  <si>
    <t>FCZ11 Tot</t>
  </si>
  <si>
    <t>FCZ12c Tot</t>
  </si>
  <si>
    <t>FCZ12i Tot</t>
  </si>
  <si>
    <t>FCZ13 Tot</t>
  </si>
  <si>
    <t>FCZ16 Tot</t>
  </si>
  <si>
    <t>FCZ17 Tot</t>
  </si>
  <si>
    <t>Pre-1978</t>
  </si>
  <si>
    <t>Calculation Method</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</si>
  <si>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</si>
  <si>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</si>
  <si>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</si>
  <si>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</si>
  <si>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</si>
  <si>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</si>
  <si>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</si>
  <si>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</si>
  <si>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</si>
  <si>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</si>
  <si>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</si>
  <si>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</si>
  <si>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</si>
  <si>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</si>
  <si>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</si>
  <si>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</si>
  <si>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</si>
  <si>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Gas*</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</si>
  <si>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</si>
  <si>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</si>
  <si>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</si>
  <si>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</si>
  <si>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</si>
  <si>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</si>
  <si>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Title 24 2022 Reference Appendices, Appendix 5.4B</t>
  </si>
  <si>
    <t>WH system factor</t>
  </si>
  <si>
    <t>2025 ACM §5.9.2 Rated Capacity</t>
  </si>
  <si>
    <t>Water mass conversion (lb/gal)</t>
  </si>
  <si>
    <t>Reheat multiplier</t>
  </si>
  <si>
    <t>2025 ACM §5.9.2 Storage Volume</t>
  </si>
  <si>
    <t>Climate Zone Water Heater Sizing and Loss Coefficients</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</si>
  <si>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</si>
  <si>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</si>
  <si>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</si>
  <si>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</si>
  <si>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</si>
  <si>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</si>
  <si>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</si>
  <si>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</si>
  <si>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</si>
  <si>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</si>
  <si>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WH_OfficeSamll</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</si>
  <si>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</si>
  <si>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</si>
  <si>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</si>
  <si>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</si>
  <si>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</si>
  <si>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</si>
  <si>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</si>
  <si>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</si>
  <si>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</si>
  <si>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</si>
  <si>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</si>
  <si>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</si>
  <si>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</si>
  <si>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</si>
  <si>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</si>
  <si>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</si>
  <si>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</si>
  <si>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</si>
  <si>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</si>
  <si>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</si>
  <si>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</si>
  <si>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</si>
  <si>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</si>
  <si>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</si>
  <si>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Water use:</t>
  </si>
  <si>
    <t>PNNL (for Core zone)</t>
  </si>
  <si>
    <t>peak flow rate (gal/min)</t>
  </si>
  <si>
    <t>0.0322 for N&amp;S ZN - 0.0192 for E&amp;W ZN</t>
  </si>
  <si>
    <t>0.0242 for Core ZN- 0.0109 for two ZN - 0.0183 for two other ZN</t>
  </si>
  <si>
    <t>NOR Flow rate schedule follows CEC</t>
  </si>
  <si>
    <t>Target Temperature</t>
  </si>
  <si>
    <t>Sensible Fraction</t>
  </si>
  <si>
    <t>Latent Fraction</t>
  </si>
  <si>
    <t xml:space="preserve">Fuel and Share </t>
  </si>
  <si>
    <t>49.9% Electric and 49.1% Gas</t>
  </si>
  <si>
    <t xml:space="preserve">New Construction </t>
  </si>
  <si>
    <t>LPD (W/ft²)</t>
  </si>
  <si>
    <t>Additional LPD for Portable Lighting (W/ft²)</t>
  </si>
  <si>
    <t xml:space="preserve">LPD (W/ft²) </t>
  </si>
  <si>
    <t>T24, part 6, 2025, Table 140.6 C
Technology : LED</t>
  </si>
  <si>
    <t>T24, part 6, 2013, Table 140.6 C
Technology: 59% LED, 31% halogen, 7% CFL (Comstock 2023)</t>
  </si>
  <si>
    <t>It is assumed that 50% of the additional allowance lighting is in use.</t>
  </si>
  <si>
    <r>
      <t xml:space="preserve">2013 LPD is for "Lounge" area
</t>
    </r>
    <r>
      <rPr>
        <sz val="10"/>
        <color rgb="FF000000"/>
        <rFont val="Arial"/>
        <family val="2"/>
      </rPr>
      <t>It is assumed that 50% of the additional allowance lighting is in use.</t>
    </r>
  </si>
  <si>
    <t xml:space="preserve">According to CEUS, more than 80% of existing small office upgraded their lighting system between 2014-2018 and it conflicts the lighting generation considered by Comstock. </t>
  </si>
  <si>
    <t>Whole Building method</t>
  </si>
  <si>
    <t>LPD for Office Building ((W/ft²)</t>
  </si>
  <si>
    <t>Ref: T24, Table 140.6 B</t>
  </si>
  <si>
    <t>Zone</t>
  </si>
  <si>
    <t>Hour</t>
  </si>
  <si>
    <t>Motion Controlled Luminaires (W)</t>
  </si>
  <si>
    <t>Non-motion Controlled Luminaires (W)</t>
  </si>
  <si>
    <t>Total (W)</t>
  </si>
  <si>
    <t>T24, 2022 &amp; 2025
2019 Outdoor Lighting CASE report 
 PNNL 90.1-2010 TSD</t>
  </si>
  <si>
    <t>Exterior Lighting</t>
  </si>
  <si>
    <t>Items (Assume LZ2)</t>
  </si>
  <si>
    <t>Assumptions
[2019 Outdoor Lighting CASE Report &amp; PNNL 90.1-2010 TSD]</t>
  </si>
  <si>
    <t>Lighting Power Allowance 
[T24, 2025, Table 140.7-A &amp; 140.7-B]</t>
  </si>
  <si>
    <t>Exterior Lighting Power (W)</t>
  </si>
  <si>
    <t>IWA (Initial Wage Allowance)</t>
  </si>
  <si>
    <t>(W)</t>
  </si>
  <si>
    <t>Parking area</t>
  </si>
  <si>
    <t>400 ft² for every parking space [2019 Lighting CASE report, Appendix H]
1 parking space per 250 ft² of gross building area   [2019 Lighting CASE report,Table 38]</t>
  </si>
  <si>
    <t>(ft²)</t>
  </si>
  <si>
    <t>(W/ft²)</t>
  </si>
  <si>
    <t>Building Entrance</t>
  </si>
  <si>
    <t>1 building entrance (1 per 10,000 ft² footprint)</t>
  </si>
  <si>
    <t>(count)</t>
  </si>
  <si>
    <t>(W/ea)</t>
  </si>
  <si>
    <t>Hardscape Ornamental Light</t>
  </si>
  <si>
    <t>0.1 ft² per 1 ft² of gross building area for hardscape ornamental light  [2019 Lighting CASE report,Table 36]</t>
  </si>
  <si>
    <t>Building façade</t>
  </si>
  <si>
    <t>0.1 W per ft² of facade area 
Façade Area* = Perimeter × 0.5 × height (30 ft is the max height that is lit) 
The 0.5 factor assumes that only half of the perimeter walls are lit.
-Formula is developed based on the 2019 Outdoor Lighting CASE report</t>
  </si>
  <si>
    <t>Motion controlled Luminaires</t>
  </si>
  <si>
    <t>Non-motion-controlled Luminaires</t>
  </si>
  <si>
    <t>*Developed based on 2019 Outdoor Lighting CASE Report</t>
  </si>
  <si>
    <t>Perimeter (ft)</t>
  </si>
  <si>
    <t>Total floor area (ft²)</t>
  </si>
  <si>
    <t>Floors (above ground)</t>
  </si>
  <si>
    <t>CZ</t>
  </si>
  <si>
    <t>Plug load Power Density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</si>
  <si>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</si>
  <si>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</si>
  <si>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</si>
  <si>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T24 2022 - Appendix 5.4A</t>
  </si>
  <si>
    <t>Type</t>
  </si>
  <si>
    <t>All zones excluding Mechanical</t>
  </si>
  <si>
    <t>Occupancy</t>
  </si>
  <si>
    <r>
      <t xml:space="preserve">T24 2022 - Appendix 5.4B, [Office]
</t>
    </r>
    <r>
      <rPr>
        <sz val="9"/>
        <color rgb="FF0070C0"/>
        <rFont val="Arial"/>
        <family val="2"/>
      </rPr>
      <t xml:space="preserve">
Updated based on Plug load and schedules project with CEC, 2025</t>
    </r>
  </si>
  <si>
    <t>Lights</t>
  </si>
  <si>
    <t>T24 2022 - Appendix 5.4B, [Office]</t>
  </si>
  <si>
    <t xml:space="preserve">ElecEquipment </t>
  </si>
  <si>
    <t xml:space="preserve">Plug load and schedules project with CEC, 2025 </t>
  </si>
  <si>
    <t>HVACAvail</t>
  </si>
  <si>
    <t>ServiceHotWater</t>
  </si>
  <si>
    <r>
      <t xml:space="preserve">T24 2022 - Appendix 5.4B, [Office]
</t>
    </r>
    <r>
      <rPr>
        <sz val="9"/>
        <color rgb="FF0070C0"/>
        <rFont val="Arial"/>
        <family val="2"/>
      </rPr>
      <t>Updated based on Plug load and schedules project with CEC, 202</t>
    </r>
  </si>
  <si>
    <t>HtgSetpt</t>
  </si>
  <si>
    <t>ClgSetpt</t>
  </si>
  <si>
    <t>Mechanical room</t>
  </si>
  <si>
    <r>
      <rPr>
        <sz val="9"/>
        <color rgb="FF000000"/>
        <rFont val="Arial"/>
        <family val="2"/>
      </rPr>
      <t xml:space="preserve">T24 2022 - Appendix 5.4B
</t>
    </r>
    <r>
      <rPr>
        <sz val="9"/>
        <color rgb="FF0070C0"/>
        <rFont val="Arial"/>
        <family val="2"/>
      </rPr>
      <t>Updated based on office schedule</t>
    </r>
  </si>
  <si>
    <t>Engineering Judgement</t>
  </si>
  <si>
    <t>Other</t>
  </si>
  <si>
    <t>ExtLightingNonMotionCtrl</t>
  </si>
  <si>
    <t>ExtLightingMotionCtrl</t>
  </si>
  <si>
    <t>FunctionalAreaPeopleActivityLevel</t>
  </si>
  <si>
    <t>Conference room</t>
  </si>
  <si>
    <t>MeetingAreaPeopleActivityLevel</t>
  </si>
  <si>
    <t>Corridor, Lobby, Restroom, Mech, Storage, Break</t>
  </si>
  <si>
    <t>CommonAreaPeopleActivityLevel</t>
  </si>
  <si>
    <t>CalBEM Energy Consumption - OfficeSmall</t>
  </si>
  <si>
    <t>National Average (EnergyStar Portfolio Manager)</t>
  </si>
  <si>
    <t>CEUS Energy Consumption - OfficeSmall</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</si>
  <si>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</si>
  <si>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</si>
  <si>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</si>
  <si>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</si>
  <si>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</si>
  <si>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</si>
  <si>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</si>
  <si>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RangeRange (25% Higher)</t>
  </si>
  <si>
    <t>Acceptable RangeRange (25% Lower)</t>
  </si>
  <si>
    <t>National Average Acceptable Range</t>
  </si>
  <si>
    <t>Zip code</t>
  </si>
  <si>
    <t>Total Floorspace (Thousand of ft2)</t>
  </si>
  <si>
    <t>CEUS 2022 Electric Energy Intensity (kWh/ft²)</t>
  </si>
  <si>
    <t>CEUS 2022 Annual Gas Intensity (kWh/ft²)</t>
  </si>
  <si>
    <t>CEUS 2022 Total EUI (kBtu/ft²)</t>
  </si>
  <si>
    <t>Acceptable Range (25% Higher)</t>
  </si>
  <si>
    <t>Acceptable Range (25% Lower)</t>
  </si>
  <si>
    <t>CEUS 2022 Acceptable Range</t>
  </si>
  <si>
    <t>HotelSmall</t>
  </si>
  <si>
    <r>
      <rPr>
        <b/>
        <sz val="10"/>
        <color theme="1"/>
        <rFont val="Arial"/>
        <family val="2"/>
      </rPr>
      <t xml:space="preserve">Ref: </t>
    </r>
    <r>
      <rPr>
        <sz val="10"/>
        <color theme="1"/>
        <rFont val="Arial"/>
        <family val="2"/>
      </rPr>
      <t xml:space="preserve">CEUS 2022 Report </t>
    </r>
  </si>
  <si>
    <t xml:space="preserve">And converted FZ level data to CZ level </t>
  </si>
  <si>
    <t>Office, Small</t>
  </si>
  <si>
    <t>EV Charger - OfficeSmall (TBD)</t>
  </si>
  <si>
    <t xml:space="preserve">According To CEUS 2022 and their survey around 2018-2020, almost 92% of small office buildings have no EV charger </t>
  </si>
  <si>
    <t>CEUS 2022 (Base on Survey 2018)</t>
  </si>
  <si>
    <t>The data presented in this worksheet represents the projected number of EV charger ports, or the number of cars that can be charged at the same time, for the year 2022 (last year of CEUC)</t>
  </si>
  <si>
    <t>Has EV Chargers</t>
  </si>
  <si>
    <t>Level 1,  120 volt Charger     (No. ports/SqFT)</t>
  </si>
  <si>
    <t>Level 2,  240 volt Charger    (No. ports/SqFT)</t>
  </si>
  <si>
    <t>Level 3,  DC fast     (No. ports/SqFT)</t>
  </si>
  <si>
    <t>Charger Type Unknown  (No. ports/SqFT)</t>
  </si>
  <si>
    <t>All Chargers Totals   (No. ports/SqFT)</t>
  </si>
  <si>
    <t xml:space="preserve">No </t>
  </si>
  <si>
    <t>Public Only</t>
  </si>
  <si>
    <t>Public &amp; Employee</t>
  </si>
  <si>
    <t>Public &amp; Fleet</t>
  </si>
  <si>
    <t>Employee Only</t>
  </si>
  <si>
    <t>Employee &amp; Fleet</t>
  </si>
  <si>
    <t>Fleet Only</t>
  </si>
  <si>
    <t>All 3 Types</t>
  </si>
  <si>
    <t>Unknown</t>
  </si>
  <si>
    <t>Level 1 Total</t>
  </si>
  <si>
    <t>Level 2 Total</t>
  </si>
  <si>
    <t>Level 3 Total</t>
  </si>
  <si>
    <t>Unkonwn Total</t>
  </si>
  <si>
    <t>Floorspace-Based</t>
  </si>
  <si>
    <t>% of floor area per CZ and vintage bin - OfficeSmall</t>
  </si>
  <si>
    <t>Vintage Bin</t>
  </si>
  <si>
    <t>Not available</t>
  </si>
  <si>
    <t>Ref: CEUS 2022 dataset: Small Office group</t>
  </si>
  <si>
    <t>PV - 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</si>
  <si>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</si>
  <si>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</si>
  <si>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</si>
  <si>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</si>
  <si>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</si>
  <si>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</si>
  <si>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</si>
  <si>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</si>
  <si>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</si>
  <si>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</si>
  <si>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</si>
  <si>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</si>
  <si>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</si>
  <si>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</si>
  <si>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</si>
  <si>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</si>
  <si>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</si>
  <si>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</si>
  <si>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</si>
  <si>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</si>
  <si>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</si>
  <si>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</si>
  <si>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</si>
  <si>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</si>
  <si>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</si>
  <si>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</si>
  <si>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</si>
  <si>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</si>
  <si>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</si>
  <si>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</si>
  <si>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</si>
  <si>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</si>
  <si>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</si>
  <si>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</si>
  <si>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</si>
  <si>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</si>
  <si>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</si>
  <si>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</si>
  <si>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</si>
  <si>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</si>
  <si>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</si>
  <si>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</si>
  <si>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</si>
  <si>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</si>
  <si>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</si>
  <si>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</si>
  <si>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</si>
  <si>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</si>
  <si>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</si>
  <si>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</si>
  <si>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</si>
  <si>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</si>
  <si>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</si>
  <si>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</si>
  <si>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</si>
  <si>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</si>
  <si>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</si>
  <si>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</si>
  <si>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</si>
  <si>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</si>
  <si>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</si>
  <si>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</si>
  <si>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</si>
  <si>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</si>
  <si>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</si>
  <si>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</si>
  <si>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</si>
  <si>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</si>
  <si>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</si>
  <si>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</si>
  <si>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Reception Area</t>
  </si>
  <si>
    <t>Elevator</t>
  </si>
  <si>
    <t>Plenum</t>
  </si>
  <si>
    <t>IT Room (EPD 12)</t>
  </si>
  <si>
    <t>Computer Room (EPD 20)</t>
  </si>
  <si>
    <t>Server Room (EPD 45)</t>
  </si>
  <si>
    <t>Same as Pre 2008 because of their higher weights</t>
  </si>
  <si>
    <t>Office building renovation rate since 1980 (yearly renovation rate was calculated from CBECS 2003 and 2012 and then projected over 48 years)</t>
  </si>
  <si>
    <t>Title 24, part 6, referred to as T24 (1984, 1992,1998, 2001, 2005, 2008, 2013, 2016,2019, 2022, 2025)</t>
  </si>
  <si>
    <t xml:space="preserve">Based on Activity level schedules in  CEC Prototypes </t>
  </si>
  <si>
    <t>NORESCO, Updated September 2026</t>
  </si>
  <si>
    <t>Pre-1978 U value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</si>
</sst>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000000"/>
    <numFmt numFmtId="171" formatCode="#,##0;\-0;[Color15]0"/>
  </numFmts>
  <fonts count="60" x14ac:knownFonts="1">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sz val="10"/>
      <color indexed="8"/>
      <name val="Arial"/>
      <family val="2"/>
    </font>
    <font>
      <sz val="11"/>
      <color theme="1"/>
      <name val="Arial"/>
      <family val="2"/>
    </font>
    <font>
      <sz val="11"/>
      <color rgb="FF000000"/>
      <name val="Calibri"/>
      <family val="2"/>
      <scheme val="minor"/>
    </font>
    <font>
      <b/>
      <sz val="14"/>
      <color theme="1"/>
      <name val="Arial"/>
      <family val="2"/>
    </font>
    <font>
      <u/>
      <sz val="10"/>
      <color theme="10"/>
      <name val="Arial"/>
      <family val="2"/>
    </font>
    <font>
      <b/>
      <sz val="10"/>
      <color theme="0"/>
      <name val="Arial"/>
      <family val="2"/>
    </font>
    <font>
      <sz val="11"/>
      <color rgb="FF0070C0"/>
      <name val="Arial"/>
      <family val="2"/>
    </font>
    <font>
      <b/>
      <sz val="10"/>
      <name val="Arial"/>
      <family val="2"/>
    </font>
    <font>
      <b/>
      <sz val="10"/>
      <color indexed="8"/>
      <name val="Arial"/>
      <family val="2"/>
    </font>
    <font>
      <sz val="10"/>
      <color rgb="FF000000"/>
      <name val="Arial"/>
      <family val="2"/>
    </font>
    <font>
      <sz val="10"/>
      <color rgb="FF000000"/>
      <name val="Arial"/>
      <family val="2"/>
    </font>
    <font>
      <sz val="9"/>
      <color theme="1"/>
      <name val="Arial"/>
      <family val="2"/>
    </font>
    <font>
      <sz val="10"/>
      <color rgb="FF000000"/>
      <name val="Arial"/>
      <family val="2"/>
    </font>
    <font>
      <sz val="10"/>
      <color theme="0"/>
      <name val="Arial"/>
      <family val="2"/>
    </font>
    <font>
      <b/>
      <sz val="10"/>
      <color rgb="FF000000"/>
      <name val="Arial"/>
      <family val="2"/>
    </font>
    <font>
      <b/>
      <sz val="9"/>
      <color theme="0"/>
      <name val="Arial"/>
      <family val="2"/>
    </font>
    <font>
      <sz val="9"/>
      <name val="Arial"/>
      <family val="2"/>
    </font>
    <font>
      <b/>
      <sz val="11"/>
      <color theme="1"/>
      <name val="Arial"/>
      <family val="2"/>
    </font>
    <font>
      <sz val="11"/>
      <color theme="1"/>
      <name val="Arial"/>
      <family val="2"/>
    </font>
    <font>
      <sz val="11"/>
      <color theme="0"/>
      <name val="Arial"/>
      <family val="2"/>
    </font>
    <font>
      <b/>
      <sz val="14"/>
      <color rgb="FF000000"/>
      <name val="Calibri"/>
      <family val="2"/>
      <scheme val="minor"/>
    </font>
    <font>
      <b/>
      <sz val="11"/>
      <color rgb="FF000000"/>
      <name val="Arial"/>
      <family val="2"/>
    </font>
    <font>
      <sz val="11"/>
      <color rgb="FF000000"/>
      <name val="Arial"/>
      <family val="2"/>
    </font>
    <font>
      <sz val="8"/>
      <color theme="1"/>
      <name val="Arial"/>
      <family val="2"/>
    </font>
    <font>
      <sz val="11"/>
      <name val="Arial"/>
      <family val="2"/>
    </font>
    <font>
      <b/>
      <sz val="12"/>
      <color rgb="FFFFFFFF"/>
      <name val="Arial"/>
      <family val="2"/>
    </font>
    <font>
      <sz val="10"/>
      <color rgb="FF0070C0"/>
      <name val="Arial"/>
      <family val="2"/>
    </font>
    <font>
      <sz val="5"/>
      <color rgb="FF000000"/>
      <name val="Verdana"/>
      <family val="2"/>
    </font>
    <font>
      <sz val="9"/>
      <color rgb="FF0070C0"/>
      <name val="Arial"/>
      <family val="2"/>
    </font>
    <font>
      <sz val="11"/>
      <color rgb="FF000000"/>
      <name val="Calibri"/>
      <family val="2"/>
    </font>
    <font>
      <b/>
      <sz val="12"/>
      <color rgb="FF000000"/>
      <name val="Arial"/>
      <family val="2"/>
    </font>
    <font>
      <b/>
      <sz val="14"/>
      <color rgb="FF000000"/>
      <name val="Arial"/>
      <family val="2"/>
    </font>
    <font>
      <b/>
      <sz val="11"/>
      <color theme="1"/>
      <name val="Calibri"/>
      <family val="2"/>
      <scheme val="minor"/>
    </font>
    <font>
      <sz val="11"/>
      <color theme="1"/>
      <name val="Calibri"/>
      <family val="2"/>
    </font>
    <font>
      <sz val="9"/>
      <color rgb="FF000000"/>
      <name val="Arial"/>
      <family val="2"/>
    </font>
    <font>
      <sz val="11"/>
      <color theme="1"/>
      <name val="Calibri"/>
      <family val="2"/>
    </font>
    <font>
      <sz val="10"/>
      <color theme="1"/>
      <name val="Arial"/>
      <family val="2"/>
    </font>
    <font>
      <sz val="10"/>
      <color theme="10"/>
      <name val="Arial"/>
      <family val="2"/>
    </font>
    <font>
      <sz val="11"/>
      <color rgb="FF000000"/>
      <name val="Calibri"/>
      <family val="2"/>
      <scheme val="minor"/>
    </font>
    <font>
      <b/>
      <sz val="10"/>
      <color rgb="FF000000"/>
      <name val="Arial"/>
      <family val="2"/>
    </font>
    <font>
      <u/>
      <sz val="10"/>
      <color rgb="FF000000"/>
      <name val="Arial"/>
      <family val="2"/>
    </font>
    <font>
      <sz val="11"/>
      <color rgb="FF000000"/>
      <name val="Arial"/>
      <family val="2"/>
    </font>
    <font>
      <b/>
      <sz val="11"/>
      <color rgb="FF000000"/>
      <name val="Arial"/>
      <family val="2"/>
    </font>
    <font>
      <sz val="9"/>
      <color rgb="FF000000"/>
      <name val="Arial"/>
      <family val="2"/>
    </font>
    <font>
      <u/>
      <sz val="10"/>
      <color rgb="FF000000"/>
      <name val="Arial"/>
      <family val="2"/>
    </font>
    <font>
      <u/>
      <sz val="11"/>
      <color rgb="FF000000"/>
      <name val="Calibri"/>
      <family val="2"/>
      <scheme val="minor"/>
    </font>
    <font>
      <sz val="10"/>
      <color rgb="FF000000"/>
      <name val="Arial"/>
      <family val="2"/>
    </font>
    <font>
      <sz val="10"/>
      <color theme="1"/>
      <name val="Arial"/>
      <family val="2"/>
    </font>
    <font>
      <sz val="11"/>
      <color rgb="FF000000"/>
      <name val="Aptos Narrow"/>
      <family val="2"/>
    </font>
    <font>
      <b/>
      <sz val="10"/>
      <color rgb="FFFFFFFF"/>
      <name val="Arial"/>
      <family val="2"/>
    </font>
    <font>
      <sz val="10"/>
      <color rgb="FFFFFFFF"/>
      <name val="Arial"/>
      <family val="2"/>
    </font>
    <font>
      <b/>
      <sz val="12"/>
      <color rgb="FFFFFFFF"/>
      <name val="Calibri"/>
      <family val="2"/>
      <scheme val="minor"/>
    </font>
  </fonts>
  <fills count="26">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6795556505021"/>
        <bgColor indexed="64"/>
      </patternFill>
    </fill>
    <fill>
      <patternFill patternType="solid">
        <fgColor theme="4" tint="-0.499984740745262"/>
        <bgColor indexed="64"/>
      </patternFill>
    </fill>
    <fill>
      <patternFill patternType="solid">
        <fgColor rgb="FF00B0F0"/>
        <bgColor indexed="64"/>
      </patternFill>
    </fill>
    <fill>
      <patternFill patternType="solid">
        <fgColor rgb="FFD9E1F2"/>
        <bgColor rgb="FF000000"/>
      </patternFill>
    </fill>
    <fill>
      <patternFill patternType="solid">
        <fgColor rgb="FF203764"/>
        <bgColor rgb="FF000000"/>
      </patternFill>
    </fill>
    <fill>
      <patternFill patternType="solid">
        <fgColor theme="0" tint="-0.34998626667073579"/>
        <bgColor indexed="64"/>
      </patternFill>
    </fill>
    <fill>
      <patternFill patternType="solid">
        <fgColor rgb="FFD6DCE4"/>
        <bgColor rgb="FF000000"/>
      </patternFill>
    </fill>
    <fill>
      <patternFill patternType="solid">
        <fgColor rgb="FFD9E1F2"/>
        <bgColor indexed="64"/>
      </patternFill>
    </fill>
    <fill>
      <patternFill patternType="solid">
        <fgColor rgb="FF203864"/>
      </patternFill>
    </fill>
    <fill>
      <patternFill patternType="solid">
        <fgColor rgb="FFD9E1F2"/>
      </patternFill>
    </fill>
    <fill>
      <patternFill patternType="solid">
        <fgColor rgb="FFEAF1F8"/>
      </patternFill>
    </fill>
    <fill>
      <patternFill patternType="solid">
        <fgColor theme="0" tint="-0.14999847407452621"/>
        <bgColor indexed="65"/>
      </patternFill>
    </fill>
    <fill>
      <patternFill patternType="solid">
        <fgColor theme="8" tint="0.79998168889431442"/>
        <bgColor indexed="64"/>
      </patternFill>
    </fill>
    <fill>
      <patternFill patternType="solid">
        <fgColor rgb="FFF5F8FA"/>
        <bgColor indexed="64"/>
      </patternFill>
    </fill>
    <fill>
      <patternFill patternType="solid">
        <fgColor rgb="FFFFFFFF"/>
        <bgColor rgb="FF000000"/>
      </patternFill>
    </fill>
    <fill>
      <patternFill patternType="solid">
        <fgColor rgb="FF919191"/>
        <bgColor indexed="64"/>
      </patternFill>
    </fill>
    <fill>
      <patternFill patternType="solid">
        <fgColor rgb="FFC2BCBC"/>
        <bgColor indexed="64"/>
      </patternFill>
    </fill>
  </fills>
  <borders count="268">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theme="0" tint="-0.499984740745262"/>
      </left>
      <right style="thin">
        <color theme="0" tint="-0.499984740745262"/>
      </right>
      <top style="thin">
        <color indexed="64"/>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top style="medium">
        <color indexed="64"/>
      </top>
      <bottom style="thin">
        <color indexed="64"/>
      </bottom>
      <diagonal/>
    </border>
    <border>
      <left style="thin">
        <color theme="1" tint="0.34998626667073579"/>
      </left>
      <right/>
      <top style="thin">
        <color indexed="64"/>
      </top>
      <bottom style="thin">
        <color indexed="64"/>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thin">
        <color theme="1" tint="0.34998626667073579"/>
      </left>
      <right/>
      <top style="thin">
        <color theme="1" tint="0.34998626667073579"/>
      </top>
      <bottom style="thin">
        <color theme="1" tint="0.34998626667073579"/>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medium">
        <color theme="1" tint="0.34998626667073579"/>
      </right>
      <top style="thin">
        <color theme="1" tint="0.34998626667073579"/>
      </top>
      <bottom/>
      <diagonal/>
    </border>
    <border>
      <left style="medium">
        <color rgb="FF000000"/>
      </left>
      <right style="thin">
        <color indexed="64"/>
      </right>
      <top style="medium">
        <color rgb="FF000000"/>
      </top>
      <bottom style="thin">
        <color indexed="64"/>
      </bottom>
      <diagonal/>
    </border>
    <border>
      <left/>
      <right style="medium">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medium">
        <color rgb="FF000000"/>
      </left>
      <right style="thin">
        <color indexed="64"/>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right/>
      <top/>
      <bottom style="medium">
        <color rgb="FF000000"/>
      </bottom>
      <diagonal/>
    </border>
    <border>
      <left/>
      <right/>
      <top style="medium">
        <color rgb="FF000000"/>
      </top>
      <bottom style="thin">
        <color indexed="64"/>
      </bottom>
      <diagonal/>
    </border>
    <border>
      <left style="thin">
        <color theme="1" tint="0.34998626667073579"/>
      </left>
      <right style="thin">
        <color theme="1" tint="0.34998626667073579"/>
      </right>
      <top style="thin">
        <color indexed="64"/>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top style="medium">
        <color rgb="FF000000"/>
      </top>
      <bottom/>
      <diagonal/>
    </border>
    <border>
      <left style="thin">
        <color rgb="FF000000"/>
      </left>
      <right style="medium">
        <color rgb="FF000000"/>
      </right>
      <top style="medium">
        <color indexed="64"/>
      </top>
      <bottom style="thin">
        <color rgb="FF000000"/>
      </bottom>
      <diagonal/>
    </border>
    <border>
      <left style="thin">
        <color rgb="FF000000"/>
      </left>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thin">
        <color rgb="FF000000"/>
      </bottom>
      <diagonal/>
    </border>
    <border>
      <left style="thin">
        <color rgb="FF000000"/>
      </left>
      <right style="medium">
        <color indexed="64"/>
      </right>
      <top style="medium">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rgb="FF000000"/>
      </left>
      <right/>
      <top/>
      <bottom style="medium">
        <color rgb="FF000000"/>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thin">
        <color theme="1" tint="0.499984740745262"/>
      </left>
      <right style="thin">
        <color theme="1" tint="0.499984740745262"/>
      </right>
      <top style="thin">
        <color indexed="64"/>
      </top>
      <bottom/>
      <diagonal/>
    </border>
    <border>
      <left/>
      <right/>
      <top style="thin">
        <color theme="1" tint="0.34998626667073579"/>
      </top>
      <bottom style="thin">
        <color theme="1" tint="0.3499862666707357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indexed="64"/>
      </right>
      <top style="medium">
        <color rgb="FF000000"/>
      </top>
      <bottom style="thin">
        <color theme="1" tint="0.34998626667073579"/>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indexed="64"/>
      </right>
      <top style="thin">
        <color theme="1" tint="0.34998626667073579"/>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style="medium">
        <color rgb="FF000000"/>
      </bottom>
      <diagonal/>
    </border>
    <border>
      <left style="medium">
        <color rgb="FF000000"/>
      </left>
      <right style="thin">
        <color theme="1" tint="0.34998626667073579"/>
      </right>
      <top style="thin">
        <color theme="1" tint="0.34998626667073579"/>
      </top>
      <bottom/>
      <diagonal/>
    </border>
    <border>
      <left style="thin">
        <color rgb="FF000000"/>
      </left>
      <right style="thin">
        <color rgb="FF000000"/>
      </right>
      <top/>
      <bottom style="thin">
        <color rgb="FF000000"/>
      </bottom>
      <diagonal/>
    </border>
    <border>
      <left/>
      <right style="thin">
        <color indexed="64"/>
      </right>
      <top style="thin">
        <color rgb="FF000000"/>
      </top>
      <bottom style="thin">
        <color indexed="64"/>
      </bottom>
      <diagonal/>
    </border>
    <border>
      <left style="thin">
        <color theme="0" tint="-0.499984740745262"/>
      </left>
      <right style="thin">
        <color theme="0" tint="-0.499984740745262"/>
      </right>
      <top style="thin">
        <color rgb="FF000000"/>
      </top>
      <bottom style="thin">
        <color theme="0" tint="-0.499984740745262"/>
      </bottom>
      <diagonal/>
    </border>
    <border>
      <left style="thin">
        <color theme="0" tint="-0.499984740745262"/>
      </left>
      <right style="thin">
        <color rgb="FF000000"/>
      </right>
      <top style="thin">
        <color rgb="FF000000"/>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style="thin">
        <color indexed="64"/>
      </top>
      <bottom/>
      <diagonal/>
    </border>
    <border>
      <left style="thin">
        <color rgb="FF808080"/>
      </left>
      <right style="thin">
        <color rgb="FF808080"/>
      </right>
      <top style="thin">
        <color rgb="FF808080"/>
      </top>
      <bottom style="thin">
        <color rgb="FF808080"/>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style="thin">
        <color rgb="FF808080"/>
      </left>
      <right/>
      <top/>
      <bottom/>
      <diagonal/>
    </border>
    <border>
      <left style="thin">
        <color rgb="FF808080"/>
      </left>
      <right style="thin">
        <color rgb="FF808080"/>
      </right>
      <top/>
      <bottom style="thin">
        <color rgb="FF808080"/>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indexed="64"/>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tint="0.34998626667073579"/>
      </left>
      <right style="medium">
        <color rgb="FF000000"/>
      </right>
      <top/>
      <bottom/>
      <diagonal/>
    </border>
    <border>
      <left style="thin">
        <color rgb="FF808080"/>
      </left>
      <right style="thin">
        <color rgb="FF808080"/>
      </right>
      <top style="thin">
        <color rgb="FF808080"/>
      </top>
      <bottom/>
      <diagonal/>
    </border>
    <border>
      <left style="thin">
        <color indexed="64"/>
      </left>
      <right style="thin">
        <color rgb="FF808080"/>
      </right>
      <top style="thin">
        <color indexed="64"/>
      </top>
      <bottom style="thin">
        <color rgb="FF808080"/>
      </bottom>
      <diagonal/>
    </border>
    <border>
      <left style="thin">
        <color rgb="FF808080"/>
      </left>
      <right style="thin">
        <color rgb="FF808080"/>
      </right>
      <top style="thin">
        <color indexed="64"/>
      </top>
      <bottom style="thin">
        <color rgb="FF808080"/>
      </bottom>
      <diagonal/>
    </border>
    <border>
      <left style="thin">
        <color theme="1" tint="0.499984740745262"/>
      </left>
      <right style="thin">
        <color indexed="64"/>
      </right>
      <top style="thin">
        <color indexed="64"/>
      </top>
      <bottom/>
      <diagonal/>
    </border>
    <border>
      <left style="thin">
        <color indexed="64"/>
      </left>
      <right style="thin">
        <color rgb="FF808080"/>
      </right>
      <top style="thin">
        <color rgb="FF808080"/>
      </top>
      <bottom style="thin">
        <color rgb="FF808080"/>
      </bottom>
      <diagonal/>
    </border>
    <border>
      <left style="thin">
        <color indexed="64"/>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rgb="FF808080"/>
      </right>
      <top/>
      <bottom style="thin">
        <color indexed="64"/>
      </bottom>
      <diagonal/>
    </border>
    <border>
      <left style="thin">
        <color theme="1" tint="0.499984740745262"/>
      </left>
      <right style="thin">
        <color indexed="64"/>
      </right>
      <top style="thin">
        <color indexed="64"/>
      </top>
      <bottom style="thin">
        <color indexed="64"/>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000000"/>
      </left>
      <right/>
      <top/>
      <bottom/>
      <diagonal/>
    </border>
    <border>
      <left style="thin">
        <color rgb="FF808080"/>
      </left>
      <right/>
      <top style="thin">
        <color rgb="FF808080"/>
      </top>
      <bottom style="thin">
        <color indexed="64"/>
      </bottom>
      <diagonal/>
    </border>
    <border>
      <left/>
      <right style="thin">
        <color indexed="64"/>
      </right>
      <top style="thin">
        <color rgb="FF808080"/>
      </top>
      <bottom style="thin">
        <color indexed="64"/>
      </bottom>
      <diagonal/>
    </border>
    <border>
      <left style="thin">
        <color theme="1" tint="0.34998626667073579"/>
      </left>
      <right/>
      <top/>
      <bottom style="thin">
        <color theme="1" tint="0.34998626667073579"/>
      </bottom>
      <diagonal/>
    </border>
    <border>
      <left/>
      <right/>
      <top/>
      <bottom style="thin">
        <color theme="1" tint="0.249977111117893"/>
      </bottom>
      <diagonal/>
    </border>
    <border>
      <left style="thin">
        <color theme="1" tint="0.249977111117893"/>
      </left>
      <right/>
      <top/>
      <bottom style="thin">
        <color theme="1" tint="0.249977111117893"/>
      </bottom>
      <diagonal/>
    </border>
    <border>
      <left style="thin">
        <color theme="1" tint="0.249977111117893"/>
      </left>
      <right/>
      <top/>
      <bottom/>
      <diagonal/>
    </border>
    <border>
      <left/>
      <right style="thin">
        <color theme="1" tint="0.249977111117893"/>
      </right>
      <top/>
      <bottom/>
      <diagonal/>
    </border>
    <border>
      <left/>
      <right style="thin">
        <color theme="1" tint="0.249977111117893"/>
      </right>
      <top/>
      <bottom style="thin">
        <color theme="1" tint="0.249977111117893"/>
      </bottom>
      <diagonal/>
    </border>
    <border>
      <left/>
      <right style="thin">
        <color indexed="64"/>
      </right>
      <top/>
      <bottom style="thin">
        <color theme="1" tint="0.249977111117893"/>
      </bottom>
      <diagonal/>
    </border>
    <border>
      <left/>
      <right style="thin">
        <color indexed="64"/>
      </right>
      <top style="thin">
        <color theme="1" tint="0.249977111117893"/>
      </top>
      <bottom/>
      <diagonal/>
    </border>
    <border>
      <left/>
      <right style="thin">
        <color rgb="FF000000"/>
      </right>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thin">
        <color rgb="FF000000"/>
      </left>
      <right style="thin">
        <color indexed="64"/>
      </right>
      <top style="thin">
        <color rgb="FF000000"/>
      </top>
      <bottom style="thin">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style="medium">
        <color indexed="64"/>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rgb="FF000000"/>
      </left>
      <right/>
      <top style="medium">
        <color rgb="FF000000"/>
      </top>
      <bottom style="thin">
        <color rgb="FF000000"/>
      </bottom>
      <diagonal/>
    </border>
    <border>
      <left style="thin">
        <color theme="1" tint="0.34998626667073579"/>
      </left>
      <right/>
      <top style="medium">
        <color theme="1" tint="0.34998626667073579"/>
      </top>
      <bottom style="thin">
        <color theme="1" tint="0.34998626667073579"/>
      </bottom>
      <diagonal/>
    </border>
    <border>
      <left style="thin">
        <color theme="1" tint="0.34998626667073579"/>
      </left>
      <right/>
      <top style="thin">
        <color theme="1" tint="0.34998626667073579"/>
      </top>
      <bottom style="medium">
        <color theme="1" tint="0.34998626667073579"/>
      </bottom>
      <diagonal/>
    </border>
    <border>
      <left style="thin">
        <color rgb="FF595959"/>
      </left>
      <right style="thin">
        <color rgb="FF595959"/>
      </right>
      <top/>
      <bottom/>
      <diagonal/>
    </border>
    <border>
      <left/>
      <right style="thin">
        <color rgb="FF595959"/>
      </right>
      <top style="medium">
        <color rgb="FF595959"/>
      </top>
      <bottom style="thin">
        <color rgb="FF595959"/>
      </bottom>
      <diagonal/>
    </border>
    <border>
      <left style="thin">
        <color rgb="FF808080"/>
      </left>
      <right style="thin">
        <color rgb="FF808080"/>
      </right>
      <top style="medium">
        <color indexed="64"/>
      </top>
      <bottom style="thin">
        <color rgb="FF808080"/>
      </bottom>
      <diagonal/>
    </border>
    <border>
      <left style="thin">
        <color rgb="FF808080"/>
      </left>
      <right style="medium">
        <color indexed="64"/>
      </right>
      <top style="medium">
        <color indexed="64"/>
      </top>
      <bottom style="thin">
        <color rgb="FF808080"/>
      </bottom>
      <diagonal/>
    </border>
    <border>
      <left/>
      <right style="thin">
        <color rgb="FF595959"/>
      </right>
      <top style="thin">
        <color rgb="FF595959"/>
      </top>
      <bottom style="thin">
        <color rgb="FF595959"/>
      </bottom>
      <diagonal/>
    </border>
    <border>
      <left style="thin">
        <color rgb="FF808080"/>
      </left>
      <right style="medium">
        <color indexed="64"/>
      </right>
      <top style="thin">
        <color rgb="FF808080"/>
      </top>
      <bottom style="thin">
        <color rgb="FF808080"/>
      </bottom>
      <diagonal/>
    </border>
    <border>
      <left/>
      <right style="thin">
        <color rgb="FF595959"/>
      </right>
      <top style="thin">
        <color rgb="FF595959"/>
      </top>
      <bottom style="medium">
        <color rgb="FF595959"/>
      </bottom>
      <diagonal/>
    </border>
    <border>
      <left style="thin">
        <color rgb="FF808080"/>
      </left>
      <right style="thin">
        <color rgb="FF808080"/>
      </right>
      <top style="thin">
        <color rgb="FF808080"/>
      </top>
      <bottom style="medium">
        <color indexed="64"/>
      </bottom>
      <diagonal/>
    </border>
    <border>
      <left style="thin">
        <color rgb="FF808080"/>
      </left>
      <right style="medium">
        <color indexed="64"/>
      </right>
      <top style="thin">
        <color rgb="FF808080"/>
      </top>
      <bottom style="medium">
        <color indexed="64"/>
      </bottom>
      <diagonal/>
    </border>
    <border>
      <left style="thin">
        <color rgb="FF595959"/>
      </left>
      <right style="thin">
        <color rgb="FF595959"/>
      </right>
      <top style="medium">
        <color rgb="FF000000"/>
      </top>
      <bottom/>
      <diagonal/>
    </border>
    <border>
      <left style="thin">
        <color rgb="FF595959"/>
      </left>
      <right style="medium">
        <color rgb="FF000000"/>
      </right>
      <top style="medium">
        <color rgb="FF000000"/>
      </top>
      <bottom/>
      <diagonal/>
    </border>
    <border>
      <left style="thin">
        <color rgb="FF595959"/>
      </left>
      <right style="medium">
        <color rgb="FF000000"/>
      </right>
      <top/>
      <bottom/>
      <diagonal/>
    </border>
    <border>
      <left style="thin">
        <color rgb="FF595959"/>
      </left>
      <right style="thin">
        <color rgb="FF595959"/>
      </right>
      <top/>
      <bottom style="medium">
        <color rgb="FF000000"/>
      </bottom>
      <diagonal/>
    </border>
    <border>
      <left style="thin">
        <color rgb="FF595959"/>
      </left>
      <right style="medium">
        <color rgb="FF000000"/>
      </right>
      <top/>
      <bottom style="medium">
        <color rgb="FF000000"/>
      </bottom>
      <diagonal/>
    </border>
    <border>
      <left style="medium">
        <color rgb="FF000000"/>
      </left>
      <right style="thin">
        <color theme="1" tint="0.34998626667073579"/>
      </right>
      <top/>
      <bottom style="thin">
        <color theme="1" tint="0.34998626667073579"/>
      </bottom>
      <diagonal/>
    </border>
    <border>
      <left style="thin">
        <color theme="1" tint="0.34998626667073579"/>
      </left>
      <right style="thin">
        <color theme="1" tint="0.34998626667073579"/>
      </right>
      <top style="medium">
        <color rgb="FF000000"/>
      </top>
      <bottom style="thin">
        <color indexed="64"/>
      </bottom>
      <diagonal/>
    </border>
    <border>
      <left style="thin">
        <color theme="1" tint="0.34998626667073579"/>
      </left>
      <right style="medium">
        <color rgb="FF000000"/>
      </right>
      <top style="medium">
        <color rgb="FF000000"/>
      </top>
      <bottom style="thin">
        <color indexed="64"/>
      </bottom>
      <diagonal/>
    </border>
    <border>
      <left style="thin">
        <color theme="1" tint="0.34998626667073579"/>
      </left>
      <right style="medium">
        <color rgb="FF000000"/>
      </right>
      <top style="thin">
        <color indexed="64"/>
      </top>
      <bottom style="thin">
        <color indexed="64"/>
      </bottom>
      <diagonal/>
    </border>
    <border>
      <left style="thin">
        <color theme="1" tint="0.34998626667073579"/>
      </left>
      <right style="thin">
        <color theme="1" tint="0.34998626667073579"/>
      </right>
      <top style="thin">
        <color indexed="64"/>
      </top>
      <bottom style="medium">
        <color rgb="FF000000"/>
      </bottom>
      <diagonal/>
    </border>
    <border>
      <left style="thin">
        <color theme="1" tint="0.34998626667073579"/>
      </left>
      <right style="medium">
        <color rgb="FF000000"/>
      </right>
      <top style="thin">
        <color indexed="64"/>
      </top>
      <bottom style="medium">
        <color rgb="FF000000"/>
      </bottom>
      <diagonal/>
    </border>
    <border>
      <left style="thin">
        <color theme="1" tint="0.34998626667073579"/>
      </left>
      <right/>
      <top style="thin">
        <color indexed="64"/>
      </top>
      <bottom/>
      <diagonal/>
    </border>
    <border>
      <left style="thin">
        <color rgb="FF595959"/>
      </left>
      <right style="thin">
        <color rgb="FF595959"/>
      </right>
      <top style="thin">
        <color rgb="FF595959"/>
      </top>
      <bottom style="thin">
        <color rgb="FF595959"/>
      </bottom>
      <diagonal/>
    </border>
    <border>
      <left style="thin">
        <color rgb="FF595959"/>
      </left>
      <right style="thin">
        <color rgb="FF595959"/>
      </right>
      <top style="thin">
        <color rgb="FF595959"/>
      </top>
      <bottom/>
      <diagonal/>
    </border>
    <border>
      <left style="thin">
        <color rgb="FF595959"/>
      </left>
      <right/>
      <top/>
      <bottom/>
      <diagonal/>
    </border>
    <border>
      <left style="thin">
        <color rgb="FF595959"/>
      </left>
      <right/>
      <top style="thin">
        <color rgb="FF595959"/>
      </top>
      <bottom/>
      <diagonal/>
    </border>
    <border>
      <left style="thin">
        <color rgb="FF000000"/>
      </left>
      <right/>
      <top/>
      <bottom style="thin">
        <color rgb="FF000000"/>
      </bottom>
      <diagonal/>
    </border>
    <border>
      <left/>
      <right style="thin">
        <color rgb="FF595959"/>
      </right>
      <top style="thin">
        <color rgb="FF595959"/>
      </top>
      <bottom/>
      <diagonal/>
    </border>
    <border>
      <left style="thin">
        <color rgb="FF595959"/>
      </left>
      <right style="thin">
        <color rgb="FF595959"/>
      </right>
      <top/>
      <bottom style="thin">
        <color rgb="FF000000"/>
      </bottom>
      <diagonal/>
    </border>
    <border>
      <left style="thin">
        <color rgb="FF595959"/>
      </left>
      <right/>
      <top/>
      <bottom style="thin">
        <color rgb="FF000000"/>
      </bottom>
      <diagonal/>
    </border>
    <border>
      <left/>
      <right style="thin">
        <color theme="0" tint="-0.499984740745262"/>
      </right>
      <top/>
      <bottom style="thin">
        <color theme="0" tint="-0.499984740745262"/>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17">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0" fillId="0" borderId="0"/>
    <xf numFmtId="0" fontId="12" fillId="0" borderId="0" applyNumberFormat="0" applyFill="0" applyBorder="0" applyAlignment="0" applyProtection="0"/>
    <xf numFmtId="0" fontId="5" fillId="0" borderId="0"/>
    <xf numFmtId="0" fontId="5" fillId="0" borderId="0"/>
    <xf numFmtId="0" fontId="2" fillId="0" borderId="0"/>
    <xf numFmtId="0" fontId="43" fillId="0" borderId="0"/>
    <xf numFmtId="43" fontId="43" fillId="0" borderId="0" applyFont="0" applyFill="0" applyBorder="0" applyAlignment="0" applyProtection="0"/>
    <xf numFmtId="9" fontId="44" fillId="0" borderId="0" applyFont="0" applyFill="0" applyBorder="0" applyAlignment="0" applyProtection="0"/>
  </cellStyleXfs>
  <cellXfs count="868">
    <xf numFmtId="0" fontId="0" fillId="0" borderId="0" xfId="0"/>
    <xf numFmtId="0" fontId="7" fillId="0" borderId="0" xfId="5"/>
    <xf numFmtId="0" fontId="9" fillId="0" borderId="0" xfId="0" applyFont="1"/>
    <xf numFmtId="0" fontId="9" fillId="0" borderId="0" xfId="0" applyFont="1" applyAlignment="1">
      <alignment horizontal="center" vertical="center"/>
    </xf>
    <xf numFmtId="0" fontId="5" fillId="0" borderId="0" xfId="0" applyFont="1"/>
    <xf numFmtId="0" fontId="6" fillId="0" borderId="0" xfId="0" applyFont="1"/>
    <xf numFmtId="0" fontId="5" fillId="0" borderId="0" xfId="0" applyFont="1" applyAlignment="1">
      <alignment vertical="center"/>
    </xf>
    <xf numFmtId="0" fontId="5" fillId="0" borderId="0" xfId="0" applyFont="1" applyAlignment="1">
      <alignment wrapText="1"/>
    </xf>
    <xf numFmtId="0" fontId="11"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1" fillId="0" borderId="2" xfId="1" applyBorder="1" applyAlignment="1">
      <alignment horizontal="center" vertical="center" wrapText="1"/>
    </xf>
    <xf numFmtId="0" fontId="5" fillId="0" borderId="2" xfId="0" applyFont="1" applyBorder="1" applyAlignment="1">
      <alignment vertical="center"/>
    </xf>
    <xf numFmtId="0" fontId="5" fillId="0" borderId="2" xfId="0" applyFont="1" applyBorder="1" applyAlignment="1">
      <alignment vertical="center" wrapText="1"/>
    </xf>
    <xf numFmtId="0" fontId="15" fillId="6" borderId="2" xfId="0" applyFont="1" applyFill="1" applyBorder="1" applyAlignment="1">
      <alignment vertical="center"/>
    </xf>
    <xf numFmtId="0" fontId="15" fillId="6" borderId="2" xfId="0" applyFont="1" applyFill="1" applyBorder="1" applyAlignment="1">
      <alignment horizontal="left" vertical="center"/>
    </xf>
    <xf numFmtId="3" fontId="5" fillId="0" borderId="2" xfId="7" applyNumberFormat="1" applyFont="1" applyBorder="1" applyAlignment="1">
      <alignment horizontal="center" vertical="center"/>
    </xf>
    <xf numFmtId="0" fontId="8" fillId="0" borderId="2" xfId="3" applyFont="1" applyBorder="1" applyAlignment="1">
      <alignment horizontal="center" vertical="center" wrapText="1"/>
    </xf>
    <xf numFmtId="3" fontId="8" fillId="0" borderId="2" xfId="3" applyNumberFormat="1" applyFont="1" applyBorder="1" applyAlignment="1">
      <alignment horizontal="center" vertical="center" wrapText="1"/>
    </xf>
    <xf numFmtId="3" fontId="8" fillId="0" borderId="2" xfId="3" applyNumberFormat="1" applyFont="1" applyFill="1" applyBorder="1" applyAlignment="1">
      <alignment horizontal="center" vertical="center" wrapText="1"/>
    </xf>
    <xf numFmtId="165" fontId="5" fillId="0" borderId="0" xfId="0" applyNumberFormat="1" applyFont="1" applyAlignment="1">
      <alignment horizontal="center" vertical="center"/>
    </xf>
    <xf numFmtId="0" fontId="5" fillId="0" borderId="0" xfId="0" applyFont="1" applyAlignment="1">
      <alignment horizontal="center" vertical="top"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16" fillId="6" borderId="2" xfId="0" applyFont="1" applyFill="1" applyBorder="1" applyAlignment="1">
      <alignment horizontal="center" vertical="center" wrapText="1"/>
    </xf>
    <xf numFmtId="0" fontId="15" fillId="6" borderId="2" xfId="0" applyFont="1" applyFill="1" applyBorder="1" applyAlignment="1">
      <alignment horizontal="center" vertical="center"/>
    </xf>
    <xf numFmtId="0" fontId="17" fillId="0" borderId="0" xfId="0" applyFont="1"/>
    <xf numFmtId="0" fontId="5" fillId="0" borderId="2" xfId="0" applyFont="1" applyBorder="1" applyAlignment="1">
      <alignment horizontal="center" vertical="top" wrapText="1"/>
    </xf>
    <xf numFmtId="0" fontId="1" fillId="0" borderId="2" xfId="0" applyFont="1" applyBorder="1" applyAlignment="1">
      <alignment horizontal="center" vertical="center" wrapText="1"/>
    </xf>
    <xf numFmtId="0" fontId="5" fillId="0" borderId="2" xfId="0" applyFont="1" applyBorder="1"/>
    <xf numFmtId="9" fontId="5" fillId="0" borderId="0" xfId="2" applyFont="1" applyFill="1" applyBorder="1" applyAlignment="1">
      <alignment horizontal="center" vertical="center"/>
    </xf>
    <xf numFmtId="0" fontId="5" fillId="0" borderId="0" xfId="0" applyFont="1" applyAlignment="1">
      <alignment horizontal="left"/>
    </xf>
    <xf numFmtId="2" fontId="6" fillId="0" borderId="0" xfId="0" applyNumberFormat="1" applyFont="1" applyAlignment="1">
      <alignment horizontal="left" vertical="center"/>
    </xf>
    <xf numFmtId="0" fontId="15" fillId="6" borderId="30" xfId="0" applyFont="1" applyFill="1" applyBorder="1" applyAlignment="1">
      <alignment horizontal="center" vertical="center" wrapText="1"/>
    </xf>
    <xf numFmtId="0" fontId="5" fillId="10" borderId="0" xfId="0" applyFont="1" applyFill="1" applyAlignment="1">
      <alignment horizontal="center" vertical="center"/>
    </xf>
    <xf numFmtId="0" fontId="6" fillId="0" borderId="0" xfId="0" applyFont="1" applyAlignment="1">
      <alignment horizontal="left" vertical="center" wrapText="1"/>
    </xf>
    <xf numFmtId="1" fontId="5" fillId="0" borderId="0" xfId="0" applyNumberFormat="1" applyFont="1"/>
    <xf numFmtId="9" fontId="5" fillId="0" borderId="0" xfId="2" applyFont="1" applyFill="1" applyBorder="1"/>
    <xf numFmtId="9" fontId="5" fillId="0" borderId="0" xfId="0" applyNumberFormat="1" applyFont="1"/>
    <xf numFmtId="0" fontId="22" fillId="9" borderId="2" xfId="0" applyFont="1" applyFill="1" applyBorder="1" applyAlignment="1">
      <alignment horizontal="left" vertical="center" wrapText="1"/>
    </xf>
    <xf numFmtId="0" fontId="22" fillId="9" borderId="2" xfId="0" applyFont="1" applyFill="1" applyBorder="1" applyAlignment="1">
      <alignment horizontal="left" vertical="center"/>
    </xf>
    <xf numFmtId="1" fontId="20" fillId="0" borderId="20" xfId="0" applyNumberFormat="1" applyFont="1" applyBorder="1" applyAlignment="1">
      <alignment horizontal="left"/>
    </xf>
    <xf numFmtId="0" fontId="20" fillId="0" borderId="20" xfId="0" applyFont="1" applyBorder="1" applyAlignment="1">
      <alignment horizontal="left"/>
    </xf>
    <xf numFmtId="0" fontId="5" fillId="0" borderId="20" xfId="0" applyFont="1" applyBorder="1" applyAlignment="1">
      <alignment horizontal="left"/>
    </xf>
    <xf numFmtId="10" fontId="5" fillId="0" borderId="20" xfId="8" applyNumberFormat="1" applyFont="1" applyBorder="1" applyAlignment="1">
      <alignment horizontal="center"/>
    </xf>
    <xf numFmtId="10" fontId="5" fillId="0" borderId="0" xfId="8" applyNumberFormat="1" applyFont="1" applyBorder="1" applyAlignment="1">
      <alignment horizontal="center"/>
    </xf>
    <xf numFmtId="10" fontId="5" fillId="0" borderId="21" xfId="8" applyNumberFormat="1" applyFont="1" applyBorder="1" applyAlignment="1">
      <alignment horizontal="center"/>
    </xf>
    <xf numFmtId="164" fontId="5" fillId="0" borderId="0" xfId="0" applyNumberFormat="1" applyFont="1"/>
    <xf numFmtId="0" fontId="1" fillId="0" borderId="2" xfId="0" applyFont="1" applyBorder="1" applyAlignment="1">
      <alignment horizontal="center" vertical="center"/>
    </xf>
    <xf numFmtId="0" fontId="6" fillId="6" borderId="30" xfId="0" applyFont="1" applyFill="1" applyBorder="1" applyAlignment="1">
      <alignment horizontal="center" vertical="center"/>
    </xf>
    <xf numFmtId="9" fontId="5" fillId="0" borderId="0" xfId="0" applyNumberFormat="1" applyFont="1" applyAlignment="1">
      <alignment vertical="center"/>
    </xf>
    <xf numFmtId="0" fontId="6" fillId="0" borderId="0" xfId="0" applyFont="1" applyAlignment="1">
      <alignment vertical="center"/>
    </xf>
    <xf numFmtId="0" fontId="12" fillId="0" borderId="0" xfId="5" applyFont="1" applyAlignment="1">
      <alignment vertical="center"/>
    </xf>
    <xf numFmtId="0" fontId="5" fillId="4" borderId="0" xfId="0" applyFont="1" applyFill="1"/>
    <xf numFmtId="0" fontId="5" fillId="4" borderId="0" xfId="0" applyFont="1" applyFill="1" applyAlignment="1">
      <alignment vertical="center"/>
    </xf>
    <xf numFmtId="0" fontId="22" fillId="6" borderId="15" xfId="0" applyFont="1" applyFill="1" applyBorder="1" applyAlignment="1">
      <alignment horizontal="center" vertical="center" wrapText="1"/>
    </xf>
    <xf numFmtId="9" fontId="5" fillId="0" borderId="30" xfId="2" applyFont="1" applyFill="1" applyBorder="1" applyAlignment="1">
      <alignment horizontal="center" vertical="center"/>
    </xf>
    <xf numFmtId="3" fontId="5" fillId="0" borderId="2" xfId="0" applyNumberFormat="1" applyFont="1" applyBorder="1" applyAlignment="1">
      <alignment horizontal="center" vertical="center"/>
    </xf>
    <xf numFmtId="0" fontId="5" fillId="6" borderId="30" xfId="0" applyFont="1" applyFill="1" applyBorder="1" applyAlignment="1">
      <alignment horizontal="center" vertical="center"/>
    </xf>
    <xf numFmtId="2" fontId="5" fillId="0" borderId="30" xfId="0" applyNumberFormat="1" applyFont="1" applyBorder="1" applyAlignment="1">
      <alignment horizontal="center" vertical="center"/>
    </xf>
    <xf numFmtId="2" fontId="5" fillId="0" borderId="30" xfId="0" applyNumberFormat="1" applyFont="1" applyBorder="1" applyAlignment="1">
      <alignment horizontal="center" vertical="center" wrapText="1"/>
    </xf>
    <xf numFmtId="0" fontId="6" fillId="0" borderId="30" xfId="0" applyFont="1" applyBorder="1" applyAlignment="1">
      <alignment horizontal="center" vertical="center"/>
    </xf>
    <xf numFmtId="165" fontId="5" fillId="0" borderId="30" xfId="0" applyNumberFormat="1" applyFont="1" applyBorder="1" applyAlignment="1">
      <alignment horizontal="center" vertical="center"/>
    </xf>
    <xf numFmtId="0" fontId="19" fillId="0" borderId="0" xfId="0" applyFont="1" applyAlignment="1">
      <alignment horizontal="center" vertical="center"/>
    </xf>
    <xf numFmtId="0" fontId="23" fillId="4" borderId="0" xfId="0" applyFont="1" applyFill="1" applyAlignment="1">
      <alignment vertical="center" wrapText="1"/>
    </xf>
    <xf numFmtId="0" fontId="19" fillId="4" borderId="0" xfId="0" applyFont="1" applyFill="1" applyAlignment="1">
      <alignment horizontal="center" vertical="center"/>
    </xf>
    <xf numFmtId="165" fontId="19" fillId="4" borderId="0" xfId="0" applyNumberFormat="1" applyFont="1" applyFill="1" applyAlignment="1">
      <alignment horizontal="center" vertical="center"/>
    </xf>
    <xf numFmtId="3" fontId="5" fillId="0" borderId="0" xfId="0" applyNumberFormat="1" applyFont="1" applyAlignment="1">
      <alignment horizontal="left"/>
    </xf>
    <xf numFmtId="0" fontId="6" fillId="0" borderId="0" xfId="0" applyFont="1" applyAlignment="1">
      <alignment horizontal="left" vertical="center"/>
    </xf>
    <xf numFmtId="0" fontId="20" fillId="0" borderId="0" xfId="0" applyFont="1" applyAlignment="1">
      <alignment horizontal="left"/>
    </xf>
    <xf numFmtId="10" fontId="5" fillId="0" borderId="0" xfId="0" applyNumberFormat="1" applyFont="1"/>
    <xf numFmtId="0" fontId="5" fillId="0" borderId="0" xfId="12"/>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5" fillId="0" borderId="0" xfId="8" applyNumberFormat="1" applyFont="1" applyFill="1" applyBorder="1" applyAlignment="1">
      <alignment horizontal="center"/>
    </xf>
    <xf numFmtId="0" fontId="57" fillId="10" borderId="0" xfId="0" applyFont="1" applyFill="1" applyAlignment="1">
      <alignment horizontal="center" vertical="center"/>
    </xf>
    <xf numFmtId="0" fontId="58" fillId="10" borderId="0" xfId="0" applyFont="1" applyFill="1" applyAlignment="1">
      <alignment horizontal="center" vertical="center"/>
    </xf>
    <xf numFmtId="0" fontId="22" fillId="0" borderId="0" xfId="12" applyFont="1"/>
    <xf numFmtId="0" fontId="22" fillId="9" borderId="22" xfId="0" applyFont="1" applyFill="1" applyBorder="1" applyAlignment="1">
      <alignment horizontal="center" vertical="center" wrapText="1"/>
    </xf>
    <xf numFmtId="0" fontId="22" fillId="9" borderId="2" xfId="12" applyFont="1" applyFill="1" applyBorder="1" applyAlignment="1">
      <alignment horizontal="left" vertical="center" wrapText="1"/>
    </xf>
    <xf numFmtId="0" fontId="22" fillId="9" borderId="3" xfId="12" applyFont="1" applyFill="1" applyBorder="1" applyAlignment="1">
      <alignment horizontal="left" vertical="center"/>
    </xf>
    <xf numFmtId="0" fontId="22" fillId="9" borderId="28" xfId="12" applyFont="1" applyFill="1" applyBorder="1" applyAlignment="1">
      <alignment horizontal="center" vertical="center" wrapText="1"/>
    </xf>
    <xf numFmtId="0" fontId="22" fillId="9" borderId="22" xfId="12" applyFont="1" applyFill="1" applyBorder="1" applyAlignment="1">
      <alignment horizontal="center" vertical="center" wrapText="1"/>
    </xf>
    <xf numFmtId="0" fontId="22" fillId="9" borderId="29" xfId="12" applyFont="1" applyFill="1" applyBorder="1" applyAlignment="1">
      <alignment horizontal="center" vertical="center" wrapText="1"/>
    </xf>
    <xf numFmtId="0" fontId="22" fillId="9" borderId="25" xfId="12" applyFont="1" applyFill="1" applyBorder="1" applyAlignment="1">
      <alignment horizontal="center" vertical="center" wrapText="1"/>
    </xf>
    <xf numFmtId="3" fontId="5" fillId="0" borderId="27" xfId="8" applyNumberFormat="1" applyFont="1" applyBorder="1" applyAlignment="1">
      <alignment horizontal="left"/>
    </xf>
    <xf numFmtId="3" fontId="5" fillId="0" borderId="0" xfId="8" applyNumberFormat="1" applyFont="1" applyBorder="1" applyAlignment="1">
      <alignment horizontal="left"/>
    </xf>
    <xf numFmtId="3" fontId="5" fillId="0" borderId="26" xfId="8" applyNumberFormat="1" applyFont="1" applyBorder="1" applyAlignment="1">
      <alignment horizontal="left"/>
    </xf>
    <xf numFmtId="9" fontId="5" fillId="0" borderId="30" xfId="0" applyNumberFormat="1" applyFont="1" applyBorder="1" applyAlignment="1">
      <alignment horizontal="center"/>
    </xf>
    <xf numFmtId="0" fontId="6" fillId="0" borderId="0" xfId="4" applyFont="1" applyAlignment="1">
      <alignment horizontal="center"/>
    </xf>
    <xf numFmtId="9" fontId="5" fillId="0" borderId="0" xfId="0" applyNumberFormat="1" applyFont="1" applyAlignment="1">
      <alignment horizontal="center"/>
    </xf>
    <xf numFmtId="3" fontId="5" fillId="0" borderId="0" xfId="0" applyNumberFormat="1" applyFont="1" applyAlignment="1">
      <alignment horizontal="center" vertical="center"/>
    </xf>
    <xf numFmtId="165" fontId="5" fillId="0" borderId="2" xfId="0" applyNumberFormat="1" applyFont="1" applyBorder="1" applyAlignment="1">
      <alignment horizontal="center" vertical="center"/>
    </xf>
    <xf numFmtId="2" fontId="5" fillId="0" borderId="34" xfId="0" applyNumberFormat="1" applyFont="1" applyBorder="1"/>
    <xf numFmtId="0" fontId="5" fillId="0" borderId="34" xfId="0" applyFont="1" applyBorder="1"/>
    <xf numFmtId="168" fontId="19" fillId="0" borderId="0" xfId="0" applyNumberFormat="1" applyFont="1" applyAlignment="1">
      <alignment horizontal="center" vertical="center"/>
    </xf>
    <xf numFmtId="3" fontId="5" fillId="0" borderId="0" xfId="7" applyNumberFormat="1" applyFont="1" applyAlignment="1">
      <alignment horizontal="center" vertical="center"/>
    </xf>
    <xf numFmtId="0" fontId="5" fillId="6" borderId="2" xfId="0" applyFont="1" applyFill="1" applyBorder="1" applyAlignment="1">
      <alignment horizontal="center" vertical="center"/>
    </xf>
    <xf numFmtId="0" fontId="8" fillId="0" borderId="2" xfId="3" applyFont="1" applyFill="1" applyBorder="1" applyAlignment="1">
      <alignment horizontal="center" vertical="center" wrapText="1"/>
    </xf>
    <xf numFmtId="168" fontId="5" fillId="0" borderId="2" xfId="0" applyNumberFormat="1" applyFont="1" applyBorder="1" applyAlignment="1">
      <alignment horizontal="center" vertical="center"/>
    </xf>
    <xf numFmtId="9" fontId="5" fillId="0" borderId="32" xfId="2" applyFont="1" applyFill="1" applyBorder="1" applyAlignment="1">
      <alignment horizontal="center" vertical="center"/>
    </xf>
    <xf numFmtId="9" fontId="5" fillId="0" borderId="32" xfId="0" applyNumberFormat="1" applyFont="1" applyBorder="1" applyAlignment="1">
      <alignment horizontal="center"/>
    </xf>
    <xf numFmtId="0" fontId="26" fillId="0" borderId="0" xfId="0" applyFont="1"/>
    <xf numFmtId="0" fontId="27" fillId="0" borderId="0" xfId="0" quotePrefix="1" applyFont="1"/>
    <xf numFmtId="0" fontId="26" fillId="0" borderId="0" xfId="0" applyFont="1" applyAlignment="1">
      <alignment wrapText="1"/>
    </xf>
    <xf numFmtId="0" fontId="26" fillId="0" borderId="0" xfId="0" applyFont="1" applyAlignment="1">
      <alignment horizontal="center"/>
    </xf>
    <xf numFmtId="166" fontId="1" fillId="0" borderId="2" xfId="1" applyNumberFormat="1" applyBorder="1" applyAlignment="1">
      <alignment horizontal="center" vertical="center" wrapText="1"/>
    </xf>
    <xf numFmtId="0" fontId="7" fillId="0" borderId="0" xfId="5" applyAlignment="1">
      <alignment vertical="center"/>
    </xf>
    <xf numFmtId="0" fontId="5" fillId="0" borderId="0" xfId="4" applyAlignment="1">
      <alignment horizontal="center" vertical="center"/>
    </xf>
    <xf numFmtId="9" fontId="6" fillId="0" borderId="30" xfId="2" applyFont="1" applyFill="1" applyBorder="1" applyAlignment="1">
      <alignment horizontal="center" vertical="center"/>
    </xf>
    <xf numFmtId="9" fontId="5" fillId="0" borderId="0" xfId="0" applyNumberFormat="1" applyFont="1" applyAlignment="1">
      <alignment horizontal="left"/>
    </xf>
    <xf numFmtId="0" fontId="1" fillId="0" borderId="2" xfId="0" applyFont="1" applyBorder="1" applyAlignment="1">
      <alignment horizontal="left" vertical="center" wrapText="1"/>
    </xf>
    <xf numFmtId="4" fontId="5" fillId="0" borderId="2" xfId="7" applyNumberFormat="1" applyFont="1" applyBorder="1" applyAlignment="1">
      <alignment horizontal="center" vertical="center"/>
    </xf>
    <xf numFmtId="3" fontId="5" fillId="0" borderId="2" xfId="0" applyNumberFormat="1" applyFont="1" applyBorder="1" applyAlignment="1">
      <alignment horizontal="center" vertical="center" wrapText="1"/>
    </xf>
    <xf numFmtId="0" fontId="17" fillId="0" borderId="0" xfId="0" applyFont="1" applyAlignment="1">
      <alignment wrapText="1"/>
    </xf>
    <xf numFmtId="0" fontId="9" fillId="0" borderId="0" xfId="0" applyFont="1" applyAlignment="1">
      <alignment wrapText="1"/>
    </xf>
    <xf numFmtId="0" fontId="9" fillId="0" borderId="0" xfId="0" applyFont="1" applyAlignment="1">
      <alignment horizontal="center"/>
    </xf>
    <xf numFmtId="0" fontId="6" fillId="6" borderId="33" xfId="0" applyFont="1" applyFill="1" applyBorder="1" applyAlignment="1">
      <alignment horizontal="center" vertical="center" wrapText="1"/>
    </xf>
    <xf numFmtId="0" fontId="7" fillId="0" borderId="30" xfId="5" applyBorder="1" applyAlignment="1">
      <alignment horizontal="center" vertical="center"/>
    </xf>
    <xf numFmtId="0" fontId="5" fillId="0" borderId="0" xfId="0" applyFont="1" applyAlignment="1">
      <alignment horizontal="center" vertical="center" wrapText="1"/>
    </xf>
    <xf numFmtId="0" fontId="9" fillId="0" borderId="0" xfId="0" applyFont="1" applyAlignment="1">
      <alignment vertical="center"/>
    </xf>
    <xf numFmtId="0" fontId="9" fillId="0" borderId="0" xfId="0" applyFont="1" applyAlignment="1">
      <alignment vertical="center" wrapText="1"/>
    </xf>
    <xf numFmtId="0" fontId="0" fillId="0" borderId="0" xfId="0" applyAlignment="1">
      <alignment horizontal="left" vertical="center"/>
    </xf>
    <xf numFmtId="0" fontId="9" fillId="0" borderId="0" xfId="0" applyFont="1" applyAlignment="1">
      <alignment horizontal="center" vertical="center" wrapText="1"/>
    </xf>
    <xf numFmtId="0" fontId="9" fillId="11" borderId="0" xfId="0" applyFont="1" applyFill="1"/>
    <xf numFmtId="0" fontId="5" fillId="4" borderId="0" xfId="0" applyFont="1" applyFill="1" applyAlignment="1">
      <alignment horizontal="center"/>
    </xf>
    <xf numFmtId="9" fontId="5" fillId="0" borderId="49" xfId="2" applyFont="1" applyFill="1" applyBorder="1" applyAlignment="1">
      <alignment horizontal="center" vertical="center"/>
    </xf>
    <xf numFmtId="0" fontId="5" fillId="0" borderId="50" xfId="0" applyFont="1" applyBorder="1" applyAlignment="1">
      <alignment vertical="center" wrapText="1"/>
    </xf>
    <xf numFmtId="0" fontId="22" fillId="12" borderId="51" xfId="0" applyFont="1" applyFill="1" applyBorder="1" applyAlignment="1">
      <alignment horizontal="center" vertical="center" wrapText="1"/>
    </xf>
    <xf numFmtId="9" fontId="8" fillId="0" borderId="2" xfId="3" applyNumberFormat="1" applyFont="1" applyBorder="1" applyAlignment="1">
      <alignment horizontal="center" vertical="center" wrapText="1"/>
    </xf>
    <xf numFmtId="0" fontId="32" fillId="0" borderId="0" xfId="0" applyFont="1" applyAlignment="1">
      <alignment horizontal="right"/>
    </xf>
    <xf numFmtId="0" fontId="6" fillId="6" borderId="51" xfId="0" applyFont="1" applyFill="1" applyBorder="1" applyAlignment="1">
      <alignment horizontal="center" vertical="center"/>
    </xf>
    <xf numFmtId="0" fontId="20" fillId="4" borderId="0" xfId="0" applyFont="1" applyFill="1" applyAlignment="1">
      <alignment horizontal="center" vertical="center"/>
    </xf>
    <xf numFmtId="0" fontId="5" fillId="4" borderId="0" xfId="0" applyFont="1" applyFill="1" applyAlignment="1">
      <alignment vertical="center" wrapText="1"/>
    </xf>
    <xf numFmtId="9" fontId="9" fillId="0" borderId="0" xfId="2" applyFont="1" applyBorder="1"/>
    <xf numFmtId="0" fontId="35" fillId="0" borderId="0" xfId="0" applyFont="1"/>
    <xf numFmtId="0" fontId="19" fillId="0" borderId="60" xfId="0" applyFont="1" applyBorder="1" applyAlignment="1">
      <alignment horizontal="center" vertical="center"/>
    </xf>
    <xf numFmtId="2" fontId="19" fillId="0" borderId="1" xfId="0" applyNumberFormat="1" applyFont="1" applyBorder="1" applyAlignment="1">
      <alignment horizontal="center" vertical="center"/>
    </xf>
    <xf numFmtId="2" fontId="19" fillId="0" borderId="5" xfId="0" applyNumberFormat="1" applyFont="1" applyBorder="1" applyAlignment="1">
      <alignment horizontal="center" vertical="center"/>
    </xf>
    <xf numFmtId="0" fontId="19" fillId="0" borderId="14" xfId="0" applyFont="1" applyBorder="1" applyAlignment="1">
      <alignment horizontal="center" vertical="center"/>
    </xf>
    <xf numFmtId="2" fontId="19" fillId="0" borderId="2" xfId="0" applyNumberFormat="1" applyFont="1" applyBorder="1" applyAlignment="1">
      <alignment horizontal="center" vertical="center"/>
    </xf>
    <xf numFmtId="2" fontId="36" fillId="0" borderId="15" xfId="0" applyNumberFormat="1" applyFont="1" applyBorder="1" applyAlignment="1">
      <alignment horizontal="center" vertical="center"/>
    </xf>
    <xf numFmtId="2" fontId="36" fillId="0" borderId="2" xfId="0" applyNumberFormat="1" applyFont="1" applyBorder="1" applyAlignment="1">
      <alignment horizontal="center" vertical="center"/>
    </xf>
    <xf numFmtId="2" fontId="19" fillId="0" borderId="7" xfId="0" applyNumberFormat="1" applyFont="1" applyBorder="1" applyAlignment="1">
      <alignment horizontal="center" vertical="center"/>
    </xf>
    <xf numFmtId="0" fontId="19" fillId="0" borderId="18" xfId="0" applyFont="1" applyBorder="1" applyAlignment="1">
      <alignment horizontal="center" vertical="center"/>
    </xf>
    <xf numFmtId="2" fontId="19" fillId="0" borderId="15" xfId="0" applyNumberFormat="1" applyFont="1" applyBorder="1" applyAlignment="1">
      <alignment horizontal="center" vertical="center"/>
    </xf>
    <xf numFmtId="2" fontId="19" fillId="0" borderId="67" xfId="0" applyNumberFormat="1" applyFont="1" applyBorder="1" applyAlignment="1">
      <alignment horizontal="center" vertical="center"/>
    </xf>
    <xf numFmtId="0" fontId="19" fillId="0" borderId="69" xfId="0" applyFont="1" applyBorder="1" applyAlignment="1">
      <alignment horizontal="center" vertical="center"/>
    </xf>
    <xf numFmtId="0" fontId="19" fillId="0" borderId="70" xfId="0" applyFont="1" applyBorder="1" applyAlignment="1">
      <alignment horizontal="center" vertical="center"/>
    </xf>
    <xf numFmtId="0" fontId="19" fillId="0" borderId="71" xfId="0" applyFont="1" applyBorder="1" applyAlignment="1">
      <alignment horizontal="center" vertical="center"/>
    </xf>
    <xf numFmtId="2" fontId="19" fillId="0" borderId="44" xfId="0" applyNumberFormat="1" applyFont="1" applyBorder="1" applyAlignment="1">
      <alignment horizontal="center" vertical="center"/>
    </xf>
    <xf numFmtId="2" fontId="19" fillId="0" borderId="9" xfId="0" applyNumberFormat="1" applyFont="1" applyBorder="1" applyAlignment="1">
      <alignment horizontal="center" vertical="center"/>
    </xf>
    <xf numFmtId="2" fontId="36" fillId="0" borderId="73" xfId="0" applyNumberFormat="1" applyFont="1" applyBorder="1" applyAlignment="1">
      <alignment horizontal="center" vertical="center"/>
    </xf>
    <xf numFmtId="2" fontId="36" fillId="0" borderId="74" xfId="0" applyNumberFormat="1" applyFont="1" applyBorder="1" applyAlignment="1">
      <alignment horizontal="center" vertical="center"/>
    </xf>
    <xf numFmtId="2" fontId="36" fillId="0" borderId="49" xfId="0" applyNumberFormat="1" applyFont="1" applyBorder="1" applyAlignment="1">
      <alignment horizontal="center" vertical="center"/>
    </xf>
    <xf numFmtId="2" fontId="36" fillId="0" borderId="75" xfId="0" applyNumberFormat="1" applyFont="1" applyBorder="1" applyAlignment="1">
      <alignment horizontal="center" vertical="center"/>
    </xf>
    <xf numFmtId="0" fontId="19" fillId="0" borderId="78" xfId="0" applyFont="1" applyBorder="1" applyAlignment="1">
      <alignment horizontal="center" vertical="center"/>
    </xf>
    <xf numFmtId="2" fontId="36" fillId="0" borderId="79" xfId="0" applyNumberFormat="1" applyFont="1" applyBorder="1" applyAlignment="1">
      <alignment horizontal="center" vertical="center"/>
    </xf>
    <xf numFmtId="2" fontId="36" fillId="0" borderId="80" xfId="0" applyNumberFormat="1" applyFont="1" applyBorder="1" applyAlignment="1">
      <alignment horizontal="center" vertical="center"/>
    </xf>
    <xf numFmtId="0" fontId="19" fillId="0" borderId="81" xfId="0" applyFont="1" applyBorder="1" applyAlignment="1">
      <alignment horizontal="center" vertical="center"/>
    </xf>
    <xf numFmtId="2" fontId="19" fillId="0" borderId="22" xfId="0" applyNumberFormat="1" applyFont="1" applyBorder="1" applyAlignment="1">
      <alignment horizontal="center" vertical="center"/>
    </xf>
    <xf numFmtId="2" fontId="19" fillId="0" borderId="29" xfId="0" applyNumberFormat="1" applyFont="1" applyBorder="1" applyAlignment="1">
      <alignment horizontal="center" vertical="center"/>
    </xf>
    <xf numFmtId="1" fontId="19" fillId="0" borderId="2" xfId="0" applyNumberFormat="1" applyFont="1" applyBorder="1" applyAlignment="1">
      <alignment horizontal="center" vertical="center"/>
    </xf>
    <xf numFmtId="1" fontId="19" fillId="0" borderId="1" xfId="0" applyNumberFormat="1" applyFont="1" applyBorder="1" applyAlignment="1">
      <alignment horizontal="center" vertical="center"/>
    </xf>
    <xf numFmtId="1" fontId="19" fillId="0" borderId="5" xfId="0" applyNumberFormat="1" applyFont="1" applyBorder="1" applyAlignment="1">
      <alignment horizontal="center" vertical="center"/>
    </xf>
    <xf numFmtId="1" fontId="19" fillId="0" borderId="7" xfId="0" applyNumberFormat="1" applyFont="1" applyBorder="1" applyAlignment="1">
      <alignment horizontal="center" vertical="center"/>
    </xf>
    <xf numFmtId="1" fontId="19" fillId="0" borderId="44" xfId="0" applyNumberFormat="1" applyFont="1" applyBorder="1" applyAlignment="1">
      <alignment horizontal="center" vertical="center"/>
    </xf>
    <xf numFmtId="1" fontId="19" fillId="0" borderId="9" xfId="0" applyNumberFormat="1" applyFont="1" applyBorder="1" applyAlignment="1">
      <alignment horizontal="center" vertical="center"/>
    </xf>
    <xf numFmtId="1" fontId="19" fillId="0" borderId="22" xfId="0" applyNumberFormat="1" applyFont="1" applyBorder="1" applyAlignment="1">
      <alignment horizontal="center" vertical="center"/>
    </xf>
    <xf numFmtId="1" fontId="19" fillId="0" borderId="29" xfId="0" applyNumberFormat="1" applyFont="1" applyBorder="1" applyAlignment="1">
      <alignment horizontal="center" vertical="center"/>
    </xf>
    <xf numFmtId="1" fontId="19" fillId="0" borderId="68" xfId="0" applyNumberFormat="1" applyFont="1" applyBorder="1" applyAlignment="1">
      <alignment horizontal="center" vertical="center"/>
    </xf>
    <xf numFmtId="1" fontId="19" fillId="0" borderId="97" xfId="0" applyNumberFormat="1" applyFont="1" applyBorder="1" applyAlignment="1">
      <alignment horizontal="center" vertical="center"/>
    </xf>
    <xf numFmtId="1" fontId="19" fillId="0" borderId="51" xfId="0" applyNumberFormat="1" applyFont="1" applyBorder="1" applyAlignment="1">
      <alignment horizontal="center" vertical="center"/>
    </xf>
    <xf numFmtId="1" fontId="19" fillId="0" borderId="83" xfId="0" applyNumberFormat="1" applyFont="1" applyBorder="1" applyAlignment="1">
      <alignment horizontal="center" vertical="center"/>
    </xf>
    <xf numFmtId="1" fontId="19" fillId="0" borderId="76" xfId="0" applyNumberFormat="1" applyFont="1" applyBorder="1" applyAlignment="1">
      <alignment horizontal="center" vertical="center"/>
    </xf>
    <xf numFmtId="1" fontId="19" fillId="0" borderId="84" xfId="0" applyNumberFormat="1" applyFont="1" applyBorder="1" applyAlignment="1">
      <alignment horizontal="center" vertical="center"/>
    </xf>
    <xf numFmtId="0" fontId="19" fillId="0" borderId="102" xfId="0" applyFont="1" applyBorder="1" applyAlignment="1">
      <alignment horizontal="center" vertical="center"/>
    </xf>
    <xf numFmtId="0" fontId="19" fillId="0" borderId="105" xfId="0" applyFont="1" applyBorder="1" applyAlignment="1">
      <alignment horizontal="center" vertical="center"/>
    </xf>
    <xf numFmtId="0" fontId="1" fillId="0" borderId="2" xfId="3" applyFont="1" applyFill="1" applyBorder="1" applyAlignment="1">
      <alignment horizontal="center" vertical="center" wrapText="1"/>
    </xf>
    <xf numFmtId="0" fontId="22" fillId="6" borderId="15" xfId="0" applyFont="1" applyFill="1" applyBorder="1" applyAlignment="1">
      <alignment horizontal="left" vertical="center" wrapText="1"/>
    </xf>
    <xf numFmtId="0" fontId="22" fillId="6" borderId="51" xfId="0" applyFont="1" applyFill="1" applyBorder="1" applyAlignment="1">
      <alignment horizontal="center" vertical="center" wrapText="1"/>
    </xf>
    <xf numFmtId="0" fontId="5" fillId="0" borderId="2" xfId="0" applyFont="1" applyBorder="1" applyAlignment="1">
      <alignment horizontal="right" vertical="center"/>
    </xf>
    <xf numFmtId="171" fontId="5" fillId="0" borderId="2" xfId="0" applyNumberFormat="1" applyFont="1" applyBorder="1" applyAlignment="1">
      <alignment vertical="center"/>
    </xf>
    <xf numFmtId="169" fontId="5" fillId="0" borderId="2" xfId="6" applyNumberFormat="1" applyFont="1" applyBorder="1" applyAlignment="1">
      <alignment horizontal="right" vertical="center" wrapText="1"/>
    </xf>
    <xf numFmtId="0" fontId="5" fillId="0" borderId="14" xfId="0" applyFont="1" applyBorder="1" applyAlignment="1">
      <alignment vertical="center" wrapText="1"/>
    </xf>
    <xf numFmtId="0" fontId="5" fillId="0" borderId="14" xfId="0" applyFont="1" applyBorder="1" applyAlignment="1">
      <alignment horizontal="right" vertical="center"/>
    </xf>
    <xf numFmtId="169" fontId="5" fillId="0" borderId="14" xfId="6" applyNumberFormat="1" applyFont="1" applyBorder="1" applyAlignment="1">
      <alignment horizontal="right" vertical="center"/>
    </xf>
    <xf numFmtId="171" fontId="1" fillId="0" borderId="2" xfId="0" applyNumberFormat="1" applyFont="1" applyBorder="1" applyAlignment="1">
      <alignment vertical="center"/>
    </xf>
    <xf numFmtId="171" fontId="1" fillId="7" borderId="14" xfId="0" applyNumberFormat="1" applyFont="1" applyFill="1" applyBorder="1" applyAlignment="1">
      <alignment vertical="center"/>
    </xf>
    <xf numFmtId="0" fontId="13" fillId="0" borderId="0" xfId="0" applyFont="1"/>
    <xf numFmtId="0" fontId="21" fillId="0" borderId="0" xfId="0" applyFont="1"/>
    <xf numFmtId="0" fontId="18" fillId="0" borderId="0" xfId="0" applyFont="1" applyAlignment="1">
      <alignment vertical="center" wrapText="1"/>
    </xf>
    <xf numFmtId="0" fontId="22" fillId="12" borderId="51" xfId="0" applyFont="1" applyFill="1" applyBorder="1" applyAlignment="1">
      <alignment horizontal="center" vertical="center"/>
    </xf>
    <xf numFmtId="0" fontId="6" fillId="6" borderId="51" xfId="0" applyFont="1" applyFill="1" applyBorder="1" applyAlignment="1">
      <alignment horizontal="center" vertical="center" wrapText="1"/>
    </xf>
    <xf numFmtId="3" fontId="5" fillId="0" borderId="51" xfId="0" applyNumberFormat="1" applyFont="1" applyBorder="1" applyAlignment="1">
      <alignment horizontal="center" vertical="center"/>
    </xf>
    <xf numFmtId="165" fontId="5" fillId="0" borderId="51" xfId="0" applyNumberFormat="1" applyFont="1" applyBorder="1" applyAlignment="1">
      <alignment horizontal="center" vertical="center" wrapText="1"/>
    </xf>
    <xf numFmtId="165" fontId="5" fillId="0" borderId="51" xfId="0" applyNumberFormat="1" applyFont="1" applyBorder="1" applyAlignment="1">
      <alignment horizontal="center" vertical="center"/>
    </xf>
    <xf numFmtId="169" fontId="5" fillId="0" borderId="51" xfId="6" applyNumberFormat="1" applyFont="1" applyBorder="1" applyAlignment="1">
      <alignment horizontal="center" vertical="center"/>
    </xf>
    <xf numFmtId="169" fontId="8" fillId="0" borderId="2" xfId="6" applyNumberFormat="1" applyFont="1" applyFill="1" applyBorder="1" applyAlignment="1">
      <alignment horizontal="center" vertical="center" wrapText="1"/>
    </xf>
    <xf numFmtId="169" fontId="5" fillId="0" borderId="2" xfId="6" applyNumberFormat="1" applyFont="1" applyBorder="1" applyAlignment="1">
      <alignment horizontal="left" vertical="center" wrapText="1"/>
    </xf>
    <xf numFmtId="169" fontId="5" fillId="0" borderId="2" xfId="6" applyNumberFormat="1" applyFont="1" applyBorder="1" applyAlignment="1">
      <alignment horizontal="left" vertical="center"/>
    </xf>
    <xf numFmtId="43" fontId="5" fillId="0" borderId="2" xfId="6" applyFont="1" applyFill="1" applyBorder="1"/>
    <xf numFmtId="43" fontId="5" fillId="0" borderId="2" xfId="6" applyFont="1" applyBorder="1"/>
    <xf numFmtId="2" fontId="1" fillId="0" borderId="2" xfId="0" applyNumberFormat="1" applyFont="1" applyBorder="1" applyAlignment="1">
      <alignment horizontal="center" vertical="center" wrapText="1"/>
    </xf>
    <xf numFmtId="43" fontId="5" fillId="0" borderId="49" xfId="0" applyNumberFormat="1" applyFont="1" applyBorder="1"/>
    <xf numFmtId="0" fontId="15" fillId="12" borderId="2" xfId="0" applyFont="1" applyFill="1" applyBorder="1" applyAlignment="1">
      <alignment horizontal="center" vertical="center" wrapText="1"/>
    </xf>
    <xf numFmtId="169" fontId="5" fillId="0" borderId="2" xfId="6" applyNumberFormat="1" applyFont="1" applyBorder="1" applyAlignment="1">
      <alignment vertical="center"/>
    </xf>
    <xf numFmtId="0" fontId="17" fillId="0" borderId="2" xfId="0" applyFont="1" applyBorder="1"/>
    <xf numFmtId="1" fontId="5" fillId="0" borderId="51" xfId="0" applyNumberFormat="1" applyFont="1" applyBorder="1" applyAlignment="1">
      <alignment horizontal="center" vertical="center"/>
    </xf>
    <xf numFmtId="2" fontId="19" fillId="0" borderId="108" xfId="0" applyNumberFormat="1" applyFont="1" applyBorder="1" applyAlignment="1">
      <alignment horizontal="center" vertical="center"/>
    </xf>
    <xf numFmtId="1" fontId="19" fillId="0" borderId="54" xfId="0" applyNumberFormat="1" applyFont="1" applyBorder="1" applyAlignment="1">
      <alignment horizontal="center" vertical="center"/>
    </xf>
    <xf numFmtId="1" fontId="19" fillId="0" borderId="112" xfId="0" applyNumberFormat="1" applyFont="1" applyBorder="1" applyAlignment="1">
      <alignment horizontal="center" vertical="center"/>
    </xf>
    <xf numFmtId="1" fontId="19" fillId="0" borderId="58" xfId="0" applyNumberFormat="1" applyFont="1" applyBorder="1" applyAlignment="1">
      <alignment horizontal="center" vertical="center"/>
    </xf>
    <xf numFmtId="1" fontId="19" fillId="0" borderId="59" xfId="0" applyNumberFormat="1" applyFont="1" applyBorder="1" applyAlignment="1">
      <alignment horizontal="center" vertical="center"/>
    </xf>
    <xf numFmtId="1" fontId="19" fillId="0" borderId="63" xfId="0" applyNumberFormat="1" applyFont="1" applyBorder="1" applyAlignment="1">
      <alignment horizontal="center" vertical="center"/>
    </xf>
    <xf numFmtId="1" fontId="19" fillId="0" borderId="103" xfId="0" applyNumberFormat="1" applyFont="1" applyBorder="1" applyAlignment="1">
      <alignment horizontal="center" vertical="center"/>
    </xf>
    <xf numFmtId="1" fontId="19" fillId="0" borderId="106" xfId="0" applyNumberFormat="1" applyFont="1" applyBorder="1" applyAlignment="1">
      <alignment horizontal="center" vertical="center"/>
    </xf>
    <xf numFmtId="0" fontId="22" fillId="12" borderId="113" xfId="0" applyFont="1" applyFill="1" applyBorder="1" applyAlignment="1">
      <alignment horizontal="center" vertical="center" wrapText="1"/>
    </xf>
    <xf numFmtId="0" fontId="15" fillId="15" borderId="115" xfId="0" applyFont="1" applyFill="1" applyBorder="1" applyAlignment="1">
      <alignment horizontal="center" vertical="center" wrapText="1"/>
    </xf>
    <xf numFmtId="0" fontId="15" fillId="15" borderId="114" xfId="0" applyFont="1" applyFill="1" applyBorder="1" applyAlignment="1">
      <alignment horizontal="center" vertical="center" wrapText="1"/>
    </xf>
    <xf numFmtId="2" fontId="5" fillId="0" borderId="38" xfId="0" applyNumberFormat="1" applyFont="1" applyBorder="1"/>
    <xf numFmtId="0" fontId="5" fillId="0" borderId="38" xfId="4" applyBorder="1" applyAlignment="1">
      <alignment horizontal="center" vertical="center"/>
    </xf>
    <xf numFmtId="169" fontId="5" fillId="0" borderId="38" xfId="6" applyNumberFormat="1" applyFont="1" applyBorder="1" applyAlignment="1">
      <alignment horizontal="center" vertical="center"/>
    </xf>
    <xf numFmtId="2" fontId="5" fillId="0" borderId="38" xfId="0" applyNumberFormat="1" applyFont="1" applyBorder="1" applyAlignment="1">
      <alignment horizontal="center" vertical="center"/>
    </xf>
    <xf numFmtId="165" fontId="37" fillId="0" borderId="122" xfId="0" applyNumberFormat="1" applyFont="1" applyBorder="1"/>
    <xf numFmtId="0" fontId="5" fillId="0" borderId="118" xfId="0" applyFont="1" applyBorder="1"/>
    <xf numFmtId="2" fontId="5" fillId="0" borderId="122" xfId="0" applyNumberFormat="1" applyFont="1" applyBorder="1"/>
    <xf numFmtId="0" fontId="22" fillId="6" borderId="123" xfId="0" applyFont="1" applyFill="1" applyBorder="1" applyAlignment="1">
      <alignment horizontal="center" vertical="center"/>
    </xf>
    <xf numFmtId="0" fontId="15" fillId="6" borderId="124" xfId="0" applyFont="1" applyFill="1" applyBorder="1" applyAlignment="1">
      <alignment horizontal="center" vertical="center" wrapText="1"/>
    </xf>
    <xf numFmtId="0" fontId="6" fillId="16" borderId="125" xfId="0" applyFont="1" applyFill="1" applyBorder="1" applyAlignment="1">
      <alignment horizontal="center" vertical="center" wrapText="1"/>
    </xf>
    <xf numFmtId="0" fontId="6" fillId="16" borderId="126" xfId="0" applyFont="1" applyFill="1" applyBorder="1" applyAlignment="1">
      <alignment horizontal="center" vertical="center" wrapText="1"/>
    </xf>
    <xf numFmtId="0" fontId="6" fillId="6" borderId="116" xfId="0" applyFont="1" applyFill="1" applyBorder="1" applyAlignment="1">
      <alignment horizontal="center" vertical="center" wrapText="1"/>
    </xf>
    <xf numFmtId="2" fontId="5" fillId="0" borderId="118" xfId="0" applyNumberFormat="1" applyFont="1" applyBorder="1"/>
    <xf numFmtId="0" fontId="5" fillId="0" borderId="121" xfId="4" applyBorder="1" applyAlignment="1">
      <alignment horizontal="center" vertical="center"/>
    </xf>
    <xf numFmtId="169" fontId="5" fillId="0" borderId="121" xfId="6" applyNumberFormat="1" applyFont="1" applyBorder="1" applyAlignment="1">
      <alignment horizontal="center" vertical="center"/>
    </xf>
    <xf numFmtId="2" fontId="5" fillId="0" borderId="121" xfId="0" applyNumberFormat="1" applyFont="1" applyBorder="1" applyAlignment="1">
      <alignment horizontal="center" vertical="center"/>
    </xf>
    <xf numFmtId="2" fontId="5" fillId="0" borderId="121" xfId="0" applyNumberFormat="1" applyFont="1" applyBorder="1"/>
    <xf numFmtId="2" fontId="5" fillId="0" borderId="129" xfId="0" applyNumberFormat="1" applyFont="1" applyBorder="1"/>
    <xf numFmtId="2" fontId="5" fillId="0" borderId="130" xfId="0" applyNumberFormat="1" applyFont="1" applyBorder="1"/>
    <xf numFmtId="0" fontId="20" fillId="0" borderId="14" xfId="0" applyFont="1" applyBorder="1"/>
    <xf numFmtId="0" fontId="20" fillId="0" borderId="25" xfId="0" applyFont="1" applyBorder="1"/>
    <xf numFmtId="0" fontId="37" fillId="0" borderId="38" xfId="0" applyFont="1" applyBorder="1"/>
    <xf numFmtId="0" fontId="20" fillId="0" borderId="13" xfId="0" applyFont="1" applyBorder="1"/>
    <xf numFmtId="0" fontId="20" fillId="0" borderId="24" xfId="0" applyFont="1" applyBorder="1"/>
    <xf numFmtId="0" fontId="15" fillId="15" borderId="131" xfId="0" applyFont="1" applyFill="1" applyBorder="1" applyAlignment="1">
      <alignment horizontal="center" vertical="center" wrapText="1"/>
    </xf>
    <xf numFmtId="0" fontId="15" fillId="15" borderId="132" xfId="0" applyFont="1" applyFill="1" applyBorder="1" applyAlignment="1">
      <alignment horizontal="center" vertical="center" wrapText="1"/>
    </xf>
    <xf numFmtId="0" fontId="20" fillId="0" borderId="120" xfId="0" applyFont="1" applyBorder="1"/>
    <xf numFmtId="0" fontId="20" fillId="0" borderId="133" xfId="0" applyFont="1" applyBorder="1"/>
    <xf numFmtId="0" fontId="37" fillId="0" borderId="121" xfId="0" applyFont="1" applyBorder="1"/>
    <xf numFmtId="165" fontId="37" fillId="0" borderId="129" xfId="0" applyNumberFormat="1" applyFont="1" applyBorder="1"/>
    <xf numFmtId="0" fontId="15" fillId="12" borderId="134" xfId="0" applyFont="1" applyFill="1" applyBorder="1" applyAlignment="1">
      <alignment horizontal="center" vertical="center" wrapText="1"/>
    </xf>
    <xf numFmtId="0" fontId="20" fillId="0" borderId="24" xfId="0" applyFont="1" applyBorder="1" applyAlignment="1">
      <alignment horizontal="center" vertical="center"/>
    </xf>
    <xf numFmtId="0" fontId="20" fillId="0" borderId="133" xfId="0" applyFont="1" applyBorder="1" applyAlignment="1">
      <alignment horizontal="center" vertical="center"/>
    </xf>
    <xf numFmtId="165" fontId="37" fillId="0" borderId="0" xfId="0" applyNumberFormat="1" applyFont="1"/>
    <xf numFmtId="167" fontId="9" fillId="0" borderId="0" xfId="0" applyNumberFormat="1" applyFont="1"/>
    <xf numFmtId="2" fontId="9" fillId="0" borderId="0" xfId="0" applyNumberFormat="1" applyFont="1"/>
    <xf numFmtId="168" fontId="9" fillId="0" borderId="0" xfId="0" applyNumberFormat="1" applyFont="1"/>
    <xf numFmtId="1" fontId="19" fillId="0" borderId="15" xfId="0" applyNumberFormat="1" applyFont="1" applyBorder="1" applyAlignment="1">
      <alignment horizontal="center" vertical="center"/>
    </xf>
    <xf numFmtId="1" fontId="19" fillId="0" borderId="67" xfId="0" applyNumberFormat="1" applyFont="1" applyBorder="1" applyAlignment="1">
      <alignment horizontal="center" vertical="center"/>
    </xf>
    <xf numFmtId="0" fontId="15" fillId="15" borderId="113" xfId="0" applyFont="1" applyFill="1" applyBorder="1" applyAlignment="1">
      <alignment horizontal="center" vertical="center" wrapText="1"/>
    </xf>
    <xf numFmtId="0" fontId="20" fillId="0" borderId="139" xfId="0" applyFont="1" applyBorder="1"/>
    <xf numFmtId="0" fontId="20" fillId="0" borderId="140" xfId="0" applyFont="1" applyBorder="1"/>
    <xf numFmtId="0" fontId="20" fillId="0" borderId="119" xfId="0" applyFont="1" applyBorder="1"/>
    <xf numFmtId="0" fontId="15" fillId="15" borderId="141" xfId="0" applyFont="1" applyFill="1" applyBorder="1" applyAlignment="1">
      <alignment horizontal="center" vertical="center" wrapText="1"/>
    </xf>
    <xf numFmtId="0" fontId="37" fillId="0" borderId="122" xfId="0" applyFont="1" applyBorder="1"/>
    <xf numFmtId="0" fontId="15" fillId="0" borderId="39" xfId="0" applyFont="1" applyBorder="1" applyAlignment="1">
      <alignment horizontal="center" vertical="center" wrapText="1"/>
    </xf>
    <xf numFmtId="0" fontId="15" fillId="0" borderId="142" xfId="0" applyFont="1" applyBorder="1" applyAlignment="1">
      <alignment horizontal="center" vertical="center" wrapText="1"/>
    </xf>
    <xf numFmtId="0" fontId="6" fillId="0" borderId="109" xfId="0" applyFont="1" applyBorder="1" applyAlignment="1">
      <alignment horizontal="center" vertical="center" wrapText="1"/>
    </xf>
    <xf numFmtId="165" fontId="37" fillId="0" borderId="40" xfId="0" applyNumberFormat="1" applyFont="1" applyBorder="1"/>
    <xf numFmtId="165" fontId="5" fillId="0" borderId="41" xfId="0" applyNumberFormat="1" applyFont="1" applyBorder="1"/>
    <xf numFmtId="165" fontId="37" fillId="0" borderId="42" xfId="0" applyNumberFormat="1" applyFont="1" applyBorder="1"/>
    <xf numFmtId="165" fontId="37" fillId="0" borderId="143" xfId="0" applyNumberFormat="1" applyFont="1" applyBorder="1"/>
    <xf numFmtId="0" fontId="5" fillId="0" borderId="144" xfId="0" applyFont="1" applyBorder="1"/>
    <xf numFmtId="165" fontId="5" fillId="0" borderId="43" xfId="0" applyNumberFormat="1" applyFont="1" applyBorder="1"/>
    <xf numFmtId="0" fontId="24" fillId="0" borderId="102" xfId="0" applyFont="1" applyBorder="1" applyAlignment="1">
      <alignment horizontal="center" vertical="center"/>
    </xf>
    <xf numFmtId="1" fontId="24" fillId="0" borderId="58" xfId="0" applyNumberFormat="1" applyFont="1" applyBorder="1" applyAlignment="1">
      <alignment horizontal="center" vertical="center"/>
    </xf>
    <xf numFmtId="1" fontId="24" fillId="0" borderId="59" xfId="0" applyNumberFormat="1" applyFont="1" applyBorder="1" applyAlignment="1">
      <alignment horizontal="center" vertical="center"/>
    </xf>
    <xf numFmtId="0" fontId="24" fillId="0" borderId="70" xfId="0" applyFont="1" applyBorder="1" applyAlignment="1">
      <alignment horizontal="center" vertical="center"/>
    </xf>
    <xf numFmtId="1" fontId="24" fillId="0" borderId="51" xfId="0" applyNumberFormat="1" applyFont="1" applyBorder="1" applyAlignment="1">
      <alignment horizontal="center" vertical="center"/>
    </xf>
    <xf numFmtId="1" fontId="24" fillId="0" borderId="63" xfId="0" applyNumberFormat="1" applyFont="1" applyBorder="1" applyAlignment="1">
      <alignment horizontal="center" vertical="center"/>
    </xf>
    <xf numFmtId="0" fontId="24" fillId="0" borderId="105" xfId="0" applyFont="1" applyBorder="1" applyAlignment="1">
      <alignment horizontal="center" vertical="center"/>
    </xf>
    <xf numFmtId="1" fontId="24" fillId="0" borderId="103" xfId="0" applyNumberFormat="1" applyFont="1" applyBorder="1" applyAlignment="1">
      <alignment horizontal="center" vertical="center"/>
    </xf>
    <xf numFmtId="1" fontId="24" fillId="0" borderId="106" xfId="0" applyNumberFormat="1" applyFont="1" applyBorder="1" applyAlignment="1">
      <alignment horizontal="center" vertical="center"/>
    </xf>
    <xf numFmtId="0" fontId="24" fillId="0" borderId="81" xfId="0" applyFont="1" applyBorder="1" applyAlignment="1">
      <alignment horizontal="center" vertical="center"/>
    </xf>
    <xf numFmtId="1" fontId="24" fillId="0" borderId="55" xfId="0" applyNumberFormat="1" applyFont="1" applyBorder="1" applyAlignment="1">
      <alignment horizontal="center" vertical="center"/>
    </xf>
    <xf numFmtId="1" fontId="24" fillId="0" borderId="82" xfId="0" applyNumberFormat="1" applyFont="1" applyBorder="1" applyAlignment="1">
      <alignment horizontal="center" vertical="center"/>
    </xf>
    <xf numFmtId="1" fontId="24" fillId="0" borderId="83" xfId="0" applyNumberFormat="1" applyFont="1" applyBorder="1" applyAlignment="1">
      <alignment horizontal="center" vertical="center"/>
    </xf>
    <xf numFmtId="0" fontId="24" fillId="0" borderId="78" xfId="0" applyFont="1" applyBorder="1" applyAlignment="1">
      <alignment horizontal="center" vertical="center"/>
    </xf>
    <xf numFmtId="1" fontId="24" fillId="0" borderId="76" xfId="0" applyNumberFormat="1" applyFont="1" applyBorder="1" applyAlignment="1">
      <alignment horizontal="center" vertical="center"/>
    </xf>
    <xf numFmtId="1" fontId="24" fillId="0" borderId="84" xfId="0" applyNumberFormat="1" applyFont="1" applyBorder="1" applyAlignment="1">
      <alignment horizontal="center" vertical="center"/>
    </xf>
    <xf numFmtId="0" fontId="17" fillId="0" borderId="2" xfId="3" applyFont="1" applyBorder="1" applyAlignment="1">
      <alignment horizontal="center" vertical="center" wrapText="1"/>
    </xf>
    <xf numFmtId="0" fontId="5" fillId="0" borderId="38" xfId="0" applyFont="1" applyBorder="1"/>
    <xf numFmtId="170" fontId="5" fillId="0" borderId="38" xfId="0" applyNumberFormat="1" applyFont="1" applyBorder="1"/>
    <xf numFmtId="3" fontId="5" fillId="0" borderId="38" xfId="0" applyNumberFormat="1" applyFont="1" applyBorder="1"/>
    <xf numFmtId="10" fontId="34" fillId="0" borderId="38" xfId="2" applyNumberFormat="1" applyFont="1" applyBorder="1" applyAlignment="1">
      <alignment horizontal="left" vertical="center" wrapText="1"/>
    </xf>
    <xf numFmtId="0" fontId="17" fillId="0" borderId="38" xfId="0" applyFont="1" applyBorder="1"/>
    <xf numFmtId="0" fontId="16" fillId="6" borderId="3" xfId="0" applyFont="1" applyFill="1" applyBorder="1" applyAlignment="1">
      <alignment horizontal="center" vertical="center" wrapText="1"/>
    </xf>
    <xf numFmtId="1" fontId="1" fillId="0" borderId="3" xfId="7" applyNumberFormat="1" applyFont="1" applyBorder="1" applyAlignment="1">
      <alignment horizontal="center" vertical="center"/>
    </xf>
    <xf numFmtId="1" fontId="34" fillId="0" borderId="3" xfId="7" applyNumberFormat="1" applyFont="1" applyBorder="1" applyAlignment="1">
      <alignment horizontal="center" vertical="center"/>
    </xf>
    <xf numFmtId="1" fontId="1" fillId="0" borderId="3" xfId="7" quotePrefix="1" applyNumberFormat="1" applyFont="1" applyBorder="1" applyAlignment="1">
      <alignment horizontal="center" vertical="center"/>
    </xf>
    <xf numFmtId="1" fontId="5" fillId="0" borderId="3" xfId="7" quotePrefix="1" applyNumberFormat="1" applyFont="1" applyBorder="1" applyAlignment="1">
      <alignment horizontal="center" vertical="center"/>
    </xf>
    <xf numFmtId="0" fontId="38" fillId="0" borderId="0" xfId="0" applyFont="1"/>
    <xf numFmtId="0" fontId="22" fillId="0" borderId="0" xfId="0" applyFont="1" applyAlignment="1">
      <alignment vertical="center"/>
    </xf>
    <xf numFmtId="10" fontId="20" fillId="0" borderId="0" xfId="0" applyNumberFormat="1" applyFont="1" applyAlignment="1">
      <alignment vertical="center"/>
    </xf>
    <xf numFmtId="10" fontId="20" fillId="0" borderId="0" xfId="0" applyNumberFormat="1" applyFont="1" applyAlignment="1">
      <alignment horizontal="center" vertical="center"/>
    </xf>
    <xf numFmtId="10" fontId="39" fillId="0" borderId="0" xfId="0" quotePrefix="1" applyNumberFormat="1" applyFont="1" applyAlignment="1">
      <alignment vertical="center"/>
    </xf>
    <xf numFmtId="0" fontId="22" fillId="6" borderId="38" xfId="0" applyFont="1" applyFill="1" applyBorder="1" applyAlignment="1">
      <alignment horizontal="center" vertical="center"/>
    </xf>
    <xf numFmtId="0" fontId="11" fillId="0" borderId="0" xfId="0" quotePrefix="1" applyFont="1"/>
    <xf numFmtId="0" fontId="17" fillId="0" borderId="2" xfId="0" applyFont="1" applyBorder="1" applyAlignment="1">
      <alignment horizontal="center" vertical="center"/>
    </xf>
    <xf numFmtId="0" fontId="17" fillId="0" borderId="2" xfId="0" applyFont="1" applyBorder="1" applyAlignment="1">
      <alignment horizontal="center" vertical="center" wrapText="1"/>
    </xf>
    <xf numFmtId="168" fontId="5" fillId="0" borderId="38" xfId="0" applyNumberFormat="1" applyFont="1" applyBorder="1" applyAlignment="1">
      <alignment horizontal="center" vertical="center"/>
    </xf>
    <xf numFmtId="168" fontId="5" fillId="0" borderId="15" xfId="0" applyNumberFormat="1" applyFont="1" applyBorder="1" applyAlignment="1">
      <alignment horizontal="center" vertical="center"/>
    </xf>
    <xf numFmtId="0" fontId="5" fillId="0" borderId="14" xfId="0" applyFont="1" applyBorder="1" applyAlignment="1">
      <alignment horizontal="center" vertical="center"/>
    </xf>
    <xf numFmtId="0" fontId="5" fillId="0" borderId="18" xfId="0" applyFont="1" applyBorder="1" applyAlignment="1">
      <alignment horizontal="center" vertical="center"/>
    </xf>
    <xf numFmtId="0" fontId="40" fillId="6" borderId="38" xfId="0" applyFont="1" applyFill="1" applyBorder="1" applyAlignment="1">
      <alignment horizontal="center" vertical="center"/>
    </xf>
    <xf numFmtId="0" fontId="37" fillId="0" borderId="0" xfId="0" applyFont="1" applyAlignment="1">
      <alignment horizontal="center" vertical="center" wrapText="1"/>
    </xf>
    <xf numFmtId="0" fontId="5" fillId="0" borderId="0" xfId="0" applyFont="1" applyAlignment="1">
      <alignment horizontal="left" vertical="center"/>
    </xf>
    <xf numFmtId="0" fontId="5" fillId="0" borderId="15" xfId="0" applyFont="1" applyBorder="1" applyAlignment="1">
      <alignment horizontal="center" vertical="center"/>
    </xf>
    <xf numFmtId="2" fontId="42" fillId="0" borderId="44" xfId="0" applyNumberFormat="1" applyFont="1" applyBorder="1" applyAlignment="1">
      <alignment horizontal="center" vertical="center"/>
    </xf>
    <xf numFmtId="2" fontId="42" fillId="0" borderId="38" xfId="0" applyNumberFormat="1" applyFont="1" applyBorder="1" applyAlignment="1">
      <alignment horizontal="center" vertical="center"/>
    </xf>
    <xf numFmtId="0" fontId="19" fillId="0" borderId="165" xfId="0" applyFont="1" applyBorder="1" applyAlignment="1">
      <alignment horizontal="center" vertical="center"/>
    </xf>
    <xf numFmtId="0" fontId="19" fillId="0" borderId="170" xfId="0" applyFont="1" applyBorder="1" applyAlignment="1">
      <alignment horizontal="center" vertical="center"/>
    </xf>
    <xf numFmtId="2" fontId="19" fillId="0" borderId="167" xfId="0" applyNumberFormat="1" applyFont="1" applyBorder="1" applyAlignment="1">
      <alignment horizontal="center" vertical="center"/>
    </xf>
    <xf numFmtId="2" fontId="19" fillId="0" borderId="171" xfId="0" applyNumberFormat="1" applyFont="1" applyBorder="1" applyAlignment="1">
      <alignment horizontal="center" vertical="center"/>
    </xf>
    <xf numFmtId="2" fontId="42" fillId="0" borderId="118" xfId="0" applyNumberFormat="1" applyFont="1" applyBorder="1" applyAlignment="1">
      <alignment horizontal="center" vertical="center"/>
    </xf>
    <xf numFmtId="0" fontId="19" fillId="0" borderId="177" xfId="0" applyFont="1" applyBorder="1" applyAlignment="1">
      <alignment horizontal="center" vertical="center"/>
    </xf>
    <xf numFmtId="2" fontId="19" fillId="0" borderId="174" xfId="0" applyNumberFormat="1" applyFont="1" applyBorder="1" applyAlignment="1">
      <alignment horizontal="center" vertical="center"/>
    </xf>
    <xf numFmtId="2" fontId="19" fillId="0" borderId="178" xfId="0" applyNumberFormat="1" applyFont="1" applyBorder="1" applyAlignment="1">
      <alignment horizontal="center" vertical="center"/>
    </xf>
    <xf numFmtId="2" fontId="42" fillId="0" borderId="2" xfId="0" applyNumberFormat="1" applyFont="1" applyBorder="1" applyAlignment="1">
      <alignment horizontal="center" vertical="center"/>
    </xf>
    <xf numFmtId="0" fontId="0" fillId="0" borderId="0" xfId="0" applyAlignment="1">
      <alignment vertical="center" wrapText="1"/>
    </xf>
    <xf numFmtId="0" fontId="15" fillId="6" borderId="181" xfId="0" applyFont="1" applyFill="1" applyBorder="1" applyAlignment="1">
      <alignment horizontal="center" vertical="center" wrapText="1"/>
    </xf>
    <xf numFmtId="0" fontId="6" fillId="6" borderId="182" xfId="0" applyFont="1" applyFill="1" applyBorder="1" applyAlignment="1">
      <alignment horizontal="center" vertical="center"/>
    </xf>
    <xf numFmtId="0" fontId="6" fillId="6" borderId="183" xfId="0" applyFont="1" applyFill="1" applyBorder="1" applyAlignment="1">
      <alignment horizontal="center" vertical="center"/>
    </xf>
    <xf numFmtId="0" fontId="44" fillId="0" borderId="0" xfId="14" applyFont="1"/>
    <xf numFmtId="0" fontId="43" fillId="0" borderId="0" xfId="14"/>
    <xf numFmtId="2" fontId="5" fillId="0" borderId="2" xfId="0" applyNumberFormat="1" applyFont="1" applyBorder="1" applyAlignment="1">
      <alignment horizontal="center" vertical="center" wrapText="1"/>
    </xf>
    <xf numFmtId="0" fontId="0" fillId="0" borderId="0" xfId="0" applyAlignment="1">
      <alignment horizontal="left" vertical="top"/>
    </xf>
    <xf numFmtId="167" fontId="0" fillId="0" borderId="0" xfId="0" applyNumberFormat="1"/>
    <xf numFmtId="0" fontId="44" fillId="0" borderId="0" xfId="14" applyFont="1" applyAlignment="1">
      <alignment wrapText="1"/>
    </xf>
    <xf numFmtId="0" fontId="5" fillId="0" borderId="0" xfId="14" applyFont="1"/>
    <xf numFmtId="0" fontId="6" fillId="12" borderId="2" xfId="0" applyFont="1" applyFill="1" applyBorder="1" applyAlignment="1">
      <alignment horizontal="center" vertical="center" wrapText="1"/>
    </xf>
    <xf numFmtId="0" fontId="41" fillId="0" borderId="0" xfId="14" applyFont="1"/>
    <xf numFmtId="43" fontId="5" fillId="0" borderId="2" xfId="6" applyFont="1" applyBorder="1" applyAlignment="1">
      <alignment horizontal="center" vertical="center"/>
    </xf>
    <xf numFmtId="0" fontId="43" fillId="0" borderId="0" xfId="14" applyAlignment="1">
      <alignment horizontal="left" vertical="center"/>
    </xf>
    <xf numFmtId="0" fontId="43" fillId="0" borderId="0" xfId="14" applyAlignment="1">
      <alignment vertical="center"/>
    </xf>
    <xf numFmtId="1" fontId="42" fillId="0" borderId="2" xfId="0" applyNumberFormat="1" applyFont="1" applyBorder="1" applyAlignment="1">
      <alignment horizontal="center" vertical="center"/>
    </xf>
    <xf numFmtId="1" fontId="42" fillId="0" borderId="44" xfId="0" applyNumberFormat="1" applyFont="1" applyBorder="1" applyAlignment="1">
      <alignment horizontal="center" vertical="center"/>
    </xf>
    <xf numFmtId="0" fontId="19" fillId="0" borderId="25" xfId="0" applyFont="1" applyBorder="1" applyAlignment="1">
      <alignment horizontal="center" vertical="center"/>
    </xf>
    <xf numFmtId="2" fontId="42" fillId="0" borderId="62" xfId="0" applyNumberFormat="1" applyFont="1" applyBorder="1" applyAlignment="1">
      <alignment horizontal="center" vertical="center"/>
    </xf>
    <xf numFmtId="2" fontId="42" fillId="0" borderId="197" xfId="0" applyNumberFormat="1" applyFont="1" applyBorder="1" applyAlignment="1">
      <alignment horizontal="center" vertical="center"/>
    </xf>
    <xf numFmtId="2" fontId="42" fillId="0" borderId="174" xfId="0" applyNumberFormat="1" applyFont="1" applyBorder="1" applyAlignment="1">
      <alignment horizontal="center" vertical="center"/>
    </xf>
    <xf numFmtId="2" fontId="42" fillId="0" borderId="178" xfId="0" applyNumberFormat="1" applyFont="1" applyBorder="1" applyAlignment="1">
      <alignment horizontal="center" vertical="center"/>
    </xf>
    <xf numFmtId="0" fontId="12" fillId="0" borderId="0" xfId="5" applyFont="1" applyAlignment="1">
      <alignment horizontal="left"/>
    </xf>
    <xf numFmtId="0" fontId="12" fillId="0" borderId="0" xfId="5" applyFont="1" applyAlignment="1"/>
    <xf numFmtId="0" fontId="12" fillId="0" borderId="0" xfId="5" applyFont="1" applyAlignment="1">
      <alignment vertical="top"/>
    </xf>
    <xf numFmtId="0" fontId="6" fillId="12" borderId="54" xfId="0" applyFont="1" applyFill="1" applyBorder="1" applyAlignment="1">
      <alignment horizontal="center" vertical="center"/>
    </xf>
    <xf numFmtId="0" fontId="17" fillId="0" borderId="199" xfId="14" applyFont="1" applyBorder="1" applyAlignment="1">
      <alignment horizontal="center" vertical="center" wrapText="1"/>
    </xf>
    <xf numFmtId="165" fontId="17" fillId="19" borderId="200" xfId="14" applyNumberFormat="1" applyFont="1" applyFill="1" applyBorder="1" applyAlignment="1">
      <alignment horizontal="center" vertical="center" wrapText="1"/>
    </xf>
    <xf numFmtId="3" fontId="17" fillId="0" borderId="200" xfId="14" applyNumberFormat="1" applyFont="1" applyBorder="1" applyAlignment="1">
      <alignment horizontal="center" vertical="center" wrapText="1"/>
    </xf>
    <xf numFmtId="0" fontId="17" fillId="0" borderId="202" xfId="14" applyFont="1" applyBorder="1" applyAlignment="1">
      <alignment horizontal="center" vertical="center" wrapText="1"/>
    </xf>
    <xf numFmtId="165" fontId="17" fillId="19" borderId="188" xfId="14" applyNumberFormat="1" applyFont="1" applyFill="1" applyBorder="1" applyAlignment="1">
      <alignment horizontal="center" vertical="center" wrapText="1"/>
    </xf>
    <xf numFmtId="3" fontId="17" fillId="0" borderId="188" xfId="14" applyNumberFormat="1" applyFont="1" applyBorder="1" applyAlignment="1">
      <alignment horizontal="center" vertical="center" wrapText="1"/>
    </xf>
    <xf numFmtId="3" fontId="17" fillId="0" borderId="191" xfId="14" applyNumberFormat="1" applyFont="1" applyBorder="1" applyAlignment="1">
      <alignment horizontal="center" vertical="center" wrapText="1"/>
    </xf>
    <xf numFmtId="0" fontId="17" fillId="0" borderId="203" xfId="14" applyFont="1" applyBorder="1" applyAlignment="1">
      <alignment horizontal="center" vertical="center" wrapText="1"/>
    </xf>
    <xf numFmtId="165" fontId="17" fillId="19" borderId="204" xfId="14" applyNumberFormat="1" applyFont="1" applyFill="1" applyBorder="1" applyAlignment="1">
      <alignment horizontal="center" vertical="center" wrapText="1"/>
    </xf>
    <xf numFmtId="3" fontId="17" fillId="0" borderId="204" xfId="14" applyNumberFormat="1" applyFont="1" applyBorder="1" applyAlignment="1">
      <alignment horizontal="center" vertical="center" wrapText="1"/>
    </xf>
    <xf numFmtId="3" fontId="17" fillId="0" borderId="205" xfId="14" applyNumberFormat="1" applyFont="1" applyBorder="1" applyAlignment="1">
      <alignment horizontal="center" vertical="center" wrapText="1"/>
    </xf>
    <xf numFmtId="0" fontId="48" fillId="0" borderId="0" xfId="5" applyFont="1" applyAlignment="1"/>
    <xf numFmtId="0" fontId="48" fillId="0" borderId="0" xfId="5" applyFont="1"/>
    <xf numFmtId="0" fontId="48" fillId="0" borderId="0" xfId="5" applyFont="1" applyAlignment="1">
      <alignment horizontal="left" vertical="top"/>
    </xf>
    <xf numFmtId="0" fontId="48" fillId="0" borderId="0" xfId="5" applyFont="1" applyAlignment="1">
      <alignment vertical="center"/>
    </xf>
    <xf numFmtId="0" fontId="12" fillId="0" borderId="0" xfId="5" applyFont="1" applyAlignment="1">
      <alignment horizontal="left" vertical="center"/>
    </xf>
    <xf numFmtId="0" fontId="17" fillId="0" borderId="207" xfId="0" applyFont="1" applyBorder="1" applyAlignment="1">
      <alignment vertical="center" wrapText="1"/>
    </xf>
    <xf numFmtId="0" fontId="17" fillId="0" borderId="208" xfId="0" applyFont="1" applyBorder="1" applyAlignment="1">
      <alignment vertical="center" wrapText="1"/>
    </xf>
    <xf numFmtId="0" fontId="5" fillId="5" borderId="49" xfId="0" applyFont="1" applyFill="1" applyBorder="1" applyAlignment="1">
      <alignment horizontal="center" vertical="center"/>
    </xf>
    <xf numFmtId="0" fontId="5" fillId="5" borderId="49" xfId="0" applyFont="1" applyFill="1" applyBorder="1" applyAlignment="1">
      <alignment vertical="center" wrapText="1"/>
    </xf>
    <xf numFmtId="0" fontId="31" fillId="0" borderId="0" xfId="0" applyFont="1"/>
    <xf numFmtId="0" fontId="11" fillId="0" borderId="0" xfId="0" applyFont="1" applyAlignment="1">
      <alignment horizontal="left" vertical="center"/>
    </xf>
    <xf numFmtId="0" fontId="47" fillId="6" borderId="2" xfId="0" applyFont="1" applyFill="1" applyBorder="1" applyAlignment="1">
      <alignment horizontal="center" vertical="center" wrapText="1"/>
    </xf>
    <xf numFmtId="0" fontId="17" fillId="0" borderId="30" xfId="0" applyFont="1" applyBorder="1" applyAlignment="1">
      <alignment horizontal="center" vertical="center"/>
    </xf>
    <xf numFmtId="0" fontId="17" fillId="0" borderId="30" xfId="0" applyFont="1" applyBorder="1" applyAlignment="1">
      <alignment horizontal="center" vertical="center" wrapText="1"/>
    </xf>
    <xf numFmtId="0" fontId="17" fillId="0" borderId="51" xfId="0" applyFont="1" applyBorder="1" applyAlignment="1">
      <alignment vertical="center" wrapText="1"/>
    </xf>
    <xf numFmtId="0" fontId="17" fillId="0" borderId="2" xfId="0" applyFont="1" applyBorder="1" applyAlignment="1">
      <alignment vertical="center" wrapText="1"/>
    </xf>
    <xf numFmtId="0" fontId="17" fillId="0" borderId="14" xfId="0" applyFont="1" applyBorder="1" applyAlignment="1">
      <alignment vertical="center" wrapText="1"/>
    </xf>
    <xf numFmtId="0" fontId="17" fillId="0" borderId="0" xfId="0" applyFont="1" applyAlignment="1">
      <alignment vertical="center" wrapText="1"/>
    </xf>
    <xf numFmtId="1" fontId="17" fillId="0" borderId="3" xfId="7" applyNumberFormat="1" applyFont="1" applyBorder="1" applyAlignment="1">
      <alignment horizontal="center" vertical="center"/>
    </xf>
    <xf numFmtId="3" fontId="17" fillId="0" borderId="2" xfId="0" applyNumberFormat="1" applyFont="1" applyBorder="1" applyAlignment="1">
      <alignment horizontal="center" vertical="center" wrapText="1"/>
    </xf>
    <xf numFmtId="169" fontId="17" fillId="0" borderId="2" xfId="0" applyNumberFormat="1" applyFont="1" applyBorder="1" applyAlignment="1">
      <alignment horizontal="center" vertical="center" wrapText="1"/>
    </xf>
    <xf numFmtId="0" fontId="47" fillId="0" borderId="155" xfId="0" applyFont="1" applyBorder="1" applyAlignment="1">
      <alignment horizontal="center" vertical="center"/>
    </xf>
    <xf numFmtId="10" fontId="47" fillId="0" borderId="160" xfId="0" applyNumberFormat="1" applyFont="1" applyBorder="1" applyAlignment="1">
      <alignment horizontal="center" vertical="center"/>
    </xf>
    <xf numFmtId="0" fontId="38" fillId="0" borderId="0" xfId="0" quotePrefix="1" applyFont="1" applyAlignment="1">
      <alignment vertical="top"/>
    </xf>
    <xf numFmtId="0" fontId="17" fillId="0" borderId="38" xfId="0" applyFont="1" applyBorder="1" applyAlignment="1">
      <alignment wrapText="1"/>
    </xf>
    <xf numFmtId="164" fontId="17" fillId="0" borderId="41" xfId="0" applyNumberFormat="1" applyFont="1" applyBorder="1" applyAlignment="1">
      <alignment horizontal="center" vertical="center"/>
    </xf>
    <xf numFmtId="164" fontId="17" fillId="0" borderId="158" xfId="0" applyNumberFormat="1" applyFont="1" applyBorder="1" applyAlignment="1">
      <alignment horizontal="center" vertical="center"/>
    </xf>
    <xf numFmtId="168" fontId="12" fillId="0" borderId="0" xfId="5" applyNumberFormat="1" applyFont="1" applyAlignment="1">
      <alignment horizontal="left" vertical="center"/>
    </xf>
    <xf numFmtId="0" fontId="30" fillId="0" borderId="0" xfId="0" applyFont="1" applyAlignment="1">
      <alignment wrapText="1"/>
    </xf>
    <xf numFmtId="3" fontId="0" fillId="0" borderId="0" xfId="0" applyNumberFormat="1"/>
    <xf numFmtId="0" fontId="7" fillId="0" borderId="0" xfId="5" applyBorder="1" applyAlignment="1">
      <alignment horizontal="center" vertical="center"/>
    </xf>
    <xf numFmtId="1" fontId="17" fillId="0" borderId="51" xfId="0" applyNumberFormat="1" applyFont="1" applyBorder="1" applyAlignment="1">
      <alignment horizontal="center" vertical="center"/>
    </xf>
    <xf numFmtId="165" fontId="17" fillId="0" borderId="51" xfId="0" applyNumberFormat="1" applyFont="1" applyBorder="1" applyAlignment="1">
      <alignment horizontal="center" vertical="center" wrapText="1"/>
    </xf>
    <xf numFmtId="0" fontId="34" fillId="23" borderId="209" xfId="0" applyFont="1" applyFill="1" applyBorder="1" applyAlignment="1">
      <alignment horizontal="left" vertical="center"/>
    </xf>
    <xf numFmtId="0" fontId="0" fillId="0" borderId="0" xfId="0" applyAlignment="1">
      <alignment horizontal="center" vertical="center" wrapText="1"/>
    </xf>
    <xf numFmtId="0" fontId="17" fillId="0" borderId="14" xfId="0" applyFont="1" applyBorder="1" applyAlignment="1">
      <alignment horizontal="center" vertical="center"/>
    </xf>
    <xf numFmtId="0" fontId="17" fillId="0" borderId="38" xfId="0" applyFont="1" applyBorder="1" applyAlignment="1">
      <alignment horizontal="center" vertical="center"/>
    </xf>
    <xf numFmtId="0" fontId="17" fillId="0" borderId="18" xfId="0" applyFont="1" applyBorder="1" applyAlignment="1">
      <alignment horizontal="center" vertical="center"/>
    </xf>
    <xf numFmtId="2" fontId="17" fillId="8" borderId="191" xfId="14" applyNumberFormat="1" applyFont="1" applyFill="1" applyBorder="1" applyAlignment="1">
      <alignment horizontal="center" vertical="center" wrapText="1"/>
    </xf>
    <xf numFmtId="0" fontId="47" fillId="18" borderId="198" xfId="14" applyFont="1" applyFill="1" applyBorder="1" applyAlignment="1">
      <alignment horizontal="center" vertical="center" wrapText="1"/>
    </xf>
    <xf numFmtId="0" fontId="47" fillId="18" borderId="15" xfId="14" applyFont="1" applyFill="1" applyBorder="1" applyAlignment="1">
      <alignment vertical="center" wrapText="1"/>
    </xf>
    <xf numFmtId="0" fontId="47" fillId="5" borderId="138" xfId="14" applyFont="1" applyFill="1" applyBorder="1" applyAlignment="1">
      <alignment vertical="center" wrapText="1"/>
    </xf>
    <xf numFmtId="0" fontId="50" fillId="5" borderId="149" xfId="14" applyFont="1" applyFill="1" applyBorder="1" applyAlignment="1">
      <alignment vertical="center" wrapText="1"/>
    </xf>
    <xf numFmtId="0" fontId="50" fillId="21" borderId="16" xfId="14" applyFont="1" applyFill="1" applyBorder="1" applyAlignment="1">
      <alignment vertical="center" wrapText="1"/>
    </xf>
    <xf numFmtId="0" fontId="50" fillId="21" borderId="17" xfId="14" applyFont="1" applyFill="1" applyBorder="1" applyAlignment="1">
      <alignment vertical="center" wrapText="1"/>
    </xf>
    <xf numFmtId="0" fontId="47" fillId="21" borderId="17" xfId="14" applyFont="1" applyFill="1" applyBorder="1" applyAlignment="1">
      <alignment vertical="center" wrapText="1"/>
    </xf>
    <xf numFmtId="0" fontId="50" fillId="21" borderId="17" xfId="14" applyFont="1" applyFill="1" applyBorder="1" applyAlignment="1">
      <alignment horizontal="left" vertical="center" wrapText="1"/>
    </xf>
    <xf numFmtId="0" fontId="50" fillId="21" borderId="18" xfId="14" applyFont="1" applyFill="1" applyBorder="1" applyAlignment="1">
      <alignment vertical="center" wrapText="1"/>
    </xf>
    <xf numFmtId="0" fontId="49" fillId="7" borderId="18" xfId="14" applyFont="1" applyFill="1" applyBorder="1" applyAlignment="1">
      <alignment horizontal="left" vertical="center"/>
    </xf>
    <xf numFmtId="0" fontId="17" fillId="22" borderId="16" xfId="14" applyFont="1" applyFill="1" applyBorder="1" applyAlignment="1">
      <alignment horizontal="left" vertical="center"/>
    </xf>
    <xf numFmtId="3" fontId="17" fillId="22" borderId="17" xfId="6" applyNumberFormat="1" applyFont="1" applyFill="1" applyBorder="1" applyAlignment="1">
      <alignment horizontal="left" vertical="center"/>
    </xf>
    <xf numFmtId="0" fontId="17" fillId="22" borderId="17" xfId="14" applyFont="1" applyFill="1" applyBorder="1" applyAlignment="1">
      <alignment horizontal="left" vertical="center"/>
    </xf>
    <xf numFmtId="0" fontId="17" fillId="22" borderId="18" xfId="14" applyFont="1" applyFill="1" applyBorder="1" applyAlignment="1">
      <alignment horizontal="left" vertical="center"/>
    </xf>
    <xf numFmtId="0" fontId="49" fillId="7" borderId="21" xfId="14" applyFont="1" applyFill="1" applyBorder="1" applyAlignment="1">
      <alignment horizontal="left" vertical="center"/>
    </xf>
    <xf numFmtId="0" fontId="17" fillId="22" borderId="20" xfId="14" applyFont="1" applyFill="1" applyBorder="1" applyAlignment="1">
      <alignment horizontal="left" vertical="center"/>
    </xf>
    <xf numFmtId="3" fontId="17" fillId="22" borderId="0" xfId="6" applyNumberFormat="1" applyFont="1" applyFill="1" applyBorder="1" applyAlignment="1">
      <alignment horizontal="left" vertical="center"/>
    </xf>
    <xf numFmtId="0" fontId="17" fillId="22" borderId="0" xfId="14" applyFont="1" applyFill="1" applyAlignment="1">
      <alignment horizontal="left" vertical="center"/>
    </xf>
    <xf numFmtId="0" fontId="17" fillId="22" borderId="21" xfId="14" applyFont="1" applyFill="1" applyBorder="1" applyAlignment="1">
      <alignment horizontal="left" vertical="center"/>
    </xf>
    <xf numFmtId="0" fontId="17" fillId="7" borderId="21" xfId="14" applyFont="1" applyFill="1" applyBorder="1" applyAlignment="1">
      <alignment horizontal="left" vertical="center"/>
    </xf>
    <xf numFmtId="0" fontId="17" fillId="7" borderId="25" xfId="14" applyFont="1" applyFill="1" applyBorder="1" applyAlignment="1">
      <alignment horizontal="left" vertical="center"/>
    </xf>
    <xf numFmtId="43" fontId="47" fillId="0" borderId="2" xfId="6" applyFont="1" applyBorder="1" applyAlignment="1">
      <alignment horizontal="center" vertical="center"/>
    </xf>
    <xf numFmtId="2" fontId="47" fillId="0" borderId="2" xfId="0" applyNumberFormat="1" applyFont="1" applyBorder="1" applyAlignment="1">
      <alignment horizontal="center" vertical="center" wrapText="1"/>
    </xf>
    <xf numFmtId="0" fontId="17" fillId="0" borderId="38" xfId="0" applyFont="1" applyBorder="1" applyAlignment="1">
      <alignment vertical="center"/>
    </xf>
    <xf numFmtId="0" fontId="17" fillId="7" borderId="0" xfId="14" applyFont="1" applyFill="1" applyAlignment="1">
      <alignment horizontal="left" vertical="center"/>
    </xf>
    <xf numFmtId="0" fontId="17" fillId="22" borderId="213" xfId="14" applyFont="1" applyFill="1" applyBorder="1" applyAlignment="1">
      <alignment horizontal="left" vertical="center"/>
    </xf>
    <xf numFmtId="0" fontId="17" fillId="22" borderId="215" xfId="14" applyFont="1" applyFill="1" applyBorder="1" applyAlignment="1">
      <alignment horizontal="left" vertical="center"/>
    </xf>
    <xf numFmtId="0" fontId="17" fillId="22" borderId="214" xfId="14" applyFont="1" applyFill="1" applyBorder="1" applyAlignment="1">
      <alignment horizontal="left" vertical="center"/>
    </xf>
    <xf numFmtId="0" fontId="17" fillId="22" borderId="216" xfId="14" applyFont="1" applyFill="1" applyBorder="1" applyAlignment="1">
      <alignment horizontal="left" vertical="center"/>
    </xf>
    <xf numFmtId="0" fontId="17" fillId="22" borderId="217" xfId="14" applyFont="1" applyFill="1" applyBorder="1" applyAlignment="1">
      <alignment horizontal="left" vertical="center"/>
    </xf>
    <xf numFmtId="0" fontId="49" fillId="7" borderId="218" xfId="14" applyFont="1" applyFill="1" applyBorder="1" applyAlignment="1">
      <alignment horizontal="left" vertical="center"/>
    </xf>
    <xf numFmtId="0" fontId="49" fillId="7" borderId="219" xfId="14" applyFont="1" applyFill="1" applyBorder="1" applyAlignment="1">
      <alignment horizontal="left" vertical="center"/>
    </xf>
    <xf numFmtId="0" fontId="17" fillId="0" borderId="2" xfId="0" applyFont="1" applyBorder="1" applyAlignment="1">
      <alignment vertical="center"/>
    </xf>
    <xf numFmtId="0" fontId="7" fillId="0" borderId="0" xfId="5" applyAlignment="1">
      <alignment horizontal="left" vertical="center"/>
    </xf>
    <xf numFmtId="0" fontId="48" fillId="0" borderId="0" xfId="5" applyFont="1" applyAlignment="1">
      <alignment horizontal="left" vertical="center"/>
    </xf>
    <xf numFmtId="0" fontId="39" fillId="0" borderId="0" xfId="0" applyFont="1" applyAlignment="1">
      <alignment vertical="top"/>
    </xf>
    <xf numFmtId="0" fontId="20" fillId="0" borderId="0" xfId="14" applyFont="1" applyAlignment="1">
      <alignment vertical="center" wrapText="1"/>
    </xf>
    <xf numFmtId="165" fontId="20" fillId="0" borderId="0" xfId="14" applyNumberFormat="1" applyFont="1" applyAlignment="1">
      <alignment horizontal="left" vertical="center" wrapText="1"/>
    </xf>
    <xf numFmtId="0" fontId="20" fillId="0" borderId="0" xfId="14" applyFont="1" applyAlignment="1">
      <alignment vertical="center"/>
    </xf>
    <xf numFmtId="0" fontId="37" fillId="0" borderId="0" xfId="14" applyFont="1" applyAlignment="1">
      <alignment vertical="center" wrapText="1"/>
    </xf>
    <xf numFmtId="168" fontId="20" fillId="0" borderId="0" xfId="14" applyNumberFormat="1" applyFont="1" applyAlignment="1">
      <alignment horizontal="left" vertical="center" wrapText="1"/>
    </xf>
    <xf numFmtId="0" fontId="37" fillId="0" borderId="0" xfId="14" applyFont="1" applyAlignment="1">
      <alignment vertical="center"/>
    </xf>
    <xf numFmtId="0" fontId="20" fillId="0" borderId="0" xfId="14" applyFont="1" applyAlignment="1">
      <alignment horizontal="left" vertical="center" wrapText="1"/>
    </xf>
    <xf numFmtId="167" fontId="20" fillId="0" borderId="0" xfId="14" applyNumberFormat="1" applyFont="1" applyAlignment="1">
      <alignment horizontal="left" vertical="center" wrapText="1"/>
    </xf>
    <xf numFmtId="0" fontId="5" fillId="0" borderId="0" xfId="14" applyFont="1" applyAlignment="1">
      <alignment horizontal="left"/>
    </xf>
    <xf numFmtId="0" fontId="5" fillId="0" borderId="0" xfId="14" applyFont="1" applyAlignment="1">
      <alignment wrapText="1"/>
    </xf>
    <xf numFmtId="0" fontId="5" fillId="0" borderId="0" xfId="14" applyFont="1" applyAlignment="1">
      <alignment horizontal="left" vertical="center"/>
    </xf>
    <xf numFmtId="0" fontId="5" fillId="0" borderId="0" xfId="14" applyFont="1" applyAlignment="1">
      <alignment vertical="center"/>
    </xf>
    <xf numFmtId="0" fontId="6" fillId="0" borderId="0" xfId="14" applyFont="1" applyAlignment="1">
      <alignment horizontal="left" vertical="center"/>
    </xf>
    <xf numFmtId="0" fontId="5" fillId="20" borderId="2" xfId="14" applyFont="1" applyFill="1" applyBorder="1" applyAlignment="1">
      <alignment horizontal="center" vertical="center" wrapText="1"/>
    </xf>
    <xf numFmtId="0" fontId="5" fillId="20" borderId="2" xfId="14" applyFont="1" applyFill="1" applyBorder="1" applyAlignment="1">
      <alignment horizontal="left" vertical="center" wrapText="1"/>
    </xf>
    <xf numFmtId="0" fontId="5" fillId="0" borderId="2" xfId="14" applyFont="1" applyBorder="1" applyAlignment="1">
      <alignment horizontal="center" vertical="center" wrapText="1"/>
    </xf>
    <xf numFmtId="0" fontId="5" fillId="20" borderId="2" xfId="14" applyFont="1" applyFill="1" applyBorder="1" applyAlignment="1">
      <alignment horizontal="left"/>
    </xf>
    <xf numFmtId="0" fontId="5" fillId="0" borderId="2" xfId="14" applyFont="1" applyBorder="1" applyAlignment="1">
      <alignment horizontal="center" vertical="center"/>
    </xf>
    <xf numFmtId="0" fontId="5" fillId="0" borderId="0" xfId="14" applyFont="1" applyAlignment="1">
      <alignment horizontal="center" vertical="center" wrapText="1"/>
    </xf>
    <xf numFmtId="0" fontId="15" fillId="20" borderId="189" xfId="14" applyFont="1" applyFill="1" applyBorder="1" applyAlignment="1">
      <alignment horizontal="left" vertical="center" wrapText="1"/>
    </xf>
    <xf numFmtId="0" fontId="15" fillId="20" borderId="189" xfId="14" applyFont="1" applyFill="1" applyBorder="1" applyAlignment="1">
      <alignment horizontal="center" vertical="center" wrapText="1"/>
    </xf>
    <xf numFmtId="0" fontId="5" fillId="20" borderId="3" xfId="14" applyFont="1" applyFill="1" applyBorder="1" applyAlignment="1">
      <alignment vertical="center" wrapText="1"/>
    </xf>
    <xf numFmtId="164" fontId="5" fillId="0" borderId="189" xfId="16" applyNumberFormat="1" applyFont="1" applyBorder="1" applyAlignment="1">
      <alignment horizontal="center"/>
    </xf>
    <xf numFmtId="0" fontId="5" fillId="0" borderId="189" xfId="14" applyFont="1" applyBorder="1" applyAlignment="1">
      <alignment horizontal="center" vertical="center" wrapText="1"/>
    </xf>
    <xf numFmtId="2" fontId="19" fillId="0" borderId="221" xfId="0" applyNumberFormat="1" applyFont="1" applyBorder="1" applyAlignment="1">
      <alignment horizontal="center" vertical="center"/>
    </xf>
    <xf numFmtId="2" fontId="19" fillId="0" borderId="222" xfId="0" applyNumberFormat="1" applyFont="1" applyBorder="1" applyAlignment="1">
      <alignment horizontal="center" vertical="center"/>
    </xf>
    <xf numFmtId="2" fontId="19" fillId="0" borderId="223" xfId="0" applyNumberFormat="1" applyFont="1" applyBorder="1" applyAlignment="1">
      <alignment horizontal="center" vertical="center"/>
    </xf>
    <xf numFmtId="2" fontId="19" fillId="0" borderId="194" xfId="0" applyNumberFormat="1" applyFont="1" applyBorder="1" applyAlignment="1">
      <alignment horizontal="center" vertical="center"/>
    </xf>
    <xf numFmtId="2" fontId="19" fillId="0" borderId="224" xfId="0" applyNumberFormat="1" applyFont="1" applyBorder="1" applyAlignment="1">
      <alignment horizontal="center" vertical="center"/>
    </xf>
    <xf numFmtId="2" fontId="42" fillId="0" borderId="15" xfId="0" applyNumberFormat="1" applyFont="1" applyBorder="1" applyAlignment="1">
      <alignment horizontal="center" vertical="center"/>
    </xf>
    <xf numFmtId="0" fontId="8" fillId="0" borderId="14" xfId="3" applyFont="1" applyBorder="1" applyAlignment="1">
      <alignment horizontal="center" vertical="center" wrapText="1"/>
    </xf>
    <xf numFmtId="0" fontId="47" fillId="6" borderId="54" xfId="0" applyFont="1" applyFill="1" applyBorder="1" applyAlignment="1">
      <alignment horizontal="center" vertical="center" wrapText="1"/>
    </xf>
    <xf numFmtId="0" fontId="17" fillId="0" borderId="38" xfId="0" applyFont="1" applyBorder="1" applyAlignment="1">
      <alignment horizontal="center"/>
    </xf>
    <xf numFmtId="3" fontId="17" fillId="0" borderId="22" xfId="3" applyNumberFormat="1" applyFont="1" applyBorder="1" applyAlignment="1">
      <alignment horizontal="center" vertical="center" wrapText="1"/>
    </xf>
    <xf numFmtId="0" fontId="47" fillId="6" borderId="30" xfId="0" applyFont="1" applyFill="1" applyBorder="1" applyAlignment="1">
      <alignment horizontal="center" vertical="center" wrapText="1"/>
    </xf>
    <xf numFmtId="0" fontId="17" fillId="0" borderId="188" xfId="0" applyFont="1" applyBorder="1" applyAlignment="1">
      <alignment horizontal="center" vertical="center"/>
    </xf>
    <xf numFmtId="1" fontId="17" fillId="0" borderId="2" xfId="0" applyNumberFormat="1" applyFont="1" applyBorder="1" applyAlignment="1">
      <alignment horizontal="center" vertical="center" wrapText="1"/>
    </xf>
    <xf numFmtId="0" fontId="47" fillId="12" borderId="2" xfId="0" applyFont="1" applyFill="1" applyBorder="1" applyAlignment="1">
      <alignment horizontal="center" vertical="center" wrapText="1"/>
    </xf>
    <xf numFmtId="0" fontId="47" fillId="18" borderId="188" xfId="14" applyFont="1" applyFill="1" applyBorder="1" applyAlignment="1">
      <alignment horizontal="center" vertical="center" wrapText="1"/>
    </xf>
    <xf numFmtId="0" fontId="6" fillId="6" borderId="54" xfId="0" applyFont="1" applyFill="1" applyBorder="1" applyAlignment="1">
      <alignment horizontal="center" vertical="center"/>
    </xf>
    <xf numFmtId="0" fontId="6" fillId="12" borderId="54" xfId="0" applyFont="1" applyFill="1" applyBorder="1" applyAlignment="1">
      <alignment horizontal="center" vertical="center" wrapText="1"/>
    </xf>
    <xf numFmtId="0" fontId="5" fillId="4" borderId="21" xfId="0" applyFont="1" applyFill="1" applyBorder="1" applyAlignment="1">
      <alignment vertical="center" wrapText="1"/>
    </xf>
    <xf numFmtId="0" fontId="5" fillId="0" borderId="38" xfId="0" applyFont="1" applyBorder="1" applyAlignment="1">
      <alignment horizontal="center" vertical="center"/>
    </xf>
    <xf numFmtId="0" fontId="7" fillId="0" borderId="38" xfId="5" applyBorder="1" applyAlignment="1">
      <alignment horizontal="center" vertical="center"/>
    </xf>
    <xf numFmtId="0" fontId="20" fillId="0" borderId="38" xfId="0" applyFont="1" applyBorder="1" applyAlignment="1">
      <alignment horizontal="center" vertical="center" wrapText="1"/>
    </xf>
    <xf numFmtId="2" fontId="17" fillId="0" borderId="38" xfId="0" applyNumberFormat="1" applyFont="1" applyBorder="1" applyAlignment="1">
      <alignment horizontal="center" vertical="center" wrapText="1"/>
    </xf>
    <xf numFmtId="0" fontId="1" fillId="0" borderId="38" xfId="0" applyFont="1" applyBorder="1" applyAlignment="1">
      <alignment horizontal="center" vertical="center" wrapText="1"/>
    </xf>
    <xf numFmtId="0" fontId="17" fillId="0" borderId="38" xfId="0" applyFont="1" applyBorder="1" applyAlignment="1">
      <alignment horizontal="center" vertical="center" wrapText="1"/>
    </xf>
    <xf numFmtId="168" fontId="17" fillId="25" borderId="38" xfId="0" quotePrefix="1" applyNumberFormat="1" applyFont="1" applyFill="1" applyBorder="1" applyAlignment="1">
      <alignment horizontal="center" vertical="center" wrapText="1"/>
    </xf>
    <xf numFmtId="0" fontId="46" fillId="0" borderId="0" xfId="0" applyFont="1" applyAlignment="1">
      <alignment wrapText="1"/>
    </xf>
    <xf numFmtId="0" fontId="48" fillId="0" borderId="0" xfId="5" applyFont="1" applyBorder="1" applyAlignment="1">
      <alignment horizontal="center" vertical="center" wrapText="1"/>
    </xf>
    <xf numFmtId="0" fontId="17" fillId="0" borderId="0" xfId="0" applyFont="1" applyAlignment="1">
      <alignment horizontal="center" vertical="center" wrapText="1"/>
    </xf>
    <xf numFmtId="2" fontId="17" fillId="0" borderId="0" xfId="0" applyNumberFormat="1" applyFont="1" applyAlignment="1">
      <alignment horizontal="center" vertical="center" wrapText="1"/>
    </xf>
    <xf numFmtId="0" fontId="17" fillId="0" borderId="0" xfId="0" quotePrefix="1" applyFont="1" applyAlignment="1">
      <alignment horizontal="center" vertical="center" wrapText="1"/>
    </xf>
    <xf numFmtId="0" fontId="20" fillId="0" borderId="0" xfId="0" applyFont="1" applyAlignment="1">
      <alignment horizontal="left" vertical="top" wrapText="1"/>
    </xf>
    <xf numFmtId="0" fontId="10" fillId="0" borderId="0" xfId="0" applyFont="1"/>
    <xf numFmtId="0" fontId="52" fillId="0" borderId="0" xfId="5" applyFont="1" applyFill="1" applyBorder="1" applyAlignment="1">
      <alignment horizontal="left" vertical="top" wrapText="1"/>
    </xf>
    <xf numFmtId="0" fontId="53" fillId="0" borderId="0" xfId="5" applyFont="1" applyFill="1" applyBorder="1" applyAlignment="1">
      <alignment horizontal="left" vertical="top" wrapText="1"/>
    </xf>
    <xf numFmtId="0" fontId="17" fillId="0" borderId="48" xfId="0" applyFont="1" applyBorder="1" applyAlignment="1">
      <alignment horizontal="center" vertical="center" wrapText="1"/>
    </xf>
    <xf numFmtId="2" fontId="17" fillId="0" borderId="48" xfId="0" applyNumberFormat="1" applyFont="1" applyBorder="1" applyAlignment="1">
      <alignment horizontal="center" vertical="center" wrapText="1"/>
    </xf>
    <xf numFmtId="0" fontId="17" fillId="0" borderId="48" xfId="0" quotePrefix="1" applyFont="1" applyBorder="1" applyAlignment="1">
      <alignment horizontal="center" vertical="center" wrapText="1"/>
    </xf>
    <xf numFmtId="0" fontId="17" fillId="0" borderId="225" xfId="0" applyFont="1" applyBorder="1" applyAlignment="1">
      <alignment horizontal="center" vertical="center" wrapText="1"/>
    </xf>
    <xf numFmtId="0" fontId="5" fillId="0" borderId="30" xfId="0" applyFont="1" applyBorder="1" applyAlignment="1">
      <alignment horizontal="center" vertical="center"/>
    </xf>
    <xf numFmtId="0" fontId="5" fillId="0" borderId="30" xfId="0" applyFont="1" applyBorder="1" applyAlignment="1">
      <alignment horizontal="center" vertical="center" wrapText="1"/>
    </xf>
    <xf numFmtId="168" fontId="5" fillId="0" borderId="51" xfId="0" applyNumberFormat="1" applyFont="1" applyBorder="1" applyAlignment="1">
      <alignment horizontal="center" vertical="center"/>
    </xf>
    <xf numFmtId="0" fontId="5" fillId="7" borderId="51" xfId="0" applyFont="1" applyFill="1" applyBorder="1" applyAlignment="1">
      <alignment horizontal="center" vertical="center"/>
    </xf>
    <xf numFmtId="0" fontId="5" fillId="5" borderId="51" xfId="0" applyFont="1" applyFill="1" applyBorder="1" applyAlignment="1">
      <alignment horizontal="center" vertical="center"/>
    </xf>
    <xf numFmtId="0" fontId="5" fillId="3" borderId="51" xfId="0" applyFont="1" applyFill="1" applyBorder="1" applyAlignment="1">
      <alignment horizontal="center" vertical="center"/>
    </xf>
    <xf numFmtId="0" fontId="17" fillId="14" borderId="51" xfId="0" applyFont="1" applyFill="1" applyBorder="1" applyAlignment="1">
      <alignment horizontal="center" vertical="center"/>
    </xf>
    <xf numFmtId="168" fontId="17" fillId="14" borderId="51" xfId="0" applyNumberFormat="1" applyFont="1" applyFill="1" applyBorder="1" applyAlignment="1">
      <alignment horizontal="center" vertical="center"/>
    </xf>
    <xf numFmtId="0" fontId="5" fillId="24" borderId="51" xfId="0" applyFont="1" applyFill="1" applyBorder="1" applyAlignment="1">
      <alignment horizontal="center" vertical="center"/>
    </xf>
    <xf numFmtId="0" fontId="1" fillId="24" borderId="51" xfId="0" applyFont="1" applyFill="1" applyBorder="1" applyAlignment="1">
      <alignment horizontal="center" vertical="center"/>
    </xf>
    <xf numFmtId="0" fontId="5" fillId="14" borderId="51" xfId="0" applyFont="1" applyFill="1" applyBorder="1" applyAlignment="1">
      <alignment horizontal="center" vertical="center"/>
    </xf>
    <xf numFmtId="0" fontId="1" fillId="14" borderId="51" xfId="0" applyFont="1" applyFill="1" applyBorder="1" applyAlignment="1">
      <alignment horizontal="center" vertical="center"/>
    </xf>
    <xf numFmtId="2" fontId="5" fillId="0" borderId="51" xfId="0" applyNumberFormat="1" applyFont="1" applyBorder="1" applyAlignment="1">
      <alignment horizontal="center" vertical="center"/>
    </xf>
    <xf numFmtId="0" fontId="5" fillId="4" borderId="51" xfId="0" applyFont="1" applyFill="1" applyBorder="1" applyAlignment="1">
      <alignment horizontal="center" vertical="center"/>
    </xf>
    <xf numFmtId="2" fontId="17" fillId="14" borderId="51" xfId="0" applyNumberFormat="1" applyFont="1" applyFill="1" applyBorder="1" applyAlignment="1">
      <alignment horizontal="center" vertical="center"/>
    </xf>
    <xf numFmtId="0" fontId="5" fillId="5" borderId="51" xfId="0" applyFont="1" applyFill="1" applyBorder="1" applyAlignment="1">
      <alignment vertical="center"/>
    </xf>
    <xf numFmtId="0" fontId="20" fillId="0" borderId="2" xfId="3" applyFont="1" applyBorder="1" applyAlignment="1">
      <alignment horizontal="center" vertical="center" wrapText="1"/>
    </xf>
    <xf numFmtId="1" fontId="42" fillId="0" borderId="22" xfId="0" applyNumberFormat="1" applyFont="1" applyBorder="1" applyAlignment="1">
      <alignment horizontal="center" vertical="center"/>
    </xf>
    <xf numFmtId="0" fontId="42" fillId="0" borderId="226" xfId="0" applyFont="1" applyBorder="1" applyAlignment="1">
      <alignment horizontal="center" vertical="center"/>
    </xf>
    <xf numFmtId="1" fontId="42" fillId="0" borderId="221" xfId="0" applyNumberFormat="1" applyFont="1" applyBorder="1" applyAlignment="1">
      <alignment horizontal="center" vertical="center"/>
    </xf>
    <xf numFmtId="1" fontId="42" fillId="0" borderId="222" xfId="0" applyNumberFormat="1" applyFont="1" applyBorder="1" applyAlignment="1">
      <alignment horizontal="center" vertical="center"/>
    </xf>
    <xf numFmtId="0" fontId="42" fillId="0" borderId="227" xfId="0" applyFont="1" applyBorder="1" applyAlignment="1">
      <alignment horizontal="center" vertical="center"/>
    </xf>
    <xf numFmtId="1" fontId="42" fillId="0" borderId="223" xfId="0" applyNumberFormat="1" applyFont="1" applyBorder="1" applyAlignment="1">
      <alignment horizontal="center" vertical="center"/>
    </xf>
    <xf numFmtId="0" fontId="42" fillId="0" borderId="228" xfId="0" applyFont="1" applyBorder="1" applyAlignment="1">
      <alignment horizontal="center" vertical="center"/>
    </xf>
    <xf numFmtId="1" fontId="42" fillId="0" borderId="229" xfId="0" applyNumberFormat="1" applyFont="1" applyBorder="1" applyAlignment="1">
      <alignment horizontal="center" vertical="center"/>
    </xf>
    <xf numFmtId="0" fontId="42" fillId="0" borderId="230" xfId="0" applyFont="1" applyBorder="1" applyAlignment="1">
      <alignment horizontal="center" vertical="center"/>
    </xf>
    <xf numFmtId="1" fontId="42" fillId="0" borderId="231" xfId="0" applyNumberFormat="1" applyFont="1" applyBorder="1" applyAlignment="1">
      <alignment horizontal="center" vertical="center"/>
    </xf>
    <xf numFmtId="0" fontId="42" fillId="0" borderId="139" xfId="0" applyFont="1" applyBorder="1" applyAlignment="1">
      <alignment horizontal="center" vertical="center"/>
    </xf>
    <xf numFmtId="0" fontId="42" fillId="0" borderId="232" xfId="0" applyFont="1" applyBorder="1" applyAlignment="1">
      <alignment horizontal="center" vertical="center"/>
    </xf>
    <xf numFmtId="1" fontId="42" fillId="0" borderId="194" xfId="0" applyNumberFormat="1" applyFont="1" applyBorder="1" applyAlignment="1">
      <alignment horizontal="center" vertical="center"/>
    </xf>
    <xf numFmtId="1" fontId="42" fillId="0" borderId="224" xfId="0" applyNumberFormat="1" applyFont="1" applyBorder="1" applyAlignment="1">
      <alignment horizontal="center" vertical="center"/>
    </xf>
    <xf numFmtId="0" fontId="51" fillId="0" borderId="237" xfId="0" applyFont="1" applyBorder="1" applyAlignment="1">
      <alignment horizontal="center" vertical="center"/>
    </xf>
    <xf numFmtId="0" fontId="36" fillId="0" borderId="238" xfId="0" applyFont="1" applyBorder="1" applyAlignment="1">
      <alignment horizontal="center" vertical="center"/>
    </xf>
    <xf numFmtId="0" fontId="36" fillId="0" borderId="239" xfId="0" applyFont="1" applyBorder="1" applyAlignment="1">
      <alignment horizontal="center" vertical="center"/>
    </xf>
    <xf numFmtId="0" fontId="51" fillId="0" borderId="240" xfId="0" applyFont="1" applyBorder="1" applyAlignment="1">
      <alignment horizontal="center" vertical="center"/>
    </xf>
    <xf numFmtId="0" fontId="36" fillId="0" borderId="188" xfId="0" applyFont="1" applyBorder="1" applyAlignment="1">
      <alignment horizontal="center" vertical="center"/>
    </xf>
    <xf numFmtId="0" fontId="36" fillId="0" borderId="241" xfId="0" applyFont="1" applyBorder="1" applyAlignment="1">
      <alignment horizontal="center" vertical="center"/>
    </xf>
    <xf numFmtId="0" fontId="51" fillId="0" borderId="242" xfId="0" applyFont="1" applyBorder="1" applyAlignment="1">
      <alignment horizontal="center" vertical="center"/>
    </xf>
    <xf numFmtId="0" fontId="36" fillId="0" borderId="243" xfId="0" applyFont="1" applyBorder="1" applyAlignment="1">
      <alignment horizontal="center" vertical="center"/>
    </xf>
    <xf numFmtId="0" fontId="36" fillId="0" borderId="244" xfId="0" applyFont="1" applyBorder="1" applyAlignment="1">
      <alignment horizontal="center" vertical="center"/>
    </xf>
    <xf numFmtId="0" fontId="55" fillId="7" borderId="51" xfId="0" applyFont="1" applyFill="1" applyBorder="1" applyAlignment="1">
      <alignment horizontal="center" vertical="center" wrapText="1"/>
    </xf>
    <xf numFmtId="168" fontId="17" fillId="7" borderId="51" xfId="0" applyNumberFormat="1" applyFont="1" applyFill="1" applyBorder="1" applyAlignment="1">
      <alignment horizontal="center" vertical="center"/>
    </xf>
    <xf numFmtId="0" fontId="30" fillId="0" borderId="0" xfId="0" applyFont="1"/>
    <xf numFmtId="0" fontId="17" fillId="0" borderId="180" xfId="0" applyFont="1" applyBorder="1" applyAlignment="1">
      <alignment wrapText="1"/>
    </xf>
    <xf numFmtId="0" fontId="5" fillId="0" borderId="51" xfId="0" applyFont="1" applyBorder="1" applyAlignment="1">
      <alignment horizontal="center" vertical="center"/>
    </xf>
    <xf numFmtId="0" fontId="55" fillId="0" borderId="51" xfId="0" applyFont="1" applyBorder="1" applyAlignment="1">
      <alignment horizontal="center" vertical="center" wrapText="1"/>
    </xf>
    <xf numFmtId="168" fontId="17" fillId="0" borderId="51" xfId="0" applyNumberFormat="1" applyFont="1" applyBorder="1" applyAlignment="1">
      <alignment horizontal="center" vertical="center"/>
    </xf>
    <xf numFmtId="0" fontId="54" fillId="0" borderId="257" xfId="0" applyFont="1" applyBorder="1" applyAlignment="1">
      <alignment wrapText="1"/>
    </xf>
    <xf numFmtId="0" fontId="54" fillId="0" borderId="122" xfId="0" applyFont="1" applyBorder="1" applyAlignment="1">
      <alignment wrapText="1"/>
    </xf>
    <xf numFmtId="0" fontId="54" fillId="0" borderId="261" xfId="0" applyFont="1" applyBorder="1" applyAlignment="1">
      <alignment wrapText="1"/>
    </xf>
    <xf numFmtId="0" fontId="17" fillId="0" borderId="180" xfId="0" applyFont="1" applyBorder="1" applyAlignment="1">
      <alignment horizontal="center" wrapText="1"/>
    </xf>
    <xf numFmtId="0" fontId="54" fillId="0" borderId="262" xfId="0" applyFont="1" applyBorder="1" applyAlignment="1">
      <alignment horizontal="center"/>
    </xf>
    <xf numFmtId="0" fontId="54" fillId="0" borderId="38" xfId="0" applyFont="1" applyBorder="1" applyAlignment="1">
      <alignment horizontal="center"/>
    </xf>
    <xf numFmtId="0" fontId="17" fillId="0" borderId="51" xfId="0" applyFont="1" applyBorder="1" applyAlignment="1">
      <alignment horizontal="center" vertical="center"/>
    </xf>
    <xf numFmtId="0" fontId="17" fillId="0" borderId="51" xfId="0" applyFont="1" applyBorder="1" applyAlignment="1">
      <alignment horizontal="center" vertical="center" wrapText="1"/>
    </xf>
    <xf numFmtId="0" fontId="5" fillId="0" borderId="51" xfId="0" applyFont="1" applyBorder="1" applyAlignment="1">
      <alignment horizontal="center" vertical="center" wrapText="1"/>
    </xf>
    <xf numFmtId="0" fontId="5" fillId="0" borderId="2" xfId="0" applyFont="1" applyBorder="1" applyAlignment="1">
      <alignment horizontal="left" vertical="center"/>
    </xf>
    <xf numFmtId="0" fontId="0" fillId="0" borderId="0" xfId="0" applyAlignment="1">
      <alignment horizontal="left" vertical="center" wrapText="1"/>
    </xf>
    <xf numFmtId="0" fontId="5" fillId="0" borderId="2" xfId="0" applyFont="1" applyBorder="1" applyAlignment="1">
      <alignment horizontal="left" vertical="center" wrapText="1"/>
    </xf>
    <xf numFmtId="0" fontId="5" fillId="0" borderId="0" xfId="0" applyFont="1" applyAlignment="1">
      <alignment horizontal="center"/>
    </xf>
    <xf numFmtId="0" fontId="5" fillId="0" borderId="2" xfId="0" applyFont="1" applyBorder="1" applyAlignment="1">
      <alignment horizontal="center"/>
    </xf>
    <xf numFmtId="0" fontId="48" fillId="0" borderId="0" xfId="5" applyFont="1" applyAlignment="1">
      <alignment horizontal="left"/>
    </xf>
    <xf numFmtId="0" fontId="5" fillId="0" borderId="0" xfId="0" applyFont="1" applyAlignment="1">
      <alignment horizontal="left" vertical="top" wrapText="1"/>
    </xf>
    <xf numFmtId="0" fontId="5" fillId="0" borderId="0" xfId="0" applyFont="1" applyAlignment="1">
      <alignment vertical="center" wrapText="1"/>
    </xf>
    <xf numFmtId="0" fontId="17" fillId="0" borderId="0" xfId="0" applyFont="1" applyAlignment="1">
      <alignment horizontal="left" vertical="center" wrapText="1"/>
    </xf>
    <xf numFmtId="0" fontId="17" fillId="0" borderId="148" xfId="0" applyFont="1" applyBorder="1" applyAlignment="1">
      <alignment horizontal="center" vertical="center"/>
    </xf>
    <xf numFmtId="0" fontId="5" fillId="0" borderId="2" xfId="0" applyFont="1" applyBorder="1" applyAlignment="1">
      <alignment horizontal="center" vertical="center"/>
    </xf>
    <xf numFmtId="0" fontId="5" fillId="0" borderId="32" xfId="0" applyFont="1" applyBorder="1" applyAlignment="1">
      <alignment horizontal="center" vertical="center"/>
    </xf>
    <xf numFmtId="0" fontId="20" fillId="0" borderId="0" xfId="0" applyFont="1" applyAlignment="1">
      <alignment horizontal="left" vertical="center"/>
    </xf>
    <xf numFmtId="0" fontId="5" fillId="0" borderId="0" xfId="0" applyFont="1" applyAlignment="1">
      <alignment horizontal="left" vertical="center" wrapText="1"/>
    </xf>
    <xf numFmtId="0" fontId="5" fillId="0" borderId="2" xfId="0" applyFont="1" applyBorder="1" applyAlignment="1">
      <alignment horizontal="center" vertical="center" wrapText="1"/>
    </xf>
    <xf numFmtId="0" fontId="6" fillId="6" borderId="2" xfId="0" applyFont="1" applyFill="1" applyBorder="1" applyAlignment="1">
      <alignment horizontal="center" vertical="center"/>
    </xf>
    <xf numFmtId="0" fontId="6" fillId="6" borderId="2" xfId="0" applyFont="1" applyFill="1" applyBorder="1" applyAlignment="1">
      <alignment horizontal="center" vertical="center" wrapText="1"/>
    </xf>
    <xf numFmtId="0" fontId="5" fillId="0" borderId="0" xfId="0" applyFont="1" applyAlignment="1">
      <alignment horizontal="center" vertical="center"/>
    </xf>
    <xf numFmtId="9" fontId="5" fillId="0" borderId="2" xfId="2" applyFont="1" applyBorder="1" applyAlignment="1">
      <alignment horizontal="center" vertical="center"/>
    </xf>
    <xf numFmtId="0" fontId="6" fillId="6" borderId="15" xfId="0" applyFont="1" applyFill="1" applyBorder="1" applyAlignment="1">
      <alignment horizontal="center" vertical="center"/>
    </xf>
    <xf numFmtId="0" fontId="15" fillId="6" borderId="2" xfId="0" applyFont="1" applyFill="1" applyBorder="1" applyAlignment="1">
      <alignment horizontal="center" vertical="center" wrapText="1"/>
    </xf>
    <xf numFmtId="0" fontId="6" fillId="6" borderId="0" xfId="0" applyFont="1" applyFill="1" applyAlignment="1">
      <alignment horizontal="center" vertical="center"/>
    </xf>
    <xf numFmtId="0" fontId="19" fillId="0" borderId="4" xfId="0" applyFont="1" applyBorder="1" applyAlignment="1">
      <alignment horizontal="center" vertical="center"/>
    </xf>
    <xf numFmtId="0" fontId="19" fillId="0" borderId="6" xfId="0" applyFont="1" applyBorder="1" applyAlignment="1">
      <alignment horizontal="center" vertical="center"/>
    </xf>
    <xf numFmtId="0" fontId="19" fillId="0" borderId="8" xfId="0" applyFont="1" applyBorder="1" applyAlignment="1">
      <alignment horizontal="center" vertical="center"/>
    </xf>
    <xf numFmtId="0" fontId="22" fillId="6" borderId="2" xfId="0" applyFont="1" applyFill="1" applyBorder="1" applyAlignment="1">
      <alignment horizontal="center" vertical="center"/>
    </xf>
    <xf numFmtId="9" fontId="5" fillId="0" borderId="0" xfId="2" applyFont="1" applyFill="1" applyBorder="1" applyAlignment="1">
      <alignment vertical="center"/>
    </xf>
    <xf numFmtId="10" fontId="56" fillId="0" borderId="0" xfId="0" applyNumberFormat="1" applyFont="1"/>
    <xf numFmtId="0" fontId="6" fillId="0" borderId="265" xfId="4" applyFont="1" applyBorder="1" applyAlignment="1">
      <alignment horizontal="center" vertical="center"/>
    </xf>
    <xf numFmtId="0" fontId="6" fillId="0" borderId="36" xfId="4" applyFont="1" applyBorder="1" applyAlignment="1">
      <alignment horizontal="center" vertical="center"/>
    </xf>
    <xf numFmtId="9" fontId="6" fillId="0" borderId="36" xfId="0" applyNumberFormat="1" applyFont="1" applyBorder="1" applyAlignment="1">
      <alignment horizontal="center"/>
    </xf>
    <xf numFmtId="0" fontId="29" fillId="0" borderId="0" xfId="0" applyFont="1" applyAlignment="1">
      <alignment vertical="center" wrapText="1"/>
    </xf>
    <xf numFmtId="0" fontId="29" fillId="0" borderId="0" xfId="0" applyFont="1" applyAlignment="1">
      <alignment vertical="center"/>
    </xf>
    <xf numFmtId="3" fontId="9" fillId="0" borderId="0" xfId="8" applyNumberFormat="1" applyFont="1" applyFill="1" applyBorder="1" applyAlignment="1"/>
    <xf numFmtId="3" fontId="5" fillId="0" borderId="0" xfId="0" applyNumberFormat="1" applyFont="1"/>
    <xf numFmtId="0" fontId="28" fillId="0" borderId="0" xfId="0" applyFont="1"/>
    <xf numFmtId="0" fontId="5" fillId="0" borderId="266" xfId="0" applyFont="1" applyBorder="1" applyAlignment="1">
      <alignment horizontal="center" vertical="center"/>
    </xf>
    <xf numFmtId="0" fontId="17" fillId="0" borderId="267" xfId="0" applyFont="1" applyBorder="1" applyAlignment="1">
      <alignment horizontal="center" vertical="center" wrapText="1"/>
    </xf>
    <xf numFmtId="0" fontId="0" fillId="0" borderId="2" xfId="0" applyBorder="1" applyAlignment="1">
      <alignment horizontal="center" vertical="center"/>
    </xf>
    <xf numFmtId="0" fontId="33" fillId="10" borderId="24" xfId="0" applyFont="1" applyFill="1" applyBorder="1" applyAlignment="1">
      <alignment horizontal="center" vertical="center" wrapText="1"/>
    </xf>
    <xf numFmtId="0" fontId="33" fillId="13" borderId="212" xfId="0" applyFont="1" applyFill="1" applyBorder="1" applyAlignment="1">
      <alignment horizontal="center" vertical="center"/>
    </xf>
    <xf numFmtId="0" fontId="33" fillId="13" borderId="110" xfId="0" applyFont="1" applyFill="1" applyBorder="1" applyAlignment="1">
      <alignment horizontal="center" vertical="center"/>
    </xf>
    <xf numFmtId="0" fontId="7" fillId="0" borderId="2" xfId="5" applyBorder="1" applyAlignment="1">
      <alignment horizontal="center" vertical="center" wrapText="1"/>
    </xf>
    <xf numFmtId="0" fontId="7" fillId="0" borderId="14" xfId="5" applyBorder="1" applyAlignment="1">
      <alignment horizontal="center" vertical="center" wrapText="1"/>
    </xf>
    <xf numFmtId="0" fontId="17" fillId="0" borderId="0" xfId="0" applyFont="1" applyAlignment="1">
      <alignment horizontal="left" vertical="top" wrapText="1"/>
    </xf>
    <xf numFmtId="0" fontId="5" fillId="0" borderId="0" xfId="0" applyFont="1" applyAlignment="1">
      <alignment horizontal="left" vertical="top" wrapText="1"/>
    </xf>
    <xf numFmtId="0" fontId="5" fillId="0" borderId="2" xfId="0" applyFont="1" applyBorder="1" applyAlignment="1">
      <alignment horizontal="center" vertical="center"/>
    </xf>
    <xf numFmtId="0" fontId="45" fillId="0" borderId="0" xfId="0" applyFont="1" applyAlignment="1">
      <alignment horizontal="left" vertical="center" wrapText="1"/>
    </xf>
    <xf numFmtId="0" fontId="0" fillId="0" borderId="0" xfId="0" applyAlignment="1">
      <alignment horizontal="left" vertical="center" wrapText="1"/>
    </xf>
    <xf numFmtId="9" fontId="5" fillId="0" borderId="0" xfId="0" applyNumberFormat="1" applyFont="1" applyAlignment="1">
      <alignment horizontal="left" vertical="center" wrapText="1"/>
    </xf>
    <xf numFmtId="0" fontId="33" fillId="10" borderId="0" xfId="0" applyFont="1" applyFill="1" applyAlignment="1">
      <alignment horizontal="center" vertical="center" wrapText="1"/>
    </xf>
    <xf numFmtId="0" fontId="5" fillId="0" borderId="33"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17" fillId="0" borderId="33" xfId="0" applyFont="1" applyBorder="1" applyAlignment="1">
      <alignment horizontal="center" vertical="center" wrapText="1"/>
    </xf>
    <xf numFmtId="0" fontId="17" fillId="0" borderId="31" xfId="0" applyFont="1" applyBorder="1" applyAlignment="1">
      <alignment horizontal="center" vertical="center"/>
    </xf>
    <xf numFmtId="0" fontId="17" fillId="0" borderId="32" xfId="0" applyFont="1" applyBorder="1" applyAlignment="1">
      <alignment horizontal="center" vertical="center"/>
    </xf>
    <xf numFmtId="0" fontId="17" fillId="0" borderId="46"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5" fillId="0" borderId="0" xfId="0" applyFont="1" applyAlignment="1">
      <alignment horizontal="left"/>
    </xf>
    <xf numFmtId="0" fontId="5" fillId="0" borderId="0" xfId="0" applyFont="1" applyAlignment="1">
      <alignment horizontal="left" vertical="center"/>
    </xf>
    <xf numFmtId="0" fontId="33" fillId="10" borderId="0" xfId="0" applyFont="1" applyFill="1" applyAlignment="1">
      <alignment horizontal="center" vertical="center"/>
    </xf>
    <xf numFmtId="0" fontId="48" fillId="0" borderId="0" xfId="5" applyFont="1" applyAlignment="1">
      <alignment horizontal="left"/>
    </xf>
    <xf numFmtId="0" fontId="5" fillId="0" borderId="0" xfId="0" applyFont="1" applyAlignment="1">
      <alignment vertical="center" wrapText="1"/>
    </xf>
    <xf numFmtId="0" fontId="17" fillId="0" borderId="0" xfId="0" applyFont="1" applyAlignment="1">
      <alignment horizontal="left" vertical="center" wrapText="1"/>
    </xf>
    <xf numFmtId="0" fontId="5" fillId="0" borderId="0" xfId="0" applyFont="1" applyAlignment="1">
      <alignment horizontal="left" wrapText="1"/>
    </xf>
    <xf numFmtId="0" fontId="57" fillId="10" borderId="0" xfId="0" applyFont="1" applyFill="1" applyAlignment="1">
      <alignment horizontal="center" vertical="center" wrapText="1"/>
    </xf>
    <xf numFmtId="0" fontId="5" fillId="6" borderId="37" xfId="0" applyFont="1" applyFill="1" applyBorder="1" applyAlignment="1">
      <alignment horizontal="center" vertical="center"/>
    </xf>
    <xf numFmtId="0" fontId="5" fillId="6" borderId="0" xfId="0" applyFont="1" applyFill="1" applyAlignment="1">
      <alignment horizontal="center" vertical="center"/>
    </xf>
    <xf numFmtId="0" fontId="5" fillId="0" borderId="2" xfId="0" applyFont="1" applyBorder="1" applyAlignment="1">
      <alignment horizontal="center" wrapText="1"/>
    </xf>
    <xf numFmtId="0" fontId="5" fillId="0" borderId="2" xfId="0" applyFont="1" applyBorder="1" applyAlignment="1">
      <alignment horizontal="center"/>
    </xf>
    <xf numFmtId="0" fontId="14" fillId="0" borderId="24" xfId="0" applyFont="1" applyBorder="1" applyAlignment="1">
      <alignment horizontal="left" vertical="center"/>
    </xf>
    <xf numFmtId="0" fontId="33" fillId="10" borderId="3" xfId="1" applyFont="1" applyFill="1" applyBorder="1" applyAlignment="1">
      <alignment horizontal="center" vertical="center" wrapText="1"/>
    </xf>
    <xf numFmtId="0" fontId="33" fillId="10" borderId="13" xfId="1" applyFont="1" applyFill="1" applyBorder="1" applyAlignment="1">
      <alignment horizontal="center" vertical="center" wrapText="1"/>
    </xf>
    <xf numFmtId="0" fontId="33" fillId="10" borderId="220" xfId="0" applyFont="1" applyFill="1" applyBorder="1" applyAlignment="1">
      <alignment horizontal="center" vertical="center"/>
    </xf>
    <xf numFmtId="0" fontId="47" fillId="0" borderId="154" xfId="0" applyFont="1" applyBorder="1" applyAlignment="1">
      <alignment horizontal="center" vertical="center"/>
    </xf>
    <xf numFmtId="0" fontId="47" fillId="0" borderId="145" xfId="0" applyFont="1" applyBorder="1" applyAlignment="1">
      <alignment horizontal="center" vertical="center"/>
    </xf>
    <xf numFmtId="0" fontId="47" fillId="0" borderId="146" xfId="0" applyFont="1" applyBorder="1" applyAlignment="1">
      <alignment horizontal="center" vertical="center"/>
    </xf>
    <xf numFmtId="0" fontId="17" fillId="0" borderId="156" xfId="0" applyFont="1" applyBorder="1" applyAlignment="1">
      <alignment horizontal="center" vertical="center"/>
    </xf>
    <xf numFmtId="0" fontId="17" fillId="0" borderId="147" xfId="0" applyFont="1" applyBorder="1" applyAlignment="1">
      <alignment horizontal="center" vertical="center"/>
    </xf>
    <xf numFmtId="0" fontId="17" fillId="0" borderId="148" xfId="0" applyFont="1" applyBorder="1" applyAlignment="1">
      <alignment horizontal="center" vertical="center"/>
    </xf>
    <xf numFmtId="0" fontId="38" fillId="0" borderId="151" xfId="0" applyFont="1" applyBorder="1" applyAlignment="1">
      <alignment horizontal="center" vertical="center"/>
    </xf>
    <xf numFmtId="0" fontId="38" fillId="0" borderId="152" xfId="0" applyFont="1" applyBorder="1" applyAlignment="1">
      <alignment horizontal="center" vertical="center"/>
    </xf>
    <xf numFmtId="0" fontId="38" fillId="0" borderId="153" xfId="0" applyFont="1" applyBorder="1" applyAlignment="1">
      <alignment horizontal="center" vertical="center"/>
    </xf>
    <xf numFmtId="0" fontId="20" fillId="0" borderId="0" xfId="0" applyFont="1" applyAlignment="1">
      <alignment horizontal="center" vertical="center"/>
    </xf>
    <xf numFmtId="0" fontId="47" fillId="0" borderId="10" xfId="0" applyFont="1" applyBorder="1" applyAlignment="1">
      <alignment horizontal="center" vertical="center"/>
    </xf>
    <xf numFmtId="0" fontId="47" fillId="0" borderId="11" xfId="0" applyFont="1" applyBorder="1" applyAlignment="1">
      <alignment horizontal="center" vertical="center"/>
    </xf>
    <xf numFmtId="0" fontId="47" fillId="0" borderId="159" xfId="0" applyFont="1" applyBorder="1" applyAlignment="1">
      <alignment horizontal="center" vertical="center"/>
    </xf>
    <xf numFmtId="0" fontId="17" fillId="0" borderId="157" xfId="0" applyFont="1" applyBorder="1" applyAlignment="1">
      <alignment horizontal="center" vertical="center"/>
    </xf>
    <xf numFmtId="0" fontId="17" fillId="0" borderId="149" xfId="0" applyFont="1" applyBorder="1" applyAlignment="1">
      <alignment horizontal="center" vertical="center"/>
    </xf>
    <xf numFmtId="0" fontId="17" fillId="0" borderId="150" xfId="0" applyFont="1" applyBorder="1" applyAlignment="1">
      <alignment horizontal="center" vertical="center"/>
    </xf>
    <xf numFmtId="167" fontId="17" fillId="0" borderId="38" xfId="0" applyNumberFormat="1" applyFont="1" applyBorder="1" applyAlignment="1">
      <alignment horizontal="center" vertical="center" wrapText="1"/>
    </xf>
    <xf numFmtId="0" fontId="17" fillId="0" borderId="33" xfId="0" applyFont="1" applyBorder="1" applyAlignment="1">
      <alignment horizontal="center" vertical="center"/>
    </xf>
    <xf numFmtId="0" fontId="33" fillId="10" borderId="45" xfId="0" applyFont="1" applyFill="1" applyBorder="1" applyAlignment="1">
      <alignment horizontal="center" vertical="center"/>
    </xf>
    <xf numFmtId="0" fontId="6" fillId="6" borderId="34" xfId="0" applyFont="1" applyFill="1" applyBorder="1" applyAlignment="1">
      <alignment horizontal="center" vertical="center" wrapText="1"/>
    </xf>
    <xf numFmtId="0" fontId="6" fillId="6" borderId="35" xfId="0" applyFont="1" applyFill="1" applyBorder="1" applyAlignment="1">
      <alignment horizontal="center" vertical="center" wrapText="1"/>
    </xf>
    <xf numFmtId="0" fontId="6" fillId="6" borderId="36" xfId="0" applyFont="1" applyFill="1" applyBorder="1" applyAlignment="1">
      <alignment horizontal="center" vertical="center" wrapText="1"/>
    </xf>
    <xf numFmtId="0" fontId="5" fillId="0" borderId="51" xfId="0" applyFont="1" applyBorder="1" applyAlignment="1">
      <alignment horizontal="center" vertical="center" wrapText="1"/>
    </xf>
    <xf numFmtId="0" fontId="5" fillId="0" borderId="51" xfId="0" applyFont="1" applyBorder="1" applyAlignment="1">
      <alignment horizontal="center" vertical="center"/>
    </xf>
    <xf numFmtId="0" fontId="5" fillId="0" borderId="0" xfId="0" applyFont="1" applyAlignment="1">
      <alignment horizontal="center"/>
    </xf>
    <xf numFmtId="0" fontId="9" fillId="0" borderId="0" xfId="0" applyFont="1" applyAlignment="1">
      <alignment horizontal="left" wrapText="1"/>
    </xf>
    <xf numFmtId="0" fontId="9" fillId="0" borderId="0" xfId="0" applyFont="1" applyAlignment="1">
      <alignment horizontal="center" wrapText="1"/>
    </xf>
    <xf numFmtId="0" fontId="25" fillId="0" borderId="0" xfId="0" applyFont="1" applyAlignment="1">
      <alignment horizontal="center" vertical="center"/>
    </xf>
    <xf numFmtId="0" fontId="1" fillId="0" borderId="51" xfId="0" applyFont="1" applyBorder="1" applyAlignment="1">
      <alignment horizontal="center" vertical="center" wrapText="1"/>
    </xf>
    <xf numFmtId="0" fontId="0" fillId="0" borderId="0" xfId="0" applyAlignment="1">
      <alignment horizontal="left" wrapText="1"/>
    </xf>
    <xf numFmtId="0" fontId="17" fillId="0" borderId="258" xfId="0" applyFont="1" applyBorder="1" applyAlignment="1">
      <alignment vertical="center"/>
    </xf>
    <xf numFmtId="0" fontId="17" fillId="0" borderId="236" xfId="0" applyFont="1" applyBorder="1" applyAlignment="1">
      <alignment vertical="center"/>
    </xf>
    <xf numFmtId="0" fontId="17" fillId="0" borderId="263" xfId="0" applyFont="1" applyBorder="1" applyAlignment="1">
      <alignment vertical="center"/>
    </xf>
    <xf numFmtId="0" fontId="17" fillId="0" borderId="260" xfId="0" applyFont="1" applyBorder="1" applyAlignment="1">
      <alignment vertical="center"/>
    </xf>
    <xf numFmtId="0" fontId="17" fillId="0" borderId="259" xfId="0" applyFont="1" applyBorder="1" applyAlignment="1">
      <alignment vertical="center"/>
    </xf>
    <xf numFmtId="0" fontId="17" fillId="0" borderId="264" xfId="0" applyFont="1" applyBorder="1" applyAlignment="1">
      <alignment vertical="center"/>
    </xf>
    <xf numFmtId="10" fontId="17" fillId="0" borderId="192" xfId="0" applyNumberFormat="1" applyFont="1" applyBorder="1" applyAlignment="1">
      <alignment horizontal="left" vertical="center"/>
    </xf>
    <xf numFmtId="0" fontId="17" fillId="0" borderId="192" xfId="0" applyFont="1" applyBorder="1" applyAlignment="1">
      <alignment horizontal="left" vertical="center"/>
    </xf>
    <xf numFmtId="0" fontId="17" fillId="0" borderId="51" xfId="0" applyFont="1" applyBorder="1" applyAlignment="1">
      <alignment horizontal="center" vertical="center"/>
    </xf>
    <xf numFmtId="0" fontId="17" fillId="0" borderId="51" xfId="0" applyFont="1" applyBorder="1" applyAlignment="1">
      <alignment horizontal="center" vertical="center" wrapText="1"/>
    </xf>
    <xf numFmtId="0" fontId="0" fillId="0" borderId="184" xfId="0" applyBorder="1" applyAlignment="1">
      <alignment horizontal="center" vertical="center" wrapText="1"/>
    </xf>
    <xf numFmtId="0" fontId="0" fillId="0" borderId="185" xfId="0" applyBorder="1" applyAlignment="1">
      <alignment horizontal="center" vertical="center" wrapText="1"/>
    </xf>
    <xf numFmtId="0" fontId="0" fillId="0" borderId="186" xfId="0" applyBorder="1" applyAlignment="1">
      <alignment horizontal="center" vertical="center" wrapText="1"/>
    </xf>
    <xf numFmtId="0" fontId="46" fillId="0" borderId="187" xfId="0" applyFont="1" applyBorder="1" applyAlignment="1">
      <alignment horizontal="center" vertical="center" wrapText="1"/>
    </xf>
    <xf numFmtId="0" fontId="46" fillId="0" borderId="47" xfId="0" applyFont="1" applyBorder="1" applyAlignment="1">
      <alignment horizontal="center" vertical="center" wrapText="1"/>
    </xf>
    <xf numFmtId="0" fontId="46" fillId="0" borderId="180" xfId="0" applyFont="1" applyBorder="1" applyAlignment="1">
      <alignment horizontal="center" vertical="center" wrapText="1"/>
    </xf>
    <xf numFmtId="0" fontId="0" fillId="0" borderId="38" xfId="0" applyBorder="1" applyAlignment="1">
      <alignment horizontal="center" vertical="center" wrapText="1"/>
    </xf>
    <xf numFmtId="0" fontId="46" fillId="0" borderId="38" xfId="0" applyFont="1" applyBorder="1" applyAlignment="1">
      <alignment horizontal="center" vertical="center" wrapText="1"/>
    </xf>
    <xf numFmtId="0" fontId="20" fillId="0" borderId="0" xfId="0" applyFont="1" applyAlignment="1">
      <alignment horizontal="left" vertical="center"/>
    </xf>
    <xf numFmtId="0" fontId="20" fillId="0" borderId="0" xfId="0" applyFont="1" applyAlignment="1">
      <alignment horizontal="left" vertical="center" wrapText="1"/>
    </xf>
    <xf numFmtId="0" fontId="5" fillId="0" borderId="0" xfId="0" applyFont="1" applyAlignment="1">
      <alignment horizontal="left" vertical="center" wrapText="1"/>
    </xf>
    <xf numFmtId="0" fontId="33" fillId="10" borderId="110" xfId="0" applyFont="1" applyFill="1" applyBorder="1" applyAlignment="1">
      <alignment horizontal="center" vertical="center" wrapText="1"/>
    </xf>
    <xf numFmtId="0" fontId="33" fillId="10" borderId="23" xfId="0" applyFont="1" applyFill="1" applyBorder="1" applyAlignment="1">
      <alignment horizontal="center" vertical="center" wrapText="1"/>
    </xf>
    <xf numFmtId="0" fontId="17" fillId="0" borderId="201" xfId="0" applyFont="1" applyBorder="1" applyAlignment="1">
      <alignment horizontal="center" vertical="center" wrapText="1"/>
    </xf>
    <xf numFmtId="0" fontId="17" fillId="0" borderId="206" xfId="0" applyFont="1" applyBorder="1" applyAlignment="1">
      <alignment horizontal="center" vertical="center" wrapText="1"/>
    </xf>
    <xf numFmtId="0" fontId="33" fillId="10" borderId="193" xfId="0" applyFont="1" applyFill="1" applyBorder="1" applyAlignment="1">
      <alignment horizontal="center" vertical="center" wrapText="1"/>
    </xf>
    <xf numFmtId="0" fontId="33" fillId="10" borderId="192" xfId="0" applyFont="1" applyFill="1" applyBorder="1" applyAlignment="1">
      <alignment horizontal="center" vertical="center" wrapText="1"/>
    </xf>
    <xf numFmtId="0" fontId="47" fillId="18" borderId="15" xfId="14" applyFont="1" applyFill="1" applyBorder="1" applyAlignment="1">
      <alignment horizontal="center" vertical="center" wrapText="1"/>
    </xf>
    <xf numFmtId="0" fontId="47" fillId="18" borderId="210" xfId="14" applyFont="1" applyFill="1" applyBorder="1" applyAlignment="1">
      <alignment horizontal="center" vertical="center" wrapText="1"/>
    </xf>
    <xf numFmtId="0" fontId="47" fillId="18" borderId="211" xfId="14" applyFont="1" applyFill="1" applyBorder="1" applyAlignment="1">
      <alignment horizontal="center" vertical="center" wrapText="1"/>
    </xf>
    <xf numFmtId="0" fontId="33" fillId="17" borderId="190" xfId="14" applyFont="1" applyFill="1" applyBorder="1" applyAlignment="1">
      <alignment horizontal="center" vertical="center" wrapText="1"/>
    </xf>
    <xf numFmtId="0" fontId="33" fillId="17" borderId="0" xfId="14" applyFont="1" applyFill="1" applyAlignment="1">
      <alignment horizontal="center" vertical="center" wrapText="1"/>
    </xf>
    <xf numFmtId="43" fontId="47" fillId="0" borderId="3" xfId="6" applyFont="1" applyBorder="1" applyAlignment="1">
      <alignment horizontal="center" vertical="center"/>
    </xf>
    <xf numFmtId="43" fontId="47" fillId="0" borderId="13" xfId="6" applyFont="1" applyBorder="1" applyAlignment="1">
      <alignment horizontal="center" vertical="center"/>
    </xf>
    <xf numFmtId="43" fontId="47" fillId="0" borderId="14" xfId="6" applyFont="1" applyBorder="1" applyAlignment="1">
      <alignment horizontal="center" vertical="center"/>
    </xf>
    <xf numFmtId="43" fontId="17" fillId="0" borderId="15" xfId="6" applyFont="1" applyBorder="1" applyAlignment="1">
      <alignment horizontal="center" vertical="center" wrapText="1"/>
    </xf>
    <xf numFmtId="43" fontId="17" fillId="0" borderId="22" xfId="6" applyFont="1" applyBorder="1" applyAlignment="1">
      <alignment horizontal="center" vertical="center" wrapText="1"/>
    </xf>
    <xf numFmtId="0" fontId="5" fillId="0" borderId="164" xfId="0" applyFont="1" applyBorder="1" applyAlignment="1">
      <alignment horizontal="center" vertical="center" wrapText="1"/>
    </xf>
    <xf numFmtId="0" fontId="6" fillId="0" borderId="24" xfId="0" applyFont="1" applyBorder="1" applyAlignment="1">
      <alignment horizontal="center"/>
    </xf>
    <xf numFmtId="0" fontId="5" fillId="0" borderId="2" xfId="0" applyFont="1" applyBorder="1" applyAlignment="1">
      <alignment horizontal="center" vertical="center" wrapText="1"/>
    </xf>
    <xf numFmtId="0" fontId="33" fillId="10" borderId="20" xfId="0" applyFont="1" applyFill="1" applyBorder="1" applyAlignment="1">
      <alignment horizontal="center" vertical="center" wrapText="1"/>
    </xf>
    <xf numFmtId="0" fontId="6" fillId="6" borderId="2" xfId="0" applyFont="1" applyFill="1" applyBorder="1" applyAlignment="1">
      <alignment horizontal="center" vertical="center"/>
    </xf>
    <xf numFmtId="0" fontId="6" fillId="6" borderId="2" xfId="0" applyFont="1" applyFill="1" applyBorder="1" applyAlignment="1">
      <alignment horizontal="center" vertical="center" wrapText="1"/>
    </xf>
    <xf numFmtId="0" fontId="33" fillId="10" borderId="24" xfId="0" applyFont="1" applyFill="1" applyBorder="1" applyAlignment="1">
      <alignment horizontal="center" vertical="center"/>
    </xf>
    <xf numFmtId="0" fontId="22" fillId="6" borderId="107" xfId="0" applyFont="1" applyFill="1" applyBorder="1" applyAlignment="1">
      <alignment horizontal="center" vertical="center" wrapText="1"/>
    </xf>
    <xf numFmtId="0" fontId="22" fillId="6" borderId="70" xfId="0" applyFont="1" applyFill="1" applyBorder="1" applyAlignment="1">
      <alignment horizontal="center" vertical="center" wrapText="1"/>
    </xf>
    <xf numFmtId="0" fontId="5" fillId="7" borderId="2" xfId="0" applyFont="1" applyFill="1" applyBorder="1" applyAlignment="1">
      <alignment horizontal="left" vertical="center"/>
    </xf>
    <xf numFmtId="0" fontId="33" fillId="10" borderId="2" xfId="0" applyFont="1" applyFill="1" applyBorder="1" applyAlignment="1">
      <alignment horizontal="center" vertical="center"/>
    </xf>
    <xf numFmtId="0" fontId="5" fillId="0" borderId="15"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2" xfId="0" applyFont="1" applyBorder="1" applyAlignment="1">
      <alignment horizontal="center" vertical="center" wrapText="1"/>
    </xf>
    <xf numFmtId="0" fontId="19" fillId="0" borderId="68" xfId="0" applyFont="1" applyBorder="1" applyAlignment="1">
      <alignment horizontal="center" vertical="center" wrapText="1"/>
    </xf>
    <xf numFmtId="0" fontId="19" fillId="0" borderId="62" xfId="0" applyFont="1" applyBorder="1" applyAlignment="1">
      <alignment horizontal="center" vertical="center" wrapText="1"/>
    </xf>
    <xf numFmtId="0" fontId="19" fillId="0" borderId="72" xfId="0" applyFont="1" applyBorder="1" applyAlignment="1">
      <alignment horizontal="center" vertical="center" wrapText="1"/>
    </xf>
    <xf numFmtId="0" fontId="19" fillId="0" borderId="63" xfId="0" applyFont="1" applyBorder="1" applyAlignment="1">
      <alignment horizontal="center" vertical="center" wrapText="1"/>
    </xf>
    <xf numFmtId="0" fontId="19" fillId="0" borderId="66" xfId="0" applyFont="1" applyBorder="1" applyAlignment="1">
      <alignment horizontal="center" vertical="center" wrapText="1"/>
    </xf>
    <xf numFmtId="0" fontId="19" fillId="0" borderId="56" xfId="0" applyFont="1" applyBorder="1" applyAlignment="1">
      <alignment horizontal="center" vertical="center" wrapText="1"/>
    </xf>
    <xf numFmtId="0" fontId="19" fillId="0" borderId="99" xfId="0" applyFont="1" applyBorder="1" applyAlignment="1">
      <alignment horizontal="center" vertical="center" wrapText="1"/>
    </xf>
    <xf numFmtId="0" fontId="19" fillId="0" borderId="100" xfId="0" applyFont="1" applyBorder="1" applyAlignment="1">
      <alignment horizontal="center" vertical="center" wrapText="1"/>
    </xf>
    <xf numFmtId="0" fontId="19" fillId="0" borderId="58" xfId="0" applyFont="1" applyBorder="1" applyAlignment="1">
      <alignment horizontal="center" vertical="center" wrapText="1"/>
    </xf>
    <xf numFmtId="0" fontId="19" fillId="0" borderId="89" xfId="0" applyFont="1" applyBorder="1" applyAlignment="1">
      <alignment horizontal="center" vertical="center" wrapText="1"/>
    </xf>
    <xf numFmtId="0" fontId="19" fillId="0" borderId="59" xfId="0" applyFont="1" applyBorder="1" applyAlignment="1">
      <alignment horizontal="center" vertical="center" wrapText="1"/>
    </xf>
    <xf numFmtId="0" fontId="19" fillId="0" borderId="106" xfId="0" applyFont="1" applyBorder="1" applyAlignment="1">
      <alignment horizontal="center" vertical="center" wrapText="1"/>
    </xf>
    <xf numFmtId="0" fontId="19" fillId="0" borderId="98" xfId="0" applyFont="1" applyBorder="1" applyAlignment="1">
      <alignment horizontal="center" vertical="center" wrapText="1"/>
    </xf>
    <xf numFmtId="0" fontId="19" fillId="0" borderId="101" xfId="0" applyFont="1" applyBorder="1" applyAlignment="1">
      <alignment horizontal="center" vertical="center" wrapText="1"/>
    </xf>
    <xf numFmtId="0" fontId="19" fillId="0" borderId="93" xfId="0" applyFont="1" applyBorder="1" applyAlignment="1">
      <alignment horizontal="center" vertical="center" wrapText="1"/>
    </xf>
    <xf numFmtId="0" fontId="42" fillId="0" borderId="234" xfId="0" applyFont="1" applyBorder="1" applyAlignment="1">
      <alignment horizontal="center" vertical="center" wrapText="1"/>
    </xf>
    <xf numFmtId="0" fontId="42" fillId="0" borderId="107" xfId="0" applyFont="1" applyBorder="1" applyAlignment="1">
      <alignment horizontal="center" vertical="center" wrapText="1"/>
    </xf>
    <xf numFmtId="0" fontId="42" fillId="0" borderId="235" xfId="0" applyFont="1" applyBorder="1" applyAlignment="1">
      <alignment horizontal="center" vertical="center" wrapText="1"/>
    </xf>
    <xf numFmtId="0" fontId="19" fillId="0" borderId="163" xfId="0" applyFont="1" applyBorder="1" applyAlignment="1">
      <alignment horizontal="center" vertical="center" wrapText="1"/>
    </xf>
    <xf numFmtId="0" fontId="19" fillId="0" borderId="176" xfId="0" applyFont="1" applyBorder="1" applyAlignment="1">
      <alignment horizontal="center" vertical="center" wrapText="1"/>
    </xf>
    <xf numFmtId="0" fontId="42" fillId="0" borderId="162" xfId="0" applyFont="1" applyBorder="1" applyAlignment="1">
      <alignment horizontal="center" vertical="center" wrapText="1"/>
    </xf>
    <xf numFmtId="0" fontId="42" fillId="0" borderId="61"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62" xfId="0" applyFont="1" applyBorder="1" applyAlignment="1">
      <alignment horizontal="center" vertical="center"/>
    </xf>
    <xf numFmtId="0" fontId="42" fillId="0" borderId="65" xfId="0" applyFont="1" applyBorder="1" applyAlignment="1">
      <alignment horizontal="center" vertical="center"/>
    </xf>
    <xf numFmtId="0" fontId="42" fillId="0" borderId="55" xfId="0" applyFont="1" applyBorder="1" applyAlignment="1">
      <alignment horizontal="center" vertical="center" wrapText="1"/>
    </xf>
    <xf numFmtId="0" fontId="42" fillId="0" borderId="51" xfId="0" applyFont="1" applyBorder="1" applyAlignment="1">
      <alignment horizontal="center" vertical="center" wrapText="1"/>
    </xf>
    <xf numFmtId="0" fontId="42" fillId="0" borderId="76" xfId="0" applyFont="1" applyBorder="1" applyAlignment="1">
      <alignment horizontal="center" vertical="center" wrapText="1"/>
    </xf>
    <xf numFmtId="0" fontId="19" fillId="0" borderId="65" xfId="0" applyFont="1" applyBorder="1" applyAlignment="1">
      <alignment horizontal="center" vertical="center" wrapText="1"/>
    </xf>
    <xf numFmtId="0" fontId="19" fillId="0" borderId="92" xfId="0" applyFont="1" applyBorder="1" applyAlignment="1">
      <alignment horizontal="center" vertical="center" wrapText="1"/>
    </xf>
    <xf numFmtId="0" fontId="19" fillId="0" borderId="94" xfId="0" applyFont="1" applyBorder="1" applyAlignment="1">
      <alignment horizontal="center" vertical="center" wrapText="1"/>
    </xf>
    <xf numFmtId="0" fontId="19" fillId="0" borderId="95" xfId="0" applyFont="1" applyBorder="1" applyAlignment="1">
      <alignment horizontal="center" vertical="center" wrapText="1"/>
    </xf>
    <xf numFmtId="0" fontId="19" fillId="0" borderId="55" xfId="0" applyFont="1" applyBorder="1" applyAlignment="1">
      <alignment horizontal="center" vertical="center"/>
    </xf>
    <xf numFmtId="0" fontId="19" fillId="0" borderId="51" xfId="0" applyFont="1" applyBorder="1" applyAlignment="1">
      <alignment horizontal="center" vertical="center"/>
    </xf>
    <xf numFmtId="0" fontId="19" fillId="0" borderId="76" xfId="0" applyFont="1" applyBorder="1" applyAlignment="1">
      <alignment horizontal="center" vertical="center"/>
    </xf>
    <xf numFmtId="0" fontId="47" fillId="6" borderId="161" xfId="0" applyFont="1" applyFill="1" applyBorder="1" applyAlignment="1">
      <alignment horizontal="center" vertical="center"/>
    </xf>
    <xf numFmtId="0" fontId="47" fillId="6" borderId="133" xfId="0" applyFont="1" applyFill="1" applyBorder="1" applyAlignment="1">
      <alignment horizontal="center" vertical="center"/>
    </xf>
    <xf numFmtId="0" fontId="47" fillId="6" borderId="195" xfId="0" applyFont="1" applyFill="1" applyBorder="1" applyAlignment="1">
      <alignment horizontal="center" vertical="center"/>
    </xf>
    <xf numFmtId="0" fontId="47" fillId="6" borderId="196" xfId="0" applyFont="1" applyFill="1" applyBorder="1" applyAlignment="1">
      <alignment horizontal="center" vertical="center"/>
    </xf>
    <xf numFmtId="0" fontId="42" fillId="0" borderId="54" xfId="0" applyFont="1" applyBorder="1" applyAlignment="1">
      <alignment horizontal="center" vertical="center" wrapText="1"/>
    </xf>
    <xf numFmtId="0" fontId="42" fillId="0" borderId="56" xfId="0" applyFont="1" applyBorder="1" applyAlignment="1">
      <alignment horizontal="center" vertical="center" wrapText="1"/>
    </xf>
    <xf numFmtId="0" fontId="19" fillId="0" borderId="168" xfId="0" applyFont="1" applyBorder="1" applyAlignment="1">
      <alignment horizontal="center" vertical="center" wrapText="1"/>
    </xf>
    <xf numFmtId="0" fontId="19" fillId="0" borderId="51" xfId="0" applyFont="1" applyBorder="1" applyAlignment="1">
      <alignment horizontal="center" vertical="center" wrapText="1"/>
    </xf>
    <xf numFmtId="0" fontId="19" fillId="0" borderId="175" xfId="0" applyFont="1" applyBorder="1" applyAlignment="1">
      <alignment horizontal="center" vertical="center" wrapText="1"/>
    </xf>
    <xf numFmtId="0" fontId="24" fillId="0" borderId="93" xfId="0" applyFont="1" applyBorder="1" applyAlignment="1">
      <alignment horizontal="center" vertical="center" wrapText="1"/>
    </xf>
    <xf numFmtId="0" fontId="24" fillId="0" borderId="96" xfId="0" applyFont="1" applyBorder="1" applyAlignment="1">
      <alignment horizontal="center" vertical="center" wrapText="1"/>
    </xf>
    <xf numFmtId="0" fontId="42" fillId="0" borderId="57" xfId="0" applyFont="1" applyBorder="1" applyAlignment="1">
      <alignment horizontal="center" vertical="center"/>
    </xf>
    <xf numFmtId="0" fontId="42" fillId="0" borderId="58" xfId="0" applyFont="1" applyBorder="1" applyAlignment="1">
      <alignment horizontal="center" vertical="center" wrapText="1"/>
    </xf>
    <xf numFmtId="0" fontId="42" fillId="0" borderId="250" xfId="0" applyFont="1" applyBorder="1" applyAlignment="1">
      <alignment horizontal="center" vertical="center" wrapText="1"/>
    </xf>
    <xf numFmtId="0" fontId="42" fillId="0" borderId="172" xfId="0" applyFont="1" applyBorder="1" applyAlignment="1">
      <alignment horizontal="center" vertical="center" wrapText="1"/>
    </xf>
    <xf numFmtId="0" fontId="42" fillId="0" borderId="173" xfId="0" applyFont="1" applyBorder="1" applyAlignment="1">
      <alignment horizontal="center" vertical="center" wrapText="1"/>
    </xf>
    <xf numFmtId="0" fontId="42" fillId="0" borderId="174" xfId="0" applyFont="1" applyBorder="1" applyAlignment="1">
      <alignment horizontal="center" vertical="center"/>
    </xf>
    <xf numFmtId="0" fontId="42" fillId="0" borderId="175" xfId="0" applyFont="1" applyBorder="1" applyAlignment="1">
      <alignment horizontal="center" vertical="center" wrapText="1"/>
    </xf>
    <xf numFmtId="0" fontId="19" fillId="0" borderId="169" xfId="0" applyFont="1" applyBorder="1" applyAlignment="1">
      <alignment horizontal="center" vertical="center" wrapText="1"/>
    </xf>
    <xf numFmtId="0" fontId="19" fillId="0" borderId="61" xfId="0" applyFont="1" applyBorder="1" applyAlignment="1">
      <alignment horizontal="center" vertical="center" wrapText="1"/>
    </xf>
    <xf numFmtId="0" fontId="19" fillId="0" borderId="64" xfId="0" applyFont="1" applyBorder="1" applyAlignment="1">
      <alignment horizontal="center" vertical="center" wrapText="1"/>
    </xf>
    <xf numFmtId="0" fontId="19" fillId="0" borderId="57" xfId="0" applyFont="1" applyBorder="1" applyAlignment="1">
      <alignment horizontal="center" vertical="center"/>
    </xf>
    <xf numFmtId="0" fontId="19" fillId="0" borderId="62" xfId="0" applyFont="1" applyBorder="1" applyAlignment="1">
      <alignment horizontal="center" vertical="center"/>
    </xf>
    <xf numFmtId="0" fontId="19" fillId="0" borderId="85" xfId="0" applyFont="1" applyBorder="1" applyAlignment="1">
      <alignment horizontal="center" vertical="center" wrapText="1"/>
    </xf>
    <xf numFmtId="0" fontId="19" fillId="0" borderId="86" xfId="0" applyFont="1" applyBorder="1" applyAlignment="1">
      <alignment horizontal="center" vertical="center" wrapText="1"/>
    </xf>
    <xf numFmtId="0" fontId="19" fillId="0" borderId="135" xfId="0" applyFont="1" applyBorder="1" applyAlignment="1">
      <alignment horizontal="center" vertical="center" wrapText="1"/>
    </xf>
    <xf numFmtId="0" fontId="19" fillId="0" borderId="90" xfId="0" applyFont="1" applyBorder="1" applyAlignment="1">
      <alignment horizontal="center" vertical="center" wrapText="1"/>
    </xf>
    <xf numFmtId="0" fontId="19" fillId="0" borderId="91" xfId="0" applyFont="1" applyBorder="1" applyAlignment="1">
      <alignment horizontal="center" vertical="center" wrapText="1"/>
    </xf>
    <xf numFmtId="0" fontId="19" fillId="0" borderId="256" xfId="0" applyFont="1" applyBorder="1" applyAlignment="1">
      <alignment horizontal="center" vertical="center" wrapText="1"/>
    </xf>
    <xf numFmtId="0" fontId="19" fillId="0" borderId="166" xfId="0" applyFont="1" applyBorder="1" applyAlignment="1">
      <alignment horizontal="center" vertical="center" wrapText="1"/>
    </xf>
    <xf numFmtId="0" fontId="19" fillId="0" borderId="172" xfId="0" applyFont="1" applyBorder="1" applyAlignment="1">
      <alignment horizontal="center" vertical="center" wrapText="1"/>
    </xf>
    <xf numFmtId="0" fontId="19" fillId="0" borderId="173" xfId="0" applyFont="1" applyBorder="1" applyAlignment="1">
      <alignment horizontal="center" vertical="center" wrapText="1"/>
    </xf>
    <xf numFmtId="0" fontId="19" fillId="0" borderId="167" xfId="0" applyFont="1" applyBorder="1" applyAlignment="1">
      <alignment horizontal="center" vertical="center"/>
    </xf>
    <xf numFmtId="0" fontId="19" fillId="0" borderId="174" xfId="0" applyFont="1" applyBorder="1" applyAlignment="1">
      <alignment horizontal="center" vertical="center"/>
    </xf>
    <xf numFmtId="0" fontId="19" fillId="0" borderId="251" xfId="0" applyFont="1" applyBorder="1" applyAlignment="1">
      <alignment horizontal="center" vertical="center" wrapText="1"/>
    </xf>
    <xf numFmtId="0" fontId="19" fillId="0" borderId="254" xfId="0" applyFont="1" applyBorder="1" applyAlignment="1">
      <alignment horizontal="center" vertical="center" wrapText="1"/>
    </xf>
    <xf numFmtId="0" fontId="19" fillId="0" borderId="252" xfId="0" applyFont="1" applyBorder="1" applyAlignment="1">
      <alignment horizontal="center" vertical="center" wrapText="1"/>
    </xf>
    <xf numFmtId="0" fontId="19" fillId="0" borderId="253" xfId="0" applyFont="1" applyBorder="1" applyAlignment="1">
      <alignment horizontal="center" vertical="center" wrapText="1"/>
    </xf>
    <xf numFmtId="0" fontId="19" fillId="0" borderId="255" xfId="0" applyFont="1" applyBorder="1" applyAlignment="1">
      <alignment horizontal="center" vertical="center" wrapText="1"/>
    </xf>
    <xf numFmtId="0" fontId="19" fillId="0" borderId="65" xfId="0" applyFont="1" applyBorder="1" applyAlignment="1">
      <alignment horizontal="center" vertical="center"/>
    </xf>
    <xf numFmtId="0" fontId="19" fillId="0" borderId="55" xfId="0" applyFont="1" applyBorder="1" applyAlignment="1">
      <alignment horizontal="center" vertical="center" wrapText="1"/>
    </xf>
    <xf numFmtId="0" fontId="19" fillId="0" borderId="54" xfId="0" applyFont="1" applyBorder="1" applyAlignment="1">
      <alignment horizontal="center" vertical="center" wrapText="1"/>
    </xf>
    <xf numFmtId="0" fontId="42" fillId="0" borderId="166" xfId="0" applyFont="1" applyBorder="1" applyAlignment="1">
      <alignment horizontal="center" vertical="center" wrapText="1"/>
    </xf>
    <xf numFmtId="0" fontId="42" fillId="0" borderId="245" xfId="0" applyFont="1" applyBorder="1" applyAlignment="1">
      <alignment horizontal="center" vertical="center"/>
    </xf>
    <xf numFmtId="0" fontId="42" fillId="0" borderId="236" xfId="0" applyFont="1" applyBorder="1" applyAlignment="1">
      <alignment horizontal="center" vertical="center"/>
    </xf>
    <xf numFmtId="0" fontId="42" fillId="0" borderId="248" xfId="0" applyFont="1" applyBorder="1" applyAlignment="1">
      <alignment horizontal="center" vertical="center"/>
    </xf>
    <xf numFmtId="0" fontId="42" fillId="0" borderId="245" xfId="0" applyFont="1" applyBorder="1" applyAlignment="1">
      <alignment horizontal="center" vertical="center" wrapText="1"/>
    </xf>
    <xf numFmtId="0" fontId="42" fillId="0" borderId="236" xfId="0" applyFont="1" applyBorder="1" applyAlignment="1">
      <alignment horizontal="center" vertical="center" wrapText="1"/>
    </xf>
    <xf numFmtId="0" fontId="42" fillId="0" borderId="248" xfId="0" applyFont="1" applyBorder="1" applyAlignment="1">
      <alignment horizontal="center" vertical="center" wrapText="1"/>
    </xf>
    <xf numFmtId="0" fontId="36" fillId="0" borderId="246" xfId="0" applyFont="1" applyBorder="1" applyAlignment="1">
      <alignment horizontal="center" vertical="center" wrapText="1"/>
    </xf>
    <xf numFmtId="0" fontId="36" fillId="0" borderId="247" xfId="0" applyFont="1" applyBorder="1" applyAlignment="1">
      <alignment horizontal="center" vertical="center" wrapText="1"/>
    </xf>
    <xf numFmtId="0" fontId="36" fillId="0" borderId="249" xfId="0" applyFont="1" applyBorder="1" applyAlignment="1">
      <alignment horizontal="center" vertical="center" wrapText="1"/>
    </xf>
    <xf numFmtId="0" fontId="19" fillId="0" borderId="77" xfId="0" applyFont="1" applyBorder="1" applyAlignment="1">
      <alignment horizontal="center" vertical="center" wrapText="1"/>
    </xf>
    <xf numFmtId="0" fontId="6" fillId="6" borderId="52" xfId="0" applyFont="1" applyFill="1" applyBorder="1" applyAlignment="1">
      <alignment horizontal="center" vertical="center"/>
    </xf>
    <xf numFmtId="0" fontId="6" fillId="6" borderId="0" xfId="0" applyFont="1" applyFill="1" applyAlignment="1">
      <alignment horizontal="center" vertical="center"/>
    </xf>
    <xf numFmtId="0" fontId="6" fillId="6" borderId="53" xfId="0" applyFont="1" applyFill="1" applyBorder="1" applyAlignment="1">
      <alignment horizontal="center" vertical="center"/>
    </xf>
    <xf numFmtId="0" fontId="19" fillId="0" borderId="88" xfId="0" applyFont="1" applyBorder="1" applyAlignment="1">
      <alignment horizontal="center" vertical="center" wrapText="1"/>
    </xf>
    <xf numFmtId="0" fontId="19" fillId="0" borderId="58" xfId="0" applyFont="1" applyBorder="1" applyAlignment="1">
      <alignment horizontal="center" vertical="center"/>
    </xf>
    <xf numFmtId="0" fontId="19" fillId="0" borderId="103" xfId="0" applyFont="1" applyBorder="1" applyAlignment="1">
      <alignment horizontal="center" vertical="center"/>
    </xf>
    <xf numFmtId="0" fontId="24" fillId="0" borderId="58" xfId="0" applyFont="1" applyBorder="1" applyAlignment="1">
      <alignment horizontal="center" vertical="center" wrapText="1"/>
    </xf>
    <xf numFmtId="0" fontId="24" fillId="0" borderId="62" xfId="0" applyFont="1" applyBorder="1" applyAlignment="1">
      <alignment horizontal="center" vertical="center" wrapText="1"/>
    </xf>
    <xf numFmtId="0" fontId="24" fillId="0" borderId="89" xfId="0" applyFont="1" applyBorder="1" applyAlignment="1">
      <alignment horizontal="center" vertical="center" wrapText="1"/>
    </xf>
    <xf numFmtId="0" fontId="24" fillId="0" borderId="101" xfId="0" applyFont="1" applyBorder="1" applyAlignment="1">
      <alignment horizontal="center" vertical="center" wrapText="1"/>
    </xf>
    <xf numFmtId="0" fontId="24" fillId="0" borderId="104" xfId="0" applyFont="1" applyBorder="1" applyAlignment="1">
      <alignment horizontal="center" vertical="center" wrapText="1"/>
    </xf>
    <xf numFmtId="0" fontId="24" fillId="0" borderId="55" xfId="0" applyFont="1" applyBorder="1" applyAlignment="1">
      <alignment horizontal="center" vertical="center" wrapText="1"/>
    </xf>
    <xf numFmtId="0" fontId="24" fillId="0" borderId="65" xfId="0" applyFont="1" applyBorder="1" applyAlignment="1">
      <alignment horizontal="center" vertical="center" wrapText="1"/>
    </xf>
    <xf numFmtId="0" fontId="42" fillId="0" borderId="68" xfId="0" applyFont="1" applyBorder="1" applyAlignment="1">
      <alignment horizontal="center" vertical="center" wrapText="1"/>
    </xf>
    <xf numFmtId="0" fontId="42" fillId="0" borderId="88" xfId="0" applyFont="1" applyBorder="1" applyAlignment="1">
      <alignment horizontal="center" vertical="center" wrapText="1"/>
    </xf>
    <xf numFmtId="0" fontId="42" fillId="0" borderId="89" xfId="0" applyFont="1" applyBorder="1" applyAlignment="1">
      <alignment horizontal="center" vertical="center"/>
    </xf>
    <xf numFmtId="0" fontId="42" fillId="0" borderId="85" xfId="0" applyFont="1" applyBorder="1" applyAlignment="1">
      <alignment horizontal="center" vertical="center" wrapText="1"/>
    </xf>
    <xf numFmtId="0" fontId="42" fillId="0" borderId="86" xfId="0" applyFont="1" applyBorder="1" applyAlignment="1">
      <alignment horizontal="center" vertical="center" wrapText="1"/>
    </xf>
    <xf numFmtId="0" fontId="42" fillId="0" borderId="87" xfId="0" applyFont="1" applyBorder="1" applyAlignment="1">
      <alignment horizontal="center" vertical="center" wrapText="1"/>
    </xf>
    <xf numFmtId="0" fontId="42" fillId="0" borderId="179" xfId="0" applyFont="1" applyBorder="1" applyAlignment="1">
      <alignment horizontal="center" vertical="center" wrapText="1"/>
    </xf>
    <xf numFmtId="0" fontId="42" fillId="0" borderId="167" xfId="0" applyFont="1" applyBorder="1" applyAlignment="1">
      <alignment horizontal="center" vertical="center"/>
    </xf>
    <xf numFmtId="0" fontId="42" fillId="0" borderId="136" xfId="0" applyFont="1" applyBorder="1" applyAlignment="1">
      <alignment horizontal="center" vertical="center" wrapText="1"/>
    </xf>
    <xf numFmtId="0" fontId="42" fillId="0" borderId="38" xfId="0" applyFont="1" applyBorder="1" applyAlignment="1">
      <alignment horizontal="center" vertical="center" wrapText="1"/>
    </xf>
    <xf numFmtId="0" fontId="42" fillId="0" borderId="137" xfId="0" applyFont="1" applyBorder="1" applyAlignment="1">
      <alignment horizontal="center" vertical="center" wrapText="1"/>
    </xf>
    <xf numFmtId="0" fontId="42" fillId="0" borderId="233" xfId="0" applyFont="1" applyBorder="1" applyAlignment="1">
      <alignment horizontal="center" vertical="center" wrapText="1"/>
    </xf>
    <xf numFmtId="0" fontId="42" fillId="0" borderId="122" xfId="0" applyFont="1" applyBorder="1" applyAlignment="1">
      <alignment horizontal="center" vertical="center" wrapText="1"/>
    </xf>
    <xf numFmtId="0" fontId="42" fillId="0" borderId="138" xfId="0" applyFont="1" applyBorder="1" applyAlignment="1">
      <alignment horizontal="center" vertical="center" wrapText="1"/>
    </xf>
    <xf numFmtId="0" fontId="19" fillId="0" borderId="162" xfId="0" applyFont="1" applyBorder="1" applyAlignment="1">
      <alignment horizontal="center" vertical="center" wrapText="1"/>
    </xf>
    <xf numFmtId="0" fontId="33" fillId="10" borderId="25" xfId="0" applyFont="1" applyFill="1" applyBorder="1" applyAlignment="1">
      <alignment horizontal="center" vertical="center" wrapText="1"/>
    </xf>
    <xf numFmtId="0" fontId="6" fillId="6" borderId="15" xfId="0" applyFont="1" applyFill="1" applyBorder="1" applyAlignment="1">
      <alignment horizontal="center" vertical="center"/>
    </xf>
    <xf numFmtId="0" fontId="19" fillId="0" borderId="96" xfId="0" applyFont="1" applyBorder="1" applyAlignment="1">
      <alignment horizontal="center" vertical="center" wrapText="1"/>
    </xf>
    <xf numFmtId="0" fontId="36" fillId="0" borderId="111" xfId="0" applyFont="1" applyBorder="1" applyAlignment="1">
      <alignment horizontal="center" vertical="center" wrapText="1"/>
    </xf>
    <xf numFmtId="0" fontId="36" fillId="0" borderId="93" xfId="0" applyFont="1" applyBorder="1" applyAlignment="1">
      <alignment horizontal="center" vertical="center" wrapText="1"/>
    </xf>
    <xf numFmtId="0" fontId="36" fillId="0" borderId="104" xfId="0" applyFont="1" applyBorder="1" applyAlignment="1">
      <alignment horizontal="center" vertical="center" wrapText="1"/>
    </xf>
    <xf numFmtId="0" fontId="19" fillId="0" borderId="76" xfId="0" applyFont="1" applyBorder="1" applyAlignment="1">
      <alignment horizontal="center" vertical="center" wrapText="1"/>
    </xf>
    <xf numFmtId="0" fontId="15" fillId="6" borderId="2" xfId="0" applyFont="1" applyFill="1" applyBorder="1" applyAlignment="1">
      <alignment horizontal="center" vertical="center" wrapText="1"/>
    </xf>
    <xf numFmtId="0" fontId="19" fillId="0" borderId="104" xfId="0" applyFont="1" applyBorder="1" applyAlignment="1">
      <alignment horizontal="center" vertical="center" wrapText="1"/>
    </xf>
    <xf numFmtId="0" fontId="20" fillId="0" borderId="117" xfId="0" applyFont="1" applyBorder="1" applyAlignment="1">
      <alignment horizontal="center" vertical="center"/>
    </xf>
    <xf numFmtId="0" fontId="20" fillId="0" borderId="119" xfId="0" applyFont="1" applyBorder="1" applyAlignment="1">
      <alignment horizontal="center" vertical="center"/>
    </xf>
    <xf numFmtId="0" fontId="5" fillId="0" borderId="127" xfId="0" applyFont="1" applyBorder="1" applyAlignment="1">
      <alignment horizontal="center" vertical="center"/>
    </xf>
    <xf numFmtId="0" fontId="5" fillId="0" borderId="128" xfId="0" applyFont="1" applyBorder="1" applyAlignment="1">
      <alignment horizontal="center" vertical="center"/>
    </xf>
    <xf numFmtId="0" fontId="33" fillId="13" borderId="0" xfId="0" applyFont="1" applyFill="1" applyAlignment="1">
      <alignment horizontal="center" vertical="center"/>
    </xf>
    <xf numFmtId="0" fontId="33" fillId="13" borderId="133" xfId="0" applyFont="1" applyFill="1" applyBorder="1" applyAlignment="1">
      <alignment horizontal="center" vertical="center"/>
    </xf>
    <xf numFmtId="10" fontId="6" fillId="0" borderId="10" xfId="8" applyNumberFormat="1" applyFont="1" applyBorder="1" applyAlignment="1">
      <alignment horizontal="center"/>
    </xf>
    <xf numFmtId="10" fontId="6" fillId="0" borderId="11" xfId="8" applyNumberFormat="1" applyFont="1" applyBorder="1" applyAlignment="1">
      <alignment horizontal="center"/>
    </xf>
    <xf numFmtId="10" fontId="6" fillId="0" borderId="12" xfId="8" applyNumberFormat="1" applyFont="1" applyBorder="1" applyAlignment="1">
      <alignment horizontal="center"/>
    </xf>
    <xf numFmtId="0" fontId="6" fillId="5" borderId="3"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22" fillId="6" borderId="2" xfId="0" applyFont="1" applyFill="1" applyBorder="1" applyAlignment="1">
      <alignment horizontal="center" vertical="center"/>
    </xf>
    <xf numFmtId="0" fontId="22" fillId="6" borderId="15" xfId="0" applyFont="1" applyFill="1" applyBorder="1" applyAlignment="1">
      <alignment horizontal="center" vertical="center"/>
    </xf>
    <xf numFmtId="9" fontId="6" fillId="0" borderId="46" xfId="2" applyFont="1" applyFill="1" applyBorder="1" applyAlignment="1">
      <alignment horizontal="center" vertical="center"/>
    </xf>
    <xf numFmtId="9" fontId="6" fillId="0" borderId="31" xfId="2" applyFont="1" applyFill="1" applyBorder="1" applyAlignment="1">
      <alignment horizontal="center" vertical="center"/>
    </xf>
    <xf numFmtId="9" fontId="6" fillId="0" borderId="32" xfId="2" applyFont="1" applyFill="1" applyBorder="1" applyAlignment="1">
      <alignment horizontal="center" vertical="center"/>
    </xf>
    <xf numFmtId="0" fontId="6" fillId="0" borderId="137" xfId="0" applyFont="1" applyBorder="1" applyAlignment="1">
      <alignment horizontal="center" vertical="center"/>
    </xf>
    <xf numFmtId="0" fontId="6" fillId="0" borderId="47" xfId="0" applyFont="1" applyBorder="1" applyAlignment="1">
      <alignment horizontal="center" vertical="center"/>
    </xf>
    <xf numFmtId="0" fontId="6" fillId="0" borderId="180" xfId="0" applyFont="1" applyBorder="1" applyAlignment="1">
      <alignment horizontal="center" vertical="center"/>
    </xf>
    <xf numFmtId="0" fontId="59" fillId="10" borderId="0" xfId="0" applyFont="1" applyFill="1" applyAlignment="1">
      <alignment horizontal="center" vertical="center" wrapText="1"/>
    </xf>
    <xf numFmtId="0" fontId="0" fillId="0" borderId="0" xfId="0" applyAlignment="1">
      <alignment horizontal="center"/>
    </xf>
  </cellXfs>
  <cellStyles count="17">
    <cellStyle name="Comma" xfId="6" builtinId="3"/>
    <cellStyle name="Comma 2" xfId="15" xr:uid="{589BB2F6-374B-4FE8-9689-4F8B918918D9}"/>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6" xfId="13" xr:uid="{BAB312D4-555E-4D72-AB50-C5257AC183B1}"/>
    <cellStyle name="Normal 7" xfId="14" xr:uid="{325E217A-D80C-4E3E-9ED6-EAD46C607A04}"/>
    <cellStyle name="Normal_Prototype_Scorecard-LgOffice-2008-03-13" xfId="1" xr:uid="{F839F8A1-86E5-4008-9801-0F032E8A3317}"/>
    <cellStyle name="Percent" xfId="2" builtinId="5"/>
    <cellStyle name="Percent 2" xfId="8" xr:uid="{CB789C3E-741F-4464-8065-385A956411E6}"/>
    <cellStyle name="Percent 2 2" xfId="16" xr:uid="{D3E974ED-C5F7-42F9-9153-8C73084C4B02}"/>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9C9C9C"/>
      <color rgb="FF919191"/>
      <color rgb="FF8C8C8C"/>
      <color rgb="FF002F8E"/>
      <color rgb="FFFF9900"/>
      <color rgb="FFCCCCFF"/>
      <color rgb="FF8238BA"/>
      <color rgb="FFFFEBCD"/>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44659783335143166"/>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C2E-4FDC-8DAB-7FCF7BC63644}"/>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1-8C2E-4FDC-8DAB-7FCF7BC63644}"/>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BD0A-4098-AF5D-6CDFEC7547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542468504397248"/>
          <c:y val="8.0678413630311113E-2"/>
          <c:w val="0.29044487156313686"/>
          <c:h val="0.29585489549287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0D38-48D2-B658-BA53753E1DF1}"/>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0D38-48D2-B658-BA53753E1DF1}"/>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0D38-48D2-B658-BA53753E1DF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377519234143699"/>
          <c:y val="0.13776199426227489"/>
          <c:w val="0.26224807658563015"/>
          <c:h val="0.33655106661899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DF1-4DC1-A424-186F547FB1D0}"/>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BDF1-4DC1-A424-186F547FB1D0}"/>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BDF1-4DC1-A424-186F547FB1D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6214041675038213"/>
          <c:y val="0.17396471785195017"/>
          <c:w val="0.23785958324961798"/>
          <c:h val="0.33277662971346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5EE7-4A46-B42C-60B8E54BD1E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60</c:v>
                </c:pt>
                <c:pt idx="20">
                  <c:v>60</c:v>
                </c:pt>
                <c:pt idx="21">
                  <c:v>60</c:v>
                </c:pt>
                <c:pt idx="22">
                  <c:v>60</c:v>
                </c:pt>
                <c:pt idx="23">
                  <c:v>60</c:v>
                </c:pt>
              </c:numCache>
            </c:numRef>
          </c:val>
          <c:smooth val="0"/>
          <c:extLst>
            <c:ext xmlns:c16="http://schemas.microsoft.com/office/drawing/2014/chart" uri="{C3380CC4-5D6E-409C-BE32-E72D297353CC}">
              <c16:uniqueId val="{00000001-5EE7-4A46-B42C-60B8E54BD1E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5EE7-4A46-B42C-60B8E54BD1E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9932-4BDA-AC66-454F8274F881}"/>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85</c:v>
                </c:pt>
                <c:pt idx="20">
                  <c:v>85</c:v>
                </c:pt>
                <c:pt idx="21">
                  <c:v>85</c:v>
                </c:pt>
                <c:pt idx="22">
                  <c:v>85</c:v>
                </c:pt>
                <c:pt idx="23">
                  <c:v>85</c:v>
                </c:pt>
              </c:numCache>
            </c:numRef>
          </c:val>
          <c:smooth val="0"/>
          <c:extLst>
            <c:ext xmlns:c16="http://schemas.microsoft.com/office/drawing/2014/chart" uri="{C3380CC4-5D6E-409C-BE32-E72D297353CC}">
              <c16:uniqueId val="{00000001-9932-4BDA-AC66-454F8274F881}"/>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932-4BDA-AC66-454F8274F88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19081515552398717"/>
          <c:y val="0.52565747119424466"/>
          <c:w val="0.72584928779999403"/>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Small Office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0.00</c:formatCode>
                <c:ptCount val="16"/>
                <c:pt idx="0">
                  <c:v>37.489349999999995</c:v>
                </c:pt>
                <c:pt idx="1">
                  <c:v>33.522899999999993</c:v>
                </c:pt>
                <c:pt idx="2">
                  <c:v>41.174309999999998</c:v>
                </c:pt>
                <c:pt idx="3">
                  <c:v>41.097539999999995</c:v>
                </c:pt>
                <c:pt idx="4">
                  <c:v>44.449830000000006</c:v>
                </c:pt>
                <c:pt idx="5">
                  <c:v>30.682410000000001</c:v>
                </c:pt>
                <c:pt idx="6">
                  <c:v>44.552190000000003</c:v>
                </c:pt>
                <c:pt idx="7">
                  <c:v>29.914710000000007</c:v>
                </c:pt>
                <c:pt idx="8">
                  <c:v>31.88514</c:v>
                </c:pt>
                <c:pt idx="9">
                  <c:v>33.932339999999996</c:v>
                </c:pt>
                <c:pt idx="10">
                  <c:v>41.37903</c:v>
                </c:pt>
                <c:pt idx="11">
                  <c:v>41.839649999999999</c:v>
                </c:pt>
                <c:pt idx="12">
                  <c:v>38.231459999999998</c:v>
                </c:pt>
                <c:pt idx="13">
                  <c:v>29.633219999999998</c:v>
                </c:pt>
                <c:pt idx="14">
                  <c:v>28.353720000000003</c:v>
                </c:pt>
                <c:pt idx="15">
                  <c:v>35.467739999999992</c:v>
                </c:pt>
              </c:numCache>
            </c:numRef>
          </c:val>
          <c:extLst>
            <c:ext xmlns:c16="http://schemas.microsoft.com/office/drawing/2014/chart" uri="{C3380CC4-5D6E-409C-BE32-E72D297353CC}">
              <c16:uniqueId val="{00000000-227B-4D0F-B97D-2979DD01392C}"/>
            </c:ext>
          </c:extLst>
        </c:ser>
        <c:ser>
          <c:idx val="2"/>
          <c:order val="1"/>
          <c:tx>
            <c:strRef>
              <c:f>'Energy Usage'!$V$2</c:f>
              <c:strCache>
                <c:ptCount val="1"/>
                <c:pt idx="0">
                  <c:v>CEUS 2022 Acceptable Range</c:v>
                </c:pt>
              </c:strCache>
            </c:strRef>
          </c:tx>
          <c:spPr>
            <a:solidFill>
              <a:schemeClr val="accent4">
                <a:lumMod val="40000"/>
                <a:lumOff val="60000"/>
              </a:schemeClr>
            </a:solidFill>
            <a:ln>
              <a:solidFill>
                <a:schemeClr val="accent4">
                  <a:lumMod val="40000"/>
                  <a:lumOff val="60000"/>
                </a:schemeClr>
              </a:solidFill>
            </a:ln>
            <a:effectLst/>
          </c:spPr>
          <c:invertIfNegative val="0"/>
          <c:val>
            <c:numRef>
              <c:f>'Energy Usage'!$V$3:$V$18</c:f>
              <c:numCache>
                <c:formatCode>0.00</c:formatCode>
                <c:ptCount val="16"/>
                <c:pt idx="0">
                  <c:v>24.992899999999992</c:v>
                </c:pt>
                <c:pt idx="1">
                  <c:v>22.348600000000005</c:v>
                </c:pt>
                <c:pt idx="2">
                  <c:v>27.449540000000006</c:v>
                </c:pt>
                <c:pt idx="3">
                  <c:v>27.398359999999997</c:v>
                </c:pt>
                <c:pt idx="4">
                  <c:v>29.633219999999994</c:v>
                </c:pt>
                <c:pt idx="5">
                  <c:v>20.454939999999997</c:v>
                </c:pt>
                <c:pt idx="6">
                  <c:v>29.701460000000004</c:v>
                </c:pt>
                <c:pt idx="7">
                  <c:v>19.94314</c:v>
                </c:pt>
                <c:pt idx="8">
                  <c:v>21.25676</c:v>
                </c:pt>
                <c:pt idx="9">
                  <c:v>22.621560000000002</c:v>
                </c:pt>
                <c:pt idx="10">
                  <c:v>27.586019999999991</c:v>
                </c:pt>
                <c:pt idx="11">
                  <c:v>27.893099999999997</c:v>
                </c:pt>
                <c:pt idx="12">
                  <c:v>25.487639999999999</c:v>
                </c:pt>
                <c:pt idx="13">
                  <c:v>19.755480000000002</c:v>
                </c:pt>
                <c:pt idx="14">
                  <c:v>18.902479999999997</c:v>
                </c:pt>
                <c:pt idx="15">
                  <c:v>23.645160000000004</c:v>
                </c:pt>
              </c:numCache>
            </c:numRef>
          </c:val>
          <c:extLst>
            <c:ext xmlns:c16="http://schemas.microsoft.com/office/drawing/2014/chart" uri="{C3380CC4-5D6E-409C-BE32-E72D297353CC}">
              <c16:uniqueId val="{00000001-227B-4D0F-B97D-2979DD01392C}"/>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227B-4D0F-B97D-2979DD01392C}"/>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227B-4D0F-B97D-2979DD01392C}"/>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85"/>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Small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spPr>
            <a:noFill/>
            <a:ln>
              <a:noFill/>
            </a:ln>
            <a:effectLst/>
          </c:spPr>
          <c:invertIfNegative val="0"/>
          <c:val>
            <c:numRef>
              <c:f>'Energy Usage'!$K$3:$K$18</c:f>
              <c:numCache>
                <c:formatCode>General</c:formatCode>
                <c:ptCount val="16"/>
                <c:pt idx="0">
                  <c:v>46.275000000000006</c:v>
                </c:pt>
                <c:pt idx="1">
                  <c:v>50.625</c:v>
                </c:pt>
                <c:pt idx="2">
                  <c:v>48.150000000000006</c:v>
                </c:pt>
                <c:pt idx="3">
                  <c:v>52.275000000000006</c:v>
                </c:pt>
                <c:pt idx="4">
                  <c:v>46.2</c:v>
                </c:pt>
                <c:pt idx="5">
                  <c:v>53.25</c:v>
                </c:pt>
                <c:pt idx="6">
                  <c:v>50.175000000000004</c:v>
                </c:pt>
                <c:pt idx="7">
                  <c:v>50.849999999999994</c:v>
                </c:pt>
                <c:pt idx="8">
                  <c:v>50.925000000000004</c:v>
                </c:pt>
                <c:pt idx="9">
                  <c:v>51.224999999999994</c:v>
                </c:pt>
                <c:pt idx="10">
                  <c:v>52.875</c:v>
                </c:pt>
                <c:pt idx="11">
                  <c:v>52.349999999999994</c:v>
                </c:pt>
                <c:pt idx="12">
                  <c:v>52.650000000000006</c:v>
                </c:pt>
                <c:pt idx="13">
                  <c:v>53.25</c:v>
                </c:pt>
                <c:pt idx="14">
                  <c:v>52.275000000000006</c:v>
                </c:pt>
                <c:pt idx="15">
                  <c:v>54.375</c:v>
                </c:pt>
              </c:numCache>
            </c:numRef>
          </c:val>
          <c:extLst>
            <c:ext xmlns:c16="http://schemas.microsoft.com/office/drawing/2014/chart" uri="{C3380CC4-5D6E-409C-BE32-E72D297353CC}">
              <c16:uniqueId val="{00000000-D275-494B-A6D7-C0DBC53BE750}"/>
            </c:ext>
          </c:extLst>
        </c:ser>
        <c:ser>
          <c:idx val="2"/>
          <c:order val="1"/>
          <c:tx>
            <c:strRef>
              <c:f>'Energy Usage'!$L$2</c:f>
              <c:strCache>
                <c:ptCount val="1"/>
                <c:pt idx="0">
                  <c:v>National Average Acceptable Range</c:v>
                </c:pt>
              </c:strCache>
            </c:strRef>
          </c:tx>
          <c:spPr>
            <a:solidFill>
              <a:srgbClr val="CCCCFF"/>
            </a:solidFill>
            <a:ln w="25400">
              <a:solidFill>
                <a:srgbClr val="CCCCFF"/>
              </a:solidFill>
            </a:ln>
            <a:effectLst/>
          </c:spPr>
          <c:invertIfNegative val="0"/>
          <c:val>
            <c:numRef>
              <c:f>'Energy Usage'!$L$3:$L$18</c:f>
              <c:numCache>
                <c:formatCode>0.0</c:formatCode>
                <c:ptCount val="16"/>
                <c:pt idx="0">
                  <c:v>30.849999999999994</c:v>
                </c:pt>
                <c:pt idx="1">
                  <c:v>33.75</c:v>
                </c:pt>
                <c:pt idx="2">
                  <c:v>32.099999999999994</c:v>
                </c:pt>
                <c:pt idx="3">
                  <c:v>34.849999999999994</c:v>
                </c:pt>
                <c:pt idx="4">
                  <c:v>30.799999999999997</c:v>
                </c:pt>
                <c:pt idx="5">
                  <c:v>35.5</c:v>
                </c:pt>
                <c:pt idx="6">
                  <c:v>33.449999999999996</c:v>
                </c:pt>
                <c:pt idx="7">
                  <c:v>33.900000000000006</c:v>
                </c:pt>
                <c:pt idx="8">
                  <c:v>33.949999999999996</c:v>
                </c:pt>
                <c:pt idx="9">
                  <c:v>34.150000000000006</c:v>
                </c:pt>
                <c:pt idx="10">
                  <c:v>35.25</c:v>
                </c:pt>
                <c:pt idx="11">
                  <c:v>34.900000000000006</c:v>
                </c:pt>
                <c:pt idx="12">
                  <c:v>35.099999999999994</c:v>
                </c:pt>
                <c:pt idx="13">
                  <c:v>35.5</c:v>
                </c:pt>
                <c:pt idx="14">
                  <c:v>34.849999999999994</c:v>
                </c:pt>
                <c:pt idx="15">
                  <c:v>36.25</c:v>
                </c:pt>
              </c:numCache>
            </c:numRef>
          </c:val>
          <c:extLst>
            <c:ext xmlns:c16="http://schemas.microsoft.com/office/drawing/2014/chart" uri="{C3380CC4-5D6E-409C-BE32-E72D297353CC}">
              <c16:uniqueId val="{00000001-D275-494B-A6D7-C0DBC53BE750}"/>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D275-494B-A6D7-C0DBC53BE750}"/>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D275-494B-A6D7-C0DBC53BE750}"/>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emf"/></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1000685</xdr:colOff>
      <xdr:row>36</xdr:row>
      <xdr:rowOff>143435</xdr:rowOff>
    </xdr:from>
    <xdr:to>
      <xdr:col>2</xdr:col>
      <xdr:colOff>1616528</xdr:colOff>
      <xdr:row>45</xdr:row>
      <xdr:rowOff>76761</xdr:rowOff>
    </xdr:to>
    <xdr:pic>
      <xdr:nvPicPr>
        <xdr:cNvPr id="7" name="Picture 1">
          <a:extLst>
            <a:ext uri="{FF2B5EF4-FFF2-40B4-BE49-F238E27FC236}">
              <a16:creationId xmlns:a16="http://schemas.microsoft.com/office/drawing/2014/main" id="{C3CA583B-F9BE-4F3F-B7DD-7FD80A44173B}"/>
            </a:ext>
          </a:extLst>
        </xdr:cNvPr>
        <xdr:cNvPicPr>
          <a:picLocks noChangeAspect="1"/>
        </xdr:cNvPicPr>
      </xdr:nvPicPr>
      <xdr:blipFill>
        <a:blip xmlns:r="http://schemas.openxmlformats.org/officeDocument/2006/relationships" r:embed="rId1"/>
        <a:stretch>
          <a:fillRect/>
        </a:stretch>
      </xdr:blipFill>
      <xdr:spPr>
        <a:xfrm>
          <a:off x="1000685" y="7135906"/>
          <a:ext cx="7631398" cy="1797983"/>
        </a:xfrm>
        <a:prstGeom prst="rect">
          <a:avLst/>
        </a:prstGeom>
        <a:ln w="3175">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465380</xdr:colOff>
      <xdr:row>7</xdr:row>
      <xdr:rowOff>123265</xdr:rowOff>
    </xdr:from>
    <xdr:ext cx="2751733" cy="1252145"/>
    <xdr:pic>
      <xdr:nvPicPr>
        <xdr:cNvPr id="5" name="Picture 1" descr="Screen Clippi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9880" y="2879912"/>
          <a:ext cx="2751733" cy="1252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14</xdr:col>
      <xdr:colOff>1072723</xdr:colOff>
      <xdr:row>0</xdr:row>
      <xdr:rowOff>42655</xdr:rowOff>
    </xdr:from>
    <xdr:to>
      <xdr:col>14</xdr:col>
      <xdr:colOff>1072723</xdr:colOff>
      <xdr:row>1</xdr:row>
      <xdr:rowOff>1739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22636186" y="42655"/>
          <a:ext cx="0" cy="288905"/>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1115380</xdr:colOff>
      <xdr:row>0</xdr:row>
      <xdr:rowOff>75125</xdr:rowOff>
    </xdr:from>
    <xdr:to>
      <xdr:col>14</xdr:col>
      <xdr:colOff>1355574</xdr:colOff>
      <xdr:row>1</xdr:row>
      <xdr:rowOff>110823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22678843" y="75125"/>
          <a:ext cx="240194" cy="36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2</xdr:col>
      <xdr:colOff>3009900</xdr:colOff>
      <xdr:row>0</xdr:row>
      <xdr:rowOff>-171450</xdr:rowOff>
    </xdr:from>
    <xdr:to>
      <xdr:col>2</xdr:col>
      <xdr:colOff>3009900</xdr:colOff>
      <xdr:row>0</xdr:row>
      <xdr:rowOff>-163830</xdr:rowOff>
    </xdr:to>
    <xdr:pic>
      <xdr:nvPicPr>
        <xdr:cNvPr id="3" name="Picture 2">
          <a:extLst>
            <a:ext uri="{FF2B5EF4-FFF2-40B4-BE49-F238E27FC236}">
              <a16:creationId xmlns:a16="http://schemas.microsoft.com/office/drawing/2014/main" id="{28AE7376-F848-A1DB-D8E8-23471E0896B8}"/>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5000625" y="-171450"/>
          <a:ext cx="0" cy="0"/>
        </a:xfrm>
        <a:prstGeom prst="rect">
          <a:avLst/>
        </a:prstGeom>
      </xdr:spPr>
    </xdr:pic>
    <xdr:clientData/>
  </xdr:twoCellAnchor>
  <xdr:twoCellAnchor editAs="oneCell">
    <xdr:from>
      <xdr:col>14</xdr:col>
      <xdr:colOff>3837</xdr:colOff>
      <xdr:row>1</xdr:row>
      <xdr:rowOff>335507</xdr:rowOff>
    </xdr:from>
    <xdr:to>
      <xdr:col>17</xdr:col>
      <xdr:colOff>53737</xdr:colOff>
      <xdr:row>8</xdr:row>
      <xdr:rowOff>108576</xdr:rowOff>
    </xdr:to>
    <xdr:pic>
      <xdr:nvPicPr>
        <xdr:cNvPr id="2" name="Picture 1">
          <a:extLst>
            <a:ext uri="{FF2B5EF4-FFF2-40B4-BE49-F238E27FC236}">
              <a16:creationId xmlns:a16="http://schemas.microsoft.com/office/drawing/2014/main" id="{BA34106F-A7FD-DA53-5A65-8FA2D80CD6AF}"/>
            </a:ext>
            <a:ext uri="{147F2762-F138-4A5C-976F-8EAC2B608ADB}">
              <a16:predDERef xmlns:a16="http://schemas.microsoft.com/office/drawing/2014/main" pred="{28AE7376-F848-A1DB-D8E8-23471E0896B8}"/>
            </a:ext>
          </a:extLst>
        </xdr:cNvPr>
        <xdr:cNvPicPr>
          <a:picLocks noChangeAspect="1"/>
        </xdr:cNvPicPr>
      </xdr:nvPicPr>
      <xdr:blipFill>
        <a:blip xmlns:r="http://schemas.openxmlformats.org/officeDocument/2006/relationships" r:embed="rId2"/>
        <a:stretch>
          <a:fillRect/>
        </a:stretch>
      </xdr:blipFill>
      <xdr:spPr>
        <a:xfrm>
          <a:off x="21567300" y="665328"/>
          <a:ext cx="4326198" cy="28603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37</xdr:col>
      <xdr:colOff>449580</xdr:colOff>
      <xdr:row>69</xdr:row>
      <xdr:rowOff>80668</xdr:rowOff>
    </xdr:from>
    <xdr:to>
      <xdr:col>41</xdr:col>
      <xdr:colOff>820111</xdr:colOff>
      <xdr:row>73</xdr:row>
      <xdr:rowOff>133560</xdr:rowOff>
    </xdr:to>
    <xdr:pic>
      <xdr:nvPicPr>
        <xdr:cNvPr id="6" name="Picture 5">
          <a:extLst>
            <a:ext uri="{FF2B5EF4-FFF2-40B4-BE49-F238E27FC236}">
              <a16:creationId xmlns:a16="http://schemas.microsoft.com/office/drawing/2014/main" id="{5A1CEF65-59A4-98BE-C404-075D1A398EE8}"/>
            </a:ext>
          </a:extLst>
        </xdr:cNvPr>
        <xdr:cNvPicPr>
          <a:picLocks noChangeAspect="1"/>
        </xdr:cNvPicPr>
      </xdr:nvPicPr>
      <xdr:blipFill>
        <a:blip xmlns:r="http://schemas.openxmlformats.org/officeDocument/2006/relationships" r:embed="rId1"/>
        <a:stretch>
          <a:fillRect/>
        </a:stretch>
      </xdr:blipFill>
      <xdr:spPr>
        <a:xfrm>
          <a:off x="26890980" y="26552548"/>
          <a:ext cx="3428056" cy="7444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19050</xdr:colOff>
      <xdr:row>1</xdr:row>
      <xdr:rowOff>28575</xdr:rowOff>
    </xdr:from>
    <xdr:to>
      <xdr:col>8</xdr:col>
      <xdr:colOff>809626</xdr:colOff>
      <xdr:row>7</xdr:row>
      <xdr:rowOff>78105</xdr:rowOff>
    </xdr:to>
    <xdr:pic>
      <xdr:nvPicPr>
        <xdr:cNvPr id="11" name="Picture 9">
          <a:extLst>
            <a:ext uri="{FF2B5EF4-FFF2-40B4-BE49-F238E27FC236}">
              <a16:creationId xmlns:a16="http://schemas.microsoft.com/office/drawing/2014/main" id="{1745FAD2-CD75-4362-ACB1-D68E613FF952}"/>
            </a:ext>
            <a:ext uri="{147F2762-F138-4A5C-976F-8EAC2B608ADB}">
              <a16:predDERef xmlns:a16="http://schemas.microsoft.com/office/drawing/2014/main" pred="{8BC00085-5290-4C5D-8400-5348AAA76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35275" y="371475"/>
          <a:ext cx="3246120" cy="226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199122</xdr:colOff>
      <xdr:row>39</xdr:row>
      <xdr:rowOff>175606</xdr:rowOff>
    </xdr:from>
    <xdr:ext cx="2486193" cy="36567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F045B6FC-AE03-4739-9769-403FF0F8748D}"/>
                </a:ext>
              </a:extLst>
            </xdr:cNvPr>
            <xdr:cNvSpPr txBox="1">
              <a:spLocks/>
            </xdr:cNvSpPr>
          </xdr:nvSpPr>
          <xdr:spPr>
            <a:xfrm>
              <a:off x="199122" y="13777306"/>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2" name="TextBox 11">
              <a:extLst>
                <a:ext uri="{FF2B5EF4-FFF2-40B4-BE49-F238E27FC236}">
                  <a16:creationId xmlns:a16="http://schemas.microsoft.com/office/drawing/2014/main" id="{F045B6FC-AE03-4739-9769-403FF0F8748D}"/>
                </a:ext>
              </a:extLst>
            </xdr:cNvPr>
            <xdr:cNvSpPr txBox="1">
              <a:spLocks/>
            </xdr:cNvSpPr>
          </xdr:nvSpPr>
          <xdr:spPr>
            <a:xfrm>
              <a:off x="199122" y="13777306"/>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226577</xdr:colOff>
      <xdr:row>30</xdr:row>
      <xdr:rowOff>199120</xdr:rowOff>
    </xdr:from>
    <xdr:ext cx="1369028" cy="372025"/>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3A5E025-598F-438B-BA8D-A4BE98CE8AC0}"/>
                </a:ext>
              </a:extLst>
            </xdr:cNvPr>
            <xdr:cNvSpPr txBox="1">
              <a:spLocks/>
            </xdr:cNvSpPr>
          </xdr:nvSpPr>
          <xdr:spPr>
            <a:xfrm>
              <a:off x="226577" y="1188312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14" name="TextBox 13">
              <a:extLst>
                <a:ext uri="{FF2B5EF4-FFF2-40B4-BE49-F238E27FC236}">
                  <a16:creationId xmlns:a16="http://schemas.microsoft.com/office/drawing/2014/main" id="{93A5E025-598F-438B-BA8D-A4BE98CE8AC0}"/>
                </a:ext>
              </a:extLst>
            </xdr:cNvPr>
            <xdr:cNvSpPr txBox="1">
              <a:spLocks/>
            </xdr:cNvSpPr>
          </xdr:nvSpPr>
          <xdr:spPr>
            <a:xfrm>
              <a:off x="226577" y="1188312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191338</xdr:colOff>
      <xdr:row>33</xdr:row>
      <xdr:rowOff>96228</xdr:rowOff>
    </xdr:from>
    <xdr:ext cx="2027222" cy="351058"/>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5DDF92A-0673-4026-BFC3-1314CFDBB529}"/>
                </a:ext>
              </a:extLst>
            </xdr:cNvPr>
            <xdr:cNvSpPr txBox="1">
              <a:spLocks/>
            </xdr:cNvSpPr>
          </xdr:nvSpPr>
          <xdr:spPr>
            <a:xfrm>
              <a:off x="191338" y="12453328"/>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5" name="TextBox 14">
              <a:extLst>
                <a:ext uri="{FF2B5EF4-FFF2-40B4-BE49-F238E27FC236}">
                  <a16:creationId xmlns:a16="http://schemas.microsoft.com/office/drawing/2014/main" id="{35DDF92A-0673-4026-BFC3-1314CFDBB529}"/>
                </a:ext>
              </a:extLst>
            </xdr:cNvPr>
            <xdr:cNvSpPr txBox="1">
              <a:spLocks/>
            </xdr:cNvSpPr>
          </xdr:nvSpPr>
          <xdr:spPr>
            <a:xfrm>
              <a:off x="191338" y="12453328"/>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185059</xdr:colOff>
      <xdr:row>36</xdr:row>
      <xdr:rowOff>126698</xdr:rowOff>
    </xdr:from>
    <xdr:ext cx="2360967" cy="328231"/>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5FB4097F-F5A0-4CDE-99DA-DD77000744EA}"/>
                </a:ext>
              </a:extLst>
            </xdr:cNvPr>
            <xdr:cNvSpPr txBox="1">
              <a:spLocks/>
            </xdr:cNvSpPr>
          </xdr:nvSpPr>
          <xdr:spPr>
            <a:xfrm>
              <a:off x="185059" y="13156898"/>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16" name="TextBox 15">
              <a:extLst>
                <a:ext uri="{FF2B5EF4-FFF2-40B4-BE49-F238E27FC236}">
                  <a16:creationId xmlns:a16="http://schemas.microsoft.com/office/drawing/2014/main" id="{5FB4097F-F5A0-4CDE-99DA-DD77000744EA}"/>
                </a:ext>
              </a:extLst>
            </xdr:cNvPr>
            <xdr:cNvSpPr txBox="1">
              <a:spLocks/>
            </xdr:cNvSpPr>
          </xdr:nvSpPr>
          <xdr:spPr>
            <a:xfrm>
              <a:off x="185059" y="13156898"/>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15"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6"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CBDA0656-8164-4FA8-8BE7-79F7FE5F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7"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326572</xdr:colOff>
      <xdr:row>12</xdr:row>
      <xdr:rowOff>0</xdr:rowOff>
    </xdr:from>
    <xdr:to>
      <xdr:col>36</xdr:col>
      <xdr:colOff>37012</xdr:colOff>
      <xdr:row>14</xdr:row>
      <xdr:rowOff>340659</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15</xdr:row>
      <xdr:rowOff>4082</xdr:rowOff>
    </xdr:from>
    <xdr:to>
      <xdr:col>36</xdr:col>
      <xdr:colOff>0</xdr:colOff>
      <xdr:row>18</xdr:row>
      <xdr:rowOff>0</xdr:rowOff>
    </xdr:to>
    <xdr:graphicFrame macro="">
      <xdr:nvGraphicFramePr>
        <xdr:cNvPr id="2" name="Chart 5">
          <a:extLst>
            <a:ext uri="{FF2B5EF4-FFF2-40B4-BE49-F238E27FC236}">
              <a16:creationId xmlns:a16="http://schemas.microsoft.com/office/drawing/2014/main" id="{4382029B-06B2-4E52-850E-3699133A7B48}"/>
            </a:ext>
            <a:ext uri="{147F2762-F138-4A5C-976F-8EAC2B608ADB}">
              <a16:predDERef xmlns:a16="http://schemas.microsoft.com/office/drawing/2014/main" pred="{5A999577-F135-454E-AC54-3B86805F4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280595</xdr:colOff>
      <xdr:row>18</xdr:row>
      <xdr:rowOff>76840</xdr:rowOff>
    </xdr:from>
    <xdr:to>
      <xdr:col>35</xdr:col>
      <xdr:colOff>627529</xdr:colOff>
      <xdr:row>20</xdr:row>
      <xdr:rowOff>493058</xdr:rowOff>
    </xdr:to>
    <xdr:graphicFrame macro="">
      <xdr:nvGraphicFramePr>
        <xdr:cNvPr id="4" name="Chart 5">
          <a:extLst>
            <a:ext uri="{FF2B5EF4-FFF2-40B4-BE49-F238E27FC236}">
              <a16:creationId xmlns:a16="http://schemas.microsoft.com/office/drawing/2014/main" id="{7F6B4DA5-E103-4AB8-96C6-1AF7A04E5100}"/>
            </a:ext>
            <a:ext uri="{147F2762-F138-4A5C-976F-8EAC2B608ADB}">
              <a16:predDERef xmlns:a16="http://schemas.microsoft.com/office/drawing/2014/main" pred="{4382029B-06B2-4E52-850E-3699133A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266829</xdr:colOff>
      <xdr:row>21</xdr:row>
      <xdr:rowOff>62592</xdr:rowOff>
    </xdr:from>
    <xdr:to>
      <xdr:col>35</xdr:col>
      <xdr:colOff>585988</xdr:colOff>
      <xdr:row>23</xdr:row>
      <xdr:rowOff>389660</xdr:rowOff>
    </xdr:to>
    <xdr:graphicFrame macro="">
      <xdr:nvGraphicFramePr>
        <xdr:cNvPr id="29" name="Chart 5">
          <a:extLst>
            <a:ext uri="{FF2B5EF4-FFF2-40B4-BE49-F238E27FC236}">
              <a16:creationId xmlns:a16="http://schemas.microsoft.com/office/drawing/2014/main" id="{8AF934C7-F5A2-45DC-B845-5E5DDF13F290}"/>
            </a:ext>
            <a:ext uri="{147F2762-F138-4A5C-976F-8EAC2B608ADB}">
              <a16:predDERef xmlns:a16="http://schemas.microsoft.com/office/drawing/2014/main" pred="{1C1B4C1B-184C-47A9-BEBB-E7DB1B281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260186</xdr:colOff>
      <xdr:row>24</xdr:row>
      <xdr:rowOff>34881</xdr:rowOff>
    </xdr:from>
    <xdr:to>
      <xdr:col>35</xdr:col>
      <xdr:colOff>573630</xdr:colOff>
      <xdr:row>26</xdr:row>
      <xdr:rowOff>408486</xdr:rowOff>
    </xdr:to>
    <xdr:graphicFrame macro="">
      <xdr:nvGraphicFramePr>
        <xdr:cNvPr id="30" name="Chart 5">
          <a:extLst>
            <a:ext uri="{FF2B5EF4-FFF2-40B4-BE49-F238E27FC236}">
              <a16:creationId xmlns:a16="http://schemas.microsoft.com/office/drawing/2014/main" id="{B4AFF112-3A24-40AC-862B-C319F0876B31}"/>
            </a:ext>
            <a:ext uri="{147F2762-F138-4A5C-976F-8EAC2B608ADB}">
              <a16:predDERef xmlns:a16="http://schemas.microsoft.com/office/drawing/2014/main" pred="{8AF934C7-F5A2-45DC-B845-5E5DDF13F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23</xdr:col>
      <xdr:colOff>40005</xdr:colOff>
      <xdr:row>21</xdr:row>
      <xdr:rowOff>62865</xdr:rowOff>
    </xdr:from>
    <xdr:to>
      <xdr:col>39</xdr:col>
      <xdr:colOff>350746</xdr:colOff>
      <xdr:row>50</xdr:row>
      <xdr:rowOff>154193</xdr:rowOff>
    </xdr:to>
    <xdr:graphicFrame macro="">
      <xdr:nvGraphicFramePr>
        <xdr:cNvPr id="22" name="Chart 2">
          <a:extLst>
            <a:ext uri="{FF2B5EF4-FFF2-40B4-BE49-F238E27FC236}">
              <a16:creationId xmlns:a16="http://schemas.microsoft.com/office/drawing/2014/main" id="{75153CC8-472F-410A-8B5C-DAF5BBA7DE7D}"/>
            </a:ext>
            <a:ext uri="{147F2762-F138-4A5C-976F-8EAC2B608ADB}">
              <a16:predDERef xmlns:a16="http://schemas.microsoft.com/office/drawing/2014/main" pred="{946FD221-A1B5-4DAE-9525-51F88F984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38100</xdr:colOff>
      <xdr:row>0</xdr:row>
      <xdr:rowOff>38100</xdr:rowOff>
    </xdr:from>
    <xdr:to>
      <xdr:col>39</xdr:col>
      <xdr:colOff>346936</xdr:colOff>
      <xdr:row>20</xdr:row>
      <xdr:rowOff>5603</xdr:rowOff>
    </xdr:to>
    <xdr:graphicFrame macro="">
      <xdr:nvGraphicFramePr>
        <xdr:cNvPr id="20" name="Chart 10">
          <a:extLst>
            <a:ext uri="{FF2B5EF4-FFF2-40B4-BE49-F238E27FC236}">
              <a16:creationId xmlns:a16="http://schemas.microsoft.com/office/drawing/2014/main" id="{2CB36677-A420-4E79-BBB5-4BF8B5099651}"/>
            </a:ext>
            <a:ext uri="{147F2762-F138-4A5C-976F-8EAC2B608ADB}">
              <a16:predDERef xmlns:a16="http://schemas.microsoft.com/office/drawing/2014/main" pred="{75153CC8-472F-410A-8B5C-DAF5BBA7D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361117</xdr:colOff>
      <xdr:row>23</xdr:row>
      <xdr:rowOff>64379</xdr:rowOff>
    </xdr:from>
    <xdr:to>
      <xdr:col>9</xdr:col>
      <xdr:colOff>276225</xdr:colOff>
      <xdr:row>33</xdr:row>
      <xdr:rowOff>38100</xdr:rowOff>
    </xdr:to>
    <xdr:pic>
      <xdr:nvPicPr>
        <xdr:cNvPr id="2" name="Picture 1">
          <a:extLst>
            <a:ext uri="{FF2B5EF4-FFF2-40B4-BE49-F238E27FC236}">
              <a16:creationId xmlns:a16="http://schemas.microsoft.com/office/drawing/2014/main" id="{15DE42FE-DB82-CA33-93C9-98E617BB08AC}"/>
            </a:ext>
          </a:extLst>
        </xdr:cNvPr>
        <xdr:cNvPicPr>
          <a:picLocks noChangeAspect="1"/>
        </xdr:cNvPicPr>
      </xdr:nvPicPr>
      <xdr:blipFill>
        <a:blip xmlns:r="http://schemas.openxmlformats.org/officeDocument/2006/relationships" r:embed="rId1"/>
        <a:stretch>
          <a:fillRect/>
        </a:stretch>
      </xdr:blipFill>
      <xdr:spPr>
        <a:xfrm>
          <a:off x="361117" y="4245854"/>
          <a:ext cx="5401508" cy="1783471"/>
        </a:xfrm>
        <a:prstGeom prst="rect">
          <a:avLst/>
        </a:prstGeom>
      </xdr:spPr>
    </xdr:pic>
    <xdr:clientData/>
  </xdr:twoCellAnchor>
  <xdr:twoCellAnchor editAs="oneCell">
    <xdr:from>
      <xdr:col>0</xdr:col>
      <xdr:colOff>114300</xdr:colOff>
      <xdr:row>14</xdr:row>
      <xdr:rowOff>113328</xdr:rowOff>
    </xdr:from>
    <xdr:to>
      <xdr:col>10</xdr:col>
      <xdr:colOff>220980</xdr:colOff>
      <xdr:row>23</xdr:row>
      <xdr:rowOff>0</xdr:rowOff>
    </xdr:to>
    <xdr:pic>
      <xdr:nvPicPr>
        <xdr:cNvPr id="3" name="Picture 2">
          <a:extLst>
            <a:ext uri="{FF2B5EF4-FFF2-40B4-BE49-F238E27FC236}">
              <a16:creationId xmlns:a16="http://schemas.microsoft.com/office/drawing/2014/main" id="{C7999785-E4AD-A320-5B89-5FC85AE47E44}"/>
            </a:ext>
          </a:extLst>
        </xdr:cNvPr>
        <xdr:cNvPicPr>
          <a:picLocks noChangeAspect="1"/>
        </xdr:cNvPicPr>
      </xdr:nvPicPr>
      <xdr:blipFill>
        <a:blip xmlns:r="http://schemas.openxmlformats.org/officeDocument/2006/relationships" r:embed="rId2"/>
        <a:stretch>
          <a:fillRect/>
        </a:stretch>
      </xdr:blipFill>
      <xdr:spPr>
        <a:xfrm>
          <a:off x="114300" y="2688888"/>
          <a:ext cx="6202680" cy="153259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nnl.gov/main/publications/external/technical_reports/PNNL-20405.pdf" TargetMode="External"/><Relationship Id="rId13" Type="http://schemas.openxmlformats.org/officeDocument/2006/relationships/hyperlink" Target="https://www.ashrae.org/technical-resources/standards-and-guidelines/read-only-versions-of-ashrae-standards" TargetMode="External"/><Relationship Id="rId18" Type="http://schemas.openxmlformats.org/officeDocument/2006/relationships/hyperlink" Target="https://www.mass.gov/doc/small-office-prototype-basis-of-design-report/download" TargetMode="External"/><Relationship Id="rId26" Type="http://schemas.openxmlformats.org/officeDocument/2006/relationships/hyperlink" Target="https://www.energy.ca.gov/publications/2025/2025-building-energy-efficiency-standards-residential-and-nonresidential" TargetMode="External"/><Relationship Id="rId3" Type="http://schemas.openxmlformats.org/officeDocument/2006/relationships/hyperlink" Target="https://www.energycodes.gov/prototype-building-models" TargetMode="External"/><Relationship Id="rId21" Type="http://schemas.openxmlformats.org/officeDocument/2006/relationships/hyperlink" Target="https://www.energystar.gov/productfinder/product/certified-commercial-water-heaters/results?fuel_filter=Gas&amp;markets_filter=United+States" TargetMode="External"/><Relationship Id="rId7" Type="http://schemas.openxmlformats.org/officeDocument/2006/relationships/hyperlink" Target="https://www.energy.ca.gov/publications/2022/2022-nonresidential-and-multifamily-alternative-calculation-method-reference" TargetMode="External"/><Relationship Id="rId12" Type="http://schemas.openxmlformats.org/officeDocument/2006/relationships/hyperlink" Target="https://www.govinfo.gov/content/pkg/CFR-2024-title10-vol3/pdf/CFR-2024-title10-vol3-part431-subpartF.pdf" TargetMode="External"/><Relationship Id="rId17"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25" Type="http://schemas.openxmlformats.org/officeDocument/2006/relationships/hyperlink" Target="https://codes.iccsafe.org/codes/united-states/california" TargetMode="External"/><Relationship Id="rId2" Type="http://schemas.openxmlformats.org/officeDocument/2006/relationships/hyperlink" Target="https://bees.noresco.com/software2022.html" TargetMode="External"/><Relationship Id="rId16" Type="http://schemas.openxmlformats.org/officeDocument/2006/relationships/hyperlink" Target="https://www.energy.ca.gov/sites/default/files/2025-11/CEC-400-2025-006-AP-B.pdf" TargetMode="External"/><Relationship Id="rId20" Type="http://schemas.openxmlformats.org/officeDocument/2006/relationships/hyperlink" Target="https://efiling.energy.ca.gov/GetDocument.aspx?tn=265693&amp;DocumentContentId=102545" TargetMode="External"/><Relationship Id="rId1" Type="http://schemas.openxmlformats.org/officeDocument/2006/relationships/hyperlink" Target="https://www.mass.gov/lists/stretch-energy-code-development-support-documentation" TargetMode="External"/><Relationship Id="rId6" Type="http://schemas.openxmlformats.org/officeDocument/2006/relationships/hyperlink" Target="https://title24stakeholders.com/wp-content/uploads/2020/10/2022-T24-Final-CASE-Report_Reduce-Infiltration.pdf" TargetMode="External"/><Relationship Id="rId11" Type="http://schemas.openxmlformats.org/officeDocument/2006/relationships/hyperlink" Target="https://www.govinfo.gov/content/pkg/CFR-2013-title10-vol3/pdf/CFR-2013-title10-vol3-part431.pdf" TargetMode="External"/><Relationship Id="rId24" Type="http://schemas.openxmlformats.org/officeDocument/2006/relationships/hyperlink" Target="https://publications.ibpsa.org/conference/paper/?id=simbuild2026_1372" TargetMode="External"/><Relationship Id="rId5" Type="http://schemas.openxmlformats.org/officeDocument/2006/relationships/hyperlink" Target="https://web.eecs.utk.edu/~jnew1/publications/2019_IBPSA_OpenStudioOffice.pdf" TargetMode="External"/><Relationship Id="rId15" Type="http://schemas.openxmlformats.org/officeDocument/2006/relationships/hyperlink" Target="https://www.energy.ca.gov/publications/2023/2022-california-commercial-end-use-survey-ceus-final-report" TargetMode="External"/><Relationship Id="rId23" Type="http://schemas.openxmlformats.org/officeDocument/2006/relationships/hyperlink" Target="https://www.grainger.com/category/plumbing/water-heaters/electric-tank-water-heaters" TargetMode="External"/><Relationship Id="rId28" Type="http://schemas.openxmlformats.org/officeDocument/2006/relationships/drawing" Target="../drawings/drawing1.xml"/><Relationship Id="rId10" Type="http://schemas.openxmlformats.org/officeDocument/2006/relationships/hyperlink" Target="https://www.govinfo.gov/content/pkg/FR-2009-03-23/pdf/FR-2009-03-23.pdf" TargetMode="External"/><Relationship Id="rId19" Type="http://schemas.openxmlformats.org/officeDocument/2006/relationships/hyperlink" Target="https://title24stakeholders.com/wp-content/uploads/2016/10/T24-2019-CASE-Study-Results-Report-Outdoor-Sources_Final_with-Attachments.pdf" TargetMode="External"/><Relationship Id="rId4" Type="http://schemas.openxmlformats.org/officeDocument/2006/relationships/hyperlink" Target="https://github.com/sound-data/DEER-Prototypes-EnergyPlus" TargetMode="External"/><Relationship Id="rId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4" Type="http://schemas.openxmlformats.org/officeDocument/2006/relationships/hyperlink" Target="https://www.eia.gov/consumption/commercial/data/2018/" TargetMode="External"/><Relationship Id="rId22" Type="http://schemas.openxmlformats.org/officeDocument/2006/relationships/hyperlink" Target="https://www.grainger.com/category/plumbing/water-heaters/gas-tank-water-heaters" TargetMode="External"/><Relationship Id="rId27" Type="http://schemas.openxmlformats.org/officeDocument/2006/relationships/hyperlink" Target="https://www.thefreelibrary.com/Determining+Vintage+Bins+for+Prototype+Development%3a+An+Analysis+of...-a087927112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eb.eecs.utk.edu/~jnew1/presentations/2019_IBPSA_OpenStudioOffice.pdf" TargetMode="External"/><Relationship Id="rId1" Type="http://schemas.openxmlformats.org/officeDocument/2006/relationships/hyperlink" Target="https://web.eecs.utk.edu/~jnew1/publications/2019_IBPSA_OpenStudioOffice.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5" Type="http://schemas.openxmlformats.org/officeDocument/2006/relationships/drawing" Target="../drawings/drawing4.xml"/><Relationship Id="rId4"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 Id="rId2" Type="http://schemas.openxmlformats.org/officeDocument/2006/relationships/hyperlink" Target="https://www.pnnl.gov/main/publications/external/technical_reports/pnnl-19341.pdf" TargetMode="External"/><Relationship Id="rId1" Type="http://schemas.openxmlformats.org/officeDocument/2006/relationships/hyperlink" Target="https://www.pnnl.gov/main/publications/external/technical_reports/pnnl-19341.pdf" TargetMode="External"/><Relationship Id="rId6" Type="http://schemas.openxmlformats.org/officeDocument/2006/relationships/drawing" Target="../drawings/drawing5.xml"/><Relationship Id="rId5" Type="http://schemas.openxmlformats.org/officeDocument/2006/relationships/printerSettings" Target="../printerSettings/printerSettings3.bin"/><Relationship Id="rId4"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56"/>
  <sheetViews>
    <sheetView zoomScale="85" zoomScaleNormal="85" workbookViewId="0">
      <selection sqref="A1:C1"/>
    </sheetView>
  </sheetViews>
  <sheetFormatPr defaultColWidth="9.33203125" defaultRowHeight="13.2" x14ac:dyDescent="0.25"/>
  <cols>
    <col min="1" max="1" width="15.33203125" style="4" customWidth="1"/>
    <col min="2" max="2" width="87" style="4" customWidth="1"/>
    <col min="3" max="3" width="30.88671875" style="4" customWidth="1"/>
    <col min="4" max="4" width="9.33203125" style="4"/>
    <col min="5" max="5" width="21.6640625" style="4" customWidth="1"/>
    <col min="6" max="6" width="10.6640625" style="4" customWidth="1"/>
    <col min="7" max="7" width="9.6640625" style="4" customWidth="1"/>
    <col min="8" max="8" width="9.6640625" style="4" bestFit="1" customWidth="1"/>
    <col min="9" max="16384" width="9.33203125" style="4"/>
  </cols>
  <sheetData>
    <row r="1" spans="1:6" ht="20.399999999999999" customHeight="1" x14ac:dyDescent="0.25">
      <c r="A1" s="626" t="s">
        <v>0</v>
      </c>
      <c r="B1" s="626"/>
      <c r="C1" s="626"/>
    </row>
    <row r="2" spans="1:6" x14ac:dyDescent="0.25">
      <c r="A2" s="625" t="s">
        <v>1</v>
      </c>
      <c r="B2" s="4" t="s">
        <v>2</v>
      </c>
      <c r="C2" s="567"/>
    </row>
    <row r="3" spans="1:6" x14ac:dyDescent="0.25">
      <c r="A3" s="625"/>
      <c r="B3" s="4" t="s">
        <v>3</v>
      </c>
      <c r="C3" s="371" t="s">
        <v>4</v>
      </c>
      <c r="D3" s="29" t="s">
        <v>5</v>
      </c>
      <c r="E3" s="29"/>
      <c r="F3" s="29"/>
    </row>
    <row r="4" spans="1:6" x14ac:dyDescent="0.25">
      <c r="A4" s="625"/>
      <c r="B4" s="4" t="s">
        <v>6</v>
      </c>
      <c r="C4" s="371" t="s">
        <v>7</v>
      </c>
      <c r="D4" s="371" t="s">
        <v>5</v>
      </c>
      <c r="E4" s="371"/>
      <c r="F4" s="371"/>
    </row>
    <row r="5" spans="1:6" x14ac:dyDescent="0.25">
      <c r="A5" s="625"/>
      <c r="B5" s="4" t="s">
        <v>8</v>
      </c>
      <c r="C5" s="627" t="s">
        <v>9</v>
      </c>
      <c r="D5" s="627"/>
      <c r="E5" s="627"/>
      <c r="F5" s="627"/>
    </row>
    <row r="6" spans="1:6" x14ac:dyDescent="0.25">
      <c r="A6" s="625" t="s">
        <v>10</v>
      </c>
      <c r="B6" s="4" t="s">
        <v>11</v>
      </c>
      <c r="C6" s="356" t="s">
        <v>12</v>
      </c>
      <c r="D6" s="4" t="s">
        <v>5</v>
      </c>
    </row>
    <row r="7" spans="1:6" x14ac:dyDescent="0.25">
      <c r="A7" s="625"/>
      <c r="B7" s="4" t="s">
        <v>13</v>
      </c>
      <c r="C7" s="356" t="s">
        <v>14</v>
      </c>
      <c r="D7" s="4" t="s">
        <v>5</v>
      </c>
    </row>
    <row r="8" spans="1:6" x14ac:dyDescent="0.25">
      <c r="A8" s="625"/>
      <c r="B8" s="4" t="s">
        <v>15</v>
      </c>
      <c r="C8" s="356" t="s">
        <v>16</v>
      </c>
      <c r="D8" s="4" t="s">
        <v>5</v>
      </c>
    </row>
    <row r="9" spans="1:6" x14ac:dyDescent="0.25">
      <c r="A9" s="625"/>
      <c r="B9" s="4" t="s">
        <v>17</v>
      </c>
      <c r="C9" s="356" t="s">
        <v>18</v>
      </c>
      <c r="D9" s="4" t="s">
        <v>5</v>
      </c>
    </row>
    <row r="10" spans="1:6" x14ac:dyDescent="0.25">
      <c r="A10" s="625" t="s">
        <v>19</v>
      </c>
      <c r="B10" s="609" t="s">
        <v>653</v>
      </c>
      <c r="C10" s="375" t="s">
        <v>20</v>
      </c>
      <c r="D10" s="34">
        <v>2025</v>
      </c>
    </row>
    <row r="11" spans="1:6" x14ac:dyDescent="0.25">
      <c r="A11" s="625"/>
      <c r="B11" s="609"/>
      <c r="C11" s="375" t="s">
        <v>21</v>
      </c>
      <c r="D11" s="4" t="s">
        <v>22</v>
      </c>
    </row>
    <row r="12" spans="1:6" x14ac:dyDescent="0.25">
      <c r="A12" s="625"/>
      <c r="B12" s="29" t="s">
        <v>23</v>
      </c>
      <c r="C12" s="372" t="s">
        <v>24</v>
      </c>
      <c r="D12" s="4" t="s">
        <v>5</v>
      </c>
    </row>
    <row r="13" spans="1:6" x14ac:dyDescent="0.25">
      <c r="A13" s="625"/>
      <c r="B13" s="4" t="s">
        <v>25</v>
      </c>
      <c r="C13" s="569" t="s">
        <v>26</v>
      </c>
      <c r="D13" s="34" t="s">
        <v>5</v>
      </c>
    </row>
    <row r="14" spans="1:6" x14ac:dyDescent="0.25">
      <c r="A14" s="625"/>
      <c r="B14" s="4" t="s">
        <v>27</v>
      </c>
      <c r="C14" s="356" t="s">
        <v>28</v>
      </c>
      <c r="D14" s="4" t="s">
        <v>5</v>
      </c>
    </row>
    <row r="15" spans="1:6" x14ac:dyDescent="0.25">
      <c r="A15" s="625"/>
      <c r="B15" s="4" t="s">
        <v>29</v>
      </c>
      <c r="C15" s="356" t="s">
        <v>30</v>
      </c>
      <c r="D15" s="4" t="s">
        <v>5</v>
      </c>
    </row>
    <row r="16" spans="1:6" x14ac:dyDescent="0.25">
      <c r="A16" s="625"/>
      <c r="B16" s="4" t="s">
        <v>31</v>
      </c>
      <c r="C16" s="356" t="s">
        <v>32</v>
      </c>
      <c r="D16" s="4" t="s">
        <v>5</v>
      </c>
    </row>
    <row r="17" spans="1:5" ht="11.4" customHeight="1" x14ac:dyDescent="0.25">
      <c r="A17" s="625" t="s">
        <v>33</v>
      </c>
      <c r="B17" s="630" t="s">
        <v>34</v>
      </c>
      <c r="C17" s="358" t="s">
        <v>35</v>
      </c>
      <c r="D17" s="4" t="s">
        <v>5</v>
      </c>
    </row>
    <row r="18" spans="1:5" x14ac:dyDescent="0.25">
      <c r="A18" s="625"/>
      <c r="B18" s="630"/>
      <c r="C18" s="358" t="s">
        <v>36</v>
      </c>
      <c r="D18" s="4" t="s">
        <v>5</v>
      </c>
    </row>
    <row r="19" spans="1:5" x14ac:dyDescent="0.25">
      <c r="A19" s="625"/>
      <c r="B19" s="4" t="s">
        <v>37</v>
      </c>
      <c r="C19" s="357" t="s">
        <v>38</v>
      </c>
      <c r="D19" s="4" t="s">
        <v>5</v>
      </c>
    </row>
    <row r="20" spans="1:5" x14ac:dyDescent="0.25">
      <c r="A20" s="625"/>
      <c r="B20" s="29" t="s">
        <v>39</v>
      </c>
      <c r="C20" s="371" t="s">
        <v>40</v>
      </c>
      <c r="D20" s="4" t="s">
        <v>5</v>
      </c>
    </row>
    <row r="21" spans="1:5" x14ac:dyDescent="0.25">
      <c r="A21" s="625"/>
      <c r="B21" s="118" t="s">
        <v>41</v>
      </c>
      <c r="C21" s="373" t="s">
        <v>42</v>
      </c>
      <c r="D21" s="4" t="s">
        <v>5</v>
      </c>
    </row>
    <row r="22" spans="1:5" x14ac:dyDescent="0.25">
      <c r="A22" s="625"/>
      <c r="B22" s="6" t="s">
        <v>43</v>
      </c>
      <c r="C22" s="356" t="s">
        <v>38</v>
      </c>
      <c r="D22" s="4" t="s">
        <v>5</v>
      </c>
    </row>
    <row r="23" spans="1:5" x14ac:dyDescent="0.25">
      <c r="A23" s="625"/>
      <c r="B23" s="7" t="s">
        <v>44</v>
      </c>
      <c r="C23" s="356" t="s">
        <v>45</v>
      </c>
      <c r="D23" s="4" t="s">
        <v>5</v>
      </c>
    </row>
    <row r="24" spans="1:5" x14ac:dyDescent="0.25">
      <c r="A24" s="625"/>
      <c r="B24" s="29" t="s">
        <v>46</v>
      </c>
      <c r="C24" s="569" t="s">
        <v>47</v>
      </c>
      <c r="D24" s="4" t="s">
        <v>5</v>
      </c>
    </row>
    <row r="25" spans="1:5" x14ac:dyDescent="0.25">
      <c r="A25" s="625"/>
      <c r="B25" s="4" t="s">
        <v>48</v>
      </c>
      <c r="C25" s="356" t="s">
        <v>49</v>
      </c>
      <c r="D25" s="4" t="s">
        <v>5</v>
      </c>
    </row>
    <row r="26" spans="1:5" x14ac:dyDescent="0.25">
      <c r="A26" s="625"/>
      <c r="B26" s="4" t="s">
        <v>50</v>
      </c>
      <c r="C26" s="356" t="s">
        <v>51</v>
      </c>
      <c r="D26" s="4" t="s">
        <v>5</v>
      </c>
    </row>
    <row r="27" spans="1:5" ht="28.2" customHeight="1" x14ac:dyDescent="0.25">
      <c r="A27" s="625"/>
      <c r="B27" s="118" t="s">
        <v>52</v>
      </c>
      <c r="C27" s="444" t="s">
        <v>53</v>
      </c>
      <c r="D27" s="4" t="s">
        <v>5</v>
      </c>
    </row>
    <row r="28" spans="1:5" ht="40.200000000000003" customHeight="1" x14ac:dyDescent="0.25">
      <c r="A28" s="625"/>
      <c r="B28" s="118" t="s">
        <v>54</v>
      </c>
      <c r="C28" s="374" t="s">
        <v>55</v>
      </c>
      <c r="D28" s="4" t="s">
        <v>5</v>
      </c>
    </row>
    <row r="29" spans="1:5" ht="27.6" customHeight="1" x14ac:dyDescent="0.25">
      <c r="A29" s="625"/>
      <c r="B29" s="118" t="s">
        <v>56</v>
      </c>
      <c r="C29" s="374" t="s">
        <v>57</v>
      </c>
      <c r="D29" s="374" t="s">
        <v>5</v>
      </c>
      <c r="E29" s="374"/>
    </row>
    <row r="30" spans="1:5" x14ac:dyDescent="0.25">
      <c r="A30" s="625"/>
      <c r="B30" s="29" t="s">
        <v>58</v>
      </c>
      <c r="C30" s="569" t="s">
        <v>59</v>
      </c>
      <c r="D30" s="4" t="s">
        <v>5</v>
      </c>
    </row>
    <row r="31" spans="1:5" x14ac:dyDescent="0.25">
      <c r="A31" s="625"/>
      <c r="B31" s="29" t="s">
        <v>60</v>
      </c>
      <c r="C31" s="356" t="s">
        <v>61</v>
      </c>
      <c r="D31" s="4" t="s">
        <v>5</v>
      </c>
    </row>
    <row r="32" spans="1:5" x14ac:dyDescent="0.25">
      <c r="A32" s="625"/>
      <c r="B32" s="29" t="s">
        <v>62</v>
      </c>
      <c r="C32" s="356" t="s">
        <v>63</v>
      </c>
      <c r="D32" s="4" t="s">
        <v>5</v>
      </c>
    </row>
    <row r="33" spans="1:8" x14ac:dyDescent="0.25">
      <c r="A33" s="320"/>
      <c r="C33" s="356"/>
    </row>
    <row r="34" spans="1:8" x14ac:dyDescent="0.25">
      <c r="C34" s="567"/>
    </row>
    <row r="35" spans="1:8" ht="18.600000000000001" customHeight="1" x14ac:dyDescent="0.25">
      <c r="A35" s="626" t="s">
        <v>64</v>
      </c>
      <c r="B35" s="626"/>
      <c r="C35" s="626"/>
    </row>
    <row r="36" spans="1:8" x14ac:dyDescent="0.25">
      <c r="C36" s="567"/>
    </row>
    <row r="37" spans="1:8" x14ac:dyDescent="0.25">
      <c r="C37" s="567"/>
    </row>
    <row r="38" spans="1:8" x14ac:dyDescent="0.25">
      <c r="C38" s="567"/>
    </row>
    <row r="39" spans="1:8" x14ac:dyDescent="0.25">
      <c r="C39" s="567"/>
      <c r="E39" s="131"/>
      <c r="F39" s="378" t="s">
        <v>65</v>
      </c>
      <c r="G39" s="378" t="s">
        <v>66</v>
      </c>
      <c r="H39" s="378" t="s">
        <v>67</v>
      </c>
    </row>
    <row r="40" spans="1:8" ht="39.6" x14ac:dyDescent="0.25">
      <c r="C40" s="567"/>
      <c r="E40" s="379" t="s">
        <v>68</v>
      </c>
      <c r="F40" s="130">
        <v>0.46536942917401369</v>
      </c>
      <c r="G40" s="130">
        <v>0.53462987933478545</v>
      </c>
      <c r="H40" s="130">
        <v>9.3651419285689569E-2</v>
      </c>
    </row>
    <row r="41" spans="1:8" x14ac:dyDescent="0.25">
      <c r="C41" s="567"/>
    </row>
    <row r="42" spans="1:8" x14ac:dyDescent="0.25">
      <c r="C42" s="567"/>
    </row>
    <row r="43" spans="1:8" x14ac:dyDescent="0.25">
      <c r="C43" s="567"/>
    </row>
    <row r="44" spans="1:8" x14ac:dyDescent="0.25">
      <c r="C44" s="567"/>
    </row>
    <row r="45" spans="1:8" x14ac:dyDescent="0.25">
      <c r="C45" s="567"/>
    </row>
    <row r="46" spans="1:8" x14ac:dyDescent="0.25">
      <c r="C46" s="567"/>
    </row>
    <row r="47" spans="1:8" x14ac:dyDescent="0.25">
      <c r="B47" s="380" t="s">
        <v>69</v>
      </c>
      <c r="C47" s="567"/>
    </row>
    <row r="48" spans="1:8" ht="19.2" customHeight="1" x14ac:dyDescent="0.25">
      <c r="A48" s="626" t="s">
        <v>70</v>
      </c>
      <c r="B48" s="626"/>
      <c r="C48" s="626"/>
    </row>
    <row r="49" spans="1:5" ht="173.4" customHeight="1" x14ac:dyDescent="0.25">
      <c r="A49" s="388" t="s">
        <v>71</v>
      </c>
      <c r="B49" s="629" t="s">
        <v>72</v>
      </c>
      <c r="C49" s="629"/>
    </row>
    <row r="50" spans="1:5" ht="63" customHeight="1" x14ac:dyDescent="0.25">
      <c r="A50" s="571" t="s">
        <v>73</v>
      </c>
      <c r="B50" s="628" t="s">
        <v>74</v>
      </c>
      <c r="C50" s="628"/>
    </row>
    <row r="51" spans="1:5" ht="125.25" customHeight="1" x14ac:dyDescent="0.25">
      <c r="A51" s="571" t="s">
        <v>75</v>
      </c>
      <c r="B51" s="628" t="s">
        <v>76</v>
      </c>
      <c r="C51" s="628"/>
    </row>
    <row r="52" spans="1:5" ht="99.6" customHeight="1" x14ac:dyDescent="0.25">
      <c r="A52" s="571" t="s">
        <v>77</v>
      </c>
      <c r="B52" s="628" t="s">
        <v>78</v>
      </c>
      <c r="C52" s="628"/>
    </row>
    <row r="53" spans="1:5" x14ac:dyDescent="0.25">
      <c r="B53" s="624"/>
      <c r="C53" s="624"/>
    </row>
    <row r="56" spans="1:5" ht="39.6" customHeight="1" x14ac:dyDescent="0.25">
      <c r="A56" s="572"/>
      <c r="B56" s="376"/>
      <c r="C56" s="376"/>
      <c r="D56" s="376"/>
      <c r="E56" s="377"/>
    </row>
  </sheetData>
  <mergeCells count="15">
    <mergeCell ref="B53:C53"/>
    <mergeCell ref="A2:A5"/>
    <mergeCell ref="A6:A9"/>
    <mergeCell ref="A1:C1"/>
    <mergeCell ref="A10:A16"/>
    <mergeCell ref="C5:F5"/>
    <mergeCell ref="B10:B11"/>
    <mergeCell ref="B52:C52"/>
    <mergeCell ref="A48:C48"/>
    <mergeCell ref="A35:C35"/>
    <mergeCell ref="B49:C49"/>
    <mergeCell ref="B50:C50"/>
    <mergeCell ref="B51:C51"/>
    <mergeCell ref="A17:A32"/>
    <mergeCell ref="B17:B18"/>
  </mergeCells>
  <hyperlinks>
    <hyperlink ref="C17" r:id="rId1" xr:uid="{281B7D1D-7B1C-4EB5-9B6B-0D9DA0C9926B}"/>
    <hyperlink ref="C6" r:id="rId2" xr:uid="{BE11EEF8-3AF7-48F0-A38B-7309CE5A9491}"/>
    <hyperlink ref="C7" r:id="rId3" location="Commercial" xr:uid="{626A4776-C2FA-489E-88C0-BC9C7C8EA36F}"/>
    <hyperlink ref="C8" r:id="rId4" xr:uid="{0DEB00BB-3A26-4527-9ED4-40D17F93A579}"/>
    <hyperlink ref="C9" r:id="rId5" xr:uid="{E7A9A52D-7F84-4513-9CAE-4B7B2AE4C958}"/>
    <hyperlink ref="C23" r:id="rId6" xr:uid="{529761A4-7D16-4FA2-84A7-728B42A31AEF}"/>
    <hyperlink ref="C22" r:id="rId7" xr:uid="{F91B9AA6-8CBA-4A95-B111-70A1F6B561C2}"/>
    <hyperlink ref="C25" r:id="rId8" xr:uid="{5A301539-1FFB-41E4-AE38-761F6CA571F3}"/>
    <hyperlink ref="C26" r:id="rId9" xr:uid="{99144D7B-BB13-4E0F-B987-13604AE7080C}"/>
    <hyperlink ref="C14" r:id="rId10" xr:uid="{4C44B064-1A46-4D02-A4CC-D809C38EB67A}"/>
    <hyperlink ref="C15" r:id="rId11" xr:uid="{6656CFF8-0B9D-43F4-B135-B1D5D8B52F48}"/>
    <hyperlink ref="C16" r:id="rId12" xr:uid="{48EB7B33-0BE3-4DC5-AB87-C15566CFD4BC}"/>
    <hyperlink ref="C13" r:id="rId13" xr:uid="{7BD516AD-C412-47CC-BCA0-1C024317FB6E}"/>
    <hyperlink ref="C4" r:id="rId14" xr:uid="{C33B9C16-3122-48A8-93B9-C821F98E774D}"/>
    <hyperlink ref="C3" r:id="rId15" xr:uid="{0C8B560B-B0AF-4339-8646-DBA28A57EBCC}"/>
    <hyperlink ref="C21" r:id="rId16" xr:uid="{8CE3E1B9-7B93-4B15-978D-42C808D35A73}"/>
    <hyperlink ref="C12" r:id="rId17" xr:uid="{F87CDCEE-42C1-448C-8590-11557BE412E0}"/>
    <hyperlink ref="C18" r:id="rId18" xr:uid="{45F61DC3-47D6-4782-B88B-6CF3F7165EC2}"/>
    <hyperlink ref="C24" r:id="rId19" xr:uid="{727DB338-329D-437A-BA81-F8000D7AD1DD}"/>
    <hyperlink ref="C28" r:id="rId20" xr:uid="{B3B97E90-55DE-49DE-86B9-89B1C019BBAA}"/>
    <hyperlink ref="C30" r:id="rId21" xr:uid="{4652B389-457A-4166-B4E3-7E628B6A8D3F}"/>
    <hyperlink ref="C31" r:id="rId22" xr:uid="{0B792897-DF54-4274-AEAD-F7DE517618F2}"/>
    <hyperlink ref="C32" r:id="rId23" xr:uid="{002CECDA-55B0-4167-9FEF-0BC325B72AD4}"/>
    <hyperlink ref="C29" r:id="rId24" xr:uid="{4492BF7B-10AD-45FF-A0D4-70A47FDCE166}"/>
    <hyperlink ref="C11" r:id="rId25" xr:uid="{9D4C8447-7081-4D4B-A659-613673564820}"/>
    <hyperlink ref="C10" r:id="rId26" xr:uid="{7124DF27-9544-4794-A06E-757BFB40E4CD}"/>
    <hyperlink ref="C27" r:id="rId27" xr:uid="{108731A9-107F-4522-BEE9-56EFC65FFEEC}"/>
  </hyperlinks>
  <pageMargins left="0.7" right="0.7" top="0.75" bottom="0.75" header="0.3" footer="0.3"/>
  <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75"/>
  <sheetViews>
    <sheetView tabSelected="1" zoomScale="85" zoomScaleNormal="85" workbookViewId="0">
      <selection sqref="A1:C1"/>
    </sheetView>
  </sheetViews>
  <sheetFormatPr defaultColWidth="9.33203125" defaultRowHeight="13.8" x14ac:dyDescent="0.25"/>
  <cols>
    <col min="1" max="1" width="25" style="2" customWidth="1"/>
    <col min="2" max="2" width="51.33203125" style="2" customWidth="1"/>
    <col min="3" max="3" width="56.33203125" style="2" customWidth="1"/>
    <col min="4" max="5" width="48" style="2" customWidth="1"/>
    <col min="6" max="6" width="17" style="2" customWidth="1"/>
    <col min="7" max="9" width="8.6640625" style="2" customWidth="1"/>
    <col min="10" max="16384" width="9.33203125" style="2"/>
  </cols>
  <sheetData>
    <row r="1" spans="1:9" ht="17.399999999999999" x14ac:dyDescent="0.25">
      <c r="A1" s="636" t="s">
        <v>655</v>
      </c>
      <c r="B1" s="636"/>
      <c r="C1" s="636"/>
      <c r="D1" s="8"/>
      <c r="E1" s="8"/>
      <c r="F1" s="8"/>
    </row>
    <row r="2" spans="1:9" ht="25.2" customHeight="1" x14ac:dyDescent="0.25">
      <c r="A2" s="637" t="s">
        <v>79</v>
      </c>
      <c r="B2" s="638"/>
      <c r="C2" s="638"/>
      <c r="D2" s="8"/>
      <c r="E2" s="8"/>
      <c r="F2" s="8"/>
    </row>
    <row r="3" spans="1:9" ht="20.399999999999999" customHeight="1" x14ac:dyDescent="0.25">
      <c r="A3" s="15" t="s">
        <v>80</v>
      </c>
      <c r="B3" s="585" t="s">
        <v>81</v>
      </c>
      <c r="C3" s="16" t="s">
        <v>0</v>
      </c>
    </row>
    <row r="4" spans="1:9" ht="16.2" customHeight="1" x14ac:dyDescent="0.25">
      <c r="A4" s="13" t="s">
        <v>82</v>
      </c>
      <c r="B4" s="574" t="s">
        <v>83</v>
      </c>
      <c r="C4" s="13"/>
    </row>
    <row r="5" spans="1:9" ht="16.2" customHeight="1" x14ac:dyDescent="0.25">
      <c r="A5" s="13" t="s">
        <v>84</v>
      </c>
      <c r="B5" s="574" t="s">
        <v>85</v>
      </c>
      <c r="C5" s="13"/>
    </row>
    <row r="6" spans="1:9" ht="16.2" customHeight="1" x14ac:dyDescent="0.25">
      <c r="A6" s="442" t="s">
        <v>86</v>
      </c>
      <c r="B6" s="312" t="s">
        <v>87</v>
      </c>
      <c r="C6" s="13"/>
    </row>
    <row r="7" spans="1:9" ht="94.95" customHeight="1" x14ac:dyDescent="0.25">
      <c r="A7" s="13" t="s">
        <v>88</v>
      </c>
      <c r="B7" s="578" t="s">
        <v>89</v>
      </c>
      <c r="C7" s="14" t="s">
        <v>90</v>
      </c>
      <c r="D7" s="443"/>
      <c r="E7" s="2" t="s">
        <v>5</v>
      </c>
    </row>
    <row r="8" spans="1:9" ht="120.6" customHeight="1" x14ac:dyDescent="0.25">
      <c r="A8" s="13" t="s">
        <v>91</v>
      </c>
      <c r="B8" s="574"/>
      <c r="C8" s="14" t="s">
        <v>92</v>
      </c>
      <c r="D8" s="374"/>
      <c r="E8" s="2" t="s">
        <v>5</v>
      </c>
      <c r="I8" s="3"/>
    </row>
    <row r="9" spans="1:9" ht="16.2" customHeight="1" x14ac:dyDescent="0.25">
      <c r="A9" s="9" t="s">
        <v>93</v>
      </c>
      <c r="B9" s="10" t="s">
        <v>94</v>
      </c>
      <c r="C9" s="564" t="s">
        <v>95</v>
      </c>
    </row>
    <row r="10" spans="1:9" ht="16.2" customHeight="1" x14ac:dyDescent="0.25">
      <c r="A10" s="9" t="s">
        <v>96</v>
      </c>
      <c r="B10" s="110">
        <v>1.5</v>
      </c>
      <c r="C10" s="564" t="s">
        <v>97</v>
      </c>
    </row>
    <row r="11" spans="1:9" ht="32.4" customHeight="1" x14ac:dyDescent="0.25">
      <c r="A11" s="11" t="s">
        <v>98</v>
      </c>
      <c r="B11" s="574">
        <v>1</v>
      </c>
      <c r="C11" s="566" t="s">
        <v>99</v>
      </c>
    </row>
    <row r="12" spans="1:9" ht="24.75" customHeight="1" x14ac:dyDescent="0.25">
      <c r="A12" s="11" t="s">
        <v>100</v>
      </c>
      <c r="B12" s="574" t="s">
        <v>101</v>
      </c>
      <c r="C12" s="115" t="s">
        <v>102</v>
      </c>
    </row>
    <row r="13" spans="1:9" ht="78.599999999999994" customHeight="1" x14ac:dyDescent="0.25">
      <c r="A13" s="11" t="s">
        <v>103</v>
      </c>
      <c r="B13" s="578" t="s">
        <v>104</v>
      </c>
      <c r="C13" s="14" t="s">
        <v>105</v>
      </c>
    </row>
    <row r="14" spans="1:9" x14ac:dyDescent="0.25">
      <c r="A14" s="9" t="s">
        <v>106</v>
      </c>
      <c r="B14" s="12" t="s">
        <v>107</v>
      </c>
      <c r="C14" s="14" t="s">
        <v>97</v>
      </c>
    </row>
    <row r="15" spans="1:9" ht="26.4" x14ac:dyDescent="0.25">
      <c r="A15" s="9" t="s">
        <v>108</v>
      </c>
      <c r="B15" s="574">
        <v>10</v>
      </c>
      <c r="C15" s="14" t="s">
        <v>109</v>
      </c>
    </row>
    <row r="16" spans="1:9" x14ac:dyDescent="0.25">
      <c r="A16" s="9" t="s">
        <v>110</v>
      </c>
      <c r="B16" s="574">
        <v>10</v>
      </c>
      <c r="C16" s="14" t="s">
        <v>97</v>
      </c>
    </row>
    <row r="17" spans="1:5" ht="26.4" x14ac:dyDescent="0.25">
      <c r="A17" s="9" t="s">
        <v>111</v>
      </c>
      <c r="B17" s="578" t="s">
        <v>112</v>
      </c>
      <c r="C17" s="14" t="s">
        <v>97</v>
      </c>
    </row>
    <row r="20" spans="1:5" ht="40.5" customHeight="1" x14ac:dyDescent="0.25">
      <c r="A20" s="319"/>
      <c r="B20" s="319"/>
      <c r="C20" s="319"/>
      <c r="D20" s="319"/>
      <c r="E20" s="319"/>
    </row>
    <row r="51" ht="14.7" customHeight="1" x14ac:dyDescent="0.25"/>
    <row r="52" ht="14.7" customHeight="1" x14ac:dyDescent="0.25"/>
    <row r="54" ht="14.7" customHeight="1" x14ac:dyDescent="0.25"/>
    <row r="55" ht="14.7" customHeight="1" x14ac:dyDescent="0.25"/>
    <row r="56" ht="14.7" customHeight="1" x14ac:dyDescent="0.25"/>
    <row r="59" ht="14.7" customHeight="1" x14ac:dyDescent="0.25"/>
    <row r="60" ht="14.7" customHeight="1" x14ac:dyDescent="0.25"/>
    <row r="66" spans="1:11" s="23" customFormat="1" ht="13.2" x14ac:dyDescent="0.25">
      <c r="A66" s="23" t="s">
        <v>114</v>
      </c>
      <c r="D66" s="24"/>
      <c r="E66" s="25"/>
      <c r="F66" s="26"/>
    </row>
    <row r="67" spans="1:11" s="4" customFormat="1" ht="13.2" x14ac:dyDescent="0.25"/>
    <row r="68" spans="1:11" s="4" customFormat="1" ht="13.2" x14ac:dyDescent="0.25"/>
    <row r="69" spans="1:11" s="4" customFormat="1" ht="13.2" x14ac:dyDescent="0.25"/>
    <row r="70" spans="1:11" s="4" customFormat="1" ht="13.2" x14ac:dyDescent="0.25"/>
    <row r="72" spans="1:11" x14ac:dyDescent="0.25">
      <c r="D72" s="631" t="s">
        <v>115</v>
      </c>
      <c r="E72" s="631"/>
      <c r="F72" s="631"/>
      <c r="G72" s="631"/>
      <c r="H72" s="631"/>
      <c r="I72" s="631"/>
      <c r="J72" s="631"/>
      <c r="K72" s="631"/>
    </row>
    <row r="73" spans="1:11" x14ac:dyDescent="0.25">
      <c r="D73" s="52" t="s">
        <v>116</v>
      </c>
      <c r="E73" s="61" t="s">
        <v>117</v>
      </c>
      <c r="F73" s="61" t="s">
        <v>118</v>
      </c>
      <c r="G73" s="61" t="s">
        <v>119</v>
      </c>
      <c r="H73" s="61" t="s">
        <v>120</v>
      </c>
      <c r="I73" s="632" t="s">
        <v>121</v>
      </c>
      <c r="J73" s="633"/>
      <c r="K73" s="633"/>
    </row>
    <row r="74" spans="1:11" x14ac:dyDescent="0.25">
      <c r="D74" s="509" t="s">
        <v>122</v>
      </c>
      <c r="E74" s="62">
        <v>1.5</v>
      </c>
      <c r="F74" s="63">
        <v>1.5</v>
      </c>
      <c r="G74" s="64">
        <v>0.63</v>
      </c>
      <c r="H74" s="97"/>
      <c r="I74" s="634" t="s">
        <v>123</v>
      </c>
      <c r="J74" s="634"/>
      <c r="K74" s="634"/>
    </row>
    <row r="75" spans="1:11" x14ac:dyDescent="0.25">
      <c r="D75" s="509" t="s">
        <v>124</v>
      </c>
      <c r="E75" s="65" t="e">
        <f>SUM(Schedules!#REF!)*249+SUM(Schedules!#REF!)*52+SUM(Schedules!#REF!)*(364-249-52)</f>
        <v>#REF!</v>
      </c>
      <c r="F75" s="65" t="e">
        <f>SUM(Schedules!#REF!)*249+SUM(Schedules!#REF!)*52+SUM(Schedules!#REF!)*(364-249-52)</f>
        <v>#REF!</v>
      </c>
      <c r="G75" s="65" t="e">
        <f>SUM(Schedules!#REF!)*249+SUM(Schedules!#REF!)*52+SUM(Schedules!#REF!)*(364-249-52)</f>
        <v>#REF!</v>
      </c>
      <c r="H75" s="98"/>
      <c r="I75" s="635"/>
      <c r="J75" s="635"/>
      <c r="K75" s="635"/>
    </row>
  </sheetData>
  <mergeCells count="6">
    <mergeCell ref="D72:K72"/>
    <mergeCell ref="I73:K73"/>
    <mergeCell ref="I74:K74"/>
    <mergeCell ref="I75:K75"/>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Y31"/>
  <sheetViews>
    <sheetView zoomScale="85" zoomScaleNormal="85" workbookViewId="0">
      <selection sqref="A1:M1"/>
    </sheetView>
  </sheetViews>
  <sheetFormatPr defaultColWidth="8.6640625" defaultRowHeight="13.2" x14ac:dyDescent="0.25"/>
  <cols>
    <col min="1" max="1" width="18.109375" style="4" customWidth="1"/>
    <col min="2" max="2" width="29.88671875" style="4" customWidth="1"/>
    <col min="3" max="3" width="48.6640625" style="4" customWidth="1"/>
    <col min="4" max="4" width="34.5546875" style="4" customWidth="1"/>
    <col min="5" max="5" width="19" style="4" customWidth="1"/>
    <col min="6" max="6" width="24" style="4" customWidth="1"/>
    <col min="7" max="7" width="14.6640625" style="4" customWidth="1"/>
    <col min="8" max="8" width="10.109375" style="4" customWidth="1"/>
    <col min="9" max="9" width="7.6640625" style="4" customWidth="1"/>
    <col min="10" max="10" width="12.6640625" style="4" customWidth="1"/>
    <col min="11" max="11" width="12" style="4" bestFit="1" customWidth="1"/>
    <col min="12" max="12" width="27.33203125" style="4" customWidth="1"/>
    <col min="13" max="13" width="41.5546875" style="4" customWidth="1"/>
    <col min="14" max="14" width="32.5546875" style="4" customWidth="1"/>
    <col min="15" max="15" width="24.44140625" style="4" customWidth="1"/>
    <col min="16" max="16" width="12.6640625" style="4" customWidth="1"/>
    <col min="17" max="17" width="25.33203125" style="4" customWidth="1"/>
    <col min="18" max="18" width="22.33203125" style="4" bestFit="1" customWidth="1"/>
    <col min="19" max="19" width="18.33203125" style="4" customWidth="1"/>
    <col min="20" max="20" width="25.6640625" style="4" customWidth="1"/>
    <col min="21" max="21" width="22.6640625" style="4" customWidth="1"/>
    <col min="22" max="22" width="16.33203125" style="4" customWidth="1"/>
    <col min="23" max="23" width="6.6640625" style="4" bestFit="1" customWidth="1"/>
    <col min="24" max="28" width="17.33203125" style="4" customWidth="1"/>
    <col min="29" max="16384" width="8.6640625" style="4"/>
  </cols>
  <sheetData>
    <row r="1" spans="1:25" ht="25.95" customHeight="1" x14ac:dyDescent="0.25">
      <c r="A1" s="626" t="str">
        <f>"Proposed Layout - "&amp;Prototype!A2</f>
        <v>Proposed Layout - OfficeSmall</v>
      </c>
      <c r="B1" s="626"/>
      <c r="C1" s="626"/>
      <c r="D1" s="626"/>
      <c r="E1" s="626"/>
      <c r="F1" s="626"/>
      <c r="G1" s="626"/>
      <c r="H1" s="626"/>
      <c r="I1" s="626"/>
      <c r="J1" s="626"/>
      <c r="K1" s="626"/>
      <c r="L1" s="626"/>
      <c r="M1" s="639"/>
    </row>
    <row r="2" spans="1:25" ht="41.25" customHeight="1" x14ac:dyDescent="0.3">
      <c r="A2" s="477" t="s">
        <v>125</v>
      </c>
      <c r="B2" s="28" t="s">
        <v>126</v>
      </c>
      <c r="C2" s="584" t="s">
        <v>127</v>
      </c>
      <c r="D2" s="28" t="s">
        <v>128</v>
      </c>
      <c r="E2" s="28" t="s">
        <v>129</v>
      </c>
      <c r="F2" s="27" t="s">
        <v>130</v>
      </c>
      <c r="G2" s="28" t="s">
        <v>131</v>
      </c>
      <c r="H2" s="28" t="s">
        <v>132</v>
      </c>
      <c r="I2" s="27" t="s">
        <v>133</v>
      </c>
      <c r="J2" s="27" t="s">
        <v>134</v>
      </c>
      <c r="K2" s="132" t="s">
        <v>135</v>
      </c>
      <c r="L2" s="300" t="s">
        <v>136</v>
      </c>
      <c r="M2" s="310" t="s">
        <v>70</v>
      </c>
      <c r="O2" s="394" t="s">
        <v>137</v>
      </c>
      <c r="S2" s="305"/>
    </row>
    <row r="3" spans="1:25" ht="17.7" customHeight="1" x14ac:dyDescent="0.25">
      <c r="A3" s="478" t="s">
        <v>138</v>
      </c>
      <c r="B3" s="476" t="s">
        <v>139</v>
      </c>
      <c r="C3" s="18" t="s">
        <v>140</v>
      </c>
      <c r="D3" s="18" t="s">
        <v>141</v>
      </c>
      <c r="E3" s="18" t="s">
        <v>142</v>
      </c>
      <c r="F3" s="17" t="s">
        <v>143</v>
      </c>
      <c r="G3" s="582">
        <f t="shared" ref="G3:G15" si="0">H3/$H$17</f>
        <v>0.16588270621813633</v>
      </c>
      <c r="H3" s="116">
        <v>912.69749999999999</v>
      </c>
      <c r="I3" s="17">
        <f>H3*10</f>
        <v>9126.9750000000004</v>
      </c>
      <c r="J3" s="17">
        <v>1</v>
      </c>
      <c r="K3" s="17">
        <f>L3*H3/1000</f>
        <v>4.5634874999999999</v>
      </c>
      <c r="L3" s="301">
        <v>5</v>
      </c>
      <c r="M3" s="295"/>
      <c r="S3" s="306"/>
      <c r="T3" s="306"/>
    </row>
    <row r="4" spans="1:25" ht="17.7" customHeight="1" x14ac:dyDescent="0.25">
      <c r="A4" s="478" t="s">
        <v>138</v>
      </c>
      <c r="B4" s="476" t="s">
        <v>144</v>
      </c>
      <c r="C4" s="18" t="s">
        <v>140</v>
      </c>
      <c r="D4" s="18" t="s">
        <v>145</v>
      </c>
      <c r="E4" s="18" t="s">
        <v>142</v>
      </c>
      <c r="F4" s="17" t="s">
        <v>143</v>
      </c>
      <c r="G4" s="582">
        <f t="shared" si="0"/>
        <v>0.16511254089216651</v>
      </c>
      <c r="H4" s="17">
        <v>908.46</v>
      </c>
      <c r="I4" s="17">
        <f t="shared" ref="I4:I15" si="1">H4*10</f>
        <v>9084.6</v>
      </c>
      <c r="J4" s="17">
        <v>1</v>
      </c>
      <c r="K4" s="17">
        <f t="shared" ref="K4:K15" si="2">L4*H4/1000</f>
        <v>4.5423</v>
      </c>
      <c r="L4" s="301">
        <v>5</v>
      </c>
      <c r="M4" s="296"/>
      <c r="S4" s="307"/>
      <c r="T4" s="307"/>
    </row>
    <row r="5" spans="1:25" ht="17.7" customHeight="1" x14ac:dyDescent="0.25">
      <c r="A5" s="478" t="s">
        <v>138</v>
      </c>
      <c r="B5" s="476" t="s">
        <v>146</v>
      </c>
      <c r="C5" s="18" t="s">
        <v>140</v>
      </c>
      <c r="D5" s="18" t="s">
        <v>147</v>
      </c>
      <c r="E5" s="18" t="s">
        <v>142</v>
      </c>
      <c r="F5" s="17" t="s">
        <v>143</v>
      </c>
      <c r="G5" s="582">
        <f t="shared" si="0"/>
        <v>0.16511254089216651</v>
      </c>
      <c r="H5" s="17">
        <v>908.46</v>
      </c>
      <c r="I5" s="17">
        <f t="shared" si="1"/>
        <v>9084.6</v>
      </c>
      <c r="J5" s="17">
        <v>1</v>
      </c>
      <c r="K5" s="17">
        <f t="shared" si="2"/>
        <v>4.5423</v>
      </c>
      <c r="L5" s="301">
        <v>5</v>
      </c>
      <c r="M5" s="297"/>
      <c r="S5" s="307"/>
      <c r="T5" s="307"/>
    </row>
    <row r="6" spans="1:25" ht="24.75" customHeight="1" x14ac:dyDescent="0.25">
      <c r="A6" s="478" t="s">
        <v>138</v>
      </c>
      <c r="B6" s="476" t="s">
        <v>148</v>
      </c>
      <c r="C6" s="18" t="s">
        <v>149</v>
      </c>
      <c r="D6" s="102" t="s">
        <v>150</v>
      </c>
      <c r="E6" s="102" t="s">
        <v>142</v>
      </c>
      <c r="F6" s="17" t="s">
        <v>143</v>
      </c>
      <c r="G6" s="582">
        <f t="shared" si="0"/>
        <v>8.2941580296479966E-2</v>
      </c>
      <c r="H6" s="17">
        <v>456.35</v>
      </c>
      <c r="I6" s="17">
        <f t="shared" si="1"/>
        <v>4563.5</v>
      </c>
      <c r="J6" s="17">
        <v>1</v>
      </c>
      <c r="K6" s="17">
        <f t="shared" si="2"/>
        <v>15.059550000000002</v>
      </c>
      <c r="L6" s="301">
        <v>33</v>
      </c>
      <c r="M6" s="295"/>
      <c r="S6" s="307"/>
      <c r="T6" s="307"/>
    </row>
    <row r="7" spans="1:25" ht="73.5" customHeight="1" x14ac:dyDescent="0.25">
      <c r="A7" s="478" t="s">
        <v>138</v>
      </c>
      <c r="B7" s="476" t="s">
        <v>151</v>
      </c>
      <c r="C7" s="18" t="s">
        <v>152</v>
      </c>
      <c r="D7" s="102" t="s">
        <v>150</v>
      </c>
      <c r="E7" s="102" t="s">
        <v>142</v>
      </c>
      <c r="F7" s="17" t="s">
        <v>143</v>
      </c>
      <c r="G7" s="582">
        <f t="shared" si="0"/>
        <v>8.2941580296479966E-2</v>
      </c>
      <c r="H7" s="17">
        <v>456.35</v>
      </c>
      <c r="I7" s="17">
        <f t="shared" si="1"/>
        <v>4563.5</v>
      </c>
      <c r="J7" s="17">
        <v>1</v>
      </c>
      <c r="K7" s="17">
        <f t="shared" si="2"/>
        <v>4.5635000000000003</v>
      </c>
      <c r="L7" s="302">
        <v>10</v>
      </c>
      <c r="M7" s="298" t="s">
        <v>153</v>
      </c>
      <c r="S7" s="307"/>
      <c r="T7" s="307"/>
    </row>
    <row r="8" spans="1:25" ht="40.950000000000003" customHeight="1" x14ac:dyDescent="0.25">
      <c r="A8" s="407" t="s">
        <v>138</v>
      </c>
      <c r="B8" s="476" t="s">
        <v>154</v>
      </c>
      <c r="C8" s="18" t="s">
        <v>155</v>
      </c>
      <c r="D8" s="18" t="s">
        <v>145</v>
      </c>
      <c r="E8" s="524" t="s">
        <v>142</v>
      </c>
      <c r="F8" s="17" t="s">
        <v>143</v>
      </c>
      <c r="G8" s="582">
        <f t="shared" si="0"/>
        <v>0.13520157514812239</v>
      </c>
      <c r="H8" s="17">
        <v>743.88791000000003</v>
      </c>
      <c r="I8" s="17">
        <f t="shared" si="1"/>
        <v>7438.8791000000001</v>
      </c>
      <c r="J8" s="17">
        <v>1</v>
      </c>
      <c r="K8" s="17">
        <f t="shared" si="2"/>
        <v>0</v>
      </c>
      <c r="L8" s="389">
        <v>0</v>
      </c>
      <c r="M8" s="395" t="s">
        <v>156</v>
      </c>
      <c r="S8" s="307"/>
      <c r="T8" s="307"/>
    </row>
    <row r="9" spans="1:25" ht="19.2" customHeight="1" x14ac:dyDescent="0.25">
      <c r="A9" s="478" t="s">
        <v>138</v>
      </c>
      <c r="B9" s="476" t="s">
        <v>157</v>
      </c>
      <c r="C9" s="18" t="s">
        <v>158</v>
      </c>
      <c r="D9" s="18" t="s">
        <v>150</v>
      </c>
      <c r="E9" s="294" t="s">
        <v>159</v>
      </c>
      <c r="F9" s="17" t="s">
        <v>143</v>
      </c>
      <c r="G9" s="582">
        <f t="shared" si="0"/>
        <v>2.0761294439064108E-2</v>
      </c>
      <c r="H9" s="17">
        <v>114.23</v>
      </c>
      <c r="I9" s="17">
        <f t="shared" si="1"/>
        <v>1142.3</v>
      </c>
      <c r="J9" s="17">
        <v>1</v>
      </c>
      <c r="K9" s="17"/>
      <c r="L9" s="303" t="s">
        <v>160</v>
      </c>
      <c r="M9" s="433" t="s">
        <v>161</v>
      </c>
      <c r="S9" s="307"/>
      <c r="T9" s="307"/>
    </row>
    <row r="10" spans="1:25" ht="17.7" customHeight="1" x14ac:dyDescent="0.25">
      <c r="A10" s="478" t="s">
        <v>138</v>
      </c>
      <c r="B10" s="476" t="s">
        <v>162</v>
      </c>
      <c r="C10" s="18" t="s">
        <v>163</v>
      </c>
      <c r="D10" s="18"/>
      <c r="E10" s="18" t="s">
        <v>142</v>
      </c>
      <c r="F10" s="17" t="s">
        <v>143</v>
      </c>
      <c r="G10" s="582">
        <f t="shared" si="0"/>
        <v>4.0762874173100747E-2</v>
      </c>
      <c r="H10" s="17">
        <v>224.28</v>
      </c>
      <c r="I10" s="17">
        <f t="shared" si="1"/>
        <v>2242.8000000000002</v>
      </c>
      <c r="J10" s="17">
        <v>1</v>
      </c>
      <c r="K10" s="17"/>
      <c r="L10" s="303" t="s">
        <v>160</v>
      </c>
      <c r="M10" s="407" t="s">
        <v>164</v>
      </c>
      <c r="S10" s="307"/>
      <c r="T10" s="307"/>
    </row>
    <row r="11" spans="1:25" ht="17.7" customHeight="1" x14ac:dyDescent="0.25">
      <c r="A11" s="478" t="s">
        <v>138</v>
      </c>
      <c r="B11" s="476" t="s">
        <v>165</v>
      </c>
      <c r="C11" s="182" t="s">
        <v>166</v>
      </c>
      <c r="D11" s="18" t="s">
        <v>150</v>
      </c>
      <c r="E11" s="18" t="s">
        <v>142</v>
      </c>
      <c r="F11" s="17" t="s">
        <v>143</v>
      </c>
      <c r="G11" s="582">
        <f t="shared" si="0"/>
        <v>2.0001579734036636E-2</v>
      </c>
      <c r="H11" s="17">
        <v>110.05</v>
      </c>
      <c r="I11" s="17">
        <f t="shared" si="1"/>
        <v>1100.5</v>
      </c>
      <c r="J11" s="17">
        <v>1</v>
      </c>
      <c r="K11" s="17">
        <f t="shared" si="2"/>
        <v>3.63165</v>
      </c>
      <c r="L11" s="304">
        <v>33</v>
      </c>
      <c r="M11" s="299"/>
      <c r="S11" s="307"/>
      <c r="T11" s="307"/>
    </row>
    <row r="12" spans="1:25" ht="17.7" customHeight="1" x14ac:dyDescent="0.25">
      <c r="A12" s="478" t="s">
        <v>138</v>
      </c>
      <c r="B12" s="476" t="s">
        <v>167</v>
      </c>
      <c r="C12" s="18" t="s">
        <v>168</v>
      </c>
      <c r="D12" s="18" t="s">
        <v>145</v>
      </c>
      <c r="E12" s="18" t="s">
        <v>142</v>
      </c>
      <c r="F12" s="17" t="s">
        <v>143</v>
      </c>
      <c r="G12" s="582">
        <f t="shared" si="0"/>
        <v>2.2220746372406355E-2</v>
      </c>
      <c r="H12" s="17">
        <v>122.26</v>
      </c>
      <c r="I12" s="17">
        <f t="shared" si="1"/>
        <v>1222.6000000000001</v>
      </c>
      <c r="J12" s="17">
        <v>1</v>
      </c>
      <c r="K12" s="17">
        <f t="shared" si="2"/>
        <v>0.61130000000000007</v>
      </c>
      <c r="L12" s="301">
        <v>5</v>
      </c>
      <c r="M12" s="295"/>
      <c r="S12" s="307"/>
      <c r="T12" s="307"/>
    </row>
    <row r="13" spans="1:25" ht="17.7" customHeight="1" x14ac:dyDescent="0.25">
      <c r="A13" s="478" t="s">
        <v>138</v>
      </c>
      <c r="B13" s="476" t="s">
        <v>169</v>
      </c>
      <c r="C13" s="18" t="s">
        <v>168</v>
      </c>
      <c r="D13" s="18" t="s">
        <v>141</v>
      </c>
      <c r="E13" s="18" t="s">
        <v>142</v>
      </c>
      <c r="F13" s="17" t="s">
        <v>143</v>
      </c>
      <c r="G13" s="582">
        <f t="shared" si="0"/>
        <v>3.8420117582716989E-2</v>
      </c>
      <c r="H13" s="117">
        <v>211.39</v>
      </c>
      <c r="I13" s="17">
        <f t="shared" si="1"/>
        <v>2113.8999999999996</v>
      </c>
      <c r="J13" s="17">
        <v>1</v>
      </c>
      <c r="K13" s="17">
        <f t="shared" si="2"/>
        <v>1.0569499999999998</v>
      </c>
      <c r="L13" s="301">
        <v>5</v>
      </c>
      <c r="M13" s="295"/>
      <c r="O13" s="649"/>
      <c r="P13" s="649"/>
      <c r="Q13" s="649"/>
      <c r="R13" s="308"/>
      <c r="S13" s="307"/>
      <c r="T13" s="307"/>
    </row>
    <row r="14" spans="1:25" ht="17.7" customHeight="1" x14ac:dyDescent="0.3">
      <c r="A14" s="478" t="s">
        <v>138</v>
      </c>
      <c r="B14" s="476" t="s">
        <v>170</v>
      </c>
      <c r="C14" s="18" t="s">
        <v>168</v>
      </c>
      <c r="D14" s="18" t="s">
        <v>147</v>
      </c>
      <c r="E14" s="18" t="s">
        <v>142</v>
      </c>
      <c r="F14" s="17" t="s">
        <v>143</v>
      </c>
      <c r="G14" s="582">
        <f t="shared" si="0"/>
        <v>2.2220746372406355E-2</v>
      </c>
      <c r="H14" s="17">
        <v>122.26</v>
      </c>
      <c r="I14" s="17">
        <f t="shared" si="1"/>
        <v>1222.6000000000001</v>
      </c>
      <c r="J14" s="17">
        <v>1</v>
      </c>
      <c r="K14" s="17">
        <f t="shared" si="2"/>
        <v>0.61130000000000007</v>
      </c>
      <c r="L14" s="301">
        <v>5</v>
      </c>
      <c r="M14" s="295"/>
      <c r="S14" s="307"/>
      <c r="T14" s="309"/>
      <c r="Y14" s="311"/>
    </row>
    <row r="15" spans="1:25" ht="21.6" customHeight="1" x14ac:dyDescent="0.25">
      <c r="A15" s="478" t="s">
        <v>138</v>
      </c>
      <c r="B15" s="476" t="s">
        <v>171</v>
      </c>
      <c r="C15" s="18" t="s">
        <v>168</v>
      </c>
      <c r="D15" s="102" t="s">
        <v>150</v>
      </c>
      <c r="E15" s="18" t="s">
        <v>142</v>
      </c>
      <c r="F15" s="17" t="s">
        <v>143</v>
      </c>
      <c r="G15" s="582">
        <f t="shared" si="0"/>
        <v>3.8420117582716989E-2</v>
      </c>
      <c r="H15" s="117">
        <v>211.39</v>
      </c>
      <c r="I15" s="17">
        <f t="shared" si="1"/>
        <v>2113.8999999999996</v>
      </c>
      <c r="J15" s="17">
        <v>1</v>
      </c>
      <c r="K15" s="17">
        <f t="shared" si="2"/>
        <v>1.0569499999999998</v>
      </c>
      <c r="L15" s="301">
        <v>5</v>
      </c>
      <c r="M15" s="295"/>
    </row>
    <row r="16" spans="1:25" ht="17.7" customHeight="1" x14ac:dyDescent="0.25">
      <c r="A16" s="478" t="s">
        <v>138</v>
      </c>
      <c r="B16" s="476" t="s">
        <v>172</v>
      </c>
      <c r="C16" s="18" t="s">
        <v>172</v>
      </c>
      <c r="D16" s="294" t="s">
        <v>160</v>
      </c>
      <c r="E16" s="18"/>
      <c r="F16" s="17" t="s">
        <v>173</v>
      </c>
      <c r="G16" s="133">
        <v>1</v>
      </c>
      <c r="H16" s="17">
        <v>6114.3046999999997</v>
      </c>
      <c r="I16" s="17">
        <v>25437.110800000002</v>
      </c>
      <c r="J16" s="17">
        <v>1</v>
      </c>
      <c r="K16" s="17"/>
      <c r="L16" s="301" t="s">
        <v>160</v>
      </c>
      <c r="M16" s="295"/>
    </row>
    <row r="17" spans="1:18" ht="39.6" customHeight="1" x14ac:dyDescent="0.25">
      <c r="A17" s="479" t="s">
        <v>174</v>
      </c>
      <c r="B17" s="18" t="s">
        <v>175</v>
      </c>
      <c r="C17" s="102" t="s">
        <v>176</v>
      </c>
      <c r="D17" s="102" t="s">
        <v>177</v>
      </c>
      <c r="E17" s="102" t="s">
        <v>178</v>
      </c>
      <c r="F17" s="20" t="s">
        <v>179</v>
      </c>
      <c r="G17" s="133">
        <f>SUM(G3:G15)</f>
        <v>0.99999999999999978</v>
      </c>
      <c r="H17" s="19">
        <f>SUM(H3:H15)</f>
        <v>5502.0654100000011</v>
      </c>
      <c r="I17" s="17">
        <f>SUM(I3:I16)</f>
        <v>80457.764900000009</v>
      </c>
      <c r="J17" s="17">
        <v>1</v>
      </c>
      <c r="K17" s="17"/>
      <c r="L17" s="301"/>
      <c r="M17" s="295"/>
    </row>
    <row r="18" spans="1:18" ht="21.6" customHeight="1" x14ac:dyDescent="0.25">
      <c r="G18" s="22"/>
      <c r="H18" s="22"/>
      <c r="I18" s="22"/>
      <c r="J18" s="22"/>
      <c r="K18" s="570"/>
    </row>
    <row r="19" spans="1:18" s="320" customFormat="1" ht="21.6" customHeight="1" x14ac:dyDescent="0.3">
      <c r="B19" s="76" t="s">
        <v>180</v>
      </c>
      <c r="D19" s="71"/>
      <c r="E19" s="71"/>
      <c r="F19" s="71"/>
      <c r="G19" s="38"/>
      <c r="I19" s="577"/>
      <c r="J19" s="577"/>
      <c r="O19" s="646" t="s">
        <v>181</v>
      </c>
      <c r="P19" s="647"/>
      <c r="Q19" s="647"/>
      <c r="R19" s="648"/>
    </row>
    <row r="20" spans="1:18" s="320" customFormat="1" ht="13.95" customHeight="1" x14ac:dyDescent="0.3">
      <c r="B20" s="375" t="s">
        <v>18</v>
      </c>
      <c r="D20" s="375"/>
      <c r="E20" s="375"/>
      <c r="G20" s="577"/>
      <c r="H20" s="577"/>
      <c r="I20" s="577"/>
      <c r="J20" s="577"/>
      <c r="O20" s="640" t="s">
        <v>182</v>
      </c>
      <c r="P20" s="641"/>
      <c r="Q20" s="642"/>
      <c r="R20" s="392" t="s">
        <v>183</v>
      </c>
    </row>
    <row r="21" spans="1:18" s="320" customFormat="1" ht="16.2" customHeight="1" x14ac:dyDescent="0.3">
      <c r="B21" s="398" t="s">
        <v>184</v>
      </c>
      <c r="D21" s="398"/>
      <c r="E21" s="398"/>
      <c r="G21" s="577"/>
      <c r="H21" s="577"/>
      <c r="I21" s="577"/>
      <c r="J21" s="577"/>
      <c r="O21" s="643" t="s">
        <v>140</v>
      </c>
      <c r="P21" s="644"/>
      <c r="Q21" s="645"/>
      <c r="R21" s="396">
        <f>SUM(G3:G5)</f>
        <v>0.49610778800246935</v>
      </c>
    </row>
    <row r="22" spans="1:18" ht="10.199999999999999" customHeight="1" x14ac:dyDescent="0.25">
      <c r="C22" s="22"/>
      <c r="D22" s="22"/>
      <c r="E22" s="22"/>
      <c r="G22" s="22"/>
      <c r="H22" s="22"/>
      <c r="I22" s="22"/>
      <c r="J22" s="22"/>
      <c r="O22" s="643" t="s">
        <v>149</v>
      </c>
      <c r="P22" s="644"/>
      <c r="Q22" s="645"/>
      <c r="R22" s="396">
        <f t="shared" ref="R22:R27" si="3">G6</f>
        <v>8.2941580296479966E-2</v>
      </c>
    </row>
    <row r="23" spans="1:18" x14ac:dyDescent="0.25">
      <c r="C23" s="22"/>
      <c r="D23" s="22"/>
      <c r="E23" s="22"/>
      <c r="G23" s="22"/>
      <c r="H23" s="22"/>
      <c r="I23" s="22"/>
      <c r="J23" s="22"/>
      <c r="O23" s="643" t="s">
        <v>152</v>
      </c>
      <c r="P23" s="644"/>
      <c r="Q23" s="645"/>
      <c r="R23" s="396">
        <f t="shared" si="3"/>
        <v>8.2941580296479966E-2</v>
      </c>
    </row>
    <row r="24" spans="1:18" x14ac:dyDescent="0.25">
      <c r="G24" s="22"/>
      <c r="H24" s="22"/>
      <c r="I24" s="22"/>
      <c r="J24" s="22"/>
      <c r="O24" s="643" t="s">
        <v>155</v>
      </c>
      <c r="P24" s="644"/>
      <c r="Q24" s="645"/>
      <c r="R24" s="396">
        <f t="shared" si="3"/>
        <v>0.13520157514812239</v>
      </c>
    </row>
    <row r="25" spans="1:18" x14ac:dyDescent="0.25">
      <c r="F25" s="50"/>
      <c r="G25" s="22"/>
      <c r="H25" s="22"/>
      <c r="I25" s="22"/>
      <c r="J25" s="22"/>
      <c r="O25" s="643" t="s">
        <v>158</v>
      </c>
      <c r="P25" s="644"/>
      <c r="Q25" s="645"/>
      <c r="R25" s="396">
        <f t="shared" si="3"/>
        <v>2.0761294439064108E-2</v>
      </c>
    </row>
    <row r="26" spans="1:18" x14ac:dyDescent="0.25">
      <c r="F26" s="50"/>
      <c r="G26" s="22"/>
      <c r="H26" s="22"/>
      <c r="I26" s="22"/>
      <c r="J26" s="22"/>
      <c r="O26" s="643" t="s">
        <v>163</v>
      </c>
      <c r="P26" s="644"/>
      <c r="Q26" s="645"/>
      <c r="R26" s="396">
        <f t="shared" si="3"/>
        <v>4.0762874173100747E-2</v>
      </c>
    </row>
    <row r="27" spans="1:18" x14ac:dyDescent="0.25">
      <c r="C27" s="139"/>
      <c r="F27" s="50"/>
      <c r="G27" s="22"/>
      <c r="H27" s="22"/>
      <c r="I27" s="22"/>
      <c r="J27" s="22"/>
      <c r="O27" s="643" t="s">
        <v>166</v>
      </c>
      <c r="P27" s="644"/>
      <c r="Q27" s="645"/>
      <c r="R27" s="396">
        <f t="shared" si="3"/>
        <v>2.0001579734036636E-2</v>
      </c>
    </row>
    <row r="28" spans="1:18" x14ac:dyDescent="0.25">
      <c r="F28" s="50"/>
      <c r="G28" s="22"/>
      <c r="H28" s="22"/>
      <c r="I28" s="22"/>
      <c r="J28" s="22"/>
      <c r="O28" s="653" t="s">
        <v>168</v>
      </c>
      <c r="P28" s="654"/>
      <c r="Q28" s="655"/>
      <c r="R28" s="397">
        <f>SUM(G12:G15)</f>
        <v>0.12128172791024669</v>
      </c>
    </row>
    <row r="29" spans="1:18" x14ac:dyDescent="0.25">
      <c r="F29" s="50"/>
      <c r="G29" s="22"/>
      <c r="H29" s="22"/>
      <c r="I29" s="22"/>
      <c r="J29" s="22"/>
      <c r="O29" s="650" t="s">
        <v>185</v>
      </c>
      <c r="P29" s="651"/>
      <c r="Q29" s="652"/>
      <c r="R29" s="393">
        <f>SUM(R21:R28)</f>
        <v>0.99999999999999978</v>
      </c>
    </row>
    <row r="30" spans="1:18" x14ac:dyDescent="0.25">
      <c r="F30" s="50"/>
      <c r="G30" s="22"/>
      <c r="H30" s="22"/>
      <c r="I30" s="22"/>
      <c r="J30" s="22"/>
      <c r="K30" s="22"/>
    </row>
    <row r="31" spans="1:18" x14ac:dyDescent="0.25">
      <c r="F31" s="50"/>
      <c r="G31" s="22"/>
      <c r="H31" s="22"/>
      <c r="I31" s="22"/>
      <c r="J31" s="22"/>
      <c r="K31" s="22"/>
    </row>
  </sheetData>
  <mergeCells count="13">
    <mergeCell ref="A1:M1"/>
    <mergeCell ref="O20:Q20"/>
    <mergeCell ref="O21:Q21"/>
    <mergeCell ref="O22:Q22"/>
    <mergeCell ref="O23:Q23"/>
    <mergeCell ref="O24:Q24"/>
    <mergeCell ref="O25:Q25"/>
    <mergeCell ref="O19:R19"/>
    <mergeCell ref="O13:Q13"/>
    <mergeCell ref="O29:Q29"/>
    <mergeCell ref="O26:Q26"/>
    <mergeCell ref="O27:Q27"/>
    <mergeCell ref="O28:Q28"/>
  </mergeCells>
  <phoneticPr fontId="4" type="noConversion"/>
  <hyperlinks>
    <hyperlink ref="B20" r:id="rId1" xr:uid="{58518BC6-E4B2-4912-A8F5-29F636272C9A}"/>
    <hyperlink ref="B21" r:id="rId2" xr:uid="{2EFE29EA-585B-4F90-8184-3D129F20D938}"/>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27679C59-7EDB-4B04-B33D-CB37EC9309ED}">
          <x14:formula1>
            <xm:f>Data!$A$2:$A$201</xm:f>
          </x14:formula1>
          <xm:sqref>C3:C16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S91"/>
  <sheetViews>
    <sheetView zoomScale="85" zoomScaleNormal="85" workbookViewId="0">
      <selection sqref="A1:X1"/>
    </sheetView>
  </sheetViews>
  <sheetFormatPr defaultColWidth="9.33203125" defaultRowHeight="13.8" x14ac:dyDescent="0.25"/>
  <cols>
    <col min="1" max="1" width="18.6640625" style="106" customWidth="1"/>
    <col min="2" max="2" width="13.5546875" style="108" customWidth="1"/>
    <col min="3" max="3" width="25.33203125" style="106" customWidth="1"/>
    <col min="4" max="4" width="44.44140625" style="106" customWidth="1"/>
    <col min="5" max="5" width="12.44140625" style="106" customWidth="1"/>
    <col min="6" max="6" width="10.6640625" style="106" customWidth="1"/>
    <col min="7" max="7" width="22.5546875" style="109" customWidth="1"/>
    <col min="8" max="8" width="49" style="106" customWidth="1"/>
    <col min="9" max="9" width="6.88671875" style="106" customWidth="1"/>
    <col min="10" max="12" width="7" style="106" customWidth="1"/>
    <col min="13" max="13" width="7.88671875" style="106" customWidth="1"/>
    <col min="14" max="14" width="8.6640625" style="106" customWidth="1"/>
    <col min="15" max="15" width="7" style="106" customWidth="1"/>
    <col min="16" max="16" width="7.109375" style="106" customWidth="1"/>
    <col min="17" max="17" width="7.5546875" style="106" customWidth="1"/>
    <col min="18" max="21" width="7" style="106" customWidth="1"/>
    <col min="22" max="22" width="7.6640625" style="106" customWidth="1"/>
    <col min="23" max="23" width="7.33203125" style="106" customWidth="1"/>
    <col min="24" max="24" width="7" style="106" customWidth="1"/>
    <col min="25" max="25" width="9.33203125" style="106"/>
    <col min="26" max="26" width="22.88671875" style="106" customWidth="1"/>
    <col min="27" max="30" width="7.6640625" style="106" customWidth="1"/>
    <col min="31" max="31" width="9.6640625" style="106" customWidth="1"/>
    <col min="32" max="32" width="7.5546875" style="106" customWidth="1"/>
    <col min="33" max="33" width="11.44140625" style="106" customWidth="1"/>
    <col min="34" max="35" width="7.6640625" style="106" customWidth="1"/>
    <col min="36" max="36" width="11.88671875" style="106" customWidth="1"/>
    <col min="37" max="38" width="7.6640625" style="106" customWidth="1"/>
    <col min="39" max="39" width="12.33203125" style="106" customWidth="1"/>
    <col min="40" max="40" width="12.5546875" style="106" customWidth="1"/>
    <col min="41" max="41" width="11.6640625" style="106" customWidth="1"/>
    <col min="42" max="42" width="15.33203125" style="106" customWidth="1"/>
    <col min="43" max="46" width="10.44140625" style="106" customWidth="1"/>
    <col min="47" max="47" width="9.88671875" style="106" customWidth="1"/>
    <col min="48" max="48" width="10.44140625" style="106" customWidth="1"/>
    <col min="49" max="49" width="21.6640625" style="106" customWidth="1"/>
    <col min="50" max="50" width="10.44140625" style="106" customWidth="1"/>
    <col min="51" max="53" width="7.44140625" style="106" customWidth="1"/>
    <col min="54" max="54" width="7.6640625" style="106" customWidth="1"/>
    <col min="55" max="55" width="7.44140625" style="106" customWidth="1"/>
    <col min="56" max="56" width="13.6640625" style="106" customWidth="1"/>
    <col min="57" max="60" width="7.44140625" style="106" customWidth="1"/>
    <col min="61" max="62" width="9.6640625" style="106" bestFit="1" customWidth="1"/>
    <col min="63" max="16384" width="9.33203125" style="106"/>
  </cols>
  <sheetData>
    <row r="1" spans="1:71" ht="31.95" customHeight="1" x14ac:dyDescent="0.25">
      <c r="A1" s="614" t="str">
        <f>"Envelope - "&amp;Prototype!A2</f>
        <v>Envelope - OfficeSmall</v>
      </c>
      <c r="B1" s="614"/>
      <c r="C1" s="614"/>
      <c r="D1" s="614"/>
      <c r="E1" s="614"/>
      <c r="F1" s="614"/>
      <c r="G1" s="614"/>
      <c r="H1" s="614"/>
      <c r="I1" s="614"/>
      <c r="J1" s="614"/>
      <c r="K1" s="614"/>
      <c r="L1" s="614"/>
      <c r="M1" s="614"/>
      <c r="N1" s="614"/>
      <c r="O1" s="614"/>
      <c r="P1" s="614"/>
      <c r="Q1" s="614"/>
      <c r="R1" s="614"/>
      <c r="S1" s="614"/>
      <c r="T1" s="614"/>
      <c r="U1" s="614"/>
      <c r="V1" s="614"/>
      <c r="W1" s="614"/>
      <c r="X1" s="614"/>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row>
    <row r="2" spans="1:71" ht="31.2" customHeight="1" x14ac:dyDescent="0.25">
      <c r="A2" s="135" t="s">
        <v>188</v>
      </c>
      <c r="B2" s="135" t="s">
        <v>189</v>
      </c>
      <c r="C2" s="135" t="s">
        <v>190</v>
      </c>
      <c r="D2" s="135" t="s">
        <v>191</v>
      </c>
      <c r="E2" s="197" t="s">
        <v>192</v>
      </c>
      <c r="F2" s="135" t="s">
        <v>193</v>
      </c>
      <c r="G2" s="197" t="s">
        <v>194</v>
      </c>
      <c r="H2" s="135" t="s">
        <v>70</v>
      </c>
      <c r="I2" s="135" t="s">
        <v>195</v>
      </c>
      <c r="J2" s="135" t="s">
        <v>196</v>
      </c>
      <c r="K2" s="135" t="s">
        <v>197</v>
      </c>
      <c r="L2" s="135" t="s">
        <v>198</v>
      </c>
      <c r="M2" s="135" t="s">
        <v>199</v>
      </c>
      <c r="N2" s="135" t="s">
        <v>200</v>
      </c>
      <c r="O2" s="135" t="s">
        <v>201</v>
      </c>
      <c r="P2" s="135" t="s">
        <v>202</v>
      </c>
      <c r="Q2" s="135" t="s">
        <v>203</v>
      </c>
      <c r="R2" s="135" t="s">
        <v>204</v>
      </c>
      <c r="S2" s="135" t="s">
        <v>205</v>
      </c>
      <c r="T2" s="135" t="s">
        <v>206</v>
      </c>
      <c r="U2" s="135" t="s">
        <v>207</v>
      </c>
      <c r="V2" s="135" t="s">
        <v>208</v>
      </c>
      <c r="W2" s="135" t="s">
        <v>209</v>
      </c>
      <c r="X2" s="135" t="s">
        <v>210</v>
      </c>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row>
    <row r="3" spans="1:71" ht="49.5" customHeight="1" x14ac:dyDescent="0.25">
      <c r="A3" s="663" t="s">
        <v>211</v>
      </c>
      <c r="B3" s="663" t="s">
        <v>212</v>
      </c>
      <c r="C3" s="662" t="s">
        <v>213</v>
      </c>
      <c r="D3" s="662" t="s">
        <v>214</v>
      </c>
      <c r="E3" s="663" t="s">
        <v>215</v>
      </c>
      <c r="F3" s="552" t="s">
        <v>216</v>
      </c>
      <c r="G3" s="552" t="s">
        <v>217</v>
      </c>
      <c r="H3" s="558" t="s">
        <v>218</v>
      </c>
      <c r="I3" s="554">
        <f>I42*$I$44+I43*(1-$I$44)</f>
        <v>0.19460000000000002</v>
      </c>
      <c r="J3" s="554">
        <f t="shared" ref="J3:X3" si="0">J42*$I$44+J43*(1-$I$44)</f>
        <v>0.19141800000000003</v>
      </c>
      <c r="K3" s="554">
        <f t="shared" si="0"/>
        <v>0.19519200000000003</v>
      </c>
      <c r="L3" s="554">
        <f t="shared" si="0"/>
        <v>0.19141800000000003</v>
      </c>
      <c r="M3" s="554">
        <f t="shared" si="0"/>
        <v>0.19460000000000002</v>
      </c>
      <c r="N3" s="554">
        <f t="shared" si="0"/>
        <v>0.19519200000000003</v>
      </c>
      <c r="O3" s="554">
        <f t="shared" si="0"/>
        <v>0.19519200000000003</v>
      </c>
      <c r="P3" s="554">
        <f t="shared" si="0"/>
        <v>0.19460000000000002</v>
      </c>
      <c r="Q3" s="554">
        <f t="shared" si="0"/>
        <v>0.19141800000000003</v>
      </c>
      <c r="R3" s="554">
        <f t="shared" si="0"/>
        <v>0.19141800000000003</v>
      </c>
      <c r="S3" s="554">
        <f t="shared" si="0"/>
        <v>0.19141800000000003</v>
      </c>
      <c r="T3" s="554">
        <f t="shared" si="0"/>
        <v>0.19141800000000003</v>
      </c>
      <c r="U3" s="554">
        <f t="shared" si="0"/>
        <v>0.19141800000000003</v>
      </c>
      <c r="V3" s="554">
        <f t="shared" si="0"/>
        <v>0.19141800000000003</v>
      </c>
      <c r="W3" s="554">
        <f t="shared" si="0"/>
        <v>0.19016000000000002</v>
      </c>
      <c r="X3" s="554">
        <f t="shared" si="0"/>
        <v>0.19141800000000003</v>
      </c>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row>
    <row r="4" spans="1:71" ht="30" customHeight="1" x14ac:dyDescent="0.25">
      <c r="A4" s="663"/>
      <c r="B4" s="663"/>
      <c r="C4" s="662"/>
      <c r="D4" s="662"/>
      <c r="E4" s="663"/>
      <c r="F4" s="511" t="s">
        <v>219</v>
      </c>
      <c r="G4" s="511">
        <v>1986</v>
      </c>
      <c r="H4" s="548" t="s">
        <v>220</v>
      </c>
      <c r="I4" s="549">
        <f>1/7.52</f>
        <v>0.13297872340425532</v>
      </c>
      <c r="J4" s="549">
        <f t="shared" ref="J4:X4" si="1">1/7.52</f>
        <v>0.13297872340425532</v>
      </c>
      <c r="K4" s="549">
        <f t="shared" si="1"/>
        <v>0.13297872340425532</v>
      </c>
      <c r="L4" s="549">
        <f t="shared" si="1"/>
        <v>0.13297872340425532</v>
      </c>
      <c r="M4" s="549">
        <f t="shared" si="1"/>
        <v>0.13297872340425532</v>
      </c>
      <c r="N4" s="549">
        <f t="shared" si="1"/>
        <v>0.13297872340425532</v>
      </c>
      <c r="O4" s="549">
        <f t="shared" si="1"/>
        <v>0.13297872340425532</v>
      </c>
      <c r="P4" s="549">
        <f t="shared" si="1"/>
        <v>0.13297872340425532</v>
      </c>
      <c r="Q4" s="549">
        <f t="shared" si="1"/>
        <v>0.13297872340425532</v>
      </c>
      <c r="R4" s="549">
        <f t="shared" si="1"/>
        <v>0.13297872340425532</v>
      </c>
      <c r="S4" s="549">
        <f t="shared" si="1"/>
        <v>0.13297872340425532</v>
      </c>
      <c r="T4" s="549">
        <f t="shared" si="1"/>
        <v>0.13297872340425532</v>
      </c>
      <c r="U4" s="549">
        <f t="shared" si="1"/>
        <v>0.13297872340425532</v>
      </c>
      <c r="V4" s="549">
        <f t="shared" si="1"/>
        <v>0.13297872340425532</v>
      </c>
      <c r="W4" s="549">
        <f t="shared" si="1"/>
        <v>0.13297872340425532</v>
      </c>
      <c r="X4" s="549">
        <f t="shared" si="1"/>
        <v>0.13297872340425532</v>
      </c>
      <c r="Y4" s="124"/>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row>
    <row r="5" spans="1:71" x14ac:dyDescent="0.25">
      <c r="A5" s="663"/>
      <c r="B5" s="663"/>
      <c r="C5" s="662"/>
      <c r="D5" s="662"/>
      <c r="E5" s="663"/>
      <c r="F5" s="512" t="s">
        <v>221</v>
      </c>
      <c r="G5" s="512">
        <v>2001</v>
      </c>
      <c r="H5" s="512" t="s">
        <v>222</v>
      </c>
      <c r="I5" s="512">
        <v>8.4000000000000005E-2</v>
      </c>
      <c r="J5" s="512">
        <v>8.4000000000000005E-2</v>
      </c>
      <c r="K5" s="512">
        <v>9.1999999999999998E-2</v>
      </c>
      <c r="L5" s="512">
        <v>9.1999999999999998E-2</v>
      </c>
      <c r="M5" s="512">
        <v>9.1999999999999998E-2</v>
      </c>
      <c r="N5" s="512">
        <v>9.1999999999999998E-2</v>
      </c>
      <c r="O5" s="512">
        <v>9.1999999999999998E-2</v>
      </c>
      <c r="P5" s="512">
        <v>9.1999999999999998E-2</v>
      </c>
      <c r="Q5" s="512">
        <v>9.1999999999999998E-2</v>
      </c>
      <c r="R5" s="512">
        <v>8.4000000000000005E-2</v>
      </c>
      <c r="S5" s="512">
        <v>8.4000000000000005E-2</v>
      </c>
      <c r="T5" s="512">
        <v>8.4000000000000005E-2</v>
      </c>
      <c r="U5" s="512">
        <v>8.4000000000000005E-2</v>
      </c>
      <c r="V5" s="512">
        <v>8.4000000000000005E-2</v>
      </c>
      <c r="W5" s="512">
        <v>8.4000000000000005E-2</v>
      </c>
      <c r="X5" s="512">
        <v>8.4000000000000005E-2</v>
      </c>
      <c r="Y5" s="124"/>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row>
    <row r="6" spans="1:71" x14ac:dyDescent="0.25">
      <c r="A6" s="663"/>
      <c r="B6" s="663"/>
      <c r="C6" s="662"/>
      <c r="D6" s="662"/>
      <c r="E6" s="663"/>
      <c r="F6" s="513" t="s">
        <v>223</v>
      </c>
      <c r="G6" s="513">
        <v>2013</v>
      </c>
      <c r="H6" s="513" t="s">
        <v>224</v>
      </c>
      <c r="I6" s="513">
        <v>0.10199999999999999</v>
      </c>
      <c r="J6" s="513">
        <v>5.8999999999999997E-2</v>
      </c>
      <c r="K6" s="513">
        <v>0.11</v>
      </c>
      <c r="L6" s="513">
        <v>5.8999999999999997E-2</v>
      </c>
      <c r="M6" s="513">
        <v>0.10199999999999999</v>
      </c>
      <c r="N6" s="513">
        <v>0.11</v>
      </c>
      <c r="O6" s="513">
        <v>0.11</v>
      </c>
      <c r="P6" s="513">
        <v>0.10199999999999999</v>
      </c>
      <c r="Q6" s="513">
        <v>5.8999999999999997E-2</v>
      </c>
      <c r="R6" s="513">
        <v>5.8999999999999997E-2</v>
      </c>
      <c r="S6" s="513">
        <v>5.8999999999999997E-2</v>
      </c>
      <c r="T6" s="513">
        <v>5.8999999999999997E-2</v>
      </c>
      <c r="U6" s="513">
        <v>5.8999999999999997E-2</v>
      </c>
      <c r="V6" s="513">
        <v>5.8999999999999997E-2</v>
      </c>
      <c r="W6" s="513">
        <v>4.2000000000000003E-2</v>
      </c>
      <c r="X6" s="513">
        <v>5.8999999999999997E-2</v>
      </c>
      <c r="Y6" s="124"/>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row>
    <row r="7" spans="1:71" x14ac:dyDescent="0.25">
      <c r="A7" s="663"/>
      <c r="B7" s="663"/>
      <c r="C7" s="662"/>
      <c r="D7" s="662"/>
      <c r="E7" s="663"/>
      <c r="F7" s="514" t="s">
        <v>225</v>
      </c>
      <c r="G7" s="514"/>
      <c r="H7" s="514" t="s">
        <v>226</v>
      </c>
      <c r="I7" s="515" cm="1">
        <f t="array" ref="I7:X7">_xlfn.BYCOL(TRANSPOSE(Weights!$C$4:$F$19)*I3:X6,_xlfn.LAMBDA(_xlpm.c,SUM(_xlpm.c)))</f>
        <v>0.1433693404357447</v>
      </c>
      <c r="J7" s="515">
        <v>0.15057560194883832</v>
      </c>
      <c r="K7" s="515">
        <v>0.15957316316602557</v>
      </c>
      <c r="L7" s="515">
        <v>0.15663463809290215</v>
      </c>
      <c r="M7" s="515">
        <v>0.15606378252382977</v>
      </c>
      <c r="N7" s="515">
        <v>0.15907356057586386</v>
      </c>
      <c r="O7" s="515">
        <v>0.14825583056474897</v>
      </c>
      <c r="P7" s="515">
        <v>0.16481684655659576</v>
      </c>
      <c r="Q7" s="515">
        <v>0.1628648802936766</v>
      </c>
      <c r="R7" s="515">
        <v>0.1300924759548</v>
      </c>
      <c r="S7" s="515">
        <v>0.12869444516546383</v>
      </c>
      <c r="T7" s="515">
        <v>0.13262571088562555</v>
      </c>
      <c r="U7" s="515">
        <v>0.13127339314279576</v>
      </c>
      <c r="V7" s="515">
        <v>0.14234524696867659</v>
      </c>
      <c r="W7" s="515">
        <v>0.11736183277634044</v>
      </c>
      <c r="X7" s="515">
        <v>0.13034040176229786</v>
      </c>
      <c r="Y7" s="124"/>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row>
    <row r="8" spans="1:71" x14ac:dyDescent="0.25">
      <c r="A8" s="663"/>
      <c r="B8" s="663"/>
      <c r="C8" s="662"/>
      <c r="D8" s="662"/>
      <c r="E8" s="663"/>
      <c r="F8" s="516" t="s">
        <v>227</v>
      </c>
      <c r="G8" s="517">
        <v>2025</v>
      </c>
      <c r="H8" s="517" t="s">
        <v>224</v>
      </c>
      <c r="I8" s="517">
        <v>7.8E-2</v>
      </c>
      <c r="J8" s="517">
        <v>5.2999999999999999E-2</v>
      </c>
      <c r="K8" s="517">
        <v>0.10199999999999999</v>
      </c>
      <c r="L8" s="517">
        <v>5.2999999999999999E-2</v>
      </c>
      <c r="M8" s="517">
        <v>9.5000000000000001E-2</v>
      </c>
      <c r="N8" s="517">
        <v>0.10199999999999999</v>
      </c>
      <c r="O8" s="517">
        <v>0.10199999999999999</v>
      </c>
      <c r="P8" s="517">
        <v>9.5000000000000001E-2</v>
      </c>
      <c r="Q8" s="517">
        <v>5.2999999999999999E-2</v>
      </c>
      <c r="R8" s="517">
        <v>5.2999999999999999E-2</v>
      </c>
      <c r="S8" s="517">
        <v>4.2000000000000003E-2</v>
      </c>
      <c r="T8" s="517">
        <v>5.2999999999999999E-2</v>
      </c>
      <c r="U8" s="517">
        <v>5.2999999999999999E-2</v>
      </c>
      <c r="V8" s="517">
        <v>5.2999999999999999E-2</v>
      </c>
      <c r="W8" s="517">
        <v>3.7999999999999999E-2</v>
      </c>
      <c r="X8" s="517">
        <v>5.2999999999999999E-2</v>
      </c>
      <c r="Y8" s="124"/>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row>
    <row r="9" spans="1:71" ht="14.4" customHeight="1" x14ac:dyDescent="0.25">
      <c r="A9" s="663" t="s">
        <v>228</v>
      </c>
      <c r="B9" s="663" t="s">
        <v>79</v>
      </c>
      <c r="C9" s="662" t="s">
        <v>229</v>
      </c>
      <c r="D9" s="668" t="s">
        <v>230</v>
      </c>
      <c r="E9" s="663" t="s">
        <v>215</v>
      </c>
      <c r="F9" s="552" t="s">
        <v>216</v>
      </c>
      <c r="G9" s="552">
        <v>1992</v>
      </c>
      <c r="H9" s="662" t="s">
        <v>231</v>
      </c>
      <c r="I9" s="552">
        <v>5.7000000000000002E-2</v>
      </c>
      <c r="J9" s="552">
        <v>5.7000000000000002E-2</v>
      </c>
      <c r="K9" s="552">
        <v>5.7000000000000002E-2</v>
      </c>
      <c r="L9" s="552">
        <v>5.7000000000000002E-2</v>
      </c>
      <c r="M9" s="552">
        <v>5.7000000000000002E-2</v>
      </c>
      <c r="N9" s="552">
        <v>7.8E-2</v>
      </c>
      <c r="O9" s="552">
        <v>7.8E-2</v>
      </c>
      <c r="P9" s="552">
        <v>7.8E-2</v>
      </c>
      <c r="Q9" s="552">
        <v>7.8E-2</v>
      </c>
      <c r="R9" s="552">
        <v>7.8E-2</v>
      </c>
      <c r="S9" s="552">
        <v>5.7000000000000002E-2</v>
      </c>
      <c r="T9" s="552">
        <v>5.7000000000000002E-2</v>
      </c>
      <c r="U9" s="552">
        <v>5.7000000000000002E-2</v>
      </c>
      <c r="V9" s="552">
        <v>5.7000000000000002E-2</v>
      </c>
      <c r="W9" s="552">
        <v>5.7000000000000002E-2</v>
      </c>
      <c r="X9" s="552">
        <v>5.7000000000000002E-2</v>
      </c>
      <c r="Y9" s="124"/>
      <c r="Z9" s="258"/>
      <c r="AA9" s="259"/>
      <c r="AB9" s="259"/>
      <c r="AC9" s="259"/>
      <c r="AD9" s="259"/>
      <c r="AE9" s="259"/>
      <c r="AF9" s="259"/>
      <c r="AG9" s="259"/>
      <c r="AH9" s="259"/>
      <c r="AI9" s="259"/>
      <c r="AJ9" s="259"/>
      <c r="AK9" s="259"/>
      <c r="AL9" s="259"/>
      <c r="AM9" s="259"/>
      <c r="AN9" s="259"/>
      <c r="AO9" s="259"/>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row>
    <row r="10" spans="1:71" x14ac:dyDescent="0.25">
      <c r="A10" s="663"/>
      <c r="B10" s="663"/>
      <c r="C10" s="663"/>
      <c r="D10" s="668"/>
      <c r="E10" s="663"/>
      <c r="F10" s="552" t="s">
        <v>219</v>
      </c>
      <c r="G10" s="552">
        <v>1992</v>
      </c>
      <c r="H10" s="662"/>
      <c r="I10" s="552">
        <v>5.7000000000000002E-2</v>
      </c>
      <c r="J10" s="552">
        <v>5.7000000000000002E-2</v>
      </c>
      <c r="K10" s="552">
        <v>5.7000000000000002E-2</v>
      </c>
      <c r="L10" s="552">
        <v>5.7000000000000002E-2</v>
      </c>
      <c r="M10" s="552">
        <v>5.7000000000000002E-2</v>
      </c>
      <c r="N10" s="552">
        <v>7.8E-2</v>
      </c>
      <c r="O10" s="552">
        <v>7.8E-2</v>
      </c>
      <c r="P10" s="552">
        <v>7.8E-2</v>
      </c>
      <c r="Q10" s="552">
        <v>7.8E-2</v>
      </c>
      <c r="R10" s="552">
        <v>7.8E-2</v>
      </c>
      <c r="S10" s="552">
        <v>5.7000000000000002E-2</v>
      </c>
      <c r="T10" s="552">
        <v>5.7000000000000002E-2</v>
      </c>
      <c r="U10" s="552">
        <v>5.7000000000000002E-2</v>
      </c>
      <c r="V10" s="552">
        <v>5.7000000000000002E-2</v>
      </c>
      <c r="W10" s="552">
        <v>5.7000000000000002E-2</v>
      </c>
      <c r="X10" s="552">
        <v>5.7000000000000002E-2</v>
      </c>
      <c r="Y10" s="124"/>
      <c r="Z10" s="259"/>
      <c r="AA10" s="259"/>
      <c r="AB10" s="259"/>
      <c r="AC10" s="259"/>
      <c r="AD10" s="259"/>
      <c r="AE10" s="259"/>
      <c r="AF10" s="259"/>
      <c r="AG10" s="259"/>
      <c r="AH10" s="259"/>
      <c r="AI10" s="259"/>
      <c r="AJ10" s="259"/>
      <c r="AK10" s="259"/>
      <c r="AL10" s="259"/>
      <c r="AM10" s="259"/>
      <c r="AN10" s="259"/>
      <c r="AO10" s="259"/>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row>
    <row r="11" spans="1:71" x14ac:dyDescent="0.25">
      <c r="A11" s="663"/>
      <c r="B11" s="663"/>
      <c r="C11" s="663"/>
      <c r="D11" s="668"/>
      <c r="E11" s="663"/>
      <c r="F11" s="512" t="s">
        <v>221</v>
      </c>
      <c r="G11" s="512">
        <v>2001</v>
      </c>
      <c r="H11" s="512" t="s">
        <v>222</v>
      </c>
      <c r="I11" s="512">
        <v>5.7000000000000002E-2</v>
      </c>
      <c r="J11" s="512">
        <v>5.7000000000000002E-2</v>
      </c>
      <c r="K11" s="512">
        <v>5.7000000000000002E-2</v>
      </c>
      <c r="L11" s="512">
        <v>5.7000000000000002E-2</v>
      </c>
      <c r="M11" s="512">
        <v>5.7000000000000002E-2</v>
      </c>
      <c r="N11" s="512">
        <v>7.8E-2</v>
      </c>
      <c r="O11" s="512">
        <v>7.8E-2</v>
      </c>
      <c r="P11" s="512">
        <v>7.8E-2</v>
      </c>
      <c r="Q11" s="512">
        <v>7.8E-2</v>
      </c>
      <c r="R11" s="512">
        <v>5.7000000000000002E-2</v>
      </c>
      <c r="S11" s="512">
        <v>5.7000000000000002E-2</v>
      </c>
      <c r="T11" s="512">
        <v>5.7000000000000002E-2</v>
      </c>
      <c r="U11" s="512">
        <v>5.7000000000000002E-2</v>
      </c>
      <c r="V11" s="512">
        <v>5.7000000000000002E-2</v>
      </c>
      <c r="W11" s="512">
        <v>5.7000000000000002E-2</v>
      </c>
      <c r="X11" s="512">
        <v>5.7000000000000002E-2</v>
      </c>
      <c r="Y11" s="124"/>
      <c r="Z11" s="259"/>
      <c r="AA11" s="259"/>
      <c r="AB11" s="259"/>
      <c r="AC11" s="259"/>
      <c r="AD11" s="259"/>
      <c r="AE11" s="259"/>
      <c r="AF11" s="259"/>
      <c r="AG11" s="259"/>
      <c r="AH11" s="259"/>
      <c r="AI11" s="259"/>
      <c r="AJ11" s="259"/>
      <c r="AK11" s="259"/>
      <c r="AL11" s="259"/>
      <c r="AM11" s="259"/>
      <c r="AN11" s="259"/>
      <c r="AO11" s="259"/>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row>
    <row r="12" spans="1:71" x14ac:dyDescent="0.25">
      <c r="A12" s="663"/>
      <c r="B12" s="663"/>
      <c r="C12" s="663"/>
      <c r="D12" s="668"/>
      <c r="E12" s="663"/>
      <c r="F12" s="513" t="s">
        <v>223</v>
      </c>
      <c r="G12" s="513">
        <v>2013</v>
      </c>
      <c r="H12" s="513" t="s">
        <v>224</v>
      </c>
      <c r="I12" s="513">
        <v>4.9000000000000002E-2</v>
      </c>
      <c r="J12" s="513">
        <v>3.9E-2</v>
      </c>
      <c r="K12" s="513">
        <v>3.9E-2</v>
      </c>
      <c r="L12" s="513">
        <v>3.9E-2</v>
      </c>
      <c r="M12" s="513">
        <v>4.9000000000000002E-2</v>
      </c>
      <c r="N12" s="513">
        <v>7.4999999999999997E-2</v>
      </c>
      <c r="O12" s="513">
        <v>6.7000000000000004E-2</v>
      </c>
      <c r="P12" s="513">
        <v>6.7000000000000004E-2</v>
      </c>
      <c r="Q12" s="513">
        <v>3.9E-2</v>
      </c>
      <c r="R12" s="513">
        <v>3.9E-2</v>
      </c>
      <c r="S12" s="513">
        <v>3.9E-2</v>
      </c>
      <c r="T12" s="513">
        <v>3.9E-2</v>
      </c>
      <c r="U12" s="513">
        <v>3.9E-2</v>
      </c>
      <c r="V12" s="513">
        <v>3.9E-2</v>
      </c>
      <c r="W12" s="513">
        <v>3.9E-2</v>
      </c>
      <c r="X12" s="513">
        <v>3.9E-2</v>
      </c>
      <c r="Y12" s="124"/>
      <c r="Z12" s="259"/>
      <c r="AA12" s="259"/>
      <c r="AB12" s="259"/>
      <c r="AC12" s="259"/>
      <c r="AD12" s="259"/>
      <c r="AE12" s="259"/>
      <c r="AF12" s="259"/>
      <c r="AG12" s="259"/>
      <c r="AH12" s="259"/>
      <c r="AI12" s="259"/>
      <c r="AJ12" s="259"/>
      <c r="AK12" s="259"/>
      <c r="AL12" s="259"/>
      <c r="AM12" s="259"/>
      <c r="AN12" s="259"/>
      <c r="AO12" s="259"/>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row>
    <row r="13" spans="1:71" x14ac:dyDescent="0.25">
      <c r="A13" s="663"/>
      <c r="B13" s="663"/>
      <c r="C13" s="663"/>
      <c r="D13" s="668"/>
      <c r="E13" s="663"/>
      <c r="F13" s="514" t="s">
        <v>225</v>
      </c>
      <c r="G13" s="514"/>
      <c r="H13" s="514" t="s">
        <v>226</v>
      </c>
      <c r="I13" s="515" cm="1">
        <f t="array" ref="I13:X13">_xlfn.BYCOL(TRANSPOSE(Weights!$C$4:$F$19)*I9:X12,_xlfn.LAMBDA(_xlpm.c,SUM(_xlpm.c)))</f>
        <v>5.6368750300000013E-2</v>
      </c>
      <c r="J13" s="515">
        <v>5.6057075400000003E-2</v>
      </c>
      <c r="K13" s="515">
        <v>5.6204387699999997E-2</v>
      </c>
      <c r="L13" s="515">
        <v>5.6203233600000006E-2</v>
      </c>
      <c r="M13" s="515">
        <v>5.6676628E-2</v>
      </c>
      <c r="N13" s="515">
        <v>7.7856798300000002E-2</v>
      </c>
      <c r="O13" s="515">
        <v>7.7610801399999998E-2</v>
      </c>
      <c r="P13" s="515">
        <v>7.7642421999999989E-2</v>
      </c>
      <c r="Q13" s="515">
        <v>7.62397467E-2</v>
      </c>
      <c r="R13" s="515">
        <v>6.9797964000000004E-2</v>
      </c>
      <c r="S13" s="515">
        <v>5.56059525E-2</v>
      </c>
      <c r="T13" s="515">
        <v>5.5795734899999998E-2</v>
      </c>
      <c r="U13" s="515">
        <v>5.5246033200000003E-2</v>
      </c>
      <c r="V13" s="515">
        <v>5.5808861099999996E-2</v>
      </c>
      <c r="W13" s="515">
        <v>5.4505894799999996E-2</v>
      </c>
      <c r="X13" s="515">
        <v>5.5360241399999996E-2</v>
      </c>
      <c r="Y13" s="124"/>
      <c r="Z13" s="259"/>
      <c r="AA13" s="259"/>
      <c r="AB13" s="259"/>
      <c r="AC13" s="259"/>
      <c r="AD13" s="259"/>
      <c r="AE13" s="259"/>
      <c r="AF13" s="259"/>
      <c r="AG13" s="259"/>
      <c r="AH13" s="259"/>
      <c r="AI13" s="259"/>
      <c r="AJ13" s="259"/>
      <c r="AK13" s="259"/>
      <c r="AL13" s="259"/>
      <c r="AM13" s="259"/>
      <c r="AN13" s="259"/>
      <c r="AO13" s="259"/>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row>
    <row r="14" spans="1:71" x14ac:dyDescent="0.25">
      <c r="A14" s="663"/>
      <c r="B14" s="663"/>
      <c r="C14" s="663"/>
      <c r="D14" s="668"/>
      <c r="E14" s="663"/>
      <c r="F14" s="518" t="s">
        <v>227</v>
      </c>
      <c r="G14" s="519">
        <v>2025</v>
      </c>
      <c r="H14" s="519" t="s">
        <v>224</v>
      </c>
      <c r="I14" s="519">
        <v>2.8000000000000001E-2</v>
      </c>
      <c r="J14" s="519">
        <v>2.8000000000000001E-2</v>
      </c>
      <c r="K14" s="519">
        <v>2.8000000000000001E-2</v>
      </c>
      <c r="L14" s="519">
        <v>2.8000000000000001E-2</v>
      </c>
      <c r="M14" s="519">
        <v>2.8000000000000001E-2</v>
      </c>
      <c r="N14" s="519">
        <v>4.7E-2</v>
      </c>
      <c r="O14" s="519">
        <v>4.7E-2</v>
      </c>
      <c r="P14" s="519">
        <v>4.7E-2</v>
      </c>
      <c r="Q14" s="519">
        <v>2.8000000000000001E-2</v>
      </c>
      <c r="R14" s="519">
        <v>2.8000000000000001E-2</v>
      </c>
      <c r="S14" s="519">
        <v>2.8000000000000001E-2</v>
      </c>
      <c r="T14" s="519">
        <v>2.8000000000000001E-2</v>
      </c>
      <c r="U14" s="519">
        <v>2.8000000000000001E-2</v>
      </c>
      <c r="V14" s="519">
        <v>2.8000000000000001E-2</v>
      </c>
      <c r="W14" s="519">
        <v>2.8000000000000001E-2</v>
      </c>
      <c r="X14" s="519">
        <v>2.8000000000000001E-2</v>
      </c>
      <c r="Y14" s="124"/>
      <c r="Z14" s="260"/>
      <c r="AA14" s="259"/>
      <c r="AB14" s="259"/>
      <c r="AC14" s="259"/>
      <c r="AD14" s="259"/>
      <c r="AE14" s="259"/>
      <c r="AF14" s="259"/>
      <c r="AG14" s="259"/>
      <c r="AH14" s="259"/>
      <c r="AI14" s="259"/>
      <c r="AJ14" s="259"/>
      <c r="AK14" s="259"/>
      <c r="AL14" s="259"/>
      <c r="AM14" s="259"/>
      <c r="AN14" s="259"/>
      <c r="AO14" s="259"/>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row>
    <row r="15" spans="1:71" ht="22.2" customHeight="1" x14ac:dyDescent="0.25">
      <c r="A15" s="663" t="s">
        <v>232</v>
      </c>
      <c r="B15" s="663" t="s">
        <v>79</v>
      </c>
      <c r="C15" s="663" t="s">
        <v>233</v>
      </c>
      <c r="D15" s="662" t="s">
        <v>234</v>
      </c>
      <c r="E15" s="663" t="s">
        <v>215</v>
      </c>
      <c r="F15" s="552" t="s">
        <v>216</v>
      </c>
      <c r="G15" s="552" t="s">
        <v>217</v>
      </c>
      <c r="H15" s="662" t="s">
        <v>235</v>
      </c>
      <c r="I15" s="520">
        <f>1.12*0.53+I$17*0.47</f>
        <v>0.82390000000000008</v>
      </c>
      <c r="J15" s="520">
        <f t="shared" ref="J15:X16" si="2">1.12*0.53+J$17*0.47</f>
        <v>0.82390000000000008</v>
      </c>
      <c r="K15" s="520">
        <f t="shared" si="2"/>
        <v>0.97430000000000017</v>
      </c>
      <c r="L15" s="520">
        <f t="shared" si="2"/>
        <v>0.97430000000000017</v>
      </c>
      <c r="M15" s="520">
        <f t="shared" si="2"/>
        <v>0.97430000000000017</v>
      </c>
      <c r="N15" s="520">
        <f t="shared" si="2"/>
        <v>0.97430000000000017</v>
      </c>
      <c r="O15" s="520">
        <f t="shared" si="2"/>
        <v>0.97430000000000017</v>
      </c>
      <c r="P15" s="520">
        <f t="shared" si="2"/>
        <v>0.97430000000000017</v>
      </c>
      <c r="Q15" s="520">
        <f t="shared" si="2"/>
        <v>0.97430000000000017</v>
      </c>
      <c r="R15" s="520">
        <f t="shared" si="2"/>
        <v>0.82390000000000008</v>
      </c>
      <c r="S15" s="520">
        <f t="shared" si="2"/>
        <v>0.82390000000000008</v>
      </c>
      <c r="T15" s="520">
        <f t="shared" si="2"/>
        <v>0.82390000000000008</v>
      </c>
      <c r="U15" s="520">
        <f t="shared" si="2"/>
        <v>0.82390000000000008</v>
      </c>
      <c r="V15" s="520">
        <f t="shared" si="2"/>
        <v>0.82390000000000008</v>
      </c>
      <c r="W15" s="520">
        <f t="shared" si="2"/>
        <v>0.82390000000000008</v>
      </c>
      <c r="X15" s="520">
        <f t="shared" si="2"/>
        <v>0.82390000000000008</v>
      </c>
      <c r="Y15" s="124"/>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row>
    <row r="16" spans="1:71" ht="21" customHeight="1" x14ac:dyDescent="0.25">
      <c r="A16" s="663"/>
      <c r="B16" s="663"/>
      <c r="C16" s="663"/>
      <c r="D16" s="662"/>
      <c r="E16" s="663"/>
      <c r="F16" s="552" t="s">
        <v>219</v>
      </c>
      <c r="G16" s="521" t="s">
        <v>217</v>
      </c>
      <c r="H16" s="662"/>
      <c r="I16" s="520">
        <f>1.12*0.53+I$17*0.47</f>
        <v>0.82390000000000008</v>
      </c>
      <c r="J16" s="520">
        <f t="shared" si="2"/>
        <v>0.82390000000000008</v>
      </c>
      <c r="K16" s="520">
        <f t="shared" si="2"/>
        <v>0.97430000000000017</v>
      </c>
      <c r="L16" s="520">
        <f t="shared" si="2"/>
        <v>0.97430000000000017</v>
      </c>
      <c r="M16" s="520">
        <f t="shared" si="2"/>
        <v>0.97430000000000017</v>
      </c>
      <c r="N16" s="520">
        <f t="shared" si="2"/>
        <v>0.97430000000000017</v>
      </c>
      <c r="O16" s="520">
        <f t="shared" si="2"/>
        <v>0.97430000000000017</v>
      </c>
      <c r="P16" s="520">
        <f t="shared" si="2"/>
        <v>0.97430000000000017</v>
      </c>
      <c r="Q16" s="520">
        <f t="shared" si="2"/>
        <v>0.97430000000000017</v>
      </c>
      <c r="R16" s="520">
        <f t="shared" si="2"/>
        <v>0.82390000000000008</v>
      </c>
      <c r="S16" s="520">
        <f t="shared" si="2"/>
        <v>0.82390000000000008</v>
      </c>
      <c r="T16" s="520">
        <f t="shared" si="2"/>
        <v>0.82390000000000008</v>
      </c>
      <c r="U16" s="520">
        <f t="shared" si="2"/>
        <v>0.82390000000000008</v>
      </c>
      <c r="V16" s="520">
        <f t="shared" si="2"/>
        <v>0.82390000000000008</v>
      </c>
      <c r="W16" s="520">
        <f t="shared" si="2"/>
        <v>0.82390000000000008</v>
      </c>
      <c r="X16" s="520">
        <f t="shared" si="2"/>
        <v>0.82390000000000008</v>
      </c>
      <c r="Y16" s="124"/>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row>
    <row r="17" spans="1:71" x14ac:dyDescent="0.25">
      <c r="A17" s="663"/>
      <c r="B17" s="663"/>
      <c r="C17" s="663"/>
      <c r="D17" s="663" t="s">
        <v>236</v>
      </c>
      <c r="E17" s="663"/>
      <c r="F17" s="512" t="s">
        <v>221</v>
      </c>
      <c r="G17" s="512">
        <v>2001</v>
      </c>
      <c r="H17" s="512" t="s">
        <v>222</v>
      </c>
      <c r="I17" s="512">
        <v>0.49</v>
      </c>
      <c r="J17" s="512">
        <v>0.49</v>
      </c>
      <c r="K17" s="512">
        <v>0.81</v>
      </c>
      <c r="L17" s="512">
        <v>0.81</v>
      </c>
      <c r="M17" s="512">
        <v>0.81</v>
      </c>
      <c r="N17" s="512">
        <v>0.81</v>
      </c>
      <c r="O17" s="512">
        <v>0.81</v>
      </c>
      <c r="P17" s="512">
        <v>0.81</v>
      </c>
      <c r="Q17" s="512">
        <v>0.81</v>
      </c>
      <c r="R17" s="512">
        <v>0.49</v>
      </c>
      <c r="S17" s="512">
        <v>0.49</v>
      </c>
      <c r="T17" s="512">
        <v>0.49</v>
      </c>
      <c r="U17" s="512">
        <v>0.49</v>
      </c>
      <c r="V17" s="512">
        <v>0.49</v>
      </c>
      <c r="W17" s="512">
        <v>0.49</v>
      </c>
      <c r="X17" s="512">
        <v>0.49</v>
      </c>
      <c r="Y17" s="124"/>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row>
    <row r="18" spans="1:71" x14ac:dyDescent="0.25">
      <c r="A18" s="663"/>
      <c r="B18" s="663"/>
      <c r="C18" s="663"/>
      <c r="D18" s="663"/>
      <c r="E18" s="663"/>
      <c r="F18" s="513" t="s">
        <v>223</v>
      </c>
      <c r="G18" s="513">
        <v>2013</v>
      </c>
      <c r="H18" s="513" t="s">
        <v>224</v>
      </c>
      <c r="I18" s="513">
        <v>0.36</v>
      </c>
      <c r="J18" s="513">
        <v>0.36</v>
      </c>
      <c r="K18" s="513">
        <v>0.36</v>
      </c>
      <c r="L18" s="513">
        <v>0.36</v>
      </c>
      <c r="M18" s="513">
        <v>0.36</v>
      </c>
      <c r="N18" s="513">
        <v>0.36</v>
      </c>
      <c r="O18" s="513">
        <v>0.36</v>
      </c>
      <c r="P18" s="513">
        <v>0.36</v>
      </c>
      <c r="Q18" s="513">
        <v>0.36</v>
      </c>
      <c r="R18" s="513">
        <v>0.36</v>
      </c>
      <c r="S18" s="513">
        <v>0.36</v>
      </c>
      <c r="T18" s="513">
        <v>0.36</v>
      </c>
      <c r="U18" s="513">
        <v>0.36</v>
      </c>
      <c r="V18" s="513">
        <v>0.36</v>
      </c>
      <c r="W18" s="513">
        <v>0.36</v>
      </c>
      <c r="X18" s="513">
        <v>0.36</v>
      </c>
      <c r="Y18" s="124"/>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row>
    <row r="19" spans="1:71" x14ac:dyDescent="0.25">
      <c r="A19" s="663"/>
      <c r="B19" s="663"/>
      <c r="C19" s="663"/>
      <c r="D19" s="663"/>
      <c r="E19" s="663"/>
      <c r="F19" s="514" t="s">
        <v>225</v>
      </c>
      <c r="G19" s="514"/>
      <c r="H19" s="514" t="s">
        <v>226</v>
      </c>
      <c r="I19" s="522" cm="1">
        <f t="array" ref="I19:X19">_xlfn.BYCOL(TRANSPOSE(Weights!$C$4:$F$19)*I15:X18,_xlfn.LAMBDA(_xlpm.c,SUM(_xlpm.c)))</f>
        <v>0.72150299845999999</v>
      </c>
      <c r="J19" s="522">
        <v>0.75743588246000004</v>
      </c>
      <c r="K19" s="522">
        <v>0.92824774768000007</v>
      </c>
      <c r="L19" s="522">
        <v>0.92940196597000024</v>
      </c>
      <c r="M19" s="522">
        <v>0.93271218127000022</v>
      </c>
      <c r="N19" s="522">
        <v>0.93224399596000007</v>
      </c>
      <c r="O19" s="522">
        <v>0.9346898184800001</v>
      </c>
      <c r="P19" s="522">
        <v>0.94352365767000013</v>
      </c>
      <c r="Q19" s="522">
        <v>0.93880647129000017</v>
      </c>
      <c r="R19" s="522">
        <v>0.7077467194799999</v>
      </c>
      <c r="S19" s="522">
        <v>0.69017369150000007</v>
      </c>
      <c r="T19" s="522">
        <v>0.70449213375000008</v>
      </c>
      <c r="U19" s="522">
        <v>0.69611556206000003</v>
      </c>
      <c r="V19" s="522">
        <v>0.73255374595000011</v>
      </c>
      <c r="W19" s="522">
        <v>0.66934726101000008</v>
      </c>
      <c r="X19" s="522">
        <v>0.69598761541000009</v>
      </c>
      <c r="Y19" s="124"/>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row>
    <row r="20" spans="1:71" x14ac:dyDescent="0.25">
      <c r="A20" s="663"/>
      <c r="B20" s="663"/>
      <c r="C20" s="663"/>
      <c r="D20" s="663"/>
      <c r="E20" s="663"/>
      <c r="F20" s="518" t="s">
        <v>227</v>
      </c>
      <c r="G20" s="519">
        <v>2025</v>
      </c>
      <c r="H20" s="519" t="s">
        <v>224</v>
      </c>
      <c r="I20" s="519">
        <v>0.36</v>
      </c>
      <c r="J20" s="519">
        <v>0.36</v>
      </c>
      <c r="K20" s="519">
        <v>0.36</v>
      </c>
      <c r="L20" s="519">
        <v>0.36</v>
      </c>
      <c r="M20" s="519">
        <v>0.36</v>
      </c>
      <c r="N20" s="519">
        <v>0.36</v>
      </c>
      <c r="O20" s="519">
        <v>0.36</v>
      </c>
      <c r="P20" s="519">
        <v>0.36</v>
      </c>
      <c r="Q20" s="519">
        <v>0.34</v>
      </c>
      <c r="R20" s="519">
        <v>0.36</v>
      </c>
      <c r="S20" s="519">
        <v>0.34</v>
      </c>
      <c r="T20" s="519">
        <v>0.34</v>
      </c>
      <c r="U20" s="519">
        <v>0.34</v>
      </c>
      <c r="V20" s="519">
        <v>0.34</v>
      </c>
      <c r="W20" s="519">
        <v>0.34</v>
      </c>
      <c r="X20" s="519">
        <v>0.36</v>
      </c>
      <c r="Y20" s="124"/>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row>
    <row r="21" spans="1:71" ht="19.2" customHeight="1" x14ac:dyDescent="0.25">
      <c r="A21" s="663"/>
      <c r="B21" s="663" t="s">
        <v>79</v>
      </c>
      <c r="C21" s="663" t="s">
        <v>233</v>
      </c>
      <c r="D21" s="662" t="s">
        <v>234</v>
      </c>
      <c r="E21" s="663" t="s">
        <v>237</v>
      </c>
      <c r="F21" s="552" t="s">
        <v>216</v>
      </c>
      <c r="G21" s="552" t="s">
        <v>217</v>
      </c>
      <c r="H21" s="662" t="s">
        <v>235</v>
      </c>
      <c r="I21" s="520">
        <f>0.79*0.53+I23*0.47</f>
        <v>0.62080000000000002</v>
      </c>
      <c r="J21" s="520">
        <f t="shared" ref="J21:X21" si="3">0.79*0.53+J23*0.47</f>
        <v>0.58789999999999998</v>
      </c>
      <c r="K21" s="520">
        <f t="shared" si="3"/>
        <v>0.61139999999999994</v>
      </c>
      <c r="L21" s="520">
        <f t="shared" si="3"/>
        <v>0.61139999999999994</v>
      </c>
      <c r="M21" s="520">
        <f t="shared" si="3"/>
        <v>0.61139999999999994</v>
      </c>
      <c r="N21" s="520">
        <f t="shared" si="3"/>
        <v>0.60199999999999998</v>
      </c>
      <c r="O21" s="520">
        <f t="shared" si="3"/>
        <v>0.60199999999999998</v>
      </c>
      <c r="P21" s="520">
        <f t="shared" si="3"/>
        <v>0.60199999999999998</v>
      </c>
      <c r="Q21" s="520">
        <f t="shared" si="3"/>
        <v>0.60199999999999998</v>
      </c>
      <c r="R21" s="520">
        <f t="shared" si="3"/>
        <v>0.58789999999999998</v>
      </c>
      <c r="S21" s="520">
        <f t="shared" si="3"/>
        <v>0.58789999999999998</v>
      </c>
      <c r="T21" s="520">
        <f t="shared" si="3"/>
        <v>0.58789999999999998</v>
      </c>
      <c r="U21" s="520">
        <f t="shared" si="3"/>
        <v>0.58789999999999998</v>
      </c>
      <c r="V21" s="520">
        <f t="shared" si="3"/>
        <v>0.58789999999999998</v>
      </c>
      <c r="W21" s="520">
        <f t="shared" si="3"/>
        <v>0.58789999999999998</v>
      </c>
      <c r="X21" s="520">
        <f t="shared" si="3"/>
        <v>0.62080000000000002</v>
      </c>
      <c r="Y21" s="124"/>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row>
    <row r="22" spans="1:71" ht="21.6" customHeight="1" x14ac:dyDescent="0.25">
      <c r="A22" s="663"/>
      <c r="B22" s="663"/>
      <c r="C22" s="663"/>
      <c r="D22" s="662"/>
      <c r="E22" s="663"/>
      <c r="F22" s="552" t="s">
        <v>219</v>
      </c>
      <c r="G22" s="521">
        <v>1986</v>
      </c>
      <c r="H22" s="662"/>
      <c r="I22" s="520">
        <f>0.79*0.53+I23*0.47</f>
        <v>0.62080000000000002</v>
      </c>
      <c r="J22" s="520">
        <f t="shared" ref="J22:X22" si="4">0.79*0.53+J23*0.47</f>
        <v>0.58789999999999998</v>
      </c>
      <c r="K22" s="520">
        <f t="shared" si="4"/>
        <v>0.61139999999999994</v>
      </c>
      <c r="L22" s="520">
        <f t="shared" si="4"/>
        <v>0.61139999999999994</v>
      </c>
      <c r="M22" s="520">
        <f t="shared" si="4"/>
        <v>0.61139999999999994</v>
      </c>
      <c r="N22" s="520">
        <f t="shared" si="4"/>
        <v>0.60199999999999998</v>
      </c>
      <c r="O22" s="520">
        <f t="shared" si="4"/>
        <v>0.60199999999999998</v>
      </c>
      <c r="P22" s="520">
        <f t="shared" si="4"/>
        <v>0.60199999999999998</v>
      </c>
      <c r="Q22" s="520">
        <f t="shared" si="4"/>
        <v>0.60199999999999998</v>
      </c>
      <c r="R22" s="520">
        <f t="shared" si="4"/>
        <v>0.58789999999999998</v>
      </c>
      <c r="S22" s="520">
        <f t="shared" si="4"/>
        <v>0.58789999999999998</v>
      </c>
      <c r="T22" s="520">
        <f t="shared" si="4"/>
        <v>0.58789999999999998</v>
      </c>
      <c r="U22" s="520">
        <f t="shared" si="4"/>
        <v>0.58789999999999998</v>
      </c>
      <c r="V22" s="520">
        <f t="shared" si="4"/>
        <v>0.58789999999999998</v>
      </c>
      <c r="W22" s="520">
        <f t="shared" si="4"/>
        <v>0.58789999999999998</v>
      </c>
      <c r="X22" s="520">
        <f t="shared" si="4"/>
        <v>0.62080000000000002</v>
      </c>
      <c r="Y22" s="124"/>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row>
    <row r="23" spans="1:71" x14ac:dyDescent="0.25">
      <c r="A23" s="663"/>
      <c r="B23" s="663"/>
      <c r="C23" s="663"/>
      <c r="D23" s="663"/>
      <c r="E23" s="663"/>
      <c r="F23" s="523" t="s">
        <v>221</v>
      </c>
      <c r="G23" s="512">
        <v>2001</v>
      </c>
      <c r="H23" s="512" t="s">
        <v>238</v>
      </c>
      <c r="I23" s="512">
        <v>0.43</v>
      </c>
      <c r="J23" s="512">
        <v>0.36</v>
      </c>
      <c r="K23" s="512">
        <v>0.41</v>
      </c>
      <c r="L23" s="512">
        <v>0.41</v>
      </c>
      <c r="M23" s="512">
        <v>0.41</v>
      </c>
      <c r="N23" s="512">
        <v>0.39</v>
      </c>
      <c r="O23" s="512">
        <v>0.39</v>
      </c>
      <c r="P23" s="512">
        <v>0.39</v>
      </c>
      <c r="Q23" s="512">
        <v>0.39</v>
      </c>
      <c r="R23" s="512">
        <v>0.36</v>
      </c>
      <c r="S23" s="512">
        <v>0.36</v>
      </c>
      <c r="T23" s="512">
        <v>0.36</v>
      </c>
      <c r="U23" s="512">
        <v>0.36</v>
      </c>
      <c r="V23" s="512">
        <v>0.36</v>
      </c>
      <c r="W23" s="512">
        <v>0.36</v>
      </c>
      <c r="X23" s="512">
        <v>0.43</v>
      </c>
      <c r="Y23" s="124"/>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row>
    <row r="24" spans="1:71" x14ac:dyDescent="0.25">
      <c r="A24" s="663"/>
      <c r="B24" s="663"/>
      <c r="C24" s="663"/>
      <c r="D24" s="663"/>
      <c r="E24" s="663"/>
      <c r="F24" s="513" t="s">
        <v>223</v>
      </c>
      <c r="G24" s="513">
        <v>2013</v>
      </c>
      <c r="H24" s="513" t="s">
        <v>224</v>
      </c>
      <c r="I24" s="513">
        <v>0.25</v>
      </c>
      <c r="J24" s="513">
        <v>0.25</v>
      </c>
      <c r="K24" s="513">
        <v>0.25</v>
      </c>
      <c r="L24" s="513">
        <v>0.25</v>
      </c>
      <c r="M24" s="513">
        <v>0.25</v>
      </c>
      <c r="N24" s="513">
        <v>0.25</v>
      </c>
      <c r="O24" s="513">
        <v>0.25</v>
      </c>
      <c r="P24" s="513">
        <v>0.25</v>
      </c>
      <c r="Q24" s="513">
        <v>0.25</v>
      </c>
      <c r="R24" s="513">
        <v>0.25</v>
      </c>
      <c r="S24" s="513">
        <v>0.25</v>
      </c>
      <c r="T24" s="513">
        <v>0.25</v>
      </c>
      <c r="U24" s="513">
        <v>0.25</v>
      </c>
      <c r="V24" s="513">
        <v>0.25</v>
      </c>
      <c r="W24" s="513">
        <v>0.25</v>
      </c>
      <c r="X24" s="513">
        <v>0.25</v>
      </c>
      <c r="Y24" s="124"/>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row>
    <row r="25" spans="1:71" x14ac:dyDescent="0.25">
      <c r="A25" s="663"/>
      <c r="B25" s="663"/>
      <c r="C25" s="663"/>
      <c r="D25" s="663"/>
      <c r="E25" s="663"/>
      <c r="F25" s="514" t="s">
        <v>225</v>
      </c>
      <c r="G25" s="514"/>
      <c r="H25" s="514" t="s">
        <v>226</v>
      </c>
      <c r="I25" s="522" cm="1">
        <f t="array" ref="I25:X25">_xlfn.BYCOL(TRANSPOSE(Weights!$C$4:$F$19)*I21:X24,_xlfn.LAMBDA(_xlpm.c,SUM(_xlpm.c)))</f>
        <v>0.55394597412000002</v>
      </c>
      <c r="J25" s="522">
        <v>0.54142138806000006</v>
      </c>
      <c r="K25" s="522">
        <v>0.57225847563999999</v>
      </c>
      <c r="L25" s="522">
        <v>0.57369836705999999</v>
      </c>
      <c r="M25" s="522">
        <v>0.5762509644599999</v>
      </c>
      <c r="N25" s="522">
        <v>0.56876790039999991</v>
      </c>
      <c r="O25" s="522">
        <v>0.56648110620000003</v>
      </c>
      <c r="P25" s="522">
        <v>0.5766129297999999</v>
      </c>
      <c r="Q25" s="522">
        <v>0.57609028559999997</v>
      </c>
      <c r="R25" s="522">
        <v>0.50667910827999996</v>
      </c>
      <c r="S25" s="522">
        <v>0.49497919649999994</v>
      </c>
      <c r="T25" s="522">
        <v>0.50497636774999999</v>
      </c>
      <c r="U25" s="522">
        <v>0.49860946165999998</v>
      </c>
      <c r="V25" s="522">
        <v>0.52414503395000001</v>
      </c>
      <c r="W25" s="522">
        <v>0.47946444360999996</v>
      </c>
      <c r="X25" s="522">
        <v>0.53807688052000002</v>
      </c>
      <c r="Y25" s="124"/>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row>
    <row r="26" spans="1:71" x14ac:dyDescent="0.25">
      <c r="A26" s="663"/>
      <c r="B26" s="663"/>
      <c r="C26" s="663"/>
      <c r="D26" s="663"/>
      <c r="E26" s="663"/>
      <c r="F26" s="518" t="s">
        <v>227</v>
      </c>
      <c r="G26" s="519">
        <v>2025</v>
      </c>
      <c r="H26" s="518" t="s">
        <v>224</v>
      </c>
      <c r="I26" s="519">
        <v>0.25</v>
      </c>
      <c r="J26" s="519">
        <v>0.25</v>
      </c>
      <c r="K26" s="519">
        <v>0.25</v>
      </c>
      <c r="L26" s="519">
        <v>0.25</v>
      </c>
      <c r="M26" s="519">
        <v>0.25</v>
      </c>
      <c r="N26" s="519">
        <v>0.25</v>
      </c>
      <c r="O26" s="519">
        <v>0.25</v>
      </c>
      <c r="P26" s="519">
        <v>0.25</v>
      </c>
      <c r="Q26" s="519">
        <v>0.22</v>
      </c>
      <c r="R26" s="519">
        <v>0.25</v>
      </c>
      <c r="S26" s="519">
        <v>0.22</v>
      </c>
      <c r="T26" s="519">
        <v>0.22</v>
      </c>
      <c r="U26" s="519">
        <v>0.22</v>
      </c>
      <c r="V26" s="519">
        <v>0.22</v>
      </c>
      <c r="W26" s="519">
        <v>0.22</v>
      </c>
      <c r="X26" s="519">
        <v>0.25</v>
      </c>
      <c r="Y26" s="124"/>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row>
    <row r="27" spans="1:71" ht="15" customHeight="1" x14ac:dyDescent="0.25">
      <c r="A27" s="4"/>
      <c r="B27" s="7"/>
      <c r="C27" s="4"/>
      <c r="D27" s="4"/>
      <c r="E27" s="56"/>
      <c r="F27" s="56"/>
      <c r="G27" s="129"/>
      <c r="H27" s="56"/>
      <c r="I27" s="56"/>
      <c r="J27" s="56"/>
      <c r="K27" s="56"/>
      <c r="L27" s="56"/>
      <c r="M27" s="56"/>
      <c r="N27" s="56"/>
      <c r="O27" s="56"/>
      <c r="P27" s="56"/>
      <c r="Q27" s="56"/>
      <c r="R27" s="56"/>
      <c r="S27" s="56"/>
      <c r="T27" s="56"/>
      <c r="U27" s="56"/>
      <c r="V27" s="56"/>
      <c r="W27" s="56"/>
      <c r="X27" s="56"/>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row>
    <row r="28" spans="1:71" ht="25.95" customHeight="1" x14ac:dyDescent="0.25">
      <c r="A28" s="4"/>
      <c r="B28" s="7"/>
      <c r="C28" s="658" t="s">
        <v>239</v>
      </c>
      <c r="D28" s="658"/>
      <c r="E28" s="658"/>
      <c r="F28" s="658"/>
      <c r="G28" s="658"/>
      <c r="H28" s="658"/>
      <c r="I28" s="658"/>
      <c r="J28" s="658"/>
      <c r="K28" s="658"/>
      <c r="L28" s="658"/>
      <c r="M28" s="37"/>
      <c r="N28" s="37"/>
      <c r="O28" s="37"/>
      <c r="P28" s="37"/>
      <c r="Q28" s="37"/>
      <c r="R28" s="37"/>
      <c r="S28" s="37"/>
      <c r="T28" s="37"/>
      <c r="U28" s="37"/>
      <c r="V28" s="37"/>
      <c r="W28" s="37"/>
      <c r="X28" s="37"/>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row>
    <row r="29" spans="1:71" ht="43.2" customHeight="1" x14ac:dyDescent="0.25">
      <c r="A29" s="4"/>
      <c r="B29" s="7"/>
      <c r="C29" s="480"/>
      <c r="D29" s="480" t="s">
        <v>125</v>
      </c>
      <c r="E29" s="480" t="s">
        <v>240</v>
      </c>
      <c r="F29" s="52" t="s">
        <v>193</v>
      </c>
      <c r="G29" s="121" t="s">
        <v>241</v>
      </c>
      <c r="H29" s="121" t="s">
        <v>121</v>
      </c>
      <c r="I29" s="659" t="s">
        <v>242</v>
      </c>
      <c r="J29" s="660"/>
      <c r="K29" s="660"/>
      <c r="L29" s="660"/>
      <c r="M29" s="660"/>
      <c r="N29" s="660"/>
      <c r="O29" s="660"/>
      <c r="P29" s="660"/>
      <c r="Q29" s="660"/>
      <c r="R29" s="660"/>
      <c r="S29" s="660"/>
      <c r="T29" s="660"/>
      <c r="U29" s="660"/>
      <c r="V29" s="660"/>
      <c r="W29" s="660"/>
      <c r="X29" s="661"/>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row>
    <row r="30" spans="1:71" ht="18" customHeight="1" x14ac:dyDescent="0.3">
      <c r="A30" s="4"/>
      <c r="B30" s="7"/>
      <c r="C30" s="657" t="s">
        <v>239</v>
      </c>
      <c r="D30" s="657" t="s">
        <v>79</v>
      </c>
      <c r="E30" s="657"/>
      <c r="F30" s="508" t="s">
        <v>216</v>
      </c>
      <c r="G30" s="508">
        <v>1.1000000000000001</v>
      </c>
      <c r="H30" s="122" t="s">
        <v>243</v>
      </c>
      <c r="I30" s="656">
        <f>0.112*G30*$AA$32</f>
        <v>0.57095794980184944</v>
      </c>
      <c r="J30" s="656"/>
      <c r="K30" s="656"/>
      <c r="L30" s="656"/>
      <c r="M30" s="656"/>
      <c r="N30" s="656"/>
      <c r="O30" s="656"/>
      <c r="P30" s="656"/>
      <c r="Q30" s="656"/>
      <c r="R30" s="656"/>
      <c r="S30" s="656"/>
      <c r="T30" s="656"/>
      <c r="U30" s="656"/>
      <c r="V30" s="656"/>
      <c r="W30" s="656"/>
      <c r="X30" s="656"/>
      <c r="Y30" s="2"/>
      <c r="Z30" s="399" t="s">
        <v>244</v>
      </c>
      <c r="AA30">
        <f>AA31+(2*AA33)</f>
        <v>14032.96</v>
      </c>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row>
    <row r="31" spans="1:71" ht="18" customHeight="1" x14ac:dyDescent="0.3">
      <c r="A31" s="4"/>
      <c r="B31" s="4"/>
      <c r="C31" s="619"/>
      <c r="D31" s="619"/>
      <c r="E31" s="619"/>
      <c r="F31" s="508" t="s">
        <v>219</v>
      </c>
      <c r="G31" s="508">
        <v>1.1000000000000001</v>
      </c>
      <c r="H31" s="122" t="s">
        <v>243</v>
      </c>
      <c r="I31" s="656">
        <f>0.112*G31*$AA$32</f>
        <v>0.57095794980184944</v>
      </c>
      <c r="J31" s="656"/>
      <c r="K31" s="656"/>
      <c r="L31" s="656"/>
      <c r="M31" s="656"/>
      <c r="N31" s="656"/>
      <c r="O31" s="656"/>
      <c r="P31" s="656"/>
      <c r="Q31" s="656"/>
      <c r="R31" s="656"/>
      <c r="S31" s="656"/>
      <c r="T31" s="656"/>
      <c r="U31" s="656"/>
      <c r="V31" s="656"/>
      <c r="W31" s="656"/>
      <c r="X31" s="656"/>
      <c r="Y31" s="2"/>
      <c r="Z31" s="399" t="s">
        <v>245</v>
      </c>
      <c r="AA31" s="400">
        <f>AA35</f>
        <v>3028</v>
      </c>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row>
    <row r="32" spans="1:71" ht="18" customHeight="1" x14ac:dyDescent="0.3">
      <c r="A32" s="4"/>
      <c r="B32" s="7"/>
      <c r="C32" s="619"/>
      <c r="D32" s="619"/>
      <c r="E32" s="619"/>
      <c r="F32" s="508" t="s">
        <v>221</v>
      </c>
      <c r="G32" s="508">
        <v>1.1000000000000001</v>
      </c>
      <c r="H32" s="122" t="s">
        <v>243</v>
      </c>
      <c r="I32" s="656">
        <f>0.112*G32*$AA$32</f>
        <v>0.57095794980184944</v>
      </c>
      <c r="J32" s="656"/>
      <c r="K32" s="656"/>
      <c r="L32" s="656"/>
      <c r="M32" s="656"/>
      <c r="N32" s="656"/>
      <c r="O32" s="656"/>
      <c r="P32" s="656"/>
      <c r="Q32" s="656"/>
      <c r="R32" s="656"/>
      <c r="S32" s="656"/>
      <c r="T32" s="656"/>
      <c r="U32" s="656"/>
      <c r="V32" s="656"/>
      <c r="W32" s="656"/>
      <c r="X32" s="656"/>
      <c r="Y32" s="107"/>
      <c r="Z32" s="399" t="s">
        <v>246</v>
      </c>
      <c r="AA32" s="341">
        <f>AA30/AA31</f>
        <v>4.6343989431968291</v>
      </c>
      <c r="AB32" s="664"/>
      <c r="AC32" s="664"/>
      <c r="AD32" s="664"/>
      <c r="AE32" s="664"/>
      <c r="AF32" s="664"/>
      <c r="AG32" s="664"/>
      <c r="AH32" s="664"/>
      <c r="AI32" s="664"/>
      <c r="AJ32" s="664"/>
      <c r="AK32" s="664"/>
      <c r="AL32" s="664"/>
      <c r="AM32" s="664"/>
      <c r="AN32" s="664"/>
      <c r="AO32" s="664"/>
      <c r="AP32" s="664"/>
      <c r="AQ32" s="664"/>
      <c r="AR32" s="664"/>
      <c r="AS32" s="664"/>
      <c r="AT32" s="664"/>
      <c r="AU32" s="664"/>
      <c r="AV32" s="664"/>
      <c r="AW32" s="664"/>
      <c r="AX32" s="664"/>
      <c r="AY32" s="2"/>
      <c r="AZ32" s="2"/>
      <c r="BA32" s="2"/>
      <c r="BB32" s="2"/>
      <c r="BC32" s="2"/>
      <c r="BD32" s="2"/>
      <c r="BE32" s="2"/>
      <c r="BF32" s="2"/>
      <c r="BG32" s="2"/>
      <c r="BH32" s="2"/>
      <c r="BI32" s="2"/>
      <c r="BJ32" s="2"/>
      <c r="BK32" s="2"/>
      <c r="BL32" s="2"/>
      <c r="BM32" s="2"/>
      <c r="BN32" s="2"/>
      <c r="BO32" s="2"/>
      <c r="BP32" s="2"/>
      <c r="BQ32" s="2"/>
      <c r="BR32" s="2"/>
      <c r="BS32" s="2"/>
    </row>
    <row r="33" spans="1:71" ht="26.4" x14ac:dyDescent="0.3">
      <c r="A33" s="4"/>
      <c r="B33" s="7"/>
      <c r="C33" s="619"/>
      <c r="D33" s="619"/>
      <c r="E33" s="619"/>
      <c r="F33" s="508" t="s">
        <v>223</v>
      </c>
      <c r="G33" s="508">
        <v>1</v>
      </c>
      <c r="H33" s="509" t="s">
        <v>247</v>
      </c>
      <c r="I33" s="656">
        <f>0.112*G33*$AA$32</f>
        <v>0.51905268163804485</v>
      </c>
      <c r="J33" s="656"/>
      <c r="K33" s="656"/>
      <c r="L33" s="656"/>
      <c r="M33" s="656"/>
      <c r="N33" s="656"/>
      <c r="O33" s="656"/>
      <c r="P33" s="656"/>
      <c r="Q33" s="656"/>
      <c r="R33" s="656"/>
      <c r="S33" s="656"/>
      <c r="T33" s="656"/>
      <c r="U33" s="656"/>
      <c r="V33" s="656"/>
      <c r="W33" s="656"/>
      <c r="X33" s="656"/>
      <c r="Y33" s="2"/>
      <c r="Z33" s="399" t="s">
        <v>248</v>
      </c>
      <c r="AA33" s="400">
        <f>90.8*60.6</f>
        <v>5502.48</v>
      </c>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row>
    <row r="34" spans="1:71" ht="14.4" x14ac:dyDescent="0.3">
      <c r="A34" s="4"/>
      <c r="B34" s="7"/>
      <c r="C34" s="619"/>
      <c r="D34" s="619"/>
      <c r="E34" s="619"/>
      <c r="F34" s="481" t="s">
        <v>225</v>
      </c>
      <c r="G34" s="313">
        <v>1.1000000000000001</v>
      </c>
      <c r="H34" s="384" t="s">
        <v>651</v>
      </c>
      <c r="I34" s="656">
        <f>0.112*G34*$AA$32</f>
        <v>0.57095794980184944</v>
      </c>
      <c r="J34" s="656"/>
      <c r="K34" s="656"/>
      <c r="L34" s="656"/>
      <c r="M34" s="656"/>
      <c r="N34" s="656"/>
      <c r="O34" s="656"/>
      <c r="P34" s="656"/>
      <c r="Q34" s="656"/>
      <c r="R34" s="656"/>
      <c r="S34" s="656"/>
      <c r="T34" s="656"/>
      <c r="U34" s="656"/>
      <c r="V34" s="656"/>
      <c r="W34" s="656"/>
      <c r="X34" s="656"/>
      <c r="Y34" s="2"/>
      <c r="Z34" s="399" t="s">
        <v>249</v>
      </c>
      <c r="AA34">
        <f>Prototype!B15</f>
        <v>10</v>
      </c>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row>
    <row r="35" spans="1:71" ht="26.4" x14ac:dyDescent="0.3">
      <c r="A35" s="4"/>
      <c r="B35" s="7"/>
      <c r="C35" s="620"/>
      <c r="D35" s="620"/>
      <c r="E35" s="620"/>
      <c r="F35" s="508" t="s">
        <v>227</v>
      </c>
      <c r="G35" s="508" t="s">
        <v>250</v>
      </c>
      <c r="H35" s="509" t="s">
        <v>251</v>
      </c>
      <c r="I35" s="656">
        <f>0.112*0.6*$AA$32</f>
        <v>0.3114316089828269</v>
      </c>
      <c r="J35" s="656"/>
      <c r="K35" s="656"/>
      <c r="L35" s="656"/>
      <c r="M35" s="656"/>
      <c r="N35" s="656"/>
      <c r="O35" s="656"/>
      <c r="P35" s="656"/>
      <c r="Q35" s="656"/>
      <c r="R35" s="656"/>
      <c r="S35" s="656"/>
      <c r="T35" s="656"/>
      <c r="U35" s="656"/>
      <c r="V35" s="656"/>
      <c r="W35" s="656"/>
      <c r="X35" s="656"/>
      <c r="Y35" s="2"/>
      <c r="Z35" s="399" t="s">
        <v>252</v>
      </c>
      <c r="AA35">
        <f>(90.8+60.6)*2*AA34*AA36</f>
        <v>3028</v>
      </c>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row>
    <row r="36" spans="1:71" ht="14.4" x14ac:dyDescent="0.3">
      <c r="A36" s="2"/>
      <c r="B36" s="119"/>
      <c r="C36" s="2"/>
      <c r="D36" s="2"/>
      <c r="E36" s="4" t="s">
        <v>253</v>
      </c>
      <c r="F36" s="2"/>
      <c r="G36" s="120"/>
      <c r="H36" s="2"/>
      <c r="I36" s="2"/>
      <c r="J36" s="2"/>
      <c r="K36" s="2"/>
      <c r="L36" s="2"/>
      <c r="M36" s="2"/>
      <c r="N36" s="2"/>
      <c r="O36" s="2"/>
      <c r="P36" s="2"/>
      <c r="Q36" s="2"/>
      <c r="R36" s="2"/>
      <c r="S36" s="2"/>
      <c r="T36" s="2"/>
      <c r="U36" s="2"/>
      <c r="V36" s="2"/>
      <c r="W36" s="2"/>
      <c r="X36" s="2"/>
      <c r="Y36" s="2"/>
      <c r="Z36" s="399" t="s">
        <v>254</v>
      </c>
      <c r="AA36">
        <v>1</v>
      </c>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row>
    <row r="37" spans="1:71" x14ac:dyDescent="0.25">
      <c r="A37" s="2"/>
      <c r="B37" s="119"/>
      <c r="C37" s="2"/>
      <c r="D37" s="2"/>
      <c r="E37" s="4" t="s">
        <v>255</v>
      </c>
      <c r="F37" s="2"/>
      <c r="G37" s="134"/>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row>
    <row r="38" spans="1:71" ht="14.4" x14ac:dyDescent="0.3">
      <c r="A38" s="2"/>
      <c r="B38" s="119"/>
      <c r="C38" s="2"/>
      <c r="D38" s="2"/>
      <c r="E38" s="4" t="s">
        <v>256</v>
      </c>
      <c r="F38" s="2"/>
      <c r="G38" s="1" t="s">
        <v>51</v>
      </c>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row>
    <row r="39" spans="1:71" x14ac:dyDescent="0.25">
      <c r="A39" s="2"/>
      <c r="B39" s="119"/>
      <c r="C39" s="2"/>
      <c r="D39" s="2"/>
      <c r="E39" s="2"/>
      <c r="F39" s="2"/>
      <c r="G39" s="120"/>
      <c r="H39" s="2"/>
      <c r="I39" s="571"/>
      <c r="J39" s="571"/>
      <c r="K39" s="571"/>
      <c r="L39" s="571"/>
      <c r="M39" s="571"/>
      <c r="N39" s="571"/>
      <c r="O39" s="571"/>
      <c r="P39" s="571"/>
      <c r="Q39" s="571"/>
      <c r="R39" s="571"/>
      <c r="S39" s="571"/>
      <c r="T39" s="571"/>
      <c r="U39" s="571"/>
      <c r="V39" s="571"/>
      <c r="W39" s="571"/>
      <c r="X39" s="571"/>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row>
    <row r="40" spans="1:71" x14ac:dyDescent="0.25">
      <c r="A40" s="4" t="s">
        <v>656</v>
      </c>
      <c r="B40" s="119"/>
      <c r="C40" s="2"/>
      <c r="D40" s="2"/>
      <c r="E40" s="2"/>
      <c r="F40" s="2"/>
      <c r="G40" s="120"/>
      <c r="H40" s="2"/>
      <c r="I40" s="571"/>
      <c r="J40" s="571"/>
      <c r="K40" s="571"/>
      <c r="L40" s="571"/>
      <c r="M40" s="571"/>
      <c r="N40" s="571"/>
      <c r="O40" s="571"/>
      <c r="P40" s="571"/>
      <c r="Q40" s="571"/>
      <c r="R40" s="571"/>
      <c r="S40" s="571"/>
      <c r="T40" s="571"/>
      <c r="U40" s="571"/>
      <c r="V40" s="571"/>
      <c r="W40" s="571"/>
      <c r="X40" s="571"/>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row>
    <row r="41" spans="1:71" ht="14.25" customHeight="1" x14ac:dyDescent="0.25">
      <c r="A41" s="678" t="s">
        <v>211</v>
      </c>
      <c r="B41" s="678" t="s">
        <v>212</v>
      </c>
      <c r="C41" s="679" t="s">
        <v>213</v>
      </c>
      <c r="D41" s="679" t="s">
        <v>214</v>
      </c>
      <c r="E41" s="670" t="s">
        <v>215</v>
      </c>
      <c r="F41" s="670" t="s">
        <v>216</v>
      </c>
      <c r="G41" s="673" t="s">
        <v>217</v>
      </c>
      <c r="H41" s="555" t="s">
        <v>257</v>
      </c>
      <c r="I41" s="559">
        <v>0.29199999999999998</v>
      </c>
      <c r="J41" s="559">
        <v>0.29199999999999998</v>
      </c>
      <c r="K41" s="559">
        <v>0.29199999999999998</v>
      </c>
      <c r="L41" s="559">
        <v>0.29199999999999998</v>
      </c>
      <c r="M41" s="559">
        <v>0.29199999999999998</v>
      </c>
      <c r="N41" s="559">
        <v>0.29199999999999998</v>
      </c>
      <c r="O41" s="559">
        <v>0.29199999999999998</v>
      </c>
      <c r="P41" s="559">
        <v>0.29199999999999998</v>
      </c>
      <c r="Q41" s="559">
        <v>0.29199999999999998</v>
      </c>
      <c r="R41" s="559">
        <v>0.29199999999999998</v>
      </c>
      <c r="S41" s="559">
        <v>0.29199999999999998</v>
      </c>
      <c r="T41" s="559">
        <v>0.29199999999999998</v>
      </c>
      <c r="U41" s="559">
        <v>0.29199999999999998</v>
      </c>
      <c r="V41" s="559">
        <v>0.29199999999999998</v>
      </c>
      <c r="W41" s="559">
        <v>0.29199999999999998</v>
      </c>
      <c r="X41" s="559">
        <v>0.29199999999999998</v>
      </c>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2"/>
      <c r="BP41" s="2"/>
      <c r="BQ41" s="2"/>
      <c r="BR41" s="2"/>
      <c r="BS41" s="2"/>
    </row>
    <row r="42" spans="1:71" ht="14.25" customHeight="1" x14ac:dyDescent="0.25">
      <c r="A42" s="678"/>
      <c r="B42" s="678"/>
      <c r="C42" s="679"/>
      <c r="D42" s="679"/>
      <c r="E42" s="671"/>
      <c r="F42" s="671"/>
      <c r="G42" s="674"/>
      <c r="H42" s="556" t="s">
        <v>258</v>
      </c>
      <c r="I42" s="560">
        <v>0.10199999999999999</v>
      </c>
      <c r="J42" s="560">
        <v>5.8999999999999997E-2</v>
      </c>
      <c r="K42" s="560">
        <v>0.11</v>
      </c>
      <c r="L42" s="560">
        <v>5.8999999999999997E-2</v>
      </c>
      <c r="M42" s="560">
        <v>0.10199999999999999</v>
      </c>
      <c r="N42" s="560">
        <v>0.11</v>
      </c>
      <c r="O42" s="560">
        <v>0.11</v>
      </c>
      <c r="P42" s="560">
        <v>0.10199999999999999</v>
      </c>
      <c r="Q42" s="560">
        <v>5.8999999999999997E-2</v>
      </c>
      <c r="R42" s="560">
        <v>5.8999999999999997E-2</v>
      </c>
      <c r="S42" s="560">
        <v>5.8999999999999997E-2</v>
      </c>
      <c r="T42" s="560">
        <v>5.8999999999999997E-2</v>
      </c>
      <c r="U42" s="560">
        <v>5.8999999999999997E-2</v>
      </c>
      <c r="V42" s="560">
        <v>5.8999999999999997E-2</v>
      </c>
      <c r="W42" s="560">
        <v>4.2000000000000003E-2</v>
      </c>
      <c r="X42" s="560">
        <v>5.8999999999999997E-2</v>
      </c>
      <c r="Y42" s="550"/>
      <c r="Z42" s="550"/>
      <c r="AA42" s="550"/>
      <c r="AB42" s="550"/>
      <c r="AC42" s="550"/>
      <c r="AD42" s="550"/>
      <c r="AE42" s="550"/>
      <c r="AF42" s="550"/>
      <c r="AG42" s="550"/>
      <c r="AH42" s="550"/>
      <c r="AI42" s="550"/>
      <c r="AJ42" s="550"/>
      <c r="AK42" s="550"/>
      <c r="AL42" s="550"/>
      <c r="AM42" s="550"/>
      <c r="AN42" s="550"/>
      <c r="AO42" s="550"/>
      <c r="AP42" s="550"/>
      <c r="AQ42" s="550"/>
      <c r="AR42" s="550"/>
      <c r="AS42" s="550"/>
      <c r="AT42" s="550"/>
      <c r="AU42" s="550"/>
      <c r="AV42" s="550"/>
      <c r="AW42" s="550"/>
      <c r="AX42" s="550"/>
      <c r="AY42" s="550"/>
      <c r="AZ42" s="550"/>
      <c r="BA42" s="550"/>
      <c r="BB42" s="550"/>
      <c r="BC42" s="550"/>
      <c r="BD42" s="550"/>
      <c r="BE42" s="550"/>
      <c r="BF42" s="550"/>
      <c r="BG42" s="550"/>
      <c r="BH42" s="550"/>
      <c r="BI42" s="550"/>
      <c r="BJ42" s="550"/>
      <c r="BK42" s="550"/>
      <c r="BL42" s="550"/>
      <c r="BM42" s="550"/>
      <c r="BN42" s="550"/>
      <c r="BO42" s="2"/>
      <c r="BP42" s="2"/>
      <c r="BQ42" s="2"/>
      <c r="BR42" s="2"/>
      <c r="BS42" s="2"/>
    </row>
    <row r="43" spans="1:71" ht="14.25" customHeight="1" x14ac:dyDescent="0.25">
      <c r="A43" s="678"/>
      <c r="B43" s="678"/>
      <c r="C43" s="679"/>
      <c r="D43" s="679"/>
      <c r="E43" s="671"/>
      <c r="F43" s="671"/>
      <c r="G43" s="674"/>
      <c r="H43" s="557" t="s">
        <v>259</v>
      </c>
      <c r="I43" s="560">
        <v>0.20200000000000001</v>
      </c>
      <c r="J43" s="560">
        <v>0.20200000000000001</v>
      </c>
      <c r="K43" s="560">
        <v>0.20200000000000001</v>
      </c>
      <c r="L43" s="560">
        <v>0.20200000000000001</v>
      </c>
      <c r="M43" s="560">
        <v>0.20200000000000001</v>
      </c>
      <c r="N43" s="560">
        <v>0.20200000000000001</v>
      </c>
      <c r="O43" s="560">
        <v>0.20200000000000001</v>
      </c>
      <c r="P43" s="560">
        <v>0.20200000000000001</v>
      </c>
      <c r="Q43" s="560">
        <v>0.20200000000000001</v>
      </c>
      <c r="R43" s="560">
        <v>0.20200000000000001</v>
      </c>
      <c r="S43" s="560">
        <v>0.20200000000000001</v>
      </c>
      <c r="T43" s="560">
        <v>0.20200000000000001</v>
      </c>
      <c r="U43" s="560">
        <v>0.20200000000000001</v>
      </c>
      <c r="V43" s="560">
        <v>0.20200000000000001</v>
      </c>
      <c r="W43" s="560">
        <v>0.20200000000000001</v>
      </c>
      <c r="X43" s="560">
        <v>0.20200000000000001</v>
      </c>
      <c r="Y43" s="550"/>
      <c r="Z43" s="550"/>
      <c r="AA43" s="550"/>
      <c r="AB43" s="550"/>
      <c r="AC43" s="550"/>
      <c r="AD43" s="550"/>
      <c r="AE43" s="550"/>
      <c r="AF43" s="550"/>
      <c r="AG43" s="550"/>
      <c r="AH43" s="550"/>
      <c r="AI43" s="550"/>
      <c r="AJ43" s="550"/>
      <c r="AK43" s="550"/>
      <c r="AL43" s="550"/>
      <c r="AM43" s="550"/>
      <c r="AN43" s="550"/>
      <c r="AO43" s="550"/>
      <c r="AP43" s="550"/>
      <c r="AQ43" s="550"/>
      <c r="AR43" s="550"/>
      <c r="AS43" s="550"/>
      <c r="AT43" s="550"/>
      <c r="AU43" s="550"/>
      <c r="AV43" s="550"/>
      <c r="AW43" s="550"/>
      <c r="AX43" s="550"/>
      <c r="AY43" s="550"/>
      <c r="AZ43" s="550"/>
      <c r="BA43" s="550"/>
      <c r="BB43" s="550"/>
      <c r="BC43" s="550"/>
      <c r="BD43" s="550"/>
      <c r="BE43" s="550"/>
      <c r="BF43" s="550"/>
      <c r="BG43" s="550"/>
      <c r="BH43" s="550"/>
      <c r="BI43" s="550"/>
      <c r="BJ43" s="550"/>
      <c r="BK43" s="550"/>
      <c r="BL43" s="550"/>
      <c r="BM43" s="550"/>
      <c r="BN43" s="550"/>
      <c r="BO43" s="2"/>
      <c r="BP43" s="2"/>
      <c r="BQ43" s="2"/>
      <c r="BR43" s="2"/>
      <c r="BS43" s="2"/>
    </row>
    <row r="44" spans="1:71" ht="38.25" customHeight="1" x14ac:dyDescent="0.25">
      <c r="A44" s="678"/>
      <c r="B44" s="678"/>
      <c r="C44" s="679"/>
      <c r="D44" s="679"/>
      <c r="E44" s="672"/>
      <c r="F44" s="672"/>
      <c r="G44" s="675"/>
      <c r="H44" s="551" t="s">
        <v>652</v>
      </c>
      <c r="I44" s="676">
        <v>7.3999999999999996E-2</v>
      </c>
      <c r="J44" s="677"/>
      <c r="K44" s="677"/>
      <c r="L44" s="677"/>
      <c r="M44" s="677"/>
      <c r="N44" s="677"/>
      <c r="O44" s="677"/>
      <c r="P44" s="677"/>
      <c r="Q44" s="677"/>
      <c r="R44" s="677"/>
      <c r="S44" s="677"/>
      <c r="T44" s="677"/>
      <c r="U44" s="677"/>
      <c r="V44" s="677"/>
      <c r="W44" s="677"/>
      <c r="X44" s="677"/>
      <c r="Y44" s="550"/>
      <c r="Z44" s="550"/>
      <c r="AA44" s="550"/>
      <c r="AB44" s="550"/>
      <c r="AC44" s="550"/>
      <c r="AD44" s="550"/>
      <c r="AE44" s="550"/>
      <c r="AF44" s="550"/>
      <c r="AG44" s="550"/>
      <c r="AH44" s="550"/>
      <c r="AI44" s="550"/>
      <c r="AJ44" s="550"/>
      <c r="AK44" s="550"/>
      <c r="AL44" s="550"/>
      <c r="AM44" s="550"/>
      <c r="AN44" s="550"/>
      <c r="AO44" s="550"/>
      <c r="AP44" s="550"/>
      <c r="AQ44" s="550"/>
      <c r="AR44" s="550"/>
      <c r="AS44" s="550"/>
      <c r="AT44" s="550"/>
      <c r="AU44" s="550"/>
      <c r="AV44" s="550"/>
      <c r="AW44" s="550"/>
      <c r="AX44" s="550"/>
      <c r="AY44" s="550"/>
      <c r="AZ44" s="550"/>
      <c r="BA44" s="550"/>
      <c r="BB44" s="550"/>
      <c r="BC44" s="550"/>
      <c r="BD44" s="550"/>
      <c r="BE44" s="550"/>
      <c r="BF44" s="550"/>
      <c r="BG44" s="550"/>
      <c r="BH44" s="550"/>
      <c r="BI44" s="550"/>
      <c r="BJ44" s="550"/>
      <c r="BK44" s="550"/>
      <c r="BL44" s="550"/>
      <c r="BM44" s="550"/>
      <c r="BN44" s="550"/>
      <c r="BO44" s="2"/>
      <c r="BP44" s="2"/>
      <c r="BQ44" s="2"/>
      <c r="BR44" s="2"/>
      <c r="BS44" s="2"/>
    </row>
    <row r="45" spans="1:71" x14ac:dyDescent="0.25">
      <c r="A45" s="663" t="s">
        <v>211</v>
      </c>
      <c r="B45" s="663" t="s">
        <v>212</v>
      </c>
      <c r="C45" s="662" t="s">
        <v>213</v>
      </c>
      <c r="D45" s="662" t="s">
        <v>214</v>
      </c>
      <c r="E45" s="663" t="s">
        <v>215</v>
      </c>
      <c r="F45" s="552" t="s">
        <v>216</v>
      </c>
      <c r="G45" s="552" t="s">
        <v>217</v>
      </c>
      <c r="H45" s="563" t="s">
        <v>261</v>
      </c>
      <c r="I45" s="510">
        <v>0.29199999999999998</v>
      </c>
      <c r="J45" s="510">
        <v>0.29199999999999998</v>
      </c>
      <c r="K45" s="510">
        <v>0.29199999999999998</v>
      </c>
      <c r="L45" s="510">
        <v>0.29199999999999998</v>
      </c>
      <c r="M45" s="510">
        <v>0.29199999999999998</v>
      </c>
      <c r="N45" s="510">
        <v>0.29199999999999998</v>
      </c>
      <c r="O45" s="510">
        <v>0.29199999999999998</v>
      </c>
      <c r="P45" s="510">
        <v>0.29199999999999998</v>
      </c>
      <c r="Q45" s="510">
        <v>0.29199999999999998</v>
      </c>
      <c r="R45" s="510">
        <v>0.29199999999999998</v>
      </c>
      <c r="S45" s="510">
        <v>0.29199999999999998</v>
      </c>
      <c r="T45" s="510">
        <v>0.29199999999999998</v>
      </c>
      <c r="U45" s="510">
        <v>0.29199999999999998</v>
      </c>
      <c r="V45" s="510">
        <v>0.29199999999999998</v>
      </c>
      <c r="W45" s="510">
        <v>0.29199999999999998</v>
      </c>
      <c r="X45" s="510">
        <v>0.29199999999999998</v>
      </c>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row>
    <row r="46" spans="1:71" x14ac:dyDescent="0.25">
      <c r="A46" s="663"/>
      <c r="B46" s="663"/>
      <c r="C46" s="662"/>
      <c r="D46" s="662"/>
      <c r="E46" s="663"/>
      <c r="F46" s="552" t="s">
        <v>219</v>
      </c>
      <c r="G46" s="552">
        <v>1986</v>
      </c>
      <c r="H46" s="553"/>
      <c r="I46" s="554"/>
      <c r="J46" s="554"/>
      <c r="K46" s="554"/>
      <c r="L46" s="554"/>
      <c r="M46" s="554"/>
      <c r="N46" s="554"/>
      <c r="O46" s="554"/>
      <c r="P46" s="554"/>
      <c r="Q46" s="554"/>
      <c r="R46" s="554"/>
      <c r="S46" s="554"/>
      <c r="T46" s="554"/>
      <c r="U46" s="554"/>
      <c r="V46" s="554"/>
      <c r="W46" s="554"/>
      <c r="X46" s="554"/>
      <c r="Y46" s="124"/>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row>
    <row r="47" spans="1:71" ht="14.4"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565"/>
      <c r="AN47" s="125"/>
      <c r="AO47" s="669"/>
      <c r="AP47" s="669"/>
      <c r="AQ47" s="669"/>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row>
    <row r="48" spans="1:71" ht="14.4"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565"/>
      <c r="AN48" s="125"/>
      <c r="AO48" s="612"/>
      <c r="AP48" s="612"/>
      <c r="AQ48" s="61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row>
    <row r="49" spans="1:71" ht="14.4"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126"/>
      <c r="AN49" s="124"/>
      <c r="AO49" s="669"/>
      <c r="AP49" s="669"/>
      <c r="AQ49" s="669"/>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row>
    <row r="50" spans="1:71" ht="14.4"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565"/>
      <c r="AN50" s="125"/>
      <c r="AO50" s="612"/>
      <c r="AP50" s="612"/>
      <c r="AQ50" s="61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row>
    <row r="51" spans="1:7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666"/>
      <c r="AN51" s="666"/>
      <c r="AO51" s="666"/>
      <c r="AP51" s="666"/>
      <c r="AQ51" s="666"/>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row>
    <row r="52" spans="1:7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row>
    <row r="53" spans="1:7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119"/>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row>
    <row r="54" spans="1:7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row>
    <row r="55" spans="1:7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row>
    <row r="56" spans="1:7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row>
    <row r="57" spans="1:7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667"/>
      <c r="AN57" s="667"/>
      <c r="AO57" s="667"/>
      <c r="AP57" s="667"/>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row>
    <row r="58" spans="1:7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127"/>
      <c r="AN58" s="3"/>
      <c r="AO58" s="127"/>
      <c r="AP58" s="127"/>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row>
    <row r="59" spans="1:7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3"/>
      <c r="AN59" s="3"/>
      <c r="AO59" s="3"/>
      <c r="AP59" s="128"/>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row>
    <row r="60" spans="1:7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3"/>
      <c r="AN60" s="3"/>
      <c r="AO60" s="3"/>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row>
    <row r="61" spans="1:7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3"/>
      <c r="AN61" s="3"/>
      <c r="AO61" s="3"/>
      <c r="AP61" s="128"/>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row>
    <row r="62" spans="1:7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3"/>
      <c r="AN62" s="3"/>
      <c r="AO62" s="3"/>
      <c r="AP62" s="128"/>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row>
    <row r="63" spans="1:7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120"/>
      <c r="AN63" s="3"/>
      <c r="AO63" s="3"/>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row>
    <row r="64" spans="1:7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120"/>
      <c r="AN64" s="3"/>
      <c r="AO64" s="3"/>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row>
    <row r="65" spans="1:7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120"/>
      <c r="AN65" s="3"/>
      <c r="AO65" s="3"/>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row>
    <row r="66" spans="1:7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row>
    <row r="67" spans="1:71" ht="1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row>
    <row r="68" spans="1:71" ht="1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row>
    <row r="69" spans="1:7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665"/>
      <c r="AN69" s="665"/>
      <c r="AO69" s="665"/>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row>
    <row r="70" spans="1:7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row>
    <row r="71" spans="1:71" x14ac:dyDescent="0.25">
      <c r="A71" s="2"/>
      <c r="B71" s="2"/>
      <c r="C71" s="2"/>
      <c r="D71" s="2"/>
      <c r="E71" s="2"/>
      <c r="F71" s="2"/>
      <c r="G71" s="2"/>
      <c r="H71" s="2"/>
      <c r="I71" s="2"/>
      <c r="J71" s="2"/>
      <c r="K71" s="2"/>
      <c r="L71" s="138"/>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row>
    <row r="72" spans="1:7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row>
    <row r="73" spans="1:7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row>
    <row r="74" spans="1:7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row>
    <row r="75" spans="1:7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row>
    <row r="76" spans="1:7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row>
    <row r="77" spans="1:7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row>
    <row r="78" spans="1:7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row>
    <row r="79" spans="1:7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row>
    <row r="80" spans="1:7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row>
    <row r="81" spans="1:7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row>
    <row r="82" spans="1:7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row>
    <row r="83" spans="1:71" x14ac:dyDescent="0.25">
      <c r="A83" s="2"/>
      <c r="B83" s="119"/>
      <c r="C83" s="2"/>
      <c r="D83" s="2"/>
      <c r="E83" s="2"/>
      <c r="F83" s="2"/>
      <c r="G83" s="120"/>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row>
    <row r="84" spans="1:71" x14ac:dyDescent="0.25">
      <c r="A84" s="2"/>
      <c r="B84" s="119"/>
      <c r="C84" s="2"/>
      <c r="D84" s="2"/>
      <c r="E84" s="2"/>
      <c r="F84" s="2"/>
      <c r="G84" s="120"/>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row>
    <row r="85" spans="1:71" x14ac:dyDescent="0.25">
      <c r="A85" s="2"/>
      <c r="B85" s="119"/>
      <c r="C85" s="2"/>
      <c r="D85" s="2"/>
      <c r="E85" s="2"/>
      <c r="F85" s="2"/>
      <c r="G85" s="120"/>
      <c r="H85" s="120"/>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row>
    <row r="86" spans="1:71" x14ac:dyDescent="0.25">
      <c r="A86" s="2"/>
      <c r="B86" s="119"/>
      <c r="C86" s="2"/>
      <c r="D86" s="2"/>
      <c r="E86" s="2"/>
      <c r="F86" s="2"/>
      <c r="G86" s="120"/>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row>
    <row r="87" spans="1:71" x14ac:dyDescent="0.25">
      <c r="A87" s="2"/>
      <c r="B87" s="119"/>
      <c r="C87" s="2"/>
      <c r="D87" s="2"/>
      <c r="E87" s="2"/>
      <c r="F87" s="2"/>
      <c r="G87" s="120"/>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row>
    <row r="88" spans="1:71" x14ac:dyDescent="0.25">
      <c r="A88" s="2"/>
      <c r="B88" s="119"/>
      <c r="C88" s="2"/>
      <c r="D88" s="2"/>
      <c r="E88" s="2"/>
      <c r="F88" s="2"/>
      <c r="G88" s="120"/>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row>
    <row r="89" spans="1:71" x14ac:dyDescent="0.25">
      <c r="A89" s="2"/>
      <c r="B89" s="119"/>
      <c r="C89" s="2"/>
      <c r="D89" s="2"/>
      <c r="E89" s="2"/>
      <c r="F89" s="2"/>
      <c r="G89" s="120"/>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row>
    <row r="90" spans="1:71" x14ac:dyDescent="0.25">
      <c r="A90" s="2"/>
      <c r="B90" s="119"/>
      <c r="C90" s="2"/>
      <c r="D90" s="2"/>
      <c r="E90" s="2"/>
      <c r="F90" s="2"/>
      <c r="G90" s="120"/>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row>
    <row r="91" spans="1:71" x14ac:dyDescent="0.25">
      <c r="A91" s="2"/>
      <c r="B91" s="119"/>
      <c r="C91" s="2"/>
      <c r="D91" s="2"/>
      <c r="E91" s="2"/>
      <c r="F91" s="2"/>
      <c r="G91" s="120"/>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row>
  </sheetData>
  <mergeCells count="61">
    <mergeCell ref="F41:F44"/>
    <mergeCell ref="G41:G44"/>
    <mergeCell ref="I44:X44"/>
    <mergeCell ref="A41:A44"/>
    <mergeCell ref="B41:B44"/>
    <mergeCell ref="C41:C44"/>
    <mergeCell ref="D41:D44"/>
    <mergeCell ref="E41:E44"/>
    <mergeCell ref="A45:A46"/>
    <mergeCell ref="B45:B46"/>
    <mergeCell ref="C45:C46"/>
    <mergeCell ref="D45:D46"/>
    <mergeCell ref="E45:E46"/>
    <mergeCell ref="AO49:AQ49"/>
    <mergeCell ref="AO47:AQ47"/>
    <mergeCell ref="AO48:AQ48"/>
    <mergeCell ref="C15:C20"/>
    <mergeCell ref="B9:B14"/>
    <mergeCell ref="A3:A8"/>
    <mergeCell ref="D3:D8"/>
    <mergeCell ref="C3:C8"/>
    <mergeCell ref="C9:C14"/>
    <mergeCell ref="A9:A14"/>
    <mergeCell ref="E9:E14"/>
    <mergeCell ref="E15:E20"/>
    <mergeCell ref="D9:D14"/>
    <mergeCell ref="D17:D20"/>
    <mergeCell ref="D15:D16"/>
    <mergeCell ref="AQ32:AT32"/>
    <mergeCell ref="AU32:AX32"/>
    <mergeCell ref="AG32:AK32"/>
    <mergeCell ref="AB32:AF32"/>
    <mergeCell ref="AL32:AP32"/>
    <mergeCell ref="AO50:AQ50"/>
    <mergeCell ref="AM69:AO69"/>
    <mergeCell ref="AM51:AQ51"/>
    <mergeCell ref="AM57:AP57"/>
    <mergeCell ref="A1:X1"/>
    <mergeCell ref="I34:X34"/>
    <mergeCell ref="C30:C35"/>
    <mergeCell ref="D30:D35"/>
    <mergeCell ref="C28:L28"/>
    <mergeCell ref="I32:X32"/>
    <mergeCell ref="I35:X35"/>
    <mergeCell ref="I31:X31"/>
    <mergeCell ref="I30:X30"/>
    <mergeCell ref="I29:X29"/>
    <mergeCell ref="I33:X33"/>
    <mergeCell ref="H9:H10"/>
    <mergeCell ref="H21:H22"/>
    <mergeCell ref="H15:H16"/>
    <mergeCell ref="B3:B8"/>
    <mergeCell ref="E3:E8"/>
    <mergeCell ref="D21:D22"/>
    <mergeCell ref="C21:C26"/>
    <mergeCell ref="E21:E26"/>
    <mergeCell ref="A15:A26"/>
    <mergeCell ref="B21:B26"/>
    <mergeCell ref="B15:B20"/>
    <mergeCell ref="E30:E35"/>
    <mergeCell ref="D23:D26"/>
  </mergeCells>
  <phoneticPr fontId="4" type="noConversion"/>
  <hyperlinks>
    <hyperlink ref="G38"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1B5F6D1B-03B9-47F7-BAB0-A55D2202C4A4}"/>
    <hyperlink ref="H30" r:id="rId2" xr:uid="{3C8DB427-DA30-47E9-BA90-9B3A466DD772}"/>
    <hyperlink ref="H31" r:id="rId3" xr:uid="{D71B4B04-F1A8-4115-A056-071DB61E6ADA}"/>
    <hyperlink ref="H32" r:id="rId4" xr:uid="{CB2960E7-F88A-41AC-816E-8166DB992A78}"/>
  </hyperlink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5D61-95E8-4ABB-AA0F-F62785ECF46A}">
  <dimension ref="A1:L72"/>
  <sheetViews>
    <sheetView zoomScale="75" zoomScaleNormal="75" workbookViewId="0">
      <selection sqref="A1:F1"/>
    </sheetView>
  </sheetViews>
  <sheetFormatPr defaultColWidth="8.6640625" defaultRowHeight="13.2" x14ac:dyDescent="0.25"/>
  <cols>
    <col min="1" max="1" width="26" style="4" customWidth="1"/>
    <col min="2" max="2" width="27.33203125" style="4" customWidth="1"/>
    <col min="3" max="3" width="32.88671875" style="4" customWidth="1"/>
    <col min="4" max="4" width="38.5546875" style="4" customWidth="1"/>
    <col min="5" max="5" width="47.44140625" style="4" customWidth="1"/>
    <col min="6" max="6" width="44.6640625" style="4" customWidth="1"/>
    <col min="7" max="7" width="29.88671875" style="4" customWidth="1"/>
    <col min="8" max="8" width="35.88671875" style="4" customWidth="1"/>
    <col min="9" max="9" width="28.5546875" style="4" customWidth="1"/>
    <col min="10" max="10" width="12.6640625" style="4" customWidth="1"/>
    <col min="11" max="11" width="10.109375" style="4" bestFit="1" customWidth="1"/>
    <col min="12" max="16384" width="8.6640625" style="4"/>
  </cols>
  <sheetData>
    <row r="1" spans="1:9" ht="27" customHeight="1" x14ac:dyDescent="0.25">
      <c r="A1" s="603" t="str">
        <f>"HVAC System - "&amp;Prototype!A2</f>
        <v>HVAC System - OfficeSmall</v>
      </c>
      <c r="B1" s="603"/>
      <c r="C1" s="603"/>
      <c r="D1" s="603"/>
      <c r="E1" s="603"/>
      <c r="F1" s="603"/>
      <c r="G1" s="445"/>
      <c r="H1" s="381" t="s">
        <v>262</v>
      </c>
    </row>
    <row r="2" spans="1:9" ht="19.2" customHeight="1" x14ac:dyDescent="0.25">
      <c r="A2" s="584" t="s">
        <v>193</v>
      </c>
      <c r="B2" s="584" t="s">
        <v>263</v>
      </c>
      <c r="C2" s="584" t="s">
        <v>264</v>
      </c>
      <c r="D2" s="584" t="s">
        <v>265</v>
      </c>
      <c r="E2" s="382" t="s">
        <v>266</v>
      </c>
      <c r="F2" s="584" t="s">
        <v>267</v>
      </c>
    </row>
    <row r="3" spans="1:9" ht="51.75" customHeight="1" x14ac:dyDescent="0.25">
      <c r="A3" s="578" t="s">
        <v>268</v>
      </c>
      <c r="B3" s="578" t="s">
        <v>269</v>
      </c>
      <c r="C3" s="51" t="s">
        <v>270</v>
      </c>
      <c r="D3" s="574" t="s">
        <v>271</v>
      </c>
      <c r="E3" s="313" t="s">
        <v>272</v>
      </c>
      <c r="F3" s="574" t="s">
        <v>273</v>
      </c>
      <c r="G3" s="320"/>
      <c r="H3" s="320"/>
      <c r="I3" s="320"/>
    </row>
    <row r="4" spans="1:9" ht="57" customHeight="1" x14ac:dyDescent="0.25">
      <c r="A4" s="578" t="s">
        <v>274</v>
      </c>
      <c r="B4" s="578" t="s">
        <v>275</v>
      </c>
      <c r="C4" s="574" t="s">
        <v>275</v>
      </c>
      <c r="D4" s="574" t="s">
        <v>271</v>
      </c>
      <c r="E4" s="313" t="s">
        <v>276</v>
      </c>
      <c r="F4" s="574" t="s">
        <v>277</v>
      </c>
      <c r="G4" s="571"/>
      <c r="H4" s="195"/>
      <c r="I4" s="195"/>
    </row>
    <row r="5" spans="1:9" ht="15.6" customHeight="1" x14ac:dyDescent="0.25">
      <c r="A5" s="581"/>
      <c r="B5" s="581"/>
      <c r="C5" s="581"/>
      <c r="D5" s="581"/>
      <c r="E5" s="581"/>
    </row>
    <row r="6" spans="1:9" ht="15.6" customHeight="1" x14ac:dyDescent="0.25">
      <c r="A6" s="581"/>
      <c r="B6" s="581"/>
      <c r="C6" s="581"/>
      <c r="D6" s="581"/>
      <c r="E6" s="581"/>
    </row>
    <row r="7" spans="1:9" ht="15.6" customHeight="1" x14ac:dyDescent="0.25">
      <c r="A7" s="581"/>
      <c r="B7" s="581"/>
      <c r="C7" s="581"/>
      <c r="D7" s="581"/>
      <c r="E7" s="581"/>
    </row>
    <row r="8" spans="1:9" x14ac:dyDescent="0.25">
      <c r="A8" s="581"/>
      <c r="B8" s="581"/>
      <c r="C8" s="581"/>
      <c r="D8" s="581"/>
      <c r="E8" s="581"/>
    </row>
    <row r="9" spans="1:9" x14ac:dyDescent="0.25">
      <c r="A9" s="581"/>
      <c r="B9" s="581"/>
      <c r="C9" s="581"/>
      <c r="D9" s="581"/>
      <c r="E9" s="581"/>
    </row>
    <row r="10" spans="1:9" ht="50.25" customHeight="1" x14ac:dyDescent="0.25">
      <c r="A10" s="614" t="s">
        <v>278</v>
      </c>
      <c r="B10" s="614"/>
      <c r="C10" s="614"/>
      <c r="D10" s="614"/>
      <c r="E10" s="614"/>
    </row>
    <row r="11" spans="1:9" ht="17.7" customHeight="1" x14ac:dyDescent="0.25">
      <c r="A11" s="52" t="s">
        <v>193</v>
      </c>
      <c r="B11" s="52" t="s">
        <v>279</v>
      </c>
      <c r="C11" s="36" t="s">
        <v>263</v>
      </c>
      <c r="D11" s="36" t="s">
        <v>264</v>
      </c>
      <c r="E11" s="584" t="s">
        <v>267</v>
      </c>
      <c r="G11" s="584" t="s">
        <v>280</v>
      </c>
      <c r="H11" s="584" t="s">
        <v>267</v>
      </c>
      <c r="I11" s="584" t="s">
        <v>281</v>
      </c>
    </row>
    <row r="12" spans="1:9" ht="17.7" customHeight="1" x14ac:dyDescent="0.25">
      <c r="A12" s="508" t="s">
        <v>216</v>
      </c>
      <c r="B12" s="615">
        <v>2008</v>
      </c>
      <c r="C12" s="615" t="s">
        <v>282</v>
      </c>
      <c r="D12" s="618" t="s">
        <v>283</v>
      </c>
      <c r="E12" s="621" t="s">
        <v>284</v>
      </c>
      <c r="F12" s="7"/>
      <c r="G12" s="103">
        <f>((9-0.2)/3.413+$I$12)/(1-$I$12)</f>
        <v>3.0663372666009647</v>
      </c>
      <c r="H12" s="606" t="s">
        <v>285</v>
      </c>
      <c r="I12" s="610">
        <v>0.12</v>
      </c>
    </row>
    <row r="13" spans="1:9" ht="17.7" customHeight="1" x14ac:dyDescent="0.25">
      <c r="A13" s="508" t="s">
        <v>219</v>
      </c>
      <c r="B13" s="616"/>
      <c r="C13" s="616"/>
      <c r="D13" s="619"/>
      <c r="E13" s="622"/>
      <c r="G13" s="103">
        <f>((9-0.2)/3.413+$I$12)/(1-$I$12)</f>
        <v>3.0663372666009647</v>
      </c>
      <c r="H13" s="606"/>
      <c r="I13" s="610"/>
    </row>
    <row r="14" spans="1:9" ht="25.5" customHeight="1" x14ac:dyDescent="0.25">
      <c r="A14" s="508" t="s">
        <v>221</v>
      </c>
      <c r="B14" s="617"/>
      <c r="C14" s="617"/>
      <c r="D14" s="620"/>
      <c r="E14" s="623"/>
      <c r="G14" s="103">
        <f>((9-0.2)/3.413+$I$12)/(1-$I$12)</f>
        <v>3.0663372666009647</v>
      </c>
      <c r="H14" s="606"/>
      <c r="I14" s="610"/>
    </row>
    <row r="15" spans="1:9" ht="69.75" customHeight="1" x14ac:dyDescent="0.25">
      <c r="A15" s="508" t="s">
        <v>223</v>
      </c>
      <c r="B15" s="383">
        <v>2013</v>
      </c>
      <c r="C15" s="508" t="s">
        <v>282</v>
      </c>
      <c r="D15" s="384" t="s">
        <v>286</v>
      </c>
      <c r="E15" s="384" t="s">
        <v>287</v>
      </c>
      <c r="G15" s="315">
        <f>((9-0.2)/3.413+$I$12)/(1-$I$12)</f>
        <v>3.0663372666009647</v>
      </c>
      <c r="H15" s="606"/>
      <c r="I15" s="610"/>
    </row>
    <row r="16" spans="1:9" ht="73.5" customHeight="1" x14ac:dyDescent="0.25">
      <c r="A16" s="575" t="s">
        <v>274</v>
      </c>
      <c r="B16" s="508">
        <v>2025</v>
      </c>
      <c r="C16" s="384" t="s">
        <v>288</v>
      </c>
      <c r="D16" s="384" t="s">
        <v>289</v>
      </c>
      <c r="E16" s="384" t="s">
        <v>290</v>
      </c>
      <c r="G16" s="314">
        <f>((-0.0182*13.4^2+1.1088*13.4)/3.413+I12)/(1-I12)</f>
        <v>3.9952481154942334</v>
      </c>
      <c r="H16" s="607"/>
      <c r="I16" s="610"/>
    </row>
    <row r="17" spans="1:12" x14ac:dyDescent="0.25">
      <c r="B17" s="6"/>
      <c r="C17" s="6"/>
      <c r="D17" s="53"/>
      <c r="E17" s="6"/>
    </row>
    <row r="18" spans="1:12" x14ac:dyDescent="0.25">
      <c r="A18" s="54"/>
      <c r="B18" s="6"/>
      <c r="C18" s="6"/>
      <c r="D18" s="53"/>
      <c r="E18" s="6"/>
    </row>
    <row r="19" spans="1:12" x14ac:dyDescent="0.25">
      <c r="A19" s="55"/>
      <c r="B19" s="6"/>
      <c r="C19" s="6"/>
      <c r="D19" s="53"/>
      <c r="E19" s="6"/>
    </row>
    <row r="20" spans="1:12" ht="13.95" customHeight="1" x14ac:dyDescent="0.3">
      <c r="A20" s="611"/>
      <c r="B20" s="612"/>
      <c r="C20" s="612"/>
      <c r="D20" s="613"/>
      <c r="E20" s="612"/>
      <c r="F20" s="612"/>
      <c r="G20" s="612"/>
      <c r="H20" s="612"/>
      <c r="I20"/>
      <c r="J20"/>
      <c r="K20"/>
    </row>
    <row r="21" spans="1:12" ht="22.2" customHeight="1" x14ac:dyDescent="0.3">
      <c r="A21" s="604" t="s">
        <v>291</v>
      </c>
      <c r="B21" s="605"/>
      <c r="C21" s="605"/>
      <c r="D21" s="605"/>
      <c r="E21" s="605"/>
      <c r="F21" s="605"/>
      <c r="G21" s="605"/>
      <c r="H21" s="605"/>
      <c r="I21"/>
      <c r="J21"/>
      <c r="K21"/>
    </row>
    <row r="22" spans="1:12" ht="27.6" customHeight="1" x14ac:dyDescent="0.3">
      <c r="A22" s="485" t="s">
        <v>193</v>
      </c>
      <c r="B22" s="485" t="s">
        <v>292</v>
      </c>
      <c r="C22" s="485" t="s">
        <v>293</v>
      </c>
      <c r="D22" s="486" t="s">
        <v>294</v>
      </c>
      <c r="E22" s="486" t="s">
        <v>295</v>
      </c>
      <c r="F22" s="486" t="s">
        <v>296</v>
      </c>
      <c r="G22" s="486" t="s">
        <v>297</v>
      </c>
      <c r="H22" s="359" t="s">
        <v>298</v>
      </c>
      <c r="J22"/>
      <c r="K22"/>
      <c r="L22"/>
    </row>
    <row r="23" spans="1:12" ht="108" customHeight="1" x14ac:dyDescent="0.3">
      <c r="A23" s="488" t="s">
        <v>225</v>
      </c>
      <c r="B23" s="489" t="s">
        <v>299</v>
      </c>
      <c r="C23" s="490" t="s">
        <v>300</v>
      </c>
      <c r="D23" s="491">
        <v>2.5</v>
      </c>
      <c r="E23" s="492">
        <v>0.65</v>
      </c>
      <c r="F23" s="493" t="s">
        <v>301</v>
      </c>
      <c r="G23" s="494"/>
      <c r="H23" s="493" t="s">
        <v>302</v>
      </c>
      <c r="I23" s="401" t="s">
        <v>303</v>
      </c>
      <c r="J23"/>
      <c r="K23"/>
      <c r="L23"/>
    </row>
    <row r="24" spans="1:12" ht="21.6" customHeight="1" x14ac:dyDescent="0.3">
      <c r="A24" s="404" t="s">
        <v>304</v>
      </c>
      <c r="B24" s="57"/>
      <c r="C24" s="136"/>
      <c r="D24" s="136"/>
      <c r="E24" s="136"/>
      <c r="F24" s="136"/>
      <c r="G24" s="137"/>
      <c r="H24" s="487"/>
      <c r="I24"/>
      <c r="J24"/>
      <c r="K24"/>
      <c r="L24"/>
    </row>
    <row r="25" spans="1:12" ht="19.2" customHeight="1" x14ac:dyDescent="0.3">
      <c r="A25" s="404" t="s">
        <v>305</v>
      </c>
      <c r="B25" s="57"/>
      <c r="C25" s="136"/>
      <c r="D25" s="136"/>
      <c r="E25" s="136"/>
      <c r="F25" s="136"/>
      <c r="G25" s="137"/>
      <c r="H25" s="487"/>
      <c r="I25"/>
      <c r="J25"/>
      <c r="K25"/>
      <c r="L25"/>
    </row>
    <row r="26" spans="1:12" ht="69.75" customHeight="1" x14ac:dyDescent="0.3">
      <c r="A26" s="600" t="s">
        <v>274</v>
      </c>
      <c r="B26" s="602" t="s">
        <v>306</v>
      </c>
      <c r="C26" s="601" t="s">
        <v>307</v>
      </c>
      <c r="D26" s="505" t="s">
        <v>308</v>
      </c>
      <c r="E26" s="504">
        <v>0.65</v>
      </c>
      <c r="F26" s="504" t="s">
        <v>309</v>
      </c>
      <c r="G26" s="506">
        <v>0.74399999999999999</v>
      </c>
      <c r="H26" s="507" t="s">
        <v>310</v>
      </c>
      <c r="I26" s="495"/>
      <c r="J26"/>
      <c r="K26"/>
      <c r="L26"/>
    </row>
    <row r="27" spans="1:12" ht="12.75" customHeight="1" x14ac:dyDescent="0.3">
      <c r="A27" s="581"/>
      <c r="B27" s="496"/>
      <c r="C27" s="497"/>
      <c r="D27" s="498"/>
      <c r="E27" s="497"/>
      <c r="F27" s="497"/>
      <c r="G27" s="499"/>
      <c r="H27" s="497"/>
      <c r="I27" s="495"/>
      <c r="J27"/>
      <c r="K27"/>
      <c r="L27"/>
    </row>
    <row r="28" spans="1:12" ht="31.5" customHeight="1" x14ac:dyDescent="0.3">
      <c r="A28" s="608" t="s">
        <v>311</v>
      </c>
      <c r="B28" s="609"/>
      <c r="C28" s="609"/>
      <c r="D28" s="609"/>
      <c r="E28" s="609"/>
      <c r="F28" s="609"/>
      <c r="G28" s="609"/>
      <c r="H28" s="609"/>
      <c r="I28" s="495"/>
      <c r="J28"/>
      <c r="K28"/>
      <c r="L28"/>
    </row>
    <row r="29" spans="1:12" ht="44.25" customHeight="1" x14ac:dyDescent="0.3">
      <c r="A29" s="608" t="s">
        <v>312</v>
      </c>
      <c r="B29" s="608"/>
      <c r="C29" s="608"/>
      <c r="D29" s="608"/>
      <c r="E29" s="608"/>
      <c r="F29" s="608"/>
      <c r="G29" s="608"/>
      <c r="H29" s="608"/>
      <c r="I29" s="495"/>
      <c r="J29"/>
      <c r="K29"/>
      <c r="L29"/>
    </row>
    <row r="30" spans="1:12" ht="14.1" customHeight="1" x14ac:dyDescent="0.3">
      <c r="A30" s="502"/>
      <c r="B30" s="503"/>
      <c r="C30" s="503"/>
      <c r="D30" s="503"/>
      <c r="E30" s="503"/>
      <c r="F30" s="503"/>
      <c r="G30" s="503"/>
      <c r="H30" s="503"/>
      <c r="I30" s="501"/>
      <c r="J30"/>
      <c r="K30"/>
    </row>
    <row r="31" spans="1:12" ht="18.75" customHeight="1" x14ac:dyDescent="0.3">
      <c r="A31" s="500"/>
      <c r="B31" s="500"/>
      <c r="C31" s="500"/>
      <c r="D31" s="500"/>
      <c r="E31" s="500"/>
      <c r="F31" s="500"/>
      <c r="G31" s="500"/>
      <c r="H31" s="500"/>
      <c r="I31" s="501"/>
      <c r="J31"/>
      <c r="K31"/>
    </row>
    <row r="32" spans="1:12" ht="15" customHeight="1" x14ac:dyDescent="0.3">
      <c r="A32" s="500"/>
      <c r="B32" s="500"/>
      <c r="C32" s="500"/>
      <c r="D32" s="500"/>
      <c r="E32" s="500"/>
      <c r="F32" s="500"/>
      <c r="G32" s="500"/>
      <c r="H32" s="500"/>
      <c r="I32" s="501"/>
      <c r="J32"/>
      <c r="K32"/>
    </row>
    <row r="33" spans="1:11" ht="18.75" customHeight="1" x14ac:dyDescent="0.3">
      <c r="G33"/>
      <c r="H33"/>
      <c r="I33"/>
      <c r="J33"/>
      <c r="K33"/>
    </row>
    <row r="34" spans="1:11" ht="18.75" customHeight="1" x14ac:dyDescent="0.3">
      <c r="G34"/>
      <c r="H34"/>
      <c r="I34"/>
      <c r="J34"/>
      <c r="K34"/>
    </row>
    <row r="35" spans="1:11" ht="18.75" customHeight="1" x14ac:dyDescent="0.3">
      <c r="I35"/>
      <c r="J35"/>
      <c r="K35"/>
    </row>
    <row r="36" spans="1:11" s="340" customFormat="1" ht="15" customHeight="1" x14ac:dyDescent="0.3">
      <c r="I36"/>
      <c r="J36"/>
      <c r="K36"/>
    </row>
    <row r="37" spans="1:11" customFormat="1" ht="15" customHeight="1" x14ac:dyDescent="0.3">
      <c r="A37" s="4"/>
      <c r="B37" s="4"/>
      <c r="C37" s="4"/>
      <c r="D37" s="4"/>
      <c r="E37" s="4"/>
      <c r="F37" s="4"/>
    </row>
    <row r="38" spans="1:11" customFormat="1" ht="15" customHeight="1" x14ac:dyDescent="0.3">
      <c r="A38" s="4"/>
      <c r="B38" s="4"/>
      <c r="C38" s="4"/>
      <c r="D38" s="4"/>
      <c r="E38" s="4"/>
      <c r="F38" s="4"/>
    </row>
    <row r="39" spans="1:11" customFormat="1" ht="15" customHeight="1" x14ac:dyDescent="0.3">
      <c r="A39" s="4"/>
      <c r="B39" s="4"/>
      <c r="C39" s="4"/>
      <c r="D39" s="4"/>
      <c r="E39" s="4"/>
      <c r="F39" s="4"/>
    </row>
    <row r="40" spans="1:11" customFormat="1" ht="15" customHeight="1" x14ac:dyDescent="0.3">
      <c r="A40" s="4"/>
      <c r="B40" s="4"/>
      <c r="C40" s="4"/>
      <c r="D40" s="4"/>
      <c r="E40" s="4"/>
      <c r="F40" s="4"/>
    </row>
    <row r="41" spans="1:11" customFormat="1" ht="15" customHeight="1" x14ac:dyDescent="0.3">
      <c r="A41" s="4"/>
      <c r="B41" s="4"/>
      <c r="C41" s="4"/>
      <c r="D41" s="4"/>
      <c r="E41" s="4"/>
      <c r="F41" s="4"/>
    </row>
    <row r="42" spans="1:11" customFormat="1" ht="15" customHeight="1" x14ac:dyDescent="0.3">
      <c r="A42" s="4"/>
      <c r="B42" s="4"/>
      <c r="C42" s="4"/>
      <c r="D42" s="4"/>
      <c r="E42" s="4"/>
      <c r="F42" s="4"/>
    </row>
    <row r="43" spans="1:11" customFormat="1" ht="15" customHeight="1" x14ac:dyDescent="0.3">
      <c r="A43" s="4"/>
      <c r="B43" s="4"/>
      <c r="C43" s="4"/>
      <c r="D43" s="4"/>
      <c r="E43" s="4"/>
      <c r="F43" s="4"/>
    </row>
    <row r="44" spans="1:11" customFormat="1" ht="15" customHeight="1" x14ac:dyDescent="0.3">
      <c r="A44" s="4"/>
      <c r="B44" s="4"/>
      <c r="C44" s="4"/>
      <c r="D44" s="4"/>
      <c r="E44" s="4"/>
      <c r="F44" s="4"/>
    </row>
    <row r="45" spans="1:11" customFormat="1" ht="15" customHeight="1" x14ac:dyDescent="0.3">
      <c r="A45" s="4"/>
      <c r="B45" s="4"/>
      <c r="C45" s="4"/>
      <c r="D45" s="4"/>
      <c r="E45" s="4"/>
      <c r="F45" s="4"/>
    </row>
    <row r="46" spans="1:11" ht="18.75" customHeight="1" x14ac:dyDescent="0.25"/>
    <row r="49" spans="11:11" x14ac:dyDescent="0.25">
      <c r="K49" s="93"/>
    </row>
    <row r="71" spans="11:11" x14ac:dyDescent="0.25">
      <c r="K71" s="39"/>
    </row>
    <row r="72" spans="11:11" x14ac:dyDescent="0.25">
      <c r="K72" s="40"/>
    </row>
  </sheetData>
  <mergeCells count="12">
    <mergeCell ref="I12:I16"/>
    <mergeCell ref="A20:H20"/>
    <mergeCell ref="A10:E10"/>
    <mergeCell ref="B12:B14"/>
    <mergeCell ref="C12:C14"/>
    <mergeCell ref="D12:D14"/>
    <mergeCell ref="E12:E14"/>
    <mergeCell ref="A1:F1"/>
    <mergeCell ref="A21:H21"/>
    <mergeCell ref="H12:H16"/>
    <mergeCell ref="A29:H29"/>
    <mergeCell ref="A28:H28"/>
  </mergeCells>
  <hyperlinks>
    <hyperlink ref="H12" r:id="rId1" display="https://www.pnnl.gov/main/publications/external/technical_reports/pnnl-19341.pdf" xr:uid="{C5972AD3-193B-4B21-88AF-B59554A91036}"/>
    <hyperlink ref="H12:H16" r:id="rId2" display="PNNL,2010,&quot;Technical Support Document: 50% Energy Savings for Small Office Buildings&quot;" xr:uid="{303CD714-F050-440D-8B89-25FB87FFA7A1}"/>
    <hyperlink ref="I23" r:id="rId3" xr:uid="{A042DF62-8B02-4854-8C42-6CDFBE282185}"/>
    <hyperlink ref="B23" r:id="rId4" xr:uid="{F65BA6C0-CE86-4480-8398-09EF8888C4FB}"/>
  </hyperlinks>
  <pageMargins left="0.7" right="0.7" top="0.75" bottom="0.75" header="0.3" footer="0.3"/>
  <pageSetup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C53F-1807-4559-8373-63C735E89DB9}">
  <sheetPr codeName="Sheet7"/>
  <dimension ref="A1:S15"/>
  <sheetViews>
    <sheetView workbookViewId="0">
      <selection sqref="A1:S1"/>
    </sheetView>
  </sheetViews>
  <sheetFormatPr defaultRowHeight="14.4" x14ac:dyDescent="0.3"/>
  <cols>
    <col min="1" max="1" width="23.33203125" customWidth="1"/>
    <col min="2" max="2" width="22.6640625" customWidth="1"/>
    <col min="3" max="3" width="11.109375" customWidth="1"/>
    <col min="4" max="4" width="12.6640625" customWidth="1"/>
    <col min="5" max="5" width="11.109375" customWidth="1"/>
    <col min="6" max="6" width="12.33203125" customWidth="1"/>
    <col min="7" max="8" width="11.6640625" customWidth="1"/>
    <col min="19" max="19" width="32.44140625" customWidth="1"/>
  </cols>
  <sheetData>
    <row r="1" spans="1:19" ht="31.2" customHeight="1" x14ac:dyDescent="0.3">
      <c r="A1" s="614" t="str">
        <f>"Thermostat Setpoints - "&amp;Prototype!A2</f>
        <v>Thermostat Setpoints - OfficeSmall</v>
      </c>
      <c r="B1" s="614"/>
      <c r="C1" s="614"/>
      <c r="D1" s="614"/>
      <c r="E1" s="614"/>
      <c r="F1" s="614"/>
      <c r="G1" s="614"/>
      <c r="H1" s="614"/>
      <c r="I1" s="614"/>
      <c r="J1" s="614"/>
      <c r="K1" s="614"/>
      <c r="L1" s="614"/>
      <c r="M1" s="614"/>
      <c r="N1" s="614"/>
      <c r="O1" s="614"/>
      <c r="P1" s="614"/>
      <c r="Q1" s="614"/>
      <c r="R1" s="614"/>
      <c r="S1" s="614"/>
    </row>
    <row r="2" spans="1:19" ht="25.95" customHeight="1" x14ac:dyDescent="0.3">
      <c r="A2" s="318" t="s">
        <v>317</v>
      </c>
      <c r="B2" s="334" t="s">
        <v>318</v>
      </c>
      <c r="C2" s="335" t="s">
        <v>195</v>
      </c>
      <c r="D2" s="335" t="s">
        <v>196</v>
      </c>
      <c r="E2" s="335" t="s">
        <v>197</v>
      </c>
      <c r="F2" s="335" t="s">
        <v>198</v>
      </c>
      <c r="G2" s="335" t="s">
        <v>199</v>
      </c>
      <c r="H2" s="335" t="s">
        <v>200</v>
      </c>
      <c r="I2" s="335" t="s">
        <v>201</v>
      </c>
      <c r="J2" s="335" t="s">
        <v>202</v>
      </c>
      <c r="K2" s="335" t="s">
        <v>203</v>
      </c>
      <c r="L2" s="335" t="s">
        <v>204</v>
      </c>
      <c r="M2" s="335" t="s">
        <v>205</v>
      </c>
      <c r="N2" s="335" t="s">
        <v>206</v>
      </c>
      <c r="O2" s="335" t="s">
        <v>207</v>
      </c>
      <c r="P2" s="335" t="s">
        <v>208</v>
      </c>
      <c r="Q2" s="335" t="s">
        <v>209</v>
      </c>
      <c r="R2" s="335" t="s">
        <v>210</v>
      </c>
      <c r="S2" s="336" t="s">
        <v>267</v>
      </c>
    </row>
    <row r="3" spans="1:19" ht="26.4" customHeight="1" x14ac:dyDescent="0.3">
      <c r="A3" s="686" t="s">
        <v>319</v>
      </c>
      <c r="B3" s="316" t="s">
        <v>320</v>
      </c>
      <c r="C3" s="574">
        <v>70</v>
      </c>
      <c r="D3" s="574">
        <v>70</v>
      </c>
      <c r="E3" s="574">
        <v>70</v>
      </c>
      <c r="F3" s="574">
        <v>70</v>
      </c>
      <c r="G3" s="574">
        <v>70</v>
      </c>
      <c r="H3" s="574">
        <v>70</v>
      </c>
      <c r="I3" s="574">
        <v>70</v>
      </c>
      <c r="J3" s="574">
        <v>70</v>
      </c>
      <c r="K3" s="574">
        <v>70</v>
      </c>
      <c r="L3" s="574">
        <v>70</v>
      </c>
      <c r="M3" s="574">
        <v>70</v>
      </c>
      <c r="N3" s="574">
        <v>70</v>
      </c>
      <c r="O3" s="574">
        <v>70</v>
      </c>
      <c r="P3" s="574">
        <v>70</v>
      </c>
      <c r="Q3" s="574">
        <v>70</v>
      </c>
      <c r="R3" s="574">
        <v>70</v>
      </c>
      <c r="S3" s="680" t="s">
        <v>321</v>
      </c>
    </row>
    <row r="4" spans="1:19" ht="26.4" customHeight="1" x14ac:dyDescent="0.3">
      <c r="A4" s="686"/>
      <c r="B4" s="316" t="s">
        <v>322</v>
      </c>
      <c r="C4" s="574">
        <v>60</v>
      </c>
      <c r="D4" s="574">
        <v>60</v>
      </c>
      <c r="E4" s="574">
        <v>60</v>
      </c>
      <c r="F4" s="574">
        <v>60</v>
      </c>
      <c r="G4" s="574">
        <v>60</v>
      </c>
      <c r="H4" s="574">
        <v>60</v>
      </c>
      <c r="I4" s="574">
        <v>60</v>
      </c>
      <c r="J4" s="574">
        <v>60</v>
      </c>
      <c r="K4" s="574">
        <v>60</v>
      </c>
      <c r="L4" s="574">
        <v>60</v>
      </c>
      <c r="M4" s="574">
        <v>60</v>
      </c>
      <c r="N4" s="574">
        <v>60</v>
      </c>
      <c r="O4" s="574">
        <v>60</v>
      </c>
      <c r="P4" s="574">
        <v>60</v>
      </c>
      <c r="Q4" s="574">
        <v>60</v>
      </c>
      <c r="R4" s="574">
        <v>60</v>
      </c>
      <c r="S4" s="681"/>
    </row>
    <row r="5" spans="1:19" ht="26.4" customHeight="1" x14ac:dyDescent="0.3">
      <c r="A5" s="686"/>
      <c r="B5" s="316" t="s">
        <v>323</v>
      </c>
      <c r="C5" s="574">
        <v>75</v>
      </c>
      <c r="D5" s="574">
        <v>75</v>
      </c>
      <c r="E5" s="574">
        <v>75</v>
      </c>
      <c r="F5" s="574">
        <v>75</v>
      </c>
      <c r="G5" s="574">
        <v>75</v>
      </c>
      <c r="H5" s="574">
        <v>75</v>
      </c>
      <c r="I5" s="574">
        <v>75</v>
      </c>
      <c r="J5" s="574">
        <v>75</v>
      </c>
      <c r="K5" s="574">
        <v>75</v>
      </c>
      <c r="L5" s="574">
        <v>75</v>
      </c>
      <c r="M5" s="574">
        <v>75</v>
      </c>
      <c r="N5" s="574">
        <v>75</v>
      </c>
      <c r="O5" s="574">
        <v>75</v>
      </c>
      <c r="P5" s="574">
        <v>75</v>
      </c>
      <c r="Q5" s="574">
        <v>75</v>
      </c>
      <c r="R5" s="574">
        <v>75</v>
      </c>
      <c r="S5" s="681"/>
    </row>
    <row r="6" spans="1:19" ht="26.4" customHeight="1" x14ac:dyDescent="0.3">
      <c r="A6" s="686"/>
      <c r="B6" s="317" t="s">
        <v>324</v>
      </c>
      <c r="C6" s="321">
        <v>85</v>
      </c>
      <c r="D6" s="321">
        <v>85</v>
      </c>
      <c r="E6" s="321">
        <v>85</v>
      </c>
      <c r="F6" s="321">
        <v>85</v>
      </c>
      <c r="G6" s="321">
        <v>85</v>
      </c>
      <c r="H6" s="321">
        <v>85</v>
      </c>
      <c r="I6" s="321">
        <v>85</v>
      </c>
      <c r="J6" s="321">
        <v>85</v>
      </c>
      <c r="K6" s="321">
        <v>85</v>
      </c>
      <c r="L6" s="321">
        <v>85</v>
      </c>
      <c r="M6" s="321">
        <v>85</v>
      </c>
      <c r="N6" s="321">
        <v>85</v>
      </c>
      <c r="O6" s="321">
        <v>85</v>
      </c>
      <c r="P6" s="321">
        <v>85</v>
      </c>
      <c r="Q6" s="321">
        <v>85</v>
      </c>
      <c r="R6" s="321">
        <v>85</v>
      </c>
      <c r="S6" s="682"/>
    </row>
    <row r="7" spans="1:19" ht="18.75" customHeight="1" x14ac:dyDescent="0.3">
      <c r="A7" s="687" t="s">
        <v>325</v>
      </c>
      <c r="B7" s="406" t="s">
        <v>326</v>
      </c>
      <c r="C7" s="407">
        <v>60</v>
      </c>
      <c r="D7" s="407">
        <v>60</v>
      </c>
      <c r="E7" s="407">
        <v>60</v>
      </c>
      <c r="F7" s="407">
        <v>60</v>
      </c>
      <c r="G7" s="407">
        <v>60</v>
      </c>
      <c r="H7" s="407">
        <v>60</v>
      </c>
      <c r="I7" s="407">
        <v>60</v>
      </c>
      <c r="J7" s="407">
        <v>60</v>
      </c>
      <c r="K7" s="407">
        <v>60</v>
      </c>
      <c r="L7" s="407">
        <v>60</v>
      </c>
      <c r="M7" s="407">
        <v>60</v>
      </c>
      <c r="N7" s="407">
        <v>60</v>
      </c>
      <c r="O7" s="407">
        <v>60</v>
      </c>
      <c r="P7" s="407">
        <v>60</v>
      </c>
      <c r="Q7" s="407">
        <v>60</v>
      </c>
      <c r="R7" s="407">
        <v>60</v>
      </c>
      <c r="S7" s="683" t="s">
        <v>327</v>
      </c>
    </row>
    <row r="8" spans="1:19" ht="18.75" customHeight="1" x14ac:dyDescent="0.3">
      <c r="A8" s="687"/>
      <c r="B8" s="406" t="s">
        <v>322</v>
      </c>
      <c r="C8" s="407">
        <v>60</v>
      </c>
      <c r="D8" s="407">
        <v>60</v>
      </c>
      <c r="E8" s="407">
        <v>60</v>
      </c>
      <c r="F8" s="407">
        <v>60</v>
      </c>
      <c r="G8" s="407">
        <v>60</v>
      </c>
      <c r="H8" s="407">
        <v>60</v>
      </c>
      <c r="I8" s="407">
        <v>60</v>
      </c>
      <c r="J8" s="407">
        <v>60</v>
      </c>
      <c r="K8" s="407">
        <v>60</v>
      </c>
      <c r="L8" s="407">
        <v>60</v>
      </c>
      <c r="M8" s="407">
        <v>60</v>
      </c>
      <c r="N8" s="407">
        <v>60</v>
      </c>
      <c r="O8" s="407">
        <v>60</v>
      </c>
      <c r="P8" s="407">
        <v>60</v>
      </c>
      <c r="Q8" s="407">
        <v>60</v>
      </c>
      <c r="R8" s="407">
        <v>60</v>
      </c>
      <c r="S8" s="684"/>
    </row>
    <row r="9" spans="1:19" ht="18.75" customHeight="1" x14ac:dyDescent="0.3">
      <c r="A9" s="687"/>
      <c r="B9" s="408" t="s">
        <v>323</v>
      </c>
      <c r="C9" s="407">
        <v>85</v>
      </c>
      <c r="D9" s="407">
        <v>85</v>
      </c>
      <c r="E9" s="407">
        <v>85</v>
      </c>
      <c r="F9" s="407">
        <v>85</v>
      </c>
      <c r="G9" s="407">
        <v>85</v>
      </c>
      <c r="H9" s="407">
        <v>85</v>
      </c>
      <c r="I9" s="407">
        <v>85</v>
      </c>
      <c r="J9" s="407">
        <v>85</v>
      </c>
      <c r="K9" s="407">
        <v>85</v>
      </c>
      <c r="L9" s="407">
        <v>85</v>
      </c>
      <c r="M9" s="407">
        <v>85</v>
      </c>
      <c r="N9" s="407">
        <v>85</v>
      </c>
      <c r="O9" s="407">
        <v>85</v>
      </c>
      <c r="P9" s="407">
        <v>85</v>
      </c>
      <c r="Q9" s="407">
        <v>85</v>
      </c>
      <c r="R9" s="407">
        <v>85</v>
      </c>
      <c r="S9" s="684"/>
    </row>
    <row r="10" spans="1:19" ht="18.75" customHeight="1" x14ac:dyDescent="0.3">
      <c r="A10" s="687"/>
      <c r="B10" s="573" t="s">
        <v>324</v>
      </c>
      <c r="C10" s="407">
        <v>85</v>
      </c>
      <c r="D10" s="407">
        <v>85</v>
      </c>
      <c r="E10" s="407">
        <v>85</v>
      </c>
      <c r="F10" s="407">
        <v>85</v>
      </c>
      <c r="G10" s="407">
        <v>85</v>
      </c>
      <c r="H10" s="407">
        <v>85</v>
      </c>
      <c r="I10" s="407">
        <v>85</v>
      </c>
      <c r="J10" s="407">
        <v>85</v>
      </c>
      <c r="K10" s="407">
        <v>85</v>
      </c>
      <c r="L10" s="407">
        <v>85</v>
      </c>
      <c r="M10" s="407">
        <v>85</v>
      </c>
      <c r="N10" s="407">
        <v>85</v>
      </c>
      <c r="O10" s="407">
        <v>85</v>
      </c>
      <c r="P10" s="407">
        <v>85</v>
      </c>
      <c r="Q10" s="407">
        <v>85</v>
      </c>
      <c r="R10" s="407">
        <v>85</v>
      </c>
      <c r="S10" s="685"/>
    </row>
    <row r="11" spans="1:19" ht="18.75" customHeight="1" x14ac:dyDescent="0.3">
      <c r="A11" s="405"/>
      <c r="B11" s="581"/>
      <c r="C11" s="581"/>
      <c r="D11" s="581"/>
      <c r="E11" s="581"/>
      <c r="F11" s="581"/>
      <c r="G11" s="581"/>
      <c r="H11" s="581"/>
      <c r="I11" s="581"/>
      <c r="J11" s="581"/>
      <c r="K11" s="581"/>
      <c r="L11" s="581"/>
      <c r="M11" s="581"/>
      <c r="N11" s="581"/>
      <c r="O11" s="581"/>
      <c r="P11" s="581"/>
      <c r="Q11" s="581"/>
      <c r="R11" s="581"/>
      <c r="S11" s="405"/>
    </row>
    <row r="12" spans="1:19" x14ac:dyDescent="0.3">
      <c r="B12" s="688" t="s">
        <v>328</v>
      </c>
      <c r="C12" s="688"/>
      <c r="D12" s="688"/>
      <c r="E12" s="688"/>
      <c r="F12" s="688"/>
      <c r="G12" s="688"/>
      <c r="H12" s="688"/>
      <c r="I12" s="688"/>
      <c r="J12" s="688"/>
      <c r="K12" s="688"/>
      <c r="L12" s="688"/>
      <c r="M12" s="688"/>
      <c r="N12" s="688"/>
      <c r="O12" s="688"/>
      <c r="P12" s="688"/>
      <c r="Q12" s="688"/>
      <c r="R12" s="688"/>
      <c r="S12" s="333"/>
    </row>
    <row r="13" spans="1:19" ht="28.2" customHeight="1" x14ac:dyDescent="0.3">
      <c r="B13" s="689" t="s">
        <v>329</v>
      </c>
      <c r="C13" s="690"/>
      <c r="D13" s="690"/>
      <c r="E13" s="690"/>
      <c r="F13" s="690"/>
      <c r="G13" s="690"/>
      <c r="H13" s="690"/>
      <c r="I13" s="690"/>
      <c r="J13" s="690"/>
      <c r="K13" s="690"/>
      <c r="L13" s="690"/>
      <c r="M13" s="690"/>
      <c r="N13" s="690"/>
      <c r="O13" s="690"/>
      <c r="P13" s="690"/>
      <c r="Q13" s="690"/>
      <c r="R13" s="690"/>
      <c r="S13" s="333"/>
    </row>
    <row r="14" spans="1:19" x14ac:dyDescent="0.3">
      <c r="B14" s="581"/>
    </row>
    <row r="15" spans="1:19" ht="12.6" customHeight="1" x14ac:dyDescent="0.3"/>
  </sheetData>
  <mergeCells count="7">
    <mergeCell ref="B12:R12"/>
    <mergeCell ref="B13:R13"/>
    <mergeCell ref="S3:S6"/>
    <mergeCell ref="A1:S1"/>
    <mergeCell ref="S7:S10"/>
    <mergeCell ref="A3:A6"/>
    <mergeCell ref="A7:A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O18"/>
  <sheetViews>
    <sheetView topLeftCell="B1" zoomScaleNormal="100" workbookViewId="0">
      <selection sqref="A1:K1"/>
    </sheetView>
  </sheetViews>
  <sheetFormatPr defaultColWidth="9.33203125" defaultRowHeight="13.8" x14ac:dyDescent="0.25"/>
  <cols>
    <col min="1" max="1" width="34.88671875" style="106" customWidth="1"/>
    <col min="2" max="2" width="23.44140625" style="106" customWidth="1"/>
    <col min="3" max="3" width="20.33203125" style="106" customWidth="1"/>
    <col min="4" max="4" width="21.33203125" style="106" customWidth="1"/>
    <col min="5" max="5" width="20.33203125" style="106" customWidth="1"/>
    <col min="6" max="6" width="28.33203125" style="106" customWidth="1"/>
    <col min="7" max="7" width="27.33203125" style="106" customWidth="1"/>
    <col min="8" max="8" width="13.6640625" style="106" customWidth="1"/>
    <col min="9" max="9" width="12.33203125" style="106" customWidth="1"/>
    <col min="10" max="10" width="13.6640625" style="106" customWidth="1"/>
    <col min="11" max="11" width="48" style="106" customWidth="1"/>
    <col min="12" max="12" width="13.6640625" style="106" customWidth="1"/>
    <col min="13" max="13" width="12.33203125" style="106" customWidth="1"/>
    <col min="14" max="14" width="13.6640625" style="106" customWidth="1"/>
    <col min="15" max="15" width="12.33203125" style="106" customWidth="1"/>
    <col min="16" max="16" width="13.6640625" style="106" customWidth="1"/>
    <col min="17" max="17" width="11.6640625" style="106" customWidth="1"/>
    <col min="18" max="19" width="10.6640625" style="106" customWidth="1"/>
    <col min="20" max="20" width="9.33203125" style="106"/>
    <col min="21" max="25" width="11.33203125" style="106" customWidth="1"/>
    <col min="26" max="16384" width="9.33203125" style="106"/>
  </cols>
  <sheetData>
    <row r="1" spans="1:15" ht="24.6" customHeight="1" x14ac:dyDescent="0.25">
      <c r="A1" s="691" t="str">
        <f>"Outdoor Airflow Rate - "&amp;Prototype!A2</f>
        <v>Outdoor Airflow Rate - OfficeSmall</v>
      </c>
      <c r="B1" s="691"/>
      <c r="C1" s="691"/>
      <c r="D1" s="691"/>
      <c r="E1" s="691"/>
      <c r="F1" s="691"/>
      <c r="G1" s="691"/>
      <c r="H1" s="691"/>
      <c r="I1" s="691"/>
      <c r="J1" s="691"/>
      <c r="K1" s="691"/>
      <c r="L1" s="2"/>
      <c r="M1" s="2"/>
      <c r="N1" s="2"/>
      <c r="O1" s="2"/>
    </row>
    <row r="2" spans="1:15" ht="53.4" customHeight="1" x14ac:dyDescent="0.25">
      <c r="A2" s="135" t="s">
        <v>126</v>
      </c>
      <c r="B2" s="132" t="s">
        <v>135</v>
      </c>
      <c r="C2" s="196" t="s">
        <v>333</v>
      </c>
      <c r="D2" s="197" t="s">
        <v>334</v>
      </c>
      <c r="E2" s="197" t="s">
        <v>335</v>
      </c>
      <c r="F2" s="197" t="s">
        <v>336</v>
      </c>
      <c r="G2" s="197" t="s">
        <v>337</v>
      </c>
      <c r="H2" s="197" t="s">
        <v>338</v>
      </c>
      <c r="I2" s="197" t="s">
        <v>339</v>
      </c>
      <c r="J2" s="135" t="s">
        <v>340</v>
      </c>
      <c r="K2" s="135" t="s">
        <v>70</v>
      </c>
      <c r="L2" s="2"/>
      <c r="M2" s="2"/>
      <c r="N2" s="2"/>
      <c r="O2" s="2"/>
    </row>
    <row r="3" spans="1:15" ht="30.6" customHeight="1" x14ac:dyDescent="0.25">
      <c r="A3" s="198" t="str">
        <f>Zones!B3</f>
        <v>Open_Office_N</v>
      </c>
      <c r="B3" s="198">
        <f>Zones!K3</f>
        <v>4.5634874999999999</v>
      </c>
      <c r="C3" s="198">
        <f>Zones!H3</f>
        <v>912.69749999999999</v>
      </c>
      <c r="D3" s="552">
        <v>15</v>
      </c>
      <c r="E3" s="552">
        <v>0.15</v>
      </c>
      <c r="F3" s="199"/>
      <c r="G3" s="212">
        <f>B3*D3</f>
        <v>68.452312500000005</v>
      </c>
      <c r="H3" s="212">
        <f>C3*E3</f>
        <v>136.90462499999998</v>
      </c>
      <c r="I3" s="200"/>
      <c r="J3" s="201">
        <f>MAX(G3,H3,I3)</f>
        <v>136.90462499999998</v>
      </c>
      <c r="K3" s="385" t="s">
        <v>341</v>
      </c>
      <c r="L3" s="2"/>
      <c r="M3" s="2"/>
      <c r="N3" s="52" t="s">
        <v>342</v>
      </c>
      <c r="O3" s="52" t="s">
        <v>343</v>
      </c>
    </row>
    <row r="4" spans="1:15" ht="20.7" customHeight="1" x14ac:dyDescent="0.25">
      <c r="A4" s="198" t="str">
        <f>Zones!B4</f>
        <v>Enclosed_Office_W</v>
      </c>
      <c r="B4" s="198">
        <f>Zones!K4</f>
        <v>4.5423</v>
      </c>
      <c r="C4" s="198">
        <f>Zones!H4</f>
        <v>908.46</v>
      </c>
      <c r="D4" s="552">
        <v>15</v>
      </c>
      <c r="E4" s="552">
        <v>0.15</v>
      </c>
      <c r="F4" s="199"/>
      <c r="G4" s="212">
        <f t="shared" ref="G4:G16" si="0">B4*D4</f>
        <v>68.134500000000003</v>
      </c>
      <c r="H4" s="212">
        <f t="shared" ref="H4:H16" si="1">C4*E4</f>
        <v>136.26900000000001</v>
      </c>
      <c r="I4" s="200"/>
      <c r="J4" s="201">
        <f t="shared" ref="J4:J16" si="2">MAX(G4,H4,I4)</f>
        <v>136.26900000000001</v>
      </c>
      <c r="K4" s="385" t="s">
        <v>341</v>
      </c>
      <c r="L4" s="2"/>
      <c r="M4" s="2"/>
      <c r="N4" s="18" t="s">
        <v>141</v>
      </c>
      <c r="O4" s="202">
        <f>J3+J12</f>
        <v>155.24362499999998</v>
      </c>
    </row>
    <row r="5" spans="1:15" ht="29.4" customHeight="1" x14ac:dyDescent="0.25">
      <c r="A5" s="198" t="str">
        <f>Zones!B5</f>
        <v>Enclosed_Office_E</v>
      </c>
      <c r="B5" s="198">
        <f>Zones!K5</f>
        <v>4.5423</v>
      </c>
      <c r="C5" s="198">
        <f>Zones!H5</f>
        <v>908.46</v>
      </c>
      <c r="D5" s="552">
        <v>15</v>
      </c>
      <c r="E5" s="552">
        <v>0.15</v>
      </c>
      <c r="F5" s="199"/>
      <c r="G5" s="212">
        <f t="shared" si="0"/>
        <v>68.134500000000003</v>
      </c>
      <c r="H5" s="212">
        <f t="shared" si="1"/>
        <v>136.26900000000001</v>
      </c>
      <c r="I5" s="200"/>
      <c r="J5" s="201">
        <f t="shared" si="2"/>
        <v>136.26900000000001</v>
      </c>
      <c r="K5" s="385" t="s">
        <v>341</v>
      </c>
      <c r="L5" s="2"/>
      <c r="M5" s="2"/>
      <c r="N5" s="18" t="s">
        <v>145</v>
      </c>
      <c r="O5" s="202">
        <f>J4+J8+J12</f>
        <v>266.19118650000001</v>
      </c>
    </row>
    <row r="6" spans="1:15" ht="20.7" customHeight="1" x14ac:dyDescent="0.25">
      <c r="A6" s="198" t="str">
        <f>Zones!B6</f>
        <v>Conference</v>
      </c>
      <c r="B6" s="198">
        <f>Zones!K6</f>
        <v>15.059550000000002</v>
      </c>
      <c r="C6" s="198">
        <f>Zones!H6</f>
        <v>456.35</v>
      </c>
      <c r="D6" s="552">
        <v>15</v>
      </c>
      <c r="E6" s="552">
        <v>0.15</v>
      </c>
      <c r="F6" s="199"/>
      <c r="G6" s="212">
        <f t="shared" si="0"/>
        <v>225.89325000000002</v>
      </c>
      <c r="H6" s="212">
        <f t="shared" si="1"/>
        <v>68.452500000000001</v>
      </c>
      <c r="I6" s="200"/>
      <c r="J6" s="201">
        <f t="shared" si="2"/>
        <v>225.89325000000002</v>
      </c>
      <c r="K6" s="385" t="s">
        <v>344</v>
      </c>
      <c r="L6" s="2"/>
      <c r="M6" s="2"/>
      <c r="N6" s="18" t="s">
        <v>147</v>
      </c>
      <c r="O6" s="202">
        <f>J5+J10+J14</f>
        <v>204.608</v>
      </c>
    </row>
    <row r="7" spans="1:15" ht="29.25" customHeight="1" x14ac:dyDescent="0.25">
      <c r="A7" s="198" t="str">
        <f>Zones!B7</f>
        <v>Lobby_Lounge</v>
      </c>
      <c r="B7" s="198">
        <f>Zones!K7</f>
        <v>4.5635000000000003</v>
      </c>
      <c r="C7" s="198">
        <f>Zones!H7</f>
        <v>456.35</v>
      </c>
      <c r="D7" s="552">
        <v>15</v>
      </c>
      <c r="E7" s="552">
        <v>0.15</v>
      </c>
      <c r="F7" s="199"/>
      <c r="G7" s="212">
        <f t="shared" si="0"/>
        <v>68.452500000000001</v>
      </c>
      <c r="H7" s="212">
        <f t="shared" si="1"/>
        <v>68.452500000000001</v>
      </c>
      <c r="I7" s="200"/>
      <c r="J7" s="201">
        <f t="shared" si="2"/>
        <v>68.452500000000001</v>
      </c>
      <c r="K7" s="562" t="s">
        <v>345</v>
      </c>
      <c r="L7" s="2"/>
      <c r="M7" s="2"/>
      <c r="N7" s="18" t="s">
        <v>150</v>
      </c>
      <c r="O7" s="202">
        <f>J6+J7+J15+J11+J9</f>
        <v>397.6635</v>
      </c>
    </row>
    <row r="8" spans="1:15" ht="28.5" customHeight="1" x14ac:dyDescent="0.25">
      <c r="A8" s="198" t="str">
        <f>Zones!B8</f>
        <v>Storage</v>
      </c>
      <c r="B8" s="198">
        <f>Zones!K8</f>
        <v>0</v>
      </c>
      <c r="C8" s="198">
        <f>Zones!H8</f>
        <v>743.88791000000003</v>
      </c>
      <c r="D8" s="552">
        <v>15</v>
      </c>
      <c r="E8" s="552">
        <v>0.15</v>
      </c>
      <c r="F8" s="199"/>
      <c r="G8" s="212">
        <f t="shared" si="0"/>
        <v>0</v>
      </c>
      <c r="H8" s="212">
        <f t="shared" si="1"/>
        <v>111.5831865</v>
      </c>
      <c r="I8" s="200"/>
      <c r="J8" s="201">
        <f t="shared" si="2"/>
        <v>111.5831865</v>
      </c>
      <c r="K8" s="562" t="s">
        <v>346</v>
      </c>
      <c r="L8" s="2"/>
      <c r="M8" s="2"/>
      <c r="N8" s="2"/>
      <c r="O8" s="2"/>
    </row>
    <row r="9" spans="1:15" ht="20.7" customHeight="1" x14ac:dyDescent="0.25">
      <c r="A9" s="198" t="str">
        <f>Zones!B9</f>
        <v>Mechanical_Electrical</v>
      </c>
      <c r="B9" s="198">
        <f>Zones!K9</f>
        <v>0</v>
      </c>
      <c r="C9" s="198">
        <f>Zones!H9</f>
        <v>114.23</v>
      </c>
      <c r="D9" s="552">
        <v>15</v>
      </c>
      <c r="E9" s="552">
        <v>0.15</v>
      </c>
      <c r="F9" s="403"/>
      <c r="G9" s="212">
        <f t="shared" si="0"/>
        <v>0</v>
      </c>
      <c r="H9" s="212">
        <f t="shared" si="1"/>
        <v>17.134499999999999</v>
      </c>
      <c r="I9" s="200"/>
      <c r="J9" s="201">
        <f t="shared" si="2"/>
        <v>17.134499999999999</v>
      </c>
      <c r="K9" s="562" t="s">
        <v>347</v>
      </c>
      <c r="L9" s="2"/>
      <c r="M9" s="2"/>
      <c r="N9" s="2"/>
      <c r="O9" s="2"/>
    </row>
    <row r="10" spans="1:15" ht="20.7" customHeight="1" x14ac:dyDescent="0.25">
      <c r="A10" s="198" t="str">
        <f>Zones!B10</f>
        <v>Restroom</v>
      </c>
      <c r="B10" s="198">
        <f>Zones!K10</f>
        <v>0</v>
      </c>
      <c r="C10" s="198">
        <f>Zones!H10</f>
        <v>224.28</v>
      </c>
      <c r="D10" s="552">
        <v>15</v>
      </c>
      <c r="E10" s="552">
        <v>0.15</v>
      </c>
      <c r="F10" s="199" t="s">
        <v>348</v>
      </c>
      <c r="G10" s="212">
        <f t="shared" si="0"/>
        <v>0</v>
      </c>
      <c r="H10" s="212">
        <f t="shared" si="1"/>
        <v>33.641999999999996</v>
      </c>
      <c r="I10" s="402">
        <f>2*25</f>
        <v>50</v>
      </c>
      <c r="J10" s="201">
        <f t="shared" si="2"/>
        <v>50</v>
      </c>
      <c r="K10" s="562" t="s">
        <v>347</v>
      </c>
      <c r="L10" s="2"/>
      <c r="M10" s="2"/>
      <c r="N10" s="2"/>
      <c r="O10" s="2"/>
    </row>
    <row r="11" spans="1:15" ht="20.7" customHeight="1" x14ac:dyDescent="0.25">
      <c r="A11" s="198" t="str">
        <f>Zones!B11</f>
        <v>Break_CopyRoom</v>
      </c>
      <c r="B11" s="198">
        <f>Zones!K11</f>
        <v>3.63165</v>
      </c>
      <c r="C11" s="198">
        <f>Zones!H11</f>
        <v>110.05</v>
      </c>
      <c r="D11" s="552">
        <v>15</v>
      </c>
      <c r="E11" s="552">
        <v>0.15</v>
      </c>
      <c r="F11" s="199"/>
      <c r="G11" s="212">
        <f t="shared" si="0"/>
        <v>54.47475</v>
      </c>
      <c r="H11" s="212">
        <f t="shared" si="1"/>
        <v>16.5075</v>
      </c>
      <c r="I11" s="200"/>
      <c r="J11" s="201">
        <f t="shared" si="2"/>
        <v>54.47475</v>
      </c>
      <c r="K11" s="562" t="s">
        <v>349</v>
      </c>
      <c r="L11" s="2"/>
      <c r="M11" s="2"/>
      <c r="N11" s="2"/>
      <c r="O11" s="2"/>
    </row>
    <row r="12" spans="1:15" ht="20.7" customHeight="1" x14ac:dyDescent="0.25">
      <c r="A12" s="198" t="str">
        <f>Zones!B12</f>
        <v>Corridor_W</v>
      </c>
      <c r="B12" s="198">
        <f>Zones!K12</f>
        <v>0.61130000000000007</v>
      </c>
      <c r="C12" s="198">
        <f>Zones!H12</f>
        <v>122.26</v>
      </c>
      <c r="D12" s="552">
        <v>15</v>
      </c>
      <c r="E12" s="552">
        <v>0.15</v>
      </c>
      <c r="F12" s="199"/>
      <c r="G12" s="212">
        <f t="shared" si="0"/>
        <v>9.1695000000000011</v>
      </c>
      <c r="H12" s="212">
        <f t="shared" si="1"/>
        <v>18.338999999999999</v>
      </c>
      <c r="I12" s="200"/>
      <c r="J12" s="201">
        <f t="shared" si="2"/>
        <v>18.338999999999999</v>
      </c>
      <c r="K12" s="562" t="s">
        <v>350</v>
      </c>
      <c r="L12" s="2"/>
      <c r="M12" s="2"/>
      <c r="N12" s="2"/>
      <c r="O12" s="2"/>
    </row>
    <row r="13" spans="1:15" ht="20.7" customHeight="1" x14ac:dyDescent="0.25">
      <c r="A13" s="198" t="str">
        <f>Zones!B13</f>
        <v>Corridor_N</v>
      </c>
      <c r="B13" s="198">
        <f>Zones!K13</f>
        <v>1.0569499999999998</v>
      </c>
      <c r="C13" s="198">
        <f>Zones!H13</f>
        <v>211.39</v>
      </c>
      <c r="D13" s="552">
        <v>15</v>
      </c>
      <c r="E13" s="552">
        <v>0.15</v>
      </c>
      <c r="F13" s="199"/>
      <c r="G13" s="212">
        <f t="shared" si="0"/>
        <v>15.854249999999997</v>
      </c>
      <c r="H13" s="212">
        <f t="shared" si="1"/>
        <v>31.708499999999997</v>
      </c>
      <c r="I13" s="200"/>
      <c r="J13" s="201">
        <f t="shared" si="2"/>
        <v>31.708499999999997</v>
      </c>
      <c r="K13" s="562" t="s">
        <v>350</v>
      </c>
      <c r="L13" s="2"/>
      <c r="M13" s="2"/>
      <c r="N13" s="2"/>
      <c r="O13" s="2"/>
    </row>
    <row r="14" spans="1:15" ht="20.7" customHeight="1" x14ac:dyDescent="0.25">
      <c r="A14" s="198" t="str">
        <f>Zones!B14</f>
        <v>Corridor_E</v>
      </c>
      <c r="B14" s="198">
        <f>Zones!K14</f>
        <v>0.61130000000000007</v>
      </c>
      <c r="C14" s="198">
        <f>Zones!H14</f>
        <v>122.26</v>
      </c>
      <c r="D14" s="552">
        <v>15</v>
      </c>
      <c r="E14" s="552">
        <v>0.15</v>
      </c>
      <c r="F14" s="199"/>
      <c r="G14" s="212">
        <f t="shared" si="0"/>
        <v>9.1695000000000011</v>
      </c>
      <c r="H14" s="212">
        <f t="shared" si="1"/>
        <v>18.338999999999999</v>
      </c>
      <c r="I14" s="200"/>
      <c r="J14" s="201">
        <f t="shared" si="2"/>
        <v>18.338999999999999</v>
      </c>
      <c r="K14" s="562" t="s">
        <v>350</v>
      </c>
      <c r="L14" s="2"/>
      <c r="M14" s="2"/>
      <c r="N14" s="2"/>
      <c r="O14" s="2"/>
    </row>
    <row r="15" spans="1:15" ht="20.7" customHeight="1" x14ac:dyDescent="0.25">
      <c r="A15" s="198" t="str">
        <f>Zones!B15</f>
        <v>Corridor_S</v>
      </c>
      <c r="B15" s="198">
        <f>Zones!K15</f>
        <v>1.0569499999999998</v>
      </c>
      <c r="C15" s="198">
        <f>Zones!H15</f>
        <v>211.39</v>
      </c>
      <c r="D15" s="552">
        <v>15</v>
      </c>
      <c r="E15" s="552">
        <v>0.15</v>
      </c>
      <c r="F15" s="199"/>
      <c r="G15" s="212">
        <f t="shared" si="0"/>
        <v>15.854249999999997</v>
      </c>
      <c r="H15" s="212">
        <f t="shared" si="1"/>
        <v>31.708499999999997</v>
      </c>
      <c r="I15" s="200"/>
      <c r="J15" s="201">
        <f t="shared" si="2"/>
        <v>31.708499999999997</v>
      </c>
      <c r="K15" s="562" t="s">
        <v>350</v>
      </c>
      <c r="L15" s="2"/>
      <c r="M15" s="2"/>
      <c r="N15" s="2"/>
      <c r="O15" s="2"/>
    </row>
    <row r="16" spans="1:15" ht="20.7" customHeight="1" x14ac:dyDescent="0.25">
      <c r="A16" s="198" t="str">
        <f>Zones!B16</f>
        <v>Attic</v>
      </c>
      <c r="B16" s="198">
        <f>Zones!K16</f>
        <v>0</v>
      </c>
      <c r="C16" s="198">
        <f>Zones!H16</f>
        <v>6114.3046999999997</v>
      </c>
      <c r="D16" s="561"/>
      <c r="E16" s="552"/>
      <c r="F16" s="199"/>
      <c r="G16" s="212">
        <f t="shared" si="0"/>
        <v>0</v>
      </c>
      <c r="H16" s="212">
        <f t="shared" si="1"/>
        <v>0</v>
      </c>
      <c r="I16" s="200"/>
      <c r="J16" s="201">
        <f t="shared" si="2"/>
        <v>0</v>
      </c>
      <c r="K16" s="385"/>
      <c r="L16" s="2"/>
      <c r="M16" s="2"/>
      <c r="N16" s="2"/>
      <c r="O16" s="2"/>
    </row>
    <row r="18" spans="1:11" x14ac:dyDescent="0.25">
      <c r="A18" s="2"/>
      <c r="B18" s="2"/>
      <c r="C18" s="2"/>
      <c r="D18" s="2"/>
      <c r="E18" s="2"/>
      <c r="F18" s="2"/>
      <c r="G18" s="2"/>
      <c r="H18" s="2"/>
      <c r="I18" s="2"/>
      <c r="J18" s="2"/>
      <c r="K18" s="2"/>
    </row>
  </sheetData>
  <mergeCells count="1">
    <mergeCell ref="A1:K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B6C0-0C03-49D1-BB98-D09DBA1E4EF8}">
  <dimension ref="A1:N103"/>
  <sheetViews>
    <sheetView zoomScale="73" zoomScaleNormal="100" workbookViewId="0">
      <selection sqref="A1:G1"/>
    </sheetView>
  </sheetViews>
  <sheetFormatPr defaultColWidth="8.6640625" defaultRowHeight="14.4" x14ac:dyDescent="0.3"/>
  <cols>
    <col min="1" max="1" width="35.88671875" style="337" customWidth="1"/>
    <col min="2" max="2" width="29.6640625" style="337" bestFit="1" customWidth="1"/>
    <col min="3" max="3" width="27.6640625" style="338" customWidth="1"/>
    <col min="4" max="4" width="33" style="338" customWidth="1"/>
    <col min="5" max="5" width="32.44140625" style="337" bestFit="1" customWidth="1"/>
    <col min="6" max="6" width="25.5546875" style="338" customWidth="1"/>
    <col min="7" max="7" width="23" style="338" customWidth="1"/>
    <col min="8" max="8" width="27.44140625" style="337" customWidth="1"/>
    <col min="9" max="10" width="23" style="337" customWidth="1"/>
    <col min="11" max="11" width="19" style="337" customWidth="1"/>
    <col min="12" max="16384" width="8.6640625" style="337"/>
  </cols>
  <sheetData>
    <row r="1" spans="1:8" s="4" customFormat="1" ht="24" customHeight="1" x14ac:dyDescent="0.25">
      <c r="A1" s="692" t="str">
        <f>"Water Heater - "&amp;Prototype!A2</f>
        <v>Water Heater - OfficeSmall</v>
      </c>
      <c r="B1" s="603"/>
      <c r="C1" s="603"/>
      <c r="D1" s="603"/>
      <c r="E1" s="603"/>
      <c r="F1" s="603"/>
      <c r="G1" s="603"/>
    </row>
    <row r="2" spans="1:8" s="4" customFormat="1" ht="22.2" customHeight="1" x14ac:dyDescent="0.25">
      <c r="A2" s="209" t="s">
        <v>193</v>
      </c>
      <c r="B2" s="209" t="s">
        <v>371</v>
      </c>
      <c r="C2" s="209" t="s">
        <v>372</v>
      </c>
      <c r="D2" s="483" t="s">
        <v>373</v>
      </c>
      <c r="E2" s="344" t="s">
        <v>374</v>
      </c>
      <c r="F2" s="344" t="s">
        <v>375</v>
      </c>
      <c r="G2" s="344" t="s">
        <v>267</v>
      </c>
    </row>
    <row r="3" spans="1:8" s="4" customFormat="1" ht="61.5" customHeight="1" x14ac:dyDescent="0.25">
      <c r="A3" s="578" t="s">
        <v>376</v>
      </c>
      <c r="B3" s="578" t="s">
        <v>377</v>
      </c>
      <c r="C3" s="339">
        <v>0.8</v>
      </c>
      <c r="D3" s="482">
        <v>1</v>
      </c>
      <c r="E3" s="390" t="s">
        <v>378</v>
      </c>
      <c r="F3" s="391" t="s">
        <v>379</v>
      </c>
      <c r="G3" s="313" t="s">
        <v>380</v>
      </c>
    </row>
    <row r="4" spans="1:8" s="4" customFormat="1" ht="63.75" customHeight="1" x14ac:dyDescent="0.25">
      <c r="A4" s="578" t="s">
        <v>274</v>
      </c>
      <c r="B4" s="578" t="s">
        <v>377</v>
      </c>
      <c r="C4" s="339">
        <v>0.8</v>
      </c>
      <c r="D4" s="482">
        <v>1</v>
      </c>
      <c r="E4" s="390" t="str">
        <f>E3</f>
        <v>See table below for CZ-specific values: Climate Zone Water Heater Sizing and Loss Coefficients, Storage Volume column (col F)</v>
      </c>
      <c r="F4" s="390" t="str">
        <f>F3</f>
        <v>See table below: Climate Zone Water Heater Sizing and Loss Coefficients, Standby Loss column (col G)</v>
      </c>
      <c r="G4" s="313" t="str">
        <f>G3</f>
        <v>See table below for sources: Climate Zone Water Heater Sizing and Loss Coefficients</v>
      </c>
    </row>
    <row r="5" spans="1:8" s="4" customFormat="1" ht="14.7" customHeight="1" x14ac:dyDescent="0.25">
      <c r="A5" s="123"/>
      <c r="B5" s="123"/>
      <c r="C5" s="123"/>
      <c r="D5" s="123"/>
      <c r="E5" s="123"/>
    </row>
    <row r="6" spans="1:8" s="4" customFormat="1" ht="14.7" customHeight="1" x14ac:dyDescent="0.25"/>
    <row r="7" spans="1:8" s="4" customFormat="1" ht="13.95" customHeight="1" x14ac:dyDescent="0.25"/>
    <row r="8" spans="1:8" s="4" customFormat="1" ht="24" customHeight="1" x14ac:dyDescent="0.25">
      <c r="A8" s="614" t="s">
        <v>381</v>
      </c>
      <c r="B8" s="614"/>
      <c r="C8" s="614"/>
      <c r="D8" s="614"/>
      <c r="E8" s="614"/>
      <c r="F8" s="614"/>
      <c r="G8" s="614"/>
      <c r="H8" s="614"/>
    </row>
    <row r="9" spans="1:8" s="4" customFormat="1" ht="52.8" x14ac:dyDescent="0.25">
      <c r="A9" s="584" t="s">
        <v>382</v>
      </c>
      <c r="B9" s="584" t="s">
        <v>383</v>
      </c>
      <c r="C9" s="584" t="s">
        <v>384</v>
      </c>
      <c r="D9" s="584" t="s">
        <v>135</v>
      </c>
      <c r="E9" s="584" t="s">
        <v>385</v>
      </c>
      <c r="F9" s="584" t="s">
        <v>386</v>
      </c>
      <c r="G9" s="584" t="s">
        <v>387</v>
      </c>
      <c r="H9" s="584" t="s">
        <v>121</v>
      </c>
    </row>
    <row r="10" spans="1:8" s="4" customFormat="1" ht="16.2" customHeight="1" x14ac:dyDescent="0.25">
      <c r="A10" s="31" t="str">
        <f>Zones!B3</f>
        <v>Open_Office_N</v>
      </c>
      <c r="B10" s="31" t="s">
        <v>388</v>
      </c>
      <c r="C10" s="203">
        <f>Zones!H3*Zones!J3</f>
        <v>912.69749999999999</v>
      </c>
      <c r="D10" s="204">
        <f>Zones!K3*Zones!J3</f>
        <v>4.5634874999999999</v>
      </c>
      <c r="E10" s="205">
        <v>0.18</v>
      </c>
      <c r="F10" s="207">
        <f>E10*D10</f>
        <v>0.8214277499999999</v>
      </c>
      <c r="G10" s="208">
        <f>F10/60</f>
        <v>1.3690462499999998E-2</v>
      </c>
      <c r="H10" s="707" t="s">
        <v>389</v>
      </c>
    </row>
    <row r="11" spans="1:8" s="4" customFormat="1" ht="16.2" customHeight="1" x14ac:dyDescent="0.25">
      <c r="A11" s="31" t="str">
        <f>Zones!B4</f>
        <v>Enclosed_Office_W</v>
      </c>
      <c r="B11" s="31" t="s">
        <v>388</v>
      </c>
      <c r="C11" s="203">
        <f>Zones!H4*Zones!J4</f>
        <v>908.46</v>
      </c>
      <c r="D11" s="204">
        <f>Zones!K4*Zones!J4</f>
        <v>4.5423</v>
      </c>
      <c r="E11" s="205">
        <v>0.18</v>
      </c>
      <c r="F11" s="207">
        <f t="shared" ref="F11:F23" si="0">E11*D11</f>
        <v>0.81761399999999995</v>
      </c>
      <c r="G11" s="208">
        <f t="shared" ref="G11:G23" si="1">F11/60</f>
        <v>1.3626899999999999E-2</v>
      </c>
      <c r="H11" s="707"/>
    </row>
    <row r="12" spans="1:8" s="4" customFormat="1" ht="16.2" customHeight="1" x14ac:dyDescent="0.25">
      <c r="A12" s="31" t="str">
        <f>Zones!B5</f>
        <v>Enclosed_Office_E</v>
      </c>
      <c r="B12" s="31" t="s">
        <v>388</v>
      </c>
      <c r="C12" s="203">
        <f>Zones!H5*Zones!J5</f>
        <v>908.46</v>
      </c>
      <c r="D12" s="204">
        <f>Zones!K5*Zones!J5</f>
        <v>4.5423</v>
      </c>
      <c r="E12" s="205">
        <v>0.18</v>
      </c>
      <c r="F12" s="207">
        <f t="shared" si="0"/>
        <v>0.81761399999999995</v>
      </c>
      <c r="G12" s="208">
        <f t="shared" si="1"/>
        <v>1.3626899999999999E-2</v>
      </c>
      <c r="H12" s="707"/>
    </row>
    <row r="13" spans="1:8" s="4" customFormat="1" ht="16.2" customHeight="1" x14ac:dyDescent="0.25">
      <c r="A13" s="31" t="str">
        <f>Zones!B6</f>
        <v>Conference</v>
      </c>
      <c r="B13" s="31" t="s">
        <v>388</v>
      </c>
      <c r="C13" s="203">
        <f>Zones!H6*Zones!J6</f>
        <v>456.35</v>
      </c>
      <c r="D13" s="204">
        <f>Zones!K6*Zones!J6</f>
        <v>15.059550000000002</v>
      </c>
      <c r="E13" s="206">
        <v>0.09</v>
      </c>
      <c r="F13" s="207">
        <f t="shared" si="0"/>
        <v>1.3553595000000001</v>
      </c>
      <c r="G13" s="208">
        <f t="shared" si="1"/>
        <v>2.2589325E-2</v>
      </c>
      <c r="H13" s="707"/>
    </row>
    <row r="14" spans="1:8" s="4" customFormat="1" ht="16.2" customHeight="1" x14ac:dyDescent="0.25">
      <c r="A14" s="31" t="str">
        <f>Zones!B7</f>
        <v>Lobby_Lounge</v>
      </c>
      <c r="B14" s="31" t="s">
        <v>377</v>
      </c>
      <c r="C14" s="203">
        <f>Zones!H7*Zones!J7</f>
        <v>456.35</v>
      </c>
      <c r="D14" s="204">
        <f>Zones!K7*Zones!J7</f>
        <v>4.5635000000000003</v>
      </c>
      <c r="E14" s="206">
        <v>0.09</v>
      </c>
      <c r="F14" s="207">
        <f t="shared" si="0"/>
        <v>0.410715</v>
      </c>
      <c r="G14" s="208">
        <f t="shared" si="1"/>
        <v>6.8452499999999998E-3</v>
      </c>
      <c r="H14" s="707"/>
    </row>
    <row r="15" spans="1:8" s="4" customFormat="1" ht="16.2" customHeight="1" x14ac:dyDescent="0.25">
      <c r="A15" s="31" t="str">
        <f>Zones!B8</f>
        <v>Storage</v>
      </c>
      <c r="B15" s="31" t="s">
        <v>388</v>
      </c>
      <c r="C15" s="203">
        <f>Zones!H8*Zones!J8</f>
        <v>743.88791000000003</v>
      </c>
      <c r="D15" s="204">
        <f>Zones!K8*Zones!J8</f>
        <v>0</v>
      </c>
      <c r="E15" s="206">
        <v>0</v>
      </c>
      <c r="F15" s="207">
        <f t="shared" si="0"/>
        <v>0</v>
      </c>
      <c r="G15" s="208">
        <f t="shared" si="1"/>
        <v>0</v>
      </c>
      <c r="H15" s="707"/>
    </row>
    <row r="16" spans="1:8" s="4" customFormat="1" ht="16.2" customHeight="1" x14ac:dyDescent="0.25">
      <c r="A16" s="31" t="str">
        <f>Zones!B9</f>
        <v>Mechanical_Electrical</v>
      </c>
      <c r="B16" s="31" t="s">
        <v>388</v>
      </c>
      <c r="C16" s="203">
        <f>Zones!H9*Zones!J9</f>
        <v>114.23</v>
      </c>
      <c r="D16" s="210">
        <f>Zones!K9*Zones!J9</f>
        <v>0</v>
      </c>
      <c r="E16" s="206">
        <v>0.18</v>
      </c>
      <c r="F16" s="207">
        <f t="shared" si="0"/>
        <v>0</v>
      </c>
      <c r="G16" s="208">
        <f t="shared" si="1"/>
        <v>0</v>
      </c>
      <c r="H16" s="707"/>
    </row>
    <row r="17" spans="1:10" s="4" customFormat="1" ht="16.2" customHeight="1" x14ac:dyDescent="0.25">
      <c r="A17" s="31" t="str">
        <f>Zones!B10</f>
        <v>Restroom</v>
      </c>
      <c r="B17" s="31" t="s">
        <v>377</v>
      </c>
      <c r="C17" s="203">
        <f>Zones!H10*Zones!J10</f>
        <v>224.28</v>
      </c>
      <c r="D17" s="210">
        <f>Zones!K10*Zones!J10</f>
        <v>0</v>
      </c>
      <c r="E17" s="206">
        <v>0</v>
      </c>
      <c r="F17" s="207">
        <f t="shared" si="0"/>
        <v>0</v>
      </c>
      <c r="G17" s="208">
        <f t="shared" si="1"/>
        <v>0</v>
      </c>
      <c r="H17" s="707"/>
    </row>
    <row r="18" spans="1:10" s="4" customFormat="1" ht="16.2" customHeight="1" x14ac:dyDescent="0.25">
      <c r="A18" s="31" t="str">
        <f>Zones!B11</f>
        <v>Break_CopyRoom</v>
      </c>
      <c r="B18" s="31" t="s">
        <v>388</v>
      </c>
      <c r="C18" s="203">
        <f>Zones!H11*Zones!J11</f>
        <v>110.05</v>
      </c>
      <c r="D18" s="204">
        <f>Zones!K11*Zones!J11</f>
        <v>3.63165</v>
      </c>
      <c r="E18" s="206">
        <v>0.09</v>
      </c>
      <c r="F18" s="207">
        <f t="shared" si="0"/>
        <v>0.32684849999999999</v>
      </c>
      <c r="G18" s="208">
        <f>F18/60</f>
        <v>5.4474749999999994E-3</v>
      </c>
      <c r="H18" s="707"/>
    </row>
    <row r="19" spans="1:10" s="4" customFormat="1" ht="16.2" customHeight="1" x14ac:dyDescent="0.25">
      <c r="A19" s="31" t="str">
        <f>Zones!B12</f>
        <v>Corridor_W</v>
      </c>
      <c r="B19" s="31" t="s">
        <v>388</v>
      </c>
      <c r="C19" s="203">
        <f>Zones!H12*Zones!J12</f>
        <v>122.26</v>
      </c>
      <c r="D19" s="204">
        <f>Zones!K12*Zones!J12</f>
        <v>0.61130000000000007</v>
      </c>
      <c r="E19" s="206">
        <v>0</v>
      </c>
      <c r="F19" s="207">
        <f t="shared" si="0"/>
        <v>0</v>
      </c>
      <c r="G19" s="208">
        <f t="shared" si="1"/>
        <v>0</v>
      </c>
      <c r="H19" s="707"/>
    </row>
    <row r="20" spans="1:10" s="4" customFormat="1" ht="16.2" customHeight="1" x14ac:dyDescent="0.25">
      <c r="A20" s="31" t="str">
        <f>Zones!B13</f>
        <v>Corridor_N</v>
      </c>
      <c r="B20" s="31" t="s">
        <v>388</v>
      </c>
      <c r="C20" s="203">
        <f>Zones!H13*Zones!J13</f>
        <v>211.39</v>
      </c>
      <c r="D20" s="204">
        <f>Zones!K13*Zones!J13</f>
        <v>1.0569499999999998</v>
      </c>
      <c r="E20" s="206">
        <v>0</v>
      </c>
      <c r="F20" s="207">
        <f t="shared" si="0"/>
        <v>0</v>
      </c>
      <c r="G20" s="208">
        <f t="shared" si="1"/>
        <v>0</v>
      </c>
      <c r="H20" s="707"/>
    </row>
    <row r="21" spans="1:10" s="4" customFormat="1" ht="16.2" customHeight="1" x14ac:dyDescent="0.25">
      <c r="A21" s="31" t="str">
        <f>Zones!B14</f>
        <v>Corridor_E</v>
      </c>
      <c r="B21" s="31" t="s">
        <v>388</v>
      </c>
      <c r="C21" s="203">
        <f>Zones!H14*Zones!J14</f>
        <v>122.26</v>
      </c>
      <c r="D21" s="204">
        <f>Zones!K14*Zones!J14</f>
        <v>0.61130000000000007</v>
      </c>
      <c r="E21" s="206">
        <v>0</v>
      </c>
      <c r="F21" s="207">
        <f t="shared" si="0"/>
        <v>0</v>
      </c>
      <c r="G21" s="208">
        <f t="shared" si="1"/>
        <v>0</v>
      </c>
      <c r="H21" s="707"/>
    </row>
    <row r="22" spans="1:10" s="4" customFormat="1" ht="16.2" customHeight="1" x14ac:dyDescent="0.25">
      <c r="A22" s="31" t="str">
        <f>Zones!B15</f>
        <v>Corridor_S</v>
      </c>
      <c r="B22" s="31" t="s">
        <v>388</v>
      </c>
      <c r="C22" s="203">
        <f>Zones!H15*Zones!J15</f>
        <v>211.39</v>
      </c>
      <c r="D22" s="204">
        <f>Zones!K15*Zones!J15</f>
        <v>1.0569499999999998</v>
      </c>
      <c r="E22" s="206">
        <v>0</v>
      </c>
      <c r="F22" s="207">
        <f t="shared" si="0"/>
        <v>0</v>
      </c>
      <c r="G22" s="208">
        <f t="shared" si="1"/>
        <v>0</v>
      </c>
      <c r="H22" s="707"/>
    </row>
    <row r="23" spans="1:10" s="4" customFormat="1" ht="16.2" customHeight="1" x14ac:dyDescent="0.25">
      <c r="A23" s="31" t="str">
        <f>Zones!B16</f>
        <v>Attic</v>
      </c>
      <c r="B23" s="31" t="s">
        <v>377</v>
      </c>
      <c r="C23" s="203">
        <f>Zones!H16*Zones!J16</f>
        <v>6114.3046999999997</v>
      </c>
      <c r="D23" s="204">
        <f>Zones!K16*Zones!J16</f>
        <v>0</v>
      </c>
      <c r="E23" s="206">
        <v>0</v>
      </c>
      <c r="F23" s="207">
        <f t="shared" si="0"/>
        <v>0</v>
      </c>
      <c r="G23" s="208">
        <f t="shared" si="1"/>
        <v>0</v>
      </c>
      <c r="H23" s="707"/>
    </row>
    <row r="24" spans="1:10" s="4" customFormat="1" ht="20.25" customHeight="1" x14ac:dyDescent="0.25">
      <c r="A24" s="431" t="s">
        <v>185</v>
      </c>
      <c r="B24" s="702" t="s">
        <v>390</v>
      </c>
      <c r="C24" s="703"/>
      <c r="D24" s="703"/>
      <c r="E24" s="704"/>
      <c r="F24" s="432">
        <f>_xlfn.LET(
  _xlpm.g,SUMIF($B$10:$B$23,"Gas*",$F$10:$F$23),
  _xlpm.e,SUMIF($B$10:$B$23,"Electric*",$F$10:$F$23),
  IF(AND(_xlpm.g&gt;0,_xlpm.e&gt;0),_xlpm.g,IF(_xlpm.g&gt;0,MAX(75,_xlpm.g),0)))</f>
        <v>75</v>
      </c>
      <c r="G24" s="346"/>
      <c r="H24" s="705" t="s">
        <v>391</v>
      </c>
    </row>
    <row r="25" spans="1:10" s="4" customFormat="1" ht="19.5" customHeight="1" x14ac:dyDescent="0.25">
      <c r="A25" s="431" t="s">
        <v>392</v>
      </c>
      <c r="B25" s="702" t="s">
        <v>393</v>
      </c>
      <c r="C25" s="703"/>
      <c r="D25" s="703"/>
      <c r="E25" s="704"/>
      <c r="F25" s="432">
        <f>_xlfn.LET(
  _xlpm.g,SUMIF($B$10:$B$23,"Gas*",$F$10:$F$23),
  _xlpm.e,SUMIF($B$10:$B$23,"Electric*",$F$10:$F$23),
  IF(AND(_xlpm.g&gt;0,_xlpm.e&gt;0),_xlpm.e,IF(_xlpm.e&gt;0,MAX(75,_xlpm.e),0)))</f>
        <v>0</v>
      </c>
      <c r="G25" s="346"/>
      <c r="H25" s="706"/>
    </row>
    <row r="26" spans="1:10" s="343" customFormat="1" x14ac:dyDescent="0.3">
      <c r="A26"/>
      <c r="B26"/>
      <c r="C26"/>
      <c r="D26"/>
      <c r="E26"/>
      <c r="F26"/>
      <c r="G26"/>
      <c r="H26"/>
      <c r="I26"/>
      <c r="J26"/>
    </row>
    <row r="27" spans="1:10" s="343" customFormat="1" x14ac:dyDescent="0.3">
      <c r="A27"/>
      <c r="B27"/>
      <c r="C27"/>
      <c r="D27"/>
      <c r="E27"/>
      <c r="F27"/>
      <c r="G27"/>
      <c r="H27"/>
      <c r="I27"/>
      <c r="J27"/>
    </row>
    <row r="28" spans="1:10" s="343" customFormat="1" x14ac:dyDescent="0.3">
      <c r="A28"/>
      <c r="B28"/>
      <c r="C28"/>
      <c r="D28"/>
      <c r="E28"/>
      <c r="F28"/>
      <c r="G28"/>
      <c r="H28"/>
      <c r="I28"/>
      <c r="J28"/>
    </row>
    <row r="29" spans="1:10" s="343" customFormat="1" ht="15" customHeight="1" x14ac:dyDescent="0.3">
      <c r="A29" s="446" t="s">
        <v>394</v>
      </c>
      <c r="B29" s="447">
        <v>135</v>
      </c>
      <c r="C29" s="448" t="s">
        <v>395</v>
      </c>
      <c r="D29" s="449"/>
      <c r="E29" s="449"/>
      <c r="F29"/>
      <c r="G29"/>
      <c r="H29"/>
      <c r="I29"/>
      <c r="J29"/>
    </row>
    <row r="30" spans="1:10" s="343" customFormat="1" ht="15" customHeight="1" x14ac:dyDescent="0.3">
      <c r="A30" s="449" t="s">
        <v>396</v>
      </c>
      <c r="B30" s="450">
        <v>0.6</v>
      </c>
      <c r="C30" s="448" t="s">
        <v>397</v>
      </c>
      <c r="D30" s="451"/>
      <c r="E30" s="451"/>
      <c r="F30"/>
      <c r="G30"/>
      <c r="H30"/>
      <c r="I30"/>
      <c r="J30"/>
    </row>
    <row r="31" spans="1:10" s="343" customFormat="1" x14ac:dyDescent="0.3">
      <c r="A31" s="452" t="s">
        <v>398</v>
      </c>
      <c r="B31" s="453">
        <v>8.2876999999999992</v>
      </c>
      <c r="C31" s="448" t="s">
        <v>397</v>
      </c>
      <c r="D31" s="448"/>
      <c r="E31" s="448"/>
      <c r="F31"/>
      <c r="G31"/>
      <c r="H31"/>
      <c r="I31"/>
      <c r="J31"/>
    </row>
    <row r="32" spans="1:10" x14ac:dyDescent="0.3">
      <c r="A32" s="343" t="s">
        <v>399</v>
      </c>
      <c r="B32" s="454">
        <v>0.4</v>
      </c>
      <c r="C32" s="338" t="s">
        <v>400</v>
      </c>
      <c r="E32" s="343"/>
      <c r="H32" s="343"/>
      <c r="I32" s="343"/>
      <c r="J32" s="343"/>
    </row>
    <row r="33" spans="1:14" ht="26.1" customHeight="1" x14ac:dyDescent="0.25">
      <c r="A33" s="700" t="s">
        <v>401</v>
      </c>
      <c r="B33" s="701"/>
      <c r="C33" s="701"/>
      <c r="D33" s="701"/>
      <c r="E33" s="701"/>
      <c r="F33" s="701"/>
      <c r="G33" s="701"/>
      <c r="H33" s="701"/>
      <c r="I33" s="701"/>
      <c r="J33" s="701"/>
      <c r="K33" s="701"/>
      <c r="L33" s="701"/>
      <c r="M33" s="343"/>
      <c r="N33" s="343"/>
    </row>
    <row r="34" spans="1:14" ht="48.75" customHeight="1" x14ac:dyDescent="0.3">
      <c r="A34" s="484" t="s">
        <v>402</v>
      </c>
      <c r="B34" s="410" t="s">
        <v>403</v>
      </c>
      <c r="C34" s="410" t="s">
        <v>404</v>
      </c>
      <c r="D34" s="410" t="s">
        <v>405</v>
      </c>
      <c r="E34" s="410" t="s">
        <v>406</v>
      </c>
      <c r="F34" s="410" t="s">
        <v>407</v>
      </c>
      <c r="G34" s="410" t="s">
        <v>408</v>
      </c>
      <c r="H34" s="698" t="s">
        <v>409</v>
      </c>
      <c r="I34" s="699"/>
      <c r="J34" s="697" t="s">
        <v>410</v>
      </c>
      <c r="K34" s="697"/>
      <c r="L34" s="411" t="s">
        <v>411</v>
      </c>
      <c r="M34"/>
      <c r="N34" s="343"/>
    </row>
    <row r="35" spans="1:14" s="343" customFormat="1" ht="18.75" customHeight="1" x14ac:dyDescent="0.25">
      <c r="A35" s="360" t="s">
        <v>412</v>
      </c>
      <c r="B35" s="360" t="s">
        <v>413</v>
      </c>
      <c r="C35" s="361">
        <v>47.9</v>
      </c>
      <c r="D35" s="362">
        <f>$F$24*($B$29-C35)*$B$31</f>
        <v>54139.400249999992</v>
      </c>
      <c r="E35" s="362">
        <f>D35*$B$30</f>
        <v>32483.640149999992</v>
      </c>
      <c r="F35" s="362">
        <f t="shared" ref="F35:F50" si="2">_xlfn.LET(_xlpm.x,_xlfn.XLOOKUP(E35/$C$3,$A$56:$A$86,$A$56:$A$86,"",1),IF(_xlpm.x="",ROUNDUP(E35/$C$3,0),_xlpm.x))</f>
        <v>60000</v>
      </c>
      <c r="G35" s="362">
        <f t="shared" ref="G35:G50" si="3">_xlfn.LET(_xlpm.v,MAX(30,$F$24*$B$32),_xlpm.x,_xlfn.XLOOKUP(_xlpm.v,$E$56:$E$74,$E$56:$E$74,"",1),IF(_xlpm.x="",ROUNDUP(_xlpm.v,0),_xlpm.x))</f>
        <v>34</v>
      </c>
      <c r="H35" s="362">
        <f>(F35/800)+110*SQRT(G35)</f>
        <v>716.40470843298306</v>
      </c>
      <c r="I35" s="362" t="s">
        <v>414</v>
      </c>
      <c r="J35" s="409">
        <f>H35/70</f>
        <v>10.234352977614044</v>
      </c>
      <c r="K35" s="362" t="s">
        <v>415</v>
      </c>
      <c r="L35" s="693" t="s">
        <v>416</v>
      </c>
    </row>
    <row r="36" spans="1:14" s="343" customFormat="1" ht="18.75" customHeight="1" x14ac:dyDescent="0.25">
      <c r="A36" s="360" t="s">
        <v>412</v>
      </c>
      <c r="B36" s="363" t="s">
        <v>417</v>
      </c>
      <c r="C36" s="364">
        <v>50.8</v>
      </c>
      <c r="D36" s="362">
        <f t="shared" ref="D36:D50" si="4">$F$24*($B$29-C36)*$B$31</f>
        <v>52336.825499999992</v>
      </c>
      <c r="E36" s="365">
        <f>D36*$B$30</f>
        <v>31402.095299999994</v>
      </c>
      <c r="F36" s="362">
        <f t="shared" si="2"/>
        <v>60000</v>
      </c>
      <c r="G36" s="362">
        <f t="shared" si="3"/>
        <v>34</v>
      </c>
      <c r="H36" s="362">
        <f t="shared" ref="H36:H50" si="5">(F36/800)+110*SQRT(G36)</f>
        <v>716.40470843298306</v>
      </c>
      <c r="I36" s="365" t="s">
        <v>414</v>
      </c>
      <c r="J36" s="409">
        <f t="shared" ref="J36:J50" si="6">H36/70</f>
        <v>10.234352977614044</v>
      </c>
      <c r="K36" s="366" t="s">
        <v>415</v>
      </c>
      <c r="L36" s="693"/>
    </row>
    <row r="37" spans="1:14" s="343" customFormat="1" ht="18.75" customHeight="1" x14ac:dyDescent="0.25">
      <c r="A37" s="360" t="s">
        <v>412</v>
      </c>
      <c r="B37" s="363" t="s">
        <v>418</v>
      </c>
      <c r="C37" s="364">
        <v>52.2</v>
      </c>
      <c r="D37" s="362">
        <f t="shared" si="4"/>
        <v>51466.616999999998</v>
      </c>
      <c r="E37" s="365">
        <f>D37*$B$30</f>
        <v>30879.970199999996</v>
      </c>
      <c r="F37" s="362">
        <f t="shared" si="2"/>
        <v>60000</v>
      </c>
      <c r="G37" s="362">
        <f t="shared" si="3"/>
        <v>34</v>
      </c>
      <c r="H37" s="362">
        <f t="shared" si="5"/>
        <v>716.40470843298306</v>
      </c>
      <c r="I37" s="365" t="s">
        <v>414</v>
      </c>
      <c r="J37" s="409">
        <f t="shared" si="6"/>
        <v>10.234352977614044</v>
      </c>
      <c r="K37" s="366" t="s">
        <v>415</v>
      </c>
      <c r="L37" s="693"/>
    </row>
    <row r="38" spans="1:14" s="343" customFormat="1" ht="18.75" customHeight="1" x14ac:dyDescent="0.25">
      <c r="A38" s="360" t="s">
        <v>412</v>
      </c>
      <c r="B38" s="363" t="s">
        <v>419</v>
      </c>
      <c r="C38" s="364">
        <v>52.7</v>
      </c>
      <c r="D38" s="362">
        <f t="shared" si="4"/>
        <v>51155.828249999991</v>
      </c>
      <c r="E38" s="365">
        <f t="shared" ref="E38:E50" si="7">D38*$B$30</f>
        <v>30693.496949999993</v>
      </c>
      <c r="F38" s="362">
        <f t="shared" si="2"/>
        <v>60000</v>
      </c>
      <c r="G38" s="362">
        <f t="shared" si="3"/>
        <v>34</v>
      </c>
      <c r="H38" s="362">
        <f t="shared" si="5"/>
        <v>716.40470843298306</v>
      </c>
      <c r="I38" s="365" t="s">
        <v>414</v>
      </c>
      <c r="J38" s="409">
        <f t="shared" si="6"/>
        <v>10.234352977614044</v>
      </c>
      <c r="K38" s="366" t="s">
        <v>415</v>
      </c>
      <c r="L38" s="693"/>
    </row>
    <row r="39" spans="1:14" s="343" customFormat="1" ht="18.75" customHeight="1" x14ac:dyDescent="0.25">
      <c r="A39" s="360" t="s">
        <v>412</v>
      </c>
      <c r="B39" s="363" t="s">
        <v>420</v>
      </c>
      <c r="C39" s="364">
        <v>51.6</v>
      </c>
      <c r="D39" s="362">
        <f t="shared" si="4"/>
        <v>51839.563499999997</v>
      </c>
      <c r="E39" s="365">
        <f t="shared" si="7"/>
        <v>31103.738099999995</v>
      </c>
      <c r="F39" s="362">
        <f t="shared" si="2"/>
        <v>60000</v>
      </c>
      <c r="G39" s="362">
        <f t="shared" si="3"/>
        <v>34</v>
      </c>
      <c r="H39" s="362">
        <f t="shared" si="5"/>
        <v>716.40470843298306</v>
      </c>
      <c r="I39" s="365" t="s">
        <v>414</v>
      </c>
      <c r="J39" s="409">
        <f t="shared" si="6"/>
        <v>10.234352977614044</v>
      </c>
      <c r="K39" s="366" t="s">
        <v>415</v>
      </c>
      <c r="L39" s="693"/>
    </row>
    <row r="40" spans="1:14" s="343" customFormat="1" ht="18.75" customHeight="1" x14ac:dyDescent="0.25">
      <c r="A40" s="360" t="s">
        <v>412</v>
      </c>
      <c r="B40" s="363" t="s">
        <v>421</v>
      </c>
      <c r="C40" s="364">
        <v>56.8</v>
      </c>
      <c r="D40" s="362">
        <f t="shared" si="4"/>
        <v>48607.360499999995</v>
      </c>
      <c r="E40" s="365">
        <f t="shared" si="7"/>
        <v>29164.416299999997</v>
      </c>
      <c r="F40" s="362">
        <f t="shared" si="2"/>
        <v>60000</v>
      </c>
      <c r="G40" s="362">
        <f t="shared" si="3"/>
        <v>34</v>
      </c>
      <c r="H40" s="362">
        <f t="shared" si="5"/>
        <v>716.40470843298306</v>
      </c>
      <c r="I40" s="365" t="s">
        <v>414</v>
      </c>
      <c r="J40" s="409">
        <f t="shared" si="6"/>
        <v>10.234352977614044</v>
      </c>
      <c r="K40" s="366" t="s">
        <v>415</v>
      </c>
      <c r="L40" s="693"/>
    </row>
    <row r="41" spans="1:14" s="343" customFormat="1" ht="18.75" customHeight="1" x14ac:dyDescent="0.25">
      <c r="A41" s="360" t="s">
        <v>412</v>
      </c>
      <c r="B41" s="363" t="s">
        <v>422</v>
      </c>
      <c r="C41" s="364">
        <v>58.4</v>
      </c>
      <c r="D41" s="362">
        <f t="shared" si="4"/>
        <v>47612.836499999998</v>
      </c>
      <c r="E41" s="365">
        <f t="shared" si="7"/>
        <v>28567.701899999996</v>
      </c>
      <c r="F41" s="362">
        <f t="shared" si="2"/>
        <v>60000</v>
      </c>
      <c r="G41" s="362">
        <f t="shared" si="3"/>
        <v>34</v>
      </c>
      <c r="H41" s="362">
        <f t="shared" si="5"/>
        <v>716.40470843298306</v>
      </c>
      <c r="I41" s="365" t="s">
        <v>414</v>
      </c>
      <c r="J41" s="409">
        <f t="shared" si="6"/>
        <v>10.234352977614044</v>
      </c>
      <c r="K41" s="366" t="s">
        <v>415</v>
      </c>
      <c r="L41" s="693"/>
    </row>
    <row r="42" spans="1:14" s="343" customFormat="1" ht="18.75" customHeight="1" x14ac:dyDescent="0.25">
      <c r="A42" s="360" t="s">
        <v>412</v>
      </c>
      <c r="B42" s="363" t="s">
        <v>423</v>
      </c>
      <c r="C42" s="364">
        <v>58.4</v>
      </c>
      <c r="D42" s="362">
        <f t="shared" si="4"/>
        <v>47612.836499999998</v>
      </c>
      <c r="E42" s="365">
        <f t="shared" si="7"/>
        <v>28567.701899999996</v>
      </c>
      <c r="F42" s="362">
        <f t="shared" si="2"/>
        <v>60000</v>
      </c>
      <c r="G42" s="362">
        <f t="shared" si="3"/>
        <v>34</v>
      </c>
      <c r="H42" s="362">
        <f t="shared" si="5"/>
        <v>716.40470843298306</v>
      </c>
      <c r="I42" s="365" t="s">
        <v>414</v>
      </c>
      <c r="J42" s="409">
        <f t="shared" si="6"/>
        <v>10.234352977614044</v>
      </c>
      <c r="K42" s="366" t="s">
        <v>415</v>
      </c>
      <c r="L42" s="693"/>
    </row>
    <row r="43" spans="1:14" s="343" customFormat="1" ht="18.75" customHeight="1" x14ac:dyDescent="0.25">
      <c r="A43" s="360" t="s">
        <v>412</v>
      </c>
      <c r="B43" s="363" t="s">
        <v>424</v>
      </c>
      <c r="C43" s="364">
        <v>57.6</v>
      </c>
      <c r="D43" s="362">
        <f t="shared" si="4"/>
        <v>48110.098499999993</v>
      </c>
      <c r="E43" s="365">
        <f t="shared" si="7"/>
        <v>28866.059099999995</v>
      </c>
      <c r="F43" s="362">
        <f t="shared" si="2"/>
        <v>60000</v>
      </c>
      <c r="G43" s="362">
        <f t="shared" si="3"/>
        <v>34</v>
      </c>
      <c r="H43" s="362">
        <f t="shared" si="5"/>
        <v>716.40470843298306</v>
      </c>
      <c r="I43" s="365" t="s">
        <v>414</v>
      </c>
      <c r="J43" s="409">
        <f t="shared" si="6"/>
        <v>10.234352977614044</v>
      </c>
      <c r="K43" s="366" t="s">
        <v>415</v>
      </c>
      <c r="L43" s="693"/>
    </row>
    <row r="44" spans="1:14" s="343" customFormat="1" ht="18.75" customHeight="1" x14ac:dyDescent="0.25">
      <c r="A44" s="360" t="s">
        <v>412</v>
      </c>
      <c r="B44" s="363" t="s">
        <v>204</v>
      </c>
      <c r="C44" s="364">
        <v>57.1</v>
      </c>
      <c r="D44" s="362">
        <f t="shared" si="4"/>
        <v>48420.887249999992</v>
      </c>
      <c r="E44" s="365">
        <f t="shared" si="7"/>
        <v>29052.532349999994</v>
      </c>
      <c r="F44" s="362">
        <f t="shared" si="2"/>
        <v>60000</v>
      </c>
      <c r="G44" s="362">
        <f t="shared" si="3"/>
        <v>34</v>
      </c>
      <c r="H44" s="362">
        <f t="shared" si="5"/>
        <v>716.40470843298306</v>
      </c>
      <c r="I44" s="365" t="s">
        <v>414</v>
      </c>
      <c r="J44" s="409">
        <f t="shared" si="6"/>
        <v>10.234352977614044</v>
      </c>
      <c r="K44" s="366" t="s">
        <v>415</v>
      </c>
      <c r="L44" s="693"/>
    </row>
    <row r="45" spans="1:14" s="343" customFormat="1" ht="18.75" customHeight="1" x14ac:dyDescent="0.25">
      <c r="A45" s="360" t="s">
        <v>412</v>
      </c>
      <c r="B45" s="363" t="s">
        <v>205</v>
      </c>
      <c r="C45" s="364">
        <v>50.5</v>
      </c>
      <c r="D45" s="362">
        <f t="shared" si="4"/>
        <v>52523.298749999994</v>
      </c>
      <c r="E45" s="365">
        <f t="shared" si="7"/>
        <v>31513.979249999997</v>
      </c>
      <c r="F45" s="362">
        <f t="shared" si="2"/>
        <v>60000</v>
      </c>
      <c r="G45" s="362">
        <f t="shared" si="3"/>
        <v>34</v>
      </c>
      <c r="H45" s="362">
        <f t="shared" si="5"/>
        <v>716.40470843298306</v>
      </c>
      <c r="I45" s="365" t="s">
        <v>414</v>
      </c>
      <c r="J45" s="409">
        <f t="shared" si="6"/>
        <v>10.234352977614044</v>
      </c>
      <c r="K45" s="366" t="s">
        <v>415</v>
      </c>
      <c r="L45" s="693"/>
    </row>
    <row r="46" spans="1:14" s="343" customFormat="1" ht="18.75" customHeight="1" x14ac:dyDescent="0.25">
      <c r="A46" s="360" t="s">
        <v>412</v>
      </c>
      <c r="B46" s="363" t="s">
        <v>206</v>
      </c>
      <c r="C46" s="364">
        <v>51.4</v>
      </c>
      <c r="D46" s="362">
        <f t="shared" si="4"/>
        <v>51963.878999999994</v>
      </c>
      <c r="E46" s="365">
        <f t="shared" si="7"/>
        <v>31178.327399999995</v>
      </c>
      <c r="F46" s="362">
        <f t="shared" si="2"/>
        <v>60000</v>
      </c>
      <c r="G46" s="362">
        <f t="shared" si="3"/>
        <v>34</v>
      </c>
      <c r="H46" s="362">
        <f t="shared" si="5"/>
        <v>716.40470843298306</v>
      </c>
      <c r="I46" s="365" t="s">
        <v>414</v>
      </c>
      <c r="J46" s="409">
        <f t="shared" si="6"/>
        <v>10.234352977614044</v>
      </c>
      <c r="K46" s="366" t="s">
        <v>415</v>
      </c>
      <c r="L46" s="693"/>
    </row>
    <row r="47" spans="1:14" s="343" customFormat="1" ht="18.75" customHeight="1" x14ac:dyDescent="0.25">
      <c r="A47" s="360" t="s">
        <v>412</v>
      </c>
      <c r="B47" s="363" t="s">
        <v>207</v>
      </c>
      <c r="C47" s="364">
        <v>51.7</v>
      </c>
      <c r="D47" s="362">
        <f t="shared" si="4"/>
        <v>51777.405749999998</v>
      </c>
      <c r="E47" s="365">
        <f t="shared" si="7"/>
        <v>31066.443449999999</v>
      </c>
      <c r="F47" s="362">
        <f t="shared" si="2"/>
        <v>60000</v>
      </c>
      <c r="G47" s="362">
        <f t="shared" si="3"/>
        <v>34</v>
      </c>
      <c r="H47" s="362">
        <f t="shared" si="5"/>
        <v>716.40470843298306</v>
      </c>
      <c r="I47" s="365" t="s">
        <v>414</v>
      </c>
      <c r="J47" s="409">
        <f t="shared" si="6"/>
        <v>10.234352977614044</v>
      </c>
      <c r="K47" s="366" t="s">
        <v>415</v>
      </c>
      <c r="L47" s="693"/>
    </row>
    <row r="48" spans="1:14" s="343" customFormat="1" ht="18.75" customHeight="1" x14ac:dyDescent="0.25">
      <c r="A48" s="360" t="s">
        <v>412</v>
      </c>
      <c r="B48" s="363" t="s">
        <v>208</v>
      </c>
      <c r="C48" s="364">
        <v>50.1</v>
      </c>
      <c r="D48" s="362">
        <f t="shared" si="4"/>
        <v>52771.929749999996</v>
      </c>
      <c r="E48" s="365">
        <f t="shared" si="7"/>
        <v>31663.157849999996</v>
      </c>
      <c r="F48" s="362">
        <f t="shared" si="2"/>
        <v>60000</v>
      </c>
      <c r="G48" s="362">
        <f t="shared" si="3"/>
        <v>34</v>
      </c>
      <c r="H48" s="362">
        <f t="shared" si="5"/>
        <v>716.40470843298306</v>
      </c>
      <c r="I48" s="365" t="s">
        <v>414</v>
      </c>
      <c r="J48" s="409">
        <f t="shared" si="6"/>
        <v>10.234352977614044</v>
      </c>
      <c r="K48" s="366" t="s">
        <v>415</v>
      </c>
      <c r="L48" s="693"/>
    </row>
    <row r="49" spans="1:14" s="343" customFormat="1" ht="18.75" customHeight="1" x14ac:dyDescent="0.25">
      <c r="A49" s="360" t="s">
        <v>412</v>
      </c>
      <c r="B49" s="363" t="s">
        <v>209</v>
      </c>
      <c r="C49" s="364">
        <v>63.2</v>
      </c>
      <c r="D49" s="362">
        <f t="shared" si="4"/>
        <v>44629.264499999997</v>
      </c>
      <c r="E49" s="365">
        <f t="shared" si="7"/>
        <v>26777.558699999998</v>
      </c>
      <c r="F49" s="362">
        <f t="shared" si="2"/>
        <v>60000</v>
      </c>
      <c r="G49" s="362">
        <f t="shared" si="3"/>
        <v>34</v>
      </c>
      <c r="H49" s="362">
        <f t="shared" si="5"/>
        <v>716.40470843298306</v>
      </c>
      <c r="I49" s="365" t="s">
        <v>414</v>
      </c>
      <c r="J49" s="409">
        <f t="shared" si="6"/>
        <v>10.234352977614044</v>
      </c>
      <c r="K49" s="366" t="s">
        <v>415</v>
      </c>
      <c r="L49" s="693"/>
    </row>
    <row r="50" spans="1:14" s="343" customFormat="1" ht="18.75" customHeight="1" x14ac:dyDescent="0.25">
      <c r="A50" s="360" t="s">
        <v>412</v>
      </c>
      <c r="B50" s="367" t="s">
        <v>210</v>
      </c>
      <c r="C50" s="368">
        <v>41.4</v>
      </c>
      <c r="D50" s="362">
        <f t="shared" si="4"/>
        <v>58179.653999999995</v>
      </c>
      <c r="E50" s="369">
        <f t="shared" si="7"/>
        <v>34907.792399999998</v>
      </c>
      <c r="F50" s="362">
        <f t="shared" si="2"/>
        <v>60000</v>
      </c>
      <c r="G50" s="362">
        <f t="shared" si="3"/>
        <v>34</v>
      </c>
      <c r="H50" s="362">
        <f t="shared" si="5"/>
        <v>716.40470843298306</v>
      </c>
      <c r="I50" s="369" t="s">
        <v>414</v>
      </c>
      <c r="J50" s="409">
        <f t="shared" si="6"/>
        <v>10.234352977614044</v>
      </c>
      <c r="K50" s="370" t="s">
        <v>415</v>
      </c>
      <c r="L50" s="694"/>
    </row>
    <row r="52" spans="1:14" x14ac:dyDescent="0.3">
      <c r="A52" s="343"/>
      <c r="B52" s="343"/>
      <c r="C52" s="345"/>
      <c r="D52" s="345"/>
      <c r="E52" s="343"/>
      <c r="F52" s="345"/>
      <c r="G52" s="345"/>
      <c r="H52" s="343"/>
      <c r="I52" s="343"/>
      <c r="J52" s="343"/>
      <c r="K52" s="343"/>
      <c r="L52" s="343"/>
      <c r="M52" s="343"/>
      <c r="N52" s="343"/>
    </row>
    <row r="54" spans="1:14" ht="24.75" customHeight="1" x14ac:dyDescent="0.25">
      <c r="A54" s="695" t="s">
        <v>425</v>
      </c>
      <c r="B54" s="696"/>
      <c r="C54" s="614"/>
      <c r="D54" s="614"/>
      <c r="E54" s="614"/>
      <c r="F54" s="614"/>
      <c r="G54" s="614"/>
      <c r="H54" s="614"/>
      <c r="I54" s="343"/>
      <c r="J54" s="343"/>
      <c r="K54" s="343"/>
      <c r="L54" s="343"/>
      <c r="M54" s="343"/>
      <c r="N54" s="343"/>
    </row>
    <row r="55" spans="1:14" s="342" customFormat="1" ht="33.75" customHeight="1" x14ac:dyDescent="0.25">
      <c r="A55" s="412" t="s">
        <v>426</v>
      </c>
      <c r="B55" s="413" t="s">
        <v>427</v>
      </c>
      <c r="C55" s="414" t="s">
        <v>428</v>
      </c>
      <c r="D55" s="415" t="s">
        <v>429</v>
      </c>
      <c r="E55" s="416" t="s">
        <v>430</v>
      </c>
      <c r="F55" s="415" t="s">
        <v>431</v>
      </c>
      <c r="G55" s="417" t="s">
        <v>432</v>
      </c>
      <c r="H55" s="418" t="s">
        <v>433</v>
      </c>
      <c r="I55" s="111" t="str">
        <f>HYPERLINK("#'Note'!A1","Sources and links → Note tab")</f>
        <v>Sources and links → Note tab</v>
      </c>
      <c r="J55" s="455"/>
      <c r="K55" s="455"/>
      <c r="L55" s="455"/>
      <c r="M55" s="455"/>
      <c r="N55" s="455"/>
    </row>
    <row r="56" spans="1:14" ht="13.8" x14ac:dyDescent="0.25">
      <c r="A56" s="441">
        <v>60000</v>
      </c>
      <c r="B56" s="419" t="s">
        <v>434</v>
      </c>
      <c r="C56" s="420">
        <v>1.5</v>
      </c>
      <c r="D56" s="421">
        <v>5118</v>
      </c>
      <c r="E56" s="422">
        <v>34</v>
      </c>
      <c r="F56" s="422" t="s">
        <v>435</v>
      </c>
      <c r="G56" s="422">
        <v>6</v>
      </c>
      <c r="H56" s="423" t="s">
        <v>434</v>
      </c>
      <c r="I56" s="343"/>
      <c r="J56" s="343"/>
      <c r="K56" s="343"/>
      <c r="L56" s="343"/>
      <c r="M56" s="343"/>
      <c r="N56" s="343"/>
    </row>
    <row r="57" spans="1:14" ht="13.8" x14ac:dyDescent="0.25">
      <c r="A57" s="424">
        <v>75100</v>
      </c>
      <c r="B57" s="424" t="s">
        <v>434</v>
      </c>
      <c r="C57" s="425">
        <v>2</v>
      </c>
      <c r="D57" s="426">
        <v>6824</v>
      </c>
      <c r="E57" s="427">
        <v>35</v>
      </c>
      <c r="F57" s="427" t="s">
        <v>434</v>
      </c>
      <c r="G57" s="427">
        <v>10</v>
      </c>
      <c r="H57" s="428" t="s">
        <v>434</v>
      </c>
      <c r="I57" s="343"/>
      <c r="J57" s="343"/>
      <c r="K57" s="343"/>
      <c r="L57" s="343"/>
      <c r="M57" s="343"/>
      <c r="N57" s="343"/>
    </row>
    <row r="58" spans="1:14" ht="13.8" x14ac:dyDescent="0.25">
      <c r="A58" s="424">
        <v>76000</v>
      </c>
      <c r="B58" s="424" t="s">
        <v>436</v>
      </c>
      <c r="C58" s="425">
        <v>3</v>
      </c>
      <c r="D58" s="426">
        <v>10236</v>
      </c>
      <c r="E58" s="427">
        <v>48</v>
      </c>
      <c r="F58" s="427" t="s">
        <v>434</v>
      </c>
      <c r="G58" s="427">
        <v>15</v>
      </c>
      <c r="H58" s="428" t="s">
        <v>434</v>
      </c>
      <c r="I58" s="343"/>
      <c r="J58" s="343"/>
      <c r="K58" s="343"/>
      <c r="L58" s="343"/>
      <c r="M58" s="343"/>
      <c r="N58" s="343"/>
    </row>
    <row r="59" spans="1:14" ht="13.8" x14ac:dyDescent="0.25">
      <c r="A59" s="424">
        <v>80000</v>
      </c>
      <c r="B59" s="424" t="s">
        <v>434</v>
      </c>
      <c r="C59" s="425">
        <v>4.5</v>
      </c>
      <c r="D59" s="426">
        <v>15355</v>
      </c>
      <c r="E59" s="427">
        <v>50</v>
      </c>
      <c r="F59" s="427" t="s">
        <v>436</v>
      </c>
      <c r="G59" s="427">
        <v>20</v>
      </c>
      <c r="H59" s="428" t="s">
        <v>434</v>
      </c>
      <c r="I59" s="343"/>
      <c r="J59" s="343"/>
      <c r="K59" s="343"/>
      <c r="L59" s="343"/>
      <c r="M59" s="343"/>
      <c r="N59" s="343"/>
    </row>
    <row r="60" spans="1:14" ht="13.8" x14ac:dyDescent="0.25">
      <c r="A60" s="424">
        <v>99900</v>
      </c>
      <c r="B60" s="424" t="s">
        <v>435</v>
      </c>
      <c r="C60" s="425">
        <v>6</v>
      </c>
      <c r="D60" s="426">
        <v>20473</v>
      </c>
      <c r="E60" s="427">
        <v>55</v>
      </c>
      <c r="F60" s="427" t="s">
        <v>435</v>
      </c>
      <c r="G60" s="427">
        <v>28</v>
      </c>
      <c r="H60" s="428" t="s">
        <v>434</v>
      </c>
      <c r="I60" s="343"/>
      <c r="J60" s="343"/>
      <c r="K60" s="343"/>
      <c r="L60" s="343"/>
      <c r="M60" s="343"/>
      <c r="N60" s="343"/>
    </row>
    <row r="61" spans="1:14" ht="13.8" x14ac:dyDescent="0.25">
      <c r="A61" s="424">
        <v>100000</v>
      </c>
      <c r="B61" s="424" t="s">
        <v>436</v>
      </c>
      <c r="C61" s="425">
        <v>8</v>
      </c>
      <c r="D61" s="426">
        <v>27297</v>
      </c>
      <c r="E61" s="427">
        <v>60</v>
      </c>
      <c r="F61" s="427" t="s">
        <v>435</v>
      </c>
      <c r="G61" s="427">
        <v>30</v>
      </c>
      <c r="H61" s="428" t="s">
        <v>434</v>
      </c>
      <c r="I61" s="343"/>
      <c r="J61" s="343"/>
      <c r="K61" s="343"/>
      <c r="L61" s="343"/>
      <c r="M61" s="343"/>
      <c r="N61" s="343"/>
    </row>
    <row r="62" spans="1:14" ht="13.8" x14ac:dyDescent="0.25">
      <c r="A62" s="424">
        <v>120000</v>
      </c>
      <c r="B62" s="424" t="s">
        <v>435</v>
      </c>
      <c r="C62" s="425">
        <v>9</v>
      </c>
      <c r="D62" s="426">
        <v>30709</v>
      </c>
      <c r="E62" s="427">
        <v>65</v>
      </c>
      <c r="F62" s="427" t="s">
        <v>436</v>
      </c>
      <c r="G62" s="427">
        <v>36</v>
      </c>
      <c r="H62" s="428" t="s">
        <v>434</v>
      </c>
      <c r="I62" s="343"/>
      <c r="J62" s="343"/>
      <c r="K62" s="343"/>
      <c r="L62" s="343"/>
      <c r="M62" s="343"/>
      <c r="N62" s="343"/>
    </row>
    <row r="63" spans="1:14" ht="13.8" x14ac:dyDescent="0.25">
      <c r="A63" s="424">
        <v>125000</v>
      </c>
      <c r="B63" s="424" t="s">
        <v>436</v>
      </c>
      <c r="C63" s="425">
        <v>10</v>
      </c>
      <c r="D63" s="426">
        <v>34121</v>
      </c>
      <c r="E63" s="427">
        <v>72</v>
      </c>
      <c r="F63" s="427" t="s">
        <v>434</v>
      </c>
      <c r="G63" s="427">
        <v>40</v>
      </c>
      <c r="H63" s="428" t="s">
        <v>434</v>
      </c>
      <c r="I63" s="343"/>
      <c r="J63" s="343"/>
      <c r="K63" s="343"/>
      <c r="L63" s="343"/>
      <c r="M63" s="343"/>
      <c r="N63" s="343"/>
    </row>
    <row r="64" spans="1:14" ht="13.8" x14ac:dyDescent="0.25">
      <c r="A64" s="424">
        <v>130000</v>
      </c>
      <c r="B64" s="424" t="s">
        <v>436</v>
      </c>
      <c r="C64" s="425">
        <v>12</v>
      </c>
      <c r="D64" s="426">
        <v>40946</v>
      </c>
      <c r="E64" s="427">
        <v>75</v>
      </c>
      <c r="F64" s="427" t="s">
        <v>436</v>
      </c>
      <c r="G64" s="427">
        <v>47</v>
      </c>
      <c r="H64" s="428" t="s">
        <v>434</v>
      </c>
      <c r="I64" s="343"/>
      <c r="J64" s="343"/>
      <c r="K64" s="343"/>
      <c r="L64" s="343"/>
      <c r="M64" s="343"/>
      <c r="N64" s="343"/>
    </row>
    <row r="65" spans="1:8" ht="13.8" x14ac:dyDescent="0.25">
      <c r="A65" s="424">
        <v>145000</v>
      </c>
      <c r="B65" s="424" t="s">
        <v>435</v>
      </c>
      <c r="C65" s="425">
        <v>12.1</v>
      </c>
      <c r="D65" s="426">
        <v>41287</v>
      </c>
      <c r="E65" s="427">
        <v>76</v>
      </c>
      <c r="F65" s="427" t="s">
        <v>434</v>
      </c>
      <c r="G65" s="427">
        <v>50</v>
      </c>
      <c r="H65" s="428" t="s">
        <v>434</v>
      </c>
    </row>
    <row r="66" spans="1:8" ht="13.8" x14ac:dyDescent="0.25">
      <c r="A66" s="424">
        <v>150000</v>
      </c>
      <c r="B66" s="424" t="s">
        <v>435</v>
      </c>
      <c r="C66" s="425">
        <v>18</v>
      </c>
      <c r="D66" s="426">
        <v>61419</v>
      </c>
      <c r="E66" s="427">
        <v>80</v>
      </c>
      <c r="F66" s="427" t="s">
        <v>436</v>
      </c>
      <c r="G66" s="427">
        <v>65</v>
      </c>
      <c r="H66" s="428" t="s">
        <v>434</v>
      </c>
    </row>
    <row r="67" spans="1:8" ht="13.8" x14ac:dyDescent="0.25">
      <c r="A67" s="424">
        <v>156000</v>
      </c>
      <c r="B67" s="429" t="s">
        <v>434</v>
      </c>
      <c r="C67" s="425">
        <v>24</v>
      </c>
      <c r="D67" s="426">
        <v>81891</v>
      </c>
      <c r="E67" s="427">
        <v>82</v>
      </c>
      <c r="F67" s="427" t="s">
        <v>434</v>
      </c>
      <c r="G67" s="427">
        <v>80</v>
      </c>
      <c r="H67" s="428" t="s">
        <v>434</v>
      </c>
    </row>
    <row r="68" spans="1:8" ht="13.8" x14ac:dyDescent="0.25">
      <c r="A68" s="424">
        <v>160000</v>
      </c>
      <c r="B68" s="429" t="s">
        <v>436</v>
      </c>
      <c r="C68" s="425">
        <v>27</v>
      </c>
      <c r="D68" s="426">
        <v>92128</v>
      </c>
      <c r="E68" s="427">
        <v>85</v>
      </c>
      <c r="F68" s="427" t="s">
        <v>434</v>
      </c>
      <c r="G68" s="427">
        <v>85</v>
      </c>
      <c r="H68" s="428" t="s">
        <v>434</v>
      </c>
    </row>
    <row r="69" spans="1:8" ht="13.8" x14ac:dyDescent="0.25">
      <c r="A69" s="424">
        <v>175000</v>
      </c>
      <c r="B69" s="429" t="s">
        <v>435</v>
      </c>
      <c r="C69" s="425">
        <v>36</v>
      </c>
      <c r="D69" s="426">
        <v>122837</v>
      </c>
      <c r="E69" s="427">
        <v>90</v>
      </c>
      <c r="F69" s="427" t="s">
        <v>436</v>
      </c>
      <c r="G69" s="427">
        <v>105</v>
      </c>
      <c r="H69" s="428" t="s">
        <v>434</v>
      </c>
    </row>
    <row r="70" spans="1:8" ht="13.8" x14ac:dyDescent="0.25">
      <c r="A70" s="424">
        <v>180000</v>
      </c>
      <c r="B70" s="434" t="s">
        <v>434</v>
      </c>
      <c r="C70" s="436">
        <v>54</v>
      </c>
      <c r="D70" s="427">
        <v>184256</v>
      </c>
      <c r="E70" s="427">
        <v>91</v>
      </c>
      <c r="F70" s="427" t="s">
        <v>434</v>
      </c>
      <c r="G70" s="427">
        <v>120</v>
      </c>
      <c r="H70" s="438" t="s">
        <v>434</v>
      </c>
    </row>
    <row r="71" spans="1:8" ht="13.8" x14ac:dyDescent="0.25">
      <c r="A71" s="424">
        <v>199000</v>
      </c>
      <c r="B71" s="434" t="s">
        <v>435</v>
      </c>
      <c r="C71" s="436"/>
      <c r="D71" s="427"/>
      <c r="E71" s="427">
        <v>100</v>
      </c>
      <c r="F71" s="427" t="s">
        <v>436</v>
      </c>
      <c r="G71" s="427"/>
      <c r="H71" s="438"/>
    </row>
    <row r="72" spans="1:8" ht="13.8" x14ac:dyDescent="0.25">
      <c r="A72" s="424">
        <v>199900</v>
      </c>
      <c r="B72" s="434" t="s">
        <v>436</v>
      </c>
      <c r="C72" s="436"/>
      <c r="D72" s="427"/>
      <c r="E72" s="427">
        <v>110</v>
      </c>
      <c r="F72" s="427" t="s">
        <v>435</v>
      </c>
      <c r="G72" s="427"/>
      <c r="H72" s="438"/>
    </row>
    <row r="73" spans="1:8" ht="13.8" x14ac:dyDescent="0.25">
      <c r="A73" s="424">
        <v>200000</v>
      </c>
      <c r="B73" s="434" t="s">
        <v>435</v>
      </c>
      <c r="C73" s="436"/>
      <c r="D73" s="427"/>
      <c r="E73" s="427">
        <v>119</v>
      </c>
      <c r="F73" s="427" t="s">
        <v>436</v>
      </c>
      <c r="G73" s="427"/>
      <c r="H73" s="438"/>
    </row>
    <row r="74" spans="1:8" ht="13.8" x14ac:dyDescent="0.25">
      <c r="A74" s="424">
        <v>250000</v>
      </c>
      <c r="B74" s="434" t="s">
        <v>436</v>
      </c>
      <c r="C74" s="437"/>
      <c r="D74" s="435"/>
      <c r="E74" s="435">
        <v>125</v>
      </c>
      <c r="F74" s="435" t="s">
        <v>435</v>
      </c>
      <c r="G74" s="435"/>
      <c r="H74" s="439"/>
    </row>
    <row r="75" spans="1:8" x14ac:dyDescent="0.25">
      <c r="A75" s="424">
        <v>251000</v>
      </c>
      <c r="B75" s="429" t="s">
        <v>435</v>
      </c>
      <c r="C75" s="347"/>
      <c r="D75" s="347"/>
      <c r="E75" s="456"/>
      <c r="F75" s="347"/>
      <c r="G75" s="347"/>
      <c r="H75" s="343"/>
    </row>
    <row r="76" spans="1:8" x14ac:dyDescent="0.25">
      <c r="A76" s="424">
        <v>270000</v>
      </c>
      <c r="B76" s="429" t="s">
        <v>434</v>
      </c>
      <c r="C76" s="347"/>
      <c r="D76" s="347"/>
      <c r="E76" s="456"/>
      <c r="F76" s="347"/>
      <c r="G76" s="347"/>
      <c r="H76" s="343"/>
    </row>
    <row r="77" spans="1:8" x14ac:dyDescent="0.25">
      <c r="A77" s="424">
        <v>285000</v>
      </c>
      <c r="B77" s="429" t="s">
        <v>435</v>
      </c>
      <c r="C77" s="347"/>
      <c r="D77" s="347"/>
      <c r="E77" s="456"/>
      <c r="F77" s="347"/>
      <c r="G77" s="347"/>
      <c r="H77" s="343"/>
    </row>
    <row r="78" spans="1:8" x14ac:dyDescent="0.25">
      <c r="A78" s="424">
        <v>300000</v>
      </c>
      <c r="B78" s="429" t="s">
        <v>436</v>
      </c>
      <c r="C78" s="347"/>
      <c r="D78" s="347"/>
      <c r="E78" s="456"/>
      <c r="F78" s="347"/>
      <c r="G78" s="347"/>
      <c r="H78" s="343"/>
    </row>
    <row r="79" spans="1:8" x14ac:dyDescent="0.25">
      <c r="A79" s="424">
        <v>320000</v>
      </c>
      <c r="B79" s="429" t="s">
        <v>435</v>
      </c>
      <c r="C79" s="347"/>
      <c r="D79" s="347"/>
      <c r="E79" s="456"/>
      <c r="F79" s="347"/>
      <c r="G79" s="347"/>
      <c r="H79" s="343"/>
    </row>
    <row r="80" spans="1:8" x14ac:dyDescent="0.25">
      <c r="A80" s="424">
        <v>360000</v>
      </c>
      <c r="B80" s="429" t="s">
        <v>434</v>
      </c>
      <c r="C80" s="347"/>
      <c r="D80" s="347"/>
      <c r="E80" s="456"/>
      <c r="F80" s="347"/>
      <c r="G80" s="347"/>
      <c r="H80" s="343"/>
    </row>
    <row r="81" spans="1:10" x14ac:dyDescent="0.25">
      <c r="A81" s="424">
        <v>398000</v>
      </c>
      <c r="B81" s="429" t="s">
        <v>435</v>
      </c>
      <c r="C81" s="347"/>
      <c r="D81" s="347"/>
      <c r="E81" s="456"/>
      <c r="F81" s="347"/>
      <c r="G81" s="347"/>
      <c r="H81" s="343"/>
      <c r="I81" s="343"/>
      <c r="J81" s="343"/>
    </row>
    <row r="82" spans="1:10" x14ac:dyDescent="0.25">
      <c r="A82" s="424">
        <v>399000</v>
      </c>
      <c r="B82" s="429" t="s">
        <v>435</v>
      </c>
      <c r="C82" s="347"/>
      <c r="D82" s="347"/>
      <c r="E82" s="456"/>
      <c r="F82" s="347"/>
      <c r="G82" s="347"/>
      <c r="H82" s="343"/>
      <c r="I82" s="343"/>
      <c r="J82" s="343"/>
    </row>
    <row r="83" spans="1:10" x14ac:dyDescent="0.25">
      <c r="A83" s="424">
        <v>399900</v>
      </c>
      <c r="B83" s="429" t="s">
        <v>436</v>
      </c>
      <c r="C83" s="347"/>
      <c r="D83" s="347"/>
      <c r="E83" s="456"/>
      <c r="F83" s="347"/>
      <c r="G83" s="347"/>
      <c r="H83" s="343"/>
      <c r="I83" s="343"/>
      <c r="J83" s="343"/>
    </row>
    <row r="84" spans="1:10" x14ac:dyDescent="0.25">
      <c r="A84" s="424">
        <v>499900</v>
      </c>
      <c r="B84" s="429" t="s">
        <v>434</v>
      </c>
      <c r="C84" s="347"/>
      <c r="D84" s="347"/>
      <c r="E84" s="456"/>
      <c r="F84" s="347"/>
      <c r="G84" s="347"/>
      <c r="H84" s="343"/>
      <c r="I84" s="343"/>
      <c r="J84" s="343"/>
    </row>
    <row r="85" spans="1:10" x14ac:dyDescent="0.25">
      <c r="A85" s="424">
        <v>550000</v>
      </c>
      <c r="B85" s="429" t="s">
        <v>434</v>
      </c>
      <c r="C85" s="347"/>
      <c r="D85" s="347"/>
      <c r="E85" s="456"/>
      <c r="F85" s="347"/>
      <c r="G85" s="347"/>
      <c r="H85" s="343"/>
      <c r="I85" s="343"/>
      <c r="J85" s="343"/>
    </row>
    <row r="86" spans="1:10" x14ac:dyDescent="0.25">
      <c r="A86" s="440">
        <v>715000</v>
      </c>
      <c r="B86" s="430" t="s">
        <v>434</v>
      </c>
      <c r="C86" s="347"/>
      <c r="D86" s="347"/>
      <c r="E86" s="456"/>
      <c r="F86" s="347"/>
      <c r="G86" s="347"/>
      <c r="H86" s="343"/>
      <c r="I86" s="343"/>
      <c r="J86" s="343"/>
    </row>
    <row r="87" spans="1:10" x14ac:dyDescent="0.25">
      <c r="A87" s="457"/>
      <c r="B87" s="457"/>
      <c r="C87" s="348"/>
      <c r="D87" s="348"/>
      <c r="E87" s="457"/>
      <c r="F87" s="348"/>
      <c r="G87" s="348"/>
      <c r="H87" s="343"/>
      <c r="I87" s="343"/>
      <c r="J87" s="343"/>
    </row>
    <row r="89" spans="1:10" hidden="1" x14ac:dyDescent="0.3"/>
    <row r="90" spans="1:10" ht="13.2" hidden="1" x14ac:dyDescent="0.25">
      <c r="A90" s="23" t="s">
        <v>114</v>
      </c>
      <c r="B90" s="23"/>
      <c r="C90" s="23"/>
      <c r="D90" s="23"/>
      <c r="E90" s="24"/>
      <c r="F90" s="25"/>
      <c r="G90" s="26"/>
      <c r="H90" s="23"/>
      <c r="I90" s="23"/>
      <c r="J90" s="23"/>
    </row>
    <row r="91" spans="1:10" hidden="1" x14ac:dyDescent="0.3">
      <c r="A91" s="343"/>
      <c r="B91" s="343"/>
      <c r="E91" s="343"/>
      <c r="H91" s="343"/>
      <c r="I91" s="343"/>
      <c r="J91" s="343"/>
    </row>
    <row r="92" spans="1:10" hidden="1" x14ac:dyDescent="0.3">
      <c r="A92" s="458" t="s">
        <v>437</v>
      </c>
      <c r="B92" s="459" t="s">
        <v>438</v>
      </c>
      <c r="C92" s="459" t="s">
        <v>187</v>
      </c>
      <c r="D92" s="459" t="s">
        <v>186</v>
      </c>
      <c r="E92" s="343"/>
      <c r="H92" s="343"/>
      <c r="I92" s="343"/>
      <c r="J92" s="343"/>
    </row>
    <row r="93" spans="1:10" ht="26.4" hidden="1" x14ac:dyDescent="0.3">
      <c r="A93" s="460" t="s">
        <v>439</v>
      </c>
      <c r="B93" s="461">
        <f>6.416*10^-2</f>
        <v>6.4160000000000009E-2</v>
      </c>
      <c r="C93" s="461" t="s">
        <v>440</v>
      </c>
      <c r="D93" s="461" t="s">
        <v>441</v>
      </c>
      <c r="E93" s="457" t="s">
        <v>442</v>
      </c>
      <c r="H93" s="343"/>
      <c r="I93" s="343"/>
      <c r="J93" s="343"/>
    </row>
    <row r="94" spans="1:10" hidden="1" x14ac:dyDescent="0.3">
      <c r="A94" s="460" t="s">
        <v>443</v>
      </c>
      <c r="B94" s="461">
        <v>120</v>
      </c>
      <c r="C94" s="461">
        <v>135</v>
      </c>
      <c r="D94" s="461">
        <v>135</v>
      </c>
      <c r="E94" s="343"/>
      <c r="H94" s="343"/>
      <c r="I94" s="343"/>
      <c r="J94" s="343"/>
    </row>
    <row r="95" spans="1:10" hidden="1" x14ac:dyDescent="0.3">
      <c r="A95" s="462" t="s">
        <v>444</v>
      </c>
      <c r="B95" s="461">
        <v>0.2</v>
      </c>
      <c r="C95" s="461">
        <v>0.2</v>
      </c>
      <c r="D95" s="463" t="s">
        <v>217</v>
      </c>
      <c r="E95" s="343"/>
      <c r="H95" s="343"/>
      <c r="I95" s="343"/>
      <c r="J95" s="343"/>
    </row>
    <row r="96" spans="1:10" hidden="1" x14ac:dyDescent="0.3">
      <c r="A96" s="462" t="s">
        <v>445</v>
      </c>
      <c r="B96" s="463">
        <v>0.05</v>
      </c>
      <c r="C96" s="463">
        <v>0.05</v>
      </c>
      <c r="D96" s="463" t="s">
        <v>217</v>
      </c>
      <c r="E96" s="343"/>
      <c r="H96" s="343"/>
      <c r="I96" s="343"/>
      <c r="J96" s="343"/>
    </row>
    <row r="97" spans="1:3" hidden="1" x14ac:dyDescent="0.3">
      <c r="A97" s="464"/>
      <c r="B97" s="464"/>
    </row>
    <row r="98" spans="1:3" hidden="1" x14ac:dyDescent="0.3">
      <c r="A98" s="465" t="s">
        <v>313</v>
      </c>
      <c r="B98" s="466" t="s">
        <v>113</v>
      </c>
      <c r="C98" s="464"/>
    </row>
    <row r="99" spans="1:3" hidden="1" x14ac:dyDescent="0.3">
      <c r="A99" s="467" t="s">
        <v>314</v>
      </c>
      <c r="B99" s="468">
        <v>0.92962911380081059</v>
      </c>
      <c r="C99" s="464"/>
    </row>
    <row r="100" spans="1:3" hidden="1" x14ac:dyDescent="0.3">
      <c r="A100" s="467" t="s">
        <v>315</v>
      </c>
      <c r="B100" s="469" t="s">
        <v>316</v>
      </c>
      <c r="C100" s="464"/>
    </row>
    <row r="101" spans="1:3" hidden="1" x14ac:dyDescent="0.3">
      <c r="A101" s="467" t="s">
        <v>446</v>
      </c>
      <c r="B101" s="469" t="s">
        <v>447</v>
      </c>
      <c r="C101" s="464"/>
    </row>
    <row r="102" spans="1:3" hidden="1" x14ac:dyDescent="0.3">
      <c r="A102" s="343"/>
      <c r="B102" s="343"/>
    </row>
    <row r="103" spans="1:3" hidden="1" x14ac:dyDescent="0.3"/>
  </sheetData>
  <autoFilter ref="B34:I34" xr:uid="{0E02B6C0-0C03-49D1-BB98-D09DBA1E4EF8}"/>
  <mergeCells count="11">
    <mergeCell ref="A1:G1"/>
    <mergeCell ref="L35:L50"/>
    <mergeCell ref="A54:H54"/>
    <mergeCell ref="J34:K34"/>
    <mergeCell ref="H34:I34"/>
    <mergeCell ref="A33:L33"/>
    <mergeCell ref="B24:E24"/>
    <mergeCell ref="B25:E25"/>
    <mergeCell ref="H24:H25"/>
    <mergeCell ref="A8:H8"/>
    <mergeCell ref="H10:H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22"/>
  <sheetViews>
    <sheetView zoomScale="85" zoomScaleNormal="85" workbookViewId="0">
      <selection sqref="A1:H1"/>
    </sheetView>
  </sheetViews>
  <sheetFormatPr defaultColWidth="8.6640625" defaultRowHeight="13.2" x14ac:dyDescent="0.25"/>
  <cols>
    <col min="1" max="1" width="48.33203125" style="4" customWidth="1"/>
    <col min="2" max="2" width="19" style="4" customWidth="1"/>
    <col min="3" max="3" width="23.5546875" style="4" customWidth="1"/>
    <col min="4" max="4" width="21.44140625" style="4" bestFit="1" customWidth="1"/>
    <col min="5" max="5" width="21.33203125" style="4" customWidth="1"/>
    <col min="6" max="6" width="22.6640625" style="4" customWidth="1"/>
    <col min="7" max="7" width="19.6640625" style="4" customWidth="1"/>
    <col min="8" max="8" width="44.109375" style="4" customWidth="1"/>
    <col min="9" max="9" width="9.6640625" style="4" customWidth="1"/>
    <col min="10" max="10" width="13.33203125" style="4" customWidth="1"/>
    <col min="11" max="11" width="24" style="4" customWidth="1"/>
    <col min="12" max="12" width="10.5546875" style="4" customWidth="1"/>
    <col min="13" max="13" width="11.44140625" style="4" customWidth="1"/>
    <col min="14" max="14" width="10.5546875" style="4" customWidth="1"/>
    <col min="15" max="15" width="13.33203125" style="4" customWidth="1"/>
    <col min="16" max="16" width="9.6640625" style="4" customWidth="1"/>
    <col min="17" max="17" width="9.44140625" style="4" customWidth="1"/>
    <col min="18" max="18" width="12.6640625" style="4" customWidth="1"/>
    <col min="19" max="19" width="14.6640625" style="4" customWidth="1"/>
    <col min="20" max="20" width="20.6640625" style="4" customWidth="1"/>
    <col min="21" max="21" width="19.6640625" style="4" customWidth="1"/>
    <col min="22" max="27" width="8.6640625" style="4"/>
    <col min="28" max="28" width="13.6640625" style="4" bestFit="1" customWidth="1"/>
    <col min="29" max="16384" width="8.6640625" style="4"/>
  </cols>
  <sheetData>
    <row r="1" spans="1:8" ht="21" customHeight="1" x14ac:dyDescent="0.25">
      <c r="A1" s="710" t="str">
        <f>"Interior Lighting - " &amp; Prototype!A2</f>
        <v>Interior Lighting - OfficeSmall</v>
      </c>
      <c r="B1" s="614"/>
      <c r="C1" s="614"/>
      <c r="D1" s="614"/>
      <c r="E1" s="614"/>
      <c r="F1" s="614"/>
      <c r="G1" s="614"/>
      <c r="H1" s="614"/>
    </row>
    <row r="2" spans="1:8" ht="19.95" customHeight="1" x14ac:dyDescent="0.25">
      <c r="A2" s="711" t="s">
        <v>182</v>
      </c>
      <c r="B2" s="712" t="s">
        <v>448</v>
      </c>
      <c r="C2" s="712"/>
      <c r="D2" s="712"/>
      <c r="E2" s="712" t="s">
        <v>225</v>
      </c>
      <c r="F2" s="712"/>
      <c r="G2" s="712"/>
      <c r="H2" s="712" t="s">
        <v>121</v>
      </c>
    </row>
    <row r="3" spans="1:8" ht="27" customHeight="1" x14ac:dyDescent="0.25">
      <c r="A3" s="711"/>
      <c r="B3" s="580" t="s">
        <v>449</v>
      </c>
      <c r="C3" s="580" t="s">
        <v>450</v>
      </c>
      <c r="D3" s="580" t="s">
        <v>267</v>
      </c>
      <c r="E3" s="580" t="s">
        <v>451</v>
      </c>
      <c r="F3" s="580" t="s">
        <v>450</v>
      </c>
      <c r="G3" s="580" t="s">
        <v>267</v>
      </c>
      <c r="H3" s="712"/>
    </row>
    <row r="4" spans="1:8" ht="28.5" customHeight="1" x14ac:dyDescent="0.25">
      <c r="A4" s="18" t="s">
        <v>140</v>
      </c>
      <c r="B4" s="578">
        <v>0.6</v>
      </c>
      <c r="C4" s="313">
        <f>0.2*0.5</f>
        <v>0.1</v>
      </c>
      <c r="D4" s="709" t="s">
        <v>452</v>
      </c>
      <c r="E4" s="578">
        <v>0.75</v>
      </c>
      <c r="F4" s="312" t="s">
        <v>160</v>
      </c>
      <c r="G4" s="709" t="s">
        <v>453</v>
      </c>
      <c r="H4" s="313" t="s">
        <v>454</v>
      </c>
    </row>
    <row r="5" spans="1:8" ht="36" customHeight="1" x14ac:dyDescent="0.25">
      <c r="A5" s="18" t="s">
        <v>149</v>
      </c>
      <c r="B5" s="578">
        <v>0.75</v>
      </c>
      <c r="C5" s="574"/>
      <c r="D5" s="709"/>
      <c r="E5" s="578">
        <v>1.4</v>
      </c>
      <c r="F5" s="13"/>
      <c r="G5" s="709"/>
      <c r="H5" s="574"/>
    </row>
    <row r="6" spans="1:8" ht="19.95" customHeight="1" x14ac:dyDescent="0.25">
      <c r="A6" s="18" t="s">
        <v>152</v>
      </c>
      <c r="B6" s="578">
        <v>0.7</v>
      </c>
      <c r="C6" s="312">
        <v>0.25</v>
      </c>
      <c r="D6" s="709"/>
      <c r="E6" s="578">
        <v>1.5</v>
      </c>
      <c r="F6" s="312">
        <v>0.5</v>
      </c>
      <c r="G6" s="709"/>
      <c r="H6" s="574"/>
    </row>
    <row r="7" spans="1:8" ht="19.95" customHeight="1" x14ac:dyDescent="0.25">
      <c r="A7" s="18" t="s">
        <v>155</v>
      </c>
      <c r="B7" s="578">
        <v>0.4</v>
      </c>
      <c r="C7" s="574"/>
      <c r="D7" s="709"/>
      <c r="E7" s="30">
        <v>0.6</v>
      </c>
      <c r="F7" s="13"/>
      <c r="G7" s="709"/>
      <c r="H7" s="574"/>
    </row>
    <row r="8" spans="1:8" ht="19.95" customHeight="1" x14ac:dyDescent="0.25">
      <c r="A8" s="18" t="s">
        <v>158</v>
      </c>
      <c r="B8" s="578">
        <v>0.4</v>
      </c>
      <c r="C8" s="574"/>
      <c r="D8" s="709"/>
      <c r="E8" s="578">
        <v>0.7</v>
      </c>
      <c r="F8" s="13"/>
      <c r="G8" s="709"/>
      <c r="H8" s="574"/>
    </row>
    <row r="9" spans="1:8" ht="19.95" customHeight="1" x14ac:dyDescent="0.25">
      <c r="A9" s="18" t="s">
        <v>163</v>
      </c>
      <c r="B9" s="313">
        <v>0.65</v>
      </c>
      <c r="C9" s="574"/>
      <c r="D9" s="709"/>
      <c r="E9" s="578">
        <v>0.65</v>
      </c>
      <c r="F9" s="13"/>
      <c r="G9" s="709"/>
      <c r="H9" s="574"/>
    </row>
    <row r="10" spans="1:8" ht="39.6" customHeight="1" x14ac:dyDescent="0.25">
      <c r="A10" s="182" t="s">
        <v>166</v>
      </c>
      <c r="B10" s="578">
        <v>0.55000000000000004</v>
      </c>
      <c r="C10" s="312">
        <f>0.5*0.25</f>
        <v>0.125</v>
      </c>
      <c r="D10" s="709"/>
      <c r="E10" s="578">
        <v>1.1000000000000001</v>
      </c>
      <c r="F10" s="13"/>
      <c r="G10" s="709"/>
      <c r="H10" s="578" t="s">
        <v>455</v>
      </c>
    </row>
    <row r="11" spans="1:8" ht="19.95" customHeight="1" x14ac:dyDescent="0.25">
      <c r="A11" s="18" t="s">
        <v>168</v>
      </c>
      <c r="B11" s="578">
        <v>0.4</v>
      </c>
      <c r="C11" s="574"/>
      <c r="D11" s="709"/>
      <c r="E11" s="578">
        <v>0.6</v>
      </c>
      <c r="F11" s="13"/>
      <c r="G11" s="709"/>
      <c r="H11" s="211"/>
    </row>
    <row r="12" spans="1:8" ht="31.2" customHeight="1" x14ac:dyDescent="0.25">
      <c r="A12" s="18" t="s">
        <v>172</v>
      </c>
      <c r="B12" s="574"/>
      <c r="C12" s="578"/>
      <c r="D12" s="709"/>
      <c r="E12" s="31"/>
      <c r="F12" s="574"/>
      <c r="G12" s="709"/>
      <c r="H12" s="32"/>
    </row>
    <row r="13" spans="1:8" ht="13.2" customHeight="1" x14ac:dyDescent="0.25">
      <c r="B13" s="22"/>
      <c r="C13" s="22"/>
      <c r="D13" s="123"/>
    </row>
    <row r="14" spans="1:8" ht="13.2" customHeight="1" x14ac:dyDescent="0.25">
      <c r="A14" s="4" t="s">
        <v>456</v>
      </c>
      <c r="B14" s="22"/>
      <c r="C14" s="22"/>
      <c r="D14" s="22"/>
    </row>
    <row r="15" spans="1:8" ht="21" customHeight="1" x14ac:dyDescent="0.25">
      <c r="A15" s="35"/>
      <c r="B15" s="22"/>
      <c r="C15" s="22"/>
      <c r="D15" s="22"/>
    </row>
    <row r="16" spans="1:8" ht="13.2" customHeight="1" x14ac:dyDescent="0.25">
      <c r="B16" s="22"/>
      <c r="C16" s="22"/>
      <c r="D16" s="22"/>
    </row>
    <row r="17" spans="1:4" ht="13.2" customHeight="1" x14ac:dyDescent="0.25">
      <c r="B17" s="708" t="s">
        <v>457</v>
      </c>
      <c r="C17" s="708"/>
      <c r="D17" s="22"/>
    </row>
    <row r="18" spans="1:4" ht="13.2" customHeight="1" x14ac:dyDescent="0.25">
      <c r="B18" s="568">
        <v>2025</v>
      </c>
      <c r="C18" s="568">
        <v>2013</v>
      </c>
      <c r="D18" s="22"/>
    </row>
    <row r="19" spans="1:4" ht="13.2" customHeight="1" x14ac:dyDescent="0.25">
      <c r="A19" s="574" t="s">
        <v>458</v>
      </c>
      <c r="B19" s="578">
        <v>0.6</v>
      </c>
      <c r="C19" s="578">
        <v>0.8</v>
      </c>
      <c r="D19" s="4" t="s">
        <v>459</v>
      </c>
    </row>
    <row r="20" spans="1:4" ht="13.2" customHeight="1" x14ac:dyDescent="0.25">
      <c r="B20" s="22"/>
      <c r="C20" s="22"/>
      <c r="D20" s="22"/>
    </row>
    <row r="21" spans="1:4" ht="13.2" customHeight="1" x14ac:dyDescent="0.25">
      <c r="B21" s="22"/>
      <c r="C21" s="22"/>
      <c r="D21" s="22"/>
    </row>
    <row r="22" spans="1:4" ht="13.2" customHeight="1" x14ac:dyDescent="0.25">
      <c r="B22" s="22"/>
      <c r="C22" s="22"/>
      <c r="D22" s="22"/>
    </row>
  </sheetData>
  <mergeCells count="8">
    <mergeCell ref="B17:C17"/>
    <mergeCell ref="D4:D12"/>
    <mergeCell ref="G4:G12"/>
    <mergeCell ref="A1:H1"/>
    <mergeCell ref="A2:A3"/>
    <mergeCell ref="B2:D2"/>
    <mergeCell ref="E2:G2"/>
    <mergeCell ref="H2:H3"/>
  </mergeCells>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E176D1F-2AB2-43E3-BFE1-290BD5F42A92}">
          <x14:formula1>
            <xm:f>Data!$A$2:$A$201</xm:f>
          </x14:formula1>
          <xm:sqref>A4:A11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9"/>
  <sheetViews>
    <sheetView zoomScale="85" zoomScaleNormal="85" workbookViewId="0">
      <selection sqref="A1:D1"/>
    </sheetView>
  </sheetViews>
  <sheetFormatPr defaultColWidth="8.6640625" defaultRowHeight="13.2" x14ac:dyDescent="0.25"/>
  <cols>
    <col min="1" max="1" width="35.6640625" style="4" customWidth="1"/>
    <col min="2" max="2" width="42.33203125" style="4" customWidth="1"/>
    <col min="3" max="3" width="17.33203125" style="4" customWidth="1"/>
    <col min="4" max="4" width="28.109375" style="4" customWidth="1"/>
    <col min="5" max="5" width="27.33203125" style="4" customWidth="1"/>
    <col min="6" max="6" width="24.6640625" style="4" customWidth="1"/>
    <col min="7" max="7" width="19.88671875" style="4" customWidth="1"/>
    <col min="8" max="8" width="15.5546875" style="4" customWidth="1"/>
    <col min="9" max="9" width="13.33203125" style="4" customWidth="1"/>
    <col min="10" max="10" width="17.109375" style="4" customWidth="1"/>
    <col min="11" max="16384" width="8.6640625" style="4"/>
  </cols>
  <sheetData>
    <row r="1" spans="1:7" ht="25.2" customHeight="1" x14ac:dyDescent="0.25">
      <c r="A1" s="713" t="str">
        <f>"Exterior Lighting - " &amp; Prototype!A2</f>
        <v>Exterior Lighting - OfficeSmall</v>
      </c>
      <c r="B1" s="713"/>
      <c r="C1" s="713"/>
      <c r="D1" s="713"/>
    </row>
    <row r="2" spans="1:7" ht="37.200000000000003" customHeight="1" x14ac:dyDescent="0.25">
      <c r="A2" s="58" t="s">
        <v>462</v>
      </c>
      <c r="B2" s="58" t="s">
        <v>463</v>
      </c>
      <c r="C2" s="58" t="s">
        <v>464</v>
      </c>
      <c r="D2" s="58" t="s">
        <v>267</v>
      </c>
    </row>
    <row r="3" spans="1:7" ht="51.6" customHeight="1" x14ac:dyDescent="0.25">
      <c r="A3" s="60">
        <f>G12</f>
        <v>382.26278846400004</v>
      </c>
      <c r="B3" s="60">
        <f>G13</f>
        <v>155.151445787</v>
      </c>
      <c r="C3" s="60">
        <f>A3+B3</f>
        <v>537.41423425100004</v>
      </c>
      <c r="D3" s="578" t="s">
        <v>465</v>
      </c>
    </row>
    <row r="4" spans="1:7" ht="22.2" customHeight="1" x14ac:dyDescent="0.25">
      <c r="A4" s="95"/>
      <c r="B4" s="95"/>
      <c r="C4" s="95"/>
    </row>
    <row r="5" spans="1:7" ht="22.2" customHeight="1" x14ac:dyDescent="0.25">
      <c r="A5" s="713" t="s">
        <v>466</v>
      </c>
      <c r="B5" s="713"/>
      <c r="C5" s="713"/>
      <c r="D5" s="713"/>
      <c r="E5" s="713"/>
      <c r="F5" s="713"/>
      <c r="G5" s="713"/>
    </row>
    <row r="6" spans="1:7" ht="44.4" customHeight="1" x14ac:dyDescent="0.25">
      <c r="A6" s="183" t="s">
        <v>467</v>
      </c>
      <c r="B6" s="714" t="s">
        <v>468</v>
      </c>
      <c r="C6" s="715"/>
      <c r="D6" s="184" t="s">
        <v>116</v>
      </c>
      <c r="E6" s="184" t="s">
        <v>469</v>
      </c>
      <c r="F6" s="184" t="s">
        <v>116</v>
      </c>
      <c r="G6" s="184" t="s">
        <v>470</v>
      </c>
    </row>
    <row r="7" spans="1:7" x14ac:dyDescent="0.25">
      <c r="A7" s="13" t="s">
        <v>471</v>
      </c>
      <c r="B7" s="13"/>
      <c r="C7" s="185"/>
      <c r="D7" s="574"/>
      <c r="E7" s="574">
        <v>200</v>
      </c>
      <c r="F7" s="574" t="s">
        <v>472</v>
      </c>
      <c r="G7" s="186">
        <f>$E7</f>
        <v>200</v>
      </c>
    </row>
    <row r="8" spans="1:7" ht="52.8" x14ac:dyDescent="0.25">
      <c r="A8" s="14" t="s">
        <v>473</v>
      </c>
      <c r="B8" s="386" t="s">
        <v>474</v>
      </c>
      <c r="C8" s="187">
        <f>B19/250*400</f>
        <v>8803.3046560000021</v>
      </c>
      <c r="D8" s="574" t="s">
        <v>475</v>
      </c>
      <c r="E8" s="574">
        <v>1.9E-2</v>
      </c>
      <c r="F8" s="574" t="s">
        <v>476</v>
      </c>
      <c r="G8" s="186">
        <f>$E8*C8</f>
        <v>167.26278846400004</v>
      </c>
    </row>
    <row r="9" spans="1:7" x14ac:dyDescent="0.25">
      <c r="A9" s="13" t="s">
        <v>477</v>
      </c>
      <c r="B9" s="188" t="s">
        <v>478</v>
      </c>
      <c r="C9" s="189">
        <v>1</v>
      </c>
      <c r="D9" s="574" t="s">
        <v>479</v>
      </c>
      <c r="E9" s="574">
        <v>15</v>
      </c>
      <c r="F9" s="574" t="s">
        <v>480</v>
      </c>
      <c r="G9" s="186">
        <f>E9*C9</f>
        <v>15</v>
      </c>
    </row>
    <row r="10" spans="1:7" ht="39.6" x14ac:dyDescent="0.25">
      <c r="A10" s="13" t="s">
        <v>481</v>
      </c>
      <c r="B10" s="387" t="s">
        <v>482</v>
      </c>
      <c r="C10" s="190">
        <f>B19*0.1</f>
        <v>550.20654100000013</v>
      </c>
      <c r="D10" s="574" t="s">
        <v>475</v>
      </c>
      <c r="E10" s="574">
        <v>7.0000000000000001E-3</v>
      </c>
      <c r="F10" s="574" t="s">
        <v>476</v>
      </c>
      <c r="G10" s="191">
        <f>E10*C10</f>
        <v>3.8514457870000012</v>
      </c>
    </row>
    <row r="11" spans="1:7" ht="92.4" x14ac:dyDescent="0.25">
      <c r="A11" s="13" t="s">
        <v>483</v>
      </c>
      <c r="B11" s="188" t="s">
        <v>484</v>
      </c>
      <c r="C11" s="190">
        <f>B18*0.5*10</f>
        <v>1513</v>
      </c>
      <c r="D11" s="574" t="s">
        <v>475</v>
      </c>
      <c r="E11" s="574">
        <v>0.1</v>
      </c>
      <c r="F11" s="574" t="s">
        <v>476</v>
      </c>
      <c r="G11" s="191">
        <f>E11*C11</f>
        <v>151.30000000000001</v>
      </c>
    </row>
    <row r="12" spans="1:7" x14ac:dyDescent="0.25">
      <c r="A12" s="716" t="s">
        <v>485</v>
      </c>
      <c r="B12" s="716"/>
      <c r="C12" s="716"/>
      <c r="D12" s="716"/>
      <c r="E12" s="716"/>
      <c r="F12" s="716"/>
      <c r="G12" s="192">
        <f>G8+G7+G9</f>
        <v>382.26278846400004</v>
      </c>
    </row>
    <row r="13" spans="1:7" x14ac:dyDescent="0.25">
      <c r="A13" s="716" t="s">
        <v>486</v>
      </c>
      <c r="B13" s="716"/>
      <c r="C13" s="716"/>
      <c r="D13" s="716"/>
      <c r="E13" s="716"/>
      <c r="F13" s="716"/>
      <c r="G13" s="192">
        <f>G10+G11</f>
        <v>155.151445787</v>
      </c>
    </row>
    <row r="14" spans="1:7" x14ac:dyDescent="0.25">
      <c r="A14" s="716" t="s">
        <v>185</v>
      </c>
      <c r="B14" s="716"/>
      <c r="C14" s="716"/>
      <c r="D14" s="716"/>
      <c r="E14" s="716"/>
      <c r="F14" s="716"/>
      <c r="G14" s="192">
        <f>G12+G13</f>
        <v>537.41423425100004</v>
      </c>
    </row>
    <row r="15" spans="1:7" x14ac:dyDescent="0.25">
      <c r="A15" s="95"/>
      <c r="B15" s="95"/>
      <c r="C15" s="95"/>
    </row>
    <row r="16" spans="1:7" x14ac:dyDescent="0.25">
      <c r="A16" s="4" t="s">
        <v>487</v>
      </c>
      <c r="C16" s="95"/>
    </row>
    <row r="17" spans="1:3" x14ac:dyDescent="0.25">
      <c r="C17" s="95"/>
    </row>
    <row r="18" spans="1:3" x14ac:dyDescent="0.25">
      <c r="A18" s="4" t="s">
        <v>488</v>
      </c>
      <c r="B18" s="70">
        <f>(90.8+60.5)*2</f>
        <v>302.60000000000002</v>
      </c>
      <c r="C18" s="95"/>
    </row>
    <row r="19" spans="1:3" x14ac:dyDescent="0.25">
      <c r="A19" s="4" t="s">
        <v>489</v>
      </c>
      <c r="B19" s="70">
        <f>Zones!H17</f>
        <v>5502.0654100000011</v>
      </c>
      <c r="C19" s="95"/>
    </row>
    <row r="20" spans="1:3" x14ac:dyDescent="0.25">
      <c r="A20" s="4" t="s">
        <v>490</v>
      </c>
      <c r="B20" s="34">
        <v>1</v>
      </c>
      <c r="C20" s="95"/>
    </row>
    <row r="21" spans="1:3" x14ac:dyDescent="0.25">
      <c r="A21" s="95"/>
      <c r="B21" s="95"/>
      <c r="C21" s="95"/>
    </row>
    <row r="22" spans="1:3" x14ac:dyDescent="0.25">
      <c r="A22" s="95"/>
      <c r="B22" s="95"/>
      <c r="C22" s="95"/>
    </row>
    <row r="23" spans="1:3" x14ac:dyDescent="0.25">
      <c r="A23" s="95"/>
      <c r="B23" s="95"/>
      <c r="C23" s="95"/>
    </row>
    <row r="24" spans="1:3" x14ac:dyDescent="0.25">
      <c r="A24" s="95"/>
      <c r="B24" s="95"/>
      <c r="C24" s="95"/>
    </row>
    <row r="25" spans="1:3" x14ac:dyDescent="0.25">
      <c r="A25" s="95"/>
      <c r="B25" s="95"/>
      <c r="C25" s="95"/>
    </row>
    <row r="26" spans="1:3" x14ac:dyDescent="0.25">
      <c r="A26" s="95"/>
      <c r="B26" s="95"/>
      <c r="C26" s="95"/>
    </row>
    <row r="27" spans="1:3" x14ac:dyDescent="0.25">
      <c r="A27" s="95"/>
      <c r="B27" s="95"/>
      <c r="C27" s="95"/>
    </row>
    <row r="28" spans="1:3" x14ac:dyDescent="0.25">
      <c r="A28" s="95"/>
      <c r="B28" s="95"/>
      <c r="C28" s="95"/>
    </row>
    <row r="29" spans="1:3" x14ac:dyDescent="0.25">
      <c r="A29" s="95"/>
      <c r="B29" s="95"/>
      <c r="C29" s="95"/>
    </row>
  </sheetData>
  <mergeCells count="6">
    <mergeCell ref="A1:D1"/>
    <mergeCell ref="A5:G5"/>
    <mergeCell ref="B6:C6"/>
    <mergeCell ref="A12:F12"/>
    <mergeCell ref="A13:F13"/>
    <mergeCell ref="A14:F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F53"/>
  <sheetViews>
    <sheetView zoomScale="85" zoomScaleNormal="85" workbookViewId="0">
      <selection sqref="A1:E1"/>
    </sheetView>
  </sheetViews>
  <sheetFormatPr defaultColWidth="8.6640625" defaultRowHeight="13.2" x14ac:dyDescent="0.25"/>
  <cols>
    <col min="1" max="1" width="47.109375" style="4" customWidth="1"/>
    <col min="2" max="2" width="32.109375" style="4" customWidth="1"/>
    <col min="3" max="3" width="23.6640625" style="4" customWidth="1"/>
    <col min="4" max="4" width="19.33203125" style="4" customWidth="1"/>
    <col min="5" max="5" width="59.33203125" style="4" customWidth="1"/>
    <col min="6" max="6" width="18.6640625" style="4" customWidth="1"/>
    <col min="7" max="7" width="14.33203125" style="4" customWidth="1"/>
    <col min="8" max="8" width="8.6640625" style="4"/>
    <col min="9" max="9" width="10.5546875" style="4" bestFit="1" customWidth="1"/>
    <col min="10" max="10" width="16.33203125" style="4" customWidth="1"/>
    <col min="11" max="11" width="10.6640625" style="4" bestFit="1" customWidth="1"/>
    <col min="12" max="12" width="10.5546875" style="4" bestFit="1" customWidth="1"/>
    <col min="13" max="16384" width="8.6640625" style="4"/>
  </cols>
  <sheetData>
    <row r="1" spans="1:6" ht="23.4" customHeight="1" x14ac:dyDescent="0.25">
      <c r="A1" s="717" t="str">
        <f>"Equipment - " &amp; Prototype!A2</f>
        <v>Equipment - OfficeSmall</v>
      </c>
      <c r="B1" s="717"/>
      <c r="C1" s="717"/>
      <c r="D1" s="717"/>
      <c r="E1" s="717"/>
    </row>
    <row r="2" spans="1:6" ht="33" customHeight="1" x14ac:dyDescent="0.25">
      <c r="A2" s="101" t="s">
        <v>382</v>
      </c>
      <c r="B2" s="580" t="s">
        <v>492</v>
      </c>
      <c r="C2" s="580" t="s">
        <v>493</v>
      </c>
      <c r="D2" s="580" t="s">
        <v>494</v>
      </c>
      <c r="E2" s="579" t="s">
        <v>267</v>
      </c>
    </row>
    <row r="3" spans="1:6" ht="63.75" customHeight="1" x14ac:dyDescent="0.25">
      <c r="A3" s="18" t="s">
        <v>140</v>
      </c>
      <c r="B3" s="574">
        <v>0.7</v>
      </c>
      <c r="C3" s="32"/>
      <c r="D3" s="13"/>
      <c r="E3" s="313" t="s">
        <v>495</v>
      </c>
    </row>
    <row r="4" spans="1:6" ht="25.2" customHeight="1" x14ac:dyDescent="0.25">
      <c r="A4" s="18" t="s">
        <v>149</v>
      </c>
      <c r="B4" s="312">
        <v>1</v>
      </c>
      <c r="C4" s="32"/>
      <c r="D4" s="13"/>
      <c r="E4" s="718" t="s">
        <v>496</v>
      </c>
      <c r="F4" s="100"/>
    </row>
    <row r="5" spans="1:6" ht="18" customHeight="1" x14ac:dyDescent="0.25">
      <c r="A5" s="18" t="s">
        <v>152</v>
      </c>
      <c r="B5" s="574">
        <v>0.5</v>
      </c>
      <c r="C5" s="32"/>
      <c r="D5" s="13"/>
      <c r="E5" s="719"/>
      <c r="F5" s="100"/>
    </row>
    <row r="6" spans="1:6" ht="18" customHeight="1" x14ac:dyDescent="0.25">
      <c r="A6" s="18" t="s">
        <v>155</v>
      </c>
      <c r="B6" s="574">
        <v>0.2</v>
      </c>
      <c r="C6" s="32"/>
      <c r="D6" s="13"/>
      <c r="E6" s="719"/>
      <c r="F6" s="100"/>
    </row>
    <row r="7" spans="1:6" ht="18" customHeight="1" x14ac:dyDescent="0.25">
      <c r="A7" s="18" t="s">
        <v>158</v>
      </c>
      <c r="B7" s="96">
        <v>3</v>
      </c>
      <c r="C7" s="32"/>
      <c r="D7" s="13"/>
      <c r="E7" s="719"/>
      <c r="F7" s="100"/>
    </row>
    <row r="8" spans="1:6" ht="18" customHeight="1" x14ac:dyDescent="0.25">
      <c r="A8" s="18" t="s">
        <v>163</v>
      </c>
      <c r="B8" s="574">
        <v>0</v>
      </c>
      <c r="C8" s="32"/>
      <c r="D8" s="13"/>
      <c r="E8" s="719"/>
      <c r="F8" s="100"/>
    </row>
    <row r="9" spans="1:6" ht="18" customHeight="1" x14ac:dyDescent="0.25">
      <c r="A9" s="182" t="s">
        <v>166</v>
      </c>
      <c r="B9" s="574">
        <v>1</v>
      </c>
      <c r="C9" s="32"/>
      <c r="D9" s="13"/>
      <c r="E9" s="719"/>
      <c r="F9" s="100"/>
    </row>
    <row r="10" spans="1:6" ht="18" customHeight="1" x14ac:dyDescent="0.25">
      <c r="A10" s="18" t="s">
        <v>168</v>
      </c>
      <c r="B10" s="574">
        <v>0</v>
      </c>
      <c r="C10" s="32"/>
      <c r="D10" s="13"/>
      <c r="E10" s="720"/>
      <c r="F10" s="21"/>
    </row>
    <row r="12" spans="1:6" x14ac:dyDescent="0.25">
      <c r="A12" s="5"/>
    </row>
    <row r="13" spans="1:6" ht="15" customHeight="1" x14ac:dyDescent="0.25"/>
    <row r="14" spans="1:6" ht="12.6" customHeight="1" x14ac:dyDescent="0.3">
      <c r="A14" s="1"/>
    </row>
    <row r="20" spans="1:1" s="194" customFormat="1" x14ac:dyDescent="0.25">
      <c r="A20" s="193"/>
    </row>
    <row r="23" spans="1:1" x14ac:dyDescent="0.25">
      <c r="A23" s="6"/>
    </row>
    <row r="24" spans="1:1" x14ac:dyDescent="0.25">
      <c r="A24" s="6"/>
    </row>
    <row r="25" spans="1:1" x14ac:dyDescent="0.25">
      <c r="A25" s="6"/>
    </row>
    <row r="26" spans="1:1" x14ac:dyDescent="0.25">
      <c r="A26" s="6"/>
    </row>
    <row r="27" spans="1:1" x14ac:dyDescent="0.25">
      <c r="A27" s="6"/>
    </row>
    <row r="28" spans="1:1" x14ac:dyDescent="0.25">
      <c r="A28" s="6"/>
    </row>
    <row r="29" spans="1:1" x14ac:dyDescent="0.25">
      <c r="A29" s="6"/>
    </row>
    <row r="30" spans="1:1" x14ac:dyDescent="0.25">
      <c r="A30" s="6"/>
    </row>
    <row r="31" spans="1:1" x14ac:dyDescent="0.25">
      <c r="A31" s="6"/>
    </row>
    <row r="32" spans="1:1" x14ac:dyDescent="0.25">
      <c r="A32" s="6"/>
    </row>
    <row r="33" spans="1:1" x14ac:dyDescent="0.25">
      <c r="A33" s="6"/>
    </row>
    <row r="34" spans="1:1" x14ac:dyDescent="0.25">
      <c r="A34" s="6"/>
    </row>
    <row r="35" spans="1:1" x14ac:dyDescent="0.25">
      <c r="A35" s="6"/>
    </row>
    <row r="36" spans="1:1" x14ac:dyDescent="0.25">
      <c r="A36" s="6"/>
    </row>
    <row r="37" spans="1:1" x14ac:dyDescent="0.25">
      <c r="A37" s="6"/>
    </row>
    <row r="38" spans="1:1" x14ac:dyDescent="0.25">
      <c r="A38" s="6"/>
    </row>
    <row r="39" spans="1:1" x14ac:dyDescent="0.25">
      <c r="A39" s="6"/>
    </row>
    <row r="40" spans="1:1" x14ac:dyDescent="0.25">
      <c r="A40" s="6"/>
    </row>
    <row r="41" spans="1:1" x14ac:dyDescent="0.25">
      <c r="A41" s="6"/>
    </row>
    <row r="42" spans="1:1" x14ac:dyDescent="0.25">
      <c r="A42" s="6"/>
    </row>
    <row r="43" spans="1:1" x14ac:dyDescent="0.25">
      <c r="A43" s="6"/>
    </row>
    <row r="44" spans="1:1" x14ac:dyDescent="0.25">
      <c r="A44" s="6"/>
    </row>
    <row r="45" spans="1:1" x14ac:dyDescent="0.25">
      <c r="A45" s="6"/>
    </row>
    <row r="46" spans="1:1" x14ac:dyDescent="0.25">
      <c r="A46" s="6"/>
    </row>
    <row r="47" spans="1:1" x14ac:dyDescent="0.25">
      <c r="A47" s="6"/>
    </row>
    <row r="48" spans="1:1" x14ac:dyDescent="0.25">
      <c r="A48" s="6"/>
    </row>
    <row r="49" spans="1:1" x14ac:dyDescent="0.25">
      <c r="A49" s="6"/>
    </row>
    <row r="53" spans="1:1" s="194" customFormat="1" x14ac:dyDescent="0.25">
      <c r="A53" s="193"/>
    </row>
  </sheetData>
  <mergeCells count="2">
    <mergeCell ref="A1:E1"/>
    <mergeCell ref="E4:E10"/>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08A612D-8903-41C1-9C52-43525DDB11CF}">
          <x14:formula1>
            <xm:f>Data!$A$2:$A$201</xm:f>
          </x14:formula1>
          <xm:sqref>A3:A10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70"/>
  <sheetViews>
    <sheetView zoomScale="85" zoomScaleNormal="85" workbookViewId="0">
      <selection sqref="A1:AC1"/>
    </sheetView>
  </sheetViews>
  <sheetFormatPr defaultColWidth="9.33203125" defaultRowHeight="11.4" x14ac:dyDescent="0.3"/>
  <cols>
    <col min="1" max="1" width="18.109375" style="66" customWidth="1"/>
    <col min="2" max="2" width="18.33203125" style="66" customWidth="1"/>
    <col min="3" max="3" width="17.88671875" style="66" customWidth="1"/>
    <col min="4" max="4" width="19.33203125" style="66" customWidth="1"/>
    <col min="5" max="5" width="9.33203125" style="66"/>
    <col min="6" max="29" width="5.6640625" style="66" customWidth="1"/>
    <col min="30" max="16384" width="9.33203125" style="66"/>
  </cols>
  <sheetData>
    <row r="1" spans="1:39" ht="24" customHeight="1" x14ac:dyDescent="0.3">
      <c r="A1" s="603" t="str">
        <f>"Schedules - "&amp;Prototype!A2</f>
        <v>Schedules - OfficeSmall</v>
      </c>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837"/>
      <c r="AD1" s="67"/>
      <c r="AE1" s="67"/>
      <c r="AF1" s="67"/>
      <c r="AG1" s="67"/>
      <c r="AH1" s="67"/>
      <c r="AI1" s="68"/>
      <c r="AJ1" s="68"/>
      <c r="AK1" s="68"/>
    </row>
    <row r="2" spans="1:39" ht="24" customHeight="1" x14ac:dyDescent="0.3">
      <c r="A2" s="711" t="s">
        <v>460</v>
      </c>
      <c r="B2" s="711" t="s">
        <v>129</v>
      </c>
      <c r="C2" s="711" t="s">
        <v>260</v>
      </c>
      <c r="D2" s="711" t="s">
        <v>267</v>
      </c>
      <c r="E2" s="711" t="s">
        <v>497</v>
      </c>
      <c r="F2" s="844" t="s">
        <v>461</v>
      </c>
      <c r="G2" s="844"/>
      <c r="H2" s="844"/>
      <c r="I2" s="844"/>
      <c r="J2" s="844"/>
      <c r="K2" s="844"/>
      <c r="L2" s="844"/>
      <c r="M2" s="844"/>
      <c r="N2" s="844"/>
      <c r="O2" s="844"/>
      <c r="P2" s="844"/>
      <c r="Q2" s="844"/>
      <c r="R2" s="844"/>
      <c r="S2" s="844"/>
      <c r="T2" s="844"/>
      <c r="U2" s="844"/>
      <c r="V2" s="844"/>
      <c r="W2" s="844"/>
      <c r="X2" s="844"/>
      <c r="Y2" s="844"/>
      <c r="Z2" s="844"/>
      <c r="AA2" s="844"/>
      <c r="AB2" s="844"/>
      <c r="AC2" s="844"/>
      <c r="AD2" s="67"/>
      <c r="AE2" s="67"/>
      <c r="AF2" s="67"/>
      <c r="AG2" s="67"/>
      <c r="AH2" s="67"/>
      <c r="AI2" s="68"/>
      <c r="AJ2" s="68"/>
      <c r="AK2" s="68"/>
    </row>
    <row r="3" spans="1:39" ht="25.2" customHeight="1" thickBot="1" x14ac:dyDescent="0.35">
      <c r="A3" s="838"/>
      <c r="B3" s="838"/>
      <c r="C3" s="838"/>
      <c r="D3" s="838"/>
      <c r="E3" s="838"/>
      <c r="F3" s="583">
        <v>1</v>
      </c>
      <c r="G3" s="583">
        <v>2</v>
      </c>
      <c r="H3" s="583">
        <v>3</v>
      </c>
      <c r="I3" s="583">
        <v>4</v>
      </c>
      <c r="J3" s="583">
        <v>5</v>
      </c>
      <c r="K3" s="583">
        <v>6</v>
      </c>
      <c r="L3" s="583">
        <v>7</v>
      </c>
      <c r="M3" s="583">
        <v>8</v>
      </c>
      <c r="N3" s="583">
        <v>9</v>
      </c>
      <c r="O3" s="583">
        <v>10</v>
      </c>
      <c r="P3" s="583">
        <v>11</v>
      </c>
      <c r="Q3" s="583">
        <v>12</v>
      </c>
      <c r="R3" s="583">
        <v>13</v>
      </c>
      <c r="S3" s="583">
        <v>14</v>
      </c>
      <c r="T3" s="583">
        <v>15</v>
      </c>
      <c r="U3" s="583">
        <v>16</v>
      </c>
      <c r="V3" s="583">
        <v>17</v>
      </c>
      <c r="W3" s="583">
        <v>18</v>
      </c>
      <c r="X3" s="583">
        <v>19</v>
      </c>
      <c r="Y3" s="583">
        <v>20</v>
      </c>
      <c r="Z3" s="583">
        <v>21</v>
      </c>
      <c r="AA3" s="583">
        <v>22</v>
      </c>
      <c r="AB3" s="583">
        <v>23</v>
      </c>
      <c r="AC3" s="583">
        <v>24</v>
      </c>
      <c r="AD3" s="68"/>
      <c r="AE3" s="68"/>
      <c r="AF3" s="68"/>
      <c r="AG3" s="68"/>
      <c r="AH3" s="68"/>
      <c r="AI3" s="68"/>
      <c r="AJ3" s="68"/>
      <c r="AK3" s="68"/>
    </row>
    <row r="4" spans="1:39" ht="35.4" customHeight="1" x14ac:dyDescent="0.3">
      <c r="A4" s="726" t="s">
        <v>498</v>
      </c>
      <c r="B4" s="777" t="s">
        <v>142</v>
      </c>
      <c r="C4" s="729" t="s">
        <v>499</v>
      </c>
      <c r="D4" s="734" t="s">
        <v>500</v>
      </c>
      <c r="E4" s="140" t="s">
        <v>330</v>
      </c>
      <c r="F4" s="141">
        <v>0</v>
      </c>
      <c r="G4" s="141">
        <v>0</v>
      </c>
      <c r="H4" s="141">
        <v>0</v>
      </c>
      <c r="I4" s="141">
        <v>0</v>
      </c>
      <c r="J4" s="141">
        <v>0</v>
      </c>
      <c r="K4" s="141">
        <v>0</v>
      </c>
      <c r="L4" s="141">
        <v>0.1</v>
      </c>
      <c r="M4" s="141">
        <v>0.2</v>
      </c>
      <c r="N4" s="141">
        <v>0.95</v>
      </c>
      <c r="O4" s="141">
        <v>0.95</v>
      </c>
      <c r="P4" s="141">
        <v>0.95</v>
      </c>
      <c r="Q4" s="141">
        <v>0.95</v>
      </c>
      <c r="R4" s="141">
        <v>0.5</v>
      </c>
      <c r="S4" s="141">
        <v>0.95</v>
      </c>
      <c r="T4" s="141">
        <v>0.95</v>
      </c>
      <c r="U4" s="141">
        <v>0.95</v>
      </c>
      <c r="V4" s="141">
        <v>0.95</v>
      </c>
      <c r="W4" s="141">
        <v>0.3</v>
      </c>
      <c r="X4" s="141">
        <v>0.1</v>
      </c>
      <c r="Y4" s="141">
        <v>0.1</v>
      </c>
      <c r="Z4" s="141">
        <v>0.1</v>
      </c>
      <c r="AA4" s="141">
        <v>0.1</v>
      </c>
      <c r="AB4" s="141">
        <v>0.05</v>
      </c>
      <c r="AC4" s="142">
        <v>0.05</v>
      </c>
      <c r="AD4" s="68"/>
      <c r="AE4" s="68"/>
      <c r="AF4" s="68"/>
      <c r="AG4" s="68"/>
      <c r="AH4" s="68"/>
      <c r="AI4" s="68"/>
      <c r="AJ4" s="68"/>
      <c r="AK4" s="68"/>
    </row>
    <row r="5" spans="1:39" ht="33" customHeight="1" x14ac:dyDescent="0.3">
      <c r="A5" s="775"/>
      <c r="B5" s="778"/>
      <c r="C5" s="763"/>
      <c r="D5" s="735"/>
      <c r="E5" s="143" t="s">
        <v>331</v>
      </c>
      <c r="F5" s="144">
        <v>0</v>
      </c>
      <c r="G5" s="144">
        <v>0</v>
      </c>
      <c r="H5" s="144">
        <v>0</v>
      </c>
      <c r="I5" s="144">
        <v>0</v>
      </c>
      <c r="J5" s="144">
        <v>0</v>
      </c>
      <c r="K5" s="144">
        <v>0</v>
      </c>
      <c r="L5" s="145">
        <v>0.05</v>
      </c>
      <c r="M5" s="145">
        <v>0.05</v>
      </c>
      <c r="N5" s="145">
        <v>0.05</v>
      </c>
      <c r="O5" s="145">
        <v>0.05</v>
      </c>
      <c r="P5" s="145">
        <v>0.05</v>
      </c>
      <c r="Q5" s="145">
        <v>0.05</v>
      </c>
      <c r="R5" s="145">
        <v>0.05</v>
      </c>
      <c r="S5" s="145">
        <v>0.05</v>
      </c>
      <c r="T5" s="145">
        <v>0.05</v>
      </c>
      <c r="U5" s="145">
        <v>0.05</v>
      </c>
      <c r="V5" s="145">
        <v>0.05</v>
      </c>
      <c r="W5" s="145">
        <v>0.05</v>
      </c>
      <c r="X5" s="146">
        <v>0</v>
      </c>
      <c r="Y5" s="144">
        <v>0</v>
      </c>
      <c r="Z5" s="144">
        <v>0</v>
      </c>
      <c r="AA5" s="144">
        <v>0</v>
      </c>
      <c r="AB5" s="144">
        <v>0</v>
      </c>
      <c r="AC5" s="147">
        <v>0</v>
      </c>
      <c r="AD5" s="68"/>
      <c r="AE5" s="68"/>
      <c r="AF5" s="68"/>
      <c r="AG5" s="68"/>
      <c r="AH5" s="68"/>
      <c r="AI5" s="68"/>
      <c r="AJ5" s="68"/>
      <c r="AK5" s="68"/>
    </row>
    <row r="6" spans="1:39" ht="33.6" customHeight="1" thickBot="1" x14ac:dyDescent="0.35">
      <c r="A6" s="776"/>
      <c r="B6" s="795"/>
      <c r="C6" s="797"/>
      <c r="D6" s="845"/>
      <c r="E6" s="148" t="s">
        <v>332</v>
      </c>
      <c r="F6" s="149">
        <v>0</v>
      </c>
      <c r="G6" s="149">
        <v>0</v>
      </c>
      <c r="H6" s="149">
        <v>0</v>
      </c>
      <c r="I6" s="149">
        <v>0</v>
      </c>
      <c r="J6" s="149">
        <v>0</v>
      </c>
      <c r="K6" s="149">
        <v>0</v>
      </c>
      <c r="L6" s="149">
        <v>0.05</v>
      </c>
      <c r="M6" s="149">
        <v>0.05</v>
      </c>
      <c r="N6" s="149">
        <v>0.05</v>
      </c>
      <c r="O6" s="149">
        <v>0.05</v>
      </c>
      <c r="P6" s="149">
        <v>0.05</v>
      </c>
      <c r="Q6" s="149">
        <v>0.05</v>
      </c>
      <c r="R6" s="149">
        <v>0.05</v>
      </c>
      <c r="S6" s="149">
        <v>0.05</v>
      </c>
      <c r="T6" s="149">
        <v>0.05</v>
      </c>
      <c r="U6" s="149">
        <v>0.05</v>
      </c>
      <c r="V6" s="149">
        <v>0.05</v>
      </c>
      <c r="W6" s="149">
        <v>0.05</v>
      </c>
      <c r="X6" s="149">
        <v>0</v>
      </c>
      <c r="Y6" s="149">
        <v>0</v>
      </c>
      <c r="Z6" s="149">
        <v>0</v>
      </c>
      <c r="AA6" s="149">
        <v>0</v>
      </c>
      <c r="AB6" s="149">
        <v>0</v>
      </c>
      <c r="AC6" s="150">
        <v>0</v>
      </c>
      <c r="AD6" s="68"/>
      <c r="AE6" s="68"/>
      <c r="AF6" s="68"/>
      <c r="AG6" s="68"/>
      <c r="AH6" s="68"/>
      <c r="AI6" s="68"/>
      <c r="AJ6" s="68"/>
      <c r="AK6" s="68"/>
    </row>
    <row r="7" spans="1:39" ht="38.700000000000003" customHeight="1" x14ac:dyDescent="0.3">
      <c r="A7" s="726" t="str">
        <f>A4</f>
        <v>All zones excluding Mechanical</v>
      </c>
      <c r="B7" s="777" t="s">
        <v>142</v>
      </c>
      <c r="C7" s="721" t="s">
        <v>501</v>
      </c>
      <c r="D7" s="734" t="s">
        <v>502</v>
      </c>
      <c r="E7" s="151" t="s">
        <v>330</v>
      </c>
      <c r="F7" s="141">
        <v>0.05</v>
      </c>
      <c r="G7" s="141">
        <v>0.05</v>
      </c>
      <c r="H7" s="141">
        <v>0.05</v>
      </c>
      <c r="I7" s="141">
        <v>0.05</v>
      </c>
      <c r="J7" s="141">
        <v>0.05</v>
      </c>
      <c r="K7" s="213">
        <v>0.1</v>
      </c>
      <c r="L7" s="213">
        <v>0.1</v>
      </c>
      <c r="M7" s="213">
        <v>0.3</v>
      </c>
      <c r="N7" s="213">
        <v>0.65</v>
      </c>
      <c r="O7" s="213">
        <v>0.65</v>
      </c>
      <c r="P7" s="213">
        <v>0.65</v>
      </c>
      <c r="Q7" s="213">
        <v>0.65</v>
      </c>
      <c r="R7" s="213">
        <v>0.65</v>
      </c>
      <c r="S7" s="213">
        <v>0.65</v>
      </c>
      <c r="T7" s="213">
        <v>0.65</v>
      </c>
      <c r="U7" s="213">
        <v>0.65</v>
      </c>
      <c r="V7" s="213">
        <v>0.65</v>
      </c>
      <c r="W7" s="213">
        <v>0.35</v>
      </c>
      <c r="X7" s="213">
        <v>0.3</v>
      </c>
      <c r="Y7" s="213">
        <v>0.3</v>
      </c>
      <c r="Z7" s="141">
        <v>0.2</v>
      </c>
      <c r="AA7" s="141">
        <v>0.2</v>
      </c>
      <c r="AB7" s="141">
        <v>0.1</v>
      </c>
      <c r="AC7" s="142">
        <v>0.05</v>
      </c>
      <c r="AD7" s="68"/>
      <c r="AE7" s="68"/>
      <c r="AF7" s="68"/>
      <c r="AG7" s="68"/>
      <c r="AH7" s="68"/>
      <c r="AI7" s="68"/>
      <c r="AJ7" s="68"/>
      <c r="AK7" s="68"/>
      <c r="AM7" s="99"/>
    </row>
    <row r="8" spans="1:39" ht="38.700000000000003" customHeight="1" x14ac:dyDescent="0.3">
      <c r="A8" s="775"/>
      <c r="B8" s="778"/>
      <c r="C8" s="763"/>
      <c r="D8" s="735"/>
      <c r="E8" s="152" t="s">
        <v>331</v>
      </c>
      <c r="F8" s="144">
        <v>0.05</v>
      </c>
      <c r="G8" s="144">
        <v>0.05</v>
      </c>
      <c r="H8" s="144">
        <v>0.05</v>
      </c>
      <c r="I8" s="144">
        <v>0.05</v>
      </c>
      <c r="J8" s="144">
        <v>0.05</v>
      </c>
      <c r="K8" s="146">
        <v>0.05</v>
      </c>
      <c r="L8" s="146">
        <v>0.15</v>
      </c>
      <c r="M8" s="146">
        <v>0.15</v>
      </c>
      <c r="N8" s="146">
        <v>0.15</v>
      </c>
      <c r="O8" s="146">
        <v>0.15</v>
      </c>
      <c r="P8" s="146">
        <v>0.15</v>
      </c>
      <c r="Q8" s="146">
        <v>0.15</v>
      </c>
      <c r="R8" s="146">
        <v>0.15</v>
      </c>
      <c r="S8" s="146">
        <v>0.15</v>
      </c>
      <c r="T8" s="146">
        <v>0.15</v>
      </c>
      <c r="U8" s="146">
        <v>0.15</v>
      </c>
      <c r="V8" s="146">
        <v>0.15</v>
      </c>
      <c r="W8" s="146">
        <v>0.15</v>
      </c>
      <c r="X8" s="144">
        <v>0.05</v>
      </c>
      <c r="Y8" s="144">
        <v>0.05</v>
      </c>
      <c r="Z8" s="144">
        <v>0.05</v>
      </c>
      <c r="AA8" s="144">
        <v>0.05</v>
      </c>
      <c r="AB8" s="144">
        <v>0.05</v>
      </c>
      <c r="AC8" s="147">
        <v>0.05</v>
      </c>
      <c r="AD8" s="68"/>
      <c r="AE8" s="68"/>
      <c r="AF8" s="68"/>
      <c r="AG8" s="68"/>
      <c r="AH8" s="68"/>
      <c r="AI8" s="68"/>
      <c r="AJ8" s="68"/>
      <c r="AK8" s="68"/>
      <c r="AM8" s="99"/>
    </row>
    <row r="9" spans="1:39" ht="38.700000000000003" customHeight="1" thickBot="1" x14ac:dyDescent="0.35">
      <c r="A9" s="776"/>
      <c r="B9" s="795"/>
      <c r="C9" s="797"/>
      <c r="D9" s="839"/>
      <c r="E9" s="153" t="s">
        <v>332</v>
      </c>
      <c r="F9" s="154">
        <v>0.05</v>
      </c>
      <c r="G9" s="154">
        <v>0.05</v>
      </c>
      <c r="H9" s="154">
        <v>0.05</v>
      </c>
      <c r="I9" s="154">
        <v>0.05</v>
      </c>
      <c r="J9" s="154">
        <v>0.05</v>
      </c>
      <c r="K9" s="154">
        <v>0.05</v>
      </c>
      <c r="L9" s="322">
        <v>0.15</v>
      </c>
      <c r="M9" s="322">
        <v>0.15</v>
      </c>
      <c r="N9" s="322">
        <v>0.15</v>
      </c>
      <c r="O9" s="322">
        <v>0.15</v>
      </c>
      <c r="P9" s="322">
        <v>0.15</v>
      </c>
      <c r="Q9" s="322">
        <v>0.15</v>
      </c>
      <c r="R9" s="322">
        <v>0.15</v>
      </c>
      <c r="S9" s="322">
        <v>0.15</v>
      </c>
      <c r="T9" s="322">
        <v>0.15</v>
      </c>
      <c r="U9" s="322">
        <v>0.15</v>
      </c>
      <c r="V9" s="322">
        <v>0.15</v>
      </c>
      <c r="W9" s="322">
        <v>0.15</v>
      </c>
      <c r="X9" s="154">
        <v>0.05</v>
      </c>
      <c r="Y9" s="154">
        <v>0.05</v>
      </c>
      <c r="Z9" s="154">
        <v>0.05</v>
      </c>
      <c r="AA9" s="154">
        <v>0.05</v>
      </c>
      <c r="AB9" s="154">
        <v>0.05</v>
      </c>
      <c r="AC9" s="155">
        <v>0.05</v>
      </c>
      <c r="AD9" s="68"/>
      <c r="AE9" s="68"/>
      <c r="AF9" s="68"/>
      <c r="AG9" s="68"/>
      <c r="AH9" s="68"/>
      <c r="AI9" s="68"/>
      <c r="AJ9" s="68"/>
      <c r="AK9" s="68"/>
      <c r="AM9" s="99"/>
    </row>
    <row r="10" spans="1:39" ht="36" customHeight="1" x14ac:dyDescent="0.3">
      <c r="A10" s="726" t="str">
        <f>A7</f>
        <v>All zones excluding Mechanical</v>
      </c>
      <c r="B10" s="777" t="s">
        <v>142</v>
      </c>
      <c r="C10" s="721" t="s">
        <v>503</v>
      </c>
      <c r="D10" s="840" t="s">
        <v>504</v>
      </c>
      <c r="E10" s="151" t="s">
        <v>330</v>
      </c>
      <c r="F10" s="156">
        <v>0.45</v>
      </c>
      <c r="G10" s="156">
        <v>0.45</v>
      </c>
      <c r="H10" s="156">
        <v>0.45</v>
      </c>
      <c r="I10" s="156">
        <v>0.45</v>
      </c>
      <c r="J10" s="156">
        <v>0.45</v>
      </c>
      <c r="K10" s="156">
        <v>0.45</v>
      </c>
      <c r="L10" s="156">
        <v>0.45</v>
      </c>
      <c r="M10" s="156">
        <v>0.74</v>
      </c>
      <c r="N10" s="156">
        <v>0.87</v>
      </c>
      <c r="O10" s="156">
        <v>0.9</v>
      </c>
      <c r="P10" s="156">
        <v>0.9</v>
      </c>
      <c r="Q10" s="156">
        <v>0.9</v>
      </c>
      <c r="R10" s="156">
        <v>0.9</v>
      </c>
      <c r="S10" s="156">
        <v>0.9</v>
      </c>
      <c r="T10" s="156">
        <v>0.9</v>
      </c>
      <c r="U10" s="156">
        <v>0.9</v>
      </c>
      <c r="V10" s="156">
        <v>0.9</v>
      </c>
      <c r="W10" s="156">
        <v>0.7</v>
      </c>
      <c r="X10" s="156">
        <v>0.5</v>
      </c>
      <c r="Y10" s="156">
        <v>0.5</v>
      </c>
      <c r="Z10" s="156">
        <v>0.5</v>
      </c>
      <c r="AA10" s="156">
        <v>0.45</v>
      </c>
      <c r="AB10" s="156">
        <v>0.45</v>
      </c>
      <c r="AC10" s="157">
        <v>0.45</v>
      </c>
      <c r="AD10" s="69"/>
      <c r="AE10" s="68"/>
      <c r="AF10" s="68"/>
      <c r="AG10" s="68"/>
      <c r="AH10" s="68"/>
      <c r="AI10" s="68"/>
      <c r="AJ10" s="68"/>
      <c r="AK10" s="68"/>
      <c r="AM10" s="99"/>
    </row>
    <row r="11" spans="1:39" ht="36" customHeight="1" x14ac:dyDescent="0.3">
      <c r="A11" s="775"/>
      <c r="B11" s="778"/>
      <c r="C11" s="763"/>
      <c r="D11" s="841"/>
      <c r="E11" s="152" t="s">
        <v>331</v>
      </c>
      <c r="F11" s="158">
        <v>0.43</v>
      </c>
      <c r="G11" s="158">
        <v>0.43</v>
      </c>
      <c r="H11" s="158">
        <v>0.43</v>
      </c>
      <c r="I11" s="158">
        <v>0.43</v>
      </c>
      <c r="J11" s="158">
        <v>0.43</v>
      </c>
      <c r="K11" s="158">
        <v>0.43</v>
      </c>
      <c r="L11" s="158">
        <v>0.43</v>
      </c>
      <c r="M11" s="158">
        <v>0.43</v>
      </c>
      <c r="N11" s="158">
        <v>0.43</v>
      </c>
      <c r="O11" s="158">
        <v>0.43</v>
      </c>
      <c r="P11" s="158">
        <v>0.43</v>
      </c>
      <c r="Q11" s="158">
        <v>0.43</v>
      </c>
      <c r="R11" s="158">
        <v>0.43</v>
      </c>
      <c r="S11" s="158">
        <v>0.43</v>
      </c>
      <c r="T11" s="158">
        <v>0.43</v>
      </c>
      <c r="U11" s="158">
        <v>0.43</v>
      </c>
      <c r="V11" s="158">
        <v>0.43</v>
      </c>
      <c r="W11" s="158">
        <v>0.43</v>
      </c>
      <c r="X11" s="158">
        <v>0.43</v>
      </c>
      <c r="Y11" s="158">
        <v>0.43</v>
      </c>
      <c r="Z11" s="158">
        <v>0.43</v>
      </c>
      <c r="AA11" s="158">
        <v>0.43</v>
      </c>
      <c r="AB11" s="158">
        <v>0.43</v>
      </c>
      <c r="AC11" s="159">
        <v>0.43</v>
      </c>
      <c r="AD11" s="69"/>
      <c r="AE11" s="68"/>
      <c r="AF11" s="68"/>
      <c r="AG11" s="68"/>
      <c r="AH11" s="68"/>
      <c r="AI11" s="68"/>
      <c r="AJ11" s="68"/>
      <c r="AK11" s="68"/>
      <c r="AM11" s="99"/>
    </row>
    <row r="12" spans="1:39" ht="36" customHeight="1" thickBot="1" x14ac:dyDescent="0.35">
      <c r="A12" s="776"/>
      <c r="B12" s="795"/>
      <c r="C12" s="843"/>
      <c r="D12" s="842"/>
      <c r="E12" s="160" t="s">
        <v>332</v>
      </c>
      <c r="F12" s="161">
        <v>0.43</v>
      </c>
      <c r="G12" s="161">
        <v>0.43</v>
      </c>
      <c r="H12" s="161">
        <v>0.43</v>
      </c>
      <c r="I12" s="161">
        <v>0.43</v>
      </c>
      <c r="J12" s="161">
        <v>0.43</v>
      </c>
      <c r="K12" s="161">
        <v>0.43</v>
      </c>
      <c r="L12" s="161">
        <v>0.43</v>
      </c>
      <c r="M12" s="161">
        <v>0.43</v>
      </c>
      <c r="N12" s="161">
        <v>0.43</v>
      </c>
      <c r="O12" s="161">
        <v>0.43</v>
      </c>
      <c r="P12" s="161">
        <v>0.43</v>
      </c>
      <c r="Q12" s="161">
        <v>0.43</v>
      </c>
      <c r="R12" s="161">
        <v>0.43</v>
      </c>
      <c r="S12" s="161">
        <v>0.43</v>
      </c>
      <c r="T12" s="161">
        <v>0.43</v>
      </c>
      <c r="U12" s="161">
        <v>0.43</v>
      </c>
      <c r="V12" s="161">
        <v>0.43</v>
      </c>
      <c r="W12" s="161">
        <v>0.43</v>
      </c>
      <c r="X12" s="161">
        <v>0.43</v>
      </c>
      <c r="Y12" s="161">
        <v>0.43</v>
      </c>
      <c r="Z12" s="161">
        <v>0.43</v>
      </c>
      <c r="AA12" s="161">
        <v>0.43</v>
      </c>
      <c r="AB12" s="161">
        <v>0.43</v>
      </c>
      <c r="AC12" s="162">
        <v>0.43</v>
      </c>
      <c r="AD12" s="69"/>
      <c r="AE12" s="68"/>
      <c r="AF12" s="68"/>
      <c r="AG12" s="68"/>
      <c r="AH12" s="68"/>
      <c r="AI12" s="68"/>
      <c r="AJ12" s="68"/>
      <c r="AK12" s="68"/>
      <c r="AM12" s="99"/>
    </row>
    <row r="13" spans="1:39" ht="33" customHeight="1" x14ac:dyDescent="0.3">
      <c r="A13" s="726" t="str">
        <f>A4</f>
        <v>All zones excluding Mechanical</v>
      </c>
      <c r="B13" s="777" t="s">
        <v>142</v>
      </c>
      <c r="C13" s="796" t="s">
        <v>505</v>
      </c>
      <c r="D13" s="734" t="s">
        <v>502</v>
      </c>
      <c r="E13" s="163" t="s">
        <v>330</v>
      </c>
      <c r="F13" s="164">
        <v>0</v>
      </c>
      <c r="G13" s="164">
        <v>0</v>
      </c>
      <c r="H13" s="164">
        <v>0</v>
      </c>
      <c r="I13" s="164">
        <v>0</v>
      </c>
      <c r="J13" s="164">
        <v>0</v>
      </c>
      <c r="K13" s="164">
        <v>1</v>
      </c>
      <c r="L13" s="164">
        <v>1</v>
      </c>
      <c r="M13" s="164">
        <v>1</v>
      </c>
      <c r="N13" s="164">
        <v>1</v>
      </c>
      <c r="O13" s="164">
        <v>1</v>
      </c>
      <c r="P13" s="164">
        <v>1</v>
      </c>
      <c r="Q13" s="164">
        <v>1</v>
      </c>
      <c r="R13" s="164">
        <v>1</v>
      </c>
      <c r="S13" s="164">
        <v>1</v>
      </c>
      <c r="T13" s="164">
        <v>1</v>
      </c>
      <c r="U13" s="164">
        <v>1</v>
      </c>
      <c r="V13" s="164">
        <v>1</v>
      </c>
      <c r="W13" s="164">
        <v>1</v>
      </c>
      <c r="X13" s="164">
        <v>1</v>
      </c>
      <c r="Y13" s="164">
        <v>1</v>
      </c>
      <c r="Z13" s="164">
        <v>1</v>
      </c>
      <c r="AA13" s="164">
        <v>1</v>
      </c>
      <c r="AB13" s="164">
        <v>1</v>
      </c>
      <c r="AC13" s="165">
        <v>1</v>
      </c>
      <c r="AD13" s="68"/>
      <c r="AE13" s="68"/>
      <c r="AF13" s="68"/>
      <c r="AG13" s="68"/>
      <c r="AH13" s="68"/>
      <c r="AI13" s="68"/>
      <c r="AJ13" s="68"/>
      <c r="AK13" s="68"/>
    </row>
    <row r="14" spans="1:39" ht="33" customHeight="1" x14ac:dyDescent="0.3">
      <c r="A14" s="775"/>
      <c r="B14" s="778"/>
      <c r="C14" s="763"/>
      <c r="D14" s="735"/>
      <c r="E14" s="152" t="s">
        <v>331</v>
      </c>
      <c r="F14" s="144">
        <v>0</v>
      </c>
      <c r="G14" s="144">
        <v>0</v>
      </c>
      <c r="H14" s="144">
        <v>0</v>
      </c>
      <c r="I14" s="144">
        <v>0</v>
      </c>
      <c r="J14" s="144">
        <v>0</v>
      </c>
      <c r="K14" s="144">
        <v>1</v>
      </c>
      <c r="L14" s="144">
        <v>1</v>
      </c>
      <c r="M14" s="144">
        <v>1</v>
      </c>
      <c r="N14" s="144">
        <v>1</v>
      </c>
      <c r="O14" s="144">
        <v>1</v>
      </c>
      <c r="P14" s="144">
        <v>1</v>
      </c>
      <c r="Q14" s="144">
        <v>1</v>
      </c>
      <c r="R14" s="144">
        <v>1</v>
      </c>
      <c r="S14" s="144">
        <v>1</v>
      </c>
      <c r="T14" s="144">
        <v>1</v>
      </c>
      <c r="U14" s="144">
        <v>1</v>
      </c>
      <c r="V14" s="144">
        <v>1</v>
      </c>
      <c r="W14" s="144">
        <v>1</v>
      </c>
      <c r="X14" s="144">
        <v>1</v>
      </c>
      <c r="Y14" s="144">
        <v>0</v>
      </c>
      <c r="Z14" s="144">
        <v>0</v>
      </c>
      <c r="AA14" s="144">
        <v>0</v>
      </c>
      <c r="AB14" s="144">
        <v>0</v>
      </c>
      <c r="AC14" s="147">
        <v>0</v>
      </c>
      <c r="AD14" s="68"/>
      <c r="AE14" s="68"/>
      <c r="AF14" s="68"/>
      <c r="AG14" s="68"/>
      <c r="AH14" s="68"/>
      <c r="AI14" s="68"/>
      <c r="AJ14" s="68"/>
      <c r="AK14" s="68"/>
    </row>
    <row r="15" spans="1:39" ht="33" customHeight="1" x14ac:dyDescent="0.3">
      <c r="A15" s="776"/>
      <c r="B15" s="778"/>
      <c r="C15" s="797"/>
      <c r="D15" s="735"/>
      <c r="E15" s="153" t="s">
        <v>332</v>
      </c>
      <c r="F15" s="149">
        <v>0</v>
      </c>
      <c r="G15" s="149">
        <v>0</v>
      </c>
      <c r="H15" s="149">
        <v>0</v>
      </c>
      <c r="I15" s="149">
        <v>0</v>
      </c>
      <c r="J15" s="149">
        <v>0</v>
      </c>
      <c r="K15" s="149">
        <v>0</v>
      </c>
      <c r="L15" s="149">
        <v>0</v>
      </c>
      <c r="M15" s="149">
        <v>0</v>
      </c>
      <c r="N15" s="149">
        <v>0</v>
      </c>
      <c r="O15" s="149">
        <v>0</v>
      </c>
      <c r="P15" s="149">
        <v>0</v>
      </c>
      <c r="Q15" s="149">
        <v>0</v>
      </c>
      <c r="R15" s="149">
        <v>0</v>
      </c>
      <c r="S15" s="149">
        <v>0</v>
      </c>
      <c r="T15" s="149">
        <v>0</v>
      </c>
      <c r="U15" s="149">
        <v>0</v>
      </c>
      <c r="V15" s="149">
        <v>0</v>
      </c>
      <c r="W15" s="149">
        <v>0</v>
      </c>
      <c r="X15" s="149">
        <v>0</v>
      </c>
      <c r="Y15" s="149">
        <v>0</v>
      </c>
      <c r="Z15" s="149">
        <v>0</v>
      </c>
      <c r="AA15" s="149">
        <v>0</v>
      </c>
      <c r="AB15" s="149">
        <v>0</v>
      </c>
      <c r="AC15" s="150">
        <v>0</v>
      </c>
      <c r="AD15" s="68"/>
      <c r="AE15" s="68"/>
      <c r="AF15" s="68"/>
      <c r="AG15" s="68"/>
      <c r="AH15" s="68"/>
      <c r="AI15" s="68"/>
      <c r="AJ15" s="68"/>
      <c r="AK15" s="68"/>
    </row>
    <row r="16" spans="1:39" ht="39.6" customHeight="1" x14ac:dyDescent="0.3">
      <c r="A16" s="785" t="str">
        <f>A4</f>
        <v>All zones excluding Mechanical</v>
      </c>
      <c r="B16" s="788" t="s">
        <v>142</v>
      </c>
      <c r="C16" s="762" t="s">
        <v>506</v>
      </c>
      <c r="D16" s="774" t="s">
        <v>502</v>
      </c>
      <c r="E16" s="325" t="s">
        <v>330</v>
      </c>
      <c r="F16" s="326">
        <v>0.05</v>
      </c>
      <c r="G16" s="326">
        <v>0.05</v>
      </c>
      <c r="H16" s="326">
        <v>0.05</v>
      </c>
      <c r="I16" s="326">
        <v>0.05</v>
      </c>
      <c r="J16" s="326">
        <v>0.05</v>
      </c>
      <c r="K16" s="326">
        <v>0.08</v>
      </c>
      <c r="L16" s="326">
        <v>7.0000000000000007E-2</v>
      </c>
      <c r="M16" s="326">
        <v>0.19</v>
      </c>
      <c r="N16" s="326">
        <v>0.35</v>
      </c>
      <c r="O16" s="326">
        <v>0.38</v>
      </c>
      <c r="P16" s="326">
        <v>0.39</v>
      </c>
      <c r="Q16" s="326">
        <v>0.47</v>
      </c>
      <c r="R16" s="326">
        <v>0.56999999999999995</v>
      </c>
      <c r="S16" s="326">
        <v>0.54</v>
      </c>
      <c r="T16" s="326">
        <v>0.34</v>
      </c>
      <c r="U16" s="326">
        <v>0.33</v>
      </c>
      <c r="V16" s="326">
        <v>0.44</v>
      </c>
      <c r="W16" s="326">
        <v>0.26</v>
      </c>
      <c r="X16" s="326">
        <v>0.21</v>
      </c>
      <c r="Y16" s="326">
        <v>0.15</v>
      </c>
      <c r="Z16" s="326">
        <v>0.17</v>
      </c>
      <c r="AA16" s="326">
        <v>0.08</v>
      </c>
      <c r="AB16" s="326">
        <v>0.05</v>
      </c>
      <c r="AC16" s="327">
        <v>0.05</v>
      </c>
      <c r="AD16" s="68"/>
      <c r="AE16" s="68"/>
      <c r="AF16" s="68"/>
      <c r="AG16" s="68"/>
      <c r="AH16" s="68"/>
      <c r="AI16" s="68"/>
      <c r="AJ16" s="68"/>
      <c r="AK16" s="68"/>
    </row>
    <row r="17" spans="1:37" ht="39.6" customHeight="1" x14ac:dyDescent="0.3">
      <c r="A17" s="786"/>
      <c r="B17" s="778"/>
      <c r="C17" s="763"/>
      <c r="D17" s="724"/>
      <c r="E17" s="324" t="s">
        <v>331</v>
      </c>
      <c r="F17" s="323">
        <v>0.04</v>
      </c>
      <c r="G17" s="323">
        <v>0.04</v>
      </c>
      <c r="H17" s="323">
        <v>0.04</v>
      </c>
      <c r="I17" s="323">
        <v>0.04</v>
      </c>
      <c r="J17" s="323">
        <v>0.04</v>
      </c>
      <c r="K17" s="323">
        <v>7.0000000000000007E-2</v>
      </c>
      <c r="L17" s="323">
        <v>0.04</v>
      </c>
      <c r="M17" s="323">
        <v>0.04</v>
      </c>
      <c r="N17" s="323">
        <v>0.04</v>
      </c>
      <c r="O17" s="323">
        <v>0.04</v>
      </c>
      <c r="P17" s="323">
        <v>0.04</v>
      </c>
      <c r="Q17" s="323">
        <v>0.06</v>
      </c>
      <c r="R17" s="323">
        <v>0.06</v>
      </c>
      <c r="S17" s="323">
        <v>0.09</v>
      </c>
      <c r="T17" s="323">
        <v>0.06</v>
      </c>
      <c r="U17" s="323">
        <v>0.04</v>
      </c>
      <c r="V17" s="323">
        <v>0.04</v>
      </c>
      <c r="W17" s="323">
        <v>0.04</v>
      </c>
      <c r="X17" s="323">
        <v>0.04</v>
      </c>
      <c r="Y17" s="323">
        <v>0.04</v>
      </c>
      <c r="Z17" s="323">
        <v>0.04</v>
      </c>
      <c r="AA17" s="323">
        <v>7.0000000000000007E-2</v>
      </c>
      <c r="AB17" s="323">
        <v>0.04</v>
      </c>
      <c r="AC17" s="328">
        <v>0.04</v>
      </c>
      <c r="AD17" s="68"/>
      <c r="AE17" s="68"/>
      <c r="AF17" s="68"/>
      <c r="AG17" s="68"/>
      <c r="AH17" s="68"/>
      <c r="AI17" s="68"/>
      <c r="AJ17" s="68"/>
      <c r="AK17" s="68"/>
    </row>
    <row r="18" spans="1:37" ht="39.6" customHeight="1" x14ac:dyDescent="0.3">
      <c r="A18" s="787"/>
      <c r="B18" s="789"/>
      <c r="C18" s="764"/>
      <c r="D18" s="740"/>
      <c r="E18" s="329" t="s">
        <v>332</v>
      </c>
      <c r="F18" s="330">
        <v>0.04</v>
      </c>
      <c r="G18" s="330">
        <v>0.04</v>
      </c>
      <c r="H18" s="330">
        <v>0.04</v>
      </c>
      <c r="I18" s="330">
        <v>0.04</v>
      </c>
      <c r="J18" s="330">
        <v>0.04</v>
      </c>
      <c r="K18" s="330">
        <v>7.0000000000000007E-2</v>
      </c>
      <c r="L18" s="330">
        <v>0.04</v>
      </c>
      <c r="M18" s="330">
        <v>0.04</v>
      </c>
      <c r="N18" s="330">
        <v>0.04</v>
      </c>
      <c r="O18" s="330">
        <v>0.04</v>
      </c>
      <c r="P18" s="330">
        <v>0.04</v>
      </c>
      <c r="Q18" s="330">
        <v>0.06</v>
      </c>
      <c r="R18" s="330">
        <v>0.06</v>
      </c>
      <c r="S18" s="330">
        <v>0.09</v>
      </c>
      <c r="T18" s="330">
        <v>0.06</v>
      </c>
      <c r="U18" s="330">
        <v>0.04</v>
      </c>
      <c r="V18" s="330">
        <v>0.04</v>
      </c>
      <c r="W18" s="330">
        <v>0.04</v>
      </c>
      <c r="X18" s="330">
        <v>0.04</v>
      </c>
      <c r="Y18" s="330">
        <v>0.04</v>
      </c>
      <c r="Z18" s="330">
        <v>0.04</v>
      </c>
      <c r="AA18" s="330">
        <v>7.0000000000000007E-2</v>
      </c>
      <c r="AB18" s="330">
        <v>0.04</v>
      </c>
      <c r="AC18" s="331">
        <v>0.04</v>
      </c>
      <c r="AD18" s="68"/>
      <c r="AE18" s="68"/>
      <c r="AF18" s="68"/>
      <c r="AG18" s="68"/>
      <c r="AH18" s="68"/>
      <c r="AI18" s="68"/>
      <c r="AJ18" s="68"/>
      <c r="AK18" s="68"/>
    </row>
    <row r="19" spans="1:37" ht="39.6" customHeight="1" x14ac:dyDescent="0.3">
      <c r="A19" s="836" t="str">
        <f>A4</f>
        <v>All zones excluding Mechanical</v>
      </c>
      <c r="B19" s="778" t="s">
        <v>142</v>
      </c>
      <c r="C19" s="796" t="s">
        <v>239</v>
      </c>
      <c r="D19" s="739" t="s">
        <v>507</v>
      </c>
      <c r="E19" s="163" t="s">
        <v>330</v>
      </c>
      <c r="F19" s="164">
        <v>1</v>
      </c>
      <c r="G19" s="164">
        <v>1</v>
      </c>
      <c r="H19" s="164">
        <v>1</v>
      </c>
      <c r="I19" s="164">
        <v>1</v>
      </c>
      <c r="J19" s="164">
        <v>1</v>
      </c>
      <c r="K19" s="164">
        <v>0.25</v>
      </c>
      <c r="L19" s="164">
        <v>0.25</v>
      </c>
      <c r="M19" s="164">
        <v>0.25</v>
      </c>
      <c r="N19" s="164">
        <v>0.25</v>
      </c>
      <c r="O19" s="164">
        <v>0.25</v>
      </c>
      <c r="P19" s="164">
        <v>0.25</v>
      </c>
      <c r="Q19" s="164">
        <v>0.25</v>
      </c>
      <c r="R19" s="164">
        <v>0.25</v>
      </c>
      <c r="S19" s="164">
        <v>0.25</v>
      </c>
      <c r="T19" s="164">
        <v>0.25</v>
      </c>
      <c r="U19" s="164">
        <v>0.25</v>
      </c>
      <c r="V19" s="164">
        <v>0.25</v>
      </c>
      <c r="W19" s="164">
        <v>0.25</v>
      </c>
      <c r="X19" s="164">
        <v>0.25</v>
      </c>
      <c r="Y19" s="164">
        <v>0.25</v>
      </c>
      <c r="Z19" s="164">
        <v>0.25</v>
      </c>
      <c r="AA19" s="164">
        <v>0.25</v>
      </c>
      <c r="AB19" s="164">
        <v>0.25</v>
      </c>
      <c r="AC19" s="165">
        <v>0.25</v>
      </c>
      <c r="AD19" s="68"/>
      <c r="AE19" s="68"/>
      <c r="AF19" s="68"/>
      <c r="AG19" s="68"/>
      <c r="AH19" s="68"/>
      <c r="AI19" s="68"/>
      <c r="AJ19" s="68"/>
      <c r="AK19" s="68"/>
    </row>
    <row r="20" spans="1:37" ht="39.6" customHeight="1" x14ac:dyDescent="0.3">
      <c r="A20" s="775"/>
      <c r="B20" s="778"/>
      <c r="C20" s="763"/>
      <c r="D20" s="724"/>
      <c r="E20" s="152" t="s">
        <v>331</v>
      </c>
      <c r="F20" s="144">
        <v>1</v>
      </c>
      <c r="G20" s="144">
        <v>1</v>
      </c>
      <c r="H20" s="144">
        <v>1</v>
      </c>
      <c r="I20" s="144">
        <v>1</v>
      </c>
      <c r="J20" s="144">
        <v>1</v>
      </c>
      <c r="K20" s="146">
        <v>1</v>
      </c>
      <c r="L20" s="146">
        <v>1</v>
      </c>
      <c r="M20" s="146">
        <v>1</v>
      </c>
      <c r="N20" s="146">
        <v>1</v>
      </c>
      <c r="O20" s="146">
        <v>1</v>
      </c>
      <c r="P20" s="146">
        <v>1</v>
      </c>
      <c r="Q20" s="146">
        <v>1</v>
      </c>
      <c r="R20" s="146">
        <v>1</v>
      </c>
      <c r="S20" s="146">
        <v>1</v>
      </c>
      <c r="T20" s="146">
        <v>1</v>
      </c>
      <c r="U20" s="146">
        <v>1</v>
      </c>
      <c r="V20" s="146">
        <v>1</v>
      </c>
      <c r="W20" s="146">
        <v>1</v>
      </c>
      <c r="X20" s="146">
        <v>1</v>
      </c>
      <c r="Y20" s="144">
        <v>1</v>
      </c>
      <c r="Z20" s="144">
        <v>1</v>
      </c>
      <c r="AA20" s="144">
        <v>1</v>
      </c>
      <c r="AB20" s="144">
        <v>1</v>
      </c>
      <c r="AC20" s="147">
        <v>1</v>
      </c>
      <c r="AD20" s="68"/>
      <c r="AE20" s="68"/>
      <c r="AF20" s="68"/>
      <c r="AG20" s="68"/>
      <c r="AH20" s="68"/>
      <c r="AI20" s="68"/>
      <c r="AJ20" s="68"/>
      <c r="AK20" s="68"/>
    </row>
    <row r="21" spans="1:37" ht="39.6" customHeight="1" thickBot="1" x14ac:dyDescent="0.35">
      <c r="A21" s="776"/>
      <c r="B21" s="795"/>
      <c r="C21" s="797"/>
      <c r="D21" s="725"/>
      <c r="E21" s="153" t="s">
        <v>332</v>
      </c>
      <c r="F21" s="149">
        <v>1</v>
      </c>
      <c r="G21" s="149">
        <v>1</v>
      </c>
      <c r="H21" s="149">
        <v>1</v>
      </c>
      <c r="I21" s="149">
        <v>1</v>
      </c>
      <c r="J21" s="149">
        <v>1</v>
      </c>
      <c r="K21" s="149">
        <v>1</v>
      </c>
      <c r="L21" s="149">
        <v>1</v>
      </c>
      <c r="M21" s="149">
        <v>1</v>
      </c>
      <c r="N21" s="149">
        <v>1</v>
      </c>
      <c r="O21" s="149">
        <v>1</v>
      </c>
      <c r="P21" s="149">
        <v>1</v>
      </c>
      <c r="Q21" s="149">
        <v>1</v>
      </c>
      <c r="R21" s="149">
        <v>1</v>
      </c>
      <c r="S21" s="149">
        <v>1</v>
      </c>
      <c r="T21" s="149">
        <v>1</v>
      </c>
      <c r="U21" s="149">
        <v>1</v>
      </c>
      <c r="V21" s="149">
        <v>1</v>
      </c>
      <c r="W21" s="149">
        <v>1</v>
      </c>
      <c r="X21" s="149">
        <v>1</v>
      </c>
      <c r="Y21" s="149">
        <v>1</v>
      </c>
      <c r="Z21" s="149">
        <v>1</v>
      </c>
      <c r="AA21" s="149">
        <v>1</v>
      </c>
      <c r="AB21" s="149">
        <v>1</v>
      </c>
      <c r="AC21" s="150">
        <v>1</v>
      </c>
      <c r="AD21" s="68"/>
      <c r="AE21" s="68"/>
      <c r="AF21" s="68"/>
      <c r="AG21" s="68"/>
      <c r="AH21" s="68"/>
      <c r="AI21" s="68"/>
      <c r="AJ21" s="68"/>
      <c r="AK21" s="68"/>
    </row>
    <row r="22" spans="1:37" ht="31.95" customHeight="1" x14ac:dyDescent="0.3">
      <c r="A22" s="726" t="str">
        <f t="shared" ref="A22" si="0">A7</f>
        <v>All zones excluding Mechanical</v>
      </c>
      <c r="B22" s="777" t="s">
        <v>142</v>
      </c>
      <c r="C22" s="779" t="s">
        <v>508</v>
      </c>
      <c r="D22" s="782"/>
      <c r="E22" s="586" t="s">
        <v>330</v>
      </c>
      <c r="F22" s="167">
        <f>IF((F13=1),Thermostat!$C$3,Thermostat!$C$4)</f>
        <v>60</v>
      </c>
      <c r="G22" s="167">
        <f>IF((G13=1),Thermostat!$C$3,Thermostat!$C$4)</f>
        <v>60</v>
      </c>
      <c r="H22" s="167">
        <f>IF((H13=1),Thermostat!$C$3,Thermostat!$C$4)</f>
        <v>60</v>
      </c>
      <c r="I22" s="167">
        <f>IF((I13=1),Thermostat!$C$3,Thermostat!$C$4)</f>
        <v>60</v>
      </c>
      <c r="J22" s="167">
        <f>IF((J13=1),Thermostat!$C$3,Thermostat!$C$4)</f>
        <v>60</v>
      </c>
      <c r="K22" s="167">
        <f>IF((K13=1),Thermostat!$C$3,Thermostat!$C$4)</f>
        <v>70</v>
      </c>
      <c r="L22" s="167">
        <f>IF((L13=1),Thermostat!$C$3,Thermostat!$C$4)</f>
        <v>70</v>
      </c>
      <c r="M22" s="167">
        <f>IF((M13=1),Thermostat!$C$3,Thermostat!$C$4)</f>
        <v>70</v>
      </c>
      <c r="N22" s="167">
        <f>IF((N13=1),Thermostat!$C$3,Thermostat!$C$4)</f>
        <v>70</v>
      </c>
      <c r="O22" s="167">
        <f>IF((O13=1),Thermostat!$C$3,Thermostat!$C$4)</f>
        <v>70</v>
      </c>
      <c r="P22" s="167">
        <f>IF((P13=1),Thermostat!$C$3,Thermostat!$C$4)</f>
        <v>70</v>
      </c>
      <c r="Q22" s="167">
        <f>IF((Q13=1),Thermostat!$C$3,Thermostat!$C$4)</f>
        <v>70</v>
      </c>
      <c r="R22" s="167">
        <f>IF((R13=1),Thermostat!$C$3,Thermostat!$C$4)</f>
        <v>70</v>
      </c>
      <c r="S22" s="167">
        <f>IF((S13=1),Thermostat!$C$3,Thermostat!$C$4)</f>
        <v>70</v>
      </c>
      <c r="T22" s="167">
        <f>IF((T13=1),Thermostat!$C$3,Thermostat!$C$4)</f>
        <v>70</v>
      </c>
      <c r="U22" s="167">
        <f>IF((U13=1),Thermostat!$C$3,Thermostat!$C$4)</f>
        <v>70</v>
      </c>
      <c r="V22" s="167">
        <f>IF((V13=1),Thermostat!$C$3,Thermostat!$C$4)</f>
        <v>70</v>
      </c>
      <c r="W22" s="167">
        <f>IF((W13=1),Thermostat!$C$3,Thermostat!$C$4)</f>
        <v>70</v>
      </c>
      <c r="X22" s="167">
        <f>IF((X13=1),Thermostat!$C$3,Thermostat!$C$4)</f>
        <v>70</v>
      </c>
      <c r="Y22" s="167">
        <f>IF((Y13=1),Thermostat!$C$3,Thermostat!$C$4)</f>
        <v>70</v>
      </c>
      <c r="Z22" s="167">
        <f>IF((Z13=1),Thermostat!$C$3,Thermostat!$C$4)</f>
        <v>70</v>
      </c>
      <c r="AA22" s="167">
        <f>IF((AA13=1),Thermostat!$C$3,Thermostat!$C$4)</f>
        <v>70</v>
      </c>
      <c r="AB22" s="167">
        <f>IF((AB13=1),Thermostat!$C$3,Thermostat!$C$4)</f>
        <v>70</v>
      </c>
      <c r="AC22" s="168">
        <f>IF((AC13=1),Thermostat!$C$3,Thermostat!$C$4)</f>
        <v>70</v>
      </c>
    </row>
    <row r="23" spans="1:37" ht="31.95" customHeight="1" x14ac:dyDescent="0.3">
      <c r="A23" s="775"/>
      <c r="B23" s="778"/>
      <c r="C23" s="780"/>
      <c r="D23" s="783"/>
      <c r="E23" s="587" t="s">
        <v>331</v>
      </c>
      <c r="F23" s="166">
        <f>IF((F14=1),Thermostat!$C$3,Thermostat!$C$4)</f>
        <v>60</v>
      </c>
      <c r="G23" s="166">
        <f>IF((G14=1),Thermostat!$C$3,Thermostat!$C$4)</f>
        <v>60</v>
      </c>
      <c r="H23" s="166">
        <f>IF((H14=1),Thermostat!$C$3,Thermostat!$C$4)</f>
        <v>60</v>
      </c>
      <c r="I23" s="166">
        <f>IF((I14=1),Thermostat!$C$3,Thermostat!$C$4)</f>
        <v>60</v>
      </c>
      <c r="J23" s="166">
        <f>IF((J14=1),Thermostat!$C$3,Thermostat!$C$4)</f>
        <v>60</v>
      </c>
      <c r="K23" s="166">
        <f>IF((K14=1),Thermostat!$C$3,Thermostat!$C$4)</f>
        <v>70</v>
      </c>
      <c r="L23" s="166">
        <f>IF((L14=1),Thermostat!$C$3,Thermostat!$C$4)</f>
        <v>70</v>
      </c>
      <c r="M23" s="166">
        <f>IF((M14=1),Thermostat!$C$3,Thermostat!$C$4)</f>
        <v>70</v>
      </c>
      <c r="N23" s="166">
        <f>IF((N14=1),Thermostat!$C$3,Thermostat!$C$4)</f>
        <v>70</v>
      </c>
      <c r="O23" s="166">
        <f>IF((O14=1),Thermostat!$C$3,Thermostat!$C$4)</f>
        <v>70</v>
      </c>
      <c r="P23" s="166">
        <f>IF((P14=1),Thermostat!$C$3,Thermostat!$C$4)</f>
        <v>70</v>
      </c>
      <c r="Q23" s="166">
        <f>IF((Q14=1),Thermostat!$C$3,Thermostat!$C$4)</f>
        <v>70</v>
      </c>
      <c r="R23" s="166">
        <f>IF((R14=1),Thermostat!$C$3,Thermostat!$C$4)</f>
        <v>70</v>
      </c>
      <c r="S23" s="166">
        <f>IF((S14=1),Thermostat!$C$3,Thermostat!$C$4)</f>
        <v>70</v>
      </c>
      <c r="T23" s="166">
        <f>IF((T14=1),Thermostat!$C$3,Thermostat!$C$4)</f>
        <v>70</v>
      </c>
      <c r="U23" s="166">
        <f>IF((U14=1),Thermostat!$C$3,Thermostat!$C$4)</f>
        <v>70</v>
      </c>
      <c r="V23" s="166">
        <f>IF((V14=1),Thermostat!$C$3,Thermostat!$C$4)</f>
        <v>70</v>
      </c>
      <c r="W23" s="166">
        <f>IF((W14=1),Thermostat!$C$3,Thermostat!$C$4)</f>
        <v>70</v>
      </c>
      <c r="X23" s="166">
        <f>IF((X14=1),Thermostat!$C$3,Thermostat!$C$4)</f>
        <v>70</v>
      </c>
      <c r="Y23" s="166">
        <f>IF((Y14=1),Thermostat!$C$3,Thermostat!$C$4)</f>
        <v>60</v>
      </c>
      <c r="Z23" s="166">
        <f>IF((Z14=1),Thermostat!$C$3,Thermostat!$C$4)</f>
        <v>60</v>
      </c>
      <c r="AA23" s="166">
        <f>IF((AA14=1),Thermostat!$C$3,Thermostat!$C$4)</f>
        <v>60</v>
      </c>
      <c r="AB23" s="166">
        <f>IF((AB14=1),Thermostat!$C$3,Thermostat!$C$4)</f>
        <v>60</v>
      </c>
      <c r="AC23" s="169">
        <f>IF((AC14=1),Thermostat!$C$3,Thermostat!$C$4)</f>
        <v>60</v>
      </c>
    </row>
    <row r="24" spans="1:37" ht="31.95" customHeight="1" x14ac:dyDescent="0.3">
      <c r="A24" s="776"/>
      <c r="B24" s="778"/>
      <c r="C24" s="781"/>
      <c r="D24" s="784"/>
      <c r="E24" s="588" t="s">
        <v>332</v>
      </c>
      <c r="F24" s="170">
        <f>IF((F15=1),Thermostat!$C$3,Thermostat!$C$4)</f>
        <v>60</v>
      </c>
      <c r="G24" s="170">
        <f>IF((G15=1),Thermostat!$C$3,Thermostat!$C$4)</f>
        <v>60</v>
      </c>
      <c r="H24" s="170">
        <f>IF((H15=1),Thermostat!$C$3,Thermostat!$C$4)</f>
        <v>60</v>
      </c>
      <c r="I24" s="170">
        <f>IF((I15=1),Thermostat!$C$3,Thermostat!$C$4)</f>
        <v>60</v>
      </c>
      <c r="J24" s="170">
        <f>IF((J15=1),Thermostat!$C$3,Thermostat!$C$4)</f>
        <v>60</v>
      </c>
      <c r="K24" s="170">
        <f>IF((K15=1),Thermostat!$C$3,Thermostat!$C$4)</f>
        <v>60</v>
      </c>
      <c r="L24" s="170">
        <f>IF((L15=1),Thermostat!$C$3,Thermostat!$C$4)</f>
        <v>60</v>
      </c>
      <c r="M24" s="170">
        <f>IF((M15=1),Thermostat!$C$3,Thermostat!$C$4)</f>
        <v>60</v>
      </c>
      <c r="N24" s="170">
        <f>IF((N15=1),Thermostat!$C$3,Thermostat!$C$4)</f>
        <v>60</v>
      </c>
      <c r="O24" s="170">
        <f>IF((O15=1),Thermostat!$C$3,Thermostat!$C$4)</f>
        <v>60</v>
      </c>
      <c r="P24" s="170">
        <f>IF((P15=1),Thermostat!$C$3,Thermostat!$C$4)</f>
        <v>60</v>
      </c>
      <c r="Q24" s="170">
        <f>IF((Q15=1),Thermostat!$C$3,Thermostat!$C$4)</f>
        <v>60</v>
      </c>
      <c r="R24" s="170">
        <f>IF((R15=1),Thermostat!$C$3,Thermostat!$C$4)</f>
        <v>60</v>
      </c>
      <c r="S24" s="170">
        <f>IF((S15=1),Thermostat!$C$3,Thermostat!$C$4)</f>
        <v>60</v>
      </c>
      <c r="T24" s="170">
        <f>IF((T15=1),Thermostat!$C$3,Thermostat!$C$4)</f>
        <v>60</v>
      </c>
      <c r="U24" s="170">
        <f>IF((U15=1),Thermostat!$C$3,Thermostat!$C$4)</f>
        <v>60</v>
      </c>
      <c r="V24" s="170">
        <f>IF((V15=1),Thermostat!$C$3,Thermostat!$C$4)</f>
        <v>60</v>
      </c>
      <c r="W24" s="170">
        <f>IF((W15=1),Thermostat!$C$3,Thermostat!$C$4)</f>
        <v>60</v>
      </c>
      <c r="X24" s="170">
        <f>IF((X15=1),Thermostat!$C$3,Thermostat!$C$4)</f>
        <v>60</v>
      </c>
      <c r="Y24" s="170">
        <f>IF((Y15=1),Thermostat!$C$3,Thermostat!$C$4)</f>
        <v>60</v>
      </c>
      <c r="Z24" s="170">
        <f>IF((Z15=1),Thermostat!$C$3,Thermostat!$C$4)</f>
        <v>60</v>
      </c>
      <c r="AA24" s="170">
        <f>IF((AA15=1),Thermostat!$C$3,Thermostat!$C$4)</f>
        <v>60</v>
      </c>
      <c r="AB24" s="170">
        <f>IF((AB15=1),Thermostat!$C$3,Thermostat!$C$4)</f>
        <v>60</v>
      </c>
      <c r="AC24" s="171">
        <f>IF((AC15=1),Thermostat!$C$3,Thermostat!$C$4)</f>
        <v>60</v>
      </c>
    </row>
    <row r="25" spans="1:37" ht="31.95" customHeight="1" x14ac:dyDescent="0.3">
      <c r="A25" s="785" t="str">
        <f t="shared" ref="A25" si="1">A10</f>
        <v>All zones excluding Mechanical</v>
      </c>
      <c r="B25" s="788" t="s">
        <v>142</v>
      </c>
      <c r="C25" s="790" t="s">
        <v>509</v>
      </c>
      <c r="D25" s="792"/>
      <c r="E25" s="351" t="s">
        <v>330</v>
      </c>
      <c r="F25" s="172">
        <f>IF((F13=1),Thermostat!$C$5,Thermostat!$C$6)</f>
        <v>85</v>
      </c>
      <c r="G25" s="172">
        <f>IF((G13=1),Thermostat!$C$5,Thermostat!$C$6)</f>
        <v>85</v>
      </c>
      <c r="H25" s="172">
        <f>IF((H13=1),Thermostat!$C$5,Thermostat!$C$6)</f>
        <v>85</v>
      </c>
      <c r="I25" s="172">
        <f>IF((I13=1),Thermostat!$C$5,Thermostat!$C$6)</f>
        <v>85</v>
      </c>
      <c r="J25" s="172">
        <f>IF((J13=1),Thermostat!$C$5,Thermostat!$C$6)</f>
        <v>85</v>
      </c>
      <c r="K25" s="172">
        <f>IF((K13=1),Thermostat!$C$5,Thermostat!$C$6)</f>
        <v>75</v>
      </c>
      <c r="L25" s="172">
        <f>IF((L13=1),Thermostat!$C$5,Thermostat!$C$6)</f>
        <v>75</v>
      </c>
      <c r="M25" s="172">
        <f>IF((M13=1),Thermostat!$C$5,Thermostat!$C$6)</f>
        <v>75</v>
      </c>
      <c r="N25" s="172">
        <f>IF((N13=1),Thermostat!$C$5,Thermostat!$C$6)</f>
        <v>75</v>
      </c>
      <c r="O25" s="172">
        <f>IF((O13=1),Thermostat!$C$5,Thermostat!$C$6)</f>
        <v>75</v>
      </c>
      <c r="P25" s="172">
        <f>IF((P13=1),Thermostat!$C$5,Thermostat!$C$6)</f>
        <v>75</v>
      </c>
      <c r="Q25" s="172">
        <f>IF((Q13=1),Thermostat!$C$5,Thermostat!$C$6)</f>
        <v>75</v>
      </c>
      <c r="R25" s="172">
        <f>IF((R13=1),Thermostat!$C$5,Thermostat!$C$6)</f>
        <v>75</v>
      </c>
      <c r="S25" s="172">
        <f>IF((S13=1),Thermostat!$C$5,Thermostat!$C$6)</f>
        <v>75</v>
      </c>
      <c r="T25" s="172">
        <f>IF((T13=1),Thermostat!$C$5,Thermostat!$C$6)</f>
        <v>75</v>
      </c>
      <c r="U25" s="172">
        <f>IF((U13=1),Thermostat!$C$5,Thermostat!$C$6)</f>
        <v>75</v>
      </c>
      <c r="V25" s="172">
        <f>IF((V13=1),Thermostat!$C$5,Thermostat!$C$6)</f>
        <v>75</v>
      </c>
      <c r="W25" s="172">
        <f>IF((W13=1),Thermostat!$C$5,Thermostat!$C$6)</f>
        <v>75</v>
      </c>
      <c r="X25" s="172">
        <f>IF((X13=1),Thermostat!$C$5,Thermostat!$C$6)</f>
        <v>75</v>
      </c>
      <c r="Y25" s="172">
        <f>IF((Y13=1),Thermostat!$C$5,Thermostat!$C$6)</f>
        <v>75</v>
      </c>
      <c r="Z25" s="172">
        <f>IF((Z13=1),Thermostat!$C$5,Thermostat!$C$6)</f>
        <v>75</v>
      </c>
      <c r="AA25" s="172">
        <f>IF((AA13=1),Thermostat!$C$5,Thermostat!$C$6)</f>
        <v>75</v>
      </c>
      <c r="AB25" s="172">
        <f>IF((AB13=1),Thermostat!$C$5,Thermostat!$C$6)</f>
        <v>75</v>
      </c>
      <c r="AC25" s="173">
        <f>IF((AC13=1),Thermostat!$C$5,Thermostat!$C$6)</f>
        <v>75</v>
      </c>
    </row>
    <row r="26" spans="1:37" ht="31.95" customHeight="1" x14ac:dyDescent="0.3">
      <c r="A26" s="786"/>
      <c r="B26" s="778"/>
      <c r="C26" s="780"/>
      <c r="D26" s="793"/>
      <c r="E26" s="143" t="s">
        <v>331</v>
      </c>
      <c r="F26" s="166">
        <f>IF((F14=1),Thermostat!$C$5,Thermostat!$C$6)</f>
        <v>85</v>
      </c>
      <c r="G26" s="166">
        <f>IF((G14=1),Thermostat!$C$5,Thermostat!$C$6)</f>
        <v>85</v>
      </c>
      <c r="H26" s="166">
        <f>IF((H14=1),Thermostat!$C$5,Thermostat!$C$6)</f>
        <v>85</v>
      </c>
      <c r="I26" s="166">
        <f>IF((I14=1),Thermostat!$C$5,Thermostat!$C$6)</f>
        <v>85</v>
      </c>
      <c r="J26" s="166">
        <f>IF((J14=1),Thermostat!$C$5,Thermostat!$C$6)</f>
        <v>85</v>
      </c>
      <c r="K26" s="166">
        <f>IF((K14=1),Thermostat!$C$5,Thermostat!$C$6)</f>
        <v>75</v>
      </c>
      <c r="L26" s="166">
        <f>IF((L14=1),Thermostat!$C$5,Thermostat!$C$6)</f>
        <v>75</v>
      </c>
      <c r="M26" s="166">
        <f>IF((M14=1),Thermostat!$C$5,Thermostat!$C$6)</f>
        <v>75</v>
      </c>
      <c r="N26" s="166">
        <f>IF((N14=1),Thermostat!$C$5,Thermostat!$C$6)</f>
        <v>75</v>
      </c>
      <c r="O26" s="166">
        <f>IF((O14=1),Thermostat!$C$5,Thermostat!$C$6)</f>
        <v>75</v>
      </c>
      <c r="P26" s="166">
        <f>IF((P14=1),Thermostat!$C$5,Thermostat!$C$6)</f>
        <v>75</v>
      </c>
      <c r="Q26" s="166">
        <f>IF((Q14=1),Thermostat!$C$5,Thermostat!$C$6)</f>
        <v>75</v>
      </c>
      <c r="R26" s="166">
        <f>IF((R14=1),Thermostat!$C$5,Thermostat!$C$6)</f>
        <v>75</v>
      </c>
      <c r="S26" s="166">
        <f>IF((S14=1),Thermostat!$C$5,Thermostat!$C$6)</f>
        <v>75</v>
      </c>
      <c r="T26" s="166">
        <f>IF((T14=1),Thermostat!$C$5,Thermostat!$C$6)</f>
        <v>75</v>
      </c>
      <c r="U26" s="166">
        <f>IF((U14=1),Thermostat!$C$5,Thermostat!$C$6)</f>
        <v>75</v>
      </c>
      <c r="V26" s="166">
        <f>IF((V14=1),Thermostat!$C$5,Thermostat!$C$6)</f>
        <v>75</v>
      </c>
      <c r="W26" s="166">
        <f>IF((W14=1),Thermostat!$C$5,Thermostat!$C$6)</f>
        <v>75</v>
      </c>
      <c r="X26" s="166">
        <f>IF((X14=1),Thermostat!$C$5,Thermostat!$C$6)</f>
        <v>75</v>
      </c>
      <c r="Y26" s="166">
        <f>IF((Y14=1),Thermostat!$C$5,Thermostat!$C$6)</f>
        <v>85</v>
      </c>
      <c r="Z26" s="166">
        <f>IF((Z14=1),Thermostat!$C$5,Thermostat!$C$6)</f>
        <v>85</v>
      </c>
      <c r="AA26" s="166">
        <f>IF((AA14=1),Thermostat!$C$5,Thermostat!$C$6)</f>
        <v>85</v>
      </c>
      <c r="AB26" s="166">
        <f>IF((AB14=1),Thermostat!$C$5,Thermostat!$C$6)</f>
        <v>85</v>
      </c>
      <c r="AC26" s="169">
        <f>IF((AC14=1),Thermostat!$C$5,Thermostat!$C$6)</f>
        <v>85</v>
      </c>
    </row>
    <row r="27" spans="1:37" ht="31.95" customHeight="1" x14ac:dyDescent="0.3">
      <c r="A27" s="787"/>
      <c r="B27" s="789"/>
      <c r="C27" s="791"/>
      <c r="D27" s="794"/>
      <c r="E27" s="148" t="s">
        <v>332</v>
      </c>
      <c r="F27" s="261">
        <f>IF((F15=1),Thermostat!$C$5,Thermostat!$C$6)</f>
        <v>85</v>
      </c>
      <c r="G27" s="261">
        <f>IF((G15=1),Thermostat!$C$5,Thermostat!$C$6)</f>
        <v>85</v>
      </c>
      <c r="H27" s="261">
        <f>IF((H15=1),Thermostat!$C$5,Thermostat!$C$6)</f>
        <v>85</v>
      </c>
      <c r="I27" s="261">
        <f>IF((I15=1),Thermostat!$C$5,Thermostat!$C$6)</f>
        <v>85</v>
      </c>
      <c r="J27" s="261">
        <f>IF((J15=1),Thermostat!$C$5,Thermostat!$C$6)</f>
        <v>85</v>
      </c>
      <c r="K27" s="261">
        <f>IF((K15=1),Thermostat!$C$5,Thermostat!$C$6)</f>
        <v>85</v>
      </c>
      <c r="L27" s="261">
        <f>IF((L15=1),Thermostat!$C$5,Thermostat!$C$6)</f>
        <v>85</v>
      </c>
      <c r="M27" s="261">
        <f>IF((M15=1),Thermostat!$C$5,Thermostat!$C$6)</f>
        <v>85</v>
      </c>
      <c r="N27" s="261">
        <f>IF((N15=1),Thermostat!$C$5,Thermostat!$C$6)</f>
        <v>85</v>
      </c>
      <c r="O27" s="261">
        <f>IF((O15=1),Thermostat!$C$5,Thermostat!$C$6)</f>
        <v>85</v>
      </c>
      <c r="P27" s="261">
        <f>IF((P15=1),Thermostat!$C$5,Thermostat!$C$6)</f>
        <v>85</v>
      </c>
      <c r="Q27" s="261">
        <f>IF((Q15=1),Thermostat!$C$5,Thermostat!$C$6)</f>
        <v>85</v>
      </c>
      <c r="R27" s="261">
        <f>IF((R15=1),Thermostat!$C$5,Thermostat!$C$6)</f>
        <v>85</v>
      </c>
      <c r="S27" s="261">
        <f>IF((S15=1),Thermostat!$C$5,Thermostat!$C$6)</f>
        <v>85</v>
      </c>
      <c r="T27" s="261">
        <f>IF((T15=1),Thermostat!$C$5,Thermostat!$C$6)</f>
        <v>85</v>
      </c>
      <c r="U27" s="261">
        <f>IF((U15=1),Thermostat!$C$5,Thermostat!$C$6)</f>
        <v>85</v>
      </c>
      <c r="V27" s="261">
        <f>IF((V15=1),Thermostat!$C$5,Thermostat!$C$6)</f>
        <v>85</v>
      </c>
      <c r="W27" s="261">
        <f>IF((W15=1),Thermostat!$C$5,Thermostat!$C$6)</f>
        <v>85</v>
      </c>
      <c r="X27" s="261">
        <f>IF((X15=1),Thermostat!$C$5,Thermostat!$C$6)</f>
        <v>85</v>
      </c>
      <c r="Y27" s="261">
        <f>IF((Y15=1),Thermostat!$C$5,Thermostat!$C$6)</f>
        <v>85</v>
      </c>
      <c r="Z27" s="261">
        <f>IF((Z15=1),Thermostat!$C$5,Thermostat!$C$6)</f>
        <v>85</v>
      </c>
      <c r="AA27" s="261">
        <f>IF((AA15=1),Thermostat!$C$5,Thermostat!$C$6)</f>
        <v>85</v>
      </c>
      <c r="AB27" s="261">
        <f>IF((AB15=1),Thermostat!$C$5,Thermostat!$C$6)</f>
        <v>85</v>
      </c>
      <c r="AC27" s="262">
        <f>IF((AC15=1),Thermostat!$C$5,Thermostat!$C$6)</f>
        <v>85</v>
      </c>
    </row>
    <row r="28" spans="1:37" ht="31.95" customHeight="1" x14ac:dyDescent="0.3">
      <c r="A28" s="756" t="s">
        <v>159</v>
      </c>
      <c r="B28" s="757"/>
      <c r="C28" s="757"/>
      <c r="D28" s="757"/>
      <c r="E28" s="758"/>
      <c r="F28" s="758"/>
      <c r="G28" s="758"/>
      <c r="H28" s="758"/>
      <c r="I28" s="758"/>
      <c r="J28" s="758"/>
      <c r="K28" s="758"/>
      <c r="L28" s="758"/>
      <c r="M28" s="758"/>
      <c r="N28" s="758"/>
      <c r="O28" s="758"/>
      <c r="P28" s="758"/>
      <c r="Q28" s="758"/>
      <c r="R28" s="758"/>
      <c r="S28" s="758"/>
      <c r="T28" s="758"/>
      <c r="U28" s="758"/>
      <c r="V28" s="758"/>
      <c r="W28" s="758"/>
      <c r="X28" s="758"/>
      <c r="Y28" s="758"/>
      <c r="Z28" s="758"/>
      <c r="AA28" s="758"/>
      <c r="AB28" s="758"/>
      <c r="AC28" s="759"/>
    </row>
    <row r="29" spans="1:37" ht="31.95" customHeight="1" x14ac:dyDescent="0.3">
      <c r="A29" s="741" t="s">
        <v>510</v>
      </c>
      <c r="B29" s="744" t="s">
        <v>159</v>
      </c>
      <c r="C29" s="746" t="s">
        <v>499</v>
      </c>
      <c r="D29" s="739" t="s">
        <v>511</v>
      </c>
      <c r="E29" s="351" t="s">
        <v>330</v>
      </c>
      <c r="F29" s="164">
        <v>0</v>
      </c>
      <c r="G29" s="164">
        <v>0</v>
      </c>
      <c r="H29" s="164">
        <v>0</v>
      </c>
      <c r="I29" s="164">
        <v>0</v>
      </c>
      <c r="J29" s="164">
        <v>0</v>
      </c>
      <c r="K29" s="164">
        <v>0</v>
      </c>
      <c r="L29" s="164">
        <v>0.1</v>
      </c>
      <c r="M29" s="164">
        <v>0.2</v>
      </c>
      <c r="N29" s="164">
        <v>0.95</v>
      </c>
      <c r="O29" s="164">
        <v>0.95</v>
      </c>
      <c r="P29" s="164">
        <v>0.95</v>
      </c>
      <c r="Q29" s="164">
        <v>0.95</v>
      </c>
      <c r="R29" s="164">
        <v>0.5</v>
      </c>
      <c r="S29" s="164">
        <v>0.95</v>
      </c>
      <c r="T29" s="164">
        <v>0.95</v>
      </c>
      <c r="U29" s="164">
        <v>0.95</v>
      </c>
      <c r="V29" s="164">
        <v>0.95</v>
      </c>
      <c r="W29" s="164">
        <v>0.3</v>
      </c>
      <c r="X29" s="164">
        <v>0.1</v>
      </c>
      <c r="Y29" s="164">
        <v>0.1</v>
      </c>
      <c r="Z29" s="164">
        <v>0.1</v>
      </c>
      <c r="AA29" s="164">
        <v>0.1</v>
      </c>
      <c r="AB29" s="164">
        <v>0.05</v>
      </c>
      <c r="AC29" s="165">
        <v>0.05</v>
      </c>
    </row>
    <row r="30" spans="1:37" ht="31.95" customHeight="1" x14ac:dyDescent="0.3">
      <c r="A30" s="742"/>
      <c r="B30" s="744"/>
      <c r="C30" s="747"/>
      <c r="D30" s="724"/>
      <c r="E30" s="143" t="s">
        <v>331</v>
      </c>
      <c r="F30" s="144">
        <v>0</v>
      </c>
      <c r="G30" s="144">
        <v>0</v>
      </c>
      <c r="H30" s="144">
        <v>0</v>
      </c>
      <c r="I30" s="144">
        <v>0</v>
      </c>
      <c r="J30" s="144">
        <v>0</v>
      </c>
      <c r="K30" s="144">
        <v>0</v>
      </c>
      <c r="L30" s="145">
        <v>0.05</v>
      </c>
      <c r="M30" s="145">
        <v>0.05</v>
      </c>
      <c r="N30" s="145">
        <v>0.05</v>
      </c>
      <c r="O30" s="145">
        <v>0.05</v>
      </c>
      <c r="P30" s="145">
        <v>0.05</v>
      </c>
      <c r="Q30" s="145">
        <v>0.05</v>
      </c>
      <c r="R30" s="145">
        <v>0.05</v>
      </c>
      <c r="S30" s="145">
        <v>0.05</v>
      </c>
      <c r="T30" s="145">
        <v>0.05</v>
      </c>
      <c r="U30" s="145">
        <v>0.05</v>
      </c>
      <c r="V30" s="145">
        <v>0.05</v>
      </c>
      <c r="W30" s="145">
        <v>0.05</v>
      </c>
      <c r="X30" s="144">
        <v>0</v>
      </c>
      <c r="Y30" s="144">
        <v>0</v>
      </c>
      <c r="Z30" s="144">
        <v>0</v>
      </c>
      <c r="AA30" s="144">
        <v>0</v>
      </c>
      <c r="AB30" s="144">
        <v>0</v>
      </c>
      <c r="AC30" s="147">
        <v>0</v>
      </c>
    </row>
    <row r="31" spans="1:37" ht="31.95" customHeight="1" thickBot="1" x14ac:dyDescent="0.35">
      <c r="A31" s="743"/>
      <c r="B31" s="744"/>
      <c r="C31" s="760"/>
      <c r="D31" s="725"/>
      <c r="E31" s="148" t="s">
        <v>332</v>
      </c>
      <c r="F31" s="149">
        <v>0</v>
      </c>
      <c r="G31" s="149">
        <v>0</v>
      </c>
      <c r="H31" s="149">
        <v>0</v>
      </c>
      <c r="I31" s="149">
        <v>0</v>
      </c>
      <c r="J31" s="149">
        <v>0</v>
      </c>
      <c r="K31" s="149">
        <v>0</v>
      </c>
      <c r="L31" s="149">
        <v>0.05</v>
      </c>
      <c r="M31" s="149">
        <v>0.05</v>
      </c>
      <c r="N31" s="149">
        <v>0.05</v>
      </c>
      <c r="O31" s="149">
        <v>0.05</v>
      </c>
      <c r="P31" s="149">
        <v>0.05</v>
      </c>
      <c r="Q31" s="149">
        <v>0.05</v>
      </c>
      <c r="R31" s="149">
        <v>0.05</v>
      </c>
      <c r="S31" s="149">
        <v>0.05</v>
      </c>
      <c r="T31" s="149">
        <v>0.05</v>
      </c>
      <c r="U31" s="149">
        <v>0.05</v>
      </c>
      <c r="V31" s="149">
        <v>0.05</v>
      </c>
      <c r="W31" s="149">
        <v>0.05</v>
      </c>
      <c r="X31" s="149">
        <v>0</v>
      </c>
      <c r="Y31" s="149">
        <v>0</v>
      </c>
      <c r="Z31" s="149">
        <v>0</v>
      </c>
      <c r="AA31" s="149">
        <v>0</v>
      </c>
      <c r="AB31" s="149">
        <v>0</v>
      </c>
      <c r="AC31" s="150">
        <v>0</v>
      </c>
    </row>
    <row r="32" spans="1:37" ht="31.95" customHeight="1" x14ac:dyDescent="0.3">
      <c r="A32" s="761" t="str">
        <f>A29</f>
        <v>Mechanical room</v>
      </c>
      <c r="B32" s="767" t="str">
        <f>B29</f>
        <v>Ancillary</v>
      </c>
      <c r="C32" s="768" t="s">
        <v>501</v>
      </c>
      <c r="D32" s="731" t="s">
        <v>511</v>
      </c>
      <c r="E32" s="180" t="s">
        <v>330</v>
      </c>
      <c r="F32" s="141">
        <v>0.05</v>
      </c>
      <c r="G32" s="141">
        <v>0.05</v>
      </c>
      <c r="H32" s="141">
        <v>0.05</v>
      </c>
      <c r="I32" s="141">
        <v>0.05</v>
      </c>
      <c r="J32" s="141">
        <v>0.05</v>
      </c>
      <c r="K32" s="213">
        <v>0.1</v>
      </c>
      <c r="L32" s="213">
        <v>0.1</v>
      </c>
      <c r="M32" s="213">
        <v>0.3</v>
      </c>
      <c r="N32" s="213">
        <v>0.65</v>
      </c>
      <c r="O32" s="213">
        <v>0.65</v>
      </c>
      <c r="P32" s="213">
        <v>0.65</v>
      </c>
      <c r="Q32" s="213">
        <v>0.65</v>
      </c>
      <c r="R32" s="213">
        <v>0.65</v>
      </c>
      <c r="S32" s="213">
        <v>0.65</v>
      </c>
      <c r="T32" s="213">
        <v>0.65</v>
      </c>
      <c r="U32" s="213">
        <v>0.65</v>
      </c>
      <c r="V32" s="213">
        <v>0.65</v>
      </c>
      <c r="W32" s="213">
        <v>0.35</v>
      </c>
      <c r="X32" s="213">
        <v>0.3</v>
      </c>
      <c r="Y32" s="213">
        <v>0.3</v>
      </c>
      <c r="Z32" s="141">
        <v>0.2</v>
      </c>
      <c r="AA32" s="141">
        <v>0.2</v>
      </c>
      <c r="AB32" s="141">
        <v>0.1</v>
      </c>
      <c r="AC32" s="142">
        <v>0.05</v>
      </c>
    </row>
    <row r="33" spans="1:29" ht="31.95" customHeight="1" x14ac:dyDescent="0.3">
      <c r="A33" s="742"/>
      <c r="B33" s="744"/>
      <c r="C33" s="747"/>
      <c r="D33" s="724"/>
      <c r="E33" s="152" t="s">
        <v>331</v>
      </c>
      <c r="F33" s="144">
        <v>0.05</v>
      </c>
      <c r="G33" s="144">
        <v>0.05</v>
      </c>
      <c r="H33" s="144">
        <v>0.05</v>
      </c>
      <c r="I33" s="144">
        <v>0.05</v>
      </c>
      <c r="J33" s="144">
        <v>0.05</v>
      </c>
      <c r="K33" s="144">
        <v>0.05</v>
      </c>
      <c r="L33" s="332">
        <v>0.15</v>
      </c>
      <c r="M33" s="332">
        <v>0.15</v>
      </c>
      <c r="N33" s="332">
        <v>0.15</v>
      </c>
      <c r="O33" s="332">
        <v>0.15</v>
      </c>
      <c r="P33" s="332">
        <v>0.15</v>
      </c>
      <c r="Q33" s="332">
        <v>0.15</v>
      </c>
      <c r="R33" s="332">
        <v>0.15</v>
      </c>
      <c r="S33" s="332">
        <v>0.15</v>
      </c>
      <c r="T33" s="332">
        <v>0.15</v>
      </c>
      <c r="U33" s="332">
        <v>0.15</v>
      </c>
      <c r="V33" s="332">
        <v>0.15</v>
      </c>
      <c r="W33" s="332">
        <v>0.15</v>
      </c>
      <c r="X33" s="144">
        <v>0.05</v>
      </c>
      <c r="Y33" s="144">
        <v>0.05</v>
      </c>
      <c r="Z33" s="144">
        <v>0.05</v>
      </c>
      <c r="AA33" s="144">
        <v>0.05</v>
      </c>
      <c r="AB33" s="144">
        <v>0.05</v>
      </c>
      <c r="AC33" s="147">
        <v>0.05</v>
      </c>
    </row>
    <row r="34" spans="1:29" ht="31.95" customHeight="1" x14ac:dyDescent="0.3">
      <c r="A34" s="743"/>
      <c r="B34" s="744"/>
      <c r="C34" s="760"/>
      <c r="D34" s="725"/>
      <c r="E34" s="153" t="s">
        <v>332</v>
      </c>
      <c r="F34" s="149">
        <v>0.05</v>
      </c>
      <c r="G34" s="149">
        <v>0.05</v>
      </c>
      <c r="H34" s="149">
        <v>0.05</v>
      </c>
      <c r="I34" s="149">
        <v>0.05</v>
      </c>
      <c r="J34" s="149">
        <v>0.05</v>
      </c>
      <c r="K34" s="149">
        <v>0.05</v>
      </c>
      <c r="L34" s="475">
        <v>0.15</v>
      </c>
      <c r="M34" s="475">
        <v>0.15</v>
      </c>
      <c r="N34" s="475">
        <v>0.15</v>
      </c>
      <c r="O34" s="475">
        <v>0.15</v>
      </c>
      <c r="P34" s="475">
        <v>0.15</v>
      </c>
      <c r="Q34" s="475">
        <v>0.15</v>
      </c>
      <c r="R34" s="475">
        <v>0.15</v>
      </c>
      <c r="S34" s="475">
        <v>0.15</v>
      </c>
      <c r="T34" s="475">
        <v>0.15</v>
      </c>
      <c r="U34" s="475">
        <v>0.15</v>
      </c>
      <c r="V34" s="475">
        <v>0.15</v>
      </c>
      <c r="W34" s="475">
        <v>0.15</v>
      </c>
      <c r="X34" s="149">
        <v>0.05</v>
      </c>
      <c r="Y34" s="149">
        <v>0.05</v>
      </c>
      <c r="Z34" s="149">
        <v>0.05</v>
      </c>
      <c r="AA34" s="149">
        <v>0.05</v>
      </c>
      <c r="AB34" s="149">
        <v>0.05</v>
      </c>
      <c r="AC34" s="150">
        <v>0.05</v>
      </c>
    </row>
    <row r="35" spans="1:29" ht="31.95" customHeight="1" x14ac:dyDescent="0.3">
      <c r="A35" s="798" t="str">
        <f>A32</f>
        <v>Mechanical room</v>
      </c>
      <c r="B35" s="799" t="str">
        <f>B32</f>
        <v>Ancillary</v>
      </c>
      <c r="C35" s="802" t="s">
        <v>503</v>
      </c>
      <c r="D35" s="805" t="s">
        <v>504</v>
      </c>
      <c r="E35" s="539" t="s">
        <v>330</v>
      </c>
      <c r="F35" s="540">
        <v>0.45</v>
      </c>
      <c r="G35" s="540">
        <v>0.45</v>
      </c>
      <c r="H35" s="540">
        <v>0.45</v>
      </c>
      <c r="I35" s="540">
        <v>0.45</v>
      </c>
      <c r="J35" s="540">
        <v>0.45</v>
      </c>
      <c r="K35" s="540">
        <v>0.45</v>
      </c>
      <c r="L35" s="540">
        <v>0.45</v>
      </c>
      <c r="M35" s="540">
        <v>0.74</v>
      </c>
      <c r="N35" s="540">
        <v>0.87</v>
      </c>
      <c r="O35" s="540">
        <v>0.9</v>
      </c>
      <c r="P35" s="540">
        <v>0.9</v>
      </c>
      <c r="Q35" s="540">
        <v>0.9</v>
      </c>
      <c r="R35" s="540">
        <v>0.9</v>
      </c>
      <c r="S35" s="540">
        <v>0.9</v>
      </c>
      <c r="T35" s="540">
        <v>0.9</v>
      </c>
      <c r="U35" s="540">
        <v>0.9</v>
      </c>
      <c r="V35" s="540">
        <v>0.9</v>
      </c>
      <c r="W35" s="540">
        <v>0.7</v>
      </c>
      <c r="X35" s="540">
        <v>0.5</v>
      </c>
      <c r="Y35" s="540">
        <v>0.5</v>
      </c>
      <c r="Z35" s="540">
        <v>0.5</v>
      </c>
      <c r="AA35" s="540">
        <v>0.45</v>
      </c>
      <c r="AB35" s="540">
        <v>0.45</v>
      </c>
      <c r="AC35" s="541">
        <v>0.45</v>
      </c>
    </row>
    <row r="36" spans="1:29" ht="31.95" customHeight="1" x14ac:dyDescent="0.3">
      <c r="A36" s="770"/>
      <c r="B36" s="800"/>
      <c r="C36" s="803"/>
      <c r="D36" s="806"/>
      <c r="E36" s="542" t="s">
        <v>331</v>
      </c>
      <c r="F36" s="543">
        <v>0.43</v>
      </c>
      <c r="G36" s="543">
        <v>0.43</v>
      </c>
      <c r="H36" s="543">
        <v>0.43</v>
      </c>
      <c r="I36" s="543">
        <v>0.43</v>
      </c>
      <c r="J36" s="543">
        <v>0.43</v>
      </c>
      <c r="K36" s="543">
        <v>0.43</v>
      </c>
      <c r="L36" s="543">
        <v>0.43</v>
      </c>
      <c r="M36" s="543">
        <v>0.43</v>
      </c>
      <c r="N36" s="543">
        <v>0.43</v>
      </c>
      <c r="O36" s="543">
        <v>0.43</v>
      </c>
      <c r="P36" s="543">
        <v>0.43</v>
      </c>
      <c r="Q36" s="543">
        <v>0.43</v>
      </c>
      <c r="R36" s="543">
        <v>0.43</v>
      </c>
      <c r="S36" s="543">
        <v>0.43</v>
      </c>
      <c r="T36" s="543">
        <v>0.43</v>
      </c>
      <c r="U36" s="543">
        <v>0.43</v>
      </c>
      <c r="V36" s="543">
        <v>0.43</v>
      </c>
      <c r="W36" s="543">
        <v>0.43</v>
      </c>
      <c r="X36" s="543">
        <v>0.43</v>
      </c>
      <c r="Y36" s="543">
        <v>0.43</v>
      </c>
      <c r="Z36" s="543">
        <v>0.43</v>
      </c>
      <c r="AA36" s="543">
        <v>0.43</v>
      </c>
      <c r="AB36" s="543">
        <v>0.43</v>
      </c>
      <c r="AC36" s="544">
        <v>0.43</v>
      </c>
    </row>
    <row r="37" spans="1:29" ht="31.95" customHeight="1" x14ac:dyDescent="0.3">
      <c r="A37" s="771"/>
      <c r="B37" s="801"/>
      <c r="C37" s="804"/>
      <c r="D37" s="807"/>
      <c r="E37" s="545" t="s">
        <v>332</v>
      </c>
      <c r="F37" s="546">
        <v>0.43</v>
      </c>
      <c r="G37" s="546">
        <v>0.43</v>
      </c>
      <c r="H37" s="546">
        <v>0.43</v>
      </c>
      <c r="I37" s="546">
        <v>0.43</v>
      </c>
      <c r="J37" s="546">
        <v>0.43</v>
      </c>
      <c r="K37" s="546">
        <v>0.43</v>
      </c>
      <c r="L37" s="546">
        <v>0.43</v>
      </c>
      <c r="M37" s="546">
        <v>0.43</v>
      </c>
      <c r="N37" s="546">
        <v>0.43</v>
      </c>
      <c r="O37" s="546">
        <v>0.43</v>
      </c>
      <c r="P37" s="546">
        <v>0.43</v>
      </c>
      <c r="Q37" s="546">
        <v>0.43</v>
      </c>
      <c r="R37" s="546">
        <v>0.43</v>
      </c>
      <c r="S37" s="546">
        <v>0.43</v>
      </c>
      <c r="T37" s="546">
        <v>0.43</v>
      </c>
      <c r="U37" s="546">
        <v>0.43</v>
      </c>
      <c r="V37" s="546">
        <v>0.43</v>
      </c>
      <c r="W37" s="546">
        <v>0.43</v>
      </c>
      <c r="X37" s="546">
        <v>0.43</v>
      </c>
      <c r="Y37" s="546">
        <v>0.43</v>
      </c>
      <c r="Z37" s="546">
        <v>0.43</v>
      </c>
      <c r="AA37" s="546">
        <v>0.43</v>
      </c>
      <c r="AB37" s="546">
        <v>0.43</v>
      </c>
      <c r="AC37" s="547">
        <v>0.43</v>
      </c>
    </row>
    <row r="38" spans="1:29" ht="31.95" customHeight="1" x14ac:dyDescent="0.3">
      <c r="A38" s="769" t="str">
        <f>A29</f>
        <v>Mechanical room</v>
      </c>
      <c r="B38" s="744" t="str">
        <f>B29</f>
        <v>Ancillary</v>
      </c>
      <c r="C38" s="746" t="s">
        <v>505</v>
      </c>
      <c r="D38" s="739" t="s">
        <v>321</v>
      </c>
      <c r="E38" s="325" t="s">
        <v>330</v>
      </c>
      <c r="F38" s="470">
        <v>0</v>
      </c>
      <c r="G38" s="470">
        <v>0</v>
      </c>
      <c r="H38" s="470">
        <v>0</v>
      </c>
      <c r="I38" s="470">
        <v>0</v>
      </c>
      <c r="J38" s="470">
        <v>0</v>
      </c>
      <c r="K38" s="470">
        <v>1</v>
      </c>
      <c r="L38" s="470">
        <v>1</v>
      </c>
      <c r="M38" s="470">
        <v>1</v>
      </c>
      <c r="N38" s="470">
        <v>1</v>
      </c>
      <c r="O38" s="470">
        <v>1</v>
      </c>
      <c r="P38" s="470">
        <v>1</v>
      </c>
      <c r="Q38" s="470">
        <v>1</v>
      </c>
      <c r="R38" s="470">
        <v>1</v>
      </c>
      <c r="S38" s="470">
        <v>1</v>
      </c>
      <c r="T38" s="470">
        <v>1</v>
      </c>
      <c r="U38" s="470">
        <v>1</v>
      </c>
      <c r="V38" s="470">
        <v>1</v>
      </c>
      <c r="W38" s="470">
        <v>1</v>
      </c>
      <c r="X38" s="470">
        <v>1</v>
      </c>
      <c r="Y38" s="470">
        <v>1</v>
      </c>
      <c r="Z38" s="470">
        <v>1</v>
      </c>
      <c r="AA38" s="470">
        <v>1</v>
      </c>
      <c r="AB38" s="470">
        <v>1</v>
      </c>
      <c r="AC38" s="471">
        <v>1</v>
      </c>
    </row>
    <row r="39" spans="1:29" ht="31.95" customHeight="1" x14ac:dyDescent="0.3">
      <c r="A39" s="770"/>
      <c r="B39" s="744"/>
      <c r="C39" s="747"/>
      <c r="D39" s="724"/>
      <c r="E39" s="152" t="s">
        <v>331</v>
      </c>
      <c r="F39" s="144">
        <v>0</v>
      </c>
      <c r="G39" s="144">
        <v>0</v>
      </c>
      <c r="H39" s="144">
        <v>0</v>
      </c>
      <c r="I39" s="144">
        <v>0</v>
      </c>
      <c r="J39" s="144">
        <v>0</v>
      </c>
      <c r="K39" s="146">
        <v>0</v>
      </c>
      <c r="L39" s="146">
        <v>0</v>
      </c>
      <c r="M39" s="146">
        <v>0</v>
      </c>
      <c r="N39" s="146">
        <v>0</v>
      </c>
      <c r="O39" s="146">
        <v>0</v>
      </c>
      <c r="P39" s="146">
        <v>0</v>
      </c>
      <c r="Q39" s="146">
        <v>0</v>
      </c>
      <c r="R39" s="146">
        <v>0</v>
      </c>
      <c r="S39" s="146">
        <v>0</v>
      </c>
      <c r="T39" s="146">
        <v>0</v>
      </c>
      <c r="U39" s="146">
        <v>0</v>
      </c>
      <c r="V39" s="146">
        <v>0</v>
      </c>
      <c r="W39" s="146">
        <v>0</v>
      </c>
      <c r="X39" s="146">
        <v>0</v>
      </c>
      <c r="Y39" s="144">
        <v>0</v>
      </c>
      <c r="Z39" s="144">
        <v>0</v>
      </c>
      <c r="AA39" s="144">
        <v>0</v>
      </c>
      <c r="AB39" s="144">
        <v>0</v>
      </c>
      <c r="AC39" s="472">
        <v>0</v>
      </c>
    </row>
    <row r="40" spans="1:29" ht="31.95" customHeight="1" x14ac:dyDescent="0.3">
      <c r="A40" s="771"/>
      <c r="B40" s="772"/>
      <c r="C40" s="773"/>
      <c r="D40" s="740"/>
      <c r="E40" s="329" t="s">
        <v>332</v>
      </c>
      <c r="F40" s="473">
        <v>0</v>
      </c>
      <c r="G40" s="473">
        <v>0</v>
      </c>
      <c r="H40" s="473">
        <v>0</v>
      </c>
      <c r="I40" s="473">
        <v>0</v>
      </c>
      <c r="J40" s="473">
        <v>0</v>
      </c>
      <c r="K40" s="473">
        <v>0</v>
      </c>
      <c r="L40" s="473">
        <v>0</v>
      </c>
      <c r="M40" s="473">
        <v>0</v>
      </c>
      <c r="N40" s="473">
        <v>0</v>
      </c>
      <c r="O40" s="473">
        <v>0</v>
      </c>
      <c r="P40" s="473">
        <v>0</v>
      </c>
      <c r="Q40" s="473">
        <v>0</v>
      </c>
      <c r="R40" s="473">
        <v>0</v>
      </c>
      <c r="S40" s="473">
        <v>0</v>
      </c>
      <c r="T40" s="473">
        <v>0</v>
      </c>
      <c r="U40" s="473">
        <v>0</v>
      </c>
      <c r="V40" s="473">
        <v>0</v>
      </c>
      <c r="W40" s="473">
        <v>0</v>
      </c>
      <c r="X40" s="473">
        <v>0</v>
      </c>
      <c r="Y40" s="473">
        <v>0</v>
      </c>
      <c r="Z40" s="473">
        <v>0</v>
      </c>
      <c r="AA40" s="473">
        <v>0</v>
      </c>
      <c r="AB40" s="473">
        <v>0</v>
      </c>
      <c r="AC40" s="474">
        <v>0</v>
      </c>
    </row>
    <row r="41" spans="1:29" ht="31.95" customHeight="1" x14ac:dyDescent="0.3">
      <c r="A41" s="741" t="str">
        <f>A29</f>
        <v>Mechanical room</v>
      </c>
      <c r="B41" s="744" t="str">
        <f>B29</f>
        <v>Ancillary</v>
      </c>
      <c r="C41" s="746" t="s">
        <v>506</v>
      </c>
      <c r="D41" s="739" t="s">
        <v>321</v>
      </c>
      <c r="E41" s="163" t="s">
        <v>330</v>
      </c>
      <c r="F41" s="352">
        <v>0</v>
      </c>
      <c r="G41" s="352">
        <v>0</v>
      </c>
      <c r="H41" s="352">
        <v>0</v>
      </c>
      <c r="I41" s="352">
        <v>0</v>
      </c>
      <c r="J41" s="352">
        <v>0</v>
      </c>
      <c r="K41" s="352">
        <v>0</v>
      </c>
      <c r="L41" s="352">
        <v>0</v>
      </c>
      <c r="M41" s="352">
        <v>0</v>
      </c>
      <c r="N41" s="352">
        <v>0</v>
      </c>
      <c r="O41" s="352">
        <v>0</v>
      </c>
      <c r="P41" s="352">
        <v>0</v>
      </c>
      <c r="Q41" s="352">
        <v>0</v>
      </c>
      <c r="R41" s="352">
        <v>0</v>
      </c>
      <c r="S41" s="352">
        <v>0</v>
      </c>
      <c r="T41" s="352">
        <v>0</v>
      </c>
      <c r="U41" s="352">
        <v>0</v>
      </c>
      <c r="V41" s="352">
        <v>0</v>
      </c>
      <c r="W41" s="352">
        <v>0</v>
      </c>
      <c r="X41" s="352">
        <v>0</v>
      </c>
      <c r="Y41" s="352">
        <v>0</v>
      </c>
      <c r="Z41" s="352">
        <v>0</v>
      </c>
      <c r="AA41" s="352">
        <v>0</v>
      </c>
      <c r="AB41" s="352">
        <v>0</v>
      </c>
      <c r="AC41" s="353">
        <v>0</v>
      </c>
    </row>
    <row r="42" spans="1:29" ht="31.95" customHeight="1" x14ac:dyDescent="0.3">
      <c r="A42" s="742"/>
      <c r="B42" s="744"/>
      <c r="C42" s="747"/>
      <c r="D42" s="724"/>
      <c r="E42" s="152" t="s">
        <v>331</v>
      </c>
      <c r="F42" s="323">
        <v>0</v>
      </c>
      <c r="G42" s="323">
        <v>0</v>
      </c>
      <c r="H42" s="323">
        <v>0</v>
      </c>
      <c r="I42" s="323">
        <v>0</v>
      </c>
      <c r="J42" s="323">
        <v>0</v>
      </c>
      <c r="K42" s="323">
        <v>0</v>
      </c>
      <c r="L42" s="323">
        <v>0</v>
      </c>
      <c r="M42" s="323">
        <v>0</v>
      </c>
      <c r="N42" s="323">
        <v>0</v>
      </c>
      <c r="O42" s="323">
        <v>0</v>
      </c>
      <c r="P42" s="323">
        <v>0</v>
      </c>
      <c r="Q42" s="323">
        <v>0</v>
      </c>
      <c r="R42" s="323">
        <v>0</v>
      </c>
      <c r="S42" s="323">
        <v>0</v>
      </c>
      <c r="T42" s="323">
        <v>0</v>
      </c>
      <c r="U42" s="323">
        <v>0</v>
      </c>
      <c r="V42" s="323">
        <v>0</v>
      </c>
      <c r="W42" s="323">
        <v>0</v>
      </c>
      <c r="X42" s="323">
        <v>0</v>
      </c>
      <c r="Y42" s="323">
        <v>0</v>
      </c>
      <c r="Z42" s="323">
        <v>0</v>
      </c>
      <c r="AA42" s="323">
        <v>0</v>
      </c>
      <c r="AB42" s="323">
        <v>0</v>
      </c>
      <c r="AC42" s="328">
        <v>0</v>
      </c>
    </row>
    <row r="43" spans="1:29" ht="31.95" customHeight="1" thickBot="1" x14ac:dyDescent="0.35">
      <c r="A43" s="743"/>
      <c r="B43" s="745"/>
      <c r="C43" s="748"/>
      <c r="D43" s="725"/>
      <c r="E43" s="160" t="s">
        <v>332</v>
      </c>
      <c r="F43" s="354">
        <v>0</v>
      </c>
      <c r="G43" s="354">
        <v>0</v>
      </c>
      <c r="H43" s="354">
        <v>0</v>
      </c>
      <c r="I43" s="354">
        <v>0</v>
      </c>
      <c r="J43" s="354">
        <v>0</v>
      </c>
      <c r="K43" s="354">
        <v>0</v>
      </c>
      <c r="L43" s="354">
        <v>0</v>
      </c>
      <c r="M43" s="354">
        <v>0</v>
      </c>
      <c r="N43" s="354">
        <v>0</v>
      </c>
      <c r="O43" s="354">
        <v>0</v>
      </c>
      <c r="P43" s="354">
        <v>0</v>
      </c>
      <c r="Q43" s="354">
        <v>0</v>
      </c>
      <c r="R43" s="354">
        <v>0</v>
      </c>
      <c r="S43" s="354">
        <v>0</v>
      </c>
      <c r="T43" s="354">
        <v>0</v>
      </c>
      <c r="U43" s="354">
        <v>0</v>
      </c>
      <c r="V43" s="354">
        <v>0</v>
      </c>
      <c r="W43" s="354">
        <v>0</v>
      </c>
      <c r="X43" s="354">
        <v>0</v>
      </c>
      <c r="Y43" s="354">
        <v>0</v>
      </c>
      <c r="Z43" s="354">
        <v>0</v>
      </c>
      <c r="AA43" s="354">
        <v>0</v>
      </c>
      <c r="AB43" s="354">
        <v>0</v>
      </c>
      <c r="AC43" s="355">
        <v>0</v>
      </c>
    </row>
    <row r="44" spans="1:29" ht="31.95" customHeight="1" x14ac:dyDescent="0.3">
      <c r="A44" s="761" t="str">
        <f>A29</f>
        <v>Mechanical room</v>
      </c>
      <c r="B44" s="767" t="str">
        <f>B29</f>
        <v>Ancillary</v>
      </c>
      <c r="C44" s="822" t="s">
        <v>239</v>
      </c>
      <c r="D44" s="731" t="s">
        <v>321</v>
      </c>
      <c r="E44" s="151" t="s">
        <v>330</v>
      </c>
      <c r="F44" s="164">
        <v>1</v>
      </c>
      <c r="G44" s="164">
        <v>1</v>
      </c>
      <c r="H44" s="164">
        <v>1</v>
      </c>
      <c r="I44" s="164">
        <v>1</v>
      </c>
      <c r="J44" s="164">
        <v>1</v>
      </c>
      <c r="K44" s="164">
        <v>0.25</v>
      </c>
      <c r="L44" s="164">
        <v>0.25</v>
      </c>
      <c r="M44" s="164">
        <v>0.25</v>
      </c>
      <c r="N44" s="164">
        <v>0.25</v>
      </c>
      <c r="O44" s="164">
        <v>0.25</v>
      </c>
      <c r="P44" s="164">
        <v>0.25</v>
      </c>
      <c r="Q44" s="164">
        <v>0.25</v>
      </c>
      <c r="R44" s="164">
        <v>0.25</v>
      </c>
      <c r="S44" s="164">
        <v>0.25</v>
      </c>
      <c r="T44" s="164">
        <v>0.25</v>
      </c>
      <c r="U44" s="164">
        <v>0.25</v>
      </c>
      <c r="V44" s="164">
        <v>0.25</v>
      </c>
      <c r="W44" s="164">
        <v>0.25</v>
      </c>
      <c r="X44" s="164">
        <v>0.25</v>
      </c>
      <c r="Y44" s="164">
        <v>0.25</v>
      </c>
      <c r="Z44" s="164">
        <v>0.25</v>
      </c>
      <c r="AA44" s="164">
        <v>0.25</v>
      </c>
      <c r="AB44" s="164">
        <v>0.25</v>
      </c>
      <c r="AC44" s="165">
        <v>0.25</v>
      </c>
    </row>
    <row r="45" spans="1:29" ht="31.95" customHeight="1" x14ac:dyDescent="0.3">
      <c r="A45" s="742"/>
      <c r="B45" s="744"/>
      <c r="C45" s="747"/>
      <c r="D45" s="724"/>
      <c r="E45" s="152" t="s">
        <v>331</v>
      </c>
      <c r="F45" s="144">
        <v>1</v>
      </c>
      <c r="G45" s="144">
        <v>1</v>
      </c>
      <c r="H45" s="144">
        <v>1</v>
      </c>
      <c r="I45" s="144">
        <v>1</v>
      </c>
      <c r="J45" s="144">
        <v>1</v>
      </c>
      <c r="K45" s="146">
        <v>1</v>
      </c>
      <c r="L45" s="146">
        <v>1</v>
      </c>
      <c r="M45" s="146">
        <v>1</v>
      </c>
      <c r="N45" s="146">
        <v>1</v>
      </c>
      <c r="O45" s="146">
        <v>1</v>
      </c>
      <c r="P45" s="146">
        <v>1</v>
      </c>
      <c r="Q45" s="146">
        <v>1</v>
      </c>
      <c r="R45" s="146">
        <v>1</v>
      </c>
      <c r="S45" s="146">
        <v>1</v>
      </c>
      <c r="T45" s="146">
        <v>1</v>
      </c>
      <c r="U45" s="146">
        <v>1</v>
      </c>
      <c r="V45" s="146">
        <v>1</v>
      </c>
      <c r="W45" s="146">
        <v>1</v>
      </c>
      <c r="X45" s="146">
        <v>1</v>
      </c>
      <c r="Y45" s="144">
        <v>1</v>
      </c>
      <c r="Z45" s="144">
        <v>1</v>
      </c>
      <c r="AA45" s="144">
        <v>1</v>
      </c>
      <c r="AB45" s="144">
        <v>1</v>
      </c>
      <c r="AC45" s="147">
        <v>1</v>
      </c>
    </row>
    <row r="46" spans="1:29" ht="31.95" customHeight="1" x14ac:dyDescent="0.3">
      <c r="A46" s="743"/>
      <c r="B46" s="745"/>
      <c r="C46" s="760"/>
      <c r="D46" s="732"/>
      <c r="E46" s="153" t="s">
        <v>332</v>
      </c>
      <c r="F46" s="149">
        <v>1</v>
      </c>
      <c r="G46" s="149">
        <v>1</v>
      </c>
      <c r="H46" s="149">
        <v>1</v>
      </c>
      <c r="I46" s="149">
        <v>1</v>
      </c>
      <c r="J46" s="149">
        <v>1</v>
      </c>
      <c r="K46" s="149">
        <v>1</v>
      </c>
      <c r="L46" s="149">
        <v>1</v>
      </c>
      <c r="M46" s="149">
        <v>1</v>
      </c>
      <c r="N46" s="149">
        <v>1</v>
      </c>
      <c r="O46" s="149">
        <v>1</v>
      </c>
      <c r="P46" s="149">
        <v>1</v>
      </c>
      <c r="Q46" s="149">
        <v>1</v>
      </c>
      <c r="R46" s="149">
        <v>1</v>
      </c>
      <c r="S46" s="149">
        <v>1</v>
      </c>
      <c r="T46" s="149">
        <v>1</v>
      </c>
      <c r="U46" s="149">
        <v>1</v>
      </c>
      <c r="V46" s="149">
        <v>1</v>
      </c>
      <c r="W46" s="149">
        <v>1</v>
      </c>
      <c r="X46" s="149">
        <v>1</v>
      </c>
      <c r="Y46" s="149">
        <v>1</v>
      </c>
      <c r="Z46" s="149">
        <v>1</v>
      </c>
      <c r="AA46" s="149">
        <v>1</v>
      </c>
      <c r="AB46" s="149">
        <v>1</v>
      </c>
      <c r="AC46" s="150">
        <v>1</v>
      </c>
    </row>
    <row r="47" spans="1:29" ht="31.95" customHeight="1" x14ac:dyDescent="0.3">
      <c r="A47" s="798" t="str">
        <f>A32</f>
        <v>Mechanical room</v>
      </c>
      <c r="B47" s="829" t="str">
        <f>B32</f>
        <v>Ancillary</v>
      </c>
      <c r="C47" s="830" t="s">
        <v>508</v>
      </c>
      <c r="D47" s="833" t="s">
        <v>512</v>
      </c>
      <c r="E47" s="526" t="s">
        <v>330</v>
      </c>
      <c r="F47" s="527">
        <f>IF((F38=1),Thermostat!$C$7,Thermostat!$C$8)</f>
        <v>60</v>
      </c>
      <c r="G47" s="527">
        <f>IF((G38=1),Thermostat!$C$7,Thermostat!$C$8)</f>
        <v>60</v>
      </c>
      <c r="H47" s="527">
        <f>IF((H38=1),Thermostat!$C$7,Thermostat!$C$8)</f>
        <v>60</v>
      </c>
      <c r="I47" s="527">
        <f>IF((I38=1),Thermostat!$C$7,Thermostat!$C$8)</f>
        <v>60</v>
      </c>
      <c r="J47" s="527">
        <f>IF((J38=1),Thermostat!$C$7,Thermostat!$C$8)</f>
        <v>60</v>
      </c>
      <c r="K47" s="527">
        <f>IF((K38=1),Thermostat!$C$7,Thermostat!$C$8)</f>
        <v>60</v>
      </c>
      <c r="L47" s="527">
        <f>IF((L38=1),Thermostat!$C$7,Thermostat!$C$8)</f>
        <v>60</v>
      </c>
      <c r="M47" s="527">
        <f>IF((M38=1),Thermostat!$C$7,Thermostat!$C$8)</f>
        <v>60</v>
      </c>
      <c r="N47" s="527">
        <f>IF((N38=1),Thermostat!$C$7,Thermostat!$C$8)</f>
        <v>60</v>
      </c>
      <c r="O47" s="527">
        <f>IF((O38=1),Thermostat!$C$7,Thermostat!$C$8)</f>
        <v>60</v>
      </c>
      <c r="P47" s="527">
        <f>IF((P38=1),Thermostat!$C$7,Thermostat!$C$8)</f>
        <v>60</v>
      </c>
      <c r="Q47" s="527">
        <f>IF((Q38=1),Thermostat!$C$7,Thermostat!$C$8)</f>
        <v>60</v>
      </c>
      <c r="R47" s="527">
        <f>IF((R38=1),Thermostat!$C$7,Thermostat!$C$8)</f>
        <v>60</v>
      </c>
      <c r="S47" s="527">
        <f>IF((S38=1),Thermostat!$C$7,Thermostat!$C$8)</f>
        <v>60</v>
      </c>
      <c r="T47" s="527">
        <f>IF((T38=1),Thermostat!$C$7,Thermostat!$C$8)</f>
        <v>60</v>
      </c>
      <c r="U47" s="527">
        <f>IF((U38=1),Thermostat!$C$7,Thermostat!$C$8)</f>
        <v>60</v>
      </c>
      <c r="V47" s="527">
        <f>IF((V38=1),Thermostat!$C$7,Thermostat!$C$8)</f>
        <v>60</v>
      </c>
      <c r="W47" s="527">
        <f>IF((W38=1),Thermostat!$C$7,Thermostat!$C$8)</f>
        <v>60</v>
      </c>
      <c r="X47" s="527">
        <f>IF((X38=1),Thermostat!$C$7,Thermostat!$C$8)</f>
        <v>60</v>
      </c>
      <c r="Y47" s="527">
        <f>IF((Y38=1),Thermostat!$C$7,Thermostat!$C$8)</f>
        <v>60</v>
      </c>
      <c r="Z47" s="527">
        <f>IF((Z38=1),Thermostat!$C$7,Thermostat!$C$8)</f>
        <v>60</v>
      </c>
      <c r="AA47" s="527">
        <f>IF((AA38=1),Thermostat!$C$7,Thermostat!$C$8)</f>
        <v>60</v>
      </c>
      <c r="AB47" s="527">
        <f>IF((AB38=1),Thermostat!$C$7,Thermostat!$C$8)</f>
        <v>60</v>
      </c>
      <c r="AC47" s="528">
        <f>IF((AC38=1),Thermostat!$C$7,Thermostat!$C$8)</f>
        <v>60</v>
      </c>
    </row>
    <row r="48" spans="1:29" ht="31.95" customHeight="1" x14ac:dyDescent="0.3">
      <c r="A48" s="770"/>
      <c r="B48" s="744"/>
      <c r="C48" s="831"/>
      <c r="D48" s="834"/>
      <c r="E48" s="529" t="s">
        <v>331</v>
      </c>
      <c r="F48" s="349">
        <f>IF((F39=1),Thermostat!$C$7,Thermostat!$C$8)</f>
        <v>60</v>
      </c>
      <c r="G48" s="349">
        <f>IF((G39=1),Thermostat!$C$7,Thermostat!$C$8)</f>
        <v>60</v>
      </c>
      <c r="H48" s="349">
        <f>IF((H39=1),Thermostat!$C$7,Thermostat!$C$8)</f>
        <v>60</v>
      </c>
      <c r="I48" s="349">
        <f>IF((I39=1),Thermostat!$C$7,Thermostat!$C$8)</f>
        <v>60</v>
      </c>
      <c r="J48" s="349">
        <f>IF((J39=1),Thermostat!$C$7,Thermostat!$C$8)</f>
        <v>60</v>
      </c>
      <c r="K48" s="349">
        <f>IF((K39=1),Thermostat!$C$7,Thermostat!$C$8)</f>
        <v>60</v>
      </c>
      <c r="L48" s="349">
        <f>IF((L39=1),Thermostat!$C$7,Thermostat!$C$8)</f>
        <v>60</v>
      </c>
      <c r="M48" s="349">
        <f>IF((M39=1),Thermostat!$C$7,Thermostat!$C$8)</f>
        <v>60</v>
      </c>
      <c r="N48" s="349">
        <f>IF((N39=1),Thermostat!$C$7,Thermostat!$C$8)</f>
        <v>60</v>
      </c>
      <c r="O48" s="349">
        <f>IF((O39=1),Thermostat!$C$7,Thermostat!$C$8)</f>
        <v>60</v>
      </c>
      <c r="P48" s="349">
        <f>IF((P39=1),Thermostat!$C$7,Thermostat!$C$8)</f>
        <v>60</v>
      </c>
      <c r="Q48" s="349">
        <f>IF((Q39=1),Thermostat!$C$7,Thermostat!$C$8)</f>
        <v>60</v>
      </c>
      <c r="R48" s="349">
        <f>IF((R39=1),Thermostat!$C$7,Thermostat!$C$8)</f>
        <v>60</v>
      </c>
      <c r="S48" s="349">
        <f>IF((S39=1),Thermostat!$C$7,Thermostat!$C$8)</f>
        <v>60</v>
      </c>
      <c r="T48" s="349">
        <f>IF((T39=1),Thermostat!$C$7,Thermostat!$C$8)</f>
        <v>60</v>
      </c>
      <c r="U48" s="349">
        <f>IF((U39=1),Thermostat!$C$7,Thermostat!$C$8)</f>
        <v>60</v>
      </c>
      <c r="V48" s="349">
        <f>IF((V39=1),Thermostat!$C$7,Thermostat!$C$8)</f>
        <v>60</v>
      </c>
      <c r="W48" s="349">
        <f>IF((W39=1),Thermostat!$C$7,Thermostat!$C$8)</f>
        <v>60</v>
      </c>
      <c r="X48" s="349">
        <f>IF((X39=1),Thermostat!$C$7,Thermostat!$C$8)</f>
        <v>60</v>
      </c>
      <c r="Y48" s="349">
        <f>IF((Y39=1),Thermostat!$C$7,Thermostat!$C$8)</f>
        <v>60</v>
      </c>
      <c r="Z48" s="349">
        <f>IF((Z39=1),Thermostat!$C$7,Thermostat!$C$8)</f>
        <v>60</v>
      </c>
      <c r="AA48" s="349">
        <f>IF((AA39=1),Thermostat!$C$7,Thermostat!$C$8)</f>
        <v>60</v>
      </c>
      <c r="AB48" s="349">
        <f>IF((AB39=1),Thermostat!$C$7,Thermostat!$C$8)</f>
        <v>60</v>
      </c>
      <c r="AC48" s="530">
        <f>IF((AC39=1),Thermostat!$C$7,Thermostat!$C$8)</f>
        <v>60</v>
      </c>
    </row>
    <row r="49" spans="1:39" ht="31.95" customHeight="1" x14ac:dyDescent="0.3">
      <c r="A49" s="828"/>
      <c r="B49" s="744"/>
      <c r="C49" s="832"/>
      <c r="D49" s="835"/>
      <c r="E49" s="531" t="s">
        <v>332</v>
      </c>
      <c r="F49" s="350">
        <f>IF((F40=1),Thermostat!$C$7,Thermostat!$C$8)</f>
        <v>60</v>
      </c>
      <c r="G49" s="350">
        <f>IF((G40=1),Thermostat!$C$7,Thermostat!$C$8)</f>
        <v>60</v>
      </c>
      <c r="H49" s="350">
        <f>IF((H40=1),Thermostat!$C$7,Thermostat!$C$8)</f>
        <v>60</v>
      </c>
      <c r="I49" s="350">
        <f>IF((I40=1),Thermostat!$C$7,Thermostat!$C$8)</f>
        <v>60</v>
      </c>
      <c r="J49" s="350">
        <f>IF((J40=1),Thermostat!$C$7,Thermostat!$C$8)</f>
        <v>60</v>
      </c>
      <c r="K49" s="350">
        <f>IF((K40=1),Thermostat!$C$7,Thermostat!$C$8)</f>
        <v>60</v>
      </c>
      <c r="L49" s="350">
        <f>IF((L40=1),Thermostat!$C$7,Thermostat!$C$8)</f>
        <v>60</v>
      </c>
      <c r="M49" s="350">
        <f>IF((M40=1),Thermostat!$C$7,Thermostat!$C$8)</f>
        <v>60</v>
      </c>
      <c r="N49" s="350">
        <f>IF((N40=1),Thermostat!$C$7,Thermostat!$C$8)</f>
        <v>60</v>
      </c>
      <c r="O49" s="350">
        <f>IF((O40=1),Thermostat!$C$7,Thermostat!$C$8)</f>
        <v>60</v>
      </c>
      <c r="P49" s="350">
        <f>IF((P40=1),Thermostat!$C$7,Thermostat!$C$8)</f>
        <v>60</v>
      </c>
      <c r="Q49" s="350">
        <f>IF((Q40=1),Thermostat!$C$7,Thermostat!$C$8)</f>
        <v>60</v>
      </c>
      <c r="R49" s="350">
        <f>IF((R40=1),Thermostat!$C$7,Thermostat!$C$8)</f>
        <v>60</v>
      </c>
      <c r="S49" s="350">
        <f>IF((S40=1),Thermostat!$C$7,Thermostat!$C$8)</f>
        <v>60</v>
      </c>
      <c r="T49" s="350">
        <f>IF((T40=1),Thermostat!$C$7,Thermostat!$C$8)</f>
        <v>60</v>
      </c>
      <c r="U49" s="350">
        <f>IF((U40=1),Thermostat!$C$7,Thermostat!$C$8)</f>
        <v>60</v>
      </c>
      <c r="V49" s="350">
        <f>IF((V40=1),Thermostat!$C$7,Thermostat!$C$8)</f>
        <v>60</v>
      </c>
      <c r="W49" s="350">
        <f>IF((W40=1),Thermostat!$C$7,Thermostat!$C$8)</f>
        <v>60</v>
      </c>
      <c r="X49" s="350">
        <f>IF((X40=1),Thermostat!$C$7,Thermostat!$C$8)</f>
        <v>60</v>
      </c>
      <c r="Y49" s="350">
        <f>IF((Y40=1),Thermostat!$C$7,Thermostat!$C$8)</f>
        <v>60</v>
      </c>
      <c r="Z49" s="350">
        <f>IF((Z40=1),Thermostat!$C$7,Thermostat!$C$8)</f>
        <v>60</v>
      </c>
      <c r="AA49" s="350">
        <f>IF((AA40=1),Thermostat!$C$7,Thermostat!$C$8)</f>
        <v>60</v>
      </c>
      <c r="AB49" s="350">
        <f>IF((AB40=1),Thermostat!$C$7,Thermostat!$C$8)</f>
        <v>60</v>
      </c>
      <c r="AC49" s="532">
        <f>IF((AC40=1),Thermostat!$C$7,Thermostat!$C$8)</f>
        <v>60</v>
      </c>
    </row>
    <row r="50" spans="1:39" ht="33.6" customHeight="1" x14ac:dyDescent="0.3">
      <c r="A50" s="761" t="str">
        <f>A29</f>
        <v>Mechanical room</v>
      </c>
      <c r="B50" s="767" t="str">
        <f>B29</f>
        <v>Ancillary</v>
      </c>
      <c r="C50" s="825" t="s">
        <v>509</v>
      </c>
      <c r="D50" s="736" t="s">
        <v>512</v>
      </c>
      <c r="E50" s="533" t="s">
        <v>330</v>
      </c>
      <c r="F50" s="525">
        <f>IF((F38=1),Thermostat!$C$9,Thermostat!$C$10)</f>
        <v>85</v>
      </c>
      <c r="G50" s="525">
        <f>IF((G38=1),Thermostat!$C$9,Thermostat!$C$10)</f>
        <v>85</v>
      </c>
      <c r="H50" s="525">
        <f>IF((H38=1),Thermostat!$C$9,Thermostat!$C$10)</f>
        <v>85</v>
      </c>
      <c r="I50" s="525">
        <f>IF((I38=1),Thermostat!$C$9,Thermostat!$C$10)</f>
        <v>85</v>
      </c>
      <c r="J50" s="525">
        <f>IF((J38=1),Thermostat!$C$9,Thermostat!$C$10)</f>
        <v>85</v>
      </c>
      <c r="K50" s="525">
        <f>IF((K38=1),Thermostat!$C$9,Thermostat!$C$10)</f>
        <v>85</v>
      </c>
      <c r="L50" s="525">
        <f>IF((L38=1),Thermostat!$C$9,Thermostat!$C$10)</f>
        <v>85</v>
      </c>
      <c r="M50" s="525">
        <f>IF((M38=1),Thermostat!$C$9,Thermostat!$C$10)</f>
        <v>85</v>
      </c>
      <c r="N50" s="525">
        <f>IF((N38=1),Thermostat!$C$9,Thermostat!$C$10)</f>
        <v>85</v>
      </c>
      <c r="O50" s="525">
        <f>IF((O38=1),Thermostat!$C$9,Thermostat!$C$10)</f>
        <v>85</v>
      </c>
      <c r="P50" s="525">
        <f>IF((P38=1),Thermostat!$C$9,Thermostat!$C$10)</f>
        <v>85</v>
      </c>
      <c r="Q50" s="525">
        <f>IF((Q38=1),Thermostat!$C$9,Thermostat!$C$10)</f>
        <v>85</v>
      </c>
      <c r="R50" s="525">
        <f>IF((R38=1),Thermostat!$C$9,Thermostat!$C$10)</f>
        <v>85</v>
      </c>
      <c r="S50" s="525">
        <f>IF((S38=1),Thermostat!$C$9,Thermostat!$C$10)</f>
        <v>85</v>
      </c>
      <c r="T50" s="525">
        <f>IF((T38=1),Thermostat!$C$9,Thermostat!$C$10)</f>
        <v>85</v>
      </c>
      <c r="U50" s="525">
        <f>IF((U38=1),Thermostat!$C$9,Thermostat!$C$10)</f>
        <v>85</v>
      </c>
      <c r="V50" s="525">
        <f>IF((V38=1),Thermostat!$C$9,Thermostat!$C$10)</f>
        <v>85</v>
      </c>
      <c r="W50" s="525">
        <f>IF((W38=1),Thermostat!$C$9,Thermostat!$C$10)</f>
        <v>85</v>
      </c>
      <c r="X50" s="525">
        <f>IF((X38=1),Thermostat!$C$9,Thermostat!$C$10)</f>
        <v>85</v>
      </c>
      <c r="Y50" s="525">
        <f>IF((Y38=1),Thermostat!$C$9,Thermostat!$C$10)</f>
        <v>85</v>
      </c>
      <c r="Z50" s="525">
        <f>IF((Z38=1),Thermostat!$C$9,Thermostat!$C$10)</f>
        <v>85</v>
      </c>
      <c r="AA50" s="525">
        <f>IF((AA38=1),Thermostat!$C$9,Thermostat!$C$10)</f>
        <v>85</v>
      </c>
      <c r="AB50" s="525">
        <f>IF((AB38=1),Thermostat!$C$9,Thermostat!$C$10)</f>
        <v>85</v>
      </c>
      <c r="AC50" s="534">
        <f>IF((AC38=1),Thermostat!$C$9,Thermostat!$C$10)</f>
        <v>85</v>
      </c>
    </row>
    <row r="51" spans="1:39" ht="34.950000000000003" customHeight="1" x14ac:dyDescent="0.3">
      <c r="A51" s="742"/>
      <c r="B51" s="744"/>
      <c r="C51" s="826"/>
      <c r="D51" s="737"/>
      <c r="E51" s="535" t="s">
        <v>331</v>
      </c>
      <c r="F51" s="349">
        <f>IF((F39=1),Thermostat!$C$9,Thermostat!$C$10)</f>
        <v>85</v>
      </c>
      <c r="G51" s="349">
        <f>IF((G39=1),Thermostat!$C$9,Thermostat!$C$10)</f>
        <v>85</v>
      </c>
      <c r="H51" s="349">
        <f>IF((H39=1),Thermostat!$C$9,Thermostat!$C$10)</f>
        <v>85</v>
      </c>
      <c r="I51" s="349">
        <f>IF((I39=1),Thermostat!$C$9,Thermostat!$C$10)</f>
        <v>85</v>
      </c>
      <c r="J51" s="349">
        <f>IF((J39=1),Thermostat!$C$9,Thermostat!$C$10)</f>
        <v>85</v>
      </c>
      <c r="K51" s="349">
        <f>IF((K39=1),Thermostat!$C$9,Thermostat!$C$10)</f>
        <v>85</v>
      </c>
      <c r="L51" s="349">
        <f>IF((L39=1),Thermostat!$C$9,Thermostat!$C$10)</f>
        <v>85</v>
      </c>
      <c r="M51" s="349">
        <f>IF((M39=1),Thermostat!$C$9,Thermostat!$C$10)</f>
        <v>85</v>
      </c>
      <c r="N51" s="349">
        <f>IF((N39=1),Thermostat!$C$9,Thermostat!$C$10)</f>
        <v>85</v>
      </c>
      <c r="O51" s="349">
        <f>IF((O39=1),Thermostat!$C$9,Thermostat!$C$10)</f>
        <v>85</v>
      </c>
      <c r="P51" s="349">
        <f>IF((P39=1),Thermostat!$C$9,Thermostat!$C$10)</f>
        <v>85</v>
      </c>
      <c r="Q51" s="349">
        <f>IF((Q39=1),Thermostat!$C$9,Thermostat!$C$10)</f>
        <v>85</v>
      </c>
      <c r="R51" s="349">
        <f>IF((R39=1),Thermostat!$C$9,Thermostat!$C$10)</f>
        <v>85</v>
      </c>
      <c r="S51" s="349">
        <f>IF((S39=1),Thermostat!$C$9,Thermostat!$C$10)</f>
        <v>85</v>
      </c>
      <c r="T51" s="349">
        <f>IF((T39=1),Thermostat!$C$9,Thermostat!$C$10)</f>
        <v>85</v>
      </c>
      <c r="U51" s="349">
        <f>IF((U39=1),Thermostat!$C$9,Thermostat!$C$10)</f>
        <v>85</v>
      </c>
      <c r="V51" s="349">
        <f>IF((V39=1),Thermostat!$C$9,Thermostat!$C$10)</f>
        <v>85</v>
      </c>
      <c r="W51" s="349">
        <f>IF((W39=1),Thermostat!$C$9,Thermostat!$C$10)</f>
        <v>85</v>
      </c>
      <c r="X51" s="349">
        <f>IF((X39=1),Thermostat!$C$9,Thermostat!$C$10)</f>
        <v>85</v>
      </c>
      <c r="Y51" s="349">
        <f>IF((Y39=1),Thermostat!$C$9,Thermostat!$C$10)</f>
        <v>85</v>
      </c>
      <c r="Z51" s="349">
        <f>IF((Z39=1),Thermostat!$C$9,Thermostat!$C$10)</f>
        <v>85</v>
      </c>
      <c r="AA51" s="349">
        <f>IF((AA39=1),Thermostat!$C$9,Thermostat!$C$10)</f>
        <v>85</v>
      </c>
      <c r="AB51" s="349">
        <f>IF((AB39=1),Thermostat!$C$9,Thermostat!$C$10)</f>
        <v>85</v>
      </c>
      <c r="AC51" s="530">
        <f>IF((AC39=1),Thermostat!$C$9,Thermostat!$C$10)</f>
        <v>85</v>
      </c>
    </row>
    <row r="52" spans="1:39" ht="34.950000000000003" customHeight="1" x14ac:dyDescent="0.3">
      <c r="A52" s="823"/>
      <c r="B52" s="824"/>
      <c r="C52" s="827"/>
      <c r="D52" s="738"/>
      <c r="E52" s="536" t="s">
        <v>332</v>
      </c>
      <c r="F52" s="537">
        <f>IF((F40=1),Thermostat!$C$9,Thermostat!$C$10)</f>
        <v>85</v>
      </c>
      <c r="G52" s="537">
        <f>IF((G40=1),Thermostat!$C$9,Thermostat!$C$10)</f>
        <v>85</v>
      </c>
      <c r="H52" s="537">
        <f>IF((H40=1),Thermostat!$C$9,Thermostat!$C$10)</f>
        <v>85</v>
      </c>
      <c r="I52" s="537">
        <f>IF((I40=1),Thermostat!$C$9,Thermostat!$C$10)</f>
        <v>85</v>
      </c>
      <c r="J52" s="537">
        <f>IF((J40=1),Thermostat!$C$9,Thermostat!$C$10)</f>
        <v>85</v>
      </c>
      <c r="K52" s="537">
        <f>IF((K40=1),Thermostat!$C$9,Thermostat!$C$10)</f>
        <v>85</v>
      </c>
      <c r="L52" s="537">
        <f>IF((L40=1),Thermostat!$C$9,Thermostat!$C$10)</f>
        <v>85</v>
      </c>
      <c r="M52" s="537">
        <f>IF((M40=1),Thermostat!$C$9,Thermostat!$C$10)</f>
        <v>85</v>
      </c>
      <c r="N52" s="537">
        <f>IF((N40=1),Thermostat!$C$9,Thermostat!$C$10)</f>
        <v>85</v>
      </c>
      <c r="O52" s="537">
        <f>IF((O40=1),Thermostat!$C$9,Thermostat!$C$10)</f>
        <v>85</v>
      </c>
      <c r="P52" s="537">
        <f>IF((P40=1),Thermostat!$C$9,Thermostat!$C$10)</f>
        <v>85</v>
      </c>
      <c r="Q52" s="537">
        <f>IF((Q40=1),Thermostat!$C$9,Thermostat!$C$10)</f>
        <v>85</v>
      </c>
      <c r="R52" s="537">
        <f>IF((R40=1),Thermostat!$C$9,Thermostat!$C$10)</f>
        <v>85</v>
      </c>
      <c r="S52" s="537">
        <f>IF((S40=1),Thermostat!$C$9,Thermostat!$C$10)</f>
        <v>85</v>
      </c>
      <c r="T52" s="537">
        <f>IF((T40=1),Thermostat!$C$9,Thermostat!$C$10)</f>
        <v>85</v>
      </c>
      <c r="U52" s="537">
        <f>IF((U40=1),Thermostat!$C$9,Thermostat!$C$10)</f>
        <v>85</v>
      </c>
      <c r="V52" s="537">
        <f>IF((V40=1),Thermostat!$C$9,Thermostat!$C$10)</f>
        <v>85</v>
      </c>
      <c r="W52" s="537">
        <f>IF((W40=1),Thermostat!$C$9,Thermostat!$C$10)</f>
        <v>85</v>
      </c>
      <c r="X52" s="537">
        <f>IF((X40=1),Thermostat!$C$9,Thermostat!$C$10)</f>
        <v>85</v>
      </c>
      <c r="Y52" s="537">
        <f>IF((Y40=1),Thermostat!$C$9,Thermostat!$C$10)</f>
        <v>85</v>
      </c>
      <c r="Z52" s="537">
        <f>IF((Z40=1),Thermostat!$C$9,Thermostat!$C$10)</f>
        <v>85</v>
      </c>
      <c r="AA52" s="537">
        <f>IF((AA40=1),Thermostat!$C$9,Thermostat!$C$10)</f>
        <v>85</v>
      </c>
      <c r="AB52" s="537">
        <f>IF((AB40=1),Thermostat!$C$9,Thermostat!$C$10)</f>
        <v>85</v>
      </c>
      <c r="AC52" s="538">
        <f>IF((AC40=1),Thermostat!$C$9,Thermostat!$C$10)</f>
        <v>85</v>
      </c>
    </row>
    <row r="53" spans="1:39" ht="34.950000000000003" customHeight="1" x14ac:dyDescent="0.3">
      <c r="A53" s="809" t="s">
        <v>513</v>
      </c>
      <c r="B53" s="810"/>
      <c r="C53" s="810"/>
      <c r="D53" s="810"/>
      <c r="E53" s="810"/>
      <c r="F53" s="810"/>
      <c r="G53" s="810"/>
      <c r="H53" s="810"/>
      <c r="I53" s="810"/>
      <c r="J53" s="810"/>
      <c r="K53" s="810"/>
      <c r="L53" s="810"/>
      <c r="M53" s="810"/>
      <c r="N53" s="810"/>
      <c r="O53" s="810"/>
      <c r="P53" s="810"/>
      <c r="Q53" s="810"/>
      <c r="R53" s="810"/>
      <c r="S53" s="810"/>
      <c r="T53" s="810"/>
      <c r="U53" s="810"/>
      <c r="V53" s="810"/>
      <c r="W53" s="810"/>
      <c r="X53" s="810"/>
      <c r="Y53" s="810"/>
      <c r="Z53" s="810"/>
      <c r="AA53" s="810"/>
      <c r="AB53" s="810"/>
      <c r="AC53" s="811"/>
    </row>
    <row r="54" spans="1:39" ht="34.950000000000003" customHeight="1" x14ac:dyDescent="0.3">
      <c r="A54" s="726"/>
      <c r="B54" s="813" t="s">
        <v>125</v>
      </c>
      <c r="C54" s="815" t="s">
        <v>514</v>
      </c>
      <c r="D54" s="818"/>
      <c r="E54" s="278" t="s">
        <v>330</v>
      </c>
      <c r="F54" s="279">
        <v>1</v>
      </c>
      <c r="G54" s="279">
        <v>1</v>
      </c>
      <c r="H54" s="279">
        <v>1</v>
      </c>
      <c r="I54" s="279">
        <v>1</v>
      </c>
      <c r="J54" s="279">
        <v>1</v>
      </c>
      <c r="K54" s="279">
        <v>1</v>
      </c>
      <c r="L54" s="279">
        <v>1</v>
      </c>
      <c r="M54" s="279">
        <v>1</v>
      </c>
      <c r="N54" s="279">
        <v>1</v>
      </c>
      <c r="O54" s="279">
        <v>1</v>
      </c>
      <c r="P54" s="279">
        <v>1</v>
      </c>
      <c r="Q54" s="279">
        <v>1</v>
      </c>
      <c r="R54" s="279">
        <v>1</v>
      </c>
      <c r="S54" s="279">
        <v>1</v>
      </c>
      <c r="T54" s="279">
        <v>1</v>
      </c>
      <c r="U54" s="279">
        <v>1</v>
      </c>
      <c r="V54" s="279">
        <v>1</v>
      </c>
      <c r="W54" s="279">
        <v>1</v>
      </c>
      <c r="X54" s="279">
        <v>1</v>
      </c>
      <c r="Y54" s="279">
        <v>1</v>
      </c>
      <c r="Z54" s="279">
        <v>1</v>
      </c>
      <c r="AA54" s="279">
        <v>1</v>
      </c>
      <c r="AB54" s="279">
        <v>1</v>
      </c>
      <c r="AC54" s="280">
        <v>1</v>
      </c>
    </row>
    <row r="55" spans="1:39" ht="34.950000000000003" customHeight="1" x14ac:dyDescent="0.3">
      <c r="A55" s="775"/>
      <c r="B55" s="754"/>
      <c r="C55" s="816"/>
      <c r="D55" s="765"/>
      <c r="E55" s="281" t="s">
        <v>331</v>
      </c>
      <c r="F55" s="282">
        <v>1</v>
      </c>
      <c r="G55" s="282">
        <v>1</v>
      </c>
      <c r="H55" s="282">
        <v>1</v>
      </c>
      <c r="I55" s="282">
        <v>1</v>
      </c>
      <c r="J55" s="282">
        <v>1</v>
      </c>
      <c r="K55" s="282">
        <v>1</v>
      </c>
      <c r="L55" s="282">
        <v>1</v>
      </c>
      <c r="M55" s="282">
        <v>1</v>
      </c>
      <c r="N55" s="282">
        <v>1</v>
      </c>
      <c r="O55" s="282">
        <v>1</v>
      </c>
      <c r="P55" s="282">
        <v>1</v>
      </c>
      <c r="Q55" s="282">
        <v>1</v>
      </c>
      <c r="R55" s="282">
        <v>1</v>
      </c>
      <c r="S55" s="282">
        <v>1</v>
      </c>
      <c r="T55" s="282">
        <v>1</v>
      </c>
      <c r="U55" s="282">
        <v>1</v>
      </c>
      <c r="V55" s="282">
        <v>1</v>
      </c>
      <c r="W55" s="282">
        <v>1</v>
      </c>
      <c r="X55" s="282">
        <v>1</v>
      </c>
      <c r="Y55" s="282">
        <v>1</v>
      </c>
      <c r="Z55" s="282">
        <v>1</v>
      </c>
      <c r="AA55" s="282">
        <v>1</v>
      </c>
      <c r="AB55" s="282">
        <v>1</v>
      </c>
      <c r="AC55" s="283">
        <v>1</v>
      </c>
    </row>
    <row r="56" spans="1:39" ht="34.950000000000003" customHeight="1" thickBot="1" x14ac:dyDescent="0.35">
      <c r="A56" s="812"/>
      <c r="B56" s="814"/>
      <c r="C56" s="817"/>
      <c r="D56" s="819"/>
      <c r="E56" s="284" t="s">
        <v>332</v>
      </c>
      <c r="F56" s="285">
        <v>1</v>
      </c>
      <c r="G56" s="285">
        <v>1</v>
      </c>
      <c r="H56" s="285">
        <v>1</v>
      </c>
      <c r="I56" s="285">
        <v>1</v>
      </c>
      <c r="J56" s="285">
        <v>1</v>
      </c>
      <c r="K56" s="285">
        <v>1</v>
      </c>
      <c r="L56" s="285">
        <v>1</v>
      </c>
      <c r="M56" s="285">
        <v>1</v>
      </c>
      <c r="N56" s="285">
        <v>1</v>
      </c>
      <c r="O56" s="285">
        <v>1</v>
      </c>
      <c r="P56" s="285">
        <v>1</v>
      </c>
      <c r="Q56" s="285">
        <v>1</v>
      </c>
      <c r="R56" s="285">
        <v>1</v>
      </c>
      <c r="S56" s="285">
        <v>1</v>
      </c>
      <c r="T56" s="285">
        <v>1</v>
      </c>
      <c r="U56" s="285">
        <v>1</v>
      </c>
      <c r="V56" s="285">
        <v>1</v>
      </c>
      <c r="W56" s="285">
        <v>1</v>
      </c>
      <c r="X56" s="285">
        <v>1</v>
      </c>
      <c r="Y56" s="285">
        <v>1</v>
      </c>
      <c r="Z56" s="285">
        <v>1</v>
      </c>
      <c r="AA56" s="285">
        <v>1</v>
      </c>
      <c r="AB56" s="285">
        <v>1</v>
      </c>
      <c r="AC56" s="286">
        <v>1</v>
      </c>
    </row>
    <row r="57" spans="1:39" ht="34.950000000000003" customHeight="1" x14ac:dyDescent="0.3">
      <c r="A57" s="750"/>
      <c r="B57" s="753" t="s">
        <v>125</v>
      </c>
      <c r="C57" s="820" t="s">
        <v>515</v>
      </c>
      <c r="D57" s="765"/>
      <c r="E57" s="287" t="s">
        <v>330</v>
      </c>
      <c r="F57" s="288">
        <v>0</v>
      </c>
      <c r="G57" s="288">
        <v>0</v>
      </c>
      <c r="H57" s="288">
        <v>0</v>
      </c>
      <c r="I57" s="288">
        <v>0</v>
      </c>
      <c r="J57" s="288">
        <v>0</v>
      </c>
      <c r="K57" s="288">
        <v>1</v>
      </c>
      <c r="L57" s="288">
        <v>1</v>
      </c>
      <c r="M57" s="288">
        <v>1</v>
      </c>
      <c r="N57" s="288">
        <v>1</v>
      </c>
      <c r="O57" s="288">
        <v>1</v>
      </c>
      <c r="P57" s="288">
        <v>1</v>
      </c>
      <c r="Q57" s="288">
        <v>1</v>
      </c>
      <c r="R57" s="288">
        <v>1</v>
      </c>
      <c r="S57" s="288">
        <v>1</v>
      </c>
      <c r="T57" s="288">
        <v>1</v>
      </c>
      <c r="U57" s="288">
        <v>1</v>
      </c>
      <c r="V57" s="288">
        <v>1</v>
      </c>
      <c r="W57" s="288">
        <v>1</v>
      </c>
      <c r="X57" s="288">
        <v>1</v>
      </c>
      <c r="Y57" s="288">
        <v>1</v>
      </c>
      <c r="Z57" s="288">
        <v>1</v>
      </c>
      <c r="AA57" s="288">
        <v>1</v>
      </c>
      <c r="AB57" s="288">
        <v>0</v>
      </c>
      <c r="AC57" s="289">
        <v>0</v>
      </c>
    </row>
    <row r="58" spans="1:39" ht="34.950000000000003" customHeight="1" x14ac:dyDescent="0.3">
      <c r="A58" s="751"/>
      <c r="B58" s="754"/>
      <c r="C58" s="816"/>
      <c r="D58" s="765"/>
      <c r="E58" s="281" t="s">
        <v>331</v>
      </c>
      <c r="F58" s="282">
        <v>0</v>
      </c>
      <c r="G58" s="282">
        <v>0</v>
      </c>
      <c r="H58" s="282">
        <v>0</v>
      </c>
      <c r="I58" s="282">
        <v>0</v>
      </c>
      <c r="J58" s="282">
        <v>0</v>
      </c>
      <c r="K58" s="282">
        <v>1</v>
      </c>
      <c r="L58" s="282">
        <v>1</v>
      </c>
      <c r="M58" s="282">
        <v>1</v>
      </c>
      <c r="N58" s="282">
        <v>1</v>
      </c>
      <c r="O58" s="282">
        <v>1</v>
      </c>
      <c r="P58" s="282">
        <v>1</v>
      </c>
      <c r="Q58" s="282">
        <v>1</v>
      </c>
      <c r="R58" s="282">
        <v>1</v>
      </c>
      <c r="S58" s="282">
        <v>1</v>
      </c>
      <c r="T58" s="282">
        <v>1</v>
      </c>
      <c r="U58" s="282">
        <v>1</v>
      </c>
      <c r="V58" s="282">
        <v>1</v>
      </c>
      <c r="W58" s="282">
        <v>1</v>
      </c>
      <c r="X58" s="282">
        <v>1</v>
      </c>
      <c r="Y58" s="282">
        <v>1</v>
      </c>
      <c r="Z58" s="282">
        <v>1</v>
      </c>
      <c r="AA58" s="282">
        <v>1</v>
      </c>
      <c r="AB58" s="282">
        <v>1</v>
      </c>
      <c r="AC58" s="290">
        <v>1</v>
      </c>
    </row>
    <row r="59" spans="1:39" ht="34.950000000000003" customHeight="1" thickBot="1" x14ac:dyDescent="0.35">
      <c r="A59" s="752"/>
      <c r="B59" s="755"/>
      <c r="C59" s="821"/>
      <c r="D59" s="766"/>
      <c r="E59" s="291" t="s">
        <v>332</v>
      </c>
      <c r="F59" s="292">
        <v>0</v>
      </c>
      <c r="G59" s="292">
        <v>0</v>
      </c>
      <c r="H59" s="292">
        <v>0</v>
      </c>
      <c r="I59" s="292">
        <v>0</v>
      </c>
      <c r="J59" s="292">
        <v>0</v>
      </c>
      <c r="K59" s="292">
        <v>1</v>
      </c>
      <c r="L59" s="292">
        <v>1</v>
      </c>
      <c r="M59" s="292">
        <v>1</v>
      </c>
      <c r="N59" s="292">
        <v>1</v>
      </c>
      <c r="O59" s="292">
        <v>1</v>
      </c>
      <c r="P59" s="292">
        <v>1</v>
      </c>
      <c r="Q59" s="292">
        <v>1</v>
      </c>
      <c r="R59" s="292">
        <v>1</v>
      </c>
      <c r="S59" s="292">
        <v>1</v>
      </c>
      <c r="T59" s="292">
        <v>1</v>
      </c>
      <c r="U59" s="292">
        <v>1</v>
      </c>
      <c r="V59" s="292">
        <v>1</v>
      </c>
      <c r="W59" s="292">
        <v>1</v>
      </c>
      <c r="X59" s="292">
        <v>1</v>
      </c>
      <c r="Y59" s="292">
        <v>1</v>
      </c>
      <c r="Z59" s="292">
        <v>1</v>
      </c>
      <c r="AA59" s="292">
        <v>1</v>
      </c>
      <c r="AB59" s="292">
        <v>1</v>
      </c>
      <c r="AC59" s="293">
        <v>1</v>
      </c>
    </row>
    <row r="60" spans="1:39" ht="30" customHeight="1" x14ac:dyDescent="0.3">
      <c r="A60" s="733" t="s">
        <v>142</v>
      </c>
      <c r="B60" s="721" t="s">
        <v>125</v>
      </c>
      <c r="C60" s="721" t="s">
        <v>516</v>
      </c>
      <c r="D60" s="723" t="s">
        <v>654</v>
      </c>
      <c r="E60" s="151" t="s">
        <v>330</v>
      </c>
      <c r="F60" s="174">
        <v>131.9</v>
      </c>
      <c r="G60" s="174">
        <v>131.9</v>
      </c>
      <c r="H60" s="174">
        <v>131.9</v>
      </c>
      <c r="I60" s="174">
        <v>131.9</v>
      </c>
      <c r="J60" s="174">
        <v>131.9</v>
      </c>
      <c r="K60" s="174">
        <v>131.9</v>
      </c>
      <c r="L60" s="174">
        <v>131.9</v>
      </c>
      <c r="M60" s="174">
        <v>131.9</v>
      </c>
      <c r="N60" s="174">
        <v>131.9</v>
      </c>
      <c r="O60" s="174">
        <v>131.9</v>
      </c>
      <c r="P60" s="174">
        <v>131.9</v>
      </c>
      <c r="Q60" s="174">
        <v>131.9</v>
      </c>
      <c r="R60" s="174">
        <v>131.9</v>
      </c>
      <c r="S60" s="174">
        <v>131.9</v>
      </c>
      <c r="T60" s="174">
        <v>131.9</v>
      </c>
      <c r="U60" s="174">
        <v>131.9</v>
      </c>
      <c r="V60" s="174">
        <v>131.9</v>
      </c>
      <c r="W60" s="174">
        <v>131.9</v>
      </c>
      <c r="X60" s="174">
        <v>131.9</v>
      </c>
      <c r="Y60" s="174">
        <v>131.9</v>
      </c>
      <c r="Z60" s="174">
        <v>131.9</v>
      </c>
      <c r="AA60" s="174">
        <v>131.9</v>
      </c>
      <c r="AB60" s="174">
        <v>131.9</v>
      </c>
      <c r="AC60" s="175">
        <v>131.9</v>
      </c>
      <c r="AD60" s="69"/>
      <c r="AE60" s="68"/>
      <c r="AF60" s="68"/>
      <c r="AG60" s="68"/>
      <c r="AH60" s="68"/>
      <c r="AI60" s="68"/>
      <c r="AJ60" s="68"/>
      <c r="AK60" s="68"/>
      <c r="AM60" s="99"/>
    </row>
    <row r="61" spans="1:39" ht="30" customHeight="1" x14ac:dyDescent="0.3">
      <c r="A61" s="727"/>
      <c r="B61" s="722"/>
      <c r="C61" s="722"/>
      <c r="D61" s="724"/>
      <c r="E61" s="152" t="s">
        <v>331</v>
      </c>
      <c r="F61" s="176">
        <v>131.9</v>
      </c>
      <c r="G61" s="176">
        <v>131.9</v>
      </c>
      <c r="H61" s="176">
        <v>131.9</v>
      </c>
      <c r="I61" s="176">
        <v>131.9</v>
      </c>
      <c r="J61" s="176">
        <v>131.9</v>
      </c>
      <c r="K61" s="176">
        <v>131.9</v>
      </c>
      <c r="L61" s="176">
        <v>131.9</v>
      </c>
      <c r="M61" s="176">
        <v>131.9</v>
      </c>
      <c r="N61" s="176">
        <v>131.9</v>
      </c>
      <c r="O61" s="176">
        <v>131.9</v>
      </c>
      <c r="P61" s="176">
        <v>131.9</v>
      </c>
      <c r="Q61" s="176">
        <v>131.9</v>
      </c>
      <c r="R61" s="176">
        <v>131.9</v>
      </c>
      <c r="S61" s="176">
        <v>131.9</v>
      </c>
      <c r="T61" s="176">
        <v>131.9</v>
      </c>
      <c r="U61" s="176">
        <v>131.9</v>
      </c>
      <c r="V61" s="176">
        <v>131.9</v>
      </c>
      <c r="W61" s="176">
        <v>131.9</v>
      </c>
      <c r="X61" s="176">
        <v>131.9</v>
      </c>
      <c r="Y61" s="176">
        <v>131.9</v>
      </c>
      <c r="Z61" s="176">
        <v>131.9</v>
      </c>
      <c r="AA61" s="176">
        <v>131.9</v>
      </c>
      <c r="AB61" s="176">
        <v>131.9</v>
      </c>
      <c r="AC61" s="177">
        <v>131.9</v>
      </c>
      <c r="AD61" s="69"/>
      <c r="AE61" s="68"/>
      <c r="AF61" s="68"/>
      <c r="AG61" s="68"/>
      <c r="AH61" s="68"/>
      <c r="AI61" s="68"/>
      <c r="AJ61" s="68"/>
      <c r="AK61" s="68"/>
      <c r="AM61" s="99"/>
    </row>
    <row r="62" spans="1:39" ht="30" customHeight="1" thickBot="1" x14ac:dyDescent="0.35">
      <c r="A62" s="728"/>
      <c r="B62" s="749"/>
      <c r="C62" s="730"/>
      <c r="D62" s="808"/>
      <c r="E62" s="160" t="s">
        <v>332</v>
      </c>
      <c r="F62" s="178">
        <v>131.9</v>
      </c>
      <c r="G62" s="178">
        <v>131.9</v>
      </c>
      <c r="H62" s="178">
        <v>131.9</v>
      </c>
      <c r="I62" s="178">
        <v>131.9</v>
      </c>
      <c r="J62" s="178">
        <v>131.9</v>
      </c>
      <c r="K62" s="178">
        <v>131.9</v>
      </c>
      <c r="L62" s="178">
        <v>131.9</v>
      </c>
      <c r="M62" s="178">
        <v>131.9</v>
      </c>
      <c r="N62" s="178">
        <v>131.9</v>
      </c>
      <c r="O62" s="178">
        <v>131.9</v>
      </c>
      <c r="P62" s="178">
        <v>131.9</v>
      </c>
      <c r="Q62" s="178">
        <v>131.9</v>
      </c>
      <c r="R62" s="178">
        <v>131.9</v>
      </c>
      <c r="S62" s="178">
        <v>131.9</v>
      </c>
      <c r="T62" s="178">
        <v>131.9</v>
      </c>
      <c r="U62" s="178">
        <v>131.9</v>
      </c>
      <c r="V62" s="178">
        <v>131.9</v>
      </c>
      <c r="W62" s="178">
        <v>131.9</v>
      </c>
      <c r="X62" s="178">
        <v>131.9</v>
      </c>
      <c r="Y62" s="178">
        <v>131.9</v>
      </c>
      <c r="Z62" s="178">
        <v>131.9</v>
      </c>
      <c r="AA62" s="178">
        <v>131.9</v>
      </c>
      <c r="AB62" s="178">
        <v>131.9</v>
      </c>
      <c r="AC62" s="179">
        <v>131.9</v>
      </c>
      <c r="AD62" s="69"/>
      <c r="AE62" s="68"/>
      <c r="AF62" s="68"/>
      <c r="AG62" s="68"/>
      <c r="AH62" s="68"/>
      <c r="AI62" s="68"/>
      <c r="AJ62" s="68"/>
      <c r="AK62" s="68"/>
      <c r="AM62" s="99"/>
    </row>
    <row r="63" spans="1:39" ht="30" customHeight="1" x14ac:dyDescent="0.3">
      <c r="A63" s="733" t="s">
        <v>517</v>
      </c>
      <c r="B63" s="721" t="s">
        <v>125</v>
      </c>
      <c r="C63" s="721" t="s">
        <v>518</v>
      </c>
      <c r="D63" s="723" t="s">
        <v>654</v>
      </c>
      <c r="E63" s="151" t="s">
        <v>330</v>
      </c>
      <c r="F63" s="174">
        <v>117.2</v>
      </c>
      <c r="G63" s="174">
        <v>117.2</v>
      </c>
      <c r="H63" s="174">
        <v>117.2</v>
      </c>
      <c r="I63" s="174">
        <v>117.2</v>
      </c>
      <c r="J63" s="174">
        <v>117.2</v>
      </c>
      <c r="K63" s="174">
        <v>117.2</v>
      </c>
      <c r="L63" s="174">
        <v>117.2</v>
      </c>
      <c r="M63" s="174">
        <v>117.2</v>
      </c>
      <c r="N63" s="174">
        <v>117.2</v>
      </c>
      <c r="O63" s="174">
        <v>117.2</v>
      </c>
      <c r="P63" s="174">
        <v>117.2</v>
      </c>
      <c r="Q63" s="174">
        <v>117.2</v>
      </c>
      <c r="R63" s="174">
        <v>117.2</v>
      </c>
      <c r="S63" s="174">
        <v>117.2</v>
      </c>
      <c r="T63" s="174">
        <v>117.2</v>
      </c>
      <c r="U63" s="174">
        <v>117.2</v>
      </c>
      <c r="V63" s="174">
        <v>117.2</v>
      </c>
      <c r="W63" s="174">
        <v>117.2</v>
      </c>
      <c r="X63" s="174">
        <v>117.2</v>
      </c>
      <c r="Y63" s="174">
        <v>117.2</v>
      </c>
      <c r="Z63" s="174">
        <v>117.2</v>
      </c>
      <c r="AA63" s="174">
        <v>117.2</v>
      </c>
      <c r="AB63" s="174">
        <v>117.2</v>
      </c>
      <c r="AC63" s="175">
        <v>117.2</v>
      </c>
      <c r="AD63" s="69"/>
      <c r="AE63" s="68"/>
      <c r="AF63" s="68"/>
      <c r="AG63" s="68"/>
      <c r="AH63" s="68"/>
      <c r="AI63" s="68"/>
      <c r="AJ63" s="68"/>
      <c r="AK63" s="68"/>
      <c r="AM63" s="99"/>
    </row>
    <row r="64" spans="1:39" ht="30" customHeight="1" x14ac:dyDescent="0.3">
      <c r="A64" s="727"/>
      <c r="B64" s="722"/>
      <c r="C64" s="722"/>
      <c r="D64" s="724"/>
      <c r="E64" s="152" t="s">
        <v>331</v>
      </c>
      <c r="F64" s="176">
        <v>117.2</v>
      </c>
      <c r="G64" s="176">
        <v>117.2</v>
      </c>
      <c r="H64" s="176">
        <v>117.2</v>
      </c>
      <c r="I64" s="176">
        <v>117.2</v>
      </c>
      <c r="J64" s="176">
        <v>117.2</v>
      </c>
      <c r="K64" s="176">
        <v>117.2</v>
      </c>
      <c r="L64" s="176">
        <v>117.2</v>
      </c>
      <c r="M64" s="176">
        <v>117.2</v>
      </c>
      <c r="N64" s="176">
        <v>117.2</v>
      </c>
      <c r="O64" s="176">
        <v>117.2</v>
      </c>
      <c r="P64" s="176">
        <v>117.2</v>
      </c>
      <c r="Q64" s="176">
        <v>117.2</v>
      </c>
      <c r="R64" s="176">
        <v>117.2</v>
      </c>
      <c r="S64" s="176">
        <v>117.2</v>
      </c>
      <c r="T64" s="176">
        <v>117.2</v>
      </c>
      <c r="U64" s="176">
        <v>117.2</v>
      </c>
      <c r="V64" s="176">
        <v>117.2</v>
      </c>
      <c r="W64" s="176">
        <v>117.2</v>
      </c>
      <c r="X64" s="176">
        <v>117.2</v>
      </c>
      <c r="Y64" s="176">
        <v>117.2</v>
      </c>
      <c r="Z64" s="176">
        <v>117.2</v>
      </c>
      <c r="AA64" s="176">
        <v>117.2</v>
      </c>
      <c r="AB64" s="176">
        <v>117.2</v>
      </c>
      <c r="AC64" s="177">
        <v>117.2</v>
      </c>
      <c r="AD64" s="69"/>
      <c r="AE64" s="68"/>
      <c r="AF64" s="68"/>
      <c r="AG64" s="68"/>
      <c r="AH64" s="68"/>
      <c r="AI64" s="68"/>
      <c r="AJ64" s="68"/>
      <c r="AK64" s="68"/>
      <c r="AM64" s="99"/>
    </row>
    <row r="65" spans="1:39" ht="30" customHeight="1" thickBot="1" x14ac:dyDescent="0.35">
      <c r="A65" s="727"/>
      <c r="B65" s="722"/>
      <c r="C65" s="722"/>
      <c r="D65" s="725"/>
      <c r="E65" s="153" t="s">
        <v>332</v>
      </c>
      <c r="F65" s="214">
        <v>117.2</v>
      </c>
      <c r="G65" s="214">
        <v>117.2</v>
      </c>
      <c r="H65" s="214">
        <v>117.2</v>
      </c>
      <c r="I65" s="214">
        <v>117.2</v>
      </c>
      <c r="J65" s="214">
        <v>117.2</v>
      </c>
      <c r="K65" s="214">
        <v>117.2</v>
      </c>
      <c r="L65" s="214">
        <v>117.2</v>
      </c>
      <c r="M65" s="214">
        <v>117.2</v>
      </c>
      <c r="N65" s="214">
        <v>117.2</v>
      </c>
      <c r="O65" s="214">
        <v>117.2</v>
      </c>
      <c r="P65" s="214">
        <v>117.2</v>
      </c>
      <c r="Q65" s="214">
        <v>117.2</v>
      </c>
      <c r="R65" s="214">
        <v>117.2</v>
      </c>
      <c r="S65" s="214">
        <v>117.2</v>
      </c>
      <c r="T65" s="214">
        <v>117.2</v>
      </c>
      <c r="U65" s="214">
        <v>117.2</v>
      </c>
      <c r="V65" s="214">
        <v>117.2</v>
      </c>
      <c r="W65" s="214">
        <v>117.2</v>
      </c>
      <c r="X65" s="214">
        <v>117.2</v>
      </c>
      <c r="Y65" s="214">
        <v>117.2</v>
      </c>
      <c r="Z65" s="214">
        <v>117.2</v>
      </c>
      <c r="AA65" s="214">
        <v>117.2</v>
      </c>
      <c r="AB65" s="214">
        <v>117.2</v>
      </c>
      <c r="AC65" s="215">
        <v>117.2</v>
      </c>
      <c r="AD65" s="69"/>
      <c r="AE65" s="68"/>
      <c r="AF65" s="68"/>
      <c r="AG65" s="68"/>
      <c r="AH65" s="68"/>
      <c r="AI65" s="68"/>
      <c r="AJ65" s="68"/>
      <c r="AK65" s="68"/>
      <c r="AM65" s="99"/>
    </row>
    <row r="66" spans="1:39" ht="24.6" customHeight="1" x14ac:dyDescent="0.3">
      <c r="A66" s="726" t="s">
        <v>519</v>
      </c>
      <c r="B66" s="729" t="s">
        <v>125</v>
      </c>
      <c r="C66" s="729" t="s">
        <v>520</v>
      </c>
      <c r="D66" s="731" t="s">
        <v>654</v>
      </c>
      <c r="E66" s="180" t="s">
        <v>330</v>
      </c>
      <c r="F66" s="216">
        <v>146.5</v>
      </c>
      <c r="G66" s="216">
        <v>146.5</v>
      </c>
      <c r="H66" s="216">
        <v>146.5</v>
      </c>
      <c r="I66" s="216">
        <v>146.5</v>
      </c>
      <c r="J66" s="216">
        <v>146.5</v>
      </c>
      <c r="K66" s="216">
        <v>146.5</v>
      </c>
      <c r="L66" s="216">
        <v>146.5</v>
      </c>
      <c r="M66" s="216">
        <v>146.5</v>
      </c>
      <c r="N66" s="216">
        <v>146.5</v>
      </c>
      <c r="O66" s="216">
        <v>146.5</v>
      </c>
      <c r="P66" s="216">
        <v>146.5</v>
      </c>
      <c r="Q66" s="216">
        <v>146.5</v>
      </c>
      <c r="R66" s="216">
        <v>146.5</v>
      </c>
      <c r="S66" s="216">
        <v>146.5</v>
      </c>
      <c r="T66" s="216">
        <v>146.5</v>
      </c>
      <c r="U66" s="216">
        <v>146.5</v>
      </c>
      <c r="V66" s="216">
        <v>146.5</v>
      </c>
      <c r="W66" s="216">
        <v>146.5</v>
      </c>
      <c r="X66" s="216">
        <v>146.5</v>
      </c>
      <c r="Y66" s="216">
        <v>146.5</v>
      </c>
      <c r="Z66" s="216">
        <v>146.5</v>
      </c>
      <c r="AA66" s="216">
        <v>146.5</v>
      </c>
      <c r="AB66" s="216">
        <v>146.5</v>
      </c>
      <c r="AC66" s="217">
        <v>146.5</v>
      </c>
    </row>
    <row r="67" spans="1:39" ht="24.6" customHeight="1" x14ac:dyDescent="0.3">
      <c r="A67" s="727"/>
      <c r="B67" s="722"/>
      <c r="C67" s="722"/>
      <c r="D67" s="724"/>
      <c r="E67" s="152" t="s">
        <v>331</v>
      </c>
      <c r="F67" s="176">
        <v>146.5</v>
      </c>
      <c r="G67" s="176">
        <v>146.5</v>
      </c>
      <c r="H67" s="176">
        <v>146.5</v>
      </c>
      <c r="I67" s="176">
        <v>146.5</v>
      </c>
      <c r="J67" s="176">
        <v>146.5</v>
      </c>
      <c r="K67" s="176">
        <v>146.5</v>
      </c>
      <c r="L67" s="176">
        <v>146.5</v>
      </c>
      <c r="M67" s="176">
        <v>146.5</v>
      </c>
      <c r="N67" s="176">
        <v>146.5</v>
      </c>
      <c r="O67" s="176">
        <v>146.5</v>
      </c>
      <c r="P67" s="176">
        <v>146.5</v>
      </c>
      <c r="Q67" s="176">
        <v>146.5</v>
      </c>
      <c r="R67" s="176">
        <v>146.5</v>
      </c>
      <c r="S67" s="176">
        <v>146.5</v>
      </c>
      <c r="T67" s="176">
        <v>146.5</v>
      </c>
      <c r="U67" s="176">
        <v>146.5</v>
      </c>
      <c r="V67" s="176">
        <v>146.5</v>
      </c>
      <c r="W67" s="176">
        <v>146.5</v>
      </c>
      <c r="X67" s="176">
        <v>146.5</v>
      </c>
      <c r="Y67" s="176">
        <v>146.5</v>
      </c>
      <c r="Z67" s="176">
        <v>146.5</v>
      </c>
      <c r="AA67" s="176">
        <v>146.5</v>
      </c>
      <c r="AB67" s="176">
        <v>146.5</v>
      </c>
      <c r="AC67" s="218">
        <v>146.5</v>
      </c>
    </row>
    <row r="68" spans="1:39" ht="24.6" customHeight="1" thickBot="1" x14ac:dyDescent="0.35">
      <c r="A68" s="728"/>
      <c r="B68" s="730"/>
      <c r="C68" s="730"/>
      <c r="D68" s="732"/>
      <c r="E68" s="181" t="s">
        <v>332</v>
      </c>
      <c r="F68" s="219">
        <v>146.5</v>
      </c>
      <c r="G68" s="219">
        <v>146.5</v>
      </c>
      <c r="H68" s="219">
        <v>146.5</v>
      </c>
      <c r="I68" s="219">
        <v>146.5</v>
      </c>
      <c r="J68" s="219">
        <v>146.5</v>
      </c>
      <c r="K68" s="219">
        <v>146.5</v>
      </c>
      <c r="L68" s="219">
        <v>146.5</v>
      </c>
      <c r="M68" s="219">
        <v>146.5</v>
      </c>
      <c r="N68" s="219">
        <v>146.5</v>
      </c>
      <c r="O68" s="219">
        <v>146.5</v>
      </c>
      <c r="P68" s="219">
        <v>146.5</v>
      </c>
      <c r="Q68" s="219">
        <v>146.5</v>
      </c>
      <c r="R68" s="219">
        <v>146.5</v>
      </c>
      <c r="S68" s="219">
        <v>146.5</v>
      </c>
      <c r="T68" s="219">
        <v>146.5</v>
      </c>
      <c r="U68" s="219">
        <v>146.5</v>
      </c>
      <c r="V68" s="219">
        <v>146.5</v>
      </c>
      <c r="W68" s="219">
        <v>146.5</v>
      </c>
      <c r="X68" s="219">
        <v>146.5</v>
      </c>
      <c r="Y68" s="219">
        <v>146.5</v>
      </c>
      <c r="Z68" s="219">
        <v>146.5</v>
      </c>
      <c r="AA68" s="219">
        <v>146.5</v>
      </c>
      <c r="AB68" s="219">
        <v>146.5</v>
      </c>
      <c r="AC68" s="220">
        <v>146.5</v>
      </c>
    </row>
    <row r="69" spans="1:39" ht="13.2" x14ac:dyDescent="0.25">
      <c r="F69" s="4"/>
      <c r="G69" s="4"/>
      <c r="H69" s="4"/>
      <c r="I69" s="4"/>
      <c r="J69" s="4"/>
      <c r="K69" s="4"/>
      <c r="L69" s="4"/>
      <c r="M69" s="4"/>
      <c r="N69" s="4"/>
      <c r="O69" s="4"/>
      <c r="P69" s="4"/>
      <c r="Q69" s="4"/>
      <c r="R69" s="4"/>
      <c r="S69" s="4"/>
      <c r="T69" s="4"/>
      <c r="U69" s="4"/>
      <c r="V69" s="4"/>
      <c r="W69" s="4"/>
      <c r="X69" s="4"/>
      <c r="Y69" s="4"/>
      <c r="Z69" s="4"/>
      <c r="AA69" s="4"/>
      <c r="AB69" s="4"/>
      <c r="AC69" s="4"/>
    </row>
    <row r="70" spans="1:39" ht="13.2" x14ac:dyDescent="0.25">
      <c r="F70" s="4"/>
      <c r="G70" s="4"/>
      <c r="H70" s="4"/>
      <c r="I70" s="4"/>
      <c r="J70" s="4"/>
      <c r="K70" s="4"/>
      <c r="L70" s="4"/>
      <c r="M70" s="4"/>
      <c r="N70" s="4"/>
      <c r="O70" s="4"/>
      <c r="P70" s="4"/>
      <c r="Q70" s="4"/>
      <c r="R70" s="4"/>
      <c r="S70" s="4"/>
      <c r="T70" s="4"/>
      <c r="U70" s="4"/>
      <c r="V70" s="4"/>
      <c r="W70" s="4"/>
      <c r="X70" s="4"/>
      <c r="Y70" s="4"/>
      <c r="Z70" s="4"/>
      <c r="AA70" s="4"/>
      <c r="AB70" s="4"/>
      <c r="AC70" s="4"/>
    </row>
  </sheetData>
  <mergeCells count="93">
    <mergeCell ref="A13:A15"/>
    <mergeCell ref="A16:A18"/>
    <mergeCell ref="A19:A21"/>
    <mergeCell ref="A1:AC1"/>
    <mergeCell ref="A2:A3"/>
    <mergeCell ref="A4:A6"/>
    <mergeCell ref="A7:A9"/>
    <mergeCell ref="A10:A12"/>
    <mergeCell ref="D7:D9"/>
    <mergeCell ref="B10:B12"/>
    <mergeCell ref="D10:D12"/>
    <mergeCell ref="B4:B6"/>
    <mergeCell ref="B7:B9"/>
    <mergeCell ref="B2:B3"/>
    <mergeCell ref="C10:C12"/>
    <mergeCell ref="C7:C9"/>
    <mergeCell ref="F2:AC2"/>
    <mergeCell ref="E2:E3"/>
    <mergeCell ref="D2:D3"/>
    <mergeCell ref="C2:C3"/>
    <mergeCell ref="D4:D6"/>
    <mergeCell ref="C4:C6"/>
    <mergeCell ref="C13:C15"/>
    <mergeCell ref="B13:B15"/>
    <mergeCell ref="C60:C62"/>
    <mergeCell ref="D60:D62"/>
    <mergeCell ref="A53:AC53"/>
    <mergeCell ref="A54:A56"/>
    <mergeCell ref="B54:B56"/>
    <mergeCell ref="C54:C56"/>
    <mergeCell ref="D54:D56"/>
    <mergeCell ref="C57:C59"/>
    <mergeCell ref="A44:A46"/>
    <mergeCell ref="B44:B46"/>
    <mergeCell ref="C44:C46"/>
    <mergeCell ref="D44:D46"/>
    <mergeCell ref="A50:A52"/>
    <mergeCell ref="B50:B52"/>
    <mergeCell ref="C50:C52"/>
    <mergeCell ref="A47:A49"/>
    <mergeCell ref="B47:B49"/>
    <mergeCell ref="C47:C49"/>
    <mergeCell ref="D47:D49"/>
    <mergeCell ref="D32:D34"/>
    <mergeCell ref="A38:A40"/>
    <mergeCell ref="B38:B40"/>
    <mergeCell ref="C38:C40"/>
    <mergeCell ref="D16:D18"/>
    <mergeCell ref="D19:D21"/>
    <mergeCell ref="A22:A24"/>
    <mergeCell ref="B22:B24"/>
    <mergeCell ref="C22:C24"/>
    <mergeCell ref="D22:D24"/>
    <mergeCell ref="A25:A27"/>
    <mergeCell ref="B25:B27"/>
    <mergeCell ref="C25:C27"/>
    <mergeCell ref="D25:D27"/>
    <mergeCell ref="B16:B18"/>
    <mergeCell ref="B19:B21"/>
    <mergeCell ref="C19:C21"/>
    <mergeCell ref="A35:A37"/>
    <mergeCell ref="B35:B37"/>
    <mergeCell ref="C35:C37"/>
    <mergeCell ref="D35:D37"/>
    <mergeCell ref="D13:D15"/>
    <mergeCell ref="D50:D52"/>
    <mergeCell ref="D38:D40"/>
    <mergeCell ref="A41:A43"/>
    <mergeCell ref="B41:B43"/>
    <mergeCell ref="C41:C43"/>
    <mergeCell ref="D41:D43"/>
    <mergeCell ref="A60:A62"/>
    <mergeCell ref="B60:B62"/>
    <mergeCell ref="A57:A59"/>
    <mergeCell ref="B57:B59"/>
    <mergeCell ref="A28:AC28"/>
    <mergeCell ref="A29:A31"/>
    <mergeCell ref="B29:B31"/>
    <mergeCell ref="C29:C31"/>
    <mergeCell ref="D29:D31"/>
    <mergeCell ref="A32:A34"/>
    <mergeCell ref="C16:C18"/>
    <mergeCell ref="D57:D59"/>
    <mergeCell ref="B32:B34"/>
    <mergeCell ref="C32:C34"/>
    <mergeCell ref="C63:C65"/>
    <mergeCell ref="D63:D65"/>
    <mergeCell ref="A66:A68"/>
    <mergeCell ref="B66:B68"/>
    <mergeCell ref="C66:C68"/>
    <mergeCell ref="D66:D68"/>
    <mergeCell ref="A63:A65"/>
    <mergeCell ref="B63:B6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40"/>
  <sheetViews>
    <sheetView zoomScale="85" zoomScaleNormal="85" workbookViewId="0">
      <selection sqref="A1:H1"/>
    </sheetView>
  </sheetViews>
  <sheetFormatPr defaultColWidth="8.6640625" defaultRowHeight="12.75" customHeight="1" x14ac:dyDescent="0.25"/>
  <cols>
    <col min="1" max="4" width="17.44140625" style="4" customWidth="1"/>
    <col min="5" max="5" width="16" style="4" customWidth="1"/>
    <col min="6" max="6" width="16.109375" style="4" customWidth="1"/>
    <col min="7" max="7" width="17.88671875" style="4" customWidth="1"/>
    <col min="8" max="9" width="18.6640625" style="4" customWidth="1"/>
    <col min="10" max="10" width="20.5546875" style="4" customWidth="1"/>
    <col min="11" max="11" width="21" style="4" customWidth="1"/>
    <col min="12" max="12" width="21.6640625" style="4" customWidth="1"/>
    <col min="13" max="13" width="11.88671875" style="4" customWidth="1"/>
    <col min="14" max="14" width="14.44140625" style="4" customWidth="1"/>
    <col min="15" max="15" width="15.44140625" style="4" customWidth="1"/>
    <col min="16" max="16" width="19.33203125" style="4" customWidth="1"/>
    <col min="17" max="18" width="18.33203125" style="4" customWidth="1"/>
    <col min="19" max="21" width="13.6640625" style="4" customWidth="1"/>
    <col min="22" max="22" width="10.6640625" style="4" customWidth="1"/>
    <col min="23" max="24" width="8.6640625" style="4"/>
    <col min="25" max="25" width="13.6640625" style="4" customWidth="1"/>
    <col min="26" max="28" width="8.6640625" style="4"/>
    <col min="29" max="29" width="12.44140625" style="4" customWidth="1"/>
    <col min="30" max="16384" width="8.6640625" style="4"/>
  </cols>
  <sheetData>
    <row r="1" spans="1:22" ht="27" customHeight="1" x14ac:dyDescent="0.25">
      <c r="A1" s="851" t="s">
        <v>521</v>
      </c>
      <c r="B1" s="851"/>
      <c r="C1" s="850"/>
      <c r="D1" s="850"/>
      <c r="E1" s="850"/>
      <c r="F1" s="850"/>
      <c r="G1" s="850"/>
      <c r="H1" s="850"/>
      <c r="I1" s="850" t="s">
        <v>522</v>
      </c>
      <c r="J1" s="850"/>
      <c r="K1" s="850"/>
      <c r="L1" s="850"/>
      <c r="N1" s="614" t="s">
        <v>523</v>
      </c>
      <c r="O1" s="614"/>
      <c r="P1" s="614"/>
      <c r="Q1" s="614"/>
      <c r="R1" s="614"/>
      <c r="S1" s="614"/>
      <c r="T1" s="614"/>
      <c r="U1" s="614"/>
      <c r="V1" s="37"/>
    </row>
    <row r="2" spans="1:22" ht="52.5" customHeight="1" x14ac:dyDescent="0.25">
      <c r="A2" s="221" t="s">
        <v>189</v>
      </c>
      <c r="B2" s="254" t="s">
        <v>491</v>
      </c>
      <c r="C2" s="263" t="s">
        <v>524</v>
      </c>
      <c r="D2" s="222" t="s">
        <v>525</v>
      </c>
      <c r="E2" s="223" t="s">
        <v>526</v>
      </c>
      <c r="F2" s="248" t="s">
        <v>527</v>
      </c>
      <c r="G2" s="249" t="s">
        <v>528</v>
      </c>
      <c r="H2" s="267" t="s">
        <v>529</v>
      </c>
      <c r="I2" s="269" t="s">
        <v>530</v>
      </c>
      <c r="J2" s="270" t="s">
        <v>531</v>
      </c>
      <c r="K2" s="270" t="s">
        <v>532</v>
      </c>
      <c r="L2" s="271" t="s">
        <v>533</v>
      </c>
      <c r="M2" s="567" t="s">
        <v>534</v>
      </c>
      <c r="N2" s="231" t="s">
        <v>189</v>
      </c>
      <c r="O2" s="232" t="s">
        <v>491</v>
      </c>
      <c r="P2" s="232" t="s">
        <v>535</v>
      </c>
      <c r="Q2" s="232" t="s">
        <v>536</v>
      </c>
      <c r="R2" s="232" t="s">
        <v>537</v>
      </c>
      <c r="S2" s="233" t="s">
        <v>538</v>
      </c>
      <c r="T2" s="233" t="s">
        <v>539</v>
      </c>
      <c r="U2" s="234" t="s">
        <v>540</v>
      </c>
      <c r="V2" s="235" t="s">
        <v>541</v>
      </c>
    </row>
    <row r="3" spans="1:22" ht="19.2" customHeight="1" x14ac:dyDescent="0.3">
      <c r="A3" s="846" t="s">
        <v>542</v>
      </c>
      <c r="B3" s="255">
        <v>1</v>
      </c>
      <c r="C3" s="264"/>
      <c r="D3" s="243"/>
      <c r="E3" s="246"/>
      <c r="F3" s="245"/>
      <c r="G3" s="245"/>
      <c r="H3" s="268"/>
      <c r="I3" s="272">
        <v>61.7</v>
      </c>
      <c r="J3" s="228">
        <f>I3*1.25</f>
        <v>77.125</v>
      </c>
      <c r="K3" s="229">
        <f>I3*0.75</f>
        <v>46.275000000000006</v>
      </c>
      <c r="L3" s="273">
        <f t="shared" ref="L3:L18" si="0">J3-K3</f>
        <v>30.849999999999994</v>
      </c>
      <c r="M3" s="4">
        <v>95521</v>
      </c>
      <c r="N3" s="848" t="s">
        <v>79</v>
      </c>
      <c r="O3" s="225">
        <v>1</v>
      </c>
      <c r="P3" s="226">
        <v>12266</v>
      </c>
      <c r="Q3" s="227">
        <v>9.77</v>
      </c>
      <c r="R3" s="227">
        <v>4.88</v>
      </c>
      <c r="S3" s="224">
        <f t="shared" ref="S3:S18" si="1">(Q3+R3)*3.412</f>
        <v>49.98579999999999</v>
      </c>
      <c r="T3" s="224">
        <f>S3*1.25</f>
        <v>62.482249999999986</v>
      </c>
      <c r="U3" s="230">
        <f>S3*0.75</f>
        <v>37.489349999999995</v>
      </c>
      <c r="V3" s="236">
        <f>T3-U3</f>
        <v>24.992899999999992</v>
      </c>
    </row>
    <row r="4" spans="1:22" ht="19.2" customHeight="1" x14ac:dyDescent="0.3">
      <c r="A4" s="846"/>
      <c r="B4" s="255">
        <v>2</v>
      </c>
      <c r="C4" s="265"/>
      <c r="D4" s="244"/>
      <c r="E4" s="247"/>
      <c r="F4" s="245"/>
      <c r="G4" s="245"/>
      <c r="H4" s="268"/>
      <c r="I4" s="272">
        <v>67.5</v>
      </c>
      <c r="J4" s="228">
        <f t="shared" ref="J4:J18" si="2">I4*1.25</f>
        <v>84.375</v>
      </c>
      <c r="K4" s="229">
        <f t="shared" ref="K4:K18" si="3">I4*0.75</f>
        <v>50.625</v>
      </c>
      <c r="L4" s="273">
        <f t="shared" si="0"/>
        <v>33.75</v>
      </c>
      <c r="M4" s="4">
        <v>95476</v>
      </c>
      <c r="N4" s="848"/>
      <c r="O4" s="225">
        <v>2</v>
      </c>
      <c r="P4" s="226">
        <v>27044</v>
      </c>
      <c r="Q4" s="227">
        <v>7.5</v>
      </c>
      <c r="R4" s="227">
        <v>5.6</v>
      </c>
      <c r="S4" s="224">
        <f t="shared" si="1"/>
        <v>44.697199999999995</v>
      </c>
      <c r="T4" s="224">
        <f t="shared" ref="T4:T18" si="4">S4*1.25</f>
        <v>55.871499999999997</v>
      </c>
      <c r="U4" s="230">
        <f t="shared" ref="U4:U18" si="5">S4*0.75</f>
        <v>33.522899999999993</v>
      </c>
      <c r="V4" s="236">
        <f t="shared" ref="V4:V18" si="6">T4-U4</f>
        <v>22.348600000000005</v>
      </c>
    </row>
    <row r="5" spans="1:22" ht="19.2" customHeight="1" x14ac:dyDescent="0.3">
      <c r="A5" s="846"/>
      <c r="B5" s="255">
        <v>3</v>
      </c>
      <c r="C5" s="265"/>
      <c r="D5" s="244"/>
      <c r="E5" s="247"/>
      <c r="F5" s="245"/>
      <c r="G5" s="245"/>
      <c r="H5" s="268"/>
      <c r="I5" s="272">
        <v>64.2</v>
      </c>
      <c r="J5" s="228">
        <f t="shared" si="2"/>
        <v>80.25</v>
      </c>
      <c r="K5" s="229">
        <f t="shared" si="3"/>
        <v>48.150000000000006</v>
      </c>
      <c r="L5" s="273">
        <f t="shared" si="0"/>
        <v>32.099999999999994</v>
      </c>
      <c r="M5" s="4">
        <v>94612</v>
      </c>
      <c r="N5" s="848"/>
      <c r="O5" s="225">
        <v>3</v>
      </c>
      <c r="P5" s="226">
        <v>84735</v>
      </c>
      <c r="Q5" s="227">
        <v>8.6199999999999992</v>
      </c>
      <c r="R5" s="227">
        <v>7.47</v>
      </c>
      <c r="S5" s="224">
        <f t="shared" si="1"/>
        <v>54.899079999999998</v>
      </c>
      <c r="T5" s="224">
        <f t="shared" si="4"/>
        <v>68.623850000000004</v>
      </c>
      <c r="U5" s="230">
        <f t="shared" si="5"/>
        <v>41.174309999999998</v>
      </c>
      <c r="V5" s="236">
        <f t="shared" si="6"/>
        <v>27.449540000000006</v>
      </c>
    </row>
    <row r="6" spans="1:22" ht="19.2" customHeight="1" x14ac:dyDescent="0.3">
      <c r="A6" s="846"/>
      <c r="B6" s="255">
        <v>4</v>
      </c>
      <c r="C6" s="265"/>
      <c r="D6" s="244"/>
      <c r="E6" s="247"/>
      <c r="F6" s="245"/>
      <c r="G6" s="245"/>
      <c r="H6" s="268"/>
      <c r="I6" s="272">
        <v>69.7</v>
      </c>
      <c r="J6" s="228">
        <f t="shared" si="2"/>
        <v>87.125</v>
      </c>
      <c r="K6" s="229">
        <f t="shared" si="3"/>
        <v>52.275000000000006</v>
      </c>
      <c r="L6" s="273">
        <f t="shared" si="0"/>
        <v>34.849999999999994</v>
      </c>
      <c r="M6" s="4">
        <v>93446</v>
      </c>
      <c r="N6" s="848"/>
      <c r="O6" s="225">
        <v>4</v>
      </c>
      <c r="P6" s="226">
        <v>41723</v>
      </c>
      <c r="Q6" s="227">
        <v>8.85</v>
      </c>
      <c r="R6" s="227">
        <v>7.21</v>
      </c>
      <c r="S6" s="224">
        <f t="shared" si="1"/>
        <v>54.796719999999993</v>
      </c>
      <c r="T6" s="224">
        <f t="shared" si="4"/>
        <v>68.495899999999992</v>
      </c>
      <c r="U6" s="230">
        <f t="shared" si="5"/>
        <v>41.097539999999995</v>
      </c>
      <c r="V6" s="236">
        <f t="shared" si="6"/>
        <v>27.398359999999997</v>
      </c>
    </row>
    <row r="7" spans="1:22" ht="19.2" customHeight="1" x14ac:dyDescent="0.3">
      <c r="A7" s="846"/>
      <c r="B7" s="255">
        <v>5</v>
      </c>
      <c r="C7" s="265"/>
      <c r="D7" s="244"/>
      <c r="E7" s="247"/>
      <c r="F7" s="245"/>
      <c r="G7" s="245"/>
      <c r="H7" s="268"/>
      <c r="I7" s="272">
        <v>61.6</v>
      </c>
      <c r="J7" s="228">
        <f t="shared" si="2"/>
        <v>77</v>
      </c>
      <c r="K7" s="229">
        <f t="shared" si="3"/>
        <v>46.2</v>
      </c>
      <c r="L7" s="273">
        <f t="shared" si="0"/>
        <v>30.799999999999997</v>
      </c>
      <c r="M7" s="4">
        <v>93455</v>
      </c>
      <c r="N7" s="848"/>
      <c r="O7" s="225">
        <v>5</v>
      </c>
      <c r="P7" s="226">
        <v>11347</v>
      </c>
      <c r="Q7" s="227">
        <v>6.73</v>
      </c>
      <c r="R7" s="227">
        <v>10.64</v>
      </c>
      <c r="S7" s="224">
        <f t="shared" si="1"/>
        <v>59.266440000000003</v>
      </c>
      <c r="T7" s="224">
        <f t="shared" si="4"/>
        <v>74.08305</v>
      </c>
      <c r="U7" s="230">
        <f t="shared" si="5"/>
        <v>44.449830000000006</v>
      </c>
      <c r="V7" s="236">
        <f t="shared" si="6"/>
        <v>29.633219999999994</v>
      </c>
    </row>
    <row r="8" spans="1:22" ht="19.2" customHeight="1" x14ac:dyDescent="0.3">
      <c r="A8" s="846"/>
      <c r="B8" s="255">
        <v>6</v>
      </c>
      <c r="C8" s="265"/>
      <c r="D8" s="244"/>
      <c r="E8" s="247"/>
      <c r="F8" s="245"/>
      <c r="G8" s="245"/>
      <c r="H8" s="268"/>
      <c r="I8" s="272">
        <v>71</v>
      </c>
      <c r="J8" s="228">
        <f t="shared" si="2"/>
        <v>88.75</v>
      </c>
      <c r="K8" s="229">
        <f t="shared" si="3"/>
        <v>53.25</v>
      </c>
      <c r="L8" s="273">
        <f t="shared" si="0"/>
        <v>35.5</v>
      </c>
      <c r="M8" s="4">
        <v>93550</v>
      </c>
      <c r="N8" s="848"/>
      <c r="O8" s="225">
        <v>6</v>
      </c>
      <c r="P8" s="226">
        <v>59004</v>
      </c>
      <c r="Q8" s="227">
        <v>8.01</v>
      </c>
      <c r="R8" s="227">
        <v>3.98</v>
      </c>
      <c r="S8" s="224">
        <f t="shared" si="1"/>
        <v>40.909880000000001</v>
      </c>
      <c r="T8" s="224">
        <f t="shared" si="4"/>
        <v>51.137349999999998</v>
      </c>
      <c r="U8" s="230">
        <f t="shared" si="5"/>
        <v>30.682410000000001</v>
      </c>
      <c r="V8" s="236">
        <f t="shared" si="6"/>
        <v>20.454939999999997</v>
      </c>
    </row>
    <row r="9" spans="1:22" ht="19.2" customHeight="1" x14ac:dyDescent="0.3">
      <c r="A9" s="846"/>
      <c r="B9" s="255">
        <v>7</v>
      </c>
      <c r="C9" s="265"/>
      <c r="D9" s="244"/>
      <c r="E9" s="247"/>
      <c r="F9" s="245"/>
      <c r="G9" s="245"/>
      <c r="H9" s="268"/>
      <c r="I9" s="272">
        <v>66.900000000000006</v>
      </c>
      <c r="J9" s="228">
        <f t="shared" si="2"/>
        <v>83.625</v>
      </c>
      <c r="K9" s="229">
        <f t="shared" si="3"/>
        <v>50.175000000000004</v>
      </c>
      <c r="L9" s="273">
        <f t="shared" si="0"/>
        <v>33.449999999999996</v>
      </c>
      <c r="M9" s="4">
        <v>92101</v>
      </c>
      <c r="N9" s="848"/>
      <c r="O9" s="225">
        <v>7</v>
      </c>
      <c r="P9" s="226">
        <v>54999</v>
      </c>
      <c r="Q9" s="227">
        <v>10.61</v>
      </c>
      <c r="R9" s="227">
        <v>6.8</v>
      </c>
      <c r="S9" s="224">
        <f t="shared" si="1"/>
        <v>59.402920000000002</v>
      </c>
      <c r="T9" s="224">
        <f t="shared" si="4"/>
        <v>74.253650000000007</v>
      </c>
      <c r="U9" s="230">
        <f t="shared" si="5"/>
        <v>44.552190000000003</v>
      </c>
      <c r="V9" s="236">
        <f t="shared" si="6"/>
        <v>29.701460000000004</v>
      </c>
    </row>
    <row r="10" spans="1:22" ht="19.2" customHeight="1" x14ac:dyDescent="0.3">
      <c r="A10" s="846"/>
      <c r="B10" s="255">
        <v>8</v>
      </c>
      <c r="C10" s="265"/>
      <c r="D10" s="244"/>
      <c r="E10" s="247"/>
      <c r="F10" s="245"/>
      <c r="G10" s="245"/>
      <c r="H10" s="268"/>
      <c r="I10" s="272">
        <v>67.8</v>
      </c>
      <c r="J10" s="228">
        <f t="shared" si="2"/>
        <v>84.75</v>
      </c>
      <c r="K10" s="229">
        <f t="shared" si="3"/>
        <v>50.849999999999994</v>
      </c>
      <c r="L10" s="273">
        <f t="shared" si="0"/>
        <v>33.900000000000006</v>
      </c>
      <c r="M10" s="4">
        <v>92831</v>
      </c>
      <c r="N10" s="848"/>
      <c r="O10" s="225">
        <v>8</v>
      </c>
      <c r="P10" s="226">
        <v>86435</v>
      </c>
      <c r="Q10" s="227">
        <v>7.9</v>
      </c>
      <c r="R10" s="227">
        <v>3.79</v>
      </c>
      <c r="S10" s="224">
        <f t="shared" si="1"/>
        <v>39.886280000000006</v>
      </c>
      <c r="T10" s="224">
        <f t="shared" si="4"/>
        <v>49.857850000000006</v>
      </c>
      <c r="U10" s="230">
        <f t="shared" si="5"/>
        <v>29.914710000000007</v>
      </c>
      <c r="V10" s="236">
        <f t="shared" si="6"/>
        <v>19.94314</v>
      </c>
    </row>
    <row r="11" spans="1:22" ht="19.2" customHeight="1" x14ac:dyDescent="0.3">
      <c r="A11" s="846"/>
      <c r="B11" s="255">
        <v>9</v>
      </c>
      <c r="C11" s="265"/>
      <c r="D11" s="244"/>
      <c r="E11" s="247"/>
      <c r="F11" s="245"/>
      <c r="G11" s="245"/>
      <c r="H11" s="268"/>
      <c r="I11" s="272">
        <v>67.900000000000006</v>
      </c>
      <c r="J11" s="228">
        <f t="shared" si="2"/>
        <v>84.875</v>
      </c>
      <c r="K11" s="229">
        <f t="shared" si="3"/>
        <v>50.925000000000004</v>
      </c>
      <c r="L11" s="273">
        <f t="shared" si="0"/>
        <v>33.949999999999996</v>
      </c>
      <c r="M11" s="4">
        <v>91505</v>
      </c>
      <c r="N11" s="848"/>
      <c r="O11" s="225">
        <v>9</v>
      </c>
      <c r="P11" s="226">
        <v>113713</v>
      </c>
      <c r="Q11" s="227">
        <v>8.3000000000000007</v>
      </c>
      <c r="R11" s="227">
        <v>4.16</v>
      </c>
      <c r="S11" s="224">
        <f t="shared" si="1"/>
        <v>42.51352</v>
      </c>
      <c r="T11" s="224">
        <f t="shared" si="4"/>
        <v>53.1419</v>
      </c>
      <c r="U11" s="230">
        <f t="shared" si="5"/>
        <v>31.88514</v>
      </c>
      <c r="V11" s="236">
        <f t="shared" si="6"/>
        <v>21.25676</v>
      </c>
    </row>
    <row r="12" spans="1:22" ht="19.2" customHeight="1" x14ac:dyDescent="0.3">
      <c r="A12" s="846"/>
      <c r="B12" s="255">
        <v>10</v>
      </c>
      <c r="C12" s="265"/>
      <c r="D12" s="244"/>
      <c r="E12" s="247"/>
      <c r="F12" s="245"/>
      <c r="G12" s="245"/>
      <c r="H12" s="268"/>
      <c r="I12" s="272">
        <v>68.3</v>
      </c>
      <c r="J12" s="228">
        <f t="shared" si="2"/>
        <v>85.375</v>
      </c>
      <c r="K12" s="229">
        <f t="shared" si="3"/>
        <v>51.224999999999994</v>
      </c>
      <c r="L12" s="273">
        <f t="shared" si="0"/>
        <v>34.150000000000006</v>
      </c>
      <c r="M12" s="4">
        <v>92501</v>
      </c>
      <c r="N12" s="848"/>
      <c r="O12" s="225">
        <v>10</v>
      </c>
      <c r="P12" s="226">
        <v>79023</v>
      </c>
      <c r="Q12" s="227">
        <v>9.01</v>
      </c>
      <c r="R12" s="227">
        <v>4.25</v>
      </c>
      <c r="S12" s="224">
        <f t="shared" si="1"/>
        <v>45.243119999999998</v>
      </c>
      <c r="T12" s="224">
        <f t="shared" si="4"/>
        <v>56.553899999999999</v>
      </c>
      <c r="U12" s="230">
        <f t="shared" si="5"/>
        <v>33.932339999999996</v>
      </c>
      <c r="V12" s="236">
        <f t="shared" si="6"/>
        <v>22.621560000000002</v>
      </c>
    </row>
    <row r="13" spans="1:22" ht="19.2" customHeight="1" x14ac:dyDescent="0.3">
      <c r="A13" s="846"/>
      <c r="B13" s="255">
        <v>11</v>
      </c>
      <c r="C13" s="265"/>
      <c r="D13" s="244"/>
      <c r="E13" s="247"/>
      <c r="F13" s="245"/>
      <c r="G13" s="245"/>
      <c r="H13" s="268"/>
      <c r="I13" s="272">
        <v>70.5</v>
      </c>
      <c r="J13" s="228">
        <f t="shared" si="2"/>
        <v>88.125</v>
      </c>
      <c r="K13" s="229">
        <f t="shared" si="3"/>
        <v>52.875</v>
      </c>
      <c r="L13" s="273">
        <f t="shared" si="0"/>
        <v>35.25</v>
      </c>
      <c r="M13" s="4">
        <v>96080</v>
      </c>
      <c r="N13" s="848"/>
      <c r="O13" s="225">
        <v>11</v>
      </c>
      <c r="P13" s="226">
        <v>37485</v>
      </c>
      <c r="Q13" s="227">
        <v>11.12</v>
      </c>
      <c r="R13" s="227">
        <v>5.05</v>
      </c>
      <c r="S13" s="224">
        <f t="shared" si="1"/>
        <v>55.172039999999996</v>
      </c>
      <c r="T13" s="224">
        <f t="shared" si="4"/>
        <v>68.965049999999991</v>
      </c>
      <c r="U13" s="230">
        <f t="shared" si="5"/>
        <v>41.37903</v>
      </c>
      <c r="V13" s="236">
        <f t="shared" si="6"/>
        <v>27.586019999999991</v>
      </c>
    </row>
    <row r="14" spans="1:22" ht="19.2" customHeight="1" x14ac:dyDescent="0.3">
      <c r="A14" s="846"/>
      <c r="B14" s="255">
        <v>12</v>
      </c>
      <c r="C14" s="265"/>
      <c r="D14" s="244"/>
      <c r="E14" s="247"/>
      <c r="F14" s="245"/>
      <c r="G14" s="245"/>
      <c r="H14" s="268"/>
      <c r="I14" s="272">
        <v>69.8</v>
      </c>
      <c r="J14" s="228">
        <f t="shared" si="2"/>
        <v>87.25</v>
      </c>
      <c r="K14" s="229">
        <f t="shared" si="3"/>
        <v>52.349999999999994</v>
      </c>
      <c r="L14" s="273">
        <f t="shared" si="0"/>
        <v>34.900000000000006</v>
      </c>
      <c r="M14" s="4">
        <v>95814</v>
      </c>
      <c r="N14" s="848"/>
      <c r="O14" s="225">
        <v>12</v>
      </c>
      <c r="P14" s="226">
        <v>150207</v>
      </c>
      <c r="Q14" s="227">
        <v>10.53</v>
      </c>
      <c r="R14" s="227">
        <v>5.82</v>
      </c>
      <c r="S14" s="224">
        <f t="shared" si="1"/>
        <v>55.786200000000001</v>
      </c>
      <c r="T14" s="224">
        <f t="shared" si="4"/>
        <v>69.732749999999996</v>
      </c>
      <c r="U14" s="230">
        <f t="shared" si="5"/>
        <v>41.839649999999999</v>
      </c>
      <c r="V14" s="236">
        <f t="shared" si="6"/>
        <v>27.893099999999997</v>
      </c>
    </row>
    <row r="15" spans="1:22" ht="19.2" customHeight="1" x14ac:dyDescent="0.3">
      <c r="A15" s="846"/>
      <c r="B15" s="255">
        <v>13</v>
      </c>
      <c r="C15" s="265"/>
      <c r="D15" s="244"/>
      <c r="E15" s="247"/>
      <c r="F15" s="245"/>
      <c r="G15" s="245"/>
      <c r="H15" s="268"/>
      <c r="I15" s="272">
        <v>70.2</v>
      </c>
      <c r="J15" s="228">
        <f t="shared" si="2"/>
        <v>87.75</v>
      </c>
      <c r="K15" s="229">
        <f t="shared" si="3"/>
        <v>52.650000000000006</v>
      </c>
      <c r="L15" s="273">
        <f t="shared" si="0"/>
        <v>35.099999999999994</v>
      </c>
      <c r="M15" s="4">
        <v>93721</v>
      </c>
      <c r="N15" s="848"/>
      <c r="O15" s="225">
        <v>13</v>
      </c>
      <c r="P15" s="226">
        <v>50089</v>
      </c>
      <c r="Q15" s="227">
        <v>10.6</v>
      </c>
      <c r="R15" s="227">
        <v>4.34</v>
      </c>
      <c r="S15" s="224">
        <f t="shared" si="1"/>
        <v>50.975279999999998</v>
      </c>
      <c r="T15" s="224">
        <f t="shared" si="4"/>
        <v>63.719099999999997</v>
      </c>
      <c r="U15" s="230">
        <f t="shared" si="5"/>
        <v>38.231459999999998</v>
      </c>
      <c r="V15" s="236">
        <f t="shared" si="6"/>
        <v>25.487639999999999</v>
      </c>
    </row>
    <row r="16" spans="1:22" ht="19.2" customHeight="1" x14ac:dyDescent="0.3">
      <c r="A16" s="846"/>
      <c r="B16" s="255">
        <v>14</v>
      </c>
      <c r="C16" s="265"/>
      <c r="D16" s="244"/>
      <c r="E16" s="247"/>
      <c r="F16" s="245"/>
      <c r="G16" s="245"/>
      <c r="H16" s="268"/>
      <c r="I16" s="272">
        <v>71</v>
      </c>
      <c r="J16" s="228">
        <f t="shared" si="2"/>
        <v>88.75</v>
      </c>
      <c r="K16" s="229">
        <f t="shared" si="3"/>
        <v>53.25</v>
      </c>
      <c r="L16" s="273">
        <f t="shared" si="0"/>
        <v>35.5</v>
      </c>
      <c r="M16">
        <v>93550</v>
      </c>
      <c r="N16" s="848"/>
      <c r="O16" s="225">
        <v>14</v>
      </c>
      <c r="P16" s="226">
        <v>17716</v>
      </c>
      <c r="Q16" s="227">
        <v>7.65</v>
      </c>
      <c r="R16" s="227">
        <v>3.93</v>
      </c>
      <c r="S16" s="224">
        <f t="shared" si="1"/>
        <v>39.510959999999997</v>
      </c>
      <c r="T16" s="224">
        <f t="shared" si="4"/>
        <v>49.3887</v>
      </c>
      <c r="U16" s="230">
        <f t="shared" si="5"/>
        <v>29.633219999999998</v>
      </c>
      <c r="V16" s="236">
        <f t="shared" si="6"/>
        <v>19.755480000000002</v>
      </c>
    </row>
    <row r="17" spans="1:22" ht="19.2" customHeight="1" x14ac:dyDescent="0.3">
      <c r="A17" s="846"/>
      <c r="B17" s="255">
        <v>15</v>
      </c>
      <c r="C17" s="265"/>
      <c r="D17" s="244"/>
      <c r="E17" s="247"/>
      <c r="F17" s="245"/>
      <c r="G17" s="245"/>
      <c r="H17" s="228"/>
      <c r="I17" s="272">
        <v>69.7</v>
      </c>
      <c r="J17" s="228">
        <f t="shared" si="2"/>
        <v>87.125</v>
      </c>
      <c r="K17" s="229">
        <f t="shared" si="3"/>
        <v>52.275000000000006</v>
      </c>
      <c r="L17" s="273">
        <f t="shared" si="0"/>
        <v>34.849999999999994</v>
      </c>
      <c r="M17" s="4">
        <v>92262</v>
      </c>
      <c r="N17" s="848"/>
      <c r="O17" s="225">
        <v>15</v>
      </c>
      <c r="P17" s="226">
        <v>41833</v>
      </c>
      <c r="Q17" s="227">
        <v>9</v>
      </c>
      <c r="R17" s="227">
        <v>2.08</v>
      </c>
      <c r="S17" s="224">
        <f t="shared" si="1"/>
        <v>37.804960000000001</v>
      </c>
      <c r="T17" s="224">
        <f t="shared" si="4"/>
        <v>47.2562</v>
      </c>
      <c r="U17" s="230">
        <f t="shared" si="5"/>
        <v>28.353720000000003</v>
      </c>
      <c r="V17" s="236">
        <f t="shared" si="6"/>
        <v>18.902479999999997</v>
      </c>
    </row>
    <row r="18" spans="1:22" ht="19.2" customHeight="1" x14ac:dyDescent="0.3">
      <c r="A18" s="847"/>
      <c r="B18" s="256">
        <v>16</v>
      </c>
      <c r="C18" s="266"/>
      <c r="D18" s="250"/>
      <c r="E18" s="251"/>
      <c r="F18" s="252"/>
      <c r="G18" s="252"/>
      <c r="H18" s="253"/>
      <c r="I18" s="274">
        <v>72.5</v>
      </c>
      <c r="J18" s="275">
        <f t="shared" si="2"/>
        <v>90.625</v>
      </c>
      <c r="K18" s="276">
        <f t="shared" si="3"/>
        <v>54.375</v>
      </c>
      <c r="L18" s="277">
        <f t="shared" si="0"/>
        <v>36.25</v>
      </c>
      <c r="M18" s="4">
        <v>95715</v>
      </c>
      <c r="N18" s="849"/>
      <c r="O18" s="237">
        <v>16</v>
      </c>
      <c r="P18" s="238">
        <v>74950</v>
      </c>
      <c r="Q18" s="239">
        <v>9.33</v>
      </c>
      <c r="R18" s="239">
        <v>4.53</v>
      </c>
      <c r="S18" s="240">
        <f t="shared" si="1"/>
        <v>47.290319999999994</v>
      </c>
      <c r="T18" s="240">
        <f t="shared" si="4"/>
        <v>59.112899999999996</v>
      </c>
      <c r="U18" s="241">
        <f t="shared" si="5"/>
        <v>35.467739999999992</v>
      </c>
      <c r="V18" s="242">
        <f t="shared" si="6"/>
        <v>23.645160000000004</v>
      </c>
    </row>
    <row r="20" spans="1:22" ht="13.2" x14ac:dyDescent="0.25">
      <c r="N20" s="4" t="s">
        <v>543</v>
      </c>
    </row>
    <row r="21" spans="1:22" ht="13.2" x14ac:dyDescent="0.25">
      <c r="N21" s="4" t="s">
        <v>544</v>
      </c>
    </row>
    <row r="25" spans="1:22" ht="12.75" customHeight="1" x14ac:dyDescent="0.3">
      <c r="I25" s="257"/>
    </row>
    <row r="26" spans="1:22" ht="12.75" customHeight="1" x14ac:dyDescent="0.3">
      <c r="I26" s="257"/>
    </row>
    <row r="27" spans="1:22" ht="12.75" customHeight="1" x14ac:dyDescent="0.3">
      <c r="I27" s="257"/>
    </row>
    <row r="28" spans="1:22" ht="12.75" customHeight="1" x14ac:dyDescent="0.3">
      <c r="I28" s="257"/>
    </row>
    <row r="29" spans="1:22" ht="12.75" customHeight="1" x14ac:dyDescent="0.3">
      <c r="I29" s="257"/>
    </row>
    <row r="30" spans="1:22" ht="12.75" customHeight="1" x14ac:dyDescent="0.3">
      <c r="I30" s="257"/>
    </row>
    <row r="31" spans="1:22" ht="12.75" customHeight="1" x14ac:dyDescent="0.3">
      <c r="I31" s="257"/>
    </row>
    <row r="32" spans="1:22" ht="12.75" customHeight="1" x14ac:dyDescent="0.3">
      <c r="I32" s="257"/>
    </row>
    <row r="33" spans="9:9" ht="12.75" customHeight="1" x14ac:dyDescent="0.3">
      <c r="I33" s="257"/>
    </row>
    <row r="34" spans="9:9" ht="12.75" customHeight="1" x14ac:dyDescent="0.3">
      <c r="I34" s="257"/>
    </row>
    <row r="35" spans="9:9" ht="12.75" customHeight="1" x14ac:dyDescent="0.3">
      <c r="I35" s="257"/>
    </row>
    <row r="36" spans="9:9" ht="12.75" customHeight="1" x14ac:dyDescent="0.3">
      <c r="I36" s="257"/>
    </row>
    <row r="37" spans="9:9" ht="12.75" customHeight="1" x14ac:dyDescent="0.3">
      <c r="I37" s="257"/>
    </row>
    <row r="38" spans="9:9" ht="12.75" customHeight="1" x14ac:dyDescent="0.3">
      <c r="I38" s="257"/>
    </row>
    <row r="39" spans="9:9" ht="12.75" customHeight="1" x14ac:dyDescent="0.3">
      <c r="I39" s="257"/>
    </row>
    <row r="40" spans="9:9" ht="12.75" customHeight="1" x14ac:dyDescent="0.3">
      <c r="I40" s="257"/>
    </row>
  </sheetData>
  <mergeCells count="5">
    <mergeCell ref="N1:U1"/>
    <mergeCell ref="A3:A18"/>
    <mergeCell ref="N3:N18"/>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BC34"/>
  <sheetViews>
    <sheetView zoomScaleNormal="70" workbookViewId="0">
      <selection sqref="A1:H1"/>
    </sheetView>
  </sheetViews>
  <sheetFormatPr defaultColWidth="8.6640625" defaultRowHeight="13.2" x14ac:dyDescent="0.25"/>
  <cols>
    <col min="1" max="1" width="21" style="4" customWidth="1"/>
    <col min="2" max="2" width="14.33203125" style="4" customWidth="1"/>
    <col min="3" max="3" width="14.5546875" style="4" customWidth="1"/>
    <col min="4" max="8" width="8.6640625" style="4"/>
    <col min="9" max="9" width="13.6640625" style="4" customWidth="1"/>
    <col min="10" max="10" width="14.44140625" style="4" customWidth="1"/>
    <col min="11" max="16384" width="8.6640625" style="4"/>
  </cols>
  <sheetData>
    <row r="1" spans="1:55" ht="15.6" x14ac:dyDescent="0.25">
      <c r="A1" s="614" t="s">
        <v>546</v>
      </c>
      <c r="B1" s="614"/>
      <c r="C1" s="614"/>
      <c r="D1" s="614"/>
      <c r="E1" s="614"/>
      <c r="F1" s="614"/>
      <c r="G1" s="614"/>
      <c r="H1" s="614"/>
    </row>
    <row r="2" spans="1:55" x14ac:dyDescent="0.25">
      <c r="B2" s="75"/>
      <c r="C2" s="76"/>
      <c r="D2" s="77"/>
      <c r="E2" s="77"/>
    </row>
    <row r="3" spans="1:55" x14ac:dyDescent="0.25">
      <c r="A3" s="576" t="s">
        <v>547</v>
      </c>
      <c r="B3" s="72"/>
      <c r="C3" s="34"/>
      <c r="D3" s="78"/>
      <c r="E3" s="78"/>
    </row>
    <row r="11" spans="1:55" s="23" customFormat="1" hidden="1" x14ac:dyDescent="0.25">
      <c r="A11" s="23" t="s">
        <v>114</v>
      </c>
      <c r="E11" s="24"/>
      <c r="F11" s="25"/>
      <c r="G11" s="26"/>
    </row>
    <row r="12" spans="1:55" hidden="1" x14ac:dyDescent="0.25"/>
    <row r="13" spans="1:55" hidden="1" x14ac:dyDescent="0.25"/>
    <row r="14" spans="1:55" s="80" customFormat="1" ht="13.8" hidden="1" thickBot="1" x14ac:dyDescent="0.35">
      <c r="A14" s="79" t="s">
        <v>548</v>
      </c>
      <c r="K14" s="80" t="s">
        <v>549</v>
      </c>
    </row>
    <row r="15" spans="1:55" ht="13.8" hidden="1" thickBot="1" x14ac:dyDescent="0.3">
      <c r="A15" s="5"/>
      <c r="B15" s="5"/>
      <c r="C15" s="5"/>
      <c r="D15" s="855" t="s">
        <v>550</v>
      </c>
      <c r="E15" s="856"/>
      <c r="F15" s="857"/>
      <c r="I15" s="74"/>
      <c r="J15" s="81"/>
      <c r="K15" s="852" t="s">
        <v>551</v>
      </c>
      <c r="L15" s="853"/>
      <c r="M15" s="853"/>
      <c r="N15" s="853"/>
      <c r="O15" s="853"/>
      <c r="P15" s="853"/>
      <c r="Q15" s="853"/>
      <c r="R15" s="853"/>
      <c r="S15" s="854"/>
      <c r="T15" s="853" t="s">
        <v>552</v>
      </c>
      <c r="U15" s="853"/>
      <c r="V15" s="853"/>
      <c r="W15" s="853"/>
      <c r="X15" s="853"/>
      <c r="Y15" s="853"/>
      <c r="Z15" s="853"/>
      <c r="AA15" s="853"/>
      <c r="AB15" s="854"/>
      <c r="AC15" s="852" t="s">
        <v>553</v>
      </c>
      <c r="AD15" s="853"/>
      <c r="AE15" s="853"/>
      <c r="AF15" s="853"/>
      <c r="AG15" s="853"/>
      <c r="AH15" s="853"/>
      <c r="AI15" s="853"/>
      <c r="AJ15" s="853"/>
      <c r="AK15" s="854"/>
      <c r="AL15" s="852" t="s">
        <v>554</v>
      </c>
      <c r="AM15" s="853"/>
      <c r="AN15" s="853"/>
      <c r="AO15" s="853"/>
      <c r="AP15" s="853"/>
      <c r="AQ15" s="853"/>
      <c r="AR15" s="853"/>
      <c r="AS15" s="853"/>
      <c r="AT15" s="854"/>
      <c r="AU15" s="852" t="s">
        <v>555</v>
      </c>
      <c r="AV15" s="853"/>
      <c r="AW15" s="853"/>
      <c r="AX15" s="853"/>
      <c r="AY15" s="853"/>
      <c r="AZ15" s="853"/>
      <c r="BA15" s="853"/>
      <c r="BB15" s="853"/>
      <c r="BC15" s="854"/>
    </row>
    <row r="16" spans="1:55" ht="39.6" hidden="1" x14ac:dyDescent="0.25">
      <c r="A16" s="42" t="s">
        <v>370</v>
      </c>
      <c r="B16" s="42" t="s">
        <v>351</v>
      </c>
      <c r="C16" s="43" t="s">
        <v>82</v>
      </c>
      <c r="D16" s="82" t="s">
        <v>556</v>
      </c>
      <c r="E16" s="82" t="s">
        <v>143</v>
      </c>
      <c r="F16" s="82" t="s">
        <v>185</v>
      </c>
      <c r="I16" s="83" t="s">
        <v>351</v>
      </c>
      <c r="J16" s="84" t="s">
        <v>82</v>
      </c>
      <c r="K16" s="85" t="s">
        <v>557</v>
      </c>
      <c r="L16" s="86" t="s">
        <v>558</v>
      </c>
      <c r="M16" s="86" t="s">
        <v>559</v>
      </c>
      <c r="N16" s="86" t="s">
        <v>560</v>
      </c>
      <c r="O16" s="86" t="s">
        <v>561</v>
      </c>
      <c r="P16" s="86" t="s">
        <v>562</v>
      </c>
      <c r="Q16" s="86" t="s">
        <v>563</v>
      </c>
      <c r="R16" s="86" t="s">
        <v>564</v>
      </c>
      <c r="S16" s="87" t="s">
        <v>565</v>
      </c>
      <c r="T16" s="88" t="s">
        <v>557</v>
      </c>
      <c r="U16" s="86" t="s">
        <v>558</v>
      </c>
      <c r="V16" s="86" t="s">
        <v>559</v>
      </c>
      <c r="W16" s="86" t="s">
        <v>560</v>
      </c>
      <c r="X16" s="86" t="s">
        <v>561</v>
      </c>
      <c r="Y16" s="86" t="s">
        <v>562</v>
      </c>
      <c r="Z16" s="86" t="s">
        <v>563</v>
      </c>
      <c r="AA16" s="86" t="s">
        <v>564</v>
      </c>
      <c r="AB16" s="86" t="s">
        <v>566</v>
      </c>
      <c r="AC16" s="86" t="s">
        <v>557</v>
      </c>
      <c r="AD16" s="86" t="s">
        <v>558</v>
      </c>
      <c r="AE16" s="86" t="s">
        <v>559</v>
      </c>
      <c r="AF16" s="86" t="s">
        <v>560</v>
      </c>
      <c r="AG16" s="86" t="s">
        <v>561</v>
      </c>
      <c r="AH16" s="86" t="s">
        <v>562</v>
      </c>
      <c r="AI16" s="86" t="s">
        <v>563</v>
      </c>
      <c r="AJ16" s="86" t="s">
        <v>564</v>
      </c>
      <c r="AK16" s="86" t="s">
        <v>567</v>
      </c>
      <c r="AL16" s="86" t="s">
        <v>557</v>
      </c>
      <c r="AM16" s="86" t="s">
        <v>558</v>
      </c>
      <c r="AN16" s="86" t="s">
        <v>559</v>
      </c>
      <c r="AO16" s="86" t="s">
        <v>560</v>
      </c>
      <c r="AP16" s="86" t="s">
        <v>561</v>
      </c>
      <c r="AQ16" s="86" t="s">
        <v>562</v>
      </c>
      <c r="AR16" s="86" t="s">
        <v>563</v>
      </c>
      <c r="AS16" s="86" t="s">
        <v>564</v>
      </c>
      <c r="AT16" s="86" t="s">
        <v>568</v>
      </c>
      <c r="AU16" s="86" t="s">
        <v>557</v>
      </c>
      <c r="AV16" s="86" t="s">
        <v>558</v>
      </c>
      <c r="AW16" s="86" t="s">
        <v>559</v>
      </c>
      <c r="AX16" s="86" t="s">
        <v>560</v>
      </c>
      <c r="AY16" s="86" t="s">
        <v>561</v>
      </c>
      <c r="AZ16" s="86" t="s">
        <v>562</v>
      </c>
      <c r="BA16" s="86" t="s">
        <v>563</v>
      </c>
      <c r="BB16" s="86" t="s">
        <v>564</v>
      </c>
      <c r="BC16" s="86" t="s">
        <v>185</v>
      </c>
    </row>
    <row r="17" spans="1:55" hidden="1" x14ac:dyDescent="0.25">
      <c r="A17" s="44" t="s">
        <v>569</v>
      </c>
      <c r="B17" s="45" t="s">
        <v>352</v>
      </c>
      <c r="C17" s="46" t="s">
        <v>545</v>
      </c>
      <c r="D17" s="48">
        <v>0.91629083545529211</v>
      </c>
      <c r="E17" s="47">
        <v>8.3709164544707934E-2</v>
      </c>
      <c r="F17" s="49">
        <v>1</v>
      </c>
      <c r="I17" s="45" t="s">
        <v>352</v>
      </c>
      <c r="J17" s="46" t="s">
        <v>545</v>
      </c>
      <c r="K17" s="89">
        <v>234.63109419938075</v>
      </c>
      <c r="L17" s="90">
        <v>257.26071009531398</v>
      </c>
      <c r="M17" s="90">
        <v>0</v>
      </c>
      <c r="N17" s="90">
        <v>514.26458157647869</v>
      </c>
      <c r="O17" s="90">
        <v>0</v>
      </c>
      <c r="P17" s="90">
        <v>22.221663997801063</v>
      </c>
      <c r="Q17" s="90">
        <v>197.98307335443729</v>
      </c>
      <c r="R17" s="90">
        <v>0</v>
      </c>
      <c r="S17" s="91">
        <v>1226.3611232234116</v>
      </c>
      <c r="T17" s="89">
        <v>108.94502133589977</v>
      </c>
      <c r="U17" s="90">
        <v>831.31991634954227</v>
      </c>
      <c r="V17" s="90">
        <v>0</v>
      </c>
      <c r="W17" s="90">
        <v>1332.4399257375558</v>
      </c>
      <c r="X17" s="90">
        <v>101.16411121740421</v>
      </c>
      <c r="Y17" s="90">
        <v>78.502372667385458</v>
      </c>
      <c r="Z17" s="90">
        <v>360.40603758226268</v>
      </c>
      <c r="AA17" s="90">
        <v>0</v>
      </c>
      <c r="AB17" s="91">
        <v>2812.7773848900501</v>
      </c>
      <c r="AC17" s="89">
        <v>21.375883128638311</v>
      </c>
      <c r="AD17" s="90">
        <v>0</v>
      </c>
      <c r="AE17" s="90">
        <v>0</v>
      </c>
      <c r="AF17" s="90">
        <v>15.713800739862089</v>
      </c>
      <c r="AG17" s="90">
        <v>0</v>
      </c>
      <c r="AH17" s="90">
        <v>0</v>
      </c>
      <c r="AI17" s="90">
        <v>0</v>
      </c>
      <c r="AJ17" s="90">
        <v>0</v>
      </c>
      <c r="AK17" s="91">
        <v>37.089683868500401</v>
      </c>
      <c r="AL17" s="89">
        <v>56.949890324869315</v>
      </c>
      <c r="AM17" s="90">
        <v>42.147584318104094</v>
      </c>
      <c r="AN17" s="90">
        <v>0</v>
      </c>
      <c r="AO17" s="90">
        <v>212.11012713552492</v>
      </c>
      <c r="AP17" s="90">
        <v>0</v>
      </c>
      <c r="AQ17" s="90">
        <v>25.7419607619861</v>
      </c>
      <c r="AR17" s="90">
        <v>0</v>
      </c>
      <c r="AS17" s="90">
        <v>0</v>
      </c>
      <c r="AT17" s="91">
        <v>336.94956254048441</v>
      </c>
      <c r="AU17" s="89">
        <v>421.90188898878813</v>
      </c>
      <c r="AV17" s="90">
        <v>1130.7282107629603</v>
      </c>
      <c r="AW17" s="90">
        <v>0</v>
      </c>
      <c r="AX17" s="90">
        <v>2074.5284351894215</v>
      </c>
      <c r="AY17" s="90">
        <v>101.16411121740421</v>
      </c>
      <c r="AZ17" s="90">
        <v>126.46599742717262</v>
      </c>
      <c r="BA17" s="90">
        <v>558.38911093670004</v>
      </c>
      <c r="BB17" s="90">
        <v>0</v>
      </c>
      <c r="BC17" s="91">
        <v>4413.1777545224468</v>
      </c>
    </row>
    <row r="18" spans="1:55" hidden="1" x14ac:dyDescent="0.25">
      <c r="A18" s="44" t="s">
        <v>569</v>
      </c>
      <c r="B18" s="45" t="s">
        <v>353</v>
      </c>
      <c r="C18" s="46" t="s">
        <v>545</v>
      </c>
      <c r="D18" s="48">
        <v>0.88474891999606764</v>
      </c>
      <c r="E18" s="47">
        <v>0.11525108000393226</v>
      </c>
      <c r="F18" s="49">
        <v>1</v>
      </c>
      <c r="I18" s="45" t="s">
        <v>353</v>
      </c>
      <c r="J18" s="46" t="s">
        <v>545</v>
      </c>
      <c r="K18" s="89">
        <v>0</v>
      </c>
      <c r="L18" s="90">
        <v>0</v>
      </c>
      <c r="M18" s="90">
        <v>0</v>
      </c>
      <c r="N18" s="90">
        <v>92.114773643401861</v>
      </c>
      <c r="O18" s="90">
        <v>0</v>
      </c>
      <c r="P18" s="90">
        <v>0</v>
      </c>
      <c r="Q18" s="90">
        <v>5.6273316566652944</v>
      </c>
      <c r="R18" s="90">
        <v>0</v>
      </c>
      <c r="S18" s="91">
        <v>97.742105300067152</v>
      </c>
      <c r="T18" s="89">
        <v>0</v>
      </c>
      <c r="U18" s="90">
        <v>290.15374486882479</v>
      </c>
      <c r="V18" s="90">
        <v>0</v>
      </c>
      <c r="W18" s="90">
        <v>73.027736781594768</v>
      </c>
      <c r="X18" s="90">
        <v>95.664638163310002</v>
      </c>
      <c r="Y18" s="90">
        <v>65.739866280452532</v>
      </c>
      <c r="Z18" s="90">
        <v>24.342578927198254</v>
      </c>
      <c r="AA18" s="90">
        <v>0</v>
      </c>
      <c r="AB18" s="91">
        <v>548.92856502138034</v>
      </c>
      <c r="AC18" s="89">
        <v>0</v>
      </c>
      <c r="AD18" s="90">
        <v>0</v>
      </c>
      <c r="AE18" s="90">
        <v>0</v>
      </c>
      <c r="AF18" s="90">
        <v>0</v>
      </c>
      <c r="AG18" s="90">
        <v>0</v>
      </c>
      <c r="AH18" s="90">
        <v>0</v>
      </c>
      <c r="AI18" s="90">
        <v>0</v>
      </c>
      <c r="AJ18" s="90">
        <v>0</v>
      </c>
      <c r="AK18" s="91">
        <v>0</v>
      </c>
      <c r="AL18" s="89">
        <v>0</v>
      </c>
      <c r="AM18" s="90">
        <v>0</v>
      </c>
      <c r="AN18" s="90">
        <v>0</v>
      </c>
      <c r="AO18" s="90">
        <v>27.974784997679031</v>
      </c>
      <c r="AP18" s="90">
        <v>0</v>
      </c>
      <c r="AQ18" s="90">
        <v>24.342578927198254</v>
      </c>
      <c r="AR18" s="90">
        <v>0</v>
      </c>
      <c r="AS18" s="90">
        <v>0</v>
      </c>
      <c r="AT18" s="91">
        <v>52.317363924877284</v>
      </c>
      <c r="AU18" s="89">
        <v>0</v>
      </c>
      <c r="AV18" s="90">
        <v>290.15374486882479</v>
      </c>
      <c r="AW18" s="90">
        <v>0</v>
      </c>
      <c r="AX18" s="90">
        <v>193.11729542267565</v>
      </c>
      <c r="AY18" s="90">
        <v>95.664638163310002</v>
      </c>
      <c r="AZ18" s="90">
        <v>90.082445207650778</v>
      </c>
      <c r="BA18" s="90">
        <v>29.969910583863548</v>
      </c>
      <c r="BB18" s="90">
        <v>0</v>
      </c>
      <c r="BC18" s="91">
        <v>698.98803424632479</v>
      </c>
    </row>
    <row r="19" spans="1:55" hidden="1" x14ac:dyDescent="0.25">
      <c r="A19" s="44" t="s">
        <v>569</v>
      </c>
      <c r="B19" s="45" t="s">
        <v>354</v>
      </c>
      <c r="C19" s="46" t="s">
        <v>545</v>
      </c>
      <c r="D19" s="48">
        <v>0.87664054902524069</v>
      </c>
      <c r="E19" s="47">
        <v>0.12335945097475935</v>
      </c>
      <c r="F19" s="49">
        <v>1</v>
      </c>
      <c r="I19" s="45" t="s">
        <v>354</v>
      </c>
      <c r="J19" s="46" t="s">
        <v>545</v>
      </c>
      <c r="K19" s="89">
        <v>0</v>
      </c>
      <c r="L19" s="90">
        <v>0</v>
      </c>
      <c r="M19" s="90">
        <v>0</v>
      </c>
      <c r="N19" s="90">
        <v>0</v>
      </c>
      <c r="O19" s="90">
        <v>0</v>
      </c>
      <c r="P19" s="90">
        <v>21.013652175205049</v>
      </c>
      <c r="Q19" s="90">
        <v>0</v>
      </c>
      <c r="R19" s="90">
        <v>0</v>
      </c>
      <c r="S19" s="91">
        <v>21.013652175205049</v>
      </c>
      <c r="T19" s="89">
        <v>0</v>
      </c>
      <c r="U19" s="90">
        <v>189.12286957684543</v>
      </c>
      <c r="V19" s="90">
        <v>0</v>
      </c>
      <c r="W19" s="90">
        <v>21.156124021741039</v>
      </c>
      <c r="X19" s="90">
        <v>0</v>
      </c>
      <c r="Y19" s="90">
        <v>0</v>
      </c>
      <c r="Z19" s="90">
        <v>0</v>
      </c>
      <c r="AA19" s="90">
        <v>0</v>
      </c>
      <c r="AB19" s="91">
        <v>210.27899359858648</v>
      </c>
      <c r="AC19" s="89">
        <v>0</v>
      </c>
      <c r="AD19" s="90">
        <v>0</v>
      </c>
      <c r="AE19" s="90">
        <v>0</v>
      </c>
      <c r="AF19" s="90">
        <v>0</v>
      </c>
      <c r="AG19" s="90">
        <v>0</v>
      </c>
      <c r="AH19" s="90">
        <v>0</v>
      </c>
      <c r="AI19" s="90">
        <v>0</v>
      </c>
      <c r="AJ19" s="90">
        <v>0</v>
      </c>
      <c r="AK19" s="91">
        <v>0</v>
      </c>
      <c r="AL19" s="89">
        <v>0</v>
      </c>
      <c r="AM19" s="90">
        <v>0</v>
      </c>
      <c r="AN19" s="90">
        <v>0</v>
      </c>
      <c r="AO19" s="90">
        <v>0</v>
      </c>
      <c r="AP19" s="90">
        <v>0</v>
      </c>
      <c r="AQ19" s="90">
        <v>0</v>
      </c>
      <c r="AR19" s="90">
        <v>0</v>
      </c>
      <c r="AS19" s="90">
        <v>0</v>
      </c>
      <c r="AT19" s="91">
        <v>0</v>
      </c>
      <c r="AU19" s="89">
        <v>0</v>
      </c>
      <c r="AV19" s="90">
        <v>189.12286957684543</v>
      </c>
      <c r="AW19" s="90">
        <v>0</v>
      </c>
      <c r="AX19" s="90">
        <v>21.156124021741039</v>
      </c>
      <c r="AY19" s="90">
        <v>0</v>
      </c>
      <c r="AZ19" s="90">
        <v>21.013652175205049</v>
      </c>
      <c r="BA19" s="90">
        <v>0</v>
      </c>
      <c r="BB19" s="90">
        <v>0</v>
      </c>
      <c r="BC19" s="91">
        <v>231.29264577379152</v>
      </c>
    </row>
    <row r="20" spans="1:55" hidden="1" x14ac:dyDescent="0.25">
      <c r="A20" s="44" t="s">
        <v>569</v>
      </c>
      <c r="B20" s="45" t="s">
        <v>355</v>
      </c>
      <c r="C20" s="46" t="s">
        <v>545</v>
      </c>
      <c r="D20" s="48">
        <v>0.93389783863693032</v>
      </c>
      <c r="E20" s="47">
        <v>6.6102161363069678E-2</v>
      </c>
      <c r="F20" s="49">
        <v>1</v>
      </c>
      <c r="I20" s="45" t="s">
        <v>355</v>
      </c>
      <c r="J20" s="46" t="s">
        <v>545</v>
      </c>
      <c r="K20" s="89">
        <v>0</v>
      </c>
      <c r="L20" s="90">
        <v>78.750981979029874</v>
      </c>
      <c r="M20" s="90">
        <v>0</v>
      </c>
      <c r="N20" s="90">
        <v>0</v>
      </c>
      <c r="O20" s="90">
        <v>0</v>
      </c>
      <c r="P20" s="90">
        <v>0</v>
      </c>
      <c r="Q20" s="90">
        <v>0</v>
      </c>
      <c r="R20" s="90">
        <v>0</v>
      </c>
      <c r="S20" s="91">
        <v>78.750981979029874</v>
      </c>
      <c r="T20" s="89">
        <v>0</v>
      </c>
      <c r="U20" s="90">
        <v>0</v>
      </c>
      <c r="V20" s="90">
        <v>0</v>
      </c>
      <c r="W20" s="90">
        <v>0</v>
      </c>
      <c r="X20" s="90">
        <v>0</v>
      </c>
      <c r="Y20" s="90">
        <v>0</v>
      </c>
      <c r="Z20" s="90">
        <v>0</v>
      </c>
      <c r="AA20" s="90">
        <v>0</v>
      </c>
      <c r="AB20" s="91">
        <v>0</v>
      </c>
      <c r="AC20" s="89">
        <v>0</v>
      </c>
      <c r="AD20" s="90">
        <v>0</v>
      </c>
      <c r="AE20" s="90">
        <v>0</v>
      </c>
      <c r="AF20" s="90">
        <v>0</v>
      </c>
      <c r="AG20" s="90">
        <v>0</v>
      </c>
      <c r="AH20" s="90">
        <v>0</v>
      </c>
      <c r="AI20" s="90">
        <v>0</v>
      </c>
      <c r="AJ20" s="90">
        <v>0</v>
      </c>
      <c r="AK20" s="91">
        <v>0</v>
      </c>
      <c r="AL20" s="89">
        <v>0</v>
      </c>
      <c r="AM20" s="90">
        <v>12.871851042494857</v>
      </c>
      <c r="AN20" s="90">
        <v>0</v>
      </c>
      <c r="AO20" s="90">
        <v>0</v>
      </c>
      <c r="AP20" s="90">
        <v>0</v>
      </c>
      <c r="AQ20" s="90">
        <v>0</v>
      </c>
      <c r="AR20" s="90">
        <v>0</v>
      </c>
      <c r="AS20" s="90">
        <v>0</v>
      </c>
      <c r="AT20" s="91">
        <v>12.871851042494857</v>
      </c>
      <c r="AU20" s="89">
        <v>0</v>
      </c>
      <c r="AV20" s="90">
        <v>91.622833021524727</v>
      </c>
      <c r="AW20" s="90">
        <v>0</v>
      </c>
      <c r="AX20" s="90">
        <v>0</v>
      </c>
      <c r="AY20" s="90">
        <v>0</v>
      </c>
      <c r="AZ20" s="90">
        <v>0</v>
      </c>
      <c r="BA20" s="90">
        <v>0</v>
      </c>
      <c r="BB20" s="90">
        <v>0</v>
      </c>
      <c r="BC20" s="91">
        <v>91.622833021524727</v>
      </c>
    </row>
    <row r="21" spans="1:55" hidden="1" x14ac:dyDescent="0.25">
      <c r="A21" s="44" t="s">
        <v>569</v>
      </c>
      <c r="B21" s="45" t="s">
        <v>356</v>
      </c>
      <c r="C21" s="46" t="s">
        <v>545</v>
      </c>
      <c r="D21" s="48">
        <v>0.82696528750038811</v>
      </c>
      <c r="E21" s="47">
        <v>0.1730347124996118</v>
      </c>
      <c r="F21" s="49">
        <v>1</v>
      </c>
      <c r="I21" s="45" t="s">
        <v>356</v>
      </c>
      <c r="J21" s="46" t="s">
        <v>545</v>
      </c>
      <c r="K21" s="89">
        <v>0</v>
      </c>
      <c r="L21" s="90">
        <v>0</v>
      </c>
      <c r="M21" s="90">
        <v>0</v>
      </c>
      <c r="N21" s="90">
        <v>0</v>
      </c>
      <c r="O21" s="90">
        <v>0</v>
      </c>
      <c r="P21" s="90">
        <v>0</v>
      </c>
      <c r="Q21" s="90">
        <v>0</v>
      </c>
      <c r="R21" s="90">
        <v>0</v>
      </c>
      <c r="S21" s="91">
        <v>0</v>
      </c>
      <c r="T21" s="89">
        <v>0</v>
      </c>
      <c r="U21" s="90">
        <v>0</v>
      </c>
      <c r="V21" s="90">
        <v>0</v>
      </c>
      <c r="W21" s="90">
        <v>44.110009786486408</v>
      </c>
      <c r="X21" s="90">
        <v>0</v>
      </c>
      <c r="Y21" s="90">
        <v>0</v>
      </c>
      <c r="Z21" s="90">
        <v>0</v>
      </c>
      <c r="AA21" s="90">
        <v>0</v>
      </c>
      <c r="AB21" s="91">
        <v>44.110009786486408</v>
      </c>
      <c r="AC21" s="89">
        <v>0</v>
      </c>
      <c r="AD21" s="90">
        <v>0</v>
      </c>
      <c r="AE21" s="90">
        <v>0</v>
      </c>
      <c r="AF21" s="90">
        <v>0</v>
      </c>
      <c r="AG21" s="90">
        <v>0</v>
      </c>
      <c r="AH21" s="90">
        <v>0</v>
      </c>
      <c r="AI21" s="90">
        <v>0</v>
      </c>
      <c r="AJ21" s="90">
        <v>0</v>
      </c>
      <c r="AK21" s="91">
        <v>0</v>
      </c>
      <c r="AL21" s="89">
        <v>0</v>
      </c>
      <c r="AM21" s="90">
        <v>26.98451061311329</v>
      </c>
      <c r="AN21" s="90">
        <v>0</v>
      </c>
      <c r="AO21" s="90">
        <v>0</v>
      </c>
      <c r="AP21" s="90">
        <v>0</v>
      </c>
      <c r="AQ21" s="90">
        <v>0</v>
      </c>
      <c r="AR21" s="90">
        <v>0</v>
      </c>
      <c r="AS21" s="90">
        <v>0</v>
      </c>
      <c r="AT21" s="91">
        <v>26.98451061311329</v>
      </c>
      <c r="AU21" s="89">
        <v>0</v>
      </c>
      <c r="AV21" s="90">
        <v>26.98451061311329</v>
      </c>
      <c r="AW21" s="90">
        <v>0</v>
      </c>
      <c r="AX21" s="90">
        <v>44.110009786486408</v>
      </c>
      <c r="AY21" s="90">
        <v>0</v>
      </c>
      <c r="AZ21" s="90">
        <v>0</v>
      </c>
      <c r="BA21" s="90">
        <v>0</v>
      </c>
      <c r="BB21" s="90">
        <v>0</v>
      </c>
      <c r="BC21" s="91">
        <v>71.094520399599702</v>
      </c>
    </row>
    <row r="22" spans="1:55" hidden="1" x14ac:dyDescent="0.25">
      <c r="A22" s="44" t="s">
        <v>569</v>
      </c>
      <c r="B22" s="45" t="s">
        <v>357</v>
      </c>
      <c r="C22" s="46" t="s">
        <v>545</v>
      </c>
      <c r="D22" s="48">
        <v>0.9639940765832945</v>
      </c>
      <c r="E22" s="47">
        <v>3.6005923416705561E-2</v>
      </c>
      <c r="F22" s="49">
        <v>1</v>
      </c>
      <c r="I22" s="45" t="s">
        <v>357</v>
      </c>
      <c r="J22" s="46" t="s">
        <v>545</v>
      </c>
      <c r="K22" s="89">
        <v>0</v>
      </c>
      <c r="L22" s="90">
        <v>0</v>
      </c>
      <c r="M22" s="90">
        <v>0</v>
      </c>
      <c r="N22" s="90">
        <v>0</v>
      </c>
      <c r="O22" s="90">
        <v>0</v>
      </c>
      <c r="P22" s="90">
        <v>0</v>
      </c>
      <c r="Q22" s="90">
        <v>0</v>
      </c>
      <c r="R22" s="90">
        <v>0</v>
      </c>
      <c r="S22" s="91">
        <v>0</v>
      </c>
      <c r="T22" s="89">
        <v>0</v>
      </c>
      <c r="U22" s="90">
        <v>0</v>
      </c>
      <c r="V22" s="90">
        <v>0</v>
      </c>
      <c r="W22" s="90">
        <v>19.634672986614149</v>
      </c>
      <c r="X22" s="90">
        <v>0</v>
      </c>
      <c r="Y22" s="90">
        <v>0</v>
      </c>
      <c r="Z22" s="90">
        <v>0</v>
      </c>
      <c r="AA22" s="90">
        <v>0</v>
      </c>
      <c r="AB22" s="91">
        <v>19.634672986614149</v>
      </c>
      <c r="AC22" s="89">
        <v>0</v>
      </c>
      <c r="AD22" s="90">
        <v>0</v>
      </c>
      <c r="AE22" s="90">
        <v>0</v>
      </c>
      <c r="AF22" s="90">
        <v>0</v>
      </c>
      <c r="AG22" s="90">
        <v>0</v>
      </c>
      <c r="AH22" s="90">
        <v>0</v>
      </c>
      <c r="AI22" s="90">
        <v>0</v>
      </c>
      <c r="AJ22" s="90">
        <v>0</v>
      </c>
      <c r="AK22" s="91">
        <v>0</v>
      </c>
      <c r="AL22" s="89">
        <v>0</v>
      </c>
      <c r="AM22" s="90">
        <v>0</v>
      </c>
      <c r="AN22" s="90">
        <v>0</v>
      </c>
      <c r="AO22" s="90">
        <v>0</v>
      </c>
      <c r="AP22" s="90">
        <v>0</v>
      </c>
      <c r="AQ22" s="90">
        <v>0</v>
      </c>
      <c r="AR22" s="90">
        <v>0</v>
      </c>
      <c r="AS22" s="90">
        <v>0</v>
      </c>
      <c r="AT22" s="91">
        <v>0</v>
      </c>
      <c r="AU22" s="89">
        <v>0</v>
      </c>
      <c r="AV22" s="90">
        <v>0</v>
      </c>
      <c r="AW22" s="90">
        <v>0</v>
      </c>
      <c r="AX22" s="90">
        <v>19.634672986614149</v>
      </c>
      <c r="AY22" s="90">
        <v>0</v>
      </c>
      <c r="AZ22" s="90">
        <v>0</v>
      </c>
      <c r="BA22" s="90">
        <v>0</v>
      </c>
      <c r="BB22" s="90">
        <v>0</v>
      </c>
      <c r="BC22" s="91">
        <v>19.634672986614149</v>
      </c>
    </row>
    <row r="23" spans="1:55" hidden="1" x14ac:dyDescent="0.25">
      <c r="A23" s="44" t="s">
        <v>569</v>
      </c>
      <c r="B23" s="45" t="s">
        <v>358</v>
      </c>
      <c r="C23" s="46" t="s">
        <v>545</v>
      </c>
      <c r="D23" s="48">
        <v>0.93408299941780015</v>
      </c>
      <c r="E23" s="47">
        <v>6.5917000582199917E-2</v>
      </c>
      <c r="F23" s="49">
        <v>1</v>
      </c>
      <c r="I23" s="45" t="s">
        <v>358</v>
      </c>
      <c r="J23" s="46" t="s">
        <v>545</v>
      </c>
      <c r="K23" s="89">
        <v>0</v>
      </c>
      <c r="L23" s="90">
        <v>0</v>
      </c>
      <c r="M23" s="90">
        <v>0</v>
      </c>
      <c r="N23" s="90">
        <v>0</v>
      </c>
      <c r="O23" s="90">
        <v>0</v>
      </c>
      <c r="P23" s="90">
        <v>0</v>
      </c>
      <c r="Q23" s="90">
        <v>0</v>
      </c>
      <c r="R23" s="90">
        <v>0</v>
      </c>
      <c r="S23" s="91">
        <v>0</v>
      </c>
      <c r="T23" s="89">
        <v>0</v>
      </c>
      <c r="U23" s="90">
        <v>0</v>
      </c>
      <c r="V23" s="90">
        <v>0</v>
      </c>
      <c r="W23" s="90">
        <v>0</v>
      </c>
      <c r="X23" s="90">
        <v>0</v>
      </c>
      <c r="Y23" s="90">
        <v>0</v>
      </c>
      <c r="Z23" s="90">
        <v>0</v>
      </c>
      <c r="AA23" s="90">
        <v>0</v>
      </c>
      <c r="AB23" s="91">
        <v>0</v>
      </c>
      <c r="AC23" s="89">
        <v>0</v>
      </c>
      <c r="AD23" s="90">
        <v>0</v>
      </c>
      <c r="AE23" s="90">
        <v>0</v>
      </c>
      <c r="AF23" s="90">
        <v>0</v>
      </c>
      <c r="AG23" s="90">
        <v>0</v>
      </c>
      <c r="AH23" s="90">
        <v>0</v>
      </c>
      <c r="AI23" s="90">
        <v>0</v>
      </c>
      <c r="AJ23" s="90">
        <v>0</v>
      </c>
      <c r="AK23" s="91">
        <v>0</v>
      </c>
      <c r="AL23" s="89">
        <v>0</v>
      </c>
      <c r="AM23" s="90">
        <v>0</v>
      </c>
      <c r="AN23" s="90">
        <v>0</v>
      </c>
      <c r="AO23" s="90">
        <v>50.284769574735037</v>
      </c>
      <c r="AP23" s="90">
        <v>0</v>
      </c>
      <c r="AQ23" s="90">
        <v>0</v>
      </c>
      <c r="AR23" s="90">
        <v>0</v>
      </c>
      <c r="AS23" s="90">
        <v>0</v>
      </c>
      <c r="AT23" s="91">
        <v>50.284769574735037</v>
      </c>
      <c r="AU23" s="89">
        <v>0</v>
      </c>
      <c r="AV23" s="90">
        <v>0</v>
      </c>
      <c r="AW23" s="90">
        <v>0</v>
      </c>
      <c r="AX23" s="90">
        <v>50.284769574735037</v>
      </c>
      <c r="AY23" s="90">
        <v>0</v>
      </c>
      <c r="AZ23" s="90">
        <v>0</v>
      </c>
      <c r="BA23" s="90">
        <v>0</v>
      </c>
      <c r="BB23" s="90">
        <v>0</v>
      </c>
      <c r="BC23" s="91">
        <v>50.284769574735037</v>
      </c>
    </row>
    <row r="24" spans="1:55" hidden="1" x14ac:dyDescent="0.25">
      <c r="A24" s="44" t="s">
        <v>569</v>
      </c>
      <c r="B24" s="45" t="s">
        <v>359</v>
      </c>
      <c r="C24" s="46" t="s">
        <v>545</v>
      </c>
      <c r="D24" s="48">
        <v>0.91769059534017872</v>
      </c>
      <c r="E24" s="47">
        <v>8.23094046598212E-2</v>
      </c>
      <c r="F24" s="49">
        <v>1</v>
      </c>
      <c r="I24" s="45" t="s">
        <v>359</v>
      </c>
      <c r="J24" s="46" t="s">
        <v>545</v>
      </c>
      <c r="K24" s="89">
        <v>0</v>
      </c>
      <c r="L24" s="90">
        <v>0</v>
      </c>
      <c r="M24" s="90">
        <v>0</v>
      </c>
      <c r="N24" s="90">
        <v>199.11719821988763</v>
      </c>
      <c r="O24" s="90">
        <v>0</v>
      </c>
      <c r="P24" s="90">
        <v>0</v>
      </c>
      <c r="Q24" s="90">
        <v>0</v>
      </c>
      <c r="R24" s="90">
        <v>0</v>
      </c>
      <c r="S24" s="91">
        <v>199.11719821988763</v>
      </c>
      <c r="T24" s="89">
        <v>0</v>
      </c>
      <c r="U24" s="90">
        <v>229.22224785316547</v>
      </c>
      <c r="V24" s="90">
        <v>0</v>
      </c>
      <c r="W24" s="90">
        <v>397.49954616357195</v>
      </c>
      <c r="X24" s="90">
        <v>0</v>
      </c>
      <c r="Y24" s="90">
        <v>0</v>
      </c>
      <c r="Z24" s="90">
        <v>0</v>
      </c>
      <c r="AA24" s="90">
        <v>0</v>
      </c>
      <c r="AB24" s="91">
        <v>626.72179401673748</v>
      </c>
      <c r="AC24" s="89">
        <v>0</v>
      </c>
      <c r="AD24" s="90">
        <v>0</v>
      </c>
      <c r="AE24" s="90">
        <v>0</v>
      </c>
      <c r="AF24" s="90">
        <v>0</v>
      </c>
      <c r="AG24" s="90">
        <v>0</v>
      </c>
      <c r="AH24" s="90">
        <v>0</v>
      </c>
      <c r="AI24" s="90">
        <v>0</v>
      </c>
      <c r="AJ24" s="90">
        <v>0</v>
      </c>
      <c r="AK24" s="91">
        <v>0</v>
      </c>
      <c r="AL24" s="89">
        <v>0</v>
      </c>
      <c r="AM24" s="90">
        <v>0</v>
      </c>
      <c r="AN24" s="90">
        <v>0</v>
      </c>
      <c r="AO24" s="90">
        <v>0</v>
      </c>
      <c r="AP24" s="90">
        <v>0</v>
      </c>
      <c r="AQ24" s="90">
        <v>0</v>
      </c>
      <c r="AR24" s="90">
        <v>0</v>
      </c>
      <c r="AS24" s="90">
        <v>0</v>
      </c>
      <c r="AT24" s="91">
        <v>0</v>
      </c>
      <c r="AU24" s="89">
        <v>0</v>
      </c>
      <c r="AV24" s="90">
        <v>229.22224785316547</v>
      </c>
      <c r="AW24" s="90">
        <v>0</v>
      </c>
      <c r="AX24" s="90">
        <v>596.6167443834596</v>
      </c>
      <c r="AY24" s="90">
        <v>0</v>
      </c>
      <c r="AZ24" s="90">
        <v>0</v>
      </c>
      <c r="BA24" s="90">
        <v>0</v>
      </c>
      <c r="BB24" s="90">
        <v>0</v>
      </c>
      <c r="BC24" s="91">
        <v>825.83899223662513</v>
      </c>
    </row>
    <row r="25" spans="1:55" hidden="1" x14ac:dyDescent="0.25">
      <c r="A25" s="44" t="s">
        <v>569</v>
      </c>
      <c r="B25" s="45" t="s">
        <v>360</v>
      </c>
      <c r="C25" s="46" t="s">
        <v>545</v>
      </c>
      <c r="D25" s="48">
        <v>0.86719579734784979</v>
      </c>
      <c r="E25" s="47">
        <v>0.13280420265215021</v>
      </c>
      <c r="F25" s="49">
        <v>1</v>
      </c>
      <c r="I25" s="45" t="s">
        <v>360</v>
      </c>
      <c r="J25" s="46" t="s">
        <v>545</v>
      </c>
      <c r="K25" s="89">
        <v>0</v>
      </c>
      <c r="L25" s="90">
        <v>0</v>
      </c>
      <c r="M25" s="90">
        <v>0</v>
      </c>
      <c r="N25" s="90">
        <v>0</v>
      </c>
      <c r="O25" s="90">
        <v>0</v>
      </c>
      <c r="P25" s="90">
        <v>0</v>
      </c>
      <c r="Q25" s="90">
        <v>0</v>
      </c>
      <c r="R25" s="90">
        <v>0</v>
      </c>
      <c r="S25" s="91">
        <v>0</v>
      </c>
      <c r="T25" s="89">
        <v>0</v>
      </c>
      <c r="U25" s="90">
        <v>77.628925891035308</v>
      </c>
      <c r="V25" s="90">
        <v>0</v>
      </c>
      <c r="W25" s="90">
        <v>0</v>
      </c>
      <c r="X25" s="90">
        <v>0</v>
      </c>
      <c r="Y25" s="90">
        <v>0</v>
      </c>
      <c r="Z25" s="90">
        <v>0</v>
      </c>
      <c r="AA25" s="90">
        <v>0</v>
      </c>
      <c r="AB25" s="91">
        <v>77.628925891035308</v>
      </c>
      <c r="AC25" s="89">
        <v>0</v>
      </c>
      <c r="AD25" s="90">
        <v>0</v>
      </c>
      <c r="AE25" s="90">
        <v>0</v>
      </c>
      <c r="AF25" s="90">
        <v>14.859568713243839</v>
      </c>
      <c r="AG25" s="90">
        <v>0</v>
      </c>
      <c r="AH25" s="90">
        <v>0</v>
      </c>
      <c r="AI25" s="90">
        <v>0</v>
      </c>
      <c r="AJ25" s="90">
        <v>0</v>
      </c>
      <c r="AK25" s="91">
        <v>14.859568713243839</v>
      </c>
      <c r="AL25" s="89">
        <v>0</v>
      </c>
      <c r="AM25" s="90">
        <v>0</v>
      </c>
      <c r="AN25" s="90">
        <v>0</v>
      </c>
      <c r="AO25" s="90">
        <v>0</v>
      </c>
      <c r="AP25" s="90">
        <v>0</v>
      </c>
      <c r="AQ25" s="90">
        <v>0</v>
      </c>
      <c r="AR25" s="90">
        <v>0</v>
      </c>
      <c r="AS25" s="90">
        <v>0</v>
      </c>
      <c r="AT25" s="91">
        <v>0</v>
      </c>
      <c r="AU25" s="89">
        <v>0</v>
      </c>
      <c r="AV25" s="90">
        <v>77.628925891035308</v>
      </c>
      <c r="AW25" s="90">
        <v>0</v>
      </c>
      <c r="AX25" s="90">
        <v>14.859568713243839</v>
      </c>
      <c r="AY25" s="90">
        <v>0</v>
      </c>
      <c r="AZ25" s="90">
        <v>0</v>
      </c>
      <c r="BA25" s="90">
        <v>0</v>
      </c>
      <c r="BB25" s="90">
        <v>0</v>
      </c>
      <c r="BC25" s="91">
        <v>92.48849460427914</v>
      </c>
    </row>
    <row r="26" spans="1:55" hidden="1" x14ac:dyDescent="0.25">
      <c r="A26" s="44" t="s">
        <v>569</v>
      </c>
      <c r="B26" s="45" t="s">
        <v>361</v>
      </c>
      <c r="C26" s="46" t="s">
        <v>545</v>
      </c>
      <c r="D26" s="48">
        <v>0.90936489436209378</v>
      </c>
      <c r="E26" s="47">
        <v>9.063510563790618E-2</v>
      </c>
      <c r="F26" s="49">
        <v>1</v>
      </c>
      <c r="I26" s="45" t="s">
        <v>361</v>
      </c>
      <c r="J26" s="46" t="s">
        <v>545</v>
      </c>
      <c r="K26" s="89">
        <v>0</v>
      </c>
      <c r="L26" s="90">
        <v>0</v>
      </c>
      <c r="M26" s="90">
        <v>0</v>
      </c>
      <c r="N26" s="90">
        <v>0</v>
      </c>
      <c r="O26" s="90">
        <v>0</v>
      </c>
      <c r="P26" s="90">
        <v>0</v>
      </c>
      <c r="Q26" s="90">
        <v>0</v>
      </c>
      <c r="R26" s="90">
        <v>0</v>
      </c>
      <c r="S26" s="91">
        <v>0</v>
      </c>
      <c r="T26" s="89">
        <v>0</v>
      </c>
      <c r="U26" s="90">
        <v>0</v>
      </c>
      <c r="V26" s="90">
        <v>0</v>
      </c>
      <c r="W26" s="90">
        <v>0</v>
      </c>
      <c r="X26" s="90">
        <v>0</v>
      </c>
      <c r="Y26" s="90">
        <v>0</v>
      </c>
      <c r="Z26" s="90">
        <v>0</v>
      </c>
      <c r="AA26" s="90">
        <v>0</v>
      </c>
      <c r="AB26" s="91">
        <v>0</v>
      </c>
      <c r="AC26" s="89">
        <v>0</v>
      </c>
      <c r="AD26" s="90">
        <v>0</v>
      </c>
      <c r="AE26" s="90">
        <v>0</v>
      </c>
      <c r="AF26" s="90">
        <v>0</v>
      </c>
      <c r="AG26" s="90">
        <v>0</v>
      </c>
      <c r="AH26" s="90">
        <v>0</v>
      </c>
      <c r="AI26" s="90">
        <v>0</v>
      </c>
      <c r="AJ26" s="90">
        <v>0</v>
      </c>
      <c r="AK26" s="91">
        <v>0</v>
      </c>
      <c r="AL26" s="89">
        <v>0</v>
      </c>
      <c r="AM26" s="90">
        <v>0</v>
      </c>
      <c r="AN26" s="90">
        <v>0</v>
      </c>
      <c r="AO26" s="90">
        <v>0</v>
      </c>
      <c r="AP26" s="90">
        <v>0</v>
      </c>
      <c r="AQ26" s="90">
        <v>0</v>
      </c>
      <c r="AR26" s="90">
        <v>0</v>
      </c>
      <c r="AS26" s="90">
        <v>0</v>
      </c>
      <c r="AT26" s="91">
        <v>0</v>
      </c>
      <c r="AU26" s="89">
        <v>0</v>
      </c>
      <c r="AV26" s="90">
        <v>0</v>
      </c>
      <c r="AW26" s="90">
        <v>0</v>
      </c>
      <c r="AX26" s="90">
        <v>0</v>
      </c>
      <c r="AY26" s="90">
        <v>0</v>
      </c>
      <c r="AZ26" s="90">
        <v>0</v>
      </c>
      <c r="BA26" s="90">
        <v>0</v>
      </c>
      <c r="BB26" s="90">
        <v>0</v>
      </c>
      <c r="BC26" s="91">
        <v>0</v>
      </c>
    </row>
    <row r="27" spans="1:55" hidden="1" x14ac:dyDescent="0.25">
      <c r="A27" s="44" t="s">
        <v>569</v>
      </c>
      <c r="B27" s="45" t="s">
        <v>362</v>
      </c>
      <c r="C27" s="46" t="s">
        <v>545</v>
      </c>
      <c r="D27" s="48">
        <v>0.95601441298306766</v>
      </c>
      <c r="E27" s="47">
        <v>4.3985587016932386E-2</v>
      </c>
      <c r="F27" s="49">
        <v>1</v>
      </c>
      <c r="I27" s="45" t="s">
        <v>362</v>
      </c>
      <c r="J27" s="46" t="s">
        <v>545</v>
      </c>
      <c r="K27" s="89">
        <v>0</v>
      </c>
      <c r="L27" s="90">
        <v>0</v>
      </c>
      <c r="M27" s="90">
        <v>0</v>
      </c>
      <c r="N27" s="90">
        <v>27.526762610065123</v>
      </c>
      <c r="O27" s="90">
        <v>0</v>
      </c>
      <c r="P27" s="90">
        <v>0</v>
      </c>
      <c r="Q27" s="90">
        <v>0</v>
      </c>
      <c r="R27" s="90">
        <v>0</v>
      </c>
      <c r="S27" s="91">
        <v>27.526762610065123</v>
      </c>
      <c r="T27" s="89">
        <v>0</v>
      </c>
      <c r="U27" s="90">
        <v>0</v>
      </c>
      <c r="V27" s="90">
        <v>0</v>
      </c>
      <c r="W27" s="90">
        <v>0</v>
      </c>
      <c r="X27" s="90">
        <v>0</v>
      </c>
      <c r="Y27" s="90">
        <v>0</v>
      </c>
      <c r="Z27" s="90">
        <v>0</v>
      </c>
      <c r="AA27" s="90">
        <v>0</v>
      </c>
      <c r="AB27" s="91">
        <v>0</v>
      </c>
      <c r="AC27" s="89">
        <v>0</v>
      </c>
      <c r="AD27" s="90">
        <v>0</v>
      </c>
      <c r="AE27" s="90">
        <v>0</v>
      </c>
      <c r="AF27" s="90">
        <v>0</v>
      </c>
      <c r="AG27" s="90">
        <v>0</v>
      </c>
      <c r="AH27" s="90">
        <v>0</v>
      </c>
      <c r="AI27" s="90">
        <v>0</v>
      </c>
      <c r="AJ27" s="90">
        <v>0</v>
      </c>
      <c r="AK27" s="91">
        <v>0</v>
      </c>
      <c r="AL27" s="89">
        <v>0</v>
      </c>
      <c r="AM27" s="90">
        <v>0</v>
      </c>
      <c r="AN27" s="90">
        <v>0</v>
      </c>
      <c r="AO27" s="90">
        <v>50.160792280915594</v>
      </c>
      <c r="AP27" s="90">
        <v>0</v>
      </c>
      <c r="AQ27" s="90">
        <v>0</v>
      </c>
      <c r="AR27" s="90">
        <v>0</v>
      </c>
      <c r="AS27" s="90">
        <v>0</v>
      </c>
      <c r="AT27" s="91">
        <v>50.160792280915594</v>
      </c>
      <c r="AU27" s="89">
        <v>0</v>
      </c>
      <c r="AV27" s="90">
        <v>0</v>
      </c>
      <c r="AW27" s="90">
        <v>0</v>
      </c>
      <c r="AX27" s="90">
        <v>77.687554890980721</v>
      </c>
      <c r="AY27" s="90">
        <v>0</v>
      </c>
      <c r="AZ27" s="90">
        <v>0</v>
      </c>
      <c r="BA27" s="90">
        <v>0</v>
      </c>
      <c r="BB27" s="90">
        <v>0</v>
      </c>
      <c r="BC27" s="91">
        <v>77.687554890980721</v>
      </c>
    </row>
    <row r="28" spans="1:55" hidden="1" x14ac:dyDescent="0.25">
      <c r="A28" s="44" t="s">
        <v>569</v>
      </c>
      <c r="B28" s="45" t="s">
        <v>363</v>
      </c>
      <c r="C28" s="46" t="s">
        <v>545</v>
      </c>
      <c r="D28" s="48">
        <v>0.87588518856182296</v>
      </c>
      <c r="E28" s="47">
        <v>0.124114811438177</v>
      </c>
      <c r="F28" s="49">
        <v>1</v>
      </c>
      <c r="I28" s="45" t="s">
        <v>363</v>
      </c>
      <c r="J28" s="46" t="s">
        <v>545</v>
      </c>
      <c r="K28" s="89">
        <v>0</v>
      </c>
      <c r="L28" s="90">
        <v>0</v>
      </c>
      <c r="M28" s="90">
        <v>0</v>
      </c>
      <c r="N28" s="90">
        <v>0</v>
      </c>
      <c r="O28" s="90">
        <v>0</v>
      </c>
      <c r="P28" s="90">
        <v>0</v>
      </c>
      <c r="Q28" s="90">
        <v>0</v>
      </c>
      <c r="R28" s="90">
        <v>0</v>
      </c>
      <c r="S28" s="91">
        <v>0</v>
      </c>
      <c r="T28" s="89">
        <v>0</v>
      </c>
      <c r="U28" s="90">
        <v>0</v>
      </c>
      <c r="V28" s="90">
        <v>0</v>
      </c>
      <c r="W28" s="90">
        <v>89.176218358381661</v>
      </c>
      <c r="X28" s="90">
        <v>0</v>
      </c>
      <c r="Y28" s="90">
        <v>0</v>
      </c>
      <c r="Z28" s="90">
        <v>0</v>
      </c>
      <c r="AA28" s="90">
        <v>0</v>
      </c>
      <c r="AB28" s="91">
        <v>89.176218358381661</v>
      </c>
      <c r="AC28" s="89">
        <v>0</v>
      </c>
      <c r="AD28" s="90">
        <v>0</v>
      </c>
      <c r="AE28" s="90">
        <v>0</v>
      </c>
      <c r="AF28" s="90">
        <v>0</v>
      </c>
      <c r="AG28" s="90">
        <v>0</v>
      </c>
      <c r="AH28" s="90">
        <v>0</v>
      </c>
      <c r="AI28" s="90">
        <v>0</v>
      </c>
      <c r="AJ28" s="90">
        <v>0</v>
      </c>
      <c r="AK28" s="91">
        <v>0</v>
      </c>
      <c r="AL28" s="89">
        <v>0</v>
      </c>
      <c r="AM28" s="90">
        <v>0</v>
      </c>
      <c r="AN28" s="90">
        <v>0</v>
      </c>
      <c r="AO28" s="90">
        <v>0</v>
      </c>
      <c r="AP28" s="90">
        <v>0</v>
      </c>
      <c r="AQ28" s="90">
        <v>0</v>
      </c>
      <c r="AR28" s="90">
        <v>0</v>
      </c>
      <c r="AS28" s="90">
        <v>0</v>
      </c>
      <c r="AT28" s="91">
        <v>0</v>
      </c>
      <c r="AU28" s="89">
        <v>0</v>
      </c>
      <c r="AV28" s="90">
        <v>0</v>
      </c>
      <c r="AW28" s="90">
        <v>0</v>
      </c>
      <c r="AX28" s="90">
        <v>89.176218358381661</v>
      </c>
      <c r="AY28" s="90">
        <v>0</v>
      </c>
      <c r="AZ28" s="90">
        <v>0</v>
      </c>
      <c r="BA28" s="90">
        <v>0</v>
      </c>
      <c r="BB28" s="90">
        <v>0</v>
      </c>
      <c r="BC28" s="91">
        <v>89.176218358381661</v>
      </c>
    </row>
    <row r="29" spans="1:55" hidden="1" x14ac:dyDescent="0.25">
      <c r="A29" s="44" t="s">
        <v>569</v>
      </c>
      <c r="B29" s="45" t="s">
        <v>364</v>
      </c>
      <c r="C29" s="46" t="s">
        <v>545</v>
      </c>
      <c r="D29" s="48">
        <v>0.84944115724381652</v>
      </c>
      <c r="E29" s="47">
        <v>0.15055884275618342</v>
      </c>
      <c r="F29" s="49">
        <v>1</v>
      </c>
      <c r="I29" s="45" t="s">
        <v>364</v>
      </c>
      <c r="J29" s="46" t="s">
        <v>545</v>
      </c>
      <c r="K29" s="89">
        <v>148.2735501254345</v>
      </c>
      <c r="L29" s="90">
        <v>164.52454773936284</v>
      </c>
      <c r="M29" s="90">
        <v>0</v>
      </c>
      <c r="N29" s="90">
        <v>144.74774163312946</v>
      </c>
      <c r="O29" s="90">
        <v>0</v>
      </c>
      <c r="P29" s="90">
        <v>0</v>
      </c>
      <c r="Q29" s="90">
        <v>181.59300613891733</v>
      </c>
      <c r="R29" s="90">
        <v>0</v>
      </c>
      <c r="S29" s="91">
        <v>639.13884563684417</v>
      </c>
      <c r="T29" s="89">
        <v>6.1824646651855133</v>
      </c>
      <c r="U29" s="90">
        <v>0</v>
      </c>
      <c r="V29" s="90">
        <v>0</v>
      </c>
      <c r="W29" s="90">
        <v>246.20211949089779</v>
      </c>
      <c r="X29" s="90">
        <v>0</v>
      </c>
      <c r="Y29" s="90">
        <v>8.4949684431757166</v>
      </c>
      <c r="Z29" s="90">
        <v>316.47110254809434</v>
      </c>
      <c r="AA29" s="90">
        <v>0</v>
      </c>
      <c r="AB29" s="91">
        <v>577.35065514735334</v>
      </c>
      <c r="AC29" s="89">
        <v>0</v>
      </c>
      <c r="AD29" s="90">
        <v>0</v>
      </c>
      <c r="AE29" s="90">
        <v>0</v>
      </c>
      <c r="AF29" s="90">
        <v>0</v>
      </c>
      <c r="AG29" s="90">
        <v>0</v>
      </c>
      <c r="AH29" s="90">
        <v>0</v>
      </c>
      <c r="AI29" s="90">
        <v>0</v>
      </c>
      <c r="AJ29" s="90">
        <v>0</v>
      </c>
      <c r="AK29" s="91">
        <v>0</v>
      </c>
      <c r="AL29" s="89">
        <v>0</v>
      </c>
      <c r="AM29" s="90">
        <v>0</v>
      </c>
      <c r="AN29" s="90">
        <v>0</v>
      </c>
      <c r="AO29" s="90">
        <v>49.357364321808859</v>
      </c>
      <c r="AP29" s="90">
        <v>0</v>
      </c>
      <c r="AQ29" s="90">
        <v>0</v>
      </c>
      <c r="AR29" s="90">
        <v>0</v>
      </c>
      <c r="AS29" s="90">
        <v>0</v>
      </c>
      <c r="AT29" s="91">
        <v>49.357364321808859</v>
      </c>
      <c r="AU29" s="89">
        <v>154.45601479062</v>
      </c>
      <c r="AV29" s="90">
        <v>164.52454773936284</v>
      </c>
      <c r="AW29" s="90">
        <v>0</v>
      </c>
      <c r="AX29" s="90">
        <v>440.30722544583614</v>
      </c>
      <c r="AY29" s="90">
        <v>0</v>
      </c>
      <c r="AZ29" s="90">
        <v>8.4949684431757166</v>
      </c>
      <c r="BA29" s="90">
        <v>498.06410868701164</v>
      </c>
      <c r="BB29" s="90">
        <v>0</v>
      </c>
      <c r="BC29" s="91">
        <v>1265.8468651060061</v>
      </c>
    </row>
    <row r="30" spans="1:55" hidden="1" x14ac:dyDescent="0.25">
      <c r="A30" s="44" t="s">
        <v>569</v>
      </c>
      <c r="B30" s="45" t="s">
        <v>365</v>
      </c>
      <c r="C30" s="46" t="s">
        <v>545</v>
      </c>
      <c r="D30" s="48">
        <v>0.94563669068213607</v>
      </c>
      <c r="E30" s="47">
        <v>5.436330931786388E-2</v>
      </c>
      <c r="F30" s="49">
        <v>1</v>
      </c>
      <c r="I30" s="45" t="s">
        <v>365</v>
      </c>
      <c r="J30" s="46" t="s">
        <v>545</v>
      </c>
      <c r="K30" s="89">
        <v>73.602552558930171</v>
      </c>
      <c r="L30" s="90">
        <v>0</v>
      </c>
      <c r="M30" s="90">
        <v>0</v>
      </c>
      <c r="N30" s="90">
        <v>0</v>
      </c>
      <c r="O30" s="90">
        <v>0</v>
      </c>
      <c r="P30" s="90">
        <v>0</v>
      </c>
      <c r="Q30" s="90">
        <v>0</v>
      </c>
      <c r="R30" s="90">
        <v>0</v>
      </c>
      <c r="S30" s="91">
        <v>73.602552558930171</v>
      </c>
      <c r="T30" s="89">
        <v>0</v>
      </c>
      <c r="U30" s="90">
        <v>0</v>
      </c>
      <c r="V30" s="90">
        <v>0</v>
      </c>
      <c r="W30" s="90">
        <v>369.19953535640911</v>
      </c>
      <c r="X30" s="90">
        <v>0</v>
      </c>
      <c r="Y30" s="90">
        <v>0</v>
      </c>
      <c r="Z30" s="90">
        <v>0</v>
      </c>
      <c r="AA30" s="90">
        <v>0</v>
      </c>
      <c r="AB30" s="91">
        <v>369.19953535640911</v>
      </c>
      <c r="AC30" s="89">
        <v>0</v>
      </c>
      <c r="AD30" s="90">
        <v>0</v>
      </c>
      <c r="AE30" s="90">
        <v>0</v>
      </c>
      <c r="AF30" s="90">
        <v>0</v>
      </c>
      <c r="AG30" s="90">
        <v>0</v>
      </c>
      <c r="AH30" s="90">
        <v>0</v>
      </c>
      <c r="AI30" s="90">
        <v>0</v>
      </c>
      <c r="AJ30" s="90">
        <v>0</v>
      </c>
      <c r="AK30" s="91">
        <v>0</v>
      </c>
      <c r="AL30" s="89">
        <v>53.853986219092349</v>
      </c>
      <c r="AM30" s="90">
        <v>0</v>
      </c>
      <c r="AN30" s="90">
        <v>0</v>
      </c>
      <c r="AO30" s="90">
        <v>0</v>
      </c>
      <c r="AP30" s="90">
        <v>0</v>
      </c>
      <c r="AQ30" s="90">
        <v>0</v>
      </c>
      <c r="AR30" s="90">
        <v>0</v>
      </c>
      <c r="AS30" s="90">
        <v>0</v>
      </c>
      <c r="AT30" s="91">
        <v>53.853986219092349</v>
      </c>
      <c r="AU30" s="89">
        <v>127.45653877802252</v>
      </c>
      <c r="AV30" s="90">
        <v>0</v>
      </c>
      <c r="AW30" s="90">
        <v>0</v>
      </c>
      <c r="AX30" s="90">
        <v>369.19953535640911</v>
      </c>
      <c r="AY30" s="90">
        <v>0</v>
      </c>
      <c r="AZ30" s="90">
        <v>0</v>
      </c>
      <c r="BA30" s="90">
        <v>0</v>
      </c>
      <c r="BB30" s="90">
        <v>0</v>
      </c>
      <c r="BC30" s="91">
        <v>496.65607413443161</v>
      </c>
    </row>
    <row r="31" spans="1:55" hidden="1" x14ac:dyDescent="0.25">
      <c r="A31" s="44" t="s">
        <v>569</v>
      </c>
      <c r="B31" s="45" t="s">
        <v>366</v>
      </c>
      <c r="C31" s="46" t="s">
        <v>545</v>
      </c>
      <c r="D31" s="48">
        <v>0.96480768386842664</v>
      </c>
      <c r="E31" s="47">
        <v>3.5192316131573469E-2</v>
      </c>
      <c r="F31" s="49">
        <v>1</v>
      </c>
      <c r="I31" s="45" t="s">
        <v>366</v>
      </c>
      <c r="J31" s="46" t="s">
        <v>545</v>
      </c>
      <c r="K31" s="89">
        <v>0</v>
      </c>
      <c r="L31" s="90">
        <v>0</v>
      </c>
      <c r="M31" s="90">
        <v>0</v>
      </c>
      <c r="N31" s="90">
        <v>22.8017069505925</v>
      </c>
      <c r="O31" s="90">
        <v>0</v>
      </c>
      <c r="P31" s="90">
        <v>0</v>
      </c>
      <c r="Q31" s="90">
        <v>0</v>
      </c>
      <c r="R31" s="90">
        <v>0</v>
      </c>
      <c r="S31" s="91">
        <v>22.8017069505925</v>
      </c>
      <c r="T31" s="89">
        <v>36.198549900463831</v>
      </c>
      <c r="U31" s="90">
        <v>0</v>
      </c>
      <c r="V31" s="90">
        <v>0</v>
      </c>
      <c r="W31" s="90">
        <v>0</v>
      </c>
      <c r="X31" s="90">
        <v>0</v>
      </c>
      <c r="Y31" s="90">
        <v>0</v>
      </c>
      <c r="Z31" s="90">
        <v>0</v>
      </c>
      <c r="AA31" s="90">
        <v>0</v>
      </c>
      <c r="AB31" s="91">
        <v>36.198549900463831</v>
      </c>
      <c r="AC31" s="89">
        <v>0</v>
      </c>
      <c r="AD31" s="90">
        <v>0</v>
      </c>
      <c r="AE31" s="90">
        <v>0</v>
      </c>
      <c r="AF31" s="90">
        <v>0</v>
      </c>
      <c r="AG31" s="90">
        <v>0</v>
      </c>
      <c r="AH31" s="90">
        <v>0</v>
      </c>
      <c r="AI31" s="90">
        <v>0</v>
      </c>
      <c r="AJ31" s="90">
        <v>0</v>
      </c>
      <c r="AK31" s="91">
        <v>0</v>
      </c>
      <c r="AL31" s="89">
        <v>0</v>
      </c>
      <c r="AM31" s="90">
        <v>0</v>
      </c>
      <c r="AN31" s="90">
        <v>0</v>
      </c>
      <c r="AO31" s="90">
        <v>22.8017069505925</v>
      </c>
      <c r="AP31" s="90">
        <v>0</v>
      </c>
      <c r="AQ31" s="90">
        <v>0</v>
      </c>
      <c r="AR31" s="90">
        <v>0</v>
      </c>
      <c r="AS31" s="90">
        <v>0</v>
      </c>
      <c r="AT31" s="91">
        <v>22.8017069505925</v>
      </c>
      <c r="AU31" s="89">
        <v>36.198549900463831</v>
      </c>
      <c r="AV31" s="90">
        <v>0</v>
      </c>
      <c r="AW31" s="90">
        <v>0</v>
      </c>
      <c r="AX31" s="90">
        <v>45.603413901185</v>
      </c>
      <c r="AY31" s="90">
        <v>0</v>
      </c>
      <c r="AZ31" s="90">
        <v>0</v>
      </c>
      <c r="BA31" s="90">
        <v>0</v>
      </c>
      <c r="BB31" s="90">
        <v>0</v>
      </c>
      <c r="BC31" s="91">
        <v>81.801963801648839</v>
      </c>
    </row>
    <row r="32" spans="1:55" hidden="1" x14ac:dyDescent="0.25">
      <c r="A32" s="44" t="s">
        <v>569</v>
      </c>
      <c r="B32" s="45" t="s">
        <v>367</v>
      </c>
      <c r="C32" s="46" t="s">
        <v>545</v>
      </c>
      <c r="D32" s="48">
        <v>0.99338694798732041</v>
      </c>
      <c r="E32" s="47">
        <v>6.6130520126795201E-3</v>
      </c>
      <c r="F32" s="49">
        <v>1</v>
      </c>
      <c r="I32" s="45" t="s">
        <v>367</v>
      </c>
      <c r="J32" s="46" t="s">
        <v>545</v>
      </c>
      <c r="K32" s="89">
        <v>0</v>
      </c>
      <c r="L32" s="90">
        <v>0</v>
      </c>
      <c r="M32" s="90">
        <v>0</v>
      </c>
      <c r="N32" s="90">
        <v>0</v>
      </c>
      <c r="O32" s="90">
        <v>0</v>
      </c>
      <c r="P32" s="90">
        <v>0</v>
      </c>
      <c r="Q32" s="90">
        <v>0</v>
      </c>
      <c r="R32" s="90">
        <v>0</v>
      </c>
      <c r="S32" s="91">
        <v>0</v>
      </c>
      <c r="T32" s="89">
        <v>60.64154867711369</v>
      </c>
      <c r="U32" s="90">
        <v>0</v>
      </c>
      <c r="V32" s="90">
        <v>0</v>
      </c>
      <c r="W32" s="90">
        <v>0</v>
      </c>
      <c r="X32" s="90">
        <v>0</v>
      </c>
      <c r="Y32" s="90">
        <v>0</v>
      </c>
      <c r="Z32" s="90">
        <v>0</v>
      </c>
      <c r="AA32" s="90">
        <v>0</v>
      </c>
      <c r="AB32" s="91">
        <v>60.64154867711369</v>
      </c>
      <c r="AC32" s="89">
        <v>20.213849559037897</v>
      </c>
      <c r="AD32" s="90">
        <v>0</v>
      </c>
      <c r="AE32" s="90">
        <v>0</v>
      </c>
      <c r="AF32" s="90">
        <v>0</v>
      </c>
      <c r="AG32" s="90">
        <v>0</v>
      </c>
      <c r="AH32" s="90">
        <v>0</v>
      </c>
      <c r="AI32" s="90">
        <v>0</v>
      </c>
      <c r="AJ32" s="90">
        <v>0</v>
      </c>
      <c r="AK32" s="91">
        <v>20.213849559037897</v>
      </c>
      <c r="AL32" s="89">
        <v>0</v>
      </c>
      <c r="AM32" s="90">
        <v>0</v>
      </c>
      <c r="AN32" s="90">
        <v>0</v>
      </c>
      <c r="AO32" s="90">
        <v>0</v>
      </c>
      <c r="AP32" s="90">
        <v>0</v>
      </c>
      <c r="AQ32" s="90">
        <v>0</v>
      </c>
      <c r="AR32" s="90">
        <v>0</v>
      </c>
      <c r="AS32" s="90">
        <v>0</v>
      </c>
      <c r="AT32" s="91">
        <v>0</v>
      </c>
      <c r="AU32" s="89">
        <v>80.855398236151586</v>
      </c>
      <c r="AV32" s="90">
        <v>0</v>
      </c>
      <c r="AW32" s="90">
        <v>0</v>
      </c>
      <c r="AX32" s="90">
        <v>0</v>
      </c>
      <c r="AY32" s="90">
        <v>0</v>
      </c>
      <c r="AZ32" s="90">
        <v>0</v>
      </c>
      <c r="BA32" s="90">
        <v>0</v>
      </c>
      <c r="BB32" s="90">
        <v>0</v>
      </c>
      <c r="BC32" s="91">
        <v>80.855398236151586</v>
      </c>
    </row>
    <row r="33" spans="1:55" hidden="1" x14ac:dyDescent="0.25">
      <c r="A33" s="44" t="s">
        <v>569</v>
      </c>
      <c r="B33" s="45" t="s">
        <v>368</v>
      </c>
      <c r="C33" s="46" t="s">
        <v>545</v>
      </c>
      <c r="D33" s="48">
        <v>0.98526125005623133</v>
      </c>
      <c r="E33" s="47">
        <v>1.4738749943768739E-2</v>
      </c>
      <c r="F33" s="49">
        <v>1</v>
      </c>
      <c r="I33" s="45" t="s">
        <v>368</v>
      </c>
      <c r="J33" s="46" t="s">
        <v>545</v>
      </c>
      <c r="K33" s="89">
        <v>0</v>
      </c>
      <c r="L33" s="90">
        <v>0</v>
      </c>
      <c r="M33" s="90">
        <v>0</v>
      </c>
      <c r="N33" s="90">
        <v>0</v>
      </c>
      <c r="O33" s="90">
        <v>0</v>
      </c>
      <c r="P33" s="90">
        <v>0</v>
      </c>
      <c r="Q33" s="90">
        <v>0</v>
      </c>
      <c r="R33" s="90">
        <v>0</v>
      </c>
      <c r="S33" s="91">
        <v>0</v>
      </c>
      <c r="T33" s="89">
        <v>0</v>
      </c>
      <c r="U33" s="90">
        <v>0</v>
      </c>
      <c r="V33" s="90">
        <v>0</v>
      </c>
      <c r="W33" s="90">
        <v>0</v>
      </c>
      <c r="X33" s="90">
        <v>0</v>
      </c>
      <c r="Y33" s="90">
        <v>0</v>
      </c>
      <c r="Z33" s="90">
        <v>0</v>
      </c>
      <c r="AA33" s="90">
        <v>0</v>
      </c>
      <c r="AB33" s="91">
        <v>0</v>
      </c>
      <c r="AC33" s="89">
        <v>0</v>
      </c>
      <c r="AD33" s="90">
        <v>0</v>
      </c>
      <c r="AE33" s="90">
        <v>0</v>
      </c>
      <c r="AF33" s="90">
        <v>0</v>
      </c>
      <c r="AG33" s="90">
        <v>0</v>
      </c>
      <c r="AH33" s="90">
        <v>0</v>
      </c>
      <c r="AI33" s="90">
        <v>0</v>
      </c>
      <c r="AJ33" s="90">
        <v>0</v>
      </c>
      <c r="AK33" s="91">
        <v>0</v>
      </c>
      <c r="AL33" s="89">
        <v>0</v>
      </c>
      <c r="AM33" s="90">
        <v>0</v>
      </c>
      <c r="AN33" s="90">
        <v>0</v>
      </c>
      <c r="AO33" s="90">
        <v>0</v>
      </c>
      <c r="AP33" s="90">
        <v>0</v>
      </c>
      <c r="AQ33" s="90">
        <v>0</v>
      </c>
      <c r="AR33" s="90">
        <v>0</v>
      </c>
      <c r="AS33" s="90">
        <v>0</v>
      </c>
      <c r="AT33" s="91">
        <v>0</v>
      </c>
      <c r="AU33" s="89">
        <v>0</v>
      </c>
      <c r="AV33" s="90">
        <v>0</v>
      </c>
      <c r="AW33" s="90">
        <v>0</v>
      </c>
      <c r="AX33" s="90">
        <v>0</v>
      </c>
      <c r="AY33" s="90">
        <v>0</v>
      </c>
      <c r="AZ33" s="90">
        <v>0</v>
      </c>
      <c r="BA33" s="90">
        <v>0</v>
      </c>
      <c r="BB33" s="90">
        <v>0</v>
      </c>
      <c r="BC33" s="91">
        <v>0</v>
      </c>
    </row>
    <row r="34" spans="1:55" hidden="1" x14ac:dyDescent="0.25"/>
  </sheetData>
  <mergeCells count="7">
    <mergeCell ref="A1:H1"/>
    <mergeCell ref="AU15:BC15"/>
    <mergeCell ref="D15:F15"/>
    <mergeCell ref="K15:S15"/>
    <mergeCell ref="T15:AB15"/>
    <mergeCell ref="AC15:AK15"/>
    <mergeCell ref="AL15:AT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66"/>
  <sheetViews>
    <sheetView zoomScaleNormal="100" workbookViewId="0">
      <selection sqref="A1:G1"/>
    </sheetView>
  </sheetViews>
  <sheetFormatPr defaultColWidth="8.6640625" defaultRowHeight="13.2" x14ac:dyDescent="0.25"/>
  <cols>
    <col min="1" max="2" width="12" style="4" customWidth="1"/>
    <col min="3" max="3" width="13.6640625" style="4" customWidth="1"/>
    <col min="4" max="4" width="18.5546875" style="4" customWidth="1"/>
    <col min="5" max="6" width="13.6640625" style="4" customWidth="1"/>
    <col min="7" max="7" width="13.33203125" style="4" customWidth="1"/>
    <col min="8" max="8" width="12.6640625" style="4" bestFit="1" customWidth="1"/>
    <col min="9" max="9" width="8.6640625" style="4"/>
    <col min="10" max="10" width="12" style="4" customWidth="1"/>
    <col min="11" max="11" width="14.109375" style="4" customWidth="1"/>
    <col min="12" max="12" width="10.33203125" style="4" customWidth="1"/>
    <col min="13" max="27" width="5.6640625" style="4" customWidth="1"/>
    <col min="28" max="16384" width="8.6640625" style="4"/>
  </cols>
  <sheetData>
    <row r="1" spans="1:28" ht="28.95" customHeight="1" x14ac:dyDescent="0.25">
      <c r="A1" s="614" t="s">
        <v>570</v>
      </c>
      <c r="B1" s="614"/>
      <c r="C1" s="614"/>
      <c r="D1" s="614"/>
      <c r="E1" s="614"/>
      <c r="F1" s="614"/>
      <c r="G1" s="614"/>
      <c r="J1" s="603" t="s">
        <v>570</v>
      </c>
      <c r="K1" s="603"/>
      <c r="L1" s="603"/>
      <c r="M1" s="603"/>
      <c r="N1" s="603"/>
      <c r="O1" s="603"/>
      <c r="P1" s="603"/>
      <c r="Q1" s="603"/>
      <c r="R1" s="603"/>
      <c r="S1" s="603"/>
      <c r="T1" s="603"/>
      <c r="U1" s="603"/>
      <c r="V1" s="603"/>
      <c r="W1" s="603"/>
      <c r="X1" s="603"/>
      <c r="Y1" s="603"/>
      <c r="Z1" s="603"/>
      <c r="AA1" s="603"/>
    </row>
    <row r="2" spans="1:28" ht="21" customHeight="1" x14ac:dyDescent="0.25">
      <c r="A2" s="858" t="s">
        <v>189</v>
      </c>
      <c r="B2" s="858" t="s">
        <v>491</v>
      </c>
      <c r="C2" s="858" t="s">
        <v>571</v>
      </c>
      <c r="D2" s="858"/>
      <c r="E2" s="858"/>
      <c r="F2" s="858"/>
      <c r="G2" s="858"/>
      <c r="J2" s="858" t="s">
        <v>189</v>
      </c>
      <c r="K2" s="858" t="s">
        <v>571</v>
      </c>
      <c r="L2" s="858" t="s">
        <v>491</v>
      </c>
      <c r="M2" s="858"/>
      <c r="N2" s="858"/>
      <c r="O2" s="858"/>
      <c r="P2" s="858"/>
      <c r="Q2" s="858"/>
      <c r="R2" s="858"/>
      <c r="S2" s="858"/>
      <c r="T2" s="858"/>
      <c r="U2" s="858"/>
      <c r="V2" s="858"/>
      <c r="W2" s="858"/>
      <c r="X2" s="858"/>
      <c r="Y2" s="858"/>
      <c r="Z2" s="858"/>
      <c r="AA2" s="858"/>
    </row>
    <row r="3" spans="1:28" ht="21" customHeight="1" x14ac:dyDescent="0.25">
      <c r="A3" s="859"/>
      <c r="B3" s="858"/>
      <c r="C3" s="589" t="s">
        <v>369</v>
      </c>
      <c r="D3" s="589" t="s">
        <v>219</v>
      </c>
      <c r="E3" s="589" t="s">
        <v>221</v>
      </c>
      <c r="F3" s="589" t="s">
        <v>223</v>
      </c>
      <c r="G3" s="589" t="s">
        <v>572</v>
      </c>
      <c r="J3" s="858"/>
      <c r="K3" s="858"/>
      <c r="L3" s="589">
        <v>1</v>
      </c>
      <c r="M3" s="589">
        <v>2</v>
      </c>
      <c r="N3" s="589">
        <v>3</v>
      </c>
      <c r="O3" s="589">
        <v>4</v>
      </c>
      <c r="P3" s="589">
        <v>5</v>
      </c>
      <c r="Q3" s="589">
        <v>6</v>
      </c>
      <c r="R3" s="589">
        <v>7</v>
      </c>
      <c r="S3" s="589">
        <v>8</v>
      </c>
      <c r="T3" s="589">
        <v>9</v>
      </c>
      <c r="U3" s="589">
        <v>10</v>
      </c>
      <c r="V3" s="589">
        <v>11</v>
      </c>
      <c r="W3" s="589">
        <v>12</v>
      </c>
      <c r="X3" s="589">
        <v>13</v>
      </c>
      <c r="Y3" s="589">
        <v>14</v>
      </c>
      <c r="Z3" s="589">
        <v>15</v>
      </c>
      <c r="AA3" s="589">
        <v>16</v>
      </c>
    </row>
    <row r="4" spans="1:28" ht="16.95" customHeight="1" x14ac:dyDescent="0.25">
      <c r="A4" s="863" t="s">
        <v>79</v>
      </c>
      <c r="B4" s="592">
        <v>1</v>
      </c>
      <c r="C4" s="104">
        <v>0.36490539999999999</v>
      </c>
      <c r="D4" s="104">
        <v>0.35914600000000002</v>
      </c>
      <c r="E4" s="104">
        <v>0.197043</v>
      </c>
      <c r="F4" s="104">
        <v>7.8905500000000003E-2</v>
      </c>
      <c r="G4" s="105"/>
      <c r="H4" s="114">
        <f>SUM(C4:F4)</f>
        <v>0.99999989999999994</v>
      </c>
      <c r="J4" s="860" t="s">
        <v>79</v>
      </c>
      <c r="K4" s="113" t="s">
        <v>369</v>
      </c>
      <c r="L4" s="59">
        <v>1.1771999999999999E-2</v>
      </c>
      <c r="M4" s="59">
        <v>3.3661000000000003E-2</v>
      </c>
      <c r="N4" s="59">
        <v>0.115761</v>
      </c>
      <c r="O4" s="59">
        <v>5.8842999999999999E-2</v>
      </c>
      <c r="P4" s="59">
        <v>1.3809999999999999E-2</v>
      </c>
      <c r="Q4" s="59">
        <v>7.5715000000000005E-2</v>
      </c>
      <c r="R4" s="59">
        <v>4.7775999999999999E-2</v>
      </c>
      <c r="S4" s="59">
        <v>0.13108</v>
      </c>
      <c r="T4" s="59">
        <v>0.17990800000000001</v>
      </c>
      <c r="U4" s="59">
        <v>5.2255000000000003E-2</v>
      </c>
      <c r="V4" s="59">
        <v>2.6641000000000001E-2</v>
      </c>
      <c r="W4" s="59">
        <v>0.118703</v>
      </c>
      <c r="X4" s="59">
        <v>3.9712999999999998E-2</v>
      </c>
      <c r="Y4" s="59">
        <v>1.8461999999999999E-2</v>
      </c>
      <c r="Z4" s="59">
        <v>1.9685999999999999E-2</v>
      </c>
      <c r="AA4" s="59">
        <v>5.6212999999999999E-2</v>
      </c>
      <c r="AB4" s="114">
        <f>SUM(L4:AA4)</f>
        <v>0.99999899999999997</v>
      </c>
    </row>
    <row r="5" spans="1:28" ht="16.95" customHeight="1" x14ac:dyDescent="0.25">
      <c r="A5" s="864"/>
      <c r="B5" s="593">
        <v>2</v>
      </c>
      <c r="C5" s="59">
        <v>0.47325990000000001</v>
      </c>
      <c r="D5" s="59">
        <v>0.34808149999999999</v>
      </c>
      <c r="E5" s="59">
        <v>0.12627389999999999</v>
      </c>
      <c r="F5" s="59">
        <v>5.2384699999999999E-2</v>
      </c>
      <c r="G5" s="92"/>
      <c r="H5" s="114">
        <f t="shared" ref="H5:H19" si="0">SUM(C5:F5)</f>
        <v>1</v>
      </c>
      <c r="J5" s="861"/>
      <c r="K5" s="113" t="s">
        <v>219</v>
      </c>
      <c r="L5" s="59">
        <v>1.2766E-2</v>
      </c>
      <c r="M5" s="59">
        <v>2.7279000000000001E-2</v>
      </c>
      <c r="N5" s="59">
        <v>7.8852000000000005E-2</v>
      </c>
      <c r="O5" s="59">
        <v>3.7659999999999999E-2</v>
      </c>
      <c r="P5" s="59">
        <v>1.2982E-2</v>
      </c>
      <c r="Q5" s="59">
        <v>6.6083000000000003E-2</v>
      </c>
      <c r="R5" s="59">
        <v>8.3761000000000002E-2</v>
      </c>
      <c r="S5" s="59">
        <v>8.1375000000000003E-2</v>
      </c>
      <c r="T5" s="59">
        <v>0.10077899999999999</v>
      </c>
      <c r="U5" s="59">
        <v>9.9900000000000003E-2</v>
      </c>
      <c r="V5" s="59">
        <v>3.9047999999999999E-2</v>
      </c>
      <c r="W5" s="59">
        <v>0.16017000000000001</v>
      </c>
      <c r="X5" s="59">
        <v>5.1352000000000002E-2</v>
      </c>
      <c r="Y5" s="59">
        <v>1.8270000000000002E-2</v>
      </c>
      <c r="Z5" s="59">
        <v>4.9964000000000001E-2</v>
      </c>
      <c r="AA5" s="59">
        <v>7.9757999999999996E-2</v>
      </c>
      <c r="AB5" s="114">
        <f>SUM(L5:AA5)</f>
        <v>0.99999899999999986</v>
      </c>
    </row>
    <row r="6" spans="1:28" ht="16.95" customHeight="1" x14ac:dyDescent="0.25">
      <c r="A6" s="864"/>
      <c r="B6" s="593">
        <v>3</v>
      </c>
      <c r="C6" s="59">
        <v>0.5195668</v>
      </c>
      <c r="D6" s="59">
        <v>0.32120080000000001</v>
      </c>
      <c r="E6" s="59">
        <v>0.11503149999999999</v>
      </c>
      <c r="F6" s="59">
        <v>4.4200999999999997E-2</v>
      </c>
      <c r="G6" s="92"/>
      <c r="H6" s="114">
        <f t="shared" si="0"/>
        <v>1.0000000999999998</v>
      </c>
      <c r="J6" s="861"/>
      <c r="K6" s="113" t="s">
        <v>221</v>
      </c>
      <c r="L6" s="59">
        <v>1.5376000000000001E-2</v>
      </c>
      <c r="M6" s="59">
        <v>2.1725999999999999E-2</v>
      </c>
      <c r="N6" s="59">
        <v>6.1995000000000001E-2</v>
      </c>
      <c r="O6" s="59">
        <v>2.8597000000000001E-2</v>
      </c>
      <c r="P6" s="59">
        <v>7.3619999999999996E-3</v>
      </c>
      <c r="Q6" s="59">
        <v>2.9079000000000001E-2</v>
      </c>
      <c r="R6" s="59">
        <v>3.8066999999999997E-2</v>
      </c>
      <c r="S6" s="59">
        <v>3.6159999999999998E-2</v>
      </c>
      <c r="T6" s="59">
        <v>3.4192E-2</v>
      </c>
      <c r="U6" s="59">
        <v>0.111124</v>
      </c>
      <c r="V6" s="59">
        <v>6.9853999999999999E-2</v>
      </c>
      <c r="W6" s="59">
        <v>0.252917</v>
      </c>
      <c r="X6" s="59">
        <v>7.8811999999999993E-2</v>
      </c>
      <c r="Y6" s="59">
        <v>2.0469000000000001E-2</v>
      </c>
      <c r="Z6" s="59">
        <v>7.1953000000000003E-2</v>
      </c>
      <c r="AA6" s="59">
        <v>0.12231599999999999</v>
      </c>
      <c r="AB6" s="114">
        <f>SUM(L6:AA6)</f>
        <v>0.99999899999999986</v>
      </c>
    </row>
    <row r="7" spans="1:28" ht="16.95" customHeight="1" x14ac:dyDescent="0.25">
      <c r="A7" s="864"/>
      <c r="B7" s="593">
        <v>4</v>
      </c>
      <c r="C7" s="59">
        <v>0.53639840000000005</v>
      </c>
      <c r="D7" s="59">
        <v>0.3115695</v>
      </c>
      <c r="E7" s="59">
        <v>0.1077673</v>
      </c>
      <c r="F7" s="59">
        <v>4.42648E-2</v>
      </c>
      <c r="G7" s="92"/>
      <c r="H7" s="114">
        <f t="shared" si="0"/>
        <v>1</v>
      </c>
      <c r="J7" s="861"/>
      <c r="K7" s="113" t="s">
        <v>223</v>
      </c>
      <c r="L7" s="59">
        <v>1.6136999999999999E-2</v>
      </c>
      <c r="M7" s="59">
        <v>2.3619999999999999E-2</v>
      </c>
      <c r="N7" s="59">
        <v>6.2428999999999998E-2</v>
      </c>
      <c r="O7" s="59">
        <v>3.0782E-2</v>
      </c>
      <c r="P7" s="59">
        <v>7.6470000000000002E-3</v>
      </c>
      <c r="Q7" s="59">
        <v>4.6937E-2</v>
      </c>
      <c r="R7" s="59">
        <v>3.2445000000000002E-2</v>
      </c>
      <c r="S7" s="59">
        <v>4.6834000000000001E-2</v>
      </c>
      <c r="T7" s="59">
        <v>8.5550000000000001E-2</v>
      </c>
      <c r="U7" s="59">
        <v>0.120271</v>
      </c>
      <c r="V7" s="59">
        <v>4.8404999999999997E-2</v>
      </c>
      <c r="W7" s="59">
        <v>0.167549</v>
      </c>
      <c r="X7" s="59">
        <v>8.1375000000000003E-2</v>
      </c>
      <c r="Y7" s="59">
        <v>1.9543999999999999E-2</v>
      </c>
      <c r="Z7" s="59">
        <v>9.6640000000000004E-2</v>
      </c>
      <c r="AA7" s="59">
        <v>0.11383600000000001</v>
      </c>
      <c r="AB7" s="114">
        <f>SUM(L7:AA7)</f>
        <v>1.0000010000000001</v>
      </c>
    </row>
    <row r="8" spans="1:28" ht="16.95" customHeight="1" x14ac:dyDescent="0.25">
      <c r="A8" s="864"/>
      <c r="B8" s="593">
        <v>5</v>
      </c>
      <c r="C8" s="59">
        <v>0.46277309999999999</v>
      </c>
      <c r="D8" s="59">
        <v>0.39481579999999999</v>
      </c>
      <c r="E8" s="59">
        <v>0.1019896</v>
      </c>
      <c r="F8" s="59">
        <v>4.0421499999999999E-2</v>
      </c>
      <c r="G8" s="92"/>
      <c r="H8" s="114">
        <f t="shared" si="0"/>
        <v>1</v>
      </c>
      <c r="J8" s="861"/>
      <c r="K8" s="113"/>
      <c r="L8" s="59"/>
      <c r="M8" s="59"/>
      <c r="N8" s="59"/>
      <c r="O8" s="59"/>
      <c r="P8" s="59"/>
      <c r="Q8" s="59"/>
      <c r="R8" s="59"/>
      <c r="S8" s="59"/>
      <c r="T8" s="59"/>
      <c r="U8" s="59"/>
      <c r="V8" s="59"/>
      <c r="W8" s="59"/>
      <c r="X8" s="59"/>
      <c r="Y8" s="59"/>
      <c r="Z8" s="59"/>
      <c r="AA8" s="59"/>
      <c r="AB8" s="114"/>
    </row>
    <row r="9" spans="1:28" ht="16.95" customHeight="1" x14ac:dyDescent="0.25">
      <c r="A9" s="864"/>
      <c r="B9" s="593">
        <v>6</v>
      </c>
      <c r="C9" s="59">
        <v>0.48811939999999998</v>
      </c>
      <c r="D9" s="59">
        <v>0.38664779999999999</v>
      </c>
      <c r="E9" s="59">
        <v>7.7498899999999996E-2</v>
      </c>
      <c r="F9" s="59">
        <v>4.7733900000000003E-2</v>
      </c>
      <c r="G9" s="92"/>
      <c r="H9" s="114">
        <f t="shared" si="0"/>
        <v>1</v>
      </c>
      <c r="J9" s="862"/>
      <c r="K9" s="113" t="s">
        <v>185</v>
      </c>
      <c r="L9" s="59">
        <v>1.3015000000000001E-2</v>
      </c>
      <c r="M9" s="59">
        <v>2.8694999999999998E-2</v>
      </c>
      <c r="N9" s="59">
        <v>8.9885999999999994E-2</v>
      </c>
      <c r="O9" s="59">
        <v>4.4255999999999997E-2</v>
      </c>
      <c r="P9" s="59">
        <v>1.204E-2</v>
      </c>
      <c r="Q9" s="59">
        <v>6.2578999999999996E-2</v>
      </c>
      <c r="R9" s="59">
        <v>5.8356999999999999E-2</v>
      </c>
      <c r="S9" s="59">
        <v>9.1688000000000006E-2</v>
      </c>
      <c r="T9" s="59">
        <v>0.120628</v>
      </c>
      <c r="U9" s="59">
        <v>8.3847000000000005E-2</v>
      </c>
      <c r="V9" s="59">
        <v>3.9775999999999999E-2</v>
      </c>
      <c r="W9" s="59">
        <v>0.15937899999999999</v>
      </c>
      <c r="X9" s="59">
        <v>5.3147E-2</v>
      </c>
      <c r="Y9" s="59">
        <v>1.8796E-2</v>
      </c>
      <c r="Z9" s="59">
        <v>4.4387000000000003E-2</v>
      </c>
      <c r="AA9" s="59">
        <v>7.9525999999999999E-2</v>
      </c>
      <c r="AB9" s="114">
        <f t="shared" ref="AB9" si="1">SUM(L9:AA9)</f>
        <v>1.0000020000000001</v>
      </c>
    </row>
    <row r="10" spans="1:28" ht="16.95" customHeight="1" x14ac:dyDescent="0.25">
      <c r="A10" s="864"/>
      <c r="B10" s="593">
        <v>7</v>
      </c>
      <c r="C10" s="59">
        <v>0.33028930000000001</v>
      </c>
      <c r="D10" s="59">
        <v>0.52553430000000001</v>
      </c>
      <c r="E10" s="59">
        <v>0.1087941</v>
      </c>
      <c r="F10" s="59">
        <v>3.5382400000000001E-2</v>
      </c>
      <c r="G10" s="92"/>
      <c r="H10" s="114">
        <f t="shared" si="0"/>
        <v>1.0000001000000001</v>
      </c>
      <c r="J10" s="6"/>
      <c r="K10" s="112"/>
      <c r="L10" s="33"/>
      <c r="M10" s="33"/>
      <c r="N10" s="33"/>
      <c r="O10" s="33"/>
      <c r="P10" s="94"/>
    </row>
    <row r="11" spans="1:28" ht="16.95" customHeight="1" x14ac:dyDescent="0.25">
      <c r="A11" s="864"/>
      <c r="B11" s="593">
        <v>8</v>
      </c>
      <c r="C11" s="59">
        <v>0.57675779999999999</v>
      </c>
      <c r="D11" s="59">
        <v>0.3249591</v>
      </c>
      <c r="E11" s="59">
        <v>6.5775399999999998E-2</v>
      </c>
      <c r="F11" s="59">
        <v>3.2507800000000003E-2</v>
      </c>
      <c r="G11" s="92"/>
      <c r="H11" s="114">
        <f t="shared" si="0"/>
        <v>1.0000001000000001</v>
      </c>
      <c r="J11" s="6"/>
      <c r="K11" s="112"/>
      <c r="L11" s="33"/>
      <c r="M11" s="33"/>
      <c r="N11" s="33"/>
      <c r="O11" s="33"/>
      <c r="P11" s="94"/>
    </row>
    <row r="12" spans="1:28" ht="16.95" customHeight="1" x14ac:dyDescent="0.3">
      <c r="A12" s="864"/>
      <c r="B12" s="593">
        <v>9</v>
      </c>
      <c r="C12" s="59">
        <v>0.6016918</v>
      </c>
      <c r="D12" s="59">
        <v>0.30589850000000002</v>
      </c>
      <c r="E12" s="59">
        <v>4.7274999999999998E-2</v>
      </c>
      <c r="F12" s="59">
        <v>4.51347E-2</v>
      </c>
      <c r="G12" s="92"/>
      <c r="H12" s="114">
        <f t="shared" si="0"/>
        <v>1</v>
      </c>
      <c r="J12" s="6"/>
      <c r="K12" s="591"/>
      <c r="L12" s="591"/>
      <c r="M12" s="591"/>
      <c r="N12" s="591"/>
      <c r="O12" s="591"/>
      <c r="P12" s="591"/>
      <c r="Q12" s="591"/>
      <c r="R12" s="591"/>
      <c r="S12" s="591"/>
      <c r="T12" s="591"/>
      <c r="U12" s="591"/>
      <c r="V12" s="591"/>
      <c r="W12" s="591"/>
      <c r="X12" s="591"/>
      <c r="Y12" s="591"/>
      <c r="Z12" s="591"/>
      <c r="AA12" s="591"/>
      <c r="AB12" s="73"/>
    </row>
    <row r="13" spans="1:28" ht="16.95" customHeight="1" x14ac:dyDescent="0.3">
      <c r="A13" s="864"/>
      <c r="B13" s="593">
        <v>10</v>
      </c>
      <c r="C13" s="59">
        <v>0.2514286</v>
      </c>
      <c r="D13" s="59">
        <v>0.43624459999999998</v>
      </c>
      <c r="E13" s="59">
        <v>0.2210394</v>
      </c>
      <c r="F13" s="59">
        <v>9.1287400000000005E-2</v>
      </c>
      <c r="G13" s="92"/>
      <c r="H13" s="114">
        <f t="shared" si="0"/>
        <v>1</v>
      </c>
      <c r="J13" s="6"/>
      <c r="K13" s="591"/>
      <c r="L13" s="591"/>
      <c r="M13" s="591"/>
      <c r="N13" s="591"/>
      <c r="O13" s="591"/>
      <c r="P13" s="591"/>
      <c r="Q13" s="591"/>
      <c r="R13" s="591"/>
      <c r="S13" s="591"/>
      <c r="T13" s="591"/>
      <c r="U13" s="591"/>
      <c r="V13" s="591"/>
      <c r="W13" s="591"/>
      <c r="X13" s="591"/>
      <c r="Y13" s="591"/>
      <c r="Z13" s="591"/>
      <c r="AA13" s="591"/>
      <c r="AB13" s="73"/>
    </row>
    <row r="14" spans="1:28" ht="16.95" customHeight="1" x14ac:dyDescent="0.3">
      <c r="A14" s="864"/>
      <c r="B14" s="593">
        <v>11</v>
      </c>
      <c r="C14" s="59">
        <v>0.27021079999999997</v>
      </c>
      <c r="D14" s="59">
        <v>0.35944419999999999</v>
      </c>
      <c r="E14" s="59">
        <v>0.29289769999999998</v>
      </c>
      <c r="F14" s="59">
        <v>7.74474E-2</v>
      </c>
      <c r="G14" s="92"/>
      <c r="H14" s="114">
        <f t="shared" si="0"/>
        <v>1.0000001000000001</v>
      </c>
      <c r="J14" s="6"/>
      <c r="K14" s="591"/>
      <c r="L14" s="591"/>
      <c r="M14" s="591"/>
      <c r="N14" s="591"/>
      <c r="O14" s="591"/>
      <c r="P14" s="591"/>
      <c r="Q14" s="591"/>
      <c r="R14" s="591"/>
      <c r="S14" s="591"/>
      <c r="T14" s="591"/>
      <c r="U14" s="591"/>
      <c r="V14" s="591"/>
      <c r="W14" s="591"/>
      <c r="X14" s="591"/>
      <c r="Y14" s="591"/>
      <c r="Z14" s="591"/>
      <c r="AA14" s="591"/>
      <c r="AB14" s="73"/>
    </row>
    <row r="15" spans="1:28" ht="16.95" customHeight="1" x14ac:dyDescent="0.3">
      <c r="A15" s="864"/>
      <c r="B15" s="593">
        <v>12</v>
      </c>
      <c r="C15" s="59">
        <v>0.3004714</v>
      </c>
      <c r="D15" s="59">
        <v>0.36796109999999999</v>
      </c>
      <c r="E15" s="59">
        <v>0.26466410000000001</v>
      </c>
      <c r="F15" s="59">
        <v>6.6903299999999999E-2</v>
      </c>
      <c r="G15" s="92"/>
      <c r="H15" s="114">
        <f t="shared" si="0"/>
        <v>0.99999990000000005</v>
      </c>
      <c r="J15" s="6"/>
      <c r="K15" s="591"/>
      <c r="L15" s="591"/>
      <c r="M15" s="591"/>
      <c r="N15" s="591"/>
      <c r="O15" s="591"/>
      <c r="P15" s="591"/>
      <c r="Q15" s="591"/>
      <c r="R15" s="591"/>
      <c r="S15" s="591"/>
      <c r="T15" s="591"/>
      <c r="U15" s="591"/>
      <c r="V15" s="591"/>
      <c r="W15" s="591"/>
      <c r="X15" s="591"/>
      <c r="Y15" s="591"/>
      <c r="Z15" s="591"/>
      <c r="AA15" s="591"/>
    </row>
    <row r="16" spans="1:28" ht="16.95" customHeight="1" x14ac:dyDescent="0.25">
      <c r="A16" s="864"/>
      <c r="B16" s="593">
        <v>13</v>
      </c>
      <c r="C16" s="59">
        <v>0.3014559</v>
      </c>
      <c r="D16" s="59">
        <v>0.35377950000000002</v>
      </c>
      <c r="E16" s="59">
        <v>0.24732199999999999</v>
      </c>
      <c r="F16" s="59">
        <v>9.7442600000000004E-2</v>
      </c>
      <c r="G16" s="92"/>
      <c r="H16" s="114">
        <f t="shared" si="0"/>
        <v>1</v>
      </c>
      <c r="J16" s="6"/>
      <c r="K16" s="112"/>
      <c r="L16" s="33"/>
      <c r="M16" s="33"/>
      <c r="N16" s="33"/>
      <c r="O16" s="33"/>
      <c r="P16" s="94"/>
    </row>
    <row r="17" spans="1:20" ht="16.95" customHeight="1" x14ac:dyDescent="0.25">
      <c r="A17" s="864"/>
      <c r="B17" s="593">
        <v>14</v>
      </c>
      <c r="C17" s="59">
        <v>0.3962793</v>
      </c>
      <c r="D17" s="59">
        <v>0.35591119999999998</v>
      </c>
      <c r="E17" s="59">
        <v>0.18163489999999999</v>
      </c>
      <c r="F17" s="59">
        <v>6.6174700000000003E-2</v>
      </c>
      <c r="G17" s="92"/>
      <c r="H17" s="114">
        <f t="shared" si="0"/>
        <v>1.0000000999999998</v>
      </c>
      <c r="J17" s="6"/>
      <c r="K17" s="112"/>
      <c r="L17" s="33"/>
      <c r="M17" s="33"/>
      <c r="N17" s="33"/>
      <c r="O17" s="33"/>
      <c r="P17" s="94"/>
    </row>
    <row r="18" spans="1:20" ht="16.95" customHeight="1" x14ac:dyDescent="0.25">
      <c r="A18" s="864"/>
      <c r="B18" s="593">
        <v>15</v>
      </c>
      <c r="C18" s="59">
        <v>0.1789269</v>
      </c>
      <c r="D18" s="59">
        <v>0.41214899999999999</v>
      </c>
      <c r="E18" s="59">
        <v>0.27036270000000001</v>
      </c>
      <c r="F18" s="59">
        <v>0.1385614</v>
      </c>
      <c r="G18" s="92"/>
      <c r="H18" s="114">
        <f t="shared" si="0"/>
        <v>1</v>
      </c>
      <c r="J18" s="6"/>
      <c r="K18" s="112"/>
      <c r="L18" s="33"/>
      <c r="M18" s="33"/>
      <c r="N18" s="33"/>
      <c r="O18" s="33"/>
      <c r="P18" s="94"/>
    </row>
    <row r="19" spans="1:20" ht="16.95" customHeight="1" x14ac:dyDescent="0.25">
      <c r="A19" s="864"/>
      <c r="B19" s="593">
        <v>16</v>
      </c>
      <c r="C19" s="92">
        <v>0.28516799999999998</v>
      </c>
      <c r="D19" s="92">
        <v>0.36721389999999998</v>
      </c>
      <c r="E19" s="92">
        <v>0.25652039999999998</v>
      </c>
      <c r="F19" s="92">
        <v>9.1097700000000004E-2</v>
      </c>
      <c r="G19" s="92"/>
      <c r="H19" s="114">
        <f t="shared" si="0"/>
        <v>1</v>
      </c>
      <c r="J19" s="6"/>
      <c r="K19" s="112"/>
      <c r="L19" s="33"/>
      <c r="M19" s="33"/>
      <c r="N19" s="33"/>
      <c r="O19" s="33"/>
      <c r="P19" s="94"/>
    </row>
    <row r="20" spans="1:20" x14ac:dyDescent="0.25">
      <c r="A20" s="865"/>
      <c r="B20" s="594" t="s">
        <v>352</v>
      </c>
      <c r="C20" s="92">
        <v>0.40343299999999999</v>
      </c>
      <c r="D20" s="92">
        <v>0.36614439999999998</v>
      </c>
      <c r="E20" s="92">
        <v>0.1667816</v>
      </c>
      <c r="F20" s="92">
        <v>6.3641000000000003E-2</v>
      </c>
      <c r="G20" s="92"/>
    </row>
    <row r="22" spans="1:20" x14ac:dyDescent="0.25">
      <c r="A22" s="4" t="s">
        <v>573</v>
      </c>
    </row>
    <row r="28" spans="1:20" ht="18" x14ac:dyDescent="0.35">
      <c r="C28" s="599"/>
      <c r="D28" s="599"/>
      <c r="E28" s="599"/>
      <c r="F28" s="599"/>
      <c r="G28" s="599"/>
      <c r="H28" s="599"/>
      <c r="I28" s="599"/>
      <c r="J28" s="599"/>
      <c r="K28" s="599"/>
      <c r="L28" s="599"/>
      <c r="M28" s="599"/>
      <c r="N28" s="599"/>
      <c r="O28" s="599"/>
      <c r="P28" s="599"/>
      <c r="Q28" s="599"/>
      <c r="R28" s="599"/>
      <c r="S28" s="599"/>
      <c r="T28" s="599"/>
    </row>
    <row r="29" spans="1:20" ht="13.8" x14ac:dyDescent="0.25">
      <c r="A29" s="595"/>
      <c r="B29" s="596"/>
      <c r="C29" s="596"/>
      <c r="D29" s="596"/>
      <c r="E29" s="596"/>
      <c r="F29" s="596"/>
      <c r="G29" s="595"/>
      <c r="H29" s="595"/>
      <c r="I29" s="596"/>
      <c r="J29" s="596"/>
      <c r="K29" s="596"/>
      <c r="L29" s="596"/>
      <c r="M29" s="595"/>
      <c r="N29" s="595"/>
      <c r="O29" s="596"/>
      <c r="P29" s="596"/>
      <c r="Q29" s="596"/>
      <c r="R29" s="596"/>
      <c r="S29" s="595"/>
      <c r="T29" s="595"/>
    </row>
    <row r="30" spans="1:20" ht="13.8" x14ac:dyDescent="0.25">
      <c r="A30" s="550"/>
      <c r="B30" s="2"/>
      <c r="C30" s="597"/>
      <c r="D30" s="597"/>
      <c r="E30" s="597"/>
      <c r="F30" s="597"/>
      <c r="G30" s="597"/>
      <c r="H30" s="597"/>
      <c r="I30" s="597"/>
      <c r="J30" s="597"/>
      <c r="K30" s="597"/>
      <c r="L30" s="597"/>
      <c r="M30" s="597"/>
      <c r="N30" s="597"/>
      <c r="O30" s="598"/>
      <c r="P30" s="598"/>
      <c r="Q30" s="598"/>
      <c r="R30" s="598"/>
      <c r="S30" s="598"/>
      <c r="T30" s="598"/>
    </row>
    <row r="31" spans="1:20" ht="13.8" x14ac:dyDescent="0.25">
      <c r="A31" s="550"/>
      <c r="B31" s="2"/>
      <c r="C31" s="597"/>
      <c r="D31" s="597"/>
      <c r="E31" s="597"/>
      <c r="F31" s="597"/>
      <c r="G31" s="597"/>
      <c r="H31" s="597"/>
      <c r="I31" s="597"/>
      <c r="J31" s="597"/>
      <c r="K31" s="597"/>
      <c r="L31" s="597"/>
      <c r="M31" s="597"/>
      <c r="N31" s="597"/>
      <c r="O31" s="598"/>
      <c r="P31" s="598"/>
      <c r="Q31" s="598"/>
      <c r="R31" s="598"/>
      <c r="S31" s="598"/>
      <c r="T31" s="598"/>
    </row>
    <row r="32" spans="1:20" ht="13.8" x14ac:dyDescent="0.25">
      <c r="A32" s="550"/>
      <c r="B32" s="2"/>
      <c r="C32" s="597"/>
      <c r="D32" s="597"/>
      <c r="E32" s="597"/>
      <c r="F32" s="597"/>
      <c r="G32" s="597"/>
      <c r="H32" s="597"/>
      <c r="I32" s="597"/>
      <c r="J32" s="597"/>
      <c r="K32" s="597"/>
      <c r="L32" s="597"/>
      <c r="M32" s="597"/>
      <c r="N32" s="597"/>
      <c r="O32" s="598"/>
      <c r="P32" s="598"/>
      <c r="Q32" s="598"/>
      <c r="R32" s="598"/>
      <c r="S32" s="598"/>
      <c r="T32" s="598"/>
    </row>
    <row r="33" spans="1:20" ht="13.8" x14ac:dyDescent="0.25">
      <c r="A33" s="550"/>
      <c r="B33" s="2"/>
      <c r="C33" s="597"/>
      <c r="D33" s="597"/>
      <c r="E33" s="597"/>
      <c r="F33" s="597"/>
      <c r="G33" s="597"/>
      <c r="H33" s="597"/>
      <c r="I33" s="597"/>
      <c r="J33" s="597"/>
      <c r="K33" s="597"/>
      <c r="L33" s="597"/>
      <c r="M33" s="597"/>
      <c r="N33" s="597"/>
      <c r="O33" s="598"/>
      <c r="P33" s="598"/>
      <c r="Q33" s="598"/>
      <c r="R33" s="598"/>
      <c r="S33" s="598"/>
      <c r="T33" s="598"/>
    </row>
    <row r="34" spans="1:20" ht="13.8" x14ac:dyDescent="0.25">
      <c r="A34" s="550"/>
      <c r="B34" s="2"/>
      <c r="C34" s="597"/>
      <c r="D34" s="597"/>
      <c r="E34" s="597"/>
      <c r="F34" s="597"/>
      <c r="G34" s="597"/>
      <c r="H34" s="597"/>
      <c r="I34" s="597"/>
      <c r="J34" s="597"/>
      <c r="K34" s="597"/>
      <c r="L34" s="597"/>
      <c r="M34" s="597"/>
      <c r="N34" s="597"/>
      <c r="O34" s="598"/>
      <c r="P34" s="598"/>
      <c r="Q34" s="598"/>
      <c r="R34" s="598"/>
      <c r="S34" s="598"/>
      <c r="T34" s="598"/>
    </row>
    <row r="35" spans="1:20" ht="13.8" x14ac:dyDescent="0.25">
      <c r="A35" s="550"/>
      <c r="B35" s="2"/>
      <c r="C35" s="597"/>
      <c r="D35" s="597"/>
      <c r="E35" s="597"/>
      <c r="F35" s="597"/>
      <c r="G35" s="597"/>
      <c r="H35" s="597"/>
      <c r="I35" s="597"/>
      <c r="J35" s="597"/>
      <c r="K35" s="597"/>
      <c r="L35" s="597"/>
      <c r="M35" s="597"/>
      <c r="N35" s="597"/>
      <c r="O35" s="598"/>
      <c r="P35" s="598"/>
      <c r="Q35" s="598"/>
      <c r="R35" s="598"/>
      <c r="S35" s="598"/>
      <c r="T35" s="598"/>
    </row>
    <row r="36" spans="1:20" ht="13.8" x14ac:dyDescent="0.25">
      <c r="A36" s="550"/>
      <c r="B36" s="2"/>
      <c r="C36" s="597"/>
      <c r="D36" s="597"/>
      <c r="E36" s="597"/>
      <c r="F36" s="597"/>
      <c r="G36" s="597"/>
      <c r="H36" s="597"/>
      <c r="I36" s="597"/>
      <c r="J36" s="597"/>
      <c r="K36" s="597"/>
      <c r="L36" s="597"/>
      <c r="M36" s="597"/>
      <c r="N36" s="597"/>
      <c r="O36" s="598"/>
      <c r="P36" s="598"/>
      <c r="Q36" s="598"/>
      <c r="R36" s="598"/>
      <c r="S36" s="598"/>
      <c r="T36" s="598"/>
    </row>
    <row r="37" spans="1:20" ht="13.8" x14ac:dyDescent="0.25">
      <c r="A37" s="550"/>
      <c r="B37" s="2"/>
      <c r="C37" s="597"/>
      <c r="D37" s="597"/>
      <c r="E37" s="597"/>
      <c r="F37" s="597"/>
      <c r="G37" s="597"/>
      <c r="H37" s="597"/>
      <c r="I37" s="597"/>
      <c r="J37" s="597"/>
      <c r="K37" s="597"/>
      <c r="L37" s="597"/>
      <c r="M37" s="597"/>
      <c r="N37" s="597"/>
      <c r="O37" s="598"/>
      <c r="P37" s="598"/>
      <c r="Q37" s="598"/>
      <c r="R37" s="598"/>
      <c r="S37" s="598"/>
      <c r="T37" s="598"/>
    </row>
    <row r="38" spans="1:20" ht="13.8" x14ac:dyDescent="0.25">
      <c r="A38" s="550"/>
      <c r="B38" s="2"/>
      <c r="C38" s="597"/>
      <c r="D38" s="597"/>
      <c r="E38" s="597"/>
      <c r="F38" s="597"/>
      <c r="G38" s="597"/>
      <c r="H38" s="597"/>
      <c r="I38" s="597"/>
      <c r="J38" s="597"/>
      <c r="K38" s="597"/>
      <c r="L38" s="597"/>
      <c r="M38" s="597"/>
      <c r="N38" s="597"/>
      <c r="O38" s="598"/>
      <c r="P38" s="598"/>
      <c r="Q38" s="598"/>
      <c r="R38" s="598"/>
      <c r="S38" s="598"/>
      <c r="T38" s="598"/>
    </row>
    <row r="39" spans="1:20" ht="13.8" x14ac:dyDescent="0.25">
      <c r="A39" s="550"/>
      <c r="B39" s="2"/>
      <c r="C39" s="597"/>
      <c r="D39" s="597"/>
      <c r="E39" s="597"/>
      <c r="F39" s="597"/>
      <c r="G39" s="597"/>
      <c r="H39" s="597"/>
      <c r="I39" s="597"/>
      <c r="J39" s="597"/>
      <c r="K39" s="597"/>
      <c r="L39" s="597"/>
      <c r="M39" s="597"/>
      <c r="N39" s="597"/>
      <c r="O39" s="598"/>
      <c r="P39" s="598"/>
      <c r="Q39" s="598"/>
      <c r="R39" s="598"/>
      <c r="S39" s="598"/>
      <c r="T39" s="598"/>
    </row>
    <row r="40" spans="1:20" ht="13.8" x14ac:dyDescent="0.25">
      <c r="A40" s="550"/>
      <c r="B40" s="2"/>
      <c r="C40" s="597"/>
      <c r="D40" s="597"/>
      <c r="E40" s="597"/>
      <c r="F40" s="597"/>
      <c r="G40" s="597"/>
      <c r="H40" s="597"/>
      <c r="I40" s="597"/>
      <c r="J40" s="597"/>
      <c r="K40" s="597"/>
      <c r="L40" s="597"/>
      <c r="M40" s="597"/>
      <c r="N40" s="597"/>
      <c r="O40" s="598"/>
      <c r="P40" s="598"/>
      <c r="Q40" s="598"/>
      <c r="R40" s="598"/>
      <c r="S40" s="598"/>
      <c r="T40" s="598"/>
    </row>
    <row r="41" spans="1:20" ht="13.8" x14ac:dyDescent="0.25">
      <c r="A41" s="550"/>
      <c r="B41" s="2"/>
      <c r="C41" s="597"/>
      <c r="D41" s="597"/>
      <c r="E41" s="597"/>
      <c r="F41" s="597"/>
      <c r="G41" s="597"/>
      <c r="H41" s="597"/>
      <c r="I41" s="597"/>
      <c r="J41" s="597"/>
      <c r="K41" s="597"/>
      <c r="L41" s="597"/>
      <c r="M41" s="597"/>
      <c r="N41" s="597"/>
      <c r="O41" s="598"/>
      <c r="P41" s="598"/>
      <c r="Q41" s="598"/>
      <c r="R41" s="598"/>
      <c r="S41" s="598"/>
      <c r="T41" s="598"/>
    </row>
    <row r="42" spans="1:20" ht="13.8" x14ac:dyDescent="0.25">
      <c r="A42" s="550"/>
      <c r="B42" s="2"/>
      <c r="C42" s="597"/>
      <c r="D42" s="597"/>
      <c r="E42" s="597"/>
      <c r="F42" s="597"/>
      <c r="G42" s="597"/>
      <c r="H42" s="597"/>
      <c r="I42" s="597"/>
      <c r="J42" s="597"/>
      <c r="K42" s="597"/>
      <c r="L42" s="597"/>
      <c r="M42" s="597"/>
      <c r="N42" s="597"/>
      <c r="O42" s="598"/>
      <c r="P42" s="598"/>
      <c r="Q42" s="598"/>
      <c r="R42" s="598"/>
      <c r="S42" s="598"/>
      <c r="T42" s="598"/>
    </row>
    <row r="43" spans="1:20" ht="13.8" x14ac:dyDescent="0.25">
      <c r="A43" s="550"/>
      <c r="B43" s="2"/>
      <c r="C43" s="597"/>
      <c r="D43" s="597"/>
      <c r="E43" s="597"/>
      <c r="F43" s="597"/>
      <c r="G43" s="597"/>
      <c r="H43" s="597"/>
      <c r="I43" s="597"/>
      <c r="J43" s="597"/>
      <c r="K43" s="597"/>
      <c r="L43" s="597"/>
      <c r="M43" s="597"/>
      <c r="N43" s="597"/>
      <c r="O43" s="598"/>
      <c r="P43" s="598"/>
      <c r="Q43" s="598"/>
      <c r="R43" s="598"/>
      <c r="S43" s="598"/>
      <c r="T43" s="598"/>
    </row>
    <row r="44" spans="1:20" ht="13.8" x14ac:dyDescent="0.25">
      <c r="A44" s="550"/>
      <c r="B44" s="2"/>
      <c r="C44" s="597"/>
      <c r="D44" s="597"/>
      <c r="E44" s="597"/>
      <c r="F44" s="597"/>
      <c r="G44" s="597"/>
      <c r="H44" s="597"/>
      <c r="I44" s="597"/>
      <c r="J44" s="597"/>
      <c r="K44" s="597"/>
      <c r="L44" s="597"/>
      <c r="M44" s="597"/>
      <c r="N44" s="597"/>
      <c r="O44" s="598"/>
      <c r="P44" s="598"/>
      <c r="Q44" s="598"/>
      <c r="R44" s="598"/>
      <c r="S44" s="598"/>
      <c r="T44" s="598"/>
    </row>
    <row r="45" spans="1:20" ht="13.8" x14ac:dyDescent="0.25">
      <c r="A45" s="550"/>
      <c r="B45" s="2"/>
      <c r="C45" s="597"/>
      <c r="D45" s="597"/>
      <c r="E45" s="597"/>
      <c r="F45" s="597"/>
      <c r="G45" s="597"/>
      <c r="H45" s="597"/>
      <c r="I45" s="597"/>
      <c r="J45" s="597"/>
      <c r="K45" s="597"/>
      <c r="L45" s="597"/>
      <c r="M45" s="597"/>
      <c r="N45" s="597"/>
      <c r="O45" s="598"/>
      <c r="P45" s="598"/>
      <c r="Q45" s="598"/>
      <c r="R45" s="598"/>
      <c r="S45" s="598"/>
      <c r="T45" s="598"/>
    </row>
    <row r="46" spans="1:20" ht="13.8" x14ac:dyDescent="0.25">
      <c r="A46" s="550"/>
      <c r="B46" s="2"/>
      <c r="C46" s="597"/>
      <c r="D46" s="597"/>
      <c r="E46" s="597"/>
      <c r="F46" s="597"/>
      <c r="G46" s="597"/>
      <c r="H46" s="597"/>
      <c r="I46" s="597"/>
      <c r="J46" s="597"/>
      <c r="K46" s="597"/>
      <c r="L46" s="597"/>
      <c r="M46" s="597"/>
      <c r="N46" s="597"/>
      <c r="O46" s="598"/>
      <c r="P46" s="598"/>
      <c r="Q46" s="598"/>
      <c r="R46" s="598"/>
      <c r="S46" s="598"/>
      <c r="T46" s="598"/>
    </row>
    <row r="48" spans="1:20" x14ac:dyDescent="0.25">
      <c r="A48" s="306"/>
      <c r="B48" s="306"/>
      <c r="C48" s="306"/>
      <c r="D48" s="306"/>
      <c r="E48" s="306"/>
      <c r="F48" s="306"/>
    </row>
    <row r="49" spans="1:13" x14ac:dyDescent="0.25">
      <c r="A49" s="112"/>
      <c r="B49" s="112"/>
      <c r="C49" s="112"/>
      <c r="D49" s="306"/>
      <c r="E49" s="306"/>
      <c r="F49" s="306"/>
      <c r="I49" s="306"/>
      <c r="J49" s="306"/>
      <c r="K49" s="306"/>
      <c r="L49" s="306"/>
      <c r="M49" s="306"/>
    </row>
    <row r="50" spans="1:13" ht="14.4" x14ac:dyDescent="0.3">
      <c r="A50" s="591"/>
      <c r="B50" s="591"/>
      <c r="C50" s="591"/>
      <c r="D50" s="591"/>
      <c r="E50" s="590"/>
      <c r="F50" s="41"/>
      <c r="G50" s="41"/>
      <c r="I50" s="41"/>
      <c r="J50" s="41"/>
      <c r="K50" s="41"/>
      <c r="L50" s="41"/>
    </row>
    <row r="51" spans="1:13" ht="14.4" x14ac:dyDescent="0.3">
      <c r="A51" s="591"/>
      <c r="B51" s="591"/>
      <c r="C51" s="591"/>
      <c r="D51" s="591"/>
      <c r="E51" s="590"/>
      <c r="F51" s="41"/>
      <c r="G51" s="41"/>
      <c r="I51" s="41"/>
      <c r="J51" s="41"/>
      <c r="K51" s="41"/>
      <c r="L51" s="41"/>
    </row>
    <row r="52" spans="1:13" ht="14.4" x14ac:dyDescent="0.3">
      <c r="A52" s="591"/>
      <c r="B52" s="591"/>
      <c r="C52" s="591"/>
      <c r="D52" s="591"/>
      <c r="E52" s="590"/>
      <c r="F52" s="41"/>
      <c r="G52" s="41"/>
      <c r="I52" s="41"/>
      <c r="J52" s="41"/>
      <c r="K52" s="41"/>
      <c r="L52" s="41"/>
    </row>
    <row r="53" spans="1:13" ht="14.4" x14ac:dyDescent="0.3">
      <c r="A53" s="591"/>
      <c r="B53" s="591"/>
      <c r="C53" s="591"/>
      <c r="D53" s="591"/>
      <c r="E53" s="590"/>
      <c r="F53" s="41"/>
      <c r="G53" s="41"/>
      <c r="I53" s="41"/>
      <c r="J53" s="41"/>
      <c r="K53" s="41"/>
      <c r="L53" s="41"/>
    </row>
    <row r="54" spans="1:13" ht="14.4" x14ac:dyDescent="0.3">
      <c r="A54" s="591"/>
      <c r="B54" s="591"/>
      <c r="C54" s="591"/>
      <c r="D54" s="591"/>
      <c r="E54" s="590"/>
      <c r="F54" s="41"/>
      <c r="G54" s="41"/>
      <c r="I54" s="41"/>
      <c r="J54" s="41"/>
      <c r="K54" s="41"/>
      <c r="L54" s="41"/>
    </row>
    <row r="55" spans="1:13" ht="14.4" x14ac:dyDescent="0.3">
      <c r="A55" s="591"/>
      <c r="B55" s="591"/>
      <c r="C55" s="591"/>
      <c r="D55" s="591"/>
      <c r="E55" s="590"/>
      <c r="F55" s="41"/>
      <c r="G55" s="41"/>
      <c r="I55" s="41"/>
      <c r="J55" s="41"/>
      <c r="K55" s="41"/>
      <c r="L55" s="41"/>
    </row>
    <row r="56" spans="1:13" ht="14.4" x14ac:dyDescent="0.3">
      <c r="A56" s="591"/>
      <c r="B56" s="591"/>
      <c r="C56" s="591"/>
      <c r="D56" s="591"/>
      <c r="E56" s="590"/>
      <c r="F56" s="41"/>
      <c r="G56" s="41"/>
      <c r="I56" s="41"/>
      <c r="J56" s="41"/>
      <c r="K56" s="41"/>
      <c r="L56" s="41"/>
    </row>
    <row r="57" spans="1:13" ht="14.4" x14ac:dyDescent="0.3">
      <c r="A57" s="591"/>
      <c r="B57" s="591"/>
      <c r="C57" s="591"/>
      <c r="D57" s="591"/>
      <c r="E57" s="590"/>
      <c r="F57" s="41"/>
      <c r="G57" s="41"/>
      <c r="I57" s="41"/>
      <c r="J57" s="41"/>
      <c r="K57" s="41"/>
      <c r="L57" s="41"/>
    </row>
    <row r="58" spans="1:13" ht="14.4" x14ac:dyDescent="0.3">
      <c r="A58" s="591"/>
      <c r="B58" s="591"/>
      <c r="C58" s="591"/>
      <c r="D58" s="591"/>
      <c r="E58" s="590"/>
      <c r="F58" s="41"/>
      <c r="G58" s="41"/>
      <c r="I58" s="41"/>
      <c r="J58" s="41"/>
      <c r="K58" s="41"/>
      <c r="L58" s="41"/>
    </row>
    <row r="59" spans="1:13" ht="14.4" x14ac:dyDescent="0.3">
      <c r="A59" s="591"/>
      <c r="B59" s="591"/>
      <c r="C59" s="591"/>
      <c r="D59" s="591"/>
      <c r="E59" s="590"/>
      <c r="F59" s="41"/>
      <c r="G59" s="41"/>
      <c r="I59" s="41"/>
      <c r="J59" s="41"/>
      <c r="K59" s="41"/>
      <c r="L59" s="41"/>
    </row>
    <row r="60" spans="1:13" ht="14.4" x14ac:dyDescent="0.3">
      <c r="A60" s="591"/>
      <c r="B60" s="591"/>
      <c r="C60" s="591"/>
      <c r="D60" s="591"/>
      <c r="E60" s="590"/>
      <c r="F60" s="41"/>
      <c r="G60" s="41"/>
      <c r="I60" s="41"/>
      <c r="J60" s="41"/>
      <c r="K60" s="41"/>
      <c r="L60" s="41"/>
    </row>
    <row r="61" spans="1:13" ht="14.4" x14ac:dyDescent="0.3">
      <c r="A61" s="591"/>
      <c r="B61" s="591"/>
      <c r="C61" s="591"/>
      <c r="D61" s="591"/>
      <c r="E61" s="590"/>
      <c r="F61" s="41"/>
      <c r="G61" s="41"/>
      <c r="I61" s="41"/>
      <c r="J61" s="41"/>
      <c r="K61" s="41"/>
      <c r="L61" s="41"/>
    </row>
    <row r="62" spans="1:13" ht="14.4" x14ac:dyDescent="0.3">
      <c r="A62" s="591"/>
      <c r="B62" s="591"/>
      <c r="C62" s="591"/>
      <c r="D62" s="591"/>
      <c r="E62" s="590"/>
      <c r="F62" s="41"/>
      <c r="G62" s="41"/>
      <c r="I62" s="41"/>
      <c r="J62" s="41"/>
      <c r="K62" s="41"/>
      <c r="L62" s="41"/>
    </row>
    <row r="63" spans="1:13" ht="14.4" x14ac:dyDescent="0.3">
      <c r="A63" s="591"/>
      <c r="B63" s="591"/>
      <c r="C63" s="591"/>
      <c r="D63" s="591"/>
      <c r="E63" s="590"/>
      <c r="F63" s="41"/>
      <c r="G63" s="41"/>
      <c r="I63" s="41"/>
      <c r="J63" s="41"/>
      <c r="K63" s="41"/>
      <c r="L63" s="41"/>
    </row>
    <row r="64" spans="1:13" ht="14.4" x14ac:dyDescent="0.3">
      <c r="A64" s="591"/>
      <c r="B64" s="591"/>
      <c r="C64" s="591"/>
      <c r="D64" s="591"/>
      <c r="E64" s="590"/>
      <c r="F64" s="41"/>
      <c r="G64" s="41"/>
      <c r="I64" s="41"/>
      <c r="J64" s="41"/>
      <c r="K64" s="41"/>
      <c r="L64" s="41"/>
    </row>
    <row r="65" spans="1:12" ht="14.4" x14ac:dyDescent="0.3">
      <c r="A65" s="591"/>
      <c r="B65" s="591"/>
      <c r="C65" s="591"/>
      <c r="D65" s="591"/>
      <c r="E65" s="41"/>
      <c r="F65" s="41"/>
      <c r="G65" s="41"/>
      <c r="I65" s="41"/>
      <c r="J65" s="41"/>
      <c r="K65" s="41"/>
      <c r="L65" s="41"/>
    </row>
    <row r="66" spans="1:12" ht="14.4" x14ac:dyDescent="0.3">
      <c r="A66" s="591"/>
      <c r="B66" s="591"/>
      <c r="C66" s="591"/>
      <c r="D66" s="591"/>
      <c r="E66" s="41"/>
      <c r="F66" s="41"/>
      <c r="I66" s="41"/>
      <c r="J66" s="41"/>
      <c r="K66" s="41"/>
      <c r="L66" s="41"/>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1"/>
  <sheetViews>
    <sheetView workbookViewId="0">
      <selection sqref="A1:J1"/>
    </sheetView>
  </sheetViews>
  <sheetFormatPr defaultRowHeight="14.4" x14ac:dyDescent="0.3"/>
  <sheetData>
    <row r="1" spans="1:10" ht="15.6" customHeight="1" x14ac:dyDescent="0.3">
      <c r="A1" s="866" t="s">
        <v>574</v>
      </c>
      <c r="B1" s="866"/>
      <c r="C1" s="866"/>
      <c r="D1" s="866"/>
      <c r="E1" s="866"/>
      <c r="F1" s="866"/>
      <c r="G1" s="866"/>
      <c r="H1" s="866"/>
      <c r="I1" s="866"/>
      <c r="J1" s="866"/>
    </row>
  </sheetData>
  <mergeCells count="1">
    <mergeCell ref="A1:J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6367-4CCD-4E1A-A56D-C2A30125CE86}">
  <sheetPr codeName="Sheet24"/>
  <dimension ref="A1:G83"/>
  <sheetViews>
    <sheetView topLeftCell="A55" workbookViewId="0">
      <selection activeCell="D85" sqref="D85"/>
    </sheetView>
  </sheetViews>
  <sheetFormatPr defaultRowHeight="14.4" x14ac:dyDescent="0.3"/>
  <cols>
    <col min="1" max="1" width="58.6640625" customWidth="1"/>
    <col min="2" max="2" width="30.88671875" customWidth="1"/>
    <col min="3" max="3" width="30.33203125" customWidth="1"/>
  </cols>
  <sheetData>
    <row r="1" spans="1:7" x14ac:dyDescent="0.3">
      <c r="A1" t="s">
        <v>575</v>
      </c>
      <c r="B1" t="s">
        <v>576</v>
      </c>
      <c r="C1" t="s">
        <v>576</v>
      </c>
      <c r="D1" s="867" t="s">
        <v>577</v>
      </c>
      <c r="E1" s="867"/>
      <c r="F1" s="867"/>
      <c r="G1" s="867"/>
    </row>
    <row r="2" spans="1:7" x14ac:dyDescent="0.3">
      <c r="A2" s="320" t="s">
        <v>578</v>
      </c>
      <c r="D2">
        <v>2013</v>
      </c>
      <c r="E2">
        <v>2016</v>
      </c>
      <c r="F2">
        <v>2019</v>
      </c>
      <c r="G2">
        <v>2025</v>
      </c>
    </row>
    <row r="3" spans="1:7" x14ac:dyDescent="0.3">
      <c r="A3" s="320" t="s">
        <v>579</v>
      </c>
    </row>
    <row r="4" spans="1:7" x14ac:dyDescent="0.3">
      <c r="A4" t="s">
        <v>580</v>
      </c>
    </row>
    <row r="5" spans="1:7" x14ac:dyDescent="0.3">
      <c r="A5" t="s">
        <v>581</v>
      </c>
    </row>
    <row r="6" spans="1:7" x14ac:dyDescent="0.3">
      <c r="A6" t="s">
        <v>582</v>
      </c>
    </row>
    <row r="7" spans="1:7" x14ac:dyDescent="0.3">
      <c r="A7" t="s">
        <v>583</v>
      </c>
    </row>
    <row r="8" spans="1:7" x14ac:dyDescent="0.3">
      <c r="A8" t="s">
        <v>584</v>
      </c>
    </row>
    <row r="9" spans="1:7" x14ac:dyDescent="0.3">
      <c r="A9" t="s">
        <v>585</v>
      </c>
    </row>
    <row r="10" spans="1:7" x14ac:dyDescent="0.3">
      <c r="A10" t="s">
        <v>586</v>
      </c>
    </row>
    <row r="11" spans="1:7" x14ac:dyDescent="0.3">
      <c r="A11" t="s">
        <v>587</v>
      </c>
    </row>
    <row r="12" spans="1:7" x14ac:dyDescent="0.3">
      <c r="A12" t="s">
        <v>588</v>
      </c>
    </row>
    <row r="13" spans="1:7" x14ac:dyDescent="0.3">
      <c r="A13" t="s">
        <v>589</v>
      </c>
    </row>
    <row r="14" spans="1:7" x14ac:dyDescent="0.3">
      <c r="A14" t="s">
        <v>590</v>
      </c>
    </row>
    <row r="15" spans="1:7" x14ac:dyDescent="0.3">
      <c r="A15" t="s">
        <v>591</v>
      </c>
    </row>
    <row r="16" spans="1:7" x14ac:dyDescent="0.3">
      <c r="A16" t="s">
        <v>592</v>
      </c>
    </row>
    <row r="17" spans="1:1" x14ac:dyDescent="0.3">
      <c r="A17" t="s">
        <v>149</v>
      </c>
    </row>
    <row r="18" spans="1:1" x14ac:dyDescent="0.3">
      <c r="A18" t="s">
        <v>593</v>
      </c>
    </row>
    <row r="19" spans="1:1" x14ac:dyDescent="0.3">
      <c r="A19" t="s">
        <v>168</v>
      </c>
    </row>
    <row r="20" spans="1:1" x14ac:dyDescent="0.3">
      <c r="A20" t="s">
        <v>594</v>
      </c>
    </row>
    <row r="21" spans="1:1" x14ac:dyDescent="0.3">
      <c r="A21" t="s">
        <v>595</v>
      </c>
    </row>
    <row r="22" spans="1:1" x14ac:dyDescent="0.3">
      <c r="A22" t="s">
        <v>596</v>
      </c>
    </row>
    <row r="23" spans="1:1" x14ac:dyDescent="0.3">
      <c r="A23" t="s">
        <v>158</v>
      </c>
    </row>
    <row r="24" spans="1:1" x14ac:dyDescent="0.3">
      <c r="A24" t="s">
        <v>597</v>
      </c>
    </row>
    <row r="25" spans="1:1" x14ac:dyDescent="0.3">
      <c r="A25" t="s">
        <v>598</v>
      </c>
    </row>
    <row r="26" spans="1:1" x14ac:dyDescent="0.3">
      <c r="A26" t="s">
        <v>599</v>
      </c>
    </row>
    <row r="27" spans="1:1" x14ac:dyDescent="0.3">
      <c r="A27" t="s">
        <v>600</v>
      </c>
    </row>
    <row r="28" spans="1:1" x14ac:dyDescent="0.3">
      <c r="A28" t="s">
        <v>601</v>
      </c>
    </row>
    <row r="29" spans="1:1" x14ac:dyDescent="0.3">
      <c r="A29" t="s">
        <v>602</v>
      </c>
    </row>
    <row r="30" spans="1:1" x14ac:dyDescent="0.3">
      <c r="A30" t="s">
        <v>603</v>
      </c>
    </row>
    <row r="31" spans="1:1" x14ac:dyDescent="0.3">
      <c r="A31" t="s">
        <v>604</v>
      </c>
    </row>
    <row r="32" spans="1:1" x14ac:dyDescent="0.3">
      <c r="A32" t="s">
        <v>605</v>
      </c>
    </row>
    <row r="33" spans="1:1" x14ac:dyDescent="0.3">
      <c r="A33" t="s">
        <v>606</v>
      </c>
    </row>
    <row r="34" spans="1:1" x14ac:dyDescent="0.3">
      <c r="A34" t="s">
        <v>607</v>
      </c>
    </row>
    <row r="35" spans="1:1" x14ac:dyDescent="0.3">
      <c r="A35" t="s">
        <v>608</v>
      </c>
    </row>
    <row r="36" spans="1:1" x14ac:dyDescent="0.3">
      <c r="A36" t="s">
        <v>609</v>
      </c>
    </row>
    <row r="37" spans="1:1" x14ac:dyDescent="0.3">
      <c r="A37" t="s">
        <v>610</v>
      </c>
    </row>
    <row r="38" spans="1:1" x14ac:dyDescent="0.3">
      <c r="A38" t="s">
        <v>611</v>
      </c>
    </row>
    <row r="39" spans="1:1" x14ac:dyDescent="0.3">
      <c r="A39" t="s">
        <v>612</v>
      </c>
    </row>
    <row r="40" spans="1:1" x14ac:dyDescent="0.3">
      <c r="A40" t="s">
        <v>613</v>
      </c>
    </row>
    <row r="41" spans="1:1" x14ac:dyDescent="0.3">
      <c r="A41" t="s">
        <v>614</v>
      </c>
    </row>
    <row r="42" spans="1:1" x14ac:dyDescent="0.3">
      <c r="A42" t="s">
        <v>152</v>
      </c>
    </row>
    <row r="43" spans="1:1" x14ac:dyDescent="0.3">
      <c r="A43" t="s">
        <v>615</v>
      </c>
    </row>
    <row r="44" spans="1:1" x14ac:dyDescent="0.3">
      <c r="A44" t="s">
        <v>166</v>
      </c>
    </row>
    <row r="45" spans="1:1" x14ac:dyDescent="0.3">
      <c r="A45" t="s">
        <v>616</v>
      </c>
    </row>
    <row r="46" spans="1:1" x14ac:dyDescent="0.3">
      <c r="A46" t="s">
        <v>617</v>
      </c>
    </row>
    <row r="47" spans="1:1" x14ac:dyDescent="0.3">
      <c r="A47" t="s">
        <v>618</v>
      </c>
    </row>
    <row r="48" spans="1:1" x14ac:dyDescent="0.3">
      <c r="A48" t="s">
        <v>619</v>
      </c>
    </row>
    <row r="49" spans="1:1" x14ac:dyDescent="0.3">
      <c r="A49" t="s">
        <v>620</v>
      </c>
    </row>
    <row r="50" spans="1:1" x14ac:dyDescent="0.3">
      <c r="A50" t="s">
        <v>140</v>
      </c>
    </row>
    <row r="51" spans="1:1" x14ac:dyDescent="0.3">
      <c r="A51" t="s">
        <v>621</v>
      </c>
    </row>
    <row r="52" spans="1:1" x14ac:dyDescent="0.3">
      <c r="A52" t="s">
        <v>622</v>
      </c>
    </row>
    <row r="53" spans="1:1" x14ac:dyDescent="0.3">
      <c r="A53" t="s">
        <v>623</v>
      </c>
    </row>
    <row r="54" spans="1:1" x14ac:dyDescent="0.3">
      <c r="A54" t="s">
        <v>624</v>
      </c>
    </row>
    <row r="55" spans="1:1" x14ac:dyDescent="0.3">
      <c r="A55" t="s">
        <v>625</v>
      </c>
    </row>
    <row r="56" spans="1:1" x14ac:dyDescent="0.3">
      <c r="A56" t="s">
        <v>626</v>
      </c>
    </row>
    <row r="57" spans="1:1" x14ac:dyDescent="0.3">
      <c r="A57" t="s">
        <v>627</v>
      </c>
    </row>
    <row r="58" spans="1:1" x14ac:dyDescent="0.3">
      <c r="A58" t="s">
        <v>628</v>
      </c>
    </row>
    <row r="59" spans="1:1" x14ac:dyDescent="0.3">
      <c r="A59" t="s">
        <v>163</v>
      </c>
    </row>
    <row r="60" spans="1:1" x14ac:dyDescent="0.3">
      <c r="A60" t="s">
        <v>629</v>
      </c>
    </row>
    <row r="61" spans="1:1" x14ac:dyDescent="0.3">
      <c r="A61" t="s">
        <v>630</v>
      </c>
    </row>
    <row r="62" spans="1:1" x14ac:dyDescent="0.3">
      <c r="A62" t="s">
        <v>631</v>
      </c>
    </row>
    <row r="63" spans="1:1" x14ac:dyDescent="0.3">
      <c r="A63" t="s">
        <v>632</v>
      </c>
    </row>
    <row r="64" spans="1:1" x14ac:dyDescent="0.3">
      <c r="A64" t="s">
        <v>155</v>
      </c>
    </row>
    <row r="65" spans="1:1" x14ac:dyDescent="0.3">
      <c r="A65" t="s">
        <v>633</v>
      </c>
    </row>
    <row r="66" spans="1:1" x14ac:dyDescent="0.3">
      <c r="A66" t="s">
        <v>634</v>
      </c>
    </row>
    <row r="67" spans="1:1" x14ac:dyDescent="0.3">
      <c r="A67" t="s">
        <v>635</v>
      </c>
    </row>
    <row r="68" spans="1:1" x14ac:dyDescent="0.3">
      <c r="A68" t="s">
        <v>636</v>
      </c>
    </row>
    <row r="69" spans="1:1" x14ac:dyDescent="0.3">
      <c r="A69" t="s">
        <v>637</v>
      </c>
    </row>
    <row r="70" spans="1:1" x14ac:dyDescent="0.3">
      <c r="A70" t="s">
        <v>638</v>
      </c>
    </row>
    <row r="71" spans="1:1" x14ac:dyDescent="0.3">
      <c r="A71" t="s">
        <v>639</v>
      </c>
    </row>
    <row r="72" spans="1:1" x14ac:dyDescent="0.3">
      <c r="A72" t="s">
        <v>640</v>
      </c>
    </row>
    <row r="73" spans="1:1" x14ac:dyDescent="0.3">
      <c r="A73" t="s">
        <v>641</v>
      </c>
    </row>
    <row r="74" spans="1:1" x14ac:dyDescent="0.3">
      <c r="A74" t="s">
        <v>642</v>
      </c>
    </row>
    <row r="75" spans="1:1" x14ac:dyDescent="0.3">
      <c r="A75" t="s">
        <v>643</v>
      </c>
    </row>
    <row r="76" spans="1:1" x14ac:dyDescent="0.3">
      <c r="A76" t="s">
        <v>644</v>
      </c>
    </row>
    <row r="77" spans="1:1" x14ac:dyDescent="0.3">
      <c r="A77" t="s">
        <v>172</v>
      </c>
    </row>
    <row r="78" spans="1:1" x14ac:dyDescent="0.3">
      <c r="A78" t="s">
        <v>645</v>
      </c>
    </row>
    <row r="79" spans="1:1" x14ac:dyDescent="0.3">
      <c r="A79" t="s">
        <v>646</v>
      </c>
    </row>
    <row r="80" spans="1:1" x14ac:dyDescent="0.3">
      <c r="A80" t="s">
        <v>647</v>
      </c>
    </row>
    <row r="81" spans="1:1" x14ac:dyDescent="0.3">
      <c r="A81" t="s">
        <v>648</v>
      </c>
    </row>
    <row r="82" spans="1:1" x14ac:dyDescent="0.3">
      <c r="A82" t="s">
        <v>649</v>
      </c>
    </row>
    <row r="83" spans="1:1" x14ac:dyDescent="0.3">
      <c r="A83" t="s">
        <v>650</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www.w3.org/XML/1998/namespace"/>
    <ds:schemaRef ds:uri="http://purl.org/dc/dcmitype/"/>
    <ds:schemaRef ds:uri="http://purl.org/dc/term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41613948-0554-4f13-babe-277410c056ca"/>
    <ds:schemaRef ds:uri="http://schemas.microsoft.com/office/2006/metadata/properties"/>
  </ds:schemaRefs>
</ds:datastoreItem>
</file>

<file path=customXml/itemProps3.xml><?xml version="1.0" encoding="utf-8"?>
<ds:datastoreItem xmlns:ds="http://schemas.openxmlformats.org/officeDocument/2006/customXml" ds:itemID="{AF55685A-7553-448B-B479-D6CCAB9D1C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EV Charger</vt:lpstr>
      <vt:lpstr>Weights</vt:lpstr>
      <vt:lpstr>PV</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2026-10-27T20:08:27Z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ContentTypeId">
    <vt:lpwstr>0x0101003D1D6A7EB2452B4A86A9506D4E13D4C9</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MSIP_Label_aa7be39c-9e9f-446a-a199-286f73f56a3f_Enabled">
    <vt:lpwstr>true</vt:lpwstr>
  </property>
  <property fmtid="{D5CDD505-2E9C-101B-9397-08002B2CF9AE}" pid="18" name="MSIP_Label_aa7be39c-9e9f-446a-a199-286f73f56a3f_SetDate">
    <vt:lpwstr>2026-07-15T17:57:38Z</vt:lpwstr>
  </property>
  <property fmtid="{D5CDD505-2E9C-101B-9397-08002B2CF9AE}" pid="19" name="MSIP_Label_aa7be39c-9e9f-446a-a199-286f73f56a3f_Method">
    <vt:lpwstr>Standard</vt:lpwstr>
  </property>
  <property fmtid="{D5CDD505-2E9C-101B-9397-08002B2CF9AE}" pid="20" name="MSIP_Label_aa7be39c-9e9f-446a-a199-286f73f56a3f_Name">
    <vt:lpwstr>Confidential</vt:lpwstr>
  </property>
  <property fmtid="{D5CDD505-2E9C-101B-9397-08002B2CF9AE}" pid="21" name="MSIP_Label_aa7be39c-9e9f-446a-a199-286f73f56a3f_SiteId">
    <vt:lpwstr>85ad2a97-6942-4d5d-bc9c-35cd3905d69a</vt:lpwstr>
  </property>
  <property fmtid="{D5CDD505-2E9C-101B-9397-08002B2CF9AE}" pid="22" name="MSIP_Label_aa7be39c-9e9f-446a-a199-286f73f56a3f_ActionId">
    <vt:lpwstr>9aa52be7-e90f-4db3-9dfa-3134fb3d14a1</vt:lpwstr>
  </property>
  <property fmtid="{D5CDD505-2E9C-101B-9397-08002B2CF9AE}" pid="23" name="MSIP_Label_aa7be39c-9e9f-446a-a199-286f73f56a3f_ContentBits">
    <vt:lpwstr>0</vt:lpwstr>
  </property>
  <property fmtid="{D5CDD505-2E9C-101B-9397-08002B2CF9AE}" pid="24" name="MSIP_Label_aa7be39c-9e9f-446a-a199-286f73f56a3f_Tag">
    <vt:lpwstr>10, 3, 0, 2</vt:lpwstr>
  </property>
</Properties>
</file>