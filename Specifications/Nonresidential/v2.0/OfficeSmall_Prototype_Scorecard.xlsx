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6.xml" ContentType="application/vnd.openxmlformats-officedocument.drawing+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7.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166925"/>
  <mc:AlternateContent xmlns:mc="http://schemas.openxmlformats.org/markup-compatibility/2006">
    <mc:Choice Requires="x15">
      <x15ac:absPath xmlns:x15ac="http://schemas.microsoft.com/office/spreadsheetml/2010/11/ac" url="C:\src\NOR-Codes-Stds\CalBEM-Prototypes\Specifications\Nonresidential\v2.0\"/>
    </mc:Choice>
  </mc:AlternateContent>
  <xr:revisionPtr revIDLastSave="0" documentId="13_ncr:1_{2033E9E0-1773-42CD-AD73-2DD3FD9794F0}" xr6:coauthVersionLast="47" xr6:coauthVersionMax="47" xr10:uidLastSave="{00000000-0000-0000-0000-000000000000}"/>
  <bookViews>
    <workbookView xWindow="-108" yWindow="-108" windowWidth="23256" windowHeight="13896" tabRatio="673" firstSheet="1" activeTab="1" xr2:uid="{EAC23EE3-0CA0-4FF8-990D-9B21A59FA3E0}"/>
  </bookViews>
  <sheets>
    <sheet name="Notes" sheetId="23" r:id="rId1"/>
    <sheet name="Prototype" sheetId="2" r:id="rId2"/>
    <sheet name="Zones" sheetId="13" r:id="rId3"/>
    <sheet name="Envelope" sheetId="1" r:id="rId4"/>
    <sheet name="HVAC System" sheetId="34" r:id="rId5"/>
    <sheet name="Thermostat" sheetId="30" r:id="rId6"/>
    <sheet name="Ventilation" sheetId="18" r:id="rId7"/>
    <sheet name="Water Heater" sheetId="33" r:id="rId8"/>
    <sheet name="Interior Lights" sheetId="25" r:id="rId9"/>
    <sheet name="Ext Lighting" sheetId="9" r:id="rId10"/>
    <sheet name="Equipment" sheetId="29" r:id="rId11"/>
    <sheet name="Schedules" sheetId="28" r:id="rId12"/>
    <sheet name="Energy Usage" sheetId="20" state="hidden" r:id="rId13"/>
    <sheet name="EV Charger" sheetId="22" state="hidden" r:id="rId14"/>
    <sheet name="Weights" sheetId="21" state="hidden" r:id="rId15"/>
    <sheet name="PV" sheetId="27" state="hidden" r:id="rId16"/>
    <sheet name="Data" sheetId="32" state="hidden" r:id="rId17"/>
  </sheets>
  <definedNames>
    <definedName name="_xlnm._FilterDatabase" localSheetId="16" hidden="1">Data!$D$1:$G$1</definedName>
    <definedName name="_xlnm._FilterDatabase" localSheetId="7" hidden="1">'Water Heater'!$B$34:$J$34</definedName>
    <definedName name="_xlnm._FilterDatabase" localSheetId="2" hidden="1">Zones!$A$2:$Y$2</definedName>
    <definedName name="nonparticipating_forecastzone_scale_factor" localSheetId="16">#REF!</definedName>
    <definedName name="nonparticipating_forecastzone_scale_factor">'Energy Usage'!#REF!</definedName>
    <definedName name="Space_Function">Data!$A$2:$A$76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0" i="18" l="1"/>
  <c r="C4" i="25" l="1"/>
  <c r="G4" i="33" l="1"/>
  <c r="F4" i="33"/>
  <c r="E4" i="33"/>
  <c r="C10" i="25" l="1"/>
  <c r="A32" i="28" l="1"/>
  <c r="I55" i="33" l="1"/>
  <c r="C4" i="18" l="1"/>
  <c r="C5" i="18"/>
  <c r="C6" i="18"/>
  <c r="C7" i="18"/>
  <c r="C8" i="18"/>
  <c r="C9" i="18"/>
  <c r="C10" i="18"/>
  <c r="C11" i="18"/>
  <c r="C12" i="18"/>
  <c r="C13" i="18"/>
  <c r="C14" i="18"/>
  <c r="C15" i="18"/>
  <c r="C16" i="18"/>
  <c r="G16" i="34"/>
  <c r="G15" i="34"/>
  <c r="G14" i="34"/>
  <c r="G13" i="34"/>
  <c r="G12" i="34"/>
  <c r="A1" i="34"/>
  <c r="D23" i="33"/>
  <c r="F23" i="33" s="1"/>
  <c r="G23" i="33" s="1"/>
  <c r="C23" i="33"/>
  <c r="A23" i="33"/>
  <c r="C22" i="33"/>
  <c r="A22" i="33"/>
  <c r="C21" i="33"/>
  <c r="A21" i="33"/>
  <c r="C20" i="33"/>
  <c r="A20" i="33"/>
  <c r="C19" i="33"/>
  <c r="A19" i="33"/>
  <c r="C18" i="33"/>
  <c r="A18" i="33"/>
  <c r="D17" i="33"/>
  <c r="F17" i="33" s="1"/>
  <c r="G17" i="33" s="1"/>
  <c r="C17" i="33"/>
  <c r="A17" i="33"/>
  <c r="D16" i="33"/>
  <c r="F16" i="33" s="1"/>
  <c r="G16" i="33" s="1"/>
  <c r="C16" i="33"/>
  <c r="A16" i="33"/>
  <c r="C15" i="33"/>
  <c r="A15" i="33"/>
  <c r="C14" i="33"/>
  <c r="A14" i="33"/>
  <c r="C13" i="33"/>
  <c r="A13" i="33"/>
  <c r="C12" i="33"/>
  <c r="A12" i="33"/>
  <c r="C11" i="33"/>
  <c r="A11" i="33"/>
  <c r="C10" i="33"/>
  <c r="A10" i="33"/>
  <c r="A1" i="33"/>
  <c r="A44" i="28" l="1"/>
  <c r="H16" i="18"/>
  <c r="B9" i="18"/>
  <c r="B10" i="18"/>
  <c r="B16" i="18"/>
  <c r="G16" i="18" s="1"/>
  <c r="J16" i="18" s="1"/>
  <c r="B47" i="28"/>
  <c r="A47" i="28"/>
  <c r="B41" i="28"/>
  <c r="A41" i="28"/>
  <c r="B38" i="28"/>
  <c r="A38" i="28"/>
  <c r="B35" i="28"/>
  <c r="A35" i="28"/>
  <c r="B32" i="28"/>
  <c r="B44" i="28" s="1"/>
  <c r="J4" i="20" l="1"/>
  <c r="K4" i="20"/>
  <c r="J5" i="20"/>
  <c r="K5" i="20"/>
  <c r="J6" i="20"/>
  <c r="K6" i="20"/>
  <c r="J7" i="20"/>
  <c r="K7" i="20"/>
  <c r="J8" i="20"/>
  <c r="K8" i="20"/>
  <c r="J9" i="20"/>
  <c r="K9" i="20"/>
  <c r="J10" i="20"/>
  <c r="K10" i="20"/>
  <c r="J11" i="20"/>
  <c r="K11" i="20"/>
  <c r="J12" i="20"/>
  <c r="K12" i="20"/>
  <c r="J13" i="20"/>
  <c r="K13" i="20"/>
  <c r="J14" i="20"/>
  <c r="K14" i="20"/>
  <c r="J15" i="20"/>
  <c r="K15" i="20"/>
  <c r="J16" i="20"/>
  <c r="K16" i="20"/>
  <c r="J17" i="20"/>
  <c r="K17" i="20"/>
  <c r="J18" i="20"/>
  <c r="K18" i="20"/>
  <c r="K3" i="20"/>
  <c r="J3" i="20"/>
  <c r="I4" i="1"/>
  <c r="L11" i="20"/>
  <c r="L18" i="20" l="1"/>
  <c r="L17" i="20"/>
  <c r="L16" i="20"/>
  <c r="L15" i="20"/>
  <c r="L14" i="20"/>
  <c r="L13" i="20"/>
  <c r="L12" i="20"/>
  <c r="L10" i="20"/>
  <c r="L9" i="20"/>
  <c r="L8" i="20"/>
  <c r="L7" i="20"/>
  <c r="L6" i="20"/>
  <c r="L5" i="20"/>
  <c r="L4" i="20"/>
  <c r="L3" i="20"/>
  <c r="S3" i="20"/>
  <c r="S4" i="20"/>
  <c r="S5" i="20"/>
  <c r="S6" i="20"/>
  <c r="S7" i="20"/>
  <c r="S8" i="20"/>
  <c r="S9" i="20"/>
  <c r="S10" i="20"/>
  <c r="S11" i="20"/>
  <c r="S12" i="20"/>
  <c r="S13" i="20"/>
  <c r="S14" i="20"/>
  <c r="S15" i="20"/>
  <c r="S16" i="20"/>
  <c r="S17" i="20"/>
  <c r="S18" i="20"/>
  <c r="T18" i="20" l="1"/>
  <c r="U18" i="20"/>
  <c r="T17" i="20"/>
  <c r="U17" i="20"/>
  <c r="T16" i="20"/>
  <c r="U16" i="20"/>
  <c r="T15" i="20"/>
  <c r="U15" i="20"/>
  <c r="T14" i="20"/>
  <c r="U14" i="20"/>
  <c r="T13" i="20"/>
  <c r="U13" i="20"/>
  <c r="T12" i="20"/>
  <c r="U12" i="20"/>
  <c r="T11" i="20"/>
  <c r="U11" i="20"/>
  <c r="T10" i="20"/>
  <c r="U10" i="20"/>
  <c r="T9" i="20"/>
  <c r="U9" i="20"/>
  <c r="T8" i="20"/>
  <c r="U8" i="20"/>
  <c r="T7" i="20"/>
  <c r="U7" i="20"/>
  <c r="T6" i="20"/>
  <c r="U6" i="20"/>
  <c r="T5" i="20"/>
  <c r="U5" i="20"/>
  <c r="T4" i="20"/>
  <c r="U4" i="20"/>
  <c r="U3" i="20"/>
  <c r="T3" i="20"/>
  <c r="V18" i="20"/>
  <c r="V16" i="20"/>
  <c r="V15" i="20"/>
  <c r="V14" i="20"/>
  <c r="V12" i="20"/>
  <c r="V9" i="20"/>
  <c r="V8" i="20"/>
  <c r="V7" i="20"/>
  <c r="V6" i="20"/>
  <c r="V5" i="20"/>
  <c r="V4" i="20"/>
  <c r="V3" i="20"/>
  <c r="V13" i="20"/>
  <c r="V11" i="20"/>
  <c r="V10" i="20"/>
  <c r="V17" i="20" l="1"/>
  <c r="E77" i="2"/>
  <c r="F77" i="2"/>
  <c r="G77" i="2"/>
  <c r="A1" i="29"/>
  <c r="A1" i="9"/>
  <c r="A1" i="25"/>
  <c r="A1" i="28"/>
  <c r="H4" i="18" l="1"/>
  <c r="H5" i="18"/>
  <c r="H6" i="18"/>
  <c r="H7" i="18"/>
  <c r="H8" i="18"/>
  <c r="G9" i="18"/>
  <c r="H9" i="18"/>
  <c r="G10" i="18"/>
  <c r="H10" i="18"/>
  <c r="J10" i="18"/>
  <c r="H11" i="18"/>
  <c r="H12" i="18"/>
  <c r="H13" i="18"/>
  <c r="H14" i="18"/>
  <c r="H15" i="18"/>
  <c r="C3" i="18"/>
  <c r="H3" i="18" s="1"/>
  <c r="A14" i="18"/>
  <c r="A15" i="18"/>
  <c r="A16" i="18"/>
  <c r="A4" i="18"/>
  <c r="A5" i="18"/>
  <c r="A6" i="18"/>
  <c r="A7" i="18"/>
  <c r="A8" i="18"/>
  <c r="A9" i="18"/>
  <c r="A10" i="18"/>
  <c r="A11" i="18"/>
  <c r="A12" i="18"/>
  <c r="A13" i="18"/>
  <c r="A3" i="18"/>
  <c r="A1" i="18"/>
  <c r="A1" i="30"/>
  <c r="A1" i="13"/>
  <c r="H17" i="13"/>
  <c r="G9" i="9"/>
  <c r="B18" i="9"/>
  <c r="C11" i="9" s="1"/>
  <c r="G11" i="9" s="1"/>
  <c r="G7" i="9"/>
  <c r="J9" i="18" l="1"/>
  <c r="AC22" i="28"/>
  <c r="AC23" i="28"/>
  <c r="AC24" i="28"/>
  <c r="G22" i="28"/>
  <c r="H22" i="28"/>
  <c r="I22" i="28"/>
  <c r="J22" i="28"/>
  <c r="K22" i="28"/>
  <c r="L22" i="28"/>
  <c r="M22" i="28"/>
  <c r="N22" i="28"/>
  <c r="O22" i="28"/>
  <c r="P22" i="28"/>
  <c r="Q22" i="28"/>
  <c r="R22" i="28"/>
  <c r="S22" i="28"/>
  <c r="T22" i="28"/>
  <c r="U22" i="28"/>
  <c r="V22" i="28"/>
  <c r="W22" i="28"/>
  <c r="X22" i="28"/>
  <c r="Y22" i="28"/>
  <c r="Z22" i="28"/>
  <c r="AA22" i="28"/>
  <c r="AB22" i="28"/>
  <c r="G23" i="28"/>
  <c r="H23" i="28"/>
  <c r="I23" i="28"/>
  <c r="J23" i="28"/>
  <c r="K23" i="28"/>
  <c r="L23" i="28"/>
  <c r="M23" i="28"/>
  <c r="N23" i="28"/>
  <c r="O23" i="28"/>
  <c r="P23" i="28"/>
  <c r="Q23" i="28"/>
  <c r="R23" i="28"/>
  <c r="S23" i="28"/>
  <c r="T23" i="28"/>
  <c r="U23" i="28"/>
  <c r="V23" i="28"/>
  <c r="W23" i="28"/>
  <c r="X23" i="28"/>
  <c r="Y23" i="28"/>
  <c r="Z23" i="28"/>
  <c r="AA23" i="28"/>
  <c r="AB23" i="28"/>
  <c r="G24" i="28"/>
  <c r="H24" i="28"/>
  <c r="I24" i="28"/>
  <c r="J24" i="28"/>
  <c r="K24" i="28"/>
  <c r="L24" i="28"/>
  <c r="M24" i="28"/>
  <c r="N24" i="28"/>
  <c r="O24" i="28"/>
  <c r="P24" i="28"/>
  <c r="Q24" i="28"/>
  <c r="R24" i="28"/>
  <c r="S24" i="28"/>
  <c r="T24" i="28"/>
  <c r="U24" i="28"/>
  <c r="V24" i="28"/>
  <c r="W24" i="28"/>
  <c r="X24" i="28"/>
  <c r="Y24" i="28"/>
  <c r="Z24" i="28"/>
  <c r="AA24" i="28"/>
  <c r="AB24" i="28"/>
  <c r="F23" i="28"/>
  <c r="F24" i="28"/>
  <c r="G25" i="28"/>
  <c r="H25" i="28"/>
  <c r="I25" i="28"/>
  <c r="J25" i="28"/>
  <c r="K25" i="28"/>
  <c r="L25" i="28"/>
  <c r="M25" i="28"/>
  <c r="N25" i="28"/>
  <c r="O25" i="28"/>
  <c r="P25" i="28"/>
  <c r="Q25" i="28"/>
  <c r="R25" i="28"/>
  <c r="S25" i="28"/>
  <c r="T25" i="28"/>
  <c r="U25" i="28"/>
  <c r="V25" i="28"/>
  <c r="W25" i="28"/>
  <c r="X25" i="28"/>
  <c r="Y25" i="28"/>
  <c r="Z25" i="28"/>
  <c r="AA25" i="28"/>
  <c r="AB25" i="28"/>
  <c r="AC25" i="28"/>
  <c r="G26" i="28"/>
  <c r="H26" i="28"/>
  <c r="I26" i="28"/>
  <c r="J26" i="28"/>
  <c r="K26" i="28"/>
  <c r="L26" i="28"/>
  <c r="M26" i="28"/>
  <c r="N26" i="28"/>
  <c r="O26" i="28"/>
  <c r="P26" i="28"/>
  <c r="Q26" i="28"/>
  <c r="R26" i="28"/>
  <c r="S26" i="28"/>
  <c r="T26" i="28"/>
  <c r="U26" i="28"/>
  <c r="V26" i="28"/>
  <c r="W26" i="28"/>
  <c r="X26" i="28"/>
  <c r="Y26" i="28"/>
  <c r="Z26" i="28"/>
  <c r="AA26" i="28"/>
  <c r="AB26" i="28"/>
  <c r="AC26" i="28"/>
  <c r="G27" i="28"/>
  <c r="H27" i="28"/>
  <c r="I27" i="28"/>
  <c r="J27" i="28"/>
  <c r="K27" i="28"/>
  <c r="L27" i="28"/>
  <c r="M27" i="28"/>
  <c r="N27" i="28"/>
  <c r="O27" i="28"/>
  <c r="P27" i="28"/>
  <c r="Q27" i="28"/>
  <c r="R27" i="28"/>
  <c r="S27" i="28"/>
  <c r="T27" i="28"/>
  <c r="U27" i="28"/>
  <c r="V27" i="28"/>
  <c r="W27" i="28"/>
  <c r="X27" i="28"/>
  <c r="Y27" i="28"/>
  <c r="Z27" i="28"/>
  <c r="AA27" i="28"/>
  <c r="AB27" i="28"/>
  <c r="AC27" i="28"/>
  <c r="F26" i="28"/>
  <c r="F27" i="28"/>
  <c r="F25" i="28"/>
  <c r="F22" i="28"/>
  <c r="A13" i="28"/>
  <c r="A16" i="28"/>
  <c r="A19" i="28"/>
  <c r="A7" i="28"/>
  <c r="A10" i="28" s="1"/>
  <c r="A25" i="28" s="1"/>
  <c r="A22" i="28" l="1"/>
  <c r="I14" i="1"/>
  <c r="I13" i="1"/>
  <c r="J13" i="1"/>
  <c r="K13" i="1"/>
  <c r="L13" i="1"/>
  <c r="M13" i="1"/>
  <c r="N13" i="1"/>
  <c r="O13" i="1"/>
  <c r="P13" i="1"/>
  <c r="Q13" i="1"/>
  <c r="R13" i="1"/>
  <c r="S13" i="1"/>
  <c r="T13" i="1"/>
  <c r="U13" i="1"/>
  <c r="V13" i="1"/>
  <c r="W13" i="1"/>
  <c r="X13" i="1"/>
  <c r="J14" i="1"/>
  <c r="K14" i="1"/>
  <c r="L14" i="1"/>
  <c r="M14" i="1"/>
  <c r="N14" i="1"/>
  <c r="O14" i="1"/>
  <c r="P14" i="1"/>
  <c r="Q14" i="1"/>
  <c r="R14" i="1"/>
  <c r="S14" i="1"/>
  <c r="T14" i="1"/>
  <c r="U14" i="1"/>
  <c r="V14" i="1"/>
  <c r="W14" i="1"/>
  <c r="X14" i="1"/>
  <c r="J18" i="1"/>
  <c r="K18" i="1"/>
  <c r="L18" i="1"/>
  <c r="M18" i="1"/>
  <c r="N18" i="1"/>
  <c r="O18" i="1"/>
  <c r="P18" i="1"/>
  <c r="Q18" i="1"/>
  <c r="R18" i="1"/>
  <c r="S18" i="1"/>
  <c r="T18" i="1"/>
  <c r="U18" i="1"/>
  <c r="V18" i="1"/>
  <c r="W18" i="1"/>
  <c r="X18" i="1"/>
  <c r="J19" i="1"/>
  <c r="K19" i="1"/>
  <c r="L19" i="1"/>
  <c r="M19" i="1"/>
  <c r="N19" i="1"/>
  <c r="O19" i="1"/>
  <c r="P19" i="1"/>
  <c r="Q19" i="1"/>
  <c r="R19" i="1"/>
  <c r="S19" i="1"/>
  <c r="T19" i="1"/>
  <c r="U19" i="1"/>
  <c r="V19" i="1"/>
  <c r="W19" i="1"/>
  <c r="X19" i="1"/>
  <c r="I19" i="1"/>
  <c r="I18" i="1"/>
  <c r="F77" i="28" l="1"/>
  <c r="G3" i="13" l="1"/>
  <c r="B19" i="9"/>
  <c r="C10" i="9" l="1"/>
  <c r="G10" i="9" s="1"/>
  <c r="G13" i="9" s="1"/>
  <c r="B3" i="9" s="1"/>
  <c r="C8" i="9"/>
  <c r="G8" i="9" s="1"/>
  <c r="G12" i="9" s="1"/>
  <c r="A3" i="9" l="1"/>
  <c r="C3" i="9" s="1"/>
  <c r="G14" i="9"/>
  <c r="K4" i="13" l="1"/>
  <c r="K5" i="13"/>
  <c r="K6" i="13"/>
  <c r="K7" i="13"/>
  <c r="K8" i="13"/>
  <c r="K11" i="13"/>
  <c r="K12" i="13"/>
  <c r="K13" i="13"/>
  <c r="K14" i="13"/>
  <c r="K15" i="13"/>
  <c r="K3" i="13"/>
  <c r="D10" i="33" s="1"/>
  <c r="F10" i="33" s="1"/>
  <c r="G10" i="33" s="1"/>
  <c r="D22" i="33" l="1"/>
  <c r="F22" i="33" s="1"/>
  <c r="G22" i="33" s="1"/>
  <c r="B15" i="18"/>
  <c r="G15" i="18" s="1"/>
  <c r="J15" i="18" s="1"/>
  <c r="D21" i="33"/>
  <c r="F21" i="33" s="1"/>
  <c r="G21" i="33" s="1"/>
  <c r="B14" i="18"/>
  <c r="G14" i="18" s="1"/>
  <c r="J14" i="18" s="1"/>
  <c r="D20" i="33"/>
  <c r="F20" i="33" s="1"/>
  <c r="G20" i="33" s="1"/>
  <c r="B13" i="18"/>
  <c r="G13" i="18" s="1"/>
  <c r="J13" i="18" s="1"/>
  <c r="D19" i="33"/>
  <c r="F19" i="33" s="1"/>
  <c r="G19" i="33" s="1"/>
  <c r="B12" i="18"/>
  <c r="G12" i="18" s="1"/>
  <c r="J12" i="18" s="1"/>
  <c r="D18" i="33"/>
  <c r="F18" i="33" s="1"/>
  <c r="G18" i="33" s="1"/>
  <c r="B11" i="18"/>
  <c r="G11" i="18" s="1"/>
  <c r="J11" i="18" s="1"/>
  <c r="D14" i="33"/>
  <c r="F14" i="33" s="1"/>
  <c r="G14" i="33" s="1"/>
  <c r="B7" i="18"/>
  <c r="G7" i="18" s="1"/>
  <c r="J7" i="18" s="1"/>
  <c r="D13" i="33"/>
  <c r="F13" i="33" s="1"/>
  <c r="G13" i="33" s="1"/>
  <c r="B6" i="18"/>
  <c r="G6" i="18" s="1"/>
  <c r="J6" i="18" s="1"/>
  <c r="O7" i="18" s="1"/>
  <c r="D12" i="33"/>
  <c r="F12" i="33" s="1"/>
  <c r="G12" i="33" s="1"/>
  <c r="B5" i="18"/>
  <c r="G5" i="18" s="1"/>
  <c r="J5" i="18" s="1"/>
  <c r="O6" i="18" s="1"/>
  <c r="D11" i="33"/>
  <c r="F11" i="33" s="1"/>
  <c r="B4" i="18"/>
  <c r="G4" i="18" s="1"/>
  <c r="J4" i="18" s="1"/>
  <c r="D15" i="33"/>
  <c r="F15" i="33" s="1"/>
  <c r="B8" i="18"/>
  <c r="G8" i="18" s="1"/>
  <c r="J8" i="18" s="1"/>
  <c r="O5" i="18" s="1"/>
  <c r="B3" i="18"/>
  <c r="G3" i="18" s="1"/>
  <c r="J3" i="18" s="1"/>
  <c r="O4" i="18" s="1"/>
  <c r="AB4" i="21"/>
  <c r="I4" i="13"/>
  <c r="I5" i="13"/>
  <c r="I6" i="13"/>
  <c r="I7" i="13"/>
  <c r="I8" i="13"/>
  <c r="I9" i="13"/>
  <c r="I10" i="13"/>
  <c r="I11" i="13"/>
  <c r="I12" i="13"/>
  <c r="I13" i="13"/>
  <c r="I14" i="13"/>
  <c r="I15" i="13"/>
  <c r="G12" i="13"/>
  <c r="AB5" i="21"/>
  <c r="AB6" i="21"/>
  <c r="AB7" i="21"/>
  <c r="AB8" i="21"/>
  <c r="H5" i="21"/>
  <c r="H6" i="21"/>
  <c r="H7" i="21"/>
  <c r="H8" i="21"/>
  <c r="H9" i="21"/>
  <c r="H10" i="21"/>
  <c r="H11" i="21"/>
  <c r="H12" i="21"/>
  <c r="H13" i="21"/>
  <c r="H14" i="21"/>
  <c r="H15" i="21"/>
  <c r="H16" i="21"/>
  <c r="H17" i="21"/>
  <c r="H18" i="21"/>
  <c r="H19" i="21"/>
  <c r="H4" i="21"/>
  <c r="G11" i="33" l="1"/>
  <c r="F25" i="33"/>
  <c r="F24" i="33"/>
  <c r="G15" i="33"/>
  <c r="G13" i="13"/>
  <c r="G11" i="13"/>
  <c r="R27" i="13" s="1"/>
  <c r="G14" i="13"/>
  <c r="G10" i="13"/>
  <c r="R26" i="13" s="1"/>
  <c r="G15" i="13"/>
  <c r="G5" i="13"/>
  <c r="G7" i="13"/>
  <c r="R23" i="13" s="1"/>
  <c r="G4" i="13"/>
  <c r="R21" i="13" s="1"/>
  <c r="G6" i="13"/>
  <c r="R22" i="13" s="1"/>
  <c r="G8" i="13"/>
  <c r="R24" i="13" s="1"/>
  <c r="G9" i="13"/>
  <c r="R25" i="13" s="1"/>
  <c r="G36" i="33" l="1"/>
  <c r="G37" i="33"/>
  <c r="G38" i="33"/>
  <c r="G39" i="33"/>
  <c r="G40" i="33"/>
  <c r="G41" i="33"/>
  <c r="G42" i="33"/>
  <c r="G43" i="33"/>
  <c r="G44" i="33"/>
  <c r="G45" i="33"/>
  <c r="G46" i="33"/>
  <c r="G47" i="33"/>
  <c r="G48" i="33"/>
  <c r="G49" i="33"/>
  <c r="G50" i="33"/>
  <c r="D36" i="33"/>
  <c r="D37" i="33"/>
  <c r="D38" i="33"/>
  <c r="D39" i="33"/>
  <c r="D40" i="33"/>
  <c r="D41" i="33"/>
  <c r="D42" i="33"/>
  <c r="D43" i="33"/>
  <c r="D44" i="33"/>
  <c r="D45" i="33"/>
  <c r="D46" i="33"/>
  <c r="D47" i="33"/>
  <c r="D48" i="33"/>
  <c r="D49" i="33"/>
  <c r="D50" i="33"/>
  <c r="G35" i="33"/>
  <c r="D35" i="33"/>
  <c r="E35" i="33"/>
  <c r="F35" i="33" s="1"/>
  <c r="H35" i="33" s="1"/>
  <c r="J35" i="33" s="1"/>
  <c r="E42" i="33"/>
  <c r="F42" i="33" s="1"/>
  <c r="H42" i="33" s="1"/>
  <c r="J42" i="33" s="1"/>
  <c r="E41" i="33"/>
  <c r="F41" i="33" s="1"/>
  <c r="H41" i="33" s="1"/>
  <c r="J41" i="33" s="1"/>
  <c r="E46" i="33"/>
  <c r="F46" i="33" s="1"/>
  <c r="H46" i="33" s="1"/>
  <c r="J46" i="33" s="1"/>
  <c r="E45" i="33"/>
  <c r="F45" i="33" s="1"/>
  <c r="H45" i="33" s="1"/>
  <c r="J45" i="33" s="1"/>
  <c r="E50" i="33"/>
  <c r="F50" i="33" s="1"/>
  <c r="H50" i="33" s="1"/>
  <c r="J50" i="33" s="1"/>
  <c r="E47" i="33"/>
  <c r="F47" i="33" s="1"/>
  <c r="H47" i="33" s="1"/>
  <c r="J47" i="33" s="1"/>
  <c r="E48" i="33"/>
  <c r="F48" i="33" s="1"/>
  <c r="H48" i="33" s="1"/>
  <c r="J48" i="33" s="1"/>
  <c r="E37" i="33"/>
  <c r="F37" i="33" s="1"/>
  <c r="H37" i="33" s="1"/>
  <c r="J37" i="33" s="1"/>
  <c r="E43" i="33"/>
  <c r="F43" i="33" s="1"/>
  <c r="H43" i="33" s="1"/>
  <c r="J43" i="33" s="1"/>
  <c r="E38" i="33"/>
  <c r="F38" i="33" s="1"/>
  <c r="H38" i="33" s="1"/>
  <c r="J38" i="33" s="1"/>
  <c r="E40" i="33"/>
  <c r="F40" i="33" s="1"/>
  <c r="H40" i="33" s="1"/>
  <c r="J40" i="33" s="1"/>
  <c r="E44" i="33"/>
  <c r="F44" i="33" s="1"/>
  <c r="H44" i="33" s="1"/>
  <c r="J44" i="33" s="1"/>
  <c r="E39" i="33"/>
  <c r="F39" i="33" s="1"/>
  <c r="H39" i="33" s="1"/>
  <c r="J39" i="33" s="1"/>
  <c r="E36" i="33"/>
  <c r="F36" i="33" s="1"/>
  <c r="H36" i="33" s="1"/>
  <c r="J36" i="33" s="1"/>
  <c r="E49" i="33"/>
  <c r="F49" i="33" s="1"/>
  <c r="H49" i="33" s="1"/>
  <c r="J49" i="33" s="1"/>
  <c r="R28" i="13"/>
  <c r="R29" i="13" s="1"/>
  <c r="G17" i="13"/>
  <c r="I3" i="13"/>
  <c r="I17" i="13" s="1"/>
  <c r="X4" i="1" l="1"/>
  <c r="W4" i="1"/>
  <c r="V4" i="1"/>
  <c r="U4" i="1"/>
  <c r="T4" i="1"/>
  <c r="S4" i="1"/>
  <c r="R4" i="1"/>
  <c r="Q4" i="1"/>
  <c r="P4" i="1"/>
  <c r="O4" i="1"/>
  <c r="N4" i="1"/>
  <c r="M4" i="1"/>
  <c r="K4" i="1"/>
  <c r="L4" i="1"/>
  <c r="J4" i="1"/>
</calcChain>
</file>

<file path=xl/sharedStrings.xml><?xml version="1.0" encoding="utf-8"?>
<sst xmlns="http://schemas.openxmlformats.org/spreadsheetml/2006/main" count="1258" uniqueCount="641">
  <si>
    <t>Data Sources</t>
  </si>
  <si>
    <t>Dataset</t>
  </si>
  <si>
    <t>Dodge 2023</t>
  </si>
  <si>
    <r>
      <rPr>
        <sz val="10"/>
        <color rgb="FF000000"/>
        <rFont val="Arial"/>
        <family val="2"/>
      </rPr>
      <t xml:space="preserve">Commercial End-Use Survey </t>
    </r>
    <r>
      <rPr>
        <sz val="10"/>
        <color theme="1"/>
        <rFont val="Arial"/>
        <family val="2"/>
      </rPr>
      <t>(CEUS) 2022</t>
    </r>
  </si>
  <si>
    <t>https://www.energy.ca.gov/publications/2023/2022-california-commercial-end-use-survey-ceus-final-report</t>
  </si>
  <si>
    <t xml:space="preserve"> </t>
  </si>
  <si>
    <r>
      <rPr>
        <sz val="10"/>
        <color rgb="FF000000"/>
        <rFont val="Arial"/>
        <family val="2"/>
      </rPr>
      <t>Commercial Buildings Energy Consumption Survey</t>
    </r>
    <r>
      <rPr>
        <sz val="10"/>
        <color theme="1"/>
        <rFont val="Arial"/>
        <family val="2"/>
      </rPr>
      <t xml:space="preserve"> (CBECS) 2018</t>
    </r>
  </si>
  <si>
    <t>https://www.eia.gov/consumption/commercial/data/2018/</t>
  </si>
  <si>
    <t>ComStock 2023</t>
  </si>
  <si>
    <t>https://comstock.nlr.gov/page/datasets</t>
  </si>
  <si>
    <t>Prototypes</t>
  </si>
  <si>
    <r>
      <rPr>
        <sz val="10"/>
        <color rgb="FF000000"/>
        <rFont val="Arial"/>
        <family val="2"/>
      </rPr>
      <t>California Energy Commission</t>
    </r>
    <r>
      <rPr>
        <sz val="10"/>
        <color rgb="FF000000"/>
        <rFont val="Arial"/>
        <family val="2"/>
      </rPr>
      <t xml:space="preserve"> (CEC) Small Office prototype (CBECC 2022.3.1)</t>
    </r>
  </si>
  <si>
    <t>https://bees.noresco.com/software2022.html</t>
  </si>
  <si>
    <r>
      <rPr>
        <sz val="10"/>
        <color rgb="FF000000"/>
        <rFont val="Arial"/>
        <family val="2"/>
      </rPr>
      <t>Pacific Northwest National Laboratory</t>
    </r>
    <r>
      <rPr>
        <sz val="10"/>
        <color theme="1"/>
        <rFont val="Arial"/>
        <family val="2"/>
      </rPr>
      <t xml:space="preserve"> (PNNL) Small Office prototype (90.1-2022)</t>
    </r>
  </si>
  <si>
    <t>https://www.energycodes.gov/prototype-building-models#Commercial</t>
  </si>
  <si>
    <r>
      <rPr>
        <sz val="10"/>
        <color rgb="FF000000"/>
        <rFont val="Arial"/>
        <family val="2"/>
      </rPr>
      <t>Database for Energy Efficient Resources</t>
    </r>
    <r>
      <rPr>
        <sz val="10"/>
        <color theme="1"/>
        <rFont val="Arial"/>
        <family val="2"/>
      </rPr>
      <t xml:space="preserve"> (DEER) Small Office prototype (June 2023)</t>
    </r>
  </si>
  <si>
    <t>https://github.com/sound-data/DEER-Prototypes-EnergyPlus</t>
  </si>
  <si>
    <r>
      <rPr>
        <sz val="10"/>
        <color rgb="FF000000"/>
        <rFont val="Arial"/>
        <family val="2"/>
      </rPr>
      <t xml:space="preserve">Oak Ridge National Laboratory </t>
    </r>
    <r>
      <rPr>
        <sz val="10"/>
        <color theme="1"/>
        <rFont val="Arial"/>
        <family val="2"/>
      </rPr>
      <t>(ORNL) 2019 Small Office prototype zoning</t>
    </r>
  </si>
  <si>
    <t>https://web.eecs.utk.edu/~jnew1/publications/2019_IBPSA_OpenStudioOffice.pdf</t>
  </si>
  <si>
    <t>Codes</t>
  </si>
  <si>
    <t>Titile 24, part 6, referred to as T24 (1984, 1992,1998, 2001, 2005, 2008, 2013, 2016,2019, 2022, 2025)</t>
  </si>
  <si>
    <t>https://www.energy.ca.gov/publications/2025/2025-building-energy-efficiency-standards-residential-and-nonresidential</t>
  </si>
  <si>
    <t>https://codes.iccsafe.org/codes/united-states/california</t>
  </si>
  <si>
    <t>2010+</t>
  </si>
  <si>
    <t>Title 20</t>
  </si>
  <si>
    <t>https://govt.westlaw.com/calregs/Document/I270DCA634B4011EFA8F7F119BAF97AD6?viewType=FullText&amp;originationContext=documenttoc&amp;transitionType=CategoryPageItem&amp;contextData=(sc.Default)</t>
  </si>
  <si>
    <r>
      <rPr>
        <sz val="10"/>
        <color rgb="FF000000"/>
        <rFont val="Arial"/>
        <family val="2"/>
      </rPr>
      <t>American Society of Heating, Refrigerating and Air-Conditioning Engineers</t>
    </r>
    <r>
      <rPr>
        <sz val="10"/>
        <color theme="1"/>
        <rFont val="Arial"/>
        <family val="2"/>
      </rPr>
      <t xml:space="preserve"> (ASHRAE) 90.1 (2022)</t>
    </r>
  </si>
  <si>
    <t>https://www.ashrae.org/technical-resources/standards-and-guidelines/read-only-versions-of-ashrae-standards</t>
  </si>
  <si>
    <r>
      <rPr>
        <sz val="10"/>
        <color rgb="FF000000"/>
        <rFont val="Arial"/>
        <family val="2"/>
      </rPr>
      <t xml:space="preserve">Code of Federal Regulations </t>
    </r>
    <r>
      <rPr>
        <sz val="10"/>
        <color theme="1"/>
        <rFont val="Arial"/>
        <family val="2"/>
      </rPr>
      <t>(CFR) Title 10 (2010)</t>
    </r>
  </si>
  <si>
    <t xml:space="preserve">https://www.govinfo.gov/content/pkg/FR-2009-03-23/pdf/FR-2009-03-23.pdf </t>
  </si>
  <si>
    <t>CFR Title 10 (2013)</t>
  </si>
  <si>
    <t>https://www.govinfo.gov/content/pkg/CFR-2013-title10-vol3/pdf/CFR-2013-title10-vol3-part431.pdf</t>
  </si>
  <si>
    <t>CFR Title 10 (2024)</t>
  </si>
  <si>
    <t>https://www.govinfo.gov/content/pkg/CFR-2024-title10-vol3/pdf/CFR-2024-title10-vol3-part431-subpartF.pdf</t>
  </si>
  <si>
    <t>Others</t>
  </si>
  <si>
    <t>Massachusetts uses commercial prototype for its stretch code energy analysis and the above ones are the supporting documents for small office prototype</t>
  </si>
  <si>
    <t>https://www.mass.gov/lists/stretch-energy-code-development-support-documentation</t>
  </si>
  <si>
    <t>https://www.mass.gov/doc/small-office-prototype-basis-of-design-report/download</t>
  </si>
  <si>
    <r>
      <rPr>
        <sz val="10"/>
        <color rgb="FF000000"/>
        <rFont val="Arial"/>
        <family val="2"/>
      </rPr>
      <t>Alternative Calculation Method</t>
    </r>
    <r>
      <rPr>
        <sz val="10"/>
        <color theme="1"/>
        <rFont val="Arial"/>
        <family val="2"/>
      </rPr>
      <t xml:space="preserve"> (ACM) (2022)</t>
    </r>
  </si>
  <si>
    <t>https://www.energy.ca.gov/publications/2022/2022-nonresidential-and-multifamily-alternative-calculation-method-reference</t>
  </si>
  <si>
    <t>ACM (2025)</t>
  </si>
  <si>
    <t>https://www.energy.ca.gov/publications/2025/2025-nonresidential-and-multifamily-alternative-calculation-method-reference</t>
  </si>
  <si>
    <t>Title 24, 2025,  Appendix B: Water Heating Calculation Method</t>
  </si>
  <si>
    <t>https://www.energy.ca.gov/sites/default/files/2025-11/CEC-400-2025-006-AP-B.pdf</t>
  </si>
  <si>
    <r>
      <rPr>
        <sz val="10"/>
        <color rgb="FF000000"/>
        <rFont val="Arial"/>
        <family val="2"/>
      </rPr>
      <t>Nonres ACM 2022,</t>
    </r>
    <r>
      <rPr>
        <sz val="10"/>
        <color theme="1"/>
        <rFont val="Arial"/>
        <family val="2"/>
      </rPr>
      <t xml:space="preserve"> Appendix 5.4A and Appendix 5.4B</t>
    </r>
  </si>
  <si>
    <r>
      <rPr>
        <sz val="10"/>
        <color rgb="FF000000"/>
        <rFont val="Arial"/>
        <family val="2"/>
      </rPr>
      <t xml:space="preserve">2022 Reduced infiltration </t>
    </r>
    <r>
      <rPr>
        <sz val="10"/>
        <color rgb="FF000000"/>
        <rFont val="Arial"/>
        <family val="2"/>
      </rPr>
      <t>Codes and Standards Enhancement</t>
    </r>
    <r>
      <rPr>
        <sz val="10"/>
        <color rgb="FF000000"/>
        <rFont val="Arial"/>
        <family val="2"/>
      </rPr>
      <t xml:space="preserve"> (CASE) report </t>
    </r>
  </si>
  <si>
    <t>https://title24stakeholders.com/wp-content/uploads/2020/10/2022-T24-Final-CASE-Report_Reduce-Infiltration.pdf</t>
  </si>
  <si>
    <t>2019 Outdoor Lighting CASE Report</t>
  </si>
  <si>
    <t>https://title24stakeholders.com/wp-content/uploads/2016/10/T24-2019-CASE-Study-Results-Report-Outdoor-Sources_Final_with-Attachments.pdf</t>
  </si>
  <si>
    <t>PNNL 20405, 2011</t>
  </si>
  <si>
    <t>https://www.pnnl.gov/main/publications/external/technical_reports/PNNL-20405.pdf</t>
  </si>
  <si>
    <t>Air leakage Memo, NORESCO, 2025</t>
  </si>
  <si>
    <t>Infiltration_rate_report_14May2025-Short-Version.docx</t>
  </si>
  <si>
    <t>Yousefi, F., Athalye, R., (2025), "Determining Vintage Bins for Prototype Development: An Analysis of California Commercial Buildings," ASHRAE Annual Conference</t>
  </si>
  <si>
    <t>https://www.thefreelibrary.com/Determining+Vintage+Bins+for+Prototype+Development%3a+An+Analysis+of...-a0879271125</t>
  </si>
  <si>
    <t>Proposed Updates to Equipment Power Densities and Building Schedules for the 2028 Energy Code, referred to as "Plug load and schedules project with CEC, 2025" (Docket Number =25-BSTD-03  &amp; TN=265693)</t>
  </si>
  <si>
    <t>https://efiling.energy.ca.gov/GetDocument.aspx?tn=265693&amp;DocumentContentId=102545</t>
  </si>
  <si>
    <t>Yousefi, F., Athalye, R. (2026). "Developing a New Set of Prototypical Models for Office Buildings in California," IBPSA-USA Conference</t>
  </si>
  <si>
    <t>https://publications.ibpsa.org/conference/paper/?id=simbuild2026_1372</t>
  </si>
  <si>
    <t xml:space="preserve">ENERGY STAR certified commercial water heaters </t>
  </si>
  <si>
    <t>https://www.energystar.gov/productfinder/product/certified-commercial-water-heaters/results?fuel_filter=Gas&amp;markets_filter=United+States</t>
  </si>
  <si>
    <t>Grainger gas tank water heaters (sizes below commercial, e.g. 30–75 kBtu/h)</t>
  </si>
  <si>
    <t>https://www.grainger.com/category/plumbing/water-heaters/gas-tank-water-heaters</t>
  </si>
  <si>
    <t xml:space="preserve">Grainger electric tank water heaters </t>
  </si>
  <si>
    <t>https://www.grainger.com/category/plumbing/water-heaters/electric-tank-water-heaters</t>
  </si>
  <si>
    <t>Construction Rate</t>
  </si>
  <si>
    <t>1978-84</t>
  </si>
  <si>
    <t>1985-97</t>
  </si>
  <si>
    <t>1992-1997</t>
  </si>
  <si>
    <t>Construction rate (Dodge 2023 data for new small offices)</t>
  </si>
  <si>
    <t xml:space="preserve">Source:Dodge Construction Data, 2023 ( NEW medium office built after 1967) (STC refers to building types in Dodge terminology). </t>
  </si>
  <si>
    <t>Notes</t>
  </si>
  <si>
    <t xml:space="preserve">OfficeSmall Prototype </t>
  </si>
  <si>
    <r>
      <t>The Small Office prototype was developed to represent California office buildings bellow 25,000 ft². Based on California construction data, the existing CEC/PNNL Small Office geometry was retained because it aligned well with observed building stock characteristics. The prototype is modeled as a one-story building with a total floor area of 5,502 ft². Its zoning layout was updated using ORNL-based layouts, with modifications to better reflect current design practice and simplify the model. These changes included consolidating spaces, reducing the total number of thermal zones, and incorporating elevator space into the vertical circulation area. The resulting Small Office prototype includes approximately 49.6% office space, 8.3% conference space, 13.5% storage, 12.1% corridor, 8.3% lobby, 4.1% restroom, 2% breakroom, and 2.1% mechanical room. The same geometry and zoning layout are applied across vintages and California climate zones.
Information about the geometry and underlying logic of the office prototypes can be found in this paper: "Yousefi, F., Athalye, R. (2026). ‘</t>
    </r>
    <r>
      <rPr>
        <b/>
        <sz val="10"/>
        <color rgb="FF000000"/>
        <rFont val="Arial"/>
        <family val="2"/>
      </rPr>
      <t>Developing a New Set of Prototypical Models for Office Buildings in California</t>
    </r>
    <r>
      <rPr>
        <sz val="10"/>
        <color rgb="FF000000"/>
        <rFont val="Arial"/>
        <family val="2"/>
      </rPr>
      <t>." IBPSA-USA Conference.
The link is provided above in the Data Source section. The floor area was slightly modified in some spaces during the geometry‑drawing phase.</t>
    </r>
  </si>
  <si>
    <t>1986 is  the representative year for the 1984-1997 vintage bin</t>
  </si>
  <si>
    <t>Most offices in this vintage bin were built after 1984 (more than 53% ) and the CA energy code did not  noticeably changed between 1984 to 1992) . Edition 1986 included 6 prescriptive package per CZ for office buildings compared to 1984 with 3 package per CZ.
Also "Heat Capacity" for external wall is considered between 10.0 to 14.99 (BTU/F/ft²) 
Package A  was selected for the thermal properties</t>
  </si>
  <si>
    <t>2001 is  the representative year for the 1998-2007 vintage bin</t>
  </si>
  <si>
    <t xml:space="preserve">Wall and roof prescriptive criteria from 1998 to 2005  remain unchanged except for CZ2 and 6 in 2001 code  (the percentage of change is less than 10%). 
Since the construction rate between 1998-2005 is greater than the 2006-2007 period,  the envelope properties of 1998 -2005 were chosen for envelope properties. Since the windows requirement considerably changed in the 2001 code,  the nominated year for this vintage is 2001. 
It should be noticed that, only one Title 24 should be chosen within each vintage bin for building envelope properties since the entire envelope is built at once. We can't choose 1998 for walls and 2001 for windows. Wall and roof prescriptive criteria from 1998 to 2005  remain unchanged except for CZ2 and 6 in 2001 version (the percentage of change is less than 10%). </t>
  </si>
  <si>
    <t>2013 is  the representative year for the 2008-2018 vintage bin</t>
  </si>
  <si>
    <t>Wall properties remain unchanged from the 2008 code to the 2016 code but the roof did changed. Although the 2016 code introduced improvement for roof in nearly all CZ and for wall in a few CZ, and  construction activity surged between 2017 and 2018, the extended period from 2008 to 2016 resulted in a higher construction rate during that time . As a result, it was decided to select the code that was effective during 2008-2016. 
The 2013 code modified the solar reflectance requirement for low-sloped roof products ( by approximately 15%), and enhanced window properties. Therefore, the 2013 code was chosen as the representative code.  Additionally, construction activity from 2014-2018  was higher compared to 2008-2013 period.</t>
  </si>
  <si>
    <t>NORESCO, Updated September 2026</t>
  </si>
  <si>
    <t>OfficeSmall</t>
  </si>
  <si>
    <t>Characteristic</t>
  </si>
  <si>
    <t>Value</t>
  </si>
  <si>
    <t>Building Type</t>
  </si>
  <si>
    <t xml:space="preserve">Small Office </t>
  </si>
  <si>
    <t>Building Category</t>
  </si>
  <si>
    <t>Nonresidential</t>
  </si>
  <si>
    <t>Version</t>
  </si>
  <si>
    <t>v2-0</t>
  </si>
  <si>
    <t>Vintages</t>
  </si>
  <si>
    <t>4 Vintages: Pre-1978 , 1978-1997 ,1998-2007 , 2008-2018
New Construction (2019+)</t>
  </si>
  <si>
    <r>
      <rPr>
        <sz val="10"/>
        <color rgb="FF000000"/>
        <rFont val="Arial"/>
        <family val="2"/>
      </rPr>
      <t xml:space="preserve">Based on the vintage‑bin analysis.
</t>
    </r>
    <r>
      <rPr>
        <sz val="10"/>
        <color rgb="FF000000"/>
        <rFont val="Arial"/>
        <family val="2"/>
      </rPr>
      <t>A summary of the findings is presented in the following paper, with a link provided in the Notes tab::
Yousefi, F., Athalye, R. (2025). “Determining Vintage Bins for Prototype Development: An Analysis of California Commercial Buildings.” ASHRAE Annual Conference.</t>
    </r>
  </si>
  <si>
    <t>Shape</t>
  </si>
  <si>
    <r>
      <t xml:space="preserve">Assume rectangular shape; supported by CBECS, CEC, and PNNL.
</t>
    </r>
    <r>
      <rPr>
        <sz val="10"/>
        <color rgb="FF000000"/>
        <rFont val="Arial"/>
        <family val="2"/>
      </rPr>
      <t>The logic behind the geometry of the CalBEM Office prototypes' shell is described in the following paper, with a link provided in the Notes tab:
Yousefi, F., &amp; Athalye, R. (2026). "Developing a New Set of Prototypical Models for Office Buildings in California", IBPSA-USA Conference.</t>
    </r>
  </si>
  <si>
    <t>Total Floor Area (ft²)</t>
  </si>
  <si>
    <r>
      <t>5502 (90.8 ft x 60.</t>
    </r>
    <r>
      <rPr>
        <sz val="10"/>
        <color rgb="FF000000"/>
        <rFont val="Arial"/>
        <family val="2"/>
      </rPr>
      <t>6</t>
    </r>
    <r>
      <rPr>
        <sz val="10"/>
        <rFont val="Arial"/>
        <family val="2"/>
      </rPr>
      <t>ft)</t>
    </r>
  </si>
  <si>
    <t>Supported by Dodge 2023 data (Same as CEC and PNNL)</t>
  </si>
  <si>
    <t>Aspect Ratio</t>
  </si>
  <si>
    <t>Assumption; same as CEC and PNNL Small Office prototype</t>
  </si>
  <si>
    <t>Number of Floors</t>
  </si>
  <si>
    <t>Supported by Dodge 2023 data -(Same as CEC and PNNL)
DEER considered two floors</t>
  </si>
  <si>
    <t>Roof type</t>
  </si>
  <si>
    <t>Tilted (Steep-Sloped)</t>
  </si>
  <si>
    <t>Supported by CBECS 2018 data  (Same as CEC and PNNL)</t>
  </si>
  <si>
    <t>WWR</t>
  </si>
  <si>
    <t xml:space="preserve">24.4% for South and 19.8% for the other three orientations
</t>
  </si>
  <si>
    <r>
      <rPr>
        <sz val="10"/>
        <color rgb="FF000000"/>
        <rFont val="Arial"/>
        <family val="2"/>
      </rPr>
      <t>Assumed based on CBECS data as well as CEC and PNNL Small Office prototype.</t>
    </r>
    <r>
      <rPr>
        <sz val="10"/>
        <color theme="1"/>
        <rFont val="Arial"/>
        <family val="2"/>
      </rPr>
      <t xml:space="preserve">
CEC: overall 21.2% same as PNNL 
DEER: 33% in all directions
CBECS: </t>
    </r>
    <r>
      <rPr>
        <sz val="10"/>
        <color rgb="FF000000"/>
        <rFont val="Arial"/>
        <family val="2"/>
      </rPr>
      <t>11-25% (38% of samples have WWR of 11-25%; 33% have WWR 2-10%)</t>
    </r>
  </si>
  <si>
    <t>Shading Geometry</t>
  </si>
  <si>
    <t xml:space="preserve">No Shades </t>
  </si>
  <si>
    <t>Floor to floor height (feet)</t>
  </si>
  <si>
    <t>Assumption, standard ceiling height in office buildings; same as CEC and PNNL Small Office prototype.</t>
  </si>
  <si>
    <t>Floor to ceiling height (feet)</t>
  </si>
  <si>
    <t>Glazing sill height (feet)</t>
  </si>
  <si>
    <t>3 
(top of the window is 8 ft high with 5 ft high glass)</t>
  </si>
  <si>
    <t>Background Data [To be deleted prior to publication]</t>
  </si>
  <si>
    <t>Equipment (Plug Load )- Prototypes comparison</t>
  </si>
  <si>
    <t>Unit</t>
  </si>
  <si>
    <t>CEC OffSml</t>
  </si>
  <si>
    <t xml:space="preserve">DEER  OFS </t>
  </si>
  <si>
    <t xml:space="preserve">PNNL </t>
  </si>
  <si>
    <t>ComStock</t>
  </si>
  <si>
    <t>Note</t>
  </si>
  <si>
    <t>W/ft2</t>
  </si>
  <si>
    <t xml:space="preserve"> PNNL considers higher load for electric equipment</t>
  </si>
  <si>
    <t xml:space="preserve">Yearly Load multiplier </t>
  </si>
  <si>
    <t>Building</t>
  </si>
  <si>
    <t>Space/Thermal Zone</t>
  </si>
  <si>
    <r>
      <rPr>
        <b/>
        <sz val="10"/>
        <color rgb="FF000000"/>
        <rFont val="Arial"/>
        <family val="2"/>
      </rPr>
      <t xml:space="preserve">Space Type 
</t>
    </r>
    <r>
      <rPr>
        <b/>
        <sz val="10"/>
        <color rgb="FF000000"/>
        <rFont val="Arial"/>
        <family val="2"/>
      </rPr>
      <t>[Primarily from: T24, 2022 Appendix 5.4A] - See Notes column</t>
    </r>
  </si>
  <si>
    <t>HVAC System Name</t>
  </si>
  <si>
    <t>Schedule Category</t>
  </si>
  <si>
    <t>Conditioned (Y/N)</t>
  </si>
  <si>
    <t>Area Fraction</t>
  </si>
  <si>
    <t>Area (ft²)</t>
  </si>
  <si>
    <t>Volume (ft³)</t>
  </si>
  <si>
    <t>Multipliers</t>
  </si>
  <si>
    <t>Number of People</t>
  </si>
  <si>
    <t xml:space="preserve">People 
(Persons/1,000 ft²)
[T24, 2025,Table 120.1-A] </t>
  </si>
  <si>
    <t>Thermal Zone Layout - Each space has its own thermal zone</t>
  </si>
  <si>
    <t>Office Small</t>
  </si>
  <si>
    <t>Open_Office_N</t>
  </si>
  <si>
    <t>Office Area (&gt;250 square feet)</t>
  </si>
  <si>
    <t>AHU_N</t>
  </si>
  <si>
    <t>Office</t>
  </si>
  <si>
    <t>Yes</t>
  </si>
  <si>
    <r>
      <rPr>
        <sz val="10"/>
        <color rgb="FF000000"/>
        <rFont val="Arial"/>
        <family val="2"/>
      </rPr>
      <t>Enclosed</t>
    </r>
    <r>
      <rPr>
        <sz val="10"/>
        <color rgb="FF000000"/>
        <rFont val="Arial"/>
        <family val="2"/>
      </rPr>
      <t>_Office_W</t>
    </r>
  </si>
  <si>
    <t>AHU_W</t>
  </si>
  <si>
    <r>
      <rPr>
        <sz val="10"/>
        <color rgb="FF000000"/>
        <rFont val="Arial"/>
        <family val="2"/>
      </rPr>
      <t>Enclosed</t>
    </r>
    <r>
      <rPr>
        <sz val="10"/>
        <color rgb="FF000000"/>
        <rFont val="Arial"/>
        <family val="2"/>
      </rPr>
      <t>_Office_E</t>
    </r>
  </si>
  <si>
    <t>AHU_E</t>
  </si>
  <si>
    <t>Conference</t>
  </si>
  <si>
    <t>Convention, Conference, Multipurpose and Meeting Area</t>
  </si>
  <si>
    <t>AHU_S</t>
  </si>
  <si>
    <t>Lobby_Lounge</t>
  </si>
  <si>
    <t>Lobby, Main Entry</t>
  </si>
  <si>
    <t>For entrance lobbies, assumed 10 persons/1000 ft² based on ASHRAE 62.1 Table 6-1
T24 assumed 33 persons/1,000 ft² for main Entry lobbies &amp; 5 persons/1000 ft² for reception area</t>
  </si>
  <si>
    <t>Storage</t>
  </si>
  <si>
    <t>Storage (General)</t>
  </si>
  <si>
    <t>Ancillary</t>
  </si>
  <si>
    <t>Occupant  load density for storage is based on T24, 2025, Appendix 5.4A.
Conditioned but with higher cooling setpoint</t>
  </si>
  <si>
    <t>Mechanical_Electrical</t>
  </si>
  <si>
    <t>Electrical, Mechanical, Telephone Rooms</t>
  </si>
  <si>
    <t>-</t>
  </si>
  <si>
    <t>Conditioned but with higher cooling setpoint</t>
  </si>
  <si>
    <t>Restroom</t>
  </si>
  <si>
    <t>Restrooms</t>
  </si>
  <si>
    <t>Break_CopyRoom</t>
  </si>
  <si>
    <t>Lounge, Breakroom, or Waiting Area</t>
  </si>
  <si>
    <t>Corridor_W</t>
  </si>
  <si>
    <t>Corridor Area</t>
  </si>
  <si>
    <t>Corridor_N</t>
  </si>
  <si>
    <t>Corridor_E</t>
  </si>
  <si>
    <t>Corridor_S</t>
  </si>
  <si>
    <t>Attic</t>
  </si>
  <si>
    <t>n/a</t>
  </si>
  <si>
    <t>No</t>
  </si>
  <si>
    <t xml:space="preserve"> Total ( 1 Building)</t>
  </si>
  <si>
    <t>Total (14 Space)</t>
  </si>
  <si>
    <t>Total (9 Space)</t>
  </si>
  <si>
    <t>Total (4 HVAC system)</t>
  </si>
  <si>
    <t xml:space="preserve"> Total (4 Conditioned zones, 1 Unconditioned Zones)</t>
  </si>
  <si>
    <r>
      <rPr>
        <b/>
        <sz val="10"/>
        <color rgb="FF000000"/>
        <rFont val="Arial"/>
        <family val="2"/>
      </rPr>
      <t>Ref:</t>
    </r>
    <r>
      <rPr>
        <sz val="10"/>
        <color rgb="FF000000"/>
        <rFont val="Arial"/>
        <family val="2"/>
      </rPr>
      <t xml:space="preserve"> Geometry and zones: ORNL 2019 small office prototype with modification</t>
    </r>
  </si>
  <si>
    <t>Area Distribution By Space Type</t>
  </si>
  <si>
    <t>Space Type</t>
  </si>
  <si>
    <t>%  Area</t>
  </si>
  <si>
    <t>https://web.eecs.utk.edu/~jnew1/presentations/2019_IBPSA_OpenStudioOffice.pdf</t>
  </si>
  <si>
    <t>Total</t>
  </si>
  <si>
    <t>Envelope</t>
  </si>
  <si>
    <t>Element</t>
  </si>
  <si>
    <t>Prototype</t>
  </si>
  <si>
    <t xml:space="preserve"> Assembly Type</t>
  </si>
  <si>
    <t>Construction</t>
  </si>
  <si>
    <t>Thermal Properties</t>
  </si>
  <si>
    <t>Vintage</t>
  </si>
  <si>
    <t>Selected T24</t>
  </si>
  <si>
    <t>CZ1</t>
  </si>
  <si>
    <t>CZ2</t>
  </si>
  <si>
    <t>CZ3</t>
  </si>
  <si>
    <t>CZ4</t>
  </si>
  <si>
    <t>CZ5</t>
  </si>
  <si>
    <t>CZ6</t>
  </si>
  <si>
    <t>CZ7</t>
  </si>
  <si>
    <t>CZ8</t>
  </si>
  <si>
    <t>CZ9</t>
  </si>
  <si>
    <t>CZ10</t>
  </si>
  <si>
    <t>CZ11</t>
  </si>
  <si>
    <t>CZ12</t>
  </si>
  <si>
    <t>CZ13</t>
  </si>
  <si>
    <t>CZ14</t>
  </si>
  <si>
    <t>CZ15</t>
  </si>
  <si>
    <t>CZ16</t>
  </si>
  <si>
    <t xml:space="preserve">External Wall </t>
  </si>
  <si>
    <t xml:space="preserve">OfficeSmall </t>
  </si>
  <si>
    <t>ExtWall_WoodFramed_NonRes</t>
  </si>
  <si>
    <t>Wood framed wall Wood-frame walls* + insulation + Gypsum board</t>
  </si>
  <si>
    <t>U-factor IP</t>
  </si>
  <si>
    <t>Pre 1978</t>
  </si>
  <si>
    <t>N/A</t>
  </si>
  <si>
    <t>ASHRAE 90.1, 2022, Table A3.4.3.1, 3.5", R-0</t>
  </si>
  <si>
    <t>1978-1997</t>
  </si>
  <si>
    <t xml:space="preserve">Table 2-53V-16: Package A/ Heat Capacity was considered 10.0-14.99 (BTU/F/ft²) </t>
  </si>
  <si>
    <t>1998-2007</t>
  </si>
  <si>
    <t>Table 1-H</t>
  </si>
  <si>
    <t>2008-2018</t>
  </si>
  <si>
    <t>Table 140.3-B</t>
  </si>
  <si>
    <t>Existing</t>
  </si>
  <si>
    <t>2019+</t>
  </si>
  <si>
    <t>Flat Roof</t>
  </si>
  <si>
    <t>AtticFloor Reversed</t>
  </si>
  <si>
    <t xml:space="preserve">
Ceiling: Wood-frame roof + insulation + Acoustic tile/Gypsum board
(Attic Roof: Asphalt shingle + Plywood)</t>
  </si>
  <si>
    <t>Table 2-53V-16: Considering 30 years for roof/ insulation replacement.</t>
  </si>
  <si>
    <t>Windows</t>
  </si>
  <si>
    <t>FixedWindow_NonRes</t>
  </si>
  <si>
    <t xml:space="preserve">Mix Single and Double: CBECS 2018 shows that ~53% of small offices that were built before 2000 are single pane </t>
  </si>
  <si>
    <t>ASHRAE Handbook of Fundamentals (Table 10-Ch15) for single pane &amp; T24, 2013  for double pane(53%-47%)*</t>
  </si>
  <si>
    <t>Double pane</t>
  </si>
  <si>
    <t>SHGC</t>
  </si>
  <si>
    <t>Table 1-H : WWR:20-30 / SHGC non-north</t>
  </si>
  <si>
    <t>Infiltration</t>
  </si>
  <si>
    <t>Zones</t>
  </si>
  <si>
    <t>I_75
6-sided Infiltration rate 
@ 75 pa</t>
  </si>
  <si>
    <t xml:space="preserve"> I-design (cfm/ft²) 
(4-sided Infiltration rate at normal pressure) 
(Design flow rate approach and Flow/Exterior Wall Area calculation method) </t>
  </si>
  <si>
    <t>2022 CASE report (Table 38)</t>
  </si>
  <si>
    <t>2022 CASE report (Table 38) &amp;
T24, 2008-2016 (Table 140.3-C)</t>
  </si>
  <si>
    <t>0.6*</t>
  </si>
  <si>
    <t>2022 CASE report (Table 38) &amp;  
T24, 2025 (Table 140.3-C)</t>
  </si>
  <si>
    <t>Source:  Title 24 air barrier requirements (all editions) and the standardized infiltration rate reported in the 2022 CASE report and Dodge 2023 data</t>
  </si>
  <si>
    <t>* Better to consider 0.6 for New construction instead of being very stringent align with the Appendix G of ASHRAE 90.1 (which is almost 0.4)</t>
  </si>
  <si>
    <t xml:space="preserve">Air Leakage Memo: </t>
  </si>
  <si>
    <t>HVAC System Layout</t>
  </si>
  <si>
    <t xml:space="preserve">Heating </t>
  </si>
  <si>
    <t>Cooling</t>
  </si>
  <si>
    <t>Air Distribution</t>
  </si>
  <si>
    <t>Other Systems</t>
  </si>
  <si>
    <t>Source</t>
  </si>
  <si>
    <t xml:space="preserve">Existing </t>
  </si>
  <si>
    <t xml:space="preserve">Furnace (Gas) </t>
  </si>
  <si>
    <t>Packaged (DX)</t>
  </si>
  <si>
    <t>Single Duct CAV</t>
  </si>
  <si>
    <t>OA mixing 
Economizer for Vintage 3 and 4
DCV for 4 (for qualifying high density rooms)</t>
  </si>
  <si>
    <t>CEUS 2022</t>
  </si>
  <si>
    <t>New Construction</t>
  </si>
  <si>
    <t>Packaged SZ HP</t>
  </si>
  <si>
    <t>OA mixing 
Economizer 
DCV for qualifying high density rooms</t>
  </si>
  <si>
    <t>T24 2025</t>
  </si>
  <si>
    <r>
      <t xml:space="preserve">Efficiency of HVAC System
</t>
    </r>
    <r>
      <rPr>
        <sz val="10"/>
        <color theme="0"/>
        <rFont val="Arial"/>
        <family val="2"/>
      </rPr>
      <t xml:space="preserve"> (Efficiency is capacity-dependent. The following table provides a general estimate of system efficiency based on what we saw in the existing prototype runs, or assuming cooling load based on rule of thumb)</t>
    </r>
  </si>
  <si>
    <t>Upgrade Code</t>
  </si>
  <si>
    <t>COP</t>
  </si>
  <si>
    <t>R (Adjustment factor)</t>
  </si>
  <si>
    <t>Efficiency 80%</t>
  </si>
  <si>
    <t>SEER=13.0 for &lt;65 kBtu/h
10.1 EER  for 65-135 kBtu/h
9.5 EER for 135-240 kBtu/h
9.3 EER &amp; 9.7 IPLV  for &gt;240 kBtu/h</t>
  </si>
  <si>
    <t>T24, Table 112-A (2008)
10 CFR § 431.97, Table 1 (2008)
California Title 20 Appliance Efficiency Regulations, Table E-4, Standards for Gas- and Oil-Fired Central Furnaces (2008)</t>
  </si>
  <si>
    <t>PNNL,2010,"Technical Support Document: 50% Energy Savings for Small Office Buildings"</t>
  </si>
  <si>
    <t>SEER 13 for &lt;65 kBtu/h
11 EER &amp; 11.2 IEER for 65-135 kBtu/h
10.8 EER &amp; 11 IEER for 135-240 kBtu/h
9.8 EER &amp; 9.9 IEER for &gt;240 kBtu/h</t>
  </si>
  <si>
    <t>T24, 2013  Table 110.2-J &amp; Table 110.2-A (2013)
10 CFR § 431.97(b) Table 1 (2013)</t>
  </si>
  <si>
    <t>HSPF 8.0 for &lt;65 kBtu/h
COP 3.4 for 65-135 kBtu/h
COP 3.3 for 135-240 kBtu/h
COP 3.2 for &gt;240 kBtu/h</t>
  </si>
  <si>
    <t>SEER 14 for &lt;65 kBtu/h
EER 10.8, IEER 13.9 for 65-135 kBtu/h
EER 10.4,  IEER = 13.3 135-240 kBtu/h
EER 9.3, IEER=12.3 for &gt;240 kBtu/h</t>
  </si>
  <si>
    <t xml:space="preserve"> 10 CFR § 431.97(b) Table 1 (2025)
Title 20 Appliance Efficiency Regulations, Section 1605.1, Table C-5 (2025)
T24, Table 110.2-B (2025)</t>
  </si>
  <si>
    <t>Fan power</t>
  </si>
  <si>
    <t>Approach</t>
  </si>
  <si>
    <t>System</t>
  </si>
  <si>
    <t>Total Static Pressure (TSP)
(in w.c.)</t>
  </si>
  <si>
    <t>Fan Efficiency
[ACM 2025]</t>
  </si>
  <si>
    <t xml:space="preserve">Motor Efficiency </t>
  </si>
  <si>
    <t xml:space="preserve"> Fan Power Index 
(W/cfm)</t>
  </si>
  <si>
    <t>Data Source</t>
  </si>
  <si>
    <t>PNNL 90.1-2011, TSP</t>
  </si>
  <si>
    <t>CAV, design airflow &lt; 7,437 cfm</t>
  </si>
  <si>
    <t>ASHRAE 90.1, 2004, Table 10.8 *</t>
  </si>
  <si>
    <t>Fan power formula: PNNL 20405, 2010, section 5.2.2.5
TSP and fan efficiency: PNNL 20405, 2010, Table 5.11, 90.1-04ac values
Motor and drive efficiency: ASHRAE 90.1, 2004, Table 10.8</t>
  </si>
  <si>
    <t>PNNL 20405, 2010, Table 5.11</t>
  </si>
  <si>
    <t>Brake horsepower (bhp) = (Supply cfm × TSP in w.c.) / (6356 × fan efficiency)</t>
  </si>
  <si>
    <t>Fan power (w/cfm) = (bhp ×  746) / ( supply cfm × motor efficiency )</t>
  </si>
  <si>
    <t>ACM 2025</t>
  </si>
  <si>
    <t>Packaged SZHP (System 3b), CAV, ≤5,000 cfm</t>
  </si>
  <si>
    <t>TSP = fan power × motor efficiency × fan efficiency × 6356 / 746</t>
  </si>
  <si>
    <t>2025 ACM Table 12 **</t>
  </si>
  <si>
    <t>Fan power index: [ACM 2025, Table 13]
Motor efficiency: [ACM 2025, Table 12]</t>
  </si>
  <si>
    <t>*    According to PNNL 20405 section 5.2.2.5, the full-load efficiency of the motor serving the fan is taken from  ASHRAE 90.1, 2004, Table 10.8, based on motor nameplate and assuming enclosed motors operating at 1,800 rotations per minute (rpm)
      Motor nameplate size (bhp) = brake horsepower (bhp) × 1.1 ( using a 10% oversizing factor)</t>
  </si>
  <si>
    <t>**   The full‑load efficiency of the motor serving the fan is taken from ACM 2025 Table 12 based on the cfm of the fan.
     Brake horsepower  (bhp) = (Supply cfm from sizing run × fan power in W/cfm) / 746.
     Note: Same index as Hotel Small System 3b SZHP ≤5,000 cfm.</t>
  </si>
  <si>
    <t>Spaces/Zones</t>
  </si>
  <si>
    <t>Setpoint</t>
  </si>
  <si>
    <t>All conditioned zones except Storage &amp; Mechanical_Electrical</t>
  </si>
  <si>
    <t xml:space="preserve"> Heating Setpoint (F)</t>
  </si>
  <si>
    <t>T24 2022 - Appendix 5.4B</t>
  </si>
  <si>
    <t>Heating Setback (F)</t>
  </si>
  <si>
    <t>Cooling Setpoint (F)</t>
  </si>
  <si>
    <t>Cooling Setback (F)</t>
  </si>
  <si>
    <t>Storage &amp; Mechanical_Electrical</t>
  </si>
  <si>
    <t>Heating Setpoint (F)</t>
  </si>
  <si>
    <t xml:space="preserve">Enginnering Judgment </t>
  </si>
  <si>
    <r>
      <rPr>
        <b/>
        <sz val="10"/>
        <color rgb="FF000000"/>
        <rFont val="Arial"/>
        <family val="2"/>
      </rPr>
      <t>Note:</t>
    </r>
    <r>
      <rPr>
        <sz val="10"/>
        <color rgb="FF000000"/>
        <rFont val="Arial"/>
        <family val="2"/>
      </rPr>
      <t xml:space="preserve"> The Small Office prototypes by CEC and DEER both use the same setpoints.</t>
    </r>
  </si>
  <si>
    <r>
      <rPr>
        <b/>
        <sz val="10"/>
        <color rgb="FF000000"/>
        <rFont val="Arial"/>
        <family val="2"/>
      </rPr>
      <t>Note:</t>
    </r>
    <r>
      <rPr>
        <sz val="10"/>
        <color rgb="FF000000"/>
        <rFont val="Arial"/>
        <family val="2"/>
      </rPr>
      <t xml:space="preserve"> The Small Office prototype by PNNL also uses the same setpoints, except for one of the perimeter zones, which has a heating setpoint of 69 °F and a cooling setpoint of 76 °F during hours of 10:00-11:00, 12:00-13:00, and 14:00-15:00 .</t>
    </r>
  </si>
  <si>
    <t>Floor Area (ft²)</t>
  </si>
  <si>
    <t>cfm/person
(T24, 2025, Equation 120.1-F and Table 120.1-A)</t>
  </si>
  <si>
    <t>cfm/ft²  
(T24, 2025, Equation 120.1-F and Table 120.1-A)</t>
  </si>
  <si>
    <t>Required Exhaust Rate
 (T24,  2025, Table 120.1-B – Minimum Exhaust Rates)</t>
  </si>
  <si>
    <t>Total cfm 
Driven by People</t>
  </si>
  <si>
    <t>Total cfm 
Driven by Area</t>
  </si>
  <si>
    <t>Total cfm 
Driven by Exhaust</t>
  </si>
  <si>
    <t>Total cfm</t>
  </si>
  <si>
    <t>Office space/Occupancy Category - Office Buildings</t>
  </si>
  <si>
    <t>AHU</t>
  </si>
  <si>
    <t>cfm</t>
  </si>
  <si>
    <t xml:space="preserve">Conference/meeting/Occupancy Category - General </t>
  </si>
  <si>
    <t>Main entry lobbies/Occupancy Category - Office Buildings</t>
  </si>
  <si>
    <t>Occupiable storage rooms for dry 
materials/Occupancy Category - Office Buildings</t>
  </si>
  <si>
    <t>All Other</t>
  </si>
  <si>
    <t>2 * 25/50 per unit</t>
  </si>
  <si>
    <t>Breakrooms/Occupancy Category - Office Buildings</t>
  </si>
  <si>
    <t xml:space="preserve">Corridors /Occupancy Category - General </t>
  </si>
  <si>
    <t>WH Type</t>
  </si>
  <si>
    <t>Efficiency</t>
  </si>
  <si>
    <t>Number of WH</t>
  </si>
  <si>
    <t>Tank Volume (gal)</t>
  </si>
  <si>
    <t>Tank Loss</t>
  </si>
  <si>
    <t xml:space="preserve">Existing  </t>
  </si>
  <si>
    <t>Gas</t>
  </si>
  <si>
    <t>See table below for CZ-specific values: Climate Zone Water Heater Sizing and Loss Coefficients, Storage Volume column (col F)</t>
  </si>
  <si>
    <t>See table below: Climate Zone Water Heater Sizing and Loss Coefficients, Standby Loss column (col G)</t>
  </si>
  <si>
    <t>See table below for sources: Climate Zone Water Heater Sizing and Loss Coefficients</t>
  </si>
  <si>
    <t>Peak Hot Water Consumption</t>
  </si>
  <si>
    <t>Space Name</t>
  </si>
  <si>
    <t>Baseline WH Type 
[T24, 2022, Appendix 5.4A , sheet: "2022 SpaceFuncData-Input"]</t>
  </si>
  <si>
    <t>Total Area (ft²)</t>
  </si>
  <si>
    <t>Hot Water Usage Specification
(gal/hr per person)  
[T24, 2022, Appendix 5.4A , sheet: "2022 SpaceFuncData-Input"]</t>
  </si>
  <si>
    <t>Peak Hot Water Usage
(gal/hr)</t>
  </si>
  <si>
    <t>Peak Hot Water Usage
(gal/min)</t>
  </si>
  <si>
    <t>Gas*</t>
  </si>
  <si>
    <t>For space types marked with an asterisk (the ‘*’ symbol), the water‑heater type is listed as electric in Appendix 5.4A, sheet ‘2022 SpaceFuncData‑Input.’ However, we modified the value based on CEUS data, which indicates that gas is the primary fuel type.</t>
  </si>
  <si>
    <t>Gas storage</t>
  </si>
  <si>
    <t>Minimum peak hot water usage is 75 gal according to ACM 2025</t>
  </si>
  <si>
    <t xml:space="preserve">Total </t>
  </si>
  <si>
    <t>Electric resistance</t>
  </si>
  <si>
    <t>Design supply temperature (°F)</t>
  </si>
  <si>
    <t>Title 24 2022 Reference Appendices, Appendix 5.4B</t>
  </si>
  <si>
    <t>WH system factor</t>
  </si>
  <si>
    <t>2025 ACM §5.9.2 Rated Capacity</t>
  </si>
  <si>
    <t>Water mass conversion (lb/gal)</t>
  </si>
  <si>
    <t>Reheat multiplier</t>
  </si>
  <si>
    <t>2025 ACM §5.9.2 Storage Volume</t>
  </si>
  <si>
    <t>Climate Zone Water Heater Sizing and Loss Coefficients</t>
  </si>
  <si>
    <t>Water Heater Name</t>
  </si>
  <si>
    <t>Climate Zone</t>
  </si>
  <si>
    <t>Minimum Monthly Mains Temp (°F)
[T24 2022 - Appendix 5.4B]</t>
  </si>
  <si>
    <t>Heat Output (Btu/hr)
[ACM, 2025, 5.9.2: Rated capacity section]</t>
  </si>
  <si>
    <t>WH Capacity (Btu/hr)
[ACM, 2025, 5.9.2: Rated capacity section]</t>
  </si>
  <si>
    <t>Required Energy Input (Btu/hr)</t>
  </si>
  <si>
    <t>Storage Volume (gal)</t>
  </si>
  <si>
    <t>Standby Loss
 [Title 20, §1605.1 Table F-4; Appendix B: Water Heating Calculation Method]</t>
  </si>
  <si>
    <t xml:space="preserve">Off/On Cycle Loss Coefficient to Ambient Temp </t>
  </si>
  <si>
    <t>Source/Note</t>
  </si>
  <si>
    <t>WH_OfficeSamll</t>
  </si>
  <si>
    <t>CZ01</t>
  </si>
  <si>
    <t>Btu/hr</t>
  </si>
  <si>
    <t>Btu/h·°F</t>
  </si>
  <si>
    <t>Required Energy Input: vendor/available catalog size (Market data table).
Storage Volume: standard/available catalog tank size (Market data table).</t>
  </si>
  <si>
    <t>CZ02</t>
  </si>
  <si>
    <t>CZ03</t>
  </si>
  <si>
    <t>CZ04</t>
  </si>
  <si>
    <t>CZ05</t>
  </si>
  <si>
    <t>CZ06</t>
  </si>
  <si>
    <t>CZ07</t>
  </si>
  <si>
    <t>CZ08</t>
  </si>
  <si>
    <t>CZ09</t>
  </si>
  <si>
    <t xml:space="preserve">Market data </t>
  </si>
  <si>
    <t>Catalog gas input (Btu/h)</t>
  </si>
  <si>
    <t>Input source</t>
  </si>
  <si>
    <t>Elec resistance tank (kW)</t>
  </si>
  <si>
    <t>Elec resistance (Btu/h)</t>
  </si>
  <si>
    <t>Catalog gas tank (gal)</t>
  </si>
  <si>
    <t>Tank source</t>
  </si>
  <si>
    <t>Elec tank (gal)</t>
  </si>
  <si>
    <t>Elec tank source</t>
  </si>
  <si>
    <t>Grainger</t>
  </si>
  <si>
    <t>ENERGY STAR</t>
  </si>
  <si>
    <t>Both</t>
  </si>
  <si>
    <t xml:space="preserve">New Construction </t>
  </si>
  <si>
    <t>LPD (W/ft²)</t>
  </si>
  <si>
    <t>Additional LPD for Portable Lighting (W/ft²)</t>
  </si>
  <si>
    <t xml:space="preserve">LPD (W/ft²) </t>
  </si>
  <si>
    <t>T24, part 6, 2025, Table 140.6 C
Technology : LED</t>
  </si>
  <si>
    <t>T24, part 6, 2013, Table 140.6 C
Technology: 59% LED, 31% halogen, 7% CFL (Comstock 2023)</t>
  </si>
  <si>
    <t>It is assumed that 50% of the additional allowance lighting is in use.</t>
  </si>
  <si>
    <r>
      <t xml:space="preserve">2013 LPD is for "Lounge" area
</t>
    </r>
    <r>
      <rPr>
        <sz val="10"/>
        <color rgb="FF000000"/>
        <rFont val="Arial"/>
        <family val="2"/>
      </rPr>
      <t>It is assumed that 50% of the additional allowance lighting is in use.</t>
    </r>
  </si>
  <si>
    <t xml:space="preserve">According to CEUS, more than 80% of existing small office upgraded their lighting system between 2014-2018 and it conflicts the lighting generation considered by Comstock. </t>
  </si>
  <si>
    <t>Whole Building method</t>
  </si>
  <si>
    <t>LPD for Office Building ((W/ft²)</t>
  </si>
  <si>
    <t>Ref: T24, Table 140.6 B</t>
  </si>
  <si>
    <t>Motion Controlled Luminaires (W)</t>
  </si>
  <si>
    <t>Non-motion Controlled Luminaires (W)</t>
  </si>
  <si>
    <t>Total (W)</t>
  </si>
  <si>
    <t>T24, 2022 &amp; 2025
2019 Outdoor Lighting CASE report 
 PNNL 90.1-2010 TSD</t>
  </si>
  <si>
    <t>Exterior Lighting</t>
  </si>
  <si>
    <t>Items (Assume LZ2)</t>
  </si>
  <si>
    <t>Assumptions
[2019 Outdoor Lighting CASE Report &amp; PNNL 90.1-2010 TSD]</t>
  </si>
  <si>
    <t>Lighting Power Allowance 
[T24, 2025, Table 140.7-A &amp; 140.7-B]</t>
  </si>
  <si>
    <t>Exterior Lighting Power (W)</t>
  </si>
  <si>
    <t>IWA (Initial Wage Allowance)</t>
  </si>
  <si>
    <t>(W)</t>
  </si>
  <si>
    <t>Parking area</t>
  </si>
  <si>
    <t>400 ft² for every parking space [2019 Lighting CASE report, Appendix H]
1 parking space per 250 ft² of gross building area   [2019 Lighting CASE report,Table 38]</t>
  </si>
  <si>
    <t>(ft²)</t>
  </si>
  <si>
    <t>(W/ft²)</t>
  </si>
  <si>
    <t>Building Entrance</t>
  </si>
  <si>
    <t>1 building entrance (1 per 10,000 ft² footprint)</t>
  </si>
  <si>
    <t>(count)</t>
  </si>
  <si>
    <t>(W/ea)</t>
  </si>
  <si>
    <t>Hardscape Ornamental Light</t>
  </si>
  <si>
    <t>0.1 ft² per 1 ft² of gross building area for hardscape ornamental light  [2019 Lighting CASE report,Table 36]</t>
  </si>
  <si>
    <t>Building façade</t>
  </si>
  <si>
    <t>0.1 W per ft² of facade area 
Façade Area* = Perimeter × 0.5 × height (30 ft is the max height that is lit) 
The 0.5 factor assumes that only half of the perimeter walls are lit.
-Formula is developed based on the 2019 Outdoor Lighting CASE report</t>
  </si>
  <si>
    <t>Motion controlled Luminaires</t>
  </si>
  <si>
    <t>Non-motion-controlled Luminaires</t>
  </si>
  <si>
    <t>*Developed based on 2019 Outdoor Lighting CASE Report</t>
  </si>
  <si>
    <t>Perimeter (ft)</t>
  </si>
  <si>
    <t>Total floor area (ft²)</t>
  </si>
  <si>
    <t>Floors (above ground)</t>
  </si>
  <si>
    <t>Plug load Power Density (W/ft²)</t>
  </si>
  <si>
    <t>Gas Power Density (Btu/hr-ft²)</t>
  </si>
  <si>
    <t>Refrigeration Power Density (W/ft²)</t>
  </si>
  <si>
    <t>Proposed Updates to Equipment Power Densities and Schedules in the 2028 Energy Code Nonresidential and Multifamily Alternative Calculation Method (NRMFACM) Reference Manual, August 7, 2025</t>
  </si>
  <si>
    <t>T24 2022 - Appendix 5.4A</t>
  </si>
  <si>
    <t>Zone</t>
  </si>
  <si>
    <t>Schedule</t>
  </si>
  <si>
    <t>Type</t>
  </si>
  <si>
    <t>Hour</t>
  </si>
  <si>
    <t>All zones excluding Storage &amp; Mechanical_Electrical</t>
  </si>
  <si>
    <t>Occupancy</t>
  </si>
  <si>
    <r>
      <t xml:space="preserve">T24 2022 - Appendix 5.4B, [Office]
</t>
    </r>
    <r>
      <rPr>
        <sz val="9"/>
        <color rgb="FF0070C0"/>
        <rFont val="Arial"/>
        <family val="2"/>
      </rPr>
      <t xml:space="preserve">
Updated base on Plug load and schedules project with CEC, 2025</t>
    </r>
  </si>
  <si>
    <t>Weekday</t>
  </si>
  <si>
    <t>Saturday</t>
  </si>
  <si>
    <t>Sunday</t>
  </si>
  <si>
    <t>Lights</t>
  </si>
  <si>
    <t>T24 2022 - Appendix 5.4B, [Office]</t>
  </si>
  <si>
    <t xml:space="preserve">ElecEquipment </t>
  </si>
  <si>
    <t xml:space="preserve">Plug load and schedules project with CEC, 2025 </t>
  </si>
  <si>
    <t>HVACAvail</t>
  </si>
  <si>
    <t>ServiceHotWater</t>
  </si>
  <si>
    <r>
      <t xml:space="preserve">T24 2022 - Appendix 5.4B, [Office]
</t>
    </r>
    <r>
      <rPr>
        <sz val="9"/>
        <color rgb="FF0070C0"/>
        <rFont val="Arial"/>
        <family val="2"/>
      </rPr>
      <t>Updated base on Plug load and schedules project with CEC, 202</t>
    </r>
  </si>
  <si>
    <t>HtgSetpt</t>
  </si>
  <si>
    <t>ClgSetpt</t>
  </si>
  <si>
    <r>
      <rPr>
        <sz val="9"/>
        <color rgb="FF000000"/>
        <rFont val="Arial"/>
        <family val="2"/>
      </rPr>
      <t xml:space="preserve">T24 2022 - Appendix 5.4B
</t>
    </r>
    <r>
      <rPr>
        <sz val="9"/>
        <color rgb="FF0070C0"/>
        <rFont val="Arial"/>
        <family val="2"/>
      </rPr>
      <t>Updated base on office schedule</t>
    </r>
  </si>
  <si>
    <t>Engineering Judgement</t>
  </si>
  <si>
    <t>Other</t>
  </si>
  <si>
    <t>ExtLightingNonMotionCtrl</t>
  </si>
  <si>
    <t>ExtLightingMotionCtrl</t>
  </si>
  <si>
    <t>FunctionalAreaPeopleActivityLevel</t>
  </si>
  <si>
    <t xml:space="preserve">Based on Activilty level schedules in  CEC Prototypes </t>
  </si>
  <si>
    <t>Conference room</t>
  </si>
  <si>
    <t>MeetingAreaPeopleActivityLevel</t>
  </si>
  <si>
    <t>Corridor, Lobby, Restroom, Mech, Storage, Break</t>
  </si>
  <si>
    <t>CommonAreaPeopleActivityLevel</t>
  </si>
  <si>
    <t>Equipment</t>
  </si>
  <si>
    <t>PNNL</t>
  </si>
  <si>
    <t xml:space="preserve">Office Zones		</t>
  </si>
  <si>
    <t>Operating Schedule</t>
  </si>
  <si>
    <t>System Capacity fraction</t>
  </si>
  <si>
    <t xml:space="preserve">Developed based on CEC and CEUS </t>
  </si>
  <si>
    <t>Office Zones</t>
  </si>
  <si>
    <t xml:space="preserve">Alternative HVAC System Operating	</t>
  </si>
  <si>
    <t xml:space="preserve">Alternative HVAC System Operating					</t>
  </si>
  <si>
    <t xml:space="preserve">Developed based on CEC schedules and CEUS operating hours					</t>
  </si>
  <si>
    <t>Office Closed Zones</t>
  </si>
  <si>
    <t>Office Open Zones</t>
  </si>
  <si>
    <t>ElecEquipment</t>
  </si>
  <si>
    <t>CEC Small Office</t>
  </si>
  <si>
    <t>PNNL Small Office</t>
  </si>
  <si>
    <t>DEER Small Office</t>
  </si>
  <si>
    <t>CalBEM Energy Consumption - OfficeSmall</t>
  </si>
  <si>
    <t>National Average (EnergyStar Portfolio Manager)</t>
  </si>
  <si>
    <t>CEUS Energy Consumption - OfficeSmall</t>
  </si>
  <si>
    <t>CZ</t>
  </si>
  <si>
    <t>CalBEM Electricity EUI (KBTU/ft²)</t>
  </si>
  <si>
    <t>CalBEM Gas EUI (KBTU/ft²)</t>
  </si>
  <si>
    <t>CalBEM Total  EUI (KBTU/ft²)</t>
  </si>
  <si>
    <t>New Construction  Electricity EUI (KBTU/ft²)</t>
  </si>
  <si>
    <t>New Construction  Gas EUI (KBTU/ft²)</t>
  </si>
  <si>
    <t>New Construction  Total EUI (KBTU/ft²)</t>
  </si>
  <si>
    <t>National Average</t>
  </si>
  <si>
    <t>Acceptable RangeRange (25% Higher)</t>
  </si>
  <si>
    <t>Acceptable RangeRange (25% Lower)</t>
  </si>
  <si>
    <t>National Average Acceptable Range</t>
  </si>
  <si>
    <t>Zip code</t>
  </si>
  <si>
    <t>Total Floorspace (Thousand of ft2)</t>
  </si>
  <si>
    <t>CEUS 2022 Electric Energy Intensity (kWh/ft²)</t>
  </si>
  <si>
    <t>CEUS 2022 Annual Gas Intensity (kWh/ft²)</t>
  </si>
  <si>
    <t>CEUS 2022 Total EUI (kBtu/ft²)</t>
  </si>
  <si>
    <t>Acceptable Range (25% Higher)</t>
  </si>
  <si>
    <t>Acceptable Range (25% Lower)</t>
  </si>
  <si>
    <t>CEUS 2022 Acceptable Range</t>
  </si>
  <si>
    <t>HotelSmall</t>
  </si>
  <si>
    <r>
      <rPr>
        <b/>
        <sz val="10"/>
        <color theme="1"/>
        <rFont val="Arial"/>
        <family val="2"/>
      </rPr>
      <t xml:space="preserve">Ref: </t>
    </r>
    <r>
      <rPr>
        <sz val="10"/>
        <color theme="1"/>
        <rFont val="Arial"/>
        <family val="2"/>
      </rPr>
      <t xml:space="preserve">CEUS 2022 Report </t>
    </r>
  </si>
  <si>
    <t xml:space="preserve">And converted FZ level data to CZ level </t>
  </si>
  <si>
    <t>EV Charger - OfficeSmall (TBD)</t>
  </si>
  <si>
    <t xml:space="preserve">According To CEUS 2022 and their survey around 2018-2020, almost 92% of small office buildings have no EV charger </t>
  </si>
  <si>
    <t>CEUS 2022 (Base on Survey 2018)</t>
  </si>
  <si>
    <t>The data presented in this worksheet represents the projected number of EV charger ports, or the number of cars that can be charged at the same time, for the year 2022 (last year of CEUC)</t>
  </si>
  <si>
    <t>Has EV Chargers</t>
  </si>
  <si>
    <t>Level 1,  120 volt Charger     (No. ports/SqFT)</t>
  </si>
  <si>
    <t>Level 2,  240 volt Charger    (No. ports/SqFT)</t>
  </si>
  <si>
    <t>Level 3,  DC fast     (No. ports/SqFT)</t>
  </si>
  <si>
    <t>Charger Type Unkown  (No. ports/SqFT)</t>
  </si>
  <si>
    <t>All Chargers Totals   (No. ports/SqFT)</t>
  </si>
  <si>
    <t>Calculation Method</t>
  </si>
  <si>
    <t>Statewide/  Utility/ FCZ</t>
  </si>
  <si>
    <t xml:space="preserve">No </t>
  </si>
  <si>
    <t>Public Only</t>
  </si>
  <si>
    <t>Public &amp; Employee</t>
  </si>
  <si>
    <t>Public &amp; Fleet</t>
  </si>
  <si>
    <t>Employee Only</t>
  </si>
  <si>
    <t>Employee &amp; Fleet</t>
  </si>
  <si>
    <t>Fleet Only</t>
  </si>
  <si>
    <t>All 3 Types</t>
  </si>
  <si>
    <t>Unknown</t>
  </si>
  <si>
    <t>Level 1 Total</t>
  </si>
  <si>
    <t>Level 2 Total</t>
  </si>
  <si>
    <t>Level 3 Total</t>
  </si>
  <si>
    <t>Unkonwn Total</t>
  </si>
  <si>
    <t>Floorspace-Based</t>
  </si>
  <si>
    <t>Statewide</t>
  </si>
  <si>
    <t>Office, Small</t>
  </si>
  <si>
    <t>FCZ01 Tot</t>
  </si>
  <si>
    <t>FCZ02 Tot</t>
  </si>
  <si>
    <t>FCZ03 Tot</t>
  </si>
  <si>
    <t>FCZ04 Tot</t>
  </si>
  <si>
    <t>FCZ05 Tot</t>
  </si>
  <si>
    <t>FCZ06 Tot</t>
  </si>
  <si>
    <t>FCZ07 Tot</t>
  </si>
  <si>
    <t>FCZ08 Tot</t>
  </si>
  <si>
    <t>FCZ09 Tot</t>
  </si>
  <si>
    <t>FCZ10 Tot</t>
  </si>
  <si>
    <t>FCZ11 Tot</t>
  </si>
  <si>
    <t>FCZ12c Tot</t>
  </si>
  <si>
    <t>FCZ12i Tot</t>
  </si>
  <si>
    <t>FCZ13 Tot</t>
  </si>
  <si>
    <t>FCZ16 Tot</t>
  </si>
  <si>
    <t>FCZ17 Tot</t>
  </si>
  <si>
    <t>% of floor area per CZ and vintage bin - OfficeSmall</t>
  </si>
  <si>
    <t>Vintage Bin</t>
  </si>
  <si>
    <t>Pre-1978</t>
  </si>
  <si>
    <t>Not available</t>
  </si>
  <si>
    <t>Ref: CEUS 2022 dataset</t>
  </si>
  <si>
    <t>PV - TBD</t>
  </si>
  <si>
    <t>Space Function</t>
  </si>
  <si>
    <t>Electric Equipment Load Intensity</t>
  </si>
  <si>
    <t>LPD</t>
  </si>
  <si>
    <t>Aging Eye/Low-vision (Corridor Area)</t>
  </si>
  <si>
    <t>Aging Eye/Low-vision (Dining)</t>
  </si>
  <si>
    <t>Aging Eye/Low-vision (Lobby, Main Entry)</t>
  </si>
  <si>
    <t>Aging Eye/Low-vision (Lounge/Waiting Area)</t>
  </si>
  <si>
    <t>Aging Eye/Low-vision (Multipurpose Room)</t>
  </si>
  <si>
    <t>Aging Eye/Low-vision (Religious Worship Area)</t>
  </si>
  <si>
    <t>Aging Eye/Low-vision (Restroom)</t>
  </si>
  <si>
    <t>Aging Eye/Low-vision (Stairwell)</t>
  </si>
  <si>
    <t>Audience Seating Area</t>
  </si>
  <si>
    <t>Auditorium Area</t>
  </si>
  <si>
    <t>Auto Repair / Maintenance Area</t>
  </si>
  <si>
    <t>Barber, Beauty Salon, Spa Area</t>
  </si>
  <si>
    <t>Civic Meeting Place Area</t>
  </si>
  <si>
    <t>Classroom, Lecture, Training, Vocational Areas</t>
  </si>
  <si>
    <t>Concourse and Atria Area</t>
  </si>
  <si>
    <t>Copy Room</t>
  </si>
  <si>
    <t>Dining Area (Bar/Lounge and Fine Dining)</t>
  </si>
  <si>
    <t>Dining Area (Cafeteria/Fast Food)</t>
  </si>
  <si>
    <t>Dining Area (Family and Leisure)</t>
  </si>
  <si>
    <t>Exercise/Fitness Center and Gymnasium Areas</t>
  </si>
  <si>
    <t>Financial Transaction Area</t>
  </si>
  <si>
    <t>Healthcare Facility and Hospitals (Exam/Treatment Room)</t>
  </si>
  <si>
    <t>Healthcare Facility and Hospitals (Imaging Room)</t>
  </si>
  <si>
    <t>Healthcare Facility and Hospitals (Medical Supply Room)</t>
  </si>
  <si>
    <t>Healthcare Facility and Hospitals (Nursery)</t>
  </si>
  <si>
    <t>Healthcare Facility and Hospitals (Nurse's Station)</t>
  </si>
  <si>
    <t>Healthcare Facility and Hospitals (Operating Room)</t>
  </si>
  <si>
    <t>Healthcare Facility and Hospitals (Patient Room)</t>
  </si>
  <si>
    <t>Healthcare Facility and Hospitals (Physical Therapy Room)</t>
  </si>
  <si>
    <t>Healthcare Facility and Hospitals (Recovery Room)</t>
  </si>
  <si>
    <t>Hotel Function Area</t>
  </si>
  <si>
    <t>Kitchen/Food Preparation Area</t>
  </si>
  <si>
    <t>Kitchenette or Residential Kitchen</t>
  </si>
  <si>
    <t>Laboratory, Scientific</t>
  </si>
  <si>
    <t xml:space="preserve">Laundry Area </t>
  </si>
  <si>
    <t>Library (Reading Area)</t>
  </si>
  <si>
    <t>Library (Stacks Area)</t>
  </si>
  <si>
    <t>Locker Room</t>
  </si>
  <si>
    <t>Manufacturing, Commercial &amp; Industrial Work Area (Low Bay)</t>
  </si>
  <si>
    <t>Manufacturing, Commercial &amp; Industrial Work Area (High Bay)</t>
  </si>
  <si>
    <t>Manufacturing, Commercial &amp; Industrial Work Area (Precision)</t>
  </si>
  <si>
    <t>Museum Area (Exhibition/Display)</t>
  </si>
  <si>
    <t>Museum Area (Restoration Room)</t>
  </si>
  <si>
    <t>Office Area (&lt;250 square feet)</t>
  </si>
  <si>
    <t>Parking Garage Area (Parking Zone and Ramps)</t>
  </si>
  <si>
    <t>Parking Garage Area (Daylight Adaptation Zones)</t>
  </si>
  <si>
    <t>Pharmacy Area</t>
  </si>
  <si>
    <t>Retail Sales Area (Grocery Sales)</t>
  </si>
  <si>
    <t>Retail Sales Area (Retail Merchandise Sales)</t>
  </si>
  <si>
    <t>Retail Sales Area (Fitting Room)</t>
  </si>
  <si>
    <t>Religious Worship Area</t>
  </si>
  <si>
    <t>Stairwell</t>
  </si>
  <si>
    <t>Storage, Commercial/Industrial (Warehouse)</t>
  </si>
  <si>
    <t>Storage, Commercial/Industrial (Refrigerated)</t>
  </si>
  <si>
    <t>Storage, Commercial/Industrial (Shipping &amp; Handling)</t>
  </si>
  <si>
    <t>Sports Arena - Playing Area (&gt; 5,000 Spectators)</t>
  </si>
  <si>
    <t>Sports Arena - Playing Area (2,000 - 5,000 Spectators)</t>
  </si>
  <si>
    <t>Sports Arena - Playing Area (&lt; 2,000 Spectators)</t>
  </si>
  <si>
    <t>Sports Arena - Playing Area (Recreational)</t>
  </si>
  <si>
    <t>Theater Area (Motion Picture)</t>
  </si>
  <si>
    <t>Theater Area (Performance)</t>
  </si>
  <si>
    <t>Transportation Function (Baggage Area)</t>
  </si>
  <si>
    <t>Transportation Function (Ticketing Area)</t>
  </si>
  <si>
    <t>Videoconferencing Studio</t>
  </si>
  <si>
    <t>High-Rise Residential Living Spaces</t>
  </si>
  <si>
    <t>Hotel/Motel Guest Room</t>
  </si>
  <si>
    <t>All other</t>
  </si>
  <si>
    <t>Reception Area</t>
  </si>
  <si>
    <t>Elevator</t>
  </si>
  <si>
    <t>Plenum</t>
  </si>
  <si>
    <t>IT Room (EPD 12)</t>
  </si>
  <si>
    <t>Computer Room (EPD 20)</t>
  </si>
  <si>
    <t>Server Room (EPD 45)</t>
  </si>
  <si>
    <t>Indirectly conditioned</t>
  </si>
  <si>
    <t xml:space="preserve"> Total (2 category)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</si>
</sst>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_(* \(#,##0.00\);_(* &quot;-&quot;??_);_(@_)"/>
    <numFmt numFmtId="164" formatCode="0.0%"/>
    <numFmt numFmtId="165" formatCode="0.0"/>
    <numFmt numFmtId="166" formatCode="#,##0.0"/>
    <numFmt numFmtId="167" formatCode="0.0000"/>
    <numFmt numFmtId="168" formatCode="0.000"/>
    <numFmt numFmtId="169" formatCode="_(* #,##0_);_(* \(#,##0\);_(* &quot;-&quot;??_);_(@_)"/>
    <numFmt numFmtId="170" formatCode="0.0000000"/>
    <numFmt numFmtId="171" formatCode="#,##0;\-0;[Color15]0"/>
  </numFmts>
  <fonts count="49" x14ac:knownFonts="1">
    <font>
      <sz val="11"/>
      <color theme="1"/>
      <name val="Calibri"/>
      <family val="2"/>
      <scheme val="minor"/>
    </font>
    <font>
      <sz val="10"/>
      <name val="Arial"/>
      <family val="2"/>
    </font>
    <font>
      <sz val="11"/>
      <color theme="1"/>
      <name val="Calibri"/>
      <family val="2"/>
      <scheme val="minor"/>
    </font>
    <font>
      <sz val="8"/>
      <color indexed="8"/>
      <name val="MS Sans Serif"/>
      <family val="2"/>
    </font>
    <font>
      <sz val="8"/>
      <name val="Calibri"/>
      <family val="2"/>
      <scheme val="minor"/>
    </font>
    <font>
      <sz val="10"/>
      <color theme="1"/>
      <name val="Arial"/>
      <family val="2"/>
    </font>
    <font>
      <b/>
      <sz val="10"/>
      <color theme="1"/>
      <name val="Arial"/>
      <family val="2"/>
    </font>
    <font>
      <u/>
      <sz val="11"/>
      <color theme="10"/>
      <name val="Calibri"/>
      <family val="2"/>
      <scheme val="minor"/>
    </font>
    <font>
      <b/>
      <sz val="12"/>
      <color theme="0"/>
      <name val="Calibri"/>
      <family val="2"/>
      <scheme val="minor"/>
    </font>
    <font>
      <sz val="10"/>
      <color indexed="8"/>
      <name val="Arial"/>
      <family val="2"/>
    </font>
    <font>
      <sz val="11"/>
      <color theme="1"/>
      <name val="Arial"/>
      <family val="2"/>
    </font>
    <font>
      <b/>
      <sz val="12"/>
      <color theme="0"/>
      <name val="Arial"/>
      <family val="2"/>
    </font>
    <font>
      <sz val="11"/>
      <color rgb="FF000000"/>
      <name val="Calibri"/>
      <family val="2"/>
      <scheme val="minor"/>
    </font>
    <font>
      <b/>
      <sz val="14"/>
      <color theme="1"/>
      <name val="Arial"/>
      <family val="2"/>
    </font>
    <font>
      <u/>
      <sz val="10"/>
      <color theme="10"/>
      <name val="Arial"/>
      <family val="2"/>
    </font>
    <font>
      <b/>
      <sz val="10"/>
      <color theme="0"/>
      <name val="Arial"/>
      <family val="2"/>
    </font>
    <font>
      <sz val="11"/>
      <color rgb="FF0070C0"/>
      <name val="Arial"/>
      <family val="2"/>
    </font>
    <font>
      <b/>
      <sz val="10"/>
      <name val="Arial"/>
      <family val="2"/>
    </font>
    <font>
      <b/>
      <sz val="10"/>
      <color indexed="8"/>
      <name val="Arial"/>
      <family val="2"/>
    </font>
    <font>
      <sz val="10"/>
      <color rgb="FF000000"/>
      <name val="Arial"/>
      <family val="2"/>
    </font>
    <font>
      <sz val="9"/>
      <color theme="1"/>
      <name val="Arial"/>
      <family val="2"/>
    </font>
    <font>
      <sz val="10"/>
      <color theme="0"/>
      <name val="Arial"/>
      <family val="2"/>
    </font>
    <font>
      <b/>
      <sz val="10"/>
      <color rgb="FF000000"/>
      <name val="Arial"/>
      <family val="2"/>
    </font>
    <font>
      <b/>
      <sz val="9"/>
      <color theme="0"/>
      <name val="Arial"/>
      <family val="2"/>
    </font>
    <font>
      <sz val="9"/>
      <name val="Arial"/>
      <family val="2"/>
    </font>
    <font>
      <b/>
      <sz val="10"/>
      <color rgb="FF7030A0"/>
      <name val="Arial"/>
      <family val="2"/>
    </font>
    <font>
      <sz val="11"/>
      <color theme="1"/>
      <name val="Arial"/>
      <family val="2"/>
    </font>
    <font>
      <sz val="11"/>
      <color theme="0"/>
      <name val="Arial"/>
      <family val="2"/>
    </font>
    <font>
      <b/>
      <sz val="11"/>
      <color rgb="FF000000"/>
      <name val="Arial"/>
      <family val="2"/>
    </font>
    <font>
      <sz val="11"/>
      <color rgb="FF000000"/>
      <name val="Arial"/>
      <family val="2"/>
    </font>
    <font>
      <sz val="8"/>
      <color theme="1"/>
      <name val="Arial"/>
      <family val="2"/>
    </font>
    <font>
      <sz val="11"/>
      <name val="Arial"/>
      <family val="2"/>
    </font>
    <font>
      <b/>
      <sz val="12"/>
      <color rgb="FFFFFFFF"/>
      <name val="Arial"/>
      <family val="2"/>
    </font>
    <font>
      <sz val="10"/>
      <color rgb="FF0070C0"/>
      <name val="Arial"/>
      <family val="2"/>
    </font>
    <font>
      <sz val="5"/>
      <color rgb="FF000000"/>
      <name val="Verdana"/>
      <family val="2"/>
    </font>
    <font>
      <sz val="9"/>
      <color rgb="FF0070C0"/>
      <name val="Arial"/>
      <family val="2"/>
    </font>
    <font>
      <sz val="11"/>
      <color rgb="FF000000"/>
      <name val="Calibri"/>
      <family val="2"/>
    </font>
    <font>
      <b/>
      <sz val="12"/>
      <color rgb="FF000000"/>
      <name val="Arial"/>
      <family val="2"/>
    </font>
    <font>
      <b/>
      <sz val="14"/>
      <color rgb="FF000000"/>
      <name val="Arial"/>
      <family val="2"/>
    </font>
    <font>
      <b/>
      <sz val="11"/>
      <color theme="1"/>
      <name val="Calibri"/>
      <family val="2"/>
      <scheme val="minor"/>
    </font>
    <font>
      <b/>
      <sz val="11"/>
      <name val="Calibri"/>
      <family val="2"/>
    </font>
    <font>
      <sz val="11"/>
      <color theme="1"/>
      <name val="Calibri"/>
      <family val="2"/>
    </font>
    <font>
      <sz val="9"/>
      <color rgb="FF000000"/>
      <name val="Arial"/>
      <family val="2"/>
    </font>
    <font>
      <sz val="11"/>
      <color theme="1"/>
      <name val="Calibri"/>
      <family val="2"/>
    </font>
    <font>
      <sz val="10"/>
      <color theme="1"/>
      <name val="Arial"/>
      <family val="2"/>
    </font>
    <font>
      <sz val="10"/>
      <color theme="10"/>
      <name val="Arial"/>
      <family val="2"/>
    </font>
    <font>
      <u/>
      <sz val="10"/>
      <color rgb="FF000000"/>
      <name val="Arial"/>
      <family val="2"/>
    </font>
    <font>
      <u/>
      <sz val="11"/>
      <color rgb="FF000000"/>
      <name val="Calibri"/>
      <family val="2"/>
      <scheme val="minor"/>
    </font>
    <font>
      <sz val="10"/>
      <color rgb="FFFF0000"/>
      <name val="Arial"/>
      <family val="2"/>
    </font>
  </fonts>
  <fills count="26">
    <fill>
      <patternFill patternType="none"/>
    </fill>
    <fill>
      <patternFill patternType="gray125"/>
    </fill>
    <fill>
      <patternFill patternType="solid">
        <fgColor rgb="FF92D050"/>
        <bgColor indexed="64"/>
      </patternFill>
    </fill>
    <fill>
      <patternFill patternType="solid">
        <fgColor theme="0" tint="-0.249977111117893"/>
        <bgColor indexed="64"/>
      </patternFill>
    </fill>
    <fill>
      <patternFill patternType="solid">
        <fgColor theme="0"/>
        <bgColor indexed="64"/>
      </patternFill>
    </fill>
    <fill>
      <patternFill patternType="solid">
        <fgColor theme="0" tint="-0.14999847407452621"/>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0" tint="-0.14996795556505021"/>
        <bgColor indexed="64"/>
      </patternFill>
    </fill>
    <fill>
      <patternFill patternType="solid">
        <fgColor theme="4" tint="-0.499984740745262"/>
        <bgColor indexed="64"/>
      </patternFill>
    </fill>
    <fill>
      <patternFill patternType="solid">
        <fgColor rgb="FFD9E1F2"/>
        <bgColor rgb="FF000000"/>
      </patternFill>
    </fill>
    <fill>
      <patternFill patternType="solid">
        <fgColor rgb="FF203764"/>
        <bgColor rgb="FF000000"/>
      </patternFill>
    </fill>
    <fill>
      <patternFill patternType="solid">
        <fgColor theme="0" tint="-0.34998626667073579"/>
        <bgColor indexed="64"/>
      </patternFill>
    </fill>
    <fill>
      <patternFill patternType="solid">
        <fgColor rgb="FFD6DCE4"/>
        <bgColor rgb="FF000000"/>
      </patternFill>
    </fill>
    <fill>
      <patternFill patternType="solid">
        <fgColor theme="7" tint="0.79998168889431442"/>
        <bgColor rgb="FF000000"/>
      </patternFill>
    </fill>
    <fill>
      <patternFill patternType="solid">
        <fgColor rgb="FFD9E1F2"/>
        <bgColor indexed="64"/>
      </patternFill>
    </fill>
    <fill>
      <patternFill patternType="solid">
        <fgColor rgb="FF203864"/>
      </patternFill>
    </fill>
    <fill>
      <patternFill patternType="solid">
        <fgColor rgb="FFD9E1F2"/>
      </patternFill>
    </fill>
    <fill>
      <patternFill patternType="solid">
        <fgColor rgb="FFEAF1F8"/>
      </patternFill>
    </fill>
    <fill>
      <patternFill patternType="solid">
        <fgColor theme="8" tint="0.79998168889431442"/>
        <bgColor indexed="64"/>
      </patternFill>
    </fill>
    <fill>
      <patternFill patternType="solid">
        <fgColor rgb="FFF5F8FA"/>
        <bgColor indexed="64"/>
      </patternFill>
    </fill>
    <fill>
      <patternFill patternType="solid">
        <fgColor rgb="FFFFFFFF"/>
        <bgColor rgb="FF000000"/>
      </patternFill>
    </fill>
    <fill>
      <patternFill patternType="solid">
        <fgColor rgb="FF919191"/>
        <bgColor indexed="64"/>
      </patternFill>
    </fill>
    <fill>
      <patternFill patternType="solid">
        <fgColor rgb="FFC2BCBC"/>
        <bgColor indexed="64"/>
      </patternFill>
    </fill>
  </fills>
  <borders count="243">
    <border>
      <left/>
      <right/>
      <top/>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top style="thin">
        <color indexed="64"/>
      </top>
      <bottom style="thin">
        <color indexed="64"/>
      </bottom>
      <diagonal/>
    </border>
    <border>
      <left/>
      <right style="medium">
        <color indexed="64"/>
      </right>
      <top/>
      <bottom/>
      <diagonal/>
    </border>
    <border>
      <left style="medium">
        <color indexed="64"/>
      </left>
      <right/>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top/>
      <bottom/>
      <diagonal/>
    </border>
    <border>
      <left style="thin">
        <color rgb="FF000000"/>
      </left>
      <right style="thin">
        <color rgb="FF000000"/>
      </right>
      <top style="thin">
        <color rgb="FF000000"/>
      </top>
      <bottom style="thin">
        <color rgb="FF000000"/>
      </bottom>
      <diagonal/>
    </border>
    <border>
      <left style="medium">
        <color indexed="64"/>
      </left>
      <right style="thin">
        <color rgb="FF000000"/>
      </right>
      <top style="medium">
        <color indexed="64"/>
      </top>
      <bottom style="thin">
        <color rgb="FF000000"/>
      </bottom>
      <diagonal/>
    </border>
    <border>
      <left style="thin">
        <color rgb="FF000000"/>
      </left>
      <right style="thin">
        <color rgb="FF000000"/>
      </right>
      <top style="medium">
        <color indexed="64"/>
      </top>
      <bottom style="thin">
        <color rgb="FF000000"/>
      </bottom>
      <diagonal/>
    </border>
    <border>
      <left style="thin">
        <color rgb="FF000000"/>
      </left>
      <right style="medium">
        <color indexed="64"/>
      </right>
      <top style="medium">
        <color indexed="64"/>
      </top>
      <bottom style="thin">
        <color rgb="FF000000"/>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medium">
        <color indexed="64"/>
      </left>
      <right style="thin">
        <color rgb="FF000000"/>
      </right>
      <top style="thin">
        <color rgb="FF000000"/>
      </top>
      <bottom style="medium">
        <color indexed="64"/>
      </bottom>
      <diagonal/>
    </border>
    <border>
      <left style="thin">
        <color rgb="FF000000"/>
      </left>
      <right style="thin">
        <color rgb="FF000000"/>
      </right>
      <top style="thin">
        <color rgb="FF000000"/>
      </top>
      <bottom style="medium">
        <color indexed="64"/>
      </bottom>
      <diagonal/>
    </border>
    <border>
      <left style="thin">
        <color rgb="FF000000"/>
      </left>
      <right style="medium">
        <color indexed="64"/>
      </right>
      <top style="thin">
        <color rgb="FF000000"/>
      </top>
      <bottom style="medium">
        <color indexed="64"/>
      </bottom>
      <diagonal/>
    </border>
    <border>
      <left style="medium">
        <color indexed="64"/>
      </left>
      <right style="thin">
        <color rgb="FF000000"/>
      </right>
      <top style="medium">
        <color indexed="64"/>
      </top>
      <bottom/>
      <diagonal/>
    </border>
    <border>
      <left style="medium">
        <color indexed="64"/>
      </left>
      <right style="thin">
        <color rgb="FF000000"/>
      </right>
      <top/>
      <bottom/>
      <diagonal/>
    </border>
    <border>
      <left style="medium">
        <color indexed="64"/>
      </left>
      <right style="thin">
        <color rgb="FF000000"/>
      </right>
      <top/>
      <bottom style="medium">
        <color indexed="64"/>
      </bottom>
      <diagonal/>
    </border>
    <border>
      <left style="thin">
        <color indexed="64"/>
      </left>
      <right style="thin">
        <color indexed="64"/>
      </right>
      <top style="thin">
        <color indexed="64"/>
      </top>
      <bottom style="medium">
        <color indexed="64"/>
      </bottom>
      <diagonal/>
    </border>
    <border>
      <left/>
      <right/>
      <top/>
      <bottom style="thin">
        <color theme="0" tint="-0.499984740745262"/>
      </bottom>
      <diagonal/>
    </border>
    <border>
      <left style="thin">
        <color theme="0" tint="-0.499984740745262"/>
      </left>
      <right style="thin">
        <color theme="0" tint="-0.499984740745262"/>
      </right>
      <top style="thin">
        <color indexed="64"/>
      </top>
      <bottom/>
      <diagonal/>
    </border>
    <border>
      <left style="thin">
        <color rgb="FF000000"/>
      </left>
      <right style="thin">
        <color rgb="FF000000"/>
      </right>
      <top/>
      <bottom/>
      <diagonal/>
    </border>
    <border>
      <left style="thin">
        <color rgb="FF000000"/>
      </left>
      <right style="medium">
        <color indexed="64"/>
      </right>
      <top style="thin">
        <color rgb="FF000000"/>
      </top>
      <bottom style="thin">
        <color indexed="64"/>
      </bottom>
      <diagonal/>
    </border>
    <border>
      <left style="thin">
        <color rgb="FF000000"/>
      </left>
      <right style="thin">
        <color rgb="FF000000"/>
      </right>
      <top/>
      <bottom style="medium">
        <color indexed="64"/>
      </bottom>
      <diagonal/>
    </border>
    <border>
      <left style="thin">
        <color rgb="FF000000"/>
      </left>
      <right style="medium">
        <color indexed="64"/>
      </right>
      <top/>
      <bottom style="medium">
        <color indexed="64"/>
      </bottom>
      <diagonal/>
    </border>
    <border>
      <left style="thin">
        <color rgb="FF000000"/>
      </left>
      <right style="thin">
        <color rgb="FF000000"/>
      </right>
      <top style="thin">
        <color rgb="FF000000"/>
      </top>
      <bottom style="thin">
        <color indexed="64"/>
      </bottom>
      <diagonal/>
    </border>
    <border>
      <left style="thin">
        <color theme="1" tint="0.499984740745262"/>
      </left>
      <right style="thin">
        <color theme="1" tint="0.499984740745262"/>
      </right>
      <top style="thin">
        <color theme="1" tint="0.499984740745262"/>
      </top>
      <bottom style="thin">
        <color theme="1" tint="0.499984740745262"/>
      </bottom>
      <diagonal/>
    </border>
    <border>
      <left/>
      <right style="thin">
        <color theme="1" tint="0.499984740745262"/>
      </right>
      <top/>
      <bottom style="thin">
        <color theme="1" tint="0.499984740745262"/>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style="thin">
        <color theme="1" tint="0.34998626667073579"/>
      </left>
      <right/>
      <top/>
      <bottom/>
      <diagonal/>
    </border>
    <border>
      <left/>
      <right style="thin">
        <color theme="1" tint="0.34998626667073579"/>
      </right>
      <top/>
      <bottom/>
      <diagonal/>
    </border>
    <border>
      <left style="thin">
        <color theme="1" tint="0.34998626667073579"/>
      </left>
      <right style="thin">
        <color theme="1" tint="0.34998626667073579"/>
      </right>
      <top style="thin">
        <color theme="1" tint="0.34998626667073579"/>
      </top>
      <bottom/>
      <diagonal/>
    </border>
    <border>
      <left style="thin">
        <color theme="1" tint="0.34998626667073579"/>
      </left>
      <right style="thin">
        <color theme="1" tint="0.34998626667073579"/>
      </right>
      <top/>
      <bottom style="thin">
        <color theme="1" tint="0.34998626667073579"/>
      </bottom>
      <diagonal/>
    </border>
    <border>
      <left style="medium">
        <color indexed="64"/>
      </left>
      <right style="thin">
        <color theme="1" tint="0.34998626667073579"/>
      </right>
      <top style="medium">
        <color indexed="64"/>
      </top>
      <bottom style="thin">
        <color theme="1" tint="0.34998626667073579"/>
      </bottom>
      <diagonal/>
    </border>
    <border>
      <left style="thin">
        <color theme="1" tint="0.34998626667073579"/>
      </left>
      <right style="thin">
        <color theme="1" tint="0.34998626667073579"/>
      </right>
      <top style="medium">
        <color indexed="64"/>
      </top>
      <bottom/>
      <diagonal/>
    </border>
    <border>
      <left style="thin">
        <color theme="1" tint="0.34998626667073579"/>
      </left>
      <right style="thin">
        <color theme="1" tint="0.34998626667073579"/>
      </right>
      <top style="medium">
        <color indexed="64"/>
      </top>
      <bottom style="thin">
        <color theme="1" tint="0.34998626667073579"/>
      </bottom>
      <diagonal/>
    </border>
    <border>
      <left style="thin">
        <color theme="1" tint="0.34998626667073579"/>
      </left>
      <right style="medium">
        <color indexed="64"/>
      </right>
      <top style="medium">
        <color indexed="64"/>
      </top>
      <bottom style="thin">
        <color theme="1" tint="0.34998626667073579"/>
      </bottom>
      <diagonal/>
    </border>
    <border>
      <left/>
      <right style="thin">
        <color indexed="64"/>
      </right>
      <top style="medium">
        <color indexed="64"/>
      </top>
      <bottom style="thin">
        <color indexed="64"/>
      </bottom>
      <diagonal/>
    </border>
    <border>
      <left style="medium">
        <color indexed="64"/>
      </left>
      <right style="thin">
        <color theme="1" tint="0.34998626667073579"/>
      </right>
      <top style="thin">
        <color theme="1" tint="0.34998626667073579"/>
      </top>
      <bottom style="thin">
        <color theme="1" tint="0.34998626667073579"/>
      </bottom>
      <diagonal/>
    </border>
    <border>
      <left style="thin">
        <color theme="1" tint="0.34998626667073579"/>
      </left>
      <right style="thin">
        <color theme="1" tint="0.34998626667073579"/>
      </right>
      <top/>
      <bottom/>
      <diagonal/>
    </border>
    <border>
      <left style="thin">
        <color theme="1" tint="0.34998626667073579"/>
      </left>
      <right style="medium">
        <color indexed="64"/>
      </right>
      <top style="thin">
        <color theme="1" tint="0.34998626667073579"/>
      </top>
      <bottom style="thin">
        <color theme="1" tint="0.34998626667073579"/>
      </bottom>
      <diagonal/>
    </border>
    <border>
      <left style="medium">
        <color indexed="64"/>
      </left>
      <right style="thin">
        <color theme="1" tint="0.34998626667073579"/>
      </right>
      <top style="thin">
        <color theme="1" tint="0.34998626667073579"/>
      </top>
      <bottom/>
      <diagonal/>
    </border>
    <border>
      <left style="thin">
        <color theme="1" tint="0.34998626667073579"/>
      </left>
      <right style="thin">
        <color theme="1" tint="0.34998626667073579"/>
      </right>
      <top/>
      <bottom style="medium">
        <color theme="1" tint="0.34998626667073579"/>
      </bottom>
      <diagonal/>
    </border>
    <border>
      <left style="thin">
        <color theme="1" tint="0.34998626667073579"/>
      </left>
      <right style="medium">
        <color indexed="64"/>
      </right>
      <top style="thin">
        <color theme="1" tint="0.34998626667073579"/>
      </top>
      <bottom/>
      <diagonal/>
    </border>
    <border>
      <left style="thin">
        <color indexed="64"/>
      </left>
      <right style="medium">
        <color indexed="64"/>
      </right>
      <top style="thin">
        <color indexed="64"/>
      </top>
      <bottom/>
      <diagonal/>
    </border>
    <border>
      <left style="thin">
        <color theme="1" tint="0.34998626667073579"/>
      </left>
      <right style="thin">
        <color theme="1" tint="0.34998626667073579"/>
      </right>
      <top style="medium">
        <color theme="1" tint="0.34998626667073579"/>
      </top>
      <bottom style="thin">
        <color theme="1" tint="0.34998626667073579"/>
      </bottom>
      <diagonal/>
    </border>
    <border>
      <left/>
      <right style="thin">
        <color theme="1" tint="0.34998626667073579"/>
      </right>
      <top style="medium">
        <color theme="1" tint="0.34998626667073579"/>
      </top>
      <bottom style="thin">
        <color theme="1" tint="0.34998626667073579"/>
      </bottom>
      <diagonal/>
    </border>
    <border>
      <left/>
      <right style="thin">
        <color theme="1" tint="0.34998626667073579"/>
      </right>
      <top style="thin">
        <color theme="1" tint="0.34998626667073579"/>
      </top>
      <bottom style="thin">
        <color theme="1" tint="0.34998626667073579"/>
      </bottom>
      <diagonal/>
    </border>
    <border>
      <left/>
      <right style="thin">
        <color theme="1" tint="0.34998626667073579"/>
      </right>
      <top style="thin">
        <color theme="1" tint="0.34998626667073579"/>
      </top>
      <bottom/>
      <diagonal/>
    </border>
    <border>
      <left style="thin">
        <color theme="1" tint="0.34998626667073579"/>
      </left>
      <right style="medium">
        <color indexed="64"/>
      </right>
      <top style="medium">
        <color theme="1" tint="0.34998626667073579"/>
      </top>
      <bottom style="thin">
        <color theme="1" tint="0.34998626667073579"/>
      </bottom>
      <diagonal/>
    </border>
    <border>
      <left style="thin">
        <color theme="1" tint="0.499984740745262"/>
      </left>
      <right style="thin">
        <color theme="1" tint="0.499984740745262"/>
      </right>
      <top style="medium">
        <color indexed="64"/>
      </top>
      <bottom style="thin">
        <color theme="1" tint="0.499984740745262"/>
      </bottom>
      <diagonal/>
    </border>
    <border>
      <left style="thin">
        <color theme="1" tint="0.499984740745262"/>
      </left>
      <right style="medium">
        <color indexed="64"/>
      </right>
      <top style="medium">
        <color indexed="64"/>
      </top>
      <bottom style="thin">
        <color theme="1" tint="0.499984740745262"/>
      </bottom>
      <diagonal/>
    </border>
    <border>
      <left style="thin">
        <color theme="1" tint="0.499984740745262"/>
      </left>
      <right style="medium">
        <color indexed="64"/>
      </right>
      <top style="thin">
        <color theme="1" tint="0.499984740745262"/>
      </top>
      <bottom style="thin">
        <color theme="1" tint="0.499984740745262"/>
      </bottom>
      <diagonal/>
    </border>
    <border>
      <left style="thin">
        <color theme="1" tint="0.34998626667073579"/>
      </left>
      <right style="thin">
        <color theme="1" tint="0.34998626667073579"/>
      </right>
      <top style="thin">
        <color theme="1" tint="0.34998626667073579"/>
      </top>
      <bottom style="medium">
        <color theme="1" tint="0.34998626667073579"/>
      </bottom>
      <diagonal/>
    </border>
    <border>
      <left style="thin">
        <color theme="1" tint="0.34998626667073579"/>
      </left>
      <right style="medium">
        <color indexed="64"/>
      </right>
      <top style="thin">
        <color theme="1" tint="0.34998626667073579"/>
      </top>
      <bottom style="medium">
        <color theme="1" tint="0.34998626667073579"/>
      </bottom>
      <diagonal/>
    </border>
    <border>
      <left/>
      <right style="thin">
        <color theme="1" tint="0.34998626667073579"/>
      </right>
      <top style="thin">
        <color theme="1" tint="0.34998626667073579"/>
      </top>
      <bottom style="medium">
        <color theme="1" tint="0.34998626667073579"/>
      </bottom>
      <diagonal/>
    </border>
    <border>
      <left style="thin">
        <color theme="1" tint="0.499984740745262"/>
      </left>
      <right style="thin">
        <color theme="1" tint="0.499984740745262"/>
      </right>
      <top style="thin">
        <color theme="1" tint="0.499984740745262"/>
      </top>
      <bottom style="medium">
        <color indexed="64"/>
      </bottom>
      <diagonal/>
    </border>
    <border>
      <left style="thin">
        <color theme="1" tint="0.499984740745262"/>
      </left>
      <right style="medium">
        <color indexed="64"/>
      </right>
      <top style="thin">
        <color theme="1" tint="0.499984740745262"/>
      </top>
      <bottom style="medium">
        <color indexed="64"/>
      </bottom>
      <diagonal/>
    </border>
    <border>
      <left/>
      <right style="thin">
        <color theme="1" tint="0.34998626667073579"/>
      </right>
      <top/>
      <bottom style="thin">
        <color theme="1" tint="0.34998626667073579"/>
      </bottom>
      <diagonal/>
    </border>
    <border>
      <left style="thin">
        <color theme="1" tint="0.34998626667073579"/>
      </left>
      <right style="medium">
        <color theme="1" tint="0.34998626667073579"/>
      </right>
      <top/>
      <bottom style="thin">
        <color theme="1" tint="0.34998626667073579"/>
      </bottom>
      <diagonal/>
    </border>
    <border>
      <left style="thin">
        <color theme="1" tint="0.34998626667073579"/>
      </left>
      <right style="medium">
        <color theme="1" tint="0.34998626667073579"/>
      </right>
      <top style="thin">
        <color theme="1" tint="0.34998626667073579"/>
      </top>
      <bottom style="thin">
        <color theme="1" tint="0.34998626667073579"/>
      </bottom>
      <diagonal/>
    </border>
    <border>
      <left style="thin">
        <color theme="1" tint="0.34998626667073579"/>
      </left>
      <right style="medium">
        <color theme="1" tint="0.34998626667073579"/>
      </right>
      <top style="thin">
        <color theme="1" tint="0.34998626667073579"/>
      </top>
      <bottom style="medium">
        <color theme="1" tint="0.34998626667073579"/>
      </bottom>
      <diagonal/>
    </border>
    <border>
      <left style="thin">
        <color theme="1" tint="0.34998626667073579"/>
      </left>
      <right style="thin">
        <color theme="1" tint="0.34998626667073579"/>
      </right>
      <top style="medium">
        <color indexed="64"/>
      </top>
      <bottom style="thin">
        <color indexed="64"/>
      </bottom>
      <diagonal/>
    </border>
    <border>
      <left style="thin">
        <color theme="1" tint="0.34998626667073579"/>
      </left>
      <right style="thin">
        <color theme="1" tint="0.34998626667073579"/>
      </right>
      <top style="thin">
        <color indexed="64"/>
      </top>
      <bottom style="thin">
        <color indexed="64"/>
      </bottom>
      <diagonal/>
    </border>
    <border>
      <left style="thin">
        <color theme="1" tint="0.34998626667073579"/>
      </left>
      <right style="thin">
        <color theme="1" tint="0.34998626667073579"/>
      </right>
      <top style="thin">
        <color indexed="64"/>
      </top>
      <bottom style="medium">
        <color indexed="64"/>
      </bottom>
      <diagonal/>
    </border>
    <border>
      <left style="medium">
        <color indexed="64"/>
      </left>
      <right style="thin">
        <color theme="1" tint="0.34998626667073579"/>
      </right>
      <top style="thin">
        <color theme="1" tint="0.34998626667073579"/>
      </top>
      <bottom style="medium">
        <color indexed="64"/>
      </bottom>
      <diagonal/>
    </border>
    <border>
      <left style="thin">
        <color theme="1" tint="0.34998626667073579"/>
      </left>
      <right style="thin">
        <color theme="1" tint="0.34998626667073579"/>
      </right>
      <top/>
      <bottom style="medium">
        <color indexed="64"/>
      </bottom>
      <diagonal/>
    </border>
    <border>
      <left style="thin">
        <color theme="1" tint="0.34998626667073579"/>
      </left>
      <right/>
      <top style="medium">
        <color indexed="64"/>
      </top>
      <bottom style="thin">
        <color indexed="64"/>
      </bottom>
      <diagonal/>
    </border>
    <border>
      <left style="thin">
        <color theme="1" tint="0.34998626667073579"/>
      </left>
      <right/>
      <top style="thin">
        <color indexed="64"/>
      </top>
      <bottom style="thin">
        <color indexed="64"/>
      </bottom>
      <diagonal/>
    </border>
    <border>
      <left style="thin">
        <color theme="1" tint="0.34998626667073579"/>
      </left>
      <right/>
      <top style="thin">
        <color indexed="64"/>
      </top>
      <bottom style="medium">
        <color indexed="64"/>
      </bottom>
      <diagonal/>
    </border>
    <border>
      <left style="medium">
        <color theme="1" tint="0.34998626667073579"/>
      </left>
      <right style="thin">
        <color theme="1" tint="0.34998626667073579"/>
      </right>
      <top/>
      <bottom style="thin">
        <color theme="1" tint="0.34998626667073579"/>
      </bottom>
      <diagonal/>
    </border>
    <border>
      <left style="thin">
        <color theme="1" tint="0.34998626667073579"/>
      </left>
      <right style="medium">
        <color indexed="64"/>
      </right>
      <top/>
      <bottom/>
      <diagonal/>
    </border>
    <border>
      <left style="medium">
        <color theme="1" tint="0.34998626667073579"/>
      </left>
      <right style="thin">
        <color theme="1" tint="0.34998626667073579"/>
      </right>
      <top style="thin">
        <color theme="1" tint="0.34998626667073579"/>
      </top>
      <bottom style="thin">
        <color theme="1" tint="0.34998626667073579"/>
      </bottom>
      <diagonal/>
    </border>
    <border>
      <left style="medium">
        <color theme="1" tint="0.34998626667073579"/>
      </left>
      <right style="thin">
        <color theme="1" tint="0.34998626667073579"/>
      </right>
      <top style="thin">
        <color theme="1" tint="0.34998626667073579"/>
      </top>
      <bottom style="medium">
        <color theme="1" tint="0.34998626667073579"/>
      </bottom>
      <diagonal/>
    </border>
    <border>
      <left style="thin">
        <color theme="1" tint="0.34998626667073579"/>
      </left>
      <right style="medium">
        <color indexed="64"/>
      </right>
      <top/>
      <bottom style="medium">
        <color theme="1" tint="0.34998626667073579"/>
      </bottom>
      <diagonal/>
    </border>
    <border>
      <left style="thin">
        <color theme="1" tint="0.34998626667073579"/>
      </left>
      <right style="medium">
        <color theme="1" tint="0.34998626667073579"/>
      </right>
      <top style="medium">
        <color theme="1" tint="0.34998626667073579"/>
      </top>
      <bottom style="thin">
        <color theme="1" tint="0.34998626667073579"/>
      </bottom>
      <diagonal/>
    </border>
    <border>
      <left style="medium">
        <color indexed="64"/>
      </left>
      <right style="thin">
        <color theme="1" tint="0.34998626667073579"/>
      </right>
      <top style="medium">
        <color theme="1" tint="0.34998626667073579"/>
      </top>
      <bottom style="thin">
        <color theme="1" tint="0.34998626667073579"/>
      </bottom>
      <diagonal/>
    </border>
    <border>
      <left style="medium">
        <color indexed="64"/>
      </left>
      <right style="thin">
        <color theme="1" tint="0.34998626667073579"/>
      </right>
      <top/>
      <bottom/>
      <diagonal/>
    </border>
    <border>
      <left style="medium">
        <color indexed="64"/>
      </left>
      <right style="thin">
        <color theme="1" tint="0.34998626667073579"/>
      </right>
      <top/>
      <bottom style="medium">
        <color indexed="64"/>
      </bottom>
      <diagonal/>
    </border>
    <border>
      <left style="thin">
        <color theme="1" tint="0.34998626667073579"/>
      </left>
      <right style="medium">
        <color indexed="64"/>
      </right>
      <top style="medium">
        <color indexed="64"/>
      </top>
      <bottom style="thin">
        <color indexed="64"/>
      </bottom>
      <diagonal/>
    </border>
    <border>
      <left style="thin">
        <color theme="1" tint="0.34998626667073579"/>
      </left>
      <right style="medium">
        <color indexed="64"/>
      </right>
      <top style="thin">
        <color indexed="64"/>
      </top>
      <bottom style="thin">
        <color indexed="64"/>
      </bottom>
      <diagonal/>
    </border>
    <border>
      <left style="thin">
        <color theme="1" tint="0.34998626667073579"/>
      </left>
      <right style="medium">
        <color indexed="64"/>
      </right>
      <top style="medium">
        <color indexed="64"/>
      </top>
      <bottom/>
      <diagonal/>
    </border>
    <border>
      <left/>
      <right style="thin">
        <color theme="1" tint="0.34998626667073579"/>
      </right>
      <top style="medium">
        <color indexed="64"/>
      </top>
      <bottom style="thin">
        <color theme="1" tint="0.34998626667073579"/>
      </bottom>
      <diagonal/>
    </border>
    <border>
      <left style="thin">
        <color theme="1" tint="0.34998626667073579"/>
      </left>
      <right style="thin">
        <color theme="1" tint="0.34998626667073579"/>
      </right>
      <top style="thin">
        <color theme="1" tint="0.34998626667073579"/>
      </top>
      <bottom style="medium">
        <color indexed="64"/>
      </bottom>
      <diagonal/>
    </border>
    <border>
      <left style="thin">
        <color theme="1" tint="0.34998626667073579"/>
      </left>
      <right style="medium">
        <color indexed="64"/>
      </right>
      <top/>
      <bottom style="medium">
        <color indexed="64"/>
      </bottom>
      <diagonal/>
    </border>
    <border>
      <left/>
      <right style="thin">
        <color theme="1" tint="0.34998626667073579"/>
      </right>
      <top style="thin">
        <color theme="1" tint="0.34998626667073579"/>
      </top>
      <bottom style="medium">
        <color indexed="64"/>
      </bottom>
      <diagonal/>
    </border>
    <border>
      <left style="thin">
        <color theme="1" tint="0.34998626667073579"/>
      </left>
      <right style="medium">
        <color indexed="64"/>
      </right>
      <top style="thin">
        <color theme="1" tint="0.34998626667073579"/>
      </top>
      <bottom style="medium">
        <color indexed="64"/>
      </bottom>
      <diagonal/>
    </border>
    <border>
      <left style="thin">
        <color theme="1" tint="0.34998626667073579"/>
      </left>
      <right/>
      <top style="thin">
        <color theme="1" tint="0.34998626667073579"/>
      </top>
      <bottom style="thin">
        <color theme="1" tint="0.34998626667073579"/>
      </bottom>
      <diagonal/>
    </border>
    <border>
      <left style="thin">
        <color indexed="64"/>
      </left>
      <right style="thin">
        <color indexed="64"/>
      </right>
      <top style="medium">
        <color indexed="64"/>
      </top>
      <bottom/>
      <diagonal/>
    </border>
    <border>
      <left/>
      <right style="medium">
        <color indexed="64"/>
      </right>
      <top style="medium">
        <color indexed="64"/>
      </top>
      <bottom/>
      <diagonal/>
    </border>
    <border>
      <left/>
      <right/>
      <top/>
      <bottom style="thin">
        <color theme="1" tint="0.34998626667073579"/>
      </bottom>
      <diagonal/>
    </border>
    <border>
      <left style="thin">
        <color theme="1" tint="0.34998626667073579"/>
      </left>
      <right style="medium">
        <color indexed="64"/>
      </right>
      <top style="medium">
        <color theme="1" tint="0.34998626667073579"/>
      </top>
      <bottom/>
      <diagonal/>
    </border>
    <border>
      <left style="thin">
        <color theme="1" tint="0.34998626667073579"/>
      </left>
      <right style="medium">
        <color theme="1" tint="0.34998626667073579"/>
      </right>
      <top style="thin">
        <color theme="1" tint="0.34998626667073579"/>
      </top>
      <bottom/>
      <diagonal/>
    </border>
    <border>
      <left style="medium">
        <color rgb="FF000000"/>
      </left>
      <right style="thin">
        <color indexed="64"/>
      </right>
      <top style="medium">
        <color rgb="FF000000"/>
      </top>
      <bottom style="thin">
        <color indexed="64"/>
      </bottom>
      <diagonal/>
    </border>
    <border>
      <left/>
      <right style="medium">
        <color indexed="64"/>
      </right>
      <top style="medium">
        <color rgb="FF000000"/>
      </top>
      <bottom style="thin">
        <color indexed="64"/>
      </bottom>
      <diagonal/>
    </border>
    <border>
      <left/>
      <right style="thin">
        <color indexed="64"/>
      </right>
      <top style="medium">
        <color rgb="FF000000"/>
      </top>
      <bottom style="thin">
        <color indexed="64"/>
      </bottom>
      <diagonal/>
    </border>
    <border>
      <left style="thin">
        <color rgb="FF000000"/>
      </left>
      <right style="medium">
        <color rgb="FF000000"/>
      </right>
      <top style="medium">
        <color rgb="FF000000"/>
      </top>
      <bottom style="thin">
        <color rgb="FF000000"/>
      </bottom>
      <diagonal/>
    </border>
    <border>
      <left style="medium">
        <color rgb="FF000000"/>
      </left>
      <right style="thin">
        <color indexed="64"/>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indexed="64"/>
      </right>
      <top/>
      <bottom style="medium">
        <color rgb="FF000000"/>
      </bottom>
      <diagonal/>
    </border>
    <border>
      <left/>
      <right style="thin">
        <color indexed="64"/>
      </right>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thin">
        <color rgb="FF000000"/>
      </bottom>
      <diagonal/>
    </border>
    <border>
      <left style="medium">
        <color rgb="FF000000"/>
      </left>
      <right style="thin">
        <color indexed="64"/>
      </right>
      <top style="medium">
        <color rgb="FF000000"/>
      </top>
      <bottom/>
      <diagonal/>
    </border>
    <border>
      <left style="thin">
        <color theme="0" tint="-0.499984740745262"/>
      </left>
      <right style="thin">
        <color theme="0" tint="-0.499984740745262"/>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indexed="64"/>
      </left>
      <right style="thin">
        <color indexed="64"/>
      </right>
      <top style="medium">
        <color rgb="FF000000"/>
      </top>
      <bottom/>
      <diagonal/>
    </border>
    <border>
      <left style="thin">
        <color indexed="64"/>
      </left>
      <right style="thin">
        <color indexed="64"/>
      </right>
      <top style="medium">
        <color rgb="FF000000"/>
      </top>
      <bottom/>
      <diagonal/>
    </border>
    <border>
      <left/>
      <right/>
      <top/>
      <bottom style="medium">
        <color rgb="FF000000"/>
      </bottom>
      <diagonal/>
    </border>
    <border>
      <left/>
      <right/>
      <top style="medium">
        <color rgb="FF000000"/>
      </top>
      <bottom style="thin">
        <color indexed="64"/>
      </bottom>
      <diagonal/>
    </border>
    <border>
      <left style="thin">
        <color theme="1" tint="0.34998626667073579"/>
      </left>
      <right style="thin">
        <color theme="1" tint="0.34998626667073579"/>
      </right>
      <top style="thin">
        <color indexed="64"/>
      </top>
      <bottom/>
      <diagonal/>
    </border>
    <border>
      <left style="thin">
        <color theme="1" tint="0.34998626667073579"/>
      </left>
      <right style="medium">
        <color indexed="64"/>
      </right>
      <top style="thin">
        <color indexed="64"/>
      </top>
      <bottom/>
      <diagonal/>
    </border>
    <border>
      <left style="medium">
        <color indexed="64"/>
      </left>
      <right style="thin">
        <color indexed="64"/>
      </right>
      <top style="thin">
        <color indexed="64"/>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top style="thin">
        <color rgb="FF000000"/>
      </top>
      <bottom/>
      <diagonal/>
    </border>
    <border>
      <left style="medium">
        <color rgb="FF000000"/>
      </left>
      <right style="thin">
        <color indexed="64"/>
      </right>
      <top style="thin">
        <color indexed="64"/>
      </top>
      <bottom style="thin">
        <color indexed="64"/>
      </bottom>
      <diagonal/>
    </border>
    <border>
      <left style="medium">
        <color rgb="FF000000"/>
      </left>
      <right style="thin">
        <color indexed="64"/>
      </right>
      <top/>
      <bottom style="thin">
        <color indexed="64"/>
      </bottom>
      <diagonal/>
    </border>
    <border>
      <left style="thin">
        <color indexed="64"/>
      </left>
      <right/>
      <top style="medium">
        <color rgb="FF000000"/>
      </top>
      <bottom/>
      <diagonal/>
    </border>
    <border>
      <left style="thin">
        <color rgb="FF000000"/>
      </left>
      <right style="medium">
        <color rgb="FF000000"/>
      </right>
      <top style="medium">
        <color indexed="64"/>
      </top>
      <bottom style="thin">
        <color rgb="FF000000"/>
      </bottom>
      <diagonal/>
    </border>
    <border>
      <left style="thin">
        <color rgb="FF000000"/>
      </left>
      <right/>
      <top style="thin">
        <color rgb="FF000000"/>
      </top>
      <bottom style="medium">
        <color indexed="64"/>
      </bottom>
      <diagonal/>
    </border>
    <border>
      <left style="thin">
        <color rgb="FF000000"/>
      </left>
      <right style="medium">
        <color rgb="FF000000"/>
      </right>
      <top style="thin">
        <color rgb="FF000000"/>
      </top>
      <bottom style="medium">
        <color indexed="64"/>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
      <left style="medium">
        <color indexed="64"/>
      </left>
      <right/>
      <top style="medium">
        <color indexed="64"/>
      </top>
      <bottom style="medium">
        <color rgb="FF000000"/>
      </bottom>
      <diagonal/>
    </border>
    <border>
      <left/>
      <right/>
      <top style="medium">
        <color indexed="64"/>
      </top>
      <bottom style="medium">
        <color rgb="FF000000"/>
      </bottom>
      <diagonal/>
    </border>
    <border>
      <left/>
      <right style="medium">
        <color indexed="64"/>
      </right>
      <top style="medium">
        <color indexed="64"/>
      </top>
      <bottom style="medium">
        <color rgb="FF000000"/>
      </bottom>
      <diagonal/>
    </border>
    <border>
      <left style="medium">
        <color indexed="64"/>
      </left>
      <right/>
      <top style="medium">
        <color rgb="FF000000"/>
      </top>
      <bottom style="thin">
        <color rgb="FF000000"/>
      </bottom>
      <diagonal/>
    </border>
    <border>
      <left style="thin">
        <color rgb="FF000000"/>
      </left>
      <right style="medium">
        <color indexed="64"/>
      </right>
      <top style="medium">
        <color rgb="FF000000"/>
      </top>
      <bottom style="thin">
        <color rgb="FF000000"/>
      </bottom>
      <diagonal/>
    </border>
    <border>
      <left style="medium">
        <color indexed="64"/>
      </left>
      <right/>
      <top style="thin">
        <color rgb="FF000000"/>
      </top>
      <bottom style="thin">
        <color rgb="FF000000"/>
      </bottom>
      <diagonal/>
    </border>
    <border>
      <left style="medium">
        <color indexed="64"/>
      </left>
      <right/>
      <top style="thin">
        <color rgb="FF000000"/>
      </top>
      <bottom/>
      <diagonal/>
    </border>
    <border>
      <left style="thin">
        <color rgb="FF000000"/>
      </left>
      <right style="medium">
        <color indexed="64"/>
      </right>
      <top style="thin">
        <color rgb="FF000000"/>
      </top>
      <bottom/>
      <diagonal/>
    </border>
    <border>
      <left/>
      <right style="thin">
        <color rgb="FF000000"/>
      </right>
      <top style="medium">
        <color indexed="64"/>
      </top>
      <bottom style="medium">
        <color indexed="64"/>
      </bottom>
      <diagonal/>
    </border>
    <border>
      <left style="thin">
        <color rgb="FF000000"/>
      </left>
      <right style="medium">
        <color indexed="64"/>
      </right>
      <top style="medium">
        <color indexed="64"/>
      </top>
      <bottom style="medium">
        <color indexed="64"/>
      </bottom>
      <diagonal/>
    </border>
    <border>
      <left style="medium">
        <color indexed="64"/>
      </left>
      <right style="thin">
        <color theme="1" tint="0.34998626667073579"/>
      </right>
      <top/>
      <bottom style="thin">
        <color theme="1" tint="0.34998626667073579"/>
      </bottom>
      <diagonal/>
    </border>
    <border>
      <left style="thin">
        <color theme="1" tint="0.34998626667073579"/>
      </left>
      <right style="medium">
        <color indexed="64"/>
      </right>
      <top/>
      <bottom style="thin">
        <color theme="1" tint="0.34998626667073579"/>
      </bottom>
      <diagonal/>
    </border>
    <border>
      <left style="thin">
        <color theme="1" tint="0.499984740745262"/>
      </left>
      <right style="thin">
        <color theme="1" tint="0.499984740745262"/>
      </right>
      <top style="thin">
        <color indexed="64"/>
      </top>
      <bottom/>
      <diagonal/>
    </border>
    <border>
      <left/>
      <right/>
      <top style="thin">
        <color theme="1" tint="0.34998626667073579"/>
      </top>
      <bottom style="thin">
        <color theme="1" tint="0.34998626667073579"/>
      </bottom>
      <diagonal/>
    </border>
    <border>
      <left style="medium">
        <color rgb="FF000000"/>
      </left>
      <right style="thin">
        <color theme="1" tint="0.34998626667073579"/>
      </right>
      <top style="medium">
        <color rgb="FF000000"/>
      </top>
      <bottom style="thin">
        <color theme="1" tint="0.34998626667073579"/>
      </bottom>
      <diagonal/>
    </border>
    <border>
      <left style="thin">
        <color theme="1" tint="0.34998626667073579"/>
      </left>
      <right style="thin">
        <color theme="1" tint="0.34998626667073579"/>
      </right>
      <top style="medium">
        <color rgb="FF000000"/>
      </top>
      <bottom/>
      <diagonal/>
    </border>
    <border>
      <left style="thin">
        <color theme="1" tint="0.34998626667073579"/>
      </left>
      <right style="thin">
        <color theme="1" tint="0.34998626667073579"/>
      </right>
      <top style="medium">
        <color rgb="FF000000"/>
      </top>
      <bottom style="thin">
        <color theme="1" tint="0.34998626667073579"/>
      </bottom>
      <diagonal/>
    </border>
    <border>
      <left style="thin">
        <color theme="1" tint="0.34998626667073579"/>
      </left>
      <right style="medium">
        <color indexed="64"/>
      </right>
      <top style="medium">
        <color rgb="FF000000"/>
      </top>
      <bottom style="thin">
        <color theme="1" tint="0.34998626667073579"/>
      </bottom>
      <diagonal/>
    </border>
    <border>
      <left/>
      <right style="thin">
        <color theme="1" tint="0.34998626667073579"/>
      </right>
      <top style="medium">
        <color rgb="FF000000"/>
      </top>
      <bottom style="thin">
        <color theme="1" tint="0.34998626667073579"/>
      </bottom>
      <diagonal/>
    </border>
    <border>
      <left style="thin">
        <color theme="1" tint="0.34998626667073579"/>
      </left>
      <right style="medium">
        <color rgb="FF000000"/>
      </right>
      <top style="medium">
        <color rgb="FF000000"/>
      </top>
      <bottom/>
      <diagonal/>
    </border>
    <border>
      <left style="medium">
        <color rgb="FF000000"/>
      </left>
      <right style="thin">
        <color theme="1" tint="0.34998626667073579"/>
      </right>
      <top style="thin">
        <color theme="1" tint="0.34998626667073579"/>
      </top>
      <bottom style="thin">
        <color theme="1" tint="0.34998626667073579"/>
      </bottom>
      <diagonal/>
    </border>
    <border>
      <left style="medium">
        <color rgb="FF000000"/>
      </left>
      <right style="thin">
        <color theme="1" tint="0.34998626667073579"/>
      </right>
      <top style="thin">
        <color theme="1" tint="0.34998626667073579"/>
      </top>
      <bottom style="medium">
        <color rgb="FF000000"/>
      </bottom>
      <diagonal/>
    </border>
    <border>
      <left style="thin">
        <color theme="1" tint="0.34998626667073579"/>
      </left>
      <right style="thin">
        <color theme="1" tint="0.34998626667073579"/>
      </right>
      <top/>
      <bottom style="medium">
        <color rgb="FF000000"/>
      </bottom>
      <diagonal/>
    </border>
    <border>
      <left style="thin">
        <color theme="1" tint="0.34998626667073579"/>
      </left>
      <right style="thin">
        <color theme="1" tint="0.34998626667073579"/>
      </right>
      <top style="thin">
        <color theme="1" tint="0.34998626667073579"/>
      </top>
      <bottom style="medium">
        <color rgb="FF000000"/>
      </bottom>
      <diagonal/>
    </border>
    <border>
      <left style="thin">
        <color theme="1" tint="0.34998626667073579"/>
      </left>
      <right style="medium">
        <color indexed="64"/>
      </right>
      <top style="thin">
        <color theme="1" tint="0.34998626667073579"/>
      </top>
      <bottom style="medium">
        <color rgb="FF000000"/>
      </bottom>
      <diagonal/>
    </border>
    <border>
      <left/>
      <right style="thin">
        <color theme="1" tint="0.34998626667073579"/>
      </right>
      <top style="thin">
        <color theme="1" tint="0.34998626667073579"/>
      </top>
      <bottom style="medium">
        <color rgb="FF000000"/>
      </bottom>
      <diagonal/>
    </border>
    <border>
      <left style="thin">
        <color theme="1" tint="0.34998626667073579"/>
      </left>
      <right style="medium">
        <color rgb="FF000000"/>
      </right>
      <top/>
      <bottom style="medium">
        <color rgb="FF000000"/>
      </bottom>
      <diagonal/>
    </border>
    <border>
      <left style="medium">
        <color indexed="64"/>
      </left>
      <right/>
      <top style="medium">
        <color rgb="FF000000"/>
      </top>
      <bottom style="thin">
        <color indexed="64"/>
      </bottom>
      <diagonal/>
    </border>
    <border>
      <left style="medium">
        <color rgb="FF000000"/>
      </left>
      <right style="thin">
        <color theme="1" tint="0.34998626667073579"/>
      </right>
      <top style="thin">
        <color theme="1" tint="0.34998626667073579"/>
      </top>
      <bottom/>
      <diagonal/>
    </border>
    <border>
      <left style="medium">
        <color indexed="64"/>
      </left>
      <right/>
      <top style="thin">
        <color indexed="64"/>
      </top>
      <bottom/>
      <diagonal/>
    </border>
    <border>
      <left style="thin">
        <color rgb="FF000000"/>
      </left>
      <right style="thin">
        <color rgb="FF000000"/>
      </right>
      <top/>
      <bottom style="thin">
        <color rgb="FF000000"/>
      </bottom>
      <diagonal/>
    </border>
    <border>
      <left/>
      <right style="thin">
        <color indexed="64"/>
      </right>
      <top style="thin">
        <color rgb="FF000000"/>
      </top>
      <bottom style="thin">
        <color indexed="64"/>
      </bottom>
      <diagonal/>
    </border>
    <border>
      <left style="thin">
        <color theme="0" tint="-0.499984740745262"/>
      </left>
      <right style="thin">
        <color theme="0" tint="-0.499984740745262"/>
      </right>
      <top style="thin">
        <color rgb="FF000000"/>
      </top>
      <bottom style="thin">
        <color theme="0" tint="-0.499984740745262"/>
      </bottom>
      <diagonal/>
    </border>
    <border>
      <left style="thin">
        <color theme="0" tint="-0.499984740745262"/>
      </left>
      <right style="thin">
        <color rgb="FF000000"/>
      </right>
      <top style="thin">
        <color rgb="FF000000"/>
      </top>
      <bottom/>
      <diagonal/>
    </border>
    <border>
      <left style="thin">
        <color indexed="64"/>
      </left>
      <right style="thin">
        <color rgb="FF000000"/>
      </right>
      <top style="thin">
        <color indexed="64"/>
      </top>
      <bottom/>
      <diagonal/>
    </border>
    <border>
      <left style="thin">
        <color indexed="64"/>
      </left>
      <right style="thin">
        <color rgb="FF000000"/>
      </right>
      <top/>
      <bottom/>
      <diagonal/>
    </border>
    <border>
      <left style="thin">
        <color indexed="64"/>
      </left>
      <right style="thin">
        <color rgb="FF000000"/>
      </right>
      <top/>
      <bottom style="thin">
        <color indexed="64"/>
      </bottom>
      <diagonal/>
    </border>
    <border>
      <left style="thin">
        <color rgb="FF000000"/>
      </left>
      <right style="thin">
        <color rgb="FF000000"/>
      </right>
      <top style="thin">
        <color indexed="64"/>
      </top>
      <bottom/>
      <diagonal/>
    </border>
    <border>
      <left style="thin">
        <color rgb="FF808080"/>
      </left>
      <right style="thin">
        <color rgb="FF808080"/>
      </right>
      <top style="thin">
        <color rgb="FF808080"/>
      </top>
      <bottom style="thin">
        <color rgb="FF808080"/>
      </bottom>
      <diagonal/>
    </border>
    <border>
      <left style="thin">
        <color rgb="FF808080"/>
      </left>
      <right/>
      <top/>
      <bottom/>
      <diagonal/>
    </border>
    <border>
      <left style="thin">
        <color rgb="FF808080"/>
      </left>
      <right style="thin">
        <color rgb="FF808080"/>
      </right>
      <top/>
      <bottom style="thin">
        <color rgb="FF808080"/>
      </bottom>
      <diagonal/>
    </border>
    <border>
      <left/>
      <right/>
      <top/>
      <bottom style="thin">
        <color rgb="FF000000"/>
      </bottom>
      <diagonal/>
    </border>
    <border>
      <left style="thin">
        <color indexed="64"/>
      </left>
      <right/>
      <top/>
      <bottom style="thin">
        <color rgb="FF000000"/>
      </bottom>
      <diagonal/>
    </border>
    <border>
      <left style="thin">
        <color indexed="64"/>
      </left>
      <right style="thin">
        <color indexed="64"/>
      </right>
      <top style="thin">
        <color indexed="64"/>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theme="1" tint="0.34998626667073579"/>
      </left>
      <right style="medium">
        <color rgb="FF000000"/>
      </right>
      <top/>
      <bottom/>
      <diagonal/>
    </border>
    <border>
      <left style="thin">
        <color rgb="FF808080"/>
      </left>
      <right style="thin">
        <color rgb="FF808080"/>
      </right>
      <top style="thin">
        <color rgb="FF808080"/>
      </top>
      <bottom/>
      <diagonal/>
    </border>
    <border>
      <left style="thin">
        <color indexed="64"/>
      </left>
      <right style="thin">
        <color rgb="FF808080"/>
      </right>
      <top style="thin">
        <color indexed="64"/>
      </top>
      <bottom style="thin">
        <color rgb="FF808080"/>
      </bottom>
      <diagonal/>
    </border>
    <border>
      <left style="thin">
        <color rgb="FF808080"/>
      </left>
      <right style="thin">
        <color rgb="FF808080"/>
      </right>
      <top style="thin">
        <color indexed="64"/>
      </top>
      <bottom style="thin">
        <color rgb="FF808080"/>
      </bottom>
      <diagonal/>
    </border>
    <border>
      <left style="thin">
        <color theme="1" tint="0.499984740745262"/>
      </left>
      <right style="thin">
        <color indexed="64"/>
      </right>
      <top style="thin">
        <color indexed="64"/>
      </top>
      <bottom/>
      <diagonal/>
    </border>
    <border>
      <left style="thin">
        <color indexed="64"/>
      </left>
      <right style="thin">
        <color rgb="FF808080"/>
      </right>
      <top style="thin">
        <color rgb="FF808080"/>
      </top>
      <bottom style="thin">
        <color rgb="FF808080"/>
      </bottom>
      <diagonal/>
    </border>
    <border>
      <left style="thin">
        <color indexed="64"/>
      </left>
      <right style="thin">
        <color rgb="FF808080"/>
      </right>
      <top style="thin">
        <color rgb="FF808080"/>
      </top>
      <bottom style="thin">
        <color indexed="64"/>
      </bottom>
      <diagonal/>
    </border>
    <border>
      <left style="thin">
        <color rgb="FF808080"/>
      </left>
      <right style="thin">
        <color rgb="FF808080"/>
      </right>
      <top style="thin">
        <color rgb="FF808080"/>
      </top>
      <bottom style="thin">
        <color indexed="64"/>
      </bottom>
      <diagonal/>
    </border>
    <border>
      <left style="thin">
        <color rgb="FF808080"/>
      </left>
      <right style="thin">
        <color rgb="FF808080"/>
      </right>
      <top/>
      <bottom style="thin">
        <color indexed="64"/>
      </bottom>
      <diagonal/>
    </border>
    <border>
      <left style="thin">
        <color theme="1" tint="0.499984740745262"/>
      </left>
      <right style="thin">
        <color indexed="64"/>
      </right>
      <top style="thin">
        <color indexed="64"/>
      </top>
      <bottom style="thin">
        <color indexed="64"/>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000000"/>
      </left>
      <right/>
      <top/>
      <bottom/>
      <diagonal/>
    </border>
    <border>
      <left style="thin">
        <color rgb="FF808080"/>
      </left>
      <right/>
      <top style="thin">
        <color rgb="FF808080"/>
      </top>
      <bottom style="thin">
        <color indexed="64"/>
      </bottom>
      <diagonal/>
    </border>
    <border>
      <left/>
      <right style="thin">
        <color indexed="64"/>
      </right>
      <top style="thin">
        <color rgb="FF808080"/>
      </top>
      <bottom style="thin">
        <color indexed="64"/>
      </bottom>
      <diagonal/>
    </border>
    <border>
      <left style="thin">
        <color theme="1" tint="0.34998626667073579"/>
      </left>
      <right/>
      <top/>
      <bottom style="thin">
        <color theme="1" tint="0.34998626667073579"/>
      </bottom>
      <diagonal/>
    </border>
    <border>
      <left/>
      <right/>
      <top/>
      <bottom style="thin">
        <color theme="1" tint="0.249977111117893"/>
      </bottom>
      <diagonal/>
    </border>
    <border>
      <left style="thin">
        <color theme="1" tint="0.249977111117893"/>
      </left>
      <right/>
      <top/>
      <bottom style="thin">
        <color theme="1" tint="0.249977111117893"/>
      </bottom>
      <diagonal/>
    </border>
    <border>
      <left style="thin">
        <color theme="1" tint="0.249977111117893"/>
      </left>
      <right/>
      <top/>
      <bottom/>
      <diagonal/>
    </border>
    <border>
      <left/>
      <right style="thin">
        <color theme="1" tint="0.249977111117893"/>
      </right>
      <top/>
      <bottom/>
      <diagonal/>
    </border>
    <border>
      <left/>
      <right style="thin">
        <color theme="1" tint="0.249977111117893"/>
      </right>
      <top/>
      <bottom style="thin">
        <color theme="1" tint="0.249977111117893"/>
      </bottom>
      <diagonal/>
    </border>
    <border>
      <left/>
      <right style="thin">
        <color indexed="64"/>
      </right>
      <top/>
      <bottom style="thin">
        <color theme="1" tint="0.249977111117893"/>
      </bottom>
      <diagonal/>
    </border>
    <border>
      <left/>
      <right style="thin">
        <color indexed="64"/>
      </right>
      <top style="thin">
        <color theme="1" tint="0.249977111117893"/>
      </top>
      <bottom/>
      <diagonal/>
    </border>
    <border>
      <left/>
      <right style="thin">
        <color rgb="FF000000"/>
      </right>
      <top/>
      <bottom/>
      <diagonal/>
    </border>
    <border>
      <left style="thin">
        <color indexed="64"/>
      </left>
      <right style="thin">
        <color indexed="64"/>
      </right>
      <top style="medium">
        <color rgb="FF000000"/>
      </top>
      <bottom style="thin">
        <color indexed="64"/>
      </bottom>
      <diagonal/>
    </border>
    <border>
      <left style="thin">
        <color indexed="64"/>
      </left>
      <right style="medium">
        <color rgb="FF000000"/>
      </right>
      <top style="medium">
        <color rgb="FF000000"/>
      </top>
      <bottom style="thin">
        <color indexed="64"/>
      </bottom>
      <diagonal/>
    </border>
    <border>
      <left style="thin">
        <color indexed="64"/>
      </left>
      <right style="medium">
        <color rgb="FF000000"/>
      </right>
      <top style="thin">
        <color indexed="64"/>
      </top>
      <bottom style="thin">
        <color indexed="64"/>
      </bottom>
      <diagonal/>
    </border>
    <border>
      <left style="thin">
        <color indexed="64"/>
      </left>
      <right style="medium">
        <color rgb="FF000000"/>
      </right>
      <top style="thin">
        <color indexed="64"/>
      </top>
      <bottom style="medium">
        <color rgb="FF000000"/>
      </bottom>
      <diagonal/>
    </border>
    <border>
      <left style="thin">
        <color rgb="FF000000"/>
      </left>
      <right style="thin">
        <color indexed="64"/>
      </right>
      <top style="thin">
        <color rgb="FF000000"/>
      </top>
      <bottom style="thin">
        <color indexed="64"/>
      </bottom>
      <diagonal/>
    </border>
  </borders>
  <cellStyleXfs count="17">
    <xf numFmtId="0" fontId="0" fillId="0" borderId="0"/>
    <xf numFmtId="0" fontId="1" fillId="0" borderId="0"/>
    <xf numFmtId="9" fontId="2" fillId="0" borderId="0" applyFont="0" applyFill="0" applyBorder="0" applyAlignment="0" applyProtection="0"/>
    <xf numFmtId="0" fontId="3" fillId="0" borderId="0" applyNumberFormat="0" applyFill="0" applyBorder="0" applyAlignment="0" applyProtection="0"/>
    <xf numFmtId="0" fontId="5" fillId="0" borderId="0"/>
    <xf numFmtId="0" fontId="7" fillId="0" borderId="0" applyNumberFormat="0" applyFill="0" applyBorder="0" applyAlignment="0" applyProtection="0"/>
    <xf numFmtId="43" fontId="2" fillId="0" borderId="0" applyFont="0" applyFill="0" applyBorder="0" applyAlignment="0" applyProtection="0"/>
    <xf numFmtId="0" fontId="2" fillId="0" borderId="0"/>
    <xf numFmtId="9" fontId="5" fillId="0" borderId="0" applyFont="0" applyFill="0" applyBorder="0" applyAlignment="0" applyProtection="0"/>
    <xf numFmtId="0" fontId="12" fillId="0" borderId="0"/>
    <xf numFmtId="0" fontId="14" fillId="0" borderId="0" applyNumberFormat="0" applyFill="0" applyBorder="0" applyAlignment="0" applyProtection="0"/>
    <xf numFmtId="0" fontId="5" fillId="0" borderId="0"/>
    <xf numFmtId="0" fontId="5" fillId="0" borderId="0"/>
    <xf numFmtId="0" fontId="2" fillId="0" borderId="0"/>
    <xf numFmtId="0" fontId="43" fillId="0" borderId="0"/>
    <xf numFmtId="43" fontId="43" fillId="0" borderId="0" applyFont="0" applyFill="0" applyBorder="0" applyAlignment="0" applyProtection="0"/>
    <xf numFmtId="9" fontId="44" fillId="0" borderId="0" applyFont="0" applyFill="0" applyBorder="0" applyAlignment="0" applyProtection="0"/>
  </cellStyleXfs>
  <cellXfs count="831">
    <xf numFmtId="0" fontId="0" fillId="0" borderId="0" xfId="0"/>
    <xf numFmtId="0" fontId="7" fillId="0" borderId="0" xfId="5"/>
    <xf numFmtId="0" fontId="10" fillId="0" borderId="0" xfId="0" applyFont="1"/>
    <xf numFmtId="0" fontId="10" fillId="0" borderId="0" xfId="0" applyFont="1" applyAlignment="1">
      <alignment horizontal="center" vertical="center"/>
    </xf>
    <xf numFmtId="0" fontId="5" fillId="0" borderId="0" xfId="0" applyFont="1"/>
    <xf numFmtId="0" fontId="6" fillId="0" borderId="0" xfId="0" applyFont="1"/>
    <xf numFmtId="0" fontId="5" fillId="0" borderId="0" xfId="0" applyFont="1" applyAlignment="1">
      <alignment vertical="center"/>
    </xf>
    <xf numFmtId="165" fontId="5" fillId="0" borderId="0" xfId="0" applyNumberFormat="1" applyFont="1"/>
    <xf numFmtId="0" fontId="5" fillId="0" borderId="0" xfId="0" applyFont="1" applyAlignment="1">
      <alignment wrapText="1"/>
    </xf>
    <xf numFmtId="0" fontId="13" fillId="0" borderId="0" xfId="0" applyFont="1" applyAlignment="1">
      <alignment vertical="center"/>
    </xf>
    <xf numFmtId="0" fontId="1" fillId="0" borderId="2" xfId="1" applyBorder="1" applyAlignment="1">
      <alignment vertical="center" wrapText="1"/>
    </xf>
    <xf numFmtId="3" fontId="1" fillId="0" borderId="2" xfId="1" applyNumberFormat="1" applyBorder="1" applyAlignment="1">
      <alignment horizontal="center" vertical="center" wrapText="1"/>
    </xf>
    <xf numFmtId="0" fontId="1" fillId="0" borderId="2" xfId="1" applyBorder="1" applyAlignment="1">
      <alignment vertical="center"/>
    </xf>
    <xf numFmtId="0" fontId="1" fillId="0" borderId="2" xfId="1" applyBorder="1" applyAlignment="1">
      <alignment horizontal="center" vertical="center" wrapText="1"/>
    </xf>
    <xf numFmtId="0" fontId="5" fillId="0" borderId="2" xfId="0" applyFont="1" applyBorder="1" applyAlignment="1">
      <alignment vertical="center"/>
    </xf>
    <xf numFmtId="0" fontId="5" fillId="0" borderId="2" xfId="0" applyFont="1" applyBorder="1" applyAlignment="1">
      <alignment vertical="center" wrapText="1"/>
    </xf>
    <xf numFmtId="0" fontId="17" fillId="7" borderId="2" xfId="0" applyFont="1" applyFill="1" applyBorder="1" applyAlignment="1">
      <alignment vertical="center"/>
    </xf>
    <xf numFmtId="0" fontId="17" fillId="7" borderId="2" xfId="0" applyFont="1" applyFill="1" applyBorder="1" applyAlignment="1">
      <alignment horizontal="left" vertical="center"/>
    </xf>
    <xf numFmtId="3" fontId="5" fillId="0" borderId="2" xfId="7" applyNumberFormat="1" applyFont="1" applyBorder="1" applyAlignment="1">
      <alignment horizontal="center" vertical="center"/>
    </xf>
    <xf numFmtId="0" fontId="9" fillId="0" borderId="2" xfId="3" applyFont="1" applyBorder="1" applyAlignment="1">
      <alignment horizontal="center" vertical="center" wrapText="1"/>
    </xf>
    <xf numFmtId="3" fontId="9" fillId="0" borderId="2" xfId="3" applyNumberFormat="1" applyFont="1" applyBorder="1" applyAlignment="1">
      <alignment horizontal="center" vertical="center" wrapText="1"/>
    </xf>
    <xf numFmtId="3" fontId="9" fillId="0" borderId="2" xfId="3" applyNumberFormat="1" applyFont="1" applyFill="1" applyBorder="1" applyAlignment="1">
      <alignment horizontal="center" vertical="center" wrapText="1"/>
    </xf>
    <xf numFmtId="165" fontId="5" fillId="0" borderId="0" xfId="0" applyNumberFormat="1" applyFont="1" applyAlignment="1">
      <alignment horizontal="center" vertical="center"/>
    </xf>
    <xf numFmtId="0" fontId="5" fillId="0" borderId="0" xfId="0" applyFont="1" applyAlignment="1">
      <alignment horizontal="center" vertical="top" wrapText="1"/>
    </xf>
    <xf numFmtId="0" fontId="6" fillId="2" borderId="0" xfId="0" applyFont="1" applyFill="1"/>
    <xf numFmtId="0" fontId="6" fillId="2" borderId="0" xfId="0" applyFont="1" applyFill="1" applyAlignment="1">
      <alignment wrapText="1"/>
    </xf>
    <xf numFmtId="0" fontId="6" fillId="2" borderId="0" xfId="0" applyFont="1" applyFill="1" applyAlignment="1">
      <alignment horizontal="left"/>
    </xf>
    <xf numFmtId="0" fontId="6" fillId="2" borderId="0" xfId="0" applyFont="1" applyFill="1" applyAlignment="1">
      <alignment horizontal="center"/>
    </xf>
    <xf numFmtId="0" fontId="18" fillId="7" borderId="2" xfId="0" applyFont="1" applyFill="1" applyBorder="1" applyAlignment="1">
      <alignment horizontal="center" vertical="center" wrapText="1"/>
    </xf>
    <xf numFmtId="0" fontId="17" fillId="7" borderId="2" xfId="0" applyFont="1" applyFill="1" applyBorder="1" applyAlignment="1">
      <alignment horizontal="center" vertical="center"/>
    </xf>
    <xf numFmtId="0" fontId="19" fillId="0" borderId="0" xfId="0" applyFont="1"/>
    <xf numFmtId="0" fontId="5" fillId="0" borderId="2" xfId="0" applyFont="1" applyBorder="1" applyAlignment="1">
      <alignment horizontal="center" vertical="top" wrapText="1"/>
    </xf>
    <xf numFmtId="0" fontId="1" fillId="0" borderId="2" xfId="0" applyFont="1" applyBorder="1" applyAlignment="1">
      <alignment horizontal="center" vertical="center" wrapText="1"/>
    </xf>
    <xf numFmtId="0" fontId="5" fillId="0" borderId="2" xfId="0" applyFont="1" applyBorder="1"/>
    <xf numFmtId="9" fontId="5" fillId="0" borderId="0" xfId="2" applyFont="1" applyFill="1" applyBorder="1" applyAlignment="1">
      <alignment horizontal="center" vertical="center"/>
    </xf>
    <xf numFmtId="2" fontId="6" fillId="0" borderId="0" xfId="0" applyNumberFormat="1" applyFont="1" applyAlignment="1">
      <alignment horizontal="left" vertical="center"/>
    </xf>
    <xf numFmtId="0" fontId="17" fillId="7" borderId="31" xfId="0" applyFont="1" applyFill="1" applyBorder="1" applyAlignment="1">
      <alignment horizontal="center" vertical="center" wrapText="1"/>
    </xf>
    <xf numFmtId="0" fontId="5" fillId="11" borderId="0" xfId="0" applyFont="1" applyFill="1"/>
    <xf numFmtId="0" fontId="6" fillId="0" borderId="0" xfId="0" applyFont="1" applyAlignment="1">
      <alignment horizontal="left" vertical="center" wrapText="1"/>
    </xf>
    <xf numFmtId="1" fontId="5" fillId="0" borderId="0" xfId="0" applyNumberFormat="1" applyFont="1"/>
    <xf numFmtId="9" fontId="5" fillId="0" borderId="0" xfId="2" applyFont="1" applyFill="1" applyBorder="1"/>
    <xf numFmtId="9" fontId="5" fillId="0" borderId="0" xfId="0" applyNumberFormat="1" applyFont="1"/>
    <xf numFmtId="0" fontId="22" fillId="10" borderId="2" xfId="0" applyFont="1" applyFill="1" applyBorder="1" applyAlignment="1">
      <alignment horizontal="left" vertical="center" wrapText="1"/>
    </xf>
    <xf numFmtId="0" fontId="22" fillId="10" borderId="2" xfId="0" applyFont="1" applyFill="1" applyBorder="1" applyAlignment="1">
      <alignment horizontal="left" vertical="center"/>
    </xf>
    <xf numFmtId="0" fontId="5" fillId="0" borderId="20" xfId="0" applyFont="1" applyBorder="1" applyAlignment="1">
      <alignment horizontal="left"/>
    </xf>
    <xf numFmtId="10" fontId="5" fillId="0" borderId="20" xfId="8" applyNumberFormat="1" applyFont="1" applyBorder="1" applyAlignment="1">
      <alignment horizontal="center"/>
    </xf>
    <xf numFmtId="10" fontId="5" fillId="0" borderId="0" xfId="8" applyNumberFormat="1" applyFont="1" applyBorder="1" applyAlignment="1">
      <alignment horizontal="center"/>
    </xf>
    <xf numFmtId="10" fontId="5" fillId="0" borderId="21" xfId="8" applyNumberFormat="1" applyFont="1" applyBorder="1" applyAlignment="1">
      <alignment horizontal="center"/>
    </xf>
    <xf numFmtId="164" fontId="5" fillId="0" borderId="0" xfId="0" applyNumberFormat="1" applyFont="1"/>
    <xf numFmtId="0" fontId="1" fillId="0" borderId="2" xfId="0" applyFont="1" applyBorder="1" applyAlignment="1">
      <alignment horizontal="center" vertical="center"/>
    </xf>
    <xf numFmtId="0" fontId="6" fillId="7" borderId="31" xfId="0" applyFont="1" applyFill="1" applyBorder="1" applyAlignment="1">
      <alignment horizontal="center" vertical="center"/>
    </xf>
    <xf numFmtId="9" fontId="5" fillId="0" borderId="0" xfId="0" applyNumberFormat="1" applyFont="1" applyAlignment="1">
      <alignment vertical="center"/>
    </xf>
    <xf numFmtId="0" fontId="6" fillId="0" borderId="0" xfId="0" applyFont="1" applyAlignment="1">
      <alignment vertical="center"/>
    </xf>
    <xf numFmtId="0" fontId="14" fillId="0" borderId="0" xfId="5" applyFont="1" applyAlignment="1">
      <alignment vertical="center"/>
    </xf>
    <xf numFmtId="0" fontId="5" fillId="4" borderId="0" xfId="0" applyFont="1" applyFill="1"/>
    <xf numFmtId="0" fontId="5" fillId="4" borderId="0" xfId="0" applyFont="1" applyFill="1" applyAlignment="1">
      <alignment vertical="center"/>
    </xf>
    <xf numFmtId="0" fontId="22" fillId="7" borderId="15" xfId="0" applyFont="1" applyFill="1" applyBorder="1" applyAlignment="1">
      <alignment horizontal="center" vertical="center" wrapText="1"/>
    </xf>
    <xf numFmtId="9" fontId="5" fillId="0" borderId="31" xfId="2" applyFont="1" applyFill="1" applyBorder="1" applyAlignment="1">
      <alignment horizontal="center" vertical="center"/>
    </xf>
    <xf numFmtId="3" fontId="5" fillId="0" borderId="2" xfId="0" applyNumberFormat="1" applyFont="1" applyBorder="1" applyAlignment="1">
      <alignment horizontal="center" vertical="center"/>
    </xf>
    <xf numFmtId="0" fontId="5" fillId="7" borderId="31" xfId="0" applyFont="1" applyFill="1" applyBorder="1" applyAlignment="1">
      <alignment horizontal="center" vertical="center"/>
    </xf>
    <xf numFmtId="2" fontId="5" fillId="0" borderId="31" xfId="0" applyNumberFormat="1" applyFont="1" applyBorder="1" applyAlignment="1">
      <alignment horizontal="center" vertical="center"/>
    </xf>
    <xf numFmtId="2" fontId="5" fillId="0" borderId="31" xfId="0" applyNumberFormat="1" applyFont="1" applyBorder="1" applyAlignment="1">
      <alignment horizontal="center" vertical="center" wrapText="1"/>
    </xf>
    <xf numFmtId="0" fontId="6" fillId="0" borderId="31" xfId="0" applyFont="1" applyBorder="1" applyAlignment="1">
      <alignment horizontal="center" vertical="center"/>
    </xf>
    <xf numFmtId="165" fontId="5" fillId="0" borderId="31" xfId="0" applyNumberFormat="1" applyFont="1" applyBorder="1" applyAlignment="1">
      <alignment horizontal="center" vertical="center"/>
    </xf>
    <xf numFmtId="0" fontId="20" fillId="0" borderId="0" xfId="0" applyFont="1" applyAlignment="1">
      <alignment horizontal="center" vertical="center"/>
    </xf>
    <xf numFmtId="168" fontId="20" fillId="0" borderId="39" xfId="0" applyNumberFormat="1" applyFont="1" applyBorder="1" applyAlignment="1">
      <alignment horizontal="center" vertical="center"/>
    </xf>
    <xf numFmtId="0" fontId="20" fillId="0" borderId="42" xfId="0" applyFont="1" applyBorder="1" applyAlignment="1">
      <alignment horizontal="center" vertical="center"/>
    </xf>
    <xf numFmtId="0" fontId="20" fillId="0" borderId="44" xfId="0" applyFont="1" applyBorder="1" applyAlignment="1">
      <alignment horizontal="center" vertical="center"/>
    </xf>
    <xf numFmtId="0" fontId="20" fillId="0" borderId="47" xfId="0" applyFont="1" applyBorder="1" applyAlignment="1">
      <alignment horizontal="center" vertical="center"/>
    </xf>
    <xf numFmtId="168" fontId="20" fillId="0" borderId="41" xfId="0" applyNumberFormat="1" applyFont="1" applyBorder="1" applyAlignment="1">
      <alignment horizontal="center" vertical="center"/>
    </xf>
    <xf numFmtId="168" fontId="20" fillId="0" borderId="42" xfId="0" applyNumberFormat="1" applyFont="1" applyBorder="1" applyAlignment="1">
      <alignment horizontal="center" vertical="center"/>
    </xf>
    <xf numFmtId="168" fontId="20" fillId="0" borderId="44" xfId="0" applyNumberFormat="1" applyFont="1" applyBorder="1" applyAlignment="1">
      <alignment horizontal="center" vertical="center"/>
    </xf>
    <xf numFmtId="168" fontId="20" fillId="0" borderId="46" xfId="0" applyNumberFormat="1" applyFont="1" applyBorder="1" applyAlignment="1">
      <alignment horizontal="center" vertical="center"/>
    </xf>
    <xf numFmtId="168" fontId="20" fillId="0" borderId="47" xfId="0" applyNumberFormat="1" applyFont="1" applyBorder="1" applyAlignment="1">
      <alignment horizontal="center" vertical="center"/>
    </xf>
    <xf numFmtId="0" fontId="23" fillId="4" borderId="0" xfId="0" applyFont="1" applyFill="1" applyAlignment="1">
      <alignment vertical="center" wrapText="1"/>
    </xf>
    <xf numFmtId="0" fontId="20" fillId="4" borderId="0" xfId="0" applyFont="1" applyFill="1" applyAlignment="1">
      <alignment horizontal="center" vertical="center"/>
    </xf>
    <xf numFmtId="165" fontId="20" fillId="4" borderId="0" xfId="0" applyNumberFormat="1" applyFont="1" applyFill="1" applyAlignment="1">
      <alignment horizontal="center" vertical="center"/>
    </xf>
    <xf numFmtId="3" fontId="5" fillId="0" borderId="0" xfId="0" applyNumberFormat="1" applyFont="1" applyAlignment="1">
      <alignment horizontal="left"/>
    </xf>
    <xf numFmtId="0" fontId="6" fillId="0" borderId="0" xfId="0" applyFont="1" applyAlignment="1">
      <alignment horizontal="left" vertical="center"/>
    </xf>
    <xf numFmtId="0" fontId="5" fillId="0" borderId="0" xfId="12"/>
    <xf numFmtId="0" fontId="22" fillId="0" borderId="0" xfId="0" applyFont="1" applyAlignment="1">
      <alignment horizontal="left" vertical="center" wrapText="1"/>
    </xf>
    <xf numFmtId="0" fontId="22" fillId="0" borderId="0" xfId="0" applyFont="1" applyAlignment="1">
      <alignment horizontal="left" vertical="center"/>
    </xf>
    <xf numFmtId="0" fontId="22" fillId="0" borderId="0" xfId="0" applyFont="1" applyAlignment="1">
      <alignment horizontal="center" vertical="center" wrapText="1"/>
    </xf>
    <xf numFmtId="10" fontId="5" fillId="0" borderId="0" xfId="8" applyNumberFormat="1" applyFont="1" applyFill="1" applyBorder="1" applyAlignment="1">
      <alignment horizontal="center"/>
    </xf>
    <xf numFmtId="0" fontId="15" fillId="11" borderId="0" xfId="0" applyFont="1" applyFill="1"/>
    <xf numFmtId="0" fontId="21" fillId="11" borderId="0" xfId="0" applyFont="1" applyFill="1"/>
    <xf numFmtId="0" fontId="22" fillId="0" borderId="0" xfId="12" applyFont="1"/>
    <xf numFmtId="0" fontId="22" fillId="10" borderId="22" xfId="0" applyFont="1" applyFill="1" applyBorder="1" applyAlignment="1">
      <alignment horizontal="center" vertical="center" wrapText="1"/>
    </xf>
    <xf numFmtId="0" fontId="22" fillId="10" borderId="2" xfId="12" applyFont="1" applyFill="1" applyBorder="1" applyAlignment="1">
      <alignment horizontal="left" vertical="center" wrapText="1"/>
    </xf>
    <xf numFmtId="0" fontId="22" fillId="10" borderId="3" xfId="12" applyFont="1" applyFill="1" applyBorder="1" applyAlignment="1">
      <alignment horizontal="left" vertical="center"/>
    </xf>
    <xf numFmtId="0" fontId="22" fillId="10" borderId="29" xfId="12" applyFont="1" applyFill="1" applyBorder="1" applyAlignment="1">
      <alignment horizontal="center" vertical="center" wrapText="1"/>
    </xf>
    <xf numFmtId="0" fontId="22" fillId="10" borderId="22" xfId="12" applyFont="1" applyFill="1" applyBorder="1" applyAlignment="1">
      <alignment horizontal="center" vertical="center" wrapText="1"/>
    </xf>
    <xf numFmtId="0" fontId="22" fillId="10" borderId="30" xfId="12" applyFont="1" applyFill="1" applyBorder="1" applyAlignment="1">
      <alignment horizontal="center" vertical="center" wrapText="1"/>
    </xf>
    <xf numFmtId="0" fontId="22" fillId="10" borderId="25" xfId="12" applyFont="1" applyFill="1" applyBorder="1" applyAlignment="1">
      <alignment horizontal="center" vertical="center" wrapText="1"/>
    </xf>
    <xf numFmtId="3" fontId="5" fillId="0" borderId="28" xfId="8" applyNumberFormat="1" applyFont="1" applyBorder="1" applyAlignment="1">
      <alignment horizontal="left"/>
    </xf>
    <xf numFmtId="3" fontId="5" fillId="0" borderId="0" xfId="8" applyNumberFormat="1" applyFont="1" applyBorder="1" applyAlignment="1">
      <alignment horizontal="left"/>
    </xf>
    <xf numFmtId="3" fontId="5" fillId="0" borderId="27" xfId="8" applyNumberFormat="1" applyFont="1" applyBorder="1" applyAlignment="1">
      <alignment horizontal="left"/>
    </xf>
    <xf numFmtId="9" fontId="5" fillId="0" borderId="31" xfId="0" applyNumberFormat="1" applyFont="1" applyBorder="1" applyAlignment="1">
      <alignment horizontal="center"/>
    </xf>
    <xf numFmtId="0" fontId="6" fillId="0" borderId="0" xfId="4" applyFont="1" applyAlignment="1">
      <alignment horizontal="center"/>
    </xf>
    <xf numFmtId="9" fontId="5" fillId="0" borderId="0" xfId="0" applyNumberFormat="1" applyFont="1" applyAlignment="1">
      <alignment horizontal="center"/>
    </xf>
    <xf numFmtId="3" fontId="5" fillId="0" borderId="0" xfId="0" applyNumberFormat="1" applyFont="1" applyAlignment="1">
      <alignment horizontal="center" vertical="center"/>
    </xf>
    <xf numFmtId="165" fontId="5" fillId="0" borderId="2" xfId="0" applyNumberFormat="1" applyFont="1" applyBorder="1" applyAlignment="1">
      <alignment horizontal="center" vertical="center"/>
    </xf>
    <xf numFmtId="2" fontId="5" fillId="0" borderId="35" xfId="0" applyNumberFormat="1" applyFont="1" applyBorder="1"/>
    <xf numFmtId="0" fontId="5" fillId="0" borderId="35" xfId="0" applyFont="1" applyBorder="1"/>
    <xf numFmtId="0" fontId="6" fillId="2" borderId="0" xfId="0" applyFont="1" applyFill="1" applyAlignment="1">
      <alignment horizontal="center" vertical="center"/>
    </xf>
    <xf numFmtId="168" fontId="20" fillId="0" borderId="0" xfId="0" applyNumberFormat="1" applyFont="1" applyAlignment="1">
      <alignment horizontal="center" vertical="center"/>
    </xf>
    <xf numFmtId="3" fontId="5" fillId="0" borderId="0" xfId="7" applyNumberFormat="1" applyFont="1" applyAlignment="1">
      <alignment horizontal="center" vertical="center"/>
    </xf>
    <xf numFmtId="0" fontId="5" fillId="7" borderId="2" xfId="0" applyFont="1" applyFill="1" applyBorder="1" applyAlignment="1">
      <alignment horizontal="center" vertical="center"/>
    </xf>
    <xf numFmtId="0" fontId="9" fillId="0" borderId="2" xfId="3" applyFont="1" applyFill="1" applyBorder="1" applyAlignment="1">
      <alignment horizontal="center" vertical="center" wrapText="1"/>
    </xf>
    <xf numFmtId="168" fontId="5" fillId="0" borderId="2" xfId="0" applyNumberFormat="1" applyFont="1" applyBorder="1" applyAlignment="1">
      <alignment horizontal="center" vertical="center"/>
    </xf>
    <xf numFmtId="9" fontId="5" fillId="0" borderId="33" xfId="2" applyFont="1" applyFill="1" applyBorder="1" applyAlignment="1">
      <alignment horizontal="center" vertical="center"/>
    </xf>
    <xf numFmtId="9" fontId="5" fillId="0" borderId="33" xfId="0" applyNumberFormat="1" applyFont="1" applyBorder="1" applyAlignment="1">
      <alignment horizontal="center"/>
    </xf>
    <xf numFmtId="0" fontId="26" fillId="0" borderId="0" xfId="0" applyFont="1"/>
    <xf numFmtId="0" fontId="27" fillId="0" borderId="0" xfId="0" quotePrefix="1" applyFont="1"/>
    <xf numFmtId="0" fontId="26" fillId="0" borderId="0" xfId="0" applyFont="1" applyAlignment="1">
      <alignment wrapText="1"/>
    </xf>
    <xf numFmtId="0" fontId="26" fillId="0" borderId="0" xfId="0" applyFont="1" applyAlignment="1">
      <alignment horizontal="center"/>
    </xf>
    <xf numFmtId="166" fontId="1" fillId="0" borderId="2" xfId="1" applyNumberFormat="1" applyBorder="1" applyAlignment="1">
      <alignment horizontal="center" vertical="center" wrapText="1"/>
    </xf>
    <xf numFmtId="0" fontId="7" fillId="0" borderId="0" xfId="5" applyAlignment="1">
      <alignment vertical="center"/>
    </xf>
    <xf numFmtId="0" fontId="5" fillId="0" borderId="0" xfId="4" applyAlignment="1">
      <alignment horizontal="center" vertical="center"/>
    </xf>
    <xf numFmtId="9" fontId="6" fillId="0" borderId="31" xfId="2" applyFont="1" applyFill="1" applyBorder="1" applyAlignment="1">
      <alignment horizontal="center" vertical="center"/>
    </xf>
    <xf numFmtId="0" fontId="6" fillId="0" borderId="33" xfId="4" applyFont="1" applyBorder="1" applyAlignment="1">
      <alignment horizontal="center" vertical="center"/>
    </xf>
    <xf numFmtId="0" fontId="6" fillId="0" borderId="31" xfId="4" applyFont="1" applyBorder="1" applyAlignment="1">
      <alignment horizontal="center" vertical="center"/>
    </xf>
    <xf numFmtId="9" fontId="6" fillId="0" borderId="31" xfId="0" applyNumberFormat="1" applyFont="1" applyBorder="1" applyAlignment="1">
      <alignment horizontal="center"/>
    </xf>
    <xf numFmtId="9" fontId="5" fillId="0" borderId="0" xfId="0" applyNumberFormat="1" applyFont="1" applyAlignment="1">
      <alignment horizontal="left"/>
    </xf>
    <xf numFmtId="0" fontId="1" fillId="0" borderId="2" xfId="0" applyFont="1" applyBorder="1" applyAlignment="1">
      <alignment horizontal="left" vertical="center" wrapText="1"/>
    </xf>
    <xf numFmtId="4" fontId="5" fillId="0" borderId="2" xfId="7" applyNumberFormat="1" applyFont="1" applyBorder="1" applyAlignment="1">
      <alignment horizontal="center" vertical="center"/>
    </xf>
    <xf numFmtId="3" fontId="5" fillId="0" borderId="2" xfId="0" applyNumberFormat="1" applyFont="1" applyBorder="1" applyAlignment="1">
      <alignment horizontal="center" vertical="center" wrapText="1"/>
    </xf>
    <xf numFmtId="0" fontId="19" fillId="0" borderId="0" xfId="0" applyFont="1" applyAlignment="1">
      <alignment wrapText="1"/>
    </xf>
    <xf numFmtId="0" fontId="10" fillId="0" borderId="0" xfId="0" applyFont="1" applyAlignment="1">
      <alignment wrapText="1"/>
    </xf>
    <xf numFmtId="0" fontId="10" fillId="0" borderId="0" xfId="0" applyFont="1" applyAlignment="1">
      <alignment horizontal="center"/>
    </xf>
    <xf numFmtId="0" fontId="6" fillId="7" borderId="34" xfId="0" applyFont="1" applyFill="1" applyBorder="1" applyAlignment="1">
      <alignment horizontal="center" vertical="center" wrapText="1"/>
    </xf>
    <xf numFmtId="0" fontId="7" fillId="0" borderId="31" xfId="5" applyBorder="1" applyAlignment="1">
      <alignment horizontal="center" vertical="center"/>
    </xf>
    <xf numFmtId="0" fontId="5" fillId="0" borderId="0" xfId="0" applyFont="1" applyAlignment="1">
      <alignment horizontal="center" vertical="center" wrapText="1"/>
    </xf>
    <xf numFmtId="0" fontId="10" fillId="0" borderId="0" xfId="0" applyFont="1" applyAlignment="1">
      <alignment vertical="center"/>
    </xf>
    <xf numFmtId="0" fontId="5" fillId="4" borderId="0" xfId="0" applyFont="1" applyFill="1" applyAlignment="1">
      <alignment horizontal="center"/>
    </xf>
    <xf numFmtId="0" fontId="20" fillId="0" borderId="54" xfId="0" applyFont="1" applyBorder="1" applyAlignment="1">
      <alignment horizontal="center" vertical="center"/>
    </xf>
    <xf numFmtId="0" fontId="20" fillId="0" borderId="56" xfId="0" applyFont="1" applyBorder="1" applyAlignment="1">
      <alignment horizontal="center" vertical="center"/>
    </xf>
    <xf numFmtId="0" fontId="20" fillId="0" borderId="57" xfId="0" applyFont="1" applyBorder="1" applyAlignment="1">
      <alignment horizontal="center" vertical="center"/>
    </xf>
    <xf numFmtId="0" fontId="20" fillId="0" borderId="58" xfId="0" applyFont="1" applyBorder="1" applyAlignment="1">
      <alignment horizontal="center" vertical="center"/>
    </xf>
    <xf numFmtId="0" fontId="20" fillId="0" borderId="55" xfId="0" applyFont="1" applyBorder="1" applyAlignment="1">
      <alignment horizontal="center" vertical="center"/>
    </xf>
    <xf numFmtId="9" fontId="5" fillId="0" borderId="59" xfId="2" applyFont="1" applyFill="1" applyBorder="1" applyAlignment="1">
      <alignment horizontal="center" vertical="center"/>
    </xf>
    <xf numFmtId="0" fontId="5" fillId="0" borderId="60" xfId="0" applyFont="1" applyBorder="1" applyAlignment="1">
      <alignment vertical="center" wrapText="1"/>
    </xf>
    <xf numFmtId="0" fontId="22" fillId="12" borderId="61" xfId="0" applyFont="1" applyFill="1" applyBorder="1" applyAlignment="1">
      <alignment horizontal="center" vertical="center" wrapText="1"/>
    </xf>
    <xf numFmtId="9" fontId="9" fillId="0" borderId="2" xfId="3" applyNumberFormat="1" applyFont="1" applyBorder="1" applyAlignment="1">
      <alignment horizontal="center" vertical="center" wrapText="1"/>
    </xf>
    <xf numFmtId="0" fontId="31" fillId="0" borderId="0" xfId="0" applyFont="1" applyAlignment="1">
      <alignment horizontal="right"/>
    </xf>
    <xf numFmtId="0" fontId="6" fillId="7" borderId="61" xfId="0" applyFont="1" applyFill="1" applyBorder="1" applyAlignment="1">
      <alignment horizontal="center" vertical="center"/>
    </xf>
    <xf numFmtId="0" fontId="5" fillId="4" borderId="0" xfId="0" applyFont="1" applyFill="1" applyAlignment="1">
      <alignment vertical="center" wrapText="1"/>
    </xf>
    <xf numFmtId="0" fontId="34" fillId="0" borderId="0" xfId="0" applyFont="1"/>
    <xf numFmtId="0" fontId="20" fillId="0" borderId="70" xfId="0" applyFont="1" applyBorder="1" applyAlignment="1">
      <alignment horizontal="center" vertical="center"/>
    </xf>
    <xf numFmtId="2" fontId="20" fillId="0" borderId="1" xfId="0" applyNumberFormat="1" applyFont="1" applyBorder="1" applyAlignment="1">
      <alignment horizontal="center" vertical="center"/>
    </xf>
    <xf numFmtId="2" fontId="20" fillId="0" borderId="5" xfId="0" applyNumberFormat="1" applyFont="1" applyBorder="1" applyAlignment="1">
      <alignment horizontal="center" vertical="center"/>
    </xf>
    <xf numFmtId="0" fontId="20" fillId="0" borderId="14" xfId="0" applyFont="1" applyBorder="1" applyAlignment="1">
      <alignment horizontal="center" vertical="center"/>
    </xf>
    <xf numFmtId="2" fontId="20" fillId="0" borderId="2" xfId="0" applyNumberFormat="1" applyFont="1" applyBorder="1" applyAlignment="1">
      <alignment horizontal="center" vertical="center"/>
    </xf>
    <xf numFmtId="2" fontId="35" fillId="0" borderId="15" xfId="0" applyNumberFormat="1" applyFont="1" applyBorder="1" applyAlignment="1">
      <alignment horizontal="center" vertical="center"/>
    </xf>
    <xf numFmtId="2" fontId="35" fillId="0" borderId="2" xfId="0" applyNumberFormat="1" applyFont="1" applyBorder="1" applyAlignment="1">
      <alignment horizontal="center" vertical="center"/>
    </xf>
    <xf numFmtId="2" fontId="20" fillId="0" borderId="7" xfId="0" applyNumberFormat="1" applyFont="1" applyBorder="1" applyAlignment="1">
      <alignment horizontal="center" vertical="center"/>
    </xf>
    <xf numFmtId="0" fontId="20" fillId="0" borderId="18" xfId="0" applyFont="1" applyBorder="1" applyAlignment="1">
      <alignment horizontal="center" vertical="center"/>
    </xf>
    <xf numFmtId="2" fontId="20" fillId="0" borderId="15" xfId="0" applyNumberFormat="1" applyFont="1" applyBorder="1" applyAlignment="1">
      <alignment horizontal="center" vertical="center"/>
    </xf>
    <xf numFmtId="2" fontId="20" fillId="0" borderId="77" xfId="0" applyNumberFormat="1" applyFont="1" applyBorder="1" applyAlignment="1">
      <alignment horizontal="center" vertical="center"/>
    </xf>
    <xf numFmtId="0" fontId="20" fillId="0" borderId="79" xfId="0" applyFont="1" applyBorder="1" applyAlignment="1">
      <alignment horizontal="center" vertical="center"/>
    </xf>
    <xf numFmtId="0" fontId="20" fillId="0" borderId="80" xfId="0" applyFont="1" applyBorder="1" applyAlignment="1">
      <alignment horizontal="center" vertical="center"/>
    </xf>
    <xf numFmtId="0" fontId="20" fillId="0" borderId="81" xfId="0" applyFont="1" applyBorder="1" applyAlignment="1">
      <alignment horizontal="center" vertical="center"/>
    </xf>
    <xf numFmtId="2" fontId="20" fillId="0" borderId="51" xfId="0" applyNumberFormat="1" applyFont="1" applyBorder="1" applyAlignment="1">
      <alignment horizontal="center" vertical="center"/>
    </xf>
    <xf numFmtId="2" fontId="20" fillId="0" borderId="9" xfId="0" applyNumberFormat="1" applyFont="1" applyBorder="1" applyAlignment="1">
      <alignment horizontal="center" vertical="center"/>
    </xf>
    <xf numFmtId="2" fontId="35" fillId="0" borderId="83" xfId="0" applyNumberFormat="1" applyFont="1" applyBorder="1" applyAlignment="1">
      <alignment horizontal="center" vertical="center"/>
    </xf>
    <xf numFmtId="2" fontId="35" fillId="0" borderId="84" xfId="0" applyNumberFormat="1" applyFont="1" applyBorder="1" applyAlignment="1">
      <alignment horizontal="center" vertical="center"/>
    </xf>
    <xf numFmtId="2" fontId="35" fillId="0" borderId="59" xfId="0" applyNumberFormat="1" applyFont="1" applyBorder="1" applyAlignment="1">
      <alignment horizontal="center" vertical="center"/>
    </xf>
    <xf numFmtId="2" fontId="35" fillId="0" borderId="85" xfId="0" applyNumberFormat="1" applyFont="1" applyBorder="1" applyAlignment="1">
      <alignment horizontal="center" vertical="center"/>
    </xf>
    <xf numFmtId="0" fontId="20" fillId="0" borderId="88" xfId="0" applyFont="1" applyBorder="1" applyAlignment="1">
      <alignment horizontal="center" vertical="center"/>
    </xf>
    <xf numFmtId="2" fontId="35" fillId="0" borderId="89" xfId="0" applyNumberFormat="1" applyFont="1" applyBorder="1" applyAlignment="1">
      <alignment horizontal="center" vertical="center"/>
    </xf>
    <xf numFmtId="2" fontId="35" fillId="0" borderId="90" xfId="0" applyNumberFormat="1" applyFont="1" applyBorder="1" applyAlignment="1">
      <alignment horizontal="center" vertical="center"/>
    </xf>
    <xf numFmtId="0" fontId="20" fillId="0" borderId="91" xfId="0" applyFont="1" applyBorder="1" applyAlignment="1">
      <alignment horizontal="center" vertical="center"/>
    </xf>
    <xf numFmtId="2" fontId="20" fillId="0" borderId="22" xfId="0" applyNumberFormat="1" applyFont="1" applyBorder="1" applyAlignment="1">
      <alignment horizontal="center" vertical="center"/>
    </xf>
    <xf numFmtId="2" fontId="20" fillId="0" borderId="30" xfId="0" applyNumberFormat="1" applyFont="1" applyBorder="1" applyAlignment="1">
      <alignment horizontal="center" vertical="center"/>
    </xf>
    <xf numFmtId="1" fontId="20" fillId="0" borderId="2" xfId="0" applyNumberFormat="1" applyFont="1" applyBorder="1" applyAlignment="1">
      <alignment horizontal="center" vertical="center"/>
    </xf>
    <xf numFmtId="1" fontId="20" fillId="0" borderId="1" xfId="0" applyNumberFormat="1" applyFont="1" applyBorder="1" applyAlignment="1">
      <alignment horizontal="center" vertical="center"/>
    </xf>
    <xf numFmtId="1" fontId="20" fillId="0" borderId="5" xfId="0" applyNumberFormat="1" applyFont="1" applyBorder="1" applyAlignment="1">
      <alignment horizontal="center" vertical="center"/>
    </xf>
    <xf numFmtId="1" fontId="20" fillId="0" borderId="7" xfId="0" applyNumberFormat="1" applyFont="1" applyBorder="1" applyAlignment="1">
      <alignment horizontal="center" vertical="center"/>
    </xf>
    <xf numFmtId="1" fontId="20" fillId="0" borderId="51" xfId="0" applyNumberFormat="1" applyFont="1" applyBorder="1" applyAlignment="1">
      <alignment horizontal="center" vertical="center"/>
    </xf>
    <xf numFmtId="1" fontId="20" fillId="0" borderId="9" xfId="0" applyNumberFormat="1" applyFont="1" applyBorder="1" applyAlignment="1">
      <alignment horizontal="center" vertical="center"/>
    </xf>
    <xf numFmtId="1" fontId="20" fillId="0" borderId="22" xfId="0" applyNumberFormat="1" applyFont="1" applyBorder="1" applyAlignment="1">
      <alignment horizontal="center" vertical="center"/>
    </xf>
    <xf numFmtId="1" fontId="20" fillId="0" borderId="30" xfId="0" applyNumberFormat="1" applyFont="1" applyBorder="1" applyAlignment="1">
      <alignment horizontal="center" vertical="center"/>
    </xf>
    <xf numFmtId="1" fontId="20" fillId="0" borderId="78" xfId="0" applyNumberFormat="1" applyFont="1" applyBorder="1" applyAlignment="1">
      <alignment horizontal="center" vertical="center"/>
    </xf>
    <xf numFmtId="1" fontId="20" fillId="0" borderId="108" xfId="0" applyNumberFormat="1" applyFont="1" applyBorder="1" applyAlignment="1">
      <alignment horizontal="center" vertical="center"/>
    </xf>
    <xf numFmtId="1" fontId="20" fillId="0" borderId="61" xfId="0" applyNumberFormat="1" applyFont="1" applyBorder="1" applyAlignment="1">
      <alignment horizontal="center" vertical="center"/>
    </xf>
    <xf numFmtId="1" fontId="20" fillId="0" borderId="93" xfId="0" applyNumberFormat="1" applyFont="1" applyBorder="1" applyAlignment="1">
      <alignment horizontal="center" vertical="center"/>
    </xf>
    <xf numFmtId="1" fontId="20" fillId="0" borderId="86" xfId="0" applyNumberFormat="1" applyFont="1" applyBorder="1" applyAlignment="1">
      <alignment horizontal="center" vertical="center"/>
    </xf>
    <xf numFmtId="1" fontId="20" fillId="0" borderId="94" xfId="0" applyNumberFormat="1" applyFont="1" applyBorder="1" applyAlignment="1">
      <alignment horizontal="center" vertical="center"/>
    </xf>
    <xf numFmtId="0" fontId="20" fillId="0" borderId="115" xfId="0" applyFont="1" applyBorder="1" applyAlignment="1">
      <alignment horizontal="center" vertical="center"/>
    </xf>
    <xf numFmtId="0" fontId="20" fillId="0" borderId="118" xfId="0" applyFont="1" applyBorder="1" applyAlignment="1">
      <alignment horizontal="center" vertical="center"/>
    </xf>
    <xf numFmtId="0" fontId="6" fillId="2" borderId="0" xfId="0" applyFont="1" applyFill="1" applyAlignment="1">
      <alignment vertical="center"/>
    </xf>
    <xf numFmtId="0" fontId="1" fillId="0" borderId="2" xfId="3" applyFont="1" applyFill="1" applyBorder="1" applyAlignment="1">
      <alignment horizontal="center" vertical="center" wrapText="1"/>
    </xf>
    <xf numFmtId="0" fontId="22" fillId="7" borderId="15" xfId="0" applyFont="1" applyFill="1" applyBorder="1" applyAlignment="1">
      <alignment horizontal="left" vertical="center" wrapText="1"/>
    </xf>
    <xf numFmtId="0" fontId="22" fillId="7" borderId="61" xfId="0" applyFont="1" applyFill="1" applyBorder="1" applyAlignment="1">
      <alignment horizontal="center" vertical="center" wrapText="1"/>
    </xf>
    <xf numFmtId="0" fontId="5" fillId="0" borderId="2" xfId="0" applyFont="1" applyBorder="1" applyAlignment="1">
      <alignment horizontal="right" vertical="center"/>
    </xf>
    <xf numFmtId="171" fontId="5" fillId="0" borderId="2" xfId="0" applyNumberFormat="1" applyFont="1" applyBorder="1" applyAlignment="1">
      <alignment vertical="center"/>
    </xf>
    <xf numFmtId="169" fontId="5" fillId="0" borderId="2" xfId="6" applyNumberFormat="1" applyFont="1" applyBorder="1" applyAlignment="1">
      <alignment horizontal="right" vertical="center" wrapText="1"/>
    </xf>
    <xf numFmtId="0" fontId="5" fillId="0" borderId="14" xfId="0" applyFont="1" applyBorder="1" applyAlignment="1">
      <alignment vertical="center" wrapText="1"/>
    </xf>
    <xf numFmtId="0" fontId="5" fillId="0" borderId="14" xfId="0" applyFont="1" applyBorder="1" applyAlignment="1">
      <alignment horizontal="right" vertical="center"/>
    </xf>
    <xf numFmtId="169" fontId="5" fillId="0" borderId="14" xfId="6" applyNumberFormat="1" applyFont="1" applyBorder="1" applyAlignment="1">
      <alignment horizontal="right" vertical="center"/>
    </xf>
    <xf numFmtId="171" fontId="1" fillId="0" borderId="2" xfId="0" applyNumberFormat="1" applyFont="1" applyBorder="1" applyAlignment="1">
      <alignment vertical="center"/>
    </xf>
    <xf numFmtId="171" fontId="1" fillId="8" borderId="14" xfId="0" applyNumberFormat="1" applyFont="1" applyFill="1" applyBorder="1" applyAlignment="1">
      <alignment vertical="center"/>
    </xf>
    <xf numFmtId="0" fontId="15" fillId="0" borderId="0" xfId="0" applyFont="1"/>
    <xf numFmtId="0" fontId="21" fillId="0" borderId="0" xfId="0" applyFont="1"/>
    <xf numFmtId="0" fontId="22" fillId="12" borderId="61" xfId="0" applyFont="1" applyFill="1" applyBorder="1" applyAlignment="1">
      <alignment horizontal="center" vertical="center"/>
    </xf>
    <xf numFmtId="0" fontId="6" fillId="7" borderId="61" xfId="0" applyFont="1" applyFill="1" applyBorder="1" applyAlignment="1">
      <alignment horizontal="center" vertical="center" wrapText="1"/>
    </xf>
    <xf numFmtId="3" fontId="5" fillId="0" borderId="61" xfId="0" applyNumberFormat="1" applyFont="1" applyBorder="1" applyAlignment="1">
      <alignment horizontal="center" vertical="center"/>
    </xf>
    <xf numFmtId="165" fontId="5" fillId="0" borderId="61" xfId="0" applyNumberFormat="1" applyFont="1" applyBorder="1" applyAlignment="1">
      <alignment horizontal="center" vertical="center" wrapText="1"/>
    </xf>
    <xf numFmtId="165" fontId="5" fillId="0" borderId="61" xfId="0" applyNumberFormat="1" applyFont="1" applyBorder="1" applyAlignment="1">
      <alignment horizontal="center" vertical="center"/>
    </xf>
    <xf numFmtId="169" fontId="5" fillId="0" borderId="61" xfId="6" applyNumberFormat="1" applyFont="1" applyBorder="1" applyAlignment="1">
      <alignment horizontal="center" vertical="center"/>
    </xf>
    <xf numFmtId="169" fontId="9" fillId="0" borderId="2" xfId="6" applyNumberFormat="1" applyFont="1" applyFill="1" applyBorder="1" applyAlignment="1">
      <alignment horizontal="center" vertical="center" wrapText="1"/>
    </xf>
    <xf numFmtId="169" fontId="5" fillId="0" borderId="2" xfId="6" applyNumberFormat="1" applyFont="1" applyBorder="1" applyAlignment="1">
      <alignment horizontal="left" vertical="center" wrapText="1"/>
    </xf>
    <xf numFmtId="169" fontId="5" fillId="0" borderId="2" xfId="6" applyNumberFormat="1" applyFont="1" applyBorder="1" applyAlignment="1">
      <alignment horizontal="left" vertical="center"/>
    </xf>
    <xf numFmtId="43" fontId="5" fillId="0" borderId="2" xfId="6" applyFont="1" applyFill="1" applyBorder="1"/>
    <xf numFmtId="43" fontId="5" fillId="0" borderId="2" xfId="6" applyFont="1" applyBorder="1"/>
    <xf numFmtId="2" fontId="1" fillId="0" borderId="2" xfId="0" applyNumberFormat="1" applyFont="1" applyBorder="1" applyAlignment="1">
      <alignment horizontal="center" vertical="center" wrapText="1"/>
    </xf>
    <xf numFmtId="43" fontId="5" fillId="0" borderId="59" xfId="0" applyNumberFormat="1" applyFont="1" applyBorder="1"/>
    <xf numFmtId="0" fontId="17" fillId="12" borderId="2" xfId="0" applyFont="1" applyFill="1" applyBorder="1" applyAlignment="1">
      <alignment horizontal="center" vertical="center" wrapText="1"/>
    </xf>
    <xf numFmtId="169" fontId="5" fillId="0" borderId="2" xfId="6" applyNumberFormat="1" applyFont="1" applyBorder="1" applyAlignment="1">
      <alignment vertical="center"/>
    </xf>
    <xf numFmtId="0" fontId="19" fillId="0" borderId="2" xfId="0" applyFont="1" applyBorder="1"/>
    <xf numFmtId="1" fontId="5" fillId="0" borderId="61" xfId="0" applyNumberFormat="1" applyFont="1" applyBorder="1" applyAlignment="1">
      <alignment horizontal="center" vertical="center"/>
    </xf>
    <xf numFmtId="168" fontId="5" fillId="0" borderId="2" xfId="0" applyNumberFormat="1" applyFont="1" applyBorder="1"/>
    <xf numFmtId="0" fontId="5" fillId="0" borderId="1" xfId="0" applyFont="1" applyBorder="1"/>
    <xf numFmtId="0" fontId="5" fillId="0" borderId="51" xfId="0" applyFont="1" applyBorder="1"/>
    <xf numFmtId="168" fontId="5" fillId="0" borderId="1" xfId="0" applyNumberFormat="1" applyFont="1" applyBorder="1"/>
    <xf numFmtId="0" fontId="5" fillId="0" borderId="22" xfId="0" applyFont="1" applyBorder="1"/>
    <xf numFmtId="168" fontId="5" fillId="0" borderId="51" xfId="0" applyNumberFormat="1" applyFont="1" applyBorder="1"/>
    <xf numFmtId="2" fontId="20" fillId="0" borderId="121" xfId="0" applyNumberFormat="1" applyFont="1" applyBorder="1" applyAlignment="1">
      <alignment horizontal="center" vertical="center"/>
    </xf>
    <xf numFmtId="1" fontId="20" fillId="0" borderId="64" xfId="0" applyNumberFormat="1" applyFont="1" applyBorder="1" applyAlignment="1">
      <alignment horizontal="center" vertical="center"/>
    </xf>
    <xf numFmtId="1" fontId="20" fillId="0" borderId="125" xfId="0" applyNumberFormat="1" applyFont="1" applyBorder="1" applyAlignment="1">
      <alignment horizontal="center" vertical="center"/>
    </xf>
    <xf numFmtId="1" fontId="20" fillId="0" borderId="68" xfId="0" applyNumberFormat="1" applyFont="1" applyBorder="1" applyAlignment="1">
      <alignment horizontal="center" vertical="center"/>
    </xf>
    <xf numFmtId="1" fontId="20" fillId="0" borderId="69" xfId="0" applyNumberFormat="1" applyFont="1" applyBorder="1" applyAlignment="1">
      <alignment horizontal="center" vertical="center"/>
    </xf>
    <xf numFmtId="1" fontId="20" fillId="0" borderId="73" xfId="0" applyNumberFormat="1" applyFont="1" applyBorder="1" applyAlignment="1">
      <alignment horizontal="center" vertical="center"/>
    </xf>
    <xf numFmtId="1" fontId="20" fillId="0" borderId="116" xfId="0" applyNumberFormat="1" applyFont="1" applyBorder="1" applyAlignment="1">
      <alignment horizontal="center" vertical="center"/>
    </xf>
    <xf numFmtId="1" fontId="20" fillId="0" borderId="119" xfId="0" applyNumberFormat="1" applyFont="1" applyBorder="1" applyAlignment="1">
      <alignment horizontal="center" vertical="center"/>
    </xf>
    <xf numFmtId="0" fontId="22" fillId="12" borderId="126" xfId="0" applyFont="1" applyFill="1" applyBorder="1" applyAlignment="1">
      <alignment horizontal="center" vertical="center" wrapText="1"/>
    </xf>
    <xf numFmtId="0" fontId="17" fillId="15" borderId="128" xfId="0" applyFont="1" applyFill="1" applyBorder="1" applyAlignment="1">
      <alignment horizontal="center" vertical="center" wrapText="1"/>
    </xf>
    <xf numFmtId="0" fontId="17" fillId="15" borderId="127" xfId="0" applyFont="1" applyFill="1" applyBorder="1" applyAlignment="1">
      <alignment horizontal="center" vertical="center" wrapText="1"/>
    </xf>
    <xf numFmtId="2" fontId="5" fillId="0" borderId="39" xfId="0" applyNumberFormat="1" applyFont="1" applyBorder="1"/>
    <xf numFmtId="0" fontId="5" fillId="0" borderId="39" xfId="4" applyBorder="1" applyAlignment="1">
      <alignment horizontal="center" vertical="center"/>
    </xf>
    <xf numFmtId="169" fontId="5" fillId="0" borderId="39" xfId="6" applyNumberFormat="1" applyFont="1" applyBorder="1" applyAlignment="1">
      <alignment horizontal="center" vertical="center"/>
    </xf>
    <xf numFmtId="2" fontId="5" fillId="0" borderId="39" xfId="0" applyNumberFormat="1" applyFont="1" applyBorder="1" applyAlignment="1">
      <alignment horizontal="center" vertical="center"/>
    </xf>
    <xf numFmtId="165" fontId="36" fillId="0" borderId="135" xfId="0" applyNumberFormat="1" applyFont="1" applyBorder="1"/>
    <xf numFmtId="0" fontId="5" fillId="0" borderId="131" xfId="0" applyFont="1" applyBorder="1"/>
    <xf numFmtId="2" fontId="5" fillId="0" borderId="135" xfId="0" applyNumberFormat="1" applyFont="1" applyBorder="1"/>
    <xf numFmtId="0" fontId="22" fillId="7" borderId="136" xfId="0" applyFont="1" applyFill="1" applyBorder="1" applyAlignment="1">
      <alignment horizontal="center" vertical="center"/>
    </xf>
    <xf numFmtId="0" fontId="17" fillId="7" borderId="137" xfId="0" applyFont="1" applyFill="1" applyBorder="1" applyAlignment="1">
      <alignment horizontal="center" vertical="center" wrapText="1"/>
    </xf>
    <xf numFmtId="0" fontId="6" fillId="17" borderId="138" xfId="0" applyFont="1" applyFill="1" applyBorder="1" applyAlignment="1">
      <alignment horizontal="center" vertical="center" wrapText="1"/>
    </xf>
    <xf numFmtId="0" fontId="6" fillId="17" borderId="139" xfId="0" applyFont="1" applyFill="1" applyBorder="1" applyAlignment="1">
      <alignment horizontal="center" vertical="center" wrapText="1"/>
    </xf>
    <xf numFmtId="0" fontId="6" fillId="7" borderId="129" xfId="0" applyFont="1" applyFill="1" applyBorder="1" applyAlignment="1">
      <alignment horizontal="center" vertical="center" wrapText="1"/>
    </xf>
    <xf numFmtId="2" fontId="5" fillId="0" borderId="131" xfId="0" applyNumberFormat="1" applyFont="1" applyBorder="1"/>
    <xf numFmtId="0" fontId="5" fillId="0" borderId="134" xfId="4" applyBorder="1" applyAlignment="1">
      <alignment horizontal="center" vertical="center"/>
    </xf>
    <xf numFmtId="169" fontId="5" fillId="0" borderId="134" xfId="6" applyNumberFormat="1" applyFont="1" applyBorder="1" applyAlignment="1">
      <alignment horizontal="center" vertical="center"/>
    </xf>
    <xf numFmtId="2" fontId="5" fillId="0" borderId="134" xfId="0" applyNumberFormat="1" applyFont="1" applyBorder="1" applyAlignment="1">
      <alignment horizontal="center" vertical="center"/>
    </xf>
    <xf numFmtId="2" fontId="5" fillId="0" borderId="134" xfId="0" applyNumberFormat="1" applyFont="1" applyBorder="1"/>
    <xf numFmtId="2" fontId="5" fillId="0" borderId="142" xfId="0" applyNumberFormat="1" applyFont="1" applyBorder="1"/>
    <xf numFmtId="2" fontId="5" fillId="0" borderId="143" xfId="0" applyNumberFormat="1" applyFont="1" applyBorder="1"/>
    <xf numFmtId="0" fontId="36" fillId="0" borderId="39" xfId="0" applyFont="1" applyBorder="1"/>
    <xf numFmtId="0" fontId="17" fillId="15" borderId="144" xfId="0" applyFont="1" applyFill="1" applyBorder="1" applyAlignment="1">
      <alignment horizontal="center" vertical="center" wrapText="1"/>
    </xf>
    <xf numFmtId="0" fontId="17" fillId="15" borderId="145" xfId="0" applyFont="1" applyFill="1" applyBorder="1" applyAlignment="1">
      <alignment horizontal="center" vertical="center" wrapText="1"/>
    </xf>
    <xf numFmtId="0" fontId="36" fillId="0" borderId="134" xfId="0" applyFont="1" applyBorder="1"/>
    <xf numFmtId="165" fontId="36" fillId="0" borderId="142" xfId="0" applyNumberFormat="1" applyFont="1" applyBorder="1"/>
    <xf numFmtId="0" fontId="17" fillId="12" borderId="147" xfId="0" applyFont="1" applyFill="1" applyBorder="1" applyAlignment="1">
      <alignment horizontal="center" vertical="center" wrapText="1"/>
    </xf>
    <xf numFmtId="165" fontId="36" fillId="0" borderId="0" xfId="0" applyNumberFormat="1" applyFont="1"/>
    <xf numFmtId="167" fontId="10" fillId="0" borderId="0" xfId="0" applyNumberFormat="1" applyFont="1"/>
    <xf numFmtId="2" fontId="10" fillId="0" borderId="0" xfId="0" applyNumberFormat="1" applyFont="1"/>
    <xf numFmtId="168" fontId="10" fillId="0" borderId="0" xfId="0" applyNumberFormat="1" applyFont="1"/>
    <xf numFmtId="0" fontId="20" fillId="0" borderId="150" xfId="0" applyFont="1" applyBorder="1" applyAlignment="1">
      <alignment horizontal="center" vertical="center"/>
    </xf>
    <xf numFmtId="1" fontId="20" fillId="0" borderId="15" xfId="0" applyNumberFormat="1" applyFont="1" applyBorder="1" applyAlignment="1">
      <alignment horizontal="center" vertical="center"/>
    </xf>
    <xf numFmtId="1" fontId="20" fillId="0" borderId="77" xfId="0" applyNumberFormat="1" applyFont="1" applyBorder="1" applyAlignment="1">
      <alignment horizontal="center" vertical="center"/>
    </xf>
    <xf numFmtId="0" fontId="17" fillId="15" borderId="126" xfId="0" applyFont="1" applyFill="1" applyBorder="1" applyAlignment="1">
      <alignment horizontal="center" vertical="center" wrapText="1"/>
    </xf>
    <xf numFmtId="0" fontId="17" fillId="15" borderId="157" xfId="0" applyFont="1" applyFill="1" applyBorder="1" applyAlignment="1">
      <alignment horizontal="center" vertical="center" wrapText="1"/>
    </xf>
    <xf numFmtId="0" fontId="36" fillId="0" borderId="135" xfId="0" applyFont="1" applyBorder="1"/>
    <xf numFmtId="0" fontId="17" fillId="16" borderId="40" xfId="0" applyFont="1" applyFill="1" applyBorder="1" applyAlignment="1">
      <alignment horizontal="center" vertical="center" wrapText="1"/>
    </xf>
    <xf numFmtId="0" fontId="17" fillId="16" borderId="158" xfId="0" applyFont="1" applyFill="1" applyBorder="1" applyAlignment="1">
      <alignment horizontal="center" vertical="center" wrapText="1"/>
    </xf>
    <xf numFmtId="0" fontId="6" fillId="6" borderId="122" xfId="0" applyFont="1" applyFill="1" applyBorder="1" applyAlignment="1">
      <alignment horizontal="center" vertical="center" wrapText="1"/>
    </xf>
    <xf numFmtId="165" fontId="36" fillId="0" borderId="43" xfId="0" applyNumberFormat="1" applyFont="1" applyBorder="1"/>
    <xf numFmtId="165" fontId="5" fillId="0" borderId="44" xfId="0" applyNumberFormat="1" applyFont="1" applyBorder="1"/>
    <xf numFmtId="165" fontId="36" fillId="0" borderId="45" xfId="0" applyNumberFormat="1" applyFont="1" applyBorder="1"/>
    <xf numFmtId="165" fontId="36" fillId="0" borderId="159" xfId="0" applyNumberFormat="1" applyFont="1" applyBorder="1"/>
    <xf numFmtId="0" fontId="5" fillId="0" borderId="160" xfId="0" applyFont="1" applyBorder="1"/>
    <xf numFmtId="165" fontId="5" fillId="0" borderId="47" xfId="0" applyNumberFormat="1" applyFont="1" applyBorder="1"/>
    <xf numFmtId="0" fontId="24" fillId="0" borderId="115" xfId="0" applyFont="1" applyBorder="1" applyAlignment="1">
      <alignment horizontal="center" vertical="center"/>
    </xf>
    <xf numFmtId="1" fontId="24" fillId="0" borderId="68" xfId="0" applyNumberFormat="1" applyFont="1" applyBorder="1" applyAlignment="1">
      <alignment horizontal="center" vertical="center"/>
    </xf>
    <xf numFmtId="1" fontId="24" fillId="0" borderId="69" xfId="0" applyNumberFormat="1" applyFont="1" applyBorder="1" applyAlignment="1">
      <alignment horizontal="center" vertical="center"/>
    </xf>
    <xf numFmtId="0" fontId="24" fillId="0" borderId="80" xfId="0" applyFont="1" applyBorder="1" applyAlignment="1">
      <alignment horizontal="center" vertical="center"/>
    </xf>
    <xf numFmtId="1" fontId="24" fillId="0" borderId="61" xfId="0" applyNumberFormat="1" applyFont="1" applyBorder="1" applyAlignment="1">
      <alignment horizontal="center" vertical="center"/>
    </xf>
    <xf numFmtId="1" fontId="24" fillId="0" borderId="73" xfId="0" applyNumberFormat="1" applyFont="1" applyBorder="1" applyAlignment="1">
      <alignment horizontal="center" vertical="center"/>
    </xf>
    <xf numFmtId="0" fontId="24" fillId="0" borderId="118" xfId="0" applyFont="1" applyBorder="1" applyAlignment="1">
      <alignment horizontal="center" vertical="center"/>
    </xf>
    <xf numFmtId="1" fontId="24" fillId="0" borderId="116" xfId="0" applyNumberFormat="1" applyFont="1" applyBorder="1" applyAlignment="1">
      <alignment horizontal="center" vertical="center"/>
    </xf>
    <xf numFmtId="1" fontId="24" fillId="0" borderId="119" xfId="0" applyNumberFormat="1" applyFont="1" applyBorder="1" applyAlignment="1">
      <alignment horizontal="center" vertical="center"/>
    </xf>
    <xf numFmtId="0" fontId="24" fillId="0" borderId="91" xfId="0" applyFont="1" applyBorder="1" applyAlignment="1">
      <alignment horizontal="center" vertical="center"/>
    </xf>
    <xf numFmtId="1" fontId="24" fillId="0" borderId="65" xfId="0" applyNumberFormat="1" applyFont="1" applyBorder="1" applyAlignment="1">
      <alignment horizontal="center" vertical="center"/>
    </xf>
    <xf numFmtId="1" fontId="24" fillId="0" borderId="92" xfId="0" applyNumberFormat="1" applyFont="1" applyBorder="1" applyAlignment="1">
      <alignment horizontal="center" vertical="center"/>
    </xf>
    <xf numFmtId="1" fontId="24" fillId="0" borderId="93" xfId="0" applyNumberFormat="1" applyFont="1" applyBorder="1" applyAlignment="1">
      <alignment horizontal="center" vertical="center"/>
    </xf>
    <xf numFmtId="0" fontId="24" fillId="0" borderId="88" xfId="0" applyFont="1" applyBorder="1" applyAlignment="1">
      <alignment horizontal="center" vertical="center"/>
    </xf>
    <xf numFmtId="1" fontId="24" fillId="0" borderId="86" xfId="0" applyNumberFormat="1" applyFont="1" applyBorder="1" applyAlignment="1">
      <alignment horizontal="center" vertical="center"/>
    </xf>
    <xf numFmtId="1" fontId="24" fillId="0" borderId="94" xfId="0" applyNumberFormat="1" applyFont="1" applyBorder="1" applyAlignment="1">
      <alignment horizontal="center" vertical="center"/>
    </xf>
    <xf numFmtId="0" fontId="19" fillId="0" borderId="2" xfId="3" applyFont="1" applyBorder="1" applyAlignment="1">
      <alignment horizontal="center" vertical="center" wrapText="1"/>
    </xf>
    <xf numFmtId="0" fontId="5" fillId="0" borderId="39" xfId="0" applyFont="1" applyBorder="1"/>
    <xf numFmtId="170" fontId="5" fillId="0" borderId="39" xfId="0" applyNumberFormat="1" applyFont="1" applyBorder="1"/>
    <xf numFmtId="3" fontId="5" fillId="0" borderId="39" xfId="0" applyNumberFormat="1" applyFont="1" applyBorder="1"/>
    <xf numFmtId="10" fontId="33" fillId="0" borderId="39" xfId="2" applyNumberFormat="1" applyFont="1" applyBorder="1" applyAlignment="1">
      <alignment horizontal="left" vertical="center" wrapText="1"/>
    </xf>
    <xf numFmtId="0" fontId="19" fillId="0" borderId="39" xfId="0" applyFont="1" applyBorder="1"/>
    <xf numFmtId="0" fontId="18" fillId="7" borderId="3" xfId="0" applyFont="1" applyFill="1" applyBorder="1" applyAlignment="1">
      <alignment horizontal="center" vertical="center" wrapText="1"/>
    </xf>
    <xf numFmtId="1" fontId="1" fillId="0" borderId="3" xfId="7" applyNumberFormat="1" applyFont="1" applyBorder="1" applyAlignment="1">
      <alignment horizontal="center" vertical="center"/>
    </xf>
    <xf numFmtId="1" fontId="33" fillId="0" borderId="3" xfId="7" applyNumberFormat="1" applyFont="1" applyBorder="1" applyAlignment="1">
      <alignment horizontal="center" vertical="center"/>
    </xf>
    <xf numFmtId="1" fontId="1" fillId="0" borderId="3" xfId="7" quotePrefix="1" applyNumberFormat="1" applyFont="1" applyBorder="1" applyAlignment="1">
      <alignment horizontal="center" vertical="center"/>
    </xf>
    <xf numFmtId="1" fontId="5" fillId="0" borderId="3" xfId="7" quotePrefix="1" applyNumberFormat="1" applyFont="1" applyBorder="1" applyAlignment="1">
      <alignment horizontal="center" vertical="center"/>
    </xf>
    <xf numFmtId="0" fontId="37" fillId="0" borderId="0" xfId="0" applyFont="1"/>
    <xf numFmtId="0" fontId="22" fillId="0" borderId="0" xfId="0" applyFont="1" applyAlignment="1">
      <alignment vertical="center"/>
    </xf>
    <xf numFmtId="0" fontId="19" fillId="0" borderId="61" xfId="0" applyFont="1" applyBorder="1" applyAlignment="1">
      <alignment horizontal="center" vertical="center"/>
    </xf>
    <xf numFmtId="10" fontId="38" fillId="0" borderId="0" xfId="0" quotePrefix="1" applyNumberFormat="1" applyFont="1" applyAlignment="1">
      <alignment vertical="center"/>
    </xf>
    <xf numFmtId="0" fontId="22" fillId="7" borderId="39" xfId="0" applyFont="1" applyFill="1" applyBorder="1" applyAlignment="1">
      <alignment horizontal="center" vertical="center"/>
    </xf>
    <xf numFmtId="0" fontId="13" fillId="0" borderId="0" xfId="0" quotePrefix="1" applyFont="1"/>
    <xf numFmtId="0" fontId="19" fillId="0" borderId="2" xfId="0" applyFont="1" applyBorder="1" applyAlignment="1">
      <alignment horizontal="center" vertical="center"/>
    </xf>
    <xf numFmtId="0" fontId="19" fillId="0" borderId="2" xfId="0" applyFont="1" applyBorder="1" applyAlignment="1">
      <alignment horizontal="center" vertical="center" wrapText="1"/>
    </xf>
    <xf numFmtId="168" fontId="5" fillId="0" borderId="39" xfId="0" applyNumberFormat="1" applyFont="1" applyBorder="1" applyAlignment="1">
      <alignment horizontal="center" vertical="center"/>
    </xf>
    <xf numFmtId="168" fontId="5" fillId="0" borderId="15" xfId="0" applyNumberFormat="1" applyFont="1" applyBorder="1" applyAlignment="1">
      <alignment horizontal="center" vertical="center"/>
    </xf>
    <xf numFmtId="0" fontId="5" fillId="0" borderId="14" xfId="0" applyFont="1" applyBorder="1" applyAlignment="1">
      <alignment horizontal="center" vertical="center"/>
    </xf>
    <xf numFmtId="0" fontId="5" fillId="0" borderId="18" xfId="0" applyFont="1" applyBorder="1" applyAlignment="1">
      <alignment horizontal="center" vertical="center"/>
    </xf>
    <xf numFmtId="0" fontId="39" fillId="7" borderId="39" xfId="0" applyFont="1" applyFill="1" applyBorder="1" applyAlignment="1">
      <alignment horizontal="center" vertical="center"/>
    </xf>
    <xf numFmtId="0" fontId="36" fillId="0" borderId="0" xfId="0" applyFont="1" applyAlignment="1">
      <alignment horizontal="center" vertical="center" wrapText="1"/>
    </xf>
    <xf numFmtId="0" fontId="40" fillId="0" borderId="0" xfId="0" applyFont="1" applyAlignment="1">
      <alignment horizontal="center" vertical="center" wrapText="1"/>
    </xf>
    <xf numFmtId="0" fontId="5" fillId="0" borderId="0" xfId="0" applyFont="1" applyAlignment="1">
      <alignment horizontal="left" vertical="center"/>
    </xf>
    <xf numFmtId="0" fontId="5" fillId="0" borderId="15" xfId="0" applyFont="1" applyBorder="1" applyAlignment="1">
      <alignment horizontal="center" vertical="center"/>
    </xf>
    <xf numFmtId="2" fontId="42" fillId="0" borderId="51" xfId="0" applyNumberFormat="1" applyFont="1" applyBorder="1" applyAlignment="1">
      <alignment horizontal="center" vertical="center"/>
    </xf>
    <xf numFmtId="2" fontId="42" fillId="0" borderId="39" xfId="0" applyNumberFormat="1" applyFont="1" applyBorder="1" applyAlignment="1">
      <alignment horizontal="center" vertical="center"/>
    </xf>
    <xf numFmtId="0" fontId="20" fillId="0" borderId="180" xfId="0" applyFont="1" applyBorder="1" applyAlignment="1">
      <alignment horizontal="center" vertical="center"/>
    </xf>
    <xf numFmtId="0" fontId="20" fillId="0" borderId="185" xfId="0" applyFont="1" applyBorder="1" applyAlignment="1">
      <alignment horizontal="center" vertical="center"/>
    </xf>
    <xf numFmtId="2" fontId="20" fillId="0" borderId="182" xfId="0" applyNumberFormat="1" applyFont="1" applyBorder="1" applyAlignment="1">
      <alignment horizontal="center" vertical="center"/>
    </xf>
    <xf numFmtId="2" fontId="20" fillId="0" borderId="186" xfId="0" applyNumberFormat="1" applyFont="1" applyBorder="1" applyAlignment="1">
      <alignment horizontal="center" vertical="center"/>
    </xf>
    <xf numFmtId="2" fontId="42" fillId="0" borderId="131" xfId="0" applyNumberFormat="1" applyFont="1" applyBorder="1" applyAlignment="1">
      <alignment horizontal="center" vertical="center"/>
    </xf>
    <xf numFmtId="0" fontId="20" fillId="0" borderId="192" xfId="0" applyFont="1" applyBorder="1" applyAlignment="1">
      <alignment horizontal="center" vertical="center"/>
    </xf>
    <xf numFmtId="2" fontId="20" fillId="0" borderId="189" xfId="0" applyNumberFormat="1" applyFont="1" applyBorder="1" applyAlignment="1">
      <alignment horizontal="center" vertical="center"/>
    </xf>
    <xf numFmtId="2" fontId="20" fillId="0" borderId="193" xfId="0" applyNumberFormat="1" applyFont="1" applyBorder="1" applyAlignment="1">
      <alignment horizontal="center" vertical="center"/>
    </xf>
    <xf numFmtId="2" fontId="42" fillId="0" borderId="2" xfId="0" applyNumberFormat="1" applyFont="1" applyBorder="1" applyAlignment="1">
      <alignment horizontal="center" vertical="center"/>
    </xf>
    <xf numFmtId="0" fontId="20" fillId="0" borderId="194" xfId="0" applyFont="1" applyBorder="1" applyAlignment="1">
      <alignment horizontal="center" vertical="center"/>
    </xf>
    <xf numFmtId="0" fontId="20" fillId="0" borderId="26" xfId="0" applyFont="1" applyBorder="1" applyAlignment="1">
      <alignment horizontal="center" vertical="center"/>
    </xf>
    <xf numFmtId="0" fontId="20" fillId="0" borderId="196" xfId="0" applyFont="1" applyBorder="1" applyAlignment="1">
      <alignment horizontal="center" vertical="center"/>
    </xf>
    <xf numFmtId="0" fontId="0" fillId="0" borderId="0" xfId="0" applyAlignment="1">
      <alignment vertical="center" wrapText="1"/>
    </xf>
    <xf numFmtId="0" fontId="17" fillId="7" borderId="198" xfId="0" applyFont="1" applyFill="1" applyBorder="1" applyAlignment="1">
      <alignment horizontal="center" vertical="center" wrapText="1"/>
    </xf>
    <xf numFmtId="0" fontId="6" fillId="7" borderId="199" xfId="0" applyFont="1" applyFill="1" applyBorder="1" applyAlignment="1">
      <alignment horizontal="center" vertical="center"/>
    </xf>
    <xf numFmtId="0" fontId="6" fillId="7" borderId="200" xfId="0" applyFont="1" applyFill="1" applyBorder="1" applyAlignment="1">
      <alignment horizontal="center" vertical="center"/>
    </xf>
    <xf numFmtId="0" fontId="44" fillId="0" borderId="0" xfId="14" applyFont="1"/>
    <xf numFmtId="0" fontId="43" fillId="0" borderId="0" xfId="14"/>
    <xf numFmtId="2" fontId="5" fillId="0" borderId="2" xfId="0" applyNumberFormat="1" applyFont="1" applyBorder="1" applyAlignment="1">
      <alignment horizontal="center" vertical="center" wrapText="1"/>
    </xf>
    <xf numFmtId="0" fontId="0" fillId="0" borderId="0" xfId="0" applyAlignment="1">
      <alignment horizontal="left" vertical="top"/>
    </xf>
    <xf numFmtId="0" fontId="19" fillId="0" borderId="61" xfId="0" applyFont="1" applyBorder="1" applyAlignment="1">
      <alignment horizontal="center" vertical="center" wrapText="1"/>
    </xf>
    <xf numFmtId="0" fontId="44" fillId="0" borderId="0" xfId="14" applyFont="1" applyAlignment="1">
      <alignment wrapText="1"/>
    </xf>
    <xf numFmtId="0" fontId="5" fillId="0" borderId="0" xfId="14" applyFont="1"/>
    <xf numFmtId="0" fontId="6" fillId="12" borderId="2" xfId="0" applyFont="1" applyFill="1" applyBorder="1" applyAlignment="1">
      <alignment horizontal="center" vertical="center" wrapText="1"/>
    </xf>
    <xf numFmtId="0" fontId="41" fillId="0" borderId="0" xfId="14" applyFont="1"/>
    <xf numFmtId="43" fontId="5" fillId="0" borderId="2" xfId="6" applyFont="1" applyBorder="1" applyAlignment="1">
      <alignment horizontal="center" vertical="center"/>
    </xf>
    <xf numFmtId="0" fontId="43" fillId="0" borderId="0" xfId="14" applyAlignment="1">
      <alignment horizontal="left" vertical="center"/>
    </xf>
    <xf numFmtId="0" fontId="43" fillId="0" borderId="0" xfId="14" applyAlignment="1">
      <alignment vertical="center"/>
    </xf>
    <xf numFmtId="1" fontId="42" fillId="0" borderId="151" xfId="0" applyNumberFormat="1" applyFont="1" applyBorder="1" applyAlignment="1">
      <alignment horizontal="center" vertical="center"/>
    </xf>
    <xf numFmtId="1" fontId="42" fillId="0" borderId="129" xfId="0" applyNumberFormat="1" applyFont="1" applyBorder="1" applyAlignment="1">
      <alignment horizontal="center" vertical="center"/>
    </xf>
    <xf numFmtId="1" fontId="42" fillId="0" borderId="39" xfId="0" applyNumberFormat="1" applyFont="1" applyBorder="1" applyAlignment="1">
      <alignment horizontal="center" vertical="center"/>
    </xf>
    <xf numFmtId="1" fontId="42" fillId="0" borderId="131" xfId="0" applyNumberFormat="1" applyFont="1" applyBorder="1" applyAlignment="1">
      <alignment horizontal="center" vertical="center"/>
    </xf>
    <xf numFmtId="1" fontId="42" fillId="0" borderId="152" xfId="0" applyNumberFormat="1" applyFont="1" applyBorder="1" applyAlignment="1">
      <alignment horizontal="center" vertical="center"/>
    </xf>
    <xf numFmtId="1" fontId="42" fillId="0" borderId="153" xfId="0" applyNumberFormat="1" applyFont="1" applyBorder="1" applyAlignment="1">
      <alignment horizontal="center" vertical="center"/>
    </xf>
    <xf numFmtId="1" fontId="42" fillId="0" borderId="1" xfId="0" applyNumberFormat="1" applyFont="1" applyBorder="1" applyAlignment="1">
      <alignment horizontal="center" vertical="center"/>
    </xf>
    <xf numFmtId="1" fontId="42" fillId="0" borderId="5" xfId="0" applyNumberFormat="1" applyFont="1" applyBorder="1" applyAlignment="1">
      <alignment horizontal="center" vertical="center"/>
    </xf>
    <xf numFmtId="1" fontId="42" fillId="0" borderId="2" xfId="0" applyNumberFormat="1" applyFont="1" applyBorder="1" applyAlignment="1">
      <alignment horizontal="center" vertical="center"/>
    </xf>
    <xf numFmtId="1" fontId="42" fillId="0" borderId="7" xfId="0" applyNumberFormat="1" applyFont="1" applyBorder="1" applyAlignment="1">
      <alignment horizontal="center" vertical="center"/>
    </xf>
    <xf numFmtId="1" fontId="42" fillId="0" borderId="51" xfId="0" applyNumberFormat="1" applyFont="1" applyBorder="1" applyAlignment="1">
      <alignment horizontal="center" vertical="center"/>
    </xf>
    <xf numFmtId="1" fontId="42" fillId="0" borderId="9" xfId="0" applyNumberFormat="1" applyFont="1" applyBorder="1" applyAlignment="1">
      <alignment horizontal="center" vertical="center"/>
    </xf>
    <xf numFmtId="0" fontId="20" fillId="0" borderId="25" xfId="0" applyFont="1" applyBorder="1" applyAlignment="1">
      <alignment horizontal="center" vertical="center"/>
    </xf>
    <xf numFmtId="2" fontId="42" fillId="0" borderId="72" xfId="0" applyNumberFormat="1" applyFont="1" applyBorder="1" applyAlignment="1">
      <alignment horizontal="center" vertical="center"/>
    </xf>
    <xf numFmtId="2" fontId="42" fillId="0" borderId="214" xfId="0" applyNumberFormat="1" applyFont="1" applyBorder="1" applyAlignment="1">
      <alignment horizontal="center" vertical="center"/>
    </xf>
    <xf numFmtId="2" fontId="42" fillId="0" borderId="189" xfId="0" applyNumberFormat="1" applyFont="1" applyBorder="1" applyAlignment="1">
      <alignment horizontal="center" vertical="center"/>
    </xf>
    <xf numFmtId="2" fontId="42" fillId="0" borderId="193" xfId="0" applyNumberFormat="1" applyFont="1" applyBorder="1" applyAlignment="1">
      <alignment horizontal="center" vertical="center"/>
    </xf>
    <xf numFmtId="0" fontId="14" fillId="0" borderId="0" xfId="5" applyFont="1" applyAlignment="1">
      <alignment horizontal="left"/>
    </xf>
    <xf numFmtId="0" fontId="14" fillId="0" borderId="0" xfId="5" applyFont="1" applyAlignment="1"/>
    <xf numFmtId="0" fontId="14" fillId="0" borderId="0" xfId="5" applyFont="1" applyAlignment="1">
      <alignment vertical="top"/>
    </xf>
    <xf numFmtId="0" fontId="6" fillId="12" borderId="64" xfId="0" applyFont="1" applyFill="1" applyBorder="1" applyAlignment="1">
      <alignment horizontal="center" vertical="center"/>
    </xf>
    <xf numFmtId="0" fontId="19" fillId="0" borderId="216" xfId="14" applyFont="1" applyBorder="1" applyAlignment="1">
      <alignment horizontal="center" vertical="center" wrapText="1"/>
    </xf>
    <xf numFmtId="165" fontId="19" fillId="20" borderId="217" xfId="14" applyNumberFormat="1" applyFont="1" applyFill="1" applyBorder="1" applyAlignment="1">
      <alignment horizontal="center" vertical="center" wrapText="1"/>
    </xf>
    <xf numFmtId="3" fontId="19" fillId="0" borderId="217" xfId="14" applyNumberFormat="1" applyFont="1" applyBorder="1" applyAlignment="1">
      <alignment horizontal="center" vertical="center" wrapText="1"/>
    </xf>
    <xf numFmtId="0" fontId="19" fillId="0" borderId="219" xfId="14" applyFont="1" applyBorder="1" applyAlignment="1">
      <alignment horizontal="center" vertical="center" wrapText="1"/>
    </xf>
    <xf numFmtId="165" fontId="19" fillId="20" borderId="205" xfId="14" applyNumberFormat="1" applyFont="1" applyFill="1" applyBorder="1" applyAlignment="1">
      <alignment horizontal="center" vertical="center" wrapText="1"/>
    </xf>
    <xf numFmtId="3" fontId="19" fillId="0" borderId="205" xfId="14" applyNumberFormat="1" applyFont="1" applyBorder="1" applyAlignment="1">
      <alignment horizontal="center" vertical="center" wrapText="1"/>
    </xf>
    <xf numFmtId="3" fontId="19" fillId="0" borderId="207" xfId="14" applyNumberFormat="1" applyFont="1" applyBorder="1" applyAlignment="1">
      <alignment horizontal="center" vertical="center" wrapText="1"/>
    </xf>
    <xf numFmtId="0" fontId="19" fillId="0" borderId="220" xfId="14" applyFont="1" applyBorder="1" applyAlignment="1">
      <alignment horizontal="center" vertical="center" wrapText="1"/>
    </xf>
    <xf numFmtId="165" fontId="19" fillId="20" borderId="221" xfId="14" applyNumberFormat="1" applyFont="1" applyFill="1" applyBorder="1" applyAlignment="1">
      <alignment horizontal="center" vertical="center" wrapText="1"/>
    </xf>
    <xf numFmtId="3" fontId="19" fillId="0" borderId="221" xfId="14" applyNumberFormat="1" applyFont="1" applyBorder="1" applyAlignment="1">
      <alignment horizontal="center" vertical="center" wrapText="1"/>
    </xf>
    <xf numFmtId="3" fontId="19" fillId="0" borderId="222" xfId="14" applyNumberFormat="1" applyFont="1" applyBorder="1" applyAlignment="1">
      <alignment horizontal="center" vertical="center" wrapText="1"/>
    </xf>
    <xf numFmtId="0" fontId="46" fillId="0" borderId="0" xfId="5" applyFont="1" applyAlignment="1"/>
    <xf numFmtId="0" fontId="46" fillId="0" borderId="0" xfId="5" applyFont="1"/>
    <xf numFmtId="0" fontId="46" fillId="0" borderId="0" xfId="5" applyFont="1" applyAlignment="1">
      <alignment horizontal="left" vertical="top"/>
    </xf>
    <xf numFmtId="0" fontId="46" fillId="0" borderId="0" xfId="5" applyFont="1" applyAlignment="1">
      <alignment vertical="center"/>
    </xf>
    <xf numFmtId="0" fontId="14" fillId="0" borderId="0" xfId="5" applyFont="1" applyAlignment="1">
      <alignment horizontal="left" vertical="center"/>
    </xf>
    <xf numFmtId="0" fontId="19" fillId="0" borderId="224" xfId="0" applyFont="1" applyBorder="1" applyAlignment="1">
      <alignment vertical="center" wrapText="1"/>
    </xf>
    <xf numFmtId="0" fontId="19" fillId="0" borderId="225" xfId="0" applyFont="1" applyBorder="1" applyAlignment="1">
      <alignment vertical="center" wrapText="1"/>
    </xf>
    <xf numFmtId="0" fontId="5" fillId="5" borderId="59" xfId="0" applyFont="1" applyFill="1" applyBorder="1" applyAlignment="1">
      <alignment horizontal="center" vertical="center"/>
    </xf>
    <xf numFmtId="0" fontId="5" fillId="5" borderId="59" xfId="0" applyFont="1" applyFill="1" applyBorder="1" applyAlignment="1">
      <alignment vertical="center" wrapText="1"/>
    </xf>
    <xf numFmtId="0" fontId="30" fillId="0" borderId="0" xfId="0" applyFont="1"/>
    <xf numFmtId="0" fontId="13" fillId="0" borderId="0" xfId="0" applyFont="1" applyAlignment="1">
      <alignment horizontal="left" vertical="center"/>
    </xf>
    <xf numFmtId="0" fontId="19" fillId="0" borderId="31" xfId="0" applyFont="1" applyBorder="1" applyAlignment="1">
      <alignment horizontal="center" vertical="center"/>
    </xf>
    <xf numFmtId="0" fontId="19" fillId="0" borderId="31" xfId="0" applyFont="1" applyBorder="1" applyAlignment="1">
      <alignment horizontal="center" vertical="center" wrapText="1"/>
    </xf>
    <xf numFmtId="0" fontId="19" fillId="0" borderId="61" xfId="0" applyFont="1" applyBorder="1" applyAlignment="1">
      <alignment vertical="center" wrapText="1"/>
    </xf>
    <xf numFmtId="0" fontId="19" fillId="0" borderId="2" xfId="0" applyFont="1" applyBorder="1" applyAlignment="1">
      <alignment vertical="center" wrapText="1"/>
    </xf>
    <xf numFmtId="0" fontId="19" fillId="0" borderId="14" xfId="0" applyFont="1" applyBorder="1" applyAlignment="1">
      <alignment vertical="center" wrapText="1"/>
    </xf>
    <xf numFmtId="0" fontId="19" fillId="0" borderId="0" xfId="0" applyFont="1" applyAlignment="1">
      <alignment vertical="center" wrapText="1"/>
    </xf>
    <xf numFmtId="1" fontId="19" fillId="0" borderId="3" xfId="7" applyNumberFormat="1" applyFont="1" applyBorder="1" applyAlignment="1">
      <alignment horizontal="center" vertical="center"/>
    </xf>
    <xf numFmtId="3" fontId="19" fillId="0" borderId="2" xfId="0" applyNumberFormat="1" applyFont="1" applyBorder="1" applyAlignment="1">
      <alignment horizontal="center" vertical="center" wrapText="1"/>
    </xf>
    <xf numFmtId="169" fontId="19" fillId="0" borderId="2" xfId="0" applyNumberFormat="1" applyFont="1" applyBorder="1" applyAlignment="1">
      <alignment horizontal="center" vertical="center" wrapText="1"/>
    </xf>
    <xf numFmtId="0" fontId="37" fillId="0" borderId="0" xfId="0" quotePrefix="1" applyFont="1" applyAlignment="1">
      <alignment vertical="top"/>
    </xf>
    <xf numFmtId="0" fontId="19" fillId="0" borderId="39" xfId="0" applyFont="1" applyBorder="1" applyAlignment="1">
      <alignment wrapText="1"/>
    </xf>
    <xf numFmtId="164" fontId="19" fillId="0" borderId="44" xfId="0" applyNumberFormat="1" applyFont="1" applyBorder="1" applyAlignment="1">
      <alignment horizontal="center" vertical="center"/>
    </xf>
    <xf numFmtId="164" fontId="19" fillId="0" borderId="174" xfId="0" applyNumberFormat="1" applyFont="1" applyBorder="1" applyAlignment="1">
      <alignment horizontal="center" vertical="center"/>
    </xf>
    <xf numFmtId="168" fontId="14" fillId="0" borderId="0" xfId="5" applyNumberFormat="1" applyFont="1" applyAlignment="1">
      <alignment horizontal="left" vertical="center"/>
    </xf>
    <xf numFmtId="0" fontId="29" fillId="0" borderId="0" xfId="0" applyFont="1" applyAlignment="1">
      <alignment wrapText="1"/>
    </xf>
    <xf numFmtId="0" fontId="7" fillId="0" borderId="0" xfId="5" applyBorder="1" applyAlignment="1">
      <alignment horizontal="center" vertical="center"/>
    </xf>
    <xf numFmtId="1" fontId="19" fillId="0" borderId="61" xfId="0" applyNumberFormat="1" applyFont="1" applyBorder="1" applyAlignment="1">
      <alignment horizontal="center" vertical="center"/>
    </xf>
    <xf numFmtId="165" fontId="19" fillId="0" borderId="61" xfId="0" applyNumberFormat="1" applyFont="1" applyBorder="1" applyAlignment="1">
      <alignment horizontal="center" vertical="center" wrapText="1"/>
    </xf>
    <xf numFmtId="0" fontId="33" fillId="23" borderId="226" xfId="0" applyFont="1" applyFill="1" applyBorder="1" applyAlignment="1">
      <alignment horizontal="left" vertical="center"/>
    </xf>
    <xf numFmtId="0" fontId="0" fillId="0" borderId="0" xfId="0" applyAlignment="1">
      <alignment horizontal="center" vertical="center" wrapText="1"/>
    </xf>
    <xf numFmtId="0" fontId="19" fillId="0" borderId="14" xfId="0" applyFont="1" applyBorder="1" applyAlignment="1">
      <alignment horizontal="center" vertical="center"/>
    </xf>
    <xf numFmtId="0" fontId="19" fillId="0" borderId="39" xfId="0" applyFont="1" applyBorder="1" applyAlignment="1">
      <alignment horizontal="center" vertical="center"/>
    </xf>
    <xf numFmtId="0" fontId="19" fillId="0" borderId="18" xfId="0" applyFont="1" applyBorder="1" applyAlignment="1">
      <alignment horizontal="center" vertical="center"/>
    </xf>
    <xf numFmtId="2" fontId="19" fillId="9" borderId="207" xfId="14" applyNumberFormat="1" applyFont="1" applyFill="1" applyBorder="1" applyAlignment="1">
      <alignment horizontal="center" vertical="center" wrapText="1"/>
    </xf>
    <xf numFmtId="0" fontId="19" fillId="22" borderId="16" xfId="14" applyFont="1" applyFill="1" applyBorder="1" applyAlignment="1">
      <alignment horizontal="left" vertical="center"/>
    </xf>
    <xf numFmtId="3" fontId="19" fillId="22" borderId="17" xfId="6" applyNumberFormat="1" applyFont="1" applyFill="1" applyBorder="1" applyAlignment="1">
      <alignment horizontal="left" vertical="center"/>
    </xf>
    <xf numFmtId="0" fontId="19" fillId="22" borderId="17" xfId="14" applyFont="1" applyFill="1" applyBorder="1" applyAlignment="1">
      <alignment horizontal="left" vertical="center"/>
    </xf>
    <xf numFmtId="0" fontId="19" fillId="22" borderId="18" xfId="14" applyFont="1" applyFill="1" applyBorder="1" applyAlignment="1">
      <alignment horizontal="left" vertical="center"/>
    </xf>
    <xf numFmtId="0" fontId="19" fillId="22" borderId="20" xfId="14" applyFont="1" applyFill="1" applyBorder="1" applyAlignment="1">
      <alignment horizontal="left" vertical="center"/>
    </xf>
    <xf numFmtId="3" fontId="19" fillId="22" borderId="0" xfId="6" applyNumberFormat="1" applyFont="1" applyFill="1" applyBorder="1" applyAlignment="1">
      <alignment horizontal="left" vertical="center"/>
    </xf>
    <xf numFmtId="0" fontId="19" fillId="22" borderId="0" xfId="14" applyFont="1" applyFill="1" applyAlignment="1">
      <alignment horizontal="left" vertical="center"/>
    </xf>
    <xf numFmtId="0" fontId="19" fillId="22" borderId="21" xfId="14" applyFont="1" applyFill="1" applyBorder="1" applyAlignment="1">
      <alignment horizontal="left" vertical="center"/>
    </xf>
    <xf numFmtId="0" fontId="19" fillId="8" borderId="21" xfId="14" applyFont="1" applyFill="1" applyBorder="1" applyAlignment="1">
      <alignment horizontal="left" vertical="center"/>
    </xf>
    <xf numFmtId="0" fontId="19" fillId="8" borderId="25" xfId="14" applyFont="1" applyFill="1" applyBorder="1" applyAlignment="1">
      <alignment horizontal="left" vertical="center"/>
    </xf>
    <xf numFmtId="0" fontId="19" fillId="0" borderId="39" xfId="0" applyFont="1" applyBorder="1" applyAlignment="1">
      <alignment vertical="center"/>
    </xf>
    <xf numFmtId="0" fontId="19" fillId="8" borderId="0" xfId="14" applyFont="1" applyFill="1" applyAlignment="1">
      <alignment horizontal="left" vertical="center"/>
    </xf>
    <xf numFmtId="0" fontId="19" fillId="22" borderId="230" xfId="14" applyFont="1" applyFill="1" applyBorder="1" applyAlignment="1">
      <alignment horizontal="left" vertical="center"/>
    </xf>
    <xf numFmtId="0" fontId="19" fillId="22" borderId="232" xfId="14" applyFont="1" applyFill="1" applyBorder="1" applyAlignment="1">
      <alignment horizontal="left" vertical="center"/>
    </xf>
    <xf numFmtId="0" fontId="19" fillId="22" borderId="231" xfId="14" applyFont="1" applyFill="1" applyBorder="1" applyAlignment="1">
      <alignment horizontal="left" vertical="center"/>
    </xf>
    <xf numFmtId="0" fontId="19" fillId="22" borderId="233" xfId="14" applyFont="1" applyFill="1" applyBorder="1" applyAlignment="1">
      <alignment horizontal="left" vertical="center"/>
    </xf>
    <xf numFmtId="0" fontId="19" fillId="22" borderId="234" xfId="14" applyFont="1" applyFill="1" applyBorder="1" applyAlignment="1">
      <alignment horizontal="left" vertical="center"/>
    </xf>
    <xf numFmtId="0" fontId="19" fillId="0" borderId="2" xfId="0" applyFont="1" applyBorder="1" applyAlignment="1">
      <alignment vertical="center"/>
    </xf>
    <xf numFmtId="0" fontId="7" fillId="0" borderId="0" xfId="5" applyAlignment="1">
      <alignment horizontal="left" vertical="center"/>
    </xf>
    <xf numFmtId="0" fontId="46" fillId="0" borderId="0" xfId="5" applyFont="1" applyAlignment="1">
      <alignment horizontal="left" vertical="center"/>
    </xf>
    <xf numFmtId="0" fontId="38" fillId="0" borderId="0" xfId="0" applyFont="1" applyAlignment="1">
      <alignment vertical="top"/>
    </xf>
    <xf numFmtId="0" fontId="36" fillId="0" borderId="0" xfId="14" applyFont="1" applyAlignment="1">
      <alignment vertical="center" wrapText="1"/>
    </xf>
    <xf numFmtId="0" fontId="36" fillId="0" borderId="0" xfId="14" applyFont="1" applyAlignment="1">
      <alignment vertical="center"/>
    </xf>
    <xf numFmtId="0" fontId="5" fillId="0" borderId="0" xfId="14" applyFont="1" applyAlignment="1">
      <alignment horizontal="left"/>
    </xf>
    <xf numFmtId="0" fontId="5" fillId="0" borderId="0" xfId="14" applyFont="1" applyAlignment="1">
      <alignment wrapText="1"/>
    </xf>
    <xf numFmtId="0" fontId="5" fillId="0" borderId="0" xfId="14" applyFont="1" applyAlignment="1">
      <alignment horizontal="left" vertical="center"/>
    </xf>
    <xf numFmtId="0" fontId="5" fillId="0" borderId="0" xfId="14" applyFont="1" applyAlignment="1">
      <alignment vertical="center"/>
    </xf>
    <xf numFmtId="2" fontId="20" fillId="0" borderId="238" xfId="0" applyNumberFormat="1" applyFont="1" applyBorder="1" applyAlignment="1">
      <alignment horizontal="center" vertical="center"/>
    </xf>
    <xf numFmtId="2" fontId="20" fillId="0" borderId="239" xfId="0" applyNumberFormat="1" applyFont="1" applyBorder="1" applyAlignment="1">
      <alignment horizontal="center" vertical="center"/>
    </xf>
    <xf numFmtId="2" fontId="20" fillId="0" borderId="240" xfId="0" applyNumberFormat="1" applyFont="1" applyBorder="1" applyAlignment="1">
      <alignment horizontal="center" vertical="center"/>
    </xf>
    <xf numFmtId="2" fontId="20" fillId="0" borderId="210" xfId="0" applyNumberFormat="1" applyFont="1" applyBorder="1" applyAlignment="1">
      <alignment horizontal="center" vertical="center"/>
    </xf>
    <xf numFmtId="2" fontId="20" fillId="0" borderId="241" xfId="0" applyNumberFormat="1" applyFont="1" applyBorder="1" applyAlignment="1">
      <alignment horizontal="center" vertical="center"/>
    </xf>
    <xf numFmtId="2" fontId="42" fillId="0" borderId="15" xfId="0" applyNumberFormat="1" applyFont="1" applyBorder="1" applyAlignment="1">
      <alignment horizontal="center" vertical="center"/>
    </xf>
    <xf numFmtId="0" fontId="9" fillId="0" borderId="14" xfId="3" applyFont="1" applyBorder="1" applyAlignment="1">
      <alignment horizontal="center" vertical="center" wrapText="1"/>
    </xf>
    <xf numFmtId="0" fontId="19" fillId="0" borderId="39" xfId="0" applyFont="1" applyBorder="1" applyAlignment="1">
      <alignment horizontal="center"/>
    </xf>
    <xf numFmtId="3" fontId="19" fillId="0" borderId="22" xfId="3" applyNumberFormat="1" applyFont="1" applyBorder="1" applyAlignment="1">
      <alignment horizontal="center" vertical="center" wrapText="1"/>
    </xf>
    <xf numFmtId="1" fontId="19" fillId="0" borderId="2" xfId="0" applyNumberFormat="1" applyFont="1" applyBorder="1" applyAlignment="1">
      <alignment horizontal="center" vertical="center" wrapText="1"/>
    </xf>
    <xf numFmtId="0" fontId="6" fillId="7" borderId="64" xfId="0" applyFont="1" applyFill="1" applyBorder="1" applyAlignment="1">
      <alignment horizontal="center" vertical="center"/>
    </xf>
    <xf numFmtId="0" fontId="6" fillId="12" borderId="64" xfId="0" applyFont="1" applyFill="1" applyBorder="1" applyAlignment="1">
      <alignment horizontal="center" vertical="center" wrapText="1"/>
    </xf>
    <xf numFmtId="0" fontId="5" fillId="4" borderId="21" xfId="0" applyFont="1" applyFill="1" applyBorder="1" applyAlignment="1">
      <alignment vertical="center" wrapText="1"/>
    </xf>
    <xf numFmtId="0" fontId="5" fillId="0" borderId="39" xfId="0" applyFont="1" applyBorder="1" applyAlignment="1">
      <alignment horizontal="center" vertical="center"/>
    </xf>
    <xf numFmtId="0" fontId="7" fillId="0" borderId="39" xfId="5" applyBorder="1" applyAlignment="1">
      <alignment horizontal="center" vertical="center"/>
    </xf>
    <xf numFmtId="2" fontId="19" fillId="0" borderId="39" xfId="0" applyNumberFormat="1" applyFont="1" applyBorder="1" applyAlignment="1">
      <alignment horizontal="center" vertical="center" wrapText="1"/>
    </xf>
    <xf numFmtId="0" fontId="1" fillId="0" borderId="39" xfId="0" applyFont="1" applyBorder="1" applyAlignment="1">
      <alignment horizontal="center" vertical="center" wrapText="1"/>
    </xf>
    <xf numFmtId="0" fontId="19" fillId="0" borderId="39" xfId="0" applyFont="1" applyBorder="1" applyAlignment="1">
      <alignment horizontal="center" vertical="center" wrapText="1"/>
    </xf>
    <xf numFmtId="168" fontId="19" fillId="25" borderId="39" xfId="0" quotePrefix="1" applyNumberFormat="1" applyFont="1" applyFill="1" applyBorder="1" applyAlignment="1">
      <alignment horizontal="center" vertical="center" wrapText="1"/>
    </xf>
    <xf numFmtId="0" fontId="46" fillId="0" borderId="0" xfId="5" applyFont="1" applyBorder="1" applyAlignment="1">
      <alignment horizontal="center" vertical="center" wrapText="1"/>
    </xf>
    <xf numFmtId="0" fontId="19" fillId="0" borderId="0" xfId="0" applyFont="1" applyAlignment="1">
      <alignment horizontal="center" vertical="center" wrapText="1"/>
    </xf>
    <xf numFmtId="2" fontId="19" fillId="0" borderId="0" xfId="0" applyNumberFormat="1" applyFont="1" applyAlignment="1">
      <alignment horizontal="center" vertical="center" wrapText="1"/>
    </xf>
    <xf numFmtId="0" fontId="19" fillId="0" borderId="0" xfId="0" quotePrefix="1" applyFont="1" applyAlignment="1">
      <alignment horizontal="center" vertical="center" wrapText="1"/>
    </xf>
    <xf numFmtId="0" fontId="12" fillId="0" borderId="0" xfId="0" applyFont="1"/>
    <xf numFmtId="0" fontId="47" fillId="0" borderId="0" xfId="5" applyFont="1" applyFill="1" applyBorder="1" applyAlignment="1">
      <alignment horizontal="left" vertical="top" wrapText="1"/>
    </xf>
    <xf numFmtId="0" fontId="5" fillId="0" borderId="58" xfId="0" applyFont="1" applyBorder="1" applyAlignment="1">
      <alignment horizontal="center" vertical="center"/>
    </xf>
    <xf numFmtId="0" fontId="19" fillId="0" borderId="58" xfId="0" applyFont="1" applyBorder="1" applyAlignment="1">
      <alignment horizontal="center" vertical="center" wrapText="1"/>
    </xf>
    <xf numFmtId="2" fontId="19" fillId="0" borderId="58" xfId="0" applyNumberFormat="1" applyFont="1" applyBorder="1" applyAlignment="1">
      <alignment horizontal="center" vertical="center" wrapText="1"/>
    </xf>
    <xf numFmtId="0" fontId="19" fillId="0" borderId="58" xfId="0" quotePrefix="1" applyFont="1" applyBorder="1" applyAlignment="1">
      <alignment horizontal="center" vertical="center" wrapText="1"/>
    </xf>
    <xf numFmtId="0" fontId="19" fillId="0" borderId="242" xfId="0" applyFont="1" applyBorder="1" applyAlignment="1">
      <alignment horizontal="center" vertical="center" wrapText="1"/>
    </xf>
    <xf numFmtId="0" fontId="5" fillId="0" borderId="31" xfId="0" applyFont="1" applyBorder="1" applyAlignment="1">
      <alignment horizontal="center" vertical="center"/>
    </xf>
    <xf numFmtId="0" fontId="5" fillId="0" borderId="31" xfId="0" applyFont="1" applyBorder="1" applyAlignment="1">
      <alignment horizontal="center" vertical="center" wrapText="1"/>
    </xf>
    <xf numFmtId="0" fontId="0" fillId="0" borderId="0" xfId="0" applyAlignment="1">
      <alignment horizontal="center" vertical="center"/>
    </xf>
    <xf numFmtId="168" fontId="5" fillId="0" borderId="61" xfId="0" applyNumberFormat="1" applyFont="1" applyBorder="1" applyAlignment="1">
      <alignment horizontal="center" vertical="center"/>
    </xf>
    <xf numFmtId="0" fontId="5" fillId="8" borderId="61" xfId="0" applyFont="1" applyFill="1" applyBorder="1" applyAlignment="1">
      <alignment horizontal="center" vertical="center"/>
    </xf>
    <xf numFmtId="0" fontId="5" fillId="8" borderId="61" xfId="0" applyFont="1" applyFill="1" applyBorder="1" applyAlignment="1">
      <alignment horizontal="center" vertical="center" wrapText="1"/>
    </xf>
    <xf numFmtId="168" fontId="5" fillId="8" borderId="61" xfId="0" applyNumberFormat="1" applyFont="1" applyFill="1" applyBorder="1" applyAlignment="1">
      <alignment horizontal="center" vertical="center"/>
    </xf>
    <xf numFmtId="0" fontId="5" fillId="5" borderId="61" xfId="0" applyFont="1" applyFill="1" applyBorder="1" applyAlignment="1">
      <alignment horizontal="center" vertical="center"/>
    </xf>
    <xf numFmtId="0" fontId="5" fillId="3" borderId="61" xfId="0" applyFont="1" applyFill="1" applyBorder="1" applyAlignment="1">
      <alignment horizontal="center" vertical="center"/>
    </xf>
    <xf numFmtId="0" fontId="5" fillId="24" borderId="61" xfId="0" applyFont="1" applyFill="1" applyBorder="1" applyAlignment="1">
      <alignment horizontal="center" vertical="center"/>
    </xf>
    <xf numFmtId="0" fontId="1" fillId="24" borderId="61" xfId="0" applyFont="1" applyFill="1" applyBorder="1" applyAlignment="1">
      <alignment horizontal="center" vertical="center"/>
    </xf>
    <xf numFmtId="0" fontId="5" fillId="14" borderId="61" xfId="0" applyFont="1" applyFill="1" applyBorder="1" applyAlignment="1">
      <alignment horizontal="center" vertical="center"/>
    </xf>
    <xf numFmtId="0" fontId="1" fillId="14" borderId="61" xfId="0" applyFont="1" applyFill="1" applyBorder="1" applyAlignment="1">
      <alignment horizontal="center" vertical="center"/>
    </xf>
    <xf numFmtId="2" fontId="5" fillId="0" borderId="61" xfId="0" applyNumberFormat="1" applyFont="1" applyBorder="1" applyAlignment="1">
      <alignment horizontal="center" vertical="center"/>
    </xf>
    <xf numFmtId="0" fontId="5" fillId="4" borderId="61" xfId="0" applyFont="1" applyFill="1" applyBorder="1" applyAlignment="1">
      <alignment horizontal="center" vertical="center"/>
    </xf>
    <xf numFmtId="0" fontId="5" fillId="5" borderId="61" xfId="0" applyFont="1" applyFill="1" applyBorder="1" applyAlignment="1">
      <alignment vertical="center"/>
    </xf>
    <xf numFmtId="0" fontId="5" fillId="0" borderId="61" xfId="0" applyFont="1" applyBorder="1" applyAlignment="1">
      <alignment horizontal="center" vertical="center"/>
    </xf>
    <xf numFmtId="0" fontId="5" fillId="0" borderId="61" xfId="0" applyFont="1" applyBorder="1" applyAlignment="1">
      <alignment horizontal="center" vertical="center" wrapText="1"/>
    </xf>
    <xf numFmtId="0" fontId="5" fillId="0" borderId="2" xfId="0" applyFont="1" applyBorder="1" applyAlignment="1">
      <alignment horizontal="left" vertical="center"/>
    </xf>
    <xf numFmtId="0" fontId="5" fillId="0" borderId="2" xfId="0" applyFont="1" applyBorder="1" applyAlignment="1">
      <alignment horizontal="center"/>
    </xf>
    <xf numFmtId="0" fontId="5" fillId="0" borderId="2" xfId="0" applyFont="1" applyBorder="1" applyAlignment="1">
      <alignment horizontal="left" vertical="center" wrapText="1"/>
    </xf>
    <xf numFmtId="0" fontId="5" fillId="0" borderId="0" xfId="0" applyFont="1" applyAlignment="1">
      <alignment horizontal="center"/>
    </xf>
    <xf numFmtId="0" fontId="5" fillId="0" borderId="0" xfId="0" applyFont="1" applyAlignment="1">
      <alignment horizontal="left"/>
    </xf>
    <xf numFmtId="0" fontId="46" fillId="0" borderId="0" xfId="5" applyFont="1" applyAlignment="1">
      <alignment horizontal="left"/>
    </xf>
    <xf numFmtId="0" fontId="5" fillId="0" borderId="0" xfId="0" applyFont="1" applyAlignment="1">
      <alignment horizontal="left" vertical="top" wrapText="1"/>
    </xf>
    <xf numFmtId="0" fontId="5" fillId="0" borderId="0" xfId="0" applyFont="1" applyAlignment="1">
      <alignment vertical="center" wrapText="1"/>
    </xf>
    <xf numFmtId="0" fontId="19" fillId="0" borderId="0" xfId="0" applyFont="1" applyAlignment="1">
      <alignment horizontal="left" vertical="center" wrapText="1"/>
    </xf>
    <xf numFmtId="0" fontId="19" fillId="0" borderId="164" xfId="0" applyFont="1" applyBorder="1" applyAlignment="1">
      <alignment horizontal="center" vertical="center"/>
    </xf>
    <xf numFmtId="0" fontId="5" fillId="0" borderId="2" xfId="0" applyFont="1" applyBorder="1" applyAlignment="1">
      <alignment horizontal="center" vertical="center"/>
    </xf>
    <xf numFmtId="0" fontId="5" fillId="0" borderId="33" xfId="0" applyFont="1" applyBorder="1" applyAlignment="1">
      <alignment horizontal="center" vertical="center"/>
    </xf>
    <xf numFmtId="0" fontId="19" fillId="0" borderId="0" xfId="0" applyFont="1" applyAlignment="1">
      <alignment horizontal="left" vertical="top" wrapText="1"/>
    </xf>
    <xf numFmtId="0" fontId="5" fillId="0" borderId="0" xfId="0" applyFont="1" applyAlignment="1">
      <alignment horizontal="left" vertical="center" wrapText="1"/>
    </xf>
    <xf numFmtId="0" fontId="5" fillId="0" borderId="2" xfId="0" applyFont="1" applyBorder="1" applyAlignment="1">
      <alignment horizontal="center" vertical="center" wrapText="1"/>
    </xf>
    <xf numFmtId="0" fontId="6" fillId="7" borderId="2" xfId="0" applyFont="1" applyFill="1" applyBorder="1" applyAlignment="1">
      <alignment horizontal="center" vertical="center"/>
    </xf>
    <xf numFmtId="0" fontId="6" fillId="7" borderId="2" xfId="0" applyFont="1" applyFill="1" applyBorder="1" applyAlignment="1">
      <alignment horizontal="center" vertical="center" wrapText="1"/>
    </xf>
    <xf numFmtId="0" fontId="5" fillId="0" borderId="0" xfId="0" applyFont="1" applyAlignment="1">
      <alignment horizontal="center" vertical="center"/>
    </xf>
    <xf numFmtId="9" fontId="5" fillId="0" borderId="2" xfId="2" applyFont="1" applyBorder="1" applyAlignment="1">
      <alignment horizontal="center" vertical="center"/>
    </xf>
    <xf numFmtId="0" fontId="6" fillId="7" borderId="15" xfId="0" applyFont="1" applyFill="1" applyBorder="1" applyAlignment="1">
      <alignment horizontal="center" vertical="center"/>
    </xf>
    <xf numFmtId="0" fontId="17" fillId="7" borderId="2" xfId="0" applyFont="1" applyFill="1" applyBorder="1" applyAlignment="1">
      <alignment horizontal="center" vertical="center" wrapText="1"/>
    </xf>
    <xf numFmtId="0" fontId="6" fillId="7" borderId="0" xfId="0" applyFont="1" applyFill="1" applyAlignment="1">
      <alignment horizontal="center" vertical="center"/>
    </xf>
    <xf numFmtId="0" fontId="20" fillId="0" borderId="1" xfId="0" applyFont="1" applyBorder="1" applyAlignment="1">
      <alignment horizontal="center" vertical="center"/>
    </xf>
    <xf numFmtId="0" fontId="20" fillId="0" borderId="2" xfId="0" applyFont="1" applyBorder="1" applyAlignment="1">
      <alignment horizontal="center" vertical="center"/>
    </xf>
    <xf numFmtId="0" fontId="20" fillId="0" borderId="51" xfId="0" applyFont="1" applyBorder="1" applyAlignment="1">
      <alignment horizontal="center" vertical="center"/>
    </xf>
    <xf numFmtId="0" fontId="20" fillId="0" borderId="4" xfId="0" applyFont="1" applyBorder="1" applyAlignment="1">
      <alignment horizontal="center" vertical="center"/>
    </xf>
    <xf numFmtId="0" fontId="20" fillId="0" borderId="6" xfId="0" applyFont="1" applyBorder="1" applyAlignment="1">
      <alignment horizontal="center" vertical="center"/>
    </xf>
    <xf numFmtId="0" fontId="20" fillId="0" borderId="8" xfId="0" applyFont="1" applyBorder="1" applyAlignment="1">
      <alignment horizontal="center" vertical="center"/>
    </xf>
    <xf numFmtId="0" fontId="20" fillId="0" borderId="29" xfId="0" applyFont="1" applyBorder="1" applyAlignment="1">
      <alignment horizontal="center" vertical="center"/>
    </xf>
    <xf numFmtId="0" fontId="20" fillId="0" borderId="22" xfId="0" applyFont="1" applyBorder="1" applyAlignment="1">
      <alignment horizontal="center" vertical="center"/>
    </xf>
    <xf numFmtId="0" fontId="20" fillId="0" borderId="41" xfId="0" applyFont="1" applyBorder="1" applyAlignment="1">
      <alignment horizontal="center" vertical="center"/>
    </xf>
    <xf numFmtId="0" fontId="20" fillId="0" borderId="39" xfId="0" applyFont="1" applyBorder="1" applyAlignment="1">
      <alignment horizontal="center" vertical="center"/>
    </xf>
    <xf numFmtId="0" fontId="20" fillId="0" borderId="46" xfId="0" applyFont="1" applyBorder="1" applyAlignment="1">
      <alignment horizontal="center" vertical="center"/>
    </xf>
    <xf numFmtId="0" fontId="22" fillId="7" borderId="2" xfId="0" applyFont="1" applyFill="1" applyBorder="1" applyAlignment="1">
      <alignment horizontal="center" vertical="center"/>
    </xf>
    <xf numFmtId="0" fontId="22" fillId="7" borderId="64" xfId="0" applyFont="1" applyFill="1" applyBorder="1" applyAlignment="1">
      <alignment horizontal="center" vertical="center" wrapText="1"/>
    </xf>
    <xf numFmtId="10" fontId="19" fillId="0" borderId="0" xfId="0" applyNumberFormat="1" applyFont="1" applyAlignment="1">
      <alignment vertical="center"/>
    </xf>
    <xf numFmtId="10" fontId="19" fillId="0" borderId="0" xfId="0" applyNumberFormat="1" applyFont="1" applyAlignment="1">
      <alignment horizontal="center" vertical="center"/>
    </xf>
    <xf numFmtId="0" fontId="22" fillId="0" borderId="171" xfId="0" applyFont="1" applyBorder="1" applyAlignment="1">
      <alignment horizontal="center" vertical="center"/>
    </xf>
    <xf numFmtId="10" fontId="22" fillId="0" borderId="176" xfId="0" applyNumberFormat="1" applyFont="1" applyBorder="1" applyAlignment="1">
      <alignment horizontal="center" vertical="center"/>
    </xf>
    <xf numFmtId="0" fontId="22" fillId="7" borderId="31" xfId="0" applyFont="1" applyFill="1" applyBorder="1" applyAlignment="1">
      <alignment horizontal="center" vertical="center" wrapText="1"/>
    </xf>
    <xf numFmtId="0" fontId="22" fillId="7" borderId="2" xfId="0" applyFont="1" applyFill="1" applyBorder="1" applyAlignment="1">
      <alignment horizontal="center" vertical="center" wrapText="1"/>
    </xf>
    <xf numFmtId="0" fontId="19" fillId="4" borderId="0" xfId="0" applyFont="1" applyFill="1" applyAlignment="1">
      <alignment horizontal="center" vertical="center"/>
    </xf>
    <xf numFmtId="0" fontId="12" fillId="0" borderId="0" xfId="0" applyFont="1" applyAlignment="1">
      <alignment wrapText="1"/>
    </xf>
    <xf numFmtId="0" fontId="46" fillId="0" borderId="0" xfId="5" applyFont="1" applyFill="1" applyBorder="1" applyAlignment="1">
      <alignment horizontal="left" vertical="top" wrapText="1"/>
    </xf>
    <xf numFmtId="0" fontId="19" fillId="0" borderId="0" xfId="0" applyFont="1" applyAlignment="1">
      <alignment horizontal="left" vertical="center"/>
    </xf>
    <xf numFmtId="0" fontId="22" fillId="12" borderId="2" xfId="0" applyFont="1" applyFill="1" applyBorder="1" applyAlignment="1">
      <alignment horizontal="center" vertical="center" wrapText="1"/>
    </xf>
    <xf numFmtId="43" fontId="22" fillId="0" borderId="2" xfId="6" applyFont="1" applyBorder="1" applyAlignment="1">
      <alignment horizontal="center" vertical="center"/>
    </xf>
    <xf numFmtId="2" fontId="22" fillId="0" borderId="2" xfId="0" applyNumberFormat="1" applyFont="1" applyBorder="1" applyAlignment="1">
      <alignment horizontal="center" vertical="center" wrapText="1"/>
    </xf>
    <xf numFmtId="0" fontId="19" fillId="0" borderId="0" xfId="14" applyFont="1" applyAlignment="1">
      <alignment vertical="center" wrapText="1"/>
    </xf>
    <xf numFmtId="165" fontId="19" fillId="0" borderId="0" xfId="14" applyNumberFormat="1" applyFont="1" applyAlignment="1">
      <alignment horizontal="left" vertical="center" wrapText="1"/>
    </xf>
    <xf numFmtId="0" fontId="19" fillId="0" borderId="0" xfId="14" applyFont="1" applyAlignment="1">
      <alignment vertical="center"/>
    </xf>
    <xf numFmtId="168" fontId="19" fillId="0" borderId="0" xfId="14" applyNumberFormat="1" applyFont="1" applyAlignment="1">
      <alignment horizontal="left" vertical="center" wrapText="1"/>
    </xf>
    <xf numFmtId="0" fontId="19" fillId="0" borderId="0" xfId="14" applyFont="1" applyAlignment="1">
      <alignment horizontal="left" vertical="center" wrapText="1"/>
    </xf>
    <xf numFmtId="167" fontId="19" fillId="0" borderId="0" xfId="14" applyNumberFormat="1" applyFont="1" applyAlignment="1">
      <alignment horizontal="left" vertical="center" wrapText="1"/>
    </xf>
    <xf numFmtId="0" fontId="22" fillId="19" borderId="205" xfId="14" applyFont="1" applyFill="1" applyBorder="1" applyAlignment="1">
      <alignment horizontal="center" vertical="center" wrapText="1"/>
    </xf>
    <xf numFmtId="0" fontId="22" fillId="19" borderId="215" xfId="14" applyFont="1" applyFill="1" applyBorder="1" applyAlignment="1">
      <alignment horizontal="center" vertical="center" wrapText="1"/>
    </xf>
    <xf numFmtId="0" fontId="22" fillId="19" borderId="15" xfId="14" applyFont="1" applyFill="1" applyBorder="1" applyAlignment="1">
      <alignment vertical="center" wrapText="1"/>
    </xf>
    <xf numFmtId="0" fontId="22" fillId="5" borderId="154" xfId="14" applyFont="1" applyFill="1" applyBorder="1" applyAlignment="1">
      <alignment vertical="center" wrapText="1"/>
    </xf>
    <xf numFmtId="0" fontId="28" fillId="5" borderId="165" xfId="14" applyFont="1" applyFill="1" applyBorder="1" applyAlignment="1">
      <alignment vertical="center" wrapText="1"/>
    </xf>
    <xf numFmtId="0" fontId="28" fillId="21" borderId="16" xfId="14" applyFont="1" applyFill="1" applyBorder="1" applyAlignment="1">
      <alignment vertical="center" wrapText="1"/>
    </xf>
    <xf numFmtId="0" fontId="28" fillId="21" borderId="17" xfId="14" applyFont="1" applyFill="1" applyBorder="1" applyAlignment="1">
      <alignment vertical="center" wrapText="1"/>
    </xf>
    <xf numFmtId="0" fontId="22" fillId="21" borderId="17" xfId="14" applyFont="1" applyFill="1" applyBorder="1" applyAlignment="1">
      <alignment vertical="center" wrapText="1"/>
    </xf>
    <xf numFmtId="0" fontId="28" fillId="21" borderId="17" xfId="14" applyFont="1" applyFill="1" applyBorder="1" applyAlignment="1">
      <alignment horizontal="left" vertical="center" wrapText="1"/>
    </xf>
    <xf numFmtId="0" fontId="28" fillId="21" borderId="18" xfId="14" applyFont="1" applyFill="1" applyBorder="1" applyAlignment="1">
      <alignment vertical="center" wrapText="1"/>
    </xf>
    <xf numFmtId="0" fontId="29" fillId="8" borderId="236" xfId="14" applyFont="1" applyFill="1" applyBorder="1" applyAlignment="1">
      <alignment horizontal="left" vertical="center"/>
    </xf>
    <xf numFmtId="0" fontId="29" fillId="8" borderId="18" xfId="14" applyFont="1" applyFill="1" applyBorder="1" applyAlignment="1">
      <alignment horizontal="left" vertical="center"/>
    </xf>
    <xf numFmtId="0" fontId="29" fillId="8" borderId="21" xfId="14" applyFont="1" applyFill="1" applyBorder="1" applyAlignment="1">
      <alignment horizontal="left" vertical="center"/>
    </xf>
    <xf numFmtId="0" fontId="29" fillId="8" borderId="235" xfId="14" applyFont="1" applyFill="1" applyBorder="1" applyAlignment="1">
      <alignment horizontal="left" vertical="center"/>
    </xf>
    <xf numFmtId="0" fontId="19" fillId="0" borderId="24" xfId="0" applyFont="1" applyBorder="1" applyAlignment="1">
      <alignment horizontal="center" vertical="center"/>
    </xf>
    <xf numFmtId="0" fontId="19" fillId="0" borderId="155" xfId="0" applyFont="1" applyBorder="1"/>
    <xf numFmtId="0" fontId="19" fillId="0" borderId="14" xfId="0" applyFont="1" applyBorder="1"/>
    <xf numFmtId="0" fontId="19" fillId="0" borderId="13" xfId="0" applyFont="1" applyBorder="1"/>
    <xf numFmtId="0" fontId="19" fillId="0" borderId="156" xfId="0" applyFont="1" applyBorder="1"/>
    <xf numFmtId="0" fontId="19" fillId="0" borderId="25" xfId="0" applyFont="1" applyBorder="1"/>
    <xf numFmtId="0" fontId="19" fillId="0" borderId="24" xfId="0" applyFont="1" applyBorder="1"/>
    <xf numFmtId="0" fontId="19" fillId="0" borderId="146" xfId="0" applyFont="1" applyBorder="1" applyAlignment="1">
      <alignment horizontal="center" vertical="center"/>
    </xf>
    <xf numFmtId="0" fontId="19" fillId="0" borderId="132" xfId="0" applyFont="1" applyBorder="1"/>
    <xf numFmtId="0" fontId="19" fillId="0" borderId="133" xfId="0" applyFont="1" applyBorder="1"/>
    <xf numFmtId="0" fontId="19" fillId="0" borderId="146" xfId="0" applyFont="1" applyBorder="1"/>
    <xf numFmtId="0" fontId="19" fillId="0" borderId="0" xfId="0" applyFont="1" applyAlignment="1">
      <alignment horizontal="left"/>
    </xf>
    <xf numFmtId="1" fontId="19" fillId="0" borderId="20" xfId="0" applyNumberFormat="1" applyFont="1" applyBorder="1" applyAlignment="1">
      <alignment horizontal="left"/>
    </xf>
    <xf numFmtId="0" fontId="19" fillId="0" borderId="20" xfId="0" applyFont="1" applyBorder="1" applyAlignment="1">
      <alignment horizontal="left"/>
    </xf>
    <xf numFmtId="0" fontId="48" fillId="0" borderId="0" xfId="0" applyFont="1" applyAlignment="1">
      <alignment vertical="center" wrapText="1"/>
    </xf>
    <xf numFmtId="0" fontId="29" fillId="0" borderId="0" xfId="0" applyFont="1"/>
    <xf numFmtId="0" fontId="15" fillId="11" borderId="0" xfId="0" applyFont="1" applyFill="1" applyAlignment="1">
      <alignment horizontal="center" vertical="center" wrapText="1"/>
    </xf>
    <xf numFmtId="0" fontId="5" fillId="7" borderId="38" xfId="0" applyFont="1" applyFill="1" applyBorder="1" applyAlignment="1">
      <alignment horizontal="center" vertical="center"/>
    </xf>
    <xf numFmtId="0" fontId="5" fillId="7" borderId="0" xfId="0" applyFont="1" applyFill="1" applyAlignment="1">
      <alignment horizontal="center" vertical="center"/>
    </xf>
    <xf numFmtId="0" fontId="5" fillId="0" borderId="2" xfId="0" applyFont="1" applyBorder="1" applyAlignment="1">
      <alignment horizontal="center" wrapText="1"/>
    </xf>
    <xf numFmtId="0" fontId="5" fillId="0" borderId="2" xfId="0" applyFont="1" applyBorder="1" applyAlignment="1">
      <alignment horizontal="center"/>
    </xf>
    <xf numFmtId="0" fontId="16" fillId="0" borderId="24" xfId="0" applyFont="1" applyBorder="1" applyAlignment="1">
      <alignment horizontal="left" vertical="center"/>
    </xf>
    <xf numFmtId="0" fontId="11" fillId="11" borderId="3" xfId="1" applyFont="1" applyFill="1" applyBorder="1" applyAlignment="1">
      <alignment horizontal="center" vertical="center" wrapText="1"/>
    </xf>
    <xf numFmtId="0" fontId="11" fillId="11" borderId="13" xfId="1" applyFont="1" applyFill="1" applyBorder="1" applyAlignment="1">
      <alignment horizontal="center" vertical="center" wrapText="1"/>
    </xf>
    <xf numFmtId="0" fontId="5" fillId="0" borderId="0" xfId="0" applyFont="1" applyAlignment="1">
      <alignment horizontal="left"/>
    </xf>
    <xf numFmtId="0" fontId="5" fillId="0" borderId="0" xfId="0" applyFont="1" applyAlignment="1">
      <alignment horizontal="left" vertical="center"/>
    </xf>
    <xf numFmtId="0" fontId="11" fillId="11" borderId="0" xfId="0" applyFont="1" applyFill="1" applyAlignment="1">
      <alignment horizontal="center" vertical="center"/>
    </xf>
    <xf numFmtId="0" fontId="46" fillId="0" borderId="0" xfId="5" applyFont="1" applyAlignment="1">
      <alignment horizontal="left"/>
    </xf>
    <xf numFmtId="0" fontId="5" fillId="0" borderId="0" xfId="0" applyFont="1" applyAlignment="1">
      <alignment horizontal="left" vertical="top" wrapText="1"/>
    </xf>
    <xf numFmtId="0" fontId="5" fillId="0" borderId="0" xfId="0" applyFont="1" applyAlignment="1">
      <alignment vertical="center" wrapText="1"/>
    </xf>
    <xf numFmtId="0" fontId="19" fillId="0" borderId="0" xfId="0" applyFont="1" applyAlignment="1">
      <alignment horizontal="left" vertical="center" wrapText="1"/>
    </xf>
    <xf numFmtId="0" fontId="5" fillId="0" borderId="0" xfId="0" applyFont="1" applyAlignment="1">
      <alignment horizontal="left" wrapText="1"/>
    </xf>
    <xf numFmtId="0" fontId="19" fillId="0" borderId="172" xfId="0" applyFont="1" applyBorder="1" applyAlignment="1">
      <alignment horizontal="center" vertical="center"/>
    </xf>
    <xf numFmtId="0" fontId="19" fillId="0" borderId="163" xfId="0" applyFont="1" applyBorder="1" applyAlignment="1">
      <alignment horizontal="center" vertical="center"/>
    </xf>
    <xf numFmtId="0" fontId="19" fillId="0" borderId="164" xfId="0" applyFont="1" applyBorder="1" applyAlignment="1">
      <alignment horizontal="center" vertical="center"/>
    </xf>
    <xf numFmtId="0" fontId="37" fillId="0" borderId="167" xfId="0" applyFont="1" applyBorder="1" applyAlignment="1">
      <alignment horizontal="center" vertical="center"/>
    </xf>
    <xf numFmtId="0" fontId="37" fillId="0" borderId="168" xfId="0" applyFont="1" applyBorder="1" applyAlignment="1">
      <alignment horizontal="center" vertical="center"/>
    </xf>
    <xf numFmtId="0" fontId="37" fillId="0" borderId="169" xfId="0" applyFont="1" applyBorder="1" applyAlignment="1">
      <alignment horizontal="center" vertical="center"/>
    </xf>
    <xf numFmtId="0" fontId="19" fillId="0" borderId="0" xfId="0" applyFont="1" applyAlignment="1">
      <alignment horizontal="center" vertical="center"/>
    </xf>
    <xf numFmtId="0" fontId="22" fillId="0" borderId="10" xfId="0" applyFont="1" applyBorder="1" applyAlignment="1">
      <alignment horizontal="center" vertical="center"/>
    </xf>
    <xf numFmtId="0" fontId="22" fillId="0" borderId="11" xfId="0" applyFont="1" applyBorder="1" applyAlignment="1">
      <alignment horizontal="center" vertical="center"/>
    </xf>
    <xf numFmtId="0" fontId="22" fillId="0" borderId="175" xfId="0" applyFont="1" applyBorder="1" applyAlignment="1">
      <alignment horizontal="center" vertical="center"/>
    </xf>
    <xf numFmtId="0" fontId="19" fillId="0" borderId="173" xfId="0" applyFont="1" applyBorder="1" applyAlignment="1">
      <alignment horizontal="center" vertical="center"/>
    </xf>
    <xf numFmtId="0" fontId="19" fillId="0" borderId="165" xfId="0" applyFont="1" applyBorder="1" applyAlignment="1">
      <alignment horizontal="center" vertical="center"/>
    </xf>
    <xf numFmtId="0" fontId="19" fillId="0" borderId="166" xfId="0" applyFont="1" applyBorder="1" applyAlignment="1">
      <alignment horizontal="center" vertical="center"/>
    </xf>
    <xf numFmtId="0" fontId="11" fillId="11" borderId="237" xfId="0" applyFont="1" applyFill="1" applyBorder="1" applyAlignment="1">
      <alignment horizontal="center" vertical="center"/>
    </xf>
    <xf numFmtId="0" fontId="22" fillId="0" borderId="170" xfId="0" applyFont="1" applyBorder="1" applyAlignment="1">
      <alignment horizontal="center" vertical="center"/>
    </xf>
    <xf numFmtId="0" fontId="22" fillId="0" borderId="161" xfId="0" applyFont="1" applyBorder="1" applyAlignment="1">
      <alignment horizontal="center" vertical="center"/>
    </xf>
    <xf numFmtId="0" fontId="22" fillId="0" borderId="162" xfId="0" applyFont="1" applyBorder="1" applyAlignment="1">
      <alignment horizontal="center" vertical="center"/>
    </xf>
    <xf numFmtId="0" fontId="11" fillId="11" borderId="0" xfId="0" applyFont="1" applyFill="1" applyAlignment="1">
      <alignment horizontal="center" vertical="center" wrapText="1"/>
    </xf>
    <xf numFmtId="0" fontId="19" fillId="0" borderId="34" xfId="0" applyFont="1" applyBorder="1" applyAlignment="1">
      <alignment horizontal="center" vertical="center"/>
    </xf>
    <xf numFmtId="0" fontId="19" fillId="0" borderId="32" xfId="0" applyFont="1" applyBorder="1" applyAlignment="1">
      <alignment horizontal="center" vertical="center"/>
    </xf>
    <xf numFmtId="0" fontId="19" fillId="0" borderId="33" xfId="0" applyFont="1" applyBorder="1" applyAlignment="1">
      <alignment horizontal="center" vertical="center"/>
    </xf>
    <xf numFmtId="0" fontId="11" fillId="11" borderId="52" xfId="0" applyFont="1" applyFill="1" applyBorder="1" applyAlignment="1">
      <alignment horizontal="center" vertical="center"/>
    </xf>
    <xf numFmtId="0" fontId="1" fillId="0" borderId="135" xfId="0" applyFont="1" applyBorder="1" applyAlignment="1">
      <alignment horizontal="center" vertical="center" wrapText="1"/>
    </xf>
    <xf numFmtId="0" fontId="1" fillId="0" borderId="163" xfId="0" applyFont="1" applyBorder="1" applyAlignment="1">
      <alignment horizontal="center" vertical="center" wrapText="1"/>
    </xf>
    <xf numFmtId="0" fontId="1" fillId="0" borderId="164" xfId="0" applyFont="1" applyBorder="1" applyAlignment="1">
      <alignment horizontal="center" vertical="center" wrapText="1"/>
    </xf>
    <xf numFmtId="0" fontId="6" fillId="7" borderId="35" xfId="0" applyFont="1" applyFill="1" applyBorder="1" applyAlignment="1">
      <alignment horizontal="center" vertical="center" wrapText="1"/>
    </xf>
    <xf numFmtId="0" fontId="6" fillId="7" borderId="36" xfId="0" applyFont="1" applyFill="1" applyBorder="1" applyAlignment="1">
      <alignment horizontal="center" vertical="center" wrapText="1"/>
    </xf>
    <xf numFmtId="0" fontId="6" fillId="7" borderId="37" xfId="0" applyFont="1" applyFill="1" applyBorder="1" applyAlignment="1">
      <alignment horizontal="center" vertical="center" wrapText="1"/>
    </xf>
    <xf numFmtId="0" fontId="5" fillId="0" borderId="61" xfId="0" applyFont="1" applyBorder="1" applyAlignment="1">
      <alignment horizontal="center" vertical="center" wrapText="1"/>
    </xf>
    <xf numFmtId="0" fontId="5" fillId="0" borderId="61" xfId="0" applyFont="1" applyBorder="1" applyAlignment="1">
      <alignment horizontal="center" vertical="center"/>
    </xf>
    <xf numFmtId="0" fontId="5" fillId="0" borderId="0" xfId="0" applyFont="1" applyAlignment="1">
      <alignment horizontal="center"/>
    </xf>
    <xf numFmtId="0" fontId="1" fillId="0" borderId="61" xfId="0" applyFont="1" applyBorder="1" applyAlignment="1">
      <alignment horizontal="center" vertical="center" wrapText="1"/>
    </xf>
    <xf numFmtId="0" fontId="11" fillId="11" borderId="24" xfId="0" applyFont="1" applyFill="1" applyBorder="1" applyAlignment="1">
      <alignment horizontal="center" vertical="center" wrapText="1"/>
    </xf>
    <xf numFmtId="0" fontId="32" fillId="13" borderId="229" xfId="0" applyFont="1" applyFill="1" applyBorder="1" applyAlignment="1">
      <alignment horizontal="center" vertical="center"/>
    </xf>
    <xf numFmtId="0" fontId="32" fillId="13" borderId="123" xfId="0" applyFont="1" applyFill="1" applyBorder="1" applyAlignment="1">
      <alignment horizontal="center" vertical="center"/>
    </xf>
    <xf numFmtId="0" fontId="7" fillId="0" borderId="2" xfId="5" applyBorder="1" applyAlignment="1">
      <alignment horizontal="center" vertical="center" wrapText="1"/>
    </xf>
    <xf numFmtId="0" fontId="7" fillId="0" borderId="14" xfId="5" applyBorder="1" applyAlignment="1">
      <alignment horizontal="center" vertical="center" wrapText="1"/>
    </xf>
    <xf numFmtId="0" fontId="19" fillId="0" borderId="0" xfId="0" applyFont="1" applyAlignment="1">
      <alignment horizontal="left" vertical="top" wrapText="1"/>
    </xf>
    <xf numFmtId="0" fontId="5" fillId="0" borderId="2" xfId="0" applyFont="1" applyBorder="1" applyAlignment="1">
      <alignment horizontal="center" vertical="center"/>
    </xf>
    <xf numFmtId="0" fontId="45" fillId="0" borderId="0" xfId="0" applyFont="1" applyAlignment="1">
      <alignment horizontal="left" vertical="center" wrapText="1"/>
    </xf>
    <xf numFmtId="0" fontId="0" fillId="0" borderId="0" xfId="0" applyAlignment="1">
      <alignment horizontal="left" vertical="center" wrapText="1"/>
    </xf>
    <xf numFmtId="9" fontId="5" fillId="0" borderId="0" xfId="0" applyNumberFormat="1" applyFont="1" applyAlignment="1">
      <alignment horizontal="left" vertical="center" wrapText="1"/>
    </xf>
    <xf numFmtId="0" fontId="5" fillId="0" borderId="34" xfId="0" applyFont="1" applyBorder="1" applyAlignment="1">
      <alignment horizontal="center" vertical="center"/>
    </xf>
    <xf numFmtId="0" fontId="5" fillId="0" borderId="32" xfId="0" applyFont="1" applyBorder="1" applyAlignment="1">
      <alignment horizontal="center" vertical="center"/>
    </xf>
    <xf numFmtId="0" fontId="5" fillId="0" borderId="33" xfId="0" applyFont="1" applyBorder="1" applyAlignment="1">
      <alignment horizontal="center" vertical="center"/>
    </xf>
    <xf numFmtId="0" fontId="19" fillId="0" borderId="34" xfId="0" applyFont="1" applyBorder="1" applyAlignment="1">
      <alignment horizontal="center" vertical="center" wrapText="1"/>
    </xf>
    <xf numFmtId="0" fontId="19" fillId="0" borderId="53" xfId="0" applyFont="1" applyBorder="1" applyAlignment="1">
      <alignment horizontal="center" vertical="center" wrapText="1"/>
    </xf>
    <xf numFmtId="0" fontId="19" fillId="0" borderId="32" xfId="0" applyFont="1" applyBorder="1" applyAlignment="1">
      <alignment horizontal="center" vertical="center" wrapText="1"/>
    </xf>
    <xf numFmtId="0" fontId="19" fillId="0" borderId="33" xfId="0" applyFont="1" applyBorder="1" applyAlignment="1">
      <alignment horizontal="center" vertical="center" wrapText="1"/>
    </xf>
    <xf numFmtId="0" fontId="19" fillId="0" borderId="0" xfId="0" applyFont="1" applyAlignment="1">
      <alignment horizontal="left" vertical="center"/>
    </xf>
    <xf numFmtId="0" fontId="5" fillId="0" borderId="0" xfId="0" applyFont="1" applyAlignment="1">
      <alignment horizontal="left" vertical="center" wrapText="1"/>
    </xf>
    <xf numFmtId="0" fontId="0" fillId="0" borderId="201" xfId="0" applyBorder="1" applyAlignment="1">
      <alignment horizontal="center" vertical="center" wrapText="1"/>
    </xf>
    <xf numFmtId="0" fontId="0" fillId="0" borderId="202" xfId="0" applyBorder="1" applyAlignment="1">
      <alignment horizontal="center" vertical="center" wrapText="1"/>
    </xf>
    <xf numFmtId="0" fontId="0" fillId="0" borderId="203" xfId="0" applyBorder="1" applyAlignment="1">
      <alignment horizontal="center" vertical="center" wrapText="1"/>
    </xf>
    <xf numFmtId="0" fontId="12" fillId="0" borderId="204" xfId="0" applyFont="1" applyBorder="1" applyAlignment="1">
      <alignment horizontal="center" vertical="center" wrapText="1"/>
    </xf>
    <xf numFmtId="0" fontId="12" fillId="0" borderId="54" xfId="0" applyFont="1" applyBorder="1" applyAlignment="1">
      <alignment horizontal="center" vertical="center" wrapText="1"/>
    </xf>
    <xf numFmtId="0" fontId="12" fillId="0" borderId="197" xfId="0" applyFont="1" applyBorder="1" applyAlignment="1">
      <alignment horizontal="center" vertical="center" wrapText="1"/>
    </xf>
    <xf numFmtId="0" fontId="0" fillId="0" borderId="39" xfId="0" applyBorder="1" applyAlignment="1">
      <alignment horizontal="center" vertical="center" wrapText="1"/>
    </xf>
    <xf numFmtId="0" fontId="12" fillId="0" borderId="39" xfId="0" applyFont="1" applyBorder="1" applyAlignment="1">
      <alignment horizontal="center" vertical="center" wrapText="1"/>
    </xf>
    <xf numFmtId="0" fontId="11" fillId="11" borderId="123" xfId="0" applyFont="1" applyFill="1" applyBorder="1" applyAlignment="1">
      <alignment horizontal="center" vertical="center" wrapText="1"/>
    </xf>
    <xf numFmtId="0" fontId="11" fillId="11" borderId="23" xfId="0" applyFont="1" applyFill="1" applyBorder="1" applyAlignment="1">
      <alignment horizontal="center" vertical="center" wrapText="1"/>
    </xf>
    <xf numFmtId="0" fontId="19" fillId="0" borderId="218" xfId="0" applyFont="1" applyBorder="1" applyAlignment="1">
      <alignment horizontal="center" vertical="center" wrapText="1"/>
    </xf>
    <xf numFmtId="0" fontId="19" fillId="0" borderId="223" xfId="0" applyFont="1" applyBorder="1" applyAlignment="1">
      <alignment horizontal="center" vertical="center" wrapText="1"/>
    </xf>
    <xf numFmtId="0" fontId="37" fillId="11" borderId="209" xfId="0" applyFont="1" applyFill="1" applyBorder="1" applyAlignment="1">
      <alignment horizontal="center" vertical="center" wrapText="1"/>
    </xf>
    <xf numFmtId="0" fontId="37" fillId="11" borderId="208" xfId="0" applyFont="1" applyFill="1" applyBorder="1" applyAlignment="1">
      <alignment horizontal="center" vertical="center" wrapText="1"/>
    </xf>
    <xf numFmtId="0" fontId="37" fillId="11" borderId="0" xfId="0" applyFont="1" applyFill="1" applyAlignment="1">
      <alignment horizontal="center" vertical="center" wrapText="1"/>
    </xf>
    <xf numFmtId="0" fontId="22" fillId="19" borderId="15" xfId="14" applyFont="1" applyFill="1" applyBorder="1" applyAlignment="1">
      <alignment horizontal="center" vertical="center" wrapText="1"/>
    </xf>
    <xf numFmtId="0" fontId="22" fillId="19" borderId="227" xfId="14" applyFont="1" applyFill="1" applyBorder="1" applyAlignment="1">
      <alignment horizontal="center" vertical="center" wrapText="1"/>
    </xf>
    <xf numFmtId="0" fontId="22" fillId="19" borderId="228" xfId="14" applyFont="1" applyFill="1" applyBorder="1" applyAlignment="1">
      <alignment horizontal="center" vertical="center" wrapText="1"/>
    </xf>
    <xf numFmtId="0" fontId="37" fillId="18" borderId="206" xfId="14" applyFont="1" applyFill="1" applyBorder="1" applyAlignment="1">
      <alignment horizontal="center" vertical="center" wrapText="1"/>
    </xf>
    <xf numFmtId="0" fontId="37" fillId="18" borderId="0" xfId="14" applyFont="1" applyFill="1" applyAlignment="1">
      <alignment horizontal="center" vertical="center" wrapText="1"/>
    </xf>
    <xf numFmtId="43" fontId="22" fillId="0" borderId="3" xfId="6" applyFont="1" applyBorder="1" applyAlignment="1">
      <alignment horizontal="center" vertical="center"/>
    </xf>
    <xf numFmtId="43" fontId="22" fillId="0" borderId="13" xfId="6" applyFont="1" applyBorder="1" applyAlignment="1">
      <alignment horizontal="center" vertical="center"/>
    </xf>
    <xf numFmtId="43" fontId="22" fillId="0" borderId="14" xfId="6" applyFont="1" applyBorder="1" applyAlignment="1">
      <alignment horizontal="center" vertical="center"/>
    </xf>
    <xf numFmtId="43" fontId="19" fillId="0" borderId="15" xfId="6" applyFont="1" applyBorder="1" applyAlignment="1">
      <alignment horizontal="center" vertical="center" wrapText="1"/>
    </xf>
    <xf numFmtId="43" fontId="19" fillId="0" borderId="22" xfId="6" applyFont="1" applyBorder="1" applyAlignment="1">
      <alignment horizontal="center" vertical="center" wrapText="1"/>
    </xf>
    <xf numFmtId="0" fontId="5" fillId="0" borderId="179" xfId="0" applyFont="1" applyBorder="1" applyAlignment="1">
      <alignment horizontal="center" vertical="center" wrapText="1"/>
    </xf>
    <xf numFmtId="0" fontId="6" fillId="0" borderId="24" xfId="0" applyFont="1" applyBorder="1" applyAlignment="1">
      <alignment horizontal="center"/>
    </xf>
    <xf numFmtId="0" fontId="5" fillId="0" borderId="2" xfId="0" applyFont="1" applyBorder="1" applyAlignment="1">
      <alignment horizontal="center" vertical="center" wrapText="1"/>
    </xf>
    <xf numFmtId="0" fontId="11" fillId="11" borderId="20" xfId="0" applyFont="1" applyFill="1" applyBorder="1" applyAlignment="1">
      <alignment horizontal="center" vertical="center" wrapText="1"/>
    </xf>
    <xf numFmtId="0" fontId="6" fillId="7" borderId="2" xfId="0" applyFont="1" applyFill="1" applyBorder="1" applyAlignment="1">
      <alignment horizontal="center" vertical="center"/>
    </xf>
    <xf numFmtId="0" fontId="6" fillId="7" borderId="2" xfId="0" applyFont="1" applyFill="1" applyBorder="1" applyAlignment="1">
      <alignment horizontal="center" vertical="center" wrapText="1"/>
    </xf>
    <xf numFmtId="0" fontId="5" fillId="8" borderId="2" xfId="0" applyFont="1" applyFill="1" applyBorder="1" applyAlignment="1">
      <alignment horizontal="left" vertical="center"/>
    </xf>
    <xf numFmtId="0" fontId="11" fillId="11" borderId="24" xfId="0" applyFont="1" applyFill="1" applyBorder="1" applyAlignment="1">
      <alignment horizontal="center" vertical="center"/>
    </xf>
    <xf numFmtId="0" fontId="22" fillId="7" borderId="120" xfId="0" applyFont="1" applyFill="1" applyBorder="1" applyAlignment="1">
      <alignment horizontal="center" vertical="center" wrapText="1"/>
    </xf>
    <xf numFmtId="0" fontId="22" fillId="7" borderId="80" xfId="0" applyFont="1" applyFill="1" applyBorder="1" applyAlignment="1">
      <alignment horizontal="center" vertical="center" wrapText="1"/>
    </xf>
    <xf numFmtId="0" fontId="11" fillId="11" borderId="2" xfId="0" applyFont="1" applyFill="1" applyBorder="1" applyAlignment="1">
      <alignment horizontal="center" vertical="center"/>
    </xf>
    <xf numFmtId="0" fontId="5" fillId="0" borderId="15" xfId="0" applyFont="1" applyBorder="1" applyAlignment="1">
      <alignment horizontal="center" vertical="center" wrapText="1"/>
    </xf>
    <xf numFmtId="0" fontId="5" fillId="0" borderId="19" xfId="0" applyFont="1" applyBorder="1" applyAlignment="1">
      <alignment horizontal="center" vertical="center" wrapText="1"/>
    </xf>
    <xf numFmtId="0" fontId="5" fillId="0" borderId="22" xfId="0" applyFont="1" applyBorder="1" applyAlignment="1">
      <alignment horizontal="center" vertical="center" wrapText="1"/>
    </xf>
    <xf numFmtId="0" fontId="20" fillId="0" borderId="29" xfId="0" applyFont="1" applyBorder="1" applyAlignment="1">
      <alignment horizontal="center" vertical="center"/>
    </xf>
    <xf numFmtId="0" fontId="20" fillId="0" borderId="6" xfId="0" applyFont="1" applyBorder="1" applyAlignment="1">
      <alignment horizontal="center" vertical="center"/>
    </xf>
    <xf numFmtId="0" fontId="20" fillId="0" borderId="8" xfId="0" applyFont="1" applyBorder="1" applyAlignment="1">
      <alignment horizontal="center" vertical="center"/>
    </xf>
    <xf numFmtId="0" fontId="20" fillId="0" borderId="22" xfId="0" applyFont="1" applyBorder="1" applyAlignment="1">
      <alignment horizontal="center" vertical="center"/>
    </xf>
    <xf numFmtId="0" fontId="20" fillId="0" borderId="2" xfId="0" applyFont="1" applyBorder="1" applyAlignment="1">
      <alignment horizontal="center" vertical="center"/>
    </xf>
    <xf numFmtId="0" fontId="20" fillId="0" borderId="51" xfId="0" applyFont="1" applyBorder="1" applyAlignment="1">
      <alignment horizontal="center" vertical="center"/>
    </xf>
    <xf numFmtId="0" fontId="20" fillId="0" borderId="1" xfId="0" applyFont="1" applyBorder="1" applyAlignment="1">
      <alignment horizontal="center" vertical="center"/>
    </xf>
    <xf numFmtId="0" fontId="20" fillId="0" borderId="78" xfId="0" applyFont="1" applyBorder="1" applyAlignment="1">
      <alignment horizontal="center" vertical="center" wrapText="1"/>
    </xf>
    <xf numFmtId="0" fontId="20" fillId="0" borderId="72" xfId="0" applyFont="1" applyBorder="1" applyAlignment="1">
      <alignment horizontal="center" vertical="center" wrapText="1"/>
    </xf>
    <xf numFmtId="0" fontId="20" fillId="0" borderId="82" xfId="0" applyFont="1" applyBorder="1" applyAlignment="1">
      <alignment horizontal="center" vertical="center" wrapText="1"/>
    </xf>
    <xf numFmtId="0" fontId="20" fillId="0" borderId="73" xfId="0" applyFont="1" applyBorder="1" applyAlignment="1">
      <alignment horizontal="center" vertical="center" wrapText="1"/>
    </xf>
    <xf numFmtId="0" fontId="20" fillId="0" borderId="76" xfId="0" applyFont="1" applyBorder="1" applyAlignment="1">
      <alignment horizontal="center" vertical="center" wrapText="1"/>
    </xf>
    <xf numFmtId="0" fontId="20" fillId="0" borderId="39" xfId="0" applyFont="1" applyBorder="1" applyAlignment="1">
      <alignment horizontal="center" vertical="center" wrapText="1"/>
    </xf>
    <xf numFmtId="0" fontId="20" fillId="0" borderId="46" xfId="0" applyFont="1" applyBorder="1" applyAlignment="1">
      <alignment horizontal="center" vertical="center" wrapText="1"/>
    </xf>
    <xf numFmtId="0" fontId="24" fillId="0" borderId="41" xfId="0" applyFont="1" applyBorder="1" applyAlignment="1">
      <alignment horizontal="center" vertical="center" wrapText="1"/>
    </xf>
    <xf numFmtId="0" fontId="24" fillId="0" borderId="39" xfId="0" applyFont="1" applyBorder="1" applyAlignment="1">
      <alignment horizontal="center" vertical="center" wrapText="1"/>
    </xf>
    <xf numFmtId="0" fontId="24" fillId="0" borderId="46" xfId="0" applyFont="1" applyBorder="1" applyAlignment="1">
      <alignment horizontal="center" vertical="center" wrapText="1"/>
    </xf>
    <xf numFmtId="0" fontId="20" fillId="0" borderId="66" xfId="0" applyFont="1" applyBorder="1" applyAlignment="1">
      <alignment horizontal="center" vertical="center" wrapText="1"/>
    </xf>
    <xf numFmtId="0" fontId="20" fillId="0" borderId="110" xfId="0" applyFont="1" applyBorder="1" applyAlignment="1">
      <alignment horizontal="center" vertical="center" wrapText="1"/>
    </xf>
    <xf numFmtId="0" fontId="20" fillId="0" borderId="111" xfId="0" applyFont="1" applyBorder="1" applyAlignment="1">
      <alignment horizontal="center" vertical="center" wrapText="1"/>
    </xf>
    <xf numFmtId="0" fontId="20" fillId="0" borderId="68" xfId="0" applyFont="1" applyBorder="1" applyAlignment="1">
      <alignment horizontal="center" vertical="center" wrapText="1"/>
    </xf>
    <xf numFmtId="0" fontId="20" fillId="0" borderId="99" xfId="0" applyFont="1" applyBorder="1" applyAlignment="1">
      <alignment horizontal="center" vertical="center" wrapText="1"/>
    </xf>
    <xf numFmtId="0" fontId="20" fillId="0" borderId="69" xfId="0" applyFont="1" applyBorder="1" applyAlignment="1">
      <alignment horizontal="center" vertical="center" wrapText="1"/>
    </xf>
    <xf numFmtId="0" fontId="20" fillId="0" borderId="119" xfId="0" applyFont="1" applyBorder="1" applyAlignment="1">
      <alignment horizontal="center" vertical="center" wrapText="1"/>
    </xf>
    <xf numFmtId="0" fontId="24" fillId="0" borderId="48" xfId="0" applyFont="1" applyBorder="1" applyAlignment="1">
      <alignment horizontal="center" vertical="center" wrapText="1"/>
    </xf>
    <xf numFmtId="0" fontId="24" fillId="0" borderId="49" xfId="0" applyFont="1" applyBorder="1" applyAlignment="1">
      <alignment horizontal="center" vertical="center" wrapText="1"/>
    </xf>
    <xf numFmtId="0" fontId="24" fillId="0" borderId="50" xfId="0" applyFont="1" applyBorder="1" applyAlignment="1">
      <alignment horizontal="center" vertical="center" wrapText="1"/>
    </xf>
    <xf numFmtId="0" fontId="20" fillId="0" borderId="41" xfId="0" applyFont="1" applyBorder="1" applyAlignment="1">
      <alignment horizontal="center" vertical="center" wrapText="1"/>
    </xf>
    <xf numFmtId="0" fontId="25" fillId="0" borderId="11" xfId="0" applyFont="1" applyBorder="1" applyAlignment="1">
      <alignment horizontal="center" vertical="center"/>
    </xf>
    <xf numFmtId="0" fontId="20" fillId="0" borderId="40" xfId="0" applyFont="1" applyBorder="1" applyAlignment="1">
      <alignment horizontal="center" vertical="center" wrapText="1"/>
    </xf>
    <xf numFmtId="0" fontId="20" fillId="0" borderId="49" xfId="0" applyFont="1" applyBorder="1" applyAlignment="1">
      <alignment horizontal="center" vertical="center" wrapText="1"/>
    </xf>
    <xf numFmtId="0" fontId="20" fillId="0" borderId="45" xfId="0" applyFont="1" applyBorder="1" applyAlignment="1">
      <alignment horizontal="center" vertical="center" wrapText="1"/>
    </xf>
    <xf numFmtId="0" fontId="20" fillId="0" borderId="40" xfId="0" applyFont="1" applyBorder="1" applyAlignment="1">
      <alignment horizontal="center" vertical="center"/>
    </xf>
    <xf numFmtId="0" fontId="20" fillId="0" borderId="43" xfId="0" applyFont="1" applyBorder="1" applyAlignment="1">
      <alignment horizontal="center" vertical="center"/>
    </xf>
    <xf numFmtId="0" fontId="20" fillId="0" borderId="45" xfId="0" applyFont="1" applyBorder="1" applyAlignment="1">
      <alignment horizontal="center" vertical="center"/>
    </xf>
    <xf numFmtId="0" fontId="20" fillId="0" borderId="109" xfId="0" applyFont="1" applyBorder="1" applyAlignment="1">
      <alignment horizontal="center" vertical="center" wrapText="1"/>
    </xf>
    <xf numFmtId="0" fontId="20" fillId="0" borderId="41" xfId="0" applyFont="1" applyBorder="1" applyAlignment="1">
      <alignment horizontal="center" vertical="center"/>
    </xf>
    <xf numFmtId="0" fontId="20" fillId="0" borderId="39" xfId="0" applyFont="1" applyBorder="1" applyAlignment="1">
      <alignment horizontal="center" vertical="center"/>
    </xf>
    <xf numFmtId="0" fontId="20" fillId="0" borderId="46" xfId="0" applyFont="1" applyBorder="1" applyAlignment="1">
      <alignment horizontal="center" vertical="center"/>
    </xf>
    <xf numFmtId="0" fontId="20" fillId="0" borderId="54" xfId="0" applyFont="1" applyBorder="1" applyAlignment="1">
      <alignment horizontal="center" vertical="center" wrapText="1"/>
    </xf>
    <xf numFmtId="0" fontId="6" fillId="7" borderId="10" xfId="0" applyFont="1" applyFill="1" applyBorder="1" applyAlignment="1">
      <alignment horizontal="center" vertical="center"/>
    </xf>
    <xf numFmtId="0" fontId="6" fillId="7" borderId="11" xfId="0" applyFont="1" applyFill="1" applyBorder="1" applyAlignment="1">
      <alignment horizontal="center" vertical="center"/>
    </xf>
    <xf numFmtId="0" fontId="6" fillId="7" borderId="12" xfId="0" applyFont="1" applyFill="1" applyBorder="1" applyAlignment="1">
      <alignment horizontal="center" vertical="center"/>
    </xf>
    <xf numFmtId="0" fontId="20" fillId="0" borderId="114" xfId="0" applyFont="1" applyBorder="1" applyAlignment="1">
      <alignment horizontal="center" vertical="center" wrapText="1"/>
    </xf>
    <xf numFmtId="0" fontId="20" fillId="0" borderId="104" xfId="0" applyFont="1" applyBorder="1" applyAlignment="1">
      <alignment horizontal="center" vertical="center" wrapText="1"/>
    </xf>
    <xf numFmtId="0" fontId="20" fillId="0" borderId="87" xfId="0" applyFont="1" applyBorder="1" applyAlignment="1">
      <alignment horizontal="center" vertical="center" wrapText="1"/>
    </xf>
    <xf numFmtId="0" fontId="20" fillId="0" borderId="184" xfId="0" applyFont="1" applyBorder="1" applyAlignment="1">
      <alignment horizontal="center" vertical="center" wrapText="1"/>
    </xf>
    <xf numFmtId="0" fontId="20" fillId="0" borderId="191" xfId="0" applyFont="1" applyBorder="1" applyAlignment="1">
      <alignment horizontal="center" vertical="center" wrapText="1"/>
    </xf>
    <xf numFmtId="0" fontId="20" fillId="0" borderId="177" xfId="0" applyFont="1" applyBorder="1" applyAlignment="1">
      <alignment horizontal="center" vertical="center" wrapText="1"/>
    </xf>
    <xf numFmtId="0" fontId="20" fillId="0" borderId="71" xfId="0" applyFont="1" applyBorder="1" applyAlignment="1">
      <alignment horizontal="center" vertical="center" wrapText="1"/>
    </xf>
    <xf numFmtId="0" fontId="20" fillId="0" borderId="74" xfId="0" applyFont="1" applyBorder="1" applyAlignment="1">
      <alignment horizontal="center" vertical="center" wrapText="1"/>
    </xf>
    <xf numFmtId="0" fontId="20" fillId="0" borderId="72" xfId="0" applyFont="1" applyBorder="1" applyAlignment="1">
      <alignment horizontal="center" vertical="center"/>
    </xf>
    <xf numFmtId="0" fontId="20" fillId="0" borderId="75" xfId="0" applyFont="1" applyBorder="1" applyAlignment="1">
      <alignment horizontal="center" vertical="center"/>
    </xf>
    <xf numFmtId="0" fontId="20" fillId="0" borderId="65" xfId="0" applyFont="1" applyBorder="1" applyAlignment="1">
      <alignment horizontal="center" vertical="center" wrapText="1"/>
    </xf>
    <xf numFmtId="0" fontId="20" fillId="0" borderId="61" xfId="0" applyFont="1" applyBorder="1" applyAlignment="1">
      <alignment horizontal="center" vertical="center" wrapText="1"/>
    </xf>
    <xf numFmtId="0" fontId="20" fillId="0" borderId="86" xfId="0" applyFont="1" applyBorder="1" applyAlignment="1">
      <alignment horizontal="center" vertical="center" wrapText="1"/>
    </xf>
    <xf numFmtId="0" fontId="20" fillId="0" borderId="4" xfId="0" applyFont="1" applyBorder="1" applyAlignment="1">
      <alignment horizontal="center" vertical="center"/>
    </xf>
    <xf numFmtId="0" fontId="20" fillId="0" borderId="178" xfId="0" applyFont="1" applyBorder="1" applyAlignment="1">
      <alignment horizontal="center" vertical="center" wrapText="1"/>
    </xf>
    <xf numFmtId="0" fontId="20" fillId="0" borderId="75" xfId="0" applyFont="1" applyBorder="1" applyAlignment="1">
      <alignment horizontal="center" vertical="center" wrapText="1"/>
    </xf>
    <xf numFmtId="0" fontId="20" fillId="0" borderId="103" xfId="0" applyFont="1" applyBorder="1" applyAlignment="1">
      <alignment horizontal="center" vertical="center" wrapText="1"/>
    </xf>
    <xf numFmtId="0" fontId="20" fillId="0" borderId="105" xfId="0" applyFont="1" applyBorder="1" applyAlignment="1">
      <alignment horizontal="center" vertical="center" wrapText="1"/>
    </xf>
    <xf numFmtId="0" fontId="20" fillId="0" borderId="106" xfId="0" applyFont="1" applyBorder="1" applyAlignment="1">
      <alignment horizontal="center" vertical="center" wrapText="1"/>
    </xf>
    <xf numFmtId="0" fontId="20" fillId="0" borderId="65" xfId="0" applyFont="1" applyBorder="1" applyAlignment="1">
      <alignment horizontal="center" vertical="center"/>
    </xf>
    <xf numFmtId="0" fontId="20" fillId="0" borderId="61" xfId="0" applyFont="1" applyBorder="1" applyAlignment="1">
      <alignment horizontal="center" vertical="center"/>
    </xf>
    <xf numFmtId="0" fontId="20" fillId="0" borderId="86" xfId="0" applyFont="1" applyBorder="1" applyAlignment="1">
      <alignment horizontal="center" vertical="center"/>
    </xf>
    <xf numFmtId="0" fontId="6" fillId="7" borderId="211" xfId="0" applyFont="1" applyFill="1" applyBorder="1" applyAlignment="1">
      <alignment horizontal="center" vertical="center"/>
    </xf>
    <xf numFmtId="0" fontId="6" fillId="7" borderId="212" xfId="0" applyFont="1" applyFill="1" applyBorder="1" applyAlignment="1">
      <alignment horizontal="center" vertical="center"/>
    </xf>
    <xf numFmtId="0" fontId="6" fillId="7" borderId="213" xfId="0" applyFont="1" applyFill="1" applyBorder="1" applyAlignment="1">
      <alignment horizontal="center" vertical="center"/>
    </xf>
    <xf numFmtId="0" fontId="20" fillId="0" borderId="64" xfId="0" applyFont="1" applyBorder="1" applyAlignment="1">
      <alignment horizontal="center" vertical="center" wrapText="1"/>
    </xf>
    <xf numFmtId="0" fontId="20" fillId="0" borderId="183" xfId="0" applyFont="1" applyBorder="1" applyAlignment="1">
      <alignment horizontal="center" vertical="center" wrapText="1"/>
    </xf>
    <xf numFmtId="0" fontId="20" fillId="0" borderId="190" xfId="0" applyFont="1" applyBorder="1" applyAlignment="1">
      <alignment horizontal="center" vertical="center" wrapText="1"/>
    </xf>
    <xf numFmtId="0" fontId="24" fillId="0" borderId="104" xfId="0" applyFont="1" applyBorder="1" applyAlignment="1">
      <alignment horizontal="center" vertical="center" wrapText="1"/>
    </xf>
    <xf numFmtId="0" fontId="24" fillId="0" borderId="107" xfId="0" applyFont="1" applyBorder="1" applyAlignment="1">
      <alignment horizontal="center" vertical="center" wrapText="1"/>
    </xf>
    <xf numFmtId="0" fontId="20" fillId="0" borderId="67" xfId="0" applyFont="1" applyBorder="1" applyAlignment="1">
      <alignment horizontal="center" vertical="center"/>
    </xf>
    <xf numFmtId="0" fontId="20" fillId="0" borderId="181" xfId="0" applyFont="1" applyBorder="1" applyAlignment="1">
      <alignment horizontal="center" vertical="center" wrapText="1"/>
    </xf>
    <xf numFmtId="0" fontId="20" fillId="0" borderId="187" xfId="0" applyFont="1" applyBorder="1" applyAlignment="1">
      <alignment horizontal="center" vertical="center" wrapText="1"/>
    </xf>
    <xf numFmtId="0" fontId="20" fillId="0" borderId="188" xfId="0" applyFont="1" applyBorder="1" applyAlignment="1">
      <alignment horizontal="center" vertical="center" wrapText="1"/>
    </xf>
    <xf numFmtId="0" fontId="20" fillId="0" borderId="182" xfId="0" applyFont="1" applyBorder="1" applyAlignment="1">
      <alignment horizontal="center" vertical="center"/>
    </xf>
    <xf numFmtId="0" fontId="20" fillId="0" borderId="189" xfId="0" applyFont="1" applyBorder="1" applyAlignment="1">
      <alignment horizontal="center" vertical="center"/>
    </xf>
    <xf numFmtId="0" fontId="20" fillId="0" borderId="95" xfId="0" applyFont="1" applyBorder="1" applyAlignment="1">
      <alignment horizontal="center" vertical="center" wrapText="1"/>
    </xf>
    <xf numFmtId="0" fontId="20" fillId="0" borderId="96" xfId="0" applyFont="1" applyBorder="1" applyAlignment="1">
      <alignment horizontal="center" vertical="center" wrapText="1"/>
    </xf>
    <xf numFmtId="0" fontId="20" fillId="0" borderId="97" xfId="0" applyFont="1" applyBorder="1" applyAlignment="1">
      <alignment horizontal="center" vertical="center" wrapText="1"/>
    </xf>
    <xf numFmtId="0" fontId="20" fillId="0" borderId="100" xfId="0" applyFont="1" applyBorder="1" applyAlignment="1">
      <alignment horizontal="center" vertical="center" wrapText="1"/>
    </xf>
    <xf numFmtId="0" fontId="20" fillId="0" borderId="101" xfId="0" applyFont="1" applyBorder="1" applyAlignment="1">
      <alignment horizontal="center" vertical="center" wrapText="1"/>
    </xf>
    <xf numFmtId="0" fontId="20" fillId="0" borderId="102" xfId="0" applyFont="1" applyBorder="1" applyAlignment="1">
      <alignment horizontal="center" vertical="center" wrapText="1"/>
    </xf>
    <xf numFmtId="0" fontId="20" fillId="0" borderId="148" xfId="0" applyFont="1" applyBorder="1" applyAlignment="1">
      <alignment horizontal="center" vertical="center" wrapText="1"/>
    </xf>
    <xf numFmtId="0" fontId="20" fillId="0" borderId="112" xfId="0" applyFont="1" applyBorder="1" applyAlignment="1">
      <alignment horizontal="center" vertical="center" wrapText="1"/>
    </xf>
    <xf numFmtId="0" fontId="20" fillId="0" borderId="113" xfId="0" applyFont="1" applyBorder="1" applyAlignment="1">
      <alignment horizontal="center" vertical="center" wrapText="1"/>
    </xf>
    <xf numFmtId="0" fontId="20" fillId="0" borderId="149" xfId="0" applyFont="1" applyBorder="1" applyAlignment="1">
      <alignment horizontal="center" vertical="center" wrapText="1"/>
    </xf>
    <xf numFmtId="0" fontId="6" fillId="7" borderId="62" xfId="0" applyFont="1" applyFill="1" applyBorder="1" applyAlignment="1">
      <alignment horizontal="center" vertical="center"/>
    </xf>
    <xf numFmtId="0" fontId="6" fillId="7" borderId="0" xfId="0" applyFont="1" applyFill="1" applyAlignment="1">
      <alignment horizontal="center" vertical="center"/>
    </xf>
    <xf numFmtId="0" fontId="6" fillId="7" borderId="63" xfId="0" applyFont="1" applyFill="1" applyBorder="1" applyAlignment="1">
      <alignment horizontal="center" vertical="center"/>
    </xf>
    <xf numFmtId="0" fontId="20" fillId="0" borderId="98" xfId="0" applyFont="1" applyBorder="1" applyAlignment="1">
      <alignment horizontal="center" vertical="center" wrapText="1"/>
    </xf>
    <xf numFmtId="0" fontId="20" fillId="0" borderId="68" xfId="0" applyFont="1" applyBorder="1" applyAlignment="1">
      <alignment horizontal="center" vertical="center"/>
    </xf>
    <xf numFmtId="0" fontId="20" fillId="0" borderId="116" xfId="0" applyFont="1" applyBorder="1" applyAlignment="1">
      <alignment horizontal="center" vertical="center"/>
    </xf>
    <xf numFmtId="0" fontId="24" fillId="0" borderId="68" xfId="0" applyFont="1" applyBorder="1" applyAlignment="1">
      <alignment horizontal="center" vertical="center" wrapText="1"/>
    </xf>
    <xf numFmtId="0" fontId="24" fillId="0" borderId="72" xfId="0" applyFont="1" applyBorder="1" applyAlignment="1">
      <alignment horizontal="center" vertical="center" wrapText="1"/>
    </xf>
    <xf numFmtId="0" fontId="24" fillId="0" borderId="99" xfId="0" applyFont="1" applyBorder="1" applyAlignment="1">
      <alignment horizontal="center" vertical="center" wrapText="1"/>
    </xf>
    <xf numFmtId="0" fontId="24" fillId="0" borderId="114" xfId="0" applyFont="1" applyBorder="1" applyAlignment="1">
      <alignment horizontal="center" vertical="center" wrapText="1"/>
    </xf>
    <xf numFmtId="0" fontId="24" fillId="0" borderId="117" xfId="0" applyFont="1" applyBorder="1" applyAlignment="1">
      <alignment horizontal="center" vertical="center" wrapText="1"/>
    </xf>
    <xf numFmtId="0" fontId="24" fillId="0" borderId="65" xfId="0" applyFont="1" applyBorder="1" applyAlignment="1">
      <alignment horizontal="center" vertical="center" wrapText="1"/>
    </xf>
    <xf numFmtId="0" fontId="24" fillId="0" borderId="75" xfId="0" applyFont="1" applyBorder="1" applyAlignment="1">
      <alignment horizontal="center" vertical="center" wrapText="1"/>
    </xf>
    <xf numFmtId="0" fontId="42" fillId="0" borderId="66" xfId="0" applyFont="1" applyBorder="1" applyAlignment="1">
      <alignment horizontal="center" vertical="center" wrapText="1"/>
    </xf>
    <xf numFmtId="0" fontId="42" fillId="0" borderId="71" xfId="0" applyFont="1" applyBorder="1" applyAlignment="1">
      <alignment horizontal="center" vertical="center" wrapText="1"/>
    </xf>
    <xf numFmtId="0" fontId="42" fillId="0" borderId="98" xfId="0" applyFont="1" applyBorder="1" applyAlignment="1">
      <alignment horizontal="center" vertical="center" wrapText="1"/>
    </xf>
    <xf numFmtId="0" fontId="42" fillId="0" borderId="67" xfId="0" applyFont="1" applyBorder="1" applyAlignment="1">
      <alignment horizontal="center" vertical="center"/>
    </xf>
    <xf numFmtId="0" fontId="42" fillId="0" borderId="72" xfId="0" applyFont="1" applyBorder="1" applyAlignment="1">
      <alignment horizontal="center" vertical="center"/>
    </xf>
    <xf numFmtId="0" fontId="42" fillId="0" borderId="99" xfId="0" applyFont="1" applyBorder="1" applyAlignment="1">
      <alignment horizontal="center" vertical="center"/>
    </xf>
    <xf numFmtId="0" fontId="42" fillId="0" borderId="181" xfId="0" applyFont="1" applyBorder="1" applyAlignment="1">
      <alignment horizontal="center" vertical="center" wrapText="1"/>
    </xf>
    <xf numFmtId="0" fontId="42" fillId="0" borderId="187" xfId="0" applyFont="1" applyBorder="1" applyAlignment="1">
      <alignment horizontal="center" vertical="center" wrapText="1"/>
    </xf>
    <xf numFmtId="0" fontId="42" fillId="0" borderId="195" xfId="0" applyFont="1" applyBorder="1" applyAlignment="1">
      <alignment horizontal="center" vertical="center" wrapText="1"/>
    </xf>
    <xf numFmtId="0" fontId="42" fillId="0" borderId="182" xfId="0" applyFont="1" applyBorder="1" applyAlignment="1">
      <alignment horizontal="center" vertical="center"/>
    </xf>
    <xf numFmtId="0" fontId="20" fillId="0" borderId="151" xfId="0" applyFont="1" applyBorder="1" applyAlignment="1">
      <alignment horizontal="center" vertical="center" wrapText="1"/>
    </xf>
    <xf numFmtId="0" fontId="20" fillId="0" borderId="152" xfId="0" applyFont="1" applyBorder="1" applyAlignment="1">
      <alignment horizontal="center" vertical="center" wrapText="1"/>
    </xf>
    <xf numFmtId="0" fontId="11" fillId="11" borderId="25" xfId="0" applyFont="1" applyFill="1" applyBorder="1" applyAlignment="1">
      <alignment horizontal="center" vertical="center" wrapText="1"/>
    </xf>
    <xf numFmtId="0" fontId="6" fillId="7" borderId="15" xfId="0" applyFont="1" applyFill="1" applyBorder="1" applyAlignment="1">
      <alignment horizontal="center" vertical="center"/>
    </xf>
    <xf numFmtId="0" fontId="20" fillId="0" borderId="107" xfId="0" applyFont="1" applyBorder="1" applyAlignment="1">
      <alignment horizontal="center" vertical="center" wrapText="1"/>
    </xf>
    <xf numFmtId="0" fontId="35" fillId="0" borderId="124" xfId="0" applyFont="1" applyBorder="1" applyAlignment="1">
      <alignment horizontal="center" vertical="center" wrapText="1"/>
    </xf>
    <xf numFmtId="0" fontId="35" fillId="0" borderId="104" xfId="0" applyFont="1" applyBorder="1" applyAlignment="1">
      <alignment horizontal="center" vertical="center" wrapText="1"/>
    </xf>
    <xf numFmtId="0" fontId="35" fillId="0" borderId="117" xfId="0" applyFont="1" applyBorder="1" applyAlignment="1">
      <alignment horizontal="center" vertical="center" wrapText="1"/>
    </xf>
    <xf numFmtId="0" fontId="17" fillId="7" borderId="2" xfId="0" applyFont="1" applyFill="1" applyBorder="1" applyAlignment="1">
      <alignment horizontal="center" vertical="center" wrapText="1"/>
    </xf>
    <xf numFmtId="0" fontId="20" fillId="0" borderId="117" xfId="0" applyFont="1" applyBorder="1" applyAlignment="1">
      <alignment horizontal="center" vertical="center" wrapText="1"/>
    </xf>
    <xf numFmtId="0" fontId="19" fillId="0" borderId="130" xfId="0" applyFont="1" applyBorder="1" applyAlignment="1">
      <alignment horizontal="center" vertical="center"/>
    </xf>
    <xf numFmtId="0" fontId="19" fillId="0" borderId="132" xfId="0" applyFont="1" applyBorder="1" applyAlignment="1">
      <alignment horizontal="center" vertical="center"/>
    </xf>
    <xf numFmtId="0" fontId="5" fillId="0" borderId="140" xfId="0" applyFont="1" applyBorder="1" applyAlignment="1">
      <alignment horizontal="center" vertical="center"/>
    </xf>
    <xf numFmtId="0" fontId="5" fillId="0" borderId="141" xfId="0" applyFont="1" applyBorder="1" applyAlignment="1">
      <alignment horizontal="center" vertical="center"/>
    </xf>
    <xf numFmtId="0" fontId="32" fillId="13" borderId="0" xfId="0" applyFont="1" applyFill="1" applyAlignment="1">
      <alignment horizontal="center" vertical="center"/>
    </xf>
    <xf numFmtId="0" fontId="32" fillId="13" borderId="146" xfId="0" applyFont="1" applyFill="1" applyBorder="1" applyAlignment="1">
      <alignment horizontal="center" vertical="center"/>
    </xf>
    <xf numFmtId="10" fontId="6" fillId="0" borderId="10" xfId="8" applyNumberFormat="1" applyFont="1" applyBorder="1" applyAlignment="1">
      <alignment horizontal="center"/>
    </xf>
    <xf numFmtId="10" fontId="6" fillId="0" borderId="11" xfId="8" applyNumberFormat="1" applyFont="1" applyBorder="1" applyAlignment="1">
      <alignment horizontal="center"/>
    </xf>
    <xf numFmtId="10" fontId="6" fillId="0" borderId="12" xfId="8" applyNumberFormat="1" applyFont="1" applyBorder="1" applyAlignment="1">
      <alignment horizontal="center"/>
    </xf>
    <xf numFmtId="0" fontId="6" fillId="5" borderId="3" xfId="0" applyFont="1" applyFill="1" applyBorder="1" applyAlignment="1">
      <alignment horizontal="center" vertical="center"/>
    </xf>
    <xf numFmtId="0" fontId="6" fillId="5" borderId="13" xfId="0" applyFont="1" applyFill="1" applyBorder="1" applyAlignment="1">
      <alignment horizontal="center" vertical="center"/>
    </xf>
    <xf numFmtId="0" fontId="6" fillId="5" borderId="14" xfId="0" applyFont="1" applyFill="1" applyBorder="1" applyAlignment="1">
      <alignment horizontal="center" vertical="center"/>
    </xf>
    <xf numFmtId="9" fontId="6" fillId="0" borderId="53" xfId="2" applyFont="1" applyFill="1" applyBorder="1" applyAlignment="1">
      <alignment horizontal="center" vertical="center"/>
    </xf>
    <xf numFmtId="9" fontId="6" fillId="0" borderId="32" xfId="2" applyFont="1" applyFill="1" applyBorder="1" applyAlignment="1">
      <alignment horizontal="center" vertical="center"/>
    </xf>
    <xf numFmtId="9" fontId="6" fillId="0" borderId="33" xfId="2" applyFont="1" applyFill="1" applyBorder="1" applyAlignment="1">
      <alignment horizontal="center" vertical="center"/>
    </xf>
    <xf numFmtId="0" fontId="6" fillId="0" borderId="17" xfId="0" applyFont="1" applyBorder="1" applyAlignment="1">
      <alignment horizontal="center" vertical="center"/>
    </xf>
    <xf numFmtId="0" fontId="6" fillId="0" borderId="0" xfId="0" applyFont="1" applyAlignment="1">
      <alignment horizontal="center" vertical="center"/>
    </xf>
    <xf numFmtId="0" fontId="22" fillId="7" borderId="2" xfId="0" applyFont="1" applyFill="1" applyBorder="1" applyAlignment="1">
      <alignment horizontal="center" vertical="center"/>
    </xf>
    <xf numFmtId="0" fontId="8" fillId="11" borderId="0" xfId="0" applyFont="1" applyFill="1" applyAlignment="1">
      <alignment horizontal="center" vertical="center" wrapText="1"/>
    </xf>
    <xf numFmtId="0" fontId="0" fillId="0" borderId="0" xfId="0" applyAlignment="1">
      <alignment horizontal="center"/>
    </xf>
    <xf numFmtId="0" fontId="1" fillId="0" borderId="39" xfId="0" applyFont="1" applyBorder="1" applyAlignment="1">
      <alignment vertical="center"/>
    </xf>
  </cellXfs>
  <cellStyles count="17">
    <cellStyle name="Comma" xfId="6" builtinId="3"/>
    <cellStyle name="Comma 2" xfId="15" xr:uid="{589BB2F6-374B-4FE8-9689-4F8B918918D9}"/>
    <cellStyle name="Hyperlink" xfId="5" builtinId="8"/>
    <cellStyle name="Hyperlink 2" xfId="10" xr:uid="{10C1E3C0-F46B-4E25-BD9A-EE5D62F88FF2}"/>
    <cellStyle name="Normal" xfId="0" builtinId="0"/>
    <cellStyle name="Normal 2" xfId="3" xr:uid="{E38C2638-0821-4BB2-9C33-A89D3950ADA6}"/>
    <cellStyle name="Normal 2 2" xfId="4" xr:uid="{7604919E-E68F-4366-A693-6A7B8B8DA661}"/>
    <cellStyle name="Normal 2 3" xfId="9" xr:uid="{8A1E39CD-7ABA-4D79-A464-67010D1209C1}"/>
    <cellStyle name="Normal 3" xfId="7" xr:uid="{1C10DAE4-4F9C-4E19-81E4-5574511A6741}"/>
    <cellStyle name="Normal 4" xfId="11" xr:uid="{43272557-B37F-4996-BC18-AA3EDEAFA379}"/>
    <cellStyle name="Normal 5" xfId="12" xr:uid="{642BE191-BE2F-4847-8420-1C59B95E270E}"/>
    <cellStyle name="Normal 6" xfId="13" xr:uid="{BAB312D4-555E-4D72-AB50-C5257AC183B1}"/>
    <cellStyle name="Normal 7" xfId="14" xr:uid="{325E217A-D80C-4E3E-9ED6-EAD46C607A04}"/>
    <cellStyle name="Normal_Prototype_Scorecard-LgOffice-2008-03-13" xfId="1" xr:uid="{F839F8A1-86E5-4008-9801-0F032E8A3317}"/>
    <cellStyle name="Percent" xfId="2" builtinId="5"/>
    <cellStyle name="Percent 2" xfId="8" xr:uid="{CB789C3E-741F-4464-8065-385A956411E6}"/>
    <cellStyle name="Percent 2 2" xfId="16" xr:uid="{D3E974ED-C5F7-42F9-9153-8C73084C4B02}"/>
  </cellStyles>
  <dxfs count="7">
    <dxf>
      <font>
        <b/>
        <i val="0"/>
      </font>
      <fill>
        <patternFill>
          <bgColor theme="0" tint="-0.14996795556505021"/>
        </patternFill>
      </fill>
      <border>
        <left style="thin">
          <color auto="1"/>
        </left>
        <right style="thin">
          <color auto="1"/>
        </right>
        <top style="thin">
          <color auto="1"/>
        </top>
        <bottom style="thin">
          <color auto="1"/>
        </bottom>
        <vertical/>
        <horizontal style="thin">
          <color auto="1"/>
        </horizontal>
      </border>
    </dxf>
    <dxf>
      <font>
        <b/>
        <i val="0"/>
      </font>
      <fill>
        <patternFill>
          <bgColor theme="0" tint="-0.14996795556505021"/>
        </patternFill>
      </fill>
      <border>
        <left style="thin">
          <color auto="1"/>
        </left>
        <right style="thin">
          <color auto="1"/>
        </right>
        <top style="thin">
          <color auto="1"/>
        </top>
        <bottom style="thin">
          <color auto="1"/>
        </bottom>
        <vertical style="thin">
          <color auto="1"/>
        </vertical>
        <horizontal style="thin">
          <color auto="1"/>
        </horizontal>
      </border>
    </dxf>
    <dxf>
      <font>
        <b/>
        <i val="0"/>
      </font>
    </dxf>
    <dxf>
      <font>
        <b/>
        <i val="0"/>
      </font>
    </dxf>
    <dxf>
      <font>
        <b/>
        <i val="0"/>
      </font>
      <border diagonalDown="1">
        <left style="thin">
          <color auto="1"/>
        </left>
        <right style="thin">
          <color auto="1"/>
        </right>
        <top style="thin">
          <color auto="1"/>
        </top>
        <bottom style="thin">
          <color auto="1"/>
        </bottom>
        <diagonal style="thin">
          <color auto="1"/>
        </diagonal>
        <vertical style="thin">
          <color auto="1"/>
        </vertical>
        <horizontal style="thin">
          <color auto="1"/>
        </horizontal>
      </border>
    </dxf>
    <dxf>
      <font>
        <b/>
        <i val="0"/>
      </font>
      <fill>
        <patternFill>
          <bgColor theme="0" tint="-0.14996795556505021"/>
        </patternFill>
      </fill>
      <border>
        <left style="thin">
          <color auto="1"/>
        </left>
        <right style="thin">
          <color auto="1"/>
        </right>
        <top style="thin">
          <color auto="1"/>
        </top>
        <bottom style="thin">
          <color auto="1"/>
        </bottom>
        <vertical style="thin">
          <color auto="1"/>
        </vertical>
        <horizontal style="thin">
          <color auto="1"/>
        </horizontal>
      </border>
    </dxf>
    <dxf>
      <border>
        <left style="thin">
          <color auto="1"/>
        </left>
        <right style="thin">
          <color auto="1"/>
        </right>
        <top style="thin">
          <color auto="1"/>
        </top>
        <bottom style="thin">
          <color auto="1"/>
        </bottom>
        <vertical style="thin">
          <color auto="1"/>
        </vertical>
        <horizontal/>
      </border>
    </dxf>
  </dxfs>
  <tableStyles count="1" defaultTableStyle="TableStyleMedium2" defaultPivotStyle="PivotStyleLight16">
    <tableStyle name="PivotTable Style_MFA1" table="0" count="7" xr9:uid="{14E84246-083A-4927-8273-A88944943105}">
      <tableStyleElement type="wholeTable" dxfId="6"/>
      <tableStyleElement type="headerRow" dxfId="5"/>
      <tableStyleElement type="totalRow" dxfId="4"/>
      <tableStyleElement type="firstColumn" dxfId="3"/>
      <tableStyleElement type="lastColumn" dxfId="2"/>
      <tableStyleElement type="pageFieldLabels" dxfId="1"/>
      <tableStyleElement type="pageFieldValues" dxfId="0"/>
    </tableStyle>
  </tableStyles>
  <colors>
    <mruColors>
      <color rgb="FF9C9C9C"/>
      <color rgb="FF919191"/>
      <color rgb="FF8C8C8C"/>
      <color rgb="FF002F8E"/>
      <color rgb="FFFF9900"/>
      <color rgb="FFCCCCFF"/>
      <color rgb="FF8238BA"/>
      <color rgb="FFFFEBCD"/>
      <color rgb="FF0000CC"/>
      <color rgb="FF2E9F1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Schedules!$C$4</c:f>
          <c:strCache>
            <c:ptCount val="1"/>
            <c:pt idx="0">
              <c:v>Occupancy</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Schedules!$E$4</c:f>
              <c:strCache>
                <c:ptCount val="1"/>
                <c:pt idx="0">
                  <c:v>Weekday</c:v>
                </c:pt>
              </c:strCache>
            </c:strRef>
          </c:tx>
          <c:spPr>
            <a:ln w="28575" cap="rnd">
              <a:solidFill>
                <a:schemeClr val="accent1"/>
              </a:solidFill>
              <a:round/>
            </a:ln>
            <a:effectLst/>
          </c:spPr>
          <c:marker>
            <c:symbol val="none"/>
          </c:marker>
          <c:val>
            <c:numRef>
              <c:f>Schedules!$F$4:$AC$4</c:f>
              <c:numCache>
                <c:formatCode>0.00</c:formatCode>
                <c:ptCount val="24"/>
                <c:pt idx="0">
                  <c:v>0</c:v>
                </c:pt>
                <c:pt idx="1">
                  <c:v>0</c:v>
                </c:pt>
                <c:pt idx="2">
                  <c:v>0</c:v>
                </c:pt>
                <c:pt idx="3">
                  <c:v>0</c:v>
                </c:pt>
                <c:pt idx="4">
                  <c:v>0</c:v>
                </c:pt>
                <c:pt idx="5">
                  <c:v>0</c:v>
                </c:pt>
                <c:pt idx="6">
                  <c:v>0.1</c:v>
                </c:pt>
                <c:pt idx="7">
                  <c:v>0.2</c:v>
                </c:pt>
                <c:pt idx="8">
                  <c:v>0.95</c:v>
                </c:pt>
                <c:pt idx="9">
                  <c:v>0.95</c:v>
                </c:pt>
                <c:pt idx="10">
                  <c:v>0.95</c:v>
                </c:pt>
                <c:pt idx="11">
                  <c:v>0.95</c:v>
                </c:pt>
                <c:pt idx="12">
                  <c:v>0.5</c:v>
                </c:pt>
                <c:pt idx="13">
                  <c:v>0.95</c:v>
                </c:pt>
                <c:pt idx="14">
                  <c:v>0.95</c:v>
                </c:pt>
                <c:pt idx="15">
                  <c:v>0.95</c:v>
                </c:pt>
                <c:pt idx="16">
                  <c:v>0.95</c:v>
                </c:pt>
                <c:pt idx="17">
                  <c:v>0.3</c:v>
                </c:pt>
                <c:pt idx="18">
                  <c:v>0.1</c:v>
                </c:pt>
                <c:pt idx="19">
                  <c:v>0.1</c:v>
                </c:pt>
                <c:pt idx="20">
                  <c:v>0.1</c:v>
                </c:pt>
                <c:pt idx="21">
                  <c:v>0.1</c:v>
                </c:pt>
                <c:pt idx="22">
                  <c:v>0.05</c:v>
                </c:pt>
                <c:pt idx="23">
                  <c:v>0.05</c:v>
                </c:pt>
              </c:numCache>
            </c:numRef>
          </c:val>
          <c:smooth val="0"/>
          <c:extLst>
            <c:ext xmlns:c16="http://schemas.microsoft.com/office/drawing/2014/chart" uri="{C3380CC4-5D6E-409C-BE32-E72D297353CC}">
              <c16:uniqueId val="{00000000-06BB-4405-BC60-B55164A79AEF}"/>
            </c:ext>
          </c:extLst>
        </c:ser>
        <c:ser>
          <c:idx val="1"/>
          <c:order val="1"/>
          <c:tx>
            <c:strRef>
              <c:f>Schedules!$E$5</c:f>
              <c:strCache>
                <c:ptCount val="1"/>
                <c:pt idx="0">
                  <c:v>Saturday</c:v>
                </c:pt>
              </c:strCache>
            </c:strRef>
          </c:tx>
          <c:spPr>
            <a:ln w="28575" cap="rnd">
              <a:solidFill>
                <a:schemeClr val="accent2"/>
              </a:solidFill>
              <a:round/>
            </a:ln>
            <a:effectLst/>
          </c:spPr>
          <c:marker>
            <c:symbol val="none"/>
          </c:marker>
          <c:val>
            <c:numRef>
              <c:f>Schedules!$F$5:$AC$5</c:f>
              <c:numCache>
                <c:formatCode>0.00</c:formatCode>
                <c:ptCount val="24"/>
                <c:pt idx="0">
                  <c:v>0</c:v>
                </c:pt>
                <c:pt idx="1">
                  <c:v>0</c:v>
                </c:pt>
                <c:pt idx="2">
                  <c:v>0</c:v>
                </c:pt>
                <c:pt idx="3">
                  <c:v>0</c:v>
                </c:pt>
                <c:pt idx="4">
                  <c:v>0</c:v>
                </c:pt>
                <c:pt idx="5">
                  <c:v>0</c:v>
                </c:pt>
                <c:pt idx="6">
                  <c:v>0.05</c:v>
                </c:pt>
                <c:pt idx="7">
                  <c:v>0.05</c:v>
                </c:pt>
                <c:pt idx="8">
                  <c:v>0.05</c:v>
                </c:pt>
                <c:pt idx="9">
                  <c:v>0.05</c:v>
                </c:pt>
                <c:pt idx="10">
                  <c:v>0.05</c:v>
                </c:pt>
                <c:pt idx="11">
                  <c:v>0.05</c:v>
                </c:pt>
                <c:pt idx="12">
                  <c:v>0.05</c:v>
                </c:pt>
                <c:pt idx="13">
                  <c:v>0.05</c:v>
                </c:pt>
                <c:pt idx="14">
                  <c:v>0.05</c:v>
                </c:pt>
                <c:pt idx="15">
                  <c:v>0.05</c:v>
                </c:pt>
                <c:pt idx="16">
                  <c:v>0.05</c:v>
                </c:pt>
                <c:pt idx="17">
                  <c:v>0.05</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06BB-4405-BC60-B55164A79AEF}"/>
            </c:ext>
          </c:extLst>
        </c:ser>
        <c:ser>
          <c:idx val="2"/>
          <c:order val="2"/>
          <c:tx>
            <c:strRef>
              <c:f>Schedules!$E$6</c:f>
              <c:strCache>
                <c:ptCount val="1"/>
                <c:pt idx="0">
                  <c:v>Sunday</c:v>
                </c:pt>
              </c:strCache>
            </c:strRef>
          </c:tx>
          <c:spPr>
            <a:ln w="28575" cap="rnd">
              <a:solidFill>
                <a:schemeClr val="accent3"/>
              </a:solidFill>
              <a:round/>
            </a:ln>
            <a:effectLst/>
          </c:spPr>
          <c:marker>
            <c:symbol val="none"/>
          </c:marker>
          <c:val>
            <c:numRef>
              <c:f>Schedules!$F$6:$AC$6</c:f>
              <c:numCache>
                <c:formatCode>0.00</c:formatCode>
                <c:ptCount val="24"/>
                <c:pt idx="0">
                  <c:v>0</c:v>
                </c:pt>
                <c:pt idx="1">
                  <c:v>0</c:v>
                </c:pt>
                <c:pt idx="2">
                  <c:v>0</c:v>
                </c:pt>
                <c:pt idx="3">
                  <c:v>0</c:v>
                </c:pt>
                <c:pt idx="4">
                  <c:v>0</c:v>
                </c:pt>
                <c:pt idx="5">
                  <c:v>0</c:v>
                </c:pt>
                <c:pt idx="6">
                  <c:v>0.05</c:v>
                </c:pt>
                <c:pt idx="7">
                  <c:v>0.05</c:v>
                </c:pt>
                <c:pt idx="8">
                  <c:v>0.05</c:v>
                </c:pt>
                <c:pt idx="9">
                  <c:v>0.05</c:v>
                </c:pt>
                <c:pt idx="10">
                  <c:v>0.05</c:v>
                </c:pt>
                <c:pt idx="11">
                  <c:v>0.05</c:v>
                </c:pt>
                <c:pt idx="12">
                  <c:v>0.05</c:v>
                </c:pt>
                <c:pt idx="13">
                  <c:v>0.05</c:v>
                </c:pt>
                <c:pt idx="14">
                  <c:v>0.05</c:v>
                </c:pt>
                <c:pt idx="15">
                  <c:v>0.05</c:v>
                </c:pt>
                <c:pt idx="16">
                  <c:v>0.05</c:v>
                </c:pt>
                <c:pt idx="17">
                  <c:v>0.05</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06BB-4405-BC60-B55164A79AEF}"/>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Schedules!$C$7</c:f>
          <c:strCache>
            <c:ptCount val="1"/>
            <c:pt idx="0">
              <c:v>Lights</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Schedules!$E$7</c:f>
              <c:strCache>
                <c:ptCount val="1"/>
                <c:pt idx="0">
                  <c:v>Weekday</c:v>
                </c:pt>
              </c:strCache>
            </c:strRef>
          </c:tx>
          <c:spPr>
            <a:ln w="28575" cap="rnd">
              <a:solidFill>
                <a:schemeClr val="accent1"/>
              </a:solidFill>
              <a:round/>
            </a:ln>
            <a:effectLst/>
          </c:spPr>
          <c:marker>
            <c:symbol val="none"/>
          </c:marker>
          <c:val>
            <c:numRef>
              <c:f>Schedules!$F$7:$AC$7</c:f>
              <c:numCache>
                <c:formatCode>0.00</c:formatCode>
                <c:ptCount val="24"/>
                <c:pt idx="0">
                  <c:v>0.05</c:v>
                </c:pt>
                <c:pt idx="1">
                  <c:v>0.05</c:v>
                </c:pt>
                <c:pt idx="2">
                  <c:v>0.05</c:v>
                </c:pt>
                <c:pt idx="3">
                  <c:v>0.05</c:v>
                </c:pt>
                <c:pt idx="4">
                  <c:v>0.05</c:v>
                </c:pt>
                <c:pt idx="5">
                  <c:v>0.1</c:v>
                </c:pt>
                <c:pt idx="6">
                  <c:v>0.1</c:v>
                </c:pt>
                <c:pt idx="7">
                  <c:v>0.3</c:v>
                </c:pt>
                <c:pt idx="8">
                  <c:v>0.65</c:v>
                </c:pt>
                <c:pt idx="9">
                  <c:v>0.65</c:v>
                </c:pt>
                <c:pt idx="10">
                  <c:v>0.65</c:v>
                </c:pt>
                <c:pt idx="11">
                  <c:v>0.65</c:v>
                </c:pt>
                <c:pt idx="12">
                  <c:v>0.65</c:v>
                </c:pt>
                <c:pt idx="13">
                  <c:v>0.65</c:v>
                </c:pt>
                <c:pt idx="14">
                  <c:v>0.65</c:v>
                </c:pt>
                <c:pt idx="15">
                  <c:v>0.65</c:v>
                </c:pt>
                <c:pt idx="16">
                  <c:v>0.65</c:v>
                </c:pt>
                <c:pt idx="17">
                  <c:v>0.35</c:v>
                </c:pt>
                <c:pt idx="18">
                  <c:v>0.3</c:v>
                </c:pt>
                <c:pt idx="19">
                  <c:v>0.3</c:v>
                </c:pt>
                <c:pt idx="20">
                  <c:v>0.2</c:v>
                </c:pt>
                <c:pt idx="21">
                  <c:v>0.2</c:v>
                </c:pt>
                <c:pt idx="22">
                  <c:v>0.1</c:v>
                </c:pt>
                <c:pt idx="23">
                  <c:v>0.05</c:v>
                </c:pt>
              </c:numCache>
            </c:numRef>
          </c:val>
          <c:smooth val="0"/>
          <c:extLst>
            <c:ext xmlns:c16="http://schemas.microsoft.com/office/drawing/2014/chart" uri="{C3380CC4-5D6E-409C-BE32-E72D297353CC}">
              <c16:uniqueId val="{00000000-5ED3-4941-8080-3783F3668DDA}"/>
            </c:ext>
          </c:extLst>
        </c:ser>
        <c:ser>
          <c:idx val="1"/>
          <c:order val="1"/>
          <c:tx>
            <c:strRef>
              <c:f>Schedules!$E$8</c:f>
              <c:strCache>
                <c:ptCount val="1"/>
                <c:pt idx="0">
                  <c:v>Saturday</c:v>
                </c:pt>
              </c:strCache>
            </c:strRef>
          </c:tx>
          <c:spPr>
            <a:ln w="28575" cap="rnd">
              <a:solidFill>
                <a:schemeClr val="accent2"/>
              </a:solidFill>
              <a:round/>
            </a:ln>
            <a:effectLst/>
          </c:spPr>
          <c:marker>
            <c:symbol val="none"/>
          </c:marker>
          <c:val>
            <c:numRef>
              <c:f>Schedules!$F$8:$AC$8</c:f>
              <c:numCache>
                <c:formatCode>0.00</c:formatCode>
                <c:ptCount val="24"/>
                <c:pt idx="0">
                  <c:v>0.05</c:v>
                </c:pt>
                <c:pt idx="1">
                  <c:v>0.05</c:v>
                </c:pt>
                <c:pt idx="2">
                  <c:v>0.05</c:v>
                </c:pt>
                <c:pt idx="3">
                  <c:v>0.05</c:v>
                </c:pt>
                <c:pt idx="4">
                  <c:v>0.05</c:v>
                </c:pt>
                <c:pt idx="5">
                  <c:v>0.05</c:v>
                </c:pt>
                <c:pt idx="6">
                  <c:v>0.15</c:v>
                </c:pt>
                <c:pt idx="7">
                  <c:v>0.15</c:v>
                </c:pt>
                <c:pt idx="8">
                  <c:v>0.15</c:v>
                </c:pt>
                <c:pt idx="9">
                  <c:v>0.15</c:v>
                </c:pt>
                <c:pt idx="10">
                  <c:v>0.15</c:v>
                </c:pt>
                <c:pt idx="11">
                  <c:v>0.15</c:v>
                </c:pt>
                <c:pt idx="12">
                  <c:v>0.15</c:v>
                </c:pt>
                <c:pt idx="13">
                  <c:v>0.15</c:v>
                </c:pt>
                <c:pt idx="14">
                  <c:v>0.15</c:v>
                </c:pt>
                <c:pt idx="15">
                  <c:v>0.15</c:v>
                </c:pt>
                <c:pt idx="16">
                  <c:v>0.15</c:v>
                </c:pt>
                <c:pt idx="17">
                  <c:v>0.15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1-5ED3-4941-8080-3783F3668DDA}"/>
            </c:ext>
          </c:extLst>
        </c:ser>
        <c:ser>
          <c:idx val="2"/>
          <c:order val="2"/>
          <c:tx>
            <c:strRef>
              <c:f>Schedules!$E$9</c:f>
              <c:strCache>
                <c:ptCount val="1"/>
                <c:pt idx="0">
                  <c:v>Sunday</c:v>
                </c:pt>
              </c:strCache>
            </c:strRef>
          </c:tx>
          <c:spPr>
            <a:ln w="28575" cap="rnd">
              <a:solidFill>
                <a:schemeClr val="accent3"/>
              </a:solidFill>
              <a:round/>
            </a:ln>
            <a:effectLst/>
          </c:spPr>
          <c:marker>
            <c:symbol val="none"/>
          </c:marker>
          <c:val>
            <c:numRef>
              <c:f>Schedules!$F$9:$AC$9</c:f>
              <c:numCache>
                <c:formatCode>0.00</c:formatCode>
                <c:ptCount val="24"/>
                <c:pt idx="0">
                  <c:v>0.05</c:v>
                </c:pt>
                <c:pt idx="1">
                  <c:v>0.05</c:v>
                </c:pt>
                <c:pt idx="2">
                  <c:v>0.05</c:v>
                </c:pt>
                <c:pt idx="3">
                  <c:v>0.05</c:v>
                </c:pt>
                <c:pt idx="4">
                  <c:v>0.05</c:v>
                </c:pt>
                <c:pt idx="5">
                  <c:v>0.05</c:v>
                </c:pt>
                <c:pt idx="6">
                  <c:v>0.15</c:v>
                </c:pt>
                <c:pt idx="7">
                  <c:v>0.15</c:v>
                </c:pt>
                <c:pt idx="8">
                  <c:v>0.15</c:v>
                </c:pt>
                <c:pt idx="9">
                  <c:v>0.15</c:v>
                </c:pt>
                <c:pt idx="10">
                  <c:v>0.15</c:v>
                </c:pt>
                <c:pt idx="11">
                  <c:v>0.15</c:v>
                </c:pt>
                <c:pt idx="12">
                  <c:v>0.15</c:v>
                </c:pt>
                <c:pt idx="13">
                  <c:v>0.15</c:v>
                </c:pt>
                <c:pt idx="14">
                  <c:v>0.15</c:v>
                </c:pt>
                <c:pt idx="15">
                  <c:v>0.15</c:v>
                </c:pt>
                <c:pt idx="16">
                  <c:v>0.15</c:v>
                </c:pt>
                <c:pt idx="17">
                  <c:v>0.15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2-5ED3-4941-8080-3783F3668DDA}"/>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Schedules!$C$10</c:f>
          <c:strCache>
            <c:ptCount val="1"/>
            <c:pt idx="0">
              <c:v>ElecEquipment </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Schedules!$E$10</c:f>
              <c:strCache>
                <c:ptCount val="1"/>
                <c:pt idx="0">
                  <c:v>Weekday</c:v>
                </c:pt>
              </c:strCache>
            </c:strRef>
          </c:tx>
          <c:spPr>
            <a:ln w="28575" cap="rnd">
              <a:solidFill>
                <a:schemeClr val="accent1"/>
              </a:solidFill>
              <a:round/>
            </a:ln>
            <a:effectLst/>
          </c:spPr>
          <c:marker>
            <c:symbol val="none"/>
          </c:marker>
          <c:val>
            <c:numRef>
              <c:f>Schedules!$F$10:$AC$10</c:f>
              <c:numCache>
                <c:formatCode>0.00</c:formatCode>
                <c:ptCount val="24"/>
                <c:pt idx="0">
                  <c:v>0.45</c:v>
                </c:pt>
                <c:pt idx="1">
                  <c:v>0.45</c:v>
                </c:pt>
                <c:pt idx="2">
                  <c:v>0.45</c:v>
                </c:pt>
                <c:pt idx="3">
                  <c:v>0.45</c:v>
                </c:pt>
                <c:pt idx="4">
                  <c:v>0.45</c:v>
                </c:pt>
                <c:pt idx="5">
                  <c:v>0.45</c:v>
                </c:pt>
                <c:pt idx="6">
                  <c:v>0.45</c:v>
                </c:pt>
                <c:pt idx="7">
                  <c:v>0.74</c:v>
                </c:pt>
                <c:pt idx="8">
                  <c:v>0.87</c:v>
                </c:pt>
                <c:pt idx="9">
                  <c:v>0.9</c:v>
                </c:pt>
                <c:pt idx="10">
                  <c:v>0.9</c:v>
                </c:pt>
                <c:pt idx="11">
                  <c:v>0.9</c:v>
                </c:pt>
                <c:pt idx="12">
                  <c:v>0.9</c:v>
                </c:pt>
                <c:pt idx="13">
                  <c:v>0.9</c:v>
                </c:pt>
                <c:pt idx="14">
                  <c:v>0.9</c:v>
                </c:pt>
                <c:pt idx="15">
                  <c:v>0.9</c:v>
                </c:pt>
                <c:pt idx="16">
                  <c:v>0.9</c:v>
                </c:pt>
                <c:pt idx="17">
                  <c:v>0.7</c:v>
                </c:pt>
                <c:pt idx="18">
                  <c:v>0.5</c:v>
                </c:pt>
                <c:pt idx="19">
                  <c:v>0.5</c:v>
                </c:pt>
                <c:pt idx="20">
                  <c:v>0.5</c:v>
                </c:pt>
                <c:pt idx="21">
                  <c:v>0.45</c:v>
                </c:pt>
                <c:pt idx="22">
                  <c:v>0.45</c:v>
                </c:pt>
                <c:pt idx="23">
                  <c:v>0.45</c:v>
                </c:pt>
              </c:numCache>
            </c:numRef>
          </c:val>
          <c:smooth val="0"/>
          <c:extLst>
            <c:ext xmlns:c16="http://schemas.microsoft.com/office/drawing/2014/chart" uri="{C3380CC4-5D6E-409C-BE32-E72D297353CC}">
              <c16:uniqueId val="{00000000-541D-40B0-962A-A5C79439ED86}"/>
            </c:ext>
          </c:extLst>
        </c:ser>
        <c:ser>
          <c:idx val="1"/>
          <c:order val="1"/>
          <c:tx>
            <c:strRef>
              <c:f>Schedules!$E$11</c:f>
              <c:strCache>
                <c:ptCount val="1"/>
                <c:pt idx="0">
                  <c:v>Saturday</c:v>
                </c:pt>
              </c:strCache>
            </c:strRef>
          </c:tx>
          <c:spPr>
            <a:ln w="28575" cap="rnd">
              <a:solidFill>
                <a:schemeClr val="accent2"/>
              </a:solidFill>
              <a:round/>
            </a:ln>
            <a:effectLst/>
          </c:spPr>
          <c:marker>
            <c:symbol val="none"/>
          </c:marker>
          <c:val>
            <c:numRef>
              <c:f>Schedules!$F$11:$AC$11</c:f>
              <c:numCache>
                <c:formatCode>0.00</c:formatCode>
                <c:ptCount val="24"/>
                <c:pt idx="0">
                  <c:v>0.43</c:v>
                </c:pt>
                <c:pt idx="1">
                  <c:v>0.43</c:v>
                </c:pt>
                <c:pt idx="2">
                  <c:v>0.43</c:v>
                </c:pt>
                <c:pt idx="3">
                  <c:v>0.43</c:v>
                </c:pt>
                <c:pt idx="4">
                  <c:v>0.43</c:v>
                </c:pt>
                <c:pt idx="5">
                  <c:v>0.43</c:v>
                </c:pt>
                <c:pt idx="6">
                  <c:v>0.43</c:v>
                </c:pt>
                <c:pt idx="7">
                  <c:v>0.43</c:v>
                </c:pt>
                <c:pt idx="8">
                  <c:v>0.43</c:v>
                </c:pt>
                <c:pt idx="9">
                  <c:v>0.43</c:v>
                </c:pt>
                <c:pt idx="10">
                  <c:v>0.43</c:v>
                </c:pt>
                <c:pt idx="11">
                  <c:v>0.43</c:v>
                </c:pt>
                <c:pt idx="12">
                  <c:v>0.43</c:v>
                </c:pt>
                <c:pt idx="13">
                  <c:v>0.43</c:v>
                </c:pt>
                <c:pt idx="14">
                  <c:v>0.43</c:v>
                </c:pt>
                <c:pt idx="15">
                  <c:v>0.43</c:v>
                </c:pt>
                <c:pt idx="16">
                  <c:v>0.43</c:v>
                </c:pt>
                <c:pt idx="17">
                  <c:v>0.43</c:v>
                </c:pt>
                <c:pt idx="18">
                  <c:v>0.43</c:v>
                </c:pt>
                <c:pt idx="19">
                  <c:v>0.43</c:v>
                </c:pt>
                <c:pt idx="20">
                  <c:v>0.43</c:v>
                </c:pt>
                <c:pt idx="21">
                  <c:v>0.43</c:v>
                </c:pt>
                <c:pt idx="22">
                  <c:v>0.43</c:v>
                </c:pt>
                <c:pt idx="23">
                  <c:v>0.43</c:v>
                </c:pt>
              </c:numCache>
            </c:numRef>
          </c:val>
          <c:smooth val="0"/>
          <c:extLst>
            <c:ext xmlns:c16="http://schemas.microsoft.com/office/drawing/2014/chart" uri="{C3380CC4-5D6E-409C-BE32-E72D297353CC}">
              <c16:uniqueId val="{00000001-541D-40B0-962A-A5C79439ED86}"/>
            </c:ext>
          </c:extLst>
        </c:ser>
        <c:ser>
          <c:idx val="2"/>
          <c:order val="2"/>
          <c:tx>
            <c:strRef>
              <c:f>Schedules!$E$12</c:f>
              <c:strCache>
                <c:ptCount val="1"/>
                <c:pt idx="0">
                  <c:v>Sunday</c:v>
                </c:pt>
              </c:strCache>
            </c:strRef>
          </c:tx>
          <c:spPr>
            <a:ln w="28575" cap="rnd">
              <a:solidFill>
                <a:schemeClr val="accent3"/>
              </a:solidFill>
              <a:prstDash val="dash"/>
              <a:round/>
            </a:ln>
            <a:effectLst/>
          </c:spPr>
          <c:marker>
            <c:symbol val="none"/>
          </c:marker>
          <c:val>
            <c:numRef>
              <c:f>Schedules!$F$12:$AC$12</c:f>
              <c:numCache>
                <c:formatCode>0.00</c:formatCode>
                <c:ptCount val="24"/>
                <c:pt idx="0">
                  <c:v>0.43</c:v>
                </c:pt>
                <c:pt idx="1">
                  <c:v>0.43</c:v>
                </c:pt>
                <c:pt idx="2">
                  <c:v>0.43</c:v>
                </c:pt>
                <c:pt idx="3">
                  <c:v>0.43</c:v>
                </c:pt>
                <c:pt idx="4">
                  <c:v>0.43</c:v>
                </c:pt>
                <c:pt idx="5">
                  <c:v>0.43</c:v>
                </c:pt>
                <c:pt idx="6">
                  <c:v>0.43</c:v>
                </c:pt>
                <c:pt idx="7">
                  <c:v>0.43</c:v>
                </c:pt>
                <c:pt idx="8">
                  <c:v>0.43</c:v>
                </c:pt>
                <c:pt idx="9">
                  <c:v>0.43</c:v>
                </c:pt>
                <c:pt idx="10">
                  <c:v>0.43</c:v>
                </c:pt>
                <c:pt idx="11">
                  <c:v>0.43</c:v>
                </c:pt>
                <c:pt idx="12">
                  <c:v>0.43</c:v>
                </c:pt>
                <c:pt idx="13">
                  <c:v>0.43</c:v>
                </c:pt>
                <c:pt idx="14">
                  <c:v>0.43</c:v>
                </c:pt>
                <c:pt idx="15">
                  <c:v>0.43</c:v>
                </c:pt>
                <c:pt idx="16">
                  <c:v>0.43</c:v>
                </c:pt>
                <c:pt idx="17">
                  <c:v>0.43</c:v>
                </c:pt>
                <c:pt idx="18">
                  <c:v>0.43</c:v>
                </c:pt>
                <c:pt idx="19">
                  <c:v>0.43</c:v>
                </c:pt>
                <c:pt idx="20">
                  <c:v>0.43</c:v>
                </c:pt>
                <c:pt idx="21">
                  <c:v>0.43</c:v>
                </c:pt>
                <c:pt idx="22">
                  <c:v>0.43</c:v>
                </c:pt>
                <c:pt idx="23">
                  <c:v>0.43</c:v>
                </c:pt>
              </c:numCache>
            </c:numRef>
          </c:val>
          <c:smooth val="0"/>
          <c:extLst>
            <c:ext xmlns:c16="http://schemas.microsoft.com/office/drawing/2014/chart" uri="{C3380CC4-5D6E-409C-BE32-E72D297353CC}">
              <c16:uniqueId val="{00000002-541D-40B0-962A-A5C79439ED86}"/>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Schedules!$C$13</c:f>
          <c:strCache>
            <c:ptCount val="1"/>
            <c:pt idx="0">
              <c:v>HVACAvail</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44659783335143166"/>
        </c:manualLayout>
      </c:layout>
      <c:lineChart>
        <c:grouping val="standard"/>
        <c:varyColors val="0"/>
        <c:ser>
          <c:idx val="0"/>
          <c:order val="0"/>
          <c:tx>
            <c:strRef>
              <c:f>Schedules!$E$13</c:f>
              <c:strCache>
                <c:ptCount val="1"/>
                <c:pt idx="0">
                  <c:v>Weekday</c:v>
                </c:pt>
              </c:strCache>
            </c:strRef>
          </c:tx>
          <c:spPr>
            <a:ln w="28575" cap="rnd">
              <a:solidFill>
                <a:schemeClr val="accent1"/>
              </a:solidFill>
              <a:round/>
            </a:ln>
            <a:effectLst/>
          </c:spPr>
          <c:marker>
            <c:symbol val="none"/>
          </c:marker>
          <c:val>
            <c:numRef>
              <c:f>Schedules!$F$13:$AC$13</c:f>
              <c:numCache>
                <c:formatCode>0.00</c:formatCode>
                <c:ptCount val="24"/>
                <c:pt idx="0">
                  <c:v>0</c:v>
                </c:pt>
                <c:pt idx="1">
                  <c:v>0</c:v>
                </c:pt>
                <c:pt idx="2">
                  <c:v>0</c:v>
                </c:pt>
                <c:pt idx="3">
                  <c:v>0</c:v>
                </c:pt>
                <c:pt idx="4">
                  <c:v>0</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0-8C2E-4FDC-8DAB-7FCF7BC63644}"/>
            </c:ext>
          </c:extLst>
        </c:ser>
        <c:ser>
          <c:idx val="1"/>
          <c:order val="1"/>
          <c:tx>
            <c:strRef>
              <c:f>Schedules!$E$14</c:f>
              <c:strCache>
                <c:ptCount val="1"/>
                <c:pt idx="0">
                  <c:v>Saturday</c:v>
                </c:pt>
              </c:strCache>
            </c:strRef>
          </c:tx>
          <c:spPr>
            <a:ln w="28575" cap="rnd">
              <a:solidFill>
                <a:schemeClr val="accent2"/>
              </a:solidFill>
              <a:round/>
            </a:ln>
            <a:effectLst/>
          </c:spPr>
          <c:marker>
            <c:symbol val="none"/>
          </c:marker>
          <c:val>
            <c:numRef>
              <c:f>Schedules!$F$14:$AC$14</c:f>
              <c:numCache>
                <c:formatCode>0.00</c:formatCode>
                <c:ptCount val="24"/>
                <c:pt idx="0">
                  <c:v>0</c:v>
                </c:pt>
                <c:pt idx="1">
                  <c:v>0</c:v>
                </c:pt>
                <c:pt idx="2">
                  <c:v>0</c:v>
                </c:pt>
                <c:pt idx="3">
                  <c:v>0</c:v>
                </c:pt>
                <c:pt idx="4">
                  <c:v>0</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0</c:v>
                </c:pt>
                <c:pt idx="20">
                  <c:v>0</c:v>
                </c:pt>
                <c:pt idx="21">
                  <c:v>0</c:v>
                </c:pt>
                <c:pt idx="22">
                  <c:v>0</c:v>
                </c:pt>
                <c:pt idx="23">
                  <c:v>0</c:v>
                </c:pt>
              </c:numCache>
            </c:numRef>
          </c:val>
          <c:smooth val="0"/>
          <c:extLst>
            <c:ext xmlns:c16="http://schemas.microsoft.com/office/drawing/2014/chart" uri="{C3380CC4-5D6E-409C-BE32-E72D297353CC}">
              <c16:uniqueId val="{00000001-8C2E-4FDC-8DAB-7FCF7BC63644}"/>
            </c:ext>
          </c:extLst>
        </c:ser>
        <c:ser>
          <c:idx val="2"/>
          <c:order val="2"/>
          <c:tx>
            <c:strRef>
              <c:f>Schedules!$E$15</c:f>
              <c:strCache>
                <c:ptCount val="1"/>
                <c:pt idx="0">
                  <c:v>Sunday</c:v>
                </c:pt>
              </c:strCache>
            </c:strRef>
          </c:tx>
          <c:spPr>
            <a:ln w="28575" cap="rnd">
              <a:solidFill>
                <a:schemeClr val="accent3"/>
              </a:solidFill>
              <a:round/>
            </a:ln>
            <a:effectLst/>
          </c:spPr>
          <c:marker>
            <c:symbol val="none"/>
          </c:marker>
          <c:val>
            <c:numRef>
              <c:f>Schedules!$F$15:$AC$15</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0-BD0A-4098-AF5D-6CDFEC7547B4}"/>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542468504397248"/>
          <c:y val="8.0678413630311113E-2"/>
          <c:w val="0.29044487156313686"/>
          <c:h val="0.2958548954928781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000" b="0" i="0" u="none" strike="noStrike" kern="1200" spc="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rPr>
              <a:t>HVAC System Operating- Closed Office Zones</a:t>
            </a:r>
          </a:p>
          <a:p>
            <a:pPr marL="0" marR="0" lvl="0" indent="0" algn="ctr" defTabSz="914400" rtl="0" eaLnBrk="1" fontAlgn="auto" latinLnBrk="0" hangingPunct="1">
              <a:lnSpc>
                <a:spcPct val="100000"/>
              </a:lnSpc>
              <a:spcBef>
                <a:spcPts val="0"/>
              </a:spcBef>
              <a:spcAft>
                <a:spcPts val="0"/>
              </a:spcAft>
              <a:buClrTx/>
              <a:buSzTx/>
              <a:buFontTx/>
              <a:buNone/>
              <a:tabLst/>
              <a:defRPr sz="1000">
                <a:solidFill>
                  <a:sysClr val="windowText" lastClr="000000">
                    <a:lumMod val="65000"/>
                    <a:lumOff val="35000"/>
                  </a:sysClr>
                </a:solidFill>
                <a:latin typeface="Arial" panose="020B0604020202020204" pitchFamily="34" charset="0"/>
                <a:cs typeface="Arial" panose="020B0604020202020204" pitchFamily="34" charset="0"/>
              </a:defRPr>
            </a:pPr>
            <a:endParaRPr lang="en-US" sz="1000" b="1" i="0" u="none" strike="noStrike" kern="1200" spc="0" baseline="0">
              <a:solidFill>
                <a:sysClr val="windowText" lastClr="000000"/>
              </a:solidFill>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000" b="0" i="0" u="none" strike="noStrike" kern="1200" spc="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Schedules!$E$81</c:f>
              <c:strCache>
                <c:ptCount val="1"/>
                <c:pt idx="0">
                  <c:v>Weekday</c:v>
                </c:pt>
              </c:strCache>
            </c:strRef>
          </c:tx>
          <c:spPr>
            <a:ln w="28575" cap="rnd">
              <a:solidFill>
                <a:schemeClr val="accent1"/>
              </a:solidFill>
              <a:round/>
            </a:ln>
            <a:effectLst/>
          </c:spPr>
          <c:marker>
            <c:symbol val="none"/>
          </c:marker>
          <c:val>
            <c:numRef>
              <c:f>Schedules!$F$81:$AC$81</c:f>
            </c:numRef>
          </c:val>
          <c:smooth val="0"/>
          <c:extLst>
            <c:ext xmlns:c16="http://schemas.microsoft.com/office/drawing/2014/chart" uri="{C3380CC4-5D6E-409C-BE32-E72D297353CC}">
              <c16:uniqueId val="{00000000-08C4-4E32-A5AC-4CF15D51F2DA}"/>
            </c:ext>
          </c:extLst>
        </c:ser>
        <c:ser>
          <c:idx val="1"/>
          <c:order val="1"/>
          <c:tx>
            <c:strRef>
              <c:f>Schedules!$E$82</c:f>
              <c:strCache>
                <c:ptCount val="1"/>
                <c:pt idx="0">
                  <c:v>Saturday</c:v>
                </c:pt>
              </c:strCache>
            </c:strRef>
          </c:tx>
          <c:spPr>
            <a:ln w="28575" cap="rnd">
              <a:solidFill>
                <a:schemeClr val="accent2"/>
              </a:solidFill>
              <a:round/>
            </a:ln>
            <a:effectLst/>
          </c:spPr>
          <c:marker>
            <c:symbol val="none"/>
          </c:marker>
          <c:val>
            <c:numRef>
              <c:f>Schedules!$F$82:$AC$82</c:f>
            </c:numRef>
          </c:val>
          <c:smooth val="0"/>
          <c:extLst>
            <c:ext xmlns:c16="http://schemas.microsoft.com/office/drawing/2014/chart" uri="{C3380CC4-5D6E-409C-BE32-E72D297353CC}">
              <c16:uniqueId val="{00000001-08C4-4E32-A5AC-4CF15D51F2DA}"/>
            </c:ext>
          </c:extLst>
        </c:ser>
        <c:ser>
          <c:idx val="2"/>
          <c:order val="2"/>
          <c:tx>
            <c:strRef>
              <c:f>Schedules!$E$83</c:f>
              <c:strCache>
                <c:ptCount val="1"/>
                <c:pt idx="0">
                  <c:v>Sunday</c:v>
                </c:pt>
              </c:strCache>
            </c:strRef>
          </c:tx>
          <c:spPr>
            <a:ln w="28575" cap="rnd">
              <a:solidFill>
                <a:schemeClr val="accent3"/>
              </a:solidFill>
              <a:round/>
            </a:ln>
            <a:effectLst/>
          </c:spPr>
          <c:marker>
            <c:symbol val="none"/>
          </c:marker>
          <c:val>
            <c:numRef>
              <c:f>Schedules!$F$83:$AC$83</c:f>
            </c:numRef>
          </c:val>
          <c:smooth val="0"/>
          <c:extLst>
            <c:ext xmlns:c16="http://schemas.microsoft.com/office/drawing/2014/chart" uri="{C3380CC4-5D6E-409C-BE32-E72D297353CC}">
              <c16:uniqueId val="{00000002-08C4-4E32-A5AC-4CF15D51F2DA}"/>
            </c:ext>
          </c:extLst>
        </c:ser>
        <c:dLbls>
          <c:showLegendKey val="0"/>
          <c:showVal val="0"/>
          <c:showCatName val="0"/>
          <c:showSerName val="0"/>
          <c:showPercent val="0"/>
          <c:showBubbleSize val="0"/>
        </c:dLbls>
        <c:marker val="1"/>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
          <c:y val="0.90720805818114503"/>
          <c:w val="1"/>
          <c:h val="9.134316342795273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000" b="0" i="0" u="none" strike="noStrike" kern="1200" spc="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rPr>
              <a:t>HVAC System Operating- Open Office Zones</a:t>
            </a:r>
          </a:p>
          <a:p>
            <a:pPr marL="0" marR="0" lvl="0" indent="0" algn="ctr" defTabSz="914400" rtl="0" eaLnBrk="1" fontAlgn="auto" latinLnBrk="0" hangingPunct="1">
              <a:lnSpc>
                <a:spcPct val="100000"/>
              </a:lnSpc>
              <a:spcBef>
                <a:spcPts val="0"/>
              </a:spcBef>
              <a:spcAft>
                <a:spcPts val="0"/>
              </a:spcAft>
              <a:buClrTx/>
              <a:buSzTx/>
              <a:buFontTx/>
              <a:buNone/>
              <a:tabLst/>
              <a:defRPr sz="1000">
                <a:solidFill>
                  <a:sysClr val="windowText" lastClr="000000">
                    <a:lumMod val="65000"/>
                    <a:lumOff val="35000"/>
                  </a:sysClr>
                </a:solidFill>
                <a:latin typeface="Arial" panose="020B0604020202020204" pitchFamily="34" charset="0"/>
                <a:cs typeface="Arial" panose="020B0604020202020204" pitchFamily="34" charset="0"/>
              </a:defRPr>
            </a:pPr>
            <a:endParaRPr lang="en-US" sz="1000" b="1" i="0" u="none" strike="noStrike" kern="1200" spc="0" baseline="0">
              <a:solidFill>
                <a:sysClr val="windowText" lastClr="000000"/>
              </a:solidFill>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000" b="0" i="0" u="none" strike="noStrike" kern="1200" spc="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Schedules!$E$84</c:f>
              <c:strCache>
                <c:ptCount val="1"/>
                <c:pt idx="0">
                  <c:v>Weekday</c:v>
                </c:pt>
              </c:strCache>
            </c:strRef>
          </c:tx>
          <c:spPr>
            <a:ln w="28575" cap="rnd">
              <a:solidFill>
                <a:schemeClr val="accent1"/>
              </a:solidFill>
              <a:round/>
            </a:ln>
            <a:effectLst/>
          </c:spPr>
          <c:marker>
            <c:symbol val="none"/>
          </c:marker>
          <c:val>
            <c:numRef>
              <c:f>Schedules!$F$84:$AC$84</c:f>
            </c:numRef>
          </c:val>
          <c:smooth val="0"/>
          <c:extLst>
            <c:ext xmlns:c16="http://schemas.microsoft.com/office/drawing/2014/chart" uri="{C3380CC4-5D6E-409C-BE32-E72D297353CC}">
              <c16:uniqueId val="{00000000-690D-477B-BACF-FEC0B523E134}"/>
            </c:ext>
          </c:extLst>
        </c:ser>
        <c:ser>
          <c:idx val="1"/>
          <c:order val="1"/>
          <c:tx>
            <c:strRef>
              <c:f>Schedules!$E$85</c:f>
              <c:strCache>
                <c:ptCount val="1"/>
                <c:pt idx="0">
                  <c:v>Saturday</c:v>
                </c:pt>
              </c:strCache>
            </c:strRef>
          </c:tx>
          <c:spPr>
            <a:ln w="28575" cap="rnd">
              <a:solidFill>
                <a:schemeClr val="accent2"/>
              </a:solidFill>
              <a:round/>
            </a:ln>
            <a:effectLst/>
          </c:spPr>
          <c:marker>
            <c:symbol val="none"/>
          </c:marker>
          <c:val>
            <c:numRef>
              <c:f>Schedules!$F$85:$AC$85</c:f>
            </c:numRef>
          </c:val>
          <c:smooth val="0"/>
          <c:extLst>
            <c:ext xmlns:c16="http://schemas.microsoft.com/office/drawing/2014/chart" uri="{C3380CC4-5D6E-409C-BE32-E72D297353CC}">
              <c16:uniqueId val="{00000001-690D-477B-BACF-FEC0B523E134}"/>
            </c:ext>
          </c:extLst>
        </c:ser>
        <c:ser>
          <c:idx val="2"/>
          <c:order val="2"/>
          <c:tx>
            <c:strRef>
              <c:f>Schedules!$E$86</c:f>
              <c:strCache>
                <c:ptCount val="1"/>
                <c:pt idx="0">
                  <c:v>Sunday</c:v>
                </c:pt>
              </c:strCache>
            </c:strRef>
          </c:tx>
          <c:spPr>
            <a:ln w="28575" cap="rnd">
              <a:solidFill>
                <a:schemeClr val="accent3"/>
              </a:solidFill>
              <a:round/>
            </a:ln>
            <a:effectLst/>
          </c:spPr>
          <c:marker>
            <c:symbol val="none"/>
          </c:marker>
          <c:val>
            <c:numRef>
              <c:f>Schedules!$F$86:$AC$86</c:f>
            </c:numRef>
          </c:val>
          <c:smooth val="0"/>
          <c:extLst>
            <c:ext xmlns:c16="http://schemas.microsoft.com/office/drawing/2014/chart" uri="{C3380CC4-5D6E-409C-BE32-E72D297353CC}">
              <c16:uniqueId val="{00000002-690D-477B-BACF-FEC0B523E134}"/>
            </c:ext>
          </c:extLst>
        </c:ser>
        <c:dLbls>
          <c:showLegendKey val="0"/>
          <c:showVal val="0"/>
          <c:showCatName val="0"/>
          <c:showSerName val="0"/>
          <c:showPercent val="0"/>
          <c:showBubbleSize val="0"/>
        </c:dLbls>
        <c:marker val="1"/>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
          <c:y val="0.90720805818114503"/>
          <c:w val="1"/>
          <c:h val="9.134316342795273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Equipment</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Schedules!$E$72</c:f>
              <c:strCache>
                <c:ptCount val="1"/>
                <c:pt idx="0">
                  <c:v>Weekday</c:v>
                </c:pt>
              </c:strCache>
            </c:strRef>
          </c:tx>
          <c:spPr>
            <a:ln w="28575" cap="rnd">
              <a:solidFill>
                <a:schemeClr val="accent1"/>
              </a:solidFill>
              <a:round/>
            </a:ln>
            <a:effectLst/>
          </c:spPr>
          <c:marker>
            <c:symbol val="none"/>
          </c:marker>
          <c:val>
            <c:numRef>
              <c:f>Schedules!$F$72:$AC$72</c:f>
            </c:numRef>
          </c:val>
          <c:smooth val="0"/>
          <c:extLst>
            <c:ext xmlns:c16="http://schemas.microsoft.com/office/drawing/2014/chart" uri="{C3380CC4-5D6E-409C-BE32-E72D297353CC}">
              <c16:uniqueId val="{00000000-3B57-4713-B0CD-EB5944F38800}"/>
            </c:ext>
          </c:extLst>
        </c:ser>
        <c:ser>
          <c:idx val="1"/>
          <c:order val="1"/>
          <c:tx>
            <c:strRef>
              <c:f>Schedules!$E$73</c:f>
              <c:strCache>
                <c:ptCount val="1"/>
                <c:pt idx="0">
                  <c:v>Saturday</c:v>
                </c:pt>
              </c:strCache>
            </c:strRef>
          </c:tx>
          <c:spPr>
            <a:ln w="28575" cap="rnd">
              <a:solidFill>
                <a:schemeClr val="accent2"/>
              </a:solidFill>
              <a:round/>
            </a:ln>
            <a:effectLst/>
          </c:spPr>
          <c:marker>
            <c:symbol val="none"/>
          </c:marker>
          <c:val>
            <c:numRef>
              <c:f>Schedules!$F$73:$AC$73</c:f>
            </c:numRef>
          </c:val>
          <c:smooth val="0"/>
          <c:extLst>
            <c:ext xmlns:c16="http://schemas.microsoft.com/office/drawing/2014/chart" uri="{C3380CC4-5D6E-409C-BE32-E72D297353CC}">
              <c16:uniqueId val="{00000001-3B57-4713-B0CD-EB5944F38800}"/>
            </c:ext>
          </c:extLst>
        </c:ser>
        <c:ser>
          <c:idx val="2"/>
          <c:order val="2"/>
          <c:tx>
            <c:strRef>
              <c:f>Schedules!$E$74</c:f>
              <c:strCache>
                <c:ptCount val="1"/>
                <c:pt idx="0">
                  <c:v>Sunday</c:v>
                </c:pt>
              </c:strCache>
            </c:strRef>
          </c:tx>
          <c:spPr>
            <a:ln w="28575" cap="rnd">
              <a:solidFill>
                <a:schemeClr val="accent3"/>
              </a:solidFill>
              <a:round/>
            </a:ln>
            <a:effectLst/>
          </c:spPr>
          <c:marker>
            <c:symbol val="none"/>
          </c:marker>
          <c:val>
            <c:numRef>
              <c:f>Schedules!$F$74:$AC$74</c:f>
            </c:numRef>
          </c:val>
          <c:smooth val="0"/>
          <c:extLst>
            <c:ext xmlns:c16="http://schemas.microsoft.com/office/drawing/2014/chart" uri="{C3380CC4-5D6E-409C-BE32-E72D297353CC}">
              <c16:uniqueId val="{00000002-3B57-4713-B0CD-EB5944F38800}"/>
            </c:ext>
          </c:extLst>
        </c:ser>
        <c:dLbls>
          <c:showLegendKey val="0"/>
          <c:showVal val="0"/>
          <c:showCatName val="0"/>
          <c:showSerName val="0"/>
          <c:showPercent val="0"/>
          <c:showBubbleSize val="0"/>
        </c:dLbls>
        <c:marker val="1"/>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Schedules!$C$16</c:f>
          <c:strCache>
            <c:ptCount val="1"/>
            <c:pt idx="0">
              <c:v>ServiceHotWater</c:v>
            </c:pt>
          </c:strCache>
        </c:strRef>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000" b="0" i="0" u="none" strike="noStrike" kern="1200" spc="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Schedules!$E$16</c:f>
              <c:strCache>
                <c:ptCount val="1"/>
                <c:pt idx="0">
                  <c:v>Weekday</c:v>
                </c:pt>
              </c:strCache>
            </c:strRef>
          </c:tx>
          <c:spPr>
            <a:ln w="28575" cap="rnd">
              <a:solidFill>
                <a:schemeClr val="accent1"/>
              </a:solidFill>
              <a:round/>
            </a:ln>
            <a:effectLst/>
          </c:spPr>
          <c:marker>
            <c:symbol val="none"/>
          </c:marker>
          <c:val>
            <c:numRef>
              <c:f>Schedules!$F$16:$AC$16</c:f>
              <c:numCache>
                <c:formatCode>0.00</c:formatCode>
                <c:ptCount val="24"/>
                <c:pt idx="0">
                  <c:v>0.05</c:v>
                </c:pt>
                <c:pt idx="1">
                  <c:v>0.05</c:v>
                </c:pt>
                <c:pt idx="2">
                  <c:v>0.05</c:v>
                </c:pt>
                <c:pt idx="3">
                  <c:v>0.05</c:v>
                </c:pt>
                <c:pt idx="4">
                  <c:v>0.05</c:v>
                </c:pt>
                <c:pt idx="5">
                  <c:v>0.08</c:v>
                </c:pt>
                <c:pt idx="6">
                  <c:v>7.0000000000000007E-2</c:v>
                </c:pt>
                <c:pt idx="7">
                  <c:v>0.19</c:v>
                </c:pt>
                <c:pt idx="8">
                  <c:v>0.35</c:v>
                </c:pt>
                <c:pt idx="9">
                  <c:v>0.38</c:v>
                </c:pt>
                <c:pt idx="10">
                  <c:v>0.39</c:v>
                </c:pt>
                <c:pt idx="11">
                  <c:v>0.47</c:v>
                </c:pt>
                <c:pt idx="12">
                  <c:v>0.56999999999999995</c:v>
                </c:pt>
                <c:pt idx="13">
                  <c:v>0.54</c:v>
                </c:pt>
                <c:pt idx="14">
                  <c:v>0.34</c:v>
                </c:pt>
                <c:pt idx="15">
                  <c:v>0.33</c:v>
                </c:pt>
                <c:pt idx="16">
                  <c:v>0.44</c:v>
                </c:pt>
                <c:pt idx="17">
                  <c:v>0.26</c:v>
                </c:pt>
                <c:pt idx="18">
                  <c:v>0.21</c:v>
                </c:pt>
                <c:pt idx="19">
                  <c:v>0.15</c:v>
                </c:pt>
                <c:pt idx="20">
                  <c:v>0.17</c:v>
                </c:pt>
                <c:pt idx="21">
                  <c:v>0.08</c:v>
                </c:pt>
                <c:pt idx="22">
                  <c:v>0.05</c:v>
                </c:pt>
                <c:pt idx="23">
                  <c:v>0.05</c:v>
                </c:pt>
              </c:numCache>
            </c:numRef>
          </c:val>
          <c:smooth val="0"/>
          <c:extLst>
            <c:ext xmlns:c16="http://schemas.microsoft.com/office/drawing/2014/chart" uri="{C3380CC4-5D6E-409C-BE32-E72D297353CC}">
              <c16:uniqueId val="{00000000-0D38-48D2-B658-BA53753E1DF1}"/>
            </c:ext>
          </c:extLst>
        </c:ser>
        <c:ser>
          <c:idx val="1"/>
          <c:order val="1"/>
          <c:tx>
            <c:strRef>
              <c:f>Schedules!$E$17</c:f>
              <c:strCache>
                <c:ptCount val="1"/>
                <c:pt idx="0">
                  <c:v>Saturday</c:v>
                </c:pt>
              </c:strCache>
            </c:strRef>
          </c:tx>
          <c:spPr>
            <a:ln w="28575" cap="rnd">
              <a:solidFill>
                <a:schemeClr val="accent2"/>
              </a:solidFill>
              <a:round/>
            </a:ln>
            <a:effectLst/>
          </c:spPr>
          <c:marker>
            <c:symbol val="none"/>
          </c:marker>
          <c:val>
            <c:numRef>
              <c:f>Schedules!$F$17:$AC$17</c:f>
              <c:numCache>
                <c:formatCode>0.00</c:formatCode>
                <c:ptCount val="24"/>
                <c:pt idx="0">
                  <c:v>0.04</c:v>
                </c:pt>
                <c:pt idx="1">
                  <c:v>0.04</c:v>
                </c:pt>
                <c:pt idx="2">
                  <c:v>0.04</c:v>
                </c:pt>
                <c:pt idx="3">
                  <c:v>0.04</c:v>
                </c:pt>
                <c:pt idx="4">
                  <c:v>0.04</c:v>
                </c:pt>
                <c:pt idx="5">
                  <c:v>7.0000000000000007E-2</c:v>
                </c:pt>
                <c:pt idx="6">
                  <c:v>0.04</c:v>
                </c:pt>
                <c:pt idx="7">
                  <c:v>0.04</c:v>
                </c:pt>
                <c:pt idx="8">
                  <c:v>0.04</c:v>
                </c:pt>
                <c:pt idx="9">
                  <c:v>0.04</c:v>
                </c:pt>
                <c:pt idx="10">
                  <c:v>0.04</c:v>
                </c:pt>
                <c:pt idx="11">
                  <c:v>0.06</c:v>
                </c:pt>
                <c:pt idx="12">
                  <c:v>0.06</c:v>
                </c:pt>
                <c:pt idx="13">
                  <c:v>0.09</c:v>
                </c:pt>
                <c:pt idx="14">
                  <c:v>0.06</c:v>
                </c:pt>
                <c:pt idx="15">
                  <c:v>0.04</c:v>
                </c:pt>
                <c:pt idx="16">
                  <c:v>0.04</c:v>
                </c:pt>
                <c:pt idx="17">
                  <c:v>0.04</c:v>
                </c:pt>
                <c:pt idx="18">
                  <c:v>0.04</c:v>
                </c:pt>
                <c:pt idx="19">
                  <c:v>0.04</c:v>
                </c:pt>
                <c:pt idx="20">
                  <c:v>0.04</c:v>
                </c:pt>
                <c:pt idx="21">
                  <c:v>7.0000000000000007E-2</c:v>
                </c:pt>
                <c:pt idx="22">
                  <c:v>0.04</c:v>
                </c:pt>
                <c:pt idx="23">
                  <c:v>0.04</c:v>
                </c:pt>
              </c:numCache>
            </c:numRef>
          </c:val>
          <c:smooth val="0"/>
          <c:extLst>
            <c:ext xmlns:c16="http://schemas.microsoft.com/office/drawing/2014/chart" uri="{C3380CC4-5D6E-409C-BE32-E72D297353CC}">
              <c16:uniqueId val="{00000001-0D38-48D2-B658-BA53753E1DF1}"/>
            </c:ext>
          </c:extLst>
        </c:ser>
        <c:ser>
          <c:idx val="2"/>
          <c:order val="2"/>
          <c:tx>
            <c:strRef>
              <c:f>Schedules!$E$18</c:f>
              <c:strCache>
                <c:ptCount val="1"/>
                <c:pt idx="0">
                  <c:v>Sunday</c:v>
                </c:pt>
              </c:strCache>
            </c:strRef>
          </c:tx>
          <c:spPr>
            <a:ln w="28575" cap="rnd">
              <a:solidFill>
                <a:schemeClr val="accent3"/>
              </a:solidFill>
              <a:round/>
            </a:ln>
            <a:effectLst/>
          </c:spPr>
          <c:marker>
            <c:symbol val="none"/>
          </c:marker>
          <c:val>
            <c:numRef>
              <c:f>Schedules!$F$18:$AC$18</c:f>
              <c:numCache>
                <c:formatCode>0.00</c:formatCode>
                <c:ptCount val="24"/>
                <c:pt idx="0">
                  <c:v>0.04</c:v>
                </c:pt>
                <c:pt idx="1">
                  <c:v>0.04</c:v>
                </c:pt>
                <c:pt idx="2">
                  <c:v>0.04</c:v>
                </c:pt>
                <c:pt idx="3">
                  <c:v>0.04</c:v>
                </c:pt>
                <c:pt idx="4">
                  <c:v>0.04</c:v>
                </c:pt>
                <c:pt idx="5">
                  <c:v>7.0000000000000007E-2</c:v>
                </c:pt>
                <c:pt idx="6">
                  <c:v>0.04</c:v>
                </c:pt>
                <c:pt idx="7">
                  <c:v>0.04</c:v>
                </c:pt>
                <c:pt idx="8">
                  <c:v>0.04</c:v>
                </c:pt>
                <c:pt idx="9">
                  <c:v>0.04</c:v>
                </c:pt>
                <c:pt idx="10">
                  <c:v>0.04</c:v>
                </c:pt>
                <c:pt idx="11">
                  <c:v>0.06</c:v>
                </c:pt>
                <c:pt idx="12">
                  <c:v>0.06</c:v>
                </c:pt>
                <c:pt idx="13">
                  <c:v>0.09</c:v>
                </c:pt>
                <c:pt idx="14">
                  <c:v>0.06</c:v>
                </c:pt>
                <c:pt idx="15">
                  <c:v>0.04</c:v>
                </c:pt>
                <c:pt idx="16">
                  <c:v>0.04</c:v>
                </c:pt>
                <c:pt idx="17">
                  <c:v>0.04</c:v>
                </c:pt>
                <c:pt idx="18">
                  <c:v>0.04</c:v>
                </c:pt>
                <c:pt idx="19">
                  <c:v>0.04</c:v>
                </c:pt>
                <c:pt idx="20">
                  <c:v>0.04</c:v>
                </c:pt>
                <c:pt idx="21">
                  <c:v>7.0000000000000007E-2</c:v>
                </c:pt>
                <c:pt idx="22">
                  <c:v>0.04</c:v>
                </c:pt>
                <c:pt idx="23">
                  <c:v>0.04</c:v>
                </c:pt>
              </c:numCache>
            </c:numRef>
          </c:val>
          <c:smooth val="0"/>
          <c:extLst>
            <c:ext xmlns:c16="http://schemas.microsoft.com/office/drawing/2014/chart" uri="{C3380CC4-5D6E-409C-BE32-E72D297353CC}">
              <c16:uniqueId val="{00000002-0D38-48D2-B658-BA53753E1DF1}"/>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7377519234143699"/>
          <c:y val="0.13776199426227489"/>
          <c:w val="0.26224807658563015"/>
          <c:h val="0.3365510666189965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Schedules!$C$19</c:f>
          <c:strCache>
            <c:ptCount val="1"/>
            <c:pt idx="0">
              <c:v>Infiltration</c:v>
            </c:pt>
          </c:strCache>
        </c:strRef>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000" b="0" i="0" u="none" strike="noStrike" kern="1200" spc="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Schedules!$E$19</c:f>
              <c:strCache>
                <c:ptCount val="1"/>
                <c:pt idx="0">
                  <c:v>Weekday</c:v>
                </c:pt>
              </c:strCache>
            </c:strRef>
          </c:tx>
          <c:spPr>
            <a:ln w="28575" cap="rnd">
              <a:solidFill>
                <a:schemeClr val="accent1"/>
              </a:solidFill>
              <a:round/>
            </a:ln>
            <a:effectLst/>
          </c:spPr>
          <c:marker>
            <c:symbol val="none"/>
          </c:marker>
          <c:val>
            <c:numRef>
              <c:f>Schedules!$F$19:$AC$19</c:f>
              <c:numCache>
                <c:formatCode>0.00</c:formatCode>
                <c:ptCount val="24"/>
                <c:pt idx="0">
                  <c:v>1</c:v>
                </c:pt>
                <c:pt idx="1">
                  <c:v>1</c:v>
                </c:pt>
                <c:pt idx="2">
                  <c:v>1</c:v>
                </c:pt>
                <c:pt idx="3">
                  <c:v>1</c:v>
                </c:pt>
                <c:pt idx="4">
                  <c:v>1</c:v>
                </c:pt>
                <c:pt idx="5">
                  <c:v>0.25</c:v>
                </c:pt>
                <c:pt idx="6">
                  <c:v>0.25</c:v>
                </c:pt>
                <c:pt idx="7">
                  <c:v>0.25</c:v>
                </c:pt>
                <c:pt idx="8">
                  <c:v>0.25</c:v>
                </c:pt>
                <c:pt idx="9">
                  <c:v>0.25</c:v>
                </c:pt>
                <c:pt idx="10">
                  <c:v>0.25</c:v>
                </c:pt>
                <c:pt idx="11">
                  <c:v>0.25</c:v>
                </c:pt>
                <c:pt idx="12">
                  <c:v>0.25</c:v>
                </c:pt>
                <c:pt idx="13">
                  <c:v>0.25</c:v>
                </c:pt>
                <c:pt idx="14">
                  <c:v>0.25</c:v>
                </c:pt>
                <c:pt idx="15">
                  <c:v>0.25</c:v>
                </c:pt>
                <c:pt idx="16">
                  <c:v>0.25</c:v>
                </c:pt>
                <c:pt idx="17">
                  <c:v>0.25</c:v>
                </c:pt>
                <c:pt idx="18">
                  <c:v>0.25</c:v>
                </c:pt>
                <c:pt idx="19">
                  <c:v>0.25</c:v>
                </c:pt>
                <c:pt idx="20">
                  <c:v>0.25</c:v>
                </c:pt>
                <c:pt idx="21">
                  <c:v>0.25</c:v>
                </c:pt>
                <c:pt idx="22">
                  <c:v>0.25</c:v>
                </c:pt>
                <c:pt idx="23">
                  <c:v>0.25</c:v>
                </c:pt>
              </c:numCache>
            </c:numRef>
          </c:val>
          <c:smooth val="0"/>
          <c:extLst>
            <c:ext xmlns:c16="http://schemas.microsoft.com/office/drawing/2014/chart" uri="{C3380CC4-5D6E-409C-BE32-E72D297353CC}">
              <c16:uniqueId val="{00000000-BDF1-4DC1-A424-186F547FB1D0}"/>
            </c:ext>
          </c:extLst>
        </c:ser>
        <c:ser>
          <c:idx val="1"/>
          <c:order val="1"/>
          <c:tx>
            <c:strRef>
              <c:f>Schedules!$E$20</c:f>
              <c:strCache>
                <c:ptCount val="1"/>
                <c:pt idx="0">
                  <c:v>Saturday</c:v>
                </c:pt>
              </c:strCache>
            </c:strRef>
          </c:tx>
          <c:spPr>
            <a:ln w="28575" cap="rnd">
              <a:solidFill>
                <a:schemeClr val="accent2"/>
              </a:solidFill>
              <a:round/>
            </a:ln>
            <a:effectLst/>
          </c:spPr>
          <c:marker>
            <c:symbol val="none"/>
          </c:marker>
          <c:val>
            <c:numRef>
              <c:f>Schedules!$F$20:$AC$20</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1-BDF1-4DC1-A424-186F547FB1D0}"/>
            </c:ext>
          </c:extLst>
        </c:ser>
        <c:ser>
          <c:idx val="2"/>
          <c:order val="2"/>
          <c:tx>
            <c:strRef>
              <c:f>Schedules!$E$21</c:f>
              <c:strCache>
                <c:ptCount val="1"/>
                <c:pt idx="0">
                  <c:v>Sunday</c:v>
                </c:pt>
              </c:strCache>
            </c:strRef>
          </c:tx>
          <c:spPr>
            <a:ln w="28575" cap="rnd">
              <a:solidFill>
                <a:schemeClr val="accent3"/>
              </a:solidFill>
              <a:round/>
            </a:ln>
            <a:effectLst/>
          </c:spPr>
          <c:marker>
            <c:symbol val="none"/>
          </c:marker>
          <c:val>
            <c:numRef>
              <c:f>Schedules!$F$21:$AC$21</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2-BDF1-4DC1-A424-186F547FB1D0}"/>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76214041675038213"/>
          <c:y val="0.17396471785195017"/>
          <c:w val="0.23785958324961798"/>
          <c:h val="0.3327766297134689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HVAC System Operation</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Schedules!$E$77</c:f>
              <c:strCache>
                <c:ptCount val="1"/>
                <c:pt idx="0">
                  <c:v>Weekday</c:v>
                </c:pt>
              </c:strCache>
            </c:strRef>
          </c:tx>
          <c:spPr>
            <a:ln w="28575" cap="rnd">
              <a:solidFill>
                <a:schemeClr val="accent1"/>
              </a:solidFill>
              <a:round/>
            </a:ln>
            <a:effectLst/>
          </c:spPr>
          <c:marker>
            <c:symbol val="none"/>
          </c:marker>
          <c:val>
            <c:numRef>
              <c:f>Schedules!$F$77:$AC$77</c:f>
            </c:numRef>
          </c:val>
          <c:smooth val="0"/>
          <c:extLst>
            <c:ext xmlns:c16="http://schemas.microsoft.com/office/drawing/2014/chart" uri="{C3380CC4-5D6E-409C-BE32-E72D297353CC}">
              <c16:uniqueId val="{00000000-CCB9-430B-9456-23FFBAD245FD}"/>
            </c:ext>
          </c:extLst>
        </c:ser>
        <c:ser>
          <c:idx val="1"/>
          <c:order val="1"/>
          <c:tx>
            <c:strRef>
              <c:f>Schedules!$E$78</c:f>
              <c:strCache>
                <c:ptCount val="1"/>
                <c:pt idx="0">
                  <c:v>Saturday</c:v>
                </c:pt>
              </c:strCache>
            </c:strRef>
          </c:tx>
          <c:spPr>
            <a:ln w="28575" cap="rnd">
              <a:solidFill>
                <a:schemeClr val="accent2"/>
              </a:solidFill>
              <a:round/>
            </a:ln>
            <a:effectLst/>
          </c:spPr>
          <c:marker>
            <c:symbol val="none"/>
          </c:marker>
          <c:val>
            <c:numRef>
              <c:f>Schedules!$F$78:$AC$78</c:f>
            </c:numRef>
          </c:val>
          <c:smooth val="0"/>
          <c:extLst>
            <c:ext xmlns:c16="http://schemas.microsoft.com/office/drawing/2014/chart" uri="{C3380CC4-5D6E-409C-BE32-E72D297353CC}">
              <c16:uniqueId val="{00000001-CCB9-430B-9456-23FFBAD245FD}"/>
            </c:ext>
          </c:extLst>
        </c:ser>
        <c:ser>
          <c:idx val="2"/>
          <c:order val="2"/>
          <c:tx>
            <c:strRef>
              <c:f>Schedules!$E$79</c:f>
              <c:strCache>
                <c:ptCount val="1"/>
                <c:pt idx="0">
                  <c:v>Sunday</c:v>
                </c:pt>
              </c:strCache>
            </c:strRef>
          </c:tx>
          <c:spPr>
            <a:ln w="28575" cap="rnd">
              <a:solidFill>
                <a:schemeClr val="accent3"/>
              </a:solidFill>
              <a:round/>
            </a:ln>
            <a:effectLst/>
          </c:spPr>
          <c:marker>
            <c:symbol val="none"/>
          </c:marker>
          <c:val>
            <c:numRef>
              <c:f>Schedules!$F$79:$AC$79</c:f>
            </c:numRef>
          </c:val>
          <c:smooth val="0"/>
          <c:extLst>
            <c:ext xmlns:c16="http://schemas.microsoft.com/office/drawing/2014/chart" uri="{C3380CC4-5D6E-409C-BE32-E72D297353CC}">
              <c16:uniqueId val="{00000002-CCB9-430B-9456-23FFBAD245FD}"/>
            </c:ext>
          </c:extLst>
        </c:ser>
        <c:dLbls>
          <c:showLegendKey val="0"/>
          <c:showVal val="0"/>
          <c:showCatName val="0"/>
          <c:showSerName val="0"/>
          <c:showPercent val="0"/>
          <c:showBubbleSize val="0"/>
        </c:dLbls>
        <c:marker val="1"/>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30762387662302904"/>
          <c:h val="0.1133807397323762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Schedules!$C$22</c:f>
          <c:strCache>
            <c:ptCount val="1"/>
            <c:pt idx="0">
              <c:v>HtgSetpt</c:v>
            </c:pt>
          </c:strCache>
        </c:strRef>
      </c:tx>
      <c:overlay val="0"/>
      <c:spPr>
        <a:noFill/>
        <a:ln>
          <a:noFill/>
        </a:ln>
        <a:effectLst/>
      </c:spPr>
      <c:txPr>
        <a:bodyPr rot="0" spcFirstLastPara="1" vertOverflow="ellipsis" vert="horz" wrap="square" anchor="ctr" anchorCtr="1"/>
        <a:lstStyle/>
        <a:p>
          <a:pPr>
            <a:defRPr sz="1000" b="1" i="0" u="none" strike="noStrike" kern="1200" spc="0" baseline="0">
              <a:solidFill>
                <a:schemeClr val="tx1"/>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Schedules!$E$22</c:f>
              <c:strCache>
                <c:ptCount val="1"/>
                <c:pt idx="0">
                  <c:v>Weekday</c:v>
                </c:pt>
              </c:strCache>
            </c:strRef>
          </c:tx>
          <c:spPr>
            <a:ln w="28575" cap="rnd">
              <a:solidFill>
                <a:schemeClr val="accent1"/>
              </a:solidFill>
              <a:round/>
            </a:ln>
            <a:effectLst/>
          </c:spPr>
          <c:marker>
            <c:symbol val="none"/>
          </c:marker>
          <c:val>
            <c:numRef>
              <c:f>Schedules!$F$22:$AC$22</c:f>
              <c:numCache>
                <c:formatCode>0</c:formatCode>
                <c:ptCount val="24"/>
                <c:pt idx="0">
                  <c:v>60</c:v>
                </c:pt>
                <c:pt idx="1">
                  <c:v>60</c:v>
                </c:pt>
                <c:pt idx="2">
                  <c:v>60</c:v>
                </c:pt>
                <c:pt idx="3">
                  <c:v>60</c:v>
                </c:pt>
                <c:pt idx="4">
                  <c:v>60</c:v>
                </c:pt>
                <c:pt idx="5">
                  <c:v>70</c:v>
                </c:pt>
                <c:pt idx="6">
                  <c:v>70</c:v>
                </c:pt>
                <c:pt idx="7">
                  <c:v>70</c:v>
                </c:pt>
                <c:pt idx="8">
                  <c:v>70</c:v>
                </c:pt>
                <c:pt idx="9">
                  <c:v>70</c:v>
                </c:pt>
                <c:pt idx="10">
                  <c:v>70</c:v>
                </c:pt>
                <c:pt idx="11">
                  <c:v>70</c:v>
                </c:pt>
                <c:pt idx="12">
                  <c:v>70</c:v>
                </c:pt>
                <c:pt idx="13">
                  <c:v>70</c:v>
                </c:pt>
                <c:pt idx="14">
                  <c:v>70</c:v>
                </c:pt>
                <c:pt idx="15">
                  <c:v>70</c:v>
                </c:pt>
                <c:pt idx="16">
                  <c:v>70</c:v>
                </c:pt>
                <c:pt idx="17">
                  <c:v>70</c:v>
                </c:pt>
                <c:pt idx="18">
                  <c:v>70</c:v>
                </c:pt>
                <c:pt idx="19">
                  <c:v>70</c:v>
                </c:pt>
                <c:pt idx="20">
                  <c:v>70</c:v>
                </c:pt>
                <c:pt idx="21">
                  <c:v>70</c:v>
                </c:pt>
                <c:pt idx="22">
                  <c:v>70</c:v>
                </c:pt>
                <c:pt idx="23">
                  <c:v>70</c:v>
                </c:pt>
              </c:numCache>
            </c:numRef>
          </c:val>
          <c:smooth val="0"/>
          <c:extLst>
            <c:ext xmlns:c16="http://schemas.microsoft.com/office/drawing/2014/chart" uri="{C3380CC4-5D6E-409C-BE32-E72D297353CC}">
              <c16:uniqueId val="{00000000-5EE7-4A46-B42C-60B8E54BD1ED}"/>
            </c:ext>
          </c:extLst>
        </c:ser>
        <c:ser>
          <c:idx val="1"/>
          <c:order val="1"/>
          <c:tx>
            <c:strRef>
              <c:f>Schedules!$E$23</c:f>
              <c:strCache>
                <c:ptCount val="1"/>
                <c:pt idx="0">
                  <c:v>Saturday</c:v>
                </c:pt>
              </c:strCache>
            </c:strRef>
          </c:tx>
          <c:spPr>
            <a:ln w="28575" cap="rnd">
              <a:solidFill>
                <a:schemeClr val="accent2"/>
              </a:solidFill>
              <a:round/>
            </a:ln>
            <a:effectLst/>
          </c:spPr>
          <c:marker>
            <c:symbol val="none"/>
          </c:marker>
          <c:val>
            <c:numRef>
              <c:f>Schedules!$F$23:$AC$23</c:f>
              <c:numCache>
                <c:formatCode>0</c:formatCode>
                <c:ptCount val="24"/>
                <c:pt idx="0">
                  <c:v>60</c:v>
                </c:pt>
                <c:pt idx="1">
                  <c:v>60</c:v>
                </c:pt>
                <c:pt idx="2">
                  <c:v>60</c:v>
                </c:pt>
                <c:pt idx="3">
                  <c:v>60</c:v>
                </c:pt>
                <c:pt idx="4">
                  <c:v>60</c:v>
                </c:pt>
                <c:pt idx="5">
                  <c:v>70</c:v>
                </c:pt>
                <c:pt idx="6">
                  <c:v>70</c:v>
                </c:pt>
                <c:pt idx="7">
                  <c:v>70</c:v>
                </c:pt>
                <c:pt idx="8">
                  <c:v>70</c:v>
                </c:pt>
                <c:pt idx="9">
                  <c:v>70</c:v>
                </c:pt>
                <c:pt idx="10">
                  <c:v>70</c:v>
                </c:pt>
                <c:pt idx="11">
                  <c:v>70</c:v>
                </c:pt>
                <c:pt idx="12">
                  <c:v>70</c:v>
                </c:pt>
                <c:pt idx="13">
                  <c:v>70</c:v>
                </c:pt>
                <c:pt idx="14">
                  <c:v>70</c:v>
                </c:pt>
                <c:pt idx="15">
                  <c:v>70</c:v>
                </c:pt>
                <c:pt idx="16">
                  <c:v>70</c:v>
                </c:pt>
                <c:pt idx="17">
                  <c:v>70</c:v>
                </c:pt>
                <c:pt idx="18">
                  <c:v>70</c:v>
                </c:pt>
                <c:pt idx="19">
                  <c:v>60</c:v>
                </c:pt>
                <c:pt idx="20">
                  <c:v>60</c:v>
                </c:pt>
                <c:pt idx="21">
                  <c:v>60</c:v>
                </c:pt>
                <c:pt idx="22">
                  <c:v>60</c:v>
                </c:pt>
                <c:pt idx="23">
                  <c:v>60</c:v>
                </c:pt>
              </c:numCache>
            </c:numRef>
          </c:val>
          <c:smooth val="0"/>
          <c:extLst>
            <c:ext xmlns:c16="http://schemas.microsoft.com/office/drawing/2014/chart" uri="{C3380CC4-5D6E-409C-BE32-E72D297353CC}">
              <c16:uniqueId val="{00000001-5EE7-4A46-B42C-60B8E54BD1ED}"/>
            </c:ext>
          </c:extLst>
        </c:ser>
        <c:ser>
          <c:idx val="2"/>
          <c:order val="2"/>
          <c:tx>
            <c:strRef>
              <c:f>Schedules!$E$24</c:f>
              <c:strCache>
                <c:ptCount val="1"/>
                <c:pt idx="0">
                  <c:v>Sunday</c:v>
                </c:pt>
              </c:strCache>
            </c:strRef>
          </c:tx>
          <c:spPr>
            <a:ln w="28575" cap="rnd">
              <a:solidFill>
                <a:schemeClr val="accent3"/>
              </a:solidFill>
              <a:round/>
            </a:ln>
            <a:effectLst/>
          </c:spPr>
          <c:marker>
            <c:symbol val="none"/>
          </c:marker>
          <c:val>
            <c:numRef>
              <c:f>Schedules!$F$24:$AC$24</c:f>
              <c:numCache>
                <c:formatCode>0</c:formatCode>
                <c:ptCount val="24"/>
                <c:pt idx="0">
                  <c:v>60</c:v>
                </c:pt>
                <c:pt idx="1">
                  <c:v>60</c:v>
                </c:pt>
                <c:pt idx="2">
                  <c:v>60</c:v>
                </c:pt>
                <c:pt idx="3">
                  <c:v>60</c:v>
                </c:pt>
                <c:pt idx="4">
                  <c:v>60</c:v>
                </c:pt>
                <c:pt idx="5">
                  <c:v>60</c:v>
                </c:pt>
                <c:pt idx="6">
                  <c:v>60</c:v>
                </c:pt>
                <c:pt idx="7">
                  <c:v>60</c:v>
                </c:pt>
                <c:pt idx="8">
                  <c:v>60</c:v>
                </c:pt>
                <c:pt idx="9">
                  <c:v>60</c:v>
                </c:pt>
                <c:pt idx="10">
                  <c:v>60</c:v>
                </c:pt>
                <c:pt idx="11">
                  <c:v>60</c:v>
                </c:pt>
                <c:pt idx="12">
                  <c:v>60</c:v>
                </c:pt>
                <c:pt idx="13">
                  <c:v>60</c:v>
                </c:pt>
                <c:pt idx="14">
                  <c:v>60</c:v>
                </c:pt>
                <c:pt idx="15">
                  <c:v>60</c:v>
                </c:pt>
                <c:pt idx="16">
                  <c:v>60</c:v>
                </c:pt>
                <c:pt idx="17">
                  <c:v>60</c:v>
                </c:pt>
                <c:pt idx="18">
                  <c:v>60</c:v>
                </c:pt>
                <c:pt idx="19">
                  <c:v>60</c:v>
                </c:pt>
                <c:pt idx="20">
                  <c:v>60</c:v>
                </c:pt>
                <c:pt idx="21">
                  <c:v>60</c:v>
                </c:pt>
                <c:pt idx="22">
                  <c:v>60</c:v>
                </c:pt>
                <c:pt idx="23">
                  <c:v>60</c:v>
                </c:pt>
              </c:numCache>
            </c:numRef>
          </c:val>
          <c:smooth val="0"/>
          <c:extLst>
            <c:ext xmlns:c16="http://schemas.microsoft.com/office/drawing/2014/chart" uri="{C3380CC4-5D6E-409C-BE32-E72D297353CC}">
              <c16:uniqueId val="{00000002-5EE7-4A46-B42C-60B8E54BD1ED}"/>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80"/>
          <c:min val="6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5"/>
        <c:minorUnit val="2"/>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Schedules!$C$25</c:f>
          <c:strCache>
            <c:ptCount val="1"/>
            <c:pt idx="0">
              <c:v>ClgSetpt</c:v>
            </c:pt>
          </c:strCache>
        </c:strRef>
      </c:tx>
      <c:overlay val="0"/>
      <c:spPr>
        <a:noFill/>
        <a:ln>
          <a:noFill/>
        </a:ln>
        <a:effectLst/>
      </c:spPr>
      <c:txPr>
        <a:bodyPr rot="0" spcFirstLastPara="1" vertOverflow="ellipsis" vert="horz" wrap="square" anchor="ctr" anchorCtr="1"/>
        <a:lstStyle/>
        <a:p>
          <a:pPr>
            <a:defRPr sz="1000" b="1" i="0" u="none" strike="noStrike" kern="1200" spc="0" baseline="0">
              <a:solidFill>
                <a:schemeClr val="tx1"/>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Schedules!$E$25</c:f>
              <c:strCache>
                <c:ptCount val="1"/>
                <c:pt idx="0">
                  <c:v>Weekday</c:v>
                </c:pt>
              </c:strCache>
            </c:strRef>
          </c:tx>
          <c:spPr>
            <a:ln w="28575" cap="rnd">
              <a:solidFill>
                <a:schemeClr val="accent1"/>
              </a:solidFill>
              <a:round/>
            </a:ln>
            <a:effectLst/>
          </c:spPr>
          <c:marker>
            <c:symbol val="none"/>
          </c:marker>
          <c:val>
            <c:numRef>
              <c:f>Schedules!$F$25:$AC$25</c:f>
              <c:numCache>
                <c:formatCode>0</c:formatCode>
                <c:ptCount val="24"/>
                <c:pt idx="0">
                  <c:v>85</c:v>
                </c:pt>
                <c:pt idx="1">
                  <c:v>85</c:v>
                </c:pt>
                <c:pt idx="2">
                  <c:v>85</c:v>
                </c:pt>
                <c:pt idx="3">
                  <c:v>85</c:v>
                </c:pt>
                <c:pt idx="4">
                  <c:v>85</c:v>
                </c:pt>
                <c:pt idx="5">
                  <c:v>75</c:v>
                </c:pt>
                <c:pt idx="6">
                  <c:v>75</c:v>
                </c:pt>
                <c:pt idx="7">
                  <c:v>75</c:v>
                </c:pt>
                <c:pt idx="8">
                  <c:v>75</c:v>
                </c:pt>
                <c:pt idx="9">
                  <c:v>75</c:v>
                </c:pt>
                <c:pt idx="10">
                  <c:v>75</c:v>
                </c:pt>
                <c:pt idx="11">
                  <c:v>75</c:v>
                </c:pt>
                <c:pt idx="12">
                  <c:v>75</c:v>
                </c:pt>
                <c:pt idx="13">
                  <c:v>75</c:v>
                </c:pt>
                <c:pt idx="14">
                  <c:v>75</c:v>
                </c:pt>
                <c:pt idx="15">
                  <c:v>75</c:v>
                </c:pt>
                <c:pt idx="16">
                  <c:v>75</c:v>
                </c:pt>
                <c:pt idx="17">
                  <c:v>75</c:v>
                </c:pt>
                <c:pt idx="18">
                  <c:v>75</c:v>
                </c:pt>
                <c:pt idx="19">
                  <c:v>75</c:v>
                </c:pt>
                <c:pt idx="20">
                  <c:v>75</c:v>
                </c:pt>
                <c:pt idx="21">
                  <c:v>75</c:v>
                </c:pt>
                <c:pt idx="22">
                  <c:v>75</c:v>
                </c:pt>
                <c:pt idx="23">
                  <c:v>75</c:v>
                </c:pt>
              </c:numCache>
            </c:numRef>
          </c:val>
          <c:smooth val="0"/>
          <c:extLst>
            <c:ext xmlns:c16="http://schemas.microsoft.com/office/drawing/2014/chart" uri="{C3380CC4-5D6E-409C-BE32-E72D297353CC}">
              <c16:uniqueId val="{00000000-9932-4BDA-AC66-454F8274F881}"/>
            </c:ext>
          </c:extLst>
        </c:ser>
        <c:ser>
          <c:idx val="1"/>
          <c:order val="1"/>
          <c:tx>
            <c:strRef>
              <c:f>Schedules!$E$26</c:f>
              <c:strCache>
                <c:ptCount val="1"/>
                <c:pt idx="0">
                  <c:v>Saturday</c:v>
                </c:pt>
              </c:strCache>
            </c:strRef>
          </c:tx>
          <c:spPr>
            <a:ln w="28575" cap="rnd">
              <a:solidFill>
                <a:schemeClr val="accent2"/>
              </a:solidFill>
              <a:round/>
            </a:ln>
            <a:effectLst/>
          </c:spPr>
          <c:marker>
            <c:symbol val="none"/>
          </c:marker>
          <c:val>
            <c:numRef>
              <c:f>Schedules!$F$26:$AC$26</c:f>
              <c:numCache>
                <c:formatCode>0</c:formatCode>
                <c:ptCount val="24"/>
                <c:pt idx="0">
                  <c:v>85</c:v>
                </c:pt>
                <c:pt idx="1">
                  <c:v>85</c:v>
                </c:pt>
                <c:pt idx="2">
                  <c:v>85</c:v>
                </c:pt>
                <c:pt idx="3">
                  <c:v>85</c:v>
                </c:pt>
                <c:pt idx="4">
                  <c:v>85</c:v>
                </c:pt>
                <c:pt idx="5">
                  <c:v>75</c:v>
                </c:pt>
                <c:pt idx="6">
                  <c:v>75</c:v>
                </c:pt>
                <c:pt idx="7">
                  <c:v>75</c:v>
                </c:pt>
                <c:pt idx="8">
                  <c:v>75</c:v>
                </c:pt>
                <c:pt idx="9">
                  <c:v>75</c:v>
                </c:pt>
                <c:pt idx="10">
                  <c:v>75</c:v>
                </c:pt>
                <c:pt idx="11">
                  <c:v>75</c:v>
                </c:pt>
                <c:pt idx="12">
                  <c:v>75</c:v>
                </c:pt>
                <c:pt idx="13">
                  <c:v>75</c:v>
                </c:pt>
                <c:pt idx="14">
                  <c:v>75</c:v>
                </c:pt>
                <c:pt idx="15">
                  <c:v>75</c:v>
                </c:pt>
                <c:pt idx="16">
                  <c:v>75</c:v>
                </c:pt>
                <c:pt idx="17">
                  <c:v>75</c:v>
                </c:pt>
                <c:pt idx="18">
                  <c:v>75</c:v>
                </c:pt>
                <c:pt idx="19">
                  <c:v>85</c:v>
                </c:pt>
                <c:pt idx="20">
                  <c:v>85</c:v>
                </c:pt>
                <c:pt idx="21">
                  <c:v>85</c:v>
                </c:pt>
                <c:pt idx="22">
                  <c:v>85</c:v>
                </c:pt>
                <c:pt idx="23">
                  <c:v>85</c:v>
                </c:pt>
              </c:numCache>
            </c:numRef>
          </c:val>
          <c:smooth val="0"/>
          <c:extLst>
            <c:ext xmlns:c16="http://schemas.microsoft.com/office/drawing/2014/chart" uri="{C3380CC4-5D6E-409C-BE32-E72D297353CC}">
              <c16:uniqueId val="{00000001-9932-4BDA-AC66-454F8274F881}"/>
            </c:ext>
          </c:extLst>
        </c:ser>
        <c:ser>
          <c:idx val="2"/>
          <c:order val="2"/>
          <c:tx>
            <c:strRef>
              <c:f>Schedules!$E$27</c:f>
              <c:strCache>
                <c:ptCount val="1"/>
                <c:pt idx="0">
                  <c:v>Sunday</c:v>
                </c:pt>
              </c:strCache>
            </c:strRef>
          </c:tx>
          <c:spPr>
            <a:ln w="28575" cap="rnd">
              <a:solidFill>
                <a:schemeClr val="accent3"/>
              </a:solidFill>
              <a:round/>
            </a:ln>
            <a:effectLst/>
          </c:spPr>
          <c:marker>
            <c:symbol val="none"/>
          </c:marker>
          <c:val>
            <c:numRef>
              <c:f>Schedules!$F$27:$AC$27</c:f>
              <c:numCache>
                <c:formatCode>0</c:formatCode>
                <c:ptCount val="24"/>
                <c:pt idx="0">
                  <c:v>85</c:v>
                </c:pt>
                <c:pt idx="1">
                  <c:v>85</c:v>
                </c:pt>
                <c:pt idx="2">
                  <c:v>85</c:v>
                </c:pt>
                <c:pt idx="3">
                  <c:v>85</c:v>
                </c:pt>
                <c:pt idx="4">
                  <c:v>85</c:v>
                </c:pt>
                <c:pt idx="5">
                  <c:v>85</c:v>
                </c:pt>
                <c:pt idx="6">
                  <c:v>85</c:v>
                </c:pt>
                <c:pt idx="7">
                  <c:v>85</c:v>
                </c:pt>
                <c:pt idx="8">
                  <c:v>85</c:v>
                </c:pt>
                <c:pt idx="9">
                  <c:v>85</c:v>
                </c:pt>
                <c:pt idx="10">
                  <c:v>85</c:v>
                </c:pt>
                <c:pt idx="11">
                  <c:v>85</c:v>
                </c:pt>
                <c:pt idx="12">
                  <c:v>85</c:v>
                </c:pt>
                <c:pt idx="13">
                  <c:v>85</c:v>
                </c:pt>
                <c:pt idx="14">
                  <c:v>85</c:v>
                </c:pt>
                <c:pt idx="15">
                  <c:v>85</c:v>
                </c:pt>
                <c:pt idx="16">
                  <c:v>85</c:v>
                </c:pt>
                <c:pt idx="17">
                  <c:v>85</c:v>
                </c:pt>
                <c:pt idx="18">
                  <c:v>85</c:v>
                </c:pt>
                <c:pt idx="19">
                  <c:v>85</c:v>
                </c:pt>
                <c:pt idx="20">
                  <c:v>85</c:v>
                </c:pt>
                <c:pt idx="21">
                  <c:v>85</c:v>
                </c:pt>
                <c:pt idx="22">
                  <c:v>85</c:v>
                </c:pt>
                <c:pt idx="23">
                  <c:v>85</c:v>
                </c:pt>
              </c:numCache>
            </c:numRef>
          </c:val>
          <c:smooth val="0"/>
          <c:extLst>
            <c:ext xmlns:c16="http://schemas.microsoft.com/office/drawing/2014/chart" uri="{C3380CC4-5D6E-409C-BE32-E72D297353CC}">
              <c16:uniqueId val="{00000002-9932-4BDA-AC66-454F8274F881}"/>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80"/>
          <c:min val="6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5"/>
        <c:minorUnit val="2"/>
      </c:valAx>
      <c:spPr>
        <a:noFill/>
        <a:ln>
          <a:noFill/>
        </a:ln>
        <a:effectLst/>
      </c:spPr>
    </c:plotArea>
    <c:legend>
      <c:legendPos val="b"/>
      <c:layout>
        <c:manualLayout>
          <c:xMode val="edge"/>
          <c:yMode val="edge"/>
          <c:x val="0.19081515552398717"/>
          <c:y val="0.52565747119424466"/>
          <c:w val="0.72584928779999403"/>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Schedules!$D$96</c:f>
          <c:strCache>
            <c:ptCount val="1"/>
            <c:pt idx="0">
              <c:v>PNNL Small Office</c:v>
            </c:pt>
          </c:strCache>
        </c:strRef>
      </c:tx>
      <c:overlay val="0"/>
      <c:spPr>
        <a:noFill/>
        <a:ln>
          <a:noFill/>
        </a:ln>
        <a:effectLst/>
      </c:spPr>
      <c:txPr>
        <a:bodyPr rot="0" spcFirstLastPara="1" vertOverflow="ellipsis" vert="horz" wrap="square" anchor="ctr" anchorCtr="1"/>
        <a:lstStyle/>
        <a:p>
          <a:pPr>
            <a:defRPr sz="1000" b="1" i="0" u="none" strike="noStrike" kern="1200" spc="0" baseline="0">
              <a:solidFill>
                <a:schemeClr val="tx1"/>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Schedules!$E$96</c:f>
              <c:strCache>
                <c:ptCount val="1"/>
                <c:pt idx="0">
                  <c:v>Weekday</c:v>
                </c:pt>
              </c:strCache>
            </c:strRef>
          </c:tx>
          <c:spPr>
            <a:ln w="28575" cap="rnd">
              <a:solidFill>
                <a:schemeClr val="accent1"/>
              </a:solidFill>
              <a:round/>
            </a:ln>
            <a:effectLst/>
          </c:spPr>
          <c:marker>
            <c:symbol val="none"/>
          </c:marker>
          <c:val>
            <c:numRef>
              <c:f>Schedules!$F$96:$AC$96</c:f>
            </c:numRef>
          </c:val>
          <c:smooth val="0"/>
          <c:extLst>
            <c:ext xmlns:c16="http://schemas.microsoft.com/office/drawing/2014/chart" uri="{C3380CC4-5D6E-409C-BE32-E72D297353CC}">
              <c16:uniqueId val="{00000000-0CFB-4DC8-9D13-AA8FBAB0AEBD}"/>
            </c:ext>
          </c:extLst>
        </c:ser>
        <c:ser>
          <c:idx val="1"/>
          <c:order val="1"/>
          <c:tx>
            <c:strRef>
              <c:f>Schedules!$E$97</c:f>
              <c:strCache>
                <c:ptCount val="1"/>
                <c:pt idx="0">
                  <c:v>Saturday</c:v>
                </c:pt>
              </c:strCache>
            </c:strRef>
          </c:tx>
          <c:spPr>
            <a:ln w="28575" cap="rnd">
              <a:solidFill>
                <a:schemeClr val="accent2"/>
              </a:solidFill>
              <a:round/>
            </a:ln>
            <a:effectLst/>
          </c:spPr>
          <c:marker>
            <c:symbol val="none"/>
          </c:marker>
          <c:val>
            <c:numRef>
              <c:f>Schedules!$F$97:$AC$97</c:f>
            </c:numRef>
          </c:val>
          <c:smooth val="0"/>
          <c:extLst>
            <c:ext xmlns:c16="http://schemas.microsoft.com/office/drawing/2014/chart" uri="{C3380CC4-5D6E-409C-BE32-E72D297353CC}">
              <c16:uniqueId val="{00000001-0CFB-4DC8-9D13-AA8FBAB0AEBD}"/>
            </c:ext>
          </c:extLst>
        </c:ser>
        <c:ser>
          <c:idx val="2"/>
          <c:order val="2"/>
          <c:tx>
            <c:strRef>
              <c:f>Schedules!$E$98</c:f>
              <c:strCache>
                <c:ptCount val="1"/>
                <c:pt idx="0">
                  <c:v>Sunday</c:v>
                </c:pt>
              </c:strCache>
            </c:strRef>
          </c:tx>
          <c:spPr>
            <a:ln w="28575" cap="rnd">
              <a:solidFill>
                <a:schemeClr val="accent3"/>
              </a:solidFill>
              <a:round/>
            </a:ln>
            <a:effectLst/>
          </c:spPr>
          <c:marker>
            <c:symbol val="none"/>
          </c:marker>
          <c:val>
            <c:numRef>
              <c:f>Schedules!$F$98:$AC$98</c:f>
            </c:numRef>
          </c:val>
          <c:smooth val="0"/>
          <c:extLst>
            <c:ext xmlns:c16="http://schemas.microsoft.com/office/drawing/2014/chart" uri="{C3380CC4-5D6E-409C-BE32-E72D297353CC}">
              <c16:uniqueId val="{00000003-0CFB-4DC8-9D13-AA8FBAB0AEBD}"/>
            </c:ext>
          </c:extLst>
        </c:ser>
        <c:dLbls>
          <c:showLegendKey val="0"/>
          <c:showVal val="0"/>
          <c:showCatName val="0"/>
          <c:showSerName val="0"/>
          <c:showPercent val="0"/>
          <c:showBubbleSize val="0"/>
        </c:dLbls>
        <c:marker val="1"/>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min val="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70097773501551652"/>
          <c:y val="7.0852116585053485E-2"/>
          <c:w val="0.26206608834364853"/>
          <c:h val="0.5192311791604600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Schedules!$D$99</c:f>
          <c:strCache>
            <c:ptCount val="1"/>
            <c:pt idx="0">
              <c:v>DEER Small Office</c:v>
            </c:pt>
          </c:strCache>
        </c:strRef>
      </c:tx>
      <c:overlay val="0"/>
      <c:spPr>
        <a:noFill/>
        <a:ln>
          <a:noFill/>
        </a:ln>
        <a:effectLst/>
      </c:spPr>
      <c:txPr>
        <a:bodyPr rot="0" spcFirstLastPara="1" vertOverflow="ellipsis" vert="horz" wrap="square" anchor="ctr" anchorCtr="1"/>
        <a:lstStyle/>
        <a:p>
          <a:pPr>
            <a:defRPr sz="1000" b="1" i="0" u="none" strike="noStrike" kern="1200" spc="0" baseline="0">
              <a:solidFill>
                <a:schemeClr val="tx1"/>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Schedules!$E$99</c:f>
              <c:strCache>
                <c:ptCount val="1"/>
                <c:pt idx="0">
                  <c:v>Weekday</c:v>
                </c:pt>
              </c:strCache>
            </c:strRef>
          </c:tx>
          <c:spPr>
            <a:ln w="28575" cap="rnd">
              <a:solidFill>
                <a:schemeClr val="accent1"/>
              </a:solidFill>
              <a:round/>
            </a:ln>
            <a:effectLst/>
          </c:spPr>
          <c:marker>
            <c:symbol val="none"/>
          </c:marker>
          <c:val>
            <c:numRef>
              <c:f>Schedules!$F$99:$AC$99</c:f>
            </c:numRef>
          </c:val>
          <c:smooth val="0"/>
          <c:extLst>
            <c:ext xmlns:c16="http://schemas.microsoft.com/office/drawing/2014/chart" uri="{C3380CC4-5D6E-409C-BE32-E72D297353CC}">
              <c16:uniqueId val="{00000000-AF02-44E6-B797-8D12F409C02B}"/>
            </c:ext>
          </c:extLst>
        </c:ser>
        <c:ser>
          <c:idx val="1"/>
          <c:order val="1"/>
          <c:tx>
            <c:strRef>
              <c:f>Schedules!$E$100</c:f>
              <c:strCache>
                <c:ptCount val="1"/>
                <c:pt idx="0">
                  <c:v>Saturday</c:v>
                </c:pt>
              </c:strCache>
            </c:strRef>
          </c:tx>
          <c:spPr>
            <a:ln w="28575" cap="rnd">
              <a:solidFill>
                <a:schemeClr val="accent2"/>
              </a:solidFill>
              <a:round/>
            </a:ln>
            <a:effectLst/>
          </c:spPr>
          <c:marker>
            <c:symbol val="none"/>
          </c:marker>
          <c:val>
            <c:numRef>
              <c:f>Schedules!$F$100:$AC$100</c:f>
            </c:numRef>
          </c:val>
          <c:smooth val="0"/>
          <c:extLst>
            <c:ext xmlns:c16="http://schemas.microsoft.com/office/drawing/2014/chart" uri="{C3380CC4-5D6E-409C-BE32-E72D297353CC}">
              <c16:uniqueId val="{00000001-AF02-44E6-B797-8D12F409C02B}"/>
            </c:ext>
          </c:extLst>
        </c:ser>
        <c:ser>
          <c:idx val="2"/>
          <c:order val="2"/>
          <c:tx>
            <c:strRef>
              <c:f>Schedules!$E$101</c:f>
              <c:strCache>
                <c:ptCount val="1"/>
                <c:pt idx="0">
                  <c:v>Sunday</c:v>
                </c:pt>
              </c:strCache>
            </c:strRef>
          </c:tx>
          <c:spPr>
            <a:ln w="28575" cap="rnd">
              <a:solidFill>
                <a:schemeClr val="accent3"/>
              </a:solidFill>
              <a:round/>
            </a:ln>
            <a:effectLst/>
          </c:spPr>
          <c:marker>
            <c:symbol val="none"/>
          </c:marker>
          <c:val>
            <c:numRef>
              <c:f>Schedules!$F$101:$AC$101</c:f>
            </c:numRef>
          </c:val>
          <c:smooth val="0"/>
          <c:extLst>
            <c:ext xmlns:c16="http://schemas.microsoft.com/office/drawing/2014/chart" uri="{C3380CC4-5D6E-409C-BE32-E72D297353CC}">
              <c16:uniqueId val="{00000002-AF02-44E6-B797-8D12F409C02B}"/>
            </c:ext>
          </c:extLst>
        </c:ser>
        <c:dLbls>
          <c:showLegendKey val="0"/>
          <c:showVal val="0"/>
          <c:showCatName val="0"/>
          <c:showSerName val="0"/>
          <c:showPercent val="0"/>
          <c:showBubbleSize val="0"/>
        </c:dLbls>
        <c:marker val="1"/>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min val="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70097773501551652"/>
          <c:y val="7.0852116585053485E-2"/>
          <c:w val="0.26206608834364853"/>
          <c:h val="0.5192311791604600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Schedules!$D$93</c:f>
          <c:strCache>
            <c:ptCount val="1"/>
            <c:pt idx="0">
              <c:v>CEC Small Office</c:v>
            </c:pt>
          </c:strCache>
        </c:strRef>
      </c:tx>
      <c:overlay val="0"/>
      <c:spPr>
        <a:noFill/>
        <a:ln>
          <a:noFill/>
        </a:ln>
        <a:effectLst/>
      </c:spPr>
      <c:txPr>
        <a:bodyPr rot="0" spcFirstLastPara="1" vertOverflow="ellipsis" vert="horz" wrap="square" anchor="ctr" anchorCtr="1"/>
        <a:lstStyle/>
        <a:p>
          <a:pPr>
            <a:defRPr sz="1000" b="1" i="0" u="none" strike="noStrike" kern="1200" spc="0" baseline="0">
              <a:solidFill>
                <a:schemeClr val="tx1"/>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Schedules!$E$93</c:f>
              <c:strCache>
                <c:ptCount val="1"/>
                <c:pt idx="0">
                  <c:v>Weekday</c:v>
                </c:pt>
              </c:strCache>
            </c:strRef>
          </c:tx>
          <c:spPr>
            <a:ln w="28575" cap="rnd">
              <a:solidFill>
                <a:schemeClr val="accent1"/>
              </a:solidFill>
              <a:round/>
            </a:ln>
            <a:effectLst/>
          </c:spPr>
          <c:marker>
            <c:symbol val="none"/>
          </c:marker>
          <c:val>
            <c:numRef>
              <c:f>Schedules!$F$93:$AC$93</c:f>
            </c:numRef>
          </c:val>
          <c:smooth val="0"/>
          <c:extLst>
            <c:ext xmlns:c16="http://schemas.microsoft.com/office/drawing/2014/chart" uri="{C3380CC4-5D6E-409C-BE32-E72D297353CC}">
              <c16:uniqueId val="{00000000-EBC6-4E8D-B208-3363DE6361D9}"/>
            </c:ext>
          </c:extLst>
        </c:ser>
        <c:ser>
          <c:idx val="1"/>
          <c:order val="1"/>
          <c:tx>
            <c:strRef>
              <c:f>Schedules!$E$94</c:f>
              <c:strCache>
                <c:ptCount val="1"/>
                <c:pt idx="0">
                  <c:v>Saturday</c:v>
                </c:pt>
              </c:strCache>
            </c:strRef>
          </c:tx>
          <c:spPr>
            <a:ln w="28575" cap="rnd">
              <a:solidFill>
                <a:schemeClr val="accent2"/>
              </a:solidFill>
              <a:round/>
            </a:ln>
            <a:effectLst/>
          </c:spPr>
          <c:marker>
            <c:symbol val="none"/>
          </c:marker>
          <c:val>
            <c:numRef>
              <c:f>Schedules!$F$94:$AC$94</c:f>
            </c:numRef>
          </c:val>
          <c:smooth val="0"/>
          <c:extLst>
            <c:ext xmlns:c16="http://schemas.microsoft.com/office/drawing/2014/chart" uri="{C3380CC4-5D6E-409C-BE32-E72D297353CC}">
              <c16:uniqueId val="{00000001-EBC6-4E8D-B208-3363DE6361D9}"/>
            </c:ext>
          </c:extLst>
        </c:ser>
        <c:ser>
          <c:idx val="2"/>
          <c:order val="2"/>
          <c:tx>
            <c:strRef>
              <c:f>Schedules!$E$95</c:f>
              <c:strCache>
                <c:ptCount val="1"/>
                <c:pt idx="0">
                  <c:v>Sunday</c:v>
                </c:pt>
              </c:strCache>
            </c:strRef>
          </c:tx>
          <c:spPr>
            <a:ln w="28575" cap="rnd">
              <a:solidFill>
                <a:schemeClr val="accent3"/>
              </a:solidFill>
              <a:round/>
            </a:ln>
            <a:effectLst/>
          </c:spPr>
          <c:marker>
            <c:symbol val="none"/>
          </c:marker>
          <c:val>
            <c:numRef>
              <c:f>Schedules!$F$95:$AC$95</c:f>
            </c:numRef>
          </c:val>
          <c:smooth val="0"/>
          <c:extLst>
            <c:ext xmlns:c16="http://schemas.microsoft.com/office/drawing/2014/chart" uri="{C3380CC4-5D6E-409C-BE32-E72D297353CC}">
              <c16:uniqueId val="{00000002-EBC6-4E8D-B208-3363DE6361D9}"/>
            </c:ext>
          </c:extLst>
        </c:ser>
        <c:dLbls>
          <c:showLegendKey val="0"/>
          <c:showVal val="0"/>
          <c:showCatName val="0"/>
          <c:showSerName val="0"/>
          <c:showPercent val="0"/>
          <c:showBubbleSize val="0"/>
        </c:dLbls>
        <c:marker val="1"/>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min val="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70097773501551652"/>
          <c:y val="7.0852116585053485E-2"/>
          <c:w val="0.26206608834364853"/>
          <c:h val="0.5192311791604600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0" i="0" u="none" strike="noStrike" kern="1200" spc="0" baseline="0">
                <a:solidFill>
                  <a:schemeClr val="tx1"/>
                </a:solidFill>
                <a:latin typeface="+mn-lt"/>
                <a:ea typeface="+mn-ea"/>
                <a:cs typeface="+mn-cs"/>
              </a:defRPr>
            </a:pPr>
            <a:r>
              <a:rPr lang="en-US"/>
              <a:t>Small Office CalBEM Prototype vs. CEUS 2022</a:t>
            </a:r>
          </a:p>
        </c:rich>
      </c:tx>
      <c:overlay val="0"/>
      <c:spPr>
        <a:noFill/>
        <a:ln>
          <a:noFill/>
        </a:ln>
        <a:effectLst/>
      </c:spPr>
      <c:txPr>
        <a:bodyPr rot="0" spcFirstLastPara="1" vertOverflow="ellipsis" vert="horz" wrap="square" anchor="ctr" anchorCtr="1"/>
        <a:lstStyle/>
        <a:p>
          <a:pPr>
            <a:defRPr sz="1680" b="0" i="0" u="none" strike="noStrike" kern="1200" spc="0" baseline="0">
              <a:solidFill>
                <a:schemeClr val="tx1"/>
              </a:solidFill>
              <a:latin typeface="+mn-lt"/>
              <a:ea typeface="+mn-ea"/>
              <a:cs typeface="+mn-cs"/>
            </a:defRPr>
          </a:pPr>
          <a:endParaRPr lang="en-US"/>
        </a:p>
      </c:txPr>
    </c:title>
    <c:autoTitleDeleted val="0"/>
    <c:plotArea>
      <c:layout>
        <c:manualLayout>
          <c:layoutTarget val="inner"/>
          <c:xMode val="edge"/>
          <c:yMode val="edge"/>
          <c:x val="7.2194751528742593E-2"/>
          <c:y val="0.1915794882709351"/>
          <c:w val="0.91451824433117146"/>
          <c:h val="0.6270254789121612"/>
        </c:manualLayout>
      </c:layout>
      <c:barChart>
        <c:barDir val="col"/>
        <c:grouping val="stacked"/>
        <c:varyColors val="0"/>
        <c:ser>
          <c:idx val="1"/>
          <c:order val="0"/>
          <c:tx>
            <c:strRef>
              <c:f>'Energy Usage'!$U$2</c:f>
              <c:strCache>
                <c:ptCount val="1"/>
                <c:pt idx="0">
                  <c:v>Acceptable Range (25% Lower)</c:v>
                </c:pt>
              </c:strCache>
            </c:strRef>
          </c:tx>
          <c:spPr>
            <a:noFill/>
            <a:ln>
              <a:noFill/>
            </a:ln>
            <a:effectLst/>
          </c:spPr>
          <c:invertIfNegative val="0"/>
          <c:val>
            <c:numRef>
              <c:f>'Energy Usage'!$U$3:$U$18</c:f>
              <c:numCache>
                <c:formatCode>0.00</c:formatCode>
                <c:ptCount val="16"/>
                <c:pt idx="0">
                  <c:v>37.489349999999995</c:v>
                </c:pt>
                <c:pt idx="1">
                  <c:v>33.522899999999993</c:v>
                </c:pt>
                <c:pt idx="2">
                  <c:v>41.174309999999998</c:v>
                </c:pt>
                <c:pt idx="3">
                  <c:v>41.097539999999995</c:v>
                </c:pt>
                <c:pt idx="4">
                  <c:v>44.449830000000006</c:v>
                </c:pt>
                <c:pt idx="5">
                  <c:v>30.682410000000001</c:v>
                </c:pt>
                <c:pt idx="6">
                  <c:v>44.552190000000003</c:v>
                </c:pt>
                <c:pt idx="7">
                  <c:v>29.914710000000007</c:v>
                </c:pt>
                <c:pt idx="8">
                  <c:v>31.88514</c:v>
                </c:pt>
                <c:pt idx="9">
                  <c:v>33.932339999999996</c:v>
                </c:pt>
                <c:pt idx="10">
                  <c:v>41.37903</c:v>
                </c:pt>
                <c:pt idx="11">
                  <c:v>41.839649999999999</c:v>
                </c:pt>
                <c:pt idx="12">
                  <c:v>38.231459999999998</c:v>
                </c:pt>
                <c:pt idx="13">
                  <c:v>29.633219999999998</c:v>
                </c:pt>
                <c:pt idx="14">
                  <c:v>28.353720000000003</c:v>
                </c:pt>
                <c:pt idx="15">
                  <c:v>35.467739999999992</c:v>
                </c:pt>
              </c:numCache>
            </c:numRef>
          </c:val>
          <c:extLst>
            <c:ext xmlns:c16="http://schemas.microsoft.com/office/drawing/2014/chart" uri="{C3380CC4-5D6E-409C-BE32-E72D297353CC}">
              <c16:uniqueId val="{00000000-227B-4D0F-B97D-2979DD01392C}"/>
            </c:ext>
          </c:extLst>
        </c:ser>
        <c:ser>
          <c:idx val="2"/>
          <c:order val="1"/>
          <c:tx>
            <c:strRef>
              <c:f>'Energy Usage'!$V$2</c:f>
              <c:strCache>
                <c:ptCount val="1"/>
                <c:pt idx="0">
                  <c:v>CEUS 2022 Acceptable Range</c:v>
                </c:pt>
              </c:strCache>
            </c:strRef>
          </c:tx>
          <c:spPr>
            <a:solidFill>
              <a:schemeClr val="accent4">
                <a:lumMod val="40000"/>
                <a:lumOff val="60000"/>
              </a:schemeClr>
            </a:solidFill>
            <a:ln>
              <a:solidFill>
                <a:schemeClr val="accent4">
                  <a:lumMod val="40000"/>
                  <a:lumOff val="60000"/>
                </a:schemeClr>
              </a:solidFill>
            </a:ln>
            <a:effectLst/>
          </c:spPr>
          <c:invertIfNegative val="0"/>
          <c:val>
            <c:numRef>
              <c:f>'Energy Usage'!$V$3:$V$18</c:f>
              <c:numCache>
                <c:formatCode>0.00</c:formatCode>
                <c:ptCount val="16"/>
                <c:pt idx="0">
                  <c:v>24.992899999999992</c:v>
                </c:pt>
                <c:pt idx="1">
                  <c:v>22.348600000000005</c:v>
                </c:pt>
                <c:pt idx="2">
                  <c:v>27.449540000000006</c:v>
                </c:pt>
                <c:pt idx="3">
                  <c:v>27.398359999999997</c:v>
                </c:pt>
                <c:pt idx="4">
                  <c:v>29.633219999999994</c:v>
                </c:pt>
                <c:pt idx="5">
                  <c:v>20.454939999999997</c:v>
                </c:pt>
                <c:pt idx="6">
                  <c:v>29.701460000000004</c:v>
                </c:pt>
                <c:pt idx="7">
                  <c:v>19.94314</c:v>
                </c:pt>
                <c:pt idx="8">
                  <c:v>21.25676</c:v>
                </c:pt>
                <c:pt idx="9">
                  <c:v>22.621560000000002</c:v>
                </c:pt>
                <c:pt idx="10">
                  <c:v>27.586019999999991</c:v>
                </c:pt>
                <c:pt idx="11">
                  <c:v>27.893099999999997</c:v>
                </c:pt>
                <c:pt idx="12">
                  <c:v>25.487639999999999</c:v>
                </c:pt>
                <c:pt idx="13">
                  <c:v>19.755480000000002</c:v>
                </c:pt>
                <c:pt idx="14">
                  <c:v>18.902479999999997</c:v>
                </c:pt>
                <c:pt idx="15">
                  <c:v>23.645160000000004</c:v>
                </c:pt>
              </c:numCache>
            </c:numRef>
          </c:val>
          <c:extLst>
            <c:ext xmlns:c16="http://schemas.microsoft.com/office/drawing/2014/chart" uri="{C3380CC4-5D6E-409C-BE32-E72D297353CC}">
              <c16:uniqueId val="{00000001-227B-4D0F-B97D-2979DD01392C}"/>
            </c:ext>
          </c:extLst>
        </c:ser>
        <c:dLbls>
          <c:showLegendKey val="0"/>
          <c:showVal val="0"/>
          <c:showCatName val="0"/>
          <c:showSerName val="0"/>
          <c:showPercent val="0"/>
          <c:showBubbleSize val="0"/>
        </c:dLbls>
        <c:gapWidth val="160"/>
        <c:overlap val="100"/>
        <c:axId val="758910767"/>
        <c:axId val="758909327"/>
      </c:barChart>
      <c:scatterChart>
        <c:scatterStyle val="lineMarker"/>
        <c:varyColors val="0"/>
        <c:ser>
          <c:idx val="0"/>
          <c:order val="2"/>
          <c:tx>
            <c:v>CalBEM Total EUI</c:v>
          </c:tx>
          <c:spPr>
            <a:ln w="25400" cap="rnd">
              <a:noFill/>
              <a:round/>
            </a:ln>
            <a:effectLst/>
          </c:spPr>
          <c:marker>
            <c:symbol val="square"/>
            <c:size val="7"/>
            <c:spPr>
              <a:solidFill>
                <a:schemeClr val="accent1"/>
              </a:solidFill>
              <a:ln w="9525">
                <a:solidFill>
                  <a:srgbClr val="001132"/>
                </a:solidFill>
              </a:ln>
              <a:effectLst/>
            </c:spPr>
          </c:marker>
          <c:yVal>
            <c:numRef>
              <c:f>'Energy Usage'!$E$3:$E$18</c:f>
              <c:numCache>
                <c:formatCode>General</c:formatCode>
                <c:ptCount val="16"/>
              </c:numCache>
            </c:numRef>
          </c:yVal>
          <c:smooth val="0"/>
          <c:extLst>
            <c:ext xmlns:c16="http://schemas.microsoft.com/office/drawing/2014/chart" uri="{C3380CC4-5D6E-409C-BE32-E72D297353CC}">
              <c16:uniqueId val="{00000002-227B-4D0F-B97D-2979DD01392C}"/>
            </c:ext>
          </c:extLst>
        </c:ser>
        <c:ser>
          <c:idx val="3"/>
          <c:order val="3"/>
          <c:tx>
            <c:v>New Construction Total EUI</c:v>
          </c:tx>
          <c:spPr>
            <a:ln w="25400" cap="rnd">
              <a:noFill/>
              <a:round/>
            </a:ln>
            <a:effectLst/>
          </c:spPr>
          <c:marker>
            <c:symbol val="diamond"/>
            <c:size val="7"/>
            <c:spPr>
              <a:solidFill>
                <a:srgbClr val="00B050"/>
              </a:solidFill>
              <a:ln w="9525">
                <a:solidFill>
                  <a:srgbClr val="001132"/>
                </a:solidFill>
              </a:ln>
              <a:effectLst/>
            </c:spPr>
          </c:marker>
          <c:yVal>
            <c:numRef>
              <c:f>'Energy Usage'!$H$3:$H$18</c:f>
              <c:numCache>
                <c:formatCode>General</c:formatCode>
                <c:ptCount val="16"/>
              </c:numCache>
            </c:numRef>
          </c:yVal>
          <c:smooth val="0"/>
          <c:extLst>
            <c:ext xmlns:c16="http://schemas.microsoft.com/office/drawing/2014/chart" uri="{C3380CC4-5D6E-409C-BE32-E72D297353CC}">
              <c16:uniqueId val="{00000003-227B-4D0F-B97D-2979DD01392C}"/>
            </c:ext>
          </c:extLst>
        </c:ser>
        <c:dLbls>
          <c:showLegendKey val="0"/>
          <c:showVal val="0"/>
          <c:showCatName val="0"/>
          <c:showSerName val="0"/>
          <c:showPercent val="0"/>
          <c:showBubbleSize val="0"/>
        </c:dLbls>
        <c:axId val="758910767"/>
        <c:axId val="758909327"/>
      </c:scatterChart>
      <c:catAx>
        <c:axId val="758910767"/>
        <c:scaling>
          <c:orientation val="minMax"/>
        </c:scaling>
        <c:delete val="0"/>
        <c:axPos val="b"/>
        <c:title>
          <c:tx>
            <c:rich>
              <a:bodyPr rot="0" spcFirstLastPara="1" vertOverflow="ellipsis" vert="horz" wrap="square" anchor="ctr" anchorCtr="1"/>
              <a:lstStyle/>
              <a:p>
                <a:pPr>
                  <a:defRPr sz="1400" b="0" i="0" u="none" strike="noStrike" kern="1200" baseline="0">
                    <a:solidFill>
                      <a:schemeClr val="tx1"/>
                    </a:solidFill>
                    <a:latin typeface="+mn-lt"/>
                    <a:ea typeface="+mn-ea"/>
                    <a:cs typeface="+mn-cs"/>
                  </a:defRPr>
                </a:pPr>
                <a:r>
                  <a:rPr lang="en-US"/>
                  <a:t>Climate Zone</a:t>
                </a:r>
              </a:p>
            </c:rich>
          </c:tx>
          <c:layout>
            <c:manualLayout>
              <c:xMode val="edge"/>
              <c:yMode val="edge"/>
              <c:x val="0.4716193596992439"/>
              <c:y val="0.88719068060403727"/>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title>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crossAx val="758909327"/>
        <c:crosses val="autoZero"/>
        <c:auto val="1"/>
        <c:lblAlgn val="ctr"/>
        <c:lblOffset val="100"/>
        <c:noMultiLvlLbl val="0"/>
      </c:catAx>
      <c:valAx>
        <c:axId val="758909327"/>
        <c:scaling>
          <c:orientation val="minMax"/>
          <c:max val="85"/>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0" i="0" u="none" strike="noStrike" kern="1200" baseline="0">
                    <a:solidFill>
                      <a:schemeClr val="tx1"/>
                    </a:solidFill>
                    <a:latin typeface="+mn-lt"/>
                    <a:ea typeface="+mn-ea"/>
                    <a:cs typeface="+mn-cs"/>
                  </a:defRPr>
                </a:pPr>
                <a:r>
                  <a:rPr lang="en-US"/>
                  <a:t>Total EUI (kBtu/ft²)</a:t>
                </a:r>
              </a:p>
            </c:rich>
          </c:tx>
          <c:layout>
            <c:manualLayout>
              <c:xMode val="edge"/>
              <c:yMode val="edge"/>
              <c:x val="6.1162073619680356E-3"/>
              <c:y val="0.2802664576629727"/>
            </c:manualLayout>
          </c:layout>
          <c:overlay val="0"/>
          <c:spPr>
            <a:noFill/>
            <a:ln>
              <a:noFill/>
            </a:ln>
            <a:effectLst/>
          </c:spPr>
          <c:txPr>
            <a:bodyPr rot="-540000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crossAx val="758910767"/>
        <c:crosses val="autoZero"/>
        <c:crossBetween val="between"/>
        <c:majorUnit val="10"/>
      </c:valAx>
      <c:spPr>
        <a:noFill/>
        <a:ln>
          <a:noFill/>
        </a:ln>
        <a:effectLst/>
      </c:spPr>
    </c:plotArea>
    <c:legend>
      <c:legendPos val="b"/>
      <c:legendEntry>
        <c:idx val="0"/>
        <c:delete val="1"/>
      </c:legendEntry>
      <c:overlay val="0"/>
      <c:spPr>
        <a:noFill/>
        <a:ln>
          <a:noFill/>
        </a:ln>
        <a:effectLst/>
      </c:spPr>
      <c:txPr>
        <a:bodyPr rot="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400" baseline="0">
          <a:solidFill>
            <a:schemeClr val="tx1"/>
          </a:solidFill>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0" i="0" u="none" strike="noStrike" kern="1200" spc="0" baseline="0">
                <a:solidFill>
                  <a:schemeClr val="tx1"/>
                </a:solidFill>
                <a:latin typeface="+mn-lt"/>
                <a:ea typeface="+mn-ea"/>
                <a:cs typeface="+mn-cs"/>
              </a:defRPr>
            </a:pPr>
            <a:r>
              <a:rPr lang="en-US"/>
              <a:t>Small Office CalBEM Prototype vs. National Average (CBECS 2018)</a:t>
            </a:r>
          </a:p>
        </c:rich>
      </c:tx>
      <c:overlay val="0"/>
      <c:spPr>
        <a:noFill/>
        <a:ln>
          <a:noFill/>
        </a:ln>
        <a:effectLst/>
      </c:spPr>
      <c:txPr>
        <a:bodyPr rot="0" spcFirstLastPara="1" vertOverflow="ellipsis" vert="horz" wrap="square" anchor="ctr" anchorCtr="1"/>
        <a:lstStyle/>
        <a:p>
          <a:pPr>
            <a:defRPr sz="1680" b="0" i="0" u="none" strike="noStrike" kern="1200" spc="0" baseline="0">
              <a:solidFill>
                <a:schemeClr val="tx1"/>
              </a:solidFill>
              <a:latin typeface="+mn-lt"/>
              <a:ea typeface="+mn-ea"/>
              <a:cs typeface="+mn-cs"/>
            </a:defRPr>
          </a:pPr>
          <a:endParaRPr lang="en-US"/>
        </a:p>
      </c:txPr>
    </c:title>
    <c:autoTitleDeleted val="0"/>
    <c:plotArea>
      <c:layout>
        <c:manualLayout>
          <c:layoutTarget val="inner"/>
          <c:xMode val="edge"/>
          <c:yMode val="edge"/>
          <c:x val="7.2194751528742593E-2"/>
          <c:y val="0.1915794882709351"/>
          <c:w val="0.91451824433117146"/>
          <c:h val="0.6270254789121612"/>
        </c:manualLayout>
      </c:layout>
      <c:barChart>
        <c:barDir val="col"/>
        <c:grouping val="stacked"/>
        <c:varyColors val="0"/>
        <c:ser>
          <c:idx val="1"/>
          <c:order val="0"/>
          <c:spPr>
            <a:noFill/>
            <a:ln>
              <a:noFill/>
            </a:ln>
            <a:effectLst/>
          </c:spPr>
          <c:invertIfNegative val="0"/>
          <c:val>
            <c:numRef>
              <c:f>'Energy Usage'!$K$3:$K$18</c:f>
              <c:numCache>
                <c:formatCode>General</c:formatCode>
                <c:ptCount val="16"/>
                <c:pt idx="0">
                  <c:v>46.275000000000006</c:v>
                </c:pt>
                <c:pt idx="1">
                  <c:v>50.625</c:v>
                </c:pt>
                <c:pt idx="2">
                  <c:v>48.150000000000006</c:v>
                </c:pt>
                <c:pt idx="3">
                  <c:v>52.275000000000006</c:v>
                </c:pt>
                <c:pt idx="4">
                  <c:v>46.2</c:v>
                </c:pt>
                <c:pt idx="5">
                  <c:v>53.25</c:v>
                </c:pt>
                <c:pt idx="6">
                  <c:v>50.175000000000004</c:v>
                </c:pt>
                <c:pt idx="7">
                  <c:v>50.849999999999994</c:v>
                </c:pt>
                <c:pt idx="8">
                  <c:v>50.925000000000004</c:v>
                </c:pt>
                <c:pt idx="9">
                  <c:v>51.224999999999994</c:v>
                </c:pt>
                <c:pt idx="10">
                  <c:v>52.875</c:v>
                </c:pt>
                <c:pt idx="11">
                  <c:v>52.349999999999994</c:v>
                </c:pt>
                <c:pt idx="12">
                  <c:v>52.650000000000006</c:v>
                </c:pt>
                <c:pt idx="13">
                  <c:v>53.25</c:v>
                </c:pt>
                <c:pt idx="14">
                  <c:v>52.275000000000006</c:v>
                </c:pt>
                <c:pt idx="15">
                  <c:v>54.375</c:v>
                </c:pt>
              </c:numCache>
            </c:numRef>
          </c:val>
          <c:extLst>
            <c:ext xmlns:c16="http://schemas.microsoft.com/office/drawing/2014/chart" uri="{C3380CC4-5D6E-409C-BE32-E72D297353CC}">
              <c16:uniqueId val="{00000000-D275-494B-A6D7-C0DBC53BE750}"/>
            </c:ext>
          </c:extLst>
        </c:ser>
        <c:ser>
          <c:idx val="2"/>
          <c:order val="1"/>
          <c:tx>
            <c:strRef>
              <c:f>'Energy Usage'!$L$2</c:f>
              <c:strCache>
                <c:ptCount val="1"/>
                <c:pt idx="0">
                  <c:v>National Average Acceptable Range</c:v>
                </c:pt>
              </c:strCache>
            </c:strRef>
          </c:tx>
          <c:spPr>
            <a:solidFill>
              <a:srgbClr val="CCCCFF"/>
            </a:solidFill>
            <a:ln w="25400">
              <a:solidFill>
                <a:srgbClr val="CCCCFF"/>
              </a:solidFill>
            </a:ln>
            <a:effectLst/>
          </c:spPr>
          <c:invertIfNegative val="0"/>
          <c:val>
            <c:numRef>
              <c:f>'Energy Usage'!$L$3:$L$18</c:f>
              <c:numCache>
                <c:formatCode>0.0</c:formatCode>
                <c:ptCount val="16"/>
                <c:pt idx="0">
                  <c:v>30.849999999999994</c:v>
                </c:pt>
                <c:pt idx="1">
                  <c:v>33.75</c:v>
                </c:pt>
                <c:pt idx="2">
                  <c:v>32.099999999999994</c:v>
                </c:pt>
                <c:pt idx="3">
                  <c:v>34.849999999999994</c:v>
                </c:pt>
                <c:pt idx="4">
                  <c:v>30.799999999999997</c:v>
                </c:pt>
                <c:pt idx="5">
                  <c:v>35.5</c:v>
                </c:pt>
                <c:pt idx="6">
                  <c:v>33.449999999999996</c:v>
                </c:pt>
                <c:pt idx="7">
                  <c:v>33.900000000000006</c:v>
                </c:pt>
                <c:pt idx="8">
                  <c:v>33.949999999999996</c:v>
                </c:pt>
                <c:pt idx="9">
                  <c:v>34.150000000000006</c:v>
                </c:pt>
                <c:pt idx="10">
                  <c:v>35.25</c:v>
                </c:pt>
                <c:pt idx="11">
                  <c:v>34.900000000000006</c:v>
                </c:pt>
                <c:pt idx="12">
                  <c:v>35.099999999999994</c:v>
                </c:pt>
                <c:pt idx="13">
                  <c:v>35.5</c:v>
                </c:pt>
                <c:pt idx="14">
                  <c:v>34.849999999999994</c:v>
                </c:pt>
                <c:pt idx="15">
                  <c:v>36.25</c:v>
                </c:pt>
              </c:numCache>
            </c:numRef>
          </c:val>
          <c:extLst>
            <c:ext xmlns:c16="http://schemas.microsoft.com/office/drawing/2014/chart" uri="{C3380CC4-5D6E-409C-BE32-E72D297353CC}">
              <c16:uniqueId val="{00000001-D275-494B-A6D7-C0DBC53BE750}"/>
            </c:ext>
          </c:extLst>
        </c:ser>
        <c:dLbls>
          <c:showLegendKey val="0"/>
          <c:showVal val="0"/>
          <c:showCatName val="0"/>
          <c:showSerName val="0"/>
          <c:showPercent val="0"/>
          <c:showBubbleSize val="0"/>
        </c:dLbls>
        <c:gapWidth val="160"/>
        <c:overlap val="100"/>
        <c:axId val="758910767"/>
        <c:axId val="758909327"/>
      </c:barChart>
      <c:scatterChart>
        <c:scatterStyle val="lineMarker"/>
        <c:varyColors val="0"/>
        <c:ser>
          <c:idx val="0"/>
          <c:order val="2"/>
          <c:tx>
            <c:v>CalBEM Total EUI</c:v>
          </c:tx>
          <c:spPr>
            <a:ln w="25400" cap="rnd">
              <a:noFill/>
              <a:round/>
            </a:ln>
            <a:effectLst/>
          </c:spPr>
          <c:marker>
            <c:symbol val="square"/>
            <c:size val="7"/>
            <c:spPr>
              <a:solidFill>
                <a:schemeClr val="accent1"/>
              </a:solidFill>
              <a:ln w="9525">
                <a:solidFill>
                  <a:srgbClr val="001132"/>
                </a:solidFill>
              </a:ln>
              <a:effectLst/>
            </c:spPr>
          </c:marker>
          <c:yVal>
            <c:numRef>
              <c:f>'Energy Usage'!$E$3:$E$18</c:f>
              <c:numCache>
                <c:formatCode>General</c:formatCode>
                <c:ptCount val="16"/>
              </c:numCache>
            </c:numRef>
          </c:yVal>
          <c:smooth val="0"/>
          <c:extLst>
            <c:ext xmlns:c16="http://schemas.microsoft.com/office/drawing/2014/chart" uri="{C3380CC4-5D6E-409C-BE32-E72D297353CC}">
              <c16:uniqueId val="{00000002-D275-494B-A6D7-C0DBC53BE750}"/>
            </c:ext>
          </c:extLst>
        </c:ser>
        <c:ser>
          <c:idx val="3"/>
          <c:order val="3"/>
          <c:tx>
            <c:strRef>
              <c:f>'Energy Usage'!$H$2</c:f>
              <c:strCache>
                <c:ptCount val="1"/>
                <c:pt idx="0">
                  <c:v>New Construction  Total EUI (KBTU/ft²)</c:v>
                </c:pt>
              </c:strCache>
            </c:strRef>
          </c:tx>
          <c:spPr>
            <a:ln w="25400" cap="rnd">
              <a:noFill/>
              <a:round/>
            </a:ln>
            <a:effectLst/>
          </c:spPr>
          <c:marker>
            <c:symbol val="diamond"/>
            <c:size val="7"/>
            <c:spPr>
              <a:solidFill>
                <a:srgbClr val="00B050"/>
              </a:solidFill>
              <a:ln w="9525">
                <a:solidFill>
                  <a:srgbClr val="001132"/>
                </a:solidFill>
              </a:ln>
              <a:effectLst/>
            </c:spPr>
          </c:marker>
          <c:yVal>
            <c:numRef>
              <c:f>'Energy Usage'!$H$3:$H$18</c:f>
              <c:numCache>
                <c:formatCode>General</c:formatCode>
                <c:ptCount val="16"/>
              </c:numCache>
            </c:numRef>
          </c:yVal>
          <c:smooth val="0"/>
          <c:extLst>
            <c:ext xmlns:c16="http://schemas.microsoft.com/office/drawing/2014/chart" uri="{C3380CC4-5D6E-409C-BE32-E72D297353CC}">
              <c16:uniqueId val="{00000003-D275-494B-A6D7-C0DBC53BE750}"/>
            </c:ext>
          </c:extLst>
        </c:ser>
        <c:dLbls>
          <c:showLegendKey val="0"/>
          <c:showVal val="0"/>
          <c:showCatName val="0"/>
          <c:showSerName val="0"/>
          <c:showPercent val="0"/>
          <c:showBubbleSize val="0"/>
        </c:dLbls>
        <c:axId val="758910767"/>
        <c:axId val="758909327"/>
      </c:scatterChart>
      <c:catAx>
        <c:axId val="758910767"/>
        <c:scaling>
          <c:orientation val="minMax"/>
        </c:scaling>
        <c:delete val="0"/>
        <c:axPos val="b"/>
        <c:title>
          <c:tx>
            <c:rich>
              <a:bodyPr rot="0" spcFirstLastPara="1" vertOverflow="ellipsis" vert="horz" wrap="square" anchor="ctr" anchorCtr="1"/>
              <a:lstStyle/>
              <a:p>
                <a:pPr>
                  <a:defRPr sz="1400" b="0" i="0" u="none" strike="noStrike" kern="1200" baseline="0">
                    <a:solidFill>
                      <a:schemeClr val="tx1"/>
                    </a:solidFill>
                    <a:latin typeface="+mn-lt"/>
                    <a:ea typeface="+mn-ea"/>
                    <a:cs typeface="+mn-cs"/>
                  </a:defRPr>
                </a:pPr>
                <a:r>
                  <a:rPr lang="en-US"/>
                  <a:t>Climate Zone</a:t>
                </a:r>
              </a:p>
            </c:rich>
          </c:tx>
          <c:layout>
            <c:manualLayout>
              <c:xMode val="edge"/>
              <c:yMode val="edge"/>
              <c:x val="0.4716193596992439"/>
              <c:y val="0.88719068060403727"/>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title>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crossAx val="758909327"/>
        <c:crosses val="autoZero"/>
        <c:auto val="1"/>
        <c:lblAlgn val="ctr"/>
        <c:lblOffset val="100"/>
        <c:noMultiLvlLbl val="0"/>
      </c:catAx>
      <c:valAx>
        <c:axId val="758909327"/>
        <c:scaling>
          <c:orientation val="minMax"/>
          <c:max val="100"/>
          <c:min val="25"/>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0" i="0" u="none" strike="noStrike" kern="1200" baseline="0">
                    <a:solidFill>
                      <a:schemeClr val="tx1"/>
                    </a:solidFill>
                    <a:latin typeface="+mn-lt"/>
                    <a:ea typeface="+mn-ea"/>
                    <a:cs typeface="+mn-cs"/>
                  </a:defRPr>
                </a:pPr>
                <a:r>
                  <a:rPr lang="en-US"/>
                  <a:t>Total EUI (kBtu/ft²)</a:t>
                </a:r>
              </a:p>
            </c:rich>
          </c:tx>
          <c:layout>
            <c:manualLayout>
              <c:xMode val="edge"/>
              <c:yMode val="edge"/>
              <c:x val="6.1162073619680356E-3"/>
              <c:y val="0.2802664576629727"/>
            </c:manualLayout>
          </c:layout>
          <c:overlay val="0"/>
          <c:spPr>
            <a:noFill/>
            <a:ln>
              <a:noFill/>
            </a:ln>
            <a:effectLst/>
          </c:spPr>
          <c:txPr>
            <a:bodyPr rot="-540000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crossAx val="758910767"/>
        <c:crosses val="autoZero"/>
        <c:crossBetween val="between"/>
        <c:majorUnit val="10"/>
      </c:valAx>
      <c:spPr>
        <a:noFill/>
        <a:ln>
          <a:noFill/>
        </a:ln>
        <a:effectLst/>
      </c:spPr>
    </c:plotArea>
    <c:legend>
      <c:legendPos val="b"/>
      <c:legendEntry>
        <c:idx val="0"/>
        <c:delete val="1"/>
      </c:legendEntry>
      <c:overlay val="0"/>
      <c:spPr>
        <a:noFill/>
        <a:ln>
          <a:noFill/>
        </a:ln>
        <a:effectLst/>
      </c:spPr>
      <c:txPr>
        <a:bodyPr rot="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400" baseline="0">
          <a:solidFill>
            <a:schemeClr val="tx1"/>
          </a:solidFill>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5.emf"/></Relationships>
</file>

<file path=xl/drawings/_rels/drawing5.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_rels/drawing6.xml.rels><?xml version="1.0" encoding="UTF-8" standalone="yes"?>
<Relationships xmlns="http://schemas.openxmlformats.org/package/2006/relationships"><Relationship Id="rId2" Type="http://schemas.openxmlformats.org/officeDocument/2006/relationships/chart" Target="../charts/chart17.xml"/><Relationship Id="rId1" Type="http://schemas.openxmlformats.org/officeDocument/2006/relationships/chart" Target="../charts/chart16.xml"/></Relationships>
</file>

<file path=xl/drawings/_rels/drawing7.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1000685</xdr:colOff>
      <xdr:row>36</xdr:row>
      <xdr:rowOff>143435</xdr:rowOff>
    </xdr:from>
    <xdr:to>
      <xdr:col>2</xdr:col>
      <xdr:colOff>1616528</xdr:colOff>
      <xdr:row>45</xdr:row>
      <xdr:rowOff>76761</xdr:rowOff>
    </xdr:to>
    <xdr:pic>
      <xdr:nvPicPr>
        <xdr:cNvPr id="7" name="Picture 1">
          <a:extLst>
            <a:ext uri="{FF2B5EF4-FFF2-40B4-BE49-F238E27FC236}">
              <a16:creationId xmlns:a16="http://schemas.microsoft.com/office/drawing/2014/main" id="{C3CA583B-F9BE-4F3F-B7DD-7FD80A44173B}"/>
            </a:ext>
          </a:extLst>
        </xdr:cNvPr>
        <xdr:cNvPicPr>
          <a:picLocks noChangeAspect="1"/>
        </xdr:cNvPicPr>
      </xdr:nvPicPr>
      <xdr:blipFill>
        <a:blip xmlns:r="http://schemas.openxmlformats.org/officeDocument/2006/relationships" r:embed="rId1"/>
        <a:stretch>
          <a:fillRect/>
        </a:stretch>
      </xdr:blipFill>
      <xdr:spPr>
        <a:xfrm>
          <a:off x="1000685" y="7135906"/>
          <a:ext cx="7631398" cy="1797983"/>
        </a:xfrm>
        <a:prstGeom prst="rect">
          <a:avLst/>
        </a:prstGeom>
        <a:ln w="3175">
          <a:solidFill>
            <a:schemeClr val="tx1"/>
          </a:solidFill>
        </a:ln>
      </xdr:spPr>
    </xdr:pic>
    <xdr:clientData/>
  </xdr:twoCellAnchor>
</xdr:wsDr>
</file>

<file path=xl/drawings/drawing2.xml><?xml version="1.0" encoding="utf-8"?>
<xdr:wsDr xmlns:xdr="http://schemas.openxmlformats.org/drawingml/2006/spreadsheetDrawing" xmlns:a="http://schemas.openxmlformats.org/drawingml/2006/main">
  <xdr:oneCellAnchor>
    <xdr:from>
      <xdr:col>1</xdr:col>
      <xdr:colOff>465380</xdr:colOff>
      <xdr:row>7</xdr:row>
      <xdr:rowOff>123265</xdr:rowOff>
    </xdr:from>
    <xdr:ext cx="2751733" cy="1252145"/>
    <xdr:pic>
      <xdr:nvPicPr>
        <xdr:cNvPr id="5" name="Picture 1" descr="Screen Clipping">
          <a:extLst>
            <a:ext uri="{FF2B5EF4-FFF2-40B4-BE49-F238E27FC236}">
              <a16:creationId xmlns:a16="http://schemas.microsoft.com/office/drawing/2014/main" id="{00000000-0008-0000-01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179880" y="2879912"/>
          <a:ext cx="2751733" cy="125214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wsDr>
</file>

<file path=xl/drawings/drawing3.xml><?xml version="1.0" encoding="utf-8"?>
<xdr:wsDr xmlns:xdr="http://schemas.openxmlformats.org/drawingml/2006/spreadsheetDrawing" xmlns:a="http://schemas.openxmlformats.org/drawingml/2006/main">
  <xdr:twoCellAnchor>
    <xdr:from>
      <xdr:col>14</xdr:col>
      <xdr:colOff>1072723</xdr:colOff>
      <xdr:row>0</xdr:row>
      <xdr:rowOff>42655</xdr:rowOff>
    </xdr:from>
    <xdr:to>
      <xdr:col>14</xdr:col>
      <xdr:colOff>1072723</xdr:colOff>
      <xdr:row>1</xdr:row>
      <xdr:rowOff>1739</xdr:rowOff>
    </xdr:to>
    <xdr:cxnSp macro="">
      <xdr:nvCxnSpPr>
        <xdr:cNvPr id="4" name="Straight Arrow Connector 3">
          <a:extLst>
            <a:ext uri="{FF2B5EF4-FFF2-40B4-BE49-F238E27FC236}">
              <a16:creationId xmlns:a16="http://schemas.microsoft.com/office/drawing/2014/main" id="{BB0EC946-BDB6-09C9-DB60-21B21720AE71}"/>
            </a:ext>
          </a:extLst>
        </xdr:cNvPr>
        <xdr:cNvCxnSpPr/>
      </xdr:nvCxnSpPr>
      <xdr:spPr>
        <a:xfrm flipV="1">
          <a:off x="22636186" y="42655"/>
          <a:ext cx="0" cy="288905"/>
        </a:xfrm>
        <a:prstGeom prst="straightConnector1">
          <a:avLst/>
        </a:prstGeom>
        <a:ln w="38100">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1115380</xdr:colOff>
      <xdr:row>0</xdr:row>
      <xdr:rowOff>75125</xdr:rowOff>
    </xdr:from>
    <xdr:to>
      <xdr:col>14</xdr:col>
      <xdr:colOff>1355574</xdr:colOff>
      <xdr:row>1</xdr:row>
      <xdr:rowOff>110823</xdr:rowOff>
    </xdr:to>
    <xdr:sp macro="" textlink="">
      <xdr:nvSpPr>
        <xdr:cNvPr id="8" name="TextBox 7">
          <a:extLst>
            <a:ext uri="{FF2B5EF4-FFF2-40B4-BE49-F238E27FC236}">
              <a16:creationId xmlns:a16="http://schemas.microsoft.com/office/drawing/2014/main" id="{1DDDC35D-79DC-FE8D-E36B-A215903DCB00}"/>
            </a:ext>
          </a:extLst>
        </xdr:cNvPr>
        <xdr:cNvSpPr txBox="1"/>
      </xdr:nvSpPr>
      <xdr:spPr>
        <a:xfrm>
          <a:off x="22678843" y="75125"/>
          <a:ext cx="240194" cy="3655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1"/>
              </a:solidFill>
            </a:rPr>
            <a:t>N</a:t>
          </a:r>
        </a:p>
      </xdr:txBody>
    </xdr:sp>
    <xdr:clientData/>
  </xdr:twoCellAnchor>
  <xdr:twoCellAnchor editAs="oneCell">
    <xdr:from>
      <xdr:col>2</xdr:col>
      <xdr:colOff>3009900</xdr:colOff>
      <xdr:row>0</xdr:row>
      <xdr:rowOff>-171450</xdr:rowOff>
    </xdr:from>
    <xdr:to>
      <xdr:col>2</xdr:col>
      <xdr:colOff>3009900</xdr:colOff>
      <xdr:row>0</xdr:row>
      <xdr:rowOff>-163830</xdr:rowOff>
    </xdr:to>
    <xdr:pic>
      <xdr:nvPicPr>
        <xdr:cNvPr id="3" name="Picture 2">
          <a:extLst>
            <a:ext uri="{FF2B5EF4-FFF2-40B4-BE49-F238E27FC236}">
              <a16:creationId xmlns:a16="http://schemas.microsoft.com/office/drawing/2014/main" id="{28AE7376-F848-A1DB-D8E8-23471E0896B8}"/>
            </a:ext>
            <a:ext uri="{147F2762-F138-4A5C-976F-8EAC2B608ADB}">
              <a16:predDERef xmlns:a16="http://schemas.microsoft.com/office/drawing/2014/main" pred="{1DDDC35D-79DC-FE8D-E36B-A215903DCB00}"/>
            </a:ext>
          </a:extLst>
        </xdr:cNvPr>
        <xdr:cNvPicPr>
          <a:picLocks noChangeAspect="1"/>
        </xdr:cNvPicPr>
      </xdr:nvPicPr>
      <xdr:blipFill>
        <a:blip xmlns:r="http://schemas.openxmlformats.org/officeDocument/2006/relationships" r:embed="rId1"/>
        <a:stretch>
          <a:fillRect/>
        </a:stretch>
      </xdr:blipFill>
      <xdr:spPr>
        <a:xfrm>
          <a:off x="5000625" y="-171450"/>
          <a:ext cx="0" cy="0"/>
        </a:xfrm>
        <a:prstGeom prst="rect">
          <a:avLst/>
        </a:prstGeom>
      </xdr:spPr>
    </xdr:pic>
    <xdr:clientData/>
  </xdr:twoCellAnchor>
  <xdr:twoCellAnchor editAs="oneCell">
    <xdr:from>
      <xdr:col>14</xdr:col>
      <xdr:colOff>3837</xdr:colOff>
      <xdr:row>1</xdr:row>
      <xdr:rowOff>335507</xdr:rowOff>
    </xdr:from>
    <xdr:to>
      <xdr:col>17</xdr:col>
      <xdr:colOff>53737</xdr:colOff>
      <xdr:row>8</xdr:row>
      <xdr:rowOff>108576</xdr:rowOff>
    </xdr:to>
    <xdr:pic>
      <xdr:nvPicPr>
        <xdr:cNvPr id="2" name="Picture 1">
          <a:extLst>
            <a:ext uri="{FF2B5EF4-FFF2-40B4-BE49-F238E27FC236}">
              <a16:creationId xmlns:a16="http://schemas.microsoft.com/office/drawing/2014/main" id="{BA34106F-A7FD-DA53-5A65-8FA2D80CD6AF}"/>
            </a:ext>
            <a:ext uri="{147F2762-F138-4A5C-976F-8EAC2B608ADB}">
              <a16:predDERef xmlns:a16="http://schemas.microsoft.com/office/drawing/2014/main" pred="{28AE7376-F848-A1DB-D8E8-23471E0896B8}"/>
            </a:ext>
          </a:extLst>
        </xdr:cNvPr>
        <xdr:cNvPicPr>
          <a:picLocks noChangeAspect="1"/>
        </xdr:cNvPicPr>
      </xdr:nvPicPr>
      <xdr:blipFill>
        <a:blip xmlns:r="http://schemas.openxmlformats.org/officeDocument/2006/relationships" r:embed="rId2"/>
        <a:stretch>
          <a:fillRect/>
        </a:stretch>
      </xdr:blipFill>
      <xdr:spPr>
        <a:xfrm>
          <a:off x="21567300" y="665328"/>
          <a:ext cx="4326198" cy="2860343"/>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7</xdr:col>
      <xdr:colOff>19050</xdr:colOff>
      <xdr:row>1</xdr:row>
      <xdr:rowOff>28575</xdr:rowOff>
    </xdr:from>
    <xdr:to>
      <xdr:col>8</xdr:col>
      <xdr:colOff>809626</xdr:colOff>
      <xdr:row>7</xdr:row>
      <xdr:rowOff>78105</xdr:rowOff>
    </xdr:to>
    <xdr:pic>
      <xdr:nvPicPr>
        <xdr:cNvPr id="11" name="Picture 9">
          <a:extLst>
            <a:ext uri="{FF2B5EF4-FFF2-40B4-BE49-F238E27FC236}">
              <a16:creationId xmlns:a16="http://schemas.microsoft.com/office/drawing/2014/main" id="{1745FAD2-CD75-4362-ACB1-D68E613FF952}"/>
            </a:ext>
            <a:ext uri="{147F2762-F138-4A5C-976F-8EAC2B608ADB}">
              <a16:predDERef xmlns:a16="http://schemas.microsoft.com/office/drawing/2014/main" pred="{8BC00085-5290-4C5D-8400-5348AAA7676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5535275" y="371475"/>
          <a:ext cx="3246120" cy="22669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0</xdr:col>
      <xdr:colOff>199122</xdr:colOff>
      <xdr:row>39</xdr:row>
      <xdr:rowOff>175606</xdr:rowOff>
    </xdr:from>
    <xdr:ext cx="2486193" cy="365678"/>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F045B6FC-AE03-4739-9769-403FF0F8748D}"/>
                </a:ext>
              </a:extLst>
            </xdr:cNvPr>
            <xdr:cNvSpPr txBox="1">
              <a:spLocks/>
            </xdr:cNvSpPr>
          </xdr:nvSpPr>
          <xdr:spPr>
            <a:xfrm>
              <a:off x="199122" y="13777306"/>
              <a:ext cx="2486193" cy="3656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US" sz="1100" b="0" i="1">
                            <a:solidFill>
                              <a:srgbClr val="000000"/>
                            </a:solidFill>
                            <a:latin typeface="Cambria Math" panose="02040503050406030204" pitchFamily="18" charset="0"/>
                          </a:rPr>
                        </m:ctrlPr>
                      </m:sSubPr>
                      <m:e>
                        <m:r>
                          <a:rPr lang="en-US" sz="1100" b="0" i="1">
                            <a:solidFill>
                              <a:srgbClr val="000000"/>
                            </a:solidFill>
                            <a:latin typeface="Cambria Math" panose="02040503050406030204" pitchFamily="18" charset="0"/>
                          </a:rPr>
                          <m:t>𝐹𝑎𝑛</m:t>
                        </m:r>
                        <m:r>
                          <a:rPr lang="en-US" sz="1100" b="0" i="1">
                            <a:solidFill>
                              <a:srgbClr val="000000"/>
                            </a:solidFill>
                            <a:latin typeface="Cambria Math" panose="02040503050406030204" pitchFamily="18" charset="0"/>
                          </a:rPr>
                          <m:t> </m:t>
                        </m:r>
                        <m:r>
                          <a:rPr lang="en-US" sz="1100" b="0" i="1">
                            <a:solidFill>
                              <a:srgbClr val="000000"/>
                            </a:solidFill>
                            <a:latin typeface="Cambria Math" panose="02040503050406030204" pitchFamily="18" charset="0"/>
                          </a:rPr>
                          <m:t>𝑝𝑜𝑤𝑒𝑟</m:t>
                        </m:r>
                      </m:e>
                      <m:sub>
                        <m:r>
                          <a:rPr lang="en-US" sz="1100" b="0" i="1">
                            <a:solidFill>
                              <a:srgbClr val="000000"/>
                            </a:solidFill>
                            <a:latin typeface="Cambria Math" panose="02040503050406030204" pitchFamily="18" charset="0"/>
                          </a:rPr>
                          <m:t>𝑤</m:t>
                        </m:r>
                        <m:r>
                          <a:rPr lang="en-US" sz="1100" b="0" i="1">
                            <a:solidFill>
                              <a:srgbClr val="000000"/>
                            </a:solidFill>
                            <a:latin typeface="Cambria Math" panose="02040503050406030204" pitchFamily="18" charset="0"/>
                          </a:rPr>
                          <m:t>/</m:t>
                        </m:r>
                        <m:r>
                          <a:rPr lang="en-US" sz="1100" b="0" i="1">
                            <a:solidFill>
                              <a:srgbClr val="000000"/>
                            </a:solidFill>
                            <a:latin typeface="Cambria Math" panose="02040503050406030204" pitchFamily="18" charset="0"/>
                          </a:rPr>
                          <m:t>𝑐𝑓𝑚</m:t>
                        </m:r>
                      </m:sub>
                    </m:sSub>
                    <m:r>
                      <a:rPr lang="en-US" sz="1100" b="0" i="1">
                        <a:solidFill>
                          <a:srgbClr val="000000"/>
                        </a:solidFill>
                        <a:latin typeface="Cambria Math" panose="02040503050406030204" pitchFamily="18" charset="0"/>
                      </a:rPr>
                      <m:t>=</m:t>
                    </m:r>
                    <m:f>
                      <m:fPr>
                        <m:ctrlPr>
                          <a:rPr lang="en-US" sz="1100" b="0" i="1">
                            <a:solidFill>
                              <a:srgbClr val="000000"/>
                            </a:solidFill>
                            <a:latin typeface="Cambria Math" panose="02040503050406030204" pitchFamily="18" charset="0"/>
                          </a:rPr>
                        </m:ctrlPr>
                      </m:fPr>
                      <m:num>
                        <m:sSub>
                          <m:sSubPr>
                            <m:ctrlPr>
                              <a:rPr lang="en-US" sz="1100" b="0" i="1">
                                <a:solidFill>
                                  <a:srgbClr val="000000"/>
                                </a:solidFill>
                                <a:latin typeface="Cambria Math" panose="02040503050406030204" pitchFamily="18" charset="0"/>
                              </a:rPr>
                            </m:ctrlPr>
                          </m:sSubPr>
                          <m:e>
                            <m:r>
                              <a:rPr lang="en-US" sz="1100" b="0" i="1">
                                <a:solidFill>
                                  <a:srgbClr val="000000"/>
                                </a:solidFill>
                                <a:latin typeface="Cambria Math" panose="02040503050406030204" pitchFamily="18" charset="0"/>
                              </a:rPr>
                              <m:t>𝑇𝑆𝑃</m:t>
                            </m:r>
                          </m:e>
                          <m:sub>
                            <m:r>
                              <a:rPr lang="en-US" sz="1100" b="0" i="1">
                                <a:solidFill>
                                  <a:srgbClr val="000000"/>
                                </a:solidFill>
                                <a:latin typeface="Cambria Math" panose="02040503050406030204" pitchFamily="18" charset="0"/>
                              </a:rPr>
                              <m:t>𝑖𝑛</m:t>
                            </m:r>
                            <m:r>
                              <a:rPr lang="en-US" sz="1100" b="0" i="1">
                                <a:solidFill>
                                  <a:srgbClr val="000000"/>
                                </a:solidFill>
                                <a:latin typeface="Cambria Math" panose="02040503050406030204" pitchFamily="18" charset="0"/>
                              </a:rPr>
                              <m:t> </m:t>
                            </m:r>
                            <m:r>
                              <a:rPr lang="en-US" sz="1100" b="0" i="1">
                                <a:solidFill>
                                  <a:srgbClr val="000000"/>
                                </a:solidFill>
                                <a:latin typeface="Cambria Math" panose="02040503050406030204" pitchFamily="18" charset="0"/>
                              </a:rPr>
                              <m:t>𝑤</m:t>
                            </m:r>
                            <m:r>
                              <a:rPr lang="en-US" sz="1100" b="0" i="1">
                                <a:solidFill>
                                  <a:srgbClr val="000000"/>
                                </a:solidFill>
                                <a:latin typeface="Cambria Math" panose="02040503050406030204" pitchFamily="18" charset="0"/>
                              </a:rPr>
                              <m:t>.</m:t>
                            </m:r>
                            <m:r>
                              <a:rPr lang="en-US" sz="1100" b="0" i="1">
                                <a:solidFill>
                                  <a:srgbClr val="000000"/>
                                </a:solidFill>
                                <a:latin typeface="Cambria Math" panose="02040503050406030204" pitchFamily="18" charset="0"/>
                              </a:rPr>
                              <m:t>𝑐</m:t>
                            </m:r>
                          </m:sub>
                        </m:sSub>
                        <m:r>
                          <a:rPr lang="en-US" sz="1100" b="0" i="1">
                            <a:solidFill>
                              <a:srgbClr val="000000"/>
                            </a:solidFill>
                            <a:latin typeface="Cambria Math" panose="02040503050406030204" pitchFamily="18" charset="0"/>
                          </a:rPr>
                          <m:t>∗746</m:t>
                        </m:r>
                      </m:num>
                      <m:den>
                        <m:r>
                          <a:rPr lang="en-US" sz="1100" b="0" i="1">
                            <a:solidFill>
                              <a:srgbClr val="000000"/>
                            </a:solidFill>
                            <a:latin typeface="Cambria Math" panose="02040503050406030204" pitchFamily="18" charset="0"/>
                          </a:rPr>
                          <m:t>6356∗</m:t>
                        </m:r>
                        <m:sSub>
                          <m:sSubPr>
                            <m:ctrlPr>
                              <a:rPr lang="en-US" sz="1100" b="0" i="1">
                                <a:solidFill>
                                  <a:srgbClr val="000000"/>
                                </a:solidFill>
                                <a:latin typeface="Cambria Math" panose="02040503050406030204" pitchFamily="18" charset="0"/>
                                <a:ea typeface="Cambria Math" panose="02040503050406030204" pitchFamily="18" charset="0"/>
                              </a:rPr>
                            </m:ctrlPr>
                          </m:sSubPr>
                          <m:e>
                            <m:r>
                              <a:rPr lang="en-US" sz="1100" b="0" i="1">
                                <a:solidFill>
                                  <a:srgbClr val="000000"/>
                                </a:solidFill>
                                <a:latin typeface="Cambria Math" panose="02040503050406030204" pitchFamily="18" charset="0"/>
                                <a:ea typeface="Cambria Math" panose="02040503050406030204" pitchFamily="18" charset="0"/>
                              </a:rPr>
                              <m:t>𝜇</m:t>
                            </m:r>
                          </m:e>
                          <m:sub>
                            <m:r>
                              <a:rPr lang="en-US" sz="1100" b="0" i="1">
                                <a:solidFill>
                                  <a:srgbClr val="000000"/>
                                </a:solidFill>
                                <a:latin typeface="Cambria Math" panose="02040503050406030204" pitchFamily="18" charset="0"/>
                              </a:rPr>
                              <m:t>𝑓𝑎𝑛</m:t>
                            </m:r>
                          </m:sub>
                        </m:sSub>
                        <m:r>
                          <a:rPr lang="en-US" sz="1100" b="0" i="1">
                            <a:solidFill>
                              <a:srgbClr val="000000"/>
                            </a:solidFill>
                            <a:latin typeface="Cambria Math" panose="02040503050406030204" pitchFamily="18" charset="0"/>
                          </a:rPr>
                          <m:t>∗</m:t>
                        </m:r>
                        <m:sSub>
                          <m:sSubPr>
                            <m:ctrlPr>
                              <a:rPr lang="en-US" sz="1100" b="0" i="1">
                                <a:solidFill>
                                  <a:srgbClr val="000000"/>
                                </a:solidFill>
                                <a:latin typeface="Cambria Math" panose="02040503050406030204" pitchFamily="18" charset="0"/>
                                <a:ea typeface="Cambria Math" panose="02040503050406030204" pitchFamily="18" charset="0"/>
                              </a:rPr>
                            </m:ctrlPr>
                          </m:sSubPr>
                          <m:e>
                            <m:r>
                              <a:rPr lang="en-US" sz="1100" b="0" i="1">
                                <a:solidFill>
                                  <a:srgbClr val="000000"/>
                                </a:solidFill>
                                <a:latin typeface="Cambria Math" panose="02040503050406030204" pitchFamily="18" charset="0"/>
                                <a:ea typeface="Cambria Math" panose="02040503050406030204" pitchFamily="18" charset="0"/>
                              </a:rPr>
                              <m:t>𝜇</m:t>
                            </m:r>
                          </m:e>
                          <m:sub>
                            <m:r>
                              <a:rPr lang="en-US" sz="1100" b="0" i="1">
                                <a:solidFill>
                                  <a:srgbClr val="000000"/>
                                </a:solidFill>
                                <a:latin typeface="Cambria Math" panose="02040503050406030204" pitchFamily="18" charset="0"/>
                              </a:rPr>
                              <m:t>𝑚𝑜𝑡𝑜𝑟</m:t>
                            </m:r>
                          </m:sub>
                        </m:sSub>
                      </m:den>
                    </m:f>
                  </m:oMath>
                </m:oMathPara>
              </a14:m>
              <a:endParaRPr lang="en-US" sz="1100">
                <a:solidFill>
                  <a:srgbClr val="000000"/>
                </a:solidFill>
              </a:endParaRPr>
            </a:p>
          </xdr:txBody>
        </xdr:sp>
      </mc:Choice>
      <mc:Fallback xmlns="">
        <xdr:sp macro="" textlink="">
          <xdr:nvSpPr>
            <xdr:cNvPr id="12" name="TextBox 11">
              <a:extLst>
                <a:ext uri="{FF2B5EF4-FFF2-40B4-BE49-F238E27FC236}">
                  <a16:creationId xmlns:a16="http://schemas.microsoft.com/office/drawing/2014/main" id="{F045B6FC-AE03-4739-9769-403FF0F8748D}"/>
                </a:ext>
              </a:extLst>
            </xdr:cNvPr>
            <xdr:cNvSpPr txBox="1">
              <a:spLocks/>
            </xdr:cNvSpPr>
          </xdr:nvSpPr>
          <xdr:spPr>
            <a:xfrm>
              <a:off x="199122" y="13777306"/>
              <a:ext cx="2486193" cy="3656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0" i="0">
                  <a:solidFill>
                    <a:srgbClr val="000000"/>
                  </a:solidFill>
                  <a:latin typeface="Cambria Math" panose="02040503050406030204" pitchFamily="18" charset="0"/>
                </a:rPr>
                <a:t>〖𝐹𝑎𝑛 𝑝𝑜𝑤𝑒𝑟〗_(𝑤/𝑐𝑓𝑚)=(〖𝑇𝑆𝑃〗_(𝑖𝑛 𝑤.𝑐)∗746)/(6356∗</a:t>
              </a:r>
              <a:r>
                <a:rPr lang="en-US" sz="1100" b="0" i="0">
                  <a:solidFill>
                    <a:srgbClr val="000000"/>
                  </a:solidFill>
                  <a:latin typeface="Cambria Math" panose="02040503050406030204" pitchFamily="18" charset="0"/>
                  <a:ea typeface="Cambria Math" panose="02040503050406030204" pitchFamily="18" charset="0"/>
                </a:rPr>
                <a:t>𝜇_</a:t>
              </a:r>
              <a:r>
                <a:rPr lang="en-US" sz="1100" b="0" i="0">
                  <a:solidFill>
                    <a:srgbClr val="000000"/>
                  </a:solidFill>
                  <a:latin typeface="Cambria Math" panose="02040503050406030204" pitchFamily="18" charset="0"/>
                </a:rPr>
                <a:t>𝑓𝑎𝑛∗</a:t>
              </a:r>
              <a:r>
                <a:rPr lang="en-US" sz="1100" b="0" i="0">
                  <a:solidFill>
                    <a:srgbClr val="000000"/>
                  </a:solidFill>
                  <a:latin typeface="Cambria Math" panose="02040503050406030204" pitchFamily="18" charset="0"/>
                  <a:ea typeface="Cambria Math" panose="02040503050406030204" pitchFamily="18" charset="0"/>
                </a:rPr>
                <a:t>𝜇_</a:t>
              </a:r>
              <a:r>
                <a:rPr lang="en-US" sz="1100" b="0" i="0">
                  <a:solidFill>
                    <a:srgbClr val="000000"/>
                  </a:solidFill>
                  <a:latin typeface="Cambria Math" panose="02040503050406030204" pitchFamily="18" charset="0"/>
                </a:rPr>
                <a:t>𝑚𝑜𝑡𝑜𝑟 )</a:t>
              </a:r>
              <a:endParaRPr lang="en-US" sz="1100">
                <a:solidFill>
                  <a:srgbClr val="000000"/>
                </a:solidFill>
              </a:endParaRPr>
            </a:p>
          </xdr:txBody>
        </xdr:sp>
      </mc:Fallback>
    </mc:AlternateContent>
    <xdr:clientData/>
  </xdr:oneCellAnchor>
  <xdr:oneCellAnchor>
    <xdr:from>
      <xdr:col>0</xdr:col>
      <xdr:colOff>226577</xdr:colOff>
      <xdr:row>30</xdr:row>
      <xdr:rowOff>199120</xdr:rowOff>
    </xdr:from>
    <xdr:ext cx="1369028" cy="372025"/>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3A5E025-598F-438B-BA8D-A4BE98CE8AC0}"/>
                </a:ext>
              </a:extLst>
            </xdr:cNvPr>
            <xdr:cNvSpPr txBox="1">
              <a:spLocks/>
            </xdr:cNvSpPr>
          </xdr:nvSpPr>
          <xdr:spPr>
            <a:xfrm>
              <a:off x="226577" y="11883120"/>
              <a:ext cx="1369028" cy="3720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US" sz="1100" b="0" i="1">
                        <a:solidFill>
                          <a:srgbClr val="000000"/>
                        </a:solidFill>
                        <a:latin typeface="Cambria Math" panose="02040503050406030204" pitchFamily="18" charset="0"/>
                      </a:rPr>
                      <m:t>𝑏ℎ𝑝</m:t>
                    </m:r>
                    <m:r>
                      <a:rPr lang="en-US" sz="1100" b="0" i="1">
                        <a:solidFill>
                          <a:srgbClr val="000000"/>
                        </a:solidFill>
                        <a:latin typeface="Cambria Math" panose="02040503050406030204" pitchFamily="18" charset="0"/>
                      </a:rPr>
                      <m:t>=</m:t>
                    </m:r>
                    <m:f>
                      <m:fPr>
                        <m:ctrlPr>
                          <a:rPr lang="en-US" sz="1100" b="0" i="1">
                            <a:solidFill>
                              <a:srgbClr val="000000"/>
                            </a:solidFill>
                            <a:effectLst/>
                            <a:latin typeface="Cambria Math" panose="02040503050406030204" pitchFamily="18" charset="0"/>
                            <a:ea typeface="+mn-ea"/>
                            <a:cs typeface="+mn-cs"/>
                          </a:rPr>
                        </m:ctrlPr>
                      </m:fPr>
                      <m:num>
                        <m:r>
                          <a:rPr lang="en-US" sz="1100" b="0" i="1">
                            <a:solidFill>
                              <a:srgbClr val="000000"/>
                            </a:solidFill>
                            <a:effectLst/>
                            <a:latin typeface="Cambria Math" panose="02040503050406030204" pitchFamily="18" charset="0"/>
                            <a:ea typeface="+mn-ea"/>
                            <a:cs typeface="+mn-cs"/>
                          </a:rPr>
                          <m:t>𝑐𝑓𝑚</m:t>
                        </m:r>
                        <m:r>
                          <a:rPr lang="en-US" sz="1100" b="0" i="1">
                            <a:solidFill>
                              <a:srgbClr val="000000"/>
                            </a:solidFill>
                            <a:effectLst/>
                            <a:latin typeface="Cambria Math" panose="02040503050406030204" pitchFamily="18" charset="0"/>
                            <a:ea typeface="+mn-ea"/>
                            <a:cs typeface="+mn-cs"/>
                          </a:rPr>
                          <m:t>∗</m:t>
                        </m:r>
                        <m:sSub>
                          <m:sSubPr>
                            <m:ctrlPr>
                              <a:rPr lang="en-US" sz="1100" b="0" i="1">
                                <a:solidFill>
                                  <a:srgbClr val="000000"/>
                                </a:solidFill>
                                <a:effectLst/>
                                <a:latin typeface="Cambria Math" panose="02040503050406030204" pitchFamily="18" charset="0"/>
                                <a:ea typeface="+mn-ea"/>
                                <a:cs typeface="+mn-cs"/>
                              </a:rPr>
                            </m:ctrlPr>
                          </m:sSubPr>
                          <m:e>
                            <m:r>
                              <a:rPr lang="en-US" sz="1100" b="0" i="1">
                                <a:solidFill>
                                  <a:srgbClr val="000000"/>
                                </a:solidFill>
                                <a:effectLst/>
                                <a:latin typeface="Cambria Math" panose="02040503050406030204" pitchFamily="18" charset="0"/>
                                <a:ea typeface="+mn-ea"/>
                                <a:cs typeface="+mn-cs"/>
                              </a:rPr>
                              <m:t>𝑇𝑆𝑃</m:t>
                            </m:r>
                          </m:e>
                          <m:sub>
                            <m:r>
                              <a:rPr lang="en-US" sz="1100" b="0" i="1">
                                <a:solidFill>
                                  <a:srgbClr val="000000"/>
                                </a:solidFill>
                                <a:effectLst/>
                                <a:latin typeface="Cambria Math" panose="02040503050406030204" pitchFamily="18" charset="0"/>
                                <a:ea typeface="+mn-ea"/>
                                <a:cs typeface="+mn-cs"/>
                              </a:rPr>
                              <m:t>𝑖𝑛</m:t>
                            </m:r>
                            <m:r>
                              <a:rPr lang="en-US" sz="1100" b="0" i="1">
                                <a:solidFill>
                                  <a:srgbClr val="000000"/>
                                </a:solidFill>
                                <a:effectLst/>
                                <a:latin typeface="Cambria Math" panose="02040503050406030204" pitchFamily="18" charset="0"/>
                                <a:ea typeface="+mn-ea"/>
                                <a:cs typeface="+mn-cs"/>
                              </a:rPr>
                              <m:t> </m:t>
                            </m:r>
                            <m:r>
                              <a:rPr lang="en-US" sz="1100" b="0" i="1">
                                <a:solidFill>
                                  <a:srgbClr val="000000"/>
                                </a:solidFill>
                                <a:effectLst/>
                                <a:latin typeface="Cambria Math" panose="02040503050406030204" pitchFamily="18" charset="0"/>
                                <a:ea typeface="+mn-ea"/>
                                <a:cs typeface="+mn-cs"/>
                              </a:rPr>
                              <m:t>𝑤</m:t>
                            </m:r>
                            <m:r>
                              <a:rPr lang="en-US" sz="1100" b="0" i="1">
                                <a:solidFill>
                                  <a:srgbClr val="000000"/>
                                </a:solidFill>
                                <a:effectLst/>
                                <a:latin typeface="Cambria Math" panose="02040503050406030204" pitchFamily="18" charset="0"/>
                                <a:ea typeface="+mn-ea"/>
                                <a:cs typeface="+mn-cs"/>
                              </a:rPr>
                              <m:t>.</m:t>
                            </m:r>
                            <m:r>
                              <a:rPr lang="en-US" sz="1100" b="0" i="1">
                                <a:solidFill>
                                  <a:srgbClr val="000000"/>
                                </a:solidFill>
                                <a:effectLst/>
                                <a:latin typeface="Cambria Math" panose="02040503050406030204" pitchFamily="18" charset="0"/>
                                <a:ea typeface="+mn-ea"/>
                                <a:cs typeface="+mn-cs"/>
                              </a:rPr>
                              <m:t>𝑐</m:t>
                            </m:r>
                            <m:r>
                              <a:rPr lang="en-US" sz="1100" b="0" i="1">
                                <a:solidFill>
                                  <a:srgbClr val="000000"/>
                                </a:solidFill>
                                <a:effectLst/>
                                <a:latin typeface="Cambria Math" panose="02040503050406030204" pitchFamily="18" charset="0"/>
                                <a:ea typeface="+mn-ea"/>
                                <a:cs typeface="+mn-cs"/>
                              </a:rPr>
                              <m:t>.</m:t>
                            </m:r>
                          </m:sub>
                        </m:sSub>
                      </m:num>
                      <m:den>
                        <m:sSub>
                          <m:sSubPr>
                            <m:ctrlPr>
                              <a:rPr lang="en-US" sz="1100" b="0" i="1">
                                <a:solidFill>
                                  <a:srgbClr val="000000"/>
                                </a:solidFill>
                                <a:effectLst/>
                                <a:latin typeface="Cambria Math" panose="02040503050406030204" pitchFamily="18" charset="0"/>
                                <a:ea typeface="+mn-ea"/>
                                <a:cs typeface="+mn-cs"/>
                              </a:rPr>
                            </m:ctrlPr>
                          </m:sSubPr>
                          <m:e>
                            <m:r>
                              <a:rPr lang="en-US" sz="1100" b="0" i="1">
                                <a:solidFill>
                                  <a:srgbClr val="000000"/>
                                </a:solidFill>
                                <a:effectLst/>
                                <a:latin typeface="Cambria Math" panose="02040503050406030204" pitchFamily="18" charset="0"/>
                                <a:ea typeface="+mn-ea"/>
                                <a:cs typeface="+mn-cs"/>
                              </a:rPr>
                              <m:t>6356∗</m:t>
                            </m:r>
                            <m:r>
                              <a:rPr lang="en-US" sz="1100" b="0" i="1">
                                <a:solidFill>
                                  <a:srgbClr val="000000"/>
                                </a:solidFill>
                                <a:effectLst/>
                                <a:latin typeface="Cambria Math" panose="02040503050406030204" pitchFamily="18" charset="0"/>
                                <a:ea typeface="+mn-ea"/>
                                <a:cs typeface="+mn-cs"/>
                              </a:rPr>
                              <m:t>𝜇</m:t>
                            </m:r>
                          </m:e>
                          <m:sub>
                            <m:r>
                              <a:rPr lang="en-US" sz="1100" b="0" i="1">
                                <a:solidFill>
                                  <a:srgbClr val="000000"/>
                                </a:solidFill>
                                <a:effectLst/>
                                <a:latin typeface="Cambria Math" panose="02040503050406030204" pitchFamily="18" charset="0"/>
                                <a:ea typeface="+mn-ea"/>
                                <a:cs typeface="+mn-cs"/>
                              </a:rPr>
                              <m:t>𝑓𝑎𝑛</m:t>
                            </m:r>
                          </m:sub>
                        </m:sSub>
                      </m:den>
                    </m:f>
                  </m:oMath>
                </m:oMathPara>
              </a14:m>
              <a:endParaRPr lang="en-US" sz="1100">
                <a:solidFill>
                  <a:srgbClr val="000000"/>
                </a:solidFill>
              </a:endParaRPr>
            </a:p>
          </xdr:txBody>
        </xdr:sp>
      </mc:Choice>
      <mc:Fallback xmlns="">
        <xdr:sp macro="" textlink="">
          <xdr:nvSpPr>
            <xdr:cNvPr id="14" name="TextBox 13">
              <a:extLst>
                <a:ext uri="{FF2B5EF4-FFF2-40B4-BE49-F238E27FC236}">
                  <a16:creationId xmlns:a16="http://schemas.microsoft.com/office/drawing/2014/main" id="{93A5E025-598F-438B-BA8D-A4BE98CE8AC0}"/>
                </a:ext>
              </a:extLst>
            </xdr:cNvPr>
            <xdr:cNvSpPr txBox="1">
              <a:spLocks/>
            </xdr:cNvSpPr>
          </xdr:nvSpPr>
          <xdr:spPr>
            <a:xfrm>
              <a:off x="226577" y="11883120"/>
              <a:ext cx="1369028" cy="3720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0" i="0">
                  <a:solidFill>
                    <a:srgbClr val="000000"/>
                  </a:solidFill>
                  <a:latin typeface="Cambria Math" panose="02040503050406030204" pitchFamily="18" charset="0"/>
                </a:rPr>
                <a:t>𝑏ℎ𝑝=</a:t>
              </a:r>
              <a:r>
                <a:rPr lang="en-US" sz="1100" b="0" i="0">
                  <a:solidFill>
                    <a:srgbClr val="000000"/>
                  </a:solidFill>
                  <a:effectLst/>
                  <a:latin typeface="Cambria Math" panose="02040503050406030204" pitchFamily="18" charset="0"/>
                  <a:ea typeface="+mn-ea"/>
                  <a:cs typeface="+mn-cs"/>
                </a:rPr>
                <a:t>(𝑐𝑓𝑚∗〖𝑇𝑆𝑃〗_(𝑖𝑛 𝑤.𝑐.))/〖6356∗𝜇〗_𝑓𝑎𝑛 </a:t>
              </a:r>
              <a:endParaRPr lang="en-US" sz="1100">
                <a:solidFill>
                  <a:srgbClr val="000000"/>
                </a:solidFill>
              </a:endParaRPr>
            </a:p>
          </xdr:txBody>
        </xdr:sp>
      </mc:Fallback>
    </mc:AlternateContent>
    <xdr:clientData/>
  </xdr:oneCellAnchor>
  <xdr:oneCellAnchor>
    <xdr:from>
      <xdr:col>0</xdr:col>
      <xdr:colOff>191338</xdr:colOff>
      <xdr:row>33</xdr:row>
      <xdr:rowOff>96228</xdr:rowOff>
    </xdr:from>
    <xdr:ext cx="2027222" cy="351058"/>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35DDF92A-0673-4026-BFC3-1314CFDBB529}"/>
                </a:ext>
              </a:extLst>
            </xdr:cNvPr>
            <xdr:cNvSpPr txBox="1">
              <a:spLocks/>
            </xdr:cNvSpPr>
          </xdr:nvSpPr>
          <xdr:spPr>
            <a:xfrm>
              <a:off x="191338" y="12453328"/>
              <a:ext cx="2027222" cy="3510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US" sz="1100" b="0" i="1">
                            <a:solidFill>
                              <a:srgbClr val="000000"/>
                            </a:solidFill>
                            <a:latin typeface="Cambria Math" panose="02040503050406030204" pitchFamily="18" charset="0"/>
                          </a:rPr>
                        </m:ctrlPr>
                      </m:sSubPr>
                      <m:e>
                        <m:r>
                          <a:rPr lang="en-US" sz="1100" b="0" i="1">
                            <a:solidFill>
                              <a:srgbClr val="000000"/>
                            </a:solidFill>
                            <a:latin typeface="Cambria Math" panose="02040503050406030204" pitchFamily="18" charset="0"/>
                          </a:rPr>
                          <m:t>𝐹𝑎𝑛</m:t>
                        </m:r>
                        <m:r>
                          <a:rPr lang="en-US" sz="1100" b="0" i="1">
                            <a:solidFill>
                              <a:srgbClr val="000000"/>
                            </a:solidFill>
                            <a:latin typeface="Cambria Math" panose="02040503050406030204" pitchFamily="18" charset="0"/>
                          </a:rPr>
                          <m:t> </m:t>
                        </m:r>
                        <m:r>
                          <a:rPr lang="en-US" sz="1100" b="0" i="1">
                            <a:solidFill>
                              <a:srgbClr val="000000"/>
                            </a:solidFill>
                            <a:latin typeface="Cambria Math" panose="02040503050406030204" pitchFamily="18" charset="0"/>
                          </a:rPr>
                          <m:t>𝑝𝑜𝑤𝑒𝑟</m:t>
                        </m:r>
                      </m:e>
                      <m:sub>
                        <m:r>
                          <a:rPr lang="en-US" sz="1100" b="0" i="1">
                            <a:solidFill>
                              <a:srgbClr val="000000"/>
                            </a:solidFill>
                            <a:latin typeface="Cambria Math" panose="02040503050406030204" pitchFamily="18" charset="0"/>
                          </a:rPr>
                          <m:t>𝑤</m:t>
                        </m:r>
                        <m:r>
                          <a:rPr lang="en-US" sz="1100" b="0" i="1">
                            <a:solidFill>
                              <a:srgbClr val="000000"/>
                            </a:solidFill>
                            <a:latin typeface="Cambria Math" panose="02040503050406030204" pitchFamily="18" charset="0"/>
                          </a:rPr>
                          <m:t>/</m:t>
                        </m:r>
                        <m:r>
                          <a:rPr lang="en-US" sz="1100" b="0" i="1">
                            <a:solidFill>
                              <a:srgbClr val="000000"/>
                            </a:solidFill>
                            <a:latin typeface="Cambria Math" panose="02040503050406030204" pitchFamily="18" charset="0"/>
                          </a:rPr>
                          <m:t>𝑐𝑓𝑚</m:t>
                        </m:r>
                      </m:sub>
                    </m:sSub>
                    <m:r>
                      <a:rPr lang="en-US" sz="1100" b="0" i="1">
                        <a:solidFill>
                          <a:srgbClr val="000000"/>
                        </a:solidFill>
                        <a:latin typeface="Cambria Math" panose="02040503050406030204" pitchFamily="18" charset="0"/>
                      </a:rPr>
                      <m:t>=</m:t>
                    </m:r>
                    <m:f>
                      <m:fPr>
                        <m:ctrlPr>
                          <a:rPr lang="en-US" sz="1100" b="0" i="1">
                            <a:solidFill>
                              <a:srgbClr val="000000"/>
                            </a:solidFill>
                            <a:latin typeface="Cambria Math" panose="02040503050406030204" pitchFamily="18" charset="0"/>
                          </a:rPr>
                        </m:ctrlPr>
                      </m:fPr>
                      <m:num>
                        <m:r>
                          <a:rPr lang="en-US" sz="1100" b="0" i="1">
                            <a:solidFill>
                              <a:srgbClr val="000000"/>
                            </a:solidFill>
                            <a:latin typeface="Cambria Math" panose="02040503050406030204" pitchFamily="18" charset="0"/>
                          </a:rPr>
                          <m:t>𝑏ℎ𝑝</m:t>
                        </m:r>
                        <m:r>
                          <a:rPr lang="en-US" sz="1100" b="0" i="1">
                            <a:solidFill>
                              <a:srgbClr val="000000"/>
                            </a:solidFill>
                            <a:latin typeface="Cambria Math" panose="02040503050406030204" pitchFamily="18" charset="0"/>
                          </a:rPr>
                          <m:t>∗746</m:t>
                        </m:r>
                      </m:num>
                      <m:den>
                        <m:r>
                          <a:rPr lang="en-US" sz="1100" b="0" i="1">
                            <a:solidFill>
                              <a:srgbClr val="000000"/>
                            </a:solidFill>
                            <a:latin typeface="Cambria Math" panose="02040503050406030204" pitchFamily="18" charset="0"/>
                          </a:rPr>
                          <m:t>𝑐𝑓𝑚</m:t>
                        </m:r>
                        <m:r>
                          <a:rPr lang="en-US" sz="1100" b="0" i="1">
                            <a:solidFill>
                              <a:srgbClr val="000000"/>
                            </a:solidFill>
                            <a:latin typeface="Cambria Math" panose="02040503050406030204" pitchFamily="18" charset="0"/>
                          </a:rPr>
                          <m:t>∗</m:t>
                        </m:r>
                        <m:sSub>
                          <m:sSubPr>
                            <m:ctrlPr>
                              <a:rPr lang="en-US" sz="1100" b="0" i="1">
                                <a:solidFill>
                                  <a:srgbClr val="000000"/>
                                </a:solidFill>
                                <a:latin typeface="Cambria Math" panose="02040503050406030204" pitchFamily="18" charset="0"/>
                                <a:ea typeface="Cambria Math" panose="02040503050406030204" pitchFamily="18" charset="0"/>
                              </a:rPr>
                            </m:ctrlPr>
                          </m:sSubPr>
                          <m:e>
                            <m:r>
                              <a:rPr lang="en-US" sz="1100" b="0" i="1">
                                <a:solidFill>
                                  <a:srgbClr val="000000"/>
                                </a:solidFill>
                                <a:latin typeface="Cambria Math" panose="02040503050406030204" pitchFamily="18" charset="0"/>
                                <a:ea typeface="Cambria Math" panose="02040503050406030204" pitchFamily="18" charset="0"/>
                              </a:rPr>
                              <m:t>𝜇</m:t>
                            </m:r>
                          </m:e>
                          <m:sub>
                            <m:r>
                              <a:rPr lang="en-US" sz="1100" b="0" i="1">
                                <a:solidFill>
                                  <a:srgbClr val="000000"/>
                                </a:solidFill>
                                <a:latin typeface="Cambria Math" panose="02040503050406030204" pitchFamily="18" charset="0"/>
                              </a:rPr>
                              <m:t>𝑚𝑜𝑡𝑜𝑟</m:t>
                            </m:r>
                          </m:sub>
                        </m:sSub>
                      </m:den>
                    </m:f>
                  </m:oMath>
                </m:oMathPara>
              </a14:m>
              <a:endParaRPr lang="en-US" sz="1100">
                <a:solidFill>
                  <a:srgbClr val="000000"/>
                </a:solidFill>
              </a:endParaRPr>
            </a:p>
          </xdr:txBody>
        </xdr:sp>
      </mc:Choice>
      <mc:Fallback xmlns="">
        <xdr:sp macro="" textlink="">
          <xdr:nvSpPr>
            <xdr:cNvPr id="15" name="TextBox 14">
              <a:extLst>
                <a:ext uri="{FF2B5EF4-FFF2-40B4-BE49-F238E27FC236}">
                  <a16:creationId xmlns:a16="http://schemas.microsoft.com/office/drawing/2014/main" id="{35DDF92A-0673-4026-BFC3-1314CFDBB529}"/>
                </a:ext>
              </a:extLst>
            </xdr:cNvPr>
            <xdr:cNvSpPr txBox="1">
              <a:spLocks/>
            </xdr:cNvSpPr>
          </xdr:nvSpPr>
          <xdr:spPr>
            <a:xfrm>
              <a:off x="191338" y="12453328"/>
              <a:ext cx="2027222" cy="3510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0" i="0">
                  <a:solidFill>
                    <a:srgbClr val="000000"/>
                  </a:solidFill>
                  <a:latin typeface="Cambria Math" panose="02040503050406030204" pitchFamily="18" charset="0"/>
                </a:rPr>
                <a:t>〖𝐹𝑎𝑛 𝑝𝑜𝑤𝑒𝑟〗_(𝑤/𝑐𝑓𝑚)=(𝑏ℎ𝑝∗746)/(𝑐𝑓𝑚∗</a:t>
              </a:r>
              <a:r>
                <a:rPr lang="en-US" sz="1100" b="0" i="0">
                  <a:solidFill>
                    <a:srgbClr val="000000"/>
                  </a:solidFill>
                  <a:latin typeface="Cambria Math" panose="02040503050406030204" pitchFamily="18" charset="0"/>
                  <a:ea typeface="Cambria Math" panose="02040503050406030204" pitchFamily="18" charset="0"/>
                </a:rPr>
                <a:t>𝜇_</a:t>
              </a:r>
              <a:r>
                <a:rPr lang="en-US" sz="1100" b="0" i="0">
                  <a:solidFill>
                    <a:srgbClr val="000000"/>
                  </a:solidFill>
                  <a:latin typeface="Cambria Math" panose="02040503050406030204" pitchFamily="18" charset="0"/>
                </a:rPr>
                <a:t>𝑚𝑜𝑡𝑜𝑟 )</a:t>
              </a:r>
              <a:endParaRPr lang="en-US" sz="1100">
                <a:solidFill>
                  <a:srgbClr val="000000"/>
                </a:solidFill>
              </a:endParaRPr>
            </a:p>
          </xdr:txBody>
        </xdr:sp>
      </mc:Fallback>
    </mc:AlternateContent>
    <xdr:clientData/>
  </xdr:oneCellAnchor>
  <xdr:oneCellAnchor>
    <xdr:from>
      <xdr:col>0</xdr:col>
      <xdr:colOff>185059</xdr:colOff>
      <xdr:row>36</xdr:row>
      <xdr:rowOff>126698</xdr:rowOff>
    </xdr:from>
    <xdr:ext cx="2360967" cy="328231"/>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5FB4097F-F5A0-4CDE-99DA-DD77000744EA}"/>
                </a:ext>
              </a:extLst>
            </xdr:cNvPr>
            <xdr:cNvSpPr txBox="1">
              <a:spLocks/>
            </xdr:cNvSpPr>
          </xdr:nvSpPr>
          <xdr:spPr>
            <a:xfrm>
              <a:off x="185059" y="13156898"/>
              <a:ext cx="2360967" cy="3282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US" sz="1100" b="0" i="1">
                        <a:solidFill>
                          <a:srgbClr val="000000"/>
                        </a:solidFill>
                        <a:latin typeface="Cambria Math" panose="02040503050406030204" pitchFamily="18" charset="0"/>
                      </a:rPr>
                      <m:t>𝑏ℎ𝑝</m:t>
                    </m:r>
                    <m:r>
                      <a:rPr lang="en-US" sz="1100" b="0" i="1">
                        <a:solidFill>
                          <a:srgbClr val="000000"/>
                        </a:solidFill>
                        <a:latin typeface="Cambria Math" panose="02040503050406030204" pitchFamily="18" charset="0"/>
                      </a:rPr>
                      <m:t>=</m:t>
                    </m:r>
                    <m:f>
                      <m:fPr>
                        <m:ctrlPr>
                          <a:rPr lang="en-US" sz="1100" b="0" i="1">
                            <a:solidFill>
                              <a:srgbClr val="000000"/>
                            </a:solidFill>
                            <a:effectLst/>
                            <a:latin typeface="Cambria Math" panose="02040503050406030204" pitchFamily="18" charset="0"/>
                            <a:ea typeface="+mn-ea"/>
                            <a:cs typeface="+mn-cs"/>
                          </a:rPr>
                        </m:ctrlPr>
                      </m:fPr>
                      <m:num>
                        <m:sSub>
                          <m:sSubPr>
                            <m:ctrlPr>
                              <a:rPr lang="en-US" sz="1100" b="0" i="1">
                                <a:solidFill>
                                  <a:srgbClr val="000000"/>
                                </a:solidFill>
                                <a:effectLst/>
                                <a:latin typeface="Cambria Math" panose="02040503050406030204" pitchFamily="18" charset="0"/>
                                <a:ea typeface="+mn-ea"/>
                                <a:cs typeface="+mn-cs"/>
                              </a:rPr>
                            </m:ctrlPr>
                          </m:sSubPr>
                          <m:e>
                            <m:r>
                              <a:rPr lang="en-US" sz="1100" b="0" i="1">
                                <a:solidFill>
                                  <a:srgbClr val="000000"/>
                                </a:solidFill>
                                <a:effectLst/>
                                <a:latin typeface="Cambria Math" panose="02040503050406030204" pitchFamily="18" charset="0"/>
                                <a:ea typeface="+mn-ea"/>
                                <a:cs typeface="+mn-cs"/>
                              </a:rPr>
                              <m:t>𝐹𝑎𝑛</m:t>
                            </m:r>
                            <m:r>
                              <a:rPr lang="en-US" sz="1100" b="0" i="1">
                                <a:solidFill>
                                  <a:srgbClr val="000000"/>
                                </a:solidFill>
                                <a:effectLst/>
                                <a:latin typeface="Cambria Math" panose="02040503050406030204" pitchFamily="18" charset="0"/>
                                <a:ea typeface="+mn-ea"/>
                                <a:cs typeface="+mn-cs"/>
                              </a:rPr>
                              <m:t> </m:t>
                            </m:r>
                            <m:r>
                              <a:rPr lang="en-US" sz="1100" b="0" i="1">
                                <a:solidFill>
                                  <a:srgbClr val="000000"/>
                                </a:solidFill>
                                <a:effectLst/>
                                <a:latin typeface="Cambria Math" panose="02040503050406030204" pitchFamily="18" charset="0"/>
                                <a:ea typeface="+mn-ea"/>
                                <a:cs typeface="+mn-cs"/>
                              </a:rPr>
                              <m:t>𝑝𝑜𝑤𝑒𝑟</m:t>
                            </m:r>
                          </m:e>
                          <m:sub>
                            <m:r>
                              <a:rPr lang="en-US" sz="1100" b="0" i="1">
                                <a:solidFill>
                                  <a:srgbClr val="000000"/>
                                </a:solidFill>
                                <a:effectLst/>
                                <a:latin typeface="Cambria Math" panose="02040503050406030204" pitchFamily="18" charset="0"/>
                                <a:ea typeface="+mn-ea"/>
                                <a:cs typeface="+mn-cs"/>
                              </a:rPr>
                              <m:t>𝑤</m:t>
                            </m:r>
                            <m:r>
                              <a:rPr lang="en-US" sz="1100" b="0" i="1">
                                <a:solidFill>
                                  <a:srgbClr val="000000"/>
                                </a:solidFill>
                                <a:effectLst/>
                                <a:latin typeface="Cambria Math" panose="02040503050406030204" pitchFamily="18" charset="0"/>
                                <a:ea typeface="+mn-ea"/>
                                <a:cs typeface="+mn-cs"/>
                              </a:rPr>
                              <m:t>/</m:t>
                            </m:r>
                            <m:r>
                              <a:rPr lang="en-US" sz="1100" b="0" i="1">
                                <a:solidFill>
                                  <a:srgbClr val="000000"/>
                                </a:solidFill>
                                <a:effectLst/>
                                <a:latin typeface="Cambria Math" panose="02040503050406030204" pitchFamily="18" charset="0"/>
                                <a:ea typeface="+mn-ea"/>
                                <a:cs typeface="+mn-cs"/>
                              </a:rPr>
                              <m:t>𝑐𝑓𝑚</m:t>
                            </m:r>
                          </m:sub>
                        </m:sSub>
                        <m:r>
                          <a:rPr lang="en-US" sz="1100" b="0" i="1">
                            <a:solidFill>
                              <a:srgbClr val="000000"/>
                            </a:solidFill>
                            <a:effectLst/>
                            <a:latin typeface="Cambria Math" panose="02040503050406030204" pitchFamily="18" charset="0"/>
                            <a:ea typeface="+mn-ea"/>
                            <a:cs typeface="+mn-cs"/>
                          </a:rPr>
                          <m:t>∗</m:t>
                        </m:r>
                        <m:r>
                          <a:rPr lang="en-US" sz="1100" b="0" i="1">
                            <a:solidFill>
                              <a:srgbClr val="000000"/>
                            </a:solidFill>
                            <a:effectLst/>
                            <a:latin typeface="Cambria Math" panose="02040503050406030204" pitchFamily="18" charset="0"/>
                            <a:ea typeface="+mn-ea"/>
                            <a:cs typeface="+mn-cs"/>
                          </a:rPr>
                          <m:t>𝑐𝑓𝑚</m:t>
                        </m:r>
                        <m:r>
                          <a:rPr lang="en-US" sz="1100" b="0" i="1">
                            <a:solidFill>
                              <a:srgbClr val="000000"/>
                            </a:solidFill>
                            <a:effectLst/>
                            <a:latin typeface="Cambria Math" panose="02040503050406030204" pitchFamily="18" charset="0"/>
                            <a:ea typeface="+mn-ea"/>
                            <a:cs typeface="+mn-cs"/>
                          </a:rPr>
                          <m:t>∗</m:t>
                        </m:r>
                        <m:sSub>
                          <m:sSubPr>
                            <m:ctrlPr>
                              <a:rPr lang="en-US" sz="1100" b="0" i="1">
                                <a:solidFill>
                                  <a:srgbClr val="000000"/>
                                </a:solidFill>
                                <a:effectLst/>
                                <a:latin typeface="Cambria Math" panose="02040503050406030204" pitchFamily="18" charset="0"/>
                                <a:ea typeface="+mn-ea"/>
                                <a:cs typeface="+mn-cs"/>
                              </a:rPr>
                            </m:ctrlPr>
                          </m:sSubPr>
                          <m:e>
                            <m:r>
                              <a:rPr lang="en-US" sz="1100" b="0" i="1">
                                <a:solidFill>
                                  <a:srgbClr val="000000"/>
                                </a:solidFill>
                                <a:effectLst/>
                                <a:latin typeface="Cambria Math" panose="02040503050406030204" pitchFamily="18" charset="0"/>
                                <a:ea typeface="+mn-ea"/>
                                <a:cs typeface="+mn-cs"/>
                              </a:rPr>
                              <m:t>𝜇</m:t>
                            </m:r>
                          </m:e>
                          <m:sub>
                            <m:r>
                              <a:rPr lang="en-US" sz="1100" b="0" i="1">
                                <a:solidFill>
                                  <a:srgbClr val="000000"/>
                                </a:solidFill>
                                <a:effectLst/>
                                <a:latin typeface="Cambria Math" panose="02040503050406030204" pitchFamily="18" charset="0"/>
                                <a:ea typeface="+mn-ea"/>
                                <a:cs typeface="+mn-cs"/>
                              </a:rPr>
                              <m:t>𝑚𝑜𝑡𝑜𝑟</m:t>
                            </m:r>
                          </m:sub>
                        </m:sSub>
                      </m:num>
                      <m:den>
                        <m:r>
                          <a:rPr lang="en-US" sz="1100" b="0" i="1">
                            <a:solidFill>
                              <a:srgbClr val="000000"/>
                            </a:solidFill>
                            <a:effectLst/>
                            <a:latin typeface="Cambria Math" panose="02040503050406030204" pitchFamily="18" charset="0"/>
                            <a:ea typeface="+mn-ea"/>
                            <a:cs typeface="+mn-cs"/>
                          </a:rPr>
                          <m:t>746</m:t>
                        </m:r>
                      </m:den>
                    </m:f>
                  </m:oMath>
                </m:oMathPara>
              </a14:m>
              <a:endParaRPr lang="en-US" sz="1100">
                <a:solidFill>
                  <a:srgbClr val="000000"/>
                </a:solidFill>
              </a:endParaRPr>
            </a:p>
          </xdr:txBody>
        </xdr:sp>
      </mc:Choice>
      <mc:Fallback xmlns="">
        <xdr:sp macro="" textlink="">
          <xdr:nvSpPr>
            <xdr:cNvPr id="16" name="TextBox 15">
              <a:extLst>
                <a:ext uri="{FF2B5EF4-FFF2-40B4-BE49-F238E27FC236}">
                  <a16:creationId xmlns:a16="http://schemas.microsoft.com/office/drawing/2014/main" id="{5FB4097F-F5A0-4CDE-99DA-DD77000744EA}"/>
                </a:ext>
              </a:extLst>
            </xdr:cNvPr>
            <xdr:cNvSpPr txBox="1">
              <a:spLocks/>
            </xdr:cNvSpPr>
          </xdr:nvSpPr>
          <xdr:spPr>
            <a:xfrm>
              <a:off x="185059" y="13156898"/>
              <a:ext cx="2360967" cy="3282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0" i="0">
                  <a:solidFill>
                    <a:srgbClr val="000000"/>
                  </a:solidFill>
                  <a:latin typeface="Cambria Math" panose="02040503050406030204" pitchFamily="18" charset="0"/>
                </a:rPr>
                <a:t>𝑏ℎ𝑝=</a:t>
              </a:r>
              <a:r>
                <a:rPr lang="en-US" sz="1100" b="0" i="0">
                  <a:solidFill>
                    <a:srgbClr val="000000"/>
                  </a:solidFill>
                  <a:effectLst/>
                  <a:latin typeface="Cambria Math" panose="02040503050406030204" pitchFamily="18" charset="0"/>
                  <a:ea typeface="+mn-ea"/>
                  <a:cs typeface="+mn-cs"/>
                </a:rPr>
                <a:t>(〖𝐹𝑎𝑛 𝑝𝑜𝑤𝑒𝑟〗_(𝑤/𝑐𝑓𝑚)∗𝑐𝑓𝑚∗𝜇_𝑚𝑜𝑡𝑜𝑟)/746</a:t>
              </a:r>
              <a:endParaRPr lang="en-US" sz="1100">
                <a:solidFill>
                  <a:srgbClr val="000000"/>
                </a:solidFill>
              </a:endParaRPr>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twoCellAnchor>
    <xdr:from>
      <xdr:col>29</xdr:col>
      <xdr:colOff>289560</xdr:colOff>
      <xdr:row>1</xdr:row>
      <xdr:rowOff>251791</xdr:rowOff>
    </xdr:from>
    <xdr:to>
      <xdr:col>36</xdr:col>
      <xdr:colOff>0</xdr:colOff>
      <xdr:row>5</xdr:row>
      <xdr:rowOff>364434</xdr:rowOff>
    </xdr:to>
    <xdr:graphicFrame macro="">
      <xdr:nvGraphicFramePr>
        <xdr:cNvPr id="15" name="Chart 5">
          <a:extLst>
            <a:ext uri="{FF2B5EF4-FFF2-40B4-BE49-F238E27FC236}">
              <a16:creationId xmlns:a16="http://schemas.microsoft.com/office/drawing/2014/main" id="{CBDA0656-8164-4FA8-8BE7-79F7FE5F5FB7}"/>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29</xdr:col>
      <xdr:colOff>289560</xdr:colOff>
      <xdr:row>6</xdr:row>
      <xdr:rowOff>0</xdr:rowOff>
    </xdr:from>
    <xdr:to>
      <xdr:col>36</xdr:col>
      <xdr:colOff>0</xdr:colOff>
      <xdr:row>8</xdr:row>
      <xdr:rowOff>391886</xdr:rowOff>
    </xdr:to>
    <xdr:graphicFrame macro="">
      <xdr:nvGraphicFramePr>
        <xdr:cNvPr id="16" name="Chart 5">
          <a:extLst>
            <a:ext uri="{FF2B5EF4-FFF2-40B4-BE49-F238E27FC236}">
              <a16:creationId xmlns:a16="http://schemas.microsoft.com/office/drawing/2014/main" id="{D1C87CF7-6396-404E-8ACD-112AC14A41DC}"/>
            </a:ext>
            <a:ext uri="{147F2762-F138-4A5C-976F-8EAC2B608ADB}">
              <a16:predDERef xmlns:a16="http://schemas.microsoft.com/office/drawing/2014/main" pred="{CBDA0656-8164-4FA8-8BE7-79F7FE5F5F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315686</xdr:colOff>
      <xdr:row>9</xdr:row>
      <xdr:rowOff>0</xdr:rowOff>
    </xdr:from>
    <xdr:to>
      <xdr:col>36</xdr:col>
      <xdr:colOff>26126</xdr:colOff>
      <xdr:row>12</xdr:row>
      <xdr:rowOff>0</xdr:rowOff>
    </xdr:to>
    <xdr:graphicFrame macro="">
      <xdr:nvGraphicFramePr>
        <xdr:cNvPr id="17" name="Chart 5">
          <a:extLst>
            <a:ext uri="{FF2B5EF4-FFF2-40B4-BE49-F238E27FC236}">
              <a16:creationId xmlns:a16="http://schemas.microsoft.com/office/drawing/2014/main" id="{6467D4B0-6F0E-43CB-958A-F19CE6AFCF64}"/>
            </a:ext>
            <a:ext uri="{147F2762-F138-4A5C-976F-8EAC2B608ADB}">
              <a16:predDERef xmlns:a16="http://schemas.microsoft.com/office/drawing/2014/main" pred="{D1C87CF7-6396-404E-8ACD-112AC14A41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326572</xdr:colOff>
      <xdr:row>12</xdr:row>
      <xdr:rowOff>0</xdr:rowOff>
    </xdr:from>
    <xdr:to>
      <xdr:col>36</xdr:col>
      <xdr:colOff>37012</xdr:colOff>
      <xdr:row>14</xdr:row>
      <xdr:rowOff>340659</xdr:rowOff>
    </xdr:to>
    <xdr:graphicFrame macro="">
      <xdr:nvGraphicFramePr>
        <xdr:cNvPr id="20" name="Chart 5">
          <a:extLst>
            <a:ext uri="{FF2B5EF4-FFF2-40B4-BE49-F238E27FC236}">
              <a16:creationId xmlns:a16="http://schemas.microsoft.com/office/drawing/2014/main" id="{A67B757E-11F2-4D63-8049-87A030D08F47}"/>
            </a:ext>
            <a:ext uri="{147F2762-F138-4A5C-976F-8EAC2B608ADB}">
              <a16:predDERef xmlns:a16="http://schemas.microsoft.com/office/drawing/2014/main" pred="{6467D4B0-6F0E-43CB-958A-F19CE6AFCF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29</xdr:col>
      <xdr:colOff>289560</xdr:colOff>
      <xdr:row>77</xdr:row>
      <xdr:rowOff>4082</xdr:rowOff>
    </xdr:from>
    <xdr:to>
      <xdr:col>36</xdr:col>
      <xdr:colOff>0</xdr:colOff>
      <xdr:row>80</xdr:row>
      <xdr:rowOff>0</xdr:rowOff>
    </xdr:to>
    <xdr:graphicFrame macro="">
      <xdr:nvGraphicFramePr>
        <xdr:cNvPr id="21" name="Chart 5">
          <a:extLst>
            <a:ext uri="{FF2B5EF4-FFF2-40B4-BE49-F238E27FC236}">
              <a16:creationId xmlns:a16="http://schemas.microsoft.com/office/drawing/2014/main" id="{2E6CA2C7-E4AB-4DC1-A50A-FEBB0B9CA814}"/>
            </a:ext>
            <a:ext uri="{147F2762-F138-4A5C-976F-8EAC2B608ADB}">
              <a16:predDERef xmlns:a16="http://schemas.microsoft.com/office/drawing/2014/main" pred="{A67B757E-11F2-4D63-8049-87A030D08F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29</xdr:col>
      <xdr:colOff>289560</xdr:colOff>
      <xdr:row>80</xdr:row>
      <xdr:rowOff>130629</xdr:rowOff>
    </xdr:from>
    <xdr:to>
      <xdr:col>36</xdr:col>
      <xdr:colOff>0</xdr:colOff>
      <xdr:row>83</xdr:row>
      <xdr:rowOff>44824</xdr:rowOff>
    </xdr:to>
    <xdr:graphicFrame macro="">
      <xdr:nvGraphicFramePr>
        <xdr:cNvPr id="24" name="Chart 5">
          <a:extLst>
            <a:ext uri="{FF2B5EF4-FFF2-40B4-BE49-F238E27FC236}">
              <a16:creationId xmlns:a16="http://schemas.microsoft.com/office/drawing/2014/main" id="{43375B62-1004-4C9E-9CB5-ED0EF57BA9C1}"/>
            </a:ext>
            <a:ext uri="{147F2762-F138-4A5C-976F-8EAC2B608ADB}">
              <a16:predDERef xmlns:a16="http://schemas.microsoft.com/office/drawing/2014/main" pred="{2E6CA2C7-E4AB-4DC1-A50A-FEBB0B9CA8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29</xdr:col>
      <xdr:colOff>291465</xdr:colOff>
      <xdr:row>67</xdr:row>
      <xdr:rowOff>97267</xdr:rowOff>
    </xdr:from>
    <xdr:to>
      <xdr:col>36</xdr:col>
      <xdr:colOff>0</xdr:colOff>
      <xdr:row>71</xdr:row>
      <xdr:rowOff>0</xdr:rowOff>
    </xdr:to>
    <xdr:graphicFrame macro="">
      <xdr:nvGraphicFramePr>
        <xdr:cNvPr id="3" name="Chart 5">
          <a:extLst>
            <a:ext uri="{FF2B5EF4-FFF2-40B4-BE49-F238E27FC236}">
              <a16:creationId xmlns:a16="http://schemas.microsoft.com/office/drawing/2014/main" id="{5A999577-F135-454E-AC54-3B86805F4DDA}"/>
            </a:ext>
            <a:ext uri="{147F2762-F138-4A5C-976F-8EAC2B608ADB}">
              <a16:predDERef xmlns:a16="http://schemas.microsoft.com/office/drawing/2014/main" pred="{43375B62-1004-4C9E-9CB5-ED0EF57BA9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29</xdr:col>
      <xdr:colOff>289560</xdr:colOff>
      <xdr:row>15</xdr:row>
      <xdr:rowOff>4082</xdr:rowOff>
    </xdr:from>
    <xdr:to>
      <xdr:col>36</xdr:col>
      <xdr:colOff>0</xdr:colOff>
      <xdr:row>18</xdr:row>
      <xdr:rowOff>0</xdr:rowOff>
    </xdr:to>
    <xdr:graphicFrame macro="">
      <xdr:nvGraphicFramePr>
        <xdr:cNvPr id="2" name="Chart 5">
          <a:extLst>
            <a:ext uri="{FF2B5EF4-FFF2-40B4-BE49-F238E27FC236}">
              <a16:creationId xmlns:a16="http://schemas.microsoft.com/office/drawing/2014/main" id="{4382029B-06B2-4E52-850E-3699133A7B48}"/>
            </a:ext>
            <a:ext uri="{147F2762-F138-4A5C-976F-8EAC2B608ADB}">
              <a16:predDERef xmlns:a16="http://schemas.microsoft.com/office/drawing/2014/main" pred="{5A999577-F135-454E-AC54-3B86805F4D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29</xdr:col>
      <xdr:colOff>280595</xdr:colOff>
      <xdr:row>18</xdr:row>
      <xdr:rowOff>76840</xdr:rowOff>
    </xdr:from>
    <xdr:to>
      <xdr:col>35</xdr:col>
      <xdr:colOff>627529</xdr:colOff>
      <xdr:row>20</xdr:row>
      <xdr:rowOff>493058</xdr:rowOff>
    </xdr:to>
    <xdr:graphicFrame macro="">
      <xdr:nvGraphicFramePr>
        <xdr:cNvPr id="4" name="Chart 5">
          <a:extLst>
            <a:ext uri="{FF2B5EF4-FFF2-40B4-BE49-F238E27FC236}">
              <a16:creationId xmlns:a16="http://schemas.microsoft.com/office/drawing/2014/main" id="{7F6B4DA5-E103-4AB8-96C6-1AF7A04E5100}"/>
            </a:ext>
            <a:ext uri="{147F2762-F138-4A5C-976F-8EAC2B608ADB}">
              <a16:predDERef xmlns:a16="http://schemas.microsoft.com/office/drawing/2014/main" pred="{4382029B-06B2-4E52-850E-3699133A7B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29</xdr:col>
      <xdr:colOff>277906</xdr:colOff>
      <xdr:row>71</xdr:row>
      <xdr:rowOff>116541</xdr:rowOff>
    </xdr:from>
    <xdr:to>
      <xdr:col>35</xdr:col>
      <xdr:colOff>624840</xdr:colOff>
      <xdr:row>76</xdr:row>
      <xdr:rowOff>65315</xdr:rowOff>
    </xdr:to>
    <xdr:graphicFrame macro="">
      <xdr:nvGraphicFramePr>
        <xdr:cNvPr id="5" name="Chart 5">
          <a:extLst>
            <a:ext uri="{FF2B5EF4-FFF2-40B4-BE49-F238E27FC236}">
              <a16:creationId xmlns:a16="http://schemas.microsoft.com/office/drawing/2014/main" id="{1C1B4C1B-184C-47A9-BEBB-E7DB1B281831}"/>
            </a:ext>
            <a:ext uri="{147F2762-F138-4A5C-976F-8EAC2B608ADB}">
              <a16:predDERef xmlns:a16="http://schemas.microsoft.com/office/drawing/2014/main" pred="{7F6B4DA5-E103-4AB8-96C6-1AF7A04E51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29</xdr:col>
      <xdr:colOff>266829</xdr:colOff>
      <xdr:row>21</xdr:row>
      <xdr:rowOff>62592</xdr:rowOff>
    </xdr:from>
    <xdr:to>
      <xdr:col>35</xdr:col>
      <xdr:colOff>585988</xdr:colOff>
      <xdr:row>23</xdr:row>
      <xdr:rowOff>389660</xdr:rowOff>
    </xdr:to>
    <xdr:graphicFrame macro="">
      <xdr:nvGraphicFramePr>
        <xdr:cNvPr id="29" name="Chart 5">
          <a:extLst>
            <a:ext uri="{FF2B5EF4-FFF2-40B4-BE49-F238E27FC236}">
              <a16:creationId xmlns:a16="http://schemas.microsoft.com/office/drawing/2014/main" id="{8AF934C7-F5A2-45DC-B845-5E5DDF13F290}"/>
            </a:ext>
            <a:ext uri="{147F2762-F138-4A5C-976F-8EAC2B608ADB}">
              <a16:predDERef xmlns:a16="http://schemas.microsoft.com/office/drawing/2014/main" pred="{1C1B4C1B-184C-47A9-BEBB-E7DB1B2818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29</xdr:col>
      <xdr:colOff>260186</xdr:colOff>
      <xdr:row>24</xdr:row>
      <xdr:rowOff>34881</xdr:rowOff>
    </xdr:from>
    <xdr:to>
      <xdr:col>35</xdr:col>
      <xdr:colOff>573630</xdr:colOff>
      <xdr:row>26</xdr:row>
      <xdr:rowOff>408486</xdr:rowOff>
    </xdr:to>
    <xdr:graphicFrame macro="">
      <xdr:nvGraphicFramePr>
        <xdr:cNvPr id="30" name="Chart 5">
          <a:extLst>
            <a:ext uri="{FF2B5EF4-FFF2-40B4-BE49-F238E27FC236}">
              <a16:creationId xmlns:a16="http://schemas.microsoft.com/office/drawing/2014/main" id="{B4AFF112-3A24-40AC-862B-C319F0876B31}"/>
            </a:ext>
            <a:ext uri="{147F2762-F138-4A5C-976F-8EAC2B608ADB}">
              <a16:predDERef xmlns:a16="http://schemas.microsoft.com/office/drawing/2014/main" pred="{8AF934C7-F5A2-45DC-B845-5E5DDF13F2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29</xdr:col>
      <xdr:colOff>394447</xdr:colOff>
      <xdr:row>92</xdr:row>
      <xdr:rowOff>0</xdr:rowOff>
    </xdr:from>
    <xdr:to>
      <xdr:col>36</xdr:col>
      <xdr:colOff>71396</xdr:colOff>
      <xdr:row>95</xdr:row>
      <xdr:rowOff>70150</xdr:rowOff>
    </xdr:to>
    <xdr:graphicFrame macro="">
      <xdr:nvGraphicFramePr>
        <xdr:cNvPr id="11" name="Chart 5">
          <a:extLst>
            <a:ext uri="{FF2B5EF4-FFF2-40B4-BE49-F238E27FC236}">
              <a16:creationId xmlns:a16="http://schemas.microsoft.com/office/drawing/2014/main" id="{60916F99-EA4B-4A4B-9B3E-1EBF59A05CD1}"/>
            </a:ext>
            <a:ext uri="{147F2762-F138-4A5C-976F-8EAC2B608ADB}">
              <a16:predDERef xmlns:a16="http://schemas.microsoft.com/office/drawing/2014/main" pred="{B4AFF112-3A24-40AC-862B-C319F0876B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29</xdr:col>
      <xdr:colOff>412376</xdr:colOff>
      <xdr:row>95</xdr:row>
      <xdr:rowOff>143435</xdr:rowOff>
    </xdr:from>
    <xdr:to>
      <xdr:col>36</xdr:col>
      <xdr:colOff>89325</xdr:colOff>
      <xdr:row>99</xdr:row>
      <xdr:rowOff>70150</xdr:rowOff>
    </xdr:to>
    <xdr:graphicFrame macro="">
      <xdr:nvGraphicFramePr>
        <xdr:cNvPr id="12" name="Chart 5">
          <a:extLst>
            <a:ext uri="{FF2B5EF4-FFF2-40B4-BE49-F238E27FC236}">
              <a16:creationId xmlns:a16="http://schemas.microsoft.com/office/drawing/2014/main" id="{FB4AFD6A-616F-4E6A-BDCE-E792F10760C2}"/>
            </a:ext>
            <a:ext uri="{147F2762-F138-4A5C-976F-8EAC2B608ADB}">
              <a16:predDERef xmlns:a16="http://schemas.microsoft.com/office/drawing/2014/main" pred="{60916F99-EA4B-4A4B-9B3E-1EBF59A05C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29</xdr:col>
      <xdr:colOff>385483</xdr:colOff>
      <xdr:row>88</xdr:row>
      <xdr:rowOff>80682</xdr:rowOff>
    </xdr:from>
    <xdr:to>
      <xdr:col>36</xdr:col>
      <xdr:colOff>62432</xdr:colOff>
      <xdr:row>91</xdr:row>
      <xdr:rowOff>339091</xdr:rowOff>
    </xdr:to>
    <xdr:graphicFrame macro="">
      <xdr:nvGraphicFramePr>
        <xdr:cNvPr id="13" name="Chart 5">
          <a:extLst>
            <a:ext uri="{FF2B5EF4-FFF2-40B4-BE49-F238E27FC236}">
              <a16:creationId xmlns:a16="http://schemas.microsoft.com/office/drawing/2014/main" id="{645B17E5-3ED4-451E-88F9-0C7A4465CCBC}"/>
            </a:ext>
            <a:ext uri="{147F2762-F138-4A5C-976F-8EAC2B608ADB}">
              <a16:predDERef xmlns:a16="http://schemas.microsoft.com/office/drawing/2014/main" pred="{FB4AFD6A-616F-4E6A-BDCE-E792F10760C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23</xdr:col>
      <xdr:colOff>40005</xdr:colOff>
      <xdr:row>21</xdr:row>
      <xdr:rowOff>62865</xdr:rowOff>
    </xdr:from>
    <xdr:to>
      <xdr:col>39</xdr:col>
      <xdr:colOff>350746</xdr:colOff>
      <xdr:row>49</xdr:row>
      <xdr:rowOff>154193</xdr:rowOff>
    </xdr:to>
    <xdr:graphicFrame macro="">
      <xdr:nvGraphicFramePr>
        <xdr:cNvPr id="22" name="Chart 2">
          <a:extLst>
            <a:ext uri="{FF2B5EF4-FFF2-40B4-BE49-F238E27FC236}">
              <a16:creationId xmlns:a16="http://schemas.microsoft.com/office/drawing/2014/main" id="{75153CC8-472F-410A-8B5C-DAF5BBA7DE7D}"/>
            </a:ext>
            <a:ext uri="{147F2762-F138-4A5C-976F-8EAC2B608ADB}">
              <a16:predDERef xmlns:a16="http://schemas.microsoft.com/office/drawing/2014/main" pred="{946FD221-A1B5-4DAE-9525-51F88F9847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38100</xdr:colOff>
      <xdr:row>0</xdr:row>
      <xdr:rowOff>38100</xdr:rowOff>
    </xdr:from>
    <xdr:to>
      <xdr:col>39</xdr:col>
      <xdr:colOff>346936</xdr:colOff>
      <xdr:row>20</xdr:row>
      <xdr:rowOff>5603</xdr:rowOff>
    </xdr:to>
    <xdr:graphicFrame macro="">
      <xdr:nvGraphicFramePr>
        <xdr:cNvPr id="20" name="Chart 10">
          <a:extLst>
            <a:ext uri="{FF2B5EF4-FFF2-40B4-BE49-F238E27FC236}">
              <a16:creationId xmlns:a16="http://schemas.microsoft.com/office/drawing/2014/main" id="{2CB36677-A420-4E79-BBB5-4BF8B5099651}"/>
            </a:ext>
            <a:ext uri="{147F2762-F138-4A5C-976F-8EAC2B608ADB}">
              <a16:predDERef xmlns:a16="http://schemas.microsoft.com/office/drawing/2014/main" pred="{75153CC8-472F-410A-8B5C-DAF5BBA7DE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361117</xdr:colOff>
      <xdr:row>23</xdr:row>
      <xdr:rowOff>64379</xdr:rowOff>
    </xdr:from>
    <xdr:to>
      <xdr:col>9</xdr:col>
      <xdr:colOff>276225</xdr:colOff>
      <xdr:row>33</xdr:row>
      <xdr:rowOff>38100</xdr:rowOff>
    </xdr:to>
    <xdr:pic>
      <xdr:nvPicPr>
        <xdr:cNvPr id="2" name="Picture 1">
          <a:extLst>
            <a:ext uri="{FF2B5EF4-FFF2-40B4-BE49-F238E27FC236}">
              <a16:creationId xmlns:a16="http://schemas.microsoft.com/office/drawing/2014/main" id="{15DE42FE-DB82-CA33-93C9-98E617BB08AC}"/>
            </a:ext>
          </a:extLst>
        </xdr:cNvPr>
        <xdr:cNvPicPr>
          <a:picLocks noChangeAspect="1"/>
        </xdr:cNvPicPr>
      </xdr:nvPicPr>
      <xdr:blipFill>
        <a:blip xmlns:r="http://schemas.openxmlformats.org/officeDocument/2006/relationships" r:embed="rId1"/>
        <a:stretch>
          <a:fillRect/>
        </a:stretch>
      </xdr:blipFill>
      <xdr:spPr>
        <a:xfrm>
          <a:off x="361117" y="4245854"/>
          <a:ext cx="5401508" cy="1783471"/>
        </a:xfrm>
        <a:prstGeom prst="rect">
          <a:avLst/>
        </a:prstGeom>
      </xdr:spPr>
    </xdr:pic>
    <xdr:clientData/>
  </xdr:twoCellAnchor>
  <xdr:twoCellAnchor editAs="oneCell">
    <xdr:from>
      <xdr:col>0</xdr:col>
      <xdr:colOff>114300</xdr:colOff>
      <xdr:row>14</xdr:row>
      <xdr:rowOff>113328</xdr:rowOff>
    </xdr:from>
    <xdr:to>
      <xdr:col>10</xdr:col>
      <xdr:colOff>220980</xdr:colOff>
      <xdr:row>23</xdr:row>
      <xdr:rowOff>0</xdr:rowOff>
    </xdr:to>
    <xdr:pic>
      <xdr:nvPicPr>
        <xdr:cNvPr id="3" name="Picture 2">
          <a:extLst>
            <a:ext uri="{FF2B5EF4-FFF2-40B4-BE49-F238E27FC236}">
              <a16:creationId xmlns:a16="http://schemas.microsoft.com/office/drawing/2014/main" id="{C7999785-E4AD-A320-5B89-5FC85AE47E44}"/>
            </a:ext>
          </a:extLst>
        </xdr:cNvPr>
        <xdr:cNvPicPr>
          <a:picLocks noChangeAspect="1"/>
        </xdr:cNvPicPr>
      </xdr:nvPicPr>
      <xdr:blipFill>
        <a:blip xmlns:r="http://schemas.openxmlformats.org/officeDocument/2006/relationships" r:embed="rId2"/>
        <a:stretch>
          <a:fillRect/>
        </a:stretch>
      </xdr:blipFill>
      <xdr:spPr>
        <a:xfrm>
          <a:off x="114300" y="2688888"/>
          <a:ext cx="6202680" cy="1532592"/>
        </a:xfrm>
        <a:prstGeom prst="rect">
          <a:avLst/>
        </a:prstGeom>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pnnl.gov/main/publications/external/technical_reports/PNNL-20405.pdf" TargetMode="External"/><Relationship Id="rId13" Type="http://schemas.openxmlformats.org/officeDocument/2006/relationships/hyperlink" Target="https://www.ashrae.org/technical-resources/standards-and-guidelines/read-only-versions-of-ashrae-standards" TargetMode="External"/><Relationship Id="rId18" Type="http://schemas.openxmlformats.org/officeDocument/2006/relationships/hyperlink" Target="https://www.mass.gov/doc/small-office-prototype-basis-of-design-report/download" TargetMode="External"/><Relationship Id="rId26" Type="http://schemas.openxmlformats.org/officeDocument/2006/relationships/hyperlink" Target="https://www.energy.ca.gov/publications/2025/2025-building-energy-efficiency-standards-residential-and-nonresidential" TargetMode="External"/><Relationship Id="rId3" Type="http://schemas.openxmlformats.org/officeDocument/2006/relationships/hyperlink" Target="https://www.energycodes.gov/prototype-building-models" TargetMode="External"/><Relationship Id="rId21" Type="http://schemas.openxmlformats.org/officeDocument/2006/relationships/hyperlink" Target="https://www.energystar.gov/productfinder/product/certified-commercial-water-heaters/results?fuel_filter=Gas&amp;markets_filter=United+States" TargetMode="External"/><Relationship Id="rId7" Type="http://schemas.openxmlformats.org/officeDocument/2006/relationships/hyperlink" Target="https://www.energy.ca.gov/publications/2022/2022-nonresidential-and-multifamily-alternative-calculation-method-reference" TargetMode="External"/><Relationship Id="rId12" Type="http://schemas.openxmlformats.org/officeDocument/2006/relationships/hyperlink" Target="https://www.govinfo.gov/content/pkg/CFR-2024-title10-vol3/pdf/CFR-2024-title10-vol3-part431-subpartF.pdf" TargetMode="External"/><Relationship Id="rId17" Type="http://schemas.openxmlformats.org/officeDocument/2006/relationships/hyperlink" Target="https://govt.westlaw.com/calregs/Document/I270DCA634B4011EFA8F7F119BAF97AD6?viewType=FullText&amp;originationContext=documenttoc&amp;transitionType=CategoryPageItem&amp;contextData=(sc.Default)" TargetMode="External"/><Relationship Id="rId25" Type="http://schemas.openxmlformats.org/officeDocument/2006/relationships/hyperlink" Target="https://codes.iccsafe.org/codes/united-states/california" TargetMode="External"/><Relationship Id="rId2" Type="http://schemas.openxmlformats.org/officeDocument/2006/relationships/hyperlink" Target="https://bees.noresco.com/software2022.html" TargetMode="External"/><Relationship Id="rId16" Type="http://schemas.openxmlformats.org/officeDocument/2006/relationships/hyperlink" Target="https://www.energy.ca.gov/sites/default/files/2025-11/CEC-400-2025-006-AP-B.pdf" TargetMode="External"/><Relationship Id="rId20" Type="http://schemas.openxmlformats.org/officeDocument/2006/relationships/hyperlink" Target="https://efiling.energy.ca.gov/GetDocument.aspx?tn=265693&amp;DocumentContentId=102545" TargetMode="External"/><Relationship Id="rId1" Type="http://schemas.openxmlformats.org/officeDocument/2006/relationships/hyperlink" Target="https://www.mass.gov/lists/stretch-energy-code-development-support-documentation" TargetMode="External"/><Relationship Id="rId6" Type="http://schemas.openxmlformats.org/officeDocument/2006/relationships/hyperlink" Target="https://title24stakeholders.com/wp-content/uploads/2020/10/2022-T24-Final-CASE-Report_Reduce-Infiltration.pdf" TargetMode="External"/><Relationship Id="rId11" Type="http://schemas.openxmlformats.org/officeDocument/2006/relationships/hyperlink" Target="https://www.govinfo.gov/content/pkg/CFR-2013-title10-vol3/pdf/CFR-2013-title10-vol3-part431.pdf" TargetMode="External"/><Relationship Id="rId24" Type="http://schemas.openxmlformats.org/officeDocument/2006/relationships/hyperlink" Target="https://publications.ibpsa.org/conference/paper/?id=simbuild2026_1372" TargetMode="External"/><Relationship Id="rId5" Type="http://schemas.openxmlformats.org/officeDocument/2006/relationships/hyperlink" Target="https://web.eecs.utk.edu/~jnew1/publications/2019_IBPSA_OpenStudioOffice.pdf" TargetMode="External"/><Relationship Id="rId15" Type="http://schemas.openxmlformats.org/officeDocument/2006/relationships/hyperlink" Target="https://www.energy.ca.gov/publications/2023/2022-california-commercial-end-use-survey-ceus-final-report" TargetMode="External"/><Relationship Id="rId23" Type="http://schemas.openxmlformats.org/officeDocument/2006/relationships/hyperlink" Target="https://www.grainger.com/category/plumbing/water-heaters/electric-tank-water-heaters" TargetMode="External"/><Relationship Id="rId28" Type="http://schemas.openxmlformats.org/officeDocument/2006/relationships/drawing" Target="../drawings/drawing1.xml"/><Relationship Id="rId10" Type="http://schemas.openxmlformats.org/officeDocument/2006/relationships/hyperlink" Target="https://www.govinfo.gov/content/pkg/FR-2009-03-23/pdf/FR-2009-03-23.pdf" TargetMode="External"/><Relationship Id="rId19" Type="http://schemas.openxmlformats.org/officeDocument/2006/relationships/hyperlink" Target="https://title24stakeholders.com/wp-content/uploads/2016/10/T24-2019-CASE-Study-Results-Report-Outdoor-Sources_Final_with-Attachments.pdf" TargetMode="External"/><Relationship Id="rId4" Type="http://schemas.openxmlformats.org/officeDocument/2006/relationships/hyperlink" Target="https://github.com/sound-data/DEER-Prototypes-EnergyPlus" TargetMode="External"/><Relationship Id="rId9" Type="http://schemas.openxmlformats.org/officeDocument/2006/relationships/hyperlink" Target="https://2050partners.sharepoint.com/:w:/r/sites/CalBEMCollaborativeEfforts/_layouts/15/Doc.aspx?sourcedoc=%7B3BEF8F74-7FAC-44F2-A70C-D76617660066%7D&amp;file=Infiltration_rate_report_14May2025-Short-Version.docx&amp;wdLOR=c494C5A60-5F8A-438B-874B-578DCB850072&amp;action=default&amp;mobileredirect=true" TargetMode="External"/><Relationship Id="rId14" Type="http://schemas.openxmlformats.org/officeDocument/2006/relationships/hyperlink" Target="https://www.eia.gov/consumption/commercial/data/2018/" TargetMode="External"/><Relationship Id="rId22" Type="http://schemas.openxmlformats.org/officeDocument/2006/relationships/hyperlink" Target="https://www.grainger.com/category/plumbing/water-heaters/gas-tank-water-heaters" TargetMode="External"/><Relationship Id="rId27" Type="http://schemas.openxmlformats.org/officeDocument/2006/relationships/hyperlink" Target="https://www.thefreelibrary.com/Determining+Vintage+Bins+for+Prototype+Development%3a+An+Analysis+of...-a0879271125"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eb.eecs.utk.edu/~jnew1/presentations/2019_IBPSA_OpenStudioOffice.pdf" TargetMode="External"/><Relationship Id="rId1" Type="http://schemas.openxmlformats.org/officeDocument/2006/relationships/hyperlink" Target="https://web.eecs.utk.edu/~jnew1/publications/2019_IBPSA_OpenStudioOffice.pdf" TargetMode="External"/><Relationship Id="rId4"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hyperlink" Target="https://title24stakeholders.com/wp-content/uploads/2020/10/2022-T24-Final-CASE-Report_Reduce-Infiltration.pdf" TargetMode="External"/><Relationship Id="rId2" Type="http://schemas.openxmlformats.org/officeDocument/2006/relationships/hyperlink" Target="https://title24stakeholders.com/wp-content/uploads/2020/10/2022-T24-Final-CASE-Report_Reduce-Infiltration.pdf" TargetMode="External"/><Relationship Id="rId1" Type="http://schemas.openxmlformats.org/officeDocument/2006/relationships/hyperlink" Target="https://2050partners.sharepoint.com/:w:/r/sites/CalBEMCollaborativeEfforts/Shared%20Documents/Working%20Group%201%20-%20Streamlined%20Process/D%20-%20Complexity%20of%20Compliance/Prototype%20Unification/Project%20Development/Phase%202%20(Collect%20Inputs)%20Development/NR/Air%20Leakage%20Memo/Infiltration_rate_report_14May2025-Short-Version.docx?d=w3bef8f747fac44f2a70cd76617660066&amp;csf=1&amp;web=1&amp;e=wh5Dm4" TargetMode="External"/><Relationship Id="rId4" Type="http://schemas.openxmlformats.org/officeDocument/2006/relationships/hyperlink" Target="https://title24stakeholders.com/wp-content/uploads/2020/10/2022-T24-Final-CASE-Report_Reduce-Infiltration.pdf"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www.pnnl.gov/main/publications/external/technical_reports/PNNL-20405.pdf?__hstc=249664665.fbb1d69ca5f15106a530bcaee71fdf4a.1743465130773.1743546227524.1752085571925.3&amp;__hssc=249664665.1.1752085571925&amp;__hsfp=2216781724" TargetMode="External"/><Relationship Id="rId2" Type="http://schemas.openxmlformats.org/officeDocument/2006/relationships/hyperlink" Target="https://www.pnnl.gov/main/publications/external/technical_reports/pnnl-19341.pdf" TargetMode="External"/><Relationship Id="rId1" Type="http://schemas.openxmlformats.org/officeDocument/2006/relationships/hyperlink" Target="https://www.pnnl.gov/main/publications/external/technical_reports/pnnl-19341.pdf" TargetMode="External"/><Relationship Id="rId6" Type="http://schemas.openxmlformats.org/officeDocument/2006/relationships/drawing" Target="../drawings/drawing4.xml"/><Relationship Id="rId5" Type="http://schemas.openxmlformats.org/officeDocument/2006/relationships/printerSettings" Target="../printerSettings/printerSettings3.bin"/><Relationship Id="rId4" Type="http://schemas.openxmlformats.org/officeDocument/2006/relationships/hyperlink" Target="https://www.pnnl.gov/main/publications/external/technical_reports/PNNL-20405.pdf?__hstc=249664665.fbb1d69ca5f15106a530bcaee71fdf4a.1743465130773.1743546227524.1752085571925.3&amp;__hssc=249664665.1.1752085571925&amp;__hsfp=2216781724" TargetMode="Externa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D65BDF-3C17-4869-B954-111AEEDC46EB}">
  <sheetPr codeName="Sheet4"/>
  <dimension ref="A1:H56"/>
  <sheetViews>
    <sheetView zoomScale="85" zoomScaleNormal="85" workbookViewId="0">
      <selection sqref="A1:C1"/>
    </sheetView>
  </sheetViews>
  <sheetFormatPr defaultColWidth="9.33203125" defaultRowHeight="13.2" x14ac:dyDescent="0.25"/>
  <cols>
    <col min="1" max="1" width="15.33203125" style="4" customWidth="1"/>
    <col min="2" max="2" width="87" style="4" customWidth="1"/>
    <col min="3" max="3" width="30.88671875" style="4" customWidth="1"/>
    <col min="4" max="4" width="9.33203125" style="4"/>
    <col min="5" max="5" width="21.6640625" style="4" customWidth="1"/>
    <col min="6" max="6" width="10.6640625" style="4" customWidth="1"/>
    <col min="7" max="7" width="9.6640625" style="4" customWidth="1"/>
    <col min="8" max="8" width="9.6640625" style="4" bestFit="1" customWidth="1"/>
    <col min="9" max="16384" width="9.33203125" style="4"/>
  </cols>
  <sheetData>
    <row r="1" spans="1:6" ht="20.399999999999999" customHeight="1" x14ac:dyDescent="0.25">
      <c r="A1" s="592" t="s">
        <v>0</v>
      </c>
      <c r="B1" s="592"/>
      <c r="C1" s="592"/>
    </row>
    <row r="2" spans="1:6" x14ac:dyDescent="0.25">
      <c r="A2" s="591" t="s">
        <v>1</v>
      </c>
      <c r="B2" s="4" t="s">
        <v>2</v>
      </c>
      <c r="C2" s="501"/>
    </row>
    <row r="3" spans="1:6" x14ac:dyDescent="0.25">
      <c r="A3" s="591"/>
      <c r="B3" s="4" t="s">
        <v>3</v>
      </c>
      <c r="C3" s="388" t="s">
        <v>4</v>
      </c>
      <c r="D3" s="30" t="s">
        <v>5</v>
      </c>
      <c r="E3" s="30"/>
      <c r="F3" s="30"/>
    </row>
    <row r="4" spans="1:6" x14ac:dyDescent="0.25">
      <c r="A4" s="591"/>
      <c r="B4" s="4" t="s">
        <v>6</v>
      </c>
      <c r="C4" s="388" t="s">
        <v>7</v>
      </c>
      <c r="D4" s="388" t="s">
        <v>5</v>
      </c>
      <c r="E4" s="388"/>
      <c r="F4" s="388"/>
    </row>
    <row r="5" spans="1:6" x14ac:dyDescent="0.25">
      <c r="A5" s="591"/>
      <c r="B5" s="4" t="s">
        <v>8</v>
      </c>
      <c r="C5" s="593" t="s">
        <v>9</v>
      </c>
      <c r="D5" s="593"/>
      <c r="E5" s="593"/>
      <c r="F5" s="593"/>
    </row>
    <row r="6" spans="1:6" x14ac:dyDescent="0.25">
      <c r="A6" s="591" t="s">
        <v>10</v>
      </c>
      <c r="B6" s="4" t="s">
        <v>11</v>
      </c>
      <c r="C6" s="373" t="s">
        <v>12</v>
      </c>
      <c r="D6" s="4" t="s">
        <v>5</v>
      </c>
    </row>
    <row r="7" spans="1:6" x14ac:dyDescent="0.25">
      <c r="A7" s="591"/>
      <c r="B7" s="4" t="s">
        <v>13</v>
      </c>
      <c r="C7" s="373" t="s">
        <v>14</v>
      </c>
      <c r="D7" s="4" t="s">
        <v>5</v>
      </c>
    </row>
    <row r="8" spans="1:6" x14ac:dyDescent="0.25">
      <c r="A8" s="591"/>
      <c r="B8" s="4" t="s">
        <v>15</v>
      </c>
      <c r="C8" s="373" t="s">
        <v>16</v>
      </c>
      <c r="D8" s="4" t="s">
        <v>5</v>
      </c>
    </row>
    <row r="9" spans="1:6" x14ac:dyDescent="0.25">
      <c r="A9" s="591"/>
      <c r="B9" s="4" t="s">
        <v>17</v>
      </c>
      <c r="C9" s="373" t="s">
        <v>18</v>
      </c>
      <c r="D9" s="4" t="s">
        <v>5</v>
      </c>
    </row>
    <row r="10" spans="1:6" x14ac:dyDescent="0.25">
      <c r="A10" s="591" t="s">
        <v>19</v>
      </c>
      <c r="B10" s="594" t="s">
        <v>20</v>
      </c>
      <c r="C10" s="392" t="s">
        <v>21</v>
      </c>
      <c r="D10" s="502">
        <v>2025</v>
      </c>
    </row>
    <row r="11" spans="1:6" x14ac:dyDescent="0.25">
      <c r="A11" s="591"/>
      <c r="B11" s="594"/>
      <c r="C11" s="392" t="s">
        <v>22</v>
      </c>
      <c r="D11" s="4" t="s">
        <v>23</v>
      </c>
    </row>
    <row r="12" spans="1:6" x14ac:dyDescent="0.25">
      <c r="A12" s="591"/>
      <c r="B12" s="30" t="s">
        <v>24</v>
      </c>
      <c r="C12" s="389" t="s">
        <v>25</v>
      </c>
      <c r="D12" s="4" t="s">
        <v>5</v>
      </c>
    </row>
    <row r="13" spans="1:6" x14ac:dyDescent="0.25">
      <c r="A13" s="591"/>
      <c r="B13" s="4" t="s">
        <v>26</v>
      </c>
      <c r="C13" s="503" t="s">
        <v>27</v>
      </c>
      <c r="D13" s="502" t="s">
        <v>5</v>
      </c>
    </row>
    <row r="14" spans="1:6" x14ac:dyDescent="0.25">
      <c r="A14" s="591"/>
      <c r="B14" s="4" t="s">
        <v>28</v>
      </c>
      <c r="C14" s="373" t="s">
        <v>29</v>
      </c>
      <c r="D14" s="4" t="s">
        <v>5</v>
      </c>
    </row>
    <row r="15" spans="1:6" x14ac:dyDescent="0.25">
      <c r="A15" s="591"/>
      <c r="B15" s="4" t="s">
        <v>30</v>
      </c>
      <c r="C15" s="373" t="s">
        <v>31</v>
      </c>
      <c r="D15" s="4" t="s">
        <v>5</v>
      </c>
    </row>
    <row r="16" spans="1:6" x14ac:dyDescent="0.25">
      <c r="A16" s="591"/>
      <c r="B16" s="4" t="s">
        <v>32</v>
      </c>
      <c r="C16" s="373" t="s">
        <v>33</v>
      </c>
      <c r="D16" s="4" t="s">
        <v>5</v>
      </c>
    </row>
    <row r="17" spans="1:5" ht="11.4" customHeight="1" x14ac:dyDescent="0.25">
      <c r="A17" s="591" t="s">
        <v>34</v>
      </c>
      <c r="B17" s="597" t="s">
        <v>35</v>
      </c>
      <c r="C17" s="375" t="s">
        <v>36</v>
      </c>
      <c r="D17" s="4" t="s">
        <v>5</v>
      </c>
    </row>
    <row r="18" spans="1:5" x14ac:dyDescent="0.25">
      <c r="A18" s="591"/>
      <c r="B18" s="597"/>
      <c r="C18" s="375" t="s">
        <v>37</v>
      </c>
      <c r="D18" s="4" t="s">
        <v>5</v>
      </c>
    </row>
    <row r="19" spans="1:5" x14ac:dyDescent="0.25">
      <c r="A19" s="591"/>
      <c r="B19" s="4" t="s">
        <v>38</v>
      </c>
      <c r="C19" s="374" t="s">
        <v>39</v>
      </c>
      <c r="D19" s="4" t="s">
        <v>5</v>
      </c>
    </row>
    <row r="20" spans="1:5" x14ac:dyDescent="0.25">
      <c r="A20" s="591"/>
      <c r="B20" s="30" t="s">
        <v>40</v>
      </c>
      <c r="C20" s="388" t="s">
        <v>41</v>
      </c>
      <c r="D20" s="4" t="s">
        <v>5</v>
      </c>
    </row>
    <row r="21" spans="1:5" x14ac:dyDescent="0.25">
      <c r="A21" s="591"/>
      <c r="B21" s="127" t="s">
        <v>42</v>
      </c>
      <c r="C21" s="390" t="s">
        <v>43</v>
      </c>
      <c r="D21" s="4" t="s">
        <v>5</v>
      </c>
    </row>
    <row r="22" spans="1:5" x14ac:dyDescent="0.25">
      <c r="A22" s="591"/>
      <c r="B22" s="6" t="s">
        <v>44</v>
      </c>
      <c r="C22" s="373" t="s">
        <v>39</v>
      </c>
      <c r="D22" s="4" t="s">
        <v>5</v>
      </c>
    </row>
    <row r="23" spans="1:5" x14ac:dyDescent="0.25">
      <c r="A23" s="591"/>
      <c r="B23" s="8" t="s">
        <v>45</v>
      </c>
      <c r="C23" s="373" t="s">
        <v>46</v>
      </c>
      <c r="D23" s="4" t="s">
        <v>5</v>
      </c>
    </row>
    <row r="24" spans="1:5" x14ac:dyDescent="0.25">
      <c r="A24" s="591"/>
      <c r="B24" s="30" t="s">
        <v>47</v>
      </c>
      <c r="C24" s="503" t="s">
        <v>48</v>
      </c>
      <c r="D24" s="4" t="s">
        <v>5</v>
      </c>
    </row>
    <row r="25" spans="1:5" x14ac:dyDescent="0.25">
      <c r="A25" s="591"/>
      <c r="B25" s="4" t="s">
        <v>49</v>
      </c>
      <c r="C25" s="373" t="s">
        <v>50</v>
      </c>
      <c r="D25" s="4" t="s">
        <v>5</v>
      </c>
    </row>
    <row r="26" spans="1:5" x14ac:dyDescent="0.25">
      <c r="A26" s="591"/>
      <c r="B26" s="4" t="s">
        <v>51</v>
      </c>
      <c r="C26" s="373" t="s">
        <v>52</v>
      </c>
      <c r="D26" s="4" t="s">
        <v>5</v>
      </c>
    </row>
    <row r="27" spans="1:5" ht="28.2" customHeight="1" x14ac:dyDescent="0.25">
      <c r="A27" s="591"/>
      <c r="B27" s="127" t="s">
        <v>53</v>
      </c>
      <c r="C27" s="442" t="s">
        <v>54</v>
      </c>
      <c r="D27" s="4" t="s">
        <v>5</v>
      </c>
    </row>
    <row r="28" spans="1:5" ht="40.200000000000003" customHeight="1" x14ac:dyDescent="0.25">
      <c r="A28" s="591"/>
      <c r="B28" s="127" t="s">
        <v>55</v>
      </c>
      <c r="C28" s="391" t="s">
        <v>56</v>
      </c>
      <c r="D28" s="4" t="s">
        <v>5</v>
      </c>
    </row>
    <row r="29" spans="1:5" ht="27.6" customHeight="1" x14ac:dyDescent="0.25">
      <c r="A29" s="591"/>
      <c r="B29" s="127" t="s">
        <v>57</v>
      </c>
      <c r="C29" s="391" t="s">
        <v>58</v>
      </c>
      <c r="D29" s="391" t="s">
        <v>5</v>
      </c>
      <c r="E29" s="391"/>
    </row>
    <row r="30" spans="1:5" x14ac:dyDescent="0.25">
      <c r="A30" s="591"/>
      <c r="B30" s="30" t="s">
        <v>59</v>
      </c>
      <c r="C30" s="503" t="s">
        <v>60</v>
      </c>
      <c r="D30" s="4" t="s">
        <v>5</v>
      </c>
    </row>
    <row r="31" spans="1:5" x14ac:dyDescent="0.25">
      <c r="A31" s="591"/>
      <c r="B31" s="30" t="s">
        <v>61</v>
      </c>
      <c r="C31" s="373" t="s">
        <v>62</v>
      </c>
      <c r="D31" s="4" t="s">
        <v>5</v>
      </c>
    </row>
    <row r="32" spans="1:5" x14ac:dyDescent="0.25">
      <c r="A32" s="591"/>
      <c r="B32" s="30" t="s">
        <v>63</v>
      </c>
      <c r="C32" s="373" t="s">
        <v>64</v>
      </c>
      <c r="D32" s="4" t="s">
        <v>5</v>
      </c>
    </row>
    <row r="33" spans="1:8" x14ac:dyDescent="0.25">
      <c r="A33" s="324"/>
      <c r="C33" s="373"/>
    </row>
    <row r="34" spans="1:8" x14ac:dyDescent="0.25">
      <c r="C34" s="501"/>
    </row>
    <row r="35" spans="1:8" ht="18.600000000000001" customHeight="1" x14ac:dyDescent="0.25">
      <c r="A35" s="592" t="s">
        <v>65</v>
      </c>
      <c r="B35" s="592"/>
      <c r="C35" s="592"/>
    </row>
    <row r="36" spans="1:8" x14ac:dyDescent="0.25">
      <c r="C36" s="501"/>
    </row>
    <row r="37" spans="1:8" x14ac:dyDescent="0.25">
      <c r="C37" s="501"/>
    </row>
    <row r="38" spans="1:8" x14ac:dyDescent="0.25">
      <c r="C38" s="501"/>
    </row>
    <row r="39" spans="1:8" x14ac:dyDescent="0.25">
      <c r="C39" s="501"/>
      <c r="E39" s="141"/>
      <c r="F39" s="395" t="s">
        <v>66</v>
      </c>
      <c r="G39" s="395" t="s">
        <v>67</v>
      </c>
      <c r="H39" s="395" t="s">
        <v>68</v>
      </c>
    </row>
    <row r="40" spans="1:8" ht="39.6" x14ac:dyDescent="0.25">
      <c r="C40" s="501"/>
      <c r="E40" s="396" t="s">
        <v>69</v>
      </c>
      <c r="F40" s="140">
        <v>0.46536942917401369</v>
      </c>
      <c r="G40" s="140">
        <v>0.53462987933478545</v>
      </c>
      <c r="H40" s="140">
        <v>9.3651419285689569E-2</v>
      </c>
    </row>
    <row r="41" spans="1:8" x14ac:dyDescent="0.25">
      <c r="C41" s="501"/>
    </row>
    <row r="42" spans="1:8" x14ac:dyDescent="0.25">
      <c r="C42" s="501"/>
    </row>
    <row r="43" spans="1:8" x14ac:dyDescent="0.25">
      <c r="C43" s="501"/>
    </row>
    <row r="44" spans="1:8" x14ac:dyDescent="0.25">
      <c r="C44" s="501"/>
    </row>
    <row r="45" spans="1:8" x14ac:dyDescent="0.25">
      <c r="C45" s="501"/>
    </row>
    <row r="46" spans="1:8" x14ac:dyDescent="0.25">
      <c r="C46" s="501"/>
    </row>
    <row r="47" spans="1:8" x14ac:dyDescent="0.25">
      <c r="B47" s="397" t="s">
        <v>70</v>
      </c>
      <c r="C47" s="501"/>
    </row>
    <row r="48" spans="1:8" ht="19.2" customHeight="1" x14ac:dyDescent="0.25">
      <c r="A48" s="592" t="s">
        <v>71</v>
      </c>
      <c r="B48" s="592"/>
      <c r="C48" s="592"/>
    </row>
    <row r="49" spans="1:5" ht="173.4" customHeight="1" x14ac:dyDescent="0.25">
      <c r="A49" s="404" t="s">
        <v>72</v>
      </c>
      <c r="B49" s="596" t="s">
        <v>73</v>
      </c>
      <c r="C49" s="596"/>
    </row>
    <row r="50" spans="1:5" ht="63" customHeight="1" x14ac:dyDescent="0.25">
      <c r="A50" s="505" t="s">
        <v>74</v>
      </c>
      <c r="B50" s="595" t="s">
        <v>75</v>
      </c>
      <c r="C50" s="595"/>
    </row>
    <row r="51" spans="1:5" ht="125.25" customHeight="1" x14ac:dyDescent="0.25">
      <c r="A51" s="505" t="s">
        <v>76</v>
      </c>
      <c r="B51" s="595" t="s">
        <v>77</v>
      </c>
      <c r="C51" s="595"/>
    </row>
    <row r="52" spans="1:5" ht="99.6" customHeight="1" x14ac:dyDescent="0.25">
      <c r="A52" s="505" t="s">
        <v>78</v>
      </c>
      <c r="B52" s="595" t="s">
        <v>79</v>
      </c>
      <c r="C52" s="595"/>
    </row>
    <row r="53" spans="1:5" x14ac:dyDescent="0.25">
      <c r="B53" s="590"/>
      <c r="C53" s="590"/>
    </row>
    <row r="56" spans="1:5" ht="39.6" customHeight="1" x14ac:dyDescent="0.25">
      <c r="A56" s="506"/>
      <c r="B56" s="393"/>
      <c r="C56" s="393"/>
      <c r="D56" s="393"/>
      <c r="E56" s="394"/>
    </row>
  </sheetData>
  <mergeCells count="15">
    <mergeCell ref="B53:C53"/>
    <mergeCell ref="A2:A5"/>
    <mergeCell ref="A6:A9"/>
    <mergeCell ref="A1:C1"/>
    <mergeCell ref="A10:A16"/>
    <mergeCell ref="C5:F5"/>
    <mergeCell ref="B10:B11"/>
    <mergeCell ref="B52:C52"/>
    <mergeCell ref="A48:C48"/>
    <mergeCell ref="A35:C35"/>
    <mergeCell ref="B49:C49"/>
    <mergeCell ref="B50:C50"/>
    <mergeCell ref="B51:C51"/>
    <mergeCell ref="A17:A32"/>
    <mergeCell ref="B17:B18"/>
  </mergeCells>
  <hyperlinks>
    <hyperlink ref="C17" r:id="rId1" xr:uid="{281B7D1D-7B1C-4EB5-9B6B-0D9DA0C9926B}"/>
    <hyperlink ref="C6" r:id="rId2" xr:uid="{BE11EEF8-3AF7-48F0-A38B-7309CE5A9491}"/>
    <hyperlink ref="C7" r:id="rId3" location="Commercial" xr:uid="{626A4776-C2FA-489E-88C0-BC9C7C8EA36F}"/>
    <hyperlink ref="C8" r:id="rId4" xr:uid="{0DEB00BB-3A26-4527-9ED4-40D17F93A579}"/>
    <hyperlink ref="C9" r:id="rId5" xr:uid="{E7A9A52D-7F84-4513-9CAE-4B7B2AE4C958}"/>
    <hyperlink ref="C23" r:id="rId6" xr:uid="{529761A4-7D16-4FA2-84A7-728B42A31AEF}"/>
    <hyperlink ref="C22" r:id="rId7" xr:uid="{F91B9AA6-8CBA-4A95-B111-70A1F6B561C2}"/>
    <hyperlink ref="C25" r:id="rId8" xr:uid="{5A301539-1FFB-41E4-AE38-761F6CA571F3}"/>
    <hyperlink ref="C26" r:id="rId9" xr:uid="{99144D7B-BB13-4E0F-B987-13604AE7080C}"/>
    <hyperlink ref="C14" r:id="rId10" xr:uid="{4C44B064-1A46-4D02-A4CC-D809C38EB67A}"/>
    <hyperlink ref="C15" r:id="rId11" xr:uid="{6656CFF8-0B9D-43F4-B135-B1D5D8B52F48}"/>
    <hyperlink ref="C16" r:id="rId12" xr:uid="{48EB7B33-0BE3-4DC5-AB87-C15566CFD4BC}"/>
    <hyperlink ref="C13" r:id="rId13" xr:uid="{7BD516AD-C412-47CC-BCA0-1C024317FB6E}"/>
    <hyperlink ref="C4" r:id="rId14" xr:uid="{C33B9C16-3122-48A8-93B9-C821F98E774D}"/>
    <hyperlink ref="C3" r:id="rId15" xr:uid="{0C8B560B-B0AF-4339-8646-DBA28A57EBCC}"/>
    <hyperlink ref="C21" r:id="rId16" xr:uid="{8CE3E1B9-7B93-4B15-978D-42C808D35A73}"/>
    <hyperlink ref="C12" r:id="rId17" xr:uid="{F87CDCEE-42C1-448C-8590-11557BE412E0}"/>
    <hyperlink ref="C18" r:id="rId18" xr:uid="{45F61DC3-47D6-4782-B88B-6CF3F7165EC2}"/>
    <hyperlink ref="C24" r:id="rId19" xr:uid="{727DB338-329D-437A-BA81-F8000D7AD1DD}"/>
    <hyperlink ref="C28" r:id="rId20" xr:uid="{B3B97E90-55DE-49DE-86B9-89B1C019BBAA}"/>
    <hyperlink ref="C30" r:id="rId21" xr:uid="{4652B389-457A-4166-B4E3-7E628B6A8D3F}"/>
    <hyperlink ref="C31" r:id="rId22" xr:uid="{0B792897-DF54-4274-AEAD-F7DE517618F2}"/>
    <hyperlink ref="C32" r:id="rId23" xr:uid="{002CECDA-55B0-4167-9FEF-0BC325B72AD4}"/>
    <hyperlink ref="C29" r:id="rId24" xr:uid="{4492BF7B-10AD-45FF-A0D4-70A47FDCE166}"/>
    <hyperlink ref="C11" r:id="rId25" xr:uid="{9D4C8447-7081-4D4B-A659-613673564820}"/>
    <hyperlink ref="C10" r:id="rId26" xr:uid="{7124DF27-9544-4794-A06E-757BFB40E4CD}"/>
    <hyperlink ref="C27" r:id="rId27" xr:uid="{108731A9-107F-4522-BEE9-56EFC65FFEEC}"/>
  </hyperlinks>
  <pageMargins left="0.7" right="0.7" top="0.75" bottom="0.75" header="0.3" footer="0.3"/>
  <drawing r:id="rId2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EA2FF8-E67F-4AF9-A6F9-E2B7AE862021}">
  <sheetPr codeName="Sheet1"/>
  <dimension ref="A1:K81"/>
  <sheetViews>
    <sheetView tabSelected="1" zoomScale="85" zoomScaleNormal="85" workbookViewId="0">
      <selection sqref="A1:C1"/>
    </sheetView>
  </sheetViews>
  <sheetFormatPr defaultColWidth="9.33203125" defaultRowHeight="13.8" x14ac:dyDescent="0.25"/>
  <cols>
    <col min="1" max="1" width="25" style="2" customWidth="1"/>
    <col min="2" max="2" width="51.33203125" style="2" customWidth="1"/>
    <col min="3" max="3" width="56.33203125" style="2" customWidth="1"/>
    <col min="4" max="5" width="48" style="2" customWidth="1"/>
    <col min="6" max="6" width="17" style="2" customWidth="1"/>
    <col min="7" max="9" width="8.6640625" style="2" customWidth="1"/>
    <col min="10" max="16384" width="9.33203125" style="2"/>
  </cols>
  <sheetData>
    <row r="1" spans="1:9" ht="17.399999999999999" x14ac:dyDescent="0.25">
      <c r="A1" s="587" t="s">
        <v>80</v>
      </c>
      <c r="B1" s="587"/>
      <c r="C1" s="587"/>
      <c r="D1" s="9"/>
      <c r="E1" s="9"/>
      <c r="F1" s="9"/>
    </row>
    <row r="2" spans="1:9" ht="25.2" customHeight="1" x14ac:dyDescent="0.25">
      <c r="A2" s="588" t="s">
        <v>81</v>
      </c>
      <c r="B2" s="589"/>
      <c r="C2" s="589"/>
      <c r="D2" s="9"/>
      <c r="E2" s="9"/>
      <c r="F2" s="9"/>
    </row>
    <row r="3" spans="1:9" ht="20.399999999999999" customHeight="1" x14ac:dyDescent="0.25">
      <c r="A3" s="16" t="s">
        <v>82</v>
      </c>
      <c r="B3" s="519" t="s">
        <v>83</v>
      </c>
      <c r="C3" s="17" t="s">
        <v>0</v>
      </c>
    </row>
    <row r="4" spans="1:9" ht="16.2" customHeight="1" x14ac:dyDescent="0.25">
      <c r="A4" s="14" t="s">
        <v>84</v>
      </c>
      <c r="B4" s="508" t="s">
        <v>85</v>
      </c>
      <c r="C4" s="14"/>
    </row>
    <row r="5" spans="1:9" ht="16.2" customHeight="1" x14ac:dyDescent="0.25">
      <c r="A5" s="14" t="s">
        <v>86</v>
      </c>
      <c r="B5" s="508" t="s">
        <v>87</v>
      </c>
      <c r="C5" s="14"/>
    </row>
    <row r="6" spans="1:9" ht="16.2" customHeight="1" x14ac:dyDescent="0.25">
      <c r="A6" s="440" t="s">
        <v>88</v>
      </c>
      <c r="B6" s="315" t="s">
        <v>89</v>
      </c>
      <c r="C6" s="14"/>
    </row>
    <row r="7" spans="1:9" ht="94.95" customHeight="1" x14ac:dyDescent="0.25">
      <c r="A7" s="14" t="s">
        <v>90</v>
      </c>
      <c r="B7" s="512" t="s">
        <v>91</v>
      </c>
      <c r="C7" s="15" t="s">
        <v>92</v>
      </c>
      <c r="D7" s="441"/>
      <c r="E7" s="2" t="s">
        <v>5</v>
      </c>
    </row>
    <row r="8" spans="1:9" ht="120.6" customHeight="1" x14ac:dyDescent="0.25">
      <c r="A8" s="14" t="s">
        <v>93</v>
      </c>
      <c r="B8" s="508"/>
      <c r="C8" s="15" t="s">
        <v>94</v>
      </c>
      <c r="D8" s="391"/>
      <c r="E8" s="2" t="s">
        <v>5</v>
      </c>
      <c r="I8" s="3"/>
    </row>
    <row r="9" spans="1:9" ht="16.2" customHeight="1" x14ac:dyDescent="0.25">
      <c r="A9" s="10" t="s">
        <v>95</v>
      </c>
      <c r="B9" s="11" t="s">
        <v>96</v>
      </c>
      <c r="C9" s="498" t="s">
        <v>97</v>
      </c>
    </row>
    <row r="10" spans="1:9" ht="16.2" customHeight="1" x14ac:dyDescent="0.25">
      <c r="A10" s="10" t="s">
        <v>98</v>
      </c>
      <c r="B10" s="116">
        <v>1.5</v>
      </c>
      <c r="C10" s="498" t="s">
        <v>99</v>
      </c>
    </row>
    <row r="11" spans="1:9" ht="32.4" customHeight="1" x14ac:dyDescent="0.25">
      <c r="A11" s="12" t="s">
        <v>100</v>
      </c>
      <c r="B11" s="508">
        <v>1</v>
      </c>
      <c r="C11" s="500" t="s">
        <v>101</v>
      </c>
    </row>
    <row r="12" spans="1:9" ht="24.75" customHeight="1" x14ac:dyDescent="0.25">
      <c r="A12" s="12" t="s">
        <v>102</v>
      </c>
      <c r="B12" s="508" t="s">
        <v>103</v>
      </c>
      <c r="C12" s="124" t="s">
        <v>104</v>
      </c>
    </row>
    <row r="13" spans="1:9" ht="78.599999999999994" customHeight="1" x14ac:dyDescent="0.25">
      <c r="A13" s="12" t="s">
        <v>105</v>
      </c>
      <c r="B13" s="512" t="s">
        <v>106</v>
      </c>
      <c r="C13" s="15" t="s">
        <v>107</v>
      </c>
    </row>
    <row r="14" spans="1:9" x14ac:dyDescent="0.25">
      <c r="A14" s="10" t="s">
        <v>108</v>
      </c>
      <c r="B14" s="13" t="s">
        <v>109</v>
      </c>
      <c r="C14" s="15" t="s">
        <v>99</v>
      </c>
    </row>
    <row r="15" spans="1:9" ht="26.4" x14ac:dyDescent="0.25">
      <c r="A15" s="10" t="s">
        <v>110</v>
      </c>
      <c r="B15" s="508">
        <v>10</v>
      </c>
      <c r="C15" s="15" t="s">
        <v>111</v>
      </c>
    </row>
    <row r="16" spans="1:9" x14ac:dyDescent="0.25">
      <c r="A16" s="10" t="s">
        <v>112</v>
      </c>
      <c r="B16" s="508">
        <v>10</v>
      </c>
      <c r="C16" s="15" t="s">
        <v>99</v>
      </c>
    </row>
    <row r="17" spans="1:5" ht="26.4" x14ac:dyDescent="0.25">
      <c r="A17" s="10" t="s">
        <v>113</v>
      </c>
      <c r="B17" s="512" t="s">
        <v>114</v>
      </c>
      <c r="C17" s="15" t="s">
        <v>99</v>
      </c>
    </row>
    <row r="20" spans="1:5" ht="14.4" x14ac:dyDescent="0.25">
      <c r="A20" s="323"/>
      <c r="B20" s="323"/>
      <c r="C20" s="323"/>
      <c r="D20" s="323"/>
      <c r="E20" s="323"/>
    </row>
    <row r="21" spans="1:5" ht="56.25" customHeight="1" x14ac:dyDescent="0.25">
      <c r="A21" s="322"/>
      <c r="B21" s="322"/>
      <c r="C21" s="322"/>
      <c r="D21" s="322"/>
      <c r="E21" s="322"/>
    </row>
    <row r="22" spans="1:5" ht="40.5" customHeight="1" x14ac:dyDescent="0.25">
      <c r="A22" s="322"/>
      <c r="B22" s="322"/>
      <c r="C22" s="322"/>
      <c r="D22" s="322"/>
      <c r="E22" s="322"/>
    </row>
    <row r="53" ht="14.7" customHeight="1" x14ac:dyDescent="0.25"/>
    <row r="54" ht="14.7" customHeight="1" x14ac:dyDescent="0.25"/>
    <row r="56" ht="14.7" customHeight="1" x14ac:dyDescent="0.25"/>
    <row r="57" ht="14.7" customHeight="1" x14ac:dyDescent="0.25"/>
    <row r="58" ht="14.7" customHeight="1" x14ac:dyDescent="0.25"/>
    <row r="61" ht="14.7" customHeight="1" x14ac:dyDescent="0.25"/>
    <row r="62" ht="14.7" customHeight="1" x14ac:dyDescent="0.25"/>
    <row r="68" spans="1:11" s="24" customFormat="1" ht="13.2" hidden="1" x14ac:dyDescent="0.25">
      <c r="A68" s="24" t="s">
        <v>115</v>
      </c>
      <c r="D68" s="25"/>
      <c r="E68" s="26"/>
      <c r="F68" s="27"/>
    </row>
    <row r="69" spans="1:11" s="4" customFormat="1" ht="13.2" hidden="1" x14ac:dyDescent="0.25"/>
    <row r="70" spans="1:11" s="4" customFormat="1" ht="13.2" hidden="1" x14ac:dyDescent="0.25"/>
    <row r="71" spans="1:11" s="4" customFormat="1" ht="13.2" hidden="1" x14ac:dyDescent="0.25"/>
    <row r="72" spans="1:11" s="4" customFormat="1" ht="13.2" hidden="1" x14ac:dyDescent="0.25"/>
    <row r="73" spans="1:11" hidden="1" x14ac:dyDescent="0.25"/>
    <row r="74" spans="1:11" hidden="1" x14ac:dyDescent="0.25">
      <c r="D74" s="582" t="s">
        <v>116</v>
      </c>
      <c r="E74" s="582"/>
      <c r="F74" s="582"/>
      <c r="G74" s="582"/>
      <c r="H74" s="582"/>
      <c r="I74" s="582"/>
      <c r="J74" s="582"/>
      <c r="K74" s="582"/>
    </row>
    <row r="75" spans="1:11" hidden="1" x14ac:dyDescent="0.25">
      <c r="D75" s="50" t="s">
        <v>117</v>
      </c>
      <c r="E75" s="59" t="s">
        <v>118</v>
      </c>
      <c r="F75" s="59" t="s">
        <v>119</v>
      </c>
      <c r="G75" s="59" t="s">
        <v>120</v>
      </c>
      <c r="H75" s="59" t="s">
        <v>121</v>
      </c>
      <c r="I75" s="583" t="s">
        <v>122</v>
      </c>
      <c r="J75" s="584"/>
      <c r="K75" s="584"/>
    </row>
    <row r="76" spans="1:11" hidden="1" x14ac:dyDescent="0.25">
      <c r="D76" s="481" t="s">
        <v>123</v>
      </c>
      <c r="E76" s="60">
        <v>1.5</v>
      </c>
      <c r="F76" s="61">
        <v>1.5</v>
      </c>
      <c r="G76" s="62">
        <v>0.63</v>
      </c>
      <c r="H76" s="102"/>
      <c r="I76" s="585" t="s">
        <v>124</v>
      </c>
      <c r="J76" s="585"/>
      <c r="K76" s="585"/>
    </row>
    <row r="77" spans="1:11" hidden="1" x14ac:dyDescent="0.25">
      <c r="D77" s="481" t="s">
        <v>125</v>
      </c>
      <c r="E77" s="63">
        <f>SUM(Schedules!F93:AC93)*249+SUM(Schedules!F94:AC94)*52+SUM(Schedules!F95:AC95)*(364-249-52)</f>
        <v>2835.7000000000003</v>
      </c>
      <c r="F77" s="63">
        <f>SUM(Schedules!F99:AC99)*249+SUM(Schedules!F100:AC100)*52+SUM(Schedules!F101:AC101)*(364-249-52)</f>
        <v>2835.7000000000003</v>
      </c>
      <c r="G77" s="63">
        <f>SUM(Schedules!F96:AC96)*249+SUM(Schedules!F97:AC97)*52+SUM(Schedules!F98:AC98)*(364-249-52)</f>
        <v>3837.8149797799215</v>
      </c>
      <c r="H77" s="103"/>
      <c r="I77" s="586"/>
      <c r="J77" s="586"/>
      <c r="K77" s="586"/>
    </row>
    <row r="78" spans="1:11" hidden="1" x14ac:dyDescent="0.25"/>
    <row r="79" spans="1:11" hidden="1" x14ac:dyDescent="0.25"/>
    <row r="80" spans="1:11" hidden="1" x14ac:dyDescent="0.25"/>
    <row r="81" hidden="1" x14ac:dyDescent="0.25"/>
  </sheetData>
  <mergeCells count="6">
    <mergeCell ref="D74:K74"/>
    <mergeCell ref="I75:K75"/>
    <mergeCell ref="I76:K76"/>
    <mergeCell ref="I77:K77"/>
    <mergeCell ref="A1:C1"/>
    <mergeCell ref="A2:C2"/>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DC9C1-ABE9-4C74-8C0A-F769CBEC5074}">
  <sheetPr codeName="Sheet5"/>
  <dimension ref="A1:Y31"/>
  <sheetViews>
    <sheetView zoomScale="85" zoomScaleNormal="85" workbookViewId="0">
      <selection sqref="A1:M1"/>
    </sheetView>
  </sheetViews>
  <sheetFormatPr defaultColWidth="8.6640625" defaultRowHeight="13.2" x14ac:dyDescent="0.25"/>
  <cols>
    <col min="1" max="1" width="18.109375" style="4" customWidth="1"/>
    <col min="2" max="2" width="29.88671875" style="4" customWidth="1"/>
    <col min="3" max="3" width="48.6640625" style="4" customWidth="1"/>
    <col min="4" max="4" width="34.5546875" style="4" customWidth="1"/>
    <col min="5" max="5" width="19" style="4" customWidth="1"/>
    <col min="6" max="6" width="24" style="4" customWidth="1"/>
    <col min="7" max="7" width="14.6640625" style="4" customWidth="1"/>
    <col min="8" max="8" width="10.109375" style="4" customWidth="1"/>
    <col min="9" max="9" width="7.6640625" style="4" customWidth="1"/>
    <col min="10" max="10" width="12.6640625" style="4" customWidth="1"/>
    <col min="11" max="11" width="12" style="4" bestFit="1" customWidth="1"/>
    <col min="12" max="12" width="27.33203125" style="4" customWidth="1"/>
    <col min="13" max="13" width="41.5546875" style="4" customWidth="1"/>
    <col min="14" max="14" width="32.5546875" style="4" customWidth="1"/>
    <col min="15" max="15" width="24.44140625" style="4" customWidth="1"/>
    <col min="16" max="16" width="12.6640625" style="4" customWidth="1"/>
    <col min="17" max="17" width="25.33203125" style="4" customWidth="1"/>
    <col min="18" max="18" width="22.33203125" style="4" bestFit="1" customWidth="1"/>
    <col min="19" max="19" width="18.33203125" style="4" customWidth="1"/>
    <col min="20" max="20" width="25.6640625" style="4" customWidth="1"/>
    <col min="21" max="21" width="22.6640625" style="4" customWidth="1"/>
    <col min="22" max="22" width="16.33203125" style="4" customWidth="1"/>
    <col min="23" max="23" width="6.6640625" style="4" bestFit="1" customWidth="1"/>
    <col min="24" max="28" width="17.33203125" style="4" customWidth="1"/>
    <col min="29" max="16384" width="8.6640625" style="4"/>
  </cols>
  <sheetData>
    <row r="1" spans="1:25" ht="25.95" customHeight="1" x14ac:dyDescent="0.25">
      <c r="A1" s="592" t="str">
        <f>"Proposed Layout - "&amp;Prototype!A2</f>
        <v>Proposed Layout - OfficeSmall</v>
      </c>
      <c r="B1" s="592"/>
      <c r="C1" s="592"/>
      <c r="D1" s="592"/>
      <c r="E1" s="592"/>
      <c r="F1" s="592"/>
      <c r="G1" s="592"/>
      <c r="H1" s="592"/>
      <c r="I1" s="592"/>
      <c r="J1" s="592"/>
      <c r="K1" s="592"/>
      <c r="L1" s="592"/>
      <c r="M1" s="611"/>
    </row>
    <row r="2" spans="1:25" ht="41.25" customHeight="1" x14ac:dyDescent="0.3">
      <c r="A2" s="532" t="s">
        <v>126</v>
      </c>
      <c r="B2" s="29" t="s">
        <v>127</v>
      </c>
      <c r="C2" s="518" t="s">
        <v>128</v>
      </c>
      <c r="D2" s="29" t="s">
        <v>129</v>
      </c>
      <c r="E2" s="29" t="s">
        <v>130</v>
      </c>
      <c r="F2" s="28" t="s">
        <v>131</v>
      </c>
      <c r="G2" s="29" t="s">
        <v>132</v>
      </c>
      <c r="H2" s="29" t="s">
        <v>133</v>
      </c>
      <c r="I2" s="28" t="s">
        <v>134</v>
      </c>
      <c r="J2" s="28" t="s">
        <v>135</v>
      </c>
      <c r="K2" s="142" t="s">
        <v>136</v>
      </c>
      <c r="L2" s="304" t="s">
        <v>137</v>
      </c>
      <c r="M2" s="313" t="s">
        <v>71</v>
      </c>
      <c r="O2" s="408" t="s">
        <v>138</v>
      </c>
      <c r="S2" s="309"/>
    </row>
    <row r="3" spans="1:25" ht="17.7" customHeight="1" x14ac:dyDescent="0.25">
      <c r="A3" s="457" t="s">
        <v>139</v>
      </c>
      <c r="B3" s="456" t="s">
        <v>140</v>
      </c>
      <c r="C3" s="19" t="s">
        <v>141</v>
      </c>
      <c r="D3" s="19" t="s">
        <v>142</v>
      </c>
      <c r="E3" s="19" t="s">
        <v>143</v>
      </c>
      <c r="F3" s="18" t="s">
        <v>144</v>
      </c>
      <c r="G3" s="516">
        <f t="shared" ref="G3:G15" si="0">H3/$H$17</f>
        <v>0.16588270621813633</v>
      </c>
      <c r="H3" s="125">
        <v>912.69749999999999</v>
      </c>
      <c r="I3" s="18">
        <f>H3*10</f>
        <v>9126.9750000000004</v>
      </c>
      <c r="J3" s="18">
        <v>1</v>
      </c>
      <c r="K3" s="18">
        <f>L3*H3/1000</f>
        <v>4.5634874999999999</v>
      </c>
      <c r="L3" s="305">
        <v>5</v>
      </c>
      <c r="M3" s="299"/>
      <c r="S3" s="310"/>
      <c r="T3" s="310"/>
    </row>
    <row r="4" spans="1:25" ht="17.7" customHeight="1" x14ac:dyDescent="0.25">
      <c r="A4" s="457" t="s">
        <v>139</v>
      </c>
      <c r="B4" s="456" t="s">
        <v>145</v>
      </c>
      <c r="C4" s="19" t="s">
        <v>141</v>
      </c>
      <c r="D4" s="19" t="s">
        <v>146</v>
      </c>
      <c r="E4" s="19" t="s">
        <v>143</v>
      </c>
      <c r="F4" s="18" t="s">
        <v>144</v>
      </c>
      <c r="G4" s="516">
        <f t="shared" si="0"/>
        <v>0.16511254089216651</v>
      </c>
      <c r="H4" s="18">
        <v>908.46</v>
      </c>
      <c r="I4" s="18">
        <f t="shared" ref="I4:I15" si="1">H4*10</f>
        <v>9084.6</v>
      </c>
      <c r="J4" s="18">
        <v>1</v>
      </c>
      <c r="K4" s="18">
        <f t="shared" ref="K4:K15" si="2">L4*H4/1000</f>
        <v>4.5423</v>
      </c>
      <c r="L4" s="305">
        <v>5</v>
      </c>
      <c r="M4" s="300"/>
      <c r="S4" s="533"/>
      <c r="T4" s="533"/>
    </row>
    <row r="5" spans="1:25" ht="17.7" customHeight="1" x14ac:dyDescent="0.25">
      <c r="A5" s="457" t="s">
        <v>139</v>
      </c>
      <c r="B5" s="456" t="s">
        <v>147</v>
      </c>
      <c r="C5" s="19" t="s">
        <v>141</v>
      </c>
      <c r="D5" s="19" t="s">
        <v>148</v>
      </c>
      <c r="E5" s="19" t="s">
        <v>143</v>
      </c>
      <c r="F5" s="18" t="s">
        <v>144</v>
      </c>
      <c r="G5" s="516">
        <f t="shared" si="0"/>
        <v>0.16511254089216651</v>
      </c>
      <c r="H5" s="18">
        <v>908.46</v>
      </c>
      <c r="I5" s="18">
        <f t="shared" si="1"/>
        <v>9084.6</v>
      </c>
      <c r="J5" s="18">
        <v>1</v>
      </c>
      <c r="K5" s="18">
        <f t="shared" si="2"/>
        <v>4.5423</v>
      </c>
      <c r="L5" s="305">
        <v>5</v>
      </c>
      <c r="M5" s="301"/>
      <c r="S5" s="533"/>
      <c r="T5" s="533"/>
    </row>
    <row r="6" spans="1:25" ht="24.75" customHeight="1" x14ac:dyDescent="0.25">
      <c r="A6" s="457" t="s">
        <v>139</v>
      </c>
      <c r="B6" s="456" t="s">
        <v>149</v>
      </c>
      <c r="C6" s="19" t="s">
        <v>150</v>
      </c>
      <c r="D6" s="108" t="s">
        <v>151</v>
      </c>
      <c r="E6" s="108" t="s">
        <v>143</v>
      </c>
      <c r="F6" s="18" t="s">
        <v>144</v>
      </c>
      <c r="G6" s="516">
        <f t="shared" si="0"/>
        <v>8.2941580296479966E-2</v>
      </c>
      <c r="H6" s="18">
        <v>456.35</v>
      </c>
      <c r="I6" s="18">
        <f t="shared" si="1"/>
        <v>4563.5</v>
      </c>
      <c r="J6" s="18">
        <v>1</v>
      </c>
      <c r="K6" s="18">
        <f t="shared" si="2"/>
        <v>15.059550000000002</v>
      </c>
      <c r="L6" s="305">
        <v>33</v>
      </c>
      <c r="M6" s="299"/>
      <c r="S6" s="533"/>
      <c r="T6" s="533"/>
    </row>
    <row r="7" spans="1:25" ht="73.5" customHeight="1" x14ac:dyDescent="0.25">
      <c r="A7" s="457" t="s">
        <v>139</v>
      </c>
      <c r="B7" s="456" t="s">
        <v>152</v>
      </c>
      <c r="C7" s="19" t="s">
        <v>153</v>
      </c>
      <c r="D7" s="108" t="s">
        <v>151</v>
      </c>
      <c r="E7" s="108" t="s">
        <v>143</v>
      </c>
      <c r="F7" s="18" t="s">
        <v>144</v>
      </c>
      <c r="G7" s="516">
        <f t="shared" si="0"/>
        <v>8.2941580296479966E-2</v>
      </c>
      <c r="H7" s="18">
        <v>456.35</v>
      </c>
      <c r="I7" s="18">
        <f t="shared" si="1"/>
        <v>4563.5</v>
      </c>
      <c r="J7" s="18">
        <v>1</v>
      </c>
      <c r="K7" s="18">
        <f t="shared" si="2"/>
        <v>4.5635000000000003</v>
      </c>
      <c r="L7" s="306">
        <v>10</v>
      </c>
      <c r="M7" s="302" t="s">
        <v>154</v>
      </c>
      <c r="S7" s="533"/>
      <c r="T7" s="533"/>
    </row>
    <row r="8" spans="1:25" ht="40.950000000000003" customHeight="1" x14ac:dyDescent="0.25">
      <c r="A8" s="457" t="s">
        <v>139</v>
      </c>
      <c r="B8" s="456" t="s">
        <v>155</v>
      </c>
      <c r="C8" s="19" t="s">
        <v>156</v>
      </c>
      <c r="D8" s="19" t="s">
        <v>146</v>
      </c>
      <c r="E8" s="298" t="s">
        <v>143</v>
      </c>
      <c r="F8" s="18" t="s">
        <v>144</v>
      </c>
      <c r="G8" s="516">
        <f t="shared" si="0"/>
        <v>0.13520157514812239</v>
      </c>
      <c r="H8" s="18">
        <v>743.88791000000003</v>
      </c>
      <c r="I8" s="18">
        <f t="shared" si="1"/>
        <v>7438.8791000000001</v>
      </c>
      <c r="J8" s="18">
        <v>1</v>
      </c>
      <c r="K8" s="18">
        <f t="shared" si="2"/>
        <v>0</v>
      </c>
      <c r="L8" s="405">
        <v>0</v>
      </c>
      <c r="M8" s="409" t="s">
        <v>158</v>
      </c>
      <c r="S8" s="533"/>
      <c r="T8" s="533"/>
    </row>
    <row r="9" spans="1:25" ht="19.2" customHeight="1" x14ac:dyDescent="0.25">
      <c r="A9" s="457" t="s">
        <v>139</v>
      </c>
      <c r="B9" s="456" t="s">
        <v>159</v>
      </c>
      <c r="C9" s="19" t="s">
        <v>160</v>
      </c>
      <c r="D9" s="19" t="s">
        <v>151</v>
      </c>
      <c r="E9" s="298" t="s">
        <v>157</v>
      </c>
      <c r="F9" s="18" t="s">
        <v>144</v>
      </c>
      <c r="G9" s="516">
        <f t="shared" si="0"/>
        <v>2.0761294439064108E-2</v>
      </c>
      <c r="H9" s="18">
        <v>114.23</v>
      </c>
      <c r="I9" s="18">
        <f t="shared" si="1"/>
        <v>1142.3</v>
      </c>
      <c r="J9" s="18">
        <v>1</v>
      </c>
      <c r="K9" s="18"/>
      <c r="L9" s="307" t="s">
        <v>161</v>
      </c>
      <c r="M9" s="433" t="s">
        <v>162</v>
      </c>
      <c r="S9" s="533"/>
      <c r="T9" s="533"/>
    </row>
    <row r="10" spans="1:25" ht="17.7" customHeight="1" x14ac:dyDescent="0.25">
      <c r="A10" s="457" t="s">
        <v>139</v>
      </c>
      <c r="B10" s="456" t="s">
        <v>163</v>
      </c>
      <c r="C10" s="19" t="s">
        <v>164</v>
      </c>
      <c r="D10" s="19"/>
      <c r="E10" s="19" t="s">
        <v>143</v>
      </c>
      <c r="F10" s="18" t="s">
        <v>144</v>
      </c>
      <c r="G10" s="516">
        <f t="shared" si="0"/>
        <v>4.0762874173100747E-2</v>
      </c>
      <c r="H10" s="18">
        <v>224.28</v>
      </c>
      <c r="I10" s="18">
        <f t="shared" si="1"/>
        <v>2242.8000000000002</v>
      </c>
      <c r="J10" s="18">
        <v>1</v>
      </c>
      <c r="K10" s="18"/>
      <c r="L10" s="307" t="s">
        <v>161</v>
      </c>
      <c r="M10" s="830" t="s">
        <v>639</v>
      </c>
      <c r="S10" s="533"/>
      <c r="T10" s="533"/>
    </row>
    <row r="11" spans="1:25" ht="17.7" customHeight="1" x14ac:dyDescent="0.25">
      <c r="A11" s="457" t="s">
        <v>139</v>
      </c>
      <c r="B11" s="456" t="s">
        <v>165</v>
      </c>
      <c r="C11" s="191" t="s">
        <v>166</v>
      </c>
      <c r="D11" s="19" t="s">
        <v>151</v>
      </c>
      <c r="E11" s="19" t="s">
        <v>143</v>
      </c>
      <c r="F11" s="18" t="s">
        <v>144</v>
      </c>
      <c r="G11" s="516">
        <f t="shared" si="0"/>
        <v>2.0001579734036636E-2</v>
      </c>
      <c r="H11" s="18">
        <v>110.05</v>
      </c>
      <c r="I11" s="18">
        <f t="shared" si="1"/>
        <v>1100.5</v>
      </c>
      <c r="J11" s="18">
        <v>1</v>
      </c>
      <c r="K11" s="18">
        <f t="shared" si="2"/>
        <v>3.63165</v>
      </c>
      <c r="L11" s="308">
        <v>33</v>
      </c>
      <c r="M11" s="303"/>
      <c r="S11" s="533"/>
      <c r="T11" s="533"/>
    </row>
    <row r="12" spans="1:25" ht="17.7" customHeight="1" x14ac:dyDescent="0.25">
      <c r="A12" s="457" t="s">
        <v>139</v>
      </c>
      <c r="B12" s="456" t="s">
        <v>167</v>
      </c>
      <c r="C12" s="19" t="s">
        <v>168</v>
      </c>
      <c r="D12" s="19" t="s">
        <v>146</v>
      </c>
      <c r="E12" s="19" t="s">
        <v>143</v>
      </c>
      <c r="F12" s="18" t="s">
        <v>144</v>
      </c>
      <c r="G12" s="516">
        <f t="shared" si="0"/>
        <v>2.2220746372406355E-2</v>
      </c>
      <c r="H12" s="18">
        <v>122.26</v>
      </c>
      <c r="I12" s="18">
        <f t="shared" si="1"/>
        <v>1222.6000000000001</v>
      </c>
      <c r="J12" s="18">
        <v>1</v>
      </c>
      <c r="K12" s="18">
        <f t="shared" si="2"/>
        <v>0.61130000000000007</v>
      </c>
      <c r="L12" s="305">
        <v>5</v>
      </c>
      <c r="M12" s="299"/>
      <c r="S12" s="533"/>
      <c r="T12" s="533"/>
    </row>
    <row r="13" spans="1:25" ht="17.7" customHeight="1" x14ac:dyDescent="0.25">
      <c r="A13" s="457" t="s">
        <v>139</v>
      </c>
      <c r="B13" s="456" t="s">
        <v>169</v>
      </c>
      <c r="C13" s="19" t="s">
        <v>168</v>
      </c>
      <c r="D13" s="19" t="s">
        <v>142</v>
      </c>
      <c r="E13" s="19" t="s">
        <v>143</v>
      </c>
      <c r="F13" s="18" t="s">
        <v>144</v>
      </c>
      <c r="G13" s="516">
        <f t="shared" si="0"/>
        <v>3.8420117582716989E-2</v>
      </c>
      <c r="H13" s="126">
        <v>211.39</v>
      </c>
      <c r="I13" s="18">
        <f t="shared" si="1"/>
        <v>2113.8999999999996</v>
      </c>
      <c r="J13" s="18">
        <v>1</v>
      </c>
      <c r="K13" s="18">
        <f t="shared" si="2"/>
        <v>1.0569499999999998</v>
      </c>
      <c r="L13" s="305">
        <v>5</v>
      </c>
      <c r="M13" s="299"/>
      <c r="O13" s="604"/>
      <c r="P13" s="604"/>
      <c r="Q13" s="604"/>
      <c r="R13" s="534"/>
      <c r="S13" s="533"/>
      <c r="T13" s="533"/>
    </row>
    <row r="14" spans="1:25" ht="17.7" customHeight="1" x14ac:dyDescent="0.3">
      <c r="A14" s="457" t="s">
        <v>139</v>
      </c>
      <c r="B14" s="456" t="s">
        <v>170</v>
      </c>
      <c r="C14" s="19" t="s">
        <v>168</v>
      </c>
      <c r="D14" s="19" t="s">
        <v>148</v>
      </c>
      <c r="E14" s="19" t="s">
        <v>143</v>
      </c>
      <c r="F14" s="18" t="s">
        <v>144</v>
      </c>
      <c r="G14" s="516">
        <f t="shared" si="0"/>
        <v>2.2220746372406355E-2</v>
      </c>
      <c r="H14" s="18">
        <v>122.26</v>
      </c>
      <c r="I14" s="18">
        <f t="shared" si="1"/>
        <v>1222.6000000000001</v>
      </c>
      <c r="J14" s="18">
        <v>1</v>
      </c>
      <c r="K14" s="18">
        <f t="shared" si="2"/>
        <v>0.61130000000000007</v>
      </c>
      <c r="L14" s="305">
        <v>5</v>
      </c>
      <c r="M14" s="299"/>
      <c r="S14" s="533"/>
      <c r="T14" s="312"/>
      <c r="Y14" s="314"/>
    </row>
    <row r="15" spans="1:25" ht="21.6" customHeight="1" x14ac:dyDescent="0.25">
      <c r="A15" s="457" t="s">
        <v>139</v>
      </c>
      <c r="B15" s="456" t="s">
        <v>171</v>
      </c>
      <c r="C15" s="19" t="s">
        <v>168</v>
      </c>
      <c r="D15" s="108" t="s">
        <v>151</v>
      </c>
      <c r="E15" s="19" t="s">
        <v>143</v>
      </c>
      <c r="F15" s="18" t="s">
        <v>144</v>
      </c>
      <c r="G15" s="516">
        <f t="shared" si="0"/>
        <v>3.8420117582716989E-2</v>
      </c>
      <c r="H15" s="126">
        <v>211.39</v>
      </c>
      <c r="I15" s="18">
        <f t="shared" si="1"/>
        <v>2113.8999999999996</v>
      </c>
      <c r="J15" s="18">
        <v>1</v>
      </c>
      <c r="K15" s="18">
        <f t="shared" si="2"/>
        <v>1.0569499999999998</v>
      </c>
      <c r="L15" s="305">
        <v>5</v>
      </c>
      <c r="M15" s="299"/>
    </row>
    <row r="16" spans="1:25" ht="17.7" customHeight="1" x14ac:dyDescent="0.25">
      <c r="A16" s="457" t="s">
        <v>139</v>
      </c>
      <c r="B16" s="456" t="s">
        <v>172</v>
      </c>
      <c r="C16" s="19" t="s">
        <v>172</v>
      </c>
      <c r="D16" s="298" t="s">
        <v>161</v>
      </c>
      <c r="E16" s="19" t="s">
        <v>173</v>
      </c>
      <c r="F16" s="18" t="s">
        <v>174</v>
      </c>
      <c r="G16" s="143">
        <v>1</v>
      </c>
      <c r="H16" s="18">
        <v>6114.3046999999997</v>
      </c>
      <c r="I16" s="18">
        <v>25437.110800000002</v>
      </c>
      <c r="J16" s="18">
        <v>1</v>
      </c>
      <c r="K16" s="18"/>
      <c r="L16" s="305" t="s">
        <v>161</v>
      </c>
      <c r="M16" s="299"/>
    </row>
    <row r="17" spans="1:18" ht="39.6" customHeight="1" x14ac:dyDescent="0.25">
      <c r="A17" s="458" t="s">
        <v>175</v>
      </c>
      <c r="B17" s="19" t="s">
        <v>176</v>
      </c>
      <c r="C17" s="108" t="s">
        <v>177</v>
      </c>
      <c r="D17" s="108" t="s">
        <v>178</v>
      </c>
      <c r="E17" s="108" t="s">
        <v>640</v>
      </c>
      <c r="F17" s="21" t="s">
        <v>179</v>
      </c>
      <c r="G17" s="143">
        <f>SUM(G3:G15)</f>
        <v>0.99999999999999978</v>
      </c>
      <c r="H17" s="20">
        <f>SUM(H3:H15)</f>
        <v>5502.0654100000011</v>
      </c>
      <c r="I17" s="18">
        <f>SUM(I3:I16)</f>
        <v>80457.764900000009</v>
      </c>
      <c r="J17" s="18">
        <v>1</v>
      </c>
      <c r="K17" s="18"/>
      <c r="L17" s="305"/>
      <c r="M17" s="299"/>
    </row>
    <row r="18" spans="1:18" ht="21.6" customHeight="1" x14ac:dyDescent="0.25">
      <c r="G18" s="23"/>
      <c r="H18" s="23"/>
      <c r="I18" s="23"/>
      <c r="J18" s="23"/>
      <c r="K18" s="504"/>
    </row>
    <row r="19" spans="1:18" s="324" customFormat="1" ht="21.6" customHeight="1" x14ac:dyDescent="0.3">
      <c r="B19" s="81" t="s">
        <v>180</v>
      </c>
      <c r="D19" s="78"/>
      <c r="E19" s="78"/>
      <c r="F19" s="78"/>
      <c r="G19" s="38"/>
      <c r="I19" s="511"/>
      <c r="J19" s="511"/>
      <c r="O19" s="601" t="s">
        <v>181</v>
      </c>
      <c r="P19" s="602"/>
      <c r="Q19" s="602"/>
      <c r="R19" s="603"/>
    </row>
    <row r="20" spans="1:18" s="324" customFormat="1" ht="13.95" customHeight="1" x14ac:dyDescent="0.3">
      <c r="B20" s="392" t="s">
        <v>18</v>
      </c>
      <c r="D20" s="392"/>
      <c r="E20" s="392"/>
      <c r="G20" s="511"/>
      <c r="H20" s="511"/>
      <c r="I20" s="511"/>
      <c r="J20" s="511"/>
      <c r="O20" s="612" t="s">
        <v>182</v>
      </c>
      <c r="P20" s="613"/>
      <c r="Q20" s="614"/>
      <c r="R20" s="535" t="s">
        <v>183</v>
      </c>
    </row>
    <row r="21" spans="1:18" s="324" customFormat="1" ht="16.2" customHeight="1" x14ac:dyDescent="0.3">
      <c r="B21" s="412" t="s">
        <v>184</v>
      </c>
      <c r="D21" s="412"/>
      <c r="E21" s="412"/>
      <c r="G21" s="511"/>
      <c r="H21" s="511"/>
      <c r="I21" s="511"/>
      <c r="J21" s="511"/>
      <c r="O21" s="598" t="s">
        <v>141</v>
      </c>
      <c r="P21" s="599"/>
      <c r="Q21" s="600"/>
      <c r="R21" s="410">
        <f>SUM(G3:G5)</f>
        <v>0.49610778800246935</v>
      </c>
    </row>
    <row r="22" spans="1:18" ht="10.199999999999999" customHeight="1" x14ac:dyDescent="0.25">
      <c r="C22" s="23"/>
      <c r="D22" s="23"/>
      <c r="E22" s="23"/>
      <c r="G22" s="23"/>
      <c r="H22" s="23"/>
      <c r="I22" s="23"/>
      <c r="J22" s="23"/>
      <c r="O22" s="598" t="s">
        <v>150</v>
      </c>
      <c r="P22" s="599"/>
      <c r="Q22" s="600"/>
      <c r="R22" s="410">
        <f t="shared" ref="R22:R27" si="3">G6</f>
        <v>8.2941580296479966E-2</v>
      </c>
    </row>
    <row r="23" spans="1:18" x14ac:dyDescent="0.25">
      <c r="C23" s="23"/>
      <c r="D23" s="23"/>
      <c r="E23" s="23"/>
      <c r="G23" s="23"/>
      <c r="H23" s="23"/>
      <c r="I23" s="23"/>
      <c r="J23" s="23"/>
      <c r="O23" s="598" t="s">
        <v>153</v>
      </c>
      <c r="P23" s="599"/>
      <c r="Q23" s="600"/>
      <c r="R23" s="410">
        <f t="shared" si="3"/>
        <v>8.2941580296479966E-2</v>
      </c>
    </row>
    <row r="24" spans="1:18" x14ac:dyDescent="0.25">
      <c r="G24" s="23"/>
      <c r="H24" s="23"/>
      <c r="I24" s="23"/>
      <c r="J24" s="23"/>
      <c r="O24" s="598" t="s">
        <v>156</v>
      </c>
      <c r="P24" s="599"/>
      <c r="Q24" s="600"/>
      <c r="R24" s="410">
        <f t="shared" si="3"/>
        <v>0.13520157514812239</v>
      </c>
    </row>
    <row r="25" spans="1:18" x14ac:dyDescent="0.25">
      <c r="F25" s="48"/>
      <c r="G25" s="23"/>
      <c r="H25" s="23"/>
      <c r="I25" s="23"/>
      <c r="J25" s="23"/>
      <c r="O25" s="598" t="s">
        <v>160</v>
      </c>
      <c r="P25" s="599"/>
      <c r="Q25" s="600"/>
      <c r="R25" s="410">
        <f t="shared" si="3"/>
        <v>2.0761294439064108E-2</v>
      </c>
    </row>
    <row r="26" spans="1:18" x14ac:dyDescent="0.25">
      <c r="F26" s="48"/>
      <c r="G26" s="23"/>
      <c r="H26" s="23"/>
      <c r="I26" s="23"/>
      <c r="J26" s="23"/>
      <c r="O26" s="598" t="s">
        <v>164</v>
      </c>
      <c r="P26" s="599"/>
      <c r="Q26" s="600"/>
      <c r="R26" s="410">
        <f t="shared" si="3"/>
        <v>4.0762874173100747E-2</v>
      </c>
    </row>
    <row r="27" spans="1:18" x14ac:dyDescent="0.25">
      <c r="C27" s="147"/>
      <c r="F27" s="48"/>
      <c r="G27" s="23"/>
      <c r="H27" s="23"/>
      <c r="I27" s="23"/>
      <c r="J27" s="23"/>
      <c r="O27" s="598" t="s">
        <v>166</v>
      </c>
      <c r="P27" s="599"/>
      <c r="Q27" s="600"/>
      <c r="R27" s="410">
        <f t="shared" si="3"/>
        <v>2.0001579734036636E-2</v>
      </c>
    </row>
    <row r="28" spans="1:18" x14ac:dyDescent="0.25">
      <c r="F28" s="48"/>
      <c r="G28" s="23"/>
      <c r="H28" s="23"/>
      <c r="I28" s="23"/>
      <c r="J28" s="23"/>
      <c r="O28" s="608" t="s">
        <v>168</v>
      </c>
      <c r="P28" s="609"/>
      <c r="Q28" s="610"/>
      <c r="R28" s="411">
        <f>SUM(G12:G15)</f>
        <v>0.12128172791024669</v>
      </c>
    </row>
    <row r="29" spans="1:18" x14ac:dyDescent="0.25">
      <c r="F29" s="48"/>
      <c r="G29" s="23"/>
      <c r="H29" s="23"/>
      <c r="I29" s="23"/>
      <c r="J29" s="23"/>
      <c r="O29" s="605" t="s">
        <v>185</v>
      </c>
      <c r="P29" s="606"/>
      <c r="Q29" s="607"/>
      <c r="R29" s="536">
        <f>SUM(R21:R28)</f>
        <v>0.99999999999999978</v>
      </c>
    </row>
    <row r="30" spans="1:18" x14ac:dyDescent="0.25">
      <c r="F30" s="48"/>
      <c r="G30" s="23"/>
      <c r="H30" s="23"/>
      <c r="I30" s="23"/>
      <c r="J30" s="23"/>
      <c r="K30" s="23"/>
    </row>
    <row r="31" spans="1:18" x14ac:dyDescent="0.25">
      <c r="F31" s="48"/>
      <c r="G31" s="23"/>
      <c r="H31" s="23"/>
      <c r="I31" s="23"/>
      <c r="J31" s="23"/>
      <c r="K31" s="23"/>
    </row>
  </sheetData>
  <autoFilter ref="A2:Y2" xr:uid="{2E9DC9C1-ABE9-4C74-8C0A-F769CBEC5074}"/>
  <mergeCells count="13">
    <mergeCell ref="A1:M1"/>
    <mergeCell ref="O20:Q20"/>
    <mergeCell ref="O21:Q21"/>
    <mergeCell ref="O22:Q22"/>
    <mergeCell ref="O23:Q23"/>
    <mergeCell ref="O24:Q24"/>
    <mergeCell ref="O25:Q25"/>
    <mergeCell ref="O19:R19"/>
    <mergeCell ref="O13:Q13"/>
    <mergeCell ref="O29:Q29"/>
    <mergeCell ref="O26:Q26"/>
    <mergeCell ref="O27:Q27"/>
    <mergeCell ref="O28:Q28"/>
  </mergeCells>
  <phoneticPr fontId="4" type="noConversion"/>
  <hyperlinks>
    <hyperlink ref="B20" r:id="rId1" xr:uid="{58518BC6-E4B2-4912-A8F5-29F636272C9A}"/>
    <hyperlink ref="B21" r:id="rId2" xr:uid="{2EFE29EA-585B-4F90-8184-3D129F20D938}"/>
  </hyperlinks>
  <pageMargins left="0.7" right="0.7" top="0.75" bottom="0.75" header="0.3" footer="0.3"/>
  <pageSetup orientation="portrait" r:id="rId3"/>
  <drawing r:id="rId4"/>
  <extLst>
    <ext xmlns:x14="http://schemas.microsoft.com/office/spreadsheetml/2009/9/main" uri="{CCE6A557-97BC-4b89-ADB6-D9C93CAAB3DF}">
      <x14:dataValidations xmlns:xm="http://schemas.microsoft.com/office/excel/2006/main" count="1">
        <x14:dataValidation type="list" allowBlank="1" showInputMessage="1" showErrorMessage="1" xr:uid="{27679C59-7EDB-4B04-B33D-CB37EC9309ED}">
          <x14:formula1>
            <xm:f>Data!$A$2:$A$201</xm:f>
          </x14:formula1>
          <xm:sqref>C3:C16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093AA-CE58-48DD-B4C9-82527CB4498E}">
  <sheetPr codeName="Sheet2"/>
  <dimension ref="A1:BS131"/>
  <sheetViews>
    <sheetView zoomScale="85" zoomScaleNormal="85" workbookViewId="0">
      <selection sqref="A1:X1"/>
    </sheetView>
  </sheetViews>
  <sheetFormatPr defaultColWidth="9.33203125" defaultRowHeight="13.8" x14ac:dyDescent="0.25"/>
  <cols>
    <col min="1" max="1" width="18.6640625" style="112" customWidth="1"/>
    <col min="2" max="2" width="13.5546875" style="114" customWidth="1"/>
    <col min="3" max="3" width="25.33203125" style="112" customWidth="1"/>
    <col min="4" max="4" width="44.44140625" style="112" customWidth="1"/>
    <col min="5" max="5" width="12.44140625" style="112" customWidth="1"/>
    <col min="6" max="6" width="10.6640625" style="112" customWidth="1"/>
    <col min="7" max="7" width="22.5546875" style="115" customWidth="1"/>
    <col min="8" max="8" width="49" style="112" customWidth="1"/>
    <col min="9" max="9" width="6.88671875" style="112" customWidth="1"/>
    <col min="10" max="12" width="7" style="112" customWidth="1"/>
    <col min="13" max="13" width="7.88671875" style="112" customWidth="1"/>
    <col min="14" max="14" width="8.6640625" style="112" customWidth="1"/>
    <col min="15" max="15" width="7" style="112" customWidth="1"/>
    <col min="16" max="16" width="7.109375" style="112" customWidth="1"/>
    <col min="17" max="17" width="7.5546875" style="112" customWidth="1"/>
    <col min="18" max="21" width="7" style="112" customWidth="1"/>
    <col min="22" max="22" width="7.6640625" style="112" customWidth="1"/>
    <col min="23" max="23" width="7.33203125" style="112" customWidth="1"/>
    <col min="24" max="24" width="7" style="112" customWidth="1"/>
    <col min="25" max="25" width="9.33203125" style="112"/>
    <col min="26" max="26" width="22.88671875" style="112" customWidth="1"/>
    <col min="27" max="30" width="7.6640625" style="112" customWidth="1"/>
    <col min="31" max="31" width="9.6640625" style="112" customWidth="1"/>
    <col min="32" max="32" width="7.5546875" style="112" customWidth="1"/>
    <col min="33" max="33" width="11.44140625" style="112" customWidth="1"/>
    <col min="34" max="35" width="7.6640625" style="112" customWidth="1"/>
    <col min="36" max="36" width="11.88671875" style="112" customWidth="1"/>
    <col min="37" max="38" width="7.6640625" style="112" customWidth="1"/>
    <col min="39" max="39" width="12.33203125" style="112" customWidth="1"/>
    <col min="40" max="40" width="12.5546875" style="112" customWidth="1"/>
    <col min="41" max="41" width="11.6640625" style="112" customWidth="1"/>
    <col min="42" max="42" width="15.33203125" style="112" customWidth="1"/>
    <col min="43" max="46" width="10.44140625" style="112" customWidth="1"/>
    <col min="47" max="47" width="9.88671875" style="112" customWidth="1"/>
    <col min="48" max="48" width="10.44140625" style="112" customWidth="1"/>
    <col min="49" max="49" width="21.6640625" style="112" customWidth="1"/>
    <col min="50" max="50" width="10.44140625" style="112" customWidth="1"/>
    <col min="51" max="53" width="7.44140625" style="112" customWidth="1"/>
    <col min="54" max="54" width="7.6640625" style="112" customWidth="1"/>
    <col min="55" max="55" width="7.44140625" style="112" customWidth="1"/>
    <col min="56" max="56" width="13.6640625" style="112" customWidth="1"/>
    <col min="57" max="60" width="7.44140625" style="112" customWidth="1"/>
    <col min="61" max="62" width="9.6640625" style="112" bestFit="1" customWidth="1"/>
    <col min="63" max="16384" width="9.33203125" style="112"/>
  </cols>
  <sheetData>
    <row r="1" spans="1:71" ht="31.95" customHeight="1" x14ac:dyDescent="0.25">
      <c r="A1" s="615" t="s">
        <v>186</v>
      </c>
      <c r="B1" s="615"/>
      <c r="C1" s="615"/>
      <c r="D1" s="615"/>
      <c r="E1" s="615"/>
      <c r="F1" s="615"/>
      <c r="G1" s="615"/>
      <c r="H1" s="615"/>
      <c r="I1" s="615"/>
      <c r="J1" s="615"/>
      <c r="K1" s="615"/>
      <c r="L1" s="615"/>
      <c r="M1" s="615"/>
      <c r="N1" s="615"/>
      <c r="O1" s="615"/>
      <c r="P1" s="615"/>
      <c r="Q1" s="615"/>
      <c r="R1" s="615"/>
      <c r="S1" s="615"/>
      <c r="T1" s="615"/>
      <c r="U1" s="615"/>
      <c r="V1" s="615"/>
      <c r="W1" s="615"/>
      <c r="X1" s="615"/>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2"/>
      <c r="BJ1" s="2"/>
      <c r="BK1" s="2"/>
      <c r="BL1" s="2"/>
      <c r="BM1" s="2"/>
      <c r="BN1" s="2"/>
      <c r="BO1" s="2"/>
      <c r="BP1" s="2"/>
      <c r="BQ1" s="2"/>
      <c r="BR1" s="2"/>
      <c r="BS1" s="2"/>
    </row>
    <row r="2" spans="1:71" ht="31.2" customHeight="1" x14ac:dyDescent="0.25">
      <c r="A2" s="145" t="s">
        <v>187</v>
      </c>
      <c r="B2" s="145" t="s">
        <v>188</v>
      </c>
      <c r="C2" s="145" t="s">
        <v>189</v>
      </c>
      <c r="D2" s="145" t="s">
        <v>190</v>
      </c>
      <c r="E2" s="205" t="s">
        <v>191</v>
      </c>
      <c r="F2" s="145" t="s">
        <v>192</v>
      </c>
      <c r="G2" s="205" t="s">
        <v>193</v>
      </c>
      <c r="H2" s="145" t="s">
        <v>71</v>
      </c>
      <c r="I2" s="145" t="s">
        <v>194</v>
      </c>
      <c r="J2" s="145" t="s">
        <v>195</v>
      </c>
      <c r="K2" s="145" t="s">
        <v>196</v>
      </c>
      <c r="L2" s="145" t="s">
        <v>197</v>
      </c>
      <c r="M2" s="145" t="s">
        <v>198</v>
      </c>
      <c r="N2" s="145" t="s">
        <v>199</v>
      </c>
      <c r="O2" s="145" t="s">
        <v>200</v>
      </c>
      <c r="P2" s="145" t="s">
        <v>201</v>
      </c>
      <c r="Q2" s="145" t="s">
        <v>202</v>
      </c>
      <c r="R2" s="145" t="s">
        <v>203</v>
      </c>
      <c r="S2" s="145" t="s">
        <v>204</v>
      </c>
      <c r="T2" s="145" t="s">
        <v>205</v>
      </c>
      <c r="U2" s="145" t="s">
        <v>206</v>
      </c>
      <c r="V2" s="145" t="s">
        <v>207</v>
      </c>
      <c r="W2" s="145" t="s">
        <v>208</v>
      </c>
      <c r="X2" s="145" t="s">
        <v>209</v>
      </c>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c r="BI2" s="2"/>
      <c r="BJ2" s="2"/>
      <c r="BK2" s="2"/>
      <c r="BL2" s="2"/>
      <c r="BM2" s="2"/>
      <c r="BN2" s="2"/>
      <c r="BO2" s="2"/>
      <c r="BP2" s="2"/>
      <c r="BQ2" s="2"/>
      <c r="BR2" s="2"/>
      <c r="BS2" s="2"/>
    </row>
    <row r="3" spans="1:71" ht="17.399999999999999" customHeight="1" x14ac:dyDescent="0.25">
      <c r="A3" s="627" t="s">
        <v>210</v>
      </c>
      <c r="B3" s="627" t="s">
        <v>211</v>
      </c>
      <c r="C3" s="626" t="s">
        <v>212</v>
      </c>
      <c r="D3" s="626" t="s">
        <v>213</v>
      </c>
      <c r="E3" s="627" t="s">
        <v>214</v>
      </c>
      <c r="F3" s="496" t="s">
        <v>215</v>
      </c>
      <c r="G3" s="496" t="s">
        <v>216</v>
      </c>
      <c r="H3" s="497" t="s">
        <v>217</v>
      </c>
      <c r="I3" s="483">
        <v>0.29199999999999998</v>
      </c>
      <c r="J3" s="483">
        <v>0.29199999999999998</v>
      </c>
      <c r="K3" s="483">
        <v>0.29199999999999998</v>
      </c>
      <c r="L3" s="483">
        <v>0.29199999999999998</v>
      </c>
      <c r="M3" s="483">
        <v>0.29199999999999998</v>
      </c>
      <c r="N3" s="483">
        <v>0.29199999999999998</v>
      </c>
      <c r="O3" s="483">
        <v>0.29199999999999998</v>
      </c>
      <c r="P3" s="483">
        <v>0.29199999999999998</v>
      </c>
      <c r="Q3" s="483">
        <v>0.29199999999999998</v>
      </c>
      <c r="R3" s="483">
        <v>0.29199999999999998</v>
      </c>
      <c r="S3" s="483">
        <v>0.29199999999999998</v>
      </c>
      <c r="T3" s="483">
        <v>0.29199999999999998</v>
      </c>
      <c r="U3" s="483">
        <v>0.29199999999999998</v>
      </c>
      <c r="V3" s="483">
        <v>0.29199999999999998</v>
      </c>
      <c r="W3" s="483">
        <v>0.29199999999999998</v>
      </c>
      <c r="X3" s="483">
        <v>0.29199999999999998</v>
      </c>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c r="BI3" s="2"/>
      <c r="BJ3" s="2"/>
      <c r="BK3" s="2"/>
      <c r="BL3" s="2"/>
      <c r="BM3" s="2"/>
      <c r="BN3" s="2"/>
      <c r="BO3" s="2"/>
      <c r="BP3" s="2"/>
      <c r="BQ3" s="2"/>
      <c r="BR3" s="2"/>
      <c r="BS3" s="2"/>
    </row>
    <row r="4" spans="1:71" ht="26.4" x14ac:dyDescent="0.25">
      <c r="A4" s="627"/>
      <c r="B4" s="627"/>
      <c r="C4" s="626"/>
      <c r="D4" s="626"/>
      <c r="E4" s="627"/>
      <c r="F4" s="484" t="s">
        <v>218</v>
      </c>
      <c r="G4" s="484">
        <v>1986</v>
      </c>
      <c r="H4" s="485" t="s">
        <v>219</v>
      </c>
      <c r="I4" s="486">
        <f>1/6.63</f>
        <v>0.15082956259426847</v>
      </c>
      <c r="J4" s="486">
        <f>1/6.35</f>
        <v>0.15748031496062992</v>
      </c>
      <c r="K4" s="486">
        <f>1/6.35</f>
        <v>0.15748031496062992</v>
      </c>
      <c r="L4" s="486">
        <f>1/6.96</f>
        <v>0.14367816091954022</v>
      </c>
      <c r="M4" s="486">
        <f>1/6.96</f>
        <v>0.14367816091954022</v>
      </c>
      <c r="N4" s="486">
        <f>1/4.62</f>
        <v>0.21645021645021645</v>
      </c>
      <c r="O4" s="486">
        <f>1/4.62</f>
        <v>0.21645021645021645</v>
      </c>
      <c r="P4" s="486">
        <f>1/4.62</f>
        <v>0.21645021645021645</v>
      </c>
      <c r="Q4" s="486">
        <f>1/4.62</f>
        <v>0.21645021645021645</v>
      </c>
      <c r="R4" s="486">
        <f>1/4.62</f>
        <v>0.21645021645021645</v>
      </c>
      <c r="S4" s="486">
        <f>1/5.37</f>
        <v>0.18621973929236499</v>
      </c>
      <c r="T4" s="486">
        <f>1/5.37</f>
        <v>0.18621973929236499</v>
      </c>
      <c r="U4" s="486">
        <f>1/5.37</f>
        <v>0.18621973929236499</v>
      </c>
      <c r="V4" s="486">
        <f>1/6.3</f>
        <v>0.15873015873015872</v>
      </c>
      <c r="W4" s="486">
        <f>1/6.3</f>
        <v>0.15873015873015872</v>
      </c>
      <c r="X4" s="486">
        <f>1/6.63</f>
        <v>0.15082956259426847</v>
      </c>
      <c r="Y4" s="133"/>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c r="BI4" s="2"/>
      <c r="BJ4" s="2"/>
      <c r="BK4" s="2"/>
      <c r="BL4" s="2"/>
      <c r="BM4" s="2"/>
      <c r="BN4" s="2"/>
      <c r="BO4" s="2"/>
      <c r="BP4" s="2"/>
      <c r="BQ4" s="2"/>
      <c r="BR4" s="2"/>
      <c r="BS4" s="2"/>
    </row>
    <row r="5" spans="1:71" x14ac:dyDescent="0.25">
      <c r="A5" s="627"/>
      <c r="B5" s="627"/>
      <c r="C5" s="626"/>
      <c r="D5" s="626"/>
      <c r="E5" s="627"/>
      <c r="F5" s="487" t="s">
        <v>220</v>
      </c>
      <c r="G5" s="487">
        <v>2001</v>
      </c>
      <c r="H5" s="487" t="s">
        <v>221</v>
      </c>
      <c r="I5" s="487">
        <v>8.4000000000000005E-2</v>
      </c>
      <c r="J5" s="487">
        <v>8.4000000000000005E-2</v>
      </c>
      <c r="K5" s="487">
        <v>9.1999999999999998E-2</v>
      </c>
      <c r="L5" s="487">
        <v>9.1999999999999998E-2</v>
      </c>
      <c r="M5" s="487">
        <v>9.1999999999999998E-2</v>
      </c>
      <c r="N5" s="487">
        <v>9.1999999999999998E-2</v>
      </c>
      <c r="O5" s="487">
        <v>9.1999999999999998E-2</v>
      </c>
      <c r="P5" s="487">
        <v>9.1999999999999998E-2</v>
      </c>
      <c r="Q5" s="487">
        <v>9.1999999999999998E-2</v>
      </c>
      <c r="R5" s="487">
        <v>8.4000000000000005E-2</v>
      </c>
      <c r="S5" s="487">
        <v>8.4000000000000005E-2</v>
      </c>
      <c r="T5" s="487">
        <v>8.4000000000000005E-2</v>
      </c>
      <c r="U5" s="487">
        <v>8.4000000000000005E-2</v>
      </c>
      <c r="V5" s="487">
        <v>8.4000000000000005E-2</v>
      </c>
      <c r="W5" s="487">
        <v>8.4000000000000005E-2</v>
      </c>
      <c r="X5" s="487">
        <v>8.4000000000000005E-2</v>
      </c>
      <c r="Y5" s="133"/>
      <c r="Z5" s="2"/>
      <c r="AA5" s="2"/>
      <c r="AB5" s="2"/>
      <c r="AC5" s="2"/>
      <c r="AD5" s="2"/>
      <c r="AE5" s="2"/>
      <c r="AF5" s="2"/>
      <c r="AG5" s="2"/>
      <c r="AH5" s="2"/>
      <c r="AI5" s="2"/>
      <c r="AJ5" s="2"/>
      <c r="AK5" s="2"/>
      <c r="AL5" s="2"/>
      <c r="AM5" s="2"/>
      <c r="AN5" s="2"/>
      <c r="AO5" s="2"/>
      <c r="AP5" s="2"/>
      <c r="AQ5" s="2"/>
      <c r="AR5" s="2"/>
      <c r="AS5" s="2"/>
      <c r="AT5" s="2"/>
      <c r="AU5" s="2"/>
      <c r="AV5" s="2"/>
      <c r="AW5" s="2"/>
      <c r="AX5" s="2"/>
      <c r="AY5" s="2"/>
      <c r="AZ5" s="2"/>
      <c r="BA5" s="2"/>
      <c r="BB5" s="2"/>
      <c r="BC5" s="2"/>
      <c r="BD5" s="2"/>
      <c r="BE5" s="2"/>
      <c r="BF5" s="2"/>
      <c r="BG5" s="2"/>
      <c r="BH5" s="2"/>
      <c r="BI5" s="2"/>
      <c r="BJ5" s="2"/>
      <c r="BK5" s="2"/>
      <c r="BL5" s="2"/>
      <c r="BM5" s="2"/>
      <c r="BN5" s="2"/>
      <c r="BO5" s="2"/>
      <c r="BP5" s="2"/>
      <c r="BQ5" s="2"/>
      <c r="BR5" s="2"/>
      <c r="BS5" s="2"/>
    </row>
    <row r="6" spans="1:71" x14ac:dyDescent="0.25">
      <c r="A6" s="627"/>
      <c r="B6" s="627"/>
      <c r="C6" s="626"/>
      <c r="D6" s="626"/>
      <c r="E6" s="627"/>
      <c r="F6" s="488" t="s">
        <v>222</v>
      </c>
      <c r="G6" s="488">
        <v>2013</v>
      </c>
      <c r="H6" s="488" t="s">
        <v>223</v>
      </c>
      <c r="I6" s="488">
        <v>0.10199999999999999</v>
      </c>
      <c r="J6" s="488">
        <v>5.8999999999999997E-2</v>
      </c>
      <c r="K6" s="488">
        <v>0.11</v>
      </c>
      <c r="L6" s="488">
        <v>5.8999999999999997E-2</v>
      </c>
      <c r="M6" s="488">
        <v>0.10199999999999999</v>
      </c>
      <c r="N6" s="488">
        <v>0.11</v>
      </c>
      <c r="O6" s="488">
        <v>0.11</v>
      </c>
      <c r="P6" s="488">
        <v>0.10199999999999999</v>
      </c>
      <c r="Q6" s="488">
        <v>5.8999999999999997E-2</v>
      </c>
      <c r="R6" s="488">
        <v>5.8999999999999997E-2</v>
      </c>
      <c r="S6" s="488">
        <v>5.8999999999999997E-2</v>
      </c>
      <c r="T6" s="488">
        <v>5.8999999999999997E-2</v>
      </c>
      <c r="U6" s="488">
        <v>5.8999999999999997E-2</v>
      </c>
      <c r="V6" s="488">
        <v>5.8999999999999997E-2</v>
      </c>
      <c r="W6" s="488">
        <v>4.2000000000000003E-2</v>
      </c>
      <c r="X6" s="488">
        <v>5.8999999999999997E-2</v>
      </c>
      <c r="Y6" s="133"/>
      <c r="Z6" s="2"/>
      <c r="AA6" s="2"/>
      <c r="AB6" s="2"/>
      <c r="AC6" s="2"/>
      <c r="AD6" s="2"/>
      <c r="AE6" s="2"/>
      <c r="AF6" s="2"/>
      <c r="AG6" s="2"/>
      <c r="AH6" s="2"/>
      <c r="AI6" s="2"/>
      <c r="AJ6" s="2"/>
      <c r="AK6" s="2"/>
      <c r="AL6" s="2"/>
      <c r="AM6" s="2"/>
      <c r="AN6" s="2"/>
      <c r="AO6" s="2"/>
      <c r="AP6" s="2"/>
      <c r="AQ6" s="2"/>
      <c r="AR6" s="2"/>
      <c r="AS6" s="2"/>
      <c r="AT6" s="2"/>
      <c r="AU6" s="2"/>
      <c r="AV6" s="2"/>
      <c r="AW6" s="2"/>
      <c r="AX6" s="2"/>
      <c r="AY6" s="2"/>
      <c r="AZ6" s="2"/>
      <c r="BA6" s="2"/>
      <c r="BB6" s="2"/>
      <c r="BC6" s="2"/>
      <c r="BD6" s="2"/>
      <c r="BE6" s="2"/>
      <c r="BF6" s="2"/>
      <c r="BG6" s="2"/>
      <c r="BH6" s="2"/>
      <c r="BI6" s="2"/>
      <c r="BJ6" s="2"/>
      <c r="BK6" s="2"/>
      <c r="BL6" s="2"/>
      <c r="BM6" s="2"/>
      <c r="BN6" s="2"/>
      <c r="BO6" s="2"/>
      <c r="BP6" s="2"/>
      <c r="BQ6" s="2"/>
      <c r="BR6" s="2"/>
      <c r="BS6" s="2"/>
    </row>
    <row r="7" spans="1:71" x14ac:dyDescent="0.25">
      <c r="A7" s="627"/>
      <c r="B7" s="627"/>
      <c r="C7" s="626"/>
      <c r="D7" s="626"/>
      <c r="E7" s="627"/>
      <c r="F7" s="489" t="s">
        <v>225</v>
      </c>
      <c r="G7" s="490">
        <v>2025</v>
      </c>
      <c r="H7" s="490" t="s">
        <v>223</v>
      </c>
      <c r="I7" s="490">
        <v>7.8E-2</v>
      </c>
      <c r="J7" s="490">
        <v>5.2999999999999999E-2</v>
      </c>
      <c r="K7" s="490">
        <v>0.10199999999999999</v>
      </c>
      <c r="L7" s="490">
        <v>5.2999999999999999E-2</v>
      </c>
      <c r="M7" s="490">
        <v>9.5000000000000001E-2</v>
      </c>
      <c r="N7" s="490">
        <v>0.10199999999999999</v>
      </c>
      <c r="O7" s="490">
        <v>0.10199999999999999</v>
      </c>
      <c r="P7" s="490">
        <v>9.5000000000000001E-2</v>
      </c>
      <c r="Q7" s="490">
        <v>5.2999999999999999E-2</v>
      </c>
      <c r="R7" s="490">
        <v>5.2999999999999999E-2</v>
      </c>
      <c r="S7" s="490">
        <v>4.2000000000000003E-2</v>
      </c>
      <c r="T7" s="490">
        <v>5.2999999999999999E-2</v>
      </c>
      <c r="U7" s="490">
        <v>5.2999999999999999E-2</v>
      </c>
      <c r="V7" s="490">
        <v>5.2999999999999999E-2</v>
      </c>
      <c r="W7" s="490">
        <v>3.7999999999999999E-2</v>
      </c>
      <c r="X7" s="490">
        <v>5.2999999999999999E-2</v>
      </c>
      <c r="Y7" s="133"/>
      <c r="Z7" s="2"/>
      <c r="AA7" s="2"/>
      <c r="AB7" s="2"/>
      <c r="AC7" s="2"/>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row>
    <row r="8" spans="1:71" ht="14.4" customHeight="1" x14ac:dyDescent="0.25">
      <c r="A8" s="627" t="s">
        <v>226</v>
      </c>
      <c r="B8" s="627" t="s">
        <v>81</v>
      </c>
      <c r="C8" s="626" t="s">
        <v>227</v>
      </c>
      <c r="D8" s="629" t="s">
        <v>228</v>
      </c>
      <c r="E8" s="627" t="s">
        <v>214</v>
      </c>
      <c r="F8" s="496" t="s">
        <v>215</v>
      </c>
      <c r="G8" s="496">
        <v>1992</v>
      </c>
      <c r="H8" s="626" t="s">
        <v>229</v>
      </c>
      <c r="I8" s="496">
        <v>5.7000000000000002E-2</v>
      </c>
      <c r="J8" s="496">
        <v>5.7000000000000002E-2</v>
      </c>
      <c r="K8" s="496">
        <v>5.7000000000000002E-2</v>
      </c>
      <c r="L8" s="496">
        <v>5.7000000000000002E-2</v>
      </c>
      <c r="M8" s="496">
        <v>5.7000000000000002E-2</v>
      </c>
      <c r="N8" s="496">
        <v>7.8E-2</v>
      </c>
      <c r="O8" s="496">
        <v>7.8E-2</v>
      </c>
      <c r="P8" s="496">
        <v>7.8E-2</v>
      </c>
      <c r="Q8" s="496">
        <v>7.8E-2</v>
      </c>
      <c r="R8" s="496">
        <v>7.8E-2</v>
      </c>
      <c r="S8" s="496">
        <v>5.7000000000000002E-2</v>
      </c>
      <c r="T8" s="496">
        <v>5.7000000000000002E-2</v>
      </c>
      <c r="U8" s="496">
        <v>5.7000000000000002E-2</v>
      </c>
      <c r="V8" s="496">
        <v>5.7000000000000002E-2</v>
      </c>
      <c r="W8" s="496">
        <v>5.7000000000000002E-2</v>
      </c>
      <c r="X8" s="496">
        <v>5.7000000000000002E-2</v>
      </c>
      <c r="Y8" s="133"/>
      <c r="Z8" s="264"/>
      <c r="AA8" s="265"/>
      <c r="AB8" s="265"/>
      <c r="AC8" s="265"/>
      <c r="AD8" s="265"/>
      <c r="AE8" s="265"/>
      <c r="AF8" s="265"/>
      <c r="AG8" s="265"/>
      <c r="AH8" s="265"/>
      <c r="AI8" s="265"/>
      <c r="AJ8" s="265"/>
      <c r="AK8" s="265"/>
      <c r="AL8" s="265"/>
      <c r="AM8" s="265"/>
      <c r="AN8" s="265"/>
      <c r="AO8" s="265"/>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row>
    <row r="9" spans="1:71" x14ac:dyDescent="0.25">
      <c r="A9" s="627"/>
      <c r="B9" s="627"/>
      <c r="C9" s="627"/>
      <c r="D9" s="629"/>
      <c r="E9" s="627"/>
      <c r="F9" s="496" t="s">
        <v>218</v>
      </c>
      <c r="G9" s="496">
        <v>1992</v>
      </c>
      <c r="H9" s="626"/>
      <c r="I9" s="496">
        <v>5.7000000000000002E-2</v>
      </c>
      <c r="J9" s="496">
        <v>5.7000000000000002E-2</v>
      </c>
      <c r="K9" s="496">
        <v>5.7000000000000002E-2</v>
      </c>
      <c r="L9" s="496">
        <v>5.7000000000000002E-2</v>
      </c>
      <c r="M9" s="496">
        <v>5.7000000000000002E-2</v>
      </c>
      <c r="N9" s="496">
        <v>7.8E-2</v>
      </c>
      <c r="O9" s="496">
        <v>7.8E-2</v>
      </c>
      <c r="P9" s="496">
        <v>7.8E-2</v>
      </c>
      <c r="Q9" s="496">
        <v>7.8E-2</v>
      </c>
      <c r="R9" s="496">
        <v>7.8E-2</v>
      </c>
      <c r="S9" s="496">
        <v>5.7000000000000002E-2</v>
      </c>
      <c r="T9" s="496">
        <v>5.7000000000000002E-2</v>
      </c>
      <c r="U9" s="496">
        <v>5.7000000000000002E-2</v>
      </c>
      <c r="V9" s="496">
        <v>5.7000000000000002E-2</v>
      </c>
      <c r="W9" s="496">
        <v>5.7000000000000002E-2</v>
      </c>
      <c r="X9" s="496">
        <v>5.7000000000000002E-2</v>
      </c>
      <c r="Y9" s="133"/>
      <c r="Z9" s="265"/>
      <c r="AA9" s="265"/>
      <c r="AB9" s="265"/>
      <c r="AC9" s="265"/>
      <c r="AD9" s="265"/>
      <c r="AE9" s="265"/>
      <c r="AF9" s="265"/>
      <c r="AG9" s="265"/>
      <c r="AH9" s="265"/>
      <c r="AI9" s="265"/>
      <c r="AJ9" s="265"/>
      <c r="AK9" s="265"/>
      <c r="AL9" s="265"/>
      <c r="AM9" s="265"/>
      <c r="AN9" s="265"/>
      <c r="AO9" s="265"/>
      <c r="AP9" s="2"/>
      <c r="AQ9" s="2"/>
      <c r="AR9" s="2"/>
      <c r="AS9" s="2"/>
      <c r="AT9" s="2"/>
      <c r="AU9" s="2"/>
      <c r="AV9" s="2"/>
      <c r="AW9" s="2"/>
      <c r="AX9" s="2"/>
      <c r="AY9" s="2"/>
      <c r="AZ9" s="2"/>
      <c r="BA9" s="2"/>
      <c r="BB9" s="2"/>
      <c r="BC9" s="2"/>
      <c r="BD9" s="2"/>
      <c r="BE9" s="2"/>
      <c r="BF9" s="2"/>
      <c r="BG9" s="2"/>
      <c r="BH9" s="2"/>
      <c r="BI9" s="2"/>
      <c r="BJ9" s="2"/>
      <c r="BK9" s="2"/>
      <c r="BL9" s="2"/>
      <c r="BM9" s="2"/>
      <c r="BN9" s="2"/>
      <c r="BO9" s="2"/>
      <c r="BP9" s="2"/>
      <c r="BQ9" s="2"/>
      <c r="BR9" s="2"/>
      <c r="BS9" s="2"/>
    </row>
    <row r="10" spans="1:71" x14ac:dyDescent="0.25">
      <c r="A10" s="627"/>
      <c r="B10" s="627"/>
      <c r="C10" s="627"/>
      <c r="D10" s="629"/>
      <c r="E10" s="627"/>
      <c r="F10" s="487" t="s">
        <v>220</v>
      </c>
      <c r="G10" s="487">
        <v>2001</v>
      </c>
      <c r="H10" s="487" t="s">
        <v>221</v>
      </c>
      <c r="I10" s="487">
        <v>5.7000000000000002E-2</v>
      </c>
      <c r="J10" s="487">
        <v>5.7000000000000002E-2</v>
      </c>
      <c r="K10" s="487">
        <v>5.7000000000000002E-2</v>
      </c>
      <c r="L10" s="487">
        <v>5.7000000000000002E-2</v>
      </c>
      <c r="M10" s="487">
        <v>5.7000000000000002E-2</v>
      </c>
      <c r="N10" s="487">
        <v>7.8E-2</v>
      </c>
      <c r="O10" s="487">
        <v>7.8E-2</v>
      </c>
      <c r="P10" s="487">
        <v>7.8E-2</v>
      </c>
      <c r="Q10" s="487">
        <v>7.8E-2</v>
      </c>
      <c r="R10" s="487">
        <v>5.7000000000000002E-2</v>
      </c>
      <c r="S10" s="487">
        <v>5.7000000000000002E-2</v>
      </c>
      <c r="T10" s="487">
        <v>5.7000000000000002E-2</v>
      </c>
      <c r="U10" s="487">
        <v>5.7000000000000002E-2</v>
      </c>
      <c r="V10" s="487">
        <v>5.7000000000000002E-2</v>
      </c>
      <c r="W10" s="487">
        <v>5.7000000000000002E-2</v>
      </c>
      <c r="X10" s="487">
        <v>5.7000000000000002E-2</v>
      </c>
      <c r="Y10" s="133"/>
      <c r="Z10" s="265"/>
      <c r="AA10" s="265"/>
      <c r="AB10" s="265"/>
      <c r="AC10" s="265"/>
      <c r="AD10" s="265"/>
      <c r="AE10" s="265"/>
      <c r="AF10" s="265"/>
      <c r="AG10" s="265"/>
      <c r="AH10" s="265"/>
      <c r="AI10" s="265"/>
      <c r="AJ10" s="265"/>
      <c r="AK10" s="265"/>
      <c r="AL10" s="265"/>
      <c r="AM10" s="265"/>
      <c r="AN10" s="265"/>
      <c r="AO10" s="265"/>
      <c r="AP10" s="2"/>
      <c r="AQ10" s="2"/>
      <c r="AR10" s="2"/>
      <c r="AS10" s="2"/>
      <c r="AT10" s="2"/>
      <c r="AU10" s="2"/>
      <c r="AV10" s="2"/>
      <c r="AW10" s="2"/>
      <c r="AX10" s="2"/>
      <c r="AY10" s="2"/>
      <c r="AZ10" s="2"/>
      <c r="BA10" s="2"/>
      <c r="BB10" s="2"/>
      <c r="BC10" s="2"/>
      <c r="BD10" s="2"/>
      <c r="BE10" s="2"/>
      <c r="BF10" s="2"/>
      <c r="BG10" s="2"/>
      <c r="BH10" s="2"/>
      <c r="BI10" s="2"/>
      <c r="BJ10" s="2"/>
      <c r="BK10" s="2"/>
      <c r="BL10" s="2"/>
      <c r="BM10" s="2"/>
      <c r="BN10" s="2"/>
      <c r="BO10" s="2"/>
      <c r="BP10" s="2"/>
      <c r="BQ10" s="2"/>
      <c r="BR10" s="2"/>
      <c r="BS10" s="2"/>
    </row>
    <row r="11" spans="1:71" x14ac:dyDescent="0.25">
      <c r="A11" s="627"/>
      <c r="B11" s="627"/>
      <c r="C11" s="627"/>
      <c r="D11" s="629"/>
      <c r="E11" s="627"/>
      <c r="F11" s="488" t="s">
        <v>222</v>
      </c>
      <c r="G11" s="488">
        <v>2013</v>
      </c>
      <c r="H11" s="488" t="s">
        <v>223</v>
      </c>
      <c r="I11" s="488">
        <v>4.9000000000000002E-2</v>
      </c>
      <c r="J11" s="488">
        <v>3.9E-2</v>
      </c>
      <c r="K11" s="488">
        <v>3.9E-2</v>
      </c>
      <c r="L11" s="488">
        <v>3.9E-2</v>
      </c>
      <c r="M11" s="488">
        <v>4.9000000000000002E-2</v>
      </c>
      <c r="N11" s="488">
        <v>7.4999999999999997E-2</v>
      </c>
      <c r="O11" s="488">
        <v>6.7000000000000004E-2</v>
      </c>
      <c r="P11" s="488">
        <v>6.7000000000000004E-2</v>
      </c>
      <c r="Q11" s="488">
        <v>3.9E-2</v>
      </c>
      <c r="R11" s="488">
        <v>3.9E-2</v>
      </c>
      <c r="S11" s="488">
        <v>3.9E-2</v>
      </c>
      <c r="T11" s="488">
        <v>3.9E-2</v>
      </c>
      <c r="U11" s="488">
        <v>3.9E-2</v>
      </c>
      <c r="V11" s="488">
        <v>3.9E-2</v>
      </c>
      <c r="W11" s="488">
        <v>3.9E-2</v>
      </c>
      <c r="X11" s="488">
        <v>3.9E-2</v>
      </c>
      <c r="Y11" s="133"/>
      <c r="Z11" s="265"/>
      <c r="AA11" s="265"/>
      <c r="AB11" s="265"/>
      <c r="AC11" s="265"/>
      <c r="AD11" s="265"/>
      <c r="AE11" s="265"/>
      <c r="AF11" s="265"/>
      <c r="AG11" s="265"/>
      <c r="AH11" s="265"/>
      <c r="AI11" s="265"/>
      <c r="AJ11" s="265"/>
      <c r="AK11" s="265"/>
      <c r="AL11" s="265"/>
      <c r="AM11" s="265"/>
      <c r="AN11" s="265"/>
      <c r="AO11" s="265"/>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row>
    <row r="12" spans="1:71" x14ac:dyDescent="0.25">
      <c r="A12" s="627"/>
      <c r="B12" s="627"/>
      <c r="C12" s="627"/>
      <c r="D12" s="629"/>
      <c r="E12" s="627"/>
      <c r="F12" s="491" t="s">
        <v>225</v>
      </c>
      <c r="G12" s="492">
        <v>2025</v>
      </c>
      <c r="H12" s="492" t="s">
        <v>223</v>
      </c>
      <c r="I12" s="492">
        <v>2.8000000000000001E-2</v>
      </c>
      <c r="J12" s="492">
        <v>2.8000000000000001E-2</v>
      </c>
      <c r="K12" s="492">
        <v>2.8000000000000001E-2</v>
      </c>
      <c r="L12" s="492">
        <v>2.8000000000000001E-2</v>
      </c>
      <c r="M12" s="492">
        <v>2.8000000000000001E-2</v>
      </c>
      <c r="N12" s="492">
        <v>4.7E-2</v>
      </c>
      <c r="O12" s="492">
        <v>4.7E-2</v>
      </c>
      <c r="P12" s="492">
        <v>4.7E-2</v>
      </c>
      <c r="Q12" s="492">
        <v>2.8000000000000001E-2</v>
      </c>
      <c r="R12" s="492">
        <v>2.8000000000000001E-2</v>
      </c>
      <c r="S12" s="492">
        <v>2.8000000000000001E-2</v>
      </c>
      <c r="T12" s="492">
        <v>2.8000000000000001E-2</v>
      </c>
      <c r="U12" s="492">
        <v>2.8000000000000001E-2</v>
      </c>
      <c r="V12" s="492">
        <v>2.8000000000000001E-2</v>
      </c>
      <c r="W12" s="492">
        <v>2.8000000000000001E-2</v>
      </c>
      <c r="X12" s="492">
        <v>2.8000000000000001E-2</v>
      </c>
      <c r="Y12" s="133"/>
      <c r="Z12" s="266"/>
      <c r="AA12" s="265"/>
      <c r="AB12" s="265"/>
      <c r="AC12" s="265"/>
      <c r="AD12" s="265"/>
      <c r="AE12" s="265"/>
      <c r="AF12" s="265"/>
      <c r="AG12" s="265"/>
      <c r="AH12" s="265"/>
      <c r="AI12" s="265"/>
      <c r="AJ12" s="265"/>
      <c r="AK12" s="265"/>
      <c r="AL12" s="265"/>
      <c r="AM12" s="265"/>
      <c r="AN12" s="265"/>
      <c r="AO12" s="265"/>
      <c r="AP12" s="2"/>
      <c r="AQ12" s="2"/>
      <c r="AR12" s="2"/>
      <c r="AS12" s="2"/>
      <c r="AT12" s="2"/>
      <c r="AU12" s="2"/>
      <c r="AV12" s="2"/>
      <c r="AW12" s="2"/>
      <c r="AX12" s="2"/>
      <c r="AY12" s="2"/>
      <c r="AZ12" s="2"/>
      <c r="BA12" s="2"/>
      <c r="BB12" s="2"/>
      <c r="BC12" s="2"/>
      <c r="BD12" s="2"/>
      <c r="BE12" s="2"/>
      <c r="BF12" s="2"/>
      <c r="BG12" s="2"/>
      <c r="BH12" s="2"/>
      <c r="BI12" s="2"/>
      <c r="BJ12" s="2"/>
      <c r="BK12" s="2"/>
      <c r="BL12" s="2"/>
      <c r="BM12" s="2"/>
      <c r="BN12" s="2"/>
      <c r="BO12" s="2"/>
      <c r="BP12" s="2"/>
      <c r="BQ12" s="2"/>
      <c r="BR12" s="2"/>
      <c r="BS12" s="2"/>
    </row>
    <row r="13" spans="1:71" ht="22.2" customHeight="1" x14ac:dyDescent="0.25">
      <c r="A13" s="627" t="s">
        <v>230</v>
      </c>
      <c r="B13" s="627" t="s">
        <v>81</v>
      </c>
      <c r="C13" s="627" t="s">
        <v>231</v>
      </c>
      <c r="D13" s="626" t="s">
        <v>232</v>
      </c>
      <c r="E13" s="627" t="s">
        <v>214</v>
      </c>
      <c r="F13" s="496" t="s">
        <v>215</v>
      </c>
      <c r="G13" s="496" t="s">
        <v>216</v>
      </c>
      <c r="H13" s="626" t="s">
        <v>233</v>
      </c>
      <c r="I13" s="493">
        <f>1.12*0.53+I$15*0.47</f>
        <v>0.82390000000000008</v>
      </c>
      <c r="J13" s="493">
        <f t="shared" ref="J13:X14" si="0">1.12*0.53+J$15*0.47</f>
        <v>0.82390000000000008</v>
      </c>
      <c r="K13" s="493">
        <f t="shared" si="0"/>
        <v>0.97430000000000017</v>
      </c>
      <c r="L13" s="493">
        <f t="shared" si="0"/>
        <v>0.97430000000000017</v>
      </c>
      <c r="M13" s="493">
        <f t="shared" si="0"/>
        <v>0.97430000000000017</v>
      </c>
      <c r="N13" s="493">
        <f t="shared" si="0"/>
        <v>0.97430000000000017</v>
      </c>
      <c r="O13" s="493">
        <f t="shared" si="0"/>
        <v>0.97430000000000017</v>
      </c>
      <c r="P13" s="493">
        <f t="shared" si="0"/>
        <v>0.97430000000000017</v>
      </c>
      <c r="Q13" s="493">
        <f t="shared" si="0"/>
        <v>0.97430000000000017</v>
      </c>
      <c r="R13" s="493">
        <f t="shared" si="0"/>
        <v>0.82390000000000008</v>
      </c>
      <c r="S13" s="493">
        <f t="shared" si="0"/>
        <v>0.82390000000000008</v>
      </c>
      <c r="T13" s="493">
        <f t="shared" si="0"/>
        <v>0.82390000000000008</v>
      </c>
      <c r="U13" s="493">
        <f t="shared" si="0"/>
        <v>0.82390000000000008</v>
      </c>
      <c r="V13" s="493">
        <f t="shared" si="0"/>
        <v>0.82390000000000008</v>
      </c>
      <c r="W13" s="493">
        <f t="shared" si="0"/>
        <v>0.82390000000000008</v>
      </c>
      <c r="X13" s="493">
        <f t="shared" si="0"/>
        <v>0.82390000000000008</v>
      </c>
      <c r="Y13" s="133"/>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c r="BI13" s="2"/>
      <c r="BJ13" s="2"/>
      <c r="BK13" s="2"/>
      <c r="BL13" s="2"/>
      <c r="BM13" s="2"/>
      <c r="BN13" s="2"/>
      <c r="BO13" s="2"/>
      <c r="BP13" s="2"/>
      <c r="BQ13" s="2"/>
      <c r="BR13" s="2"/>
      <c r="BS13" s="2"/>
    </row>
    <row r="14" spans="1:71" ht="21" customHeight="1" x14ac:dyDescent="0.25">
      <c r="A14" s="627"/>
      <c r="B14" s="627"/>
      <c r="C14" s="627"/>
      <c r="D14" s="626"/>
      <c r="E14" s="627"/>
      <c r="F14" s="496" t="s">
        <v>218</v>
      </c>
      <c r="G14" s="494" t="s">
        <v>216</v>
      </c>
      <c r="H14" s="626"/>
      <c r="I14" s="493">
        <f>1.12*0.53+I$15*0.47</f>
        <v>0.82390000000000008</v>
      </c>
      <c r="J14" s="493">
        <f t="shared" si="0"/>
        <v>0.82390000000000008</v>
      </c>
      <c r="K14" s="493">
        <f t="shared" si="0"/>
        <v>0.97430000000000017</v>
      </c>
      <c r="L14" s="493">
        <f t="shared" si="0"/>
        <v>0.97430000000000017</v>
      </c>
      <c r="M14" s="493">
        <f t="shared" si="0"/>
        <v>0.97430000000000017</v>
      </c>
      <c r="N14" s="493">
        <f t="shared" si="0"/>
        <v>0.97430000000000017</v>
      </c>
      <c r="O14" s="493">
        <f t="shared" si="0"/>
        <v>0.97430000000000017</v>
      </c>
      <c r="P14" s="493">
        <f t="shared" si="0"/>
        <v>0.97430000000000017</v>
      </c>
      <c r="Q14" s="493">
        <f t="shared" si="0"/>
        <v>0.97430000000000017</v>
      </c>
      <c r="R14" s="493">
        <f t="shared" si="0"/>
        <v>0.82390000000000008</v>
      </c>
      <c r="S14" s="493">
        <f t="shared" si="0"/>
        <v>0.82390000000000008</v>
      </c>
      <c r="T14" s="493">
        <f t="shared" si="0"/>
        <v>0.82390000000000008</v>
      </c>
      <c r="U14" s="493">
        <f t="shared" si="0"/>
        <v>0.82390000000000008</v>
      </c>
      <c r="V14" s="493">
        <f t="shared" si="0"/>
        <v>0.82390000000000008</v>
      </c>
      <c r="W14" s="493">
        <f t="shared" si="0"/>
        <v>0.82390000000000008</v>
      </c>
      <c r="X14" s="493">
        <f t="shared" si="0"/>
        <v>0.82390000000000008</v>
      </c>
      <c r="Y14" s="133"/>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row>
    <row r="15" spans="1:71" x14ac:dyDescent="0.25">
      <c r="A15" s="627"/>
      <c r="B15" s="627"/>
      <c r="C15" s="627"/>
      <c r="D15" s="627" t="s">
        <v>234</v>
      </c>
      <c r="E15" s="627"/>
      <c r="F15" s="487" t="s">
        <v>220</v>
      </c>
      <c r="G15" s="487">
        <v>2001</v>
      </c>
      <c r="H15" s="487" t="s">
        <v>221</v>
      </c>
      <c r="I15" s="487">
        <v>0.49</v>
      </c>
      <c r="J15" s="487">
        <v>0.49</v>
      </c>
      <c r="K15" s="487">
        <v>0.81</v>
      </c>
      <c r="L15" s="487">
        <v>0.81</v>
      </c>
      <c r="M15" s="487">
        <v>0.81</v>
      </c>
      <c r="N15" s="487">
        <v>0.81</v>
      </c>
      <c r="O15" s="487">
        <v>0.81</v>
      </c>
      <c r="P15" s="487">
        <v>0.81</v>
      </c>
      <c r="Q15" s="487">
        <v>0.81</v>
      </c>
      <c r="R15" s="487">
        <v>0.49</v>
      </c>
      <c r="S15" s="487">
        <v>0.49</v>
      </c>
      <c r="T15" s="487">
        <v>0.49</v>
      </c>
      <c r="U15" s="487">
        <v>0.49</v>
      </c>
      <c r="V15" s="487">
        <v>0.49</v>
      </c>
      <c r="W15" s="487">
        <v>0.49</v>
      </c>
      <c r="X15" s="487">
        <v>0.49</v>
      </c>
      <c r="Y15" s="133"/>
      <c r="Z15" s="2"/>
      <c r="AA15" s="2"/>
      <c r="AB15" s="2"/>
      <c r="AC15" s="2"/>
      <c r="AD15" s="2"/>
      <c r="AE15" s="2"/>
      <c r="AF15" s="2"/>
      <c r="AG15" s="2"/>
      <c r="AH15" s="2"/>
      <c r="AI15" s="2"/>
      <c r="AJ15" s="2"/>
      <c r="AK15" s="2"/>
      <c r="AL15" s="2"/>
      <c r="AM15" s="2"/>
      <c r="AN15" s="2"/>
      <c r="AO15" s="2"/>
      <c r="AP15" s="2"/>
      <c r="AQ15" s="2"/>
      <c r="AR15" s="2"/>
      <c r="AS15" s="2"/>
      <c r="AT15" s="2"/>
      <c r="AU15" s="2"/>
      <c r="AV15" s="2"/>
      <c r="AW15" s="2"/>
      <c r="AX15" s="2"/>
      <c r="AY15" s="2"/>
      <c r="AZ15" s="2"/>
      <c r="BA15" s="2"/>
      <c r="BB15" s="2"/>
      <c r="BC15" s="2"/>
      <c r="BD15" s="2"/>
      <c r="BE15" s="2"/>
      <c r="BF15" s="2"/>
      <c r="BG15" s="2"/>
      <c r="BH15" s="2"/>
      <c r="BI15" s="2"/>
      <c r="BJ15" s="2"/>
      <c r="BK15" s="2"/>
      <c r="BL15" s="2"/>
      <c r="BM15" s="2"/>
      <c r="BN15" s="2"/>
      <c r="BO15" s="2"/>
      <c r="BP15" s="2"/>
      <c r="BQ15" s="2"/>
      <c r="BR15" s="2"/>
      <c r="BS15" s="2"/>
    </row>
    <row r="16" spans="1:71" x14ac:dyDescent="0.25">
      <c r="A16" s="627"/>
      <c r="B16" s="627"/>
      <c r="C16" s="627"/>
      <c r="D16" s="627"/>
      <c r="E16" s="627"/>
      <c r="F16" s="488" t="s">
        <v>222</v>
      </c>
      <c r="G16" s="488">
        <v>2013</v>
      </c>
      <c r="H16" s="488" t="s">
        <v>223</v>
      </c>
      <c r="I16" s="488">
        <v>0.36</v>
      </c>
      <c r="J16" s="488">
        <v>0.36</v>
      </c>
      <c r="K16" s="488">
        <v>0.36</v>
      </c>
      <c r="L16" s="488">
        <v>0.36</v>
      </c>
      <c r="M16" s="488">
        <v>0.36</v>
      </c>
      <c r="N16" s="488">
        <v>0.36</v>
      </c>
      <c r="O16" s="488">
        <v>0.36</v>
      </c>
      <c r="P16" s="488">
        <v>0.36</v>
      </c>
      <c r="Q16" s="488">
        <v>0.36</v>
      </c>
      <c r="R16" s="488">
        <v>0.36</v>
      </c>
      <c r="S16" s="488">
        <v>0.36</v>
      </c>
      <c r="T16" s="488">
        <v>0.36</v>
      </c>
      <c r="U16" s="488">
        <v>0.36</v>
      </c>
      <c r="V16" s="488">
        <v>0.36</v>
      </c>
      <c r="W16" s="488">
        <v>0.36</v>
      </c>
      <c r="X16" s="488">
        <v>0.36</v>
      </c>
      <c r="Y16" s="133"/>
      <c r="Z16" s="2"/>
      <c r="AA16" s="2"/>
      <c r="AB16" s="2"/>
      <c r="AC16" s="2"/>
      <c r="AD16" s="2"/>
      <c r="AE16" s="2"/>
      <c r="AF16" s="2"/>
      <c r="AG16" s="2"/>
      <c r="AH16" s="2"/>
      <c r="AI16" s="2"/>
      <c r="AJ16" s="2"/>
      <c r="AK16" s="2"/>
      <c r="AL16" s="2"/>
      <c r="AM16" s="2"/>
      <c r="AN16" s="2"/>
      <c r="AO16" s="2"/>
      <c r="AP16" s="2"/>
      <c r="AQ16" s="2"/>
      <c r="AR16" s="2"/>
      <c r="AS16" s="2"/>
      <c r="AT16" s="2"/>
      <c r="AU16" s="2"/>
      <c r="AV16" s="2"/>
      <c r="AW16" s="2"/>
      <c r="AX16" s="2"/>
      <c r="AY16" s="2"/>
      <c r="AZ16" s="2"/>
      <c r="BA16" s="2"/>
      <c r="BB16" s="2"/>
      <c r="BC16" s="2"/>
      <c r="BD16" s="2"/>
      <c r="BE16" s="2"/>
      <c r="BF16" s="2"/>
      <c r="BG16" s="2"/>
      <c r="BH16" s="2"/>
      <c r="BI16" s="2"/>
      <c r="BJ16" s="2"/>
      <c r="BK16" s="2"/>
      <c r="BL16" s="2"/>
      <c r="BM16" s="2"/>
      <c r="BN16" s="2"/>
      <c r="BO16" s="2"/>
      <c r="BP16" s="2"/>
      <c r="BQ16" s="2"/>
      <c r="BR16" s="2"/>
      <c r="BS16" s="2"/>
    </row>
    <row r="17" spans="1:71" x14ac:dyDescent="0.25">
      <c r="A17" s="627"/>
      <c r="B17" s="627"/>
      <c r="C17" s="627"/>
      <c r="D17" s="627"/>
      <c r="E17" s="627"/>
      <c r="F17" s="491" t="s">
        <v>225</v>
      </c>
      <c r="G17" s="492">
        <v>2025</v>
      </c>
      <c r="H17" s="492" t="s">
        <v>223</v>
      </c>
      <c r="I17" s="492">
        <v>0.36</v>
      </c>
      <c r="J17" s="492">
        <v>0.36</v>
      </c>
      <c r="K17" s="492">
        <v>0.36</v>
      </c>
      <c r="L17" s="492">
        <v>0.36</v>
      </c>
      <c r="M17" s="492">
        <v>0.36</v>
      </c>
      <c r="N17" s="492">
        <v>0.36</v>
      </c>
      <c r="O17" s="492">
        <v>0.36</v>
      </c>
      <c r="P17" s="492">
        <v>0.36</v>
      </c>
      <c r="Q17" s="492">
        <v>0.34</v>
      </c>
      <c r="R17" s="492">
        <v>0.36</v>
      </c>
      <c r="S17" s="492">
        <v>0.34</v>
      </c>
      <c r="T17" s="492">
        <v>0.34</v>
      </c>
      <c r="U17" s="492">
        <v>0.34</v>
      </c>
      <c r="V17" s="492">
        <v>0.34</v>
      </c>
      <c r="W17" s="492">
        <v>0.34</v>
      </c>
      <c r="X17" s="492">
        <v>0.36</v>
      </c>
      <c r="Y17" s="133"/>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c r="BF17" s="2"/>
      <c r="BG17" s="2"/>
      <c r="BH17" s="2"/>
      <c r="BI17" s="2"/>
      <c r="BJ17" s="2"/>
      <c r="BK17" s="2"/>
      <c r="BL17" s="2"/>
      <c r="BM17" s="2"/>
      <c r="BN17" s="2"/>
      <c r="BO17" s="2"/>
      <c r="BP17" s="2"/>
      <c r="BQ17" s="2"/>
      <c r="BR17" s="2"/>
      <c r="BS17" s="2"/>
    </row>
    <row r="18" spans="1:71" ht="19.2" customHeight="1" x14ac:dyDescent="0.25">
      <c r="A18" s="627"/>
      <c r="B18" s="627" t="s">
        <v>81</v>
      </c>
      <c r="C18" s="627" t="s">
        <v>231</v>
      </c>
      <c r="D18" s="626" t="s">
        <v>232</v>
      </c>
      <c r="E18" s="627" t="s">
        <v>235</v>
      </c>
      <c r="F18" s="496" t="s">
        <v>215</v>
      </c>
      <c r="G18" s="496" t="s">
        <v>216</v>
      </c>
      <c r="H18" s="626" t="s">
        <v>233</v>
      </c>
      <c r="I18" s="493">
        <f>0.79*0.53+I20*0.47</f>
        <v>0.62080000000000002</v>
      </c>
      <c r="J18" s="493">
        <f t="shared" ref="J18:X18" si="1">0.79*0.53+J20*0.47</f>
        <v>0.58789999999999998</v>
      </c>
      <c r="K18" s="493">
        <f t="shared" si="1"/>
        <v>0.61139999999999994</v>
      </c>
      <c r="L18" s="493">
        <f t="shared" si="1"/>
        <v>0.61139999999999994</v>
      </c>
      <c r="M18" s="493">
        <f t="shared" si="1"/>
        <v>0.61139999999999994</v>
      </c>
      <c r="N18" s="493">
        <f t="shared" si="1"/>
        <v>0.60199999999999998</v>
      </c>
      <c r="O18" s="493">
        <f t="shared" si="1"/>
        <v>0.60199999999999998</v>
      </c>
      <c r="P18" s="493">
        <f t="shared" si="1"/>
        <v>0.60199999999999998</v>
      </c>
      <c r="Q18" s="493">
        <f t="shared" si="1"/>
        <v>0.60199999999999998</v>
      </c>
      <c r="R18" s="493">
        <f t="shared" si="1"/>
        <v>0.58789999999999998</v>
      </c>
      <c r="S18" s="493">
        <f t="shared" si="1"/>
        <v>0.58789999999999998</v>
      </c>
      <c r="T18" s="493">
        <f t="shared" si="1"/>
        <v>0.58789999999999998</v>
      </c>
      <c r="U18" s="493">
        <f t="shared" si="1"/>
        <v>0.58789999999999998</v>
      </c>
      <c r="V18" s="493">
        <f t="shared" si="1"/>
        <v>0.58789999999999998</v>
      </c>
      <c r="W18" s="493">
        <f t="shared" si="1"/>
        <v>0.58789999999999998</v>
      </c>
      <c r="X18" s="493">
        <f t="shared" si="1"/>
        <v>0.62080000000000002</v>
      </c>
      <c r="Y18" s="133"/>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c r="BP18" s="2"/>
      <c r="BQ18" s="2"/>
      <c r="BR18" s="2"/>
      <c r="BS18" s="2"/>
    </row>
    <row r="19" spans="1:71" ht="21.6" customHeight="1" x14ac:dyDescent="0.25">
      <c r="A19" s="627"/>
      <c r="B19" s="627"/>
      <c r="C19" s="627"/>
      <c r="D19" s="626"/>
      <c r="E19" s="627"/>
      <c r="F19" s="496" t="s">
        <v>218</v>
      </c>
      <c r="G19" s="494">
        <v>1986</v>
      </c>
      <c r="H19" s="626"/>
      <c r="I19" s="493">
        <f>0.79*0.53+I20*0.47</f>
        <v>0.62080000000000002</v>
      </c>
      <c r="J19" s="493">
        <f t="shared" ref="J19:X19" si="2">0.79*0.53+J20*0.47</f>
        <v>0.58789999999999998</v>
      </c>
      <c r="K19" s="493">
        <f t="shared" si="2"/>
        <v>0.61139999999999994</v>
      </c>
      <c r="L19" s="493">
        <f t="shared" si="2"/>
        <v>0.61139999999999994</v>
      </c>
      <c r="M19" s="493">
        <f t="shared" si="2"/>
        <v>0.61139999999999994</v>
      </c>
      <c r="N19" s="493">
        <f t="shared" si="2"/>
        <v>0.60199999999999998</v>
      </c>
      <c r="O19" s="493">
        <f t="shared" si="2"/>
        <v>0.60199999999999998</v>
      </c>
      <c r="P19" s="493">
        <f t="shared" si="2"/>
        <v>0.60199999999999998</v>
      </c>
      <c r="Q19" s="493">
        <f t="shared" si="2"/>
        <v>0.60199999999999998</v>
      </c>
      <c r="R19" s="493">
        <f t="shared" si="2"/>
        <v>0.58789999999999998</v>
      </c>
      <c r="S19" s="493">
        <f t="shared" si="2"/>
        <v>0.58789999999999998</v>
      </c>
      <c r="T19" s="493">
        <f t="shared" si="2"/>
        <v>0.58789999999999998</v>
      </c>
      <c r="U19" s="493">
        <f t="shared" si="2"/>
        <v>0.58789999999999998</v>
      </c>
      <c r="V19" s="493">
        <f t="shared" si="2"/>
        <v>0.58789999999999998</v>
      </c>
      <c r="W19" s="493">
        <f t="shared" si="2"/>
        <v>0.58789999999999998</v>
      </c>
      <c r="X19" s="493">
        <f t="shared" si="2"/>
        <v>0.62080000000000002</v>
      </c>
      <c r="Y19" s="133"/>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c r="BH19" s="2"/>
      <c r="BI19" s="2"/>
      <c r="BJ19" s="2"/>
      <c r="BK19" s="2"/>
      <c r="BL19" s="2"/>
      <c r="BM19" s="2"/>
      <c r="BN19" s="2"/>
      <c r="BO19" s="2"/>
      <c r="BP19" s="2"/>
      <c r="BQ19" s="2"/>
      <c r="BR19" s="2"/>
      <c r="BS19" s="2"/>
    </row>
    <row r="20" spans="1:71" x14ac:dyDescent="0.25">
      <c r="A20" s="627"/>
      <c r="B20" s="627"/>
      <c r="C20" s="627"/>
      <c r="D20" s="627"/>
      <c r="E20" s="627"/>
      <c r="F20" s="495" t="s">
        <v>220</v>
      </c>
      <c r="G20" s="487">
        <v>2001</v>
      </c>
      <c r="H20" s="487" t="s">
        <v>236</v>
      </c>
      <c r="I20" s="487">
        <v>0.43</v>
      </c>
      <c r="J20" s="487">
        <v>0.36</v>
      </c>
      <c r="K20" s="487">
        <v>0.41</v>
      </c>
      <c r="L20" s="487">
        <v>0.41</v>
      </c>
      <c r="M20" s="487">
        <v>0.41</v>
      </c>
      <c r="N20" s="487">
        <v>0.39</v>
      </c>
      <c r="O20" s="487">
        <v>0.39</v>
      </c>
      <c r="P20" s="487">
        <v>0.39</v>
      </c>
      <c r="Q20" s="487">
        <v>0.39</v>
      </c>
      <c r="R20" s="487">
        <v>0.36</v>
      </c>
      <c r="S20" s="487">
        <v>0.36</v>
      </c>
      <c r="T20" s="487">
        <v>0.36</v>
      </c>
      <c r="U20" s="487">
        <v>0.36</v>
      </c>
      <c r="V20" s="487">
        <v>0.36</v>
      </c>
      <c r="W20" s="487">
        <v>0.36</v>
      </c>
      <c r="X20" s="487">
        <v>0.43</v>
      </c>
      <c r="Y20" s="133"/>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c r="BH20" s="2"/>
      <c r="BI20" s="2"/>
      <c r="BJ20" s="2"/>
      <c r="BK20" s="2"/>
      <c r="BL20" s="2"/>
      <c r="BM20" s="2"/>
      <c r="BN20" s="2"/>
      <c r="BO20" s="2"/>
      <c r="BP20" s="2"/>
      <c r="BQ20" s="2"/>
      <c r="BR20" s="2"/>
      <c r="BS20" s="2"/>
    </row>
    <row r="21" spans="1:71" x14ac:dyDescent="0.25">
      <c r="A21" s="627"/>
      <c r="B21" s="627"/>
      <c r="C21" s="627"/>
      <c r="D21" s="627"/>
      <c r="E21" s="627"/>
      <c r="F21" s="488" t="s">
        <v>222</v>
      </c>
      <c r="G21" s="488">
        <v>2013</v>
      </c>
      <c r="H21" s="488" t="s">
        <v>223</v>
      </c>
      <c r="I21" s="488">
        <v>0.25</v>
      </c>
      <c r="J21" s="488">
        <v>0.25</v>
      </c>
      <c r="K21" s="488">
        <v>0.25</v>
      </c>
      <c r="L21" s="488">
        <v>0.25</v>
      </c>
      <c r="M21" s="488">
        <v>0.25</v>
      </c>
      <c r="N21" s="488">
        <v>0.25</v>
      </c>
      <c r="O21" s="488">
        <v>0.25</v>
      </c>
      <c r="P21" s="488">
        <v>0.25</v>
      </c>
      <c r="Q21" s="488">
        <v>0.25</v>
      </c>
      <c r="R21" s="488">
        <v>0.25</v>
      </c>
      <c r="S21" s="488">
        <v>0.25</v>
      </c>
      <c r="T21" s="488">
        <v>0.25</v>
      </c>
      <c r="U21" s="488">
        <v>0.25</v>
      </c>
      <c r="V21" s="488">
        <v>0.25</v>
      </c>
      <c r="W21" s="488">
        <v>0.25</v>
      </c>
      <c r="X21" s="488">
        <v>0.25</v>
      </c>
      <c r="Y21" s="133"/>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row>
    <row r="22" spans="1:71" x14ac:dyDescent="0.25">
      <c r="A22" s="627"/>
      <c r="B22" s="627"/>
      <c r="C22" s="627"/>
      <c r="D22" s="627"/>
      <c r="E22" s="627"/>
      <c r="F22" s="491" t="s">
        <v>225</v>
      </c>
      <c r="G22" s="492">
        <v>2025</v>
      </c>
      <c r="H22" s="491" t="s">
        <v>223</v>
      </c>
      <c r="I22" s="492">
        <v>0.25</v>
      </c>
      <c r="J22" s="492">
        <v>0.25</v>
      </c>
      <c r="K22" s="492">
        <v>0.25</v>
      </c>
      <c r="L22" s="492">
        <v>0.25</v>
      </c>
      <c r="M22" s="492">
        <v>0.25</v>
      </c>
      <c r="N22" s="492">
        <v>0.25</v>
      </c>
      <c r="O22" s="492">
        <v>0.25</v>
      </c>
      <c r="P22" s="492">
        <v>0.25</v>
      </c>
      <c r="Q22" s="492">
        <v>0.22</v>
      </c>
      <c r="R22" s="492">
        <v>0.25</v>
      </c>
      <c r="S22" s="492">
        <v>0.22</v>
      </c>
      <c r="T22" s="492">
        <v>0.22</v>
      </c>
      <c r="U22" s="492">
        <v>0.22</v>
      </c>
      <c r="V22" s="492">
        <v>0.22</v>
      </c>
      <c r="W22" s="492">
        <v>0.22</v>
      </c>
      <c r="X22" s="492">
        <v>0.25</v>
      </c>
      <c r="Y22" s="133"/>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c r="BP22" s="2"/>
      <c r="BQ22" s="2"/>
      <c r="BR22" s="2"/>
      <c r="BS22" s="2"/>
    </row>
    <row r="23" spans="1:71" ht="15" customHeight="1" x14ac:dyDescent="0.25">
      <c r="A23" s="4"/>
      <c r="B23" s="8"/>
      <c r="C23" s="4"/>
      <c r="D23" s="4"/>
      <c r="E23" s="54"/>
      <c r="F23" s="54"/>
      <c r="G23" s="134"/>
      <c r="H23" s="54"/>
      <c r="I23" s="54"/>
      <c r="J23" s="54"/>
      <c r="K23" s="54"/>
      <c r="L23" s="54"/>
      <c r="M23" s="54"/>
      <c r="N23" s="54"/>
      <c r="O23" s="54"/>
      <c r="P23" s="54"/>
      <c r="Q23" s="54"/>
      <c r="R23" s="54"/>
      <c r="S23" s="54"/>
      <c r="T23" s="54"/>
      <c r="U23" s="54"/>
      <c r="V23" s="54"/>
      <c r="W23" s="54"/>
      <c r="X23" s="54"/>
      <c r="Y23" s="2"/>
      <c r="Z23" s="2"/>
      <c r="AA23" s="580"/>
      <c r="AB23" s="580"/>
      <c r="AC23" s="580"/>
      <c r="AD23" s="580"/>
      <c r="AE23" s="580"/>
      <c r="AF23" s="580"/>
      <c r="AG23" s="580"/>
      <c r="AH23" s="580"/>
      <c r="AI23" s="580"/>
      <c r="AJ23" s="580"/>
      <c r="AK23" s="580"/>
      <c r="AL23" s="580"/>
      <c r="AM23" s="580"/>
      <c r="AN23" s="580"/>
      <c r="AO23" s="580"/>
      <c r="AP23" s="580"/>
      <c r="AQ23" s="2"/>
      <c r="AR23" s="2"/>
      <c r="AS23" s="2"/>
      <c r="AT23" s="2"/>
      <c r="AU23" s="2"/>
      <c r="AV23" s="2"/>
      <c r="AW23" s="2"/>
      <c r="AX23" s="2"/>
      <c r="AY23" s="2"/>
      <c r="AZ23" s="2"/>
      <c r="BA23" s="2"/>
      <c r="BB23" s="2"/>
      <c r="BC23" s="2"/>
      <c r="BD23" s="2"/>
      <c r="BE23" s="2"/>
      <c r="BF23" s="2"/>
      <c r="BG23" s="2"/>
      <c r="BH23" s="2"/>
      <c r="BI23" s="2"/>
      <c r="BJ23" s="2"/>
      <c r="BK23" s="2"/>
      <c r="BL23" s="2"/>
      <c r="BM23" s="2"/>
      <c r="BN23" s="2"/>
      <c r="BO23" s="2"/>
      <c r="BP23" s="2"/>
      <c r="BQ23" s="2"/>
      <c r="BR23" s="2"/>
      <c r="BS23" s="2"/>
    </row>
    <row r="24" spans="1:71" ht="25.95" customHeight="1" x14ac:dyDescent="0.25">
      <c r="A24" s="4"/>
      <c r="B24" s="8"/>
      <c r="C24" s="619" t="s">
        <v>237</v>
      </c>
      <c r="D24" s="619"/>
      <c r="E24" s="619"/>
      <c r="F24" s="619"/>
      <c r="G24" s="619"/>
      <c r="H24" s="619"/>
      <c r="I24" s="619"/>
      <c r="J24" s="619"/>
      <c r="K24" s="619"/>
      <c r="L24" s="619"/>
      <c r="M24" s="37"/>
      <c r="N24" s="37"/>
      <c r="O24" s="37"/>
      <c r="P24" s="37"/>
      <c r="Q24" s="37"/>
      <c r="R24" s="37"/>
      <c r="S24" s="37"/>
      <c r="T24" s="37"/>
      <c r="U24" s="37"/>
      <c r="V24" s="37"/>
      <c r="W24" s="37"/>
      <c r="X24" s="37"/>
      <c r="Y24" s="2"/>
      <c r="Z24" s="2"/>
      <c r="AA24" s="580"/>
      <c r="AB24" s="580"/>
      <c r="AC24" s="580"/>
      <c r="AD24" s="580"/>
      <c r="AE24" s="580"/>
      <c r="AF24" s="580"/>
      <c r="AG24" s="580"/>
      <c r="AH24" s="580"/>
      <c r="AI24" s="580"/>
      <c r="AJ24" s="580"/>
      <c r="AK24" s="580"/>
      <c r="AL24" s="580"/>
      <c r="AM24" s="580"/>
      <c r="AN24" s="580"/>
      <c r="AO24" s="580"/>
      <c r="AP24" s="580"/>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row>
    <row r="25" spans="1:71" ht="43.2" customHeight="1" x14ac:dyDescent="0.25">
      <c r="A25" s="4"/>
      <c r="B25" s="8"/>
      <c r="C25" s="537"/>
      <c r="D25" s="537" t="s">
        <v>126</v>
      </c>
      <c r="E25" s="537" t="s">
        <v>238</v>
      </c>
      <c r="F25" s="50" t="s">
        <v>192</v>
      </c>
      <c r="G25" s="130" t="s">
        <v>239</v>
      </c>
      <c r="H25" s="130" t="s">
        <v>122</v>
      </c>
      <c r="I25" s="623" t="s">
        <v>240</v>
      </c>
      <c r="J25" s="624"/>
      <c r="K25" s="624"/>
      <c r="L25" s="624"/>
      <c r="M25" s="624"/>
      <c r="N25" s="624"/>
      <c r="O25" s="624"/>
      <c r="P25" s="624"/>
      <c r="Q25" s="624"/>
      <c r="R25" s="624"/>
      <c r="S25" s="624"/>
      <c r="T25" s="624"/>
      <c r="U25" s="624"/>
      <c r="V25" s="624"/>
      <c r="W25" s="624"/>
      <c r="X25" s="625"/>
      <c r="Y25" s="2"/>
      <c r="Z25" s="2"/>
      <c r="AA25" s="580"/>
      <c r="AB25" s="580"/>
      <c r="AC25" s="580"/>
      <c r="AD25" s="580"/>
      <c r="AE25" s="580"/>
      <c r="AF25" s="580"/>
      <c r="AG25" s="580"/>
      <c r="AH25" s="580"/>
      <c r="AI25" s="580"/>
      <c r="AJ25" s="580"/>
      <c r="AK25" s="580"/>
      <c r="AL25" s="580"/>
      <c r="AM25" s="580"/>
      <c r="AN25" s="580"/>
      <c r="AO25" s="580"/>
      <c r="AP25" s="580"/>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row>
    <row r="26" spans="1:71" ht="18" customHeight="1" x14ac:dyDescent="0.25">
      <c r="A26" s="4"/>
      <c r="B26" s="8"/>
      <c r="C26" s="616" t="s">
        <v>237</v>
      </c>
      <c r="D26" s="616" t="s">
        <v>81</v>
      </c>
      <c r="E26" s="616"/>
      <c r="F26" s="480" t="s">
        <v>215</v>
      </c>
      <c r="G26" s="480">
        <v>1.1000000000000001</v>
      </c>
      <c r="H26" s="131" t="s">
        <v>241</v>
      </c>
      <c r="I26" s="620">
        <v>0.57099999999999995</v>
      </c>
      <c r="J26" s="621"/>
      <c r="K26" s="621"/>
      <c r="L26" s="621"/>
      <c r="M26" s="621"/>
      <c r="N26" s="621"/>
      <c r="O26" s="621"/>
      <c r="P26" s="621"/>
      <c r="Q26" s="621"/>
      <c r="R26" s="621"/>
      <c r="S26" s="621"/>
      <c r="T26" s="621"/>
      <c r="U26" s="621"/>
      <c r="V26" s="621"/>
      <c r="W26" s="621"/>
      <c r="X26" s="622"/>
      <c r="Y26" s="2"/>
      <c r="Z26" s="413"/>
      <c r="AA26" s="580"/>
      <c r="AB26" s="580"/>
      <c r="AC26" s="580"/>
      <c r="AD26" s="580"/>
      <c r="AE26" s="580"/>
      <c r="AF26" s="580"/>
      <c r="AG26" s="580"/>
      <c r="AH26" s="580"/>
      <c r="AI26" s="580"/>
      <c r="AJ26" s="580"/>
      <c r="AK26" s="580"/>
      <c r="AL26" s="580"/>
      <c r="AM26" s="580"/>
      <c r="AN26" s="580"/>
      <c r="AO26" s="580"/>
      <c r="AP26" s="580"/>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row>
    <row r="27" spans="1:71" ht="18" customHeight="1" x14ac:dyDescent="0.25">
      <c r="A27" s="4"/>
      <c r="B27" s="4"/>
      <c r="C27" s="617"/>
      <c r="D27" s="617"/>
      <c r="E27" s="617"/>
      <c r="F27" s="480" t="s">
        <v>218</v>
      </c>
      <c r="G27" s="480">
        <v>1.1000000000000001</v>
      </c>
      <c r="H27" s="131" t="s">
        <v>241</v>
      </c>
      <c r="I27" s="620">
        <v>0.57099999999999995</v>
      </c>
      <c r="J27" s="621"/>
      <c r="K27" s="621"/>
      <c r="L27" s="621"/>
      <c r="M27" s="621"/>
      <c r="N27" s="621"/>
      <c r="O27" s="621"/>
      <c r="P27" s="621"/>
      <c r="Q27" s="621"/>
      <c r="R27" s="621"/>
      <c r="S27" s="621"/>
      <c r="T27" s="621"/>
      <c r="U27" s="621"/>
      <c r="V27" s="621"/>
      <c r="W27" s="621"/>
      <c r="X27" s="622"/>
      <c r="Y27" s="2"/>
      <c r="Z27" s="413"/>
      <c r="AA27" s="580"/>
      <c r="AB27" s="580"/>
      <c r="AC27" s="580"/>
      <c r="AD27" s="580"/>
      <c r="AE27" s="580"/>
      <c r="AF27" s="580"/>
      <c r="AG27" s="580"/>
      <c r="AH27" s="580"/>
      <c r="AI27" s="580"/>
      <c r="AJ27" s="580"/>
      <c r="AK27" s="580"/>
      <c r="AL27" s="580"/>
      <c r="AM27" s="580"/>
      <c r="AN27" s="580"/>
      <c r="AO27" s="580"/>
      <c r="AP27" s="580"/>
      <c r="AQ27" s="2"/>
      <c r="AR27" s="2"/>
      <c r="AS27" s="2"/>
      <c r="AT27" s="2"/>
      <c r="AU27" s="2"/>
      <c r="AV27" s="2"/>
      <c r="AW27" s="2"/>
      <c r="AX27" s="2"/>
      <c r="AY27" s="2"/>
      <c r="AZ27" s="2"/>
      <c r="BA27" s="2"/>
      <c r="BB27" s="2"/>
      <c r="BC27" s="2"/>
      <c r="BD27" s="2"/>
      <c r="BE27" s="2"/>
      <c r="BF27" s="2"/>
      <c r="BG27" s="2"/>
      <c r="BH27" s="2"/>
      <c r="BI27" s="2"/>
      <c r="BJ27" s="2"/>
      <c r="BK27" s="2"/>
      <c r="BL27" s="2"/>
      <c r="BM27" s="2"/>
      <c r="BN27" s="2"/>
      <c r="BO27" s="2"/>
      <c r="BP27" s="2"/>
      <c r="BQ27" s="2"/>
      <c r="BR27" s="2"/>
      <c r="BS27" s="2"/>
    </row>
    <row r="28" spans="1:71" ht="18" customHeight="1" x14ac:dyDescent="0.25">
      <c r="A28" s="4"/>
      <c r="B28" s="8"/>
      <c r="C28" s="617"/>
      <c r="D28" s="617"/>
      <c r="E28" s="617"/>
      <c r="F28" s="480" t="s">
        <v>220</v>
      </c>
      <c r="G28" s="480">
        <v>1.1000000000000001</v>
      </c>
      <c r="H28" s="131" t="s">
        <v>241</v>
      </c>
      <c r="I28" s="620">
        <v>0.57099999999999995</v>
      </c>
      <c r="J28" s="621"/>
      <c r="K28" s="621"/>
      <c r="L28" s="621"/>
      <c r="M28" s="621"/>
      <c r="N28" s="621"/>
      <c r="O28" s="621"/>
      <c r="P28" s="621"/>
      <c r="Q28" s="621"/>
      <c r="R28" s="621"/>
      <c r="S28" s="621"/>
      <c r="T28" s="621"/>
      <c r="U28" s="621"/>
      <c r="V28" s="621"/>
      <c r="W28" s="621"/>
      <c r="X28" s="622"/>
      <c r="Y28" s="113"/>
      <c r="Z28" s="413"/>
      <c r="AA28" s="580"/>
      <c r="AB28" s="580"/>
      <c r="AC28" s="580"/>
      <c r="AD28" s="580"/>
      <c r="AE28" s="580"/>
      <c r="AF28" s="580"/>
      <c r="AG28" s="580"/>
      <c r="AH28" s="580"/>
      <c r="AI28" s="580"/>
      <c r="AJ28" s="580"/>
      <c r="AK28" s="580"/>
      <c r="AL28" s="580"/>
      <c r="AM28" s="580"/>
      <c r="AN28" s="580"/>
      <c r="AO28" s="580"/>
      <c r="AP28" s="580"/>
      <c r="AQ28" s="628"/>
      <c r="AR28" s="628"/>
      <c r="AS28" s="628"/>
      <c r="AT28" s="628"/>
      <c r="AU28" s="628"/>
      <c r="AV28" s="628"/>
      <c r="AW28" s="628"/>
      <c r="AX28" s="628"/>
      <c r="AY28" s="2"/>
      <c r="AZ28" s="2"/>
      <c r="BA28" s="2"/>
      <c r="BB28" s="2"/>
      <c r="BC28" s="2"/>
      <c r="BD28" s="2"/>
      <c r="BE28" s="2"/>
      <c r="BF28" s="2"/>
      <c r="BG28" s="2"/>
      <c r="BH28" s="2"/>
      <c r="BI28" s="2"/>
      <c r="BJ28" s="2"/>
      <c r="BK28" s="2"/>
      <c r="BL28" s="2"/>
      <c r="BM28" s="2"/>
      <c r="BN28" s="2"/>
      <c r="BO28" s="2"/>
      <c r="BP28" s="2"/>
      <c r="BQ28" s="2"/>
      <c r="BR28" s="2"/>
      <c r="BS28" s="2"/>
    </row>
    <row r="29" spans="1:71" ht="26.4" x14ac:dyDescent="0.25">
      <c r="A29" s="4"/>
      <c r="B29" s="8"/>
      <c r="C29" s="617"/>
      <c r="D29" s="617"/>
      <c r="E29" s="617"/>
      <c r="F29" s="480" t="s">
        <v>222</v>
      </c>
      <c r="G29" s="480">
        <v>1</v>
      </c>
      <c r="H29" s="481" t="s">
        <v>242</v>
      </c>
      <c r="I29" s="620">
        <v>0.51910000000000001</v>
      </c>
      <c r="J29" s="621"/>
      <c r="K29" s="621"/>
      <c r="L29" s="621"/>
      <c r="M29" s="621"/>
      <c r="N29" s="621"/>
      <c r="O29" s="621"/>
      <c r="P29" s="621"/>
      <c r="Q29" s="621"/>
      <c r="R29" s="621"/>
      <c r="S29" s="621"/>
      <c r="T29" s="621"/>
      <c r="U29" s="621"/>
      <c r="V29" s="621"/>
      <c r="W29" s="621"/>
      <c r="X29" s="622"/>
      <c r="Y29" s="2"/>
      <c r="Z29" s="413"/>
      <c r="AA29" s="581"/>
      <c r="AB29" s="581"/>
      <c r="AC29" s="581"/>
      <c r="AD29" s="581"/>
      <c r="AE29" s="581"/>
      <c r="AF29" s="581"/>
      <c r="AG29" s="581"/>
      <c r="AH29" s="581"/>
      <c r="AI29" s="581"/>
      <c r="AJ29" s="581"/>
      <c r="AK29" s="581"/>
      <c r="AL29" s="581"/>
      <c r="AM29" s="581"/>
      <c r="AN29" s="581"/>
      <c r="AO29" s="581"/>
      <c r="AP29" s="581"/>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row>
    <row r="30" spans="1:71" ht="26.4" x14ac:dyDescent="0.3">
      <c r="A30" s="4"/>
      <c r="B30" s="8"/>
      <c r="C30" s="618"/>
      <c r="D30" s="618"/>
      <c r="E30" s="618"/>
      <c r="F30" s="480" t="s">
        <v>225</v>
      </c>
      <c r="G30" s="480" t="s">
        <v>243</v>
      </c>
      <c r="H30" s="481" t="s">
        <v>244</v>
      </c>
      <c r="I30" s="620">
        <v>0.31140000000000001</v>
      </c>
      <c r="J30" s="621"/>
      <c r="K30" s="621"/>
      <c r="L30" s="621"/>
      <c r="M30" s="621"/>
      <c r="N30" s="621"/>
      <c r="O30" s="621"/>
      <c r="P30" s="621"/>
      <c r="Q30" s="621"/>
      <c r="R30" s="621"/>
      <c r="S30" s="621"/>
      <c r="T30" s="621"/>
      <c r="U30" s="621"/>
      <c r="V30" s="621"/>
      <c r="W30" s="621"/>
      <c r="X30" s="622"/>
      <c r="Y30" s="2"/>
      <c r="Z30" s="413"/>
      <c r="AA30"/>
      <c r="AB30" s="2"/>
      <c r="AC30" s="2"/>
      <c r="AD30" s="2"/>
      <c r="AE30" s="2"/>
      <c r="AF30" s="2"/>
      <c r="AG30" s="2"/>
      <c r="AH30" s="2"/>
      <c r="AI30" s="2"/>
      <c r="AJ30" s="2"/>
      <c r="AK30" s="2"/>
      <c r="AL30" s="2"/>
      <c r="AM30" s="2"/>
      <c r="AN30" s="2"/>
      <c r="AO30" s="2"/>
      <c r="AP30" s="2"/>
      <c r="AQ30" s="2"/>
      <c r="AR30" s="2"/>
      <c r="AS30" s="2"/>
      <c r="AT30" s="2"/>
      <c r="AU30" s="2"/>
      <c r="AV30" s="2"/>
      <c r="AW30" s="2"/>
      <c r="AX30" s="2"/>
      <c r="AY30" s="2"/>
      <c r="AZ30" s="2"/>
      <c r="BA30" s="2"/>
      <c r="BB30" s="2"/>
      <c r="BC30" s="2"/>
      <c r="BD30" s="2"/>
      <c r="BE30" s="2"/>
      <c r="BF30" s="2"/>
      <c r="BG30" s="2"/>
      <c r="BH30" s="2"/>
      <c r="BI30" s="2"/>
      <c r="BJ30" s="2"/>
      <c r="BK30" s="2"/>
      <c r="BL30" s="2"/>
      <c r="BM30" s="2"/>
      <c r="BN30" s="2"/>
      <c r="BO30" s="2"/>
      <c r="BP30" s="2"/>
      <c r="BQ30" s="2"/>
      <c r="BR30" s="2"/>
      <c r="BS30" s="2"/>
    </row>
    <row r="31" spans="1:71" ht="14.4" x14ac:dyDescent="0.3">
      <c r="A31" s="2"/>
      <c r="B31" s="128"/>
      <c r="C31" s="2"/>
      <c r="D31" s="2"/>
      <c r="E31" s="4" t="s">
        <v>245</v>
      </c>
      <c r="F31" s="2"/>
      <c r="G31" s="129"/>
      <c r="H31" s="2"/>
      <c r="I31" s="2"/>
      <c r="J31" s="2"/>
      <c r="K31" s="2"/>
      <c r="L31" s="2"/>
      <c r="M31" s="2"/>
      <c r="N31" s="2"/>
      <c r="O31" s="2"/>
      <c r="P31" s="2"/>
      <c r="Q31" s="2"/>
      <c r="R31" s="2"/>
      <c r="S31" s="2"/>
      <c r="T31" s="2"/>
      <c r="U31" s="2"/>
      <c r="V31" s="2"/>
      <c r="W31" s="2"/>
      <c r="X31" s="2"/>
      <c r="Y31" s="2"/>
      <c r="Z31" s="413"/>
      <c r="AA31"/>
      <c r="AB31" s="2"/>
      <c r="AC31" s="2"/>
      <c r="AD31" s="2"/>
      <c r="AE31" s="2"/>
      <c r="AF31" s="2"/>
      <c r="AG31" s="2"/>
      <c r="AH31" s="2"/>
      <c r="AI31" s="2"/>
      <c r="AJ31" s="2"/>
      <c r="AK31" s="2"/>
      <c r="AL31" s="2"/>
      <c r="AM31" s="2"/>
      <c r="AN31" s="2"/>
      <c r="AO31" s="2"/>
      <c r="AP31" s="2"/>
      <c r="AQ31" s="2"/>
      <c r="AR31" s="2"/>
      <c r="AS31" s="2"/>
      <c r="AT31" s="2"/>
      <c r="AU31" s="2"/>
      <c r="AV31" s="2"/>
      <c r="AW31" s="2"/>
      <c r="AX31" s="2"/>
      <c r="AY31" s="2"/>
      <c r="AZ31" s="2"/>
      <c r="BA31" s="2"/>
      <c r="BB31" s="2"/>
      <c r="BC31" s="2"/>
      <c r="BD31" s="2"/>
      <c r="BE31" s="2"/>
      <c r="BF31" s="2"/>
      <c r="BG31" s="2"/>
      <c r="BH31" s="2"/>
      <c r="BI31" s="2"/>
      <c r="BJ31" s="2"/>
      <c r="BK31" s="2"/>
      <c r="BL31" s="2"/>
      <c r="BM31" s="2"/>
      <c r="BN31" s="2"/>
      <c r="BO31" s="2"/>
      <c r="BP31" s="2"/>
      <c r="BQ31" s="2"/>
      <c r="BR31" s="2"/>
      <c r="BS31" s="2"/>
    </row>
    <row r="32" spans="1:71" x14ac:dyDescent="0.25">
      <c r="A32" s="2"/>
      <c r="B32" s="128"/>
      <c r="C32" s="2"/>
      <c r="D32" s="2"/>
      <c r="E32" s="4" t="s">
        <v>246</v>
      </c>
      <c r="F32" s="2"/>
      <c r="G32" s="144"/>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c r="BA32" s="2"/>
      <c r="BB32" s="2"/>
      <c r="BC32" s="2"/>
      <c r="BD32" s="2"/>
      <c r="BE32" s="2"/>
      <c r="BF32" s="2"/>
      <c r="BG32" s="2"/>
      <c r="BH32" s="2"/>
      <c r="BI32" s="2"/>
      <c r="BJ32" s="2"/>
      <c r="BK32" s="2"/>
      <c r="BL32" s="2"/>
      <c r="BM32" s="2"/>
      <c r="BN32" s="2"/>
      <c r="BO32" s="2"/>
      <c r="BP32" s="2"/>
      <c r="BQ32" s="2"/>
      <c r="BR32" s="2"/>
      <c r="BS32" s="2"/>
    </row>
    <row r="33" spans="1:71" ht="14.4" x14ac:dyDescent="0.3">
      <c r="A33" s="2"/>
      <c r="B33" s="128"/>
      <c r="C33" s="2"/>
      <c r="D33" s="2"/>
      <c r="E33" s="4" t="s">
        <v>247</v>
      </c>
      <c r="F33" s="2"/>
      <c r="G33" s="1" t="s">
        <v>52</v>
      </c>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c r="BH33" s="2"/>
      <c r="BI33" s="2"/>
      <c r="BJ33" s="2"/>
      <c r="BK33" s="2"/>
      <c r="BL33" s="2"/>
      <c r="BM33" s="2"/>
      <c r="BN33" s="2"/>
      <c r="BO33" s="2"/>
      <c r="BP33" s="2"/>
      <c r="BQ33" s="2"/>
      <c r="BR33" s="2"/>
      <c r="BS33" s="2"/>
    </row>
    <row r="34" spans="1:71" x14ac:dyDescent="0.25">
      <c r="A34" s="2"/>
      <c r="B34" s="128"/>
      <c r="C34" s="2"/>
      <c r="D34" s="2"/>
      <c r="E34" s="2"/>
      <c r="F34" s="2"/>
      <c r="G34" s="129"/>
      <c r="H34" s="2"/>
      <c r="I34" s="505"/>
      <c r="J34" s="505"/>
      <c r="K34" s="505"/>
      <c r="L34" s="505"/>
      <c r="M34" s="505"/>
      <c r="N34" s="505"/>
      <c r="O34" s="505"/>
      <c r="P34" s="505"/>
      <c r="Q34" s="505"/>
      <c r="R34" s="505"/>
      <c r="S34" s="505"/>
      <c r="T34" s="505"/>
      <c r="U34" s="505"/>
      <c r="V34" s="505"/>
      <c r="W34" s="505"/>
      <c r="X34" s="505"/>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c r="BC34" s="2"/>
      <c r="BD34" s="2"/>
      <c r="BE34" s="2"/>
      <c r="BF34" s="2"/>
      <c r="BG34" s="2"/>
      <c r="BH34" s="2"/>
      <c r="BI34" s="2"/>
      <c r="BJ34" s="2"/>
      <c r="BK34" s="2"/>
      <c r="BL34" s="2"/>
      <c r="BM34" s="2"/>
      <c r="BN34" s="2"/>
      <c r="BO34" s="2"/>
      <c r="BP34" s="2"/>
      <c r="BQ34" s="2"/>
      <c r="BR34" s="2"/>
      <c r="BS34" s="2"/>
    </row>
    <row r="35" spans="1:71" x14ac:dyDescent="0.25">
      <c r="A35" s="2"/>
      <c r="B35" s="128"/>
      <c r="C35" s="2"/>
      <c r="D35" s="2"/>
      <c r="E35" s="2"/>
      <c r="F35" s="2"/>
      <c r="G35" s="129"/>
      <c r="H35" s="2"/>
      <c r="I35" s="505"/>
      <c r="J35" s="505"/>
      <c r="K35" s="505"/>
      <c r="L35" s="505"/>
      <c r="M35" s="505"/>
      <c r="N35" s="505"/>
      <c r="O35" s="505"/>
      <c r="P35" s="505"/>
      <c r="Q35" s="505"/>
      <c r="R35" s="505"/>
      <c r="S35" s="505"/>
      <c r="T35" s="505"/>
      <c r="U35" s="505"/>
      <c r="V35" s="505"/>
      <c r="W35" s="505"/>
      <c r="X35" s="505"/>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c r="BC35" s="2"/>
      <c r="BD35" s="2"/>
      <c r="BE35" s="2"/>
      <c r="BF35" s="2"/>
      <c r="BG35" s="2"/>
      <c r="BH35" s="2"/>
      <c r="BI35" s="2"/>
      <c r="BJ35" s="2"/>
      <c r="BK35" s="2"/>
      <c r="BL35" s="2"/>
      <c r="BM35" s="2"/>
      <c r="BN35" s="2"/>
      <c r="BO35" s="2"/>
      <c r="BP35" s="2"/>
      <c r="BQ35" s="2"/>
      <c r="BR35" s="2"/>
      <c r="BS35" s="2"/>
    </row>
    <row r="36" spans="1:71" x14ac:dyDescent="0.25">
      <c r="A36" s="2"/>
      <c r="B36" s="128"/>
      <c r="C36" s="2"/>
      <c r="D36" s="2"/>
      <c r="E36" s="2"/>
      <c r="F36" s="2"/>
      <c r="G36" s="129"/>
      <c r="H36" s="2"/>
      <c r="I36" s="505"/>
      <c r="J36" s="505"/>
      <c r="K36" s="505"/>
      <c r="L36" s="505"/>
      <c r="M36" s="505"/>
      <c r="N36" s="505"/>
      <c r="O36" s="505"/>
      <c r="P36" s="505"/>
      <c r="Q36" s="505"/>
      <c r="R36" s="505"/>
      <c r="S36" s="505"/>
      <c r="T36" s="505"/>
      <c r="U36" s="505"/>
      <c r="V36" s="505"/>
      <c r="W36" s="505"/>
      <c r="X36" s="505"/>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c r="BA36" s="2"/>
      <c r="BB36" s="2"/>
      <c r="BC36" s="2"/>
      <c r="BD36" s="2"/>
      <c r="BE36" s="2"/>
      <c r="BF36" s="2"/>
      <c r="BG36" s="2"/>
      <c r="BH36" s="2"/>
      <c r="BI36" s="2"/>
      <c r="BJ36" s="2"/>
      <c r="BK36" s="2"/>
      <c r="BL36" s="2"/>
      <c r="BM36" s="2"/>
      <c r="BN36" s="2"/>
      <c r="BO36" s="2"/>
      <c r="BP36" s="2"/>
      <c r="BQ36" s="2"/>
      <c r="BR36" s="2"/>
      <c r="BS36" s="2"/>
    </row>
    <row r="37" spans="1:71" x14ac:dyDescent="0.25">
      <c r="A37" s="2"/>
      <c r="B37" s="128"/>
      <c r="C37" s="2"/>
      <c r="D37" s="2"/>
      <c r="E37" s="2"/>
      <c r="F37" s="2"/>
      <c r="G37" s="129"/>
      <c r="H37" s="2"/>
      <c r="I37" s="505"/>
      <c r="J37" s="505"/>
      <c r="K37" s="505"/>
      <c r="L37" s="505"/>
      <c r="M37" s="505"/>
      <c r="N37" s="505"/>
      <c r="O37" s="505"/>
      <c r="P37" s="505"/>
      <c r="Q37" s="505"/>
      <c r="R37" s="505"/>
      <c r="S37" s="505"/>
      <c r="T37" s="505"/>
      <c r="U37" s="505"/>
      <c r="V37" s="505"/>
      <c r="W37" s="505"/>
      <c r="X37" s="505"/>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c r="BA37" s="2"/>
      <c r="BB37" s="2"/>
      <c r="BC37" s="2"/>
      <c r="BD37" s="2"/>
      <c r="BE37" s="2"/>
      <c r="BF37" s="2"/>
      <c r="BG37" s="2"/>
      <c r="BH37" s="2"/>
      <c r="BI37" s="2"/>
      <c r="BJ37" s="2"/>
      <c r="BK37" s="2"/>
      <c r="BL37" s="2"/>
      <c r="BM37" s="2"/>
      <c r="BN37" s="2"/>
      <c r="BO37" s="2"/>
      <c r="BP37" s="2"/>
      <c r="BQ37" s="2"/>
      <c r="BR37" s="2"/>
      <c r="BS37" s="2"/>
    </row>
    <row r="38" spans="1:71" x14ac:dyDescent="0.25">
      <c r="A38" s="2"/>
      <c r="B38" s="128"/>
      <c r="C38" s="2"/>
      <c r="D38" s="2"/>
      <c r="E38" s="2"/>
      <c r="F38" s="2"/>
      <c r="G38" s="129"/>
      <c r="H38" s="2"/>
      <c r="I38" s="505"/>
      <c r="J38" s="505"/>
      <c r="K38" s="505"/>
      <c r="L38" s="505"/>
      <c r="M38" s="505"/>
      <c r="N38" s="505"/>
      <c r="O38" s="505"/>
      <c r="P38" s="505"/>
      <c r="Q38" s="505"/>
      <c r="R38" s="505"/>
      <c r="S38" s="505"/>
      <c r="T38" s="505"/>
      <c r="U38" s="505"/>
      <c r="V38" s="505"/>
      <c r="W38" s="505"/>
      <c r="X38" s="505"/>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c r="BF38" s="2"/>
      <c r="BG38" s="2"/>
      <c r="BH38" s="2"/>
      <c r="BI38" s="2"/>
      <c r="BJ38" s="2"/>
      <c r="BK38" s="2"/>
      <c r="BL38" s="2"/>
      <c r="BM38" s="2"/>
      <c r="BN38" s="2"/>
      <c r="BO38" s="2"/>
      <c r="BP38" s="2"/>
      <c r="BQ38" s="2"/>
      <c r="BR38" s="2"/>
      <c r="BS38" s="2"/>
    </row>
    <row r="39" spans="1:71" x14ac:dyDescent="0.25">
      <c r="A39" s="2"/>
      <c r="B39" s="128"/>
      <c r="C39" s="2"/>
      <c r="D39" s="2"/>
      <c r="E39" s="2"/>
      <c r="F39" s="2"/>
      <c r="G39" s="129"/>
      <c r="H39" s="129"/>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row>
    <row r="40" spans="1:71" x14ac:dyDescent="0.25">
      <c r="A40" s="2"/>
      <c r="B40" s="128"/>
      <c r="C40" s="2"/>
      <c r="D40" s="2"/>
      <c r="E40" s="2"/>
      <c r="F40" s="2"/>
      <c r="G40" s="129"/>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c r="BH40" s="2"/>
      <c r="BI40" s="2"/>
      <c r="BJ40" s="2"/>
      <c r="BK40" s="2"/>
      <c r="BL40" s="2"/>
      <c r="BM40" s="2"/>
      <c r="BN40" s="2"/>
      <c r="BO40" s="2"/>
      <c r="BP40" s="2"/>
      <c r="BQ40" s="2"/>
      <c r="BR40" s="2"/>
      <c r="BS40" s="2"/>
    </row>
    <row r="41" spans="1:71" x14ac:dyDescent="0.25">
      <c r="A41" s="2"/>
      <c r="B41" s="128"/>
      <c r="C41" s="2"/>
      <c r="D41" s="2"/>
      <c r="E41" s="2"/>
      <c r="F41" s="2"/>
      <c r="G41" s="129"/>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c r="BH41" s="2"/>
      <c r="BI41" s="2"/>
      <c r="BJ41" s="2"/>
      <c r="BK41" s="2"/>
      <c r="BL41" s="2"/>
      <c r="BM41" s="2"/>
      <c r="BN41" s="2"/>
      <c r="BO41" s="2"/>
      <c r="BP41" s="2"/>
      <c r="BQ41" s="2"/>
      <c r="BR41" s="2"/>
      <c r="BS41" s="2"/>
    </row>
    <row r="42" spans="1:71" x14ac:dyDescent="0.25">
      <c r="A42" s="2"/>
      <c r="B42" s="128"/>
      <c r="C42" s="2"/>
      <c r="D42" s="2"/>
      <c r="E42" s="2"/>
      <c r="F42" s="2"/>
      <c r="G42" s="129"/>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M42" s="2"/>
      <c r="BN42" s="2"/>
      <c r="BO42" s="2"/>
      <c r="BP42" s="2"/>
      <c r="BQ42" s="2"/>
      <c r="BR42" s="2"/>
      <c r="BS42" s="2"/>
    </row>
    <row r="43" spans="1:71" x14ac:dyDescent="0.25">
      <c r="A43" s="2"/>
      <c r="B43" s="128"/>
      <c r="C43" s="2"/>
      <c r="D43" s="2"/>
      <c r="E43" s="2"/>
      <c r="F43" s="2"/>
      <c r="G43" s="129"/>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c r="BH43" s="2"/>
      <c r="BI43" s="2"/>
      <c r="BJ43" s="2"/>
      <c r="BK43" s="2"/>
      <c r="BL43" s="2"/>
      <c r="BM43" s="2"/>
      <c r="BN43" s="2"/>
      <c r="BO43" s="2"/>
      <c r="BP43" s="2"/>
      <c r="BQ43" s="2"/>
      <c r="BR43" s="2"/>
      <c r="BS43" s="2"/>
    </row>
    <row r="44" spans="1:71" x14ac:dyDescent="0.25">
      <c r="A44" s="2"/>
      <c r="B44" s="128"/>
      <c r="C44" s="2"/>
      <c r="D44" s="2"/>
      <c r="E44" s="2"/>
      <c r="F44" s="2"/>
      <c r="G44" s="129"/>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c r="BH44" s="2"/>
      <c r="BI44" s="2"/>
      <c r="BJ44" s="2"/>
      <c r="BK44" s="2"/>
      <c r="BL44" s="2"/>
      <c r="BM44" s="2"/>
      <c r="BN44" s="2"/>
      <c r="BO44" s="2"/>
      <c r="BP44" s="2"/>
      <c r="BQ44" s="2"/>
      <c r="BR44" s="2"/>
      <c r="BS44" s="2"/>
    </row>
    <row r="45" spans="1:71" x14ac:dyDescent="0.25">
      <c r="A45" s="2"/>
      <c r="B45" s="128"/>
      <c r="C45" s="2"/>
      <c r="D45" s="2"/>
      <c r="E45" s="2"/>
      <c r="F45" s="2"/>
      <c r="G45" s="129"/>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c r="BA45" s="2"/>
      <c r="BB45" s="2"/>
      <c r="BC45" s="2"/>
      <c r="BD45" s="2"/>
      <c r="BE45" s="2"/>
      <c r="BF45" s="2"/>
      <c r="BG45" s="2"/>
      <c r="BH45" s="2"/>
      <c r="BI45" s="2"/>
      <c r="BJ45" s="2"/>
      <c r="BK45" s="2"/>
      <c r="BL45" s="2"/>
      <c r="BM45" s="2"/>
      <c r="BN45" s="2"/>
      <c r="BO45" s="2"/>
      <c r="BP45" s="2"/>
      <c r="BQ45" s="2"/>
      <c r="BR45" s="2"/>
      <c r="BS45" s="2"/>
    </row>
    <row r="46" spans="1:71" x14ac:dyDescent="0.25">
      <c r="A46" s="2"/>
      <c r="B46" s="128"/>
      <c r="C46" s="2"/>
      <c r="D46" s="2"/>
      <c r="E46" s="2"/>
      <c r="F46" s="2"/>
      <c r="G46" s="129"/>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c r="BA46" s="2"/>
      <c r="BB46" s="2"/>
      <c r="BC46" s="2"/>
      <c r="BD46" s="2"/>
      <c r="BE46" s="2"/>
      <c r="BF46" s="2"/>
      <c r="BG46" s="2"/>
      <c r="BH46" s="2"/>
      <c r="BI46" s="2"/>
      <c r="BJ46" s="2"/>
      <c r="BK46" s="2"/>
      <c r="BL46" s="2"/>
      <c r="BM46" s="2"/>
      <c r="BN46" s="2"/>
      <c r="BO46" s="2"/>
      <c r="BP46" s="2"/>
      <c r="BQ46" s="2"/>
      <c r="BR46" s="2"/>
      <c r="BS46" s="2"/>
    </row>
    <row r="47" spans="1:71" x14ac:dyDescent="0.25">
      <c r="A47" s="2"/>
      <c r="B47" s="128"/>
      <c r="C47" s="2"/>
      <c r="D47" s="2"/>
      <c r="E47" s="2"/>
      <c r="F47" s="2"/>
      <c r="G47" s="129"/>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row>
    <row r="48" spans="1:71" x14ac:dyDescent="0.25">
      <c r="A48" s="2"/>
      <c r="B48" s="128"/>
      <c r="C48" s="2"/>
      <c r="D48" s="2"/>
      <c r="E48" s="2"/>
      <c r="F48" s="2"/>
      <c r="G48" s="129"/>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c r="BA48" s="2"/>
      <c r="BB48" s="2"/>
      <c r="BC48" s="2"/>
      <c r="BD48" s="2"/>
      <c r="BE48" s="2"/>
      <c r="BF48" s="2"/>
      <c r="BG48" s="2"/>
      <c r="BH48" s="2"/>
      <c r="BI48" s="2"/>
      <c r="BJ48" s="2"/>
      <c r="BK48" s="2"/>
      <c r="BL48" s="2"/>
      <c r="BM48" s="2"/>
      <c r="BN48" s="2"/>
      <c r="BO48" s="2"/>
      <c r="BP48" s="2"/>
      <c r="BQ48" s="2"/>
      <c r="BR48" s="2"/>
      <c r="BS48" s="2"/>
    </row>
    <row r="49" spans="1:71" x14ac:dyDescent="0.25">
      <c r="A49" s="2"/>
      <c r="B49" s="128"/>
      <c r="C49" s="2"/>
      <c r="D49" s="2"/>
      <c r="E49" s="2"/>
      <c r="F49" s="2"/>
      <c r="G49" s="129"/>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c r="BA49" s="2"/>
      <c r="BB49" s="2"/>
      <c r="BC49" s="2"/>
      <c r="BD49" s="2"/>
      <c r="BE49" s="2"/>
      <c r="BF49" s="2"/>
      <c r="BG49" s="2"/>
      <c r="BH49" s="2"/>
      <c r="BI49" s="2"/>
      <c r="BJ49" s="2"/>
      <c r="BK49" s="2"/>
      <c r="BL49" s="2"/>
      <c r="BM49" s="2"/>
      <c r="BN49" s="2"/>
      <c r="BO49" s="2"/>
      <c r="BP49" s="2"/>
      <c r="BQ49" s="2"/>
      <c r="BR49" s="2"/>
      <c r="BS49" s="2"/>
    </row>
    <row r="50" spans="1:71" x14ac:dyDescent="0.25">
      <c r="A50" s="2"/>
      <c r="B50" s="128"/>
      <c r="C50" s="2"/>
      <c r="D50" s="2"/>
      <c r="E50" s="2"/>
      <c r="F50" s="2"/>
      <c r="G50" s="129"/>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c r="BA50" s="2"/>
      <c r="BB50" s="2"/>
      <c r="BC50" s="2"/>
      <c r="BD50" s="2"/>
      <c r="BE50" s="2"/>
      <c r="BF50" s="2"/>
      <c r="BG50" s="2"/>
      <c r="BH50" s="2"/>
      <c r="BI50" s="2"/>
      <c r="BJ50" s="2"/>
      <c r="BK50" s="2"/>
      <c r="BL50" s="2"/>
      <c r="BM50" s="2"/>
      <c r="BN50" s="2"/>
      <c r="BO50" s="2"/>
      <c r="BP50" s="2"/>
      <c r="BQ50" s="2"/>
      <c r="BR50" s="2"/>
      <c r="BS50" s="2"/>
    </row>
    <row r="51" spans="1:71" x14ac:dyDescent="0.25">
      <c r="A51" s="2"/>
      <c r="B51" s="128"/>
      <c r="C51" s="2"/>
      <c r="D51" s="2"/>
      <c r="E51" s="2"/>
      <c r="F51" s="2"/>
      <c r="G51" s="129"/>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c r="BA51" s="2"/>
      <c r="BB51" s="2"/>
      <c r="BC51" s="2"/>
      <c r="BD51" s="2"/>
      <c r="BE51" s="2"/>
      <c r="BF51" s="2"/>
      <c r="BG51" s="2"/>
      <c r="BH51" s="2"/>
      <c r="BI51" s="2"/>
      <c r="BJ51" s="2"/>
      <c r="BK51" s="2"/>
      <c r="BL51" s="2"/>
      <c r="BM51" s="2"/>
      <c r="BN51" s="2"/>
      <c r="BO51" s="2"/>
      <c r="BP51" s="2"/>
      <c r="BQ51" s="2"/>
      <c r="BR51" s="2"/>
      <c r="BS51" s="2"/>
    </row>
    <row r="52" spans="1:71" x14ac:dyDescent="0.25">
      <c r="A52" s="2"/>
      <c r="B52" s="128"/>
      <c r="C52" s="2"/>
      <c r="D52" s="2"/>
      <c r="E52" s="2"/>
      <c r="F52" s="2"/>
      <c r="G52" s="129"/>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c r="BA52" s="2"/>
      <c r="BB52" s="2"/>
      <c r="BC52" s="2"/>
      <c r="BD52" s="2"/>
      <c r="BE52" s="2"/>
      <c r="BF52" s="2"/>
      <c r="BG52" s="2"/>
      <c r="BH52" s="2"/>
      <c r="BI52" s="2"/>
      <c r="BJ52" s="2"/>
      <c r="BK52" s="2"/>
      <c r="BL52" s="2"/>
      <c r="BM52" s="2"/>
      <c r="BN52" s="2"/>
      <c r="BO52" s="2"/>
      <c r="BP52" s="2"/>
      <c r="BQ52" s="2"/>
      <c r="BR52" s="2"/>
      <c r="BS52" s="2"/>
    </row>
    <row r="53" spans="1:71" x14ac:dyDescent="0.25">
      <c r="A53" s="2"/>
      <c r="B53" s="128"/>
      <c r="C53" s="2"/>
      <c r="D53" s="2"/>
      <c r="E53" s="2"/>
      <c r="F53" s="2"/>
      <c r="G53" s="129"/>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c r="BP53" s="2"/>
      <c r="BQ53" s="2"/>
      <c r="BR53" s="2"/>
      <c r="BS53" s="2"/>
    </row>
    <row r="54" spans="1:71" x14ac:dyDescent="0.25">
      <c r="A54" s="2"/>
      <c r="B54" s="128"/>
      <c r="C54" s="2"/>
      <c r="D54" s="2"/>
      <c r="E54" s="2"/>
      <c r="F54" s="2"/>
      <c r="G54" s="129"/>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c r="BA54" s="2"/>
      <c r="BB54" s="2"/>
      <c r="BC54" s="2"/>
      <c r="BD54" s="2"/>
      <c r="BE54" s="2"/>
      <c r="BF54" s="2"/>
      <c r="BG54" s="2"/>
      <c r="BH54" s="2"/>
      <c r="BI54" s="2"/>
      <c r="BJ54" s="2"/>
      <c r="BK54" s="2"/>
      <c r="BL54" s="2"/>
      <c r="BM54" s="2"/>
      <c r="BN54" s="2"/>
      <c r="BO54" s="2"/>
      <c r="BP54" s="2"/>
      <c r="BQ54" s="2"/>
      <c r="BR54" s="2"/>
      <c r="BS54" s="2"/>
    </row>
    <row r="55" spans="1:71" x14ac:dyDescent="0.25">
      <c r="A55" s="2"/>
      <c r="B55" s="128"/>
      <c r="C55" s="2"/>
      <c r="D55" s="2"/>
      <c r="E55" s="2"/>
      <c r="F55" s="2"/>
      <c r="G55" s="129"/>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c r="BF55" s="2"/>
      <c r="BG55" s="2"/>
      <c r="BH55" s="2"/>
      <c r="BI55" s="2"/>
      <c r="BJ55" s="2"/>
      <c r="BK55" s="2"/>
      <c r="BL55" s="2"/>
      <c r="BM55" s="2"/>
      <c r="BN55" s="2"/>
      <c r="BO55" s="2"/>
      <c r="BP55" s="2"/>
      <c r="BQ55" s="2"/>
      <c r="BR55" s="2"/>
      <c r="BS55" s="2"/>
    </row>
    <row r="56" spans="1:71" x14ac:dyDescent="0.25">
      <c r="A56" s="2"/>
      <c r="B56" s="128"/>
      <c r="C56" s="2"/>
      <c r="D56" s="2"/>
      <c r="E56" s="2"/>
      <c r="F56" s="2"/>
      <c r="G56" s="129"/>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row>
    <row r="57" spans="1:71" x14ac:dyDescent="0.25">
      <c r="A57" s="2"/>
      <c r="B57" s="128"/>
      <c r="C57" s="2"/>
      <c r="D57" s="2"/>
      <c r="E57" s="2"/>
      <c r="F57" s="2"/>
      <c r="G57" s="129"/>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c r="BA57" s="2"/>
      <c r="BB57" s="2"/>
      <c r="BC57" s="2"/>
      <c r="BD57" s="2"/>
      <c r="BE57" s="2"/>
      <c r="BF57" s="2"/>
      <c r="BG57" s="2"/>
      <c r="BH57" s="2"/>
      <c r="BI57" s="2"/>
      <c r="BJ57" s="2"/>
      <c r="BK57" s="2"/>
      <c r="BL57" s="2"/>
      <c r="BM57" s="2"/>
      <c r="BN57" s="2"/>
      <c r="BO57" s="2"/>
      <c r="BP57" s="2"/>
      <c r="BQ57" s="2"/>
      <c r="BR57" s="2"/>
      <c r="BS57" s="2"/>
    </row>
    <row r="58" spans="1:71" x14ac:dyDescent="0.25">
      <c r="A58" s="2"/>
      <c r="B58" s="128"/>
      <c r="C58" s="2"/>
      <c r="D58" s="2"/>
      <c r="E58" s="2"/>
      <c r="F58" s="2"/>
      <c r="G58" s="129"/>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c r="BC58" s="2"/>
      <c r="BD58" s="2"/>
      <c r="BE58" s="2"/>
      <c r="BF58" s="2"/>
      <c r="BG58" s="2"/>
      <c r="BH58" s="2"/>
      <c r="BI58" s="2"/>
      <c r="BJ58" s="2"/>
      <c r="BK58" s="2"/>
      <c r="BL58" s="2"/>
      <c r="BM58" s="2"/>
      <c r="BN58" s="2"/>
      <c r="BO58" s="2"/>
      <c r="BP58" s="2"/>
      <c r="BQ58" s="2"/>
      <c r="BR58" s="2"/>
      <c r="BS58" s="2"/>
    </row>
    <row r="59" spans="1:71" x14ac:dyDescent="0.25">
      <c r="A59" s="2"/>
      <c r="B59" s="128"/>
      <c r="C59" s="2"/>
      <c r="D59" s="2"/>
      <c r="E59" s="2"/>
      <c r="F59" s="2"/>
      <c r="G59" s="129"/>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c r="BC59" s="2"/>
      <c r="BD59" s="2"/>
      <c r="BE59" s="2"/>
      <c r="BF59" s="2"/>
      <c r="BG59" s="2"/>
      <c r="BH59" s="2"/>
      <c r="BI59" s="2"/>
      <c r="BJ59" s="2"/>
      <c r="BK59" s="2"/>
      <c r="BL59" s="2"/>
      <c r="BM59" s="2"/>
      <c r="BN59" s="2"/>
      <c r="BO59" s="2"/>
      <c r="BP59" s="2"/>
      <c r="BQ59" s="2"/>
      <c r="BR59" s="2"/>
      <c r="BS59" s="2"/>
    </row>
    <row r="60" spans="1:71" x14ac:dyDescent="0.25">
      <c r="A60" s="2"/>
      <c r="B60" s="128"/>
      <c r="C60" s="2"/>
      <c r="D60" s="2"/>
      <c r="E60" s="2"/>
      <c r="F60" s="2"/>
      <c r="G60" s="129"/>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c r="BA60" s="2"/>
      <c r="BB60" s="2"/>
      <c r="BC60" s="2"/>
      <c r="BD60" s="2"/>
      <c r="BE60" s="2"/>
      <c r="BF60" s="2"/>
      <c r="BG60" s="2"/>
      <c r="BH60" s="2"/>
      <c r="BI60" s="2"/>
      <c r="BJ60" s="2"/>
      <c r="BK60" s="2"/>
      <c r="BL60" s="2"/>
      <c r="BM60" s="2"/>
      <c r="BN60" s="2"/>
      <c r="BO60" s="2"/>
      <c r="BP60" s="2"/>
      <c r="BQ60" s="2"/>
      <c r="BR60" s="2"/>
      <c r="BS60" s="2"/>
    </row>
    <row r="61" spans="1:71" x14ac:dyDescent="0.25">
      <c r="A61" s="2"/>
      <c r="B61" s="128"/>
      <c r="C61" s="2"/>
      <c r="D61" s="2"/>
      <c r="E61" s="2"/>
      <c r="F61" s="2"/>
      <c r="G61" s="129"/>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c r="BH61" s="2"/>
      <c r="BI61" s="2"/>
      <c r="BJ61" s="2"/>
      <c r="BK61" s="2"/>
      <c r="BL61" s="2"/>
      <c r="BM61" s="2"/>
      <c r="BN61" s="2"/>
      <c r="BO61" s="2"/>
      <c r="BP61" s="2"/>
      <c r="BQ61" s="2"/>
      <c r="BR61" s="2"/>
      <c r="BS61" s="2"/>
    </row>
    <row r="62" spans="1:71" x14ac:dyDescent="0.25">
      <c r="A62" s="2"/>
      <c r="B62" s="128"/>
      <c r="C62" s="2"/>
      <c r="D62" s="2"/>
      <c r="E62" s="2"/>
      <c r="F62" s="2"/>
      <c r="G62" s="129"/>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row>
    <row r="63" spans="1:71" x14ac:dyDescent="0.25">
      <c r="A63" s="2"/>
      <c r="B63" s="128"/>
      <c r="C63" s="2"/>
      <c r="D63" s="2"/>
      <c r="E63" s="2"/>
      <c r="F63" s="2"/>
      <c r="G63" s="129"/>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row>
    <row r="64" spans="1:71" x14ac:dyDescent="0.25">
      <c r="A64" s="2"/>
      <c r="B64" s="128"/>
      <c r="C64" s="2"/>
      <c r="D64" s="2"/>
      <c r="E64" s="2"/>
      <c r="F64" s="2"/>
      <c r="G64" s="129"/>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c r="BF64" s="2"/>
      <c r="BG64" s="2"/>
      <c r="BH64" s="2"/>
      <c r="BI64" s="2"/>
      <c r="BJ64" s="2"/>
      <c r="BK64" s="2"/>
      <c r="BL64" s="2"/>
      <c r="BM64" s="2"/>
      <c r="BN64" s="2"/>
      <c r="BO64" s="2"/>
      <c r="BP64" s="2"/>
      <c r="BQ64" s="2"/>
      <c r="BR64" s="2"/>
      <c r="BS64" s="2"/>
    </row>
    <row r="65" spans="1:71" x14ac:dyDescent="0.25">
      <c r="A65" s="2"/>
      <c r="B65" s="128"/>
      <c r="C65" s="2"/>
      <c r="D65" s="2"/>
      <c r="E65" s="2"/>
      <c r="F65" s="2"/>
      <c r="G65" s="129"/>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c r="BD65" s="2"/>
      <c r="BE65" s="2"/>
      <c r="BF65" s="2"/>
      <c r="BG65" s="2"/>
      <c r="BH65" s="2"/>
      <c r="BI65" s="2"/>
      <c r="BJ65" s="2"/>
      <c r="BK65" s="2"/>
      <c r="BL65" s="2"/>
      <c r="BM65" s="2"/>
      <c r="BN65" s="2"/>
      <c r="BO65" s="2"/>
      <c r="BP65" s="2"/>
      <c r="BQ65" s="2"/>
      <c r="BR65" s="2"/>
      <c r="BS65" s="2"/>
    </row>
    <row r="66" spans="1:71" x14ac:dyDescent="0.25">
      <c r="A66" s="2"/>
      <c r="B66" s="128"/>
      <c r="C66" s="2"/>
      <c r="D66" s="2"/>
      <c r="E66" s="2"/>
      <c r="F66" s="2"/>
      <c r="G66" s="129"/>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c r="BA66" s="2"/>
      <c r="BB66" s="2"/>
      <c r="BC66" s="2"/>
      <c r="BD66" s="2"/>
      <c r="BE66" s="2"/>
      <c r="BF66" s="2"/>
      <c r="BG66" s="2"/>
      <c r="BH66" s="2"/>
      <c r="BI66" s="2"/>
      <c r="BJ66" s="2"/>
      <c r="BK66" s="2"/>
      <c r="BL66" s="2"/>
      <c r="BM66" s="2"/>
      <c r="BN66" s="2"/>
      <c r="BO66" s="2"/>
      <c r="BP66" s="2"/>
      <c r="BQ66" s="2"/>
      <c r="BR66" s="2"/>
      <c r="BS66" s="2"/>
    </row>
    <row r="67" spans="1:71" x14ac:dyDescent="0.25">
      <c r="A67" s="2"/>
      <c r="B67" s="128"/>
      <c r="C67" s="2"/>
      <c r="D67" s="2"/>
      <c r="E67" s="2"/>
      <c r="F67" s="2"/>
      <c r="G67" s="129"/>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row>
    <row r="68" spans="1:71" x14ac:dyDescent="0.25">
      <c r="A68" s="2"/>
      <c r="B68" s="128"/>
      <c r="C68" s="2"/>
      <c r="D68" s="2"/>
      <c r="E68" s="2"/>
      <c r="F68" s="2"/>
      <c r="G68" s="129"/>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c r="BF68" s="2"/>
      <c r="BG68" s="2"/>
      <c r="BH68" s="2"/>
      <c r="BI68" s="2"/>
      <c r="BJ68" s="2"/>
      <c r="BK68" s="2"/>
      <c r="BL68" s="2"/>
      <c r="BM68" s="2"/>
      <c r="BN68" s="2"/>
      <c r="BO68" s="2"/>
      <c r="BP68" s="2"/>
      <c r="BQ68" s="2"/>
      <c r="BR68" s="2"/>
      <c r="BS68" s="2"/>
    </row>
    <row r="69" spans="1:71" x14ac:dyDescent="0.25">
      <c r="A69" s="2"/>
      <c r="B69" s="128"/>
      <c r="C69" s="2"/>
      <c r="D69" s="2"/>
      <c r="E69" s="2"/>
      <c r="F69" s="2"/>
      <c r="G69" s="129"/>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c r="BA69" s="2"/>
      <c r="BB69" s="2"/>
      <c r="BC69" s="2"/>
      <c r="BD69" s="2"/>
      <c r="BE69" s="2"/>
      <c r="BF69" s="2"/>
      <c r="BG69" s="2"/>
      <c r="BH69" s="2"/>
      <c r="BI69" s="2"/>
      <c r="BJ69" s="2"/>
      <c r="BK69" s="2"/>
      <c r="BL69" s="2"/>
      <c r="BM69" s="2"/>
      <c r="BN69" s="2"/>
      <c r="BO69" s="2"/>
      <c r="BP69" s="2"/>
      <c r="BQ69" s="2"/>
      <c r="BR69" s="2"/>
      <c r="BS69" s="2"/>
    </row>
    <row r="70" spans="1:71" x14ac:dyDescent="0.25">
      <c r="A70" s="2"/>
      <c r="B70" s="128"/>
      <c r="C70" s="2"/>
      <c r="D70" s="2"/>
      <c r="E70" s="2"/>
      <c r="F70" s="2"/>
      <c r="G70" s="129"/>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c r="BA70" s="2"/>
      <c r="BB70" s="2"/>
      <c r="BC70" s="2"/>
      <c r="BD70" s="2"/>
      <c r="BE70" s="2"/>
      <c r="BF70" s="2"/>
      <c r="BG70" s="2"/>
      <c r="BH70" s="2"/>
      <c r="BI70" s="2"/>
      <c r="BJ70" s="2"/>
      <c r="BK70" s="2"/>
      <c r="BL70" s="2"/>
      <c r="BM70" s="2"/>
      <c r="BN70" s="2"/>
      <c r="BO70" s="2"/>
      <c r="BP70" s="2"/>
      <c r="BQ70" s="2"/>
      <c r="BR70" s="2"/>
      <c r="BS70" s="2"/>
    </row>
    <row r="71" spans="1:71" x14ac:dyDescent="0.25">
      <c r="A71" s="2"/>
      <c r="B71" s="128"/>
      <c r="C71" s="2"/>
      <c r="D71" s="2"/>
      <c r="E71" s="2"/>
      <c r="F71" s="2"/>
      <c r="G71" s="129"/>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c r="BF71" s="2"/>
      <c r="BG71" s="2"/>
      <c r="BH71" s="2"/>
      <c r="BI71" s="2"/>
      <c r="BJ71" s="2"/>
      <c r="BK71" s="2"/>
      <c r="BL71" s="2"/>
      <c r="BM71" s="2"/>
      <c r="BN71" s="2"/>
      <c r="BO71" s="2"/>
      <c r="BP71" s="2"/>
      <c r="BQ71" s="2"/>
      <c r="BR71" s="2"/>
      <c r="BS71" s="2"/>
    </row>
    <row r="72" spans="1:71" x14ac:dyDescent="0.25">
      <c r="A72" s="2"/>
      <c r="B72" s="128"/>
      <c r="C72" s="2"/>
      <c r="D72" s="2"/>
      <c r="E72" s="2"/>
      <c r="F72" s="2"/>
      <c r="G72" s="129"/>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c r="BA72" s="2"/>
      <c r="BB72" s="2"/>
      <c r="BC72" s="2"/>
      <c r="BD72" s="2"/>
      <c r="BE72" s="2"/>
      <c r="BF72" s="2"/>
      <c r="BG72" s="2"/>
      <c r="BH72" s="2"/>
      <c r="BI72" s="2"/>
      <c r="BJ72" s="2"/>
      <c r="BK72" s="2"/>
      <c r="BL72" s="2"/>
      <c r="BM72" s="2"/>
      <c r="BN72" s="2"/>
      <c r="BO72" s="2"/>
      <c r="BP72" s="2"/>
      <c r="BQ72" s="2"/>
      <c r="BR72" s="2"/>
      <c r="BS72" s="2"/>
    </row>
    <row r="73" spans="1:71" x14ac:dyDescent="0.25">
      <c r="A73" s="2"/>
      <c r="B73" s="128"/>
      <c r="C73" s="2"/>
      <c r="D73" s="2"/>
      <c r="E73" s="2"/>
      <c r="F73" s="2"/>
      <c r="G73" s="129"/>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c r="BA73" s="2"/>
      <c r="BB73" s="2"/>
      <c r="BC73" s="2"/>
      <c r="BD73" s="2"/>
      <c r="BE73" s="2"/>
      <c r="BF73" s="2"/>
      <c r="BG73" s="2"/>
      <c r="BH73" s="2"/>
      <c r="BI73" s="2"/>
      <c r="BJ73" s="2"/>
      <c r="BK73" s="2"/>
      <c r="BL73" s="2"/>
      <c r="BM73" s="2"/>
      <c r="BN73" s="2"/>
      <c r="BO73" s="2"/>
      <c r="BP73" s="2"/>
      <c r="BQ73" s="2"/>
      <c r="BR73" s="2"/>
      <c r="BS73" s="2"/>
    </row>
    <row r="74" spans="1:71" x14ac:dyDescent="0.25">
      <c r="A74" s="2"/>
      <c r="B74" s="128"/>
      <c r="C74" s="2"/>
      <c r="D74" s="2"/>
      <c r="E74" s="2"/>
      <c r="F74" s="2"/>
      <c r="G74" s="129"/>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c r="BA74" s="2"/>
      <c r="BB74" s="2"/>
      <c r="BC74" s="2"/>
      <c r="BD74" s="2"/>
      <c r="BE74" s="2"/>
      <c r="BF74" s="2"/>
      <c r="BG74" s="2"/>
      <c r="BH74" s="2"/>
      <c r="BI74" s="2"/>
      <c r="BJ74" s="2"/>
      <c r="BK74" s="2"/>
      <c r="BL74" s="2"/>
      <c r="BM74" s="2"/>
      <c r="BN74" s="2"/>
      <c r="BO74" s="2"/>
      <c r="BP74" s="2"/>
      <c r="BQ74" s="2"/>
      <c r="BR74" s="2"/>
      <c r="BS74" s="2"/>
    </row>
    <row r="75" spans="1:71" x14ac:dyDescent="0.25">
      <c r="A75" s="2"/>
      <c r="B75" s="128"/>
      <c r="C75" s="2"/>
      <c r="D75" s="2"/>
      <c r="E75" s="2"/>
      <c r="F75" s="2"/>
      <c r="G75" s="129"/>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c r="BA75" s="2"/>
      <c r="BB75" s="2"/>
      <c r="BC75" s="2"/>
      <c r="BD75" s="2"/>
      <c r="BE75" s="2"/>
      <c r="BF75" s="2"/>
      <c r="BG75" s="2"/>
      <c r="BH75" s="2"/>
      <c r="BI75" s="2"/>
      <c r="BJ75" s="2"/>
      <c r="BK75" s="2"/>
      <c r="BL75" s="2"/>
      <c r="BM75" s="2"/>
      <c r="BN75" s="2"/>
      <c r="BO75" s="2"/>
      <c r="BP75" s="2"/>
      <c r="BQ75" s="2"/>
      <c r="BR75" s="2"/>
      <c r="BS75" s="2"/>
    </row>
    <row r="76" spans="1:71" x14ac:dyDescent="0.25">
      <c r="A76" s="2"/>
      <c r="B76" s="128"/>
      <c r="C76" s="2"/>
      <c r="D76" s="2"/>
      <c r="E76" s="2"/>
      <c r="F76" s="2"/>
      <c r="G76" s="129"/>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c r="BH76" s="2"/>
      <c r="BI76" s="2"/>
      <c r="BJ76" s="2"/>
      <c r="BK76" s="2"/>
      <c r="BL76" s="2"/>
      <c r="BM76" s="2"/>
      <c r="BN76" s="2"/>
      <c r="BO76" s="2"/>
      <c r="BP76" s="2"/>
      <c r="BQ76" s="2"/>
      <c r="BR76" s="2"/>
      <c r="BS76" s="2"/>
    </row>
    <row r="77" spans="1:71" x14ac:dyDescent="0.25">
      <c r="A77" s="2"/>
      <c r="B77" s="128"/>
      <c r="C77" s="2"/>
      <c r="D77" s="2"/>
      <c r="E77" s="2"/>
      <c r="F77" s="2"/>
      <c r="G77" s="129"/>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c r="BA77" s="2"/>
      <c r="BB77" s="2"/>
      <c r="BC77" s="2"/>
      <c r="BD77" s="2"/>
      <c r="BE77" s="2"/>
      <c r="BF77" s="2"/>
      <c r="BG77" s="2"/>
      <c r="BH77" s="2"/>
      <c r="BI77" s="2"/>
      <c r="BJ77" s="2"/>
      <c r="BK77" s="2"/>
      <c r="BL77" s="2"/>
      <c r="BM77" s="2"/>
      <c r="BN77" s="2"/>
      <c r="BO77" s="2"/>
      <c r="BP77" s="2"/>
      <c r="BQ77" s="2"/>
      <c r="BR77" s="2"/>
      <c r="BS77" s="2"/>
    </row>
    <row r="78" spans="1:71" x14ac:dyDescent="0.25">
      <c r="A78" s="2"/>
      <c r="B78" s="128"/>
      <c r="C78" s="2"/>
      <c r="D78" s="2"/>
      <c r="E78" s="2"/>
      <c r="F78" s="2"/>
      <c r="G78" s="129"/>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c r="BF78" s="2"/>
      <c r="BG78" s="2"/>
      <c r="BH78" s="2"/>
      <c r="BI78" s="2"/>
      <c r="BJ78" s="2"/>
      <c r="BK78" s="2"/>
      <c r="BL78" s="2"/>
      <c r="BM78" s="2"/>
      <c r="BN78" s="2"/>
      <c r="BO78" s="2"/>
      <c r="BP78" s="2"/>
      <c r="BQ78" s="2"/>
      <c r="BR78" s="2"/>
      <c r="BS78" s="2"/>
    </row>
    <row r="79" spans="1:71" x14ac:dyDescent="0.25">
      <c r="A79" s="2"/>
      <c r="B79" s="128"/>
      <c r="C79" s="2"/>
      <c r="D79" s="2"/>
      <c r="E79" s="2"/>
      <c r="F79" s="2"/>
      <c r="G79" s="129"/>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c r="BF79" s="2"/>
      <c r="BG79" s="2"/>
      <c r="BH79" s="2"/>
      <c r="BI79" s="2"/>
      <c r="BJ79" s="2"/>
      <c r="BK79" s="2"/>
      <c r="BL79" s="2"/>
      <c r="BM79" s="2"/>
      <c r="BN79" s="2"/>
      <c r="BO79" s="2"/>
      <c r="BP79" s="2"/>
      <c r="BQ79" s="2"/>
      <c r="BR79" s="2"/>
      <c r="BS79" s="2"/>
    </row>
    <row r="80" spans="1:71" x14ac:dyDescent="0.25">
      <c r="A80" s="2"/>
      <c r="B80" s="128"/>
      <c r="C80" s="2"/>
      <c r="D80" s="2"/>
      <c r="E80" s="2"/>
      <c r="F80" s="2"/>
      <c r="G80" s="129"/>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c r="BF80" s="2"/>
      <c r="BG80" s="2"/>
      <c r="BH80" s="2"/>
      <c r="BI80" s="2"/>
      <c r="BJ80" s="2"/>
      <c r="BK80" s="2"/>
      <c r="BL80" s="2"/>
      <c r="BM80" s="2"/>
      <c r="BN80" s="2"/>
      <c r="BO80" s="2"/>
      <c r="BP80" s="2"/>
      <c r="BQ80" s="2"/>
      <c r="BR80" s="2"/>
      <c r="BS80" s="2"/>
    </row>
    <row r="81" spans="1:71" x14ac:dyDescent="0.25">
      <c r="A81" s="2"/>
      <c r="B81" s="128"/>
      <c r="C81" s="2"/>
      <c r="D81" s="2"/>
      <c r="E81" s="2"/>
      <c r="F81" s="2"/>
      <c r="G81" s="129"/>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c r="BG81" s="2"/>
      <c r="BH81" s="2"/>
      <c r="BI81" s="2"/>
      <c r="BJ81" s="2"/>
      <c r="BK81" s="2"/>
      <c r="BL81" s="2"/>
      <c r="BM81" s="2"/>
      <c r="BN81" s="2"/>
      <c r="BO81" s="2"/>
      <c r="BP81" s="2"/>
      <c r="BQ81" s="2"/>
      <c r="BR81" s="2"/>
      <c r="BS81" s="2"/>
    </row>
    <row r="82" spans="1:71" x14ac:dyDescent="0.25">
      <c r="A82" s="2"/>
      <c r="B82" s="128"/>
      <c r="C82" s="2"/>
      <c r="D82" s="2"/>
      <c r="E82" s="2"/>
      <c r="F82" s="2"/>
      <c r="G82" s="129"/>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c r="BA82" s="2"/>
      <c r="BB82" s="2"/>
      <c r="BC82" s="2"/>
      <c r="BD82" s="2"/>
      <c r="BE82" s="2"/>
      <c r="BF82" s="2"/>
      <c r="BG82" s="2"/>
      <c r="BH82" s="2"/>
      <c r="BI82" s="2"/>
      <c r="BJ82" s="2"/>
      <c r="BK82" s="2"/>
      <c r="BL82" s="2"/>
      <c r="BM82" s="2"/>
      <c r="BN82" s="2"/>
      <c r="BO82" s="2"/>
      <c r="BP82" s="2"/>
      <c r="BQ82" s="2"/>
      <c r="BR82" s="2"/>
      <c r="BS82" s="2"/>
    </row>
    <row r="83" spans="1:71" x14ac:dyDescent="0.25">
      <c r="A83" s="2"/>
      <c r="B83" s="128"/>
      <c r="C83" s="2"/>
      <c r="D83" s="2"/>
      <c r="E83" s="2"/>
      <c r="F83" s="2"/>
      <c r="G83" s="129"/>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c r="BA83" s="2"/>
      <c r="BB83" s="2"/>
      <c r="BC83" s="2"/>
      <c r="BD83" s="2"/>
      <c r="BE83" s="2"/>
      <c r="BF83" s="2"/>
      <c r="BG83" s="2"/>
      <c r="BH83" s="2"/>
      <c r="BI83" s="2"/>
      <c r="BJ83" s="2"/>
      <c r="BK83" s="2"/>
      <c r="BL83" s="2"/>
      <c r="BM83" s="2"/>
      <c r="BN83" s="2"/>
      <c r="BO83" s="2"/>
      <c r="BP83" s="2"/>
      <c r="BQ83" s="2"/>
      <c r="BR83" s="2"/>
      <c r="BS83" s="2"/>
    </row>
    <row r="84" spans="1:71" x14ac:dyDescent="0.25">
      <c r="A84" s="2"/>
      <c r="B84" s="128"/>
      <c r="C84" s="2"/>
      <c r="D84" s="2"/>
      <c r="E84" s="2"/>
      <c r="F84" s="2"/>
      <c r="G84" s="129"/>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c r="BA84" s="2"/>
      <c r="BB84" s="2"/>
      <c r="BC84" s="2"/>
      <c r="BD84" s="2"/>
      <c r="BE84" s="2"/>
      <c r="BF84" s="2"/>
      <c r="BG84" s="2"/>
      <c r="BH84" s="2"/>
      <c r="BI84" s="2"/>
      <c r="BJ84" s="2"/>
      <c r="BK84" s="2"/>
      <c r="BL84" s="2"/>
      <c r="BM84" s="2"/>
      <c r="BN84" s="2"/>
      <c r="BO84" s="2"/>
      <c r="BP84" s="2"/>
      <c r="BQ84" s="2"/>
      <c r="BR84" s="2"/>
      <c r="BS84" s="2"/>
    </row>
    <row r="85" spans="1:71" x14ac:dyDescent="0.25">
      <c r="A85" s="2"/>
      <c r="B85" s="128"/>
      <c r="C85" s="2"/>
      <c r="D85" s="2"/>
      <c r="E85" s="2"/>
      <c r="F85" s="2"/>
      <c r="G85" s="129"/>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c r="BA85" s="2"/>
      <c r="BB85" s="2"/>
      <c r="BC85" s="2"/>
      <c r="BD85" s="2"/>
      <c r="BE85" s="2"/>
      <c r="BF85" s="2"/>
      <c r="BG85" s="2"/>
      <c r="BH85" s="2"/>
      <c r="BI85" s="2"/>
      <c r="BJ85" s="2"/>
      <c r="BK85" s="2"/>
      <c r="BL85" s="2"/>
      <c r="BM85" s="2"/>
      <c r="BN85" s="2"/>
      <c r="BO85" s="2"/>
      <c r="BP85" s="2"/>
      <c r="BQ85" s="2"/>
      <c r="BR85" s="2"/>
      <c r="BS85" s="2"/>
    </row>
    <row r="86" spans="1:71" x14ac:dyDescent="0.25">
      <c r="A86" s="2"/>
      <c r="B86" s="128"/>
      <c r="C86" s="2"/>
      <c r="D86" s="2"/>
      <c r="E86" s="2"/>
      <c r="F86" s="2"/>
      <c r="G86" s="129"/>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c r="BF86" s="2"/>
      <c r="BG86" s="2"/>
      <c r="BH86" s="2"/>
      <c r="BI86" s="2"/>
      <c r="BJ86" s="2"/>
      <c r="BK86" s="2"/>
      <c r="BL86" s="2"/>
      <c r="BM86" s="2"/>
      <c r="BN86" s="2"/>
      <c r="BO86" s="2"/>
      <c r="BP86" s="2"/>
      <c r="BQ86" s="2"/>
      <c r="BR86" s="2"/>
      <c r="BS86" s="2"/>
    </row>
    <row r="87" spans="1:71" x14ac:dyDescent="0.25">
      <c r="A87" s="2"/>
      <c r="B87" s="128"/>
      <c r="C87" s="2"/>
      <c r="D87" s="2"/>
      <c r="E87" s="2"/>
      <c r="F87" s="2"/>
      <c r="G87" s="129"/>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row>
    <row r="88" spans="1:71" x14ac:dyDescent="0.25">
      <c r="A88" s="2"/>
      <c r="B88" s="128"/>
      <c r="C88" s="2"/>
      <c r="D88" s="2"/>
      <c r="E88" s="2"/>
      <c r="F88" s="2"/>
      <c r="G88" s="129"/>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c r="BA88" s="2"/>
      <c r="BB88" s="2"/>
      <c r="BC88" s="2"/>
      <c r="BD88" s="2"/>
      <c r="BE88" s="2"/>
      <c r="BF88" s="2"/>
      <c r="BG88" s="2"/>
      <c r="BH88" s="2"/>
      <c r="BI88" s="2"/>
      <c r="BJ88" s="2"/>
      <c r="BK88" s="2"/>
      <c r="BL88" s="2"/>
      <c r="BM88" s="2"/>
      <c r="BN88" s="2"/>
      <c r="BO88" s="2"/>
      <c r="BP88" s="2"/>
      <c r="BQ88" s="2"/>
      <c r="BR88" s="2"/>
      <c r="BS88" s="2"/>
    </row>
    <row r="89" spans="1:71" x14ac:dyDescent="0.25">
      <c r="A89" s="2"/>
      <c r="B89" s="128"/>
      <c r="C89" s="2"/>
      <c r="D89" s="2"/>
      <c r="E89" s="2"/>
      <c r="F89" s="2"/>
      <c r="G89" s="129"/>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c r="BA89" s="2"/>
      <c r="BB89" s="2"/>
      <c r="BC89" s="2"/>
      <c r="BD89" s="2"/>
      <c r="BE89" s="2"/>
      <c r="BF89" s="2"/>
      <c r="BG89" s="2"/>
      <c r="BH89" s="2"/>
      <c r="BI89" s="2"/>
      <c r="BJ89" s="2"/>
      <c r="BK89" s="2"/>
      <c r="BL89" s="2"/>
      <c r="BM89" s="2"/>
      <c r="BN89" s="2"/>
      <c r="BO89" s="2"/>
      <c r="BP89" s="2"/>
      <c r="BQ89" s="2"/>
      <c r="BR89" s="2"/>
      <c r="BS89" s="2"/>
    </row>
    <row r="90" spans="1:71" x14ac:dyDescent="0.25">
      <c r="A90" s="2"/>
      <c r="B90" s="128"/>
      <c r="C90" s="2"/>
      <c r="D90" s="2"/>
      <c r="E90" s="2"/>
      <c r="F90" s="2"/>
      <c r="G90" s="129"/>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c r="BA90" s="2"/>
      <c r="BB90" s="2"/>
      <c r="BC90" s="2"/>
      <c r="BD90" s="2"/>
      <c r="BE90" s="2"/>
      <c r="BF90" s="2"/>
      <c r="BG90" s="2"/>
      <c r="BH90" s="2"/>
      <c r="BI90" s="2"/>
      <c r="BJ90" s="2"/>
      <c r="BK90" s="2"/>
      <c r="BL90" s="2"/>
      <c r="BM90" s="2"/>
      <c r="BN90" s="2"/>
      <c r="BO90" s="2"/>
      <c r="BP90" s="2"/>
      <c r="BQ90" s="2"/>
      <c r="BR90" s="2"/>
      <c r="BS90" s="2"/>
    </row>
    <row r="91" spans="1:71" x14ac:dyDescent="0.25">
      <c r="A91" s="2"/>
      <c r="B91" s="128"/>
      <c r="C91" s="2"/>
      <c r="D91" s="2"/>
      <c r="E91" s="2"/>
      <c r="F91" s="2"/>
      <c r="G91" s="129"/>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c r="BA91" s="2"/>
      <c r="BB91" s="2"/>
      <c r="BC91" s="2"/>
      <c r="BD91" s="2"/>
      <c r="BE91" s="2"/>
      <c r="BF91" s="2"/>
      <c r="BG91" s="2"/>
      <c r="BH91" s="2"/>
      <c r="BI91" s="2"/>
      <c r="BJ91" s="2"/>
      <c r="BK91" s="2"/>
      <c r="BL91" s="2"/>
      <c r="BM91" s="2"/>
      <c r="BN91" s="2"/>
      <c r="BO91" s="2"/>
      <c r="BP91" s="2"/>
      <c r="BQ91" s="2"/>
      <c r="BR91" s="2"/>
      <c r="BS91" s="2"/>
    </row>
    <row r="92" spans="1:71" x14ac:dyDescent="0.25">
      <c r="A92" s="2"/>
      <c r="B92" s="128"/>
      <c r="C92" s="2"/>
      <c r="D92" s="2"/>
      <c r="E92" s="2"/>
      <c r="F92" s="2"/>
      <c r="G92" s="129"/>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c r="BF92" s="2"/>
      <c r="BG92" s="2"/>
      <c r="BH92" s="2"/>
      <c r="BI92" s="2"/>
      <c r="BJ92" s="2"/>
      <c r="BK92" s="2"/>
      <c r="BL92" s="2"/>
      <c r="BM92" s="2"/>
      <c r="BN92" s="2"/>
      <c r="BO92" s="2"/>
      <c r="BP92" s="2"/>
      <c r="BQ92" s="2"/>
      <c r="BR92" s="2"/>
      <c r="BS92" s="2"/>
    </row>
    <row r="93" spans="1:71" x14ac:dyDescent="0.25">
      <c r="A93" s="2"/>
      <c r="B93" s="128"/>
      <c r="C93" s="2"/>
      <c r="D93" s="2"/>
      <c r="E93" s="2"/>
      <c r="F93" s="2"/>
      <c r="G93" s="129"/>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row>
    <row r="94" spans="1:71" x14ac:dyDescent="0.25">
      <c r="A94" s="2"/>
      <c r="B94" s="128"/>
      <c r="C94" s="2"/>
      <c r="D94" s="2"/>
      <c r="E94" s="2"/>
      <c r="F94" s="2"/>
      <c r="G94" s="129"/>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c r="BA94" s="2"/>
      <c r="BB94" s="2"/>
      <c r="BC94" s="2"/>
      <c r="BD94" s="2"/>
      <c r="BE94" s="2"/>
      <c r="BF94" s="2"/>
      <c r="BG94" s="2"/>
      <c r="BH94" s="2"/>
      <c r="BI94" s="2"/>
      <c r="BJ94" s="2"/>
      <c r="BK94" s="2"/>
      <c r="BL94" s="2"/>
      <c r="BM94" s="2"/>
      <c r="BN94" s="2"/>
      <c r="BO94" s="2"/>
      <c r="BP94" s="2"/>
      <c r="BQ94" s="2"/>
      <c r="BR94" s="2"/>
      <c r="BS94" s="2"/>
    </row>
    <row r="95" spans="1:71" x14ac:dyDescent="0.25">
      <c r="A95" s="2"/>
      <c r="B95" s="128"/>
      <c r="C95" s="2"/>
      <c r="D95" s="2"/>
      <c r="E95" s="2"/>
      <c r="F95" s="2"/>
      <c r="G95" s="129"/>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c r="BF95" s="2"/>
      <c r="BG95" s="2"/>
      <c r="BH95" s="2"/>
      <c r="BI95" s="2"/>
      <c r="BJ95" s="2"/>
      <c r="BK95" s="2"/>
      <c r="BL95" s="2"/>
      <c r="BM95" s="2"/>
      <c r="BN95" s="2"/>
      <c r="BO95" s="2"/>
      <c r="BP95" s="2"/>
      <c r="BQ95" s="2"/>
      <c r="BR95" s="2"/>
      <c r="BS95" s="2"/>
    </row>
    <row r="96" spans="1:71" x14ac:dyDescent="0.25">
      <c r="A96" s="2"/>
      <c r="B96" s="128"/>
      <c r="C96" s="2"/>
      <c r="D96" s="2"/>
      <c r="E96" s="2"/>
      <c r="F96" s="2"/>
      <c r="G96" s="129"/>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c r="BF96" s="2"/>
      <c r="BG96" s="2"/>
      <c r="BH96" s="2"/>
      <c r="BI96" s="2"/>
      <c r="BJ96" s="2"/>
      <c r="BK96" s="2"/>
      <c r="BL96" s="2"/>
      <c r="BM96" s="2"/>
      <c r="BN96" s="2"/>
      <c r="BO96" s="2"/>
      <c r="BP96" s="2"/>
      <c r="BQ96" s="2"/>
      <c r="BR96" s="2"/>
      <c r="BS96" s="2"/>
    </row>
    <row r="97" spans="1:71" x14ac:dyDescent="0.25">
      <c r="A97" s="2"/>
      <c r="B97" s="128"/>
      <c r="C97" s="2"/>
      <c r="D97" s="2"/>
      <c r="E97" s="2"/>
      <c r="F97" s="2"/>
      <c r="G97" s="129"/>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c r="BF97" s="2"/>
      <c r="BG97" s="2"/>
      <c r="BH97" s="2"/>
      <c r="BI97" s="2"/>
      <c r="BJ97" s="2"/>
      <c r="BK97" s="2"/>
      <c r="BL97" s="2"/>
      <c r="BM97" s="2"/>
      <c r="BN97" s="2"/>
      <c r="BO97" s="2"/>
      <c r="BP97" s="2"/>
      <c r="BQ97" s="2"/>
      <c r="BR97" s="2"/>
      <c r="BS97" s="2"/>
    </row>
    <row r="98" spans="1:71" x14ac:dyDescent="0.25">
      <c r="A98" s="2"/>
      <c r="B98" s="128"/>
      <c r="C98" s="2"/>
      <c r="D98" s="2"/>
      <c r="E98" s="2"/>
      <c r="F98" s="2"/>
      <c r="G98" s="129"/>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c r="BF98" s="2"/>
      <c r="BG98" s="2"/>
      <c r="BH98" s="2"/>
      <c r="BI98" s="2"/>
      <c r="BJ98" s="2"/>
      <c r="BK98" s="2"/>
      <c r="BL98" s="2"/>
      <c r="BM98" s="2"/>
      <c r="BN98" s="2"/>
      <c r="BO98" s="2"/>
      <c r="BP98" s="2"/>
      <c r="BQ98" s="2"/>
      <c r="BR98" s="2"/>
      <c r="BS98" s="2"/>
    </row>
    <row r="99" spans="1:71" x14ac:dyDescent="0.25">
      <c r="A99" s="2"/>
      <c r="B99" s="128"/>
      <c r="C99" s="2"/>
      <c r="D99" s="2"/>
      <c r="E99" s="2"/>
      <c r="F99" s="2"/>
      <c r="G99" s="129"/>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c r="BF99" s="2"/>
      <c r="BG99" s="2"/>
      <c r="BH99" s="2"/>
      <c r="BI99" s="2"/>
      <c r="BJ99" s="2"/>
      <c r="BK99" s="2"/>
      <c r="BL99" s="2"/>
      <c r="BM99" s="2"/>
      <c r="BN99" s="2"/>
      <c r="BO99" s="2"/>
      <c r="BP99" s="2"/>
      <c r="BQ99" s="2"/>
      <c r="BR99" s="2"/>
      <c r="BS99" s="2"/>
    </row>
    <row r="100" spans="1:71" x14ac:dyDescent="0.25">
      <c r="A100" s="2"/>
      <c r="B100" s="128"/>
      <c r="C100" s="2"/>
      <c r="D100" s="2"/>
      <c r="E100" s="2"/>
      <c r="F100" s="2"/>
      <c r="G100" s="129"/>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c r="BF100" s="2"/>
      <c r="BG100" s="2"/>
      <c r="BH100" s="2"/>
      <c r="BI100" s="2"/>
      <c r="BJ100" s="2"/>
      <c r="BK100" s="2"/>
      <c r="BL100" s="2"/>
      <c r="BM100" s="2"/>
      <c r="BN100" s="2"/>
      <c r="BO100" s="2"/>
      <c r="BP100" s="2"/>
      <c r="BQ100" s="2"/>
      <c r="BR100" s="2"/>
      <c r="BS100" s="2"/>
    </row>
    <row r="101" spans="1:71" x14ac:dyDescent="0.25">
      <c r="A101" s="2"/>
      <c r="B101" s="128"/>
      <c r="C101" s="2"/>
      <c r="D101" s="2"/>
      <c r="E101" s="2"/>
      <c r="F101" s="2"/>
      <c r="G101" s="129"/>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c r="BF101" s="2"/>
      <c r="BG101" s="2"/>
      <c r="BH101" s="2"/>
      <c r="BI101" s="2"/>
      <c r="BJ101" s="2"/>
      <c r="BK101" s="2"/>
      <c r="BL101" s="2"/>
      <c r="BM101" s="2"/>
      <c r="BN101" s="2"/>
      <c r="BO101" s="2"/>
      <c r="BP101" s="2"/>
      <c r="BQ101" s="2"/>
      <c r="BR101" s="2"/>
      <c r="BS101" s="2"/>
    </row>
    <row r="102" spans="1:71" x14ac:dyDescent="0.25">
      <c r="A102" s="2"/>
      <c r="B102" s="128"/>
      <c r="C102" s="2"/>
      <c r="D102" s="2"/>
      <c r="E102" s="2"/>
      <c r="F102" s="2"/>
      <c r="G102" s="129"/>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row>
    <row r="103" spans="1:71" x14ac:dyDescent="0.25">
      <c r="A103" s="2"/>
      <c r="B103" s="128"/>
      <c r="C103" s="2"/>
      <c r="D103" s="2"/>
      <c r="E103" s="2"/>
      <c r="F103" s="2"/>
      <c r="G103" s="129"/>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row>
    <row r="104" spans="1:71" x14ac:dyDescent="0.25">
      <c r="A104" s="2"/>
      <c r="B104" s="128"/>
      <c r="C104" s="2"/>
      <c r="D104" s="2"/>
      <c r="E104" s="2"/>
      <c r="F104" s="2"/>
      <c r="G104" s="129"/>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c r="BA104" s="2"/>
      <c r="BB104" s="2"/>
      <c r="BC104" s="2"/>
      <c r="BD104" s="2"/>
      <c r="BE104" s="2"/>
      <c r="BF104" s="2"/>
      <c r="BG104" s="2"/>
      <c r="BH104" s="2"/>
      <c r="BI104" s="2"/>
      <c r="BJ104" s="2"/>
      <c r="BK104" s="2"/>
      <c r="BL104" s="2"/>
      <c r="BM104" s="2"/>
      <c r="BN104" s="2"/>
      <c r="BO104" s="2"/>
      <c r="BP104" s="2"/>
      <c r="BQ104" s="2"/>
      <c r="BR104" s="2"/>
      <c r="BS104" s="2"/>
    </row>
    <row r="105" spans="1:71" x14ac:dyDescent="0.25">
      <c r="A105" s="2"/>
      <c r="B105" s="128"/>
      <c r="C105" s="2"/>
      <c r="D105" s="2"/>
      <c r="E105" s="2"/>
      <c r="F105" s="2"/>
      <c r="G105" s="129"/>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c r="BA105" s="2"/>
      <c r="BB105" s="2"/>
      <c r="BC105" s="2"/>
      <c r="BD105" s="2"/>
      <c r="BE105" s="2"/>
      <c r="BF105" s="2"/>
      <c r="BG105" s="2"/>
      <c r="BH105" s="2"/>
      <c r="BI105" s="2"/>
      <c r="BJ105" s="2"/>
      <c r="BK105" s="2"/>
      <c r="BL105" s="2"/>
      <c r="BM105" s="2"/>
      <c r="BN105" s="2"/>
      <c r="BO105" s="2"/>
      <c r="BP105" s="2"/>
      <c r="BQ105" s="2"/>
      <c r="BR105" s="2"/>
      <c r="BS105" s="2"/>
    </row>
    <row r="106" spans="1:71" x14ac:dyDescent="0.25">
      <c r="A106" s="2"/>
      <c r="B106" s="128"/>
      <c r="C106" s="2"/>
      <c r="D106" s="2"/>
      <c r="E106" s="2"/>
      <c r="F106" s="2"/>
      <c r="G106" s="129"/>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c r="BA106" s="2"/>
      <c r="BB106" s="2"/>
      <c r="BC106" s="2"/>
      <c r="BD106" s="2"/>
      <c r="BE106" s="2"/>
      <c r="BF106" s="2"/>
      <c r="BG106" s="2"/>
      <c r="BH106" s="2"/>
      <c r="BI106" s="2"/>
      <c r="BJ106" s="2"/>
      <c r="BK106" s="2"/>
      <c r="BL106" s="2"/>
      <c r="BM106" s="2"/>
      <c r="BN106" s="2"/>
      <c r="BO106" s="2"/>
      <c r="BP106" s="2"/>
      <c r="BQ106" s="2"/>
      <c r="BR106" s="2"/>
      <c r="BS106" s="2"/>
    </row>
    <row r="107" spans="1:71" x14ac:dyDescent="0.25">
      <c r="A107" s="2"/>
      <c r="B107" s="128"/>
      <c r="C107" s="2"/>
      <c r="D107" s="2"/>
      <c r="E107" s="2"/>
      <c r="F107" s="2"/>
      <c r="G107" s="129"/>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row>
    <row r="108" spans="1:71" x14ac:dyDescent="0.25">
      <c r="A108" s="2"/>
      <c r="B108" s="128"/>
      <c r="C108" s="2"/>
      <c r="D108" s="2"/>
      <c r="E108" s="2"/>
      <c r="F108" s="2"/>
      <c r="G108" s="129"/>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c r="BF108" s="2"/>
      <c r="BG108" s="2"/>
      <c r="BH108" s="2"/>
      <c r="BI108" s="2"/>
      <c r="BJ108" s="2"/>
      <c r="BK108" s="2"/>
      <c r="BL108" s="2"/>
      <c r="BM108" s="2"/>
      <c r="BN108" s="2"/>
      <c r="BO108" s="2"/>
      <c r="BP108" s="2"/>
      <c r="BQ108" s="2"/>
      <c r="BR108" s="2"/>
      <c r="BS108" s="2"/>
    </row>
    <row r="109" spans="1:71" x14ac:dyDescent="0.25">
      <c r="A109" s="2"/>
      <c r="B109" s="128"/>
      <c r="C109" s="2"/>
      <c r="D109" s="2"/>
      <c r="E109" s="2"/>
      <c r="F109" s="2"/>
      <c r="G109" s="129"/>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c r="BF109" s="2"/>
      <c r="BG109" s="2"/>
      <c r="BH109" s="2"/>
      <c r="BI109" s="2"/>
      <c r="BJ109" s="2"/>
      <c r="BK109" s="2"/>
      <c r="BL109" s="2"/>
      <c r="BM109" s="2"/>
      <c r="BN109" s="2"/>
      <c r="BO109" s="2"/>
      <c r="BP109" s="2"/>
      <c r="BQ109" s="2"/>
      <c r="BR109" s="2"/>
      <c r="BS109" s="2"/>
    </row>
    <row r="110" spans="1:71" x14ac:dyDescent="0.25">
      <c r="A110" s="2"/>
      <c r="B110" s="128"/>
      <c r="C110" s="2"/>
      <c r="D110" s="2"/>
      <c r="E110" s="2"/>
      <c r="F110" s="2"/>
      <c r="G110" s="129"/>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c r="BA110" s="2"/>
      <c r="BB110" s="2"/>
      <c r="BC110" s="2"/>
      <c r="BD110" s="2"/>
      <c r="BE110" s="2"/>
      <c r="BF110" s="2"/>
      <c r="BG110" s="2"/>
      <c r="BH110" s="2"/>
      <c r="BI110" s="2"/>
      <c r="BJ110" s="2"/>
      <c r="BK110" s="2"/>
      <c r="BL110" s="2"/>
      <c r="BM110" s="2"/>
      <c r="BN110" s="2"/>
      <c r="BO110" s="2"/>
      <c r="BP110" s="2"/>
      <c r="BQ110" s="2"/>
      <c r="BR110" s="2"/>
      <c r="BS110" s="2"/>
    </row>
    <row r="111" spans="1:71" x14ac:dyDescent="0.25">
      <c r="A111" s="2"/>
      <c r="B111" s="128"/>
      <c r="C111" s="2"/>
      <c r="D111" s="2"/>
      <c r="E111" s="2"/>
      <c r="F111" s="2"/>
      <c r="G111" s="129"/>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c r="BF111" s="2"/>
      <c r="BG111" s="2"/>
      <c r="BH111" s="2"/>
      <c r="BI111" s="2"/>
      <c r="BJ111" s="2"/>
      <c r="BK111" s="2"/>
      <c r="BL111" s="2"/>
      <c r="BM111" s="2"/>
      <c r="BN111" s="2"/>
      <c r="BO111" s="2"/>
      <c r="BP111" s="2"/>
      <c r="BQ111" s="2"/>
      <c r="BR111" s="2"/>
      <c r="BS111" s="2"/>
    </row>
    <row r="112" spans="1:71" x14ac:dyDescent="0.25">
      <c r="A112" s="2"/>
      <c r="B112" s="128"/>
      <c r="C112" s="2"/>
      <c r="D112" s="2"/>
      <c r="E112" s="2"/>
      <c r="F112" s="2"/>
      <c r="G112" s="129"/>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row>
    <row r="113" spans="1:71" x14ac:dyDescent="0.25">
      <c r="A113" s="2"/>
      <c r="B113" s="128"/>
      <c r="C113" s="2"/>
      <c r="D113" s="2"/>
      <c r="E113" s="2"/>
      <c r="F113" s="2"/>
      <c r="G113" s="129"/>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c r="BA113" s="2"/>
      <c r="BB113" s="2"/>
      <c r="BC113" s="2"/>
      <c r="BD113" s="2"/>
      <c r="BE113" s="2"/>
      <c r="BF113" s="2"/>
      <c r="BG113" s="2"/>
      <c r="BH113" s="2"/>
      <c r="BI113" s="2"/>
      <c r="BJ113" s="2"/>
      <c r="BK113" s="2"/>
      <c r="BL113" s="2"/>
      <c r="BM113" s="2"/>
      <c r="BN113" s="2"/>
      <c r="BO113" s="2"/>
      <c r="BP113" s="2"/>
      <c r="BQ113" s="2"/>
      <c r="BR113" s="2"/>
      <c r="BS113" s="2"/>
    </row>
    <row r="114" spans="1:71" x14ac:dyDescent="0.25">
      <c r="A114" s="2"/>
      <c r="B114" s="128"/>
      <c r="C114" s="2"/>
      <c r="D114" s="2"/>
      <c r="E114" s="2"/>
      <c r="F114" s="2"/>
      <c r="G114" s="129"/>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c r="BA114" s="2"/>
      <c r="BB114" s="2"/>
      <c r="BC114" s="2"/>
      <c r="BD114" s="2"/>
      <c r="BE114" s="2"/>
      <c r="BF114" s="2"/>
      <c r="BG114" s="2"/>
      <c r="BH114" s="2"/>
      <c r="BI114" s="2"/>
      <c r="BJ114" s="2"/>
      <c r="BK114" s="2"/>
      <c r="BL114" s="2"/>
      <c r="BM114" s="2"/>
      <c r="BN114" s="2"/>
      <c r="BO114" s="2"/>
      <c r="BP114" s="2"/>
      <c r="BQ114" s="2"/>
      <c r="BR114" s="2"/>
      <c r="BS114" s="2"/>
    </row>
    <row r="115" spans="1:71" x14ac:dyDescent="0.25">
      <c r="A115" s="2"/>
      <c r="B115" s="128"/>
      <c r="C115" s="2"/>
      <c r="D115" s="2"/>
      <c r="E115" s="2"/>
      <c r="F115" s="2"/>
      <c r="G115" s="129"/>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c r="BF115" s="2"/>
      <c r="BG115" s="2"/>
      <c r="BH115" s="2"/>
      <c r="BI115" s="2"/>
      <c r="BJ115" s="2"/>
      <c r="BK115" s="2"/>
      <c r="BL115" s="2"/>
      <c r="BM115" s="2"/>
      <c r="BN115" s="2"/>
      <c r="BO115" s="2"/>
      <c r="BP115" s="2"/>
      <c r="BQ115" s="2"/>
      <c r="BR115" s="2"/>
      <c r="BS115" s="2"/>
    </row>
    <row r="116" spans="1:71" x14ac:dyDescent="0.25">
      <c r="A116" s="2"/>
      <c r="B116" s="128"/>
      <c r="C116" s="2"/>
      <c r="D116" s="2"/>
      <c r="E116" s="2"/>
      <c r="F116" s="2"/>
      <c r="G116" s="129"/>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c r="BF116" s="2"/>
      <c r="BG116" s="2"/>
      <c r="BH116" s="2"/>
      <c r="BI116" s="2"/>
      <c r="BJ116" s="2"/>
      <c r="BK116" s="2"/>
      <c r="BL116" s="2"/>
      <c r="BM116" s="2"/>
      <c r="BN116" s="2"/>
      <c r="BO116" s="2"/>
      <c r="BP116" s="2"/>
      <c r="BQ116" s="2"/>
      <c r="BR116" s="2"/>
      <c r="BS116" s="2"/>
    </row>
    <row r="117" spans="1:71" x14ac:dyDescent="0.25">
      <c r="A117" s="2"/>
      <c r="B117" s="128"/>
      <c r="C117" s="2"/>
      <c r="D117" s="2"/>
      <c r="E117" s="2"/>
      <c r="F117" s="2"/>
      <c r="G117" s="129"/>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row>
    <row r="118" spans="1:71" x14ac:dyDescent="0.25">
      <c r="A118" s="2"/>
      <c r="B118" s="128"/>
      <c r="C118" s="2"/>
      <c r="D118" s="2"/>
      <c r="E118" s="2"/>
      <c r="F118" s="2"/>
      <c r="G118" s="129"/>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row>
    <row r="119" spans="1:71" x14ac:dyDescent="0.25">
      <c r="A119" s="2"/>
      <c r="B119" s="128"/>
      <c r="C119" s="2"/>
      <c r="D119" s="2"/>
      <c r="E119" s="2"/>
      <c r="F119" s="2"/>
      <c r="G119" s="129"/>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c r="BF119" s="2"/>
      <c r="BG119" s="2"/>
      <c r="BH119" s="2"/>
      <c r="BI119" s="2"/>
      <c r="BJ119" s="2"/>
      <c r="BK119" s="2"/>
      <c r="BL119" s="2"/>
      <c r="BM119" s="2"/>
      <c r="BN119" s="2"/>
      <c r="BO119" s="2"/>
      <c r="BP119" s="2"/>
      <c r="BQ119" s="2"/>
      <c r="BR119" s="2"/>
      <c r="BS119" s="2"/>
    </row>
    <row r="120" spans="1:71" x14ac:dyDescent="0.25">
      <c r="A120" s="2"/>
      <c r="B120" s="128"/>
      <c r="C120" s="2"/>
      <c r="D120" s="2"/>
      <c r="E120" s="2"/>
      <c r="F120" s="2"/>
      <c r="G120" s="129"/>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row>
    <row r="121" spans="1:71" x14ac:dyDescent="0.25">
      <c r="A121" s="2"/>
      <c r="B121" s="128"/>
      <c r="C121" s="2"/>
      <c r="D121" s="2"/>
      <c r="E121" s="2"/>
      <c r="F121" s="2"/>
      <c r="G121" s="129"/>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row>
    <row r="122" spans="1:71" x14ac:dyDescent="0.25">
      <c r="A122" s="2"/>
      <c r="B122" s="128"/>
      <c r="C122" s="2"/>
      <c r="D122" s="2"/>
      <c r="E122" s="2"/>
      <c r="F122" s="2"/>
      <c r="G122" s="129"/>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row>
    <row r="123" spans="1:71" x14ac:dyDescent="0.25">
      <c r="A123" s="2"/>
      <c r="B123" s="128"/>
      <c r="C123" s="2"/>
      <c r="D123" s="2"/>
      <c r="E123" s="2"/>
      <c r="F123" s="2"/>
      <c r="G123" s="129"/>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c r="AQ123" s="2"/>
      <c r="AR123" s="2"/>
      <c r="AS123" s="2"/>
      <c r="AT123" s="2"/>
      <c r="AU123" s="2"/>
      <c r="AV123" s="2"/>
      <c r="AW123" s="2"/>
      <c r="AX123" s="2"/>
      <c r="AY123" s="2"/>
      <c r="AZ123" s="2"/>
      <c r="BA123" s="2"/>
      <c r="BB123" s="2"/>
      <c r="BC123" s="2"/>
      <c r="BD123" s="2"/>
      <c r="BE123" s="2"/>
      <c r="BF123" s="2"/>
      <c r="BG123" s="2"/>
      <c r="BH123" s="2"/>
      <c r="BI123" s="2"/>
      <c r="BJ123" s="2"/>
      <c r="BK123" s="2"/>
      <c r="BL123" s="2"/>
      <c r="BM123" s="2"/>
      <c r="BN123" s="2"/>
      <c r="BO123" s="2"/>
      <c r="BP123" s="2"/>
      <c r="BQ123" s="2"/>
      <c r="BR123" s="2"/>
      <c r="BS123" s="2"/>
    </row>
    <row r="124" spans="1:71" x14ac:dyDescent="0.25">
      <c r="A124" s="2"/>
      <c r="B124" s="128"/>
      <c r="C124" s="2"/>
      <c r="D124" s="2"/>
      <c r="E124" s="2"/>
      <c r="F124" s="2"/>
      <c r="G124" s="129"/>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c r="AQ124" s="2"/>
      <c r="AR124" s="2"/>
      <c r="AS124" s="2"/>
      <c r="AT124" s="2"/>
      <c r="AU124" s="2"/>
      <c r="AV124" s="2"/>
      <c r="AW124" s="2"/>
      <c r="AX124" s="2"/>
      <c r="AY124" s="2"/>
      <c r="AZ124" s="2"/>
      <c r="BA124" s="2"/>
      <c r="BB124" s="2"/>
      <c r="BC124" s="2"/>
      <c r="BD124" s="2"/>
      <c r="BE124" s="2"/>
      <c r="BF124" s="2"/>
      <c r="BG124" s="2"/>
      <c r="BH124" s="2"/>
      <c r="BI124" s="2"/>
      <c r="BJ124" s="2"/>
      <c r="BK124" s="2"/>
      <c r="BL124" s="2"/>
      <c r="BM124" s="2"/>
      <c r="BN124" s="2"/>
      <c r="BO124" s="2"/>
      <c r="BP124" s="2"/>
      <c r="BQ124" s="2"/>
      <c r="BR124" s="2"/>
      <c r="BS124" s="2"/>
    </row>
    <row r="125" spans="1:71" x14ac:dyDescent="0.25">
      <c r="A125" s="2"/>
      <c r="B125" s="128"/>
      <c r="C125" s="2"/>
      <c r="D125" s="2"/>
      <c r="E125" s="2"/>
      <c r="F125" s="2"/>
      <c r="G125" s="129"/>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c r="AQ125" s="2"/>
      <c r="AR125" s="2"/>
      <c r="AS125" s="2"/>
      <c r="AT125" s="2"/>
      <c r="AU125" s="2"/>
      <c r="AV125" s="2"/>
      <c r="AW125" s="2"/>
      <c r="AX125" s="2"/>
      <c r="AY125" s="2"/>
      <c r="AZ125" s="2"/>
      <c r="BA125" s="2"/>
      <c r="BB125" s="2"/>
      <c r="BC125" s="2"/>
      <c r="BD125" s="2"/>
      <c r="BE125" s="2"/>
      <c r="BF125" s="2"/>
      <c r="BG125" s="2"/>
      <c r="BH125" s="2"/>
      <c r="BI125" s="2"/>
      <c r="BJ125" s="2"/>
      <c r="BK125" s="2"/>
      <c r="BL125" s="2"/>
      <c r="BM125" s="2"/>
      <c r="BN125" s="2"/>
      <c r="BO125" s="2"/>
      <c r="BP125" s="2"/>
      <c r="BQ125" s="2"/>
      <c r="BR125" s="2"/>
      <c r="BS125" s="2"/>
    </row>
    <row r="126" spans="1:71" x14ac:dyDescent="0.25">
      <c r="A126" s="2"/>
      <c r="B126" s="128"/>
      <c r="C126" s="2"/>
      <c r="D126" s="2"/>
      <c r="E126" s="2"/>
      <c r="F126" s="2"/>
      <c r="G126" s="129"/>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c r="AQ126" s="2"/>
      <c r="AR126" s="2"/>
      <c r="AS126" s="2"/>
      <c r="AT126" s="2"/>
      <c r="AU126" s="2"/>
      <c r="AV126" s="2"/>
      <c r="AW126" s="2"/>
      <c r="AX126" s="2"/>
      <c r="AY126" s="2"/>
      <c r="AZ126" s="2"/>
      <c r="BA126" s="2"/>
      <c r="BB126" s="2"/>
      <c r="BC126" s="2"/>
      <c r="BD126" s="2"/>
      <c r="BE126" s="2"/>
      <c r="BF126" s="2"/>
      <c r="BG126" s="2"/>
      <c r="BH126" s="2"/>
      <c r="BI126" s="2"/>
      <c r="BJ126" s="2"/>
      <c r="BK126" s="2"/>
      <c r="BL126" s="2"/>
      <c r="BM126" s="2"/>
      <c r="BN126" s="2"/>
      <c r="BO126" s="2"/>
      <c r="BP126" s="2"/>
      <c r="BQ126" s="2"/>
      <c r="BR126" s="2"/>
      <c r="BS126" s="2"/>
    </row>
    <row r="127" spans="1:71" x14ac:dyDescent="0.25">
      <c r="A127" s="2"/>
      <c r="B127" s="128"/>
      <c r="C127" s="2"/>
      <c r="D127" s="2"/>
      <c r="E127" s="2"/>
      <c r="F127" s="2"/>
      <c r="G127" s="129"/>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c r="BH127" s="2"/>
      <c r="BI127" s="2"/>
      <c r="BJ127" s="2"/>
      <c r="BK127" s="2"/>
      <c r="BL127" s="2"/>
      <c r="BM127" s="2"/>
      <c r="BN127" s="2"/>
      <c r="BO127" s="2"/>
      <c r="BP127" s="2"/>
      <c r="BQ127" s="2"/>
      <c r="BR127" s="2"/>
      <c r="BS127" s="2"/>
    </row>
    <row r="128" spans="1:71" x14ac:dyDescent="0.25">
      <c r="A128" s="2"/>
      <c r="B128" s="128"/>
      <c r="C128" s="2"/>
      <c r="D128" s="2"/>
      <c r="E128" s="2"/>
      <c r="F128" s="2"/>
      <c r="G128" s="129"/>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c r="BF128" s="2"/>
      <c r="BG128" s="2"/>
      <c r="BH128" s="2"/>
      <c r="BI128" s="2"/>
      <c r="BJ128" s="2"/>
      <c r="BK128" s="2"/>
      <c r="BL128" s="2"/>
      <c r="BM128" s="2"/>
      <c r="BN128" s="2"/>
      <c r="BO128" s="2"/>
      <c r="BP128" s="2"/>
      <c r="BQ128" s="2"/>
      <c r="BR128" s="2"/>
      <c r="BS128" s="2"/>
    </row>
    <row r="129" spans="1:71" x14ac:dyDescent="0.25">
      <c r="A129" s="2"/>
      <c r="B129" s="128"/>
      <c r="C129" s="2"/>
      <c r="D129" s="2"/>
      <c r="E129" s="2"/>
      <c r="F129" s="2"/>
      <c r="G129" s="129"/>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c r="AQ129" s="2"/>
      <c r="AR129" s="2"/>
      <c r="AS129" s="2"/>
      <c r="AT129" s="2"/>
      <c r="AU129" s="2"/>
      <c r="AV129" s="2"/>
      <c r="AW129" s="2"/>
      <c r="AX129" s="2"/>
      <c r="AY129" s="2"/>
      <c r="AZ129" s="2"/>
      <c r="BA129" s="2"/>
      <c r="BB129" s="2"/>
      <c r="BC129" s="2"/>
      <c r="BD129" s="2"/>
      <c r="BE129" s="2"/>
      <c r="BF129" s="2"/>
      <c r="BG129" s="2"/>
      <c r="BH129" s="2"/>
      <c r="BI129" s="2"/>
      <c r="BJ129" s="2"/>
      <c r="BK129" s="2"/>
      <c r="BL129" s="2"/>
      <c r="BM129" s="2"/>
      <c r="BN129" s="2"/>
      <c r="BO129" s="2"/>
      <c r="BP129" s="2"/>
      <c r="BQ129" s="2"/>
      <c r="BR129" s="2"/>
      <c r="BS129" s="2"/>
    </row>
    <row r="130" spans="1:71" x14ac:dyDescent="0.25">
      <c r="A130" s="2"/>
      <c r="B130" s="128"/>
      <c r="C130" s="2"/>
      <c r="D130" s="2"/>
      <c r="E130" s="2"/>
      <c r="F130" s="2"/>
      <c r="G130" s="129"/>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c r="AQ130" s="2"/>
      <c r="AR130" s="2"/>
      <c r="AS130" s="2"/>
      <c r="AT130" s="2"/>
      <c r="AU130" s="2"/>
      <c r="AV130" s="2"/>
      <c r="AW130" s="2"/>
      <c r="AX130" s="2"/>
      <c r="AY130" s="2"/>
      <c r="AZ130" s="2"/>
      <c r="BA130" s="2"/>
      <c r="BB130" s="2"/>
      <c r="BC130" s="2"/>
      <c r="BD130" s="2"/>
      <c r="BE130" s="2"/>
      <c r="BF130" s="2"/>
      <c r="BG130" s="2"/>
      <c r="BH130" s="2"/>
      <c r="BI130" s="2"/>
      <c r="BJ130" s="2"/>
      <c r="BK130" s="2"/>
      <c r="BL130" s="2"/>
      <c r="BM130" s="2"/>
      <c r="BN130" s="2"/>
      <c r="BO130" s="2"/>
      <c r="BP130" s="2"/>
      <c r="BQ130" s="2"/>
      <c r="BR130" s="2"/>
      <c r="BS130" s="2"/>
    </row>
    <row r="131" spans="1:71" x14ac:dyDescent="0.25">
      <c r="A131" s="2"/>
      <c r="B131" s="128"/>
      <c r="C131" s="2"/>
      <c r="D131" s="2"/>
      <c r="E131" s="2"/>
      <c r="F131" s="2"/>
      <c r="G131" s="129"/>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c r="AQ131" s="2"/>
      <c r="AR131" s="2"/>
      <c r="AS131" s="2"/>
      <c r="AT131" s="2"/>
      <c r="AU131" s="2"/>
      <c r="AV131" s="2"/>
      <c r="AW131" s="2"/>
      <c r="AX131" s="2"/>
      <c r="AY131" s="2"/>
      <c r="AZ131" s="2"/>
      <c r="BA131" s="2"/>
      <c r="BB131" s="2"/>
      <c r="BC131" s="2"/>
      <c r="BD131" s="2"/>
      <c r="BE131" s="2"/>
      <c r="BF131" s="2"/>
      <c r="BG131" s="2"/>
      <c r="BH131" s="2"/>
      <c r="BI131" s="2"/>
      <c r="BJ131" s="2"/>
      <c r="BK131" s="2"/>
      <c r="BL131" s="2"/>
      <c r="BM131" s="2"/>
      <c r="BN131" s="2"/>
      <c r="BO131" s="2"/>
      <c r="BP131" s="2"/>
      <c r="BQ131" s="2"/>
      <c r="BR131" s="2"/>
      <c r="BS131" s="2"/>
    </row>
  </sheetData>
  <mergeCells count="37">
    <mergeCell ref="A3:A7"/>
    <mergeCell ref="D3:D7"/>
    <mergeCell ref="C3:C7"/>
    <mergeCell ref="C8:C12"/>
    <mergeCell ref="A8:A12"/>
    <mergeCell ref="B8:B12"/>
    <mergeCell ref="D20:D22"/>
    <mergeCell ref="C13:C17"/>
    <mergeCell ref="D18:D19"/>
    <mergeCell ref="C18:C22"/>
    <mergeCell ref="E8:E12"/>
    <mergeCell ref="E13:E17"/>
    <mergeCell ref="D8:D12"/>
    <mergeCell ref="D15:D17"/>
    <mergeCell ref="D13:D14"/>
    <mergeCell ref="AQ28:AT28"/>
    <mergeCell ref="AU28:AX28"/>
    <mergeCell ref="A13:A22"/>
    <mergeCell ref="B18:B22"/>
    <mergeCell ref="B13:B17"/>
    <mergeCell ref="E18:E22"/>
    <mergeCell ref="A1:X1"/>
    <mergeCell ref="C26:C30"/>
    <mergeCell ref="D26:D30"/>
    <mergeCell ref="C24:L24"/>
    <mergeCell ref="I28:X28"/>
    <mergeCell ref="I30:X30"/>
    <mergeCell ref="I27:X27"/>
    <mergeCell ref="I26:X26"/>
    <mergeCell ref="I25:X25"/>
    <mergeCell ref="I29:X29"/>
    <mergeCell ref="H8:H9"/>
    <mergeCell ref="H18:H19"/>
    <mergeCell ref="H13:H14"/>
    <mergeCell ref="B3:B7"/>
    <mergeCell ref="E3:E7"/>
    <mergeCell ref="E26:E30"/>
  </mergeCells>
  <phoneticPr fontId="4" type="noConversion"/>
  <hyperlinks>
    <hyperlink ref="G33" r:id="rId1" display="https://2050partners.sharepoint.com/:w:/r/sites/CalBEMCollaborativeEfforts/Shared Documents/Working Group 1 - Streamlined Process/D - Complexity of Compliance/Prototype Unification/Project Development/Phase 2 (Collect Inputs) Development/NR/Air Leakage Memo/Infiltration_rate_report_14May2025-Short-Version.docx?d=w3bef8f747fac44f2a70cd76617660066&amp;csf=1&amp;web=1&amp;e=wh5Dm4" xr:uid="{1B5F6D1B-03B9-47F7-BAB0-A55D2202C4A4}"/>
    <hyperlink ref="H26" r:id="rId2" xr:uid="{3C8DB427-DA30-47E9-BA90-9B3A466DD772}"/>
    <hyperlink ref="H27" r:id="rId3" xr:uid="{D71B4B04-F1A8-4115-A056-071DB61E6ADA}"/>
    <hyperlink ref="H28" r:id="rId4" xr:uid="{CB2960E7-F88A-41AC-816E-8166DB992A78}"/>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C5D61-95E8-4ABB-AA0F-F62785ECF46A}">
  <dimension ref="A1:L69"/>
  <sheetViews>
    <sheetView zoomScale="75" zoomScaleNormal="75" workbookViewId="0">
      <selection sqref="A1:F1"/>
    </sheetView>
  </sheetViews>
  <sheetFormatPr defaultColWidth="8.6640625" defaultRowHeight="13.2" x14ac:dyDescent="0.25"/>
  <cols>
    <col min="1" max="1" width="26" style="4" customWidth="1"/>
    <col min="2" max="2" width="27.33203125" style="4" customWidth="1"/>
    <col min="3" max="3" width="32.88671875" style="4" customWidth="1"/>
    <col min="4" max="4" width="38.5546875" style="4" customWidth="1"/>
    <col min="5" max="5" width="47.44140625" style="4" customWidth="1"/>
    <col min="6" max="6" width="44.6640625" style="4" customWidth="1"/>
    <col min="7" max="7" width="29.88671875" style="4" customWidth="1"/>
    <col min="8" max="8" width="35.88671875" style="4" customWidth="1"/>
    <col min="9" max="9" width="28.5546875" style="4" customWidth="1"/>
    <col min="10" max="10" width="12.6640625" style="4" customWidth="1"/>
    <col min="11" max="11" width="10.109375" style="4" bestFit="1" customWidth="1"/>
    <col min="12" max="16384" width="8.6640625" style="4"/>
  </cols>
  <sheetData>
    <row r="1" spans="1:9" ht="27" customHeight="1" x14ac:dyDescent="0.25">
      <c r="A1" s="630" t="str">
        <f>"HVAC System - "&amp;Prototype!A2</f>
        <v>HVAC System - OfficeSmall</v>
      </c>
      <c r="B1" s="630"/>
      <c r="C1" s="630"/>
      <c r="D1" s="630"/>
      <c r="E1" s="630"/>
      <c r="F1" s="630"/>
      <c r="G1" s="443"/>
      <c r="H1" s="398" t="s">
        <v>248</v>
      </c>
    </row>
    <row r="2" spans="1:9" ht="19.2" customHeight="1" x14ac:dyDescent="0.25">
      <c r="A2" s="518" t="s">
        <v>192</v>
      </c>
      <c r="B2" s="518" t="s">
        <v>249</v>
      </c>
      <c r="C2" s="518" t="s">
        <v>250</v>
      </c>
      <c r="D2" s="518" t="s">
        <v>251</v>
      </c>
      <c r="E2" s="538" t="s">
        <v>252</v>
      </c>
      <c r="F2" s="518" t="s">
        <v>253</v>
      </c>
    </row>
    <row r="3" spans="1:9" ht="51.75" customHeight="1" x14ac:dyDescent="0.25">
      <c r="A3" s="512" t="s">
        <v>254</v>
      </c>
      <c r="B3" s="512" t="s">
        <v>255</v>
      </c>
      <c r="C3" s="49" t="s">
        <v>256</v>
      </c>
      <c r="D3" s="508" t="s">
        <v>257</v>
      </c>
      <c r="E3" s="316" t="s">
        <v>258</v>
      </c>
      <c r="F3" s="508" t="s">
        <v>259</v>
      </c>
      <c r="G3" s="324"/>
      <c r="H3" s="324"/>
      <c r="I3" s="324"/>
    </row>
    <row r="4" spans="1:9" ht="57" customHeight="1" x14ac:dyDescent="0.25">
      <c r="A4" s="512" t="s">
        <v>260</v>
      </c>
      <c r="B4" s="512" t="s">
        <v>261</v>
      </c>
      <c r="C4" s="508" t="s">
        <v>261</v>
      </c>
      <c r="D4" s="508" t="s">
        <v>257</v>
      </c>
      <c r="E4" s="316" t="s">
        <v>262</v>
      </c>
      <c r="F4" s="508" t="s">
        <v>263</v>
      </c>
      <c r="G4" s="505"/>
      <c r="H4" s="404"/>
      <c r="I4" s="404"/>
    </row>
    <row r="5" spans="1:9" ht="15.6" customHeight="1" x14ac:dyDescent="0.25">
      <c r="A5" s="515"/>
      <c r="B5" s="515"/>
      <c r="C5" s="515"/>
      <c r="D5" s="515"/>
      <c r="E5" s="515"/>
    </row>
    <row r="6" spans="1:9" ht="15.6" customHeight="1" x14ac:dyDescent="0.25">
      <c r="A6" s="515"/>
      <c r="B6" s="515"/>
      <c r="C6" s="515"/>
      <c r="D6" s="515"/>
      <c r="E6" s="515"/>
    </row>
    <row r="7" spans="1:9" ht="15.6" customHeight="1" x14ac:dyDescent="0.25">
      <c r="A7" s="515"/>
      <c r="B7" s="515"/>
      <c r="C7" s="515"/>
      <c r="D7" s="515"/>
      <c r="E7" s="515"/>
    </row>
    <row r="8" spans="1:9" x14ac:dyDescent="0.25">
      <c r="A8" s="515"/>
      <c r="B8" s="515"/>
      <c r="C8" s="515"/>
      <c r="D8" s="515"/>
      <c r="E8" s="515"/>
    </row>
    <row r="9" spans="1:9" x14ac:dyDescent="0.25">
      <c r="A9" s="515"/>
      <c r="B9" s="515"/>
      <c r="C9" s="515"/>
      <c r="D9" s="515"/>
      <c r="E9" s="515"/>
    </row>
    <row r="10" spans="1:9" ht="50.25" customHeight="1" x14ac:dyDescent="0.25">
      <c r="A10" s="615" t="s">
        <v>264</v>
      </c>
      <c r="B10" s="615"/>
      <c r="C10" s="615"/>
      <c r="D10" s="615"/>
      <c r="E10" s="615"/>
    </row>
    <row r="11" spans="1:9" ht="17.7" customHeight="1" x14ac:dyDescent="0.25">
      <c r="A11" s="50" t="s">
        <v>192</v>
      </c>
      <c r="B11" s="50" t="s">
        <v>265</v>
      </c>
      <c r="C11" s="36" t="s">
        <v>249</v>
      </c>
      <c r="D11" s="36" t="s">
        <v>250</v>
      </c>
      <c r="E11" s="518" t="s">
        <v>253</v>
      </c>
      <c r="G11" s="518" t="s">
        <v>266</v>
      </c>
      <c r="H11" s="518" t="s">
        <v>253</v>
      </c>
      <c r="I11" s="518" t="s">
        <v>267</v>
      </c>
    </row>
    <row r="12" spans="1:9" ht="17.7" customHeight="1" x14ac:dyDescent="0.25">
      <c r="A12" s="480" t="s">
        <v>215</v>
      </c>
      <c r="B12" s="640">
        <v>2008</v>
      </c>
      <c r="C12" s="640" t="s">
        <v>268</v>
      </c>
      <c r="D12" s="643" t="s">
        <v>269</v>
      </c>
      <c r="E12" s="644" t="s">
        <v>270</v>
      </c>
      <c r="F12" s="8"/>
      <c r="G12" s="109">
        <f>((9-0.2)/3.413+$I$12)/(1-$I$12)</f>
        <v>3.0663372666009647</v>
      </c>
      <c r="H12" s="633" t="s">
        <v>271</v>
      </c>
      <c r="I12" s="636">
        <v>0.12</v>
      </c>
    </row>
    <row r="13" spans="1:9" ht="17.7" customHeight="1" x14ac:dyDescent="0.25">
      <c r="A13" s="480" t="s">
        <v>218</v>
      </c>
      <c r="B13" s="641"/>
      <c r="C13" s="641"/>
      <c r="D13" s="617"/>
      <c r="E13" s="645"/>
      <c r="G13" s="109">
        <f>((9-0.2)/3.413+$I$12)/(1-$I$12)</f>
        <v>3.0663372666009647</v>
      </c>
      <c r="H13" s="633"/>
      <c r="I13" s="636"/>
    </row>
    <row r="14" spans="1:9" ht="25.5" customHeight="1" x14ac:dyDescent="0.25">
      <c r="A14" s="480" t="s">
        <v>220</v>
      </c>
      <c r="B14" s="642"/>
      <c r="C14" s="642"/>
      <c r="D14" s="618"/>
      <c r="E14" s="646"/>
      <c r="G14" s="109">
        <f>((9-0.2)/3.413+$I$12)/(1-$I$12)</f>
        <v>3.0663372666009647</v>
      </c>
      <c r="H14" s="633"/>
      <c r="I14" s="636"/>
    </row>
    <row r="15" spans="1:9" ht="69.75" customHeight="1" x14ac:dyDescent="0.25">
      <c r="A15" s="480" t="s">
        <v>222</v>
      </c>
      <c r="B15" s="399">
        <v>2013</v>
      </c>
      <c r="C15" s="480" t="s">
        <v>268</v>
      </c>
      <c r="D15" s="400" t="s">
        <v>272</v>
      </c>
      <c r="E15" s="400" t="s">
        <v>273</v>
      </c>
      <c r="G15" s="318">
        <f>((9-0.2)/3.413+$I$12)/(1-$I$12)</f>
        <v>3.0663372666009647</v>
      </c>
      <c r="H15" s="633"/>
      <c r="I15" s="636"/>
    </row>
    <row r="16" spans="1:9" ht="73.5" customHeight="1" x14ac:dyDescent="0.25">
      <c r="A16" s="509" t="s">
        <v>260</v>
      </c>
      <c r="B16" s="480">
        <v>2025</v>
      </c>
      <c r="C16" s="400" t="s">
        <v>274</v>
      </c>
      <c r="D16" s="400" t="s">
        <v>275</v>
      </c>
      <c r="E16" s="400" t="s">
        <v>276</v>
      </c>
      <c r="G16" s="317">
        <f>((-0.0182*13.4^2+1.1088*13.4)/3.413+I12)/(1-I12)</f>
        <v>3.9952481154942334</v>
      </c>
      <c r="H16" s="634"/>
      <c r="I16" s="636"/>
    </row>
    <row r="17" spans="1:12" x14ac:dyDescent="0.25">
      <c r="B17" s="6"/>
      <c r="C17" s="6"/>
      <c r="D17" s="51"/>
      <c r="E17" s="6"/>
    </row>
    <row r="18" spans="1:12" x14ac:dyDescent="0.25">
      <c r="A18" s="52"/>
      <c r="B18" s="6"/>
      <c r="C18" s="6"/>
      <c r="D18" s="51"/>
      <c r="E18" s="6"/>
    </row>
    <row r="19" spans="1:12" x14ac:dyDescent="0.25">
      <c r="A19" s="53"/>
      <c r="B19" s="6"/>
      <c r="C19" s="6"/>
      <c r="D19" s="51"/>
      <c r="E19" s="6"/>
    </row>
    <row r="20" spans="1:12" ht="13.95" customHeight="1" x14ac:dyDescent="0.3">
      <c r="A20" s="637"/>
      <c r="B20" s="638"/>
      <c r="C20" s="638"/>
      <c r="D20" s="639"/>
      <c r="E20" s="638"/>
      <c r="F20" s="638"/>
      <c r="G20" s="638"/>
      <c r="H20" s="638"/>
      <c r="I20"/>
      <c r="J20"/>
      <c r="K20"/>
    </row>
    <row r="21" spans="1:12" ht="22.2" customHeight="1" x14ac:dyDescent="0.3">
      <c r="A21" s="631" t="s">
        <v>277</v>
      </c>
      <c r="B21" s="632"/>
      <c r="C21" s="632"/>
      <c r="D21" s="632"/>
      <c r="E21" s="632"/>
      <c r="F21" s="632"/>
      <c r="G21" s="632"/>
      <c r="H21" s="632"/>
      <c r="I21"/>
      <c r="J21"/>
      <c r="K21"/>
    </row>
    <row r="22" spans="1:12" ht="27.6" customHeight="1" x14ac:dyDescent="0.3">
      <c r="A22" s="460" t="s">
        <v>192</v>
      </c>
      <c r="B22" s="460" t="s">
        <v>278</v>
      </c>
      <c r="C22" s="460" t="s">
        <v>279</v>
      </c>
      <c r="D22" s="461" t="s">
        <v>280</v>
      </c>
      <c r="E22" s="461" t="s">
        <v>281</v>
      </c>
      <c r="F22" s="461" t="s">
        <v>282</v>
      </c>
      <c r="G22" s="461" t="s">
        <v>283</v>
      </c>
      <c r="H22" s="376" t="s">
        <v>284</v>
      </c>
      <c r="J22"/>
      <c r="K22"/>
      <c r="L22"/>
    </row>
    <row r="23" spans="1:12" ht="108" customHeight="1" x14ac:dyDescent="0.3">
      <c r="A23" s="463" t="s">
        <v>224</v>
      </c>
      <c r="B23" s="464" t="s">
        <v>285</v>
      </c>
      <c r="C23" s="467" t="s">
        <v>286</v>
      </c>
      <c r="D23" s="465">
        <v>2.5</v>
      </c>
      <c r="E23" s="466">
        <v>0.65</v>
      </c>
      <c r="F23" s="467" t="s">
        <v>287</v>
      </c>
      <c r="G23" s="468"/>
      <c r="H23" s="467" t="s">
        <v>288</v>
      </c>
      <c r="I23" s="414" t="s">
        <v>289</v>
      </c>
      <c r="J23"/>
      <c r="K23"/>
      <c r="L23"/>
    </row>
    <row r="24" spans="1:12" ht="21.6" customHeight="1" x14ac:dyDescent="0.3">
      <c r="A24" s="417" t="s">
        <v>290</v>
      </c>
      <c r="B24" s="55"/>
      <c r="C24" s="539"/>
      <c r="D24" s="539"/>
      <c r="E24" s="539"/>
      <c r="F24" s="539"/>
      <c r="G24" s="146"/>
      <c r="H24" s="462"/>
      <c r="I24"/>
      <c r="J24"/>
      <c r="K24"/>
      <c r="L24"/>
    </row>
    <row r="25" spans="1:12" ht="19.2" customHeight="1" x14ac:dyDescent="0.3">
      <c r="A25" s="417" t="s">
        <v>291</v>
      </c>
      <c r="B25" s="55"/>
      <c r="C25" s="539"/>
      <c r="D25" s="539"/>
      <c r="E25" s="539"/>
      <c r="F25" s="539"/>
      <c r="G25" s="146"/>
      <c r="H25" s="462"/>
      <c r="I25"/>
      <c r="J25"/>
      <c r="K25"/>
      <c r="L25"/>
    </row>
    <row r="26" spans="1:12" ht="69.75" customHeight="1" x14ac:dyDescent="0.3">
      <c r="A26" s="475" t="s">
        <v>260</v>
      </c>
      <c r="B26" s="482" t="s">
        <v>292</v>
      </c>
      <c r="C26" s="476" t="s">
        <v>293</v>
      </c>
      <c r="D26" s="477" t="s">
        <v>294</v>
      </c>
      <c r="E26" s="476">
        <v>0.65</v>
      </c>
      <c r="F26" s="476" t="s">
        <v>295</v>
      </c>
      <c r="G26" s="478">
        <v>0.74399999999999999</v>
      </c>
      <c r="H26" s="479" t="s">
        <v>296</v>
      </c>
      <c r="I26" s="540"/>
      <c r="J26"/>
      <c r="K26"/>
      <c r="L26"/>
    </row>
    <row r="27" spans="1:12" ht="12.75" customHeight="1" x14ac:dyDescent="0.3">
      <c r="A27" s="515"/>
      <c r="B27" s="469"/>
      <c r="C27" s="470"/>
      <c r="D27" s="471"/>
      <c r="E27" s="470"/>
      <c r="F27" s="470"/>
      <c r="G27" s="472"/>
      <c r="H27" s="470"/>
      <c r="I27" s="540"/>
      <c r="J27"/>
      <c r="K27"/>
      <c r="L27"/>
    </row>
    <row r="28" spans="1:12" ht="31.5" customHeight="1" x14ac:dyDescent="0.3">
      <c r="A28" s="635" t="s">
        <v>297</v>
      </c>
      <c r="B28" s="594"/>
      <c r="C28" s="594"/>
      <c r="D28" s="594"/>
      <c r="E28" s="594"/>
      <c r="F28" s="594"/>
      <c r="G28" s="594"/>
      <c r="H28" s="594"/>
      <c r="I28" s="540"/>
      <c r="J28"/>
      <c r="K28"/>
      <c r="L28"/>
    </row>
    <row r="29" spans="1:12" ht="44.25" customHeight="1" x14ac:dyDescent="0.3">
      <c r="A29" s="635" t="s">
        <v>298</v>
      </c>
      <c r="B29" s="635"/>
      <c r="C29" s="635"/>
      <c r="D29" s="635"/>
      <c r="E29" s="635"/>
      <c r="F29" s="635"/>
      <c r="G29" s="635"/>
      <c r="H29" s="635"/>
      <c r="I29" s="540"/>
      <c r="J29"/>
      <c r="K29"/>
      <c r="L29"/>
    </row>
    <row r="30" spans="1:12" ht="14.1" customHeight="1" x14ac:dyDescent="0.3">
      <c r="A30" s="541"/>
      <c r="B30" s="474"/>
      <c r="C30" s="474"/>
      <c r="D30" s="474"/>
      <c r="E30" s="474"/>
      <c r="F30" s="474"/>
      <c r="G30" s="474"/>
      <c r="H30" s="474"/>
      <c r="I30" s="473"/>
      <c r="J30"/>
      <c r="K30"/>
    </row>
    <row r="31" spans="1:12" ht="18.75" customHeight="1" x14ac:dyDescent="0.3">
      <c r="A31" s="510"/>
      <c r="B31" s="510"/>
      <c r="C31" s="510"/>
      <c r="D31" s="510"/>
      <c r="E31" s="510"/>
      <c r="F31" s="510"/>
      <c r="G31" s="510"/>
      <c r="H31" s="510"/>
      <c r="I31" s="473"/>
      <c r="J31"/>
      <c r="K31"/>
    </row>
    <row r="32" spans="1:12" ht="15" customHeight="1" x14ac:dyDescent="0.3">
      <c r="A32" s="510"/>
      <c r="B32" s="510"/>
      <c r="C32" s="510"/>
      <c r="D32" s="510"/>
      <c r="E32" s="510"/>
      <c r="F32" s="510"/>
      <c r="G32" s="510"/>
      <c r="H32" s="510"/>
      <c r="I32" s="473"/>
      <c r="J32"/>
      <c r="K32"/>
    </row>
    <row r="33" spans="1:11" ht="18.75" customHeight="1" x14ac:dyDescent="0.3">
      <c r="G33"/>
      <c r="H33"/>
      <c r="I33"/>
      <c r="J33"/>
      <c r="K33"/>
    </row>
    <row r="34" spans="1:11" ht="18.75" customHeight="1" x14ac:dyDescent="0.3">
      <c r="G34"/>
      <c r="H34"/>
      <c r="I34"/>
      <c r="J34"/>
      <c r="K34"/>
    </row>
    <row r="35" spans="1:11" ht="18.75" customHeight="1" x14ac:dyDescent="0.3">
      <c r="I35"/>
      <c r="J35"/>
      <c r="K35"/>
    </row>
    <row r="36" spans="1:11" s="347" customFormat="1" ht="15" customHeight="1" x14ac:dyDescent="0.3">
      <c r="I36"/>
      <c r="J36"/>
      <c r="K36"/>
    </row>
    <row r="37" spans="1:11" customFormat="1" ht="15" customHeight="1" x14ac:dyDescent="0.3">
      <c r="A37" s="4"/>
      <c r="B37" s="4"/>
      <c r="C37" s="4"/>
      <c r="D37" s="4"/>
      <c r="E37" s="4"/>
      <c r="F37" s="4"/>
    </row>
    <row r="38" spans="1:11" customFormat="1" ht="15" customHeight="1" x14ac:dyDescent="0.3">
      <c r="A38" s="4"/>
      <c r="B38" s="4"/>
      <c r="C38" s="4"/>
      <c r="D38" s="4"/>
      <c r="E38" s="4"/>
      <c r="F38" s="4"/>
    </row>
    <row r="39" spans="1:11" customFormat="1" ht="15" customHeight="1" x14ac:dyDescent="0.3">
      <c r="A39" s="4"/>
      <c r="B39" s="4"/>
      <c r="C39" s="4"/>
      <c r="D39" s="4"/>
      <c r="E39" s="4"/>
      <c r="F39" s="4"/>
    </row>
    <row r="40" spans="1:11" customFormat="1" ht="15" customHeight="1" x14ac:dyDescent="0.3">
      <c r="A40" s="4"/>
      <c r="B40" s="4"/>
      <c r="C40" s="4"/>
      <c r="D40" s="4"/>
      <c r="E40" s="4"/>
      <c r="F40" s="4"/>
    </row>
    <row r="41" spans="1:11" customFormat="1" ht="15" customHeight="1" x14ac:dyDescent="0.3">
      <c r="A41" s="4"/>
      <c r="B41" s="4"/>
      <c r="C41" s="4"/>
      <c r="D41" s="4"/>
      <c r="E41" s="4"/>
      <c r="F41" s="4"/>
    </row>
    <row r="42" spans="1:11" customFormat="1" ht="15" customHeight="1" x14ac:dyDescent="0.3">
      <c r="A42" s="4"/>
      <c r="B42" s="4"/>
      <c r="C42" s="4"/>
      <c r="D42" s="4"/>
      <c r="E42" s="4"/>
      <c r="F42" s="4"/>
    </row>
    <row r="43" spans="1:11" customFormat="1" ht="15" customHeight="1" x14ac:dyDescent="0.3">
      <c r="A43" s="4"/>
      <c r="B43" s="4"/>
      <c r="C43" s="4"/>
      <c r="D43" s="4"/>
      <c r="E43" s="4"/>
      <c r="F43" s="4"/>
    </row>
    <row r="44" spans="1:11" customFormat="1" ht="15" customHeight="1" x14ac:dyDescent="0.3">
      <c r="A44" s="4"/>
      <c r="B44" s="4"/>
      <c r="C44" s="4"/>
      <c r="D44" s="4"/>
      <c r="E44" s="4"/>
      <c r="F44" s="4"/>
    </row>
    <row r="45" spans="1:11" customFormat="1" ht="15" customHeight="1" x14ac:dyDescent="0.3">
      <c r="A45" s="4"/>
      <c r="B45" s="4"/>
      <c r="C45" s="4"/>
      <c r="D45" s="4"/>
      <c r="E45" s="4"/>
      <c r="F45" s="4"/>
    </row>
    <row r="46" spans="1:11" x14ac:dyDescent="0.25">
      <c r="K46" s="98"/>
    </row>
    <row r="68" spans="11:11" x14ac:dyDescent="0.25">
      <c r="K68" s="39"/>
    </row>
    <row r="69" spans="11:11" x14ac:dyDescent="0.25">
      <c r="K69" s="40"/>
    </row>
  </sheetData>
  <mergeCells count="12">
    <mergeCell ref="I12:I16"/>
    <mergeCell ref="A20:H20"/>
    <mergeCell ref="A10:E10"/>
    <mergeCell ref="B12:B14"/>
    <mergeCell ref="C12:C14"/>
    <mergeCell ref="D12:D14"/>
    <mergeCell ref="E12:E14"/>
    <mergeCell ref="A1:F1"/>
    <mergeCell ref="A21:H21"/>
    <mergeCell ref="H12:H16"/>
    <mergeCell ref="A29:H29"/>
    <mergeCell ref="A28:H28"/>
  </mergeCells>
  <hyperlinks>
    <hyperlink ref="H12" r:id="rId1" display="https://www.pnnl.gov/main/publications/external/technical_reports/pnnl-19341.pdf" xr:uid="{C5972AD3-193B-4B21-88AF-B59554A91036}"/>
    <hyperlink ref="H12:H16" r:id="rId2" display="PNNL,2010,&quot;Technical Support Document: 50% Energy Savings for Small Office Buildings&quot;" xr:uid="{303CD714-F050-440D-8B89-25FB87FFA7A1}"/>
    <hyperlink ref="I23" r:id="rId3" xr:uid="{A042DF62-8B02-4854-8C42-6CDFBE282185}"/>
    <hyperlink ref="B23" r:id="rId4" xr:uid="{F65BA6C0-CE86-4480-8398-09EF8888C4FB}"/>
  </hyperlinks>
  <pageMargins left="0.7" right="0.7" top="0.75" bottom="0.75" header="0.3" footer="0.3"/>
  <pageSetup orientation="portrait" r:id="rId5"/>
  <drawing r:id="rId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7FC53F-1807-4559-8373-63C735E89DB9}">
  <sheetPr codeName="Sheet7"/>
  <dimension ref="A1:S18"/>
  <sheetViews>
    <sheetView workbookViewId="0">
      <selection sqref="A1:S1"/>
    </sheetView>
  </sheetViews>
  <sheetFormatPr defaultRowHeight="14.4" x14ac:dyDescent="0.3"/>
  <cols>
    <col min="1" max="1" width="23.33203125" customWidth="1"/>
    <col min="2" max="2" width="22.6640625" customWidth="1"/>
    <col min="3" max="3" width="11.109375" customWidth="1"/>
    <col min="4" max="4" width="12.6640625" customWidth="1"/>
    <col min="5" max="5" width="11.109375" customWidth="1"/>
    <col min="6" max="6" width="12.33203125" customWidth="1"/>
    <col min="7" max="8" width="11.6640625" customWidth="1"/>
    <col min="19" max="19" width="32.44140625" customWidth="1"/>
  </cols>
  <sheetData>
    <row r="1" spans="1:19" ht="31.2" customHeight="1" x14ac:dyDescent="0.3">
      <c r="A1" s="615" t="str">
        <f>"Thermostat Setpoints - "&amp;Prototype!A2</f>
        <v>Thermostat Setpoints - OfficeSmall</v>
      </c>
      <c r="B1" s="615"/>
      <c r="C1" s="615"/>
      <c r="D1" s="615"/>
      <c r="E1" s="615"/>
      <c r="F1" s="615"/>
      <c r="G1" s="615"/>
      <c r="H1" s="615"/>
      <c r="I1" s="615"/>
      <c r="J1" s="615"/>
      <c r="K1" s="615"/>
      <c r="L1" s="615"/>
      <c r="M1" s="615"/>
      <c r="N1" s="615"/>
      <c r="O1" s="615"/>
      <c r="P1" s="615"/>
      <c r="Q1" s="615"/>
      <c r="R1" s="615"/>
      <c r="S1" s="615"/>
    </row>
    <row r="2" spans="1:19" ht="25.95" customHeight="1" x14ac:dyDescent="0.3">
      <c r="A2" s="321" t="s">
        <v>299</v>
      </c>
      <c r="B2" s="341" t="s">
        <v>300</v>
      </c>
      <c r="C2" s="342" t="s">
        <v>194</v>
      </c>
      <c r="D2" s="342" t="s">
        <v>195</v>
      </c>
      <c r="E2" s="342" t="s">
        <v>196</v>
      </c>
      <c r="F2" s="342" t="s">
        <v>197</v>
      </c>
      <c r="G2" s="342" t="s">
        <v>198</v>
      </c>
      <c r="H2" s="342" t="s">
        <v>199</v>
      </c>
      <c r="I2" s="342" t="s">
        <v>200</v>
      </c>
      <c r="J2" s="342" t="s">
        <v>201</v>
      </c>
      <c r="K2" s="342" t="s">
        <v>202</v>
      </c>
      <c r="L2" s="342" t="s">
        <v>203</v>
      </c>
      <c r="M2" s="342" t="s">
        <v>204</v>
      </c>
      <c r="N2" s="342" t="s">
        <v>205</v>
      </c>
      <c r="O2" s="342" t="s">
        <v>206</v>
      </c>
      <c r="P2" s="342" t="s">
        <v>207</v>
      </c>
      <c r="Q2" s="342" t="s">
        <v>208</v>
      </c>
      <c r="R2" s="342" t="s">
        <v>209</v>
      </c>
      <c r="S2" s="343" t="s">
        <v>253</v>
      </c>
    </row>
    <row r="3" spans="1:19" ht="26.4" customHeight="1" x14ac:dyDescent="0.3">
      <c r="A3" s="655" t="s">
        <v>301</v>
      </c>
      <c r="B3" s="319" t="s">
        <v>302</v>
      </c>
      <c r="C3" s="508">
        <v>70</v>
      </c>
      <c r="D3" s="508">
        <v>70</v>
      </c>
      <c r="E3" s="508">
        <v>70</v>
      </c>
      <c r="F3" s="508">
        <v>70</v>
      </c>
      <c r="G3" s="508">
        <v>70</v>
      </c>
      <c r="H3" s="508">
        <v>70</v>
      </c>
      <c r="I3" s="508">
        <v>70</v>
      </c>
      <c r="J3" s="508">
        <v>70</v>
      </c>
      <c r="K3" s="508">
        <v>70</v>
      </c>
      <c r="L3" s="508">
        <v>70</v>
      </c>
      <c r="M3" s="508">
        <v>70</v>
      </c>
      <c r="N3" s="508">
        <v>70</v>
      </c>
      <c r="O3" s="508">
        <v>70</v>
      </c>
      <c r="P3" s="508">
        <v>70</v>
      </c>
      <c r="Q3" s="508">
        <v>70</v>
      </c>
      <c r="R3" s="508">
        <v>70</v>
      </c>
      <c r="S3" s="649" t="s">
        <v>303</v>
      </c>
    </row>
    <row r="4" spans="1:19" ht="26.4" customHeight="1" x14ac:dyDescent="0.3">
      <c r="A4" s="655"/>
      <c r="B4" s="319" t="s">
        <v>304</v>
      </c>
      <c r="C4" s="508">
        <v>60</v>
      </c>
      <c r="D4" s="508">
        <v>60</v>
      </c>
      <c r="E4" s="508">
        <v>60</v>
      </c>
      <c r="F4" s="508">
        <v>60</v>
      </c>
      <c r="G4" s="508">
        <v>60</v>
      </c>
      <c r="H4" s="508">
        <v>60</v>
      </c>
      <c r="I4" s="508">
        <v>60</v>
      </c>
      <c r="J4" s="508">
        <v>60</v>
      </c>
      <c r="K4" s="508">
        <v>60</v>
      </c>
      <c r="L4" s="508">
        <v>60</v>
      </c>
      <c r="M4" s="508">
        <v>60</v>
      </c>
      <c r="N4" s="508">
        <v>60</v>
      </c>
      <c r="O4" s="508">
        <v>60</v>
      </c>
      <c r="P4" s="508">
        <v>60</v>
      </c>
      <c r="Q4" s="508">
        <v>60</v>
      </c>
      <c r="R4" s="508">
        <v>60</v>
      </c>
      <c r="S4" s="650"/>
    </row>
    <row r="5" spans="1:19" ht="26.4" customHeight="1" x14ac:dyDescent="0.3">
      <c r="A5" s="655"/>
      <c r="B5" s="319" t="s">
        <v>305</v>
      </c>
      <c r="C5" s="508">
        <v>75</v>
      </c>
      <c r="D5" s="508">
        <v>75</v>
      </c>
      <c r="E5" s="508">
        <v>75</v>
      </c>
      <c r="F5" s="508">
        <v>75</v>
      </c>
      <c r="G5" s="508">
        <v>75</v>
      </c>
      <c r="H5" s="508">
        <v>75</v>
      </c>
      <c r="I5" s="508">
        <v>75</v>
      </c>
      <c r="J5" s="508">
        <v>75</v>
      </c>
      <c r="K5" s="508">
        <v>75</v>
      </c>
      <c r="L5" s="508">
        <v>75</v>
      </c>
      <c r="M5" s="508">
        <v>75</v>
      </c>
      <c r="N5" s="508">
        <v>75</v>
      </c>
      <c r="O5" s="508">
        <v>75</v>
      </c>
      <c r="P5" s="508">
        <v>75</v>
      </c>
      <c r="Q5" s="508">
        <v>75</v>
      </c>
      <c r="R5" s="508">
        <v>75</v>
      </c>
      <c r="S5" s="650"/>
    </row>
    <row r="6" spans="1:19" ht="26.4" customHeight="1" x14ac:dyDescent="0.3">
      <c r="A6" s="655"/>
      <c r="B6" s="320" t="s">
        <v>306</v>
      </c>
      <c r="C6" s="325">
        <v>85</v>
      </c>
      <c r="D6" s="325">
        <v>85</v>
      </c>
      <c r="E6" s="325">
        <v>85</v>
      </c>
      <c r="F6" s="325">
        <v>85</v>
      </c>
      <c r="G6" s="325">
        <v>85</v>
      </c>
      <c r="H6" s="325">
        <v>85</v>
      </c>
      <c r="I6" s="325">
        <v>85</v>
      </c>
      <c r="J6" s="325">
        <v>85</v>
      </c>
      <c r="K6" s="325">
        <v>85</v>
      </c>
      <c r="L6" s="325">
        <v>85</v>
      </c>
      <c r="M6" s="325">
        <v>85</v>
      </c>
      <c r="N6" s="325">
        <v>85</v>
      </c>
      <c r="O6" s="325">
        <v>85</v>
      </c>
      <c r="P6" s="325">
        <v>85</v>
      </c>
      <c r="Q6" s="325">
        <v>85</v>
      </c>
      <c r="R6" s="325">
        <v>85</v>
      </c>
      <c r="S6" s="651"/>
    </row>
    <row r="7" spans="1:19" ht="18.75" customHeight="1" x14ac:dyDescent="0.3">
      <c r="A7" s="656" t="s">
        <v>307</v>
      </c>
      <c r="B7" s="419" t="s">
        <v>308</v>
      </c>
      <c r="C7" s="420">
        <v>60</v>
      </c>
      <c r="D7" s="420">
        <v>60</v>
      </c>
      <c r="E7" s="420">
        <v>60</v>
      </c>
      <c r="F7" s="420">
        <v>60</v>
      </c>
      <c r="G7" s="420">
        <v>60</v>
      </c>
      <c r="H7" s="420">
        <v>60</v>
      </c>
      <c r="I7" s="420">
        <v>60</v>
      </c>
      <c r="J7" s="420">
        <v>60</v>
      </c>
      <c r="K7" s="420">
        <v>60</v>
      </c>
      <c r="L7" s="420">
        <v>60</v>
      </c>
      <c r="M7" s="420">
        <v>60</v>
      </c>
      <c r="N7" s="420">
        <v>60</v>
      </c>
      <c r="O7" s="420">
        <v>60</v>
      </c>
      <c r="P7" s="420">
        <v>60</v>
      </c>
      <c r="Q7" s="420">
        <v>60</v>
      </c>
      <c r="R7" s="420">
        <v>60</v>
      </c>
      <c r="S7" s="652" t="s">
        <v>309</v>
      </c>
    </row>
    <row r="8" spans="1:19" ht="18.75" customHeight="1" x14ac:dyDescent="0.3">
      <c r="A8" s="656"/>
      <c r="B8" s="419" t="s">
        <v>304</v>
      </c>
      <c r="C8" s="420">
        <v>60</v>
      </c>
      <c r="D8" s="420">
        <v>60</v>
      </c>
      <c r="E8" s="420">
        <v>60</v>
      </c>
      <c r="F8" s="420">
        <v>60</v>
      </c>
      <c r="G8" s="420">
        <v>60</v>
      </c>
      <c r="H8" s="420">
        <v>60</v>
      </c>
      <c r="I8" s="420">
        <v>60</v>
      </c>
      <c r="J8" s="420">
        <v>60</v>
      </c>
      <c r="K8" s="420">
        <v>60</v>
      </c>
      <c r="L8" s="420">
        <v>60</v>
      </c>
      <c r="M8" s="420">
        <v>60</v>
      </c>
      <c r="N8" s="420">
        <v>60</v>
      </c>
      <c r="O8" s="420">
        <v>60</v>
      </c>
      <c r="P8" s="420">
        <v>60</v>
      </c>
      <c r="Q8" s="420">
        <v>60</v>
      </c>
      <c r="R8" s="420">
        <v>60</v>
      </c>
      <c r="S8" s="653"/>
    </row>
    <row r="9" spans="1:19" ht="18.75" customHeight="1" x14ac:dyDescent="0.3">
      <c r="A9" s="656"/>
      <c r="B9" s="421" t="s">
        <v>305</v>
      </c>
      <c r="C9" s="420">
        <v>85</v>
      </c>
      <c r="D9" s="420">
        <v>85</v>
      </c>
      <c r="E9" s="420">
        <v>85</v>
      </c>
      <c r="F9" s="420">
        <v>85</v>
      </c>
      <c r="G9" s="420">
        <v>85</v>
      </c>
      <c r="H9" s="420">
        <v>85</v>
      </c>
      <c r="I9" s="420">
        <v>85</v>
      </c>
      <c r="J9" s="420">
        <v>85</v>
      </c>
      <c r="K9" s="420">
        <v>85</v>
      </c>
      <c r="L9" s="420">
        <v>85</v>
      </c>
      <c r="M9" s="420">
        <v>85</v>
      </c>
      <c r="N9" s="420">
        <v>85</v>
      </c>
      <c r="O9" s="420">
        <v>85</v>
      </c>
      <c r="P9" s="420">
        <v>85</v>
      </c>
      <c r="Q9" s="420">
        <v>85</v>
      </c>
      <c r="R9" s="420">
        <v>85</v>
      </c>
      <c r="S9" s="653"/>
    </row>
    <row r="10" spans="1:19" ht="18.75" customHeight="1" x14ac:dyDescent="0.3">
      <c r="A10" s="656"/>
      <c r="B10" s="507" t="s">
        <v>306</v>
      </c>
      <c r="C10" s="420">
        <v>85</v>
      </c>
      <c r="D10" s="420">
        <v>85</v>
      </c>
      <c r="E10" s="420">
        <v>85</v>
      </c>
      <c r="F10" s="420">
        <v>85</v>
      </c>
      <c r="G10" s="420">
        <v>85</v>
      </c>
      <c r="H10" s="420">
        <v>85</v>
      </c>
      <c r="I10" s="420">
        <v>85</v>
      </c>
      <c r="J10" s="420">
        <v>85</v>
      </c>
      <c r="K10" s="420">
        <v>85</v>
      </c>
      <c r="L10" s="420">
        <v>85</v>
      </c>
      <c r="M10" s="420">
        <v>85</v>
      </c>
      <c r="N10" s="420">
        <v>85</v>
      </c>
      <c r="O10" s="420">
        <v>85</v>
      </c>
      <c r="P10" s="420">
        <v>85</v>
      </c>
      <c r="Q10" s="420">
        <v>85</v>
      </c>
      <c r="R10" s="420">
        <v>85</v>
      </c>
      <c r="S10" s="654"/>
    </row>
    <row r="11" spans="1:19" ht="18.75" customHeight="1" x14ac:dyDescent="0.3">
      <c r="A11" s="418"/>
      <c r="B11" s="515"/>
      <c r="C11" s="515"/>
      <c r="D11" s="515"/>
      <c r="E11" s="515"/>
      <c r="F11" s="515"/>
      <c r="G11" s="515"/>
      <c r="H11" s="515"/>
      <c r="I11" s="515"/>
      <c r="J11" s="515"/>
      <c r="K11" s="515"/>
      <c r="L11" s="515"/>
      <c r="M11" s="515"/>
      <c r="N11" s="515"/>
      <c r="O11" s="515"/>
      <c r="P11" s="515"/>
      <c r="Q11" s="515"/>
      <c r="R11" s="515"/>
      <c r="S11" s="418"/>
    </row>
    <row r="12" spans="1:19" x14ac:dyDescent="0.3">
      <c r="B12" s="647" t="s">
        <v>310</v>
      </c>
      <c r="C12" s="647"/>
      <c r="D12" s="647"/>
      <c r="E12" s="647"/>
      <c r="F12" s="647"/>
      <c r="G12" s="647"/>
      <c r="H12" s="647"/>
      <c r="I12" s="647"/>
      <c r="J12" s="647"/>
      <c r="K12" s="647"/>
      <c r="L12" s="647"/>
      <c r="M12" s="647"/>
      <c r="N12" s="647"/>
      <c r="O12" s="647"/>
      <c r="P12" s="647"/>
      <c r="Q12" s="647"/>
      <c r="R12" s="647"/>
      <c r="S12" s="340"/>
    </row>
    <row r="13" spans="1:19" ht="28.2" customHeight="1" x14ac:dyDescent="0.3">
      <c r="B13" s="596" t="s">
        <v>311</v>
      </c>
      <c r="C13" s="648"/>
      <c r="D13" s="648"/>
      <c r="E13" s="648"/>
      <c r="F13" s="648"/>
      <c r="G13" s="648"/>
      <c r="H13" s="648"/>
      <c r="I13" s="648"/>
      <c r="J13" s="648"/>
      <c r="K13" s="648"/>
      <c r="L13" s="648"/>
      <c r="M13" s="648"/>
      <c r="N13" s="648"/>
      <c r="O13" s="648"/>
      <c r="P13" s="648"/>
      <c r="Q13" s="648"/>
      <c r="R13" s="648"/>
      <c r="S13" s="340"/>
    </row>
    <row r="14" spans="1:19" x14ac:dyDescent="0.3">
      <c r="B14" s="515"/>
    </row>
    <row r="15" spans="1:19" ht="12.6" customHeight="1" x14ac:dyDescent="0.3"/>
    <row r="18" spans="2:2" x14ac:dyDescent="0.3">
      <c r="B18" s="515"/>
    </row>
  </sheetData>
  <mergeCells count="7">
    <mergeCell ref="B12:R12"/>
    <mergeCell ref="B13:R13"/>
    <mergeCell ref="S3:S6"/>
    <mergeCell ref="A1:S1"/>
    <mergeCell ref="S7:S10"/>
    <mergeCell ref="A3:A6"/>
    <mergeCell ref="A7:A10"/>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730C9-5C61-418E-9D38-D82374F9BCB6}">
  <sheetPr codeName="Sheet15"/>
  <dimension ref="A1:Y111"/>
  <sheetViews>
    <sheetView zoomScaleNormal="100" workbookViewId="0">
      <selection sqref="A1:K1"/>
    </sheetView>
  </sheetViews>
  <sheetFormatPr defaultColWidth="9.33203125" defaultRowHeight="13.8" x14ac:dyDescent="0.25"/>
  <cols>
    <col min="1" max="1" width="34.88671875" style="112" customWidth="1"/>
    <col min="2" max="2" width="23.44140625" style="112" customWidth="1"/>
    <col min="3" max="3" width="20.33203125" style="112" customWidth="1"/>
    <col min="4" max="4" width="21.33203125" style="112" customWidth="1"/>
    <col min="5" max="5" width="20.33203125" style="112" customWidth="1"/>
    <col min="6" max="6" width="28.33203125" style="112" customWidth="1"/>
    <col min="7" max="7" width="27.33203125" style="112" customWidth="1"/>
    <col min="8" max="8" width="13.6640625" style="112" customWidth="1"/>
    <col min="9" max="9" width="12.33203125" style="112" customWidth="1"/>
    <col min="10" max="10" width="13.6640625" style="112" customWidth="1"/>
    <col min="11" max="11" width="48" style="112" customWidth="1"/>
    <col min="12" max="12" width="13.6640625" style="112" customWidth="1"/>
    <col min="13" max="13" width="12.33203125" style="112" customWidth="1"/>
    <col min="14" max="14" width="13.6640625" style="112" customWidth="1"/>
    <col min="15" max="15" width="12.33203125" style="112" customWidth="1"/>
    <col min="16" max="16" width="13.6640625" style="112" customWidth="1"/>
    <col min="17" max="17" width="11.6640625" style="112" customWidth="1"/>
    <col min="18" max="19" width="10.6640625" style="112" customWidth="1"/>
    <col min="20" max="20" width="9.33203125" style="112"/>
    <col min="21" max="25" width="11.33203125" style="112" customWidth="1"/>
    <col min="26" max="16384" width="9.33203125" style="112"/>
  </cols>
  <sheetData>
    <row r="1" spans="1:15" ht="24.6" customHeight="1" x14ac:dyDescent="0.25">
      <c r="A1" s="657" t="str">
        <f>"Outdoor Airflow Rate - "&amp;Prototype!A2</f>
        <v>Outdoor Airflow Rate - OfficeSmall</v>
      </c>
      <c r="B1" s="657"/>
      <c r="C1" s="657"/>
      <c r="D1" s="657"/>
      <c r="E1" s="657"/>
      <c r="F1" s="657"/>
      <c r="G1" s="657"/>
      <c r="H1" s="657"/>
      <c r="I1" s="657"/>
      <c r="J1" s="657"/>
      <c r="K1" s="657"/>
      <c r="L1" s="2"/>
      <c r="M1" s="2"/>
      <c r="N1" s="2"/>
      <c r="O1" s="2"/>
    </row>
    <row r="2" spans="1:15" ht="53.4" customHeight="1" x14ac:dyDescent="0.25">
      <c r="A2" s="145" t="s">
        <v>127</v>
      </c>
      <c r="B2" s="142" t="s">
        <v>136</v>
      </c>
      <c r="C2" s="204" t="s">
        <v>312</v>
      </c>
      <c r="D2" s="205" t="s">
        <v>313</v>
      </c>
      <c r="E2" s="205" t="s">
        <v>314</v>
      </c>
      <c r="F2" s="205" t="s">
        <v>315</v>
      </c>
      <c r="G2" s="205" t="s">
        <v>316</v>
      </c>
      <c r="H2" s="205" t="s">
        <v>317</v>
      </c>
      <c r="I2" s="205" t="s">
        <v>318</v>
      </c>
      <c r="J2" s="145" t="s">
        <v>319</v>
      </c>
      <c r="K2" s="145" t="s">
        <v>71</v>
      </c>
      <c r="L2" s="2"/>
      <c r="M2" s="2"/>
      <c r="N2" s="2"/>
      <c r="O2" s="2"/>
    </row>
    <row r="3" spans="1:15" ht="30.6" customHeight="1" x14ac:dyDescent="0.25">
      <c r="A3" s="206" t="str">
        <f>Zones!B3</f>
        <v>Open_Office_N</v>
      </c>
      <c r="B3" s="206">
        <f>Zones!K3</f>
        <v>4.5634874999999999</v>
      </c>
      <c r="C3" s="206">
        <f>Zones!H3</f>
        <v>912.69749999999999</v>
      </c>
      <c r="D3" s="496">
        <v>15</v>
      </c>
      <c r="E3" s="496">
        <v>0.15</v>
      </c>
      <c r="F3" s="207"/>
      <c r="G3" s="220">
        <f>B3*D3</f>
        <v>68.452312500000005</v>
      </c>
      <c r="H3" s="220">
        <f>C3*E3</f>
        <v>136.90462499999998</v>
      </c>
      <c r="I3" s="208"/>
      <c r="J3" s="209">
        <f>MAX(G3,H3,I3)</f>
        <v>136.90462499999998</v>
      </c>
      <c r="K3" s="401" t="s">
        <v>320</v>
      </c>
      <c r="L3" s="2"/>
      <c r="M3" s="2"/>
      <c r="N3" s="50" t="s">
        <v>321</v>
      </c>
      <c r="O3" s="50" t="s">
        <v>322</v>
      </c>
    </row>
    <row r="4" spans="1:15" ht="20.7" customHeight="1" x14ac:dyDescent="0.25">
      <c r="A4" s="206" t="str">
        <f>Zones!B4</f>
        <v>Enclosed_Office_W</v>
      </c>
      <c r="B4" s="206">
        <f>Zones!K4</f>
        <v>4.5423</v>
      </c>
      <c r="C4" s="206">
        <f>Zones!H4</f>
        <v>908.46</v>
      </c>
      <c r="D4" s="496">
        <v>15</v>
      </c>
      <c r="E4" s="496">
        <v>0.15</v>
      </c>
      <c r="F4" s="207"/>
      <c r="G4" s="220">
        <f t="shared" ref="G4:G16" si="0">B4*D4</f>
        <v>68.134500000000003</v>
      </c>
      <c r="H4" s="220">
        <f t="shared" ref="H4:H16" si="1">C4*E4</f>
        <v>136.26900000000001</v>
      </c>
      <c r="I4" s="208"/>
      <c r="J4" s="209">
        <f t="shared" ref="J4:J16" si="2">MAX(G4,H4,I4)</f>
        <v>136.26900000000001</v>
      </c>
      <c r="K4" s="401" t="s">
        <v>320</v>
      </c>
      <c r="L4" s="2"/>
      <c r="M4" s="2"/>
      <c r="N4" s="19" t="s">
        <v>142</v>
      </c>
      <c r="O4" s="210">
        <f>J3+J12</f>
        <v>155.24362499999998</v>
      </c>
    </row>
    <row r="5" spans="1:15" ht="29.4" customHeight="1" x14ac:dyDescent="0.25">
      <c r="A5" s="206" t="str">
        <f>Zones!B5</f>
        <v>Enclosed_Office_E</v>
      </c>
      <c r="B5" s="206">
        <f>Zones!K5</f>
        <v>4.5423</v>
      </c>
      <c r="C5" s="206">
        <f>Zones!H5</f>
        <v>908.46</v>
      </c>
      <c r="D5" s="496">
        <v>15</v>
      </c>
      <c r="E5" s="496">
        <v>0.15</v>
      </c>
      <c r="F5" s="207"/>
      <c r="G5" s="220">
        <f t="shared" si="0"/>
        <v>68.134500000000003</v>
      </c>
      <c r="H5" s="220">
        <f t="shared" si="1"/>
        <v>136.26900000000001</v>
      </c>
      <c r="I5" s="208"/>
      <c r="J5" s="209">
        <f t="shared" si="2"/>
        <v>136.26900000000001</v>
      </c>
      <c r="K5" s="401" t="s">
        <v>320</v>
      </c>
      <c r="L5" s="2"/>
      <c r="M5" s="2"/>
      <c r="N5" s="19" t="s">
        <v>146</v>
      </c>
      <c r="O5" s="210">
        <f>J4+J8+J12</f>
        <v>266.19118650000001</v>
      </c>
    </row>
    <row r="6" spans="1:15" ht="20.7" customHeight="1" x14ac:dyDescent="0.25">
      <c r="A6" s="206" t="str">
        <f>Zones!B6</f>
        <v>Conference</v>
      </c>
      <c r="B6" s="206">
        <f>Zones!K6</f>
        <v>15.059550000000002</v>
      </c>
      <c r="C6" s="206">
        <f>Zones!H6</f>
        <v>456.35</v>
      </c>
      <c r="D6" s="496">
        <v>15</v>
      </c>
      <c r="E6" s="496">
        <v>0.15</v>
      </c>
      <c r="F6" s="207"/>
      <c r="G6" s="220">
        <f t="shared" si="0"/>
        <v>225.89325000000002</v>
      </c>
      <c r="H6" s="220">
        <f t="shared" si="1"/>
        <v>68.452500000000001</v>
      </c>
      <c r="I6" s="208"/>
      <c r="J6" s="209">
        <f t="shared" si="2"/>
        <v>225.89325000000002</v>
      </c>
      <c r="K6" s="401" t="s">
        <v>323</v>
      </c>
      <c r="L6" s="2"/>
      <c r="M6" s="2"/>
      <c r="N6" s="19" t="s">
        <v>148</v>
      </c>
      <c r="O6" s="210">
        <f>J5+J10+J14</f>
        <v>204.608</v>
      </c>
    </row>
    <row r="7" spans="1:15" ht="29.25" customHeight="1" x14ac:dyDescent="0.25">
      <c r="A7" s="206" t="str">
        <f>Zones!B7</f>
        <v>Lobby_Lounge</v>
      </c>
      <c r="B7" s="206">
        <f>Zones!K7</f>
        <v>4.5635000000000003</v>
      </c>
      <c r="C7" s="206">
        <f>Zones!H7</f>
        <v>456.35</v>
      </c>
      <c r="D7" s="496">
        <v>15</v>
      </c>
      <c r="E7" s="496">
        <v>0.15</v>
      </c>
      <c r="F7" s="207"/>
      <c r="G7" s="220">
        <f t="shared" si="0"/>
        <v>68.452500000000001</v>
      </c>
      <c r="H7" s="220">
        <f t="shared" si="1"/>
        <v>68.452500000000001</v>
      </c>
      <c r="I7" s="208"/>
      <c r="J7" s="209">
        <f t="shared" si="2"/>
        <v>68.452500000000001</v>
      </c>
      <c r="K7" s="348" t="s">
        <v>324</v>
      </c>
      <c r="L7" s="2"/>
      <c r="M7" s="2"/>
      <c r="N7" s="19" t="s">
        <v>151</v>
      </c>
      <c r="O7" s="210">
        <f>J6+J7+J15+J11+J9</f>
        <v>397.6635</v>
      </c>
    </row>
    <row r="8" spans="1:15" ht="28.5" customHeight="1" x14ac:dyDescent="0.25">
      <c r="A8" s="206" t="str">
        <f>Zones!B8</f>
        <v>Storage</v>
      </c>
      <c r="B8" s="206">
        <f>Zones!K8</f>
        <v>0</v>
      </c>
      <c r="C8" s="206">
        <f>Zones!H8</f>
        <v>743.88791000000003</v>
      </c>
      <c r="D8" s="496">
        <v>15</v>
      </c>
      <c r="E8" s="496">
        <v>0.15</v>
      </c>
      <c r="F8" s="207"/>
      <c r="G8" s="220">
        <f t="shared" si="0"/>
        <v>0</v>
      </c>
      <c r="H8" s="220">
        <f t="shared" si="1"/>
        <v>111.5831865</v>
      </c>
      <c r="I8" s="208"/>
      <c r="J8" s="209">
        <f t="shared" si="2"/>
        <v>111.5831865</v>
      </c>
      <c r="K8" s="348" t="s">
        <v>325</v>
      </c>
      <c r="L8" s="2"/>
      <c r="M8" s="2"/>
      <c r="N8" s="2"/>
      <c r="O8" s="2"/>
    </row>
    <row r="9" spans="1:15" ht="20.7" customHeight="1" x14ac:dyDescent="0.25">
      <c r="A9" s="206" t="str">
        <f>Zones!B9</f>
        <v>Mechanical_Electrical</v>
      </c>
      <c r="B9" s="206">
        <f>Zones!K9</f>
        <v>0</v>
      </c>
      <c r="C9" s="206">
        <f>Zones!H9</f>
        <v>114.23</v>
      </c>
      <c r="D9" s="496">
        <v>15</v>
      </c>
      <c r="E9" s="496">
        <v>0.15</v>
      </c>
      <c r="F9" s="416"/>
      <c r="G9" s="220">
        <f t="shared" si="0"/>
        <v>0</v>
      </c>
      <c r="H9" s="220">
        <f t="shared" si="1"/>
        <v>17.134499999999999</v>
      </c>
      <c r="I9" s="208"/>
      <c r="J9" s="209">
        <f t="shared" si="2"/>
        <v>17.134499999999999</v>
      </c>
      <c r="K9" s="348" t="s">
        <v>326</v>
      </c>
      <c r="L9" s="2"/>
      <c r="M9" s="2"/>
      <c r="N9" s="2"/>
      <c r="O9" s="2"/>
    </row>
    <row r="10" spans="1:15" ht="20.7" customHeight="1" x14ac:dyDescent="0.25">
      <c r="A10" s="206" t="str">
        <f>Zones!B10</f>
        <v>Restroom</v>
      </c>
      <c r="B10" s="206">
        <f>Zones!K10</f>
        <v>0</v>
      </c>
      <c r="C10" s="206">
        <f>Zones!H10</f>
        <v>224.28</v>
      </c>
      <c r="D10" s="496">
        <v>15</v>
      </c>
      <c r="E10" s="496">
        <v>0.15</v>
      </c>
      <c r="F10" s="207" t="s">
        <v>327</v>
      </c>
      <c r="G10" s="220">
        <f t="shared" si="0"/>
        <v>0</v>
      </c>
      <c r="H10" s="220">
        <f t="shared" si="1"/>
        <v>33.641999999999996</v>
      </c>
      <c r="I10" s="415">
        <f>2*25</f>
        <v>50</v>
      </c>
      <c r="J10" s="209">
        <f t="shared" si="2"/>
        <v>50</v>
      </c>
      <c r="K10" s="348" t="s">
        <v>326</v>
      </c>
      <c r="L10" s="2"/>
      <c r="M10" s="2"/>
      <c r="N10" s="2"/>
      <c r="O10" s="2"/>
    </row>
    <row r="11" spans="1:15" ht="20.7" customHeight="1" x14ac:dyDescent="0.25">
      <c r="A11" s="206" t="str">
        <f>Zones!B11</f>
        <v>Break_CopyRoom</v>
      </c>
      <c r="B11" s="206">
        <f>Zones!K11</f>
        <v>3.63165</v>
      </c>
      <c r="C11" s="206">
        <f>Zones!H11</f>
        <v>110.05</v>
      </c>
      <c r="D11" s="496">
        <v>15</v>
      </c>
      <c r="E11" s="496">
        <v>0.15</v>
      </c>
      <c r="F11" s="207"/>
      <c r="G11" s="220">
        <f t="shared" si="0"/>
        <v>54.47475</v>
      </c>
      <c r="H11" s="220">
        <f t="shared" si="1"/>
        <v>16.5075</v>
      </c>
      <c r="I11" s="208"/>
      <c r="J11" s="209">
        <f t="shared" si="2"/>
        <v>54.47475</v>
      </c>
      <c r="K11" s="348" t="s">
        <v>328</v>
      </c>
      <c r="L11" s="2"/>
      <c r="M11" s="2"/>
      <c r="N11" s="2"/>
      <c r="O11" s="2"/>
    </row>
    <row r="12" spans="1:15" ht="20.7" customHeight="1" x14ac:dyDescent="0.25">
      <c r="A12" s="206" t="str">
        <f>Zones!B12</f>
        <v>Corridor_W</v>
      </c>
      <c r="B12" s="206">
        <f>Zones!K12</f>
        <v>0.61130000000000007</v>
      </c>
      <c r="C12" s="206">
        <f>Zones!H12</f>
        <v>122.26</v>
      </c>
      <c r="D12" s="496">
        <v>15</v>
      </c>
      <c r="E12" s="496">
        <v>0.15</v>
      </c>
      <c r="F12" s="207"/>
      <c r="G12" s="220">
        <f t="shared" si="0"/>
        <v>9.1695000000000011</v>
      </c>
      <c r="H12" s="220">
        <f t="shared" si="1"/>
        <v>18.338999999999999</v>
      </c>
      <c r="I12" s="208"/>
      <c r="J12" s="209">
        <f t="shared" si="2"/>
        <v>18.338999999999999</v>
      </c>
      <c r="K12" s="348" t="s">
        <v>329</v>
      </c>
      <c r="L12" s="2"/>
      <c r="M12" s="2"/>
      <c r="N12" s="2"/>
      <c r="O12" s="2"/>
    </row>
    <row r="13" spans="1:15" ht="20.7" customHeight="1" x14ac:dyDescent="0.25">
      <c r="A13" s="206" t="str">
        <f>Zones!B13</f>
        <v>Corridor_N</v>
      </c>
      <c r="B13" s="206">
        <f>Zones!K13</f>
        <v>1.0569499999999998</v>
      </c>
      <c r="C13" s="206">
        <f>Zones!H13</f>
        <v>211.39</v>
      </c>
      <c r="D13" s="496">
        <v>15</v>
      </c>
      <c r="E13" s="496">
        <v>0.15</v>
      </c>
      <c r="F13" s="207"/>
      <c r="G13" s="220">
        <f t="shared" si="0"/>
        <v>15.854249999999997</v>
      </c>
      <c r="H13" s="220">
        <f t="shared" si="1"/>
        <v>31.708499999999997</v>
      </c>
      <c r="I13" s="208"/>
      <c r="J13" s="209">
        <f t="shared" si="2"/>
        <v>31.708499999999997</v>
      </c>
      <c r="K13" s="348" t="s">
        <v>329</v>
      </c>
      <c r="L13" s="2"/>
      <c r="M13" s="2"/>
      <c r="N13" s="2"/>
      <c r="O13" s="2"/>
    </row>
    <row r="14" spans="1:15" ht="20.7" customHeight="1" x14ac:dyDescent="0.25">
      <c r="A14" s="206" t="str">
        <f>Zones!B14</f>
        <v>Corridor_E</v>
      </c>
      <c r="B14" s="206">
        <f>Zones!K14</f>
        <v>0.61130000000000007</v>
      </c>
      <c r="C14" s="206">
        <f>Zones!H14</f>
        <v>122.26</v>
      </c>
      <c r="D14" s="496">
        <v>15</v>
      </c>
      <c r="E14" s="496">
        <v>0.15</v>
      </c>
      <c r="F14" s="207"/>
      <c r="G14" s="220">
        <f t="shared" si="0"/>
        <v>9.1695000000000011</v>
      </c>
      <c r="H14" s="220">
        <f t="shared" si="1"/>
        <v>18.338999999999999</v>
      </c>
      <c r="I14" s="208"/>
      <c r="J14" s="209">
        <f t="shared" si="2"/>
        <v>18.338999999999999</v>
      </c>
      <c r="K14" s="348" t="s">
        <v>329</v>
      </c>
      <c r="L14" s="2"/>
      <c r="M14" s="2"/>
      <c r="N14" s="2"/>
      <c r="O14" s="2"/>
    </row>
    <row r="15" spans="1:15" ht="20.7" customHeight="1" x14ac:dyDescent="0.25">
      <c r="A15" s="206" t="str">
        <f>Zones!B15</f>
        <v>Corridor_S</v>
      </c>
      <c r="B15" s="206">
        <f>Zones!K15</f>
        <v>1.0569499999999998</v>
      </c>
      <c r="C15" s="206">
        <f>Zones!H15</f>
        <v>211.39</v>
      </c>
      <c r="D15" s="496">
        <v>15</v>
      </c>
      <c r="E15" s="496">
        <v>0.15</v>
      </c>
      <c r="F15" s="207"/>
      <c r="G15" s="220">
        <f t="shared" si="0"/>
        <v>15.854249999999997</v>
      </c>
      <c r="H15" s="220">
        <f t="shared" si="1"/>
        <v>31.708499999999997</v>
      </c>
      <c r="I15" s="208"/>
      <c r="J15" s="209">
        <f t="shared" si="2"/>
        <v>31.708499999999997</v>
      </c>
      <c r="K15" s="348" t="s">
        <v>329</v>
      </c>
      <c r="L15" s="2"/>
      <c r="M15" s="2"/>
      <c r="N15" s="2"/>
      <c r="O15" s="2"/>
    </row>
    <row r="16" spans="1:15" ht="20.7" customHeight="1" x14ac:dyDescent="0.25">
      <c r="A16" s="206" t="str">
        <f>Zones!B16</f>
        <v>Attic</v>
      </c>
      <c r="B16" s="206">
        <f>Zones!K16</f>
        <v>0</v>
      </c>
      <c r="C16" s="206">
        <f>Zones!H16</f>
        <v>6114.3046999999997</v>
      </c>
      <c r="D16" s="311"/>
      <c r="E16" s="496"/>
      <c r="F16" s="207"/>
      <c r="G16" s="220">
        <f t="shared" si="0"/>
        <v>0</v>
      </c>
      <c r="H16" s="220">
        <f t="shared" si="1"/>
        <v>0</v>
      </c>
      <c r="I16" s="208"/>
      <c r="J16" s="209">
        <f t="shared" si="2"/>
        <v>0</v>
      </c>
      <c r="K16" s="401"/>
      <c r="L16" s="2"/>
      <c r="M16" s="2"/>
      <c r="N16" s="2"/>
      <c r="O16" s="2"/>
    </row>
    <row r="18" spans="1:25" x14ac:dyDescent="0.25">
      <c r="A18" s="2"/>
      <c r="B18" s="2"/>
      <c r="C18" s="2"/>
      <c r="D18" s="2"/>
      <c r="E18" s="2"/>
      <c r="F18" s="2"/>
      <c r="G18" s="2"/>
      <c r="H18" s="2"/>
      <c r="I18" s="2"/>
      <c r="J18" s="2"/>
      <c r="K18" s="2"/>
      <c r="L18" s="2"/>
      <c r="M18" s="2"/>
      <c r="N18" s="2"/>
      <c r="O18" s="2"/>
      <c r="P18" s="2"/>
      <c r="Q18" s="2"/>
      <c r="R18" s="2"/>
      <c r="S18" s="2"/>
      <c r="T18" s="2"/>
      <c r="U18" s="2"/>
      <c r="V18" s="2"/>
      <c r="W18" s="2"/>
      <c r="X18" s="2"/>
      <c r="Y18" s="2"/>
    </row>
    <row r="24" spans="1:25" x14ac:dyDescent="0.25">
      <c r="A24" s="2"/>
      <c r="B24" s="2"/>
      <c r="C24" s="2"/>
      <c r="D24" s="2"/>
      <c r="E24" s="2"/>
      <c r="F24" s="2"/>
      <c r="G24" s="2"/>
      <c r="H24" s="2"/>
      <c r="I24" s="2"/>
      <c r="J24" s="2"/>
      <c r="K24" s="2"/>
      <c r="L24" s="2"/>
      <c r="M24" s="2"/>
      <c r="N24" s="2"/>
      <c r="O24" s="2"/>
      <c r="P24" s="2"/>
      <c r="Q24" s="2"/>
      <c r="R24" s="2"/>
      <c r="S24" s="2"/>
      <c r="T24" s="2"/>
      <c r="U24" s="2"/>
      <c r="V24" s="2"/>
      <c r="W24" s="2"/>
      <c r="X24" s="2"/>
      <c r="Y24" s="2"/>
    </row>
    <row r="25" spans="1:25" x14ac:dyDescent="0.25">
      <c r="A25" s="2"/>
      <c r="B25" s="2"/>
      <c r="C25" s="2"/>
      <c r="D25" s="2"/>
      <c r="E25" s="2"/>
      <c r="F25" s="2"/>
      <c r="G25" s="2"/>
      <c r="H25" s="2"/>
      <c r="I25" s="2"/>
      <c r="J25" s="2"/>
      <c r="K25" s="2"/>
      <c r="L25" s="2"/>
      <c r="M25" s="2"/>
      <c r="N25" s="2"/>
      <c r="O25" s="2"/>
      <c r="P25" s="2"/>
      <c r="Q25" s="2"/>
      <c r="R25" s="2"/>
      <c r="S25" s="2"/>
      <c r="T25" s="2"/>
      <c r="U25" s="2"/>
      <c r="V25" s="2"/>
      <c r="W25" s="2"/>
      <c r="X25" s="2"/>
      <c r="Y25" s="2"/>
    </row>
    <row r="26" spans="1:25" x14ac:dyDescent="0.25">
      <c r="A26" s="2"/>
      <c r="B26" s="2"/>
      <c r="C26" s="2"/>
      <c r="D26" s="2"/>
      <c r="E26" s="2"/>
      <c r="F26" s="2"/>
      <c r="G26" s="2"/>
      <c r="H26" s="2"/>
      <c r="I26" s="2"/>
      <c r="J26" s="2"/>
      <c r="K26" s="2"/>
      <c r="L26" s="2"/>
      <c r="M26" s="2"/>
      <c r="N26" s="2"/>
      <c r="O26" s="2"/>
      <c r="P26" s="2"/>
      <c r="Q26" s="2"/>
      <c r="R26" s="2"/>
      <c r="S26" s="2"/>
      <c r="T26" s="2"/>
      <c r="U26" s="2"/>
      <c r="V26" s="2"/>
      <c r="W26" s="2"/>
      <c r="X26" s="2"/>
      <c r="Y26" s="2"/>
    </row>
    <row r="27" spans="1:25" x14ac:dyDescent="0.25">
      <c r="A27" s="2"/>
      <c r="B27" s="2"/>
      <c r="C27" s="2"/>
      <c r="D27" s="2"/>
      <c r="E27" s="2"/>
      <c r="F27" s="2"/>
      <c r="G27" s="2"/>
      <c r="H27" s="2"/>
      <c r="I27" s="2"/>
      <c r="J27" s="2"/>
      <c r="K27" s="2"/>
      <c r="L27" s="2"/>
      <c r="M27" s="2"/>
      <c r="N27" s="2"/>
      <c r="O27" s="2"/>
      <c r="P27" s="2"/>
      <c r="Q27" s="2"/>
      <c r="R27" s="2"/>
      <c r="S27" s="2"/>
      <c r="T27" s="2"/>
      <c r="U27" s="2"/>
      <c r="V27" s="2"/>
      <c r="W27" s="2"/>
      <c r="X27" s="2"/>
      <c r="Y27" s="2"/>
    </row>
    <row r="28" spans="1:25" x14ac:dyDescent="0.25">
      <c r="A28" s="2"/>
      <c r="B28" s="2"/>
      <c r="C28" s="2"/>
      <c r="D28" s="2"/>
      <c r="E28" s="2"/>
      <c r="F28" s="2"/>
      <c r="G28" s="2"/>
      <c r="H28" s="2"/>
      <c r="I28" s="2"/>
      <c r="J28" s="2"/>
      <c r="K28" s="2"/>
      <c r="L28" s="2"/>
      <c r="M28" s="2"/>
      <c r="N28" s="2"/>
      <c r="O28" s="2"/>
      <c r="P28" s="2"/>
      <c r="Q28" s="2"/>
      <c r="R28" s="2"/>
      <c r="S28" s="2"/>
      <c r="T28" s="2"/>
      <c r="U28" s="2"/>
      <c r="V28" s="2"/>
      <c r="W28" s="2"/>
      <c r="X28" s="2"/>
      <c r="Y28" s="2"/>
    </row>
    <row r="29" spans="1:25" x14ac:dyDescent="0.25">
      <c r="A29" s="2"/>
      <c r="B29" s="2"/>
      <c r="C29" s="2"/>
      <c r="D29" s="2"/>
      <c r="E29" s="2"/>
      <c r="F29" s="2"/>
      <c r="G29" s="2"/>
      <c r="H29" s="2"/>
      <c r="I29" s="2"/>
      <c r="J29" s="2"/>
      <c r="K29" s="2"/>
      <c r="L29" s="2"/>
      <c r="M29" s="2"/>
      <c r="N29" s="2"/>
      <c r="O29" s="2"/>
      <c r="P29" s="2"/>
      <c r="Q29" s="2"/>
      <c r="R29" s="2"/>
      <c r="S29" s="2"/>
      <c r="T29" s="2"/>
      <c r="U29" s="2"/>
      <c r="V29" s="2"/>
      <c r="W29" s="2"/>
      <c r="X29" s="2"/>
      <c r="Y29" s="2"/>
    </row>
    <row r="30" spans="1:25" x14ac:dyDescent="0.25">
      <c r="A30" s="2"/>
      <c r="B30" s="2"/>
      <c r="C30" s="2"/>
      <c r="D30" s="2"/>
      <c r="E30" s="2"/>
      <c r="F30" s="2"/>
      <c r="G30" s="2"/>
      <c r="H30" s="2"/>
      <c r="I30" s="2"/>
      <c r="J30" s="2"/>
      <c r="K30" s="2"/>
      <c r="L30" s="2"/>
      <c r="M30" s="2"/>
      <c r="N30" s="2"/>
      <c r="O30" s="2"/>
      <c r="P30" s="2"/>
      <c r="Q30" s="2"/>
      <c r="R30" s="2"/>
      <c r="S30" s="2"/>
      <c r="T30" s="2"/>
      <c r="U30" s="2"/>
      <c r="V30" s="2"/>
      <c r="W30" s="2"/>
      <c r="X30" s="2"/>
      <c r="Y30" s="2"/>
    </row>
    <row r="31" spans="1:25" x14ac:dyDescent="0.25">
      <c r="A31" s="2"/>
      <c r="B31" s="2"/>
      <c r="C31" s="2"/>
      <c r="D31" s="2"/>
      <c r="E31" s="2"/>
      <c r="F31" s="2"/>
      <c r="G31" s="2"/>
      <c r="H31" s="2"/>
      <c r="I31" s="2"/>
      <c r="J31" s="2"/>
      <c r="K31" s="2"/>
      <c r="L31" s="2"/>
      <c r="M31" s="2"/>
      <c r="N31" s="2"/>
      <c r="O31" s="2"/>
      <c r="P31" s="2"/>
      <c r="Q31" s="2"/>
      <c r="R31" s="2"/>
      <c r="S31" s="2"/>
      <c r="T31" s="2"/>
      <c r="U31" s="2"/>
      <c r="V31" s="2"/>
      <c r="W31" s="2"/>
      <c r="X31" s="2"/>
      <c r="Y31" s="2"/>
    </row>
    <row r="32" spans="1:25" x14ac:dyDescent="0.25">
      <c r="A32" s="2"/>
      <c r="B32" s="2"/>
      <c r="C32" s="2"/>
      <c r="D32" s="2"/>
      <c r="E32" s="2"/>
      <c r="F32" s="2"/>
      <c r="G32" s="2"/>
      <c r="H32" s="2"/>
      <c r="I32" s="2"/>
      <c r="J32" s="2"/>
      <c r="K32" s="2"/>
      <c r="L32" s="2"/>
      <c r="M32" s="2"/>
      <c r="N32" s="2"/>
      <c r="O32" s="2"/>
      <c r="P32" s="2"/>
      <c r="Q32" s="2"/>
      <c r="R32" s="2"/>
      <c r="S32" s="2"/>
      <c r="T32" s="2"/>
      <c r="U32" s="2"/>
      <c r="V32" s="2"/>
      <c r="W32" s="2"/>
      <c r="X32" s="2"/>
      <c r="Y32" s="2"/>
    </row>
    <row r="33" spans="1:25" x14ac:dyDescent="0.25">
      <c r="A33" s="2"/>
      <c r="B33" s="2"/>
      <c r="C33" s="2"/>
      <c r="D33" s="2"/>
      <c r="E33" s="2"/>
      <c r="F33" s="2"/>
      <c r="G33" s="2"/>
      <c r="H33" s="2"/>
      <c r="I33" s="2"/>
      <c r="J33" s="2"/>
      <c r="K33" s="2"/>
      <c r="L33" s="2"/>
      <c r="M33" s="2"/>
      <c r="N33" s="2"/>
      <c r="O33" s="2"/>
      <c r="P33" s="2"/>
      <c r="Q33" s="2"/>
      <c r="R33" s="2"/>
      <c r="S33" s="2"/>
      <c r="T33" s="2"/>
      <c r="U33" s="2"/>
      <c r="V33" s="2"/>
      <c r="W33" s="2"/>
      <c r="X33" s="2"/>
      <c r="Y33" s="2"/>
    </row>
    <row r="34" spans="1:25" x14ac:dyDescent="0.25">
      <c r="A34" s="2"/>
      <c r="B34" s="2"/>
      <c r="C34" s="2"/>
      <c r="D34" s="2"/>
      <c r="E34" s="2"/>
      <c r="F34" s="2"/>
      <c r="G34" s="2"/>
      <c r="H34" s="2"/>
      <c r="I34" s="2"/>
      <c r="J34" s="2"/>
      <c r="K34" s="2"/>
      <c r="L34" s="2"/>
      <c r="M34" s="2"/>
      <c r="N34" s="2"/>
      <c r="O34" s="2"/>
      <c r="P34" s="2"/>
      <c r="Q34" s="2"/>
      <c r="R34" s="2"/>
      <c r="S34" s="2"/>
      <c r="T34" s="2"/>
      <c r="U34" s="2"/>
      <c r="V34" s="2"/>
      <c r="W34" s="2"/>
      <c r="X34" s="2"/>
      <c r="Y34" s="2"/>
    </row>
    <row r="35" spans="1:25" x14ac:dyDescent="0.25">
      <c r="A35" s="2"/>
      <c r="B35" s="2"/>
      <c r="C35" s="2"/>
      <c r="D35" s="2"/>
      <c r="E35" s="2"/>
      <c r="F35" s="2"/>
      <c r="G35" s="2"/>
      <c r="H35" s="2"/>
      <c r="I35" s="2"/>
      <c r="J35" s="2"/>
      <c r="K35" s="2"/>
      <c r="L35" s="2"/>
      <c r="M35" s="2"/>
      <c r="N35" s="2"/>
      <c r="O35" s="2"/>
      <c r="P35" s="2"/>
      <c r="Q35" s="2"/>
      <c r="R35" s="2"/>
      <c r="S35" s="2"/>
      <c r="T35" s="2"/>
      <c r="U35" s="2"/>
      <c r="V35" s="2"/>
      <c r="W35" s="2"/>
      <c r="X35" s="2"/>
      <c r="Y35" s="2"/>
    </row>
    <row r="36" spans="1:25" x14ac:dyDescent="0.25">
      <c r="A36" s="2"/>
      <c r="B36" s="2"/>
      <c r="C36" s="2"/>
      <c r="D36" s="2"/>
      <c r="E36" s="2"/>
      <c r="F36" s="2"/>
      <c r="G36" s="2"/>
      <c r="H36" s="2"/>
      <c r="I36" s="2"/>
      <c r="J36" s="2"/>
      <c r="K36" s="2"/>
      <c r="L36" s="2"/>
      <c r="M36" s="2"/>
      <c r="N36" s="2"/>
      <c r="O36" s="2"/>
      <c r="P36" s="2"/>
      <c r="Q36" s="2"/>
      <c r="R36" s="2"/>
      <c r="S36" s="2"/>
      <c r="T36" s="2"/>
      <c r="U36" s="2"/>
      <c r="V36" s="2"/>
      <c r="W36" s="2"/>
      <c r="X36" s="2"/>
      <c r="Y36" s="2"/>
    </row>
    <row r="37" spans="1:25" x14ac:dyDescent="0.25">
      <c r="A37" s="2"/>
      <c r="B37" s="2"/>
      <c r="C37" s="2"/>
      <c r="D37" s="2"/>
      <c r="E37" s="2"/>
      <c r="F37" s="2"/>
      <c r="G37" s="2"/>
      <c r="H37" s="2"/>
      <c r="I37" s="2"/>
      <c r="J37" s="2"/>
      <c r="K37" s="2"/>
      <c r="L37" s="2"/>
      <c r="M37" s="2"/>
      <c r="N37" s="2"/>
      <c r="O37" s="2"/>
      <c r="P37" s="2"/>
      <c r="Q37" s="2"/>
      <c r="R37" s="2"/>
      <c r="S37" s="2"/>
      <c r="T37" s="2"/>
      <c r="U37" s="2"/>
      <c r="V37" s="2"/>
      <c r="W37" s="2"/>
      <c r="X37" s="2"/>
      <c r="Y37" s="2"/>
    </row>
    <row r="38" spans="1:25" x14ac:dyDescent="0.25">
      <c r="A38" s="2"/>
      <c r="B38" s="2"/>
      <c r="C38" s="2"/>
      <c r="D38" s="2"/>
      <c r="E38" s="2"/>
      <c r="F38" s="2"/>
      <c r="G38" s="2"/>
      <c r="H38" s="2"/>
      <c r="I38" s="2"/>
      <c r="J38" s="2"/>
      <c r="K38" s="2"/>
      <c r="L38" s="2"/>
      <c r="M38" s="2"/>
      <c r="N38" s="2"/>
      <c r="O38" s="2"/>
      <c r="P38" s="2"/>
      <c r="Q38" s="2"/>
      <c r="R38" s="2"/>
      <c r="S38" s="2"/>
      <c r="T38" s="2"/>
      <c r="U38" s="2"/>
      <c r="V38" s="2"/>
      <c r="W38" s="2"/>
      <c r="X38" s="2"/>
      <c r="Y38" s="2"/>
    </row>
    <row r="39" spans="1:25" x14ac:dyDescent="0.25">
      <c r="A39" s="2"/>
      <c r="B39" s="2"/>
      <c r="C39" s="2"/>
      <c r="D39" s="2"/>
      <c r="E39" s="2"/>
      <c r="F39" s="2"/>
      <c r="G39" s="2"/>
      <c r="H39" s="2"/>
      <c r="I39" s="2"/>
      <c r="J39" s="2"/>
      <c r="K39" s="2"/>
      <c r="L39" s="2"/>
      <c r="M39" s="2"/>
      <c r="N39" s="2"/>
      <c r="O39" s="2"/>
      <c r="P39" s="2"/>
      <c r="Q39" s="2"/>
      <c r="R39" s="2"/>
      <c r="S39" s="2"/>
      <c r="T39" s="2"/>
      <c r="U39" s="2"/>
      <c r="V39" s="2"/>
      <c r="W39" s="2"/>
      <c r="X39" s="2"/>
      <c r="Y39" s="2"/>
    </row>
    <row r="40" spans="1:25" x14ac:dyDescent="0.25">
      <c r="A40" s="2"/>
      <c r="B40" s="2"/>
      <c r="C40" s="2"/>
      <c r="D40" s="2"/>
      <c r="E40" s="2"/>
      <c r="F40" s="2"/>
      <c r="G40" s="2"/>
      <c r="H40" s="2"/>
      <c r="I40" s="2"/>
      <c r="J40" s="2"/>
      <c r="K40" s="2"/>
      <c r="L40" s="2"/>
      <c r="M40" s="2"/>
      <c r="N40" s="2"/>
      <c r="O40" s="2"/>
      <c r="P40" s="2"/>
      <c r="Q40" s="2"/>
      <c r="R40" s="2"/>
      <c r="S40" s="2"/>
      <c r="T40" s="2"/>
      <c r="U40" s="2"/>
      <c r="V40" s="2"/>
      <c r="W40" s="2"/>
      <c r="X40" s="2"/>
      <c r="Y40" s="2"/>
    </row>
    <row r="41" spans="1:25" x14ac:dyDescent="0.25">
      <c r="A41" s="2"/>
      <c r="B41" s="2"/>
      <c r="C41" s="2"/>
      <c r="D41" s="2"/>
      <c r="E41" s="2"/>
      <c r="F41" s="2"/>
      <c r="G41" s="2"/>
      <c r="H41" s="2"/>
      <c r="I41" s="2"/>
      <c r="J41" s="2"/>
      <c r="K41" s="2"/>
      <c r="L41" s="2"/>
      <c r="M41" s="2"/>
      <c r="N41" s="2"/>
      <c r="O41" s="2"/>
      <c r="P41" s="2"/>
      <c r="Q41" s="2"/>
      <c r="R41" s="2"/>
      <c r="S41" s="2"/>
      <c r="T41" s="2"/>
      <c r="U41" s="2"/>
      <c r="V41" s="2"/>
      <c r="W41" s="2"/>
      <c r="X41" s="2"/>
      <c r="Y41" s="2"/>
    </row>
    <row r="42" spans="1:25" x14ac:dyDescent="0.25">
      <c r="A42" s="2"/>
      <c r="B42" s="2"/>
      <c r="C42" s="2"/>
      <c r="D42" s="2"/>
      <c r="E42" s="2"/>
      <c r="F42" s="2"/>
      <c r="G42" s="2"/>
      <c r="H42" s="2"/>
      <c r="I42" s="2"/>
      <c r="J42" s="2"/>
      <c r="K42" s="2"/>
      <c r="L42" s="2"/>
      <c r="M42" s="2"/>
      <c r="N42" s="2"/>
      <c r="O42" s="2"/>
      <c r="P42" s="2"/>
      <c r="Q42" s="2"/>
      <c r="R42" s="2"/>
      <c r="S42" s="2"/>
      <c r="T42" s="2"/>
      <c r="U42" s="2"/>
      <c r="V42" s="2"/>
      <c r="W42" s="2"/>
      <c r="X42" s="2"/>
      <c r="Y42" s="2"/>
    </row>
    <row r="43" spans="1:25" x14ac:dyDescent="0.25">
      <c r="A43" s="2"/>
      <c r="B43" s="2"/>
      <c r="C43" s="2"/>
      <c r="D43" s="2"/>
      <c r="E43" s="2"/>
      <c r="F43" s="2"/>
      <c r="G43" s="2"/>
      <c r="H43" s="2"/>
      <c r="I43" s="2"/>
      <c r="J43" s="2"/>
      <c r="K43" s="2"/>
      <c r="L43" s="2"/>
      <c r="M43" s="2"/>
      <c r="N43" s="2"/>
      <c r="O43" s="2"/>
      <c r="P43" s="2"/>
      <c r="Q43" s="2"/>
      <c r="R43" s="2"/>
      <c r="S43" s="2"/>
      <c r="T43" s="2"/>
      <c r="U43" s="2"/>
      <c r="V43" s="2"/>
      <c r="W43" s="2"/>
      <c r="X43" s="2"/>
      <c r="Y43" s="2"/>
    </row>
    <row r="44" spans="1:25" x14ac:dyDescent="0.25">
      <c r="A44" s="2"/>
      <c r="B44" s="2"/>
      <c r="C44" s="2"/>
      <c r="D44" s="2"/>
      <c r="E44" s="2"/>
      <c r="F44" s="2"/>
      <c r="G44" s="2"/>
      <c r="H44" s="2"/>
      <c r="I44" s="2"/>
      <c r="J44" s="2"/>
      <c r="K44" s="2"/>
      <c r="L44" s="2"/>
      <c r="M44" s="2"/>
      <c r="N44" s="2"/>
      <c r="O44" s="2"/>
      <c r="P44" s="2"/>
      <c r="Q44" s="2"/>
      <c r="R44" s="2"/>
      <c r="S44" s="2"/>
      <c r="T44" s="2"/>
      <c r="U44" s="2"/>
      <c r="V44" s="2"/>
      <c r="W44" s="2"/>
      <c r="X44" s="2"/>
      <c r="Y44" s="2"/>
    </row>
    <row r="45" spans="1:25" x14ac:dyDescent="0.25">
      <c r="A45" s="2"/>
      <c r="B45" s="2"/>
      <c r="C45" s="2"/>
      <c r="D45" s="2"/>
      <c r="E45" s="2"/>
      <c r="F45" s="2"/>
      <c r="G45" s="2"/>
      <c r="H45" s="2"/>
      <c r="I45" s="2"/>
      <c r="J45" s="2"/>
      <c r="K45" s="2"/>
      <c r="L45" s="2"/>
      <c r="M45" s="2"/>
      <c r="N45" s="2"/>
      <c r="O45" s="2"/>
      <c r="P45" s="2"/>
      <c r="Q45" s="2"/>
      <c r="R45" s="2"/>
      <c r="S45" s="2"/>
      <c r="T45" s="2"/>
      <c r="U45" s="2"/>
      <c r="V45" s="2"/>
      <c r="W45" s="2"/>
      <c r="X45" s="2"/>
      <c r="Y45" s="2"/>
    </row>
    <row r="46" spans="1:25" x14ac:dyDescent="0.25">
      <c r="A46" s="2"/>
      <c r="B46" s="2"/>
      <c r="C46" s="2"/>
      <c r="D46" s="2"/>
      <c r="E46" s="2"/>
      <c r="F46" s="2"/>
      <c r="G46" s="2"/>
      <c r="H46" s="2"/>
      <c r="I46" s="2"/>
      <c r="J46" s="2"/>
      <c r="K46" s="2"/>
      <c r="L46" s="2"/>
      <c r="M46" s="2"/>
      <c r="N46" s="2"/>
      <c r="O46" s="2"/>
      <c r="P46" s="2"/>
      <c r="Q46" s="2"/>
      <c r="R46" s="2"/>
      <c r="S46" s="2"/>
      <c r="T46" s="2"/>
      <c r="U46" s="2"/>
      <c r="V46" s="2"/>
      <c r="W46" s="2"/>
      <c r="X46" s="2"/>
      <c r="Y46" s="2"/>
    </row>
    <row r="47" spans="1:25" x14ac:dyDescent="0.25">
      <c r="A47" s="2"/>
      <c r="B47" s="2"/>
      <c r="C47" s="2"/>
      <c r="D47" s="2"/>
      <c r="E47" s="2"/>
      <c r="F47" s="2"/>
      <c r="G47" s="2"/>
      <c r="H47" s="2"/>
      <c r="I47" s="2"/>
      <c r="J47" s="2"/>
      <c r="K47" s="2"/>
      <c r="L47" s="2"/>
      <c r="M47" s="2"/>
      <c r="N47" s="2"/>
      <c r="O47" s="2"/>
      <c r="P47" s="2"/>
      <c r="Q47" s="2"/>
      <c r="R47" s="2"/>
      <c r="S47" s="2"/>
      <c r="T47" s="2"/>
      <c r="U47" s="2"/>
      <c r="V47" s="2"/>
      <c r="W47" s="2"/>
      <c r="X47" s="2"/>
      <c r="Y47" s="2"/>
    </row>
    <row r="48" spans="1:25" x14ac:dyDescent="0.25">
      <c r="A48" s="2"/>
      <c r="B48" s="2"/>
      <c r="C48" s="2"/>
      <c r="D48" s="2"/>
      <c r="E48" s="2"/>
      <c r="F48" s="2"/>
      <c r="G48" s="2"/>
      <c r="H48" s="2"/>
      <c r="I48" s="2"/>
      <c r="J48" s="2"/>
      <c r="K48" s="2"/>
      <c r="L48" s="2"/>
      <c r="M48" s="2"/>
      <c r="N48" s="2"/>
      <c r="O48" s="2"/>
      <c r="P48" s="2"/>
      <c r="Q48" s="2"/>
      <c r="R48" s="2"/>
      <c r="S48" s="2"/>
      <c r="T48" s="2"/>
      <c r="U48" s="2"/>
      <c r="V48" s="2"/>
      <c r="W48" s="2"/>
      <c r="X48" s="2"/>
      <c r="Y48" s="2"/>
    </row>
    <row r="49" spans="1:25" x14ac:dyDescent="0.25">
      <c r="A49" s="2"/>
      <c r="B49" s="2"/>
      <c r="C49" s="2"/>
      <c r="D49" s="2"/>
      <c r="E49" s="2"/>
      <c r="F49" s="2"/>
      <c r="G49" s="2"/>
      <c r="H49" s="2"/>
      <c r="I49" s="2"/>
      <c r="J49" s="2"/>
      <c r="K49" s="2"/>
      <c r="L49" s="2"/>
      <c r="M49" s="2"/>
      <c r="N49" s="2"/>
      <c r="O49" s="2"/>
      <c r="P49" s="2"/>
      <c r="Q49" s="2"/>
      <c r="R49" s="2"/>
      <c r="S49" s="2"/>
      <c r="T49" s="2"/>
      <c r="U49" s="2"/>
      <c r="V49" s="2"/>
      <c r="W49" s="2"/>
      <c r="X49" s="2"/>
      <c r="Y49" s="2"/>
    </row>
    <row r="50" spans="1:25" x14ac:dyDescent="0.25">
      <c r="A50" s="2"/>
      <c r="B50" s="2"/>
      <c r="C50" s="2"/>
      <c r="D50" s="2"/>
      <c r="E50" s="2"/>
      <c r="F50" s="2"/>
      <c r="G50" s="2"/>
      <c r="H50" s="2"/>
      <c r="I50" s="2"/>
      <c r="J50" s="2"/>
      <c r="K50" s="2"/>
      <c r="L50" s="2"/>
      <c r="M50" s="2"/>
      <c r="N50" s="2"/>
      <c r="O50" s="2"/>
      <c r="P50" s="2"/>
      <c r="Q50" s="2"/>
      <c r="R50" s="2"/>
      <c r="S50" s="2"/>
      <c r="T50" s="2"/>
      <c r="U50" s="2"/>
      <c r="V50" s="2"/>
      <c r="W50" s="2"/>
      <c r="X50" s="2"/>
      <c r="Y50" s="2"/>
    </row>
    <row r="51" spans="1:25" x14ac:dyDescent="0.25">
      <c r="A51" s="2"/>
      <c r="B51" s="2"/>
      <c r="C51" s="2"/>
      <c r="D51" s="2"/>
      <c r="E51" s="2"/>
      <c r="F51" s="2"/>
      <c r="G51" s="2"/>
      <c r="H51" s="2"/>
      <c r="I51" s="2"/>
      <c r="J51" s="2"/>
      <c r="K51" s="2"/>
      <c r="L51" s="2"/>
      <c r="M51" s="2"/>
      <c r="N51" s="2"/>
      <c r="O51" s="2"/>
      <c r="P51" s="2"/>
      <c r="Q51" s="2"/>
      <c r="R51" s="2"/>
      <c r="S51" s="2"/>
      <c r="T51" s="2"/>
      <c r="U51" s="2"/>
      <c r="V51" s="2"/>
      <c r="W51" s="2"/>
      <c r="X51" s="2"/>
      <c r="Y51" s="2"/>
    </row>
    <row r="52" spans="1:25" x14ac:dyDescent="0.25">
      <c r="A52" s="2"/>
      <c r="B52" s="2"/>
      <c r="C52" s="2"/>
      <c r="D52" s="2"/>
      <c r="E52" s="2"/>
      <c r="F52" s="2"/>
      <c r="G52" s="2"/>
      <c r="H52" s="2"/>
      <c r="I52" s="2"/>
      <c r="J52" s="2"/>
      <c r="K52" s="2"/>
      <c r="L52" s="2"/>
      <c r="M52" s="2"/>
      <c r="N52" s="2"/>
      <c r="O52" s="2"/>
      <c r="P52" s="2"/>
      <c r="Q52" s="2"/>
      <c r="R52" s="2"/>
      <c r="S52" s="2"/>
      <c r="T52" s="2"/>
      <c r="U52" s="2"/>
      <c r="V52" s="2"/>
      <c r="W52" s="2"/>
      <c r="X52" s="2"/>
      <c r="Y52" s="2"/>
    </row>
    <row r="53" spans="1:25" x14ac:dyDescent="0.25">
      <c r="A53" s="2"/>
      <c r="B53" s="2"/>
      <c r="C53" s="2"/>
      <c r="D53" s="2"/>
      <c r="E53" s="2"/>
      <c r="F53" s="2"/>
      <c r="G53" s="2"/>
      <c r="H53" s="2"/>
      <c r="I53" s="2"/>
      <c r="J53" s="2"/>
      <c r="K53" s="2"/>
      <c r="L53" s="2"/>
      <c r="M53" s="2"/>
      <c r="N53" s="2"/>
      <c r="O53" s="2"/>
      <c r="P53" s="2"/>
      <c r="Q53" s="2"/>
      <c r="R53" s="2"/>
      <c r="S53" s="2"/>
      <c r="T53" s="2"/>
      <c r="U53" s="2"/>
      <c r="V53" s="2"/>
      <c r="W53" s="2"/>
      <c r="X53" s="2"/>
      <c r="Y53" s="2"/>
    </row>
    <row r="54" spans="1:25" x14ac:dyDescent="0.25">
      <c r="A54" s="2"/>
      <c r="B54" s="2"/>
      <c r="C54" s="2"/>
      <c r="D54" s="2"/>
      <c r="E54" s="2"/>
      <c r="F54" s="2"/>
      <c r="G54" s="2"/>
      <c r="H54" s="2"/>
      <c r="I54" s="2"/>
      <c r="J54" s="2"/>
      <c r="K54" s="2"/>
      <c r="L54" s="2"/>
      <c r="M54" s="2"/>
      <c r="N54" s="2"/>
      <c r="O54" s="2"/>
      <c r="P54" s="2"/>
      <c r="Q54" s="2"/>
      <c r="R54" s="2"/>
      <c r="S54" s="2"/>
      <c r="T54" s="2"/>
      <c r="U54" s="2"/>
      <c r="V54" s="2"/>
      <c r="W54" s="2"/>
      <c r="X54" s="2"/>
      <c r="Y54" s="2"/>
    </row>
    <row r="55" spans="1:25" x14ac:dyDescent="0.25">
      <c r="A55" s="2"/>
      <c r="B55" s="2"/>
      <c r="C55" s="2"/>
      <c r="D55" s="2"/>
      <c r="E55" s="2"/>
      <c r="F55" s="2"/>
      <c r="G55" s="2"/>
      <c r="H55" s="2"/>
      <c r="I55" s="2"/>
      <c r="J55" s="2"/>
      <c r="K55" s="2"/>
      <c r="L55" s="2"/>
      <c r="M55" s="2"/>
      <c r="N55" s="2"/>
      <c r="O55" s="2"/>
      <c r="P55" s="2"/>
      <c r="Q55" s="2"/>
      <c r="R55" s="2"/>
      <c r="S55" s="2"/>
      <c r="T55" s="2"/>
      <c r="U55" s="2"/>
      <c r="V55" s="2"/>
      <c r="W55" s="2"/>
      <c r="X55" s="2"/>
      <c r="Y55" s="2"/>
    </row>
    <row r="56" spans="1:25" x14ac:dyDescent="0.25">
      <c r="A56" s="2"/>
      <c r="B56" s="2"/>
      <c r="C56" s="2"/>
      <c r="D56" s="2"/>
      <c r="E56" s="2"/>
      <c r="F56" s="2"/>
      <c r="G56" s="2"/>
      <c r="H56" s="2"/>
      <c r="I56" s="2"/>
      <c r="J56" s="2"/>
      <c r="K56" s="2"/>
      <c r="L56" s="2"/>
      <c r="M56" s="2"/>
      <c r="N56" s="2"/>
      <c r="O56" s="2"/>
      <c r="P56" s="2"/>
      <c r="Q56" s="2"/>
      <c r="R56" s="2"/>
      <c r="S56" s="2"/>
      <c r="T56" s="2"/>
      <c r="U56" s="2"/>
      <c r="V56" s="2"/>
      <c r="W56" s="2"/>
      <c r="X56" s="2"/>
      <c r="Y56" s="2"/>
    </row>
    <row r="57" spans="1:25" x14ac:dyDescent="0.25">
      <c r="A57" s="2"/>
      <c r="B57" s="2"/>
      <c r="C57" s="2"/>
      <c r="D57" s="2"/>
      <c r="E57" s="2"/>
      <c r="F57" s="2"/>
      <c r="G57" s="2"/>
      <c r="H57" s="2"/>
      <c r="I57" s="2"/>
      <c r="J57" s="2"/>
      <c r="K57" s="2"/>
      <c r="L57" s="2"/>
      <c r="M57" s="2"/>
      <c r="N57" s="2"/>
      <c r="O57" s="2"/>
      <c r="P57" s="2"/>
      <c r="Q57" s="2"/>
      <c r="R57" s="2"/>
      <c r="S57" s="2"/>
      <c r="T57" s="2"/>
      <c r="U57" s="2"/>
      <c r="V57" s="2"/>
      <c r="W57" s="2"/>
      <c r="X57" s="2"/>
      <c r="Y57" s="2"/>
    </row>
    <row r="58" spans="1:25" x14ac:dyDescent="0.25">
      <c r="A58" s="2"/>
      <c r="B58" s="2"/>
      <c r="C58" s="2"/>
      <c r="D58" s="2"/>
      <c r="E58" s="2"/>
      <c r="F58" s="2"/>
      <c r="G58" s="2"/>
      <c r="H58" s="2"/>
      <c r="I58" s="2"/>
      <c r="J58" s="2"/>
      <c r="K58" s="2"/>
      <c r="L58" s="2"/>
      <c r="M58" s="2"/>
      <c r="N58" s="2"/>
      <c r="O58" s="2"/>
      <c r="P58" s="2"/>
      <c r="Q58" s="2"/>
      <c r="R58" s="2"/>
      <c r="S58" s="2"/>
      <c r="T58" s="2"/>
      <c r="U58" s="2"/>
      <c r="V58" s="2"/>
      <c r="W58" s="2"/>
      <c r="X58" s="2"/>
      <c r="Y58" s="2"/>
    </row>
    <row r="59" spans="1:25" x14ac:dyDescent="0.25">
      <c r="A59" s="2"/>
      <c r="B59" s="2"/>
      <c r="C59" s="2"/>
      <c r="D59" s="2"/>
      <c r="E59" s="2"/>
      <c r="F59" s="2"/>
      <c r="G59" s="2"/>
      <c r="H59" s="2"/>
      <c r="I59" s="2"/>
      <c r="J59" s="2"/>
      <c r="K59" s="2"/>
      <c r="L59" s="2"/>
      <c r="M59" s="2"/>
      <c r="N59" s="2"/>
      <c r="O59" s="2"/>
      <c r="P59" s="2"/>
      <c r="Q59" s="2"/>
      <c r="R59" s="2"/>
      <c r="S59" s="2"/>
      <c r="T59" s="2"/>
      <c r="U59" s="2"/>
      <c r="V59" s="2"/>
      <c r="W59" s="2"/>
      <c r="X59" s="2"/>
      <c r="Y59" s="2"/>
    </row>
    <row r="60" spans="1:25" x14ac:dyDescent="0.25">
      <c r="A60" s="2"/>
      <c r="B60" s="2"/>
      <c r="C60" s="2"/>
      <c r="D60" s="2"/>
      <c r="E60" s="2"/>
      <c r="F60" s="2"/>
      <c r="G60" s="2"/>
      <c r="H60" s="2"/>
      <c r="I60" s="2"/>
      <c r="J60" s="2"/>
      <c r="K60" s="2"/>
      <c r="L60" s="2"/>
      <c r="M60" s="2"/>
      <c r="N60" s="2"/>
      <c r="O60" s="2"/>
      <c r="P60" s="2"/>
      <c r="Q60" s="2"/>
      <c r="R60" s="2"/>
      <c r="S60" s="2"/>
      <c r="T60" s="2"/>
      <c r="U60" s="2"/>
      <c r="V60" s="2"/>
      <c r="W60" s="2"/>
      <c r="X60" s="2"/>
      <c r="Y60" s="2"/>
    </row>
    <row r="61" spans="1:25" x14ac:dyDescent="0.25">
      <c r="A61" s="2"/>
      <c r="B61" s="2"/>
      <c r="C61" s="2"/>
      <c r="D61" s="2"/>
      <c r="E61" s="2"/>
      <c r="F61" s="2"/>
      <c r="G61" s="2"/>
      <c r="H61" s="2"/>
      <c r="I61" s="2"/>
      <c r="J61" s="2"/>
      <c r="K61" s="2"/>
      <c r="L61" s="2"/>
      <c r="M61" s="2"/>
      <c r="N61" s="2"/>
      <c r="O61" s="2"/>
      <c r="P61" s="2"/>
      <c r="Q61" s="2"/>
      <c r="R61" s="2"/>
      <c r="S61" s="2"/>
      <c r="T61" s="2"/>
      <c r="U61" s="2"/>
      <c r="V61" s="2"/>
      <c r="W61" s="2"/>
      <c r="X61" s="2"/>
      <c r="Y61" s="2"/>
    </row>
    <row r="62" spans="1:25" x14ac:dyDescent="0.25">
      <c r="A62" s="2"/>
      <c r="B62" s="2"/>
      <c r="C62" s="2"/>
      <c r="D62" s="2"/>
      <c r="E62" s="2"/>
      <c r="F62" s="2"/>
      <c r="G62" s="2"/>
      <c r="H62" s="2"/>
      <c r="I62" s="2"/>
      <c r="J62" s="2"/>
      <c r="K62" s="2"/>
      <c r="L62" s="2"/>
      <c r="M62" s="2"/>
      <c r="N62" s="2"/>
      <c r="O62" s="2"/>
      <c r="P62" s="2"/>
      <c r="Q62" s="2"/>
      <c r="R62" s="2"/>
      <c r="S62" s="2"/>
      <c r="T62" s="2"/>
      <c r="U62" s="2"/>
      <c r="V62" s="2"/>
      <c r="W62" s="2"/>
      <c r="X62" s="2"/>
      <c r="Y62" s="2"/>
    </row>
    <row r="63" spans="1:25" x14ac:dyDescent="0.25">
      <c r="A63" s="2"/>
      <c r="B63" s="2"/>
      <c r="C63" s="2"/>
      <c r="D63" s="2"/>
      <c r="E63" s="2"/>
      <c r="F63" s="2"/>
      <c r="G63" s="2"/>
      <c r="H63" s="2"/>
      <c r="I63" s="2"/>
      <c r="J63" s="2"/>
      <c r="K63" s="2"/>
      <c r="L63" s="2"/>
      <c r="M63" s="2"/>
      <c r="N63" s="2"/>
      <c r="O63" s="2"/>
      <c r="P63" s="2"/>
      <c r="Q63" s="2"/>
      <c r="R63" s="2"/>
      <c r="S63" s="2"/>
      <c r="T63" s="2"/>
      <c r="U63" s="2"/>
      <c r="V63" s="2"/>
      <c r="W63" s="2"/>
      <c r="X63" s="2"/>
      <c r="Y63" s="2"/>
    </row>
    <row r="64" spans="1:25" x14ac:dyDescent="0.25">
      <c r="A64" s="2"/>
      <c r="B64" s="2"/>
      <c r="C64" s="2"/>
      <c r="D64" s="2"/>
      <c r="E64" s="2"/>
      <c r="F64" s="2"/>
      <c r="G64" s="2"/>
      <c r="H64" s="2"/>
      <c r="I64" s="2"/>
      <c r="J64" s="2"/>
      <c r="K64" s="2"/>
      <c r="L64" s="2"/>
      <c r="M64" s="2"/>
      <c r="N64" s="2"/>
      <c r="O64" s="2"/>
      <c r="P64" s="2"/>
      <c r="Q64" s="2"/>
      <c r="R64" s="2"/>
      <c r="S64" s="2"/>
      <c r="T64" s="2"/>
      <c r="U64" s="2"/>
      <c r="V64" s="2"/>
      <c r="W64" s="2"/>
      <c r="X64" s="2"/>
      <c r="Y64" s="2"/>
    </row>
    <row r="65" spans="1:25" x14ac:dyDescent="0.25">
      <c r="A65" s="2"/>
      <c r="B65" s="2"/>
      <c r="C65" s="2"/>
      <c r="D65" s="2"/>
      <c r="E65" s="2"/>
      <c r="F65" s="2"/>
      <c r="G65" s="2"/>
      <c r="H65" s="2"/>
      <c r="I65" s="2"/>
      <c r="J65" s="2"/>
      <c r="K65" s="2"/>
      <c r="L65" s="2"/>
      <c r="M65" s="2"/>
      <c r="N65" s="2"/>
      <c r="O65" s="2"/>
      <c r="P65" s="2"/>
      <c r="Q65" s="2"/>
      <c r="R65" s="2"/>
      <c r="S65" s="2"/>
      <c r="T65" s="2"/>
      <c r="U65" s="2"/>
      <c r="V65" s="2"/>
      <c r="W65" s="2"/>
      <c r="X65" s="2"/>
      <c r="Y65" s="2"/>
    </row>
    <row r="66" spans="1:25" x14ac:dyDescent="0.25">
      <c r="A66" s="2"/>
      <c r="B66" s="2"/>
      <c r="C66" s="2"/>
      <c r="D66" s="2"/>
      <c r="E66" s="2"/>
      <c r="F66" s="2"/>
      <c r="G66" s="2"/>
      <c r="H66" s="2"/>
      <c r="I66" s="2"/>
      <c r="J66" s="2"/>
      <c r="K66" s="2"/>
      <c r="L66" s="2"/>
      <c r="M66" s="2"/>
      <c r="N66" s="2"/>
      <c r="O66" s="2"/>
      <c r="P66" s="2"/>
      <c r="Q66" s="2"/>
      <c r="R66" s="2"/>
      <c r="S66" s="2"/>
      <c r="T66" s="2"/>
      <c r="U66" s="2"/>
      <c r="V66" s="2"/>
      <c r="W66" s="2"/>
      <c r="X66" s="2"/>
      <c r="Y66" s="2"/>
    </row>
    <row r="67" spans="1:25" x14ac:dyDescent="0.25">
      <c r="A67" s="2"/>
      <c r="B67" s="2"/>
      <c r="C67" s="2"/>
      <c r="D67" s="2"/>
      <c r="E67" s="2"/>
      <c r="F67" s="2"/>
      <c r="G67" s="2"/>
      <c r="H67" s="2"/>
      <c r="I67" s="2"/>
      <c r="J67" s="2"/>
      <c r="K67" s="2"/>
      <c r="L67" s="2"/>
      <c r="M67" s="2"/>
      <c r="N67" s="2"/>
      <c r="O67" s="2"/>
      <c r="P67" s="2"/>
      <c r="Q67" s="2"/>
      <c r="R67" s="2"/>
      <c r="S67" s="2"/>
      <c r="T67" s="2"/>
      <c r="U67" s="2"/>
      <c r="V67" s="2"/>
      <c r="W67" s="2"/>
      <c r="X67" s="2"/>
      <c r="Y67" s="2"/>
    </row>
    <row r="68" spans="1:25" x14ac:dyDescent="0.25">
      <c r="A68" s="2"/>
      <c r="B68" s="2"/>
      <c r="C68" s="2"/>
      <c r="D68" s="2"/>
      <c r="E68" s="2"/>
      <c r="F68" s="2"/>
      <c r="G68" s="2"/>
      <c r="H68" s="2"/>
      <c r="I68" s="2"/>
      <c r="J68" s="2"/>
      <c r="K68" s="2"/>
      <c r="L68" s="2"/>
      <c r="M68" s="2"/>
      <c r="N68" s="2"/>
      <c r="O68" s="2"/>
      <c r="P68" s="2"/>
      <c r="Q68" s="2"/>
      <c r="R68" s="2"/>
      <c r="S68" s="2"/>
      <c r="T68" s="2"/>
      <c r="U68" s="2"/>
      <c r="V68" s="2"/>
      <c r="W68" s="2"/>
      <c r="X68" s="2"/>
      <c r="Y68" s="2"/>
    </row>
    <row r="69" spans="1:25" x14ac:dyDescent="0.25">
      <c r="A69" s="2"/>
      <c r="B69" s="2"/>
      <c r="C69" s="2"/>
      <c r="D69" s="2"/>
      <c r="E69" s="2"/>
      <c r="F69" s="2"/>
      <c r="G69" s="2"/>
      <c r="H69" s="2"/>
      <c r="I69" s="2"/>
      <c r="J69" s="2"/>
      <c r="K69" s="2"/>
      <c r="L69" s="2"/>
      <c r="M69" s="2"/>
      <c r="N69" s="2"/>
      <c r="O69" s="2"/>
      <c r="P69" s="2"/>
      <c r="Q69" s="2"/>
      <c r="R69" s="2"/>
      <c r="S69" s="2"/>
      <c r="T69" s="2"/>
      <c r="U69" s="2"/>
      <c r="V69" s="2"/>
      <c r="W69" s="2"/>
      <c r="X69" s="2"/>
      <c r="Y69" s="2"/>
    </row>
    <row r="70" spans="1:25" x14ac:dyDescent="0.25">
      <c r="A70" s="2"/>
      <c r="B70" s="2"/>
      <c r="C70" s="2"/>
      <c r="D70" s="2"/>
      <c r="E70" s="2"/>
      <c r="F70" s="2"/>
      <c r="G70" s="2"/>
      <c r="H70" s="2"/>
      <c r="I70" s="2"/>
      <c r="J70" s="2"/>
      <c r="K70" s="2"/>
      <c r="L70" s="2"/>
      <c r="M70" s="2"/>
      <c r="N70" s="2"/>
      <c r="O70" s="2"/>
      <c r="P70" s="2"/>
      <c r="Q70" s="2"/>
      <c r="R70" s="2"/>
      <c r="S70" s="2"/>
      <c r="T70" s="2"/>
      <c r="U70" s="2"/>
      <c r="V70" s="2"/>
      <c r="W70" s="2"/>
      <c r="X70" s="2"/>
      <c r="Y70" s="2"/>
    </row>
    <row r="71" spans="1:25" x14ac:dyDescent="0.25">
      <c r="A71" s="2"/>
      <c r="B71" s="2"/>
      <c r="C71" s="2"/>
      <c r="D71" s="2"/>
      <c r="E71" s="2"/>
      <c r="F71" s="2"/>
      <c r="G71" s="2"/>
      <c r="H71" s="2"/>
      <c r="I71" s="2"/>
      <c r="J71" s="2"/>
      <c r="K71" s="2"/>
      <c r="L71" s="2"/>
      <c r="M71" s="2"/>
      <c r="N71" s="2"/>
      <c r="O71" s="2"/>
      <c r="P71" s="2"/>
      <c r="Q71" s="2"/>
      <c r="R71" s="2"/>
      <c r="S71" s="2"/>
      <c r="T71" s="2"/>
      <c r="U71" s="2"/>
      <c r="V71" s="2"/>
      <c r="W71" s="2"/>
      <c r="X71" s="2"/>
      <c r="Y71" s="2"/>
    </row>
    <row r="72" spans="1:25" x14ac:dyDescent="0.25">
      <c r="A72" s="2"/>
      <c r="B72" s="2"/>
      <c r="C72" s="2"/>
      <c r="D72" s="2"/>
      <c r="E72" s="2"/>
      <c r="F72" s="2"/>
      <c r="G72" s="2"/>
      <c r="H72" s="2"/>
      <c r="I72" s="2"/>
      <c r="J72" s="2"/>
      <c r="K72" s="2"/>
      <c r="L72" s="2"/>
      <c r="M72" s="2"/>
      <c r="N72" s="2"/>
      <c r="O72" s="2"/>
      <c r="P72" s="2"/>
      <c r="Q72" s="2"/>
      <c r="R72" s="2"/>
      <c r="S72" s="2"/>
      <c r="T72" s="2"/>
      <c r="U72" s="2"/>
      <c r="V72" s="2"/>
      <c r="W72" s="2"/>
      <c r="X72" s="2"/>
      <c r="Y72" s="2"/>
    </row>
    <row r="73" spans="1:25" x14ac:dyDescent="0.25">
      <c r="A73" s="2"/>
      <c r="B73" s="2"/>
      <c r="C73" s="2"/>
      <c r="D73" s="2"/>
      <c r="E73" s="2"/>
      <c r="F73" s="2"/>
      <c r="G73" s="2"/>
      <c r="H73" s="2"/>
      <c r="I73" s="2"/>
      <c r="J73" s="2"/>
      <c r="K73" s="2"/>
      <c r="L73" s="2"/>
      <c r="M73" s="2"/>
      <c r="N73" s="2"/>
      <c r="O73" s="2"/>
      <c r="P73" s="2"/>
      <c r="Q73" s="2"/>
      <c r="R73" s="2"/>
      <c r="S73" s="2"/>
      <c r="T73" s="2"/>
      <c r="U73" s="2"/>
      <c r="V73" s="2"/>
      <c r="W73" s="2"/>
      <c r="X73" s="2"/>
      <c r="Y73" s="2"/>
    </row>
    <row r="74" spans="1:25" x14ac:dyDescent="0.25">
      <c r="A74" s="2"/>
      <c r="B74" s="2"/>
      <c r="C74" s="2"/>
      <c r="D74" s="2"/>
      <c r="E74" s="2"/>
      <c r="F74" s="2"/>
      <c r="G74" s="2"/>
      <c r="H74" s="2"/>
      <c r="I74" s="2"/>
      <c r="J74" s="2"/>
      <c r="K74" s="2"/>
      <c r="L74" s="2"/>
      <c r="M74" s="2"/>
      <c r="N74" s="2"/>
      <c r="O74" s="2"/>
      <c r="P74" s="2"/>
      <c r="Q74" s="2"/>
      <c r="R74" s="2"/>
      <c r="S74" s="2"/>
      <c r="T74" s="2"/>
      <c r="U74" s="2"/>
      <c r="V74" s="2"/>
      <c r="W74" s="2"/>
      <c r="X74" s="2"/>
      <c r="Y74" s="2"/>
    </row>
    <row r="75" spans="1:25" x14ac:dyDescent="0.25">
      <c r="A75" s="2"/>
      <c r="B75" s="2"/>
      <c r="C75" s="2"/>
      <c r="D75" s="2"/>
      <c r="E75" s="2"/>
      <c r="F75" s="2"/>
      <c r="G75" s="2"/>
      <c r="H75" s="2"/>
      <c r="I75" s="2"/>
      <c r="J75" s="2"/>
      <c r="K75" s="2"/>
      <c r="L75" s="2"/>
      <c r="M75" s="2"/>
      <c r="N75" s="2"/>
      <c r="O75" s="2"/>
      <c r="P75" s="2"/>
      <c r="Q75" s="2"/>
      <c r="R75" s="2"/>
      <c r="S75" s="2"/>
      <c r="T75" s="2"/>
      <c r="U75" s="2"/>
      <c r="V75" s="2"/>
      <c r="W75" s="2"/>
      <c r="X75" s="2"/>
      <c r="Y75" s="2"/>
    </row>
    <row r="76" spans="1:25" x14ac:dyDescent="0.25">
      <c r="A76" s="2"/>
      <c r="B76" s="2"/>
      <c r="C76" s="2"/>
      <c r="D76" s="2"/>
      <c r="E76" s="2"/>
      <c r="F76" s="2"/>
      <c r="G76" s="2"/>
      <c r="H76" s="2"/>
      <c r="I76" s="2"/>
      <c r="J76" s="2"/>
      <c r="K76" s="2"/>
      <c r="L76" s="2"/>
      <c r="M76" s="2"/>
      <c r="N76" s="2"/>
      <c r="O76" s="2"/>
      <c r="P76" s="2"/>
      <c r="Q76" s="2"/>
      <c r="R76" s="2"/>
      <c r="S76" s="2"/>
      <c r="T76" s="2"/>
      <c r="U76" s="2"/>
      <c r="V76" s="2"/>
      <c r="W76" s="2"/>
      <c r="X76" s="2"/>
      <c r="Y76" s="2"/>
    </row>
    <row r="77" spans="1:25" x14ac:dyDescent="0.25">
      <c r="A77" s="2"/>
      <c r="B77" s="2"/>
      <c r="C77" s="2"/>
      <c r="D77" s="2"/>
      <c r="E77" s="2"/>
      <c r="F77" s="2"/>
      <c r="G77" s="2"/>
      <c r="H77" s="2"/>
      <c r="I77" s="2"/>
      <c r="J77" s="2"/>
      <c r="K77" s="2"/>
      <c r="L77" s="2"/>
      <c r="M77" s="2"/>
      <c r="N77" s="2"/>
      <c r="O77" s="2"/>
      <c r="P77" s="2"/>
      <c r="Q77" s="2"/>
      <c r="R77" s="2"/>
      <c r="S77" s="2"/>
      <c r="T77" s="2"/>
      <c r="U77" s="2"/>
      <c r="V77" s="2"/>
      <c r="W77" s="2"/>
      <c r="X77" s="2"/>
      <c r="Y77" s="2"/>
    </row>
    <row r="78" spans="1:25" x14ac:dyDescent="0.25">
      <c r="A78" s="2"/>
      <c r="B78" s="2"/>
      <c r="C78" s="2"/>
      <c r="D78" s="2"/>
      <c r="E78" s="2"/>
      <c r="F78" s="2"/>
      <c r="G78" s="2"/>
      <c r="H78" s="2"/>
      <c r="I78" s="2"/>
      <c r="J78" s="2"/>
      <c r="K78" s="2"/>
      <c r="L78" s="2"/>
      <c r="M78" s="2"/>
      <c r="N78" s="2"/>
      <c r="O78" s="2"/>
      <c r="P78" s="2"/>
      <c r="Q78" s="2"/>
      <c r="R78" s="2"/>
      <c r="S78" s="2"/>
      <c r="T78" s="2"/>
      <c r="U78" s="2"/>
      <c r="V78" s="2"/>
      <c r="W78" s="2"/>
      <c r="X78" s="2"/>
      <c r="Y78" s="2"/>
    </row>
    <row r="79" spans="1:25" x14ac:dyDescent="0.25">
      <c r="A79" s="2"/>
      <c r="B79" s="2"/>
      <c r="C79" s="2"/>
      <c r="D79" s="2"/>
      <c r="E79" s="2"/>
      <c r="F79" s="2"/>
      <c r="G79" s="2"/>
      <c r="H79" s="2"/>
      <c r="I79" s="2"/>
      <c r="J79" s="2"/>
      <c r="K79" s="2"/>
      <c r="L79" s="2"/>
      <c r="M79" s="2"/>
      <c r="N79" s="2"/>
      <c r="O79" s="2"/>
      <c r="P79" s="2"/>
      <c r="Q79" s="2"/>
      <c r="R79" s="2"/>
      <c r="S79" s="2"/>
      <c r="T79" s="2"/>
      <c r="U79" s="2"/>
      <c r="V79" s="2"/>
      <c r="W79" s="2"/>
      <c r="X79" s="2"/>
      <c r="Y79" s="2"/>
    </row>
    <row r="80" spans="1:25" x14ac:dyDescent="0.25">
      <c r="A80" s="2"/>
      <c r="B80" s="2"/>
      <c r="C80" s="2"/>
      <c r="D80" s="2"/>
      <c r="E80" s="2"/>
      <c r="F80" s="2"/>
      <c r="G80" s="2"/>
      <c r="H80" s="2"/>
      <c r="I80" s="2"/>
      <c r="J80" s="2"/>
      <c r="K80" s="2"/>
      <c r="L80" s="2"/>
      <c r="M80" s="2"/>
      <c r="N80" s="2"/>
      <c r="O80" s="2"/>
      <c r="P80" s="2"/>
      <c r="Q80" s="2"/>
      <c r="R80" s="2"/>
      <c r="S80" s="2"/>
      <c r="T80" s="2"/>
      <c r="U80" s="2"/>
      <c r="V80" s="2"/>
      <c r="W80" s="2"/>
      <c r="X80" s="2"/>
      <c r="Y80" s="2"/>
    </row>
    <row r="81" spans="1:25" x14ac:dyDescent="0.25">
      <c r="A81" s="2"/>
      <c r="B81" s="2"/>
      <c r="C81" s="2"/>
      <c r="D81" s="2"/>
      <c r="E81" s="2"/>
      <c r="F81" s="2"/>
      <c r="G81" s="2"/>
      <c r="H81" s="2"/>
      <c r="I81" s="2"/>
      <c r="J81" s="2"/>
      <c r="K81" s="2"/>
      <c r="L81" s="2"/>
      <c r="M81" s="2"/>
      <c r="N81" s="2"/>
      <c r="O81" s="2"/>
      <c r="P81" s="2"/>
      <c r="Q81" s="2"/>
      <c r="R81" s="2"/>
      <c r="S81" s="2"/>
      <c r="T81" s="2"/>
      <c r="U81" s="2"/>
      <c r="V81" s="2"/>
      <c r="W81" s="2"/>
      <c r="X81" s="2"/>
      <c r="Y81" s="2"/>
    </row>
    <row r="82" spans="1:25" x14ac:dyDescent="0.25">
      <c r="A82" s="2"/>
      <c r="B82" s="2"/>
      <c r="C82" s="2"/>
      <c r="D82" s="2"/>
      <c r="E82" s="2"/>
      <c r="F82" s="2"/>
      <c r="G82" s="2"/>
      <c r="H82" s="2"/>
      <c r="I82" s="2"/>
      <c r="J82" s="2"/>
      <c r="K82" s="2"/>
      <c r="L82" s="2"/>
      <c r="M82" s="2"/>
      <c r="N82" s="2"/>
      <c r="O82" s="2"/>
      <c r="P82" s="2"/>
      <c r="Q82" s="2"/>
      <c r="R82" s="2"/>
      <c r="S82" s="2"/>
      <c r="T82" s="2"/>
      <c r="U82" s="2"/>
      <c r="V82" s="2"/>
      <c r="W82" s="2"/>
      <c r="X82" s="2"/>
      <c r="Y82" s="2"/>
    </row>
    <row r="83" spans="1:25" x14ac:dyDescent="0.25">
      <c r="A83" s="2"/>
      <c r="B83" s="2"/>
      <c r="C83" s="2"/>
      <c r="D83" s="2"/>
      <c r="E83" s="2"/>
      <c r="F83" s="2"/>
      <c r="G83" s="2"/>
      <c r="H83" s="2"/>
      <c r="I83" s="2"/>
      <c r="J83" s="2"/>
      <c r="K83" s="2"/>
      <c r="L83" s="2"/>
      <c r="M83" s="2"/>
      <c r="N83" s="2"/>
      <c r="O83" s="2"/>
      <c r="P83" s="2"/>
      <c r="Q83" s="2"/>
      <c r="R83" s="2"/>
      <c r="S83" s="2"/>
      <c r="T83" s="2"/>
      <c r="U83" s="2"/>
      <c r="V83" s="2"/>
      <c r="W83" s="2"/>
      <c r="X83" s="2"/>
      <c r="Y83" s="2"/>
    </row>
    <row r="84" spans="1:25" x14ac:dyDescent="0.25">
      <c r="A84" s="2"/>
      <c r="B84" s="2"/>
      <c r="C84" s="2"/>
      <c r="D84" s="2"/>
      <c r="E84" s="2"/>
      <c r="F84" s="2"/>
      <c r="G84" s="2"/>
      <c r="H84" s="2"/>
      <c r="I84" s="2"/>
      <c r="J84" s="2"/>
      <c r="K84" s="2"/>
      <c r="L84" s="2"/>
      <c r="M84" s="2"/>
      <c r="N84" s="2"/>
      <c r="O84" s="2"/>
      <c r="P84" s="2"/>
      <c r="Q84" s="2"/>
      <c r="R84" s="2"/>
      <c r="S84" s="2"/>
      <c r="T84" s="2"/>
      <c r="U84" s="2"/>
      <c r="V84" s="2"/>
      <c r="W84" s="2"/>
      <c r="X84" s="2"/>
      <c r="Y84" s="2"/>
    </row>
    <row r="85" spans="1:25" x14ac:dyDescent="0.25">
      <c r="A85" s="2"/>
      <c r="B85" s="2"/>
      <c r="C85" s="2"/>
      <c r="D85" s="2"/>
      <c r="E85" s="2"/>
      <c r="F85" s="2"/>
      <c r="G85" s="2"/>
      <c r="H85" s="2"/>
      <c r="I85" s="2"/>
      <c r="J85" s="2"/>
      <c r="K85" s="2"/>
      <c r="L85" s="2"/>
      <c r="M85" s="2"/>
      <c r="N85" s="2"/>
      <c r="O85" s="2"/>
      <c r="P85" s="2"/>
      <c r="Q85" s="2"/>
      <c r="R85" s="2"/>
      <c r="S85" s="2"/>
      <c r="T85" s="2"/>
      <c r="U85" s="2"/>
      <c r="V85" s="2"/>
      <c r="W85" s="2"/>
      <c r="X85" s="2"/>
      <c r="Y85" s="2"/>
    </row>
    <row r="86" spans="1:25" x14ac:dyDescent="0.25">
      <c r="A86" s="2"/>
      <c r="B86" s="2"/>
      <c r="C86" s="2"/>
      <c r="D86" s="2"/>
      <c r="E86" s="2"/>
      <c r="F86" s="2"/>
      <c r="G86" s="2"/>
      <c r="H86" s="2"/>
      <c r="I86" s="2"/>
      <c r="J86" s="2"/>
      <c r="K86" s="2"/>
      <c r="L86" s="2"/>
      <c r="M86" s="2"/>
      <c r="N86" s="2"/>
      <c r="O86" s="2"/>
      <c r="P86" s="2"/>
      <c r="Q86" s="2"/>
      <c r="R86" s="2"/>
      <c r="S86" s="2"/>
      <c r="T86" s="2"/>
      <c r="U86" s="2"/>
      <c r="V86" s="2"/>
      <c r="W86" s="2"/>
      <c r="X86" s="2"/>
      <c r="Y86" s="2"/>
    </row>
    <row r="87" spans="1:25" x14ac:dyDescent="0.25">
      <c r="A87" s="2"/>
      <c r="B87" s="2"/>
      <c r="C87" s="2"/>
      <c r="D87" s="2"/>
      <c r="E87" s="2"/>
      <c r="F87" s="2"/>
      <c r="G87" s="2"/>
      <c r="H87" s="2"/>
      <c r="I87" s="2"/>
      <c r="J87" s="2"/>
      <c r="K87" s="2"/>
      <c r="L87" s="2"/>
      <c r="M87" s="2"/>
      <c r="N87" s="2"/>
      <c r="O87" s="2"/>
      <c r="P87" s="2"/>
      <c r="Q87" s="2"/>
      <c r="R87" s="2"/>
      <c r="S87" s="2"/>
      <c r="T87" s="2"/>
      <c r="U87" s="2"/>
      <c r="V87" s="2"/>
      <c r="W87" s="2"/>
      <c r="X87" s="2"/>
      <c r="Y87" s="2"/>
    </row>
    <row r="88" spans="1:25" x14ac:dyDescent="0.25">
      <c r="A88" s="2"/>
      <c r="B88" s="2"/>
      <c r="C88" s="2"/>
      <c r="D88" s="2"/>
      <c r="E88" s="2"/>
      <c r="F88" s="2"/>
      <c r="G88" s="2"/>
      <c r="H88" s="2"/>
      <c r="I88" s="2"/>
      <c r="J88" s="2"/>
      <c r="K88" s="2"/>
      <c r="L88" s="2"/>
      <c r="M88" s="2"/>
      <c r="N88" s="2"/>
      <c r="O88" s="2"/>
      <c r="P88" s="2"/>
      <c r="Q88" s="2"/>
      <c r="R88" s="2"/>
      <c r="S88" s="2"/>
      <c r="T88" s="2"/>
      <c r="U88" s="2"/>
      <c r="V88" s="2"/>
      <c r="W88" s="2"/>
      <c r="X88" s="2"/>
      <c r="Y88" s="2"/>
    </row>
    <row r="89" spans="1:25" x14ac:dyDescent="0.25">
      <c r="A89" s="2"/>
      <c r="B89" s="2"/>
      <c r="C89" s="2"/>
      <c r="D89" s="2"/>
      <c r="E89" s="2"/>
      <c r="F89" s="2"/>
      <c r="G89" s="2"/>
      <c r="H89" s="2"/>
      <c r="I89" s="2"/>
      <c r="J89" s="2"/>
      <c r="K89" s="2"/>
      <c r="L89" s="2"/>
      <c r="M89" s="2"/>
      <c r="N89" s="2"/>
      <c r="O89" s="2"/>
      <c r="P89" s="2"/>
      <c r="Q89" s="2"/>
      <c r="R89" s="2"/>
      <c r="S89" s="2"/>
      <c r="T89" s="2"/>
      <c r="U89" s="2"/>
      <c r="V89" s="2"/>
      <c r="W89" s="2"/>
      <c r="X89" s="2"/>
      <c r="Y89" s="2"/>
    </row>
    <row r="90" spans="1:25" x14ac:dyDescent="0.25">
      <c r="A90" s="2"/>
      <c r="B90" s="2"/>
      <c r="C90" s="2"/>
      <c r="D90" s="2"/>
      <c r="E90" s="2"/>
      <c r="F90" s="2"/>
      <c r="G90" s="2"/>
      <c r="H90" s="2"/>
      <c r="I90" s="2"/>
      <c r="J90" s="2"/>
      <c r="K90" s="2"/>
      <c r="L90" s="2"/>
      <c r="M90" s="2"/>
      <c r="N90" s="2"/>
      <c r="O90" s="2"/>
      <c r="P90" s="2"/>
      <c r="Q90" s="2"/>
      <c r="R90" s="2"/>
      <c r="S90" s="2"/>
      <c r="T90" s="2"/>
      <c r="U90" s="2"/>
      <c r="V90" s="2"/>
      <c r="W90" s="2"/>
      <c r="X90" s="2"/>
      <c r="Y90" s="2"/>
    </row>
    <row r="91" spans="1:25" x14ac:dyDescent="0.25">
      <c r="A91" s="2"/>
      <c r="B91" s="2"/>
      <c r="C91" s="2"/>
      <c r="D91" s="2"/>
      <c r="E91" s="2"/>
      <c r="F91" s="2"/>
      <c r="G91" s="2"/>
      <c r="H91" s="2"/>
      <c r="I91" s="2"/>
      <c r="J91" s="2"/>
      <c r="K91" s="2"/>
      <c r="L91" s="2"/>
      <c r="M91" s="2"/>
      <c r="N91" s="2"/>
      <c r="O91" s="2"/>
      <c r="P91" s="2"/>
      <c r="Q91" s="2"/>
      <c r="R91" s="2"/>
      <c r="S91" s="2"/>
      <c r="T91" s="2"/>
      <c r="U91" s="2"/>
      <c r="V91" s="2"/>
      <c r="W91" s="2"/>
      <c r="X91" s="2"/>
      <c r="Y91" s="2"/>
    </row>
    <row r="92" spans="1:25" x14ac:dyDescent="0.25">
      <c r="A92" s="2"/>
      <c r="B92" s="2"/>
      <c r="C92" s="2"/>
      <c r="D92" s="2"/>
      <c r="E92" s="2"/>
      <c r="F92" s="2"/>
      <c r="G92" s="2"/>
      <c r="H92" s="2"/>
      <c r="I92" s="2"/>
      <c r="J92" s="2"/>
      <c r="K92" s="2"/>
      <c r="L92" s="2"/>
      <c r="M92" s="2"/>
      <c r="N92" s="2"/>
      <c r="O92" s="2"/>
      <c r="P92" s="2"/>
      <c r="Q92" s="2"/>
      <c r="R92" s="2"/>
      <c r="S92" s="2"/>
      <c r="T92" s="2"/>
      <c r="U92" s="2"/>
      <c r="V92" s="2"/>
      <c r="W92" s="2"/>
      <c r="X92" s="2"/>
      <c r="Y92" s="2"/>
    </row>
    <row r="93" spans="1:25" x14ac:dyDescent="0.25">
      <c r="A93" s="2"/>
      <c r="B93" s="2"/>
      <c r="C93" s="2"/>
      <c r="D93" s="2"/>
      <c r="E93" s="2"/>
      <c r="F93" s="2"/>
      <c r="G93" s="2"/>
      <c r="H93" s="2"/>
      <c r="I93" s="2"/>
      <c r="J93" s="2"/>
      <c r="K93" s="2"/>
      <c r="L93" s="2"/>
      <c r="M93" s="2"/>
      <c r="N93" s="2"/>
      <c r="O93" s="2"/>
      <c r="P93" s="2"/>
      <c r="Q93" s="2"/>
      <c r="R93" s="2"/>
      <c r="S93" s="2"/>
      <c r="T93" s="2"/>
      <c r="U93" s="2"/>
      <c r="V93" s="2"/>
      <c r="W93" s="2"/>
      <c r="X93" s="2"/>
      <c r="Y93" s="2"/>
    </row>
    <row r="94" spans="1:25" x14ac:dyDescent="0.25">
      <c r="A94" s="2"/>
      <c r="B94" s="2"/>
      <c r="C94" s="2"/>
      <c r="D94" s="2"/>
      <c r="E94" s="2"/>
      <c r="F94" s="2"/>
      <c r="G94" s="2"/>
      <c r="H94" s="2"/>
      <c r="I94" s="2"/>
      <c r="J94" s="2"/>
      <c r="K94" s="2"/>
      <c r="L94" s="2"/>
      <c r="M94" s="2"/>
      <c r="N94" s="2"/>
      <c r="O94" s="2"/>
      <c r="P94" s="2"/>
      <c r="Q94" s="2"/>
      <c r="R94" s="2"/>
      <c r="S94" s="2"/>
      <c r="T94" s="2"/>
      <c r="U94" s="2"/>
      <c r="V94" s="2"/>
      <c r="W94" s="2"/>
      <c r="X94" s="2"/>
      <c r="Y94" s="2"/>
    </row>
    <row r="95" spans="1:25" x14ac:dyDescent="0.25">
      <c r="A95" s="2"/>
      <c r="B95" s="2"/>
      <c r="C95" s="2"/>
      <c r="D95" s="2"/>
      <c r="E95" s="2"/>
      <c r="F95" s="2"/>
      <c r="G95" s="2"/>
      <c r="H95" s="2"/>
      <c r="I95" s="2"/>
      <c r="J95" s="2"/>
      <c r="K95" s="2"/>
      <c r="L95" s="2"/>
      <c r="M95" s="2"/>
      <c r="N95" s="2"/>
      <c r="O95" s="2"/>
      <c r="P95" s="2"/>
      <c r="Q95" s="2"/>
      <c r="R95" s="2"/>
      <c r="S95" s="2"/>
      <c r="T95" s="2"/>
      <c r="U95" s="2"/>
      <c r="V95" s="2"/>
      <c r="W95" s="2"/>
      <c r="X95" s="2"/>
      <c r="Y95" s="2"/>
    </row>
    <row r="96" spans="1:25" x14ac:dyDescent="0.25">
      <c r="A96" s="2"/>
      <c r="B96" s="2"/>
      <c r="C96" s="2"/>
      <c r="D96" s="2"/>
      <c r="E96" s="2"/>
      <c r="F96" s="2"/>
      <c r="G96" s="2"/>
      <c r="H96" s="2"/>
      <c r="I96" s="2"/>
      <c r="J96" s="2"/>
      <c r="K96" s="2"/>
      <c r="L96" s="2"/>
      <c r="M96" s="2"/>
      <c r="N96" s="2"/>
      <c r="O96" s="2"/>
      <c r="P96" s="2"/>
      <c r="Q96" s="2"/>
      <c r="R96" s="2"/>
      <c r="S96" s="2"/>
      <c r="T96" s="2"/>
      <c r="U96" s="2"/>
      <c r="V96" s="2"/>
      <c r="W96" s="2"/>
      <c r="X96" s="2"/>
      <c r="Y96" s="2"/>
    </row>
    <row r="97" spans="1:25" x14ac:dyDescent="0.25">
      <c r="A97" s="2"/>
      <c r="B97" s="2"/>
      <c r="C97" s="2"/>
      <c r="D97" s="2"/>
      <c r="E97" s="2"/>
      <c r="F97" s="2"/>
      <c r="G97" s="2"/>
      <c r="H97" s="2"/>
      <c r="I97" s="2"/>
      <c r="J97" s="2"/>
      <c r="K97" s="2"/>
      <c r="L97" s="2"/>
      <c r="M97" s="2"/>
      <c r="N97" s="2"/>
      <c r="O97" s="2"/>
      <c r="P97" s="2"/>
      <c r="Q97" s="2"/>
      <c r="R97" s="2"/>
      <c r="S97" s="2"/>
      <c r="T97" s="2"/>
      <c r="U97" s="2"/>
      <c r="V97" s="2"/>
      <c r="W97" s="2"/>
      <c r="X97" s="2"/>
      <c r="Y97" s="2"/>
    </row>
    <row r="98" spans="1:25" x14ac:dyDescent="0.25">
      <c r="A98" s="2"/>
      <c r="B98" s="2"/>
      <c r="C98" s="2"/>
      <c r="D98" s="2"/>
      <c r="E98" s="2"/>
      <c r="F98" s="2"/>
      <c r="G98" s="2"/>
      <c r="H98" s="2"/>
      <c r="I98" s="2"/>
      <c r="J98" s="2"/>
      <c r="K98" s="2"/>
      <c r="L98" s="2"/>
      <c r="M98" s="2"/>
      <c r="N98" s="2"/>
      <c r="O98" s="2"/>
      <c r="P98" s="2"/>
      <c r="Q98" s="2"/>
      <c r="R98" s="2"/>
      <c r="S98" s="2"/>
      <c r="T98" s="2"/>
      <c r="U98" s="2"/>
      <c r="V98" s="2"/>
      <c r="W98" s="2"/>
      <c r="X98" s="2"/>
      <c r="Y98" s="2"/>
    </row>
    <row r="99" spans="1:25" x14ac:dyDescent="0.25">
      <c r="A99" s="2"/>
      <c r="B99" s="2"/>
      <c r="C99" s="2"/>
      <c r="D99" s="2"/>
      <c r="E99" s="2"/>
      <c r="F99" s="2"/>
      <c r="G99" s="2"/>
      <c r="H99" s="2"/>
      <c r="I99" s="2"/>
      <c r="J99" s="2"/>
      <c r="K99" s="2"/>
      <c r="L99" s="2"/>
      <c r="M99" s="2"/>
      <c r="N99" s="2"/>
      <c r="O99" s="2"/>
      <c r="P99" s="2"/>
      <c r="Q99" s="2"/>
      <c r="R99" s="2"/>
      <c r="S99" s="2"/>
      <c r="T99" s="2"/>
      <c r="U99" s="2"/>
      <c r="V99" s="2"/>
      <c r="W99" s="2"/>
      <c r="X99" s="2"/>
      <c r="Y99" s="2"/>
    </row>
    <row r="100" spans="1:25"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row>
    <row r="101" spans="1:25"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row>
    <row r="102" spans="1:25"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row>
    <row r="103" spans="1:25"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row>
    <row r="104" spans="1:25"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row>
    <row r="105" spans="1:25"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row>
    <row r="106" spans="1:25"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row>
    <row r="107" spans="1:25"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row>
    <row r="108" spans="1:25"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row>
    <row r="109" spans="1:25"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row>
    <row r="110" spans="1:25"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row>
    <row r="111" spans="1:25"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row>
  </sheetData>
  <mergeCells count="1">
    <mergeCell ref="A1:K1"/>
  </mergeCells>
  <phoneticPr fontId="4"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02B6C0-0C03-49D1-BB98-D09DBA1E4EF8}">
  <dimension ref="A1:N102"/>
  <sheetViews>
    <sheetView topLeftCell="B1" zoomScale="73" zoomScaleNormal="100" workbookViewId="0">
      <selection sqref="A1:G1"/>
    </sheetView>
  </sheetViews>
  <sheetFormatPr defaultColWidth="8.6640625" defaultRowHeight="14.4" x14ac:dyDescent="0.3"/>
  <cols>
    <col min="1" max="1" width="35.88671875" style="344" customWidth="1"/>
    <col min="2" max="2" width="29.6640625" style="344" bestFit="1" customWidth="1"/>
    <col min="3" max="3" width="27.6640625" style="345" customWidth="1"/>
    <col min="4" max="4" width="33" style="345" customWidth="1"/>
    <col min="5" max="5" width="32.44140625" style="344" bestFit="1" customWidth="1"/>
    <col min="6" max="6" width="25.5546875" style="345" customWidth="1"/>
    <col min="7" max="7" width="23" style="345" customWidth="1"/>
    <col min="8" max="8" width="27.44140625" style="344" customWidth="1"/>
    <col min="9" max="10" width="23" style="344" customWidth="1"/>
    <col min="11" max="11" width="19" style="344" customWidth="1"/>
    <col min="12" max="16384" width="8.6640625" style="344"/>
  </cols>
  <sheetData>
    <row r="1" spans="1:8" s="4" customFormat="1" ht="24" customHeight="1" x14ac:dyDescent="0.25">
      <c r="A1" s="658" t="str">
        <f>"Water Heater - "&amp;Prototype!A2</f>
        <v>Water Heater - OfficeSmall</v>
      </c>
      <c r="B1" s="630"/>
      <c r="C1" s="630"/>
      <c r="D1" s="630"/>
      <c r="E1" s="630"/>
      <c r="F1" s="630"/>
      <c r="G1" s="630"/>
    </row>
    <row r="2" spans="1:8" s="4" customFormat="1" ht="22.2" customHeight="1" x14ac:dyDescent="0.25">
      <c r="A2" s="217" t="s">
        <v>192</v>
      </c>
      <c r="B2" s="217" t="s">
        <v>330</v>
      </c>
      <c r="C2" s="217" t="s">
        <v>331</v>
      </c>
      <c r="D2" s="543" t="s">
        <v>332</v>
      </c>
      <c r="E2" s="351" t="s">
        <v>333</v>
      </c>
      <c r="F2" s="351" t="s">
        <v>334</v>
      </c>
      <c r="G2" s="351" t="s">
        <v>253</v>
      </c>
    </row>
    <row r="3" spans="1:8" s="4" customFormat="1" ht="61.5" customHeight="1" x14ac:dyDescent="0.25">
      <c r="A3" s="512" t="s">
        <v>335</v>
      </c>
      <c r="B3" s="512" t="s">
        <v>336</v>
      </c>
      <c r="C3" s="346">
        <v>0.8</v>
      </c>
      <c r="D3" s="459">
        <v>1</v>
      </c>
      <c r="E3" s="406" t="s">
        <v>337</v>
      </c>
      <c r="F3" s="407" t="s">
        <v>338</v>
      </c>
      <c r="G3" s="316" t="s">
        <v>339</v>
      </c>
    </row>
    <row r="4" spans="1:8" s="4" customFormat="1" ht="63.75" customHeight="1" x14ac:dyDescent="0.25">
      <c r="A4" s="512" t="s">
        <v>260</v>
      </c>
      <c r="B4" s="512" t="s">
        <v>336</v>
      </c>
      <c r="C4" s="346">
        <v>0.8</v>
      </c>
      <c r="D4" s="459">
        <v>1</v>
      </c>
      <c r="E4" s="406" t="str">
        <f>E3</f>
        <v>See table below for CZ-specific values: Climate Zone Water Heater Sizing and Loss Coefficients, Storage Volume column (col F)</v>
      </c>
      <c r="F4" s="406" t="str">
        <f>F3</f>
        <v>See table below: Climate Zone Water Heater Sizing and Loss Coefficients, Standby Loss column (col G)</v>
      </c>
      <c r="G4" s="316" t="str">
        <f>G3</f>
        <v>See table below for sources: Climate Zone Water Heater Sizing and Loss Coefficients</v>
      </c>
    </row>
    <row r="5" spans="1:8" s="4" customFormat="1" ht="14.7" customHeight="1" x14ac:dyDescent="0.25">
      <c r="A5" s="132"/>
      <c r="B5" s="132"/>
      <c r="C5" s="132"/>
      <c r="D5" s="132"/>
      <c r="E5" s="132"/>
    </row>
    <row r="6" spans="1:8" s="4" customFormat="1" ht="14.7" customHeight="1" x14ac:dyDescent="0.25"/>
    <row r="7" spans="1:8" s="4" customFormat="1" ht="13.95" customHeight="1" x14ac:dyDescent="0.25"/>
    <row r="8" spans="1:8" s="4" customFormat="1" ht="24" customHeight="1" x14ac:dyDescent="0.25">
      <c r="A8" s="615" t="s">
        <v>340</v>
      </c>
      <c r="B8" s="615"/>
      <c r="C8" s="615"/>
      <c r="D8" s="615"/>
      <c r="E8" s="615"/>
      <c r="F8" s="615"/>
      <c r="G8" s="615"/>
      <c r="H8" s="615"/>
    </row>
    <row r="9" spans="1:8" s="4" customFormat="1" ht="52.8" x14ac:dyDescent="0.25">
      <c r="A9" s="518" t="s">
        <v>341</v>
      </c>
      <c r="B9" s="518" t="s">
        <v>342</v>
      </c>
      <c r="C9" s="518" t="s">
        <v>343</v>
      </c>
      <c r="D9" s="518" t="s">
        <v>136</v>
      </c>
      <c r="E9" s="518" t="s">
        <v>344</v>
      </c>
      <c r="F9" s="518" t="s">
        <v>345</v>
      </c>
      <c r="G9" s="518" t="s">
        <v>346</v>
      </c>
      <c r="H9" s="518" t="s">
        <v>122</v>
      </c>
    </row>
    <row r="10" spans="1:8" s="4" customFormat="1" ht="16.2" customHeight="1" x14ac:dyDescent="0.25">
      <c r="A10" s="32" t="str">
        <f>Zones!B3</f>
        <v>Open_Office_N</v>
      </c>
      <c r="B10" s="32" t="s">
        <v>347</v>
      </c>
      <c r="C10" s="211">
        <f>Zones!H3*Zones!J3</f>
        <v>912.69749999999999</v>
      </c>
      <c r="D10" s="212">
        <f>Zones!K3*Zones!J3</f>
        <v>4.5634874999999999</v>
      </c>
      <c r="E10" s="213">
        <v>0.18</v>
      </c>
      <c r="F10" s="215">
        <f>E10*D10</f>
        <v>0.8214277499999999</v>
      </c>
      <c r="G10" s="216">
        <f>F10/60</f>
        <v>1.3690462499999998E-2</v>
      </c>
      <c r="H10" s="674" t="s">
        <v>348</v>
      </c>
    </row>
    <row r="11" spans="1:8" s="4" customFormat="1" ht="16.2" customHeight="1" x14ac:dyDescent="0.25">
      <c r="A11" s="32" t="str">
        <f>Zones!B4</f>
        <v>Enclosed_Office_W</v>
      </c>
      <c r="B11" s="32" t="s">
        <v>347</v>
      </c>
      <c r="C11" s="211">
        <f>Zones!H4*Zones!J4</f>
        <v>908.46</v>
      </c>
      <c r="D11" s="212">
        <f>Zones!K4*Zones!J4</f>
        <v>4.5423</v>
      </c>
      <c r="E11" s="213">
        <v>0.18</v>
      </c>
      <c r="F11" s="215">
        <f t="shared" ref="F11:F23" si="0">E11*D11</f>
        <v>0.81761399999999995</v>
      </c>
      <c r="G11" s="216">
        <f t="shared" ref="G11:G23" si="1">F11/60</f>
        <v>1.3626899999999999E-2</v>
      </c>
      <c r="H11" s="674"/>
    </row>
    <row r="12" spans="1:8" s="4" customFormat="1" ht="16.2" customHeight="1" x14ac:dyDescent="0.25">
      <c r="A12" s="32" t="str">
        <f>Zones!B5</f>
        <v>Enclosed_Office_E</v>
      </c>
      <c r="B12" s="32" t="s">
        <v>347</v>
      </c>
      <c r="C12" s="211">
        <f>Zones!H5*Zones!J5</f>
        <v>908.46</v>
      </c>
      <c r="D12" s="212">
        <f>Zones!K5*Zones!J5</f>
        <v>4.5423</v>
      </c>
      <c r="E12" s="213">
        <v>0.18</v>
      </c>
      <c r="F12" s="215">
        <f t="shared" si="0"/>
        <v>0.81761399999999995</v>
      </c>
      <c r="G12" s="216">
        <f t="shared" si="1"/>
        <v>1.3626899999999999E-2</v>
      </c>
      <c r="H12" s="674"/>
    </row>
    <row r="13" spans="1:8" s="4" customFormat="1" ht="16.2" customHeight="1" x14ac:dyDescent="0.25">
      <c r="A13" s="32" t="str">
        <f>Zones!B6</f>
        <v>Conference</v>
      </c>
      <c r="B13" s="32" t="s">
        <v>347</v>
      </c>
      <c r="C13" s="211">
        <f>Zones!H6*Zones!J6</f>
        <v>456.35</v>
      </c>
      <c r="D13" s="212">
        <f>Zones!K6*Zones!J6</f>
        <v>15.059550000000002</v>
      </c>
      <c r="E13" s="214">
        <v>0.09</v>
      </c>
      <c r="F13" s="215">
        <f t="shared" si="0"/>
        <v>1.3553595000000001</v>
      </c>
      <c r="G13" s="216">
        <f t="shared" si="1"/>
        <v>2.2589325E-2</v>
      </c>
      <c r="H13" s="674"/>
    </row>
    <row r="14" spans="1:8" s="4" customFormat="1" ht="16.2" customHeight="1" x14ac:dyDescent="0.25">
      <c r="A14" s="32" t="str">
        <f>Zones!B7</f>
        <v>Lobby_Lounge</v>
      </c>
      <c r="B14" s="32" t="s">
        <v>336</v>
      </c>
      <c r="C14" s="211">
        <f>Zones!H7*Zones!J7</f>
        <v>456.35</v>
      </c>
      <c r="D14" s="212">
        <f>Zones!K7*Zones!J7</f>
        <v>4.5635000000000003</v>
      </c>
      <c r="E14" s="214">
        <v>0.09</v>
      </c>
      <c r="F14" s="215">
        <f t="shared" si="0"/>
        <v>0.410715</v>
      </c>
      <c r="G14" s="216">
        <f t="shared" si="1"/>
        <v>6.8452499999999998E-3</v>
      </c>
      <c r="H14" s="674"/>
    </row>
    <row r="15" spans="1:8" s="4" customFormat="1" ht="16.2" customHeight="1" x14ac:dyDescent="0.25">
      <c r="A15" s="32" t="str">
        <f>Zones!B8</f>
        <v>Storage</v>
      </c>
      <c r="B15" s="32" t="s">
        <v>347</v>
      </c>
      <c r="C15" s="211">
        <f>Zones!H8*Zones!J8</f>
        <v>743.88791000000003</v>
      </c>
      <c r="D15" s="212">
        <f>Zones!K8*Zones!J8</f>
        <v>0</v>
      </c>
      <c r="E15" s="214">
        <v>0</v>
      </c>
      <c r="F15" s="215">
        <f t="shared" si="0"/>
        <v>0</v>
      </c>
      <c r="G15" s="216">
        <f t="shared" si="1"/>
        <v>0</v>
      </c>
      <c r="H15" s="674"/>
    </row>
    <row r="16" spans="1:8" s="4" customFormat="1" ht="16.2" customHeight="1" x14ac:dyDescent="0.25">
      <c r="A16" s="32" t="str">
        <f>Zones!B9</f>
        <v>Mechanical_Electrical</v>
      </c>
      <c r="B16" s="32" t="s">
        <v>347</v>
      </c>
      <c r="C16" s="211">
        <f>Zones!H9*Zones!J9</f>
        <v>114.23</v>
      </c>
      <c r="D16" s="218">
        <f>Zones!K9*Zones!J9</f>
        <v>0</v>
      </c>
      <c r="E16" s="214">
        <v>0.18</v>
      </c>
      <c r="F16" s="215">
        <f t="shared" si="0"/>
        <v>0</v>
      </c>
      <c r="G16" s="216">
        <f t="shared" si="1"/>
        <v>0</v>
      </c>
      <c r="H16" s="674"/>
    </row>
    <row r="17" spans="1:10" s="4" customFormat="1" ht="16.2" customHeight="1" x14ac:dyDescent="0.25">
      <c r="A17" s="32" t="str">
        <f>Zones!B10</f>
        <v>Restroom</v>
      </c>
      <c r="B17" s="32" t="s">
        <v>336</v>
      </c>
      <c r="C17" s="211">
        <f>Zones!H10*Zones!J10</f>
        <v>224.28</v>
      </c>
      <c r="D17" s="218">
        <f>Zones!K10*Zones!J10</f>
        <v>0</v>
      </c>
      <c r="E17" s="214">
        <v>0</v>
      </c>
      <c r="F17" s="215">
        <f t="shared" si="0"/>
        <v>0</v>
      </c>
      <c r="G17" s="216">
        <f t="shared" si="1"/>
        <v>0</v>
      </c>
      <c r="H17" s="674"/>
    </row>
    <row r="18" spans="1:10" s="4" customFormat="1" ht="16.2" customHeight="1" x14ac:dyDescent="0.25">
      <c r="A18" s="32" t="str">
        <f>Zones!B11</f>
        <v>Break_CopyRoom</v>
      </c>
      <c r="B18" s="32" t="s">
        <v>347</v>
      </c>
      <c r="C18" s="211">
        <f>Zones!H11*Zones!J11</f>
        <v>110.05</v>
      </c>
      <c r="D18" s="212">
        <f>Zones!K11*Zones!J11</f>
        <v>3.63165</v>
      </c>
      <c r="E18" s="214">
        <v>0.09</v>
      </c>
      <c r="F18" s="215">
        <f t="shared" si="0"/>
        <v>0.32684849999999999</v>
      </c>
      <c r="G18" s="216">
        <f>F18/60</f>
        <v>5.4474749999999994E-3</v>
      </c>
      <c r="H18" s="674"/>
    </row>
    <row r="19" spans="1:10" s="4" customFormat="1" ht="16.2" customHeight="1" x14ac:dyDescent="0.25">
      <c r="A19" s="32" t="str">
        <f>Zones!B12</f>
        <v>Corridor_W</v>
      </c>
      <c r="B19" s="32" t="s">
        <v>347</v>
      </c>
      <c r="C19" s="211">
        <f>Zones!H12*Zones!J12</f>
        <v>122.26</v>
      </c>
      <c r="D19" s="212">
        <f>Zones!K12*Zones!J12</f>
        <v>0.61130000000000007</v>
      </c>
      <c r="E19" s="214">
        <v>0</v>
      </c>
      <c r="F19" s="215">
        <f t="shared" si="0"/>
        <v>0</v>
      </c>
      <c r="G19" s="216">
        <f t="shared" si="1"/>
        <v>0</v>
      </c>
      <c r="H19" s="674"/>
    </row>
    <row r="20" spans="1:10" s="4" customFormat="1" ht="16.2" customHeight="1" x14ac:dyDescent="0.25">
      <c r="A20" s="32" t="str">
        <f>Zones!B13</f>
        <v>Corridor_N</v>
      </c>
      <c r="B20" s="32" t="s">
        <v>347</v>
      </c>
      <c r="C20" s="211">
        <f>Zones!H13*Zones!J13</f>
        <v>211.39</v>
      </c>
      <c r="D20" s="212">
        <f>Zones!K13*Zones!J13</f>
        <v>1.0569499999999998</v>
      </c>
      <c r="E20" s="214">
        <v>0</v>
      </c>
      <c r="F20" s="215">
        <f t="shared" si="0"/>
        <v>0</v>
      </c>
      <c r="G20" s="216">
        <f t="shared" si="1"/>
        <v>0</v>
      </c>
      <c r="H20" s="674"/>
    </row>
    <row r="21" spans="1:10" s="4" customFormat="1" ht="16.2" customHeight="1" x14ac:dyDescent="0.25">
      <c r="A21" s="32" t="str">
        <f>Zones!B14</f>
        <v>Corridor_E</v>
      </c>
      <c r="B21" s="32" t="s">
        <v>347</v>
      </c>
      <c r="C21" s="211">
        <f>Zones!H14*Zones!J14</f>
        <v>122.26</v>
      </c>
      <c r="D21" s="212">
        <f>Zones!K14*Zones!J14</f>
        <v>0.61130000000000007</v>
      </c>
      <c r="E21" s="214">
        <v>0</v>
      </c>
      <c r="F21" s="215">
        <f t="shared" si="0"/>
        <v>0</v>
      </c>
      <c r="G21" s="216">
        <f t="shared" si="1"/>
        <v>0</v>
      </c>
      <c r="H21" s="674"/>
    </row>
    <row r="22" spans="1:10" s="4" customFormat="1" ht="16.2" customHeight="1" x14ac:dyDescent="0.25">
      <c r="A22" s="32" t="str">
        <f>Zones!B15</f>
        <v>Corridor_S</v>
      </c>
      <c r="B22" s="32" t="s">
        <v>347</v>
      </c>
      <c r="C22" s="211">
        <f>Zones!H15*Zones!J15</f>
        <v>211.39</v>
      </c>
      <c r="D22" s="212">
        <f>Zones!K15*Zones!J15</f>
        <v>1.0569499999999998</v>
      </c>
      <c r="E22" s="214">
        <v>0</v>
      </c>
      <c r="F22" s="215">
        <f t="shared" si="0"/>
        <v>0</v>
      </c>
      <c r="G22" s="216">
        <f t="shared" si="1"/>
        <v>0</v>
      </c>
      <c r="H22" s="674"/>
    </row>
    <row r="23" spans="1:10" s="4" customFormat="1" ht="16.2" customHeight="1" x14ac:dyDescent="0.25">
      <c r="A23" s="32" t="str">
        <f>Zones!B16</f>
        <v>Attic</v>
      </c>
      <c r="B23" s="32" t="s">
        <v>336</v>
      </c>
      <c r="C23" s="211">
        <f>Zones!H16*Zones!J16</f>
        <v>6114.3046999999997</v>
      </c>
      <c r="D23" s="212">
        <f>Zones!K16*Zones!J16</f>
        <v>0</v>
      </c>
      <c r="E23" s="214">
        <v>0</v>
      </c>
      <c r="F23" s="215">
        <f t="shared" si="0"/>
        <v>0</v>
      </c>
      <c r="G23" s="216">
        <f t="shared" si="1"/>
        <v>0</v>
      </c>
      <c r="H23" s="674"/>
    </row>
    <row r="24" spans="1:10" s="4" customFormat="1" ht="20.25" customHeight="1" x14ac:dyDescent="0.25">
      <c r="A24" s="544" t="s">
        <v>185</v>
      </c>
      <c r="B24" s="669" t="s">
        <v>349</v>
      </c>
      <c r="C24" s="670"/>
      <c r="D24" s="670"/>
      <c r="E24" s="671"/>
      <c r="F24" s="545">
        <f>_xlfn.LET(
  _xlpm.g,SUMIF($B$10:$B$23,"Gas*",$F$10:$F$23),
  _xlpm.e,SUMIF($B$10:$B$23,"Electric*",$F$10:$F$23),
  IF(AND(_xlpm.g&gt;0,_xlpm.e&gt;0),_xlpm.g,IF(_xlpm.g&gt;0,MAX(75,_xlpm.g),0)))</f>
        <v>75</v>
      </c>
      <c r="G24" s="353"/>
      <c r="H24" s="672" t="s">
        <v>350</v>
      </c>
    </row>
    <row r="25" spans="1:10" s="4" customFormat="1" ht="19.5" customHeight="1" x14ac:dyDescent="0.25">
      <c r="A25" s="544" t="s">
        <v>351</v>
      </c>
      <c r="B25" s="669" t="s">
        <v>352</v>
      </c>
      <c r="C25" s="670"/>
      <c r="D25" s="670"/>
      <c r="E25" s="671"/>
      <c r="F25" s="545">
        <f>_xlfn.LET(
  _xlpm.g,SUMIF($B$10:$B$23,"Gas*",$F$10:$F$23),
  _xlpm.e,SUMIF($B$10:$B$23,"Electric*",$F$10:$F$23),
  IF(AND(_xlpm.g&gt;0,_xlpm.e&gt;0),_xlpm.e,IF(_xlpm.e&gt;0,MAX(75,_xlpm.e),0)))</f>
        <v>0</v>
      </c>
      <c r="G25" s="353"/>
      <c r="H25" s="673"/>
    </row>
    <row r="26" spans="1:10" s="350" customFormat="1" x14ac:dyDescent="0.3">
      <c r="A26"/>
      <c r="B26"/>
      <c r="C26"/>
      <c r="D26"/>
      <c r="E26"/>
      <c r="F26"/>
      <c r="G26"/>
      <c r="H26"/>
      <c r="I26"/>
      <c r="J26"/>
    </row>
    <row r="27" spans="1:10" s="350" customFormat="1" x14ac:dyDescent="0.3">
      <c r="A27"/>
      <c r="B27"/>
      <c r="C27"/>
      <c r="D27"/>
      <c r="E27"/>
      <c r="F27"/>
      <c r="G27"/>
      <c r="H27"/>
      <c r="I27"/>
      <c r="J27"/>
    </row>
    <row r="28" spans="1:10" s="350" customFormat="1" x14ac:dyDescent="0.3">
      <c r="A28"/>
      <c r="B28"/>
      <c r="C28"/>
      <c r="D28"/>
      <c r="E28"/>
      <c r="F28"/>
      <c r="G28"/>
      <c r="H28"/>
      <c r="I28"/>
      <c r="J28"/>
    </row>
    <row r="29" spans="1:10" s="350" customFormat="1" ht="15" customHeight="1" x14ac:dyDescent="0.3">
      <c r="A29" s="546" t="s">
        <v>353</v>
      </c>
      <c r="B29" s="547">
        <v>135</v>
      </c>
      <c r="C29" s="548" t="s">
        <v>354</v>
      </c>
      <c r="D29" s="444"/>
      <c r="E29" s="444"/>
      <c r="F29"/>
      <c r="G29"/>
      <c r="H29"/>
      <c r="I29"/>
      <c r="J29"/>
    </row>
    <row r="30" spans="1:10" s="350" customFormat="1" ht="15" customHeight="1" x14ac:dyDescent="0.3">
      <c r="A30" s="444" t="s">
        <v>355</v>
      </c>
      <c r="B30" s="549">
        <v>0.6</v>
      </c>
      <c r="C30" s="548" t="s">
        <v>356</v>
      </c>
      <c r="D30" s="445"/>
      <c r="E30" s="445"/>
      <c r="F30"/>
      <c r="G30"/>
      <c r="H30"/>
      <c r="I30"/>
      <c r="J30"/>
    </row>
    <row r="31" spans="1:10" s="350" customFormat="1" x14ac:dyDescent="0.3">
      <c r="A31" s="550" t="s">
        <v>357</v>
      </c>
      <c r="B31" s="551">
        <v>8.2876999999999992</v>
      </c>
      <c r="C31" s="548" t="s">
        <v>356</v>
      </c>
      <c r="D31" s="548"/>
      <c r="E31" s="548"/>
      <c r="F31"/>
      <c r="G31"/>
      <c r="H31"/>
      <c r="I31"/>
      <c r="J31"/>
    </row>
    <row r="32" spans="1:10" x14ac:dyDescent="0.3">
      <c r="A32" s="350" t="s">
        <v>358</v>
      </c>
      <c r="B32" s="446">
        <v>0.4</v>
      </c>
      <c r="C32" s="345" t="s">
        <v>359</v>
      </c>
      <c r="E32" s="350"/>
      <c r="H32" s="350"/>
      <c r="I32" s="350"/>
      <c r="J32" s="350"/>
    </row>
    <row r="33" spans="1:14" ht="26.1" customHeight="1" x14ac:dyDescent="0.25">
      <c r="A33" s="667" t="s">
        <v>360</v>
      </c>
      <c r="B33" s="668"/>
      <c r="C33" s="668"/>
      <c r="D33" s="668"/>
      <c r="E33" s="668"/>
      <c r="F33" s="668"/>
      <c r="G33" s="668"/>
      <c r="H33" s="668"/>
      <c r="I33" s="668"/>
      <c r="J33" s="668"/>
      <c r="K33" s="668"/>
      <c r="L33" s="668"/>
      <c r="M33" s="350"/>
      <c r="N33" s="350"/>
    </row>
    <row r="34" spans="1:14" ht="48.75" customHeight="1" x14ac:dyDescent="0.3">
      <c r="A34" s="552" t="s">
        <v>361</v>
      </c>
      <c r="B34" s="553" t="s">
        <v>362</v>
      </c>
      <c r="C34" s="553" t="s">
        <v>363</v>
      </c>
      <c r="D34" s="553" t="s">
        <v>364</v>
      </c>
      <c r="E34" s="553" t="s">
        <v>365</v>
      </c>
      <c r="F34" s="553" t="s">
        <v>366</v>
      </c>
      <c r="G34" s="553" t="s">
        <v>367</v>
      </c>
      <c r="H34" s="665" t="s">
        <v>368</v>
      </c>
      <c r="I34" s="666"/>
      <c r="J34" s="664" t="s">
        <v>369</v>
      </c>
      <c r="K34" s="664"/>
      <c r="L34" s="554" t="s">
        <v>370</v>
      </c>
      <c r="M34"/>
      <c r="N34" s="350"/>
    </row>
    <row r="35" spans="1:14" s="350" customFormat="1" ht="18.75" customHeight="1" x14ac:dyDescent="0.25">
      <c r="A35" s="377" t="s">
        <v>371</v>
      </c>
      <c r="B35" s="377" t="s">
        <v>372</v>
      </c>
      <c r="C35" s="378">
        <v>47.9</v>
      </c>
      <c r="D35" s="379">
        <f>$F$24*($B$29-C35)*$B$31</f>
        <v>54139.400249999992</v>
      </c>
      <c r="E35" s="379">
        <f>D35*$B$30</f>
        <v>32483.640149999992</v>
      </c>
      <c r="F35" s="379">
        <f t="shared" ref="F35:F50" si="2">_xlfn.LET(_xlpm.x,_xlfn.XLOOKUP(E35/$C$3,$A$56:$A$86,$A$56:$A$86,"",1),IF(_xlpm.x="",ROUNDUP(E35/$C$3,0),_xlpm.x))</f>
        <v>60000</v>
      </c>
      <c r="G35" s="379">
        <f t="shared" ref="G35:G50" si="3">_xlfn.LET(_xlpm.v,MAX(30,$F$24*$B$32),_xlpm.x,_xlfn.XLOOKUP(_xlpm.v,$E$56:$E$74,$E$56:$E$74,"",1),IF(_xlpm.x="",ROUNDUP(_xlpm.v,0),_xlpm.x))</f>
        <v>34</v>
      </c>
      <c r="H35" s="379">
        <f>(F35/800)+110*SQRT(G35)</f>
        <v>716.40470843298306</v>
      </c>
      <c r="I35" s="379" t="s">
        <v>373</v>
      </c>
      <c r="J35" s="422">
        <f>H35/70</f>
        <v>10.234352977614044</v>
      </c>
      <c r="K35" s="379" t="s">
        <v>374</v>
      </c>
      <c r="L35" s="659" t="s">
        <v>375</v>
      </c>
    </row>
    <row r="36" spans="1:14" s="350" customFormat="1" ht="18.75" customHeight="1" x14ac:dyDescent="0.25">
      <c r="A36" s="377" t="s">
        <v>371</v>
      </c>
      <c r="B36" s="380" t="s">
        <v>376</v>
      </c>
      <c r="C36" s="381">
        <v>50.8</v>
      </c>
      <c r="D36" s="379">
        <f t="shared" ref="D36:D50" si="4">$F$24*($B$29-C36)*$B$31</f>
        <v>52336.825499999992</v>
      </c>
      <c r="E36" s="382">
        <f>D36*$B$30</f>
        <v>31402.095299999994</v>
      </c>
      <c r="F36" s="379">
        <f t="shared" si="2"/>
        <v>60000</v>
      </c>
      <c r="G36" s="379">
        <f t="shared" si="3"/>
        <v>34</v>
      </c>
      <c r="H36" s="379">
        <f t="shared" ref="H36:H50" si="5">(F36/800)+110*SQRT(G36)</f>
        <v>716.40470843298306</v>
      </c>
      <c r="I36" s="382" t="s">
        <v>373</v>
      </c>
      <c r="J36" s="422">
        <f t="shared" ref="J36:J50" si="6">H36/70</f>
        <v>10.234352977614044</v>
      </c>
      <c r="K36" s="383" t="s">
        <v>374</v>
      </c>
      <c r="L36" s="659"/>
    </row>
    <row r="37" spans="1:14" s="350" customFormat="1" ht="18.75" customHeight="1" x14ac:dyDescent="0.25">
      <c r="A37" s="377" t="s">
        <v>371</v>
      </c>
      <c r="B37" s="380" t="s">
        <v>377</v>
      </c>
      <c r="C37" s="381">
        <v>52.2</v>
      </c>
      <c r="D37" s="379">
        <f t="shared" si="4"/>
        <v>51466.616999999998</v>
      </c>
      <c r="E37" s="382">
        <f>D37*$B$30</f>
        <v>30879.970199999996</v>
      </c>
      <c r="F37" s="379">
        <f t="shared" si="2"/>
        <v>60000</v>
      </c>
      <c r="G37" s="379">
        <f t="shared" si="3"/>
        <v>34</v>
      </c>
      <c r="H37" s="379">
        <f t="shared" si="5"/>
        <v>716.40470843298306</v>
      </c>
      <c r="I37" s="382" t="s">
        <v>373</v>
      </c>
      <c r="J37" s="422">
        <f t="shared" si="6"/>
        <v>10.234352977614044</v>
      </c>
      <c r="K37" s="383" t="s">
        <v>374</v>
      </c>
      <c r="L37" s="659"/>
    </row>
    <row r="38" spans="1:14" s="350" customFormat="1" ht="18.75" customHeight="1" x14ac:dyDescent="0.25">
      <c r="A38" s="377" t="s">
        <v>371</v>
      </c>
      <c r="B38" s="380" t="s">
        <v>378</v>
      </c>
      <c r="C38" s="381">
        <v>52.7</v>
      </c>
      <c r="D38" s="379">
        <f t="shared" si="4"/>
        <v>51155.828249999991</v>
      </c>
      <c r="E38" s="382">
        <f t="shared" ref="E38:E50" si="7">D38*$B$30</f>
        <v>30693.496949999993</v>
      </c>
      <c r="F38" s="379">
        <f t="shared" si="2"/>
        <v>60000</v>
      </c>
      <c r="G38" s="379">
        <f t="shared" si="3"/>
        <v>34</v>
      </c>
      <c r="H38" s="379">
        <f t="shared" si="5"/>
        <v>716.40470843298306</v>
      </c>
      <c r="I38" s="382" t="s">
        <v>373</v>
      </c>
      <c r="J38" s="422">
        <f t="shared" si="6"/>
        <v>10.234352977614044</v>
      </c>
      <c r="K38" s="383" t="s">
        <v>374</v>
      </c>
      <c r="L38" s="659"/>
    </row>
    <row r="39" spans="1:14" s="350" customFormat="1" ht="18.75" customHeight="1" x14ac:dyDescent="0.25">
      <c r="A39" s="377" t="s">
        <v>371</v>
      </c>
      <c r="B39" s="380" t="s">
        <v>379</v>
      </c>
      <c r="C39" s="381">
        <v>51.6</v>
      </c>
      <c r="D39" s="379">
        <f t="shared" si="4"/>
        <v>51839.563499999997</v>
      </c>
      <c r="E39" s="382">
        <f t="shared" si="7"/>
        <v>31103.738099999995</v>
      </c>
      <c r="F39" s="379">
        <f t="shared" si="2"/>
        <v>60000</v>
      </c>
      <c r="G39" s="379">
        <f t="shared" si="3"/>
        <v>34</v>
      </c>
      <c r="H39" s="379">
        <f t="shared" si="5"/>
        <v>716.40470843298306</v>
      </c>
      <c r="I39" s="382" t="s">
        <v>373</v>
      </c>
      <c r="J39" s="422">
        <f t="shared" si="6"/>
        <v>10.234352977614044</v>
      </c>
      <c r="K39" s="383" t="s">
        <v>374</v>
      </c>
      <c r="L39" s="659"/>
    </row>
    <row r="40" spans="1:14" s="350" customFormat="1" ht="18.75" customHeight="1" x14ac:dyDescent="0.25">
      <c r="A40" s="377" t="s">
        <v>371</v>
      </c>
      <c r="B40" s="380" t="s">
        <v>380</v>
      </c>
      <c r="C40" s="381">
        <v>56.8</v>
      </c>
      <c r="D40" s="379">
        <f t="shared" si="4"/>
        <v>48607.360499999995</v>
      </c>
      <c r="E40" s="382">
        <f t="shared" si="7"/>
        <v>29164.416299999997</v>
      </c>
      <c r="F40" s="379">
        <f t="shared" si="2"/>
        <v>60000</v>
      </c>
      <c r="G40" s="379">
        <f t="shared" si="3"/>
        <v>34</v>
      </c>
      <c r="H40" s="379">
        <f t="shared" si="5"/>
        <v>716.40470843298306</v>
      </c>
      <c r="I40" s="382" t="s">
        <v>373</v>
      </c>
      <c r="J40" s="422">
        <f t="shared" si="6"/>
        <v>10.234352977614044</v>
      </c>
      <c r="K40" s="383" t="s">
        <v>374</v>
      </c>
      <c r="L40" s="659"/>
    </row>
    <row r="41" spans="1:14" s="350" customFormat="1" ht="18.75" customHeight="1" x14ac:dyDescent="0.25">
      <c r="A41" s="377" t="s">
        <v>371</v>
      </c>
      <c r="B41" s="380" t="s">
        <v>381</v>
      </c>
      <c r="C41" s="381">
        <v>58.4</v>
      </c>
      <c r="D41" s="379">
        <f t="shared" si="4"/>
        <v>47612.836499999998</v>
      </c>
      <c r="E41" s="382">
        <f t="shared" si="7"/>
        <v>28567.701899999996</v>
      </c>
      <c r="F41" s="379">
        <f t="shared" si="2"/>
        <v>60000</v>
      </c>
      <c r="G41" s="379">
        <f t="shared" si="3"/>
        <v>34</v>
      </c>
      <c r="H41" s="379">
        <f t="shared" si="5"/>
        <v>716.40470843298306</v>
      </c>
      <c r="I41" s="382" t="s">
        <v>373</v>
      </c>
      <c r="J41" s="422">
        <f t="shared" si="6"/>
        <v>10.234352977614044</v>
      </c>
      <c r="K41" s="383" t="s">
        <v>374</v>
      </c>
      <c r="L41" s="659"/>
    </row>
    <row r="42" spans="1:14" s="350" customFormat="1" ht="18.75" customHeight="1" x14ac:dyDescent="0.25">
      <c r="A42" s="377" t="s">
        <v>371</v>
      </c>
      <c r="B42" s="380" t="s">
        <v>382</v>
      </c>
      <c r="C42" s="381">
        <v>58.4</v>
      </c>
      <c r="D42" s="379">
        <f t="shared" si="4"/>
        <v>47612.836499999998</v>
      </c>
      <c r="E42" s="382">
        <f t="shared" si="7"/>
        <v>28567.701899999996</v>
      </c>
      <c r="F42" s="379">
        <f t="shared" si="2"/>
        <v>60000</v>
      </c>
      <c r="G42" s="379">
        <f t="shared" si="3"/>
        <v>34</v>
      </c>
      <c r="H42" s="379">
        <f t="shared" si="5"/>
        <v>716.40470843298306</v>
      </c>
      <c r="I42" s="382" t="s">
        <v>373</v>
      </c>
      <c r="J42" s="422">
        <f t="shared" si="6"/>
        <v>10.234352977614044</v>
      </c>
      <c r="K42" s="383" t="s">
        <v>374</v>
      </c>
      <c r="L42" s="659"/>
    </row>
    <row r="43" spans="1:14" s="350" customFormat="1" ht="18.75" customHeight="1" x14ac:dyDescent="0.25">
      <c r="A43" s="377" t="s">
        <v>371</v>
      </c>
      <c r="B43" s="380" t="s">
        <v>383</v>
      </c>
      <c r="C43" s="381">
        <v>57.6</v>
      </c>
      <c r="D43" s="379">
        <f t="shared" si="4"/>
        <v>48110.098499999993</v>
      </c>
      <c r="E43" s="382">
        <f t="shared" si="7"/>
        <v>28866.059099999995</v>
      </c>
      <c r="F43" s="379">
        <f t="shared" si="2"/>
        <v>60000</v>
      </c>
      <c r="G43" s="379">
        <f t="shared" si="3"/>
        <v>34</v>
      </c>
      <c r="H43" s="379">
        <f t="shared" si="5"/>
        <v>716.40470843298306</v>
      </c>
      <c r="I43" s="382" t="s">
        <v>373</v>
      </c>
      <c r="J43" s="422">
        <f t="shared" si="6"/>
        <v>10.234352977614044</v>
      </c>
      <c r="K43" s="383" t="s">
        <v>374</v>
      </c>
      <c r="L43" s="659"/>
    </row>
    <row r="44" spans="1:14" s="350" customFormat="1" ht="18.75" customHeight="1" x14ac:dyDescent="0.25">
      <c r="A44" s="377" t="s">
        <v>371</v>
      </c>
      <c r="B44" s="380" t="s">
        <v>203</v>
      </c>
      <c r="C44" s="381">
        <v>57.1</v>
      </c>
      <c r="D44" s="379">
        <f t="shared" si="4"/>
        <v>48420.887249999992</v>
      </c>
      <c r="E44" s="382">
        <f t="shared" si="7"/>
        <v>29052.532349999994</v>
      </c>
      <c r="F44" s="379">
        <f t="shared" si="2"/>
        <v>60000</v>
      </c>
      <c r="G44" s="379">
        <f t="shared" si="3"/>
        <v>34</v>
      </c>
      <c r="H44" s="379">
        <f t="shared" si="5"/>
        <v>716.40470843298306</v>
      </c>
      <c r="I44" s="382" t="s">
        <v>373</v>
      </c>
      <c r="J44" s="422">
        <f t="shared" si="6"/>
        <v>10.234352977614044</v>
      </c>
      <c r="K44" s="383" t="s">
        <v>374</v>
      </c>
      <c r="L44" s="659"/>
    </row>
    <row r="45" spans="1:14" s="350" customFormat="1" ht="18.75" customHeight="1" x14ac:dyDescent="0.25">
      <c r="A45" s="377" t="s">
        <v>371</v>
      </c>
      <c r="B45" s="380" t="s">
        <v>204</v>
      </c>
      <c r="C45" s="381">
        <v>50.5</v>
      </c>
      <c r="D45" s="379">
        <f t="shared" si="4"/>
        <v>52523.298749999994</v>
      </c>
      <c r="E45" s="382">
        <f t="shared" si="7"/>
        <v>31513.979249999997</v>
      </c>
      <c r="F45" s="379">
        <f t="shared" si="2"/>
        <v>60000</v>
      </c>
      <c r="G45" s="379">
        <f t="shared" si="3"/>
        <v>34</v>
      </c>
      <c r="H45" s="379">
        <f t="shared" si="5"/>
        <v>716.40470843298306</v>
      </c>
      <c r="I45" s="382" t="s">
        <v>373</v>
      </c>
      <c r="J45" s="422">
        <f t="shared" si="6"/>
        <v>10.234352977614044</v>
      </c>
      <c r="K45" s="383" t="s">
        <v>374</v>
      </c>
      <c r="L45" s="659"/>
    </row>
    <row r="46" spans="1:14" s="350" customFormat="1" ht="18.75" customHeight="1" x14ac:dyDescent="0.25">
      <c r="A46" s="377" t="s">
        <v>371</v>
      </c>
      <c r="B46" s="380" t="s">
        <v>205</v>
      </c>
      <c r="C46" s="381">
        <v>51.4</v>
      </c>
      <c r="D46" s="379">
        <f t="shared" si="4"/>
        <v>51963.878999999994</v>
      </c>
      <c r="E46" s="382">
        <f t="shared" si="7"/>
        <v>31178.327399999995</v>
      </c>
      <c r="F46" s="379">
        <f t="shared" si="2"/>
        <v>60000</v>
      </c>
      <c r="G46" s="379">
        <f t="shared" si="3"/>
        <v>34</v>
      </c>
      <c r="H46" s="379">
        <f t="shared" si="5"/>
        <v>716.40470843298306</v>
      </c>
      <c r="I46" s="382" t="s">
        <v>373</v>
      </c>
      <c r="J46" s="422">
        <f t="shared" si="6"/>
        <v>10.234352977614044</v>
      </c>
      <c r="K46" s="383" t="s">
        <v>374</v>
      </c>
      <c r="L46" s="659"/>
    </row>
    <row r="47" spans="1:14" s="350" customFormat="1" ht="18.75" customHeight="1" x14ac:dyDescent="0.25">
      <c r="A47" s="377" t="s">
        <v>371</v>
      </c>
      <c r="B47" s="380" t="s">
        <v>206</v>
      </c>
      <c r="C47" s="381">
        <v>51.7</v>
      </c>
      <c r="D47" s="379">
        <f t="shared" si="4"/>
        <v>51777.405749999998</v>
      </c>
      <c r="E47" s="382">
        <f t="shared" si="7"/>
        <v>31066.443449999999</v>
      </c>
      <c r="F47" s="379">
        <f t="shared" si="2"/>
        <v>60000</v>
      </c>
      <c r="G47" s="379">
        <f t="shared" si="3"/>
        <v>34</v>
      </c>
      <c r="H47" s="379">
        <f t="shared" si="5"/>
        <v>716.40470843298306</v>
      </c>
      <c r="I47" s="382" t="s">
        <v>373</v>
      </c>
      <c r="J47" s="422">
        <f t="shared" si="6"/>
        <v>10.234352977614044</v>
      </c>
      <c r="K47" s="383" t="s">
        <v>374</v>
      </c>
      <c r="L47" s="659"/>
    </row>
    <row r="48" spans="1:14" s="350" customFormat="1" ht="18.75" customHeight="1" x14ac:dyDescent="0.25">
      <c r="A48" s="377" t="s">
        <v>371</v>
      </c>
      <c r="B48" s="380" t="s">
        <v>207</v>
      </c>
      <c r="C48" s="381">
        <v>50.1</v>
      </c>
      <c r="D48" s="379">
        <f t="shared" si="4"/>
        <v>52771.929749999996</v>
      </c>
      <c r="E48" s="382">
        <f t="shared" si="7"/>
        <v>31663.157849999996</v>
      </c>
      <c r="F48" s="379">
        <f t="shared" si="2"/>
        <v>60000</v>
      </c>
      <c r="G48" s="379">
        <f t="shared" si="3"/>
        <v>34</v>
      </c>
      <c r="H48" s="379">
        <f t="shared" si="5"/>
        <v>716.40470843298306</v>
      </c>
      <c r="I48" s="382" t="s">
        <v>373</v>
      </c>
      <c r="J48" s="422">
        <f t="shared" si="6"/>
        <v>10.234352977614044</v>
      </c>
      <c r="K48" s="383" t="s">
        <v>374</v>
      </c>
      <c r="L48" s="659"/>
    </row>
    <row r="49" spans="1:14" s="350" customFormat="1" ht="18.75" customHeight="1" x14ac:dyDescent="0.25">
      <c r="A49" s="377" t="s">
        <v>371</v>
      </c>
      <c r="B49" s="380" t="s">
        <v>208</v>
      </c>
      <c r="C49" s="381">
        <v>63.2</v>
      </c>
      <c r="D49" s="379">
        <f t="shared" si="4"/>
        <v>44629.264499999997</v>
      </c>
      <c r="E49" s="382">
        <f t="shared" si="7"/>
        <v>26777.558699999998</v>
      </c>
      <c r="F49" s="379">
        <f t="shared" si="2"/>
        <v>60000</v>
      </c>
      <c r="G49" s="379">
        <f t="shared" si="3"/>
        <v>34</v>
      </c>
      <c r="H49" s="379">
        <f t="shared" si="5"/>
        <v>716.40470843298306</v>
      </c>
      <c r="I49" s="382" t="s">
        <v>373</v>
      </c>
      <c r="J49" s="422">
        <f t="shared" si="6"/>
        <v>10.234352977614044</v>
      </c>
      <c r="K49" s="383" t="s">
        <v>374</v>
      </c>
      <c r="L49" s="659"/>
    </row>
    <row r="50" spans="1:14" s="350" customFormat="1" ht="18.75" customHeight="1" x14ac:dyDescent="0.25">
      <c r="A50" s="377" t="s">
        <v>371</v>
      </c>
      <c r="B50" s="384" t="s">
        <v>209</v>
      </c>
      <c r="C50" s="385">
        <v>41.4</v>
      </c>
      <c r="D50" s="379">
        <f t="shared" si="4"/>
        <v>58179.653999999995</v>
      </c>
      <c r="E50" s="386">
        <f t="shared" si="7"/>
        <v>34907.792399999998</v>
      </c>
      <c r="F50" s="379">
        <f t="shared" si="2"/>
        <v>60000</v>
      </c>
      <c r="G50" s="379">
        <f t="shared" si="3"/>
        <v>34</v>
      </c>
      <c r="H50" s="379">
        <f t="shared" si="5"/>
        <v>716.40470843298306</v>
      </c>
      <c r="I50" s="386" t="s">
        <v>373</v>
      </c>
      <c r="J50" s="422">
        <f t="shared" si="6"/>
        <v>10.234352977614044</v>
      </c>
      <c r="K50" s="387" t="s">
        <v>374</v>
      </c>
      <c r="L50" s="660"/>
    </row>
    <row r="52" spans="1:14" x14ac:dyDescent="0.3">
      <c r="A52" s="350"/>
      <c r="B52" s="350"/>
      <c r="C52" s="352"/>
      <c r="D52" s="352"/>
      <c r="E52" s="350"/>
      <c r="F52" s="352"/>
      <c r="G52" s="352"/>
      <c r="H52" s="350"/>
      <c r="I52" s="350"/>
      <c r="J52" s="350"/>
      <c r="K52" s="350"/>
      <c r="L52" s="350"/>
      <c r="M52" s="350"/>
      <c r="N52" s="350"/>
    </row>
    <row r="54" spans="1:14" ht="24.75" customHeight="1" x14ac:dyDescent="0.25">
      <c r="A54" s="661" t="s">
        <v>384</v>
      </c>
      <c r="B54" s="662"/>
      <c r="C54" s="663"/>
      <c r="D54" s="663"/>
      <c r="E54" s="663"/>
      <c r="F54" s="663"/>
      <c r="G54" s="663"/>
      <c r="H54" s="663"/>
      <c r="I54" s="350"/>
      <c r="J54" s="350"/>
      <c r="K54" s="350"/>
      <c r="L54" s="350"/>
      <c r="M54" s="350"/>
      <c r="N54" s="350"/>
    </row>
    <row r="55" spans="1:14" s="349" customFormat="1" ht="33.75" customHeight="1" x14ac:dyDescent="0.25">
      <c r="A55" s="555" t="s">
        <v>385</v>
      </c>
      <c r="B55" s="556" t="s">
        <v>386</v>
      </c>
      <c r="C55" s="557" t="s">
        <v>387</v>
      </c>
      <c r="D55" s="558" t="s">
        <v>388</v>
      </c>
      <c r="E55" s="559" t="s">
        <v>389</v>
      </c>
      <c r="F55" s="558" t="s">
        <v>390</v>
      </c>
      <c r="G55" s="560" t="s">
        <v>391</v>
      </c>
      <c r="H55" s="561" t="s">
        <v>392</v>
      </c>
      <c r="I55" s="117" t="str">
        <f>HYPERLINK("#'Note'!A1","Sources and links → Note tab")</f>
        <v>Sources and links → Note tab</v>
      </c>
      <c r="J55" s="447"/>
      <c r="K55" s="447"/>
      <c r="L55" s="447"/>
      <c r="M55" s="447"/>
      <c r="N55" s="447"/>
    </row>
    <row r="56" spans="1:14" ht="13.8" x14ac:dyDescent="0.25">
      <c r="A56" s="562">
        <v>60000</v>
      </c>
      <c r="B56" s="563" t="s">
        <v>393</v>
      </c>
      <c r="C56" s="423">
        <v>1.5</v>
      </c>
      <c r="D56" s="424">
        <v>5118</v>
      </c>
      <c r="E56" s="425">
        <v>34</v>
      </c>
      <c r="F56" s="425" t="s">
        <v>394</v>
      </c>
      <c r="G56" s="425">
        <v>6</v>
      </c>
      <c r="H56" s="426" t="s">
        <v>393</v>
      </c>
      <c r="I56" s="350"/>
      <c r="J56" s="350"/>
      <c r="K56" s="350"/>
      <c r="L56" s="350"/>
      <c r="M56" s="350"/>
      <c r="N56" s="350"/>
    </row>
    <row r="57" spans="1:14" ht="13.8" x14ac:dyDescent="0.25">
      <c r="A57" s="564">
        <v>75100</v>
      </c>
      <c r="B57" s="564" t="s">
        <v>393</v>
      </c>
      <c r="C57" s="427">
        <v>2</v>
      </c>
      <c r="D57" s="428">
        <v>6824</v>
      </c>
      <c r="E57" s="429">
        <v>35</v>
      </c>
      <c r="F57" s="429" t="s">
        <v>393</v>
      </c>
      <c r="G57" s="429">
        <v>10</v>
      </c>
      <c r="H57" s="430" t="s">
        <v>393</v>
      </c>
      <c r="I57" s="350"/>
      <c r="J57" s="350"/>
      <c r="K57" s="350"/>
      <c r="L57" s="350"/>
      <c r="M57" s="350"/>
      <c r="N57" s="350"/>
    </row>
    <row r="58" spans="1:14" ht="13.8" x14ac:dyDescent="0.25">
      <c r="A58" s="564">
        <v>76000</v>
      </c>
      <c r="B58" s="564" t="s">
        <v>395</v>
      </c>
      <c r="C58" s="427">
        <v>3</v>
      </c>
      <c r="D58" s="428">
        <v>10236</v>
      </c>
      <c r="E58" s="429">
        <v>48</v>
      </c>
      <c r="F58" s="429" t="s">
        <v>393</v>
      </c>
      <c r="G58" s="429">
        <v>15</v>
      </c>
      <c r="H58" s="430" t="s">
        <v>393</v>
      </c>
      <c r="I58" s="350"/>
      <c r="J58" s="350"/>
      <c r="K58" s="350"/>
      <c r="L58" s="350"/>
      <c r="M58" s="350"/>
      <c r="N58" s="350"/>
    </row>
    <row r="59" spans="1:14" ht="13.8" x14ac:dyDescent="0.25">
      <c r="A59" s="564">
        <v>80000</v>
      </c>
      <c r="B59" s="564" t="s">
        <v>393</v>
      </c>
      <c r="C59" s="427">
        <v>4.5</v>
      </c>
      <c r="D59" s="428">
        <v>15355</v>
      </c>
      <c r="E59" s="429">
        <v>50</v>
      </c>
      <c r="F59" s="429" t="s">
        <v>395</v>
      </c>
      <c r="G59" s="429">
        <v>20</v>
      </c>
      <c r="H59" s="430" t="s">
        <v>393</v>
      </c>
      <c r="I59" s="350"/>
      <c r="J59" s="350"/>
      <c r="K59" s="350"/>
      <c r="L59" s="350"/>
      <c r="M59" s="350"/>
      <c r="N59" s="350"/>
    </row>
    <row r="60" spans="1:14" ht="13.8" x14ac:dyDescent="0.25">
      <c r="A60" s="564">
        <v>99900</v>
      </c>
      <c r="B60" s="564" t="s">
        <v>394</v>
      </c>
      <c r="C60" s="427">
        <v>6</v>
      </c>
      <c r="D60" s="428">
        <v>20473</v>
      </c>
      <c r="E60" s="429">
        <v>55</v>
      </c>
      <c r="F60" s="429" t="s">
        <v>394</v>
      </c>
      <c r="G60" s="429">
        <v>28</v>
      </c>
      <c r="H60" s="430" t="s">
        <v>393</v>
      </c>
      <c r="I60" s="350"/>
      <c r="J60" s="350"/>
      <c r="K60" s="350"/>
      <c r="L60" s="350"/>
      <c r="M60" s="350"/>
      <c r="N60" s="350"/>
    </row>
    <row r="61" spans="1:14" ht="13.8" x14ac:dyDescent="0.25">
      <c r="A61" s="564">
        <v>100000</v>
      </c>
      <c r="B61" s="564" t="s">
        <v>395</v>
      </c>
      <c r="C61" s="427">
        <v>8</v>
      </c>
      <c r="D61" s="428">
        <v>27297</v>
      </c>
      <c r="E61" s="429">
        <v>60</v>
      </c>
      <c r="F61" s="429" t="s">
        <v>394</v>
      </c>
      <c r="G61" s="429">
        <v>30</v>
      </c>
      <c r="H61" s="430" t="s">
        <v>393</v>
      </c>
      <c r="I61" s="350"/>
      <c r="J61" s="350"/>
      <c r="K61" s="350"/>
      <c r="L61" s="350"/>
      <c r="M61" s="350"/>
      <c r="N61" s="350"/>
    </row>
    <row r="62" spans="1:14" ht="13.8" x14ac:dyDescent="0.25">
      <c r="A62" s="564">
        <v>120000</v>
      </c>
      <c r="B62" s="564" t="s">
        <v>394</v>
      </c>
      <c r="C62" s="427">
        <v>9</v>
      </c>
      <c r="D62" s="428">
        <v>30709</v>
      </c>
      <c r="E62" s="429">
        <v>65</v>
      </c>
      <c r="F62" s="429" t="s">
        <v>395</v>
      </c>
      <c r="G62" s="429">
        <v>36</v>
      </c>
      <c r="H62" s="430" t="s">
        <v>393</v>
      </c>
      <c r="I62" s="350"/>
      <c r="J62" s="350"/>
      <c r="K62" s="350"/>
      <c r="L62" s="350"/>
      <c r="M62" s="350"/>
      <c r="N62" s="350"/>
    </row>
    <row r="63" spans="1:14" ht="13.8" x14ac:dyDescent="0.25">
      <c r="A63" s="564">
        <v>125000</v>
      </c>
      <c r="B63" s="564" t="s">
        <v>395</v>
      </c>
      <c r="C63" s="427">
        <v>10</v>
      </c>
      <c r="D63" s="428">
        <v>34121</v>
      </c>
      <c r="E63" s="429">
        <v>72</v>
      </c>
      <c r="F63" s="429" t="s">
        <v>393</v>
      </c>
      <c r="G63" s="429">
        <v>40</v>
      </c>
      <c r="H63" s="430" t="s">
        <v>393</v>
      </c>
      <c r="I63" s="350"/>
      <c r="J63" s="350"/>
      <c r="K63" s="350"/>
      <c r="L63" s="350"/>
      <c r="M63" s="350"/>
      <c r="N63" s="350"/>
    </row>
    <row r="64" spans="1:14" ht="13.8" x14ac:dyDescent="0.25">
      <c r="A64" s="564">
        <v>130000</v>
      </c>
      <c r="B64" s="564" t="s">
        <v>395</v>
      </c>
      <c r="C64" s="427">
        <v>12</v>
      </c>
      <c r="D64" s="428">
        <v>40946</v>
      </c>
      <c r="E64" s="429">
        <v>75</v>
      </c>
      <c r="F64" s="429" t="s">
        <v>395</v>
      </c>
      <c r="G64" s="429">
        <v>47</v>
      </c>
      <c r="H64" s="430" t="s">
        <v>393</v>
      </c>
      <c r="I64" s="350"/>
      <c r="J64" s="350"/>
      <c r="K64" s="350"/>
      <c r="L64" s="350"/>
      <c r="M64" s="350"/>
      <c r="N64" s="350"/>
    </row>
    <row r="65" spans="1:8" ht="13.8" x14ac:dyDescent="0.25">
      <c r="A65" s="564">
        <v>145000</v>
      </c>
      <c r="B65" s="564" t="s">
        <v>394</v>
      </c>
      <c r="C65" s="427">
        <v>12.1</v>
      </c>
      <c r="D65" s="428">
        <v>41287</v>
      </c>
      <c r="E65" s="429">
        <v>76</v>
      </c>
      <c r="F65" s="429" t="s">
        <v>393</v>
      </c>
      <c r="G65" s="429">
        <v>50</v>
      </c>
      <c r="H65" s="430" t="s">
        <v>393</v>
      </c>
    </row>
    <row r="66" spans="1:8" ht="13.8" x14ac:dyDescent="0.25">
      <c r="A66" s="564">
        <v>150000</v>
      </c>
      <c r="B66" s="564" t="s">
        <v>394</v>
      </c>
      <c r="C66" s="427">
        <v>18</v>
      </c>
      <c r="D66" s="428">
        <v>61419</v>
      </c>
      <c r="E66" s="429">
        <v>80</v>
      </c>
      <c r="F66" s="429" t="s">
        <v>395</v>
      </c>
      <c r="G66" s="429">
        <v>65</v>
      </c>
      <c r="H66" s="430" t="s">
        <v>393</v>
      </c>
    </row>
    <row r="67" spans="1:8" ht="13.8" x14ac:dyDescent="0.25">
      <c r="A67" s="564">
        <v>156000</v>
      </c>
      <c r="B67" s="431" t="s">
        <v>393</v>
      </c>
      <c r="C67" s="427">
        <v>24</v>
      </c>
      <c r="D67" s="428">
        <v>81891</v>
      </c>
      <c r="E67" s="429">
        <v>82</v>
      </c>
      <c r="F67" s="429" t="s">
        <v>393</v>
      </c>
      <c r="G67" s="429">
        <v>80</v>
      </c>
      <c r="H67" s="430" t="s">
        <v>393</v>
      </c>
    </row>
    <row r="68" spans="1:8" ht="13.8" x14ac:dyDescent="0.25">
      <c r="A68" s="564">
        <v>160000</v>
      </c>
      <c r="B68" s="431" t="s">
        <v>395</v>
      </c>
      <c r="C68" s="427">
        <v>27</v>
      </c>
      <c r="D68" s="428">
        <v>92128</v>
      </c>
      <c r="E68" s="429">
        <v>85</v>
      </c>
      <c r="F68" s="429" t="s">
        <v>393</v>
      </c>
      <c r="G68" s="429">
        <v>85</v>
      </c>
      <c r="H68" s="430" t="s">
        <v>393</v>
      </c>
    </row>
    <row r="69" spans="1:8" ht="13.8" x14ac:dyDescent="0.25">
      <c r="A69" s="564">
        <v>175000</v>
      </c>
      <c r="B69" s="431" t="s">
        <v>394</v>
      </c>
      <c r="C69" s="427">
        <v>36</v>
      </c>
      <c r="D69" s="428">
        <v>122837</v>
      </c>
      <c r="E69" s="429">
        <v>90</v>
      </c>
      <c r="F69" s="429" t="s">
        <v>395</v>
      </c>
      <c r="G69" s="429">
        <v>105</v>
      </c>
      <c r="H69" s="430" t="s">
        <v>393</v>
      </c>
    </row>
    <row r="70" spans="1:8" ht="13.8" x14ac:dyDescent="0.25">
      <c r="A70" s="564">
        <v>180000</v>
      </c>
      <c r="B70" s="434" t="s">
        <v>393</v>
      </c>
      <c r="C70" s="436">
        <v>54</v>
      </c>
      <c r="D70" s="429">
        <v>184256</v>
      </c>
      <c r="E70" s="429">
        <v>91</v>
      </c>
      <c r="F70" s="429" t="s">
        <v>393</v>
      </c>
      <c r="G70" s="429">
        <v>120</v>
      </c>
      <c r="H70" s="438" t="s">
        <v>393</v>
      </c>
    </row>
    <row r="71" spans="1:8" ht="13.8" x14ac:dyDescent="0.25">
      <c r="A71" s="564">
        <v>199000</v>
      </c>
      <c r="B71" s="434" t="s">
        <v>394</v>
      </c>
      <c r="C71" s="436"/>
      <c r="D71" s="429"/>
      <c r="E71" s="429">
        <v>100</v>
      </c>
      <c r="F71" s="429" t="s">
        <v>395</v>
      </c>
      <c r="G71" s="429"/>
      <c r="H71" s="438"/>
    </row>
    <row r="72" spans="1:8" ht="13.8" x14ac:dyDescent="0.25">
      <c r="A72" s="564">
        <v>199900</v>
      </c>
      <c r="B72" s="434" t="s">
        <v>395</v>
      </c>
      <c r="C72" s="436"/>
      <c r="D72" s="429"/>
      <c r="E72" s="429">
        <v>110</v>
      </c>
      <c r="F72" s="429" t="s">
        <v>394</v>
      </c>
      <c r="G72" s="429"/>
      <c r="H72" s="438"/>
    </row>
    <row r="73" spans="1:8" ht="13.8" x14ac:dyDescent="0.25">
      <c r="A73" s="564">
        <v>200000</v>
      </c>
      <c r="B73" s="434" t="s">
        <v>394</v>
      </c>
      <c r="C73" s="436"/>
      <c r="D73" s="429"/>
      <c r="E73" s="429">
        <v>119</v>
      </c>
      <c r="F73" s="429" t="s">
        <v>395</v>
      </c>
      <c r="G73" s="429"/>
      <c r="H73" s="438"/>
    </row>
    <row r="74" spans="1:8" ht="13.8" x14ac:dyDescent="0.25">
      <c r="A74" s="564">
        <v>250000</v>
      </c>
      <c r="B74" s="434" t="s">
        <v>395</v>
      </c>
      <c r="C74" s="437"/>
      <c r="D74" s="435"/>
      <c r="E74" s="435">
        <v>125</v>
      </c>
      <c r="F74" s="435" t="s">
        <v>394</v>
      </c>
      <c r="G74" s="435"/>
      <c r="H74" s="439"/>
    </row>
    <row r="75" spans="1:8" x14ac:dyDescent="0.25">
      <c r="A75" s="564">
        <v>251000</v>
      </c>
      <c r="B75" s="431" t="s">
        <v>394</v>
      </c>
      <c r="C75" s="354"/>
      <c r="D75" s="354"/>
      <c r="E75" s="448"/>
      <c r="F75" s="354"/>
      <c r="G75" s="354"/>
      <c r="H75" s="350"/>
    </row>
    <row r="76" spans="1:8" x14ac:dyDescent="0.25">
      <c r="A76" s="564">
        <v>270000</v>
      </c>
      <c r="B76" s="431" t="s">
        <v>393</v>
      </c>
      <c r="C76" s="354"/>
      <c r="D76" s="354"/>
      <c r="E76" s="448"/>
      <c r="F76" s="354"/>
      <c r="G76" s="354"/>
      <c r="H76" s="350"/>
    </row>
    <row r="77" spans="1:8" x14ac:dyDescent="0.25">
      <c r="A77" s="564">
        <v>285000</v>
      </c>
      <c r="B77" s="431" t="s">
        <v>394</v>
      </c>
      <c r="C77" s="354"/>
      <c r="D77" s="354"/>
      <c r="E77" s="448"/>
      <c r="F77" s="354"/>
      <c r="G77" s="354"/>
      <c r="H77" s="350"/>
    </row>
    <row r="78" spans="1:8" x14ac:dyDescent="0.25">
      <c r="A78" s="564">
        <v>300000</v>
      </c>
      <c r="B78" s="431" t="s">
        <v>395</v>
      </c>
      <c r="C78" s="354"/>
      <c r="D78" s="354"/>
      <c r="E78" s="448"/>
      <c r="F78" s="354"/>
      <c r="G78" s="354"/>
      <c r="H78" s="350"/>
    </row>
    <row r="79" spans="1:8" x14ac:dyDescent="0.25">
      <c r="A79" s="564">
        <v>320000</v>
      </c>
      <c r="B79" s="431" t="s">
        <v>394</v>
      </c>
      <c r="C79" s="354"/>
      <c r="D79" s="354"/>
      <c r="E79" s="448"/>
      <c r="F79" s="354"/>
      <c r="G79" s="354"/>
      <c r="H79" s="350"/>
    </row>
    <row r="80" spans="1:8" x14ac:dyDescent="0.25">
      <c r="A80" s="564">
        <v>360000</v>
      </c>
      <c r="B80" s="431" t="s">
        <v>393</v>
      </c>
      <c r="C80" s="354"/>
      <c r="D80" s="354"/>
      <c r="E80" s="448"/>
      <c r="F80" s="354"/>
      <c r="G80" s="354"/>
      <c r="H80" s="350"/>
    </row>
    <row r="81" spans="1:14" x14ac:dyDescent="0.25">
      <c r="A81" s="564">
        <v>398000</v>
      </c>
      <c r="B81" s="431" t="s">
        <v>394</v>
      </c>
      <c r="C81" s="354"/>
      <c r="D81" s="354"/>
      <c r="E81" s="448"/>
      <c r="F81" s="354"/>
      <c r="G81" s="354"/>
      <c r="H81" s="350"/>
      <c r="I81" s="350"/>
      <c r="J81" s="350"/>
      <c r="K81" s="350"/>
      <c r="L81" s="350"/>
      <c r="M81" s="350"/>
      <c r="N81" s="350"/>
    </row>
    <row r="82" spans="1:14" x14ac:dyDescent="0.25">
      <c r="A82" s="564">
        <v>399000</v>
      </c>
      <c r="B82" s="431" t="s">
        <v>394</v>
      </c>
      <c r="C82" s="354"/>
      <c r="D82" s="354"/>
      <c r="E82" s="448"/>
      <c r="F82" s="354"/>
      <c r="G82" s="354"/>
      <c r="H82" s="350"/>
      <c r="I82" s="350"/>
      <c r="J82" s="350"/>
      <c r="K82" s="350"/>
      <c r="L82" s="350"/>
      <c r="M82" s="350"/>
      <c r="N82" s="350"/>
    </row>
    <row r="83" spans="1:14" x14ac:dyDescent="0.25">
      <c r="A83" s="564">
        <v>399900</v>
      </c>
      <c r="B83" s="431" t="s">
        <v>395</v>
      </c>
      <c r="C83" s="354"/>
      <c r="D83" s="354"/>
      <c r="E83" s="448"/>
      <c r="F83" s="354"/>
      <c r="G83" s="354"/>
      <c r="H83" s="350"/>
      <c r="I83" s="350"/>
      <c r="J83" s="350"/>
      <c r="K83" s="350"/>
      <c r="L83" s="350"/>
      <c r="M83" s="350"/>
      <c r="N83" s="350"/>
    </row>
    <row r="84" spans="1:14" x14ac:dyDescent="0.25">
      <c r="A84" s="564">
        <v>499900</v>
      </c>
      <c r="B84" s="431" t="s">
        <v>393</v>
      </c>
      <c r="C84" s="354"/>
      <c r="D84" s="354"/>
      <c r="E84" s="448"/>
      <c r="F84" s="354"/>
      <c r="G84" s="354"/>
      <c r="H84" s="350"/>
      <c r="I84" s="350"/>
      <c r="J84" s="350"/>
      <c r="K84" s="350"/>
      <c r="L84" s="350"/>
      <c r="M84" s="350"/>
      <c r="N84" s="350"/>
    </row>
    <row r="85" spans="1:14" x14ac:dyDescent="0.25">
      <c r="A85" s="564">
        <v>550000</v>
      </c>
      <c r="B85" s="431" t="s">
        <v>393</v>
      </c>
      <c r="C85" s="354"/>
      <c r="D85" s="354"/>
      <c r="E85" s="448"/>
      <c r="F85" s="354"/>
      <c r="G85" s="354"/>
      <c r="H85" s="350"/>
      <c r="I85" s="350"/>
      <c r="J85" s="350"/>
      <c r="K85" s="350"/>
      <c r="L85" s="350"/>
      <c r="M85" s="350"/>
      <c r="N85" s="350"/>
    </row>
    <row r="86" spans="1:14" x14ac:dyDescent="0.25">
      <c r="A86" s="565">
        <v>715000</v>
      </c>
      <c r="B86" s="432" t="s">
        <v>393</v>
      </c>
      <c r="C86" s="354"/>
      <c r="D86" s="354"/>
      <c r="E86" s="448"/>
      <c r="F86" s="354"/>
      <c r="G86" s="354"/>
      <c r="H86" s="350"/>
      <c r="I86" s="350"/>
      <c r="J86" s="350"/>
      <c r="K86" s="350"/>
      <c r="L86" s="350"/>
      <c r="M86" s="350"/>
      <c r="N86" s="350"/>
    </row>
    <row r="87" spans="1:14" x14ac:dyDescent="0.25">
      <c r="A87" s="449"/>
      <c r="B87" s="449"/>
      <c r="C87" s="355"/>
      <c r="D87" s="355"/>
      <c r="E87" s="449"/>
      <c r="F87" s="355"/>
      <c r="G87" s="355"/>
      <c r="H87" s="350"/>
      <c r="I87" s="350"/>
      <c r="J87" s="350"/>
      <c r="K87" s="350"/>
      <c r="L87" s="350"/>
      <c r="M87" s="350"/>
      <c r="N87" s="350"/>
    </row>
    <row r="89" spans="1:14" x14ac:dyDescent="0.3">
      <c r="A89" s="350"/>
      <c r="B89" s="350"/>
      <c r="E89" s="350"/>
      <c r="H89" s="350"/>
      <c r="I89" s="350"/>
      <c r="J89" s="350"/>
      <c r="K89" s="350"/>
      <c r="L89" s="350"/>
      <c r="M89" s="350"/>
      <c r="N89" s="350"/>
    </row>
    <row r="90" spans="1:14" x14ac:dyDescent="0.3">
      <c r="A90" s="350"/>
      <c r="B90" s="350"/>
      <c r="E90" s="350"/>
      <c r="H90" s="350"/>
      <c r="I90" s="350"/>
      <c r="J90" s="350"/>
      <c r="K90" s="350"/>
      <c r="L90" s="350"/>
      <c r="M90" s="350"/>
      <c r="N90" s="350"/>
    </row>
    <row r="91" spans="1:14" x14ac:dyDescent="0.3">
      <c r="A91" s="350"/>
      <c r="B91" s="350"/>
      <c r="E91" s="350"/>
      <c r="H91" s="350"/>
      <c r="I91" s="350"/>
      <c r="J91" s="350"/>
      <c r="K91" s="350"/>
      <c r="L91" s="350"/>
      <c r="M91" s="350"/>
      <c r="N91" s="350"/>
    </row>
    <row r="92" spans="1:14" x14ac:dyDescent="0.3">
      <c r="A92" s="350"/>
      <c r="B92" s="350"/>
      <c r="E92" s="350"/>
      <c r="H92" s="350"/>
      <c r="I92" s="350"/>
      <c r="J92" s="350"/>
      <c r="K92" s="350"/>
      <c r="L92" s="350"/>
      <c r="M92" s="350"/>
      <c r="N92" s="350"/>
    </row>
    <row r="93" spans="1:14" x14ac:dyDescent="0.3">
      <c r="A93" s="350"/>
      <c r="B93" s="350"/>
      <c r="E93" s="350"/>
      <c r="H93" s="350"/>
      <c r="I93" s="350"/>
      <c r="J93" s="350"/>
      <c r="K93" s="350"/>
      <c r="L93" s="350"/>
      <c r="M93" s="350"/>
      <c r="N93" s="350"/>
    </row>
    <row r="94" spans="1:14" x14ac:dyDescent="0.3">
      <c r="A94" s="350"/>
      <c r="B94" s="350"/>
      <c r="E94" s="350"/>
      <c r="H94" s="350"/>
      <c r="I94" s="350"/>
      <c r="J94" s="350"/>
      <c r="K94" s="350"/>
      <c r="L94" s="350"/>
      <c r="M94" s="350"/>
      <c r="N94" s="350"/>
    </row>
    <row r="95" spans="1:14" x14ac:dyDescent="0.3">
      <c r="A95" s="350"/>
      <c r="B95" s="350"/>
      <c r="E95" s="350"/>
      <c r="H95" s="350"/>
      <c r="I95" s="350"/>
      <c r="J95" s="350"/>
      <c r="K95" s="350"/>
      <c r="L95" s="350"/>
      <c r="M95" s="350"/>
      <c r="N95" s="350"/>
    </row>
    <row r="96" spans="1:14" x14ac:dyDescent="0.3">
      <c r="A96" s="350"/>
      <c r="B96" s="350"/>
      <c r="E96" s="350"/>
      <c r="H96" s="350"/>
      <c r="I96" s="350"/>
      <c r="J96" s="350"/>
      <c r="K96" s="350"/>
      <c r="L96" s="350"/>
      <c r="M96" s="350"/>
      <c r="N96" s="350"/>
    </row>
    <row r="97" spans="1:14" x14ac:dyDescent="0.3">
      <c r="A97" s="350"/>
      <c r="B97" s="350"/>
      <c r="E97" s="350"/>
      <c r="H97" s="350"/>
      <c r="I97" s="350"/>
      <c r="J97" s="350"/>
      <c r="K97" s="350"/>
      <c r="L97" s="350"/>
      <c r="M97" s="350"/>
      <c r="N97" s="350"/>
    </row>
    <row r="98" spans="1:14" x14ac:dyDescent="0.3">
      <c r="A98" s="350"/>
      <c r="B98" s="350"/>
      <c r="E98" s="350"/>
      <c r="H98" s="350"/>
      <c r="I98" s="350"/>
      <c r="J98" s="350"/>
      <c r="K98" s="350"/>
      <c r="L98" s="350"/>
      <c r="M98" s="350"/>
      <c r="N98" s="350"/>
    </row>
    <row r="99" spans="1:14" x14ac:dyDescent="0.3">
      <c r="A99" s="350"/>
      <c r="B99" s="350"/>
      <c r="E99" s="350"/>
      <c r="H99" s="350"/>
      <c r="I99" s="350"/>
      <c r="J99" s="350"/>
      <c r="K99" s="350"/>
      <c r="L99" s="350"/>
      <c r="M99" s="350"/>
      <c r="N99" s="350"/>
    </row>
    <row r="100" spans="1:14" x14ac:dyDescent="0.3">
      <c r="A100" s="350"/>
      <c r="B100" s="350"/>
      <c r="E100" s="350"/>
      <c r="H100" s="350"/>
      <c r="I100" s="350"/>
      <c r="J100" s="350"/>
      <c r="K100" s="350"/>
      <c r="L100" s="350"/>
      <c r="M100" s="350"/>
      <c r="N100" s="350"/>
    </row>
    <row r="101" spans="1:14" x14ac:dyDescent="0.3">
      <c r="A101" s="350"/>
      <c r="B101" s="350"/>
      <c r="E101" s="350"/>
      <c r="H101" s="350"/>
      <c r="I101" s="350"/>
      <c r="J101" s="350"/>
      <c r="K101" s="350"/>
      <c r="L101" s="350"/>
      <c r="M101" s="350"/>
      <c r="N101" s="350"/>
    </row>
    <row r="102" spans="1:14" x14ac:dyDescent="0.3">
      <c r="A102" s="350"/>
      <c r="B102" s="350"/>
      <c r="E102" s="350"/>
      <c r="H102" s="350"/>
      <c r="I102" s="350"/>
      <c r="J102" s="350"/>
      <c r="K102" s="350"/>
      <c r="L102" s="350"/>
      <c r="M102" s="350"/>
      <c r="N102" s="350"/>
    </row>
  </sheetData>
  <autoFilter ref="B34:I34" xr:uid="{0E02B6C0-0C03-49D1-BB98-D09DBA1E4EF8}"/>
  <mergeCells count="11">
    <mergeCell ref="A1:G1"/>
    <mergeCell ref="L35:L50"/>
    <mergeCell ref="A54:H54"/>
    <mergeCell ref="J34:K34"/>
    <mergeCell ref="H34:I34"/>
    <mergeCell ref="A33:L33"/>
    <mergeCell ref="B24:E24"/>
    <mergeCell ref="B25:E25"/>
    <mergeCell ref="H24:H25"/>
    <mergeCell ref="A8:H8"/>
    <mergeCell ref="H10:H23"/>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6AAB3-37D4-40C4-AD32-87DEB55DC747}">
  <sheetPr codeName="Sheet17"/>
  <dimension ref="A1:H22"/>
  <sheetViews>
    <sheetView zoomScale="85" zoomScaleNormal="85" workbookViewId="0">
      <selection sqref="A1:H1"/>
    </sheetView>
  </sheetViews>
  <sheetFormatPr defaultColWidth="8.6640625" defaultRowHeight="13.2" x14ac:dyDescent="0.25"/>
  <cols>
    <col min="1" max="1" width="48.33203125" style="4" customWidth="1"/>
    <col min="2" max="2" width="19" style="4" customWidth="1"/>
    <col min="3" max="3" width="23.5546875" style="4" customWidth="1"/>
    <col min="4" max="4" width="21.44140625" style="4" bestFit="1" customWidth="1"/>
    <col min="5" max="5" width="21.33203125" style="4" customWidth="1"/>
    <col min="6" max="6" width="22.6640625" style="4" customWidth="1"/>
    <col min="7" max="7" width="19.6640625" style="4" customWidth="1"/>
    <col min="8" max="8" width="44.109375" style="4" customWidth="1"/>
    <col min="9" max="9" width="9.6640625" style="4" customWidth="1"/>
    <col min="10" max="10" width="13.33203125" style="4" customWidth="1"/>
    <col min="11" max="11" width="24" style="4" customWidth="1"/>
    <col min="12" max="12" width="10.5546875" style="4" customWidth="1"/>
    <col min="13" max="13" width="11.44140625" style="4" customWidth="1"/>
    <col min="14" max="14" width="10.5546875" style="4" customWidth="1"/>
    <col min="15" max="15" width="13.33203125" style="4" customWidth="1"/>
    <col min="16" max="16" width="9.6640625" style="4" customWidth="1"/>
    <col min="17" max="17" width="9.44140625" style="4" customWidth="1"/>
    <col min="18" max="18" width="12.6640625" style="4" customWidth="1"/>
    <col min="19" max="19" width="14.6640625" style="4" customWidth="1"/>
    <col min="20" max="20" width="20.6640625" style="4" customWidth="1"/>
    <col min="21" max="21" width="19.6640625" style="4" customWidth="1"/>
    <col min="22" max="27" width="8.6640625" style="4"/>
    <col min="28" max="28" width="13.6640625" style="4" bestFit="1" customWidth="1"/>
    <col min="29" max="16384" width="8.6640625" style="4"/>
  </cols>
  <sheetData>
    <row r="1" spans="1:8" ht="21" customHeight="1" x14ac:dyDescent="0.25">
      <c r="A1" s="677" t="str">
        <f>"Interior Lighting - " &amp; Prototype!A2</f>
        <v>Interior Lighting - OfficeSmall</v>
      </c>
      <c r="B1" s="615"/>
      <c r="C1" s="615"/>
      <c r="D1" s="615"/>
      <c r="E1" s="615"/>
      <c r="F1" s="615"/>
      <c r="G1" s="615"/>
      <c r="H1" s="615"/>
    </row>
    <row r="2" spans="1:8" ht="19.95" customHeight="1" x14ac:dyDescent="0.25">
      <c r="A2" s="678" t="s">
        <v>182</v>
      </c>
      <c r="B2" s="679" t="s">
        <v>396</v>
      </c>
      <c r="C2" s="679"/>
      <c r="D2" s="679"/>
      <c r="E2" s="679" t="s">
        <v>224</v>
      </c>
      <c r="F2" s="679"/>
      <c r="G2" s="679"/>
      <c r="H2" s="679" t="s">
        <v>122</v>
      </c>
    </row>
    <row r="3" spans="1:8" ht="27" customHeight="1" x14ac:dyDescent="0.25">
      <c r="A3" s="678"/>
      <c r="B3" s="514" t="s">
        <v>397</v>
      </c>
      <c r="C3" s="514" t="s">
        <v>398</v>
      </c>
      <c r="D3" s="514" t="s">
        <v>253</v>
      </c>
      <c r="E3" s="514" t="s">
        <v>399</v>
      </c>
      <c r="F3" s="514" t="s">
        <v>398</v>
      </c>
      <c r="G3" s="514" t="s">
        <v>253</v>
      </c>
      <c r="H3" s="679"/>
    </row>
    <row r="4" spans="1:8" ht="28.5" customHeight="1" x14ac:dyDescent="0.25">
      <c r="A4" s="19" t="s">
        <v>141</v>
      </c>
      <c r="B4" s="512">
        <v>0.6</v>
      </c>
      <c r="C4" s="316">
        <f>0.2*0.5</f>
        <v>0.1</v>
      </c>
      <c r="D4" s="676" t="s">
        <v>400</v>
      </c>
      <c r="E4" s="512">
        <v>0.75</v>
      </c>
      <c r="F4" s="315" t="s">
        <v>161</v>
      </c>
      <c r="G4" s="676" t="s">
        <v>401</v>
      </c>
      <c r="H4" s="316" t="s">
        <v>402</v>
      </c>
    </row>
    <row r="5" spans="1:8" ht="36" customHeight="1" x14ac:dyDescent="0.25">
      <c r="A5" s="19" t="s">
        <v>150</v>
      </c>
      <c r="B5" s="512">
        <v>0.75</v>
      </c>
      <c r="C5" s="508"/>
      <c r="D5" s="676"/>
      <c r="E5" s="512">
        <v>1.4</v>
      </c>
      <c r="F5" s="14"/>
      <c r="G5" s="676"/>
      <c r="H5" s="508"/>
    </row>
    <row r="6" spans="1:8" ht="19.95" customHeight="1" x14ac:dyDescent="0.25">
      <c r="A6" s="19" t="s">
        <v>153</v>
      </c>
      <c r="B6" s="512">
        <v>0.7</v>
      </c>
      <c r="C6" s="315">
        <v>0.25</v>
      </c>
      <c r="D6" s="676"/>
      <c r="E6" s="512">
        <v>1.5</v>
      </c>
      <c r="F6" s="315">
        <v>0.5</v>
      </c>
      <c r="G6" s="676"/>
      <c r="H6" s="508"/>
    </row>
    <row r="7" spans="1:8" ht="19.95" customHeight="1" x14ac:dyDescent="0.25">
      <c r="A7" s="19" t="s">
        <v>156</v>
      </c>
      <c r="B7" s="512">
        <v>0.4</v>
      </c>
      <c r="C7" s="508"/>
      <c r="D7" s="676"/>
      <c r="E7" s="31">
        <v>0.6</v>
      </c>
      <c r="F7" s="14"/>
      <c r="G7" s="676"/>
      <c r="H7" s="508"/>
    </row>
    <row r="8" spans="1:8" ht="19.95" customHeight="1" x14ac:dyDescent="0.25">
      <c r="A8" s="19" t="s">
        <v>160</v>
      </c>
      <c r="B8" s="512">
        <v>0.4</v>
      </c>
      <c r="C8" s="508"/>
      <c r="D8" s="676"/>
      <c r="E8" s="512">
        <v>0.7</v>
      </c>
      <c r="F8" s="14"/>
      <c r="G8" s="676"/>
      <c r="H8" s="508"/>
    </row>
    <row r="9" spans="1:8" ht="19.95" customHeight="1" x14ac:dyDescent="0.25">
      <c r="A9" s="19" t="s">
        <v>164</v>
      </c>
      <c r="B9" s="316">
        <v>0.65</v>
      </c>
      <c r="C9" s="508"/>
      <c r="D9" s="676"/>
      <c r="E9" s="512">
        <v>0.65</v>
      </c>
      <c r="F9" s="14"/>
      <c r="G9" s="676"/>
      <c r="H9" s="508"/>
    </row>
    <row r="10" spans="1:8" ht="39.6" customHeight="1" x14ac:dyDescent="0.25">
      <c r="A10" s="191" t="s">
        <v>166</v>
      </c>
      <c r="B10" s="512">
        <v>0.55000000000000004</v>
      </c>
      <c r="C10" s="315">
        <f>0.5*0.25</f>
        <v>0.125</v>
      </c>
      <c r="D10" s="676"/>
      <c r="E10" s="512">
        <v>1.1000000000000001</v>
      </c>
      <c r="F10" s="14"/>
      <c r="G10" s="676"/>
      <c r="H10" s="512" t="s">
        <v>403</v>
      </c>
    </row>
    <row r="11" spans="1:8" ht="19.95" customHeight="1" x14ac:dyDescent="0.25">
      <c r="A11" s="19" t="s">
        <v>168</v>
      </c>
      <c r="B11" s="512">
        <v>0.4</v>
      </c>
      <c r="C11" s="508"/>
      <c r="D11" s="676"/>
      <c r="E11" s="512">
        <v>0.6</v>
      </c>
      <c r="F11" s="14"/>
      <c r="G11" s="676"/>
      <c r="H11" s="219"/>
    </row>
    <row r="12" spans="1:8" ht="31.2" customHeight="1" x14ac:dyDescent="0.25">
      <c r="A12" s="19" t="s">
        <v>172</v>
      </c>
      <c r="B12" s="508"/>
      <c r="C12" s="512"/>
      <c r="D12" s="676"/>
      <c r="E12" s="32"/>
      <c r="F12" s="508"/>
      <c r="G12" s="676"/>
      <c r="H12" s="33"/>
    </row>
    <row r="13" spans="1:8" ht="13.2" customHeight="1" x14ac:dyDescent="0.25">
      <c r="B13" s="23"/>
      <c r="C13" s="23"/>
      <c r="D13" s="132"/>
    </row>
    <row r="14" spans="1:8" ht="13.2" customHeight="1" x14ac:dyDescent="0.25">
      <c r="A14" s="4" t="s">
        <v>404</v>
      </c>
      <c r="B14" s="23"/>
      <c r="C14" s="23"/>
      <c r="D14" s="23"/>
    </row>
    <row r="15" spans="1:8" ht="21" customHeight="1" x14ac:dyDescent="0.25">
      <c r="A15" s="35"/>
      <c r="B15" s="23"/>
      <c r="C15" s="23"/>
      <c r="D15" s="23"/>
    </row>
    <row r="16" spans="1:8" ht="13.2" customHeight="1" x14ac:dyDescent="0.25">
      <c r="B16" s="23"/>
      <c r="C16" s="23"/>
      <c r="D16" s="23"/>
    </row>
    <row r="17" spans="1:4" ht="13.2" customHeight="1" x14ac:dyDescent="0.25">
      <c r="B17" s="675" t="s">
        <v>405</v>
      </c>
      <c r="C17" s="675"/>
      <c r="D17" s="23"/>
    </row>
    <row r="18" spans="1:4" ht="13.2" customHeight="1" x14ac:dyDescent="0.25">
      <c r="B18" s="499">
        <v>2025</v>
      </c>
      <c r="C18" s="499">
        <v>2013</v>
      </c>
      <c r="D18" s="23"/>
    </row>
    <row r="19" spans="1:4" ht="13.2" customHeight="1" x14ac:dyDescent="0.25">
      <c r="A19" s="508" t="s">
        <v>406</v>
      </c>
      <c r="B19" s="512">
        <v>0.6</v>
      </c>
      <c r="C19" s="512">
        <v>0.8</v>
      </c>
      <c r="D19" s="4" t="s">
        <v>407</v>
      </c>
    </row>
    <row r="20" spans="1:4" ht="13.2" customHeight="1" x14ac:dyDescent="0.25">
      <c r="B20" s="23"/>
      <c r="C20" s="23"/>
      <c r="D20" s="23"/>
    </row>
    <row r="21" spans="1:4" ht="13.2" customHeight="1" x14ac:dyDescent="0.25">
      <c r="B21" s="23"/>
      <c r="C21" s="23"/>
      <c r="D21" s="23"/>
    </row>
    <row r="22" spans="1:4" ht="13.2" customHeight="1" x14ac:dyDescent="0.25">
      <c r="B22" s="23"/>
      <c r="C22" s="23"/>
      <c r="D22" s="23"/>
    </row>
  </sheetData>
  <mergeCells count="8">
    <mergeCell ref="B17:C17"/>
    <mergeCell ref="D4:D12"/>
    <mergeCell ref="G4:G12"/>
    <mergeCell ref="A1:H1"/>
    <mergeCell ref="A2:A3"/>
    <mergeCell ref="B2:D2"/>
    <mergeCell ref="E2:G2"/>
    <mergeCell ref="H2:H3"/>
  </mergeCells>
  <phoneticPr fontId="4" type="noConversion"/>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E176D1F-2AB2-43E3-BFE1-290BD5F42A92}">
          <x14:formula1>
            <xm:f>Data!$A$2:$A$201</xm:f>
          </x14:formula1>
          <xm:sqref>A4:A11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98FA8-1D97-4D12-96EB-6911ACEC625A}">
  <sheetPr codeName="Sheet18"/>
  <dimension ref="A1:G28"/>
  <sheetViews>
    <sheetView zoomScale="85" zoomScaleNormal="85" workbookViewId="0">
      <selection sqref="A1:D1"/>
    </sheetView>
  </sheetViews>
  <sheetFormatPr defaultColWidth="8.6640625" defaultRowHeight="13.2" x14ac:dyDescent="0.25"/>
  <cols>
    <col min="1" max="1" width="35.6640625" style="4" customWidth="1"/>
    <col min="2" max="2" width="42.33203125" style="4" customWidth="1"/>
    <col min="3" max="3" width="17.33203125" style="4" customWidth="1"/>
    <col min="4" max="4" width="28.109375" style="4" customWidth="1"/>
    <col min="5" max="5" width="27.33203125" style="4" customWidth="1"/>
    <col min="6" max="6" width="24.6640625" style="4" customWidth="1"/>
    <col min="7" max="7" width="19.88671875" style="4" customWidth="1"/>
    <col min="8" max="8" width="15.5546875" style="4" customWidth="1"/>
    <col min="9" max="9" width="13.33203125" style="4" customWidth="1"/>
    <col min="10" max="10" width="17.109375" style="4" customWidth="1"/>
    <col min="11" max="16384" width="8.6640625" style="4"/>
  </cols>
  <sheetData>
    <row r="1" spans="1:7" ht="25.2" customHeight="1" x14ac:dyDescent="0.25">
      <c r="A1" s="681" t="str">
        <f>"Exterior Lighting - " &amp; Prototype!A2</f>
        <v>Exterior Lighting - OfficeSmall</v>
      </c>
      <c r="B1" s="681"/>
      <c r="C1" s="681"/>
      <c r="D1" s="681"/>
    </row>
    <row r="2" spans="1:7" ht="37.200000000000003" customHeight="1" x14ac:dyDescent="0.25">
      <c r="A2" s="56" t="s">
        <v>408</v>
      </c>
      <c r="B2" s="56" t="s">
        <v>409</v>
      </c>
      <c r="C2" s="56" t="s">
        <v>410</v>
      </c>
      <c r="D2" s="56" t="s">
        <v>253</v>
      </c>
    </row>
    <row r="3" spans="1:7" ht="51.6" customHeight="1" x14ac:dyDescent="0.25">
      <c r="A3" s="58">
        <f>G12</f>
        <v>382.26278846400004</v>
      </c>
      <c r="B3" s="58">
        <f>G13</f>
        <v>155.151445787</v>
      </c>
      <c r="C3" s="58">
        <f>A3+B3</f>
        <v>537.41423425100004</v>
      </c>
      <c r="D3" s="512" t="s">
        <v>411</v>
      </c>
    </row>
    <row r="4" spans="1:7" ht="22.2" customHeight="1" x14ac:dyDescent="0.25">
      <c r="A4" s="100"/>
      <c r="B4" s="100"/>
      <c r="C4" s="100"/>
    </row>
    <row r="5" spans="1:7" ht="22.2" customHeight="1" x14ac:dyDescent="0.25">
      <c r="A5" s="681" t="s">
        <v>412</v>
      </c>
      <c r="B5" s="681"/>
      <c r="C5" s="681"/>
      <c r="D5" s="681"/>
      <c r="E5" s="681"/>
      <c r="F5" s="681"/>
      <c r="G5" s="681"/>
    </row>
    <row r="6" spans="1:7" ht="44.4" customHeight="1" x14ac:dyDescent="0.25">
      <c r="A6" s="192" t="s">
        <v>413</v>
      </c>
      <c r="B6" s="682" t="s">
        <v>414</v>
      </c>
      <c r="C6" s="683"/>
      <c r="D6" s="193" t="s">
        <v>117</v>
      </c>
      <c r="E6" s="193" t="s">
        <v>415</v>
      </c>
      <c r="F6" s="193" t="s">
        <v>117</v>
      </c>
      <c r="G6" s="193" t="s">
        <v>416</v>
      </c>
    </row>
    <row r="7" spans="1:7" x14ac:dyDescent="0.25">
      <c r="A7" s="14" t="s">
        <v>417</v>
      </c>
      <c r="B7" s="14"/>
      <c r="C7" s="194"/>
      <c r="D7" s="508"/>
      <c r="E7" s="508">
        <v>200</v>
      </c>
      <c r="F7" s="508" t="s">
        <v>418</v>
      </c>
      <c r="G7" s="195">
        <f>$E7</f>
        <v>200</v>
      </c>
    </row>
    <row r="8" spans="1:7" ht="52.8" x14ac:dyDescent="0.25">
      <c r="A8" s="15" t="s">
        <v>419</v>
      </c>
      <c r="B8" s="402" t="s">
        <v>420</v>
      </c>
      <c r="C8" s="196">
        <f>B19/250*400</f>
        <v>8803.3046560000021</v>
      </c>
      <c r="D8" s="508" t="s">
        <v>421</v>
      </c>
      <c r="E8" s="508">
        <v>1.9E-2</v>
      </c>
      <c r="F8" s="508" t="s">
        <v>422</v>
      </c>
      <c r="G8" s="195">
        <f>$E8*C8</f>
        <v>167.26278846400004</v>
      </c>
    </row>
    <row r="9" spans="1:7" x14ac:dyDescent="0.25">
      <c r="A9" s="14" t="s">
        <v>423</v>
      </c>
      <c r="B9" s="197" t="s">
        <v>424</v>
      </c>
      <c r="C9" s="198">
        <v>1</v>
      </c>
      <c r="D9" s="508" t="s">
        <v>425</v>
      </c>
      <c r="E9" s="508">
        <v>15</v>
      </c>
      <c r="F9" s="508" t="s">
        <v>426</v>
      </c>
      <c r="G9" s="195">
        <f>E9*C9</f>
        <v>15</v>
      </c>
    </row>
    <row r="10" spans="1:7" ht="39.6" x14ac:dyDescent="0.25">
      <c r="A10" s="14" t="s">
        <v>427</v>
      </c>
      <c r="B10" s="403" t="s">
        <v>428</v>
      </c>
      <c r="C10" s="199">
        <f>B19*0.1</f>
        <v>550.20654100000013</v>
      </c>
      <c r="D10" s="508" t="s">
        <v>421</v>
      </c>
      <c r="E10" s="508">
        <v>7.0000000000000001E-3</v>
      </c>
      <c r="F10" s="508" t="s">
        <v>422</v>
      </c>
      <c r="G10" s="200">
        <f>E10*C10</f>
        <v>3.8514457870000012</v>
      </c>
    </row>
    <row r="11" spans="1:7" ht="92.4" x14ac:dyDescent="0.25">
      <c r="A11" s="14" t="s">
        <v>429</v>
      </c>
      <c r="B11" s="197" t="s">
        <v>430</v>
      </c>
      <c r="C11" s="199">
        <f>B18*0.5*10</f>
        <v>1513</v>
      </c>
      <c r="D11" s="508" t="s">
        <v>421</v>
      </c>
      <c r="E11" s="508">
        <v>0.1</v>
      </c>
      <c r="F11" s="508" t="s">
        <v>422</v>
      </c>
      <c r="G11" s="200">
        <f>E11*C11</f>
        <v>151.30000000000001</v>
      </c>
    </row>
    <row r="12" spans="1:7" x14ac:dyDescent="0.25">
      <c r="A12" s="680" t="s">
        <v>431</v>
      </c>
      <c r="B12" s="680"/>
      <c r="C12" s="680"/>
      <c r="D12" s="680"/>
      <c r="E12" s="680"/>
      <c r="F12" s="680"/>
      <c r="G12" s="201">
        <f>G8+G7+G9</f>
        <v>382.26278846400004</v>
      </c>
    </row>
    <row r="13" spans="1:7" x14ac:dyDescent="0.25">
      <c r="A13" s="680" t="s">
        <v>432</v>
      </c>
      <c r="B13" s="680"/>
      <c r="C13" s="680"/>
      <c r="D13" s="680"/>
      <c r="E13" s="680"/>
      <c r="F13" s="680"/>
      <c r="G13" s="201">
        <f>G10+G11</f>
        <v>155.151445787</v>
      </c>
    </row>
    <row r="14" spans="1:7" x14ac:dyDescent="0.25">
      <c r="A14" s="680" t="s">
        <v>185</v>
      </c>
      <c r="B14" s="680"/>
      <c r="C14" s="680"/>
      <c r="D14" s="680"/>
      <c r="E14" s="680"/>
      <c r="F14" s="680"/>
      <c r="G14" s="201">
        <f>G12+G13</f>
        <v>537.41423425100004</v>
      </c>
    </row>
    <row r="15" spans="1:7" x14ac:dyDescent="0.25">
      <c r="A15" s="100"/>
      <c r="B15" s="100"/>
      <c r="C15" s="100"/>
    </row>
    <row r="16" spans="1:7" x14ac:dyDescent="0.25">
      <c r="A16" s="4" t="s">
        <v>433</v>
      </c>
      <c r="C16" s="100"/>
    </row>
    <row r="17" spans="1:3" x14ac:dyDescent="0.25">
      <c r="C17" s="100"/>
    </row>
    <row r="18" spans="1:3" x14ac:dyDescent="0.25">
      <c r="A18" s="4" t="s">
        <v>434</v>
      </c>
      <c r="B18" s="77">
        <f>(90.8+60.5)*2</f>
        <v>302.60000000000002</v>
      </c>
      <c r="C18" s="100"/>
    </row>
    <row r="19" spans="1:3" x14ac:dyDescent="0.25">
      <c r="A19" s="4" t="s">
        <v>435</v>
      </c>
      <c r="B19" s="77">
        <f>Zones!H17</f>
        <v>5502.0654100000011</v>
      </c>
      <c r="C19" s="100"/>
    </row>
    <row r="20" spans="1:3" x14ac:dyDescent="0.25">
      <c r="A20" s="4" t="s">
        <v>436</v>
      </c>
      <c r="B20" s="502">
        <v>1</v>
      </c>
      <c r="C20" s="100"/>
    </row>
    <row r="21" spans="1:3" x14ac:dyDescent="0.25">
      <c r="A21" s="100"/>
      <c r="B21" s="100"/>
      <c r="C21" s="100"/>
    </row>
    <row r="22" spans="1:3" x14ac:dyDescent="0.25">
      <c r="A22" s="100"/>
      <c r="B22" s="100"/>
      <c r="C22" s="100"/>
    </row>
    <row r="23" spans="1:3" x14ac:dyDescent="0.25">
      <c r="A23" s="100"/>
      <c r="B23" s="100"/>
      <c r="C23" s="100"/>
    </row>
    <row r="24" spans="1:3" x14ac:dyDescent="0.25">
      <c r="A24" s="100"/>
      <c r="B24" s="100"/>
      <c r="C24" s="100"/>
    </row>
    <row r="25" spans="1:3" x14ac:dyDescent="0.25">
      <c r="A25" s="100"/>
      <c r="B25" s="100"/>
      <c r="C25" s="100"/>
    </row>
    <row r="26" spans="1:3" x14ac:dyDescent="0.25">
      <c r="A26" s="100"/>
      <c r="B26" s="100"/>
      <c r="C26" s="100"/>
    </row>
    <row r="27" spans="1:3" x14ac:dyDescent="0.25">
      <c r="A27" s="100"/>
      <c r="B27" s="100"/>
      <c r="C27" s="100"/>
    </row>
    <row r="28" spans="1:3" x14ac:dyDescent="0.25">
      <c r="A28" s="100"/>
      <c r="B28" s="100"/>
      <c r="C28" s="100"/>
    </row>
  </sheetData>
  <mergeCells count="6">
    <mergeCell ref="A14:F14"/>
    <mergeCell ref="A1:D1"/>
    <mergeCell ref="A5:G5"/>
    <mergeCell ref="B6:C6"/>
    <mergeCell ref="A12:F12"/>
    <mergeCell ref="A13:F13"/>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19C81-B0B9-4AE9-9154-3628732CA590}">
  <sheetPr codeName="Sheet9"/>
  <dimension ref="A1:F53"/>
  <sheetViews>
    <sheetView zoomScale="85" zoomScaleNormal="85" workbookViewId="0">
      <selection sqref="A1:E1"/>
    </sheetView>
  </sheetViews>
  <sheetFormatPr defaultColWidth="8.6640625" defaultRowHeight="13.2" x14ac:dyDescent="0.25"/>
  <cols>
    <col min="1" max="1" width="47.109375" style="4" customWidth="1"/>
    <col min="2" max="2" width="32.109375" style="4" customWidth="1"/>
    <col min="3" max="3" width="23.6640625" style="4" customWidth="1"/>
    <col min="4" max="4" width="19.33203125" style="4" customWidth="1"/>
    <col min="5" max="5" width="59.33203125" style="4" customWidth="1"/>
    <col min="6" max="6" width="18.6640625" style="4" customWidth="1"/>
    <col min="7" max="7" width="14.33203125" style="4" customWidth="1"/>
    <col min="8" max="8" width="8.6640625" style="4"/>
    <col min="9" max="9" width="10.5546875" style="4" bestFit="1" customWidth="1"/>
    <col min="10" max="10" width="16.33203125" style="4" customWidth="1"/>
    <col min="11" max="11" width="10.6640625" style="4" bestFit="1" customWidth="1"/>
    <col min="12" max="12" width="10.5546875" style="4" bestFit="1" customWidth="1"/>
    <col min="13" max="16384" width="8.6640625" style="4"/>
  </cols>
  <sheetData>
    <row r="1" spans="1:6" ht="23.4" customHeight="1" x14ac:dyDescent="0.25">
      <c r="A1" s="684" t="str">
        <f>"Equipment - " &amp; Prototype!A2</f>
        <v>Equipment - OfficeSmall</v>
      </c>
      <c r="B1" s="684"/>
      <c r="C1" s="684"/>
      <c r="D1" s="684"/>
      <c r="E1" s="684"/>
    </row>
    <row r="2" spans="1:6" ht="33" customHeight="1" x14ac:dyDescent="0.25">
      <c r="A2" s="107" t="s">
        <v>341</v>
      </c>
      <c r="B2" s="514" t="s">
        <v>437</v>
      </c>
      <c r="C2" s="514" t="s">
        <v>438</v>
      </c>
      <c r="D2" s="514" t="s">
        <v>439</v>
      </c>
      <c r="E2" s="513" t="s">
        <v>253</v>
      </c>
    </row>
    <row r="3" spans="1:6" ht="63.75" customHeight="1" x14ac:dyDescent="0.25">
      <c r="A3" s="19" t="s">
        <v>141</v>
      </c>
      <c r="B3" s="508">
        <v>0.7</v>
      </c>
      <c r="C3" s="33"/>
      <c r="D3" s="14"/>
      <c r="E3" s="316" t="s">
        <v>440</v>
      </c>
    </row>
    <row r="4" spans="1:6" ht="25.2" customHeight="1" x14ac:dyDescent="0.25">
      <c r="A4" s="19" t="s">
        <v>150</v>
      </c>
      <c r="B4" s="315">
        <v>1</v>
      </c>
      <c r="C4" s="33"/>
      <c r="D4" s="14"/>
      <c r="E4" s="685" t="s">
        <v>441</v>
      </c>
      <c r="F4" s="106"/>
    </row>
    <row r="5" spans="1:6" ht="18" customHeight="1" x14ac:dyDescent="0.25">
      <c r="A5" s="19" t="s">
        <v>153</v>
      </c>
      <c r="B5" s="508">
        <v>0.5</v>
      </c>
      <c r="C5" s="33"/>
      <c r="D5" s="14"/>
      <c r="E5" s="686"/>
      <c r="F5" s="106"/>
    </row>
    <row r="6" spans="1:6" ht="18" customHeight="1" x14ac:dyDescent="0.25">
      <c r="A6" s="19" t="s">
        <v>156</v>
      </c>
      <c r="B6" s="508">
        <v>0.2</v>
      </c>
      <c r="C6" s="33"/>
      <c r="D6" s="14"/>
      <c r="E6" s="686"/>
      <c r="F6" s="106"/>
    </row>
    <row r="7" spans="1:6" ht="18" customHeight="1" x14ac:dyDescent="0.25">
      <c r="A7" s="19" t="s">
        <v>160</v>
      </c>
      <c r="B7" s="101">
        <v>3</v>
      </c>
      <c r="C7" s="33"/>
      <c r="D7" s="14"/>
      <c r="E7" s="686"/>
      <c r="F7" s="106"/>
    </row>
    <row r="8" spans="1:6" ht="18" customHeight="1" x14ac:dyDescent="0.25">
      <c r="A8" s="19" t="s">
        <v>164</v>
      </c>
      <c r="B8" s="508">
        <v>0</v>
      </c>
      <c r="C8" s="33"/>
      <c r="D8" s="14"/>
      <c r="E8" s="686"/>
      <c r="F8" s="106"/>
    </row>
    <row r="9" spans="1:6" ht="18" customHeight="1" x14ac:dyDescent="0.25">
      <c r="A9" s="191" t="s">
        <v>166</v>
      </c>
      <c r="B9" s="508">
        <v>1</v>
      </c>
      <c r="C9" s="33"/>
      <c r="D9" s="14"/>
      <c r="E9" s="686"/>
      <c r="F9" s="106"/>
    </row>
    <row r="10" spans="1:6" ht="18" customHeight="1" x14ac:dyDescent="0.25">
      <c r="A10" s="19" t="s">
        <v>168</v>
      </c>
      <c r="B10" s="508">
        <v>0</v>
      </c>
      <c r="C10" s="33"/>
      <c r="D10" s="14"/>
      <c r="E10" s="687"/>
      <c r="F10" s="22"/>
    </row>
    <row r="12" spans="1:6" x14ac:dyDescent="0.25">
      <c r="A12" s="5"/>
    </row>
    <row r="13" spans="1:6" ht="15" customHeight="1" x14ac:dyDescent="0.25"/>
    <row r="14" spans="1:6" ht="12.6" customHeight="1" x14ac:dyDescent="0.3">
      <c r="A14" s="1"/>
    </row>
    <row r="20" spans="1:1" s="203" customFormat="1" x14ac:dyDescent="0.25">
      <c r="A20" s="202"/>
    </row>
    <row r="23" spans="1:1" x14ac:dyDescent="0.25">
      <c r="A23" s="6"/>
    </row>
    <row r="24" spans="1:1" x14ac:dyDescent="0.25">
      <c r="A24" s="6"/>
    </row>
    <row r="25" spans="1:1" x14ac:dyDescent="0.25">
      <c r="A25" s="6"/>
    </row>
    <row r="26" spans="1:1" x14ac:dyDescent="0.25">
      <c r="A26" s="6"/>
    </row>
    <row r="27" spans="1:1" x14ac:dyDescent="0.25">
      <c r="A27" s="6"/>
    </row>
    <row r="28" spans="1:1" x14ac:dyDescent="0.25">
      <c r="A28" s="6"/>
    </row>
    <row r="29" spans="1:1" x14ac:dyDescent="0.25">
      <c r="A29" s="6"/>
    </row>
    <row r="30" spans="1:1" x14ac:dyDescent="0.25">
      <c r="A30" s="6"/>
    </row>
    <row r="31" spans="1:1" x14ac:dyDescent="0.25">
      <c r="A31" s="6"/>
    </row>
    <row r="32" spans="1:1" x14ac:dyDescent="0.25">
      <c r="A32" s="6"/>
    </row>
    <row r="33" spans="1:1" x14ac:dyDescent="0.25">
      <c r="A33" s="6"/>
    </row>
    <row r="34" spans="1:1" x14ac:dyDescent="0.25">
      <c r="A34" s="6"/>
    </row>
    <row r="35" spans="1:1" x14ac:dyDescent="0.25">
      <c r="A35" s="6"/>
    </row>
    <row r="36" spans="1:1" x14ac:dyDescent="0.25">
      <c r="A36" s="6"/>
    </row>
    <row r="37" spans="1:1" x14ac:dyDescent="0.25">
      <c r="A37" s="6"/>
    </row>
    <row r="38" spans="1:1" x14ac:dyDescent="0.25">
      <c r="A38" s="6"/>
    </row>
    <row r="39" spans="1:1" x14ac:dyDescent="0.25">
      <c r="A39" s="6"/>
    </row>
    <row r="40" spans="1:1" x14ac:dyDescent="0.25">
      <c r="A40" s="6"/>
    </row>
    <row r="41" spans="1:1" x14ac:dyDescent="0.25">
      <c r="A41" s="6"/>
    </row>
    <row r="42" spans="1:1" x14ac:dyDescent="0.25">
      <c r="A42" s="6"/>
    </row>
    <row r="43" spans="1:1" x14ac:dyDescent="0.25">
      <c r="A43" s="6"/>
    </row>
    <row r="44" spans="1:1" x14ac:dyDescent="0.25">
      <c r="A44" s="6"/>
    </row>
    <row r="45" spans="1:1" x14ac:dyDescent="0.25">
      <c r="A45" s="6"/>
    </row>
    <row r="46" spans="1:1" x14ac:dyDescent="0.25">
      <c r="A46" s="6"/>
    </row>
    <row r="47" spans="1:1" x14ac:dyDescent="0.25">
      <c r="A47" s="6"/>
    </row>
    <row r="48" spans="1:1" x14ac:dyDescent="0.25">
      <c r="A48" s="6"/>
    </row>
    <row r="49" spans="1:1" x14ac:dyDescent="0.25">
      <c r="A49" s="6"/>
    </row>
    <row r="53" spans="1:1" s="203" customFormat="1" x14ac:dyDescent="0.25">
      <c r="A53" s="202"/>
    </row>
  </sheetData>
  <mergeCells count="2">
    <mergeCell ref="A1:E1"/>
    <mergeCell ref="E4:E10"/>
  </mergeCells>
  <pageMargins left="0.7" right="0.7" top="0.75" bottom="0.75" header="0.3" footer="0.3"/>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708A612D-8903-41C1-9C52-43525DDB11CF}">
          <x14:formula1>
            <xm:f>Data!$A$2:$A$201</xm:f>
          </x14:formula1>
          <xm:sqref>A3:A10</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EAEBC7-570E-431D-A891-0E68E13886AA}">
  <sheetPr codeName="Sheet11"/>
  <dimension ref="A1:AM106"/>
  <sheetViews>
    <sheetView zoomScale="85" zoomScaleNormal="85" workbookViewId="0">
      <selection sqref="A1:AC1"/>
    </sheetView>
  </sheetViews>
  <sheetFormatPr defaultColWidth="9.33203125" defaultRowHeight="11.4" x14ac:dyDescent="0.3"/>
  <cols>
    <col min="1" max="1" width="18.109375" style="64" customWidth="1"/>
    <col min="2" max="2" width="18.33203125" style="64" customWidth="1"/>
    <col min="3" max="3" width="17.88671875" style="64" customWidth="1"/>
    <col min="4" max="4" width="19.33203125" style="64" customWidth="1"/>
    <col min="5" max="5" width="9.33203125" style="64"/>
    <col min="6" max="29" width="5.6640625" style="64" customWidth="1"/>
    <col min="30" max="16384" width="9.33203125" style="64"/>
  </cols>
  <sheetData>
    <row r="1" spans="1:39" ht="24" customHeight="1" x14ac:dyDescent="0.3">
      <c r="A1" s="630" t="str">
        <f>"Schedules - "&amp;Prototype!A2</f>
        <v>Schedules - OfficeSmall</v>
      </c>
      <c r="B1" s="630"/>
      <c r="C1" s="630"/>
      <c r="D1" s="630"/>
      <c r="E1" s="630"/>
      <c r="F1" s="630"/>
      <c r="G1" s="630"/>
      <c r="H1" s="630"/>
      <c r="I1" s="630"/>
      <c r="J1" s="630"/>
      <c r="K1" s="630"/>
      <c r="L1" s="630"/>
      <c r="M1" s="630"/>
      <c r="N1" s="630"/>
      <c r="O1" s="630"/>
      <c r="P1" s="630"/>
      <c r="Q1" s="630"/>
      <c r="R1" s="630"/>
      <c r="S1" s="630"/>
      <c r="T1" s="630"/>
      <c r="U1" s="630"/>
      <c r="V1" s="630"/>
      <c r="W1" s="630"/>
      <c r="X1" s="630"/>
      <c r="Y1" s="630"/>
      <c r="Z1" s="630"/>
      <c r="AA1" s="630"/>
      <c r="AB1" s="630"/>
      <c r="AC1" s="802"/>
      <c r="AD1" s="74"/>
      <c r="AE1" s="74"/>
      <c r="AF1" s="74"/>
      <c r="AG1" s="74"/>
      <c r="AH1" s="74"/>
      <c r="AI1" s="75"/>
      <c r="AJ1" s="75"/>
      <c r="AK1" s="75"/>
    </row>
    <row r="2" spans="1:39" ht="24" customHeight="1" x14ac:dyDescent="0.3">
      <c r="A2" s="678" t="s">
        <v>442</v>
      </c>
      <c r="B2" s="678" t="s">
        <v>130</v>
      </c>
      <c r="C2" s="678" t="s">
        <v>443</v>
      </c>
      <c r="D2" s="678" t="s">
        <v>253</v>
      </c>
      <c r="E2" s="678" t="s">
        <v>444</v>
      </c>
      <c r="F2" s="808" t="s">
        <v>445</v>
      </c>
      <c r="G2" s="808"/>
      <c r="H2" s="808"/>
      <c r="I2" s="808"/>
      <c r="J2" s="808"/>
      <c r="K2" s="808"/>
      <c r="L2" s="808"/>
      <c r="M2" s="808"/>
      <c r="N2" s="808"/>
      <c r="O2" s="808"/>
      <c r="P2" s="808"/>
      <c r="Q2" s="808"/>
      <c r="R2" s="808"/>
      <c r="S2" s="808"/>
      <c r="T2" s="808"/>
      <c r="U2" s="808"/>
      <c r="V2" s="808"/>
      <c r="W2" s="808"/>
      <c r="X2" s="808"/>
      <c r="Y2" s="808"/>
      <c r="Z2" s="808"/>
      <c r="AA2" s="808"/>
      <c r="AB2" s="808"/>
      <c r="AC2" s="808"/>
      <c r="AD2" s="74"/>
      <c r="AE2" s="74"/>
      <c r="AF2" s="74"/>
      <c r="AG2" s="74"/>
      <c r="AH2" s="74"/>
      <c r="AI2" s="75"/>
      <c r="AJ2" s="75"/>
      <c r="AK2" s="75"/>
    </row>
    <row r="3" spans="1:39" ht="25.2" customHeight="1" thickBot="1" x14ac:dyDescent="0.35">
      <c r="A3" s="803"/>
      <c r="B3" s="803"/>
      <c r="C3" s="803"/>
      <c r="D3" s="803"/>
      <c r="E3" s="803"/>
      <c r="F3" s="517">
        <v>1</v>
      </c>
      <c r="G3" s="517">
        <v>2</v>
      </c>
      <c r="H3" s="517">
        <v>3</v>
      </c>
      <c r="I3" s="517">
        <v>4</v>
      </c>
      <c r="J3" s="517">
        <v>5</v>
      </c>
      <c r="K3" s="517">
        <v>6</v>
      </c>
      <c r="L3" s="517">
        <v>7</v>
      </c>
      <c r="M3" s="517">
        <v>8</v>
      </c>
      <c r="N3" s="517">
        <v>9</v>
      </c>
      <c r="O3" s="517">
        <v>10</v>
      </c>
      <c r="P3" s="517">
        <v>11</v>
      </c>
      <c r="Q3" s="517">
        <v>12</v>
      </c>
      <c r="R3" s="517">
        <v>13</v>
      </c>
      <c r="S3" s="517">
        <v>14</v>
      </c>
      <c r="T3" s="517">
        <v>15</v>
      </c>
      <c r="U3" s="517">
        <v>16</v>
      </c>
      <c r="V3" s="517">
        <v>17</v>
      </c>
      <c r="W3" s="517">
        <v>18</v>
      </c>
      <c r="X3" s="517">
        <v>19</v>
      </c>
      <c r="Y3" s="517">
        <v>20</v>
      </c>
      <c r="Z3" s="517">
        <v>21</v>
      </c>
      <c r="AA3" s="517">
        <v>22</v>
      </c>
      <c r="AB3" s="517">
        <v>23</v>
      </c>
      <c r="AC3" s="517">
        <v>24</v>
      </c>
      <c r="AD3" s="75"/>
      <c r="AE3" s="75"/>
      <c r="AF3" s="75"/>
      <c r="AG3" s="75"/>
      <c r="AH3" s="75"/>
      <c r="AI3" s="75"/>
      <c r="AJ3" s="75"/>
      <c r="AK3" s="75"/>
    </row>
    <row r="4" spans="1:39" ht="35.4" customHeight="1" x14ac:dyDescent="0.3">
      <c r="A4" s="705" t="s">
        <v>446</v>
      </c>
      <c r="B4" s="761" t="s">
        <v>143</v>
      </c>
      <c r="C4" s="708" t="s">
        <v>447</v>
      </c>
      <c r="D4" s="731" t="s">
        <v>448</v>
      </c>
      <c r="E4" s="148" t="s">
        <v>449</v>
      </c>
      <c r="F4" s="149">
        <v>0</v>
      </c>
      <c r="G4" s="149">
        <v>0</v>
      </c>
      <c r="H4" s="149">
        <v>0</v>
      </c>
      <c r="I4" s="149">
        <v>0</v>
      </c>
      <c r="J4" s="149">
        <v>0</v>
      </c>
      <c r="K4" s="149">
        <v>0</v>
      </c>
      <c r="L4" s="149">
        <v>0.1</v>
      </c>
      <c r="M4" s="149">
        <v>0.2</v>
      </c>
      <c r="N4" s="149">
        <v>0.95</v>
      </c>
      <c r="O4" s="149">
        <v>0.95</v>
      </c>
      <c r="P4" s="149">
        <v>0.95</v>
      </c>
      <c r="Q4" s="149">
        <v>0.95</v>
      </c>
      <c r="R4" s="149">
        <v>0.5</v>
      </c>
      <c r="S4" s="149">
        <v>0.95</v>
      </c>
      <c r="T4" s="149">
        <v>0.95</v>
      </c>
      <c r="U4" s="149">
        <v>0.95</v>
      </c>
      <c r="V4" s="149">
        <v>0.95</v>
      </c>
      <c r="W4" s="149">
        <v>0.3</v>
      </c>
      <c r="X4" s="149">
        <v>0.1</v>
      </c>
      <c r="Y4" s="149">
        <v>0.1</v>
      </c>
      <c r="Z4" s="149">
        <v>0.1</v>
      </c>
      <c r="AA4" s="149">
        <v>0.1</v>
      </c>
      <c r="AB4" s="149">
        <v>0.05</v>
      </c>
      <c r="AC4" s="150">
        <v>0.05</v>
      </c>
      <c r="AD4" s="75"/>
      <c r="AE4" s="75"/>
      <c r="AF4" s="75"/>
      <c r="AG4" s="75"/>
      <c r="AH4" s="75"/>
      <c r="AI4" s="75"/>
      <c r="AJ4" s="75"/>
      <c r="AK4" s="75"/>
    </row>
    <row r="5" spans="1:39" ht="33" customHeight="1" x14ac:dyDescent="0.3">
      <c r="A5" s="737"/>
      <c r="B5" s="739"/>
      <c r="C5" s="742"/>
      <c r="D5" s="732"/>
      <c r="E5" s="151" t="s">
        <v>450</v>
      </c>
      <c r="F5" s="152">
        <v>0</v>
      </c>
      <c r="G5" s="152">
        <v>0</v>
      </c>
      <c r="H5" s="152">
        <v>0</v>
      </c>
      <c r="I5" s="152">
        <v>0</v>
      </c>
      <c r="J5" s="152">
        <v>0</v>
      </c>
      <c r="K5" s="152">
        <v>0</v>
      </c>
      <c r="L5" s="153">
        <v>0.05</v>
      </c>
      <c r="M5" s="153">
        <v>0.05</v>
      </c>
      <c r="N5" s="153">
        <v>0.05</v>
      </c>
      <c r="O5" s="153">
        <v>0.05</v>
      </c>
      <c r="P5" s="153">
        <v>0.05</v>
      </c>
      <c r="Q5" s="153">
        <v>0.05</v>
      </c>
      <c r="R5" s="153">
        <v>0.05</v>
      </c>
      <c r="S5" s="153">
        <v>0.05</v>
      </c>
      <c r="T5" s="153">
        <v>0.05</v>
      </c>
      <c r="U5" s="153">
        <v>0.05</v>
      </c>
      <c r="V5" s="153">
        <v>0.05</v>
      </c>
      <c r="W5" s="153">
        <v>0.05</v>
      </c>
      <c r="X5" s="154">
        <v>0</v>
      </c>
      <c r="Y5" s="152">
        <v>0</v>
      </c>
      <c r="Z5" s="152">
        <v>0</v>
      </c>
      <c r="AA5" s="152">
        <v>0</v>
      </c>
      <c r="AB5" s="152">
        <v>0</v>
      </c>
      <c r="AC5" s="155">
        <v>0</v>
      </c>
      <c r="AD5" s="75"/>
      <c r="AE5" s="75"/>
      <c r="AF5" s="75"/>
      <c r="AG5" s="75"/>
      <c r="AH5" s="75"/>
      <c r="AI5" s="75"/>
      <c r="AJ5" s="75"/>
      <c r="AK5" s="75"/>
    </row>
    <row r="6" spans="1:39" ht="33.6" customHeight="1" thickBot="1" x14ac:dyDescent="0.35">
      <c r="A6" s="738"/>
      <c r="B6" s="740"/>
      <c r="C6" s="756"/>
      <c r="D6" s="809"/>
      <c r="E6" s="156" t="s">
        <v>451</v>
      </c>
      <c r="F6" s="157">
        <v>0</v>
      </c>
      <c r="G6" s="157">
        <v>0</v>
      </c>
      <c r="H6" s="157">
        <v>0</v>
      </c>
      <c r="I6" s="157">
        <v>0</v>
      </c>
      <c r="J6" s="157">
        <v>0</v>
      </c>
      <c r="K6" s="157">
        <v>0</v>
      </c>
      <c r="L6" s="157">
        <v>0.05</v>
      </c>
      <c r="M6" s="157">
        <v>0.05</v>
      </c>
      <c r="N6" s="157">
        <v>0.05</v>
      </c>
      <c r="O6" s="157">
        <v>0.05</v>
      </c>
      <c r="P6" s="157">
        <v>0.05</v>
      </c>
      <c r="Q6" s="157">
        <v>0.05</v>
      </c>
      <c r="R6" s="157">
        <v>0.05</v>
      </c>
      <c r="S6" s="157">
        <v>0.05</v>
      </c>
      <c r="T6" s="157">
        <v>0.05</v>
      </c>
      <c r="U6" s="157">
        <v>0.05</v>
      </c>
      <c r="V6" s="157">
        <v>0.05</v>
      </c>
      <c r="W6" s="157">
        <v>0.05</v>
      </c>
      <c r="X6" s="157">
        <v>0</v>
      </c>
      <c r="Y6" s="157">
        <v>0</v>
      </c>
      <c r="Z6" s="157">
        <v>0</v>
      </c>
      <c r="AA6" s="157">
        <v>0</v>
      </c>
      <c r="AB6" s="157">
        <v>0</v>
      </c>
      <c r="AC6" s="158">
        <v>0</v>
      </c>
      <c r="AD6" s="75"/>
      <c r="AE6" s="75"/>
      <c r="AF6" s="75"/>
      <c r="AG6" s="75"/>
      <c r="AH6" s="75"/>
      <c r="AI6" s="75"/>
      <c r="AJ6" s="75"/>
      <c r="AK6" s="75"/>
    </row>
    <row r="7" spans="1:39" ht="38.700000000000003" customHeight="1" x14ac:dyDescent="0.3">
      <c r="A7" s="705" t="str">
        <f>A4</f>
        <v>All zones excluding Storage &amp; Mechanical_Electrical</v>
      </c>
      <c r="B7" s="761" t="s">
        <v>143</v>
      </c>
      <c r="C7" s="695" t="s">
        <v>452</v>
      </c>
      <c r="D7" s="731" t="s">
        <v>453</v>
      </c>
      <c r="E7" s="159" t="s">
        <v>449</v>
      </c>
      <c r="F7" s="149">
        <v>0.05</v>
      </c>
      <c r="G7" s="149">
        <v>0.05</v>
      </c>
      <c r="H7" s="149">
        <v>0.05</v>
      </c>
      <c r="I7" s="149">
        <v>0.05</v>
      </c>
      <c r="J7" s="149">
        <v>0.05</v>
      </c>
      <c r="K7" s="227">
        <v>0.1</v>
      </c>
      <c r="L7" s="227">
        <v>0.1</v>
      </c>
      <c r="M7" s="227">
        <v>0.3</v>
      </c>
      <c r="N7" s="227">
        <v>0.65</v>
      </c>
      <c r="O7" s="227">
        <v>0.65</v>
      </c>
      <c r="P7" s="227">
        <v>0.65</v>
      </c>
      <c r="Q7" s="227">
        <v>0.65</v>
      </c>
      <c r="R7" s="227">
        <v>0.65</v>
      </c>
      <c r="S7" s="227">
        <v>0.65</v>
      </c>
      <c r="T7" s="227">
        <v>0.65</v>
      </c>
      <c r="U7" s="227">
        <v>0.65</v>
      </c>
      <c r="V7" s="227">
        <v>0.65</v>
      </c>
      <c r="W7" s="227">
        <v>0.35</v>
      </c>
      <c r="X7" s="227">
        <v>0.3</v>
      </c>
      <c r="Y7" s="227">
        <v>0.3</v>
      </c>
      <c r="Z7" s="149">
        <v>0.2</v>
      </c>
      <c r="AA7" s="149">
        <v>0.2</v>
      </c>
      <c r="AB7" s="149">
        <v>0.1</v>
      </c>
      <c r="AC7" s="150">
        <v>0.05</v>
      </c>
      <c r="AD7" s="75"/>
      <c r="AE7" s="75"/>
      <c r="AF7" s="75"/>
      <c r="AG7" s="75"/>
      <c r="AH7" s="75"/>
      <c r="AI7" s="75"/>
      <c r="AJ7" s="75"/>
      <c r="AK7" s="75"/>
      <c r="AM7" s="105"/>
    </row>
    <row r="8" spans="1:39" ht="38.700000000000003" customHeight="1" x14ac:dyDescent="0.3">
      <c r="A8" s="737"/>
      <c r="B8" s="739"/>
      <c r="C8" s="742"/>
      <c r="D8" s="732"/>
      <c r="E8" s="160" t="s">
        <v>450</v>
      </c>
      <c r="F8" s="152">
        <v>0.05</v>
      </c>
      <c r="G8" s="152">
        <v>0.05</v>
      </c>
      <c r="H8" s="152">
        <v>0.05</v>
      </c>
      <c r="I8" s="152">
        <v>0.05</v>
      </c>
      <c r="J8" s="152">
        <v>0.05</v>
      </c>
      <c r="K8" s="154">
        <v>0.05</v>
      </c>
      <c r="L8" s="154">
        <v>0.15</v>
      </c>
      <c r="M8" s="154">
        <v>0.15</v>
      </c>
      <c r="N8" s="154">
        <v>0.15</v>
      </c>
      <c r="O8" s="154">
        <v>0.15</v>
      </c>
      <c r="P8" s="154">
        <v>0.15</v>
      </c>
      <c r="Q8" s="154">
        <v>0.15</v>
      </c>
      <c r="R8" s="154">
        <v>0.15</v>
      </c>
      <c r="S8" s="154">
        <v>0.15</v>
      </c>
      <c r="T8" s="154">
        <v>0.15</v>
      </c>
      <c r="U8" s="154">
        <v>0.15</v>
      </c>
      <c r="V8" s="154">
        <v>0.15</v>
      </c>
      <c r="W8" s="154">
        <v>0.15</v>
      </c>
      <c r="X8" s="152">
        <v>0.05</v>
      </c>
      <c r="Y8" s="152">
        <v>0.05</v>
      </c>
      <c r="Z8" s="152">
        <v>0.05</v>
      </c>
      <c r="AA8" s="152">
        <v>0.05</v>
      </c>
      <c r="AB8" s="152">
        <v>0.05</v>
      </c>
      <c r="AC8" s="155">
        <v>0.05</v>
      </c>
      <c r="AD8" s="75"/>
      <c r="AE8" s="75"/>
      <c r="AF8" s="75"/>
      <c r="AG8" s="75"/>
      <c r="AH8" s="75"/>
      <c r="AI8" s="75"/>
      <c r="AJ8" s="75"/>
      <c r="AK8" s="75"/>
      <c r="AM8" s="105"/>
    </row>
    <row r="9" spans="1:39" ht="38.700000000000003" customHeight="1" thickBot="1" x14ac:dyDescent="0.35">
      <c r="A9" s="738"/>
      <c r="B9" s="740"/>
      <c r="C9" s="756"/>
      <c r="D9" s="804"/>
      <c r="E9" s="161" t="s">
        <v>451</v>
      </c>
      <c r="F9" s="162">
        <v>0.05</v>
      </c>
      <c r="G9" s="162">
        <v>0.05</v>
      </c>
      <c r="H9" s="162">
        <v>0.05</v>
      </c>
      <c r="I9" s="162">
        <v>0.05</v>
      </c>
      <c r="J9" s="162">
        <v>0.05</v>
      </c>
      <c r="K9" s="162">
        <v>0.05</v>
      </c>
      <c r="L9" s="326">
        <v>0.15</v>
      </c>
      <c r="M9" s="326">
        <v>0.15</v>
      </c>
      <c r="N9" s="326">
        <v>0.15</v>
      </c>
      <c r="O9" s="326">
        <v>0.15</v>
      </c>
      <c r="P9" s="326">
        <v>0.15</v>
      </c>
      <c r="Q9" s="326">
        <v>0.15</v>
      </c>
      <c r="R9" s="326">
        <v>0.15</v>
      </c>
      <c r="S9" s="326">
        <v>0.15</v>
      </c>
      <c r="T9" s="326">
        <v>0.15</v>
      </c>
      <c r="U9" s="326">
        <v>0.15</v>
      </c>
      <c r="V9" s="326">
        <v>0.15</v>
      </c>
      <c r="W9" s="326">
        <v>0.15</v>
      </c>
      <c r="X9" s="162">
        <v>0.05</v>
      </c>
      <c r="Y9" s="162">
        <v>0.05</v>
      </c>
      <c r="Z9" s="162">
        <v>0.05</v>
      </c>
      <c r="AA9" s="162">
        <v>0.05</v>
      </c>
      <c r="AB9" s="162">
        <v>0.05</v>
      </c>
      <c r="AC9" s="163">
        <v>0.05</v>
      </c>
      <c r="AD9" s="75"/>
      <c r="AE9" s="75"/>
      <c r="AF9" s="75"/>
      <c r="AG9" s="75"/>
      <c r="AH9" s="75"/>
      <c r="AI9" s="75"/>
      <c r="AJ9" s="75"/>
      <c r="AK9" s="75"/>
      <c r="AM9" s="105"/>
    </row>
    <row r="10" spans="1:39" ht="36" customHeight="1" x14ac:dyDescent="0.3">
      <c r="A10" s="705" t="str">
        <f>A7</f>
        <v>All zones excluding Storage &amp; Mechanical_Electrical</v>
      </c>
      <c r="B10" s="761" t="s">
        <v>143</v>
      </c>
      <c r="C10" s="695" t="s">
        <v>454</v>
      </c>
      <c r="D10" s="805" t="s">
        <v>455</v>
      </c>
      <c r="E10" s="159" t="s">
        <v>449</v>
      </c>
      <c r="F10" s="164">
        <v>0.45</v>
      </c>
      <c r="G10" s="164">
        <v>0.45</v>
      </c>
      <c r="H10" s="164">
        <v>0.45</v>
      </c>
      <c r="I10" s="164">
        <v>0.45</v>
      </c>
      <c r="J10" s="164">
        <v>0.45</v>
      </c>
      <c r="K10" s="164">
        <v>0.45</v>
      </c>
      <c r="L10" s="164">
        <v>0.45</v>
      </c>
      <c r="M10" s="164">
        <v>0.74</v>
      </c>
      <c r="N10" s="164">
        <v>0.87</v>
      </c>
      <c r="O10" s="164">
        <v>0.9</v>
      </c>
      <c r="P10" s="164">
        <v>0.9</v>
      </c>
      <c r="Q10" s="164">
        <v>0.9</v>
      </c>
      <c r="R10" s="164">
        <v>0.9</v>
      </c>
      <c r="S10" s="164">
        <v>0.9</v>
      </c>
      <c r="T10" s="164">
        <v>0.9</v>
      </c>
      <c r="U10" s="164">
        <v>0.9</v>
      </c>
      <c r="V10" s="164">
        <v>0.9</v>
      </c>
      <c r="W10" s="164">
        <v>0.7</v>
      </c>
      <c r="X10" s="164">
        <v>0.5</v>
      </c>
      <c r="Y10" s="164">
        <v>0.5</v>
      </c>
      <c r="Z10" s="164">
        <v>0.5</v>
      </c>
      <c r="AA10" s="164">
        <v>0.45</v>
      </c>
      <c r="AB10" s="164">
        <v>0.45</v>
      </c>
      <c r="AC10" s="165">
        <v>0.45</v>
      </c>
      <c r="AD10" s="76"/>
      <c r="AE10" s="75"/>
      <c r="AF10" s="75"/>
      <c r="AG10" s="75"/>
      <c r="AH10" s="75"/>
      <c r="AI10" s="75"/>
      <c r="AJ10" s="75"/>
      <c r="AK10" s="75"/>
      <c r="AM10" s="105"/>
    </row>
    <row r="11" spans="1:39" ht="36" customHeight="1" x14ac:dyDescent="0.3">
      <c r="A11" s="737"/>
      <c r="B11" s="739"/>
      <c r="C11" s="742"/>
      <c r="D11" s="806"/>
      <c r="E11" s="160" t="s">
        <v>450</v>
      </c>
      <c r="F11" s="166">
        <v>0.43</v>
      </c>
      <c r="G11" s="166">
        <v>0.43</v>
      </c>
      <c r="H11" s="166">
        <v>0.43</v>
      </c>
      <c r="I11" s="166">
        <v>0.43</v>
      </c>
      <c r="J11" s="166">
        <v>0.43</v>
      </c>
      <c r="K11" s="166">
        <v>0.43</v>
      </c>
      <c r="L11" s="166">
        <v>0.43</v>
      </c>
      <c r="M11" s="166">
        <v>0.43</v>
      </c>
      <c r="N11" s="166">
        <v>0.43</v>
      </c>
      <c r="O11" s="166">
        <v>0.43</v>
      </c>
      <c r="P11" s="166">
        <v>0.43</v>
      </c>
      <c r="Q11" s="166">
        <v>0.43</v>
      </c>
      <c r="R11" s="166">
        <v>0.43</v>
      </c>
      <c r="S11" s="166">
        <v>0.43</v>
      </c>
      <c r="T11" s="166">
        <v>0.43</v>
      </c>
      <c r="U11" s="166">
        <v>0.43</v>
      </c>
      <c r="V11" s="166">
        <v>0.43</v>
      </c>
      <c r="W11" s="166">
        <v>0.43</v>
      </c>
      <c r="X11" s="166">
        <v>0.43</v>
      </c>
      <c r="Y11" s="166">
        <v>0.43</v>
      </c>
      <c r="Z11" s="166">
        <v>0.43</v>
      </c>
      <c r="AA11" s="166">
        <v>0.43</v>
      </c>
      <c r="AB11" s="166">
        <v>0.43</v>
      </c>
      <c r="AC11" s="167">
        <v>0.43</v>
      </c>
      <c r="AD11" s="76"/>
      <c r="AE11" s="75"/>
      <c r="AF11" s="75"/>
      <c r="AG11" s="75"/>
      <c r="AH11" s="75"/>
      <c r="AI11" s="75"/>
      <c r="AJ11" s="75"/>
      <c r="AK11" s="75"/>
      <c r="AM11" s="105"/>
    </row>
    <row r="12" spans="1:39" ht="36" customHeight="1" thickBot="1" x14ac:dyDescent="0.35">
      <c r="A12" s="738"/>
      <c r="B12" s="740"/>
      <c r="C12" s="743"/>
      <c r="D12" s="807"/>
      <c r="E12" s="168" t="s">
        <v>451</v>
      </c>
      <c r="F12" s="169">
        <v>0.43</v>
      </c>
      <c r="G12" s="169">
        <v>0.43</v>
      </c>
      <c r="H12" s="169">
        <v>0.43</v>
      </c>
      <c r="I12" s="169">
        <v>0.43</v>
      </c>
      <c r="J12" s="169">
        <v>0.43</v>
      </c>
      <c r="K12" s="169">
        <v>0.43</v>
      </c>
      <c r="L12" s="169">
        <v>0.43</v>
      </c>
      <c r="M12" s="169">
        <v>0.43</v>
      </c>
      <c r="N12" s="169">
        <v>0.43</v>
      </c>
      <c r="O12" s="169">
        <v>0.43</v>
      </c>
      <c r="P12" s="169">
        <v>0.43</v>
      </c>
      <c r="Q12" s="169">
        <v>0.43</v>
      </c>
      <c r="R12" s="169">
        <v>0.43</v>
      </c>
      <c r="S12" s="169">
        <v>0.43</v>
      </c>
      <c r="T12" s="169">
        <v>0.43</v>
      </c>
      <c r="U12" s="169">
        <v>0.43</v>
      </c>
      <c r="V12" s="169">
        <v>0.43</v>
      </c>
      <c r="W12" s="169">
        <v>0.43</v>
      </c>
      <c r="X12" s="169">
        <v>0.43</v>
      </c>
      <c r="Y12" s="169">
        <v>0.43</v>
      </c>
      <c r="Z12" s="169">
        <v>0.43</v>
      </c>
      <c r="AA12" s="169">
        <v>0.43</v>
      </c>
      <c r="AB12" s="169">
        <v>0.43</v>
      </c>
      <c r="AC12" s="170">
        <v>0.43</v>
      </c>
      <c r="AD12" s="76"/>
      <c r="AE12" s="75"/>
      <c r="AF12" s="75"/>
      <c r="AG12" s="75"/>
      <c r="AH12" s="75"/>
      <c r="AI12" s="75"/>
      <c r="AJ12" s="75"/>
      <c r="AK12" s="75"/>
      <c r="AM12" s="105"/>
    </row>
    <row r="13" spans="1:39" ht="33" customHeight="1" x14ac:dyDescent="0.3">
      <c r="A13" s="705" t="str">
        <f>A4</f>
        <v>All zones excluding Storage &amp; Mechanical_Electrical</v>
      </c>
      <c r="B13" s="761" t="s">
        <v>143</v>
      </c>
      <c r="C13" s="741" t="s">
        <v>456</v>
      </c>
      <c r="D13" s="731" t="s">
        <v>453</v>
      </c>
      <c r="E13" s="171" t="s">
        <v>449</v>
      </c>
      <c r="F13" s="172">
        <v>0</v>
      </c>
      <c r="G13" s="172">
        <v>0</v>
      </c>
      <c r="H13" s="172">
        <v>0</v>
      </c>
      <c r="I13" s="172">
        <v>0</v>
      </c>
      <c r="J13" s="172">
        <v>0</v>
      </c>
      <c r="K13" s="172">
        <v>1</v>
      </c>
      <c r="L13" s="172">
        <v>1</v>
      </c>
      <c r="M13" s="172">
        <v>1</v>
      </c>
      <c r="N13" s="172">
        <v>1</v>
      </c>
      <c r="O13" s="172">
        <v>1</v>
      </c>
      <c r="P13" s="172">
        <v>1</v>
      </c>
      <c r="Q13" s="172">
        <v>1</v>
      </c>
      <c r="R13" s="172">
        <v>1</v>
      </c>
      <c r="S13" s="172">
        <v>1</v>
      </c>
      <c r="T13" s="172">
        <v>1</v>
      </c>
      <c r="U13" s="172">
        <v>1</v>
      </c>
      <c r="V13" s="172">
        <v>1</v>
      </c>
      <c r="W13" s="172">
        <v>1</v>
      </c>
      <c r="X13" s="172">
        <v>1</v>
      </c>
      <c r="Y13" s="172">
        <v>1</v>
      </c>
      <c r="Z13" s="172">
        <v>1</v>
      </c>
      <c r="AA13" s="172">
        <v>1</v>
      </c>
      <c r="AB13" s="172">
        <v>1</v>
      </c>
      <c r="AC13" s="173">
        <v>1</v>
      </c>
      <c r="AD13" s="75"/>
      <c r="AE13" s="75"/>
      <c r="AF13" s="75"/>
      <c r="AG13" s="75"/>
      <c r="AH13" s="75"/>
      <c r="AI13" s="75"/>
      <c r="AJ13" s="75"/>
      <c r="AK13" s="75"/>
    </row>
    <row r="14" spans="1:39" ht="33" customHeight="1" x14ac:dyDescent="0.3">
      <c r="A14" s="737"/>
      <c r="B14" s="739"/>
      <c r="C14" s="742"/>
      <c r="D14" s="732"/>
      <c r="E14" s="160" t="s">
        <v>450</v>
      </c>
      <c r="F14" s="152">
        <v>0</v>
      </c>
      <c r="G14" s="152">
        <v>0</v>
      </c>
      <c r="H14" s="152">
        <v>0</v>
      </c>
      <c r="I14" s="152">
        <v>0</v>
      </c>
      <c r="J14" s="152">
        <v>0</v>
      </c>
      <c r="K14" s="152">
        <v>1</v>
      </c>
      <c r="L14" s="152">
        <v>1</v>
      </c>
      <c r="M14" s="152">
        <v>1</v>
      </c>
      <c r="N14" s="152">
        <v>1</v>
      </c>
      <c r="O14" s="152">
        <v>1</v>
      </c>
      <c r="P14" s="152">
        <v>1</v>
      </c>
      <c r="Q14" s="152">
        <v>1</v>
      </c>
      <c r="R14" s="152">
        <v>1</v>
      </c>
      <c r="S14" s="152">
        <v>1</v>
      </c>
      <c r="T14" s="152">
        <v>1</v>
      </c>
      <c r="U14" s="152">
        <v>1</v>
      </c>
      <c r="V14" s="152">
        <v>1</v>
      </c>
      <c r="W14" s="152">
        <v>1</v>
      </c>
      <c r="X14" s="152">
        <v>1</v>
      </c>
      <c r="Y14" s="152">
        <v>0</v>
      </c>
      <c r="Z14" s="152">
        <v>0</v>
      </c>
      <c r="AA14" s="152">
        <v>0</v>
      </c>
      <c r="AB14" s="152">
        <v>0</v>
      </c>
      <c r="AC14" s="155">
        <v>0</v>
      </c>
      <c r="AD14" s="75"/>
      <c r="AE14" s="75"/>
      <c r="AF14" s="75"/>
      <c r="AG14" s="75"/>
      <c r="AH14" s="75"/>
      <c r="AI14" s="75"/>
      <c r="AJ14" s="75"/>
      <c r="AK14" s="75"/>
    </row>
    <row r="15" spans="1:39" ht="33" customHeight="1" x14ac:dyDescent="0.3">
      <c r="A15" s="738"/>
      <c r="B15" s="739"/>
      <c r="C15" s="756"/>
      <c r="D15" s="732"/>
      <c r="E15" s="161" t="s">
        <v>451</v>
      </c>
      <c r="F15" s="157">
        <v>0</v>
      </c>
      <c r="G15" s="157">
        <v>0</v>
      </c>
      <c r="H15" s="157">
        <v>0</v>
      </c>
      <c r="I15" s="157">
        <v>0</v>
      </c>
      <c r="J15" s="157">
        <v>0</v>
      </c>
      <c r="K15" s="157">
        <v>0</v>
      </c>
      <c r="L15" s="157">
        <v>0</v>
      </c>
      <c r="M15" s="157">
        <v>0</v>
      </c>
      <c r="N15" s="157">
        <v>0</v>
      </c>
      <c r="O15" s="157">
        <v>0</v>
      </c>
      <c r="P15" s="157">
        <v>0</v>
      </c>
      <c r="Q15" s="157">
        <v>0</v>
      </c>
      <c r="R15" s="157">
        <v>0</v>
      </c>
      <c r="S15" s="157">
        <v>0</v>
      </c>
      <c r="T15" s="157">
        <v>0</v>
      </c>
      <c r="U15" s="157">
        <v>0</v>
      </c>
      <c r="V15" s="157">
        <v>0</v>
      </c>
      <c r="W15" s="157">
        <v>0</v>
      </c>
      <c r="X15" s="157">
        <v>0</v>
      </c>
      <c r="Y15" s="157">
        <v>0</v>
      </c>
      <c r="Z15" s="157">
        <v>0</v>
      </c>
      <c r="AA15" s="157">
        <v>0</v>
      </c>
      <c r="AB15" s="157">
        <v>0</v>
      </c>
      <c r="AC15" s="158">
        <v>0</v>
      </c>
      <c r="AD15" s="75"/>
      <c r="AE15" s="75"/>
      <c r="AF15" s="75"/>
      <c r="AG15" s="75"/>
      <c r="AH15" s="75"/>
      <c r="AI15" s="75"/>
      <c r="AJ15" s="75"/>
      <c r="AK15" s="75"/>
    </row>
    <row r="16" spans="1:39" ht="39.6" customHeight="1" x14ac:dyDescent="0.3">
      <c r="A16" s="762" t="str">
        <f>A4</f>
        <v>All zones excluding Storage &amp; Mechanical_Electrical</v>
      </c>
      <c r="B16" s="765" t="s">
        <v>143</v>
      </c>
      <c r="C16" s="757" t="s">
        <v>457</v>
      </c>
      <c r="D16" s="734" t="s">
        <v>453</v>
      </c>
      <c r="E16" s="329" t="s">
        <v>449</v>
      </c>
      <c r="F16" s="330">
        <v>0.05</v>
      </c>
      <c r="G16" s="330">
        <v>0.05</v>
      </c>
      <c r="H16" s="330">
        <v>0.05</v>
      </c>
      <c r="I16" s="330">
        <v>0.05</v>
      </c>
      <c r="J16" s="330">
        <v>0.05</v>
      </c>
      <c r="K16" s="330">
        <v>0.08</v>
      </c>
      <c r="L16" s="330">
        <v>7.0000000000000007E-2</v>
      </c>
      <c r="M16" s="330">
        <v>0.19</v>
      </c>
      <c r="N16" s="330">
        <v>0.35</v>
      </c>
      <c r="O16" s="330">
        <v>0.38</v>
      </c>
      <c r="P16" s="330">
        <v>0.39</v>
      </c>
      <c r="Q16" s="330">
        <v>0.47</v>
      </c>
      <c r="R16" s="330">
        <v>0.56999999999999995</v>
      </c>
      <c r="S16" s="330">
        <v>0.54</v>
      </c>
      <c r="T16" s="330">
        <v>0.34</v>
      </c>
      <c r="U16" s="330">
        <v>0.33</v>
      </c>
      <c r="V16" s="330">
        <v>0.44</v>
      </c>
      <c r="W16" s="330">
        <v>0.26</v>
      </c>
      <c r="X16" s="330">
        <v>0.21</v>
      </c>
      <c r="Y16" s="330">
        <v>0.15</v>
      </c>
      <c r="Z16" s="330">
        <v>0.17</v>
      </c>
      <c r="AA16" s="330">
        <v>0.08</v>
      </c>
      <c r="AB16" s="330">
        <v>0.05</v>
      </c>
      <c r="AC16" s="331">
        <v>0.05</v>
      </c>
      <c r="AD16" s="75"/>
      <c r="AE16" s="75"/>
      <c r="AF16" s="75"/>
      <c r="AG16" s="75"/>
      <c r="AH16" s="75"/>
      <c r="AI16" s="75"/>
      <c r="AJ16" s="75"/>
      <c r="AK16" s="75"/>
    </row>
    <row r="17" spans="1:37" ht="39.6" customHeight="1" x14ac:dyDescent="0.3">
      <c r="A17" s="763"/>
      <c r="B17" s="739"/>
      <c r="C17" s="742"/>
      <c r="D17" s="698"/>
      <c r="E17" s="328" t="s">
        <v>450</v>
      </c>
      <c r="F17" s="327">
        <v>0.04</v>
      </c>
      <c r="G17" s="327">
        <v>0.04</v>
      </c>
      <c r="H17" s="327">
        <v>0.04</v>
      </c>
      <c r="I17" s="327">
        <v>0.04</v>
      </c>
      <c r="J17" s="327">
        <v>0.04</v>
      </c>
      <c r="K17" s="327">
        <v>7.0000000000000007E-2</v>
      </c>
      <c r="L17" s="327">
        <v>0.04</v>
      </c>
      <c r="M17" s="327">
        <v>0.04</v>
      </c>
      <c r="N17" s="327">
        <v>0.04</v>
      </c>
      <c r="O17" s="327">
        <v>0.04</v>
      </c>
      <c r="P17" s="327">
        <v>0.04</v>
      </c>
      <c r="Q17" s="327">
        <v>0.06</v>
      </c>
      <c r="R17" s="327">
        <v>0.06</v>
      </c>
      <c r="S17" s="327">
        <v>0.09</v>
      </c>
      <c r="T17" s="327">
        <v>0.06</v>
      </c>
      <c r="U17" s="327">
        <v>0.04</v>
      </c>
      <c r="V17" s="327">
        <v>0.04</v>
      </c>
      <c r="W17" s="327">
        <v>0.04</v>
      </c>
      <c r="X17" s="327">
        <v>0.04</v>
      </c>
      <c r="Y17" s="327">
        <v>0.04</v>
      </c>
      <c r="Z17" s="327">
        <v>0.04</v>
      </c>
      <c r="AA17" s="327">
        <v>7.0000000000000007E-2</v>
      </c>
      <c r="AB17" s="327">
        <v>0.04</v>
      </c>
      <c r="AC17" s="332">
        <v>0.04</v>
      </c>
      <c r="AD17" s="75"/>
      <c r="AE17" s="75"/>
      <c r="AF17" s="75"/>
      <c r="AG17" s="75"/>
      <c r="AH17" s="75"/>
      <c r="AI17" s="75"/>
      <c r="AJ17" s="75"/>
      <c r="AK17" s="75"/>
    </row>
    <row r="18" spans="1:37" ht="39.6" customHeight="1" x14ac:dyDescent="0.3">
      <c r="A18" s="764"/>
      <c r="B18" s="766"/>
      <c r="C18" s="758"/>
      <c r="D18" s="735"/>
      <c r="E18" s="333" t="s">
        <v>451</v>
      </c>
      <c r="F18" s="334">
        <v>0.04</v>
      </c>
      <c r="G18" s="334">
        <v>0.04</v>
      </c>
      <c r="H18" s="334">
        <v>0.04</v>
      </c>
      <c r="I18" s="334">
        <v>0.04</v>
      </c>
      <c r="J18" s="334">
        <v>0.04</v>
      </c>
      <c r="K18" s="334">
        <v>7.0000000000000007E-2</v>
      </c>
      <c r="L18" s="334">
        <v>0.04</v>
      </c>
      <c r="M18" s="334">
        <v>0.04</v>
      </c>
      <c r="N18" s="334">
        <v>0.04</v>
      </c>
      <c r="O18" s="334">
        <v>0.04</v>
      </c>
      <c r="P18" s="334">
        <v>0.04</v>
      </c>
      <c r="Q18" s="334">
        <v>0.06</v>
      </c>
      <c r="R18" s="334">
        <v>0.06</v>
      </c>
      <c r="S18" s="334">
        <v>0.09</v>
      </c>
      <c r="T18" s="334">
        <v>0.06</v>
      </c>
      <c r="U18" s="334">
        <v>0.04</v>
      </c>
      <c r="V18" s="334">
        <v>0.04</v>
      </c>
      <c r="W18" s="334">
        <v>0.04</v>
      </c>
      <c r="X18" s="334">
        <v>0.04</v>
      </c>
      <c r="Y18" s="334">
        <v>0.04</v>
      </c>
      <c r="Z18" s="334">
        <v>0.04</v>
      </c>
      <c r="AA18" s="334">
        <v>7.0000000000000007E-2</v>
      </c>
      <c r="AB18" s="334">
        <v>0.04</v>
      </c>
      <c r="AC18" s="335">
        <v>0.04</v>
      </c>
      <c r="AD18" s="75"/>
      <c r="AE18" s="75"/>
      <c r="AF18" s="75"/>
      <c r="AG18" s="75"/>
      <c r="AH18" s="75"/>
      <c r="AI18" s="75"/>
      <c r="AJ18" s="75"/>
      <c r="AK18" s="75"/>
    </row>
    <row r="19" spans="1:37" ht="39.6" customHeight="1" x14ac:dyDescent="0.3">
      <c r="A19" s="736" t="str">
        <f>A4</f>
        <v>All zones excluding Storage &amp; Mechanical_Electrical</v>
      </c>
      <c r="B19" s="739" t="s">
        <v>143</v>
      </c>
      <c r="C19" s="741" t="s">
        <v>237</v>
      </c>
      <c r="D19" s="745" t="s">
        <v>458</v>
      </c>
      <c r="E19" s="171" t="s">
        <v>449</v>
      </c>
      <c r="F19" s="172">
        <v>1</v>
      </c>
      <c r="G19" s="172">
        <v>1</v>
      </c>
      <c r="H19" s="172">
        <v>1</v>
      </c>
      <c r="I19" s="172">
        <v>1</v>
      </c>
      <c r="J19" s="172">
        <v>1</v>
      </c>
      <c r="K19" s="172">
        <v>0.25</v>
      </c>
      <c r="L19" s="172">
        <v>0.25</v>
      </c>
      <c r="M19" s="172">
        <v>0.25</v>
      </c>
      <c r="N19" s="172">
        <v>0.25</v>
      </c>
      <c r="O19" s="172">
        <v>0.25</v>
      </c>
      <c r="P19" s="172">
        <v>0.25</v>
      </c>
      <c r="Q19" s="172">
        <v>0.25</v>
      </c>
      <c r="R19" s="172">
        <v>0.25</v>
      </c>
      <c r="S19" s="172">
        <v>0.25</v>
      </c>
      <c r="T19" s="172">
        <v>0.25</v>
      </c>
      <c r="U19" s="172">
        <v>0.25</v>
      </c>
      <c r="V19" s="172">
        <v>0.25</v>
      </c>
      <c r="W19" s="172">
        <v>0.25</v>
      </c>
      <c r="X19" s="172">
        <v>0.25</v>
      </c>
      <c r="Y19" s="172">
        <v>0.25</v>
      </c>
      <c r="Z19" s="172">
        <v>0.25</v>
      </c>
      <c r="AA19" s="172">
        <v>0.25</v>
      </c>
      <c r="AB19" s="172">
        <v>0.25</v>
      </c>
      <c r="AC19" s="173">
        <v>0.25</v>
      </c>
      <c r="AD19" s="75"/>
      <c r="AE19" s="75"/>
      <c r="AF19" s="75"/>
      <c r="AG19" s="75"/>
      <c r="AH19" s="75"/>
      <c r="AI19" s="75"/>
      <c r="AJ19" s="75"/>
      <c r="AK19" s="75"/>
    </row>
    <row r="20" spans="1:37" ht="39.6" customHeight="1" x14ac:dyDescent="0.3">
      <c r="A20" s="737"/>
      <c r="B20" s="739"/>
      <c r="C20" s="742"/>
      <c r="D20" s="698"/>
      <c r="E20" s="160" t="s">
        <v>450</v>
      </c>
      <c r="F20" s="152">
        <v>1</v>
      </c>
      <c r="G20" s="152">
        <v>1</v>
      </c>
      <c r="H20" s="152">
        <v>1</v>
      </c>
      <c r="I20" s="152">
        <v>1</v>
      </c>
      <c r="J20" s="152">
        <v>1</v>
      </c>
      <c r="K20" s="154">
        <v>1</v>
      </c>
      <c r="L20" s="154">
        <v>1</v>
      </c>
      <c r="M20" s="154">
        <v>1</v>
      </c>
      <c r="N20" s="154">
        <v>1</v>
      </c>
      <c r="O20" s="154">
        <v>1</v>
      </c>
      <c r="P20" s="154">
        <v>1</v>
      </c>
      <c r="Q20" s="154">
        <v>1</v>
      </c>
      <c r="R20" s="154">
        <v>1</v>
      </c>
      <c r="S20" s="154">
        <v>1</v>
      </c>
      <c r="T20" s="154">
        <v>1</v>
      </c>
      <c r="U20" s="154">
        <v>1</v>
      </c>
      <c r="V20" s="154">
        <v>1</v>
      </c>
      <c r="W20" s="154">
        <v>1</v>
      </c>
      <c r="X20" s="154">
        <v>1</v>
      </c>
      <c r="Y20" s="152">
        <v>1</v>
      </c>
      <c r="Z20" s="152">
        <v>1</v>
      </c>
      <c r="AA20" s="152">
        <v>1</v>
      </c>
      <c r="AB20" s="152">
        <v>1</v>
      </c>
      <c r="AC20" s="155">
        <v>1</v>
      </c>
      <c r="AD20" s="75"/>
      <c r="AE20" s="75"/>
      <c r="AF20" s="75"/>
      <c r="AG20" s="75"/>
      <c r="AH20" s="75"/>
      <c r="AI20" s="75"/>
      <c r="AJ20" s="75"/>
      <c r="AK20" s="75"/>
    </row>
    <row r="21" spans="1:37" ht="39.6" customHeight="1" thickBot="1" x14ac:dyDescent="0.35">
      <c r="A21" s="738"/>
      <c r="B21" s="740"/>
      <c r="C21" s="756"/>
      <c r="D21" s="699"/>
      <c r="E21" s="161" t="s">
        <v>451</v>
      </c>
      <c r="F21" s="157">
        <v>1</v>
      </c>
      <c r="G21" s="157">
        <v>1</v>
      </c>
      <c r="H21" s="157">
        <v>1</v>
      </c>
      <c r="I21" s="157">
        <v>1</v>
      </c>
      <c r="J21" s="157">
        <v>1</v>
      </c>
      <c r="K21" s="157">
        <v>1</v>
      </c>
      <c r="L21" s="157">
        <v>1</v>
      </c>
      <c r="M21" s="157">
        <v>1</v>
      </c>
      <c r="N21" s="157">
        <v>1</v>
      </c>
      <c r="O21" s="157">
        <v>1</v>
      </c>
      <c r="P21" s="157">
        <v>1</v>
      </c>
      <c r="Q21" s="157">
        <v>1</v>
      </c>
      <c r="R21" s="157">
        <v>1</v>
      </c>
      <c r="S21" s="157">
        <v>1</v>
      </c>
      <c r="T21" s="157">
        <v>1</v>
      </c>
      <c r="U21" s="157">
        <v>1</v>
      </c>
      <c r="V21" s="157">
        <v>1</v>
      </c>
      <c r="W21" s="157">
        <v>1</v>
      </c>
      <c r="X21" s="157">
        <v>1</v>
      </c>
      <c r="Y21" s="157">
        <v>1</v>
      </c>
      <c r="Z21" s="157">
        <v>1</v>
      </c>
      <c r="AA21" s="157">
        <v>1</v>
      </c>
      <c r="AB21" s="157">
        <v>1</v>
      </c>
      <c r="AC21" s="158">
        <v>1</v>
      </c>
      <c r="AD21" s="75"/>
      <c r="AE21" s="75"/>
      <c r="AF21" s="75"/>
      <c r="AG21" s="75"/>
      <c r="AH21" s="75"/>
      <c r="AI21" s="75"/>
      <c r="AJ21" s="75"/>
      <c r="AK21" s="75"/>
    </row>
    <row r="22" spans="1:37" ht="31.95" customHeight="1" x14ac:dyDescent="0.3">
      <c r="A22" s="705" t="str">
        <f t="shared" ref="A22" si="0">A7</f>
        <v>All zones excluding Storage &amp; Mechanical_Electrical</v>
      </c>
      <c r="B22" s="761" t="s">
        <v>143</v>
      </c>
      <c r="C22" s="767" t="s">
        <v>459</v>
      </c>
      <c r="D22" s="770"/>
      <c r="E22" s="523" t="s">
        <v>449</v>
      </c>
      <c r="F22" s="175">
        <f>IF((F13=1),Thermostat!$C$3,Thermostat!$C$4)</f>
        <v>60</v>
      </c>
      <c r="G22" s="175">
        <f>IF((G13=1),Thermostat!$C$3,Thermostat!$C$4)</f>
        <v>60</v>
      </c>
      <c r="H22" s="175">
        <f>IF((H13=1),Thermostat!$C$3,Thermostat!$C$4)</f>
        <v>60</v>
      </c>
      <c r="I22" s="175">
        <f>IF((I13=1),Thermostat!$C$3,Thermostat!$C$4)</f>
        <v>60</v>
      </c>
      <c r="J22" s="175">
        <f>IF((J13=1),Thermostat!$C$3,Thermostat!$C$4)</f>
        <v>60</v>
      </c>
      <c r="K22" s="175">
        <f>IF((K13=1),Thermostat!$C$3,Thermostat!$C$4)</f>
        <v>70</v>
      </c>
      <c r="L22" s="175">
        <f>IF((L13=1),Thermostat!$C$3,Thermostat!$C$4)</f>
        <v>70</v>
      </c>
      <c r="M22" s="175">
        <f>IF((M13=1),Thermostat!$C$3,Thermostat!$C$4)</f>
        <v>70</v>
      </c>
      <c r="N22" s="175">
        <f>IF((N13=1),Thermostat!$C$3,Thermostat!$C$4)</f>
        <v>70</v>
      </c>
      <c r="O22" s="175">
        <f>IF((O13=1),Thermostat!$C$3,Thermostat!$C$4)</f>
        <v>70</v>
      </c>
      <c r="P22" s="175">
        <f>IF((P13=1),Thermostat!$C$3,Thermostat!$C$4)</f>
        <v>70</v>
      </c>
      <c r="Q22" s="175">
        <f>IF((Q13=1),Thermostat!$C$3,Thermostat!$C$4)</f>
        <v>70</v>
      </c>
      <c r="R22" s="175">
        <f>IF((R13=1),Thermostat!$C$3,Thermostat!$C$4)</f>
        <v>70</v>
      </c>
      <c r="S22" s="175">
        <f>IF((S13=1),Thermostat!$C$3,Thermostat!$C$4)</f>
        <v>70</v>
      </c>
      <c r="T22" s="175">
        <f>IF((T13=1),Thermostat!$C$3,Thermostat!$C$4)</f>
        <v>70</v>
      </c>
      <c r="U22" s="175">
        <f>IF((U13=1),Thermostat!$C$3,Thermostat!$C$4)</f>
        <v>70</v>
      </c>
      <c r="V22" s="175">
        <f>IF((V13=1),Thermostat!$C$3,Thermostat!$C$4)</f>
        <v>70</v>
      </c>
      <c r="W22" s="175">
        <f>IF((W13=1),Thermostat!$C$3,Thermostat!$C$4)</f>
        <v>70</v>
      </c>
      <c r="X22" s="175">
        <f>IF((X13=1),Thermostat!$C$3,Thermostat!$C$4)</f>
        <v>70</v>
      </c>
      <c r="Y22" s="175">
        <f>IF((Y13=1),Thermostat!$C$3,Thermostat!$C$4)</f>
        <v>70</v>
      </c>
      <c r="Z22" s="175">
        <f>IF((Z13=1),Thermostat!$C$3,Thermostat!$C$4)</f>
        <v>70</v>
      </c>
      <c r="AA22" s="175">
        <f>IF((AA13=1),Thermostat!$C$3,Thermostat!$C$4)</f>
        <v>70</v>
      </c>
      <c r="AB22" s="175">
        <f>IF((AB13=1),Thermostat!$C$3,Thermostat!$C$4)</f>
        <v>70</v>
      </c>
      <c r="AC22" s="176">
        <f>IF((AC13=1),Thermostat!$C$3,Thermostat!$C$4)</f>
        <v>70</v>
      </c>
    </row>
    <row r="23" spans="1:37" ht="31.95" customHeight="1" x14ac:dyDescent="0.3">
      <c r="A23" s="737"/>
      <c r="B23" s="739"/>
      <c r="C23" s="768"/>
      <c r="D23" s="771"/>
      <c r="E23" s="524" t="s">
        <v>450</v>
      </c>
      <c r="F23" s="174">
        <f>IF((F14=1),Thermostat!$C$3,Thermostat!$C$4)</f>
        <v>60</v>
      </c>
      <c r="G23" s="174">
        <f>IF((G14=1),Thermostat!$C$3,Thermostat!$C$4)</f>
        <v>60</v>
      </c>
      <c r="H23" s="174">
        <f>IF((H14=1),Thermostat!$C$3,Thermostat!$C$4)</f>
        <v>60</v>
      </c>
      <c r="I23" s="174">
        <f>IF((I14=1),Thermostat!$C$3,Thermostat!$C$4)</f>
        <v>60</v>
      </c>
      <c r="J23" s="174">
        <f>IF((J14=1),Thermostat!$C$3,Thermostat!$C$4)</f>
        <v>60</v>
      </c>
      <c r="K23" s="174">
        <f>IF((K14=1),Thermostat!$C$3,Thermostat!$C$4)</f>
        <v>70</v>
      </c>
      <c r="L23" s="174">
        <f>IF((L14=1),Thermostat!$C$3,Thermostat!$C$4)</f>
        <v>70</v>
      </c>
      <c r="M23" s="174">
        <f>IF((M14=1),Thermostat!$C$3,Thermostat!$C$4)</f>
        <v>70</v>
      </c>
      <c r="N23" s="174">
        <f>IF((N14=1),Thermostat!$C$3,Thermostat!$C$4)</f>
        <v>70</v>
      </c>
      <c r="O23" s="174">
        <f>IF((O14=1),Thermostat!$C$3,Thermostat!$C$4)</f>
        <v>70</v>
      </c>
      <c r="P23" s="174">
        <f>IF((P14=1),Thermostat!$C$3,Thermostat!$C$4)</f>
        <v>70</v>
      </c>
      <c r="Q23" s="174">
        <f>IF((Q14=1),Thermostat!$C$3,Thermostat!$C$4)</f>
        <v>70</v>
      </c>
      <c r="R23" s="174">
        <f>IF((R14=1),Thermostat!$C$3,Thermostat!$C$4)</f>
        <v>70</v>
      </c>
      <c r="S23" s="174">
        <f>IF((S14=1),Thermostat!$C$3,Thermostat!$C$4)</f>
        <v>70</v>
      </c>
      <c r="T23" s="174">
        <f>IF((T14=1),Thermostat!$C$3,Thermostat!$C$4)</f>
        <v>70</v>
      </c>
      <c r="U23" s="174">
        <f>IF((U14=1),Thermostat!$C$3,Thermostat!$C$4)</f>
        <v>70</v>
      </c>
      <c r="V23" s="174">
        <f>IF((V14=1),Thermostat!$C$3,Thermostat!$C$4)</f>
        <v>70</v>
      </c>
      <c r="W23" s="174">
        <f>IF((W14=1),Thermostat!$C$3,Thermostat!$C$4)</f>
        <v>70</v>
      </c>
      <c r="X23" s="174">
        <f>IF((X14=1),Thermostat!$C$3,Thermostat!$C$4)</f>
        <v>70</v>
      </c>
      <c r="Y23" s="174">
        <f>IF((Y14=1),Thermostat!$C$3,Thermostat!$C$4)</f>
        <v>60</v>
      </c>
      <c r="Z23" s="174">
        <f>IF((Z14=1),Thermostat!$C$3,Thermostat!$C$4)</f>
        <v>60</v>
      </c>
      <c r="AA23" s="174">
        <f>IF((AA14=1),Thermostat!$C$3,Thermostat!$C$4)</f>
        <v>60</v>
      </c>
      <c r="AB23" s="174">
        <f>IF((AB14=1),Thermostat!$C$3,Thermostat!$C$4)</f>
        <v>60</v>
      </c>
      <c r="AC23" s="177">
        <f>IF((AC14=1),Thermostat!$C$3,Thermostat!$C$4)</f>
        <v>60</v>
      </c>
    </row>
    <row r="24" spans="1:37" ht="31.95" customHeight="1" thickBot="1" x14ac:dyDescent="0.35">
      <c r="A24" s="738"/>
      <c r="B24" s="740"/>
      <c r="C24" s="769"/>
      <c r="D24" s="772"/>
      <c r="E24" s="525" t="s">
        <v>451</v>
      </c>
      <c r="F24" s="178">
        <f>IF((F15=1),Thermostat!$C$3,Thermostat!$C$4)</f>
        <v>60</v>
      </c>
      <c r="G24" s="178">
        <f>IF((G15=1),Thermostat!$C$3,Thermostat!$C$4)</f>
        <v>60</v>
      </c>
      <c r="H24" s="178">
        <f>IF((H15=1),Thermostat!$C$3,Thermostat!$C$4)</f>
        <v>60</v>
      </c>
      <c r="I24" s="178">
        <f>IF((I15=1),Thermostat!$C$3,Thermostat!$C$4)</f>
        <v>60</v>
      </c>
      <c r="J24" s="178">
        <f>IF((J15=1),Thermostat!$C$3,Thermostat!$C$4)</f>
        <v>60</v>
      </c>
      <c r="K24" s="178">
        <f>IF((K15=1),Thermostat!$C$3,Thermostat!$C$4)</f>
        <v>60</v>
      </c>
      <c r="L24" s="178">
        <f>IF((L15=1),Thermostat!$C$3,Thermostat!$C$4)</f>
        <v>60</v>
      </c>
      <c r="M24" s="178">
        <f>IF((M15=1),Thermostat!$C$3,Thermostat!$C$4)</f>
        <v>60</v>
      </c>
      <c r="N24" s="178">
        <f>IF((N15=1),Thermostat!$C$3,Thermostat!$C$4)</f>
        <v>60</v>
      </c>
      <c r="O24" s="178">
        <f>IF((O15=1),Thermostat!$C$3,Thermostat!$C$4)</f>
        <v>60</v>
      </c>
      <c r="P24" s="178">
        <f>IF((P15=1),Thermostat!$C$3,Thermostat!$C$4)</f>
        <v>60</v>
      </c>
      <c r="Q24" s="178">
        <f>IF((Q15=1),Thermostat!$C$3,Thermostat!$C$4)</f>
        <v>60</v>
      </c>
      <c r="R24" s="178">
        <f>IF((R15=1),Thermostat!$C$3,Thermostat!$C$4)</f>
        <v>60</v>
      </c>
      <c r="S24" s="178">
        <f>IF((S15=1),Thermostat!$C$3,Thermostat!$C$4)</f>
        <v>60</v>
      </c>
      <c r="T24" s="178">
        <f>IF((T15=1),Thermostat!$C$3,Thermostat!$C$4)</f>
        <v>60</v>
      </c>
      <c r="U24" s="178">
        <f>IF((U15=1),Thermostat!$C$3,Thermostat!$C$4)</f>
        <v>60</v>
      </c>
      <c r="V24" s="178">
        <f>IF((V15=1),Thermostat!$C$3,Thermostat!$C$4)</f>
        <v>60</v>
      </c>
      <c r="W24" s="178">
        <f>IF((W15=1),Thermostat!$C$3,Thermostat!$C$4)</f>
        <v>60</v>
      </c>
      <c r="X24" s="178">
        <f>IF((X15=1),Thermostat!$C$3,Thermostat!$C$4)</f>
        <v>60</v>
      </c>
      <c r="Y24" s="178">
        <f>IF((Y15=1),Thermostat!$C$3,Thermostat!$C$4)</f>
        <v>60</v>
      </c>
      <c r="Z24" s="178">
        <f>IF((Z15=1),Thermostat!$C$3,Thermostat!$C$4)</f>
        <v>60</v>
      </c>
      <c r="AA24" s="178">
        <f>IF((AA15=1),Thermostat!$C$3,Thermostat!$C$4)</f>
        <v>60</v>
      </c>
      <c r="AB24" s="178">
        <f>IF((AB15=1),Thermostat!$C$3,Thermostat!$C$4)</f>
        <v>60</v>
      </c>
      <c r="AC24" s="179">
        <f>IF((AC15=1),Thermostat!$C$3,Thermostat!$C$4)</f>
        <v>60</v>
      </c>
    </row>
    <row r="25" spans="1:37" ht="31.95" customHeight="1" x14ac:dyDescent="0.3">
      <c r="A25" s="705" t="str">
        <f t="shared" ref="A25" si="1">A10</f>
        <v>All zones excluding Storage &amp; Mechanical_Electrical</v>
      </c>
      <c r="B25" s="761" t="s">
        <v>143</v>
      </c>
      <c r="C25" s="767" t="s">
        <v>460</v>
      </c>
      <c r="D25" s="774"/>
      <c r="E25" s="526" t="s">
        <v>449</v>
      </c>
      <c r="F25" s="180">
        <f>IF((F13=1),Thermostat!$C$5,Thermostat!$C$6)</f>
        <v>85</v>
      </c>
      <c r="G25" s="180">
        <f>IF((G13=1),Thermostat!$C$5,Thermostat!$C$6)</f>
        <v>85</v>
      </c>
      <c r="H25" s="180">
        <f>IF((H13=1),Thermostat!$C$5,Thermostat!$C$6)</f>
        <v>85</v>
      </c>
      <c r="I25" s="180">
        <f>IF((I13=1),Thermostat!$C$5,Thermostat!$C$6)</f>
        <v>85</v>
      </c>
      <c r="J25" s="180">
        <f>IF((J13=1),Thermostat!$C$5,Thermostat!$C$6)</f>
        <v>85</v>
      </c>
      <c r="K25" s="180">
        <f>IF((K13=1),Thermostat!$C$5,Thermostat!$C$6)</f>
        <v>75</v>
      </c>
      <c r="L25" s="180">
        <f>IF((L13=1),Thermostat!$C$5,Thermostat!$C$6)</f>
        <v>75</v>
      </c>
      <c r="M25" s="180">
        <f>IF((M13=1),Thermostat!$C$5,Thermostat!$C$6)</f>
        <v>75</v>
      </c>
      <c r="N25" s="180">
        <f>IF((N13=1),Thermostat!$C$5,Thermostat!$C$6)</f>
        <v>75</v>
      </c>
      <c r="O25" s="180">
        <f>IF((O13=1),Thermostat!$C$5,Thermostat!$C$6)</f>
        <v>75</v>
      </c>
      <c r="P25" s="180">
        <f>IF((P13=1),Thermostat!$C$5,Thermostat!$C$6)</f>
        <v>75</v>
      </c>
      <c r="Q25" s="180">
        <f>IF((Q13=1),Thermostat!$C$5,Thermostat!$C$6)</f>
        <v>75</v>
      </c>
      <c r="R25" s="180">
        <f>IF((R13=1),Thermostat!$C$5,Thermostat!$C$6)</f>
        <v>75</v>
      </c>
      <c r="S25" s="180">
        <f>IF((S13=1),Thermostat!$C$5,Thermostat!$C$6)</f>
        <v>75</v>
      </c>
      <c r="T25" s="180">
        <f>IF((T13=1),Thermostat!$C$5,Thermostat!$C$6)</f>
        <v>75</v>
      </c>
      <c r="U25" s="180">
        <f>IF((U13=1),Thermostat!$C$5,Thermostat!$C$6)</f>
        <v>75</v>
      </c>
      <c r="V25" s="180">
        <f>IF((V13=1),Thermostat!$C$5,Thermostat!$C$6)</f>
        <v>75</v>
      </c>
      <c r="W25" s="180">
        <f>IF((W13=1),Thermostat!$C$5,Thermostat!$C$6)</f>
        <v>75</v>
      </c>
      <c r="X25" s="180">
        <f>IF((X13=1),Thermostat!$C$5,Thermostat!$C$6)</f>
        <v>75</v>
      </c>
      <c r="Y25" s="180">
        <f>IF((Y13=1),Thermostat!$C$5,Thermostat!$C$6)</f>
        <v>75</v>
      </c>
      <c r="Z25" s="180">
        <f>IF((Z13=1),Thermostat!$C$5,Thermostat!$C$6)</f>
        <v>75</v>
      </c>
      <c r="AA25" s="180">
        <f>IF((AA13=1),Thermostat!$C$5,Thermostat!$C$6)</f>
        <v>75</v>
      </c>
      <c r="AB25" s="180">
        <f>IF((AB13=1),Thermostat!$C$5,Thermostat!$C$6)</f>
        <v>75</v>
      </c>
      <c r="AC25" s="181">
        <f>IF((AC13=1),Thermostat!$C$5,Thermostat!$C$6)</f>
        <v>75</v>
      </c>
    </row>
    <row r="26" spans="1:37" ht="31.95" customHeight="1" x14ac:dyDescent="0.3">
      <c r="A26" s="737"/>
      <c r="B26" s="739"/>
      <c r="C26" s="768"/>
      <c r="D26" s="775"/>
      <c r="E26" s="524" t="s">
        <v>450</v>
      </c>
      <c r="F26" s="174">
        <f>IF((F14=1),Thermostat!$C$5,Thermostat!$C$6)</f>
        <v>85</v>
      </c>
      <c r="G26" s="174">
        <f>IF((G14=1),Thermostat!$C$5,Thermostat!$C$6)</f>
        <v>85</v>
      </c>
      <c r="H26" s="174">
        <f>IF((H14=1),Thermostat!$C$5,Thermostat!$C$6)</f>
        <v>85</v>
      </c>
      <c r="I26" s="174">
        <f>IF((I14=1),Thermostat!$C$5,Thermostat!$C$6)</f>
        <v>85</v>
      </c>
      <c r="J26" s="174">
        <f>IF((J14=1),Thermostat!$C$5,Thermostat!$C$6)</f>
        <v>85</v>
      </c>
      <c r="K26" s="174">
        <f>IF((K14=1),Thermostat!$C$5,Thermostat!$C$6)</f>
        <v>75</v>
      </c>
      <c r="L26" s="174">
        <f>IF((L14=1),Thermostat!$C$5,Thermostat!$C$6)</f>
        <v>75</v>
      </c>
      <c r="M26" s="174">
        <f>IF((M14=1),Thermostat!$C$5,Thermostat!$C$6)</f>
        <v>75</v>
      </c>
      <c r="N26" s="174">
        <f>IF((N14=1),Thermostat!$C$5,Thermostat!$C$6)</f>
        <v>75</v>
      </c>
      <c r="O26" s="174">
        <f>IF((O14=1),Thermostat!$C$5,Thermostat!$C$6)</f>
        <v>75</v>
      </c>
      <c r="P26" s="174">
        <f>IF((P14=1),Thermostat!$C$5,Thermostat!$C$6)</f>
        <v>75</v>
      </c>
      <c r="Q26" s="174">
        <f>IF((Q14=1),Thermostat!$C$5,Thermostat!$C$6)</f>
        <v>75</v>
      </c>
      <c r="R26" s="174">
        <f>IF((R14=1),Thermostat!$C$5,Thermostat!$C$6)</f>
        <v>75</v>
      </c>
      <c r="S26" s="174">
        <f>IF((S14=1),Thermostat!$C$5,Thermostat!$C$6)</f>
        <v>75</v>
      </c>
      <c r="T26" s="174">
        <f>IF((T14=1),Thermostat!$C$5,Thermostat!$C$6)</f>
        <v>75</v>
      </c>
      <c r="U26" s="174">
        <f>IF((U14=1),Thermostat!$C$5,Thermostat!$C$6)</f>
        <v>75</v>
      </c>
      <c r="V26" s="174">
        <f>IF((V14=1),Thermostat!$C$5,Thermostat!$C$6)</f>
        <v>75</v>
      </c>
      <c r="W26" s="174">
        <f>IF((W14=1),Thermostat!$C$5,Thermostat!$C$6)</f>
        <v>75</v>
      </c>
      <c r="X26" s="174">
        <f>IF((X14=1),Thermostat!$C$5,Thermostat!$C$6)</f>
        <v>75</v>
      </c>
      <c r="Y26" s="174">
        <f>IF((Y14=1),Thermostat!$C$5,Thermostat!$C$6)</f>
        <v>85</v>
      </c>
      <c r="Z26" s="174">
        <f>IF((Z14=1),Thermostat!$C$5,Thermostat!$C$6)</f>
        <v>85</v>
      </c>
      <c r="AA26" s="174">
        <f>IF((AA14=1),Thermostat!$C$5,Thermostat!$C$6)</f>
        <v>85</v>
      </c>
      <c r="AB26" s="174">
        <f>IF((AB14=1),Thermostat!$C$5,Thermostat!$C$6)</f>
        <v>85</v>
      </c>
      <c r="AC26" s="177">
        <f>IF((AC14=1),Thermostat!$C$5,Thermostat!$C$6)</f>
        <v>85</v>
      </c>
    </row>
    <row r="27" spans="1:37" ht="31.95" customHeight="1" thickBot="1" x14ac:dyDescent="0.35">
      <c r="A27" s="738"/>
      <c r="B27" s="739"/>
      <c r="C27" s="773"/>
      <c r="D27" s="776"/>
      <c r="E27" s="267" t="s">
        <v>451</v>
      </c>
      <c r="F27" s="268">
        <f>IF((F15=1),Thermostat!$C$5,Thermostat!$C$6)</f>
        <v>85</v>
      </c>
      <c r="G27" s="268">
        <f>IF((G15=1),Thermostat!$C$5,Thermostat!$C$6)</f>
        <v>85</v>
      </c>
      <c r="H27" s="268">
        <f>IF((H15=1),Thermostat!$C$5,Thermostat!$C$6)</f>
        <v>85</v>
      </c>
      <c r="I27" s="268">
        <f>IF((I15=1),Thermostat!$C$5,Thermostat!$C$6)</f>
        <v>85</v>
      </c>
      <c r="J27" s="268">
        <f>IF((J15=1),Thermostat!$C$5,Thermostat!$C$6)</f>
        <v>85</v>
      </c>
      <c r="K27" s="268">
        <f>IF((K15=1),Thermostat!$C$5,Thermostat!$C$6)</f>
        <v>85</v>
      </c>
      <c r="L27" s="268">
        <f>IF((L15=1),Thermostat!$C$5,Thermostat!$C$6)</f>
        <v>85</v>
      </c>
      <c r="M27" s="268">
        <f>IF((M15=1),Thermostat!$C$5,Thermostat!$C$6)</f>
        <v>85</v>
      </c>
      <c r="N27" s="268">
        <f>IF((N15=1),Thermostat!$C$5,Thermostat!$C$6)</f>
        <v>85</v>
      </c>
      <c r="O27" s="268">
        <f>IF((O15=1),Thermostat!$C$5,Thermostat!$C$6)</f>
        <v>85</v>
      </c>
      <c r="P27" s="268">
        <f>IF((P15=1),Thermostat!$C$5,Thermostat!$C$6)</f>
        <v>85</v>
      </c>
      <c r="Q27" s="268">
        <f>IF((Q15=1),Thermostat!$C$5,Thermostat!$C$6)</f>
        <v>85</v>
      </c>
      <c r="R27" s="268">
        <f>IF((R15=1),Thermostat!$C$5,Thermostat!$C$6)</f>
        <v>85</v>
      </c>
      <c r="S27" s="268">
        <f>IF((S15=1),Thermostat!$C$5,Thermostat!$C$6)</f>
        <v>85</v>
      </c>
      <c r="T27" s="268">
        <f>IF((T15=1),Thermostat!$C$5,Thermostat!$C$6)</f>
        <v>85</v>
      </c>
      <c r="U27" s="268">
        <f>IF((U15=1),Thermostat!$C$5,Thermostat!$C$6)</f>
        <v>85</v>
      </c>
      <c r="V27" s="268">
        <f>IF((V15=1),Thermostat!$C$5,Thermostat!$C$6)</f>
        <v>85</v>
      </c>
      <c r="W27" s="268">
        <f>IF((W15=1),Thermostat!$C$5,Thermostat!$C$6)</f>
        <v>85</v>
      </c>
      <c r="X27" s="268">
        <f>IF((X15=1),Thermostat!$C$5,Thermostat!$C$6)</f>
        <v>85</v>
      </c>
      <c r="Y27" s="268">
        <f>IF((Y15=1),Thermostat!$C$5,Thermostat!$C$6)</f>
        <v>85</v>
      </c>
      <c r="Z27" s="268">
        <f>IF((Z15=1),Thermostat!$C$5,Thermostat!$C$6)</f>
        <v>85</v>
      </c>
      <c r="AA27" s="268">
        <f>IF((AA15=1),Thermostat!$C$5,Thermostat!$C$6)</f>
        <v>85</v>
      </c>
      <c r="AB27" s="268">
        <f>IF((AB15=1),Thermostat!$C$5,Thermostat!$C$6)</f>
        <v>85</v>
      </c>
      <c r="AC27" s="269">
        <f>IF((AC15=1),Thermostat!$C$5,Thermostat!$C$6)</f>
        <v>85</v>
      </c>
    </row>
    <row r="28" spans="1:37" ht="31.95" customHeight="1" thickBot="1" x14ac:dyDescent="0.35">
      <c r="A28" s="753" t="s">
        <v>307</v>
      </c>
      <c r="B28" s="754"/>
      <c r="C28" s="754"/>
      <c r="D28" s="754"/>
      <c r="E28" s="754"/>
      <c r="F28" s="754"/>
      <c r="G28" s="754"/>
      <c r="H28" s="754"/>
      <c r="I28" s="754"/>
      <c r="J28" s="754"/>
      <c r="K28" s="754"/>
      <c r="L28" s="754"/>
      <c r="M28" s="754"/>
      <c r="N28" s="754"/>
      <c r="O28" s="754"/>
      <c r="P28" s="754"/>
      <c r="Q28" s="754"/>
      <c r="R28" s="754"/>
      <c r="S28" s="754"/>
      <c r="T28" s="754"/>
      <c r="U28" s="754"/>
      <c r="V28" s="754"/>
      <c r="W28" s="754"/>
      <c r="X28" s="754"/>
      <c r="Y28" s="754"/>
      <c r="Z28" s="754"/>
      <c r="AA28" s="754"/>
      <c r="AB28" s="754"/>
      <c r="AC28" s="755"/>
    </row>
    <row r="29" spans="1:37" ht="31.95" customHeight="1" x14ac:dyDescent="0.3">
      <c r="A29" s="736" t="s">
        <v>307</v>
      </c>
      <c r="B29" s="739" t="s">
        <v>157</v>
      </c>
      <c r="C29" s="741" t="s">
        <v>447</v>
      </c>
      <c r="D29" s="745" t="s">
        <v>461</v>
      </c>
      <c r="E29" s="368" t="s">
        <v>449</v>
      </c>
      <c r="F29" s="172">
        <v>0</v>
      </c>
      <c r="G29" s="172">
        <v>0</v>
      </c>
      <c r="H29" s="172">
        <v>0</v>
      </c>
      <c r="I29" s="172">
        <v>0</v>
      </c>
      <c r="J29" s="172">
        <v>0</v>
      </c>
      <c r="K29" s="172">
        <v>0</v>
      </c>
      <c r="L29" s="172">
        <v>0.1</v>
      </c>
      <c r="M29" s="172">
        <v>0.2</v>
      </c>
      <c r="N29" s="172">
        <v>0.95</v>
      </c>
      <c r="O29" s="172">
        <v>0.95</v>
      </c>
      <c r="P29" s="172">
        <v>0.95</v>
      </c>
      <c r="Q29" s="172">
        <v>0.95</v>
      </c>
      <c r="R29" s="172">
        <v>0.5</v>
      </c>
      <c r="S29" s="172">
        <v>0.95</v>
      </c>
      <c r="T29" s="172">
        <v>0.95</v>
      </c>
      <c r="U29" s="172">
        <v>0.95</v>
      </c>
      <c r="V29" s="172">
        <v>0.95</v>
      </c>
      <c r="W29" s="172">
        <v>0.3</v>
      </c>
      <c r="X29" s="172">
        <v>0.1</v>
      </c>
      <c r="Y29" s="172">
        <v>0.1</v>
      </c>
      <c r="Z29" s="172">
        <v>0.1</v>
      </c>
      <c r="AA29" s="172">
        <v>0.1</v>
      </c>
      <c r="AB29" s="172">
        <v>0.05</v>
      </c>
      <c r="AC29" s="173">
        <v>0.05</v>
      </c>
    </row>
    <row r="30" spans="1:37" ht="31.95" customHeight="1" x14ac:dyDescent="0.3">
      <c r="A30" s="737"/>
      <c r="B30" s="739"/>
      <c r="C30" s="742"/>
      <c r="D30" s="698"/>
      <c r="E30" s="151" t="s">
        <v>450</v>
      </c>
      <c r="F30" s="152">
        <v>0</v>
      </c>
      <c r="G30" s="152">
        <v>0</v>
      </c>
      <c r="H30" s="152">
        <v>0</v>
      </c>
      <c r="I30" s="152">
        <v>0</v>
      </c>
      <c r="J30" s="152">
        <v>0</v>
      </c>
      <c r="K30" s="152">
        <v>0</v>
      </c>
      <c r="L30" s="153">
        <v>0.05</v>
      </c>
      <c r="M30" s="153">
        <v>0.05</v>
      </c>
      <c r="N30" s="153">
        <v>0.05</v>
      </c>
      <c r="O30" s="153">
        <v>0.05</v>
      </c>
      <c r="P30" s="153">
        <v>0.05</v>
      </c>
      <c r="Q30" s="153">
        <v>0.05</v>
      </c>
      <c r="R30" s="153">
        <v>0.05</v>
      </c>
      <c r="S30" s="153">
        <v>0.05</v>
      </c>
      <c r="T30" s="153">
        <v>0.05</v>
      </c>
      <c r="U30" s="153">
        <v>0.05</v>
      </c>
      <c r="V30" s="153">
        <v>0.05</v>
      </c>
      <c r="W30" s="153">
        <v>0.05</v>
      </c>
      <c r="X30" s="152">
        <v>0</v>
      </c>
      <c r="Y30" s="152">
        <v>0</v>
      </c>
      <c r="Z30" s="152">
        <v>0</v>
      </c>
      <c r="AA30" s="152">
        <v>0</v>
      </c>
      <c r="AB30" s="152">
        <v>0</v>
      </c>
      <c r="AC30" s="155">
        <v>0</v>
      </c>
    </row>
    <row r="31" spans="1:37" ht="31.95" customHeight="1" thickBot="1" x14ac:dyDescent="0.35">
      <c r="A31" s="738"/>
      <c r="B31" s="739"/>
      <c r="C31" s="756"/>
      <c r="D31" s="699"/>
      <c r="E31" s="156" t="s">
        <v>451</v>
      </c>
      <c r="F31" s="157">
        <v>0</v>
      </c>
      <c r="G31" s="157">
        <v>0</v>
      </c>
      <c r="H31" s="157">
        <v>0</v>
      </c>
      <c r="I31" s="157">
        <v>0</v>
      </c>
      <c r="J31" s="157">
        <v>0</v>
      </c>
      <c r="K31" s="157">
        <v>0</v>
      </c>
      <c r="L31" s="157">
        <v>0.05</v>
      </c>
      <c r="M31" s="157">
        <v>0.05</v>
      </c>
      <c r="N31" s="157">
        <v>0.05</v>
      </c>
      <c r="O31" s="157">
        <v>0.05</v>
      </c>
      <c r="P31" s="157">
        <v>0.05</v>
      </c>
      <c r="Q31" s="157">
        <v>0.05</v>
      </c>
      <c r="R31" s="157">
        <v>0.05</v>
      </c>
      <c r="S31" s="157">
        <v>0.05</v>
      </c>
      <c r="T31" s="157">
        <v>0.05</v>
      </c>
      <c r="U31" s="157">
        <v>0.05</v>
      </c>
      <c r="V31" s="157">
        <v>0.05</v>
      </c>
      <c r="W31" s="157">
        <v>0.05</v>
      </c>
      <c r="X31" s="157">
        <v>0</v>
      </c>
      <c r="Y31" s="157">
        <v>0</v>
      </c>
      <c r="Z31" s="157">
        <v>0</v>
      </c>
      <c r="AA31" s="157">
        <v>0</v>
      </c>
      <c r="AB31" s="157">
        <v>0</v>
      </c>
      <c r="AC31" s="158">
        <v>0</v>
      </c>
    </row>
    <row r="32" spans="1:37" ht="31.95" customHeight="1" x14ac:dyDescent="0.3">
      <c r="A32" s="705" t="str">
        <f>A29</f>
        <v>Storage &amp; Mechanical_Electrical</v>
      </c>
      <c r="B32" s="761" t="str">
        <f>B29</f>
        <v>Ancillary</v>
      </c>
      <c r="C32" s="708" t="s">
        <v>452</v>
      </c>
      <c r="D32" s="710" t="s">
        <v>461</v>
      </c>
      <c r="E32" s="188" t="s">
        <v>449</v>
      </c>
      <c r="F32" s="149">
        <v>0.05</v>
      </c>
      <c r="G32" s="149">
        <v>0.05</v>
      </c>
      <c r="H32" s="149">
        <v>0.05</v>
      </c>
      <c r="I32" s="149">
        <v>0.05</v>
      </c>
      <c r="J32" s="149">
        <v>0.05</v>
      </c>
      <c r="K32" s="227">
        <v>0.1</v>
      </c>
      <c r="L32" s="227">
        <v>0.1</v>
      </c>
      <c r="M32" s="227">
        <v>0.3</v>
      </c>
      <c r="N32" s="227">
        <v>0.65</v>
      </c>
      <c r="O32" s="227">
        <v>0.65</v>
      </c>
      <c r="P32" s="227">
        <v>0.65</v>
      </c>
      <c r="Q32" s="227">
        <v>0.65</v>
      </c>
      <c r="R32" s="227">
        <v>0.65</v>
      </c>
      <c r="S32" s="227">
        <v>0.65</v>
      </c>
      <c r="T32" s="227">
        <v>0.65</v>
      </c>
      <c r="U32" s="227">
        <v>0.65</v>
      </c>
      <c r="V32" s="227">
        <v>0.65</v>
      </c>
      <c r="W32" s="227">
        <v>0.35</v>
      </c>
      <c r="X32" s="227">
        <v>0.3</v>
      </c>
      <c r="Y32" s="227">
        <v>0.3</v>
      </c>
      <c r="Z32" s="149">
        <v>0.2</v>
      </c>
      <c r="AA32" s="149">
        <v>0.2</v>
      </c>
      <c r="AB32" s="149">
        <v>0.1</v>
      </c>
      <c r="AC32" s="150">
        <v>0.05</v>
      </c>
    </row>
    <row r="33" spans="1:29" ht="31.95" customHeight="1" x14ac:dyDescent="0.3">
      <c r="A33" s="737"/>
      <c r="B33" s="739"/>
      <c r="C33" s="742"/>
      <c r="D33" s="698"/>
      <c r="E33" s="160" t="s">
        <v>450</v>
      </c>
      <c r="F33" s="152">
        <v>0.05</v>
      </c>
      <c r="G33" s="152">
        <v>0.05</v>
      </c>
      <c r="H33" s="152">
        <v>0.05</v>
      </c>
      <c r="I33" s="152">
        <v>0.05</v>
      </c>
      <c r="J33" s="152">
        <v>0.05</v>
      </c>
      <c r="K33" s="152">
        <v>0.05</v>
      </c>
      <c r="L33" s="336">
        <v>0.15</v>
      </c>
      <c r="M33" s="336">
        <v>0.15</v>
      </c>
      <c r="N33" s="336">
        <v>0.15</v>
      </c>
      <c r="O33" s="336">
        <v>0.15</v>
      </c>
      <c r="P33" s="336">
        <v>0.15</v>
      </c>
      <c r="Q33" s="336">
        <v>0.15</v>
      </c>
      <c r="R33" s="336">
        <v>0.15</v>
      </c>
      <c r="S33" s="336">
        <v>0.15</v>
      </c>
      <c r="T33" s="336">
        <v>0.15</v>
      </c>
      <c r="U33" s="336">
        <v>0.15</v>
      </c>
      <c r="V33" s="336">
        <v>0.15</v>
      </c>
      <c r="W33" s="336">
        <v>0.15</v>
      </c>
      <c r="X33" s="152">
        <v>0.05</v>
      </c>
      <c r="Y33" s="152">
        <v>0.05</v>
      </c>
      <c r="Z33" s="152">
        <v>0.05</v>
      </c>
      <c r="AA33" s="152">
        <v>0.05</v>
      </c>
      <c r="AB33" s="152">
        <v>0.05</v>
      </c>
      <c r="AC33" s="155">
        <v>0.05</v>
      </c>
    </row>
    <row r="34" spans="1:29" ht="31.95" customHeight="1" x14ac:dyDescent="0.3">
      <c r="A34" s="738"/>
      <c r="B34" s="739"/>
      <c r="C34" s="756"/>
      <c r="D34" s="699"/>
      <c r="E34" s="161" t="s">
        <v>451</v>
      </c>
      <c r="F34" s="157">
        <v>0.05</v>
      </c>
      <c r="G34" s="157">
        <v>0.05</v>
      </c>
      <c r="H34" s="157">
        <v>0.05</v>
      </c>
      <c r="I34" s="157">
        <v>0.05</v>
      </c>
      <c r="J34" s="157">
        <v>0.05</v>
      </c>
      <c r="K34" s="157">
        <v>0.05</v>
      </c>
      <c r="L34" s="455">
        <v>0.15</v>
      </c>
      <c r="M34" s="455">
        <v>0.15</v>
      </c>
      <c r="N34" s="455">
        <v>0.15</v>
      </c>
      <c r="O34" s="455">
        <v>0.15</v>
      </c>
      <c r="P34" s="455">
        <v>0.15</v>
      </c>
      <c r="Q34" s="455">
        <v>0.15</v>
      </c>
      <c r="R34" s="455">
        <v>0.15</v>
      </c>
      <c r="S34" s="455">
        <v>0.15</v>
      </c>
      <c r="T34" s="455">
        <v>0.15</v>
      </c>
      <c r="U34" s="455">
        <v>0.15</v>
      </c>
      <c r="V34" s="455">
        <v>0.15</v>
      </c>
      <c r="W34" s="455">
        <v>0.15</v>
      </c>
      <c r="X34" s="157">
        <v>0.05</v>
      </c>
      <c r="Y34" s="157">
        <v>0.05</v>
      </c>
      <c r="Z34" s="157">
        <v>0.05</v>
      </c>
      <c r="AA34" s="157">
        <v>0.05</v>
      </c>
      <c r="AB34" s="157">
        <v>0.05</v>
      </c>
      <c r="AC34" s="158">
        <v>0.05</v>
      </c>
    </row>
    <row r="35" spans="1:29" ht="31.95" customHeight="1" x14ac:dyDescent="0.3">
      <c r="A35" s="762" t="str">
        <f>A29</f>
        <v>Storage &amp; Mechanical_Electrical</v>
      </c>
      <c r="B35" s="765" t="str">
        <f>B29</f>
        <v>Ancillary</v>
      </c>
      <c r="C35" s="757" t="s">
        <v>456</v>
      </c>
      <c r="D35" s="734" t="s">
        <v>303</v>
      </c>
      <c r="E35" s="329" t="s">
        <v>449</v>
      </c>
      <c r="F35" s="450">
        <v>0</v>
      </c>
      <c r="G35" s="450">
        <v>0</v>
      </c>
      <c r="H35" s="450">
        <v>0</v>
      </c>
      <c r="I35" s="450">
        <v>0</v>
      </c>
      <c r="J35" s="450">
        <v>0</v>
      </c>
      <c r="K35" s="450">
        <v>1</v>
      </c>
      <c r="L35" s="450">
        <v>1</v>
      </c>
      <c r="M35" s="450">
        <v>1</v>
      </c>
      <c r="N35" s="450">
        <v>1</v>
      </c>
      <c r="O35" s="450">
        <v>1</v>
      </c>
      <c r="P35" s="450">
        <v>1</v>
      </c>
      <c r="Q35" s="450">
        <v>1</v>
      </c>
      <c r="R35" s="450">
        <v>1</v>
      </c>
      <c r="S35" s="450">
        <v>1</v>
      </c>
      <c r="T35" s="450">
        <v>1</v>
      </c>
      <c r="U35" s="450">
        <v>1</v>
      </c>
      <c r="V35" s="450">
        <v>1</v>
      </c>
      <c r="W35" s="450">
        <v>1</v>
      </c>
      <c r="X35" s="450">
        <v>1</v>
      </c>
      <c r="Y35" s="450">
        <v>1</v>
      </c>
      <c r="Z35" s="450">
        <v>1</v>
      </c>
      <c r="AA35" s="450">
        <v>1</v>
      </c>
      <c r="AB35" s="450">
        <v>1</v>
      </c>
      <c r="AC35" s="451">
        <v>1</v>
      </c>
    </row>
    <row r="36" spans="1:29" ht="31.95" customHeight="1" x14ac:dyDescent="0.3">
      <c r="A36" s="763"/>
      <c r="B36" s="739"/>
      <c r="C36" s="742"/>
      <c r="D36" s="698"/>
      <c r="E36" s="160" t="s">
        <v>450</v>
      </c>
      <c r="F36" s="152">
        <v>0</v>
      </c>
      <c r="G36" s="152">
        <v>0</v>
      </c>
      <c r="H36" s="152">
        <v>0</v>
      </c>
      <c r="I36" s="152">
        <v>0</v>
      </c>
      <c r="J36" s="152">
        <v>0</v>
      </c>
      <c r="K36" s="154">
        <v>0</v>
      </c>
      <c r="L36" s="154">
        <v>0</v>
      </c>
      <c r="M36" s="154">
        <v>0</v>
      </c>
      <c r="N36" s="154">
        <v>0</v>
      </c>
      <c r="O36" s="154">
        <v>0</v>
      </c>
      <c r="P36" s="154">
        <v>0</v>
      </c>
      <c r="Q36" s="154">
        <v>0</v>
      </c>
      <c r="R36" s="154">
        <v>0</v>
      </c>
      <c r="S36" s="154">
        <v>0</v>
      </c>
      <c r="T36" s="154">
        <v>0</v>
      </c>
      <c r="U36" s="154">
        <v>0</v>
      </c>
      <c r="V36" s="154">
        <v>0</v>
      </c>
      <c r="W36" s="154">
        <v>0</v>
      </c>
      <c r="X36" s="154">
        <v>0</v>
      </c>
      <c r="Y36" s="152">
        <v>0</v>
      </c>
      <c r="Z36" s="152">
        <v>0</v>
      </c>
      <c r="AA36" s="152">
        <v>0</v>
      </c>
      <c r="AB36" s="152">
        <v>0</v>
      </c>
      <c r="AC36" s="452">
        <v>0</v>
      </c>
    </row>
    <row r="37" spans="1:29" ht="31.95" customHeight="1" x14ac:dyDescent="0.3">
      <c r="A37" s="764"/>
      <c r="B37" s="766"/>
      <c r="C37" s="758"/>
      <c r="D37" s="735"/>
      <c r="E37" s="333" t="s">
        <v>451</v>
      </c>
      <c r="F37" s="453">
        <v>0</v>
      </c>
      <c r="G37" s="453">
        <v>0</v>
      </c>
      <c r="H37" s="453">
        <v>0</v>
      </c>
      <c r="I37" s="453">
        <v>0</v>
      </c>
      <c r="J37" s="453">
        <v>0</v>
      </c>
      <c r="K37" s="453">
        <v>0</v>
      </c>
      <c r="L37" s="453">
        <v>0</v>
      </c>
      <c r="M37" s="453">
        <v>0</v>
      </c>
      <c r="N37" s="453">
        <v>0</v>
      </c>
      <c r="O37" s="453">
        <v>0</v>
      </c>
      <c r="P37" s="453">
        <v>0</v>
      </c>
      <c r="Q37" s="453">
        <v>0</v>
      </c>
      <c r="R37" s="453">
        <v>0</v>
      </c>
      <c r="S37" s="453">
        <v>0</v>
      </c>
      <c r="T37" s="453">
        <v>0</v>
      </c>
      <c r="U37" s="453">
        <v>0</v>
      </c>
      <c r="V37" s="453">
        <v>0</v>
      </c>
      <c r="W37" s="453">
        <v>0</v>
      </c>
      <c r="X37" s="453">
        <v>0</v>
      </c>
      <c r="Y37" s="453">
        <v>0</v>
      </c>
      <c r="Z37" s="453">
        <v>0</v>
      </c>
      <c r="AA37" s="453">
        <v>0</v>
      </c>
      <c r="AB37" s="453">
        <v>0</v>
      </c>
      <c r="AC37" s="454">
        <v>0</v>
      </c>
    </row>
    <row r="38" spans="1:29" ht="31.95" customHeight="1" x14ac:dyDescent="0.3">
      <c r="A38" s="736" t="str">
        <f>A29</f>
        <v>Storage &amp; Mechanical_Electrical</v>
      </c>
      <c r="B38" s="739" t="str">
        <f>B29</f>
        <v>Ancillary</v>
      </c>
      <c r="C38" s="741" t="s">
        <v>457</v>
      </c>
      <c r="D38" s="745" t="s">
        <v>303</v>
      </c>
      <c r="E38" s="171" t="s">
        <v>449</v>
      </c>
      <c r="F38" s="369">
        <v>0</v>
      </c>
      <c r="G38" s="369">
        <v>0</v>
      </c>
      <c r="H38" s="369">
        <v>0</v>
      </c>
      <c r="I38" s="369">
        <v>0</v>
      </c>
      <c r="J38" s="369">
        <v>0</v>
      </c>
      <c r="K38" s="369">
        <v>0</v>
      </c>
      <c r="L38" s="369">
        <v>0</v>
      </c>
      <c r="M38" s="369">
        <v>0</v>
      </c>
      <c r="N38" s="369">
        <v>0</v>
      </c>
      <c r="O38" s="369">
        <v>0</v>
      </c>
      <c r="P38" s="369">
        <v>0</v>
      </c>
      <c r="Q38" s="369">
        <v>0</v>
      </c>
      <c r="R38" s="369">
        <v>0</v>
      </c>
      <c r="S38" s="369">
        <v>0</v>
      </c>
      <c r="T38" s="369">
        <v>0</v>
      </c>
      <c r="U38" s="369">
        <v>0</v>
      </c>
      <c r="V38" s="369">
        <v>0</v>
      </c>
      <c r="W38" s="369">
        <v>0</v>
      </c>
      <c r="X38" s="369">
        <v>0</v>
      </c>
      <c r="Y38" s="369">
        <v>0</v>
      </c>
      <c r="Z38" s="369">
        <v>0</v>
      </c>
      <c r="AA38" s="369">
        <v>0</v>
      </c>
      <c r="AB38" s="369">
        <v>0</v>
      </c>
      <c r="AC38" s="370">
        <v>0</v>
      </c>
    </row>
    <row r="39" spans="1:29" ht="31.95" customHeight="1" x14ac:dyDescent="0.3">
      <c r="A39" s="737"/>
      <c r="B39" s="739"/>
      <c r="C39" s="742"/>
      <c r="D39" s="698"/>
      <c r="E39" s="160" t="s">
        <v>450</v>
      </c>
      <c r="F39" s="327">
        <v>0</v>
      </c>
      <c r="G39" s="327">
        <v>0</v>
      </c>
      <c r="H39" s="327">
        <v>0</v>
      </c>
      <c r="I39" s="327">
        <v>0</v>
      </c>
      <c r="J39" s="327">
        <v>0</v>
      </c>
      <c r="K39" s="327">
        <v>0</v>
      </c>
      <c r="L39" s="327">
        <v>0</v>
      </c>
      <c r="M39" s="327">
        <v>0</v>
      </c>
      <c r="N39" s="327">
        <v>0</v>
      </c>
      <c r="O39" s="327">
        <v>0</v>
      </c>
      <c r="P39" s="327">
        <v>0</v>
      </c>
      <c r="Q39" s="327">
        <v>0</v>
      </c>
      <c r="R39" s="327">
        <v>0</v>
      </c>
      <c r="S39" s="327">
        <v>0</v>
      </c>
      <c r="T39" s="327">
        <v>0</v>
      </c>
      <c r="U39" s="327">
        <v>0</v>
      </c>
      <c r="V39" s="327">
        <v>0</v>
      </c>
      <c r="W39" s="327">
        <v>0</v>
      </c>
      <c r="X39" s="327">
        <v>0</v>
      </c>
      <c r="Y39" s="327">
        <v>0</v>
      </c>
      <c r="Z39" s="327">
        <v>0</v>
      </c>
      <c r="AA39" s="327">
        <v>0</v>
      </c>
      <c r="AB39" s="327">
        <v>0</v>
      </c>
      <c r="AC39" s="332">
        <v>0</v>
      </c>
    </row>
    <row r="40" spans="1:29" ht="31.95" customHeight="1" thickBot="1" x14ac:dyDescent="0.35">
      <c r="A40" s="738"/>
      <c r="B40" s="740"/>
      <c r="C40" s="743"/>
      <c r="D40" s="699"/>
      <c r="E40" s="168" t="s">
        <v>451</v>
      </c>
      <c r="F40" s="371">
        <v>0</v>
      </c>
      <c r="G40" s="371">
        <v>0</v>
      </c>
      <c r="H40" s="371">
        <v>0</v>
      </c>
      <c r="I40" s="371">
        <v>0</v>
      </c>
      <c r="J40" s="371">
        <v>0</v>
      </c>
      <c r="K40" s="371">
        <v>0</v>
      </c>
      <c r="L40" s="371">
        <v>0</v>
      </c>
      <c r="M40" s="371">
        <v>0</v>
      </c>
      <c r="N40" s="371">
        <v>0</v>
      </c>
      <c r="O40" s="371">
        <v>0</v>
      </c>
      <c r="P40" s="371">
        <v>0</v>
      </c>
      <c r="Q40" s="371">
        <v>0</v>
      </c>
      <c r="R40" s="371">
        <v>0</v>
      </c>
      <c r="S40" s="371">
        <v>0</v>
      </c>
      <c r="T40" s="371">
        <v>0</v>
      </c>
      <c r="U40" s="371">
        <v>0</v>
      </c>
      <c r="V40" s="371">
        <v>0</v>
      </c>
      <c r="W40" s="371">
        <v>0</v>
      </c>
      <c r="X40" s="371">
        <v>0</v>
      </c>
      <c r="Y40" s="371">
        <v>0</v>
      </c>
      <c r="Z40" s="371">
        <v>0</v>
      </c>
      <c r="AA40" s="371">
        <v>0</v>
      </c>
      <c r="AB40" s="371">
        <v>0</v>
      </c>
      <c r="AC40" s="372">
        <v>0</v>
      </c>
    </row>
    <row r="41" spans="1:29" ht="31.95" customHeight="1" x14ac:dyDescent="0.3">
      <c r="A41" s="705" t="str">
        <f>A29</f>
        <v>Storage &amp; Mechanical_Electrical</v>
      </c>
      <c r="B41" s="761" t="str">
        <f>B29</f>
        <v>Ancillary</v>
      </c>
      <c r="C41" s="695" t="s">
        <v>237</v>
      </c>
      <c r="D41" s="710" t="s">
        <v>303</v>
      </c>
      <c r="E41" s="159" t="s">
        <v>449</v>
      </c>
      <c r="F41" s="172">
        <v>1</v>
      </c>
      <c r="G41" s="172">
        <v>1</v>
      </c>
      <c r="H41" s="172">
        <v>1</v>
      </c>
      <c r="I41" s="172">
        <v>1</v>
      </c>
      <c r="J41" s="172">
        <v>1</v>
      </c>
      <c r="K41" s="172">
        <v>0.25</v>
      </c>
      <c r="L41" s="172">
        <v>0.25</v>
      </c>
      <c r="M41" s="172">
        <v>0.25</v>
      </c>
      <c r="N41" s="172">
        <v>0.25</v>
      </c>
      <c r="O41" s="172">
        <v>0.25</v>
      </c>
      <c r="P41" s="172">
        <v>0.25</v>
      </c>
      <c r="Q41" s="172">
        <v>0.25</v>
      </c>
      <c r="R41" s="172">
        <v>0.25</v>
      </c>
      <c r="S41" s="172">
        <v>0.25</v>
      </c>
      <c r="T41" s="172">
        <v>0.25</v>
      </c>
      <c r="U41" s="172">
        <v>0.25</v>
      </c>
      <c r="V41" s="172">
        <v>0.25</v>
      </c>
      <c r="W41" s="172">
        <v>0.25</v>
      </c>
      <c r="X41" s="172">
        <v>0.25</v>
      </c>
      <c r="Y41" s="172">
        <v>0.25</v>
      </c>
      <c r="Z41" s="172">
        <v>0.25</v>
      </c>
      <c r="AA41" s="172">
        <v>0.25</v>
      </c>
      <c r="AB41" s="172">
        <v>0.25</v>
      </c>
      <c r="AC41" s="173">
        <v>0.25</v>
      </c>
    </row>
    <row r="42" spans="1:29" ht="31.95" customHeight="1" x14ac:dyDescent="0.3">
      <c r="A42" s="737"/>
      <c r="B42" s="739"/>
      <c r="C42" s="742"/>
      <c r="D42" s="698"/>
      <c r="E42" s="160" t="s">
        <v>450</v>
      </c>
      <c r="F42" s="152">
        <v>1</v>
      </c>
      <c r="G42" s="152">
        <v>1</v>
      </c>
      <c r="H42" s="152">
        <v>1</v>
      </c>
      <c r="I42" s="152">
        <v>1</v>
      </c>
      <c r="J42" s="152">
        <v>1</v>
      </c>
      <c r="K42" s="154">
        <v>1</v>
      </c>
      <c r="L42" s="154">
        <v>1</v>
      </c>
      <c r="M42" s="154">
        <v>1</v>
      </c>
      <c r="N42" s="154">
        <v>1</v>
      </c>
      <c r="O42" s="154">
        <v>1</v>
      </c>
      <c r="P42" s="154">
        <v>1</v>
      </c>
      <c r="Q42" s="154">
        <v>1</v>
      </c>
      <c r="R42" s="154">
        <v>1</v>
      </c>
      <c r="S42" s="154">
        <v>1</v>
      </c>
      <c r="T42" s="154">
        <v>1</v>
      </c>
      <c r="U42" s="154">
        <v>1</v>
      </c>
      <c r="V42" s="154">
        <v>1</v>
      </c>
      <c r="W42" s="154">
        <v>1</v>
      </c>
      <c r="X42" s="154">
        <v>1</v>
      </c>
      <c r="Y42" s="152">
        <v>1</v>
      </c>
      <c r="Z42" s="152">
        <v>1</v>
      </c>
      <c r="AA42" s="152">
        <v>1</v>
      </c>
      <c r="AB42" s="152">
        <v>1</v>
      </c>
      <c r="AC42" s="155">
        <v>1</v>
      </c>
    </row>
    <row r="43" spans="1:29" ht="31.95" customHeight="1" thickBot="1" x14ac:dyDescent="0.35">
      <c r="A43" s="738"/>
      <c r="B43" s="740"/>
      <c r="C43" s="756"/>
      <c r="D43" s="711"/>
      <c r="E43" s="161" t="s">
        <v>451</v>
      </c>
      <c r="F43" s="157">
        <v>1</v>
      </c>
      <c r="G43" s="157">
        <v>1</v>
      </c>
      <c r="H43" s="157">
        <v>1</v>
      </c>
      <c r="I43" s="157">
        <v>1</v>
      </c>
      <c r="J43" s="157">
        <v>1</v>
      </c>
      <c r="K43" s="157">
        <v>1</v>
      </c>
      <c r="L43" s="157">
        <v>1</v>
      </c>
      <c r="M43" s="157">
        <v>1</v>
      </c>
      <c r="N43" s="157">
        <v>1</v>
      </c>
      <c r="O43" s="157">
        <v>1</v>
      </c>
      <c r="P43" s="157">
        <v>1</v>
      </c>
      <c r="Q43" s="157">
        <v>1</v>
      </c>
      <c r="R43" s="157">
        <v>1</v>
      </c>
      <c r="S43" s="157">
        <v>1</v>
      </c>
      <c r="T43" s="157">
        <v>1</v>
      </c>
      <c r="U43" s="157">
        <v>1</v>
      </c>
      <c r="V43" s="157">
        <v>1</v>
      </c>
      <c r="W43" s="157">
        <v>1</v>
      </c>
      <c r="X43" s="157">
        <v>1</v>
      </c>
      <c r="Y43" s="157">
        <v>1</v>
      </c>
      <c r="Z43" s="157">
        <v>1</v>
      </c>
      <c r="AA43" s="157">
        <v>1</v>
      </c>
      <c r="AB43" s="157">
        <v>1</v>
      </c>
      <c r="AC43" s="158">
        <v>1</v>
      </c>
    </row>
    <row r="44" spans="1:29" ht="31.95" customHeight="1" x14ac:dyDescent="0.3">
      <c r="A44" s="796" t="str">
        <f>A32</f>
        <v>Storage &amp; Mechanical_Electrical</v>
      </c>
      <c r="B44" s="799" t="str">
        <f>B32</f>
        <v>Ancillary</v>
      </c>
      <c r="C44" s="800" t="s">
        <v>459</v>
      </c>
      <c r="D44" s="800" t="s">
        <v>462</v>
      </c>
      <c r="E44" s="337" t="s">
        <v>449</v>
      </c>
      <c r="F44" s="356">
        <v>60</v>
      </c>
      <c r="G44" s="356">
        <v>60</v>
      </c>
      <c r="H44" s="356">
        <v>60</v>
      </c>
      <c r="I44" s="356">
        <v>60</v>
      </c>
      <c r="J44" s="356">
        <v>60</v>
      </c>
      <c r="K44" s="356">
        <v>60</v>
      </c>
      <c r="L44" s="356">
        <v>60</v>
      </c>
      <c r="M44" s="356">
        <v>60</v>
      </c>
      <c r="N44" s="356">
        <v>60</v>
      </c>
      <c r="O44" s="356">
        <v>60</v>
      </c>
      <c r="P44" s="356">
        <v>60</v>
      </c>
      <c r="Q44" s="356">
        <v>60</v>
      </c>
      <c r="R44" s="356">
        <v>60</v>
      </c>
      <c r="S44" s="356">
        <v>60</v>
      </c>
      <c r="T44" s="356">
        <v>60</v>
      </c>
      <c r="U44" s="356">
        <v>60</v>
      </c>
      <c r="V44" s="356">
        <v>60</v>
      </c>
      <c r="W44" s="356">
        <v>60</v>
      </c>
      <c r="X44" s="356">
        <v>60</v>
      </c>
      <c r="Y44" s="356">
        <v>60</v>
      </c>
      <c r="Z44" s="356">
        <v>60</v>
      </c>
      <c r="AA44" s="356">
        <v>60</v>
      </c>
      <c r="AB44" s="356">
        <v>60</v>
      </c>
      <c r="AC44" s="357">
        <v>60</v>
      </c>
    </row>
    <row r="45" spans="1:29" ht="31.95" customHeight="1" x14ac:dyDescent="0.3">
      <c r="A45" s="797"/>
      <c r="B45" s="794"/>
      <c r="C45" s="700"/>
      <c r="D45" s="700"/>
      <c r="E45" s="338" t="s">
        <v>450</v>
      </c>
      <c r="F45" s="358">
        <v>60</v>
      </c>
      <c r="G45" s="358">
        <v>60</v>
      </c>
      <c r="H45" s="358">
        <v>60</v>
      </c>
      <c r="I45" s="358">
        <v>60</v>
      </c>
      <c r="J45" s="358">
        <v>60</v>
      </c>
      <c r="K45" s="358">
        <v>60</v>
      </c>
      <c r="L45" s="358">
        <v>60</v>
      </c>
      <c r="M45" s="358">
        <v>60</v>
      </c>
      <c r="N45" s="358">
        <v>60</v>
      </c>
      <c r="O45" s="358">
        <v>60</v>
      </c>
      <c r="P45" s="358">
        <v>60</v>
      </c>
      <c r="Q45" s="358">
        <v>60</v>
      </c>
      <c r="R45" s="358">
        <v>60</v>
      </c>
      <c r="S45" s="358">
        <v>60</v>
      </c>
      <c r="T45" s="358">
        <v>60</v>
      </c>
      <c r="U45" s="358">
        <v>60</v>
      </c>
      <c r="V45" s="358">
        <v>60</v>
      </c>
      <c r="W45" s="358">
        <v>60</v>
      </c>
      <c r="X45" s="358">
        <v>60</v>
      </c>
      <c r="Y45" s="358">
        <v>60</v>
      </c>
      <c r="Z45" s="358">
        <v>60</v>
      </c>
      <c r="AA45" s="358">
        <v>60</v>
      </c>
      <c r="AB45" s="358">
        <v>60</v>
      </c>
      <c r="AC45" s="359">
        <v>60</v>
      </c>
    </row>
    <row r="46" spans="1:29" ht="31.95" customHeight="1" x14ac:dyDescent="0.3">
      <c r="A46" s="798"/>
      <c r="B46" s="794"/>
      <c r="C46" s="801"/>
      <c r="D46" s="801"/>
      <c r="E46" s="339" t="s">
        <v>451</v>
      </c>
      <c r="F46" s="360">
        <v>60</v>
      </c>
      <c r="G46" s="360">
        <v>60</v>
      </c>
      <c r="H46" s="360">
        <v>60</v>
      </c>
      <c r="I46" s="360">
        <v>60</v>
      </c>
      <c r="J46" s="360">
        <v>60</v>
      </c>
      <c r="K46" s="360">
        <v>60</v>
      </c>
      <c r="L46" s="360">
        <v>60</v>
      </c>
      <c r="M46" s="360">
        <v>60</v>
      </c>
      <c r="N46" s="360">
        <v>60</v>
      </c>
      <c r="O46" s="360">
        <v>60</v>
      </c>
      <c r="P46" s="360">
        <v>60</v>
      </c>
      <c r="Q46" s="360">
        <v>60</v>
      </c>
      <c r="R46" s="360">
        <v>60</v>
      </c>
      <c r="S46" s="360">
        <v>60</v>
      </c>
      <c r="T46" s="360">
        <v>60</v>
      </c>
      <c r="U46" s="360">
        <v>60</v>
      </c>
      <c r="V46" s="360">
        <v>60</v>
      </c>
      <c r="W46" s="360">
        <v>60</v>
      </c>
      <c r="X46" s="360">
        <v>60</v>
      </c>
      <c r="Y46" s="360">
        <v>60</v>
      </c>
      <c r="Z46" s="360">
        <v>60</v>
      </c>
      <c r="AA46" s="360">
        <v>60</v>
      </c>
      <c r="AB46" s="360">
        <v>60</v>
      </c>
      <c r="AC46" s="361">
        <v>60</v>
      </c>
    </row>
    <row r="47" spans="1:29" ht="33.6" customHeight="1" x14ac:dyDescent="0.3">
      <c r="A47" s="790" t="str">
        <f>A29</f>
        <v>Storage &amp; Mechanical_Electrical</v>
      </c>
      <c r="B47" s="793" t="str">
        <f>B29</f>
        <v>Ancillary</v>
      </c>
      <c r="C47" s="767" t="s">
        <v>460</v>
      </c>
      <c r="D47" s="697" t="s">
        <v>462</v>
      </c>
      <c r="E47" s="523" t="s">
        <v>449</v>
      </c>
      <c r="F47" s="362">
        <v>85</v>
      </c>
      <c r="G47" s="362">
        <v>85</v>
      </c>
      <c r="H47" s="362">
        <v>85</v>
      </c>
      <c r="I47" s="362">
        <v>85</v>
      </c>
      <c r="J47" s="362">
        <v>85</v>
      </c>
      <c r="K47" s="362">
        <v>85</v>
      </c>
      <c r="L47" s="362">
        <v>85</v>
      </c>
      <c r="M47" s="362">
        <v>85</v>
      </c>
      <c r="N47" s="362">
        <v>85</v>
      </c>
      <c r="O47" s="362">
        <v>85</v>
      </c>
      <c r="P47" s="362">
        <v>85</v>
      </c>
      <c r="Q47" s="362">
        <v>85</v>
      </c>
      <c r="R47" s="362">
        <v>85</v>
      </c>
      <c r="S47" s="362">
        <v>85</v>
      </c>
      <c r="T47" s="362">
        <v>85</v>
      </c>
      <c r="U47" s="362">
        <v>85</v>
      </c>
      <c r="V47" s="362">
        <v>85</v>
      </c>
      <c r="W47" s="362">
        <v>85</v>
      </c>
      <c r="X47" s="362">
        <v>85</v>
      </c>
      <c r="Y47" s="362">
        <v>85</v>
      </c>
      <c r="Z47" s="362">
        <v>85</v>
      </c>
      <c r="AA47" s="362">
        <v>85</v>
      </c>
      <c r="AB47" s="362">
        <v>85</v>
      </c>
      <c r="AC47" s="363">
        <v>85</v>
      </c>
    </row>
    <row r="48" spans="1:29" ht="34.950000000000003" customHeight="1" x14ac:dyDescent="0.3">
      <c r="A48" s="791"/>
      <c r="B48" s="794"/>
      <c r="C48" s="768"/>
      <c r="D48" s="698"/>
      <c r="E48" s="524" t="s">
        <v>450</v>
      </c>
      <c r="F48" s="364">
        <v>85</v>
      </c>
      <c r="G48" s="364">
        <v>85</v>
      </c>
      <c r="H48" s="364">
        <v>85</v>
      </c>
      <c r="I48" s="364">
        <v>85</v>
      </c>
      <c r="J48" s="364">
        <v>85</v>
      </c>
      <c r="K48" s="364">
        <v>85</v>
      </c>
      <c r="L48" s="364">
        <v>85</v>
      </c>
      <c r="M48" s="364">
        <v>85</v>
      </c>
      <c r="N48" s="364">
        <v>85</v>
      </c>
      <c r="O48" s="364">
        <v>85</v>
      </c>
      <c r="P48" s="364">
        <v>85</v>
      </c>
      <c r="Q48" s="364">
        <v>85</v>
      </c>
      <c r="R48" s="364">
        <v>85</v>
      </c>
      <c r="S48" s="364">
        <v>85</v>
      </c>
      <c r="T48" s="364">
        <v>85</v>
      </c>
      <c r="U48" s="364">
        <v>85</v>
      </c>
      <c r="V48" s="364">
        <v>85</v>
      </c>
      <c r="W48" s="364">
        <v>85</v>
      </c>
      <c r="X48" s="364">
        <v>85</v>
      </c>
      <c r="Y48" s="364">
        <v>85</v>
      </c>
      <c r="Z48" s="364">
        <v>85</v>
      </c>
      <c r="AA48" s="364">
        <v>85</v>
      </c>
      <c r="AB48" s="364">
        <v>85</v>
      </c>
      <c r="AC48" s="365">
        <v>85</v>
      </c>
    </row>
    <row r="49" spans="1:39" ht="34.950000000000003" customHeight="1" x14ac:dyDescent="0.3">
      <c r="A49" s="792"/>
      <c r="B49" s="795"/>
      <c r="C49" s="769"/>
      <c r="D49" s="733"/>
      <c r="E49" s="525" t="s">
        <v>451</v>
      </c>
      <c r="F49" s="366">
        <v>85</v>
      </c>
      <c r="G49" s="366">
        <v>85</v>
      </c>
      <c r="H49" s="366">
        <v>85</v>
      </c>
      <c r="I49" s="366">
        <v>85</v>
      </c>
      <c r="J49" s="366">
        <v>85</v>
      </c>
      <c r="K49" s="366">
        <v>85</v>
      </c>
      <c r="L49" s="366">
        <v>85</v>
      </c>
      <c r="M49" s="366">
        <v>85</v>
      </c>
      <c r="N49" s="366">
        <v>85</v>
      </c>
      <c r="O49" s="366">
        <v>85</v>
      </c>
      <c r="P49" s="366">
        <v>85</v>
      </c>
      <c r="Q49" s="366">
        <v>85</v>
      </c>
      <c r="R49" s="366">
        <v>85</v>
      </c>
      <c r="S49" s="366">
        <v>85</v>
      </c>
      <c r="T49" s="366">
        <v>85</v>
      </c>
      <c r="U49" s="366">
        <v>85</v>
      </c>
      <c r="V49" s="366">
        <v>85</v>
      </c>
      <c r="W49" s="366">
        <v>85</v>
      </c>
      <c r="X49" s="366">
        <v>85</v>
      </c>
      <c r="Y49" s="366">
        <v>85</v>
      </c>
      <c r="Z49" s="366">
        <v>85</v>
      </c>
      <c r="AA49" s="366">
        <v>85</v>
      </c>
      <c r="AB49" s="366">
        <v>85</v>
      </c>
      <c r="AC49" s="367">
        <v>85</v>
      </c>
    </row>
    <row r="50" spans="1:39" ht="34.950000000000003" customHeight="1" thickBot="1" x14ac:dyDescent="0.35">
      <c r="A50" s="777" t="s">
        <v>463</v>
      </c>
      <c r="B50" s="778"/>
      <c r="C50" s="778"/>
      <c r="D50" s="778"/>
      <c r="E50" s="778"/>
      <c r="F50" s="778"/>
      <c r="G50" s="778"/>
      <c r="H50" s="778"/>
      <c r="I50" s="778"/>
      <c r="J50" s="778"/>
      <c r="K50" s="778"/>
      <c r="L50" s="778"/>
      <c r="M50" s="778"/>
      <c r="N50" s="778"/>
      <c r="O50" s="778"/>
      <c r="P50" s="778"/>
      <c r="Q50" s="778"/>
      <c r="R50" s="778"/>
      <c r="S50" s="778"/>
      <c r="T50" s="778"/>
      <c r="U50" s="778"/>
      <c r="V50" s="778"/>
      <c r="W50" s="778"/>
      <c r="X50" s="778"/>
      <c r="Y50" s="778"/>
      <c r="Z50" s="778"/>
      <c r="AA50" s="778"/>
      <c r="AB50" s="778"/>
      <c r="AC50" s="779"/>
    </row>
    <row r="51" spans="1:39" ht="34.950000000000003" customHeight="1" x14ac:dyDescent="0.3">
      <c r="A51" s="705"/>
      <c r="B51" s="781" t="s">
        <v>126</v>
      </c>
      <c r="C51" s="783" t="s">
        <v>464</v>
      </c>
      <c r="D51" s="786"/>
      <c r="E51" s="282" t="s">
        <v>449</v>
      </c>
      <c r="F51" s="283">
        <v>1</v>
      </c>
      <c r="G51" s="283">
        <v>1</v>
      </c>
      <c r="H51" s="283">
        <v>1</v>
      </c>
      <c r="I51" s="283">
        <v>1</v>
      </c>
      <c r="J51" s="283">
        <v>1</v>
      </c>
      <c r="K51" s="283">
        <v>1</v>
      </c>
      <c r="L51" s="283">
        <v>1</v>
      </c>
      <c r="M51" s="283">
        <v>1</v>
      </c>
      <c r="N51" s="283">
        <v>1</v>
      </c>
      <c r="O51" s="283">
        <v>1</v>
      </c>
      <c r="P51" s="283">
        <v>1</v>
      </c>
      <c r="Q51" s="283">
        <v>1</v>
      </c>
      <c r="R51" s="283">
        <v>1</v>
      </c>
      <c r="S51" s="283">
        <v>1</v>
      </c>
      <c r="T51" s="283">
        <v>1</v>
      </c>
      <c r="U51" s="283">
        <v>1</v>
      </c>
      <c r="V51" s="283">
        <v>1</v>
      </c>
      <c r="W51" s="283">
        <v>1</v>
      </c>
      <c r="X51" s="283">
        <v>1</v>
      </c>
      <c r="Y51" s="283">
        <v>1</v>
      </c>
      <c r="Z51" s="283">
        <v>1</v>
      </c>
      <c r="AA51" s="283">
        <v>1</v>
      </c>
      <c r="AB51" s="283">
        <v>1</v>
      </c>
      <c r="AC51" s="284">
        <v>1</v>
      </c>
    </row>
    <row r="52" spans="1:39" ht="34.950000000000003" customHeight="1" x14ac:dyDescent="0.3">
      <c r="A52" s="737"/>
      <c r="B52" s="751"/>
      <c r="C52" s="784"/>
      <c r="D52" s="759"/>
      <c r="E52" s="285" t="s">
        <v>450</v>
      </c>
      <c r="F52" s="286">
        <v>1</v>
      </c>
      <c r="G52" s="286">
        <v>1</v>
      </c>
      <c r="H52" s="286">
        <v>1</v>
      </c>
      <c r="I52" s="286">
        <v>1</v>
      </c>
      <c r="J52" s="286">
        <v>1</v>
      </c>
      <c r="K52" s="286">
        <v>1</v>
      </c>
      <c r="L52" s="286">
        <v>1</v>
      </c>
      <c r="M52" s="286">
        <v>1</v>
      </c>
      <c r="N52" s="286">
        <v>1</v>
      </c>
      <c r="O52" s="286">
        <v>1</v>
      </c>
      <c r="P52" s="286">
        <v>1</v>
      </c>
      <c r="Q52" s="286">
        <v>1</v>
      </c>
      <c r="R52" s="286">
        <v>1</v>
      </c>
      <c r="S52" s="286">
        <v>1</v>
      </c>
      <c r="T52" s="286">
        <v>1</v>
      </c>
      <c r="U52" s="286">
        <v>1</v>
      </c>
      <c r="V52" s="286">
        <v>1</v>
      </c>
      <c r="W52" s="286">
        <v>1</v>
      </c>
      <c r="X52" s="286">
        <v>1</v>
      </c>
      <c r="Y52" s="286">
        <v>1</v>
      </c>
      <c r="Z52" s="286">
        <v>1</v>
      </c>
      <c r="AA52" s="286">
        <v>1</v>
      </c>
      <c r="AB52" s="286">
        <v>1</v>
      </c>
      <c r="AC52" s="287">
        <v>1</v>
      </c>
    </row>
    <row r="53" spans="1:39" ht="34.950000000000003" customHeight="1" thickBot="1" x14ac:dyDescent="0.35">
      <c r="A53" s="780"/>
      <c r="B53" s="782"/>
      <c r="C53" s="785"/>
      <c r="D53" s="787"/>
      <c r="E53" s="288" t="s">
        <v>451</v>
      </c>
      <c r="F53" s="289">
        <v>1</v>
      </c>
      <c r="G53" s="289">
        <v>1</v>
      </c>
      <c r="H53" s="289">
        <v>1</v>
      </c>
      <c r="I53" s="289">
        <v>1</v>
      </c>
      <c r="J53" s="289">
        <v>1</v>
      </c>
      <c r="K53" s="289">
        <v>1</v>
      </c>
      <c r="L53" s="289">
        <v>1</v>
      </c>
      <c r="M53" s="289">
        <v>1</v>
      </c>
      <c r="N53" s="289">
        <v>1</v>
      </c>
      <c r="O53" s="289">
        <v>1</v>
      </c>
      <c r="P53" s="289">
        <v>1</v>
      </c>
      <c r="Q53" s="289">
        <v>1</v>
      </c>
      <c r="R53" s="289">
        <v>1</v>
      </c>
      <c r="S53" s="289">
        <v>1</v>
      </c>
      <c r="T53" s="289">
        <v>1</v>
      </c>
      <c r="U53" s="289">
        <v>1</v>
      </c>
      <c r="V53" s="289">
        <v>1</v>
      </c>
      <c r="W53" s="289">
        <v>1</v>
      </c>
      <c r="X53" s="289">
        <v>1</v>
      </c>
      <c r="Y53" s="289">
        <v>1</v>
      </c>
      <c r="Z53" s="289">
        <v>1</v>
      </c>
      <c r="AA53" s="289">
        <v>1</v>
      </c>
      <c r="AB53" s="289">
        <v>1</v>
      </c>
      <c r="AC53" s="290">
        <v>1</v>
      </c>
    </row>
    <row r="54" spans="1:39" ht="34.950000000000003" customHeight="1" x14ac:dyDescent="0.3">
      <c r="A54" s="747"/>
      <c r="B54" s="750" t="s">
        <v>126</v>
      </c>
      <c r="C54" s="788" t="s">
        <v>465</v>
      </c>
      <c r="D54" s="759"/>
      <c r="E54" s="291" t="s">
        <v>449</v>
      </c>
      <c r="F54" s="292">
        <v>0</v>
      </c>
      <c r="G54" s="292">
        <v>0</v>
      </c>
      <c r="H54" s="292">
        <v>0</v>
      </c>
      <c r="I54" s="292">
        <v>0</v>
      </c>
      <c r="J54" s="292">
        <v>0</v>
      </c>
      <c r="K54" s="292">
        <v>1</v>
      </c>
      <c r="L54" s="292">
        <v>1</v>
      </c>
      <c r="M54" s="292">
        <v>1</v>
      </c>
      <c r="N54" s="292">
        <v>1</v>
      </c>
      <c r="O54" s="292">
        <v>1</v>
      </c>
      <c r="P54" s="292">
        <v>1</v>
      </c>
      <c r="Q54" s="292">
        <v>1</v>
      </c>
      <c r="R54" s="292">
        <v>1</v>
      </c>
      <c r="S54" s="292">
        <v>1</v>
      </c>
      <c r="T54" s="292">
        <v>1</v>
      </c>
      <c r="U54" s="292">
        <v>1</v>
      </c>
      <c r="V54" s="292">
        <v>1</v>
      </c>
      <c r="W54" s="292">
        <v>1</v>
      </c>
      <c r="X54" s="292">
        <v>1</v>
      </c>
      <c r="Y54" s="292">
        <v>1</v>
      </c>
      <c r="Z54" s="292">
        <v>1</v>
      </c>
      <c r="AA54" s="292">
        <v>1</v>
      </c>
      <c r="AB54" s="292">
        <v>0</v>
      </c>
      <c r="AC54" s="293">
        <v>0</v>
      </c>
    </row>
    <row r="55" spans="1:39" ht="34.950000000000003" customHeight="1" x14ac:dyDescent="0.3">
      <c r="A55" s="748"/>
      <c r="B55" s="751"/>
      <c r="C55" s="784"/>
      <c r="D55" s="759"/>
      <c r="E55" s="285" t="s">
        <v>450</v>
      </c>
      <c r="F55" s="286">
        <v>0</v>
      </c>
      <c r="G55" s="286">
        <v>0</v>
      </c>
      <c r="H55" s="286">
        <v>0</v>
      </c>
      <c r="I55" s="286">
        <v>0</v>
      </c>
      <c r="J55" s="286">
        <v>0</v>
      </c>
      <c r="K55" s="286">
        <v>1</v>
      </c>
      <c r="L55" s="286">
        <v>1</v>
      </c>
      <c r="M55" s="286">
        <v>1</v>
      </c>
      <c r="N55" s="286">
        <v>1</v>
      </c>
      <c r="O55" s="286">
        <v>1</v>
      </c>
      <c r="P55" s="286">
        <v>1</v>
      </c>
      <c r="Q55" s="286">
        <v>1</v>
      </c>
      <c r="R55" s="286">
        <v>1</v>
      </c>
      <c r="S55" s="286">
        <v>1</v>
      </c>
      <c r="T55" s="286">
        <v>1</v>
      </c>
      <c r="U55" s="286">
        <v>1</v>
      </c>
      <c r="V55" s="286">
        <v>1</v>
      </c>
      <c r="W55" s="286">
        <v>1</v>
      </c>
      <c r="X55" s="286">
        <v>1</v>
      </c>
      <c r="Y55" s="286">
        <v>1</v>
      </c>
      <c r="Z55" s="286">
        <v>1</v>
      </c>
      <c r="AA55" s="286">
        <v>1</v>
      </c>
      <c r="AB55" s="286">
        <v>1</v>
      </c>
      <c r="AC55" s="294">
        <v>1</v>
      </c>
    </row>
    <row r="56" spans="1:39" ht="34.950000000000003" customHeight="1" thickBot="1" x14ac:dyDescent="0.35">
      <c r="A56" s="749"/>
      <c r="B56" s="752"/>
      <c r="C56" s="789"/>
      <c r="D56" s="760"/>
      <c r="E56" s="295" t="s">
        <v>451</v>
      </c>
      <c r="F56" s="296">
        <v>0</v>
      </c>
      <c r="G56" s="296">
        <v>0</v>
      </c>
      <c r="H56" s="296">
        <v>0</v>
      </c>
      <c r="I56" s="296">
        <v>0</v>
      </c>
      <c r="J56" s="296">
        <v>0</v>
      </c>
      <c r="K56" s="296">
        <v>1</v>
      </c>
      <c r="L56" s="296">
        <v>1</v>
      </c>
      <c r="M56" s="296">
        <v>1</v>
      </c>
      <c r="N56" s="296">
        <v>1</v>
      </c>
      <c r="O56" s="296">
        <v>1</v>
      </c>
      <c r="P56" s="296">
        <v>1</v>
      </c>
      <c r="Q56" s="296">
        <v>1</v>
      </c>
      <c r="R56" s="296">
        <v>1</v>
      </c>
      <c r="S56" s="296">
        <v>1</v>
      </c>
      <c r="T56" s="296">
        <v>1</v>
      </c>
      <c r="U56" s="296">
        <v>1</v>
      </c>
      <c r="V56" s="296">
        <v>1</v>
      </c>
      <c r="W56" s="296">
        <v>1</v>
      </c>
      <c r="X56" s="296">
        <v>1</v>
      </c>
      <c r="Y56" s="296">
        <v>1</v>
      </c>
      <c r="Z56" s="296">
        <v>1</v>
      </c>
      <c r="AA56" s="296">
        <v>1</v>
      </c>
      <c r="AB56" s="296">
        <v>1</v>
      </c>
      <c r="AC56" s="297">
        <v>1</v>
      </c>
    </row>
    <row r="57" spans="1:39" ht="30" customHeight="1" x14ac:dyDescent="0.3">
      <c r="A57" s="723" t="s">
        <v>143</v>
      </c>
      <c r="B57" s="695" t="s">
        <v>126</v>
      </c>
      <c r="C57" s="695" t="s">
        <v>466</v>
      </c>
      <c r="D57" s="697" t="s">
        <v>467</v>
      </c>
      <c r="E57" s="159" t="s">
        <v>449</v>
      </c>
      <c r="F57" s="182">
        <v>131.9</v>
      </c>
      <c r="G57" s="182">
        <v>131.9</v>
      </c>
      <c r="H57" s="182">
        <v>131.9</v>
      </c>
      <c r="I57" s="182">
        <v>131.9</v>
      </c>
      <c r="J57" s="182">
        <v>131.9</v>
      </c>
      <c r="K57" s="182">
        <v>131.9</v>
      </c>
      <c r="L57" s="182">
        <v>131.9</v>
      </c>
      <c r="M57" s="182">
        <v>131.9</v>
      </c>
      <c r="N57" s="182">
        <v>131.9</v>
      </c>
      <c r="O57" s="182">
        <v>131.9</v>
      </c>
      <c r="P57" s="182">
        <v>131.9</v>
      </c>
      <c r="Q57" s="182">
        <v>131.9</v>
      </c>
      <c r="R57" s="182">
        <v>131.9</v>
      </c>
      <c r="S57" s="182">
        <v>131.9</v>
      </c>
      <c r="T57" s="182">
        <v>131.9</v>
      </c>
      <c r="U57" s="182">
        <v>131.9</v>
      </c>
      <c r="V57" s="182">
        <v>131.9</v>
      </c>
      <c r="W57" s="182">
        <v>131.9</v>
      </c>
      <c r="X57" s="182">
        <v>131.9</v>
      </c>
      <c r="Y57" s="182">
        <v>131.9</v>
      </c>
      <c r="Z57" s="182">
        <v>131.9</v>
      </c>
      <c r="AA57" s="182">
        <v>131.9</v>
      </c>
      <c r="AB57" s="182">
        <v>131.9</v>
      </c>
      <c r="AC57" s="183">
        <v>131.9</v>
      </c>
      <c r="AD57" s="76"/>
      <c r="AE57" s="75"/>
      <c r="AF57" s="75"/>
      <c r="AG57" s="75"/>
      <c r="AH57" s="75"/>
      <c r="AI57" s="75"/>
      <c r="AJ57" s="75"/>
      <c r="AK57" s="75"/>
      <c r="AM57" s="105"/>
    </row>
    <row r="58" spans="1:39" ht="30" customHeight="1" x14ac:dyDescent="0.3">
      <c r="A58" s="706"/>
      <c r="B58" s="696"/>
      <c r="C58" s="696"/>
      <c r="D58" s="698"/>
      <c r="E58" s="160" t="s">
        <v>450</v>
      </c>
      <c r="F58" s="184">
        <v>131.9</v>
      </c>
      <c r="G58" s="184">
        <v>131.9</v>
      </c>
      <c r="H58" s="184">
        <v>131.9</v>
      </c>
      <c r="I58" s="184">
        <v>131.9</v>
      </c>
      <c r="J58" s="184">
        <v>131.9</v>
      </c>
      <c r="K58" s="184">
        <v>131.9</v>
      </c>
      <c r="L58" s="184">
        <v>131.9</v>
      </c>
      <c r="M58" s="184">
        <v>131.9</v>
      </c>
      <c r="N58" s="184">
        <v>131.9</v>
      </c>
      <c r="O58" s="184">
        <v>131.9</v>
      </c>
      <c r="P58" s="184">
        <v>131.9</v>
      </c>
      <c r="Q58" s="184">
        <v>131.9</v>
      </c>
      <c r="R58" s="184">
        <v>131.9</v>
      </c>
      <c r="S58" s="184">
        <v>131.9</v>
      </c>
      <c r="T58" s="184">
        <v>131.9</v>
      </c>
      <c r="U58" s="184">
        <v>131.9</v>
      </c>
      <c r="V58" s="184">
        <v>131.9</v>
      </c>
      <c r="W58" s="184">
        <v>131.9</v>
      </c>
      <c r="X58" s="184">
        <v>131.9</v>
      </c>
      <c r="Y58" s="184">
        <v>131.9</v>
      </c>
      <c r="Z58" s="184">
        <v>131.9</v>
      </c>
      <c r="AA58" s="184">
        <v>131.9</v>
      </c>
      <c r="AB58" s="184">
        <v>131.9</v>
      </c>
      <c r="AC58" s="185">
        <v>131.9</v>
      </c>
      <c r="AD58" s="76"/>
      <c r="AE58" s="75"/>
      <c r="AF58" s="75"/>
      <c r="AG58" s="75"/>
      <c r="AH58" s="75"/>
      <c r="AI58" s="75"/>
      <c r="AJ58" s="75"/>
      <c r="AK58" s="75"/>
      <c r="AM58" s="105"/>
    </row>
    <row r="59" spans="1:39" ht="30" customHeight="1" thickBot="1" x14ac:dyDescent="0.35">
      <c r="A59" s="707"/>
      <c r="B59" s="746"/>
      <c r="C59" s="709"/>
      <c r="D59" s="733"/>
      <c r="E59" s="168" t="s">
        <v>451</v>
      </c>
      <c r="F59" s="186">
        <v>131.9</v>
      </c>
      <c r="G59" s="186">
        <v>131.9</v>
      </c>
      <c r="H59" s="186">
        <v>131.9</v>
      </c>
      <c r="I59" s="186">
        <v>131.9</v>
      </c>
      <c r="J59" s="186">
        <v>131.9</v>
      </c>
      <c r="K59" s="186">
        <v>131.9</v>
      </c>
      <c r="L59" s="186">
        <v>131.9</v>
      </c>
      <c r="M59" s="186">
        <v>131.9</v>
      </c>
      <c r="N59" s="186">
        <v>131.9</v>
      </c>
      <c r="O59" s="186">
        <v>131.9</v>
      </c>
      <c r="P59" s="186">
        <v>131.9</v>
      </c>
      <c r="Q59" s="186">
        <v>131.9</v>
      </c>
      <c r="R59" s="186">
        <v>131.9</v>
      </c>
      <c r="S59" s="186">
        <v>131.9</v>
      </c>
      <c r="T59" s="186">
        <v>131.9</v>
      </c>
      <c r="U59" s="186">
        <v>131.9</v>
      </c>
      <c r="V59" s="186">
        <v>131.9</v>
      </c>
      <c r="W59" s="186">
        <v>131.9</v>
      </c>
      <c r="X59" s="186">
        <v>131.9</v>
      </c>
      <c r="Y59" s="186">
        <v>131.9</v>
      </c>
      <c r="Z59" s="186">
        <v>131.9</v>
      </c>
      <c r="AA59" s="186">
        <v>131.9</v>
      </c>
      <c r="AB59" s="186">
        <v>131.9</v>
      </c>
      <c r="AC59" s="187">
        <v>131.9</v>
      </c>
      <c r="AD59" s="76"/>
      <c r="AE59" s="75"/>
      <c r="AF59" s="75"/>
      <c r="AG59" s="75"/>
      <c r="AH59" s="75"/>
      <c r="AI59" s="75"/>
      <c r="AJ59" s="75"/>
      <c r="AK59" s="75"/>
      <c r="AM59" s="105"/>
    </row>
    <row r="60" spans="1:39" ht="30" customHeight="1" x14ac:dyDescent="0.3">
      <c r="A60" s="723" t="s">
        <v>468</v>
      </c>
      <c r="B60" s="695" t="s">
        <v>126</v>
      </c>
      <c r="C60" s="695" t="s">
        <v>469</v>
      </c>
      <c r="D60" s="697" t="s">
        <v>467</v>
      </c>
      <c r="E60" s="159" t="s">
        <v>449</v>
      </c>
      <c r="F60" s="182">
        <v>117.2</v>
      </c>
      <c r="G60" s="182">
        <v>117.2</v>
      </c>
      <c r="H60" s="182">
        <v>117.2</v>
      </c>
      <c r="I60" s="182">
        <v>117.2</v>
      </c>
      <c r="J60" s="182">
        <v>117.2</v>
      </c>
      <c r="K60" s="182">
        <v>117.2</v>
      </c>
      <c r="L60" s="182">
        <v>117.2</v>
      </c>
      <c r="M60" s="182">
        <v>117.2</v>
      </c>
      <c r="N60" s="182">
        <v>117.2</v>
      </c>
      <c r="O60" s="182">
        <v>117.2</v>
      </c>
      <c r="P60" s="182">
        <v>117.2</v>
      </c>
      <c r="Q60" s="182">
        <v>117.2</v>
      </c>
      <c r="R60" s="182">
        <v>117.2</v>
      </c>
      <c r="S60" s="182">
        <v>117.2</v>
      </c>
      <c r="T60" s="182">
        <v>117.2</v>
      </c>
      <c r="U60" s="182">
        <v>117.2</v>
      </c>
      <c r="V60" s="182">
        <v>117.2</v>
      </c>
      <c r="W60" s="182">
        <v>117.2</v>
      </c>
      <c r="X60" s="182">
        <v>117.2</v>
      </c>
      <c r="Y60" s="182">
        <v>117.2</v>
      </c>
      <c r="Z60" s="182">
        <v>117.2</v>
      </c>
      <c r="AA60" s="182">
        <v>117.2</v>
      </c>
      <c r="AB60" s="182">
        <v>117.2</v>
      </c>
      <c r="AC60" s="183">
        <v>117.2</v>
      </c>
      <c r="AD60" s="76"/>
      <c r="AE60" s="75"/>
      <c r="AF60" s="75"/>
      <c r="AG60" s="75"/>
      <c r="AH60" s="75"/>
      <c r="AI60" s="75"/>
      <c r="AJ60" s="75"/>
      <c r="AK60" s="75"/>
      <c r="AM60" s="105"/>
    </row>
    <row r="61" spans="1:39" ht="30" customHeight="1" x14ac:dyDescent="0.3">
      <c r="A61" s="706"/>
      <c r="B61" s="696"/>
      <c r="C61" s="696"/>
      <c r="D61" s="698"/>
      <c r="E61" s="160" t="s">
        <v>450</v>
      </c>
      <c r="F61" s="184">
        <v>117.2</v>
      </c>
      <c r="G61" s="184">
        <v>117.2</v>
      </c>
      <c r="H61" s="184">
        <v>117.2</v>
      </c>
      <c r="I61" s="184">
        <v>117.2</v>
      </c>
      <c r="J61" s="184">
        <v>117.2</v>
      </c>
      <c r="K61" s="184">
        <v>117.2</v>
      </c>
      <c r="L61" s="184">
        <v>117.2</v>
      </c>
      <c r="M61" s="184">
        <v>117.2</v>
      </c>
      <c r="N61" s="184">
        <v>117.2</v>
      </c>
      <c r="O61" s="184">
        <v>117.2</v>
      </c>
      <c r="P61" s="184">
        <v>117.2</v>
      </c>
      <c r="Q61" s="184">
        <v>117.2</v>
      </c>
      <c r="R61" s="184">
        <v>117.2</v>
      </c>
      <c r="S61" s="184">
        <v>117.2</v>
      </c>
      <c r="T61" s="184">
        <v>117.2</v>
      </c>
      <c r="U61" s="184">
        <v>117.2</v>
      </c>
      <c r="V61" s="184">
        <v>117.2</v>
      </c>
      <c r="W61" s="184">
        <v>117.2</v>
      </c>
      <c r="X61" s="184">
        <v>117.2</v>
      </c>
      <c r="Y61" s="184">
        <v>117.2</v>
      </c>
      <c r="Z61" s="184">
        <v>117.2</v>
      </c>
      <c r="AA61" s="184">
        <v>117.2</v>
      </c>
      <c r="AB61" s="184">
        <v>117.2</v>
      </c>
      <c r="AC61" s="185">
        <v>117.2</v>
      </c>
      <c r="AD61" s="76"/>
      <c r="AE61" s="75"/>
      <c r="AF61" s="75"/>
      <c r="AG61" s="75"/>
      <c r="AH61" s="75"/>
      <c r="AI61" s="75"/>
      <c r="AJ61" s="75"/>
      <c r="AK61" s="75"/>
      <c r="AM61" s="105"/>
    </row>
    <row r="62" spans="1:39" ht="30" customHeight="1" thickBot="1" x14ac:dyDescent="0.35">
      <c r="A62" s="706"/>
      <c r="B62" s="696"/>
      <c r="C62" s="696"/>
      <c r="D62" s="699"/>
      <c r="E62" s="161" t="s">
        <v>451</v>
      </c>
      <c r="F62" s="228">
        <v>117.2</v>
      </c>
      <c r="G62" s="228">
        <v>117.2</v>
      </c>
      <c r="H62" s="228">
        <v>117.2</v>
      </c>
      <c r="I62" s="228">
        <v>117.2</v>
      </c>
      <c r="J62" s="228">
        <v>117.2</v>
      </c>
      <c r="K62" s="228">
        <v>117.2</v>
      </c>
      <c r="L62" s="228">
        <v>117.2</v>
      </c>
      <c r="M62" s="228">
        <v>117.2</v>
      </c>
      <c r="N62" s="228">
        <v>117.2</v>
      </c>
      <c r="O62" s="228">
        <v>117.2</v>
      </c>
      <c r="P62" s="228">
        <v>117.2</v>
      </c>
      <c r="Q62" s="228">
        <v>117.2</v>
      </c>
      <c r="R62" s="228">
        <v>117.2</v>
      </c>
      <c r="S62" s="228">
        <v>117.2</v>
      </c>
      <c r="T62" s="228">
        <v>117.2</v>
      </c>
      <c r="U62" s="228">
        <v>117.2</v>
      </c>
      <c r="V62" s="228">
        <v>117.2</v>
      </c>
      <c r="W62" s="228">
        <v>117.2</v>
      </c>
      <c r="X62" s="228">
        <v>117.2</v>
      </c>
      <c r="Y62" s="228">
        <v>117.2</v>
      </c>
      <c r="Z62" s="228">
        <v>117.2</v>
      </c>
      <c r="AA62" s="228">
        <v>117.2</v>
      </c>
      <c r="AB62" s="228">
        <v>117.2</v>
      </c>
      <c r="AC62" s="229">
        <v>117.2</v>
      </c>
      <c r="AD62" s="76"/>
      <c r="AE62" s="75"/>
      <c r="AF62" s="75"/>
      <c r="AG62" s="75"/>
      <c r="AH62" s="75"/>
      <c r="AI62" s="75"/>
      <c r="AJ62" s="75"/>
      <c r="AK62" s="75"/>
      <c r="AM62" s="105"/>
    </row>
    <row r="63" spans="1:39" ht="24.6" customHeight="1" x14ac:dyDescent="0.3">
      <c r="A63" s="705" t="s">
        <v>470</v>
      </c>
      <c r="B63" s="708" t="s">
        <v>126</v>
      </c>
      <c r="C63" s="708" t="s">
        <v>471</v>
      </c>
      <c r="D63" s="710" t="s">
        <v>467</v>
      </c>
      <c r="E63" s="188" t="s">
        <v>449</v>
      </c>
      <c r="F63" s="230">
        <v>146.5</v>
      </c>
      <c r="G63" s="230">
        <v>146.5</v>
      </c>
      <c r="H63" s="230">
        <v>146.5</v>
      </c>
      <c r="I63" s="230">
        <v>146.5</v>
      </c>
      <c r="J63" s="230">
        <v>146.5</v>
      </c>
      <c r="K63" s="230">
        <v>146.5</v>
      </c>
      <c r="L63" s="230">
        <v>146.5</v>
      </c>
      <c r="M63" s="230">
        <v>146.5</v>
      </c>
      <c r="N63" s="230">
        <v>146.5</v>
      </c>
      <c r="O63" s="230">
        <v>146.5</v>
      </c>
      <c r="P63" s="230">
        <v>146.5</v>
      </c>
      <c r="Q63" s="230">
        <v>146.5</v>
      </c>
      <c r="R63" s="230">
        <v>146.5</v>
      </c>
      <c r="S63" s="230">
        <v>146.5</v>
      </c>
      <c r="T63" s="230">
        <v>146.5</v>
      </c>
      <c r="U63" s="230">
        <v>146.5</v>
      </c>
      <c r="V63" s="230">
        <v>146.5</v>
      </c>
      <c r="W63" s="230">
        <v>146.5</v>
      </c>
      <c r="X63" s="230">
        <v>146.5</v>
      </c>
      <c r="Y63" s="230">
        <v>146.5</v>
      </c>
      <c r="Z63" s="230">
        <v>146.5</v>
      </c>
      <c r="AA63" s="230">
        <v>146.5</v>
      </c>
      <c r="AB63" s="230">
        <v>146.5</v>
      </c>
      <c r="AC63" s="231">
        <v>146.5</v>
      </c>
    </row>
    <row r="64" spans="1:39" ht="24.6" customHeight="1" x14ac:dyDescent="0.3">
      <c r="A64" s="706"/>
      <c r="B64" s="696"/>
      <c r="C64" s="696"/>
      <c r="D64" s="698"/>
      <c r="E64" s="160" t="s">
        <v>450</v>
      </c>
      <c r="F64" s="184">
        <v>146.5</v>
      </c>
      <c r="G64" s="184">
        <v>146.5</v>
      </c>
      <c r="H64" s="184">
        <v>146.5</v>
      </c>
      <c r="I64" s="184">
        <v>146.5</v>
      </c>
      <c r="J64" s="184">
        <v>146.5</v>
      </c>
      <c r="K64" s="184">
        <v>146.5</v>
      </c>
      <c r="L64" s="184">
        <v>146.5</v>
      </c>
      <c r="M64" s="184">
        <v>146.5</v>
      </c>
      <c r="N64" s="184">
        <v>146.5</v>
      </c>
      <c r="O64" s="184">
        <v>146.5</v>
      </c>
      <c r="P64" s="184">
        <v>146.5</v>
      </c>
      <c r="Q64" s="184">
        <v>146.5</v>
      </c>
      <c r="R64" s="184">
        <v>146.5</v>
      </c>
      <c r="S64" s="184">
        <v>146.5</v>
      </c>
      <c r="T64" s="184">
        <v>146.5</v>
      </c>
      <c r="U64" s="184">
        <v>146.5</v>
      </c>
      <c r="V64" s="184">
        <v>146.5</v>
      </c>
      <c r="W64" s="184">
        <v>146.5</v>
      </c>
      <c r="X64" s="184">
        <v>146.5</v>
      </c>
      <c r="Y64" s="184">
        <v>146.5</v>
      </c>
      <c r="Z64" s="184">
        <v>146.5</v>
      </c>
      <c r="AA64" s="184">
        <v>146.5</v>
      </c>
      <c r="AB64" s="184">
        <v>146.5</v>
      </c>
      <c r="AC64" s="232">
        <v>146.5</v>
      </c>
    </row>
    <row r="65" spans="1:39" ht="24.6" customHeight="1" x14ac:dyDescent="0.3">
      <c r="A65" s="707"/>
      <c r="B65" s="709"/>
      <c r="C65" s="709"/>
      <c r="D65" s="711"/>
      <c r="E65" s="189" t="s">
        <v>451</v>
      </c>
      <c r="F65" s="233">
        <v>146.5</v>
      </c>
      <c r="G65" s="233">
        <v>146.5</v>
      </c>
      <c r="H65" s="233">
        <v>146.5</v>
      </c>
      <c r="I65" s="233">
        <v>146.5</v>
      </c>
      <c r="J65" s="233">
        <v>146.5</v>
      </c>
      <c r="K65" s="233">
        <v>146.5</v>
      </c>
      <c r="L65" s="233">
        <v>146.5</v>
      </c>
      <c r="M65" s="233">
        <v>146.5</v>
      </c>
      <c r="N65" s="233">
        <v>146.5</v>
      </c>
      <c r="O65" s="233">
        <v>146.5</v>
      </c>
      <c r="P65" s="233">
        <v>146.5</v>
      </c>
      <c r="Q65" s="233">
        <v>146.5</v>
      </c>
      <c r="R65" s="233">
        <v>146.5</v>
      </c>
      <c r="S65" s="233">
        <v>146.5</v>
      </c>
      <c r="T65" s="233">
        <v>146.5</v>
      </c>
      <c r="U65" s="233">
        <v>146.5</v>
      </c>
      <c r="V65" s="233">
        <v>146.5</v>
      </c>
      <c r="W65" s="233">
        <v>146.5</v>
      </c>
      <c r="X65" s="233">
        <v>146.5</v>
      </c>
      <c r="Y65" s="233">
        <v>146.5</v>
      </c>
      <c r="Z65" s="233">
        <v>146.5</v>
      </c>
      <c r="AA65" s="233">
        <v>146.5</v>
      </c>
      <c r="AB65" s="233">
        <v>146.5</v>
      </c>
      <c r="AC65" s="234">
        <v>146.5</v>
      </c>
    </row>
    <row r="67" spans="1:39" s="104" customFormat="1" ht="21.6" hidden="1" customHeight="1" x14ac:dyDescent="0.3">
      <c r="A67" s="64"/>
      <c r="B67" s="64"/>
      <c r="C67" s="64"/>
      <c r="D67" s="64"/>
      <c r="E67" s="64"/>
      <c r="F67" s="64"/>
      <c r="G67" s="64"/>
      <c r="H67" s="64"/>
      <c r="I67" s="64"/>
      <c r="J67" s="64"/>
      <c r="K67" s="64"/>
      <c r="L67" s="64"/>
      <c r="M67" s="64"/>
      <c r="N67" s="64"/>
      <c r="O67" s="64"/>
      <c r="P67" s="64"/>
      <c r="Q67" s="64"/>
      <c r="R67" s="64"/>
      <c r="S67" s="64"/>
      <c r="T67" s="64"/>
      <c r="U67" s="64"/>
      <c r="V67" s="64"/>
      <c r="W67" s="64"/>
      <c r="X67" s="64"/>
      <c r="Y67" s="64"/>
      <c r="Z67" s="64"/>
      <c r="AA67" s="64"/>
      <c r="AB67" s="64"/>
      <c r="AC67" s="64"/>
    </row>
    <row r="68" spans="1:39" ht="21.6" hidden="1" customHeight="1" x14ac:dyDescent="0.3"/>
    <row r="69" spans="1:39" ht="34.950000000000003" hidden="1" customHeight="1" x14ac:dyDescent="0.3">
      <c r="AM69" s="105"/>
    </row>
    <row r="70" spans="1:39" ht="34.950000000000003" hidden="1" customHeight="1" x14ac:dyDescent="0.3">
      <c r="A70" s="190" t="s">
        <v>115</v>
      </c>
      <c r="B70" s="190"/>
      <c r="C70" s="190"/>
      <c r="D70" s="190"/>
      <c r="E70" s="190"/>
      <c r="F70" s="190"/>
      <c r="G70" s="104"/>
      <c r="H70" s="104"/>
      <c r="I70" s="104"/>
      <c r="J70" s="104"/>
      <c r="K70" s="104"/>
      <c r="L70" s="104"/>
      <c r="M70" s="104"/>
      <c r="N70" s="104"/>
      <c r="O70" s="104"/>
      <c r="P70" s="104"/>
      <c r="Q70" s="104"/>
      <c r="R70" s="104"/>
      <c r="S70" s="104"/>
      <c r="T70" s="104"/>
      <c r="U70" s="104"/>
      <c r="V70" s="104"/>
      <c r="W70" s="104"/>
      <c r="X70" s="104"/>
      <c r="Y70" s="104"/>
      <c r="Z70" s="104"/>
      <c r="AA70" s="104"/>
      <c r="AB70" s="104"/>
      <c r="AC70" s="104"/>
      <c r="AM70" s="105"/>
    </row>
    <row r="71" spans="1:39" ht="34.950000000000003" hidden="1" customHeight="1" x14ac:dyDescent="0.3">
      <c r="AM71" s="105"/>
    </row>
    <row r="72" spans="1:39" hidden="1" x14ac:dyDescent="0.3">
      <c r="B72" s="720" t="s">
        <v>472</v>
      </c>
      <c r="C72" s="724" t="s">
        <v>473</v>
      </c>
      <c r="D72" s="715" t="s">
        <v>474</v>
      </c>
      <c r="E72" s="528" t="s">
        <v>449</v>
      </c>
      <c r="F72" s="69">
        <v>0.40947755650000001</v>
      </c>
      <c r="G72" s="69">
        <v>0.40947755650000001</v>
      </c>
      <c r="H72" s="69">
        <v>0.40947755650000001</v>
      </c>
      <c r="I72" s="69">
        <v>0.40947755650000001</v>
      </c>
      <c r="J72" s="69">
        <v>0.40947755650000001</v>
      </c>
      <c r="K72" s="69">
        <v>0.40947755650000001</v>
      </c>
      <c r="L72" s="69">
        <v>0.47975263350000003</v>
      </c>
      <c r="M72" s="69">
        <v>0.47975263350000003</v>
      </c>
      <c r="N72" s="69">
        <v>0.95950526700000005</v>
      </c>
      <c r="O72" s="69">
        <v>0.95950526700000005</v>
      </c>
      <c r="P72" s="69">
        <v>0.95950526700000005</v>
      </c>
      <c r="Q72" s="69">
        <v>0.95950526700000005</v>
      </c>
      <c r="R72" s="69">
        <v>0.90193495097999998</v>
      </c>
      <c r="S72" s="69">
        <v>0.95950526700000005</v>
      </c>
      <c r="T72" s="69">
        <v>0.95950526700000005</v>
      </c>
      <c r="U72" s="69">
        <v>0.95950526700000005</v>
      </c>
      <c r="V72" s="69">
        <v>0.95950526700000005</v>
      </c>
      <c r="W72" s="69">
        <v>0.47975263350000003</v>
      </c>
      <c r="X72" s="69">
        <v>0.19190105339999999</v>
      </c>
      <c r="Y72" s="69">
        <v>0.19190105339999999</v>
      </c>
      <c r="Z72" s="69">
        <v>0.19190105339999999</v>
      </c>
      <c r="AA72" s="69">
        <v>0.19190105339999999</v>
      </c>
      <c r="AB72" s="69">
        <v>0.19190105339999999</v>
      </c>
      <c r="AC72" s="70">
        <v>0.1637910226</v>
      </c>
    </row>
    <row r="73" spans="1:39" ht="33" hidden="1" customHeight="1" x14ac:dyDescent="0.3">
      <c r="B73" s="721"/>
      <c r="C73" s="725"/>
      <c r="D73" s="700"/>
      <c r="E73" s="529" t="s">
        <v>450</v>
      </c>
      <c r="F73" s="65">
        <v>0.1637910226</v>
      </c>
      <c r="G73" s="65">
        <v>0.1637910226</v>
      </c>
      <c r="H73" s="65">
        <v>0.1637910226</v>
      </c>
      <c r="I73" s="65">
        <v>0.1637910226</v>
      </c>
      <c r="J73" s="65">
        <v>0.1637910226</v>
      </c>
      <c r="K73" s="65">
        <v>0.1637910226</v>
      </c>
      <c r="L73" s="65">
        <v>0.1637910226</v>
      </c>
      <c r="M73" s="65">
        <v>0.1637910226</v>
      </c>
      <c r="N73" s="65">
        <v>0.1637910226</v>
      </c>
      <c r="O73" s="65">
        <v>0.1637910226</v>
      </c>
      <c r="P73" s="65">
        <v>0.1637910226</v>
      </c>
      <c r="Q73" s="65">
        <v>0.1637910226</v>
      </c>
      <c r="R73" s="65">
        <v>0.1637910226</v>
      </c>
      <c r="S73" s="65">
        <v>0.1637910226</v>
      </c>
      <c r="T73" s="65">
        <v>0.1637910226</v>
      </c>
      <c r="U73" s="65">
        <v>0.1637910226</v>
      </c>
      <c r="V73" s="65">
        <v>0.1637910226</v>
      </c>
      <c r="W73" s="65">
        <v>0.1637910226</v>
      </c>
      <c r="X73" s="65">
        <v>0.1637910226</v>
      </c>
      <c r="Y73" s="65">
        <v>0.1637910226</v>
      </c>
      <c r="Z73" s="65">
        <v>0.1637910226</v>
      </c>
      <c r="AA73" s="65">
        <v>0.1637910226</v>
      </c>
      <c r="AB73" s="65">
        <v>0.1637910226</v>
      </c>
      <c r="AC73" s="71">
        <v>0.1637910226</v>
      </c>
    </row>
    <row r="74" spans="1:39" ht="33" hidden="1" customHeight="1" x14ac:dyDescent="0.3">
      <c r="B74" s="722"/>
      <c r="C74" s="726"/>
      <c r="D74" s="701"/>
      <c r="E74" s="530" t="s">
        <v>451</v>
      </c>
      <c r="F74" s="72">
        <v>0.1637910226</v>
      </c>
      <c r="G74" s="72">
        <v>0.1637910226</v>
      </c>
      <c r="H74" s="72">
        <v>0.1637910226</v>
      </c>
      <c r="I74" s="72">
        <v>0.1637910226</v>
      </c>
      <c r="J74" s="72">
        <v>0.1637910226</v>
      </c>
      <c r="K74" s="72">
        <v>0.1637910226</v>
      </c>
      <c r="L74" s="72">
        <v>0.1637910226</v>
      </c>
      <c r="M74" s="72">
        <v>0.1637910226</v>
      </c>
      <c r="N74" s="72">
        <v>0.1637910226</v>
      </c>
      <c r="O74" s="72">
        <v>0.1637910226</v>
      </c>
      <c r="P74" s="72">
        <v>0.1637910226</v>
      </c>
      <c r="Q74" s="72">
        <v>0.1637910226</v>
      </c>
      <c r="R74" s="72">
        <v>0.1637910226</v>
      </c>
      <c r="S74" s="72">
        <v>0.1637910226</v>
      </c>
      <c r="T74" s="72">
        <v>0.1637910226</v>
      </c>
      <c r="U74" s="72">
        <v>0.1637910226</v>
      </c>
      <c r="V74" s="72">
        <v>0.1637910226</v>
      </c>
      <c r="W74" s="72">
        <v>0.1637910226</v>
      </c>
      <c r="X74" s="72">
        <v>0.1637910226</v>
      </c>
      <c r="Y74" s="72">
        <v>0.1637910226</v>
      </c>
      <c r="Z74" s="72">
        <v>0.1637910226</v>
      </c>
      <c r="AA74" s="72">
        <v>0.1637910226</v>
      </c>
      <c r="AB74" s="72">
        <v>0.1637910226</v>
      </c>
      <c r="AC74" s="73">
        <v>0.1637910226</v>
      </c>
    </row>
    <row r="75" spans="1:39" ht="33" hidden="1" customHeight="1" x14ac:dyDescent="0.3"/>
    <row r="76" spans="1:39" ht="33" hidden="1" customHeight="1" x14ac:dyDescent="0.3">
      <c r="B76" s="728" t="s">
        <v>475</v>
      </c>
      <c r="C76" s="729"/>
      <c r="D76" s="729"/>
      <c r="E76" s="729"/>
      <c r="F76" s="729"/>
      <c r="G76" s="729"/>
      <c r="H76" s="729"/>
      <c r="I76" s="729"/>
      <c r="J76" s="729"/>
      <c r="K76" s="729"/>
      <c r="L76" s="729"/>
      <c r="M76" s="729"/>
      <c r="N76" s="729"/>
      <c r="O76" s="729"/>
      <c r="P76" s="729"/>
      <c r="Q76" s="729"/>
      <c r="R76" s="729"/>
      <c r="S76" s="729"/>
      <c r="T76" s="729"/>
      <c r="U76" s="729"/>
      <c r="V76" s="729"/>
      <c r="W76" s="729"/>
      <c r="X76" s="729"/>
      <c r="Y76" s="729"/>
      <c r="Z76" s="729"/>
      <c r="AA76" s="729"/>
      <c r="AB76" s="729"/>
      <c r="AC76" s="730"/>
    </row>
    <row r="77" spans="1:39" ht="26.4" hidden="1" customHeight="1" x14ac:dyDescent="0.3">
      <c r="B77" s="717" t="s">
        <v>476</v>
      </c>
      <c r="C77" s="715" t="s">
        <v>477</v>
      </c>
      <c r="D77" s="715" t="s">
        <v>478</v>
      </c>
      <c r="E77" s="528" t="s">
        <v>449</v>
      </c>
      <c r="F77" s="528">
        <f>0</f>
        <v>0</v>
      </c>
      <c r="G77" s="528">
        <v>0</v>
      </c>
      <c r="H77" s="528">
        <v>0</v>
      </c>
      <c r="I77" s="528">
        <v>0</v>
      </c>
      <c r="J77" s="528">
        <v>0</v>
      </c>
      <c r="K77" s="528">
        <v>0</v>
      </c>
      <c r="L77" s="528">
        <v>0.2</v>
      </c>
      <c r="M77" s="528">
        <v>0.7</v>
      </c>
      <c r="N77" s="528">
        <v>1</v>
      </c>
      <c r="O77" s="528">
        <v>1</v>
      </c>
      <c r="P77" s="528">
        <v>1</v>
      </c>
      <c r="Q77" s="528">
        <v>1</v>
      </c>
      <c r="R77" s="528">
        <v>1</v>
      </c>
      <c r="S77" s="528">
        <v>1</v>
      </c>
      <c r="T77" s="528">
        <v>1</v>
      </c>
      <c r="U77" s="528">
        <v>1</v>
      </c>
      <c r="V77" s="528">
        <v>1</v>
      </c>
      <c r="W77" s="528">
        <v>0.7</v>
      </c>
      <c r="X77" s="528">
        <v>0.5</v>
      </c>
      <c r="Y77" s="528">
        <v>0.3</v>
      </c>
      <c r="Z77" s="528">
        <v>0.2</v>
      </c>
      <c r="AA77" s="528">
        <v>0.2</v>
      </c>
      <c r="AB77" s="528">
        <v>0</v>
      </c>
      <c r="AC77" s="66">
        <v>0</v>
      </c>
      <c r="AD77" s="75"/>
      <c r="AE77" s="75"/>
      <c r="AF77" s="75"/>
      <c r="AG77" s="75"/>
      <c r="AH77" s="75"/>
      <c r="AI77" s="75"/>
      <c r="AJ77" s="75"/>
      <c r="AK77" s="75"/>
    </row>
    <row r="78" spans="1:39" ht="39.6" hidden="1" customHeight="1" x14ac:dyDescent="0.3">
      <c r="B78" s="718"/>
      <c r="C78" s="727"/>
      <c r="D78" s="727"/>
      <c r="E78" s="135" t="s">
        <v>450</v>
      </c>
      <c r="F78" s="138">
        <v>0</v>
      </c>
      <c r="G78" s="138">
        <v>0</v>
      </c>
      <c r="H78" s="138">
        <v>0</v>
      </c>
      <c r="I78" s="138">
        <v>0</v>
      </c>
      <c r="J78" s="138">
        <v>0</v>
      </c>
      <c r="K78" s="138">
        <v>0</v>
      </c>
      <c r="L78" s="138">
        <v>0.1</v>
      </c>
      <c r="M78" s="138">
        <v>0.1</v>
      </c>
      <c r="N78" s="138">
        <v>0.5</v>
      </c>
      <c r="O78" s="138">
        <v>0.5</v>
      </c>
      <c r="P78" s="138">
        <v>0.5</v>
      </c>
      <c r="Q78" s="138">
        <v>0.5</v>
      </c>
      <c r="R78" s="138">
        <v>0.1</v>
      </c>
      <c r="S78" s="138">
        <v>0.1</v>
      </c>
      <c r="T78" s="138">
        <v>0.1</v>
      </c>
      <c r="U78" s="138">
        <v>0.1</v>
      </c>
      <c r="V78" s="138">
        <v>0.1</v>
      </c>
      <c r="W78" s="138">
        <v>0.05</v>
      </c>
      <c r="X78" s="138">
        <v>5.0000000000000001E-3</v>
      </c>
      <c r="Y78" s="138">
        <v>0</v>
      </c>
      <c r="Z78" s="138">
        <v>0</v>
      </c>
      <c r="AA78" s="138">
        <v>0</v>
      </c>
      <c r="AB78" s="138">
        <v>0</v>
      </c>
      <c r="AC78" s="139">
        <v>0</v>
      </c>
      <c r="AD78" s="75"/>
      <c r="AE78" s="75"/>
      <c r="AF78" s="75"/>
      <c r="AG78" s="75"/>
      <c r="AH78" s="75"/>
      <c r="AI78" s="75"/>
      <c r="AJ78" s="75"/>
      <c r="AK78" s="75"/>
    </row>
    <row r="79" spans="1:39" ht="39.6" hidden="1" customHeight="1" x14ac:dyDescent="0.3">
      <c r="B79" s="719"/>
      <c r="C79" s="701"/>
      <c r="D79" s="701"/>
      <c r="E79" s="530" t="s">
        <v>451</v>
      </c>
      <c r="F79" s="136"/>
      <c r="G79" s="136"/>
      <c r="H79" s="136"/>
      <c r="I79" s="136"/>
      <c r="J79" s="136"/>
      <c r="K79" s="136"/>
      <c r="L79" s="136"/>
      <c r="M79" s="136"/>
      <c r="N79" s="136"/>
      <c r="O79" s="136"/>
      <c r="P79" s="136"/>
      <c r="Q79" s="136"/>
      <c r="R79" s="136"/>
      <c r="S79" s="136"/>
      <c r="T79" s="136"/>
      <c r="U79" s="136"/>
      <c r="V79" s="136"/>
      <c r="W79" s="136"/>
      <c r="X79" s="136"/>
      <c r="Y79" s="136"/>
      <c r="Z79" s="136"/>
      <c r="AA79" s="136"/>
      <c r="AB79" s="136"/>
      <c r="AC79" s="137"/>
      <c r="AD79" s="75"/>
      <c r="AE79" s="75"/>
      <c r="AF79" s="75"/>
      <c r="AG79" s="75"/>
      <c r="AH79" s="75"/>
      <c r="AI79" s="75"/>
      <c r="AJ79" s="75"/>
      <c r="AK79" s="75"/>
    </row>
    <row r="80" spans="1:39" ht="39.6" hidden="1" customHeight="1" x14ac:dyDescent="0.3">
      <c r="B80" s="716" t="s">
        <v>479</v>
      </c>
      <c r="C80" s="716"/>
      <c r="D80" s="716"/>
      <c r="E80" s="716"/>
      <c r="F80" s="716"/>
      <c r="G80" s="716"/>
      <c r="H80" s="716"/>
      <c r="I80" s="716"/>
      <c r="J80" s="716"/>
      <c r="K80" s="716"/>
      <c r="L80" s="716"/>
      <c r="M80" s="716"/>
      <c r="N80" s="716"/>
      <c r="O80" s="716"/>
      <c r="P80" s="716"/>
      <c r="Q80" s="716"/>
      <c r="R80" s="716"/>
      <c r="S80" s="716"/>
      <c r="T80" s="716"/>
      <c r="U80" s="716"/>
      <c r="V80" s="716"/>
      <c r="W80" s="716"/>
      <c r="X80" s="716"/>
      <c r="Y80" s="716"/>
      <c r="Z80" s="716"/>
      <c r="AA80" s="716"/>
      <c r="AB80" s="716"/>
      <c r="AC80" s="716"/>
      <c r="AD80" s="75"/>
      <c r="AE80" s="75"/>
      <c r="AF80" s="75"/>
      <c r="AG80" s="75"/>
      <c r="AH80" s="75"/>
      <c r="AI80" s="75"/>
      <c r="AJ80" s="75"/>
      <c r="AK80" s="75"/>
    </row>
    <row r="81" spans="1:37" ht="39.6" hidden="1" customHeight="1" x14ac:dyDescent="0.3">
      <c r="B81" s="712" t="s">
        <v>480</v>
      </c>
      <c r="C81" s="702" t="s">
        <v>481</v>
      </c>
      <c r="D81" s="715" t="s">
        <v>482</v>
      </c>
      <c r="E81" s="528" t="s">
        <v>449</v>
      </c>
      <c r="F81" s="528">
        <v>0</v>
      </c>
      <c r="G81" s="528">
        <v>0</v>
      </c>
      <c r="H81" s="528">
        <v>0</v>
      </c>
      <c r="I81" s="528">
        <v>0</v>
      </c>
      <c r="J81" s="528">
        <v>0</v>
      </c>
      <c r="K81" s="528">
        <v>0</v>
      </c>
      <c r="L81" s="528">
        <v>0</v>
      </c>
      <c r="M81" s="528">
        <v>1</v>
      </c>
      <c r="N81" s="528">
        <v>1</v>
      </c>
      <c r="O81" s="528">
        <v>1</v>
      </c>
      <c r="P81" s="528">
        <v>1</v>
      </c>
      <c r="Q81" s="528">
        <v>1</v>
      </c>
      <c r="R81" s="528">
        <v>1</v>
      </c>
      <c r="S81" s="528">
        <v>1</v>
      </c>
      <c r="T81" s="528">
        <v>1</v>
      </c>
      <c r="U81" s="528">
        <v>1</v>
      </c>
      <c r="V81" s="528">
        <v>1</v>
      </c>
      <c r="W81" s="528">
        <v>1</v>
      </c>
      <c r="X81" s="528">
        <v>0</v>
      </c>
      <c r="Y81" s="528">
        <v>0</v>
      </c>
      <c r="Z81" s="528">
        <v>0</v>
      </c>
      <c r="AA81" s="528">
        <v>0</v>
      </c>
      <c r="AB81" s="528">
        <v>0</v>
      </c>
      <c r="AC81" s="66">
        <v>0</v>
      </c>
      <c r="AD81" s="75"/>
      <c r="AE81" s="75"/>
      <c r="AF81" s="75"/>
      <c r="AG81" s="75"/>
      <c r="AH81" s="75"/>
      <c r="AI81" s="75"/>
      <c r="AJ81" s="75"/>
      <c r="AK81" s="75"/>
    </row>
    <row r="82" spans="1:37" ht="39.6" hidden="1" customHeight="1" x14ac:dyDescent="0.3">
      <c r="B82" s="713"/>
      <c r="C82" s="703"/>
      <c r="D82" s="700"/>
      <c r="E82" s="529" t="s">
        <v>450</v>
      </c>
      <c r="F82" s="529">
        <v>0</v>
      </c>
      <c r="G82" s="529">
        <v>0</v>
      </c>
      <c r="H82" s="529">
        <v>0</v>
      </c>
      <c r="I82" s="529">
        <v>0</v>
      </c>
      <c r="J82" s="529">
        <v>0</v>
      </c>
      <c r="K82" s="529">
        <v>0</v>
      </c>
      <c r="L82" s="529">
        <v>0</v>
      </c>
      <c r="M82" s="529">
        <v>0</v>
      </c>
      <c r="N82" s="529">
        <v>1</v>
      </c>
      <c r="O82" s="529">
        <v>1</v>
      </c>
      <c r="P82" s="529">
        <v>1</v>
      </c>
      <c r="Q82" s="529">
        <v>1</v>
      </c>
      <c r="R82" s="529">
        <v>0</v>
      </c>
      <c r="S82" s="529">
        <v>0</v>
      </c>
      <c r="T82" s="529">
        <v>0</v>
      </c>
      <c r="U82" s="529">
        <v>0</v>
      </c>
      <c r="V82" s="529">
        <v>0</v>
      </c>
      <c r="W82" s="529">
        <v>0</v>
      </c>
      <c r="X82" s="529">
        <v>0</v>
      </c>
      <c r="Y82" s="529">
        <v>0</v>
      </c>
      <c r="Z82" s="529">
        <v>0</v>
      </c>
      <c r="AA82" s="529">
        <v>0</v>
      </c>
      <c r="AB82" s="529">
        <v>0</v>
      </c>
      <c r="AC82" s="67">
        <v>0</v>
      </c>
      <c r="AD82" s="75"/>
      <c r="AE82" s="75"/>
      <c r="AF82" s="75"/>
      <c r="AG82" s="75"/>
      <c r="AH82" s="75"/>
      <c r="AI82" s="75"/>
      <c r="AJ82" s="75"/>
      <c r="AK82" s="75"/>
    </row>
    <row r="83" spans="1:37" ht="39.6" hidden="1" customHeight="1" x14ac:dyDescent="0.3">
      <c r="B83" s="713"/>
      <c r="C83" s="703"/>
      <c r="D83" s="700"/>
      <c r="E83" s="529" t="s">
        <v>451</v>
      </c>
      <c r="F83" s="529">
        <v>0</v>
      </c>
      <c r="G83" s="529">
        <v>0</v>
      </c>
      <c r="H83" s="529">
        <v>0</v>
      </c>
      <c r="I83" s="529">
        <v>0</v>
      </c>
      <c r="J83" s="529">
        <v>0</v>
      </c>
      <c r="K83" s="529">
        <v>0</v>
      </c>
      <c r="L83" s="529">
        <v>0</v>
      </c>
      <c r="M83" s="529">
        <v>0</v>
      </c>
      <c r="N83" s="529">
        <v>0</v>
      </c>
      <c r="O83" s="529">
        <v>0</v>
      </c>
      <c r="P83" s="529">
        <v>0</v>
      </c>
      <c r="Q83" s="529">
        <v>0</v>
      </c>
      <c r="R83" s="529">
        <v>0</v>
      </c>
      <c r="S83" s="529">
        <v>0</v>
      </c>
      <c r="T83" s="529">
        <v>0</v>
      </c>
      <c r="U83" s="529">
        <v>0</v>
      </c>
      <c r="V83" s="529">
        <v>0</v>
      </c>
      <c r="W83" s="529">
        <v>0</v>
      </c>
      <c r="X83" s="529">
        <v>0</v>
      </c>
      <c r="Y83" s="529">
        <v>0</v>
      </c>
      <c r="Z83" s="529">
        <v>0</v>
      </c>
      <c r="AA83" s="529">
        <v>0</v>
      </c>
      <c r="AB83" s="529">
        <v>0</v>
      </c>
      <c r="AC83" s="67">
        <v>0</v>
      </c>
      <c r="AD83" s="75"/>
      <c r="AE83" s="75"/>
      <c r="AF83" s="75"/>
      <c r="AG83" s="75"/>
      <c r="AH83" s="75"/>
      <c r="AI83" s="75"/>
      <c r="AJ83" s="75"/>
      <c r="AK83" s="75"/>
    </row>
    <row r="84" spans="1:37" ht="39.6" hidden="1" customHeight="1" x14ac:dyDescent="0.3">
      <c r="B84" s="713"/>
      <c r="C84" s="703"/>
      <c r="D84" s="700" t="s">
        <v>483</v>
      </c>
      <c r="E84" s="529" t="s">
        <v>449</v>
      </c>
      <c r="F84" s="529">
        <v>0</v>
      </c>
      <c r="G84" s="529">
        <v>0</v>
      </c>
      <c r="H84" s="529">
        <v>0</v>
      </c>
      <c r="I84" s="529">
        <v>0</v>
      </c>
      <c r="J84" s="529">
        <v>0</v>
      </c>
      <c r="K84" s="529">
        <v>0</v>
      </c>
      <c r="L84" s="529">
        <v>1</v>
      </c>
      <c r="M84" s="529">
        <v>1</v>
      </c>
      <c r="N84" s="529">
        <v>1</v>
      </c>
      <c r="O84" s="529">
        <v>1</v>
      </c>
      <c r="P84" s="529">
        <v>1</v>
      </c>
      <c r="Q84" s="529">
        <v>1</v>
      </c>
      <c r="R84" s="529">
        <v>1</v>
      </c>
      <c r="S84" s="529">
        <v>1</v>
      </c>
      <c r="T84" s="529">
        <v>1</v>
      </c>
      <c r="U84" s="529">
        <v>1</v>
      </c>
      <c r="V84" s="529">
        <v>1</v>
      </c>
      <c r="W84" s="529">
        <v>1</v>
      </c>
      <c r="X84" s="529">
        <v>1</v>
      </c>
      <c r="Y84" s="529">
        <v>1</v>
      </c>
      <c r="Z84" s="529">
        <v>1</v>
      </c>
      <c r="AA84" s="529">
        <v>1</v>
      </c>
      <c r="AB84" s="529">
        <v>0</v>
      </c>
      <c r="AC84" s="67">
        <v>0</v>
      </c>
    </row>
    <row r="85" spans="1:37" hidden="1" x14ac:dyDescent="0.3">
      <c r="B85" s="713"/>
      <c r="C85" s="703"/>
      <c r="D85" s="700"/>
      <c r="E85" s="529" t="s">
        <v>450</v>
      </c>
      <c r="F85" s="529">
        <v>0</v>
      </c>
      <c r="G85" s="529">
        <v>0</v>
      </c>
      <c r="H85" s="529">
        <v>0</v>
      </c>
      <c r="I85" s="529">
        <v>0</v>
      </c>
      <c r="J85" s="529">
        <v>0</v>
      </c>
      <c r="K85" s="529">
        <v>0</v>
      </c>
      <c r="L85" s="529">
        <v>0</v>
      </c>
      <c r="M85" s="529">
        <v>0</v>
      </c>
      <c r="N85" s="529">
        <v>0</v>
      </c>
      <c r="O85" s="529">
        <v>0</v>
      </c>
      <c r="P85" s="529">
        <v>0</v>
      </c>
      <c r="Q85" s="529">
        <v>0</v>
      </c>
      <c r="R85" s="529">
        <v>0</v>
      </c>
      <c r="S85" s="529">
        <v>0</v>
      </c>
      <c r="T85" s="529">
        <v>0</v>
      </c>
      <c r="U85" s="529">
        <v>0</v>
      </c>
      <c r="V85" s="529">
        <v>0</v>
      </c>
      <c r="W85" s="529">
        <v>0</v>
      </c>
      <c r="X85" s="529">
        <v>0</v>
      </c>
      <c r="Y85" s="529">
        <v>0</v>
      </c>
      <c r="Z85" s="529">
        <v>0</v>
      </c>
      <c r="AA85" s="529">
        <v>0</v>
      </c>
      <c r="AB85" s="529">
        <v>0</v>
      </c>
      <c r="AC85" s="67">
        <v>0</v>
      </c>
    </row>
    <row r="86" spans="1:37" hidden="1" x14ac:dyDescent="0.3">
      <c r="B86" s="714"/>
      <c r="C86" s="704"/>
      <c r="D86" s="701"/>
      <c r="E86" s="530" t="s">
        <v>451</v>
      </c>
      <c r="F86" s="530">
        <v>0</v>
      </c>
      <c r="G86" s="530">
        <v>0</v>
      </c>
      <c r="H86" s="530">
        <v>0</v>
      </c>
      <c r="I86" s="530">
        <v>0</v>
      </c>
      <c r="J86" s="530">
        <v>0</v>
      </c>
      <c r="K86" s="530">
        <v>0</v>
      </c>
      <c r="L86" s="530">
        <v>0</v>
      </c>
      <c r="M86" s="530">
        <v>0</v>
      </c>
      <c r="N86" s="530">
        <v>0</v>
      </c>
      <c r="O86" s="530">
        <v>0</v>
      </c>
      <c r="P86" s="530">
        <v>0</v>
      </c>
      <c r="Q86" s="530">
        <v>0</v>
      </c>
      <c r="R86" s="530">
        <v>0</v>
      </c>
      <c r="S86" s="530">
        <v>0</v>
      </c>
      <c r="T86" s="530">
        <v>0</v>
      </c>
      <c r="U86" s="530">
        <v>0</v>
      </c>
      <c r="V86" s="530">
        <v>0</v>
      </c>
      <c r="W86" s="530">
        <v>0</v>
      </c>
      <c r="X86" s="530">
        <v>0</v>
      </c>
      <c r="Y86" s="530">
        <v>0</v>
      </c>
      <c r="Z86" s="530">
        <v>0</v>
      </c>
      <c r="AA86" s="530">
        <v>0</v>
      </c>
      <c r="AB86" s="530">
        <v>0</v>
      </c>
      <c r="AC86" s="68">
        <v>0</v>
      </c>
    </row>
    <row r="87" spans="1:37" hidden="1" x14ac:dyDescent="0.3"/>
    <row r="88" spans="1:37" hidden="1" x14ac:dyDescent="0.3"/>
    <row r="89" spans="1:37" s="4" customFormat="1" ht="13.2" hidden="1" x14ac:dyDescent="0.25">
      <c r="A89" s="64"/>
      <c r="B89" s="64"/>
      <c r="C89" s="64"/>
      <c r="D89" s="64"/>
      <c r="E89" s="64"/>
      <c r="F89" s="64"/>
      <c r="G89" s="64"/>
      <c r="H89" s="64"/>
      <c r="I89" s="64"/>
      <c r="J89" s="64"/>
      <c r="K89" s="64"/>
      <c r="L89" s="64"/>
      <c r="M89" s="64"/>
      <c r="N89" s="64"/>
      <c r="O89" s="64"/>
      <c r="P89" s="64"/>
      <c r="Q89" s="64"/>
      <c r="R89" s="64"/>
      <c r="S89" s="64"/>
      <c r="T89" s="64"/>
      <c r="U89" s="64"/>
      <c r="V89" s="64"/>
      <c r="W89" s="64"/>
      <c r="X89" s="64"/>
      <c r="Y89" s="64"/>
      <c r="Z89" s="64"/>
      <c r="AA89" s="64"/>
      <c r="AB89" s="64"/>
      <c r="AC89" s="64"/>
    </row>
    <row r="90" spans="1:37" ht="28.95" hidden="1" customHeight="1" x14ac:dyDescent="0.3"/>
    <row r="91" spans="1:37" ht="28.95" hidden="1" customHeight="1" x14ac:dyDescent="0.3"/>
    <row r="92" spans="1:37" ht="28.95" hidden="1" customHeight="1" x14ac:dyDescent="0.25">
      <c r="A92" s="4"/>
      <c r="B92" s="4"/>
      <c r="C92" s="4"/>
      <c r="D92" s="4"/>
      <c r="E92" s="4"/>
      <c r="F92" s="4"/>
      <c r="G92" s="4"/>
      <c r="H92" s="4"/>
      <c r="I92" s="4"/>
      <c r="J92" s="4"/>
      <c r="K92" s="4"/>
      <c r="L92" s="4"/>
      <c r="M92" s="4"/>
      <c r="N92" s="4"/>
      <c r="O92" s="4"/>
      <c r="P92" s="4"/>
      <c r="Q92" s="4"/>
      <c r="R92" s="4"/>
      <c r="S92" s="7"/>
      <c r="T92" s="4"/>
      <c r="U92" s="4"/>
      <c r="V92" s="4"/>
      <c r="W92" s="4"/>
      <c r="X92" s="4"/>
      <c r="Y92" s="4"/>
      <c r="Z92" s="4"/>
      <c r="AA92" s="4"/>
      <c r="AB92" s="4"/>
      <c r="AC92" s="4"/>
    </row>
    <row r="93" spans="1:37" ht="28.95" hidden="1" customHeight="1" x14ac:dyDescent="0.25">
      <c r="C93" s="744" t="s">
        <v>484</v>
      </c>
      <c r="D93" s="694" t="s">
        <v>485</v>
      </c>
      <c r="E93" s="520" t="s">
        <v>449</v>
      </c>
      <c r="F93" s="222">
        <v>0.05</v>
      </c>
      <c r="G93" s="222">
        <v>0.05</v>
      </c>
      <c r="H93" s="222">
        <v>0.05</v>
      </c>
      <c r="I93" s="222">
        <v>0.05</v>
      </c>
      <c r="J93" s="222">
        <v>0.05</v>
      </c>
      <c r="K93" s="222">
        <v>0.1</v>
      </c>
      <c r="L93" s="222">
        <v>0.1</v>
      </c>
      <c r="M93" s="222">
        <v>0.3</v>
      </c>
      <c r="N93" s="222">
        <v>0.9</v>
      </c>
      <c r="O93" s="222">
        <v>0.9</v>
      </c>
      <c r="P93" s="222">
        <v>0.9</v>
      </c>
      <c r="Q93" s="222">
        <v>0.9</v>
      </c>
      <c r="R93" s="222">
        <v>0.9</v>
      </c>
      <c r="S93" s="222">
        <v>0.9</v>
      </c>
      <c r="T93" s="222">
        <v>0.9</v>
      </c>
      <c r="U93" s="222">
        <v>0.9</v>
      </c>
      <c r="V93" s="222">
        <v>0.9</v>
      </c>
      <c r="W93" s="222">
        <v>0.5</v>
      </c>
      <c r="X93" s="222">
        <v>0.3</v>
      </c>
      <c r="Y93" s="222">
        <v>0.3</v>
      </c>
      <c r="Z93" s="222">
        <v>0.2</v>
      </c>
      <c r="AA93" s="222">
        <v>0.2</v>
      </c>
      <c r="AB93" s="222">
        <v>0.1</v>
      </c>
      <c r="AC93" s="222">
        <v>0.05</v>
      </c>
    </row>
    <row r="94" spans="1:37" ht="28.95" hidden="1" customHeight="1" x14ac:dyDescent="0.25">
      <c r="C94" s="689"/>
      <c r="D94" s="692"/>
      <c r="E94" s="521" t="s">
        <v>450</v>
      </c>
      <c r="F94" s="33">
        <v>0.05</v>
      </c>
      <c r="G94" s="33">
        <v>0.05</v>
      </c>
      <c r="H94" s="33">
        <v>0.05</v>
      </c>
      <c r="I94" s="33">
        <v>0.05</v>
      </c>
      <c r="J94" s="33">
        <v>0.05</v>
      </c>
      <c r="K94" s="33">
        <v>0.05</v>
      </c>
      <c r="L94" s="33">
        <v>0.1</v>
      </c>
      <c r="M94" s="33">
        <v>0.1</v>
      </c>
      <c r="N94" s="33">
        <v>0.3</v>
      </c>
      <c r="O94" s="33">
        <v>0.3</v>
      </c>
      <c r="P94" s="33">
        <v>0.3</v>
      </c>
      <c r="Q94" s="33">
        <v>0.3</v>
      </c>
      <c r="R94" s="33">
        <v>0.15</v>
      </c>
      <c r="S94" s="33">
        <v>0.15</v>
      </c>
      <c r="T94" s="33">
        <v>0.15</v>
      </c>
      <c r="U94" s="33">
        <v>0.15</v>
      </c>
      <c r="V94" s="33">
        <v>0.15</v>
      </c>
      <c r="W94" s="33">
        <v>0.05</v>
      </c>
      <c r="X94" s="33">
        <v>0.05</v>
      </c>
      <c r="Y94" s="33">
        <v>0.05</v>
      </c>
      <c r="Z94" s="33">
        <v>0.05</v>
      </c>
      <c r="AA94" s="33">
        <v>0.05</v>
      </c>
      <c r="AB94" s="33">
        <v>0.05</v>
      </c>
      <c r="AC94" s="33">
        <v>0.05</v>
      </c>
    </row>
    <row r="95" spans="1:37" ht="28.95" hidden="1" customHeight="1" x14ac:dyDescent="0.25">
      <c r="C95" s="690"/>
      <c r="D95" s="693"/>
      <c r="E95" s="522" t="s">
        <v>451</v>
      </c>
      <c r="F95" s="223">
        <v>0.05</v>
      </c>
      <c r="G95" s="223">
        <v>0.05</v>
      </c>
      <c r="H95" s="223">
        <v>0.05</v>
      </c>
      <c r="I95" s="223">
        <v>0.05</v>
      </c>
      <c r="J95" s="223">
        <v>0.05</v>
      </c>
      <c r="K95" s="223">
        <v>0.05</v>
      </c>
      <c r="L95" s="223">
        <v>0.05</v>
      </c>
      <c r="M95" s="223">
        <v>0.05</v>
      </c>
      <c r="N95" s="223">
        <v>0.05</v>
      </c>
      <c r="O95" s="223">
        <v>0.05</v>
      </c>
      <c r="P95" s="223">
        <v>0.05</v>
      </c>
      <c r="Q95" s="223">
        <v>0.05</v>
      </c>
      <c r="R95" s="223">
        <v>0.05</v>
      </c>
      <c r="S95" s="223">
        <v>0.05</v>
      </c>
      <c r="T95" s="223">
        <v>0.05</v>
      </c>
      <c r="U95" s="223">
        <v>0.05</v>
      </c>
      <c r="V95" s="223">
        <v>0.05</v>
      </c>
      <c r="W95" s="223">
        <v>0.05</v>
      </c>
      <c r="X95" s="223">
        <v>0.05</v>
      </c>
      <c r="Y95" s="223">
        <v>0.05</v>
      </c>
      <c r="Z95" s="223">
        <v>0.05</v>
      </c>
      <c r="AA95" s="223">
        <v>0.05</v>
      </c>
      <c r="AB95" s="223">
        <v>0.05</v>
      </c>
      <c r="AC95" s="223">
        <v>0.05</v>
      </c>
    </row>
    <row r="96" spans="1:37" ht="28.95" hidden="1" customHeight="1" x14ac:dyDescent="0.25">
      <c r="C96" s="744" t="s">
        <v>484</v>
      </c>
      <c r="D96" s="694" t="s">
        <v>486</v>
      </c>
      <c r="E96" s="520" t="s">
        <v>449</v>
      </c>
      <c r="F96" s="224">
        <v>0.40947755650000001</v>
      </c>
      <c r="G96" s="224">
        <v>0.40947755650000001</v>
      </c>
      <c r="H96" s="224">
        <v>0.40947755650000001</v>
      </c>
      <c r="I96" s="224">
        <v>0.40947755650000001</v>
      </c>
      <c r="J96" s="224">
        <v>0.40947755650000001</v>
      </c>
      <c r="K96" s="224">
        <v>0.40947755650000001</v>
      </c>
      <c r="L96" s="224">
        <v>0.47975263350000003</v>
      </c>
      <c r="M96" s="224">
        <v>0.47975263350000003</v>
      </c>
      <c r="N96" s="224">
        <v>0.95950526700000005</v>
      </c>
      <c r="O96" s="224">
        <v>0.95950526700000005</v>
      </c>
      <c r="P96" s="224">
        <v>0.95950526700000005</v>
      </c>
      <c r="Q96" s="224">
        <v>0.95950526700000005</v>
      </c>
      <c r="R96" s="224">
        <v>0.90193495097999998</v>
      </c>
      <c r="S96" s="224">
        <v>0.95950526700000005</v>
      </c>
      <c r="T96" s="224">
        <v>0.95950526700000005</v>
      </c>
      <c r="U96" s="224">
        <v>0.95950526700000005</v>
      </c>
      <c r="V96" s="224">
        <v>0.95950526700000005</v>
      </c>
      <c r="W96" s="224">
        <v>0.47975263350000003</v>
      </c>
      <c r="X96" s="224">
        <v>0.19190105339999999</v>
      </c>
      <c r="Y96" s="224">
        <v>0.19190105339999999</v>
      </c>
      <c r="Z96" s="224">
        <v>0.19190105339999999</v>
      </c>
      <c r="AA96" s="224">
        <v>0.19190105339999999</v>
      </c>
      <c r="AB96" s="224">
        <v>0.19190105339999999</v>
      </c>
      <c r="AC96" s="224">
        <v>0.1637910226</v>
      </c>
    </row>
    <row r="97" spans="3:31" ht="28.95" hidden="1" customHeight="1" x14ac:dyDescent="0.25">
      <c r="C97" s="689"/>
      <c r="D97" s="692"/>
      <c r="E97" s="521" t="s">
        <v>450</v>
      </c>
      <c r="F97" s="221">
        <v>0.1637910226</v>
      </c>
      <c r="G97" s="221">
        <v>0.1637910226</v>
      </c>
      <c r="H97" s="221">
        <v>0.1637910226</v>
      </c>
      <c r="I97" s="221">
        <v>0.1637910226</v>
      </c>
      <c r="J97" s="221">
        <v>0.1637910226</v>
      </c>
      <c r="K97" s="221">
        <v>0.1637910226</v>
      </c>
      <c r="L97" s="221">
        <v>0.1637910226</v>
      </c>
      <c r="M97" s="221">
        <v>0.1637910226</v>
      </c>
      <c r="N97" s="221">
        <v>0.1637910226</v>
      </c>
      <c r="O97" s="221">
        <v>0.1637910226</v>
      </c>
      <c r="P97" s="221">
        <v>0.1637910226</v>
      </c>
      <c r="Q97" s="221">
        <v>0.1637910226</v>
      </c>
      <c r="R97" s="221">
        <v>0.1637910226</v>
      </c>
      <c r="S97" s="221">
        <v>0.1637910226</v>
      </c>
      <c r="T97" s="221">
        <v>0.1637910226</v>
      </c>
      <c r="U97" s="221">
        <v>0.1637910226</v>
      </c>
      <c r="V97" s="221">
        <v>0.1637910226</v>
      </c>
      <c r="W97" s="221">
        <v>0.1637910226</v>
      </c>
      <c r="X97" s="221">
        <v>0.1637910226</v>
      </c>
      <c r="Y97" s="221">
        <v>0.1637910226</v>
      </c>
      <c r="Z97" s="221">
        <v>0.1637910226</v>
      </c>
      <c r="AA97" s="221">
        <v>0.1637910226</v>
      </c>
      <c r="AB97" s="221">
        <v>0.1637910226</v>
      </c>
      <c r="AC97" s="221">
        <v>0.1637910226</v>
      </c>
    </row>
    <row r="98" spans="3:31" ht="28.95" hidden="1" customHeight="1" x14ac:dyDescent="0.25">
      <c r="C98" s="690"/>
      <c r="D98" s="693"/>
      <c r="E98" s="522" t="s">
        <v>451</v>
      </c>
      <c r="F98" s="226">
        <v>0.1637910226</v>
      </c>
      <c r="G98" s="226">
        <v>0.1637910226</v>
      </c>
      <c r="H98" s="226">
        <v>0.1637910226</v>
      </c>
      <c r="I98" s="226">
        <v>0.1637910226</v>
      </c>
      <c r="J98" s="226">
        <v>0.1637910226</v>
      </c>
      <c r="K98" s="226">
        <v>0.1637910226</v>
      </c>
      <c r="L98" s="226">
        <v>0.1637910226</v>
      </c>
      <c r="M98" s="226">
        <v>0.1637910226</v>
      </c>
      <c r="N98" s="226">
        <v>0.1637910226</v>
      </c>
      <c r="O98" s="226">
        <v>0.1637910226</v>
      </c>
      <c r="P98" s="226">
        <v>0.1637910226</v>
      </c>
      <c r="Q98" s="226">
        <v>0.1637910226</v>
      </c>
      <c r="R98" s="226">
        <v>0.1637910226</v>
      </c>
      <c r="S98" s="226">
        <v>0.1637910226</v>
      </c>
      <c r="T98" s="226">
        <v>0.1637910226</v>
      </c>
      <c r="U98" s="226">
        <v>0.1637910226</v>
      </c>
      <c r="V98" s="226">
        <v>0.1637910226</v>
      </c>
      <c r="W98" s="226">
        <v>0.1637910226</v>
      </c>
      <c r="X98" s="226">
        <v>0.1637910226</v>
      </c>
      <c r="Y98" s="226">
        <v>0.1637910226</v>
      </c>
      <c r="Z98" s="226">
        <v>0.1637910226</v>
      </c>
      <c r="AA98" s="226">
        <v>0.1637910226</v>
      </c>
      <c r="AB98" s="226">
        <v>0.1637910226</v>
      </c>
      <c r="AC98" s="226">
        <v>0.1637910226</v>
      </c>
    </row>
    <row r="99" spans="3:31" ht="13.2" hidden="1" x14ac:dyDescent="0.25">
      <c r="C99" s="688" t="s">
        <v>484</v>
      </c>
      <c r="D99" s="691" t="s">
        <v>487</v>
      </c>
      <c r="E99" s="527" t="s">
        <v>449</v>
      </c>
      <c r="F99" s="225">
        <v>0.05</v>
      </c>
      <c r="G99" s="225">
        <v>0.05</v>
      </c>
      <c r="H99" s="225">
        <v>0.05</v>
      </c>
      <c r="I99" s="225">
        <v>0.05</v>
      </c>
      <c r="J99" s="225">
        <v>0.05</v>
      </c>
      <c r="K99" s="225">
        <v>0.1</v>
      </c>
      <c r="L99" s="225">
        <v>0.1</v>
      </c>
      <c r="M99" s="225">
        <v>0.3</v>
      </c>
      <c r="N99" s="225">
        <v>0.9</v>
      </c>
      <c r="O99" s="225">
        <v>0.9</v>
      </c>
      <c r="P99" s="225">
        <v>0.9</v>
      </c>
      <c r="Q99" s="225">
        <v>0.9</v>
      </c>
      <c r="R99" s="225">
        <v>0.9</v>
      </c>
      <c r="S99" s="225">
        <v>0.9</v>
      </c>
      <c r="T99" s="225">
        <v>0.9</v>
      </c>
      <c r="U99" s="225">
        <v>0.9</v>
      </c>
      <c r="V99" s="225">
        <v>0.9</v>
      </c>
      <c r="W99" s="225">
        <v>0.5</v>
      </c>
      <c r="X99" s="225">
        <v>0.3</v>
      </c>
      <c r="Y99" s="225">
        <v>0.3</v>
      </c>
      <c r="Z99" s="225">
        <v>0.2</v>
      </c>
      <c r="AA99" s="225">
        <v>0.2</v>
      </c>
      <c r="AB99" s="225">
        <v>0.1</v>
      </c>
      <c r="AC99" s="225">
        <v>0.05</v>
      </c>
    </row>
    <row r="100" spans="3:31" ht="13.2" hidden="1" x14ac:dyDescent="0.25">
      <c r="C100" s="689"/>
      <c r="D100" s="692"/>
      <c r="E100" s="521" t="s">
        <v>450</v>
      </c>
      <c r="F100" s="33">
        <v>0.05</v>
      </c>
      <c r="G100" s="33">
        <v>0.05</v>
      </c>
      <c r="H100" s="33">
        <v>0.05</v>
      </c>
      <c r="I100" s="33">
        <v>0.05</v>
      </c>
      <c r="J100" s="33">
        <v>0.05</v>
      </c>
      <c r="K100" s="33">
        <v>0.05</v>
      </c>
      <c r="L100" s="33">
        <v>0.1</v>
      </c>
      <c r="M100" s="33">
        <v>0.1</v>
      </c>
      <c r="N100" s="33">
        <v>0.3</v>
      </c>
      <c r="O100" s="33">
        <v>0.3</v>
      </c>
      <c r="P100" s="33">
        <v>0.3</v>
      </c>
      <c r="Q100" s="33">
        <v>0.3</v>
      </c>
      <c r="R100" s="33">
        <v>0.15</v>
      </c>
      <c r="S100" s="33">
        <v>0.15</v>
      </c>
      <c r="T100" s="33">
        <v>0.15</v>
      </c>
      <c r="U100" s="33">
        <v>0.15</v>
      </c>
      <c r="V100" s="33">
        <v>0.15</v>
      </c>
      <c r="W100" s="33">
        <v>0.05</v>
      </c>
      <c r="X100" s="33">
        <v>0.05</v>
      </c>
      <c r="Y100" s="33">
        <v>0.05</v>
      </c>
      <c r="Z100" s="33">
        <v>0.05</v>
      </c>
      <c r="AA100" s="33">
        <v>0.05</v>
      </c>
      <c r="AB100" s="33">
        <v>0.05</v>
      </c>
      <c r="AC100" s="33">
        <v>0.05</v>
      </c>
    </row>
    <row r="101" spans="3:31" ht="13.2" hidden="1" x14ac:dyDescent="0.25">
      <c r="C101" s="690"/>
      <c r="D101" s="693"/>
      <c r="E101" s="522" t="s">
        <v>451</v>
      </c>
      <c r="F101" s="223">
        <v>0.05</v>
      </c>
      <c r="G101" s="223">
        <v>0.05</v>
      </c>
      <c r="H101" s="223">
        <v>0.05</v>
      </c>
      <c r="I101" s="223">
        <v>0.05</v>
      </c>
      <c r="J101" s="223">
        <v>0.05</v>
      </c>
      <c r="K101" s="223">
        <v>0.05</v>
      </c>
      <c r="L101" s="223">
        <v>0.05</v>
      </c>
      <c r="M101" s="223">
        <v>0.05</v>
      </c>
      <c r="N101" s="223">
        <v>0.05</v>
      </c>
      <c r="O101" s="223">
        <v>0.05</v>
      </c>
      <c r="P101" s="223">
        <v>0.05</v>
      </c>
      <c r="Q101" s="223">
        <v>0.05</v>
      </c>
      <c r="R101" s="223">
        <v>0.05</v>
      </c>
      <c r="S101" s="223">
        <v>0.05</v>
      </c>
      <c r="T101" s="223">
        <v>0.05</v>
      </c>
      <c r="U101" s="223">
        <v>0.05</v>
      </c>
      <c r="V101" s="223">
        <v>0.05</v>
      </c>
      <c r="W101" s="223">
        <v>0.05</v>
      </c>
      <c r="X101" s="223">
        <v>0.05</v>
      </c>
      <c r="Y101" s="223">
        <v>0.05</v>
      </c>
      <c r="Z101" s="223">
        <v>0.05</v>
      </c>
      <c r="AA101" s="223">
        <v>0.05</v>
      </c>
      <c r="AB101" s="223">
        <v>0.05</v>
      </c>
      <c r="AC101" s="223">
        <v>0.05</v>
      </c>
      <c r="AD101" s="4"/>
      <c r="AE101" s="4"/>
    </row>
    <row r="102" spans="3:31" ht="13.2" hidden="1" x14ac:dyDescent="0.25">
      <c r="AD102" s="4"/>
      <c r="AE102" s="4"/>
    </row>
    <row r="103" spans="3:31" ht="13.2" hidden="1" x14ac:dyDescent="0.25">
      <c r="AD103" s="4"/>
      <c r="AE103" s="7"/>
    </row>
    <row r="104" spans="3:31" ht="13.2" x14ac:dyDescent="0.25">
      <c r="F104" s="4"/>
      <c r="G104" s="4"/>
      <c r="H104" s="4"/>
      <c r="I104" s="4"/>
      <c r="J104" s="4"/>
      <c r="K104" s="4"/>
      <c r="L104" s="4"/>
      <c r="M104" s="4"/>
      <c r="N104" s="4"/>
      <c r="O104" s="4"/>
      <c r="P104" s="4"/>
      <c r="Q104" s="4"/>
      <c r="R104" s="4"/>
      <c r="S104" s="4"/>
      <c r="T104" s="4"/>
      <c r="U104" s="4"/>
      <c r="V104" s="4"/>
      <c r="W104" s="4"/>
      <c r="X104" s="4"/>
      <c r="Y104" s="4"/>
      <c r="Z104" s="4"/>
      <c r="AA104" s="4"/>
      <c r="AB104" s="4"/>
      <c r="AC104" s="4"/>
    </row>
    <row r="105" spans="3:31" ht="13.2" x14ac:dyDescent="0.25">
      <c r="F105" s="4"/>
      <c r="G105" s="4"/>
      <c r="H105" s="4"/>
      <c r="I105" s="4"/>
      <c r="J105" s="4"/>
      <c r="K105" s="4"/>
      <c r="L105" s="4"/>
      <c r="M105" s="4"/>
      <c r="N105" s="4"/>
      <c r="O105" s="4"/>
      <c r="P105" s="4"/>
      <c r="Q105" s="4"/>
      <c r="R105" s="4"/>
      <c r="S105" s="4"/>
      <c r="T105" s="4"/>
      <c r="U105" s="4"/>
      <c r="V105" s="4"/>
      <c r="W105" s="4"/>
      <c r="X105" s="4"/>
      <c r="Y105" s="4"/>
      <c r="Z105" s="4"/>
      <c r="AA105" s="4"/>
      <c r="AB105" s="4"/>
      <c r="AC105" s="4"/>
    </row>
    <row r="106" spans="3:31" ht="13.2" x14ac:dyDescent="0.25">
      <c r="F106" s="4"/>
      <c r="G106" s="4"/>
      <c r="H106" s="4"/>
      <c r="I106" s="4"/>
      <c r="J106" s="4"/>
      <c r="K106" s="4"/>
      <c r="L106" s="4"/>
      <c r="M106" s="4"/>
      <c r="N106" s="4"/>
      <c r="O106" s="4"/>
      <c r="P106" s="4"/>
      <c r="Q106" s="4"/>
      <c r="R106" s="4"/>
      <c r="S106" s="4"/>
      <c r="T106" s="4"/>
      <c r="U106" s="4"/>
      <c r="V106" s="4"/>
      <c r="W106" s="4"/>
      <c r="X106" s="4"/>
      <c r="Y106" s="4"/>
      <c r="Z106" s="4"/>
      <c r="AA106" s="4"/>
      <c r="AB106" s="4"/>
      <c r="AC106" s="4"/>
    </row>
  </sheetData>
  <mergeCells count="107">
    <mergeCell ref="A13:A15"/>
    <mergeCell ref="A16:A18"/>
    <mergeCell ref="A19:A21"/>
    <mergeCell ref="A1:AC1"/>
    <mergeCell ref="A2:A3"/>
    <mergeCell ref="A4:A6"/>
    <mergeCell ref="A7:A9"/>
    <mergeCell ref="A10:A12"/>
    <mergeCell ref="D7:D9"/>
    <mergeCell ref="B10:B12"/>
    <mergeCell ref="D10:D12"/>
    <mergeCell ref="B4:B6"/>
    <mergeCell ref="B7:B9"/>
    <mergeCell ref="B2:B3"/>
    <mergeCell ref="C10:C12"/>
    <mergeCell ref="C7:C9"/>
    <mergeCell ref="F2:AC2"/>
    <mergeCell ref="E2:E3"/>
    <mergeCell ref="D2:D3"/>
    <mergeCell ref="C2:C3"/>
    <mergeCell ref="D4:D6"/>
    <mergeCell ref="C4:C6"/>
    <mergeCell ref="C13:C15"/>
    <mergeCell ref="B13:B15"/>
    <mergeCell ref="C57:C59"/>
    <mergeCell ref="D57:D59"/>
    <mergeCell ref="A50:AC50"/>
    <mergeCell ref="A51:A53"/>
    <mergeCell ref="B51:B53"/>
    <mergeCell ref="C51:C53"/>
    <mergeCell ref="D51:D53"/>
    <mergeCell ref="C54:C56"/>
    <mergeCell ref="A41:A43"/>
    <mergeCell ref="B41:B43"/>
    <mergeCell ref="C41:C43"/>
    <mergeCell ref="D41:D43"/>
    <mergeCell ref="A47:A49"/>
    <mergeCell ref="B47:B49"/>
    <mergeCell ref="C47:C49"/>
    <mergeCell ref="A44:A46"/>
    <mergeCell ref="B44:B46"/>
    <mergeCell ref="C44:C46"/>
    <mergeCell ref="D44:D46"/>
    <mergeCell ref="D32:D34"/>
    <mergeCell ref="A35:A37"/>
    <mergeCell ref="B35:B37"/>
    <mergeCell ref="C35:C37"/>
    <mergeCell ref="D16:D18"/>
    <mergeCell ref="D19:D21"/>
    <mergeCell ref="A22:A24"/>
    <mergeCell ref="B22:B24"/>
    <mergeCell ref="C22:C24"/>
    <mergeCell ref="D22:D24"/>
    <mergeCell ref="A25:A27"/>
    <mergeCell ref="B25:B27"/>
    <mergeCell ref="C25:C27"/>
    <mergeCell ref="D25:D27"/>
    <mergeCell ref="B16:B18"/>
    <mergeCell ref="B19:B21"/>
    <mergeCell ref="C19:C21"/>
    <mergeCell ref="D13:D15"/>
    <mergeCell ref="D47:D49"/>
    <mergeCell ref="D35:D37"/>
    <mergeCell ref="A38:A40"/>
    <mergeCell ref="B38:B40"/>
    <mergeCell ref="C38:C40"/>
    <mergeCell ref="D96:D98"/>
    <mergeCell ref="C93:C95"/>
    <mergeCell ref="C96:C98"/>
    <mergeCell ref="D38:D40"/>
    <mergeCell ref="A57:A59"/>
    <mergeCell ref="B57:B59"/>
    <mergeCell ref="A54:A56"/>
    <mergeCell ref="B54:B56"/>
    <mergeCell ref="A28:AC28"/>
    <mergeCell ref="A29:A31"/>
    <mergeCell ref="B29:B31"/>
    <mergeCell ref="C29:C31"/>
    <mergeCell ref="D29:D31"/>
    <mergeCell ref="A32:A34"/>
    <mergeCell ref="C16:C18"/>
    <mergeCell ref="D54:D56"/>
    <mergeCell ref="B32:B34"/>
    <mergeCell ref="C32:C34"/>
    <mergeCell ref="C99:C101"/>
    <mergeCell ref="D99:D101"/>
    <mergeCell ref="D93:D95"/>
    <mergeCell ref="C60:C62"/>
    <mergeCell ref="D60:D62"/>
    <mergeCell ref="D84:D86"/>
    <mergeCell ref="C81:C86"/>
    <mergeCell ref="A63:A65"/>
    <mergeCell ref="B63:B65"/>
    <mergeCell ref="C63:C65"/>
    <mergeCell ref="D63:D65"/>
    <mergeCell ref="B81:B86"/>
    <mergeCell ref="D81:D83"/>
    <mergeCell ref="B80:AC80"/>
    <mergeCell ref="B77:B79"/>
    <mergeCell ref="B72:B74"/>
    <mergeCell ref="A60:A62"/>
    <mergeCell ref="B60:B62"/>
    <mergeCell ref="C72:C74"/>
    <mergeCell ref="D72:D74"/>
    <mergeCell ref="C77:C79"/>
    <mergeCell ref="D77:D79"/>
    <mergeCell ref="B76:AC76"/>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9D48C-EFB6-440B-BE4F-FD4465FADBA0}">
  <sheetPr codeName="Sheet20"/>
  <dimension ref="A1:V39"/>
  <sheetViews>
    <sheetView zoomScale="85" zoomScaleNormal="85" workbookViewId="0">
      <selection sqref="A1:H1"/>
    </sheetView>
  </sheetViews>
  <sheetFormatPr defaultColWidth="8.6640625" defaultRowHeight="12.75" customHeight="1" x14ac:dyDescent="0.25"/>
  <cols>
    <col min="1" max="4" width="17.44140625" style="4" customWidth="1"/>
    <col min="5" max="5" width="16" style="4" customWidth="1"/>
    <col min="6" max="6" width="16.109375" style="4" customWidth="1"/>
    <col min="7" max="7" width="17.88671875" style="4" customWidth="1"/>
    <col min="8" max="9" width="18.6640625" style="4" customWidth="1"/>
    <col min="10" max="10" width="20.5546875" style="4" customWidth="1"/>
    <col min="11" max="11" width="21" style="4" customWidth="1"/>
    <col min="12" max="12" width="21.6640625" style="4" customWidth="1"/>
    <col min="13" max="13" width="11.88671875" style="4" customWidth="1"/>
    <col min="14" max="14" width="14.44140625" style="4" customWidth="1"/>
    <col min="15" max="15" width="15.44140625" style="4" customWidth="1"/>
    <col min="16" max="16" width="19.33203125" style="4" customWidth="1"/>
    <col min="17" max="18" width="18.33203125" style="4" customWidth="1"/>
    <col min="19" max="21" width="13.6640625" style="4" customWidth="1"/>
    <col min="22" max="22" width="10.6640625" style="4" customWidth="1"/>
    <col min="23" max="24" width="8.6640625" style="4"/>
    <col min="25" max="25" width="13.6640625" style="4" customWidth="1"/>
    <col min="26" max="28" width="8.6640625" style="4"/>
    <col min="29" max="29" width="12.44140625" style="4" customWidth="1"/>
    <col min="30" max="16384" width="8.6640625" style="4"/>
  </cols>
  <sheetData>
    <row r="1" spans="1:22" ht="27" customHeight="1" x14ac:dyDescent="0.25">
      <c r="A1" s="815" t="s">
        <v>488</v>
      </c>
      <c r="B1" s="815"/>
      <c r="C1" s="814"/>
      <c r="D1" s="814"/>
      <c r="E1" s="814"/>
      <c r="F1" s="814"/>
      <c r="G1" s="814"/>
      <c r="H1" s="814"/>
      <c r="I1" s="814" t="s">
        <v>489</v>
      </c>
      <c r="J1" s="814"/>
      <c r="K1" s="814"/>
      <c r="L1" s="814"/>
      <c r="N1" s="615" t="s">
        <v>490</v>
      </c>
      <c r="O1" s="615"/>
      <c r="P1" s="615"/>
      <c r="Q1" s="615"/>
      <c r="R1" s="615"/>
      <c r="S1" s="615"/>
      <c r="T1" s="615"/>
      <c r="U1" s="615"/>
      <c r="V1" s="37"/>
    </row>
    <row r="2" spans="1:22" ht="52.5" customHeight="1" x14ac:dyDescent="0.25">
      <c r="A2" s="235" t="s">
        <v>188</v>
      </c>
      <c r="B2" s="262" t="s">
        <v>491</v>
      </c>
      <c r="C2" s="270" t="s">
        <v>492</v>
      </c>
      <c r="D2" s="236" t="s">
        <v>493</v>
      </c>
      <c r="E2" s="237" t="s">
        <v>494</v>
      </c>
      <c r="F2" s="258" t="s">
        <v>495</v>
      </c>
      <c r="G2" s="259" t="s">
        <v>496</v>
      </c>
      <c r="H2" s="271" t="s">
        <v>497</v>
      </c>
      <c r="I2" s="273" t="s">
        <v>498</v>
      </c>
      <c r="J2" s="274" t="s">
        <v>499</v>
      </c>
      <c r="K2" s="274" t="s">
        <v>500</v>
      </c>
      <c r="L2" s="275" t="s">
        <v>501</v>
      </c>
      <c r="M2" s="501" t="s">
        <v>502</v>
      </c>
      <c r="N2" s="245" t="s">
        <v>188</v>
      </c>
      <c r="O2" s="246" t="s">
        <v>491</v>
      </c>
      <c r="P2" s="246" t="s">
        <v>503</v>
      </c>
      <c r="Q2" s="246" t="s">
        <v>504</v>
      </c>
      <c r="R2" s="246" t="s">
        <v>505</v>
      </c>
      <c r="S2" s="247" t="s">
        <v>506</v>
      </c>
      <c r="T2" s="247" t="s">
        <v>507</v>
      </c>
      <c r="U2" s="248" t="s">
        <v>508</v>
      </c>
      <c r="V2" s="249" t="s">
        <v>509</v>
      </c>
    </row>
    <row r="3" spans="1:22" ht="19.2" customHeight="1" x14ac:dyDescent="0.3">
      <c r="A3" s="810" t="s">
        <v>510</v>
      </c>
      <c r="B3" s="566">
        <v>1</v>
      </c>
      <c r="C3" s="567"/>
      <c r="D3" s="568"/>
      <c r="E3" s="569"/>
      <c r="F3" s="257"/>
      <c r="G3" s="257"/>
      <c r="H3" s="272"/>
      <c r="I3" s="276">
        <v>61.7</v>
      </c>
      <c r="J3" s="242">
        <f>I3*1.25</f>
        <v>77.125</v>
      </c>
      <c r="K3" s="243">
        <f>I3*0.75</f>
        <v>46.275000000000006</v>
      </c>
      <c r="L3" s="277">
        <f t="shared" ref="L3:L18" si="0">J3-K3</f>
        <v>30.849999999999994</v>
      </c>
      <c r="M3" s="4">
        <v>95521</v>
      </c>
      <c r="N3" s="812" t="s">
        <v>81</v>
      </c>
      <c r="O3" s="239">
        <v>1</v>
      </c>
      <c r="P3" s="240">
        <v>12266</v>
      </c>
      <c r="Q3" s="241">
        <v>9.77</v>
      </c>
      <c r="R3" s="241">
        <v>4.88</v>
      </c>
      <c r="S3" s="238">
        <f t="shared" ref="S3:S18" si="1">(Q3+R3)*3.412</f>
        <v>49.98579999999999</v>
      </c>
      <c r="T3" s="238">
        <f>S3*1.25</f>
        <v>62.482249999999986</v>
      </c>
      <c r="U3" s="244">
        <f>S3*0.75</f>
        <v>37.489349999999995</v>
      </c>
      <c r="V3" s="250">
        <f>T3-U3</f>
        <v>24.992899999999992</v>
      </c>
    </row>
    <row r="4" spans="1:22" ht="19.2" customHeight="1" x14ac:dyDescent="0.3">
      <c r="A4" s="810"/>
      <c r="B4" s="566">
        <v>2</v>
      </c>
      <c r="C4" s="570"/>
      <c r="D4" s="571"/>
      <c r="E4" s="572"/>
      <c r="F4" s="257"/>
      <c r="G4" s="257"/>
      <c r="H4" s="272"/>
      <c r="I4" s="276">
        <v>67.5</v>
      </c>
      <c r="J4" s="242">
        <f t="shared" ref="J4:J18" si="2">I4*1.25</f>
        <v>84.375</v>
      </c>
      <c r="K4" s="243">
        <f t="shared" ref="K4:K18" si="3">I4*0.75</f>
        <v>50.625</v>
      </c>
      <c r="L4" s="277">
        <f t="shared" si="0"/>
        <v>33.75</v>
      </c>
      <c r="M4" s="4">
        <v>95476</v>
      </c>
      <c r="N4" s="812"/>
      <c r="O4" s="239">
        <v>2</v>
      </c>
      <c r="P4" s="240">
        <v>27044</v>
      </c>
      <c r="Q4" s="241">
        <v>7.5</v>
      </c>
      <c r="R4" s="241">
        <v>5.6</v>
      </c>
      <c r="S4" s="238">
        <f t="shared" si="1"/>
        <v>44.697199999999995</v>
      </c>
      <c r="T4" s="238">
        <f t="shared" ref="T4:T18" si="4">S4*1.25</f>
        <v>55.871499999999997</v>
      </c>
      <c r="U4" s="244">
        <f t="shared" ref="U4:U18" si="5">S4*0.75</f>
        <v>33.522899999999993</v>
      </c>
      <c r="V4" s="250">
        <f t="shared" ref="V4:V18" si="6">T4-U4</f>
        <v>22.348600000000005</v>
      </c>
    </row>
    <row r="5" spans="1:22" ht="19.2" customHeight="1" x14ac:dyDescent="0.3">
      <c r="A5" s="810"/>
      <c r="B5" s="566">
        <v>3</v>
      </c>
      <c r="C5" s="570"/>
      <c r="D5" s="571"/>
      <c r="E5" s="572"/>
      <c r="F5" s="257"/>
      <c r="G5" s="257"/>
      <c r="H5" s="272"/>
      <c r="I5" s="276">
        <v>64.2</v>
      </c>
      <c r="J5" s="242">
        <f t="shared" si="2"/>
        <v>80.25</v>
      </c>
      <c r="K5" s="243">
        <f t="shared" si="3"/>
        <v>48.150000000000006</v>
      </c>
      <c r="L5" s="277">
        <f t="shared" si="0"/>
        <v>32.099999999999994</v>
      </c>
      <c r="M5" s="4">
        <v>94612</v>
      </c>
      <c r="N5" s="812"/>
      <c r="O5" s="239">
        <v>3</v>
      </c>
      <c r="P5" s="240">
        <v>84735</v>
      </c>
      <c r="Q5" s="241">
        <v>8.6199999999999992</v>
      </c>
      <c r="R5" s="241">
        <v>7.47</v>
      </c>
      <c r="S5" s="238">
        <f t="shared" si="1"/>
        <v>54.899079999999998</v>
      </c>
      <c r="T5" s="238">
        <f t="shared" si="4"/>
        <v>68.623850000000004</v>
      </c>
      <c r="U5" s="244">
        <f t="shared" si="5"/>
        <v>41.174309999999998</v>
      </c>
      <c r="V5" s="250">
        <f t="shared" si="6"/>
        <v>27.449540000000006</v>
      </c>
    </row>
    <row r="6" spans="1:22" ht="19.2" customHeight="1" x14ac:dyDescent="0.3">
      <c r="A6" s="810"/>
      <c r="B6" s="566">
        <v>4</v>
      </c>
      <c r="C6" s="570"/>
      <c r="D6" s="571"/>
      <c r="E6" s="572"/>
      <c r="F6" s="257"/>
      <c r="G6" s="257"/>
      <c r="H6" s="272"/>
      <c r="I6" s="276">
        <v>69.7</v>
      </c>
      <c r="J6" s="242">
        <f t="shared" si="2"/>
        <v>87.125</v>
      </c>
      <c r="K6" s="243">
        <f t="shared" si="3"/>
        <v>52.275000000000006</v>
      </c>
      <c r="L6" s="277">
        <f t="shared" si="0"/>
        <v>34.849999999999994</v>
      </c>
      <c r="M6" s="4">
        <v>93446</v>
      </c>
      <c r="N6" s="812"/>
      <c r="O6" s="239">
        <v>4</v>
      </c>
      <c r="P6" s="240">
        <v>41723</v>
      </c>
      <c r="Q6" s="241">
        <v>8.85</v>
      </c>
      <c r="R6" s="241">
        <v>7.21</v>
      </c>
      <c r="S6" s="238">
        <f t="shared" si="1"/>
        <v>54.796719999999993</v>
      </c>
      <c r="T6" s="238">
        <f t="shared" si="4"/>
        <v>68.495899999999992</v>
      </c>
      <c r="U6" s="244">
        <f t="shared" si="5"/>
        <v>41.097539999999995</v>
      </c>
      <c r="V6" s="250">
        <f t="shared" si="6"/>
        <v>27.398359999999997</v>
      </c>
    </row>
    <row r="7" spans="1:22" ht="19.2" customHeight="1" x14ac:dyDescent="0.3">
      <c r="A7" s="810"/>
      <c r="B7" s="566">
        <v>5</v>
      </c>
      <c r="C7" s="570"/>
      <c r="D7" s="571"/>
      <c r="E7" s="572"/>
      <c r="F7" s="257"/>
      <c r="G7" s="257"/>
      <c r="H7" s="272"/>
      <c r="I7" s="276">
        <v>61.6</v>
      </c>
      <c r="J7" s="242">
        <f t="shared" si="2"/>
        <v>77</v>
      </c>
      <c r="K7" s="243">
        <f t="shared" si="3"/>
        <v>46.2</v>
      </c>
      <c r="L7" s="277">
        <f t="shared" si="0"/>
        <v>30.799999999999997</v>
      </c>
      <c r="M7" s="4">
        <v>93455</v>
      </c>
      <c r="N7" s="812"/>
      <c r="O7" s="239">
        <v>5</v>
      </c>
      <c r="P7" s="240">
        <v>11347</v>
      </c>
      <c r="Q7" s="241">
        <v>6.73</v>
      </c>
      <c r="R7" s="241">
        <v>10.64</v>
      </c>
      <c r="S7" s="238">
        <f t="shared" si="1"/>
        <v>59.266440000000003</v>
      </c>
      <c r="T7" s="238">
        <f t="shared" si="4"/>
        <v>74.08305</v>
      </c>
      <c r="U7" s="244">
        <f t="shared" si="5"/>
        <v>44.449830000000006</v>
      </c>
      <c r="V7" s="250">
        <f t="shared" si="6"/>
        <v>29.633219999999994</v>
      </c>
    </row>
    <row r="8" spans="1:22" ht="19.2" customHeight="1" x14ac:dyDescent="0.3">
      <c r="A8" s="810"/>
      <c r="B8" s="566">
        <v>6</v>
      </c>
      <c r="C8" s="570"/>
      <c r="D8" s="571"/>
      <c r="E8" s="572"/>
      <c r="F8" s="257"/>
      <c r="G8" s="257"/>
      <c r="H8" s="272"/>
      <c r="I8" s="276">
        <v>71</v>
      </c>
      <c r="J8" s="242">
        <f t="shared" si="2"/>
        <v>88.75</v>
      </c>
      <c r="K8" s="243">
        <f t="shared" si="3"/>
        <v>53.25</v>
      </c>
      <c r="L8" s="277">
        <f t="shared" si="0"/>
        <v>35.5</v>
      </c>
      <c r="M8" s="4">
        <v>93550</v>
      </c>
      <c r="N8" s="812"/>
      <c r="O8" s="239">
        <v>6</v>
      </c>
      <c r="P8" s="240">
        <v>59004</v>
      </c>
      <c r="Q8" s="241">
        <v>8.01</v>
      </c>
      <c r="R8" s="241">
        <v>3.98</v>
      </c>
      <c r="S8" s="238">
        <f t="shared" si="1"/>
        <v>40.909880000000001</v>
      </c>
      <c r="T8" s="238">
        <f t="shared" si="4"/>
        <v>51.137349999999998</v>
      </c>
      <c r="U8" s="244">
        <f t="shared" si="5"/>
        <v>30.682410000000001</v>
      </c>
      <c r="V8" s="250">
        <f t="shared" si="6"/>
        <v>20.454939999999997</v>
      </c>
    </row>
    <row r="9" spans="1:22" ht="19.2" customHeight="1" x14ac:dyDescent="0.3">
      <c r="A9" s="810"/>
      <c r="B9" s="566">
        <v>7</v>
      </c>
      <c r="C9" s="570"/>
      <c r="D9" s="571"/>
      <c r="E9" s="572"/>
      <c r="F9" s="257"/>
      <c r="G9" s="257"/>
      <c r="H9" s="272"/>
      <c r="I9" s="276">
        <v>66.900000000000006</v>
      </c>
      <c r="J9" s="242">
        <f t="shared" si="2"/>
        <v>83.625</v>
      </c>
      <c r="K9" s="243">
        <f t="shared" si="3"/>
        <v>50.175000000000004</v>
      </c>
      <c r="L9" s="277">
        <f t="shared" si="0"/>
        <v>33.449999999999996</v>
      </c>
      <c r="M9" s="4">
        <v>92101</v>
      </c>
      <c r="N9" s="812"/>
      <c r="O9" s="239">
        <v>7</v>
      </c>
      <c r="P9" s="240">
        <v>54999</v>
      </c>
      <c r="Q9" s="241">
        <v>10.61</v>
      </c>
      <c r="R9" s="241">
        <v>6.8</v>
      </c>
      <c r="S9" s="238">
        <f t="shared" si="1"/>
        <v>59.402920000000002</v>
      </c>
      <c r="T9" s="238">
        <f t="shared" si="4"/>
        <v>74.253650000000007</v>
      </c>
      <c r="U9" s="244">
        <f t="shared" si="5"/>
        <v>44.552190000000003</v>
      </c>
      <c r="V9" s="250">
        <f t="shared" si="6"/>
        <v>29.701460000000004</v>
      </c>
    </row>
    <row r="10" spans="1:22" ht="19.2" customHeight="1" x14ac:dyDescent="0.3">
      <c r="A10" s="810"/>
      <c r="B10" s="566">
        <v>8</v>
      </c>
      <c r="C10" s="570"/>
      <c r="D10" s="571"/>
      <c r="E10" s="572"/>
      <c r="F10" s="257"/>
      <c r="G10" s="257"/>
      <c r="H10" s="272"/>
      <c r="I10" s="276">
        <v>67.8</v>
      </c>
      <c r="J10" s="242">
        <f t="shared" si="2"/>
        <v>84.75</v>
      </c>
      <c r="K10" s="243">
        <f t="shared" si="3"/>
        <v>50.849999999999994</v>
      </c>
      <c r="L10" s="277">
        <f t="shared" si="0"/>
        <v>33.900000000000006</v>
      </c>
      <c r="M10" s="4">
        <v>92831</v>
      </c>
      <c r="N10" s="812"/>
      <c r="O10" s="239">
        <v>8</v>
      </c>
      <c r="P10" s="240">
        <v>86435</v>
      </c>
      <c r="Q10" s="241">
        <v>7.9</v>
      </c>
      <c r="R10" s="241">
        <v>3.79</v>
      </c>
      <c r="S10" s="238">
        <f t="shared" si="1"/>
        <v>39.886280000000006</v>
      </c>
      <c r="T10" s="238">
        <f t="shared" si="4"/>
        <v>49.857850000000006</v>
      </c>
      <c r="U10" s="244">
        <f t="shared" si="5"/>
        <v>29.914710000000007</v>
      </c>
      <c r="V10" s="250">
        <f t="shared" si="6"/>
        <v>19.94314</v>
      </c>
    </row>
    <row r="11" spans="1:22" ht="19.2" customHeight="1" x14ac:dyDescent="0.3">
      <c r="A11" s="810"/>
      <c r="B11" s="566">
        <v>9</v>
      </c>
      <c r="C11" s="570"/>
      <c r="D11" s="571"/>
      <c r="E11" s="572"/>
      <c r="F11" s="257"/>
      <c r="G11" s="257"/>
      <c r="H11" s="272"/>
      <c r="I11" s="276">
        <v>67.900000000000006</v>
      </c>
      <c r="J11" s="242">
        <f t="shared" si="2"/>
        <v>84.875</v>
      </c>
      <c r="K11" s="243">
        <f t="shared" si="3"/>
        <v>50.925000000000004</v>
      </c>
      <c r="L11" s="277">
        <f t="shared" si="0"/>
        <v>33.949999999999996</v>
      </c>
      <c r="M11" s="4">
        <v>91505</v>
      </c>
      <c r="N11" s="812"/>
      <c r="O11" s="239">
        <v>9</v>
      </c>
      <c r="P11" s="240">
        <v>113713</v>
      </c>
      <c r="Q11" s="241">
        <v>8.3000000000000007</v>
      </c>
      <c r="R11" s="241">
        <v>4.16</v>
      </c>
      <c r="S11" s="238">
        <f t="shared" si="1"/>
        <v>42.51352</v>
      </c>
      <c r="T11" s="238">
        <f t="shared" si="4"/>
        <v>53.1419</v>
      </c>
      <c r="U11" s="244">
        <f t="shared" si="5"/>
        <v>31.88514</v>
      </c>
      <c r="V11" s="250">
        <f t="shared" si="6"/>
        <v>21.25676</v>
      </c>
    </row>
    <row r="12" spans="1:22" ht="19.2" customHeight="1" x14ac:dyDescent="0.3">
      <c r="A12" s="810"/>
      <c r="B12" s="566">
        <v>10</v>
      </c>
      <c r="C12" s="570"/>
      <c r="D12" s="571"/>
      <c r="E12" s="572"/>
      <c r="F12" s="257"/>
      <c r="G12" s="257"/>
      <c r="H12" s="272"/>
      <c r="I12" s="276">
        <v>68.3</v>
      </c>
      <c r="J12" s="242">
        <f t="shared" si="2"/>
        <v>85.375</v>
      </c>
      <c r="K12" s="243">
        <f t="shared" si="3"/>
        <v>51.224999999999994</v>
      </c>
      <c r="L12" s="277">
        <f t="shared" si="0"/>
        <v>34.150000000000006</v>
      </c>
      <c r="M12" s="4">
        <v>92501</v>
      </c>
      <c r="N12" s="812"/>
      <c r="O12" s="239">
        <v>10</v>
      </c>
      <c r="P12" s="240">
        <v>79023</v>
      </c>
      <c r="Q12" s="241">
        <v>9.01</v>
      </c>
      <c r="R12" s="241">
        <v>4.25</v>
      </c>
      <c r="S12" s="238">
        <f t="shared" si="1"/>
        <v>45.243119999999998</v>
      </c>
      <c r="T12" s="238">
        <f t="shared" si="4"/>
        <v>56.553899999999999</v>
      </c>
      <c r="U12" s="244">
        <f t="shared" si="5"/>
        <v>33.932339999999996</v>
      </c>
      <c r="V12" s="250">
        <f t="shared" si="6"/>
        <v>22.621560000000002</v>
      </c>
    </row>
    <row r="13" spans="1:22" ht="19.2" customHeight="1" x14ac:dyDescent="0.3">
      <c r="A13" s="810"/>
      <c r="B13" s="566">
        <v>11</v>
      </c>
      <c r="C13" s="570"/>
      <c r="D13" s="571"/>
      <c r="E13" s="572"/>
      <c r="F13" s="257"/>
      <c r="G13" s="257"/>
      <c r="H13" s="272"/>
      <c r="I13" s="276">
        <v>70.5</v>
      </c>
      <c r="J13" s="242">
        <f t="shared" si="2"/>
        <v>88.125</v>
      </c>
      <c r="K13" s="243">
        <f t="shared" si="3"/>
        <v>52.875</v>
      </c>
      <c r="L13" s="277">
        <f t="shared" si="0"/>
        <v>35.25</v>
      </c>
      <c r="M13" s="4">
        <v>96080</v>
      </c>
      <c r="N13" s="812"/>
      <c r="O13" s="239">
        <v>11</v>
      </c>
      <c r="P13" s="240">
        <v>37485</v>
      </c>
      <c r="Q13" s="241">
        <v>11.12</v>
      </c>
      <c r="R13" s="241">
        <v>5.05</v>
      </c>
      <c r="S13" s="238">
        <f t="shared" si="1"/>
        <v>55.172039999999996</v>
      </c>
      <c r="T13" s="238">
        <f t="shared" si="4"/>
        <v>68.965049999999991</v>
      </c>
      <c r="U13" s="244">
        <f t="shared" si="5"/>
        <v>41.37903</v>
      </c>
      <c r="V13" s="250">
        <f t="shared" si="6"/>
        <v>27.586019999999991</v>
      </c>
    </row>
    <row r="14" spans="1:22" ht="19.2" customHeight="1" x14ac:dyDescent="0.3">
      <c r="A14" s="810"/>
      <c r="B14" s="566">
        <v>12</v>
      </c>
      <c r="C14" s="570"/>
      <c r="D14" s="571"/>
      <c r="E14" s="572"/>
      <c r="F14" s="257"/>
      <c r="G14" s="257"/>
      <c r="H14" s="272"/>
      <c r="I14" s="276">
        <v>69.8</v>
      </c>
      <c r="J14" s="242">
        <f t="shared" si="2"/>
        <v>87.25</v>
      </c>
      <c r="K14" s="243">
        <f t="shared" si="3"/>
        <v>52.349999999999994</v>
      </c>
      <c r="L14" s="277">
        <f t="shared" si="0"/>
        <v>34.900000000000006</v>
      </c>
      <c r="M14" s="4">
        <v>95814</v>
      </c>
      <c r="N14" s="812"/>
      <c r="O14" s="239">
        <v>12</v>
      </c>
      <c r="P14" s="240">
        <v>150207</v>
      </c>
      <c r="Q14" s="241">
        <v>10.53</v>
      </c>
      <c r="R14" s="241">
        <v>5.82</v>
      </c>
      <c r="S14" s="238">
        <f t="shared" si="1"/>
        <v>55.786200000000001</v>
      </c>
      <c r="T14" s="238">
        <f t="shared" si="4"/>
        <v>69.732749999999996</v>
      </c>
      <c r="U14" s="244">
        <f t="shared" si="5"/>
        <v>41.839649999999999</v>
      </c>
      <c r="V14" s="250">
        <f t="shared" si="6"/>
        <v>27.893099999999997</v>
      </c>
    </row>
    <row r="15" spans="1:22" ht="19.2" customHeight="1" x14ac:dyDescent="0.3">
      <c r="A15" s="810"/>
      <c r="B15" s="566">
        <v>13</v>
      </c>
      <c r="C15" s="570"/>
      <c r="D15" s="571"/>
      <c r="E15" s="572"/>
      <c r="F15" s="257"/>
      <c r="G15" s="257"/>
      <c r="H15" s="272"/>
      <c r="I15" s="276">
        <v>70.2</v>
      </c>
      <c r="J15" s="242">
        <f t="shared" si="2"/>
        <v>87.75</v>
      </c>
      <c r="K15" s="243">
        <f t="shared" si="3"/>
        <v>52.650000000000006</v>
      </c>
      <c r="L15" s="277">
        <f t="shared" si="0"/>
        <v>35.099999999999994</v>
      </c>
      <c r="M15" s="4">
        <v>93721</v>
      </c>
      <c r="N15" s="812"/>
      <c r="O15" s="239">
        <v>13</v>
      </c>
      <c r="P15" s="240">
        <v>50089</v>
      </c>
      <c r="Q15" s="241">
        <v>10.6</v>
      </c>
      <c r="R15" s="241">
        <v>4.34</v>
      </c>
      <c r="S15" s="238">
        <f t="shared" si="1"/>
        <v>50.975279999999998</v>
      </c>
      <c r="T15" s="238">
        <f t="shared" si="4"/>
        <v>63.719099999999997</v>
      </c>
      <c r="U15" s="244">
        <f t="shared" si="5"/>
        <v>38.231459999999998</v>
      </c>
      <c r="V15" s="250">
        <f t="shared" si="6"/>
        <v>25.487639999999999</v>
      </c>
    </row>
    <row r="16" spans="1:22" ht="19.2" customHeight="1" x14ac:dyDescent="0.3">
      <c r="A16" s="810"/>
      <c r="B16" s="566">
        <v>14</v>
      </c>
      <c r="C16" s="570"/>
      <c r="D16" s="571"/>
      <c r="E16" s="572"/>
      <c r="F16" s="257"/>
      <c r="G16" s="257"/>
      <c r="H16" s="272"/>
      <c r="I16" s="276">
        <v>71</v>
      </c>
      <c r="J16" s="242">
        <f t="shared" si="2"/>
        <v>88.75</v>
      </c>
      <c r="K16" s="243">
        <f t="shared" si="3"/>
        <v>53.25</v>
      </c>
      <c r="L16" s="277">
        <f t="shared" si="0"/>
        <v>35.5</v>
      </c>
      <c r="M16">
        <v>93550</v>
      </c>
      <c r="N16" s="812"/>
      <c r="O16" s="239">
        <v>14</v>
      </c>
      <c r="P16" s="240">
        <v>17716</v>
      </c>
      <c r="Q16" s="241">
        <v>7.65</v>
      </c>
      <c r="R16" s="241">
        <v>3.93</v>
      </c>
      <c r="S16" s="238">
        <f t="shared" si="1"/>
        <v>39.510959999999997</v>
      </c>
      <c r="T16" s="238">
        <f t="shared" si="4"/>
        <v>49.3887</v>
      </c>
      <c r="U16" s="244">
        <f t="shared" si="5"/>
        <v>29.633219999999998</v>
      </c>
      <c r="V16" s="250">
        <f t="shared" si="6"/>
        <v>19.755480000000002</v>
      </c>
    </row>
    <row r="17" spans="1:22" ht="19.2" customHeight="1" x14ac:dyDescent="0.3">
      <c r="A17" s="810"/>
      <c r="B17" s="566">
        <v>15</v>
      </c>
      <c r="C17" s="570"/>
      <c r="D17" s="571"/>
      <c r="E17" s="572"/>
      <c r="F17" s="257"/>
      <c r="G17" s="257"/>
      <c r="H17" s="242"/>
      <c r="I17" s="276">
        <v>69.7</v>
      </c>
      <c r="J17" s="242">
        <f t="shared" si="2"/>
        <v>87.125</v>
      </c>
      <c r="K17" s="243">
        <f t="shared" si="3"/>
        <v>52.275000000000006</v>
      </c>
      <c r="L17" s="277">
        <f t="shared" si="0"/>
        <v>34.849999999999994</v>
      </c>
      <c r="M17" s="4">
        <v>92262</v>
      </c>
      <c r="N17" s="812"/>
      <c r="O17" s="239">
        <v>15</v>
      </c>
      <c r="P17" s="240">
        <v>41833</v>
      </c>
      <c r="Q17" s="241">
        <v>9</v>
      </c>
      <c r="R17" s="241">
        <v>2.08</v>
      </c>
      <c r="S17" s="238">
        <f t="shared" si="1"/>
        <v>37.804960000000001</v>
      </c>
      <c r="T17" s="238">
        <f t="shared" si="4"/>
        <v>47.2562</v>
      </c>
      <c r="U17" s="244">
        <f t="shared" si="5"/>
        <v>28.353720000000003</v>
      </c>
      <c r="V17" s="250">
        <f t="shared" si="6"/>
        <v>18.902479999999997</v>
      </c>
    </row>
    <row r="18" spans="1:22" ht="19.2" customHeight="1" x14ac:dyDescent="0.3">
      <c r="A18" s="811"/>
      <c r="B18" s="573">
        <v>16</v>
      </c>
      <c r="C18" s="574"/>
      <c r="D18" s="575"/>
      <c r="E18" s="576"/>
      <c r="F18" s="260"/>
      <c r="G18" s="260"/>
      <c r="H18" s="261"/>
      <c r="I18" s="278">
        <v>72.5</v>
      </c>
      <c r="J18" s="279">
        <f t="shared" si="2"/>
        <v>90.625</v>
      </c>
      <c r="K18" s="280">
        <f t="shared" si="3"/>
        <v>54.375</v>
      </c>
      <c r="L18" s="281">
        <f t="shared" si="0"/>
        <v>36.25</v>
      </c>
      <c r="M18" s="4">
        <v>95715</v>
      </c>
      <c r="N18" s="813"/>
      <c r="O18" s="251">
        <v>16</v>
      </c>
      <c r="P18" s="252">
        <v>74950</v>
      </c>
      <c r="Q18" s="253">
        <v>9.33</v>
      </c>
      <c r="R18" s="253">
        <v>4.53</v>
      </c>
      <c r="S18" s="254">
        <f t="shared" si="1"/>
        <v>47.290319999999994</v>
      </c>
      <c r="T18" s="254">
        <f t="shared" si="4"/>
        <v>59.112899999999996</v>
      </c>
      <c r="U18" s="255">
        <f t="shared" si="5"/>
        <v>35.467739999999992</v>
      </c>
      <c r="V18" s="256">
        <f t="shared" si="6"/>
        <v>23.645160000000004</v>
      </c>
    </row>
    <row r="20" spans="1:22" ht="13.2" x14ac:dyDescent="0.25">
      <c r="N20" s="4" t="s">
        <v>511</v>
      </c>
    </row>
    <row r="21" spans="1:22" ht="13.2" x14ac:dyDescent="0.25">
      <c r="N21" s="4" t="s">
        <v>512</v>
      </c>
    </row>
    <row r="24" spans="1:22" ht="12.75" customHeight="1" x14ac:dyDescent="0.3">
      <c r="I24" s="263"/>
    </row>
    <row r="25" spans="1:22" ht="12.75" customHeight="1" x14ac:dyDescent="0.3">
      <c r="I25" s="263"/>
    </row>
    <row r="26" spans="1:22" ht="12.75" customHeight="1" x14ac:dyDescent="0.3">
      <c r="I26" s="263"/>
    </row>
    <row r="27" spans="1:22" ht="12.75" customHeight="1" x14ac:dyDescent="0.3">
      <c r="I27" s="263"/>
    </row>
    <row r="28" spans="1:22" ht="12.75" customHeight="1" x14ac:dyDescent="0.3">
      <c r="I28" s="263"/>
    </row>
    <row r="29" spans="1:22" ht="12.75" customHeight="1" x14ac:dyDescent="0.3">
      <c r="I29" s="263"/>
    </row>
    <row r="30" spans="1:22" ht="12.75" customHeight="1" x14ac:dyDescent="0.3">
      <c r="I30" s="263"/>
    </row>
    <row r="31" spans="1:22" ht="12.75" customHeight="1" x14ac:dyDescent="0.3">
      <c r="I31" s="263"/>
    </row>
    <row r="32" spans="1:22" ht="12.75" customHeight="1" x14ac:dyDescent="0.3">
      <c r="I32" s="263"/>
    </row>
    <row r="33" spans="9:9" ht="12.75" customHeight="1" x14ac:dyDescent="0.3">
      <c r="I33" s="263"/>
    </row>
    <row r="34" spans="9:9" ht="12.75" customHeight="1" x14ac:dyDescent="0.3">
      <c r="I34" s="263"/>
    </row>
    <row r="35" spans="9:9" ht="12.75" customHeight="1" x14ac:dyDescent="0.3">
      <c r="I35" s="263"/>
    </row>
    <row r="36" spans="9:9" ht="12.75" customHeight="1" x14ac:dyDescent="0.3">
      <c r="I36" s="263"/>
    </row>
    <row r="37" spans="9:9" ht="12.75" customHeight="1" x14ac:dyDescent="0.3">
      <c r="I37" s="263"/>
    </row>
    <row r="38" spans="9:9" ht="12.75" customHeight="1" x14ac:dyDescent="0.3">
      <c r="I38" s="263"/>
    </row>
    <row r="39" spans="9:9" ht="12.75" customHeight="1" x14ac:dyDescent="0.3">
      <c r="I39" s="263"/>
    </row>
  </sheetData>
  <mergeCells count="5">
    <mergeCell ref="N1:U1"/>
    <mergeCell ref="A3:A18"/>
    <mergeCell ref="N3:N18"/>
    <mergeCell ref="I1:L1"/>
    <mergeCell ref="A1:H1"/>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BB9E4-8E7A-41B8-B067-A47E2307C7E6}">
  <sheetPr codeName="Sheet22"/>
  <dimension ref="A1:BC34"/>
  <sheetViews>
    <sheetView zoomScaleNormal="70" workbookViewId="0">
      <selection sqref="A1:H1"/>
    </sheetView>
  </sheetViews>
  <sheetFormatPr defaultColWidth="8.6640625" defaultRowHeight="13.2" x14ac:dyDescent="0.25"/>
  <cols>
    <col min="1" max="1" width="21" style="4" customWidth="1"/>
    <col min="2" max="2" width="14.33203125" style="4" customWidth="1"/>
    <col min="3" max="3" width="14.5546875" style="4" customWidth="1"/>
    <col min="4" max="8" width="8.6640625" style="4"/>
    <col min="9" max="9" width="13.6640625" style="4" customWidth="1"/>
    <col min="10" max="10" width="14.44140625" style="4" customWidth="1"/>
    <col min="11" max="16384" width="8.6640625" style="4"/>
  </cols>
  <sheetData>
    <row r="1" spans="1:55" ht="15.6" x14ac:dyDescent="0.25">
      <c r="A1" s="615" t="s">
        <v>513</v>
      </c>
      <c r="B1" s="615"/>
      <c r="C1" s="615"/>
      <c r="D1" s="615"/>
      <c r="E1" s="615"/>
      <c r="F1" s="615"/>
      <c r="G1" s="615"/>
      <c r="H1" s="615"/>
    </row>
    <row r="2" spans="1:55" x14ac:dyDescent="0.25">
      <c r="B2" s="80"/>
      <c r="C2" s="81"/>
      <c r="D2" s="82"/>
      <c r="E2" s="82"/>
    </row>
    <row r="3" spans="1:55" x14ac:dyDescent="0.25">
      <c r="A3" s="542" t="s">
        <v>514</v>
      </c>
      <c r="B3" s="577"/>
      <c r="C3" s="502"/>
      <c r="D3" s="83"/>
      <c r="E3" s="83"/>
    </row>
    <row r="11" spans="1:55" s="24" customFormat="1" hidden="1" x14ac:dyDescent="0.25">
      <c r="A11" s="24" t="s">
        <v>115</v>
      </c>
      <c r="E11" s="25"/>
      <c r="F11" s="26"/>
      <c r="G11" s="27"/>
    </row>
    <row r="12" spans="1:55" hidden="1" x14ac:dyDescent="0.25"/>
    <row r="13" spans="1:55" hidden="1" x14ac:dyDescent="0.25"/>
    <row r="14" spans="1:55" s="85" customFormat="1" ht="13.8" hidden="1" thickBot="1" x14ac:dyDescent="0.3">
      <c r="A14" s="84" t="s">
        <v>515</v>
      </c>
      <c r="K14" s="85" t="s">
        <v>516</v>
      </c>
    </row>
    <row r="15" spans="1:55" ht="13.8" hidden="1" thickBot="1" x14ac:dyDescent="0.3">
      <c r="A15" s="5"/>
      <c r="B15" s="5"/>
      <c r="C15" s="5"/>
      <c r="D15" s="819" t="s">
        <v>517</v>
      </c>
      <c r="E15" s="820"/>
      <c r="F15" s="821"/>
      <c r="I15" s="79"/>
      <c r="J15" s="86"/>
      <c r="K15" s="816" t="s">
        <v>518</v>
      </c>
      <c r="L15" s="817"/>
      <c r="M15" s="817"/>
      <c r="N15" s="817"/>
      <c r="O15" s="817"/>
      <c r="P15" s="817"/>
      <c r="Q15" s="817"/>
      <c r="R15" s="817"/>
      <c r="S15" s="818"/>
      <c r="T15" s="817" t="s">
        <v>519</v>
      </c>
      <c r="U15" s="817"/>
      <c r="V15" s="817"/>
      <c r="W15" s="817"/>
      <c r="X15" s="817"/>
      <c r="Y15" s="817"/>
      <c r="Z15" s="817"/>
      <c r="AA15" s="817"/>
      <c r="AB15" s="818"/>
      <c r="AC15" s="816" t="s">
        <v>520</v>
      </c>
      <c r="AD15" s="817"/>
      <c r="AE15" s="817"/>
      <c r="AF15" s="817"/>
      <c r="AG15" s="817"/>
      <c r="AH15" s="817"/>
      <c r="AI15" s="817"/>
      <c r="AJ15" s="817"/>
      <c r="AK15" s="818"/>
      <c r="AL15" s="816" t="s">
        <v>521</v>
      </c>
      <c r="AM15" s="817"/>
      <c r="AN15" s="817"/>
      <c r="AO15" s="817"/>
      <c r="AP15" s="817"/>
      <c r="AQ15" s="817"/>
      <c r="AR15" s="817"/>
      <c r="AS15" s="817"/>
      <c r="AT15" s="818"/>
      <c r="AU15" s="816" t="s">
        <v>522</v>
      </c>
      <c r="AV15" s="817"/>
      <c r="AW15" s="817"/>
      <c r="AX15" s="817"/>
      <c r="AY15" s="817"/>
      <c r="AZ15" s="817"/>
      <c r="BA15" s="817"/>
      <c r="BB15" s="817"/>
      <c r="BC15" s="818"/>
    </row>
    <row r="16" spans="1:55" ht="39.6" hidden="1" x14ac:dyDescent="0.25">
      <c r="A16" s="42" t="s">
        <v>523</v>
      </c>
      <c r="B16" s="42" t="s">
        <v>524</v>
      </c>
      <c r="C16" s="43" t="s">
        <v>84</v>
      </c>
      <c r="D16" s="87" t="s">
        <v>525</v>
      </c>
      <c r="E16" s="87" t="s">
        <v>144</v>
      </c>
      <c r="F16" s="87" t="s">
        <v>185</v>
      </c>
      <c r="I16" s="88" t="s">
        <v>524</v>
      </c>
      <c r="J16" s="89" t="s">
        <v>84</v>
      </c>
      <c r="K16" s="90" t="s">
        <v>526</v>
      </c>
      <c r="L16" s="91" t="s">
        <v>527</v>
      </c>
      <c r="M16" s="91" t="s">
        <v>528</v>
      </c>
      <c r="N16" s="91" t="s">
        <v>529</v>
      </c>
      <c r="O16" s="91" t="s">
        <v>530</v>
      </c>
      <c r="P16" s="91" t="s">
        <v>531</v>
      </c>
      <c r="Q16" s="91" t="s">
        <v>532</v>
      </c>
      <c r="R16" s="91" t="s">
        <v>533</v>
      </c>
      <c r="S16" s="92" t="s">
        <v>534</v>
      </c>
      <c r="T16" s="93" t="s">
        <v>526</v>
      </c>
      <c r="U16" s="91" t="s">
        <v>527</v>
      </c>
      <c r="V16" s="91" t="s">
        <v>528</v>
      </c>
      <c r="W16" s="91" t="s">
        <v>529</v>
      </c>
      <c r="X16" s="91" t="s">
        <v>530</v>
      </c>
      <c r="Y16" s="91" t="s">
        <v>531</v>
      </c>
      <c r="Z16" s="91" t="s">
        <v>532</v>
      </c>
      <c r="AA16" s="91" t="s">
        <v>533</v>
      </c>
      <c r="AB16" s="91" t="s">
        <v>535</v>
      </c>
      <c r="AC16" s="91" t="s">
        <v>526</v>
      </c>
      <c r="AD16" s="91" t="s">
        <v>527</v>
      </c>
      <c r="AE16" s="91" t="s">
        <v>528</v>
      </c>
      <c r="AF16" s="91" t="s">
        <v>529</v>
      </c>
      <c r="AG16" s="91" t="s">
        <v>530</v>
      </c>
      <c r="AH16" s="91" t="s">
        <v>531</v>
      </c>
      <c r="AI16" s="91" t="s">
        <v>532</v>
      </c>
      <c r="AJ16" s="91" t="s">
        <v>533</v>
      </c>
      <c r="AK16" s="91" t="s">
        <v>536</v>
      </c>
      <c r="AL16" s="91" t="s">
        <v>526</v>
      </c>
      <c r="AM16" s="91" t="s">
        <v>527</v>
      </c>
      <c r="AN16" s="91" t="s">
        <v>528</v>
      </c>
      <c r="AO16" s="91" t="s">
        <v>529</v>
      </c>
      <c r="AP16" s="91" t="s">
        <v>530</v>
      </c>
      <c r="AQ16" s="91" t="s">
        <v>531</v>
      </c>
      <c r="AR16" s="91" t="s">
        <v>532</v>
      </c>
      <c r="AS16" s="91" t="s">
        <v>533</v>
      </c>
      <c r="AT16" s="91" t="s">
        <v>537</v>
      </c>
      <c r="AU16" s="91" t="s">
        <v>526</v>
      </c>
      <c r="AV16" s="91" t="s">
        <v>527</v>
      </c>
      <c r="AW16" s="91" t="s">
        <v>528</v>
      </c>
      <c r="AX16" s="91" t="s">
        <v>529</v>
      </c>
      <c r="AY16" s="91" t="s">
        <v>530</v>
      </c>
      <c r="AZ16" s="91" t="s">
        <v>531</v>
      </c>
      <c r="BA16" s="91" t="s">
        <v>532</v>
      </c>
      <c r="BB16" s="91" t="s">
        <v>533</v>
      </c>
      <c r="BC16" s="91" t="s">
        <v>185</v>
      </c>
    </row>
    <row r="17" spans="1:55" hidden="1" x14ac:dyDescent="0.25">
      <c r="A17" s="578" t="s">
        <v>538</v>
      </c>
      <c r="B17" s="579" t="s">
        <v>539</v>
      </c>
      <c r="C17" s="44" t="s">
        <v>540</v>
      </c>
      <c r="D17" s="46">
        <v>0.91629083545529211</v>
      </c>
      <c r="E17" s="45">
        <v>8.3709164544707934E-2</v>
      </c>
      <c r="F17" s="47">
        <v>1</v>
      </c>
      <c r="I17" s="579" t="s">
        <v>539</v>
      </c>
      <c r="J17" s="44" t="s">
        <v>540</v>
      </c>
      <c r="K17" s="94">
        <v>234.63109419938075</v>
      </c>
      <c r="L17" s="95">
        <v>257.26071009531398</v>
      </c>
      <c r="M17" s="95">
        <v>0</v>
      </c>
      <c r="N17" s="95">
        <v>514.26458157647869</v>
      </c>
      <c r="O17" s="95">
        <v>0</v>
      </c>
      <c r="P17" s="95">
        <v>22.221663997801063</v>
      </c>
      <c r="Q17" s="95">
        <v>197.98307335443729</v>
      </c>
      <c r="R17" s="95">
        <v>0</v>
      </c>
      <c r="S17" s="96">
        <v>1226.3611232234116</v>
      </c>
      <c r="T17" s="94">
        <v>108.94502133589977</v>
      </c>
      <c r="U17" s="95">
        <v>831.31991634954227</v>
      </c>
      <c r="V17" s="95">
        <v>0</v>
      </c>
      <c r="W17" s="95">
        <v>1332.4399257375558</v>
      </c>
      <c r="X17" s="95">
        <v>101.16411121740421</v>
      </c>
      <c r="Y17" s="95">
        <v>78.502372667385458</v>
      </c>
      <c r="Z17" s="95">
        <v>360.40603758226268</v>
      </c>
      <c r="AA17" s="95">
        <v>0</v>
      </c>
      <c r="AB17" s="96">
        <v>2812.7773848900501</v>
      </c>
      <c r="AC17" s="94">
        <v>21.375883128638311</v>
      </c>
      <c r="AD17" s="95">
        <v>0</v>
      </c>
      <c r="AE17" s="95">
        <v>0</v>
      </c>
      <c r="AF17" s="95">
        <v>15.713800739862089</v>
      </c>
      <c r="AG17" s="95">
        <v>0</v>
      </c>
      <c r="AH17" s="95">
        <v>0</v>
      </c>
      <c r="AI17" s="95">
        <v>0</v>
      </c>
      <c r="AJ17" s="95">
        <v>0</v>
      </c>
      <c r="AK17" s="96">
        <v>37.089683868500401</v>
      </c>
      <c r="AL17" s="94">
        <v>56.949890324869315</v>
      </c>
      <c r="AM17" s="95">
        <v>42.147584318104094</v>
      </c>
      <c r="AN17" s="95">
        <v>0</v>
      </c>
      <c r="AO17" s="95">
        <v>212.11012713552492</v>
      </c>
      <c r="AP17" s="95">
        <v>0</v>
      </c>
      <c r="AQ17" s="95">
        <v>25.7419607619861</v>
      </c>
      <c r="AR17" s="95">
        <v>0</v>
      </c>
      <c r="AS17" s="95">
        <v>0</v>
      </c>
      <c r="AT17" s="96">
        <v>336.94956254048441</v>
      </c>
      <c r="AU17" s="94">
        <v>421.90188898878813</v>
      </c>
      <c r="AV17" s="95">
        <v>1130.7282107629603</v>
      </c>
      <c r="AW17" s="95">
        <v>0</v>
      </c>
      <c r="AX17" s="95">
        <v>2074.5284351894215</v>
      </c>
      <c r="AY17" s="95">
        <v>101.16411121740421</v>
      </c>
      <c r="AZ17" s="95">
        <v>126.46599742717262</v>
      </c>
      <c r="BA17" s="95">
        <v>558.38911093670004</v>
      </c>
      <c r="BB17" s="95">
        <v>0</v>
      </c>
      <c r="BC17" s="96">
        <v>4413.1777545224468</v>
      </c>
    </row>
    <row r="18" spans="1:55" hidden="1" x14ac:dyDescent="0.25">
      <c r="A18" s="578" t="s">
        <v>538</v>
      </c>
      <c r="B18" s="579" t="s">
        <v>541</v>
      </c>
      <c r="C18" s="44" t="s">
        <v>540</v>
      </c>
      <c r="D18" s="46">
        <v>0.88474891999606764</v>
      </c>
      <c r="E18" s="45">
        <v>0.11525108000393226</v>
      </c>
      <c r="F18" s="47">
        <v>1</v>
      </c>
      <c r="I18" s="579" t="s">
        <v>541</v>
      </c>
      <c r="J18" s="44" t="s">
        <v>540</v>
      </c>
      <c r="K18" s="94">
        <v>0</v>
      </c>
      <c r="L18" s="95">
        <v>0</v>
      </c>
      <c r="M18" s="95">
        <v>0</v>
      </c>
      <c r="N18" s="95">
        <v>92.114773643401861</v>
      </c>
      <c r="O18" s="95">
        <v>0</v>
      </c>
      <c r="P18" s="95">
        <v>0</v>
      </c>
      <c r="Q18" s="95">
        <v>5.6273316566652944</v>
      </c>
      <c r="R18" s="95">
        <v>0</v>
      </c>
      <c r="S18" s="96">
        <v>97.742105300067152</v>
      </c>
      <c r="T18" s="94">
        <v>0</v>
      </c>
      <c r="U18" s="95">
        <v>290.15374486882479</v>
      </c>
      <c r="V18" s="95">
        <v>0</v>
      </c>
      <c r="W18" s="95">
        <v>73.027736781594768</v>
      </c>
      <c r="X18" s="95">
        <v>95.664638163310002</v>
      </c>
      <c r="Y18" s="95">
        <v>65.739866280452532</v>
      </c>
      <c r="Z18" s="95">
        <v>24.342578927198254</v>
      </c>
      <c r="AA18" s="95">
        <v>0</v>
      </c>
      <c r="AB18" s="96">
        <v>548.92856502138034</v>
      </c>
      <c r="AC18" s="94">
        <v>0</v>
      </c>
      <c r="AD18" s="95">
        <v>0</v>
      </c>
      <c r="AE18" s="95">
        <v>0</v>
      </c>
      <c r="AF18" s="95">
        <v>0</v>
      </c>
      <c r="AG18" s="95">
        <v>0</v>
      </c>
      <c r="AH18" s="95">
        <v>0</v>
      </c>
      <c r="AI18" s="95">
        <v>0</v>
      </c>
      <c r="AJ18" s="95">
        <v>0</v>
      </c>
      <c r="AK18" s="96">
        <v>0</v>
      </c>
      <c r="AL18" s="94">
        <v>0</v>
      </c>
      <c r="AM18" s="95">
        <v>0</v>
      </c>
      <c r="AN18" s="95">
        <v>0</v>
      </c>
      <c r="AO18" s="95">
        <v>27.974784997679031</v>
      </c>
      <c r="AP18" s="95">
        <v>0</v>
      </c>
      <c r="AQ18" s="95">
        <v>24.342578927198254</v>
      </c>
      <c r="AR18" s="95">
        <v>0</v>
      </c>
      <c r="AS18" s="95">
        <v>0</v>
      </c>
      <c r="AT18" s="96">
        <v>52.317363924877284</v>
      </c>
      <c r="AU18" s="94">
        <v>0</v>
      </c>
      <c r="AV18" s="95">
        <v>290.15374486882479</v>
      </c>
      <c r="AW18" s="95">
        <v>0</v>
      </c>
      <c r="AX18" s="95">
        <v>193.11729542267565</v>
      </c>
      <c r="AY18" s="95">
        <v>95.664638163310002</v>
      </c>
      <c r="AZ18" s="95">
        <v>90.082445207650778</v>
      </c>
      <c r="BA18" s="95">
        <v>29.969910583863548</v>
      </c>
      <c r="BB18" s="95">
        <v>0</v>
      </c>
      <c r="BC18" s="96">
        <v>698.98803424632479</v>
      </c>
    </row>
    <row r="19" spans="1:55" hidden="1" x14ac:dyDescent="0.25">
      <c r="A19" s="578" t="s">
        <v>538</v>
      </c>
      <c r="B19" s="579" t="s">
        <v>542</v>
      </c>
      <c r="C19" s="44" t="s">
        <v>540</v>
      </c>
      <c r="D19" s="46">
        <v>0.87664054902524069</v>
      </c>
      <c r="E19" s="45">
        <v>0.12335945097475935</v>
      </c>
      <c r="F19" s="47">
        <v>1</v>
      </c>
      <c r="I19" s="579" t="s">
        <v>542</v>
      </c>
      <c r="J19" s="44" t="s">
        <v>540</v>
      </c>
      <c r="K19" s="94">
        <v>0</v>
      </c>
      <c r="L19" s="95">
        <v>0</v>
      </c>
      <c r="M19" s="95">
        <v>0</v>
      </c>
      <c r="N19" s="95">
        <v>0</v>
      </c>
      <c r="O19" s="95">
        <v>0</v>
      </c>
      <c r="P19" s="95">
        <v>21.013652175205049</v>
      </c>
      <c r="Q19" s="95">
        <v>0</v>
      </c>
      <c r="R19" s="95">
        <v>0</v>
      </c>
      <c r="S19" s="96">
        <v>21.013652175205049</v>
      </c>
      <c r="T19" s="94">
        <v>0</v>
      </c>
      <c r="U19" s="95">
        <v>189.12286957684543</v>
      </c>
      <c r="V19" s="95">
        <v>0</v>
      </c>
      <c r="W19" s="95">
        <v>21.156124021741039</v>
      </c>
      <c r="X19" s="95">
        <v>0</v>
      </c>
      <c r="Y19" s="95">
        <v>0</v>
      </c>
      <c r="Z19" s="95">
        <v>0</v>
      </c>
      <c r="AA19" s="95">
        <v>0</v>
      </c>
      <c r="AB19" s="96">
        <v>210.27899359858648</v>
      </c>
      <c r="AC19" s="94">
        <v>0</v>
      </c>
      <c r="AD19" s="95">
        <v>0</v>
      </c>
      <c r="AE19" s="95">
        <v>0</v>
      </c>
      <c r="AF19" s="95">
        <v>0</v>
      </c>
      <c r="AG19" s="95">
        <v>0</v>
      </c>
      <c r="AH19" s="95">
        <v>0</v>
      </c>
      <c r="AI19" s="95">
        <v>0</v>
      </c>
      <c r="AJ19" s="95">
        <v>0</v>
      </c>
      <c r="AK19" s="96">
        <v>0</v>
      </c>
      <c r="AL19" s="94">
        <v>0</v>
      </c>
      <c r="AM19" s="95">
        <v>0</v>
      </c>
      <c r="AN19" s="95">
        <v>0</v>
      </c>
      <c r="AO19" s="95">
        <v>0</v>
      </c>
      <c r="AP19" s="95">
        <v>0</v>
      </c>
      <c r="AQ19" s="95">
        <v>0</v>
      </c>
      <c r="AR19" s="95">
        <v>0</v>
      </c>
      <c r="AS19" s="95">
        <v>0</v>
      </c>
      <c r="AT19" s="96">
        <v>0</v>
      </c>
      <c r="AU19" s="94">
        <v>0</v>
      </c>
      <c r="AV19" s="95">
        <v>189.12286957684543</v>
      </c>
      <c r="AW19" s="95">
        <v>0</v>
      </c>
      <c r="AX19" s="95">
        <v>21.156124021741039</v>
      </c>
      <c r="AY19" s="95">
        <v>0</v>
      </c>
      <c r="AZ19" s="95">
        <v>21.013652175205049</v>
      </c>
      <c r="BA19" s="95">
        <v>0</v>
      </c>
      <c r="BB19" s="95">
        <v>0</v>
      </c>
      <c r="BC19" s="96">
        <v>231.29264577379152</v>
      </c>
    </row>
    <row r="20" spans="1:55" hidden="1" x14ac:dyDescent="0.25">
      <c r="A20" s="578" t="s">
        <v>538</v>
      </c>
      <c r="B20" s="579" t="s">
        <v>543</v>
      </c>
      <c r="C20" s="44" t="s">
        <v>540</v>
      </c>
      <c r="D20" s="46">
        <v>0.93389783863693032</v>
      </c>
      <c r="E20" s="45">
        <v>6.6102161363069678E-2</v>
      </c>
      <c r="F20" s="47">
        <v>1</v>
      </c>
      <c r="I20" s="579" t="s">
        <v>543</v>
      </c>
      <c r="J20" s="44" t="s">
        <v>540</v>
      </c>
      <c r="K20" s="94">
        <v>0</v>
      </c>
      <c r="L20" s="95">
        <v>78.750981979029874</v>
      </c>
      <c r="M20" s="95">
        <v>0</v>
      </c>
      <c r="N20" s="95">
        <v>0</v>
      </c>
      <c r="O20" s="95">
        <v>0</v>
      </c>
      <c r="P20" s="95">
        <v>0</v>
      </c>
      <c r="Q20" s="95">
        <v>0</v>
      </c>
      <c r="R20" s="95">
        <v>0</v>
      </c>
      <c r="S20" s="96">
        <v>78.750981979029874</v>
      </c>
      <c r="T20" s="94">
        <v>0</v>
      </c>
      <c r="U20" s="95">
        <v>0</v>
      </c>
      <c r="V20" s="95">
        <v>0</v>
      </c>
      <c r="W20" s="95">
        <v>0</v>
      </c>
      <c r="X20" s="95">
        <v>0</v>
      </c>
      <c r="Y20" s="95">
        <v>0</v>
      </c>
      <c r="Z20" s="95">
        <v>0</v>
      </c>
      <c r="AA20" s="95">
        <v>0</v>
      </c>
      <c r="AB20" s="96">
        <v>0</v>
      </c>
      <c r="AC20" s="94">
        <v>0</v>
      </c>
      <c r="AD20" s="95">
        <v>0</v>
      </c>
      <c r="AE20" s="95">
        <v>0</v>
      </c>
      <c r="AF20" s="95">
        <v>0</v>
      </c>
      <c r="AG20" s="95">
        <v>0</v>
      </c>
      <c r="AH20" s="95">
        <v>0</v>
      </c>
      <c r="AI20" s="95">
        <v>0</v>
      </c>
      <c r="AJ20" s="95">
        <v>0</v>
      </c>
      <c r="AK20" s="96">
        <v>0</v>
      </c>
      <c r="AL20" s="94">
        <v>0</v>
      </c>
      <c r="AM20" s="95">
        <v>12.871851042494857</v>
      </c>
      <c r="AN20" s="95">
        <v>0</v>
      </c>
      <c r="AO20" s="95">
        <v>0</v>
      </c>
      <c r="AP20" s="95">
        <v>0</v>
      </c>
      <c r="AQ20" s="95">
        <v>0</v>
      </c>
      <c r="AR20" s="95">
        <v>0</v>
      </c>
      <c r="AS20" s="95">
        <v>0</v>
      </c>
      <c r="AT20" s="96">
        <v>12.871851042494857</v>
      </c>
      <c r="AU20" s="94">
        <v>0</v>
      </c>
      <c r="AV20" s="95">
        <v>91.622833021524727</v>
      </c>
      <c r="AW20" s="95">
        <v>0</v>
      </c>
      <c r="AX20" s="95">
        <v>0</v>
      </c>
      <c r="AY20" s="95">
        <v>0</v>
      </c>
      <c r="AZ20" s="95">
        <v>0</v>
      </c>
      <c r="BA20" s="95">
        <v>0</v>
      </c>
      <c r="BB20" s="95">
        <v>0</v>
      </c>
      <c r="BC20" s="96">
        <v>91.622833021524727</v>
      </c>
    </row>
    <row r="21" spans="1:55" hidden="1" x14ac:dyDescent="0.25">
      <c r="A21" s="578" t="s">
        <v>538</v>
      </c>
      <c r="B21" s="579" t="s">
        <v>544</v>
      </c>
      <c r="C21" s="44" t="s">
        <v>540</v>
      </c>
      <c r="D21" s="46">
        <v>0.82696528750038811</v>
      </c>
      <c r="E21" s="45">
        <v>0.1730347124996118</v>
      </c>
      <c r="F21" s="47">
        <v>1</v>
      </c>
      <c r="I21" s="579" t="s">
        <v>544</v>
      </c>
      <c r="J21" s="44" t="s">
        <v>540</v>
      </c>
      <c r="K21" s="94">
        <v>0</v>
      </c>
      <c r="L21" s="95">
        <v>0</v>
      </c>
      <c r="M21" s="95">
        <v>0</v>
      </c>
      <c r="N21" s="95">
        <v>0</v>
      </c>
      <c r="O21" s="95">
        <v>0</v>
      </c>
      <c r="P21" s="95">
        <v>0</v>
      </c>
      <c r="Q21" s="95">
        <v>0</v>
      </c>
      <c r="R21" s="95">
        <v>0</v>
      </c>
      <c r="S21" s="96">
        <v>0</v>
      </c>
      <c r="T21" s="94">
        <v>0</v>
      </c>
      <c r="U21" s="95">
        <v>0</v>
      </c>
      <c r="V21" s="95">
        <v>0</v>
      </c>
      <c r="W21" s="95">
        <v>44.110009786486408</v>
      </c>
      <c r="X21" s="95">
        <v>0</v>
      </c>
      <c r="Y21" s="95">
        <v>0</v>
      </c>
      <c r="Z21" s="95">
        <v>0</v>
      </c>
      <c r="AA21" s="95">
        <v>0</v>
      </c>
      <c r="AB21" s="96">
        <v>44.110009786486408</v>
      </c>
      <c r="AC21" s="94">
        <v>0</v>
      </c>
      <c r="AD21" s="95">
        <v>0</v>
      </c>
      <c r="AE21" s="95">
        <v>0</v>
      </c>
      <c r="AF21" s="95">
        <v>0</v>
      </c>
      <c r="AG21" s="95">
        <v>0</v>
      </c>
      <c r="AH21" s="95">
        <v>0</v>
      </c>
      <c r="AI21" s="95">
        <v>0</v>
      </c>
      <c r="AJ21" s="95">
        <v>0</v>
      </c>
      <c r="AK21" s="96">
        <v>0</v>
      </c>
      <c r="AL21" s="94">
        <v>0</v>
      </c>
      <c r="AM21" s="95">
        <v>26.98451061311329</v>
      </c>
      <c r="AN21" s="95">
        <v>0</v>
      </c>
      <c r="AO21" s="95">
        <v>0</v>
      </c>
      <c r="AP21" s="95">
        <v>0</v>
      </c>
      <c r="AQ21" s="95">
        <v>0</v>
      </c>
      <c r="AR21" s="95">
        <v>0</v>
      </c>
      <c r="AS21" s="95">
        <v>0</v>
      </c>
      <c r="AT21" s="96">
        <v>26.98451061311329</v>
      </c>
      <c r="AU21" s="94">
        <v>0</v>
      </c>
      <c r="AV21" s="95">
        <v>26.98451061311329</v>
      </c>
      <c r="AW21" s="95">
        <v>0</v>
      </c>
      <c r="AX21" s="95">
        <v>44.110009786486408</v>
      </c>
      <c r="AY21" s="95">
        <v>0</v>
      </c>
      <c r="AZ21" s="95">
        <v>0</v>
      </c>
      <c r="BA21" s="95">
        <v>0</v>
      </c>
      <c r="BB21" s="95">
        <v>0</v>
      </c>
      <c r="BC21" s="96">
        <v>71.094520399599702</v>
      </c>
    </row>
    <row r="22" spans="1:55" hidden="1" x14ac:dyDescent="0.25">
      <c r="A22" s="578" t="s">
        <v>538</v>
      </c>
      <c r="B22" s="579" t="s">
        <v>545</v>
      </c>
      <c r="C22" s="44" t="s">
        <v>540</v>
      </c>
      <c r="D22" s="46">
        <v>0.9639940765832945</v>
      </c>
      <c r="E22" s="45">
        <v>3.6005923416705561E-2</v>
      </c>
      <c r="F22" s="47">
        <v>1</v>
      </c>
      <c r="I22" s="579" t="s">
        <v>545</v>
      </c>
      <c r="J22" s="44" t="s">
        <v>540</v>
      </c>
      <c r="K22" s="94">
        <v>0</v>
      </c>
      <c r="L22" s="95">
        <v>0</v>
      </c>
      <c r="M22" s="95">
        <v>0</v>
      </c>
      <c r="N22" s="95">
        <v>0</v>
      </c>
      <c r="O22" s="95">
        <v>0</v>
      </c>
      <c r="P22" s="95">
        <v>0</v>
      </c>
      <c r="Q22" s="95">
        <v>0</v>
      </c>
      <c r="R22" s="95">
        <v>0</v>
      </c>
      <c r="S22" s="96">
        <v>0</v>
      </c>
      <c r="T22" s="94">
        <v>0</v>
      </c>
      <c r="U22" s="95">
        <v>0</v>
      </c>
      <c r="V22" s="95">
        <v>0</v>
      </c>
      <c r="W22" s="95">
        <v>19.634672986614149</v>
      </c>
      <c r="X22" s="95">
        <v>0</v>
      </c>
      <c r="Y22" s="95">
        <v>0</v>
      </c>
      <c r="Z22" s="95">
        <v>0</v>
      </c>
      <c r="AA22" s="95">
        <v>0</v>
      </c>
      <c r="AB22" s="96">
        <v>19.634672986614149</v>
      </c>
      <c r="AC22" s="94">
        <v>0</v>
      </c>
      <c r="AD22" s="95">
        <v>0</v>
      </c>
      <c r="AE22" s="95">
        <v>0</v>
      </c>
      <c r="AF22" s="95">
        <v>0</v>
      </c>
      <c r="AG22" s="95">
        <v>0</v>
      </c>
      <c r="AH22" s="95">
        <v>0</v>
      </c>
      <c r="AI22" s="95">
        <v>0</v>
      </c>
      <c r="AJ22" s="95">
        <v>0</v>
      </c>
      <c r="AK22" s="96">
        <v>0</v>
      </c>
      <c r="AL22" s="94">
        <v>0</v>
      </c>
      <c r="AM22" s="95">
        <v>0</v>
      </c>
      <c r="AN22" s="95">
        <v>0</v>
      </c>
      <c r="AO22" s="95">
        <v>0</v>
      </c>
      <c r="AP22" s="95">
        <v>0</v>
      </c>
      <c r="AQ22" s="95">
        <v>0</v>
      </c>
      <c r="AR22" s="95">
        <v>0</v>
      </c>
      <c r="AS22" s="95">
        <v>0</v>
      </c>
      <c r="AT22" s="96">
        <v>0</v>
      </c>
      <c r="AU22" s="94">
        <v>0</v>
      </c>
      <c r="AV22" s="95">
        <v>0</v>
      </c>
      <c r="AW22" s="95">
        <v>0</v>
      </c>
      <c r="AX22" s="95">
        <v>19.634672986614149</v>
      </c>
      <c r="AY22" s="95">
        <v>0</v>
      </c>
      <c r="AZ22" s="95">
        <v>0</v>
      </c>
      <c r="BA22" s="95">
        <v>0</v>
      </c>
      <c r="BB22" s="95">
        <v>0</v>
      </c>
      <c r="BC22" s="96">
        <v>19.634672986614149</v>
      </c>
    </row>
    <row r="23" spans="1:55" hidden="1" x14ac:dyDescent="0.25">
      <c r="A23" s="578" t="s">
        <v>538</v>
      </c>
      <c r="B23" s="579" t="s">
        <v>546</v>
      </c>
      <c r="C23" s="44" t="s">
        <v>540</v>
      </c>
      <c r="D23" s="46">
        <v>0.93408299941780015</v>
      </c>
      <c r="E23" s="45">
        <v>6.5917000582199917E-2</v>
      </c>
      <c r="F23" s="47">
        <v>1</v>
      </c>
      <c r="I23" s="579" t="s">
        <v>546</v>
      </c>
      <c r="J23" s="44" t="s">
        <v>540</v>
      </c>
      <c r="K23" s="94">
        <v>0</v>
      </c>
      <c r="L23" s="95">
        <v>0</v>
      </c>
      <c r="M23" s="95">
        <v>0</v>
      </c>
      <c r="N23" s="95">
        <v>0</v>
      </c>
      <c r="O23" s="95">
        <v>0</v>
      </c>
      <c r="P23" s="95">
        <v>0</v>
      </c>
      <c r="Q23" s="95">
        <v>0</v>
      </c>
      <c r="R23" s="95">
        <v>0</v>
      </c>
      <c r="S23" s="96">
        <v>0</v>
      </c>
      <c r="T23" s="94">
        <v>0</v>
      </c>
      <c r="U23" s="95">
        <v>0</v>
      </c>
      <c r="V23" s="95">
        <v>0</v>
      </c>
      <c r="W23" s="95">
        <v>0</v>
      </c>
      <c r="X23" s="95">
        <v>0</v>
      </c>
      <c r="Y23" s="95">
        <v>0</v>
      </c>
      <c r="Z23" s="95">
        <v>0</v>
      </c>
      <c r="AA23" s="95">
        <v>0</v>
      </c>
      <c r="AB23" s="96">
        <v>0</v>
      </c>
      <c r="AC23" s="94">
        <v>0</v>
      </c>
      <c r="AD23" s="95">
        <v>0</v>
      </c>
      <c r="AE23" s="95">
        <v>0</v>
      </c>
      <c r="AF23" s="95">
        <v>0</v>
      </c>
      <c r="AG23" s="95">
        <v>0</v>
      </c>
      <c r="AH23" s="95">
        <v>0</v>
      </c>
      <c r="AI23" s="95">
        <v>0</v>
      </c>
      <c r="AJ23" s="95">
        <v>0</v>
      </c>
      <c r="AK23" s="96">
        <v>0</v>
      </c>
      <c r="AL23" s="94">
        <v>0</v>
      </c>
      <c r="AM23" s="95">
        <v>0</v>
      </c>
      <c r="AN23" s="95">
        <v>0</v>
      </c>
      <c r="AO23" s="95">
        <v>50.284769574735037</v>
      </c>
      <c r="AP23" s="95">
        <v>0</v>
      </c>
      <c r="AQ23" s="95">
        <v>0</v>
      </c>
      <c r="AR23" s="95">
        <v>0</v>
      </c>
      <c r="AS23" s="95">
        <v>0</v>
      </c>
      <c r="AT23" s="96">
        <v>50.284769574735037</v>
      </c>
      <c r="AU23" s="94">
        <v>0</v>
      </c>
      <c r="AV23" s="95">
        <v>0</v>
      </c>
      <c r="AW23" s="95">
        <v>0</v>
      </c>
      <c r="AX23" s="95">
        <v>50.284769574735037</v>
      </c>
      <c r="AY23" s="95">
        <v>0</v>
      </c>
      <c r="AZ23" s="95">
        <v>0</v>
      </c>
      <c r="BA23" s="95">
        <v>0</v>
      </c>
      <c r="BB23" s="95">
        <v>0</v>
      </c>
      <c r="BC23" s="96">
        <v>50.284769574735037</v>
      </c>
    </row>
    <row r="24" spans="1:55" hidden="1" x14ac:dyDescent="0.25">
      <c r="A24" s="578" t="s">
        <v>538</v>
      </c>
      <c r="B24" s="579" t="s">
        <v>547</v>
      </c>
      <c r="C24" s="44" t="s">
        <v>540</v>
      </c>
      <c r="D24" s="46">
        <v>0.91769059534017872</v>
      </c>
      <c r="E24" s="45">
        <v>8.23094046598212E-2</v>
      </c>
      <c r="F24" s="47">
        <v>1</v>
      </c>
      <c r="I24" s="579" t="s">
        <v>547</v>
      </c>
      <c r="J24" s="44" t="s">
        <v>540</v>
      </c>
      <c r="K24" s="94">
        <v>0</v>
      </c>
      <c r="L24" s="95">
        <v>0</v>
      </c>
      <c r="M24" s="95">
        <v>0</v>
      </c>
      <c r="N24" s="95">
        <v>199.11719821988763</v>
      </c>
      <c r="O24" s="95">
        <v>0</v>
      </c>
      <c r="P24" s="95">
        <v>0</v>
      </c>
      <c r="Q24" s="95">
        <v>0</v>
      </c>
      <c r="R24" s="95">
        <v>0</v>
      </c>
      <c r="S24" s="96">
        <v>199.11719821988763</v>
      </c>
      <c r="T24" s="94">
        <v>0</v>
      </c>
      <c r="U24" s="95">
        <v>229.22224785316547</v>
      </c>
      <c r="V24" s="95">
        <v>0</v>
      </c>
      <c r="W24" s="95">
        <v>397.49954616357195</v>
      </c>
      <c r="X24" s="95">
        <v>0</v>
      </c>
      <c r="Y24" s="95">
        <v>0</v>
      </c>
      <c r="Z24" s="95">
        <v>0</v>
      </c>
      <c r="AA24" s="95">
        <v>0</v>
      </c>
      <c r="AB24" s="96">
        <v>626.72179401673748</v>
      </c>
      <c r="AC24" s="94">
        <v>0</v>
      </c>
      <c r="AD24" s="95">
        <v>0</v>
      </c>
      <c r="AE24" s="95">
        <v>0</v>
      </c>
      <c r="AF24" s="95">
        <v>0</v>
      </c>
      <c r="AG24" s="95">
        <v>0</v>
      </c>
      <c r="AH24" s="95">
        <v>0</v>
      </c>
      <c r="AI24" s="95">
        <v>0</v>
      </c>
      <c r="AJ24" s="95">
        <v>0</v>
      </c>
      <c r="AK24" s="96">
        <v>0</v>
      </c>
      <c r="AL24" s="94">
        <v>0</v>
      </c>
      <c r="AM24" s="95">
        <v>0</v>
      </c>
      <c r="AN24" s="95">
        <v>0</v>
      </c>
      <c r="AO24" s="95">
        <v>0</v>
      </c>
      <c r="AP24" s="95">
        <v>0</v>
      </c>
      <c r="AQ24" s="95">
        <v>0</v>
      </c>
      <c r="AR24" s="95">
        <v>0</v>
      </c>
      <c r="AS24" s="95">
        <v>0</v>
      </c>
      <c r="AT24" s="96">
        <v>0</v>
      </c>
      <c r="AU24" s="94">
        <v>0</v>
      </c>
      <c r="AV24" s="95">
        <v>229.22224785316547</v>
      </c>
      <c r="AW24" s="95">
        <v>0</v>
      </c>
      <c r="AX24" s="95">
        <v>596.6167443834596</v>
      </c>
      <c r="AY24" s="95">
        <v>0</v>
      </c>
      <c r="AZ24" s="95">
        <v>0</v>
      </c>
      <c r="BA24" s="95">
        <v>0</v>
      </c>
      <c r="BB24" s="95">
        <v>0</v>
      </c>
      <c r="BC24" s="96">
        <v>825.83899223662513</v>
      </c>
    </row>
    <row r="25" spans="1:55" hidden="1" x14ac:dyDescent="0.25">
      <c r="A25" s="578" t="s">
        <v>538</v>
      </c>
      <c r="B25" s="579" t="s">
        <v>548</v>
      </c>
      <c r="C25" s="44" t="s">
        <v>540</v>
      </c>
      <c r="D25" s="46">
        <v>0.86719579734784979</v>
      </c>
      <c r="E25" s="45">
        <v>0.13280420265215021</v>
      </c>
      <c r="F25" s="47">
        <v>1</v>
      </c>
      <c r="I25" s="579" t="s">
        <v>548</v>
      </c>
      <c r="J25" s="44" t="s">
        <v>540</v>
      </c>
      <c r="K25" s="94">
        <v>0</v>
      </c>
      <c r="L25" s="95">
        <v>0</v>
      </c>
      <c r="M25" s="95">
        <v>0</v>
      </c>
      <c r="N25" s="95">
        <v>0</v>
      </c>
      <c r="O25" s="95">
        <v>0</v>
      </c>
      <c r="P25" s="95">
        <v>0</v>
      </c>
      <c r="Q25" s="95">
        <v>0</v>
      </c>
      <c r="R25" s="95">
        <v>0</v>
      </c>
      <c r="S25" s="96">
        <v>0</v>
      </c>
      <c r="T25" s="94">
        <v>0</v>
      </c>
      <c r="U25" s="95">
        <v>77.628925891035308</v>
      </c>
      <c r="V25" s="95">
        <v>0</v>
      </c>
      <c r="W25" s="95">
        <v>0</v>
      </c>
      <c r="X25" s="95">
        <v>0</v>
      </c>
      <c r="Y25" s="95">
        <v>0</v>
      </c>
      <c r="Z25" s="95">
        <v>0</v>
      </c>
      <c r="AA25" s="95">
        <v>0</v>
      </c>
      <c r="AB25" s="96">
        <v>77.628925891035308</v>
      </c>
      <c r="AC25" s="94">
        <v>0</v>
      </c>
      <c r="AD25" s="95">
        <v>0</v>
      </c>
      <c r="AE25" s="95">
        <v>0</v>
      </c>
      <c r="AF25" s="95">
        <v>14.859568713243839</v>
      </c>
      <c r="AG25" s="95">
        <v>0</v>
      </c>
      <c r="AH25" s="95">
        <v>0</v>
      </c>
      <c r="AI25" s="95">
        <v>0</v>
      </c>
      <c r="AJ25" s="95">
        <v>0</v>
      </c>
      <c r="AK25" s="96">
        <v>14.859568713243839</v>
      </c>
      <c r="AL25" s="94">
        <v>0</v>
      </c>
      <c r="AM25" s="95">
        <v>0</v>
      </c>
      <c r="AN25" s="95">
        <v>0</v>
      </c>
      <c r="AO25" s="95">
        <v>0</v>
      </c>
      <c r="AP25" s="95">
        <v>0</v>
      </c>
      <c r="AQ25" s="95">
        <v>0</v>
      </c>
      <c r="AR25" s="95">
        <v>0</v>
      </c>
      <c r="AS25" s="95">
        <v>0</v>
      </c>
      <c r="AT25" s="96">
        <v>0</v>
      </c>
      <c r="AU25" s="94">
        <v>0</v>
      </c>
      <c r="AV25" s="95">
        <v>77.628925891035308</v>
      </c>
      <c r="AW25" s="95">
        <v>0</v>
      </c>
      <c r="AX25" s="95">
        <v>14.859568713243839</v>
      </c>
      <c r="AY25" s="95">
        <v>0</v>
      </c>
      <c r="AZ25" s="95">
        <v>0</v>
      </c>
      <c r="BA25" s="95">
        <v>0</v>
      </c>
      <c r="BB25" s="95">
        <v>0</v>
      </c>
      <c r="BC25" s="96">
        <v>92.48849460427914</v>
      </c>
    </row>
    <row r="26" spans="1:55" hidden="1" x14ac:dyDescent="0.25">
      <c r="A26" s="578" t="s">
        <v>538</v>
      </c>
      <c r="B26" s="579" t="s">
        <v>549</v>
      </c>
      <c r="C26" s="44" t="s">
        <v>540</v>
      </c>
      <c r="D26" s="46">
        <v>0.90936489436209378</v>
      </c>
      <c r="E26" s="45">
        <v>9.063510563790618E-2</v>
      </c>
      <c r="F26" s="47">
        <v>1</v>
      </c>
      <c r="I26" s="579" t="s">
        <v>549</v>
      </c>
      <c r="J26" s="44" t="s">
        <v>540</v>
      </c>
      <c r="K26" s="94">
        <v>0</v>
      </c>
      <c r="L26" s="95">
        <v>0</v>
      </c>
      <c r="M26" s="95">
        <v>0</v>
      </c>
      <c r="N26" s="95">
        <v>0</v>
      </c>
      <c r="O26" s="95">
        <v>0</v>
      </c>
      <c r="P26" s="95">
        <v>0</v>
      </c>
      <c r="Q26" s="95">
        <v>0</v>
      </c>
      <c r="R26" s="95">
        <v>0</v>
      </c>
      <c r="S26" s="96">
        <v>0</v>
      </c>
      <c r="T26" s="94">
        <v>0</v>
      </c>
      <c r="U26" s="95">
        <v>0</v>
      </c>
      <c r="V26" s="95">
        <v>0</v>
      </c>
      <c r="W26" s="95">
        <v>0</v>
      </c>
      <c r="X26" s="95">
        <v>0</v>
      </c>
      <c r="Y26" s="95">
        <v>0</v>
      </c>
      <c r="Z26" s="95">
        <v>0</v>
      </c>
      <c r="AA26" s="95">
        <v>0</v>
      </c>
      <c r="AB26" s="96">
        <v>0</v>
      </c>
      <c r="AC26" s="94">
        <v>0</v>
      </c>
      <c r="AD26" s="95">
        <v>0</v>
      </c>
      <c r="AE26" s="95">
        <v>0</v>
      </c>
      <c r="AF26" s="95">
        <v>0</v>
      </c>
      <c r="AG26" s="95">
        <v>0</v>
      </c>
      <c r="AH26" s="95">
        <v>0</v>
      </c>
      <c r="AI26" s="95">
        <v>0</v>
      </c>
      <c r="AJ26" s="95">
        <v>0</v>
      </c>
      <c r="AK26" s="96">
        <v>0</v>
      </c>
      <c r="AL26" s="94">
        <v>0</v>
      </c>
      <c r="AM26" s="95">
        <v>0</v>
      </c>
      <c r="AN26" s="95">
        <v>0</v>
      </c>
      <c r="AO26" s="95">
        <v>0</v>
      </c>
      <c r="AP26" s="95">
        <v>0</v>
      </c>
      <c r="AQ26" s="95">
        <v>0</v>
      </c>
      <c r="AR26" s="95">
        <v>0</v>
      </c>
      <c r="AS26" s="95">
        <v>0</v>
      </c>
      <c r="AT26" s="96">
        <v>0</v>
      </c>
      <c r="AU26" s="94">
        <v>0</v>
      </c>
      <c r="AV26" s="95">
        <v>0</v>
      </c>
      <c r="AW26" s="95">
        <v>0</v>
      </c>
      <c r="AX26" s="95">
        <v>0</v>
      </c>
      <c r="AY26" s="95">
        <v>0</v>
      </c>
      <c r="AZ26" s="95">
        <v>0</v>
      </c>
      <c r="BA26" s="95">
        <v>0</v>
      </c>
      <c r="BB26" s="95">
        <v>0</v>
      </c>
      <c r="BC26" s="96">
        <v>0</v>
      </c>
    </row>
    <row r="27" spans="1:55" hidden="1" x14ac:dyDescent="0.25">
      <c r="A27" s="578" t="s">
        <v>538</v>
      </c>
      <c r="B27" s="579" t="s">
        <v>550</v>
      </c>
      <c r="C27" s="44" t="s">
        <v>540</v>
      </c>
      <c r="D27" s="46">
        <v>0.95601441298306766</v>
      </c>
      <c r="E27" s="45">
        <v>4.3985587016932386E-2</v>
      </c>
      <c r="F27" s="47">
        <v>1</v>
      </c>
      <c r="I27" s="579" t="s">
        <v>550</v>
      </c>
      <c r="J27" s="44" t="s">
        <v>540</v>
      </c>
      <c r="K27" s="94">
        <v>0</v>
      </c>
      <c r="L27" s="95">
        <v>0</v>
      </c>
      <c r="M27" s="95">
        <v>0</v>
      </c>
      <c r="N27" s="95">
        <v>27.526762610065123</v>
      </c>
      <c r="O27" s="95">
        <v>0</v>
      </c>
      <c r="P27" s="95">
        <v>0</v>
      </c>
      <c r="Q27" s="95">
        <v>0</v>
      </c>
      <c r="R27" s="95">
        <v>0</v>
      </c>
      <c r="S27" s="96">
        <v>27.526762610065123</v>
      </c>
      <c r="T27" s="94">
        <v>0</v>
      </c>
      <c r="U27" s="95">
        <v>0</v>
      </c>
      <c r="V27" s="95">
        <v>0</v>
      </c>
      <c r="W27" s="95">
        <v>0</v>
      </c>
      <c r="X27" s="95">
        <v>0</v>
      </c>
      <c r="Y27" s="95">
        <v>0</v>
      </c>
      <c r="Z27" s="95">
        <v>0</v>
      </c>
      <c r="AA27" s="95">
        <v>0</v>
      </c>
      <c r="AB27" s="96">
        <v>0</v>
      </c>
      <c r="AC27" s="94">
        <v>0</v>
      </c>
      <c r="AD27" s="95">
        <v>0</v>
      </c>
      <c r="AE27" s="95">
        <v>0</v>
      </c>
      <c r="AF27" s="95">
        <v>0</v>
      </c>
      <c r="AG27" s="95">
        <v>0</v>
      </c>
      <c r="AH27" s="95">
        <v>0</v>
      </c>
      <c r="AI27" s="95">
        <v>0</v>
      </c>
      <c r="AJ27" s="95">
        <v>0</v>
      </c>
      <c r="AK27" s="96">
        <v>0</v>
      </c>
      <c r="AL27" s="94">
        <v>0</v>
      </c>
      <c r="AM27" s="95">
        <v>0</v>
      </c>
      <c r="AN27" s="95">
        <v>0</v>
      </c>
      <c r="AO27" s="95">
        <v>50.160792280915594</v>
      </c>
      <c r="AP27" s="95">
        <v>0</v>
      </c>
      <c r="AQ27" s="95">
        <v>0</v>
      </c>
      <c r="AR27" s="95">
        <v>0</v>
      </c>
      <c r="AS27" s="95">
        <v>0</v>
      </c>
      <c r="AT27" s="96">
        <v>50.160792280915594</v>
      </c>
      <c r="AU27" s="94">
        <v>0</v>
      </c>
      <c r="AV27" s="95">
        <v>0</v>
      </c>
      <c r="AW27" s="95">
        <v>0</v>
      </c>
      <c r="AX27" s="95">
        <v>77.687554890980721</v>
      </c>
      <c r="AY27" s="95">
        <v>0</v>
      </c>
      <c r="AZ27" s="95">
        <v>0</v>
      </c>
      <c r="BA27" s="95">
        <v>0</v>
      </c>
      <c r="BB27" s="95">
        <v>0</v>
      </c>
      <c r="BC27" s="96">
        <v>77.687554890980721</v>
      </c>
    </row>
    <row r="28" spans="1:55" hidden="1" x14ac:dyDescent="0.25">
      <c r="A28" s="578" t="s">
        <v>538</v>
      </c>
      <c r="B28" s="579" t="s">
        <v>551</v>
      </c>
      <c r="C28" s="44" t="s">
        <v>540</v>
      </c>
      <c r="D28" s="46">
        <v>0.87588518856182296</v>
      </c>
      <c r="E28" s="45">
        <v>0.124114811438177</v>
      </c>
      <c r="F28" s="47">
        <v>1</v>
      </c>
      <c r="I28" s="579" t="s">
        <v>551</v>
      </c>
      <c r="J28" s="44" t="s">
        <v>540</v>
      </c>
      <c r="K28" s="94">
        <v>0</v>
      </c>
      <c r="L28" s="95">
        <v>0</v>
      </c>
      <c r="M28" s="95">
        <v>0</v>
      </c>
      <c r="N28" s="95">
        <v>0</v>
      </c>
      <c r="O28" s="95">
        <v>0</v>
      </c>
      <c r="P28" s="95">
        <v>0</v>
      </c>
      <c r="Q28" s="95">
        <v>0</v>
      </c>
      <c r="R28" s="95">
        <v>0</v>
      </c>
      <c r="S28" s="96">
        <v>0</v>
      </c>
      <c r="T28" s="94">
        <v>0</v>
      </c>
      <c r="U28" s="95">
        <v>0</v>
      </c>
      <c r="V28" s="95">
        <v>0</v>
      </c>
      <c r="W28" s="95">
        <v>89.176218358381661</v>
      </c>
      <c r="X28" s="95">
        <v>0</v>
      </c>
      <c r="Y28" s="95">
        <v>0</v>
      </c>
      <c r="Z28" s="95">
        <v>0</v>
      </c>
      <c r="AA28" s="95">
        <v>0</v>
      </c>
      <c r="AB28" s="96">
        <v>89.176218358381661</v>
      </c>
      <c r="AC28" s="94">
        <v>0</v>
      </c>
      <c r="AD28" s="95">
        <v>0</v>
      </c>
      <c r="AE28" s="95">
        <v>0</v>
      </c>
      <c r="AF28" s="95">
        <v>0</v>
      </c>
      <c r="AG28" s="95">
        <v>0</v>
      </c>
      <c r="AH28" s="95">
        <v>0</v>
      </c>
      <c r="AI28" s="95">
        <v>0</v>
      </c>
      <c r="AJ28" s="95">
        <v>0</v>
      </c>
      <c r="AK28" s="96">
        <v>0</v>
      </c>
      <c r="AL28" s="94">
        <v>0</v>
      </c>
      <c r="AM28" s="95">
        <v>0</v>
      </c>
      <c r="AN28" s="95">
        <v>0</v>
      </c>
      <c r="AO28" s="95">
        <v>0</v>
      </c>
      <c r="AP28" s="95">
        <v>0</v>
      </c>
      <c r="AQ28" s="95">
        <v>0</v>
      </c>
      <c r="AR28" s="95">
        <v>0</v>
      </c>
      <c r="AS28" s="95">
        <v>0</v>
      </c>
      <c r="AT28" s="96">
        <v>0</v>
      </c>
      <c r="AU28" s="94">
        <v>0</v>
      </c>
      <c r="AV28" s="95">
        <v>0</v>
      </c>
      <c r="AW28" s="95">
        <v>0</v>
      </c>
      <c r="AX28" s="95">
        <v>89.176218358381661</v>
      </c>
      <c r="AY28" s="95">
        <v>0</v>
      </c>
      <c r="AZ28" s="95">
        <v>0</v>
      </c>
      <c r="BA28" s="95">
        <v>0</v>
      </c>
      <c r="BB28" s="95">
        <v>0</v>
      </c>
      <c r="BC28" s="96">
        <v>89.176218358381661</v>
      </c>
    </row>
    <row r="29" spans="1:55" hidden="1" x14ac:dyDescent="0.25">
      <c r="A29" s="578" t="s">
        <v>538</v>
      </c>
      <c r="B29" s="579" t="s">
        <v>552</v>
      </c>
      <c r="C29" s="44" t="s">
        <v>540</v>
      </c>
      <c r="D29" s="46">
        <v>0.84944115724381652</v>
      </c>
      <c r="E29" s="45">
        <v>0.15055884275618342</v>
      </c>
      <c r="F29" s="47">
        <v>1</v>
      </c>
      <c r="I29" s="579" t="s">
        <v>552</v>
      </c>
      <c r="J29" s="44" t="s">
        <v>540</v>
      </c>
      <c r="K29" s="94">
        <v>148.2735501254345</v>
      </c>
      <c r="L29" s="95">
        <v>164.52454773936284</v>
      </c>
      <c r="M29" s="95">
        <v>0</v>
      </c>
      <c r="N29" s="95">
        <v>144.74774163312946</v>
      </c>
      <c r="O29" s="95">
        <v>0</v>
      </c>
      <c r="P29" s="95">
        <v>0</v>
      </c>
      <c r="Q29" s="95">
        <v>181.59300613891733</v>
      </c>
      <c r="R29" s="95">
        <v>0</v>
      </c>
      <c r="S29" s="96">
        <v>639.13884563684417</v>
      </c>
      <c r="T29" s="94">
        <v>6.1824646651855133</v>
      </c>
      <c r="U29" s="95">
        <v>0</v>
      </c>
      <c r="V29" s="95">
        <v>0</v>
      </c>
      <c r="W29" s="95">
        <v>246.20211949089779</v>
      </c>
      <c r="X29" s="95">
        <v>0</v>
      </c>
      <c r="Y29" s="95">
        <v>8.4949684431757166</v>
      </c>
      <c r="Z29" s="95">
        <v>316.47110254809434</v>
      </c>
      <c r="AA29" s="95">
        <v>0</v>
      </c>
      <c r="AB29" s="96">
        <v>577.35065514735334</v>
      </c>
      <c r="AC29" s="94">
        <v>0</v>
      </c>
      <c r="AD29" s="95">
        <v>0</v>
      </c>
      <c r="AE29" s="95">
        <v>0</v>
      </c>
      <c r="AF29" s="95">
        <v>0</v>
      </c>
      <c r="AG29" s="95">
        <v>0</v>
      </c>
      <c r="AH29" s="95">
        <v>0</v>
      </c>
      <c r="AI29" s="95">
        <v>0</v>
      </c>
      <c r="AJ29" s="95">
        <v>0</v>
      </c>
      <c r="AK29" s="96">
        <v>0</v>
      </c>
      <c r="AL29" s="94">
        <v>0</v>
      </c>
      <c r="AM29" s="95">
        <v>0</v>
      </c>
      <c r="AN29" s="95">
        <v>0</v>
      </c>
      <c r="AO29" s="95">
        <v>49.357364321808859</v>
      </c>
      <c r="AP29" s="95">
        <v>0</v>
      </c>
      <c r="AQ29" s="95">
        <v>0</v>
      </c>
      <c r="AR29" s="95">
        <v>0</v>
      </c>
      <c r="AS29" s="95">
        <v>0</v>
      </c>
      <c r="AT29" s="96">
        <v>49.357364321808859</v>
      </c>
      <c r="AU29" s="94">
        <v>154.45601479062</v>
      </c>
      <c r="AV29" s="95">
        <v>164.52454773936284</v>
      </c>
      <c r="AW29" s="95">
        <v>0</v>
      </c>
      <c r="AX29" s="95">
        <v>440.30722544583614</v>
      </c>
      <c r="AY29" s="95">
        <v>0</v>
      </c>
      <c r="AZ29" s="95">
        <v>8.4949684431757166</v>
      </c>
      <c r="BA29" s="95">
        <v>498.06410868701164</v>
      </c>
      <c r="BB29" s="95">
        <v>0</v>
      </c>
      <c r="BC29" s="96">
        <v>1265.8468651060061</v>
      </c>
    </row>
    <row r="30" spans="1:55" hidden="1" x14ac:dyDescent="0.25">
      <c r="A30" s="578" t="s">
        <v>538</v>
      </c>
      <c r="B30" s="579" t="s">
        <v>553</v>
      </c>
      <c r="C30" s="44" t="s">
        <v>540</v>
      </c>
      <c r="D30" s="46">
        <v>0.94563669068213607</v>
      </c>
      <c r="E30" s="45">
        <v>5.436330931786388E-2</v>
      </c>
      <c r="F30" s="47">
        <v>1</v>
      </c>
      <c r="I30" s="579" t="s">
        <v>553</v>
      </c>
      <c r="J30" s="44" t="s">
        <v>540</v>
      </c>
      <c r="K30" s="94">
        <v>73.602552558930171</v>
      </c>
      <c r="L30" s="95">
        <v>0</v>
      </c>
      <c r="M30" s="95">
        <v>0</v>
      </c>
      <c r="N30" s="95">
        <v>0</v>
      </c>
      <c r="O30" s="95">
        <v>0</v>
      </c>
      <c r="P30" s="95">
        <v>0</v>
      </c>
      <c r="Q30" s="95">
        <v>0</v>
      </c>
      <c r="R30" s="95">
        <v>0</v>
      </c>
      <c r="S30" s="96">
        <v>73.602552558930171</v>
      </c>
      <c r="T30" s="94">
        <v>0</v>
      </c>
      <c r="U30" s="95">
        <v>0</v>
      </c>
      <c r="V30" s="95">
        <v>0</v>
      </c>
      <c r="W30" s="95">
        <v>369.19953535640911</v>
      </c>
      <c r="X30" s="95">
        <v>0</v>
      </c>
      <c r="Y30" s="95">
        <v>0</v>
      </c>
      <c r="Z30" s="95">
        <v>0</v>
      </c>
      <c r="AA30" s="95">
        <v>0</v>
      </c>
      <c r="AB30" s="96">
        <v>369.19953535640911</v>
      </c>
      <c r="AC30" s="94">
        <v>0</v>
      </c>
      <c r="AD30" s="95">
        <v>0</v>
      </c>
      <c r="AE30" s="95">
        <v>0</v>
      </c>
      <c r="AF30" s="95">
        <v>0</v>
      </c>
      <c r="AG30" s="95">
        <v>0</v>
      </c>
      <c r="AH30" s="95">
        <v>0</v>
      </c>
      <c r="AI30" s="95">
        <v>0</v>
      </c>
      <c r="AJ30" s="95">
        <v>0</v>
      </c>
      <c r="AK30" s="96">
        <v>0</v>
      </c>
      <c r="AL30" s="94">
        <v>53.853986219092349</v>
      </c>
      <c r="AM30" s="95">
        <v>0</v>
      </c>
      <c r="AN30" s="95">
        <v>0</v>
      </c>
      <c r="AO30" s="95">
        <v>0</v>
      </c>
      <c r="AP30" s="95">
        <v>0</v>
      </c>
      <c r="AQ30" s="95">
        <v>0</v>
      </c>
      <c r="AR30" s="95">
        <v>0</v>
      </c>
      <c r="AS30" s="95">
        <v>0</v>
      </c>
      <c r="AT30" s="96">
        <v>53.853986219092349</v>
      </c>
      <c r="AU30" s="94">
        <v>127.45653877802252</v>
      </c>
      <c r="AV30" s="95">
        <v>0</v>
      </c>
      <c r="AW30" s="95">
        <v>0</v>
      </c>
      <c r="AX30" s="95">
        <v>369.19953535640911</v>
      </c>
      <c r="AY30" s="95">
        <v>0</v>
      </c>
      <c r="AZ30" s="95">
        <v>0</v>
      </c>
      <c r="BA30" s="95">
        <v>0</v>
      </c>
      <c r="BB30" s="95">
        <v>0</v>
      </c>
      <c r="BC30" s="96">
        <v>496.65607413443161</v>
      </c>
    </row>
    <row r="31" spans="1:55" hidden="1" x14ac:dyDescent="0.25">
      <c r="A31" s="578" t="s">
        <v>538</v>
      </c>
      <c r="B31" s="579" t="s">
        <v>554</v>
      </c>
      <c r="C31" s="44" t="s">
        <v>540</v>
      </c>
      <c r="D31" s="46">
        <v>0.96480768386842664</v>
      </c>
      <c r="E31" s="45">
        <v>3.5192316131573469E-2</v>
      </c>
      <c r="F31" s="47">
        <v>1</v>
      </c>
      <c r="I31" s="579" t="s">
        <v>554</v>
      </c>
      <c r="J31" s="44" t="s">
        <v>540</v>
      </c>
      <c r="K31" s="94">
        <v>0</v>
      </c>
      <c r="L31" s="95">
        <v>0</v>
      </c>
      <c r="M31" s="95">
        <v>0</v>
      </c>
      <c r="N31" s="95">
        <v>22.8017069505925</v>
      </c>
      <c r="O31" s="95">
        <v>0</v>
      </c>
      <c r="P31" s="95">
        <v>0</v>
      </c>
      <c r="Q31" s="95">
        <v>0</v>
      </c>
      <c r="R31" s="95">
        <v>0</v>
      </c>
      <c r="S31" s="96">
        <v>22.8017069505925</v>
      </c>
      <c r="T31" s="94">
        <v>36.198549900463831</v>
      </c>
      <c r="U31" s="95">
        <v>0</v>
      </c>
      <c r="V31" s="95">
        <v>0</v>
      </c>
      <c r="W31" s="95">
        <v>0</v>
      </c>
      <c r="X31" s="95">
        <v>0</v>
      </c>
      <c r="Y31" s="95">
        <v>0</v>
      </c>
      <c r="Z31" s="95">
        <v>0</v>
      </c>
      <c r="AA31" s="95">
        <v>0</v>
      </c>
      <c r="AB31" s="96">
        <v>36.198549900463831</v>
      </c>
      <c r="AC31" s="94">
        <v>0</v>
      </c>
      <c r="AD31" s="95">
        <v>0</v>
      </c>
      <c r="AE31" s="95">
        <v>0</v>
      </c>
      <c r="AF31" s="95">
        <v>0</v>
      </c>
      <c r="AG31" s="95">
        <v>0</v>
      </c>
      <c r="AH31" s="95">
        <v>0</v>
      </c>
      <c r="AI31" s="95">
        <v>0</v>
      </c>
      <c r="AJ31" s="95">
        <v>0</v>
      </c>
      <c r="AK31" s="96">
        <v>0</v>
      </c>
      <c r="AL31" s="94">
        <v>0</v>
      </c>
      <c r="AM31" s="95">
        <v>0</v>
      </c>
      <c r="AN31" s="95">
        <v>0</v>
      </c>
      <c r="AO31" s="95">
        <v>22.8017069505925</v>
      </c>
      <c r="AP31" s="95">
        <v>0</v>
      </c>
      <c r="AQ31" s="95">
        <v>0</v>
      </c>
      <c r="AR31" s="95">
        <v>0</v>
      </c>
      <c r="AS31" s="95">
        <v>0</v>
      </c>
      <c r="AT31" s="96">
        <v>22.8017069505925</v>
      </c>
      <c r="AU31" s="94">
        <v>36.198549900463831</v>
      </c>
      <c r="AV31" s="95">
        <v>0</v>
      </c>
      <c r="AW31" s="95">
        <v>0</v>
      </c>
      <c r="AX31" s="95">
        <v>45.603413901185</v>
      </c>
      <c r="AY31" s="95">
        <v>0</v>
      </c>
      <c r="AZ31" s="95">
        <v>0</v>
      </c>
      <c r="BA31" s="95">
        <v>0</v>
      </c>
      <c r="BB31" s="95">
        <v>0</v>
      </c>
      <c r="BC31" s="96">
        <v>81.801963801648839</v>
      </c>
    </row>
    <row r="32" spans="1:55" hidden="1" x14ac:dyDescent="0.25">
      <c r="A32" s="578" t="s">
        <v>538</v>
      </c>
      <c r="B32" s="579" t="s">
        <v>555</v>
      </c>
      <c r="C32" s="44" t="s">
        <v>540</v>
      </c>
      <c r="D32" s="46">
        <v>0.99338694798732041</v>
      </c>
      <c r="E32" s="45">
        <v>6.6130520126795201E-3</v>
      </c>
      <c r="F32" s="47">
        <v>1</v>
      </c>
      <c r="I32" s="579" t="s">
        <v>555</v>
      </c>
      <c r="J32" s="44" t="s">
        <v>540</v>
      </c>
      <c r="K32" s="94">
        <v>0</v>
      </c>
      <c r="L32" s="95">
        <v>0</v>
      </c>
      <c r="M32" s="95">
        <v>0</v>
      </c>
      <c r="N32" s="95">
        <v>0</v>
      </c>
      <c r="O32" s="95">
        <v>0</v>
      </c>
      <c r="P32" s="95">
        <v>0</v>
      </c>
      <c r="Q32" s="95">
        <v>0</v>
      </c>
      <c r="R32" s="95">
        <v>0</v>
      </c>
      <c r="S32" s="96">
        <v>0</v>
      </c>
      <c r="T32" s="94">
        <v>60.64154867711369</v>
      </c>
      <c r="U32" s="95">
        <v>0</v>
      </c>
      <c r="V32" s="95">
        <v>0</v>
      </c>
      <c r="W32" s="95">
        <v>0</v>
      </c>
      <c r="X32" s="95">
        <v>0</v>
      </c>
      <c r="Y32" s="95">
        <v>0</v>
      </c>
      <c r="Z32" s="95">
        <v>0</v>
      </c>
      <c r="AA32" s="95">
        <v>0</v>
      </c>
      <c r="AB32" s="96">
        <v>60.64154867711369</v>
      </c>
      <c r="AC32" s="94">
        <v>20.213849559037897</v>
      </c>
      <c r="AD32" s="95">
        <v>0</v>
      </c>
      <c r="AE32" s="95">
        <v>0</v>
      </c>
      <c r="AF32" s="95">
        <v>0</v>
      </c>
      <c r="AG32" s="95">
        <v>0</v>
      </c>
      <c r="AH32" s="95">
        <v>0</v>
      </c>
      <c r="AI32" s="95">
        <v>0</v>
      </c>
      <c r="AJ32" s="95">
        <v>0</v>
      </c>
      <c r="AK32" s="96">
        <v>20.213849559037897</v>
      </c>
      <c r="AL32" s="94">
        <v>0</v>
      </c>
      <c r="AM32" s="95">
        <v>0</v>
      </c>
      <c r="AN32" s="95">
        <v>0</v>
      </c>
      <c r="AO32" s="95">
        <v>0</v>
      </c>
      <c r="AP32" s="95">
        <v>0</v>
      </c>
      <c r="AQ32" s="95">
        <v>0</v>
      </c>
      <c r="AR32" s="95">
        <v>0</v>
      </c>
      <c r="AS32" s="95">
        <v>0</v>
      </c>
      <c r="AT32" s="96">
        <v>0</v>
      </c>
      <c r="AU32" s="94">
        <v>80.855398236151586</v>
      </c>
      <c r="AV32" s="95">
        <v>0</v>
      </c>
      <c r="AW32" s="95">
        <v>0</v>
      </c>
      <c r="AX32" s="95">
        <v>0</v>
      </c>
      <c r="AY32" s="95">
        <v>0</v>
      </c>
      <c r="AZ32" s="95">
        <v>0</v>
      </c>
      <c r="BA32" s="95">
        <v>0</v>
      </c>
      <c r="BB32" s="95">
        <v>0</v>
      </c>
      <c r="BC32" s="96">
        <v>80.855398236151586</v>
      </c>
    </row>
    <row r="33" spans="1:55" hidden="1" x14ac:dyDescent="0.25">
      <c r="A33" s="578" t="s">
        <v>538</v>
      </c>
      <c r="B33" s="579" t="s">
        <v>556</v>
      </c>
      <c r="C33" s="44" t="s">
        <v>540</v>
      </c>
      <c r="D33" s="46">
        <v>0.98526125005623133</v>
      </c>
      <c r="E33" s="45">
        <v>1.4738749943768739E-2</v>
      </c>
      <c r="F33" s="47">
        <v>1</v>
      </c>
      <c r="I33" s="579" t="s">
        <v>556</v>
      </c>
      <c r="J33" s="44" t="s">
        <v>540</v>
      </c>
      <c r="K33" s="94">
        <v>0</v>
      </c>
      <c r="L33" s="95">
        <v>0</v>
      </c>
      <c r="M33" s="95">
        <v>0</v>
      </c>
      <c r="N33" s="95">
        <v>0</v>
      </c>
      <c r="O33" s="95">
        <v>0</v>
      </c>
      <c r="P33" s="95">
        <v>0</v>
      </c>
      <c r="Q33" s="95">
        <v>0</v>
      </c>
      <c r="R33" s="95">
        <v>0</v>
      </c>
      <c r="S33" s="96">
        <v>0</v>
      </c>
      <c r="T33" s="94">
        <v>0</v>
      </c>
      <c r="U33" s="95">
        <v>0</v>
      </c>
      <c r="V33" s="95">
        <v>0</v>
      </c>
      <c r="W33" s="95">
        <v>0</v>
      </c>
      <c r="X33" s="95">
        <v>0</v>
      </c>
      <c r="Y33" s="95">
        <v>0</v>
      </c>
      <c r="Z33" s="95">
        <v>0</v>
      </c>
      <c r="AA33" s="95">
        <v>0</v>
      </c>
      <c r="AB33" s="96">
        <v>0</v>
      </c>
      <c r="AC33" s="94">
        <v>0</v>
      </c>
      <c r="AD33" s="95">
        <v>0</v>
      </c>
      <c r="AE33" s="95">
        <v>0</v>
      </c>
      <c r="AF33" s="95">
        <v>0</v>
      </c>
      <c r="AG33" s="95">
        <v>0</v>
      </c>
      <c r="AH33" s="95">
        <v>0</v>
      </c>
      <c r="AI33" s="95">
        <v>0</v>
      </c>
      <c r="AJ33" s="95">
        <v>0</v>
      </c>
      <c r="AK33" s="96">
        <v>0</v>
      </c>
      <c r="AL33" s="94">
        <v>0</v>
      </c>
      <c r="AM33" s="95">
        <v>0</v>
      </c>
      <c r="AN33" s="95">
        <v>0</v>
      </c>
      <c r="AO33" s="95">
        <v>0</v>
      </c>
      <c r="AP33" s="95">
        <v>0</v>
      </c>
      <c r="AQ33" s="95">
        <v>0</v>
      </c>
      <c r="AR33" s="95">
        <v>0</v>
      </c>
      <c r="AS33" s="95">
        <v>0</v>
      </c>
      <c r="AT33" s="96">
        <v>0</v>
      </c>
      <c r="AU33" s="94">
        <v>0</v>
      </c>
      <c r="AV33" s="95">
        <v>0</v>
      </c>
      <c r="AW33" s="95">
        <v>0</v>
      </c>
      <c r="AX33" s="95">
        <v>0</v>
      </c>
      <c r="AY33" s="95">
        <v>0</v>
      </c>
      <c r="AZ33" s="95">
        <v>0</v>
      </c>
      <c r="BA33" s="95">
        <v>0</v>
      </c>
      <c r="BB33" s="95">
        <v>0</v>
      </c>
      <c r="BC33" s="96">
        <v>0</v>
      </c>
    </row>
    <row r="34" spans="1:55" hidden="1" x14ac:dyDescent="0.25"/>
  </sheetData>
  <mergeCells count="7">
    <mergeCell ref="A1:H1"/>
    <mergeCell ref="AU15:BC15"/>
    <mergeCell ref="D15:F15"/>
    <mergeCell ref="K15:S15"/>
    <mergeCell ref="T15:AB15"/>
    <mergeCell ref="AC15:AK15"/>
    <mergeCell ref="AL15:AT15"/>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C2528-244E-42F6-AB8E-307C68E3EB6B}">
  <sheetPr codeName="Sheet21"/>
  <dimension ref="A1:AB22"/>
  <sheetViews>
    <sheetView zoomScaleNormal="100" workbookViewId="0">
      <selection sqref="A1:G1"/>
    </sheetView>
  </sheetViews>
  <sheetFormatPr defaultColWidth="8.6640625" defaultRowHeight="13.2" x14ac:dyDescent="0.25"/>
  <cols>
    <col min="1" max="2" width="12" style="4" customWidth="1"/>
    <col min="3" max="6" width="13.6640625" style="4" customWidth="1"/>
    <col min="7" max="7" width="13.33203125" style="4" customWidth="1"/>
    <col min="8" max="8" width="12.6640625" style="4" bestFit="1" customWidth="1"/>
    <col min="9" max="9" width="8.6640625" style="4"/>
    <col min="10" max="10" width="12" style="4" customWidth="1"/>
    <col min="11" max="11" width="14.109375" style="4" customWidth="1"/>
    <col min="12" max="12" width="10.33203125" style="4" customWidth="1"/>
    <col min="13" max="27" width="5.6640625" style="4" customWidth="1"/>
    <col min="28" max="16384" width="8.6640625" style="4"/>
  </cols>
  <sheetData>
    <row r="1" spans="1:28" ht="28.95" customHeight="1" x14ac:dyDescent="0.25">
      <c r="A1" s="615" t="s">
        <v>557</v>
      </c>
      <c r="B1" s="615"/>
      <c r="C1" s="615"/>
      <c r="D1" s="615"/>
      <c r="E1" s="615"/>
      <c r="F1" s="615"/>
      <c r="G1" s="615"/>
      <c r="J1" s="630" t="s">
        <v>557</v>
      </c>
      <c r="K1" s="630"/>
      <c r="L1" s="630"/>
      <c r="M1" s="630"/>
      <c r="N1" s="630"/>
      <c r="O1" s="630"/>
      <c r="P1" s="630"/>
      <c r="Q1" s="630"/>
      <c r="R1" s="630"/>
      <c r="S1" s="630"/>
      <c r="T1" s="630"/>
      <c r="U1" s="630"/>
      <c r="V1" s="630"/>
      <c r="W1" s="630"/>
      <c r="X1" s="630"/>
      <c r="Y1" s="630"/>
      <c r="Z1" s="630"/>
      <c r="AA1" s="630"/>
    </row>
    <row r="2" spans="1:28" ht="21" customHeight="1" x14ac:dyDescent="0.25">
      <c r="A2" s="827" t="s">
        <v>188</v>
      </c>
      <c r="B2" s="827" t="s">
        <v>491</v>
      </c>
      <c r="C2" s="827" t="s">
        <v>558</v>
      </c>
      <c r="D2" s="827"/>
      <c r="E2" s="827"/>
      <c r="F2" s="827"/>
      <c r="G2" s="827"/>
      <c r="J2" s="827" t="s">
        <v>188</v>
      </c>
      <c r="K2" s="827" t="s">
        <v>558</v>
      </c>
      <c r="L2" s="827" t="s">
        <v>491</v>
      </c>
      <c r="M2" s="827"/>
      <c r="N2" s="827"/>
      <c r="O2" s="827"/>
      <c r="P2" s="827"/>
      <c r="Q2" s="827"/>
      <c r="R2" s="827"/>
      <c r="S2" s="827"/>
      <c r="T2" s="827"/>
      <c r="U2" s="827"/>
      <c r="V2" s="827"/>
      <c r="W2" s="827"/>
      <c r="X2" s="827"/>
      <c r="Y2" s="827"/>
      <c r="Z2" s="827"/>
      <c r="AA2" s="827"/>
    </row>
    <row r="3" spans="1:28" ht="21" customHeight="1" x14ac:dyDescent="0.25">
      <c r="A3" s="827"/>
      <c r="B3" s="827"/>
      <c r="C3" s="531" t="s">
        <v>559</v>
      </c>
      <c r="D3" s="531" t="s">
        <v>218</v>
      </c>
      <c r="E3" s="531" t="s">
        <v>220</v>
      </c>
      <c r="F3" s="531" t="s">
        <v>222</v>
      </c>
      <c r="G3" s="531" t="s">
        <v>560</v>
      </c>
      <c r="J3" s="827"/>
      <c r="K3" s="827"/>
      <c r="L3" s="531">
        <v>1</v>
      </c>
      <c r="M3" s="531">
        <v>2</v>
      </c>
      <c r="N3" s="531">
        <v>3</v>
      </c>
      <c r="O3" s="531">
        <v>4</v>
      </c>
      <c r="P3" s="531">
        <v>5</v>
      </c>
      <c r="Q3" s="531">
        <v>6</v>
      </c>
      <c r="R3" s="531">
        <v>7</v>
      </c>
      <c r="S3" s="531">
        <v>8</v>
      </c>
      <c r="T3" s="531">
        <v>9</v>
      </c>
      <c r="U3" s="531">
        <v>10</v>
      </c>
      <c r="V3" s="531">
        <v>11</v>
      </c>
      <c r="W3" s="531">
        <v>12</v>
      </c>
      <c r="X3" s="531">
        <v>13</v>
      </c>
      <c r="Y3" s="531">
        <v>14</v>
      </c>
      <c r="Z3" s="531">
        <v>15</v>
      </c>
      <c r="AA3" s="531">
        <v>16</v>
      </c>
    </row>
    <row r="4" spans="1:28" ht="16.95" customHeight="1" x14ac:dyDescent="0.25">
      <c r="A4" s="825" t="s">
        <v>81</v>
      </c>
      <c r="B4" s="120">
        <v>1</v>
      </c>
      <c r="C4" s="110"/>
      <c r="D4" s="110"/>
      <c r="E4" s="110"/>
      <c r="F4" s="110"/>
      <c r="G4" s="111"/>
      <c r="H4" s="123">
        <f>SUM(C4:G4)</f>
        <v>0</v>
      </c>
      <c r="J4" s="822" t="s">
        <v>81</v>
      </c>
      <c r="K4" s="119" t="s">
        <v>559</v>
      </c>
      <c r="L4" s="57"/>
      <c r="M4" s="57"/>
      <c r="N4" s="57"/>
      <c r="O4" s="57"/>
      <c r="P4" s="57"/>
      <c r="Q4" s="57"/>
      <c r="R4" s="57"/>
      <c r="S4" s="57"/>
      <c r="T4" s="57"/>
      <c r="U4" s="57"/>
      <c r="V4" s="57"/>
      <c r="W4" s="57"/>
      <c r="X4" s="57"/>
      <c r="Y4" s="57"/>
      <c r="Z4" s="57"/>
      <c r="AA4" s="57"/>
      <c r="AB4" s="123">
        <f>SUM(L4:AA4)</f>
        <v>0</v>
      </c>
    </row>
    <row r="5" spans="1:28" ht="16.95" customHeight="1" x14ac:dyDescent="0.25">
      <c r="A5" s="826"/>
      <c r="B5" s="121">
        <v>2</v>
      </c>
      <c r="C5" s="57"/>
      <c r="D5" s="57"/>
      <c r="E5" s="57"/>
      <c r="F5" s="57"/>
      <c r="G5" s="97"/>
      <c r="H5" s="123">
        <f t="shared" ref="H5:H19" si="0">SUM(C5:G5)</f>
        <v>0</v>
      </c>
      <c r="J5" s="823"/>
      <c r="K5" s="119" t="s">
        <v>218</v>
      </c>
      <c r="L5" s="57"/>
      <c r="M5" s="57"/>
      <c r="N5" s="57"/>
      <c r="O5" s="57"/>
      <c r="P5" s="57"/>
      <c r="Q5" s="57"/>
      <c r="R5" s="57"/>
      <c r="S5" s="57"/>
      <c r="T5" s="57"/>
      <c r="U5" s="57"/>
      <c r="V5" s="57"/>
      <c r="W5" s="57"/>
      <c r="X5" s="57"/>
      <c r="Y5" s="57"/>
      <c r="Z5" s="57"/>
      <c r="AA5" s="57"/>
      <c r="AB5" s="123">
        <f>SUM(L5:AA5)</f>
        <v>0</v>
      </c>
    </row>
    <row r="6" spans="1:28" ht="16.95" customHeight="1" x14ac:dyDescent="0.25">
      <c r="A6" s="826"/>
      <c r="B6" s="121">
        <v>3</v>
      </c>
      <c r="C6" s="57"/>
      <c r="D6" s="57"/>
      <c r="E6" s="57"/>
      <c r="F6" s="57"/>
      <c r="G6" s="97"/>
      <c r="H6" s="123">
        <f t="shared" si="0"/>
        <v>0</v>
      </c>
      <c r="J6" s="823"/>
      <c r="K6" s="119" t="s">
        <v>220</v>
      </c>
      <c r="L6" s="57"/>
      <c r="M6" s="57"/>
      <c r="N6" s="57"/>
      <c r="O6" s="57"/>
      <c r="P6" s="57"/>
      <c r="Q6" s="57"/>
      <c r="R6" s="57"/>
      <c r="S6" s="57"/>
      <c r="T6" s="57"/>
      <c r="U6" s="57"/>
      <c r="V6" s="57"/>
      <c r="W6" s="57"/>
      <c r="X6" s="57"/>
      <c r="Y6" s="57"/>
      <c r="Z6" s="57"/>
      <c r="AA6" s="57"/>
      <c r="AB6" s="123">
        <f>SUM(L6:AA6)</f>
        <v>0</v>
      </c>
    </row>
    <row r="7" spans="1:28" ht="16.95" customHeight="1" x14ac:dyDescent="0.25">
      <c r="A7" s="826"/>
      <c r="B7" s="121">
        <v>4</v>
      </c>
      <c r="C7" s="57"/>
      <c r="D7" s="57"/>
      <c r="E7" s="57"/>
      <c r="F7" s="57"/>
      <c r="G7" s="97"/>
      <c r="H7" s="123">
        <f t="shared" si="0"/>
        <v>0</v>
      </c>
      <c r="J7" s="823"/>
      <c r="K7" s="119" t="s">
        <v>222</v>
      </c>
      <c r="L7" s="57"/>
      <c r="M7" s="57"/>
      <c r="N7" s="57"/>
      <c r="O7" s="57"/>
      <c r="P7" s="57"/>
      <c r="Q7" s="57"/>
      <c r="R7" s="57"/>
      <c r="S7" s="57"/>
      <c r="T7" s="57"/>
      <c r="U7" s="57"/>
      <c r="V7" s="57"/>
      <c r="W7" s="57"/>
      <c r="X7" s="57"/>
      <c r="Y7" s="57"/>
      <c r="Z7" s="57"/>
      <c r="AA7" s="57"/>
      <c r="AB7" s="123">
        <f>SUM(L7:AA7)</f>
        <v>0</v>
      </c>
    </row>
    <row r="8" spans="1:28" ht="16.95" customHeight="1" x14ac:dyDescent="0.25">
      <c r="A8" s="826"/>
      <c r="B8" s="121">
        <v>5</v>
      </c>
      <c r="C8" s="57"/>
      <c r="D8" s="57"/>
      <c r="E8" s="57"/>
      <c r="F8" s="57"/>
      <c r="G8" s="97"/>
      <c r="H8" s="123">
        <f t="shared" si="0"/>
        <v>0</v>
      </c>
      <c r="J8" s="823"/>
      <c r="K8" s="119" t="s">
        <v>560</v>
      </c>
      <c r="L8" s="57"/>
      <c r="M8" s="57"/>
      <c r="N8" s="57"/>
      <c r="O8" s="57"/>
      <c r="P8" s="57"/>
      <c r="Q8" s="57"/>
      <c r="R8" s="57"/>
      <c r="S8" s="57"/>
      <c r="T8" s="57"/>
      <c r="U8" s="57"/>
      <c r="V8" s="57"/>
      <c r="W8" s="57"/>
      <c r="X8" s="57"/>
      <c r="Y8" s="57"/>
      <c r="Z8" s="57"/>
      <c r="AA8" s="57"/>
      <c r="AB8" s="123">
        <f>SUM(L8:AA8)</f>
        <v>0</v>
      </c>
    </row>
    <row r="9" spans="1:28" ht="16.95" customHeight="1" x14ac:dyDescent="0.25">
      <c r="A9" s="826"/>
      <c r="B9" s="121">
        <v>6</v>
      </c>
      <c r="C9" s="57"/>
      <c r="D9" s="57"/>
      <c r="E9" s="57"/>
      <c r="F9" s="57"/>
      <c r="G9" s="97"/>
      <c r="H9" s="123">
        <f t="shared" si="0"/>
        <v>0</v>
      </c>
      <c r="J9" s="824"/>
      <c r="K9" s="119" t="s">
        <v>185</v>
      </c>
      <c r="L9" s="57"/>
      <c r="M9" s="57"/>
      <c r="N9" s="57"/>
      <c r="O9" s="57"/>
      <c r="P9" s="57"/>
      <c r="Q9" s="57"/>
      <c r="R9" s="57"/>
      <c r="S9" s="57"/>
      <c r="T9" s="57"/>
      <c r="U9" s="57"/>
      <c r="V9" s="57"/>
      <c r="W9" s="57"/>
      <c r="X9" s="57"/>
      <c r="Y9" s="57"/>
      <c r="Z9" s="57"/>
      <c r="AA9" s="57"/>
      <c r="AB9" s="41"/>
    </row>
    <row r="10" spans="1:28" ht="16.95" customHeight="1" x14ac:dyDescent="0.25">
      <c r="A10" s="826"/>
      <c r="B10" s="121">
        <v>7</v>
      </c>
      <c r="C10" s="57"/>
      <c r="D10" s="57"/>
      <c r="E10" s="57"/>
      <c r="F10" s="57"/>
      <c r="G10" s="97"/>
      <c r="H10" s="123">
        <f t="shared" si="0"/>
        <v>0</v>
      </c>
      <c r="J10" s="6"/>
      <c r="K10" s="118"/>
      <c r="L10" s="34"/>
      <c r="M10" s="34"/>
      <c r="N10" s="34"/>
      <c r="O10" s="34"/>
      <c r="P10" s="99"/>
    </row>
    <row r="11" spans="1:28" ht="16.95" customHeight="1" x14ac:dyDescent="0.25">
      <c r="A11" s="826"/>
      <c r="B11" s="121">
        <v>8</v>
      </c>
      <c r="C11" s="57"/>
      <c r="D11" s="57"/>
      <c r="E11" s="57"/>
      <c r="F11" s="57"/>
      <c r="G11" s="97"/>
      <c r="H11" s="123">
        <f t="shared" si="0"/>
        <v>0</v>
      </c>
      <c r="J11" s="6"/>
      <c r="K11" s="118"/>
      <c r="L11" s="34"/>
      <c r="M11" s="34"/>
      <c r="N11" s="34"/>
      <c r="O11" s="34"/>
      <c r="P11" s="99"/>
    </row>
    <row r="12" spans="1:28" ht="16.95" customHeight="1" x14ac:dyDescent="0.25">
      <c r="A12" s="826"/>
      <c r="B12" s="121">
        <v>9</v>
      </c>
      <c r="C12" s="57"/>
      <c r="D12" s="57"/>
      <c r="E12" s="57"/>
      <c r="F12" s="57"/>
      <c r="G12" s="97"/>
      <c r="H12" s="123">
        <f t="shared" si="0"/>
        <v>0</v>
      </c>
      <c r="J12" s="6"/>
      <c r="K12" s="118"/>
      <c r="L12" s="34"/>
      <c r="M12" s="34"/>
      <c r="N12" s="34"/>
      <c r="O12" s="34"/>
      <c r="P12" s="99"/>
    </row>
    <row r="13" spans="1:28" ht="16.95" customHeight="1" x14ac:dyDescent="0.25">
      <c r="A13" s="826"/>
      <c r="B13" s="121">
        <v>10</v>
      </c>
      <c r="C13" s="57"/>
      <c r="D13" s="57"/>
      <c r="E13" s="57"/>
      <c r="F13" s="57"/>
      <c r="G13" s="97"/>
      <c r="H13" s="123">
        <f t="shared" si="0"/>
        <v>0</v>
      </c>
      <c r="J13" s="6"/>
      <c r="K13" s="118"/>
      <c r="L13" s="34"/>
      <c r="M13" s="34"/>
      <c r="N13" s="34"/>
      <c r="O13" s="34"/>
      <c r="P13" s="99"/>
    </row>
    <row r="14" spans="1:28" ht="16.95" customHeight="1" x14ac:dyDescent="0.25">
      <c r="A14" s="826"/>
      <c r="B14" s="121">
        <v>11</v>
      </c>
      <c r="C14" s="57"/>
      <c r="D14" s="57"/>
      <c r="E14" s="57"/>
      <c r="F14" s="57"/>
      <c r="G14" s="97"/>
      <c r="H14" s="123">
        <f t="shared" si="0"/>
        <v>0</v>
      </c>
      <c r="J14" s="6"/>
      <c r="K14" s="118"/>
      <c r="L14" s="34"/>
      <c r="M14" s="34"/>
      <c r="N14" s="34"/>
      <c r="O14" s="34"/>
      <c r="P14" s="99"/>
    </row>
    <row r="15" spans="1:28" ht="16.95" customHeight="1" x14ac:dyDescent="0.25">
      <c r="A15" s="826"/>
      <c r="B15" s="121">
        <v>12</v>
      </c>
      <c r="C15" s="57"/>
      <c r="D15" s="57"/>
      <c r="E15" s="57"/>
      <c r="F15" s="57"/>
      <c r="G15" s="97"/>
      <c r="H15" s="123">
        <f t="shared" si="0"/>
        <v>0</v>
      </c>
      <c r="J15" s="6"/>
      <c r="K15" s="118"/>
      <c r="L15" s="34"/>
      <c r="M15" s="34"/>
      <c r="N15" s="34"/>
      <c r="O15" s="34"/>
      <c r="P15" s="99"/>
    </row>
    <row r="16" spans="1:28" ht="16.95" customHeight="1" x14ac:dyDescent="0.25">
      <c r="A16" s="826"/>
      <c r="B16" s="121">
        <v>13</v>
      </c>
      <c r="C16" s="57"/>
      <c r="D16" s="57"/>
      <c r="E16" s="57"/>
      <c r="F16" s="57"/>
      <c r="G16" s="97"/>
      <c r="H16" s="123">
        <f t="shared" si="0"/>
        <v>0</v>
      </c>
      <c r="J16" s="6"/>
      <c r="K16" s="118"/>
      <c r="L16" s="34"/>
      <c r="M16" s="34"/>
      <c r="N16" s="34"/>
      <c r="O16" s="34"/>
      <c r="P16" s="99"/>
    </row>
    <row r="17" spans="1:16" ht="16.95" customHeight="1" x14ac:dyDescent="0.25">
      <c r="A17" s="826"/>
      <c r="B17" s="121">
        <v>14</v>
      </c>
      <c r="C17" s="57"/>
      <c r="D17" s="57"/>
      <c r="E17" s="57"/>
      <c r="F17" s="57"/>
      <c r="G17" s="97"/>
      <c r="H17" s="123">
        <f t="shared" si="0"/>
        <v>0</v>
      </c>
      <c r="J17" s="6"/>
      <c r="K17" s="118"/>
      <c r="L17" s="34"/>
      <c r="M17" s="34"/>
      <c r="N17" s="34"/>
      <c r="O17" s="34"/>
      <c r="P17" s="99"/>
    </row>
    <row r="18" spans="1:16" ht="16.95" customHeight="1" x14ac:dyDescent="0.25">
      <c r="A18" s="826"/>
      <c r="B18" s="121">
        <v>15</v>
      </c>
      <c r="C18" s="57"/>
      <c r="D18" s="57"/>
      <c r="E18" s="57"/>
      <c r="F18" s="57"/>
      <c r="G18" s="97"/>
      <c r="H18" s="123">
        <f t="shared" si="0"/>
        <v>0</v>
      </c>
      <c r="J18" s="6"/>
      <c r="K18" s="118"/>
      <c r="L18" s="34"/>
      <c r="M18" s="34"/>
      <c r="N18" s="34"/>
      <c r="O18" s="34"/>
      <c r="P18" s="99"/>
    </row>
    <row r="19" spans="1:16" ht="16.95" customHeight="1" x14ac:dyDescent="0.25">
      <c r="A19" s="826"/>
      <c r="B19" s="121">
        <v>16</v>
      </c>
      <c r="C19" s="97"/>
      <c r="D19" s="97"/>
      <c r="E19" s="97"/>
      <c r="F19" s="97"/>
      <c r="G19" s="97"/>
      <c r="H19" s="123">
        <f t="shared" si="0"/>
        <v>0</v>
      </c>
      <c r="J19" s="6"/>
      <c r="K19" s="118"/>
      <c r="L19" s="34"/>
      <c r="M19" s="34"/>
      <c r="N19" s="34"/>
      <c r="O19" s="34"/>
      <c r="P19" s="99"/>
    </row>
    <row r="20" spans="1:16" x14ac:dyDescent="0.25">
      <c r="A20" s="826"/>
      <c r="B20" s="122" t="s">
        <v>539</v>
      </c>
      <c r="C20" s="97"/>
      <c r="D20" s="97"/>
      <c r="E20" s="97"/>
      <c r="F20" s="97"/>
      <c r="G20" s="97"/>
    </row>
    <row r="22" spans="1:16" x14ac:dyDescent="0.25">
      <c r="A22" s="4" t="s">
        <v>561</v>
      </c>
    </row>
  </sheetData>
  <mergeCells count="10">
    <mergeCell ref="J4:J9"/>
    <mergeCell ref="A4:A20"/>
    <mergeCell ref="J1:AA1"/>
    <mergeCell ref="C2:G2"/>
    <mergeCell ref="L2:AA2"/>
    <mergeCell ref="K2:K3"/>
    <mergeCell ref="J2:J3"/>
    <mergeCell ref="A1:G1"/>
    <mergeCell ref="B2:B3"/>
    <mergeCell ref="A2:A3"/>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C638C3-9269-4523-B14B-D8D22DE74C86}">
  <sheetPr codeName="Sheet14"/>
  <dimension ref="A1:J1"/>
  <sheetViews>
    <sheetView workbookViewId="0">
      <selection sqref="A1:J1"/>
    </sheetView>
  </sheetViews>
  <sheetFormatPr defaultRowHeight="14.4" x14ac:dyDescent="0.3"/>
  <sheetData>
    <row r="1" spans="1:10" ht="15.6" customHeight="1" x14ac:dyDescent="0.3">
      <c r="A1" s="828" t="s">
        <v>562</v>
      </c>
      <c r="B1" s="828"/>
      <c r="C1" s="828"/>
      <c r="D1" s="828"/>
      <c r="E1" s="828"/>
      <c r="F1" s="828"/>
      <c r="G1" s="828"/>
      <c r="H1" s="828"/>
      <c r="I1" s="828"/>
      <c r="J1" s="828"/>
    </row>
  </sheetData>
  <mergeCells count="1">
    <mergeCell ref="A1:J1"/>
  </mergeCell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56367-4CCD-4E1A-A56D-C2A30125CE86}">
  <sheetPr codeName="Sheet24"/>
  <dimension ref="A1:G83"/>
  <sheetViews>
    <sheetView topLeftCell="A55" workbookViewId="0">
      <selection activeCell="D85" sqref="D85"/>
    </sheetView>
  </sheetViews>
  <sheetFormatPr defaultRowHeight="14.4" x14ac:dyDescent="0.3"/>
  <cols>
    <col min="1" max="1" width="58.6640625" customWidth="1"/>
    <col min="2" max="2" width="30.88671875" customWidth="1"/>
    <col min="3" max="3" width="30.33203125" customWidth="1"/>
  </cols>
  <sheetData>
    <row r="1" spans="1:7" x14ac:dyDescent="0.3">
      <c r="A1" t="s">
        <v>563</v>
      </c>
      <c r="B1" t="s">
        <v>564</v>
      </c>
      <c r="C1" t="s">
        <v>564</v>
      </c>
      <c r="D1" s="829" t="s">
        <v>565</v>
      </c>
      <c r="E1" s="829"/>
      <c r="F1" s="829"/>
      <c r="G1" s="829"/>
    </row>
    <row r="2" spans="1:7" x14ac:dyDescent="0.3">
      <c r="A2" s="324" t="s">
        <v>566</v>
      </c>
      <c r="D2">
        <v>2013</v>
      </c>
      <c r="E2">
        <v>2016</v>
      </c>
      <c r="F2">
        <v>2019</v>
      </c>
      <c r="G2">
        <v>2025</v>
      </c>
    </row>
    <row r="3" spans="1:7" x14ac:dyDescent="0.3">
      <c r="A3" s="324" t="s">
        <v>567</v>
      </c>
    </row>
    <row r="4" spans="1:7" x14ac:dyDescent="0.3">
      <c r="A4" t="s">
        <v>568</v>
      </c>
    </row>
    <row r="5" spans="1:7" x14ac:dyDescent="0.3">
      <c r="A5" t="s">
        <v>569</v>
      </c>
    </row>
    <row r="6" spans="1:7" x14ac:dyDescent="0.3">
      <c r="A6" t="s">
        <v>570</v>
      </c>
    </row>
    <row r="7" spans="1:7" x14ac:dyDescent="0.3">
      <c r="A7" t="s">
        <v>571</v>
      </c>
    </row>
    <row r="8" spans="1:7" x14ac:dyDescent="0.3">
      <c r="A8" t="s">
        <v>572</v>
      </c>
    </row>
    <row r="9" spans="1:7" x14ac:dyDescent="0.3">
      <c r="A9" t="s">
        <v>573</v>
      </c>
    </row>
    <row r="10" spans="1:7" x14ac:dyDescent="0.3">
      <c r="A10" t="s">
        <v>574</v>
      </c>
    </row>
    <row r="11" spans="1:7" x14ac:dyDescent="0.3">
      <c r="A11" t="s">
        <v>575</v>
      </c>
    </row>
    <row r="12" spans="1:7" x14ac:dyDescent="0.3">
      <c r="A12" t="s">
        <v>576</v>
      </c>
    </row>
    <row r="13" spans="1:7" x14ac:dyDescent="0.3">
      <c r="A13" t="s">
        <v>577</v>
      </c>
    </row>
    <row r="14" spans="1:7" x14ac:dyDescent="0.3">
      <c r="A14" t="s">
        <v>578</v>
      </c>
    </row>
    <row r="15" spans="1:7" x14ac:dyDescent="0.3">
      <c r="A15" t="s">
        <v>579</v>
      </c>
    </row>
    <row r="16" spans="1:7" x14ac:dyDescent="0.3">
      <c r="A16" t="s">
        <v>580</v>
      </c>
    </row>
    <row r="17" spans="1:1" x14ac:dyDescent="0.3">
      <c r="A17" t="s">
        <v>150</v>
      </c>
    </row>
    <row r="18" spans="1:1" x14ac:dyDescent="0.3">
      <c r="A18" t="s">
        <v>581</v>
      </c>
    </row>
    <row r="19" spans="1:1" x14ac:dyDescent="0.3">
      <c r="A19" t="s">
        <v>168</v>
      </c>
    </row>
    <row r="20" spans="1:1" x14ac:dyDescent="0.3">
      <c r="A20" t="s">
        <v>582</v>
      </c>
    </row>
    <row r="21" spans="1:1" x14ac:dyDescent="0.3">
      <c r="A21" t="s">
        <v>583</v>
      </c>
    </row>
    <row r="22" spans="1:1" x14ac:dyDescent="0.3">
      <c r="A22" t="s">
        <v>584</v>
      </c>
    </row>
    <row r="23" spans="1:1" x14ac:dyDescent="0.3">
      <c r="A23" t="s">
        <v>160</v>
      </c>
    </row>
    <row r="24" spans="1:1" x14ac:dyDescent="0.3">
      <c r="A24" t="s">
        <v>585</v>
      </c>
    </row>
    <row r="25" spans="1:1" x14ac:dyDescent="0.3">
      <c r="A25" t="s">
        <v>586</v>
      </c>
    </row>
    <row r="26" spans="1:1" x14ac:dyDescent="0.3">
      <c r="A26" t="s">
        <v>587</v>
      </c>
    </row>
    <row r="27" spans="1:1" x14ac:dyDescent="0.3">
      <c r="A27" t="s">
        <v>588</v>
      </c>
    </row>
    <row r="28" spans="1:1" x14ac:dyDescent="0.3">
      <c r="A28" t="s">
        <v>589</v>
      </c>
    </row>
    <row r="29" spans="1:1" x14ac:dyDescent="0.3">
      <c r="A29" t="s">
        <v>590</v>
      </c>
    </row>
    <row r="30" spans="1:1" x14ac:dyDescent="0.3">
      <c r="A30" t="s">
        <v>591</v>
      </c>
    </row>
    <row r="31" spans="1:1" x14ac:dyDescent="0.3">
      <c r="A31" t="s">
        <v>592</v>
      </c>
    </row>
    <row r="32" spans="1:1" x14ac:dyDescent="0.3">
      <c r="A32" t="s">
        <v>593</v>
      </c>
    </row>
    <row r="33" spans="1:1" x14ac:dyDescent="0.3">
      <c r="A33" t="s">
        <v>594</v>
      </c>
    </row>
    <row r="34" spans="1:1" x14ac:dyDescent="0.3">
      <c r="A34" t="s">
        <v>595</v>
      </c>
    </row>
    <row r="35" spans="1:1" x14ac:dyDescent="0.3">
      <c r="A35" t="s">
        <v>596</v>
      </c>
    </row>
    <row r="36" spans="1:1" x14ac:dyDescent="0.3">
      <c r="A36" t="s">
        <v>597</v>
      </c>
    </row>
    <row r="37" spans="1:1" x14ac:dyDescent="0.3">
      <c r="A37" t="s">
        <v>598</v>
      </c>
    </row>
    <row r="38" spans="1:1" x14ac:dyDescent="0.3">
      <c r="A38" t="s">
        <v>599</v>
      </c>
    </row>
    <row r="39" spans="1:1" x14ac:dyDescent="0.3">
      <c r="A39" t="s">
        <v>600</v>
      </c>
    </row>
    <row r="40" spans="1:1" x14ac:dyDescent="0.3">
      <c r="A40" t="s">
        <v>601</v>
      </c>
    </row>
    <row r="41" spans="1:1" x14ac:dyDescent="0.3">
      <c r="A41" t="s">
        <v>602</v>
      </c>
    </row>
    <row r="42" spans="1:1" x14ac:dyDescent="0.3">
      <c r="A42" t="s">
        <v>153</v>
      </c>
    </row>
    <row r="43" spans="1:1" x14ac:dyDescent="0.3">
      <c r="A43" t="s">
        <v>603</v>
      </c>
    </row>
    <row r="44" spans="1:1" x14ac:dyDescent="0.3">
      <c r="A44" t="s">
        <v>166</v>
      </c>
    </row>
    <row r="45" spans="1:1" x14ac:dyDescent="0.3">
      <c r="A45" t="s">
        <v>604</v>
      </c>
    </row>
    <row r="46" spans="1:1" x14ac:dyDescent="0.3">
      <c r="A46" t="s">
        <v>605</v>
      </c>
    </row>
    <row r="47" spans="1:1" x14ac:dyDescent="0.3">
      <c r="A47" t="s">
        <v>606</v>
      </c>
    </row>
    <row r="48" spans="1:1" x14ac:dyDescent="0.3">
      <c r="A48" t="s">
        <v>607</v>
      </c>
    </row>
    <row r="49" spans="1:1" x14ac:dyDescent="0.3">
      <c r="A49" t="s">
        <v>608</v>
      </c>
    </row>
    <row r="50" spans="1:1" x14ac:dyDescent="0.3">
      <c r="A50" t="s">
        <v>141</v>
      </c>
    </row>
    <row r="51" spans="1:1" x14ac:dyDescent="0.3">
      <c r="A51" t="s">
        <v>609</v>
      </c>
    </row>
    <row r="52" spans="1:1" x14ac:dyDescent="0.3">
      <c r="A52" t="s">
        <v>610</v>
      </c>
    </row>
    <row r="53" spans="1:1" x14ac:dyDescent="0.3">
      <c r="A53" t="s">
        <v>611</v>
      </c>
    </row>
    <row r="54" spans="1:1" x14ac:dyDescent="0.3">
      <c r="A54" t="s">
        <v>612</v>
      </c>
    </row>
    <row r="55" spans="1:1" x14ac:dyDescent="0.3">
      <c r="A55" t="s">
        <v>613</v>
      </c>
    </row>
    <row r="56" spans="1:1" x14ac:dyDescent="0.3">
      <c r="A56" t="s">
        <v>614</v>
      </c>
    </row>
    <row r="57" spans="1:1" x14ac:dyDescent="0.3">
      <c r="A57" t="s">
        <v>615</v>
      </c>
    </row>
    <row r="58" spans="1:1" x14ac:dyDescent="0.3">
      <c r="A58" t="s">
        <v>616</v>
      </c>
    </row>
    <row r="59" spans="1:1" x14ac:dyDescent="0.3">
      <c r="A59" t="s">
        <v>164</v>
      </c>
    </row>
    <row r="60" spans="1:1" x14ac:dyDescent="0.3">
      <c r="A60" t="s">
        <v>617</v>
      </c>
    </row>
    <row r="61" spans="1:1" x14ac:dyDescent="0.3">
      <c r="A61" t="s">
        <v>618</v>
      </c>
    </row>
    <row r="62" spans="1:1" x14ac:dyDescent="0.3">
      <c r="A62" t="s">
        <v>619</v>
      </c>
    </row>
    <row r="63" spans="1:1" x14ac:dyDescent="0.3">
      <c r="A63" t="s">
        <v>620</v>
      </c>
    </row>
    <row r="64" spans="1:1" x14ac:dyDescent="0.3">
      <c r="A64" t="s">
        <v>156</v>
      </c>
    </row>
    <row r="65" spans="1:1" x14ac:dyDescent="0.3">
      <c r="A65" t="s">
        <v>621</v>
      </c>
    </row>
    <row r="66" spans="1:1" x14ac:dyDescent="0.3">
      <c r="A66" t="s">
        <v>622</v>
      </c>
    </row>
    <row r="67" spans="1:1" x14ac:dyDescent="0.3">
      <c r="A67" t="s">
        <v>623</v>
      </c>
    </row>
    <row r="68" spans="1:1" x14ac:dyDescent="0.3">
      <c r="A68" t="s">
        <v>624</v>
      </c>
    </row>
    <row r="69" spans="1:1" x14ac:dyDescent="0.3">
      <c r="A69" t="s">
        <v>625</v>
      </c>
    </row>
    <row r="70" spans="1:1" x14ac:dyDescent="0.3">
      <c r="A70" t="s">
        <v>626</v>
      </c>
    </row>
    <row r="71" spans="1:1" x14ac:dyDescent="0.3">
      <c r="A71" t="s">
        <v>627</v>
      </c>
    </row>
    <row r="72" spans="1:1" x14ac:dyDescent="0.3">
      <c r="A72" t="s">
        <v>628</v>
      </c>
    </row>
    <row r="73" spans="1:1" x14ac:dyDescent="0.3">
      <c r="A73" t="s">
        <v>629</v>
      </c>
    </row>
    <row r="74" spans="1:1" x14ac:dyDescent="0.3">
      <c r="A74" t="s">
        <v>630</v>
      </c>
    </row>
    <row r="75" spans="1:1" x14ac:dyDescent="0.3">
      <c r="A75" t="s">
        <v>631</v>
      </c>
    </row>
    <row r="76" spans="1:1" x14ac:dyDescent="0.3">
      <c r="A76" t="s">
        <v>632</v>
      </c>
    </row>
    <row r="77" spans="1:1" x14ac:dyDescent="0.3">
      <c r="A77" t="s">
        <v>172</v>
      </c>
    </row>
    <row r="78" spans="1:1" x14ac:dyDescent="0.3">
      <c r="A78" t="s">
        <v>633</v>
      </c>
    </row>
    <row r="79" spans="1:1" x14ac:dyDescent="0.3">
      <c r="A79" t="s">
        <v>634</v>
      </c>
    </row>
    <row r="80" spans="1:1" x14ac:dyDescent="0.3">
      <c r="A80" t="s">
        <v>635</v>
      </c>
    </row>
    <row r="81" spans="1:1" x14ac:dyDescent="0.3">
      <c r="A81" t="s">
        <v>636</v>
      </c>
    </row>
    <row r="82" spans="1:1" x14ac:dyDescent="0.3">
      <c r="A82" t="s">
        <v>637</v>
      </c>
    </row>
    <row r="83" spans="1:1" x14ac:dyDescent="0.3">
      <c r="A83" t="s">
        <v>638</v>
      </c>
    </row>
  </sheetData>
  <mergeCells count="1">
    <mergeCell ref="D1:G1"/>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3D1D6A7EB2452B4A86A9506D4E13D4C9" ma:contentTypeVersion="3" ma:contentTypeDescription="Create a new document." ma:contentTypeScope="" ma:versionID="7cd6ed0cd056f112062446d0d1c544ce">
  <xsd:schema xmlns:xsd="http://www.w3.org/2001/XMLSchema" xmlns:xs="http://www.w3.org/2001/XMLSchema" xmlns:p="http://schemas.microsoft.com/office/2006/metadata/properties" xmlns:ns2="41613948-0554-4f13-babe-277410c056ca" targetNamespace="http://schemas.microsoft.com/office/2006/metadata/properties" ma:root="true" ma:fieldsID="60ca449bf2be89171a15d05d28af00ea" ns2:_="">
    <xsd:import namespace="41613948-0554-4f13-babe-277410c056ca"/>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1613948-0554-4f13-babe-277410c056c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0816333-575B-4274-8A3E-18699B071E90}">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AF55685A-7553-448B-B479-D6CCAB9D1C1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1613948-0554-4f13-babe-277410c056c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921AF10-0BF8-441A-BDBA-64AF3E09D45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Notes</vt:lpstr>
      <vt:lpstr>Prototype</vt:lpstr>
      <vt:lpstr>Zones</vt:lpstr>
      <vt:lpstr>Envelope</vt:lpstr>
      <vt:lpstr>HVAC System</vt:lpstr>
      <vt:lpstr>Thermostat</vt:lpstr>
      <vt:lpstr>Ventilation</vt:lpstr>
      <vt:lpstr>Water Heater</vt:lpstr>
      <vt:lpstr>Interior Lights</vt:lpstr>
      <vt:lpstr>Ext Lighting</vt:lpstr>
      <vt:lpstr>Equipment</vt:lpstr>
      <vt:lpstr>Schedules</vt:lpstr>
      <vt:lpstr>Energy Usage</vt:lpstr>
      <vt:lpstr>EV Charger</vt:lpstr>
      <vt:lpstr>Weights</vt:lpstr>
      <vt:lpstr>PV</vt:lpstr>
      <vt:lpstr>Data</vt:lpstr>
      <vt:lpstr>Space_Function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Yousefi, Fatemeh</dc:creator>
  <cp:keywords/>
  <dc:description/>
  <cp:lastModifiedBy>Yousefi, Fatemeh (Noresco EE)</cp:lastModifiedBy>
  <cp:revision/>
  <dcterms:created xsi:type="dcterms:W3CDTF">2024-06-21T17:19:36Z</dcterms:created>
  <dcterms:modified xsi:type="dcterms:W3CDTF">2026-10-09T06:38:18Z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7864bb8-b671-4bed-ba85-9478127ab5e9_Enabled">
    <vt:lpwstr>true</vt:lpwstr>
  </property>
  <property fmtid="{D5CDD505-2E9C-101B-9397-08002B2CF9AE}" pid="3" name="MSIP_Label_b7864bb8-b671-4bed-ba85-9478127ab5e9_SetDate">
    <vt:lpwstr>2024-06-21T17:19:48Z</vt:lpwstr>
  </property>
  <property fmtid="{D5CDD505-2E9C-101B-9397-08002B2CF9AE}" pid="4" name="MSIP_Label_b7864bb8-b671-4bed-ba85-9478127ab5e9_Method">
    <vt:lpwstr>Standard</vt:lpwstr>
  </property>
  <property fmtid="{D5CDD505-2E9C-101B-9397-08002B2CF9AE}" pid="5" name="MSIP_Label_b7864bb8-b671-4bed-ba85-9478127ab5e9_Name">
    <vt:lpwstr>Confidential – 2023</vt:lpwstr>
  </property>
  <property fmtid="{D5CDD505-2E9C-101B-9397-08002B2CF9AE}" pid="6" name="MSIP_Label_b7864bb8-b671-4bed-ba85-9478127ab5e9_SiteId">
    <vt:lpwstr>36839a65-7f3f-4bac-9ea4-f571f10a9a03</vt:lpwstr>
  </property>
  <property fmtid="{D5CDD505-2E9C-101B-9397-08002B2CF9AE}" pid="7" name="MSIP_Label_b7864bb8-b671-4bed-ba85-9478127ab5e9_ActionId">
    <vt:lpwstr>0e6e9a60-d2ab-4ce7-9a0a-ef72169e4f66</vt:lpwstr>
  </property>
  <property fmtid="{D5CDD505-2E9C-101B-9397-08002B2CF9AE}" pid="8" name="MSIP_Label_b7864bb8-b671-4bed-ba85-9478127ab5e9_ContentBits">
    <vt:lpwstr>0</vt:lpwstr>
  </property>
  <property fmtid="{D5CDD505-2E9C-101B-9397-08002B2CF9AE}" pid="9" name="ContentTypeId">
    <vt:lpwstr>0x0101003D1D6A7EB2452B4A86A9506D4E13D4C9</vt:lpwstr>
  </property>
  <property fmtid="{D5CDD505-2E9C-101B-9397-08002B2CF9AE}" pid="10" name="MediaServiceImageTags">
    <vt:lpwstr/>
  </property>
  <property fmtid="{D5CDD505-2E9C-101B-9397-08002B2CF9AE}" pid="11" name="xd_ProgID">
    <vt:lpwstr/>
  </property>
  <property fmtid="{D5CDD505-2E9C-101B-9397-08002B2CF9AE}" pid="12" name="ComplianceAssetId">
    <vt:lpwstr/>
  </property>
  <property fmtid="{D5CDD505-2E9C-101B-9397-08002B2CF9AE}" pid="13" name="TemplateUrl">
    <vt:lpwstr/>
  </property>
  <property fmtid="{D5CDD505-2E9C-101B-9397-08002B2CF9AE}" pid="14" name="_ExtendedDescription">
    <vt:lpwstr/>
  </property>
  <property fmtid="{D5CDD505-2E9C-101B-9397-08002B2CF9AE}" pid="15" name="TriggerFlowInfo">
    <vt:lpwstr/>
  </property>
  <property fmtid="{D5CDD505-2E9C-101B-9397-08002B2CF9AE}" pid="16" name="xd_Signature">
    <vt:bool>false</vt:bool>
  </property>
  <property fmtid="{D5CDD505-2E9C-101B-9397-08002B2CF9AE}" pid="17" name="MSIP_Label_aa7be39c-9e9f-446a-a199-286f73f56a3f_Enabled">
    <vt:lpwstr>true</vt:lpwstr>
  </property>
  <property fmtid="{D5CDD505-2E9C-101B-9397-08002B2CF9AE}" pid="18" name="MSIP_Label_aa7be39c-9e9f-446a-a199-286f73f56a3f_SetDate">
    <vt:lpwstr>2026-07-15T17:57:38Z</vt:lpwstr>
  </property>
  <property fmtid="{D5CDD505-2E9C-101B-9397-08002B2CF9AE}" pid="19" name="MSIP_Label_aa7be39c-9e9f-446a-a199-286f73f56a3f_Method">
    <vt:lpwstr>Standard</vt:lpwstr>
  </property>
  <property fmtid="{D5CDD505-2E9C-101B-9397-08002B2CF9AE}" pid="20" name="MSIP_Label_aa7be39c-9e9f-446a-a199-286f73f56a3f_Name">
    <vt:lpwstr>Confidential</vt:lpwstr>
  </property>
  <property fmtid="{D5CDD505-2E9C-101B-9397-08002B2CF9AE}" pid="21" name="MSIP_Label_aa7be39c-9e9f-446a-a199-286f73f56a3f_SiteId">
    <vt:lpwstr>85ad2a97-6942-4d5d-bc9c-35cd3905d69a</vt:lpwstr>
  </property>
  <property fmtid="{D5CDD505-2E9C-101B-9397-08002B2CF9AE}" pid="22" name="MSIP_Label_aa7be39c-9e9f-446a-a199-286f73f56a3f_ActionId">
    <vt:lpwstr>9aa52be7-e90f-4db3-9dfa-3134fb3d14a1</vt:lpwstr>
  </property>
  <property fmtid="{D5CDD505-2E9C-101B-9397-08002B2CF9AE}" pid="23" name="MSIP_Label_aa7be39c-9e9f-446a-a199-286f73f56a3f_ContentBits">
    <vt:lpwstr>0</vt:lpwstr>
  </property>
  <property fmtid="{D5CDD505-2E9C-101B-9397-08002B2CF9AE}" pid="24" name="MSIP_Label_aa7be39c-9e9f-446a-a199-286f73f56a3f_Tag">
    <vt:lpwstr>10, 3, 0, 2</vt:lpwstr>
  </property>
</Properties>
</file>