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916" documentId="8_{3C790435-0F9C-48BE-8712-63A2B44D22E6}" xr6:coauthVersionLast="47" xr6:coauthVersionMax="47" xr10:uidLastSave="{4F76EA7A-42D6-40A1-AAEF-49E07FF80419}"/>
  <bookViews>
    <workbookView xWindow="0" yWindow="600" windowWidth="23016" windowHeight="13080" tabRatio="890" firstSheet="1" activeTab="13" xr2:uid="{EAC23EE3-0CA0-4FF8-990D-9B21A59FA3E0}"/>
  </bookViews>
  <sheets>
    <sheet name="Notes" sheetId="23" r:id="rId1"/>
    <sheet name="Prototype" sheetId="2" r:id="rId2"/>
    <sheet name="Zones" sheetId="13" r:id="rId3"/>
    <sheet name="Envelope" sheetId="31" r:id="rId4"/>
    <sheet name="HVAC System" sheetId="14" r:id="rId5"/>
    <sheet name="Thermostat" sheetId="30" r:id="rId6"/>
    <sheet name="Ventilation" sheetId="18" r:id="rId7"/>
    <sheet name="Water Heater" sheetId="7"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2"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3">#REF!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21" l="1"/>
  <c r="A1" i="21"/>
  <c r="T4" i="20"/>
  <c r="V4" i="20" s="1"/>
  <c r="U4" i="20"/>
  <c r="T5" i="20"/>
  <c r="U5" i="20"/>
  <c r="V5" i="20"/>
  <c r="T6" i="20"/>
  <c r="U6" i="20"/>
  <c r="V6" i="20"/>
  <c r="T7" i="20"/>
  <c r="U7" i="20"/>
  <c r="V7" i="20"/>
  <c r="T8" i="20"/>
  <c r="U8" i="20"/>
  <c r="V8" i="20"/>
  <c r="T9" i="20"/>
  <c r="U9" i="20"/>
  <c r="V9" i="20"/>
  <c r="T10" i="20"/>
  <c r="U10" i="20"/>
  <c r="V10" i="20"/>
  <c r="T11" i="20"/>
  <c r="U11" i="20"/>
  <c r="V11" i="20"/>
  <c r="T12" i="20"/>
  <c r="U12" i="20"/>
  <c r="V12" i="20"/>
  <c r="T13" i="20"/>
  <c r="U13" i="20"/>
  <c r="V13" i="20"/>
  <c r="T14" i="20"/>
  <c r="U14" i="20"/>
  <c r="V14" i="20"/>
  <c r="T15" i="20"/>
  <c r="U15" i="20"/>
  <c r="V15" i="20"/>
  <c r="T16" i="20"/>
  <c r="U16" i="20"/>
  <c r="V16" i="20"/>
  <c r="T17" i="20"/>
  <c r="U17" i="20"/>
  <c r="V17" i="20"/>
  <c r="T18" i="20"/>
  <c r="U18" i="20"/>
  <c r="V18" i="20"/>
  <c r="V3" i="20"/>
  <c r="U3" i="20"/>
  <c r="T3" i="20"/>
  <c r="S4" i="20"/>
  <c r="S5" i="20"/>
  <c r="S6" i="20"/>
  <c r="S7" i="20"/>
  <c r="S8" i="20"/>
  <c r="S9" i="20"/>
  <c r="S10" i="20"/>
  <c r="S11" i="20"/>
  <c r="S12" i="20"/>
  <c r="S13" i="20"/>
  <c r="S14" i="20"/>
  <c r="S15" i="20"/>
  <c r="S16" i="20"/>
  <c r="S17" i="20"/>
  <c r="S18" i="20"/>
  <c r="S3" i="20"/>
  <c r="A1" i="20"/>
  <c r="J4" i="20"/>
  <c r="K4" i="20"/>
  <c r="J5" i="20"/>
  <c r="K5" i="20"/>
  <c r="J6" i="20"/>
  <c r="K6" i="20"/>
  <c r="J7" i="20"/>
  <c r="K7" i="20"/>
  <c r="J8" i="20"/>
  <c r="K8" i="20"/>
  <c r="L8" i="20" s="1"/>
  <c r="J9" i="20"/>
  <c r="L9" i="20" s="1"/>
  <c r="K9" i="20"/>
  <c r="J10" i="20"/>
  <c r="L10" i="20" s="1"/>
  <c r="K10" i="20"/>
  <c r="J11" i="20"/>
  <c r="L11" i="20" s="1"/>
  <c r="K11" i="20"/>
  <c r="J12" i="20"/>
  <c r="K12" i="20"/>
  <c r="J13" i="20"/>
  <c r="L13" i="20" s="1"/>
  <c r="K13" i="20"/>
  <c r="J14" i="20"/>
  <c r="K14" i="20"/>
  <c r="J15" i="20"/>
  <c r="K15" i="20"/>
  <c r="J16" i="20"/>
  <c r="K16" i="20"/>
  <c r="J17" i="20"/>
  <c r="L17" i="20" s="1"/>
  <c r="K17" i="20"/>
  <c r="J18" i="20"/>
  <c r="L18" i="20" s="1"/>
  <c r="K18" i="20"/>
  <c r="K3" i="20"/>
  <c r="J3" i="20"/>
  <c r="L3" i="20" s="1"/>
  <c r="K32" i="21"/>
  <c r="L32" i="21"/>
  <c r="M32" i="21"/>
  <c r="N32" i="21"/>
  <c r="F20" i="7"/>
  <c r="B22" i="28"/>
  <c r="A22" i="28"/>
  <c r="L12" i="20" l="1"/>
  <c r="L7" i="20"/>
  <c r="L6" i="20"/>
  <c r="L5" i="20"/>
  <c r="L15" i="20"/>
  <c r="L4" i="20"/>
  <c r="L14" i="20"/>
  <c r="L16" i="20"/>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G28" i="28"/>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6" i="28"/>
  <c r="F27" i="28"/>
  <c r="F25" i="28"/>
  <c r="F29" i="28"/>
  <c r="F30" i="28"/>
  <c r="F28" i="28"/>
  <c r="B10" i="28" l="1"/>
  <c r="B16" i="28" s="1"/>
  <c r="B25" i="28" s="1"/>
  <c r="A10" i="28"/>
  <c r="A16" i="28" s="1"/>
  <c r="A25" i="28" s="1"/>
  <c r="B7" i="28"/>
  <c r="B13" i="28" s="1"/>
  <c r="B19" i="28" s="1"/>
  <c r="B28" i="28" s="1"/>
  <c r="A7" i="28"/>
  <c r="A13" i="28" s="1"/>
  <c r="A19" i="28" s="1"/>
  <c r="A28" i="28" s="1"/>
  <c r="B18" i="7"/>
  <c r="B29" i="7"/>
  <c r="C18" i="7" l="1"/>
  <c r="D18" i="7" s="1"/>
  <c r="E18" i="7" s="1"/>
  <c r="C11" i="7" l="1"/>
  <c r="C9" i="7"/>
  <c r="C10" i="7"/>
  <c r="C8" i="7"/>
  <c r="C12" i="7" s="1"/>
  <c r="A9" i="7"/>
  <c r="A10" i="7"/>
  <c r="A11" i="7"/>
  <c r="A12" i="7"/>
  <c r="A8" i="7"/>
  <c r="A3" i="29"/>
  <c r="A4" i="25"/>
  <c r="D23" i="14"/>
  <c r="A1" i="29" l="1"/>
  <c r="C33" i="2" l="1"/>
  <c r="A1" i="22" l="1"/>
  <c r="A1" i="27"/>
  <c r="A1" i="28"/>
  <c r="A1" i="9"/>
  <c r="A1" i="25" l="1"/>
  <c r="A1" i="7"/>
  <c r="A1" i="18"/>
  <c r="A1" i="30"/>
  <c r="A1" i="14"/>
  <c r="A1" i="31"/>
  <c r="A1" i="13"/>
  <c r="X19" i="31" l="1"/>
  <c r="W19" i="31"/>
  <c r="V19" i="31"/>
  <c r="U19" i="31"/>
  <c r="T19" i="31"/>
  <c r="S19" i="31"/>
  <c r="R19" i="31"/>
  <c r="Q19" i="31"/>
  <c r="P19" i="31"/>
  <c r="O19" i="31"/>
  <c r="N19" i="31"/>
  <c r="M19" i="31"/>
  <c r="L19" i="31"/>
  <c r="K19" i="31"/>
  <c r="J19" i="31"/>
  <c r="I19" i="31"/>
  <c r="X18" i="31"/>
  <c r="W18" i="31"/>
  <c r="V18" i="31"/>
  <c r="U18" i="31"/>
  <c r="T18" i="31"/>
  <c r="S18" i="31"/>
  <c r="R18" i="31"/>
  <c r="Q18" i="31"/>
  <c r="P18" i="31"/>
  <c r="O18" i="31"/>
  <c r="N18" i="31"/>
  <c r="M18" i="31"/>
  <c r="L18" i="31"/>
  <c r="K18" i="31"/>
  <c r="J18" i="31"/>
  <c r="I18" i="31"/>
  <c r="X13" i="31"/>
  <c r="X14" i="31" s="1"/>
  <c r="W13" i="31"/>
  <c r="W14" i="31" s="1"/>
  <c r="V13" i="31"/>
  <c r="V14" i="31" s="1"/>
  <c r="U13" i="31"/>
  <c r="U14" i="31" s="1"/>
  <c r="T13" i="31"/>
  <c r="T14" i="31" s="1"/>
  <c r="S13" i="31"/>
  <c r="S14" i="31" s="1"/>
  <c r="R13" i="31"/>
  <c r="R14" i="31" s="1"/>
  <c r="Q13" i="31"/>
  <c r="Q14" i="31" s="1"/>
  <c r="P13" i="31"/>
  <c r="P14" i="31" s="1"/>
  <c r="O13" i="31"/>
  <c r="O14" i="31" s="1"/>
  <c r="N13" i="31"/>
  <c r="N14" i="31" s="1"/>
  <c r="M13" i="31"/>
  <c r="M14" i="31" s="1"/>
  <c r="L13" i="31"/>
  <c r="L14" i="31" s="1"/>
  <c r="K13" i="31"/>
  <c r="K14" i="31" s="1"/>
  <c r="J13" i="31"/>
  <c r="J14" i="31" s="1"/>
  <c r="I13" i="31"/>
  <c r="I14" i="31" s="1"/>
  <c r="H20" i="21" l="1"/>
  <c r="H19" i="21"/>
  <c r="H18" i="21"/>
  <c r="H17" i="21"/>
  <c r="H16" i="21"/>
  <c r="H15" i="21"/>
  <c r="H14" i="21"/>
  <c r="H13" i="21"/>
  <c r="H12" i="21"/>
  <c r="H11" i="21"/>
  <c r="H10" i="21"/>
  <c r="AB9" i="21"/>
  <c r="H9" i="21"/>
  <c r="AB8" i="21"/>
  <c r="H8" i="21"/>
  <c r="AB7" i="21"/>
  <c r="H7" i="21"/>
  <c r="AB6" i="21"/>
  <c r="H6" i="21"/>
  <c r="AB5" i="21"/>
  <c r="H5" i="21"/>
  <c r="AB4" i="21"/>
  <c r="H4" i="21"/>
  <c r="I4" i="13" l="1"/>
  <c r="D9" i="7" s="1"/>
  <c r="F9" i="7" s="1"/>
  <c r="G9" i="7" s="1"/>
  <c r="I5" i="13"/>
  <c r="D10" i="7" s="1"/>
  <c r="F10" i="7" s="1"/>
  <c r="G10" i="7" s="1"/>
  <c r="I6" i="13"/>
  <c r="D11" i="7" s="1"/>
  <c r="F11" i="7" s="1"/>
  <c r="G11" i="7" s="1"/>
  <c r="I3" i="13"/>
  <c r="D8" i="7" s="1"/>
  <c r="F8" i="7" l="1"/>
  <c r="D12" i="7"/>
  <c r="B20" i="9"/>
  <c r="G10" i="9"/>
  <c r="G8" i="9"/>
  <c r="B19" i="7" l="1"/>
  <c r="G8" i="7"/>
  <c r="G12" i="7" s="1"/>
  <c r="C12" i="9"/>
  <c r="G12" i="9" s="1"/>
  <c r="E4" i="7"/>
  <c r="E3" i="7"/>
  <c r="B20" i="7" l="1"/>
  <c r="C19" i="7"/>
  <c r="D19" i="7" s="1"/>
  <c r="E19" i="7" s="1"/>
  <c r="C4" i="18"/>
  <c r="C5" i="18"/>
  <c r="C6" i="18"/>
  <c r="C3" i="18"/>
  <c r="C20" i="7" l="1"/>
  <c r="D20" i="7" s="1"/>
  <c r="E20" i="7" s="1"/>
  <c r="H3" i="18"/>
  <c r="H6" i="18"/>
  <c r="I6" i="18"/>
  <c r="H5" i="18"/>
  <c r="I5" i="18"/>
  <c r="I4" i="18"/>
  <c r="H4" i="18"/>
  <c r="B4" i="18"/>
  <c r="G4" i="18" s="1"/>
  <c r="J4" i="18" s="1"/>
  <c r="B5" i="18"/>
  <c r="G5" i="18" s="1"/>
  <c r="J5" i="18" s="1"/>
  <c r="B6" i="18"/>
  <c r="G6" i="18" s="1"/>
  <c r="J6" i="18" s="1"/>
  <c r="G7" i="13"/>
  <c r="F7" i="13"/>
  <c r="B21" i="9" s="1"/>
  <c r="C13" i="9" s="1"/>
  <c r="F18" i="7" l="1"/>
  <c r="G18" i="7" s="1"/>
  <c r="I18" i="7" s="1"/>
  <c r="G22" i="7"/>
  <c r="I22" i="7" s="1"/>
  <c r="F19" i="7"/>
  <c r="G19" i="7" s="1"/>
  <c r="I19" i="7" s="1"/>
  <c r="E4" i="13"/>
  <c r="I26" i="31"/>
  <c r="I30" i="31"/>
  <c r="I28" i="31"/>
  <c r="I29" i="31"/>
  <c r="G13" i="9"/>
  <c r="C9" i="9"/>
  <c r="G9" i="9" s="1"/>
  <c r="C11" i="9"/>
  <c r="G11" i="9" s="1"/>
  <c r="I27" i="31"/>
  <c r="E6" i="13"/>
  <c r="E5" i="13"/>
  <c r="E3" i="13"/>
  <c r="E7" i="13" l="1"/>
  <c r="G15" i="9"/>
  <c r="B3" i="9" s="1"/>
  <c r="A4" i="18"/>
  <c r="A5" i="18"/>
  <c r="A6" i="18"/>
  <c r="A3" i="18"/>
  <c r="G14" i="9" l="1"/>
  <c r="A3" i="9" s="1"/>
  <c r="C3" i="9"/>
  <c r="G16" i="9"/>
  <c r="B3" i="18"/>
  <c r="G3" i="18" s="1"/>
  <c r="J3" i="18" s="1"/>
  <c r="I7" i="13" l="1"/>
</calcChain>
</file>

<file path=xl/sharedStrings.xml><?xml version="1.0" encoding="utf-8"?>
<sst xmlns="http://schemas.openxmlformats.org/spreadsheetml/2006/main" count="769" uniqueCount="478">
  <si>
    <t>Data Sources</t>
  </si>
  <si>
    <t>Dataset</t>
  </si>
  <si>
    <t>Dodge 2023</t>
  </si>
  <si>
    <t>CEUS 2022</t>
  </si>
  <si>
    <t>https://www.energy.ca.gov/publications/2023/2022-california-commercial-end-use-survey-ceus-final-report</t>
  </si>
  <si>
    <t xml:space="preserve"> </t>
  </si>
  <si>
    <t>CBECS 2018</t>
  </si>
  <si>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</si>
  <si>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</si>
  <si>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</si>
  <si>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</si>
  <si>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t>CEC prototypes</t>
    </r>
    <r>
      <rPr>
        <sz val="10"/>
        <rFont val="Arial"/>
        <family val="2"/>
      </rPr>
      <t xml:space="preserve"> (CBECC 2022.3.1)</t>
    </r>
  </si>
  <si>
    <t>https://bees.noresco.com/software2022.html</t>
  </si>
  <si>
    <t>PNNL prototypes (90.1-2022)</t>
  </si>
  <si>
    <t>https://www.energycodes.gov/prototype-building-models#Commercial</t>
  </si>
  <si>
    <t>DEER prototypes (June 2023)</t>
  </si>
  <si>
    <t>https://github.com/sound-data/DEER-Prototypes-EnergyPlus</t>
  </si>
  <si>
    <t>Codes</t>
  </si>
  <si>
    <t>Title 24, part 6 , referred to as T24 (1984, 1992, 2001, 2007, 2013, 2022, 2025)</t>
  </si>
  <si>
    <t>ASHRAE 90.1 (2022)</t>
  </si>
  <si>
    <t>CFR Title 10 (2010, 2024)</t>
  </si>
  <si>
    <t>https://www.ecfr.gov/current/title-10/chapter-II/subchapter-D/part-431/subpart-D</t>
  </si>
  <si>
    <t>Others</t>
  </si>
  <si>
    <t>ACM (2022)</t>
  </si>
  <si>
    <t>T24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</si>
  <si>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</si>
  <si>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</si>
  <si>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</si>
  <si>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</si>
  <si>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</si>
  <si>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2010</t>
  </si>
  <si>
    <t>https://www.pnnl.gov/main/publications/external/technical_reports/PNNL-20405.pdf</t>
  </si>
  <si>
    <t>Air leakage Memo, NORESCO, 2025</t>
  </si>
  <si>
    <t>https://2050partners.sharepoint.com/:w:/r/sites/CalBEMCollaborativeEfforts/_layouts/15/Doc.aspx?sourcedoc=%7B3BEF8F74-7FAC-44F2-A70C-D76617660066%7D&amp;file=Infiltration_rate_report_14May2025-Short-Version.docx&amp;action=default&amp;mobileredirect=true</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</si>
  <si>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</si>
  <si>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</si>
  <si>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Construction Rate</t>
  </si>
  <si>
    <t>Notes</t>
  </si>
  <si>
    <t>This prototype represents a partitioned strip mall typology for retail up to approximately 100,000 ft².</t>
  </si>
  <si>
    <t>Background Data [To be deleted prior to publication]</t>
  </si>
  <si>
    <t>NORESCO, Updated August 2025</t>
  </si>
  <si>
    <t>RetailStripMall</t>
  </si>
  <si>
    <t>Characteristic</t>
  </si>
  <si>
    <t>Value</t>
  </si>
  <si>
    <t>Building Type</t>
  </si>
  <si>
    <t>Small Retail</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</si>
  <si>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</si>
  <si>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</si>
  <si>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</si>
  <si>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</si>
  <si>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</si>
  <si>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</si>
  <si>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</si>
  <si>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CBECC</t>
  </si>
  <si>
    <t>Total Floor Area (ft²)</t>
  </si>
  <si>
    <t>9,375  (125 ft x 75 ft)</t>
  </si>
  <si>
    <t>Aspect Ratio</t>
  </si>
  <si>
    <t>1.67 overall
(0.33 for small store &amp; 0.67 for large store)</t>
  </si>
  <si>
    <t>Number of Floors</t>
  </si>
  <si>
    <t>Roof type</t>
  </si>
  <si>
    <t>Roof membrane+Roof insulation+metal decking</t>
  </si>
  <si>
    <t>WWR</t>
  </si>
  <si>
    <t>Shading Geometry</t>
  </si>
  <si>
    <t>none</t>
  </si>
  <si>
    <t>Floor to floor height (feet)</t>
  </si>
  <si>
    <t>N/A</t>
  </si>
  <si>
    <t>Floor to ceiling height (feet)</t>
  </si>
  <si>
    <t>Glazing sill height (feet)</t>
  </si>
  <si>
    <t>3.0 ft (top of the window is 8 ft high)</t>
  </si>
  <si>
    <t>Existing Retail Prototypes</t>
  </si>
  <si>
    <t>Large size prototype</t>
  </si>
  <si>
    <t>CEC: Retail_Large</t>
  </si>
  <si>
    <t>CPUC: Retail_Multistory Large (Rt3)</t>
  </si>
  <si>
    <t>CPUC: Retail_Single-Story Large (RtL)</t>
  </si>
  <si>
    <t>Geometry</t>
  </si>
  <si>
    <t>Total floor area (ft²)</t>
  </si>
  <si>
    <t>Medium size prototype</t>
  </si>
  <si>
    <t xml:space="preserve">CEC: Retail_Medium </t>
  </si>
  <si>
    <t>PNNL : Retail_Stand alone</t>
  </si>
  <si>
    <t>PNNL: Retail_Stripmall</t>
  </si>
  <si>
    <r>
      <t>CPUC: Retail_</t>
    </r>
    <r>
      <rPr>
        <b/>
        <sz val="10"/>
        <color rgb="FFFF0000"/>
        <rFont val="Arial"/>
        <family val="2"/>
      </rPr>
      <t>Grocery</t>
    </r>
  </si>
  <si>
    <t xml:space="preserve">zoning same as PNNL Stand alone with more skylight </t>
  </si>
  <si>
    <t>Small size prototype</t>
  </si>
  <si>
    <t>CEC: Retail_Stripmall (Mixed use)</t>
  </si>
  <si>
    <t xml:space="preserve">CPUC: Retail_Small (RtS) </t>
  </si>
  <si>
    <t>Space Type</t>
  </si>
  <si>
    <t>Space/Thermal Zone</t>
  </si>
  <si>
    <t>Schedule Category</t>
  </si>
  <si>
    <t>Conditioned (Y/N)</t>
  </si>
  <si>
    <t>Area Fraction</t>
  </si>
  <si>
    <t>Area (ft²)</t>
  </si>
  <si>
    <t>Volume (ft³)</t>
  </si>
  <si>
    <t>Multipliers</t>
  </si>
  <si>
    <t>Number of People</t>
  </si>
  <si>
    <t xml:space="preserve">People 
(Persons/1,000 ft²)
[T24, 2025,Table 120.1-A] </t>
  </si>
  <si>
    <t xml:space="preserve">Spaces and Zoning layout  </t>
  </si>
  <si>
    <t>Retail Sales Area (Retail Merchandise Sales)</t>
  </si>
  <si>
    <t>LG_Store_1</t>
  </si>
  <si>
    <t>Retail</t>
  </si>
  <si>
    <t>Y</t>
  </si>
  <si>
    <t>SM_Store_1</t>
  </si>
  <si>
    <t>SM_Store_2</t>
  </si>
  <si>
    <t>SM_Store_3</t>
  </si>
  <si>
    <t>Total (1 Space type)</t>
  </si>
  <si>
    <t>Total (4 Space)s</t>
  </si>
  <si>
    <t xml:space="preserve"> Total (4 Conditioned zones)</t>
  </si>
  <si>
    <t>Plan from CBECC 2022, Retail_Stripmall prototype</t>
  </si>
  <si>
    <t>Floorspace-Types-30Oct2024</t>
  </si>
  <si>
    <t>Retail (CEUS 2022, statewide %)</t>
  </si>
  <si>
    <t>Conditioned</t>
  </si>
  <si>
    <t>Unconditioned</t>
  </si>
  <si>
    <t>Ventilated</t>
  </si>
  <si>
    <t>Likely storage in larger Retail (see Medium/Standalone)</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</si>
  <si>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</si>
  <si>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</si>
  <si>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</si>
  <si>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</si>
  <si>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</si>
  <si>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</si>
  <si>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</si>
  <si>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</si>
  <si>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</si>
  <si>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</si>
  <si>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</si>
  <si>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</si>
  <si>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</si>
  <si>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</si>
  <si>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</si>
  <si>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</si>
  <si>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</si>
  <si>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</si>
  <si>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</si>
  <si>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</si>
  <si>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</si>
  <si>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</si>
  <si>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</si>
  <si>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</si>
  <si>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RetailStripmall</t>
  </si>
  <si>
    <t>ExtWall_MetalFramed_NonRes</t>
  </si>
  <si>
    <t>Metal-frame walls + insulation + Gypsum board</t>
  </si>
  <si>
    <t>U-factor IP</t>
  </si>
  <si>
    <t>Pre 1978</t>
  </si>
  <si>
    <t>ASHRAE 90.1, 2022, Table A3.3.3.1, 3.5", R-0</t>
  </si>
  <si>
    <t>1978-1997</t>
  </si>
  <si>
    <t>Heat Capacity was considered 10.0-14.99 (Btu/F-ft²)</t>
  </si>
  <si>
    <t>1998-2007</t>
  </si>
  <si>
    <t>TABLE 1-H-NonRes Bldgs</t>
  </si>
  <si>
    <t>2008-2018</t>
  </si>
  <si>
    <t>TABLE 140.3-B-NonRes Bldgs</t>
  </si>
  <si>
    <t>2019+</t>
  </si>
  <si>
    <t>Roof</t>
  </si>
  <si>
    <t>FlatRoof_WoodFramedAndOther_NonRes</t>
  </si>
  <si>
    <t>Built-up roof (Metal Decking Roof): 
Roof membrane+roof insulation+metal decking</t>
  </si>
  <si>
    <t>Considering 30 years for roof/ insulation replacement.</t>
  </si>
  <si>
    <t>Table 1-H</t>
  </si>
  <si>
    <t>Table 140.3-B</t>
  </si>
  <si>
    <t>Windows</t>
  </si>
  <si>
    <t>FixedWindow_NonRes</t>
  </si>
  <si>
    <t xml:space="preserve">CBECS 2018 shows that ~ 50 % of retail that were built before 2000 are single pane </t>
  </si>
  <si>
    <t>ASHRAE Handbook of Fundamentals for single pane &amp; T24, 2013  for double pane (50%-50%)</t>
  </si>
  <si>
    <t>Double pane</t>
  </si>
  <si>
    <t xml:space="preserve">Table 140.3-B </t>
  </si>
  <si>
    <t>SHGC</t>
  </si>
  <si>
    <t xml:space="preserve"> Table 1-H (Non north 0-10%)</t>
  </si>
  <si>
    <t>Infiltration</t>
  </si>
  <si>
    <t xml:space="preserve">I_75 (cfm/ft²)
6-sdied Infiltration rate @ 75 pa </t>
  </si>
  <si>
    <t xml:space="preserve"> I-design (cfm/ft²) 
(4-sided Infiltration rate at normal pressure) 
(Design flow rate approach and Flow/Exterior Wall Area calculation method) </t>
  </si>
  <si>
    <t>2022 CASE report (Table 38)</t>
  </si>
  <si>
    <t>2022 CASE report (Table 38) &amp;
T24, 2008-2016 (TABLE 140.3-B)</t>
  </si>
  <si>
    <t>0.6 (barrier in all CZ)</t>
  </si>
  <si>
    <t>2022 CASE report (Table 38) &amp;  
T24, 2025 (TABLE 140.3-B)</t>
  </si>
  <si>
    <t>Source:  Title 24 air barrier requirements (all editions) and the standardized infiltration rate reported in the 2022 CASE report and Dodge 2023 data</t>
  </si>
  <si>
    <t xml:space="preserve">Air Leakage Memo: </t>
  </si>
  <si>
    <t>Infiltration_rate_report_14May2025-Short-Version.docx</t>
  </si>
  <si>
    <t>in.comstock_building_type</t>
  </si>
  <si>
    <t>Sum of calc.weighted.sqft</t>
  </si>
  <si>
    <t>%</t>
  </si>
  <si>
    <t>Mass</t>
  </si>
  <si>
    <t>SteelFramed</t>
  </si>
  <si>
    <t>WoodFramed</t>
  </si>
  <si>
    <t>Grand Total</t>
  </si>
  <si>
    <t xml:space="preserve">Heating </t>
  </si>
  <si>
    <t>Cooling</t>
  </si>
  <si>
    <t>Air Distribution</t>
  </si>
  <si>
    <t>Source</t>
  </si>
  <si>
    <t xml:space="preserve">Existing  </t>
  </si>
  <si>
    <t>PSZAC (furnace)</t>
  </si>
  <si>
    <t>PSZAC (DX cooling)</t>
  </si>
  <si>
    <t>PSZAC</t>
  </si>
  <si>
    <t>New Construction</t>
  </si>
  <si>
    <t xml:space="preserve">SZVAVHP </t>
  </si>
  <si>
    <t>PSZVAVHP</t>
  </si>
  <si>
    <t>Title 24, 2025, Engineering judgement</t>
  </si>
  <si>
    <r>
      <rPr>
        <b/>
        <sz val="12"/>
        <color theme="0"/>
        <rFont val="Arial"/>
        <family val="2"/>
      </rPr>
      <t>Efficiency of HVAC system</t>
    </r>
    <r>
      <rPr>
        <b/>
        <sz val="10"/>
        <color theme="0"/>
        <rFont val="Arial"/>
        <family val="2"/>
      </rPr>
      <t xml:space="preserve">
</t>
    </r>
    <r>
      <rPr>
        <sz val="10"/>
        <color theme="0"/>
        <rFont val="Arial"/>
        <family val="2"/>
      </rPr>
      <t xml:space="preserve"> (Efficiency is capacity-dependent. The following table provides a general estimate of system efficiency based on what we saw in the existing prototype runs, or assuming cooling load base on rule of thumbs</t>
    </r>
  </si>
  <si>
    <t>Upgrade year</t>
  </si>
  <si>
    <t>Thermal Efficiency of 80%;</t>
  </si>
  <si>
    <t>SEER 13  for &lt;65 kBtu/h
EER 10.3 for  65-135 kBtu/h
EER 9.7 for 135-240 kBtu/h
EER 9.5 for 240-760 kBtu/h</t>
  </si>
  <si>
    <t>2005 Title 20 Appliance Efficiency Regulations, 2005 T24, Tables 112-A, 112-B</t>
  </si>
  <si>
    <t>SEER 13, EER 11.2 for &lt;65 kBtu/h
EER 11.2 for  65-135 kBtu/h
EER 11 for 135-240 kBtu/h
EER 10 for 240-760 kBtu/h</t>
  </si>
  <si>
    <t>2013 Title 20 Appliance Efficiency Regulations, 2013 T24 Tables 112-A, 112-B</t>
  </si>
  <si>
    <t>SEER 14 for &lt;65 kBtu/h
EER 11, COP fed min for 65-135 kBtu/h
EER 10.6, COP fed min 135-240 kBtu/h
EER 9.5 for &gt;240 kBtu/h</t>
  </si>
  <si>
    <t>Title 20 Appliance Efficiency Regulations, 2025 T24, 2025 -Tables 110.2-A, 110.2-B</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</si>
  <si>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</si>
  <si>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</si>
  <si>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</si>
  <si>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</si>
  <si>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</si>
  <si>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</si>
  <si>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</si>
  <si>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</si>
  <si>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</si>
  <si>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</si>
  <si>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 xml:space="preserve">CAV </t>
  </si>
  <si>
    <t>2.5 for CAV &lt;7,437 cfm
4.09 for CAV &gt;=7,437 cfm</t>
  </si>
  <si>
    <t>~0.9 (The full-load efficiency of the motor serving the fan- will be determined based on ACM 2025, Table 13)</t>
  </si>
  <si>
    <t>ACM 2025, PNNL 2010 TSD</t>
  </si>
  <si>
    <t>Brake horse power (bhp)=(Supply cfm*TSP in w.c.)/(6356*Fan efficiency)</t>
  </si>
  <si>
    <t>Fan power (w/cfm) = bhp/motor and drive efficiency *746</t>
  </si>
  <si>
    <t>ACM 2025</t>
  </si>
  <si>
    <t>SZVAVHP System &gt;10,000 cfm</t>
  </si>
  <si>
    <t>* 0.9 is an average fan efficiency according to ACM 2025, Table 13</t>
  </si>
  <si>
    <t>Fan total eff (E+ input) = 0.65 x Motor_eff</t>
  </si>
  <si>
    <t>TSP (E+ input) in w.c. = Motor_eff/746 x (6356 x Fan_eff) x W/cfm</t>
  </si>
  <si>
    <t>Fan_eff=0.65</t>
  </si>
  <si>
    <t>Retail Stripmall</t>
  </si>
  <si>
    <t>in.comstock</t>
  </si>
  <si>
    <t>Electricity</t>
  </si>
  <si>
    <t>NaturalGas</t>
  </si>
  <si>
    <t xml:space="preserve">CEUS 2022 </t>
  </si>
  <si>
    <t xml:space="preserve">Water Heater </t>
  </si>
  <si>
    <t>Floorspace Heated</t>
  </si>
  <si>
    <t>Primary Heating</t>
  </si>
  <si>
    <t>Fuel Type</t>
  </si>
  <si>
    <t>Floorspace Cooled</t>
  </si>
  <si>
    <t>Primary Cooling</t>
  </si>
  <si>
    <t>Primary Air Dis</t>
  </si>
  <si>
    <t>The default is the floorspace method unless otherwise specified</t>
  </si>
  <si>
    <t xml:space="preserve">The default is the floorspace method unless otherwise specified </t>
  </si>
  <si>
    <t>Package System / Heat Pump (80.2%)</t>
  </si>
  <si>
    <t>Gas (58%) Elec ( 41%)</t>
  </si>
  <si>
    <t>Single Duct CAV (92.1%)</t>
  </si>
  <si>
    <t>Elec (51%), Gas (34%)</t>
  </si>
  <si>
    <t>Setpoint</t>
  </si>
  <si>
    <t>Heating Setpoint (F)</t>
  </si>
  <si>
    <t>T24 2022 - Appendix 5.4B</t>
  </si>
  <si>
    <t>Heating Setback (F)</t>
  </si>
  <si>
    <t>Cooling Setpoint (F)</t>
  </si>
  <si>
    <t>Cooling Setback (F)</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</si>
  <si>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</si>
  <si>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</si>
  <si>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</si>
  <si>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</si>
  <si>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</si>
  <si>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</si>
  <si>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</si>
  <si>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</si>
  <si>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25/50</t>
  </si>
  <si>
    <t>Exhaust rate for restroom</t>
  </si>
  <si>
    <t>WH Type</t>
  </si>
  <si>
    <t xml:space="preserve"> Efficiency</t>
  </si>
  <si>
    <t>Tank Volume (gal)</t>
  </si>
  <si>
    <t>Tank Loss</t>
  </si>
  <si>
    <t>Unit</t>
  </si>
  <si>
    <t>Electric</t>
  </si>
  <si>
    <t>%/hr</t>
  </si>
  <si>
    <t>Loss per hour, 10 CFR 431.110(a) Table F-4</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</si>
  <si>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</si>
  <si>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</si>
  <si>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</si>
  <si>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</si>
  <si>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</si>
  <si>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</si>
  <si>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</si>
  <si>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</si>
  <si>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</si>
  <si>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</si>
  <si>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</si>
  <si>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</si>
  <si>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</si>
  <si>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Off/On Cycle Loss Coefficient to Ambient Temp (Btu/h-F)</t>
  </si>
  <si>
    <t>Gas Storage WH</t>
  </si>
  <si>
    <t>Btu/hr</t>
  </si>
  <si>
    <t>Standby loss equation: Title 20, §1605.1 Table F-4 
WH capacity equation: ACM, 2025, 5.9.2: Rated capacity section)</t>
  </si>
  <si>
    <t xml:space="preserve">Electric resistance WH </t>
  </si>
  <si>
    <t>Total</t>
  </si>
  <si>
    <t>Design supply temperature (F)</t>
  </si>
  <si>
    <t>Ref: T24 2022 - Appendix 5.4B</t>
  </si>
  <si>
    <t>Standby Loss for Existing</t>
  </si>
  <si>
    <t>Cold Water supply temperature (F)</t>
  </si>
  <si>
    <t>Ref: ACM, 2025, 5.9.2: Rated capacity section</t>
  </si>
  <si>
    <t>WH system factor</t>
  </si>
  <si>
    <t>Reheat multiplier</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</si>
  <si>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</si>
  <si>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**For Gas Water Heater: UA(Btu/h-°F)​=Q˙​SL​ (Btu/h)/ΔT (∘F)​</t>
  </si>
  <si>
    <t>Ambient temp</t>
  </si>
  <si>
    <t>Delta T</t>
  </si>
  <si>
    <t>** For Electric Water Heater: UA(Btu/h-°F)​= 0.0834 *SL​ (%/hr)*V gal</t>
  </si>
  <si>
    <t xml:space="preserve">New Construction </t>
  </si>
  <si>
    <t>LPD (W/ft²)</t>
  </si>
  <si>
    <t>Additional LPD for Portable Lighting (W/ft²)</t>
  </si>
  <si>
    <t xml:space="preserve">LPD (W/ft²) </t>
  </si>
  <si>
    <t>T24, part 6, 2025, Table 140.6-C</t>
  </si>
  <si>
    <t>T24, part 6, 2016, Table 140.6-C</t>
  </si>
  <si>
    <t>Motion Controlled Luminaires (W)</t>
  </si>
  <si>
    <t>Non-motion Controlled Luminaires (W)</t>
  </si>
  <si>
    <t>Total (W)</t>
  </si>
  <si>
    <t>T24, 2022</t>
  </si>
  <si>
    <t>Exterior Lighting</t>
  </si>
  <si>
    <t>Items (Assume LZ2)</t>
  </si>
  <si>
    <t>Assumptions
[2019 Outdoor Lighting CASE Report &amp; PNNL 90.1-2010 TSD]</t>
  </si>
  <si>
    <t>Lighting Power Allowance 
[T24, 2025, Table 140.7-A &amp; 140.7-B]</t>
  </si>
  <si>
    <t>Exterior lighting power (w)</t>
  </si>
  <si>
    <t>IWA (Initial Wattage Allowance)</t>
  </si>
  <si>
    <t>W</t>
  </si>
  <si>
    <t>Parking area</t>
  </si>
  <si>
    <t xml:space="preserve">400 ft² for every parking space 
1 parking space per 360 ft² of gross building area </t>
  </si>
  <si>
    <t>(ft²)</t>
  </si>
  <si>
    <t>(W/ft²)</t>
  </si>
  <si>
    <t>Building Entrance</t>
  </si>
  <si>
    <t xml:space="preserve">5 building entrance </t>
  </si>
  <si>
    <t>(count)</t>
  </si>
  <si>
    <t>(W/ea)</t>
  </si>
  <si>
    <t>Hardscape Ornamental Light</t>
  </si>
  <si>
    <t>0.1 ft² per 1 ft² of gross bldg area for hardscape ornamental light</t>
  </si>
  <si>
    <t>Building façade</t>
  </si>
  <si>
    <t>0.1 W per 1 ft² of facade area 
Façade Area = Perimeter × 0.5 × 17' 
The 0.5 factor assumes that only half of the perimeter walls are lit.
-Formula ia developed based on the 2019 Outdoor Lighting CASE report</t>
  </si>
  <si>
    <t>Sales canopy</t>
  </si>
  <si>
    <t>0.1 ft² per ft² of gross bldg area</t>
  </si>
  <si>
    <t>Motion controlled Luminaires</t>
  </si>
  <si>
    <t>Non-motion-controlled Luminaires</t>
  </si>
  <si>
    <t>*Developed based on 2019 Outdoor Lighting CASE Report</t>
  </si>
  <si>
    <t>Perimeter</t>
  </si>
  <si>
    <t>Total floor area</t>
  </si>
  <si>
    <t>Floors</t>
  </si>
  <si>
    <t>Plug Load Power Density (W/ft²)</t>
  </si>
  <si>
    <t>Refrigerator Power Density (W/ft²)</t>
  </si>
  <si>
    <t>Gas Power Density (Btu/hr-ft²)</t>
  </si>
  <si>
    <t>Plug load and schedules project with CEC, 2025
T24 2022 - Appendix 5.4A: Space Use Data-T24N-2022</t>
  </si>
  <si>
    <t>Zone</t>
  </si>
  <si>
    <t>Schedule</t>
  </si>
  <si>
    <t>Type</t>
  </si>
  <si>
    <t>Hour</t>
  </si>
  <si>
    <t>All Zones</t>
  </si>
  <si>
    <t>Occupancy</t>
  </si>
  <si>
    <t>T24 2022 - Appendix 5.4B, [Retail]</t>
  </si>
  <si>
    <t>Weekday</t>
  </si>
  <si>
    <t>Saturday</t>
  </si>
  <si>
    <t>Sunday</t>
  </si>
  <si>
    <t>Lights</t>
  </si>
  <si>
    <t>ElecEquipment</t>
  </si>
  <si>
    <t>Plug load and schedules project with CEC, 2025</t>
  </si>
  <si>
    <t>HVACAvail</t>
  </si>
  <si>
    <t>ServiceHotWater</t>
  </si>
  <si>
    <t>Refrigeration</t>
  </si>
  <si>
    <t>HtgSetpt</t>
  </si>
  <si>
    <t>ClgSetpt</t>
  </si>
  <si>
    <t>Other</t>
  </si>
  <si>
    <t>Building</t>
  </si>
  <si>
    <t>ExtLightingNonMotionCtrl</t>
  </si>
  <si>
    <t>ExtLightingMotionCtrl</t>
  </si>
  <si>
    <t>Retails</t>
  </si>
  <si>
    <t>RetailSalePeopleActivityLevel</t>
  </si>
  <si>
    <t xml:space="preserve">Based on Activity level schedules in  CEC Prototypes </t>
  </si>
  <si>
    <t> </t>
  </si>
  <si>
    <t>National Average (EnergyStar Portfolio Manager)</t>
  </si>
  <si>
    <t>CEUS Energy Consumption : Retail</t>
  </si>
  <si>
    <t>PNNL RetailStripMall 2007 (with floor area of 22,500 ft2)  for San Diego shows 62 KBTU/ft2</t>
  </si>
  <si>
    <t>PNNL results are close to RetailMedium</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</si>
  <si>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</si>
  <si>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</si>
  <si>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</si>
  <si>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</si>
  <si>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</si>
  <si>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</si>
  <si>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</si>
  <si>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</si>
  <si>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</si>
  <si>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</si>
  <si>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</si>
  <si>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</si>
  <si>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</si>
  <si>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</si>
  <si>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</si>
  <si>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</si>
  <si>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t>PNNL RetailStripMall 2022 (with floor area of 22,500 ft2) for San Diego shows 29 KBTU/ft2</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</si>
  <si>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</si>
  <si>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</si>
  <si>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Retail</t>
  </si>
  <si>
    <t>Vintage Bin</t>
  </si>
  <si>
    <t>Pre-1978</t>
  </si>
  <si>
    <t>Not available</t>
  </si>
  <si>
    <t>Statewide</t>
  </si>
  <si>
    <t>Ref: CEUS 2022 dataset</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</si>
  <si>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</si>
  <si>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</si>
  <si>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</si>
  <si>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</si>
  <si>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</si>
  <si>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</si>
  <si>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</si>
  <si>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</si>
  <si>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</si>
  <si>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</si>
  <si>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</si>
  <si>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</si>
  <si>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</si>
  <si>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</si>
  <si>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</si>
  <si>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</si>
  <si>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</si>
  <si>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</si>
  <si>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</si>
  <si>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</si>
  <si>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</si>
  <si>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Corridor Area</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</si>
  <si>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</si>
  <si>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</si>
  <si>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</si>
  <si>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</si>
  <si>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</si>
  <si>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</si>
  <si>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</si>
  <si>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</si>
  <si>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</si>
  <si>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</si>
  <si>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</si>
  <si>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</si>
  <si>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</si>
  <si>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</si>
  <si>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</si>
  <si>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</si>
  <si>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</si>
  <si>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</si>
  <si>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</si>
  <si>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</si>
  <si>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</si>
  <si>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</si>
  <si>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</si>
  <si>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</si>
  <si>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</si>
  <si>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</si>
  <si>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</si>
  <si>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</si>
  <si>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</si>
  <si>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</si>
  <si>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(&gt;250 square feet)</t>
  </si>
  <si>
    <t>Office Area (&lt;250 square feet)</t>
  </si>
  <si>
    <t>Parking Garage Area (Parking Zone and Ramps)</t>
  </si>
  <si>
    <t>Parking Garage Area (Daylight Adaptation Zones)</t>
  </si>
  <si>
    <t>Pharmacy Area</t>
  </si>
  <si>
    <t>Retail Sales Area (Grocery Sales)</t>
  </si>
  <si>
    <t>Retail Sales Area (Fitting Room)</t>
  </si>
  <si>
    <t>Religious Worship Area</t>
  </si>
  <si>
    <t>Restrooms</t>
  </si>
  <si>
    <t>Stairwell</t>
  </si>
  <si>
    <t>Storage, Commercial/Industrial (Warehouse)</t>
  </si>
  <si>
    <t>Storage, Commercial/Industrial (Refrigerated)</t>
  </si>
  <si>
    <t>Storage, Commercial/Industrial (Shipping &amp; Handling)</t>
  </si>
  <si>
    <t>Storage (General)</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</si>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</sst>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8" formatCode="0.000"/>
    <numFmt numFmtId="169" formatCode="_(* #,##0_);_(* \(#,##0\);_(* &quot;-&quot;??_);_(@_)"/>
    <numFmt numFmtId="170" formatCode="#,##0;\-0;[Color15]0"/>
    <numFmt numFmtId="171" formatCode="_(* #,##0.000_);_(* \(#,##0.000\);_(* &quot;-&quot;??_);_(@_)"/>
    <numFmt numFmtId="172" formatCode="_(* #,##0.0_);_(* \(#,##0.0\);_(* &quot;-&quot;?????_);_(@_)"/>
  </numFmts>
  <fonts count="63">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C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0"/>
      <color rgb="FF000000"/>
      <name val="Arial"/>
      <family val="2"/>
      <charset val="1"/>
    </font>
    <font>
      <sz val="11"/>
      <color theme="1"/>
      <name val="Arial"/>
      <family val="2"/>
    </font>
    <font>
      <b/>
      <sz val="12"/>
      <color theme="1"/>
      <name val="Arial"/>
      <family val="2"/>
    </font>
    <font>
      <b/>
      <sz val="14"/>
      <color theme="1"/>
      <name val="Arial"/>
      <family val="2"/>
    </font>
    <font>
      <sz val="11"/>
      <color theme="0"/>
      <name val="Arial"/>
      <family val="2"/>
    </font>
    <font>
      <sz val="11"/>
      <color rgb="FFFF0000"/>
      <name val="Arial"/>
      <family val="2"/>
    </font>
    <font>
      <sz val="8"/>
      <color indexed="8"/>
      <name val="MS Sans Serif"/>
      <charset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b/>
      <sz val="12"/>
      <color rgb="FFFFFFFF"/>
      <name val="Arial"/>
      <family val="2"/>
    </font>
    <font>
      <sz val="10"/>
      <color rgb="FF0070C0"/>
      <name val="Arial"/>
      <family val="2"/>
    </font>
    <font>
      <b/>
      <sz val="12"/>
      <color rgb="FF0000CC"/>
      <name val="Arial"/>
      <family val="2"/>
    </font>
    <font>
      <b/>
      <sz val="11"/>
      <color rgb="FF0000CC"/>
      <name val="Arial"/>
      <family val="2"/>
    </font>
    <font>
      <b/>
      <sz val="11"/>
      <color theme="1"/>
      <name val="Arial"/>
      <family val="2"/>
    </font>
    <font>
      <b/>
      <sz val="10"/>
      <color rgb="FFFF0000"/>
      <name val="Arial"/>
      <family val="2"/>
    </font>
    <font>
      <sz val="10"/>
      <name val="Aptos Narrow"/>
      <family val="2"/>
    </font>
    <font>
      <b/>
      <sz val="10"/>
      <color rgb="FF000000"/>
      <name val="Aptos Narrow"/>
      <family val="2"/>
    </font>
    <font>
      <b/>
      <sz val="10"/>
      <name val="Aptos Narrow"/>
      <family val="2"/>
    </font>
    <font>
      <sz val="10"/>
      <color rgb="FF000000"/>
      <name val="Aptos Narrow"/>
      <family val="2"/>
    </font>
    <font>
      <u/>
      <sz val="11"/>
      <color theme="10"/>
      <name val="Arial"/>
      <family val="2"/>
    </font>
    <font>
      <b/>
      <sz val="10"/>
      <color theme="0"/>
      <name val="Arial"/>
      <family val="2"/>
    </font>
    <font>
      <sz val="10"/>
      <color theme="0"/>
      <name val="Arial"/>
      <family val="2"/>
    </font>
    <font>
      <sz val="9"/>
      <name val="Arial"/>
      <family val="2"/>
    </font>
    <font>
      <sz val="9"/>
      <color rgb="FF0070C0"/>
      <name val="Arial"/>
      <family val="2"/>
    </font>
    <font>
      <sz val="11"/>
      <color rgb="FF000000"/>
      <name val="Calibri"/>
      <family val="2"/>
    </font>
    <font>
      <sz val="10"/>
      <color rgb="FFFF0000"/>
      <name val="Arial"/>
      <family val="2"/>
    </font>
  </fonts>
  <fills count="54">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FFFFFF"/>
        <bgColor rgb="FF000000"/>
      </patternFill>
    </fill>
    <fill>
      <patternFill patternType="solid">
        <fgColor rgb="FFF7C7AC"/>
        <bgColor rgb="FF000000"/>
      </patternFill>
    </fill>
    <fill>
      <patternFill patternType="solid">
        <fgColor rgb="FFDAE9F8"/>
        <bgColor rgb="FF000000"/>
      </patternFill>
    </fill>
    <fill>
      <patternFill patternType="solid">
        <fgColor rgb="FFC1F0C8"/>
        <bgColor rgb="FF000000"/>
      </patternFill>
    </fill>
    <fill>
      <patternFill patternType="solid">
        <fgColor rgb="FF83CCEB"/>
        <bgColor rgb="FF000000"/>
      </patternFill>
    </fill>
    <fill>
      <patternFill patternType="solid">
        <fgColor theme="0"/>
        <bgColor rgb="FF000000"/>
      </patternFill>
    </fill>
    <fill>
      <patternFill patternType="lightUp"/>
    </fill>
    <fill>
      <patternFill patternType="solid">
        <fgColor rgb="FF92D050"/>
        <bgColor rgb="FF000000"/>
      </patternFill>
    </fill>
    <fill>
      <patternFill patternType="solid">
        <fgColor rgb="FFD6DCE4"/>
        <bgColor rgb="FF000000"/>
      </patternFill>
    </fill>
    <fill>
      <patternFill patternType="solid">
        <fgColor rgb="FFFFF2CC"/>
        <bgColor rgb="FF000000"/>
      </patternFill>
    </fill>
  </fills>
  <borders count="137">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4.9989318521683403E-2"/>
      </right>
      <top style="thin">
        <color theme="1" tint="4.9989318521683403E-2"/>
      </top>
      <bottom/>
      <diagonal/>
    </border>
    <border>
      <left style="thin">
        <color theme="1" tint="4.9989318521683403E-2"/>
      </left>
      <right style="thin">
        <color theme="1" tint="4.9989318521683403E-2"/>
      </right>
      <top style="thin">
        <color theme="1" tint="4.9989318521683403E-2"/>
      </top>
      <bottom/>
      <diagonal/>
    </border>
    <border>
      <left/>
      <right style="thin">
        <color theme="1" tint="4.9989318521683403E-2"/>
      </right>
      <top style="thin">
        <color theme="1" tint="4.9989318521683403E-2"/>
      </top>
      <bottom style="thin">
        <color theme="1" tint="4.9989318521683403E-2"/>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left>
      <right/>
      <top style="thin">
        <color theme="1"/>
      </top>
      <bottom style="thin">
        <color theme="1"/>
      </bottom>
      <diagonal/>
    </border>
    <border>
      <left style="thin">
        <color rgb="FF595959"/>
      </left>
      <right style="thin">
        <color rgb="FF595959"/>
      </right>
      <top style="thin">
        <color rgb="FF595959"/>
      </top>
      <bottom style="thin">
        <color rgb="FF59595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medium">
        <color theme="1" tint="0.34998626667073579"/>
      </left>
      <right style="thin">
        <color rgb="FF000000"/>
      </right>
      <top style="thin">
        <color rgb="FF000000"/>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right/>
      <top style="thin">
        <color rgb="FF000000"/>
      </top>
      <bottom style="medium">
        <color theme="1" tint="0.34998626667073579"/>
      </bottom>
      <diagonal/>
    </border>
    <border>
      <left style="thin">
        <color theme="1" tint="0.34998626667073579"/>
      </left>
      <right style="medium">
        <color indexed="64"/>
      </right>
      <top style="medium">
        <color indexed="64"/>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indexed="64"/>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thin">
        <color theme="1" tint="0.34998626667073579"/>
      </right>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theme="1" tint="0.34998626667073579"/>
      </left>
      <right/>
      <top style="medium">
        <color theme="1" tint="0.34998626667073579"/>
      </top>
      <bottom style="thin">
        <color theme="1" tint="0.34998626667073579"/>
      </bottom>
      <diagonal/>
    </border>
    <border>
      <left style="medium">
        <color theme="1" tint="0.34998626667073579"/>
      </left>
      <right style="thin">
        <color rgb="FF000000"/>
      </right>
      <top/>
      <bottom style="thin">
        <color rgb="FF000000"/>
      </bottom>
      <diagonal/>
    </border>
    <border>
      <left style="thin">
        <color indexed="64"/>
      </left>
      <right style="medium">
        <color theme="1" tint="0.34998626667073579"/>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theme="1" tint="0.499984740745262"/>
      </left>
      <right/>
      <top/>
      <bottom/>
      <diagonal/>
    </border>
    <border>
      <left style="medium">
        <color theme="1" tint="0.499984740745262"/>
      </left>
      <right style="thin">
        <color indexed="64"/>
      </right>
      <top/>
      <bottom/>
      <diagonal/>
    </border>
    <border>
      <left style="medium">
        <color theme="1" tint="0.499984740745262"/>
      </left>
      <right style="thin">
        <color indexed="64"/>
      </right>
      <top/>
      <bottom style="medium">
        <color theme="1" tint="0.499984740745262"/>
      </bottom>
      <diagonal/>
    </border>
    <border>
      <left style="medium">
        <color theme="1" tint="0.499984740745262"/>
      </left>
      <right style="thin">
        <color indexed="64"/>
      </right>
      <top style="medium">
        <color theme="1" tint="0.499984740745262"/>
      </top>
      <bottom style="thin">
        <color indexed="64"/>
      </bottom>
      <diagonal/>
    </border>
    <border>
      <left style="medium">
        <color theme="1" tint="0.499984740745262"/>
      </left>
      <right/>
      <top/>
      <bottom/>
      <diagonal/>
    </border>
    <border>
      <left/>
      <right/>
      <top style="medium">
        <color theme="1" tint="0.499984740745262"/>
      </top>
      <bottom style="thin">
        <color indexed="64"/>
      </bottom>
      <diagonal/>
    </border>
    <border>
      <left/>
      <right/>
      <top/>
      <bottom style="medium">
        <color theme="1" tint="0.499984740745262"/>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s>
  <cellStyleXfs count="65">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0" fontId="2" fillId="0" borderId="0"/>
    <xf numFmtId="0" fontId="4" fillId="0" borderId="0" applyNumberFormat="0" applyFill="0" applyBorder="0" applyAlignment="0" applyProtection="0"/>
    <xf numFmtId="0" fontId="1" fillId="0" borderId="0"/>
    <xf numFmtId="0" fontId="2" fillId="10" borderId="42" applyNumberFormat="0" applyFont="0" applyAlignment="0" applyProtection="0"/>
    <xf numFmtId="9" fontId="1" fillId="0" borderId="0" applyFont="0" applyFill="0" applyBorder="0" applyAlignment="0" applyProtection="0"/>
    <xf numFmtId="0" fontId="33" fillId="0" borderId="43" applyNumberFormat="0" applyFill="0" applyAlignment="0" applyProtection="0"/>
    <xf numFmtId="0" fontId="34" fillId="0" borderId="44" applyNumberFormat="0" applyFill="0" applyAlignment="0" applyProtection="0"/>
    <xf numFmtId="0" fontId="35" fillId="0" borderId="45" applyNumberFormat="0" applyFill="0" applyAlignment="0" applyProtection="0"/>
    <xf numFmtId="0" fontId="35" fillId="0" borderId="0" applyNumberFormat="0" applyFill="0" applyBorder="0" applyAlignment="0" applyProtection="0"/>
    <xf numFmtId="0" fontId="36" fillId="11" borderId="0" applyNumberFormat="0" applyBorder="0" applyAlignment="0" applyProtection="0"/>
    <xf numFmtId="0" fontId="37" fillId="12" borderId="0" applyNumberFormat="0" applyBorder="0" applyAlignment="0" applyProtection="0"/>
    <xf numFmtId="0" fontId="38" fillId="14" borderId="46" applyNumberFormat="0" applyAlignment="0" applyProtection="0"/>
    <xf numFmtId="0" fontId="39" fillId="15" borderId="47" applyNumberFormat="0" applyAlignment="0" applyProtection="0"/>
    <xf numFmtId="0" fontId="40" fillId="15" borderId="46" applyNumberFormat="0" applyAlignment="0" applyProtection="0"/>
    <xf numFmtId="0" fontId="41" fillId="0" borderId="48" applyNumberFormat="0" applyFill="0" applyAlignment="0" applyProtection="0"/>
    <xf numFmtId="0" fontId="9" fillId="16" borderId="49" applyNumberFormat="0" applyAlignment="0" applyProtection="0"/>
    <xf numFmtId="0" fontId="42" fillId="0" borderId="0" applyNumberFormat="0" applyFill="0" applyBorder="0" applyAlignment="0" applyProtection="0"/>
    <xf numFmtId="0" fontId="2" fillId="10" borderId="42" applyNumberFormat="0" applyFont="0" applyAlignment="0" applyProtection="0"/>
    <xf numFmtId="0" fontId="43" fillId="0" borderId="0" applyNumberFormat="0" applyFill="0" applyBorder="0" applyAlignment="0" applyProtection="0"/>
    <xf numFmtId="0" fontId="3" fillId="0" borderId="50" applyNumberFormat="0" applyFill="0" applyAlignment="0" applyProtection="0"/>
    <xf numFmtId="0" fontId="11"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1"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1"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1"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1"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11"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44" fillId="0" borderId="0" applyNumberFormat="0" applyFill="0" applyBorder="0" applyAlignment="0" applyProtection="0"/>
    <xf numFmtId="0" fontId="45" fillId="13"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36" borderId="0" applyNumberFormat="0" applyBorder="0" applyAlignment="0" applyProtection="0"/>
    <xf numFmtId="0" fontId="11" fillId="40" borderId="0" applyNumberFormat="0" applyBorder="0" applyAlignment="0" applyProtection="0"/>
    <xf numFmtId="0" fontId="2" fillId="0" borderId="0"/>
    <xf numFmtId="0" fontId="12" fillId="0" borderId="0"/>
  </cellStyleXfs>
  <cellXfs count="511">
    <xf numFmtId="0" fontId="0" fillId="0" borderId="0" xfId="0"/>
    <xf numFmtId="0" fontId="12" fillId="0" borderId="0" xfId="0" applyFont="1"/>
    <xf numFmtId="0" fontId="12" fillId="0" borderId="0" xfId="0" applyFont="1" applyAlignment="1">
      <alignment horizontal="center" vertical="center"/>
    </xf>
    <xf numFmtId="0" fontId="6" fillId="0" borderId="0" xfId="0" applyFont="1"/>
    <xf numFmtId="0" fontId="7" fillId="0" borderId="0" xfId="0" applyFont="1"/>
    <xf numFmtId="0" fontId="6" fillId="0" borderId="0" xfId="0" applyFont="1" applyAlignment="1">
      <alignment horizontal="center" vertical="center"/>
    </xf>
    <xf numFmtId="0" fontId="6" fillId="0" borderId="0" xfId="0" applyFont="1" applyAlignment="1">
      <alignment vertical="center"/>
    </xf>
    <xf numFmtId="0" fontId="6" fillId="0" borderId="0" xfId="0" applyFont="1" applyAlignment="1">
      <alignment wrapText="1"/>
    </xf>
    <xf numFmtId="0" fontId="15"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6" fillId="0" borderId="2" xfId="0" applyFont="1" applyBorder="1" applyAlignment="1">
      <alignment vertical="center"/>
    </xf>
    <xf numFmtId="0" fontId="6" fillId="0" borderId="2" xfId="0" applyFont="1" applyBorder="1" applyAlignment="1">
      <alignment vertical="center" wrapText="1"/>
    </xf>
    <xf numFmtId="0" fontId="19" fillId="7" borderId="2" xfId="0" applyFont="1" applyFill="1" applyBorder="1" applyAlignment="1">
      <alignment vertical="center"/>
    </xf>
    <xf numFmtId="0" fontId="19" fillId="7" borderId="2" xfId="0" applyFont="1" applyFill="1" applyBorder="1" applyAlignment="1">
      <alignment horizontal="left" vertical="center"/>
    </xf>
    <xf numFmtId="3" fontId="6" fillId="0" borderId="2" xfId="7" applyNumberFormat="1" applyFont="1" applyBorder="1" applyAlignment="1">
      <alignment horizontal="center" vertical="center"/>
    </xf>
    <xf numFmtId="1" fontId="1" fillId="0" borderId="2" xfId="7" applyNumberFormat="1" applyFont="1" applyBorder="1" applyAlignment="1">
      <alignment horizontal="center" vertical="center"/>
    </xf>
    <xf numFmtId="3" fontId="10" fillId="0" borderId="2" xfId="3" applyNumberFormat="1" applyFont="1" applyBorder="1" applyAlignment="1">
      <alignment horizontal="center" vertical="center" wrapText="1"/>
    </xf>
    <xf numFmtId="3" fontId="10" fillId="0" borderId="2" xfId="3" applyNumberFormat="1" applyFont="1" applyFill="1" applyBorder="1" applyAlignment="1">
      <alignment horizontal="center" vertical="center" wrapText="1"/>
    </xf>
    <xf numFmtId="165" fontId="6" fillId="0" borderId="0" xfId="0" applyNumberFormat="1" applyFont="1" applyAlignment="1">
      <alignment horizontal="center" vertical="center"/>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7" borderId="2" xfId="0" applyFont="1" applyFill="1" applyBorder="1" applyAlignment="1">
      <alignment horizontal="center" vertical="center" wrapText="1"/>
    </xf>
    <xf numFmtId="0" fontId="19" fillId="7" borderId="2" xfId="0" applyFont="1" applyFill="1" applyBorder="1" applyAlignment="1">
      <alignment horizontal="center" vertical="center"/>
    </xf>
    <xf numFmtId="9" fontId="6" fillId="0" borderId="0" xfId="2" applyFont="1" applyFill="1" applyBorder="1" applyAlignment="1">
      <alignment horizontal="center" vertical="center"/>
    </xf>
    <xf numFmtId="0" fontId="6" fillId="0" borderId="9" xfId="0" applyFont="1" applyBorder="1" applyAlignment="1">
      <alignment horizontal="center" vertical="center"/>
    </xf>
    <xf numFmtId="0" fontId="19" fillId="7" borderId="20" xfId="0" applyFont="1" applyFill="1" applyBorder="1" applyAlignment="1">
      <alignment horizontal="center" vertical="center" wrapText="1"/>
    </xf>
    <xf numFmtId="1" fontId="6" fillId="0" borderId="0" xfId="0" applyNumberFormat="1" applyFont="1"/>
    <xf numFmtId="9" fontId="6" fillId="0" borderId="0" xfId="2" applyFont="1" applyFill="1" applyBorder="1"/>
    <xf numFmtId="9" fontId="6" fillId="0" borderId="0" xfId="0" applyNumberFormat="1" applyFont="1"/>
    <xf numFmtId="9" fontId="7" fillId="0" borderId="0" xfId="2" applyFont="1" applyFill="1" applyBorder="1"/>
    <xf numFmtId="164" fontId="6" fillId="0" borderId="0" xfId="0" applyNumberFormat="1" applyFont="1"/>
    <xf numFmtId="0" fontId="1" fillId="0" borderId="2" xfId="0" applyFont="1" applyBorder="1" applyAlignment="1">
      <alignment horizontal="center" vertical="center"/>
    </xf>
    <xf numFmtId="0" fontId="7" fillId="7" borderId="20" xfId="0" applyFont="1" applyFill="1" applyBorder="1" applyAlignment="1">
      <alignment horizontal="center" vertical="center"/>
    </xf>
    <xf numFmtId="9" fontId="6" fillId="0" borderId="0" xfId="0" applyNumberFormat="1" applyFont="1" applyAlignment="1">
      <alignment vertical="center"/>
    </xf>
    <xf numFmtId="0" fontId="16" fillId="0" borderId="0" xfId="5" applyFont="1" applyAlignment="1">
      <alignment vertical="center"/>
    </xf>
    <xf numFmtId="0" fontId="23" fillId="0" borderId="0" xfId="0" applyFont="1" applyAlignment="1">
      <alignment horizontal="left" vertical="center"/>
    </xf>
    <xf numFmtId="0" fontId="6" fillId="0" borderId="20" xfId="4" applyBorder="1" applyAlignment="1">
      <alignment horizontal="center" vertical="center"/>
    </xf>
    <xf numFmtId="0" fontId="24" fillId="7" borderId="9" xfId="0" applyFont="1" applyFill="1" applyBorder="1" applyAlignment="1">
      <alignment horizontal="center" vertical="center" wrapText="1"/>
    </xf>
    <xf numFmtId="9" fontId="6" fillId="0" borderId="20" xfId="2" applyFont="1" applyFill="1" applyBorder="1" applyAlignment="1">
      <alignment horizontal="center" vertical="center"/>
    </xf>
    <xf numFmtId="3" fontId="6" fillId="0" borderId="2" xfId="0" applyNumberFormat="1" applyFont="1" applyBorder="1" applyAlignment="1">
      <alignment horizontal="center" vertical="center"/>
    </xf>
    <xf numFmtId="2" fontId="6" fillId="0" borderId="20" xfId="0" applyNumberFormat="1" applyFont="1" applyBorder="1" applyAlignment="1">
      <alignment horizontal="center" vertical="center"/>
    </xf>
    <xf numFmtId="0" fontId="22" fillId="0" borderId="0" xfId="0" applyFont="1" applyAlignment="1">
      <alignment horizontal="center" vertical="center"/>
    </xf>
    <xf numFmtId="0" fontId="25" fillId="5" borderId="0" xfId="0" applyFont="1" applyFill="1" applyAlignment="1">
      <alignment vertical="center" wrapText="1"/>
    </xf>
    <xf numFmtId="0" fontId="22" fillId="5" borderId="0" xfId="0" applyFont="1" applyFill="1" applyAlignment="1">
      <alignment horizontal="center" vertical="center"/>
    </xf>
    <xf numFmtId="165" fontId="22" fillId="5" borderId="0" xfId="0" applyNumberFormat="1" applyFont="1" applyFill="1" applyAlignment="1">
      <alignment horizontal="center" vertical="center"/>
    </xf>
    <xf numFmtId="0" fontId="19" fillId="7" borderId="23" xfId="0" applyFont="1" applyFill="1" applyBorder="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0" xfId="2" applyFont="1" applyFill="1" applyBorder="1" applyAlignment="1">
      <alignment horizontal="left"/>
    </xf>
    <xf numFmtId="1" fontId="6" fillId="0" borderId="0" xfId="2" applyNumberFormat="1" applyFont="1" applyFill="1" applyBorder="1"/>
    <xf numFmtId="3" fontId="6" fillId="0" borderId="0" xfId="0" applyNumberFormat="1" applyFont="1" applyAlignment="1">
      <alignment horizontal="center" vertical="center"/>
    </xf>
    <xf numFmtId="0" fontId="7" fillId="2" borderId="0" xfId="0" applyFont="1" applyFill="1" applyAlignment="1">
      <alignment horizontal="center" vertical="center"/>
    </xf>
    <xf numFmtId="168" fontId="22" fillId="0" borderId="0" xfId="0" applyNumberFormat="1" applyFont="1" applyAlignment="1">
      <alignment horizontal="center" vertical="center"/>
    </xf>
    <xf numFmtId="0" fontId="13" fillId="0" borderId="0" xfId="0" applyFont="1" applyAlignment="1">
      <alignment vertical="center"/>
    </xf>
    <xf numFmtId="0" fontId="27" fillId="0" borderId="0" xfId="0" applyFont="1"/>
    <xf numFmtId="9" fontId="28" fillId="0" borderId="0" xfId="2" applyFont="1"/>
    <xf numFmtId="0" fontId="29" fillId="2" borderId="0" xfId="0" applyFont="1" applyFill="1"/>
    <xf numFmtId="0" fontId="30" fillId="0" borderId="0" xfId="0" quotePrefix="1" applyFont="1"/>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4" fontId="6" fillId="0" borderId="2" xfId="7" applyNumberFormat="1" applyFont="1" applyBorder="1" applyAlignment="1">
      <alignment horizontal="center" vertical="center"/>
    </xf>
    <xf numFmtId="0" fontId="26" fillId="0" borderId="0" xfId="0" applyFont="1"/>
    <xf numFmtId="0" fontId="7" fillId="7" borderId="20" xfId="0" applyFont="1" applyFill="1" applyBorder="1" applyAlignment="1">
      <alignment horizontal="center" vertical="center" wrapText="1"/>
    </xf>
    <xf numFmtId="0" fontId="7" fillId="7" borderId="23" xfId="0" applyFont="1" applyFill="1" applyBorder="1" applyAlignment="1">
      <alignment horizontal="center" vertical="center" wrapText="1"/>
    </xf>
    <xf numFmtId="0" fontId="16" fillId="0" borderId="20" xfId="5" applyFont="1" applyBorder="1" applyAlignment="1">
      <alignment horizontal="center" vertical="center"/>
    </xf>
    <xf numFmtId="0" fontId="19" fillId="7" borderId="9" xfId="0" applyFont="1" applyFill="1" applyBorder="1" applyAlignment="1">
      <alignment horizontal="center" vertical="center" wrapText="1"/>
    </xf>
    <xf numFmtId="0" fontId="7" fillId="7" borderId="23" xfId="0" applyFont="1" applyFill="1" applyBorder="1" applyAlignment="1">
      <alignment horizontal="center" vertical="center"/>
    </xf>
    <xf numFmtId="3" fontId="6" fillId="0" borderId="8" xfId="7" applyNumberFormat="1" applyFont="1" applyBorder="1" applyAlignment="1">
      <alignment horizontal="center" vertical="center"/>
    </xf>
    <xf numFmtId="3" fontId="6" fillId="0" borderId="14" xfId="7" applyNumberFormat="1" applyFont="1" applyBorder="1" applyAlignment="1">
      <alignment horizontal="center" vertical="center"/>
    </xf>
    <xf numFmtId="3" fontId="6" fillId="0" borderId="41" xfId="7" applyNumberFormat="1" applyFont="1" applyBorder="1" applyAlignment="1">
      <alignment horizontal="center" vertical="center"/>
    </xf>
    <xf numFmtId="9" fontId="6" fillId="0" borderId="41" xfId="2" applyFont="1" applyBorder="1" applyAlignment="1">
      <alignment horizontal="center" vertical="center"/>
    </xf>
    <xf numFmtId="9" fontId="10" fillId="0" borderId="2" xfId="2" applyFont="1" applyBorder="1" applyAlignment="1">
      <alignment horizontal="center" vertical="center" wrapText="1"/>
    </xf>
    <xf numFmtId="0" fontId="1" fillId="0" borderId="20" xfId="0" applyFont="1" applyBorder="1" applyAlignment="1">
      <alignment horizontal="center" vertical="center"/>
    </xf>
    <xf numFmtId="0" fontId="12" fillId="0" borderId="0" xfId="0" applyFont="1" applyAlignment="1">
      <alignment wrapText="1"/>
    </xf>
    <xf numFmtId="0" fontId="12" fillId="0" borderId="0" xfId="0" applyFont="1" applyAlignment="1">
      <alignment vertical="center"/>
    </xf>
    <xf numFmtId="0" fontId="6" fillId="5" borderId="0" xfId="0" applyFont="1" applyFill="1"/>
    <xf numFmtId="0" fontId="6" fillId="5" borderId="0" xfId="0" applyFont="1" applyFill="1" applyAlignment="1">
      <alignment horizontal="center"/>
    </xf>
    <xf numFmtId="0" fontId="6" fillId="9" borderId="0" xfId="0" applyFont="1" applyFill="1"/>
    <xf numFmtId="0" fontId="12" fillId="0" borderId="0" xfId="0" applyFont="1" applyAlignment="1">
      <alignment horizont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10" fillId="0" borderId="2" xfId="3" applyFont="1" applyFill="1" applyBorder="1" applyAlignment="1">
      <alignment horizontal="center" vertical="center" wrapText="1"/>
    </xf>
    <xf numFmtId="10" fontId="6" fillId="0" borderId="20" xfId="2" applyNumberFormat="1" applyFont="1" applyBorder="1" applyAlignment="1">
      <alignment horizontal="center" vertical="center" wrapText="1"/>
    </xf>
    <xf numFmtId="0" fontId="24" fillId="7" borderId="9" xfId="0" applyFont="1" applyFill="1" applyBorder="1" applyAlignment="1">
      <alignment horizontal="left" vertical="center" wrapText="1"/>
    </xf>
    <xf numFmtId="169" fontId="6" fillId="0" borderId="2" xfId="6" applyNumberFormat="1" applyFont="1" applyBorder="1" applyAlignment="1">
      <alignment horizontal="right" vertical="center" wrapText="1"/>
    </xf>
    <xf numFmtId="169" fontId="6" fillId="0" borderId="0" xfId="6" applyNumberFormat="1" applyFont="1" applyBorder="1" applyAlignment="1">
      <alignment vertical="center" wrapText="1"/>
    </xf>
    <xf numFmtId="3" fontId="6" fillId="0" borderId="0" xfId="0" applyNumberFormat="1" applyFont="1" applyAlignment="1">
      <alignment horizontal="left"/>
    </xf>
    <xf numFmtId="0" fontId="6" fillId="0" borderId="2" xfId="1" applyFont="1" applyBorder="1" applyAlignment="1">
      <alignment horizontal="center" vertical="center" wrapText="1"/>
    </xf>
    <xf numFmtId="10" fontId="1" fillId="0" borderId="2" xfId="0" applyNumberFormat="1" applyFont="1" applyBorder="1" applyAlignment="1">
      <alignment horizontal="center" vertical="center" wrapText="1"/>
    </xf>
    <xf numFmtId="166" fontId="1" fillId="0" borderId="2" xfId="1" applyNumberFormat="1" applyBorder="1" applyAlignment="1">
      <alignment horizontal="center" vertical="center" wrapText="1"/>
    </xf>
    <xf numFmtId="2" fontId="6" fillId="8" borderId="22" xfId="0" applyNumberFormat="1" applyFont="1" applyFill="1" applyBorder="1" applyAlignment="1">
      <alignment horizontal="center" vertical="center"/>
    </xf>
    <xf numFmtId="0" fontId="6" fillId="6" borderId="20" xfId="0" applyFont="1" applyFill="1" applyBorder="1" applyAlignment="1">
      <alignment horizontal="center" vertical="center"/>
    </xf>
    <xf numFmtId="0" fontId="6" fillId="3" borderId="20" xfId="0" applyFont="1" applyFill="1" applyBorder="1" applyAlignment="1">
      <alignment horizontal="center" vertical="center"/>
    </xf>
    <xf numFmtId="0" fontId="1" fillId="41" borderId="20" xfId="0" applyFont="1" applyFill="1" applyBorder="1" applyAlignment="1">
      <alignment horizontal="center" vertical="center"/>
    </xf>
    <xf numFmtId="2" fontId="6" fillId="8" borderId="20" xfId="0" applyNumberFormat="1" applyFont="1" applyFill="1" applyBorder="1" applyAlignment="1">
      <alignment horizontal="center" vertical="center"/>
    </xf>
    <xf numFmtId="0" fontId="31" fillId="0" borderId="0" xfId="0" applyFont="1" applyAlignment="1">
      <alignment vertical="center"/>
    </xf>
    <xf numFmtId="168" fontId="6" fillId="0" borderId="20" xfId="0" applyNumberFormat="1" applyFont="1" applyBorder="1" applyAlignment="1">
      <alignment horizontal="center" vertical="center"/>
    </xf>
    <xf numFmtId="168" fontId="6" fillId="8" borderId="20" xfId="0" applyNumberFormat="1" applyFont="1" applyFill="1" applyBorder="1" applyAlignment="1">
      <alignment horizontal="center" vertical="center"/>
    </xf>
    <xf numFmtId="168" fontId="6" fillId="6" borderId="20" xfId="0" applyNumberFormat="1" applyFont="1" applyFill="1" applyBorder="1" applyAlignment="1">
      <alignment horizontal="center" vertical="center"/>
    </xf>
    <xf numFmtId="168" fontId="6" fillId="3" borderId="20" xfId="0" applyNumberFormat="1" applyFont="1" applyFill="1" applyBorder="1" applyAlignment="1">
      <alignment horizontal="center" vertical="center"/>
    </xf>
    <xf numFmtId="168" fontId="1" fillId="41" borderId="20" xfId="0" applyNumberFormat="1" applyFont="1" applyFill="1" applyBorder="1" applyAlignment="1">
      <alignment horizontal="center" vertical="center"/>
    </xf>
    <xf numFmtId="168" fontId="6" fillId="8" borderId="22" xfId="0" applyNumberFormat="1" applyFont="1" applyFill="1" applyBorder="1" applyAlignment="1">
      <alignment horizontal="center" vertical="center"/>
    </xf>
    <xf numFmtId="0" fontId="24" fillId="43" borderId="53" xfId="0" applyFont="1" applyFill="1" applyBorder="1" applyAlignment="1">
      <alignment horizontal="center" vertical="center" wrapText="1"/>
    </xf>
    <xf numFmtId="0" fontId="23" fillId="0" borderId="0" xfId="0" applyFont="1" applyAlignment="1">
      <alignment horizontal="center" vertical="center" wrapText="1"/>
    </xf>
    <xf numFmtId="0" fontId="6" fillId="0" borderId="0" xfId="0" applyFont="1" applyAlignment="1">
      <alignment vertical="center" wrapText="1"/>
    </xf>
    <xf numFmtId="0" fontId="12" fillId="0" borderId="27" xfId="0" applyFont="1" applyBorder="1" applyAlignment="1">
      <alignment horizontal="center" vertical="center"/>
    </xf>
    <xf numFmtId="0" fontId="10" fillId="0" borderId="20" xfId="3" applyFont="1" applyBorder="1" applyAlignment="1">
      <alignment horizontal="center" vertical="center" wrapText="1"/>
    </xf>
    <xf numFmtId="0" fontId="6" fillId="0" borderId="2" xfId="0" applyFont="1" applyBorder="1" applyAlignment="1">
      <alignment horizontal="right" vertical="center"/>
    </xf>
    <xf numFmtId="170" fontId="6" fillId="0" borderId="2" xfId="0" applyNumberFormat="1" applyFont="1" applyBorder="1" applyAlignment="1">
      <alignment vertical="center"/>
    </xf>
    <xf numFmtId="0" fontId="6" fillId="0" borderId="8" xfId="0" applyFont="1" applyBorder="1" applyAlignment="1">
      <alignment vertical="center" wrapText="1"/>
    </xf>
    <xf numFmtId="0" fontId="6" fillId="0" borderId="8" xfId="0" applyFont="1" applyBorder="1" applyAlignment="1">
      <alignment horizontal="right" vertical="center"/>
    </xf>
    <xf numFmtId="169" fontId="6" fillId="0" borderId="8" xfId="6" applyNumberFormat="1" applyFont="1" applyBorder="1" applyAlignment="1">
      <alignment horizontal="right" vertical="center"/>
    </xf>
    <xf numFmtId="170" fontId="1" fillId="0" borderId="2" xfId="0" applyNumberFormat="1" applyFont="1" applyBorder="1" applyAlignment="1">
      <alignment vertical="center"/>
    </xf>
    <xf numFmtId="169" fontId="1" fillId="0" borderId="8" xfId="6" applyNumberFormat="1" applyFont="1" applyBorder="1" applyAlignment="1">
      <alignment horizontal="right" vertical="center"/>
    </xf>
    <xf numFmtId="0" fontId="6" fillId="0" borderId="9" xfId="0" applyFont="1" applyBorder="1" applyAlignment="1">
      <alignment vertical="center"/>
    </xf>
    <xf numFmtId="169" fontId="6" fillId="0" borderId="2" xfId="6" applyNumberFormat="1" applyFont="1" applyBorder="1" applyAlignment="1">
      <alignment horizontal="right" vertical="center"/>
    </xf>
    <xf numFmtId="170" fontId="1" fillId="8" borderId="8" xfId="0" applyNumberFormat="1" applyFont="1" applyFill="1" applyBorder="1" applyAlignment="1">
      <alignment vertical="center"/>
    </xf>
    <xf numFmtId="170" fontId="1" fillId="0" borderId="0" xfId="0" applyNumberFormat="1" applyFont="1" applyAlignment="1">
      <alignment vertical="center"/>
    </xf>
    <xf numFmtId="170" fontId="1" fillId="0" borderId="0" xfId="0" applyNumberFormat="1" applyFont="1"/>
    <xf numFmtId="0" fontId="23" fillId="0" borderId="0" xfId="0" applyFont="1"/>
    <xf numFmtId="0" fontId="23" fillId="0" borderId="0" xfId="0" applyFont="1" applyAlignment="1">
      <alignment wrapText="1"/>
    </xf>
    <xf numFmtId="0" fontId="6" fillId="0" borderId="22" xfId="4" applyBorder="1" applyAlignment="1">
      <alignment horizontal="center" vertical="center"/>
    </xf>
    <xf numFmtId="0" fontId="48" fillId="0" borderId="0" xfId="0" applyFont="1" applyAlignment="1">
      <alignment vertical="center"/>
    </xf>
    <xf numFmtId="0" fontId="49" fillId="0" borderId="0" xfId="0" applyFont="1" applyAlignment="1">
      <alignment vertical="center"/>
    </xf>
    <xf numFmtId="0" fontId="50" fillId="4" borderId="0" xfId="0" applyFont="1" applyFill="1"/>
    <xf numFmtId="0" fontId="7" fillId="0" borderId="2" xfId="0" applyFont="1" applyBorder="1"/>
    <xf numFmtId="0" fontId="50" fillId="0" borderId="0" xfId="0" applyFont="1"/>
    <xf numFmtId="0" fontId="17" fillId="0" borderId="2" xfId="0" applyFont="1" applyBorder="1" applyAlignment="1">
      <alignment vertical="center"/>
    </xf>
    <xf numFmtId="0" fontId="6" fillId="0" borderId="2" xfId="0" applyFont="1" applyBorder="1"/>
    <xf numFmtId="169" fontId="6" fillId="0" borderId="2" xfId="6" applyNumberFormat="1" applyFont="1" applyBorder="1"/>
    <xf numFmtId="0" fontId="12" fillId="5" borderId="0" xfId="0" applyFont="1" applyFill="1"/>
    <xf numFmtId="0" fontId="17" fillId="5" borderId="0" xfId="0" applyFont="1" applyFill="1"/>
    <xf numFmtId="0" fontId="50" fillId="5" borderId="0" xfId="0" applyFont="1" applyFill="1"/>
    <xf numFmtId="0" fontId="6" fillId="0" borderId="9" xfId="0" applyFont="1" applyBorder="1"/>
    <xf numFmtId="3" fontId="6" fillId="0" borderId="9" xfId="0" applyNumberFormat="1" applyFont="1" applyBorder="1"/>
    <xf numFmtId="169" fontId="6" fillId="0" borderId="9" xfId="6" applyNumberFormat="1" applyFont="1" applyBorder="1"/>
    <xf numFmtId="0" fontId="7" fillId="0" borderId="14" xfId="0" applyFont="1" applyBorder="1"/>
    <xf numFmtId="0" fontId="54" fillId="47" borderId="15" xfId="0" applyFont="1" applyFill="1" applyBorder="1" applyAlignment="1">
      <alignment horizontal="center" vertical="center"/>
    </xf>
    <xf numFmtId="0" fontId="54" fillId="48" borderId="3" xfId="0" applyFont="1" applyFill="1" applyBorder="1" applyAlignment="1">
      <alignment vertical="center"/>
    </xf>
    <xf numFmtId="0" fontId="55" fillId="47" borderId="9" xfId="0" applyFont="1" applyFill="1" applyBorder="1" applyAlignment="1">
      <alignment horizontal="center" vertical="center" wrapText="1"/>
    </xf>
    <xf numFmtId="0" fontId="55" fillId="45" borderId="12" xfId="0" applyFont="1" applyFill="1" applyBorder="1" applyAlignment="1">
      <alignment horizontal="center" vertical="center" wrapText="1"/>
    </xf>
    <xf numFmtId="0" fontId="55" fillId="46" borderId="12" xfId="0" applyFont="1" applyFill="1" applyBorder="1" applyAlignment="1">
      <alignment horizontal="center" vertical="center" wrapText="1"/>
    </xf>
    <xf numFmtId="0" fontId="55" fillId="47" borderId="12" xfId="0" applyFont="1" applyFill="1" applyBorder="1" applyAlignment="1">
      <alignment horizontal="center" vertical="center" wrapText="1"/>
    </xf>
    <xf numFmtId="9" fontId="23" fillId="0" borderId="2" xfId="0" applyNumberFormat="1" applyFont="1" applyBorder="1" applyAlignment="1">
      <alignment horizontal="center" vertical="center" wrapText="1"/>
    </xf>
    <xf numFmtId="0" fontId="55" fillId="0" borderId="2" xfId="0" applyFont="1" applyBorder="1" applyAlignment="1">
      <alignment horizontal="left" vertical="center" wrapText="1"/>
    </xf>
    <xf numFmtId="9" fontId="55" fillId="0" borderId="2" xfId="0" applyNumberFormat="1" applyFont="1" applyBorder="1" applyAlignment="1">
      <alignment horizontal="center" vertical="center" wrapText="1"/>
    </xf>
    <xf numFmtId="0" fontId="1" fillId="49" borderId="2" xfId="0" applyFont="1" applyFill="1" applyBorder="1" applyAlignment="1">
      <alignment horizontal="center" vertical="center"/>
    </xf>
    <xf numFmtId="0" fontId="56" fillId="0" borderId="0" xfId="5" applyFont="1"/>
    <xf numFmtId="0" fontId="7" fillId="7" borderId="53" xfId="0" applyFont="1" applyFill="1" applyBorder="1" applyAlignment="1">
      <alignment horizontal="center" vertical="center"/>
    </xf>
    <xf numFmtId="9" fontId="6" fillId="0" borderId="20" xfId="0" applyNumberFormat="1" applyFont="1" applyBorder="1" applyAlignment="1">
      <alignment horizontal="center" vertical="center"/>
    </xf>
    <xf numFmtId="0" fontId="19" fillId="7" borderId="53" xfId="0" applyFont="1" applyFill="1" applyBorder="1" applyAlignment="1">
      <alignment horizontal="center" vertical="center" wrapText="1"/>
    </xf>
    <xf numFmtId="0" fontId="10" fillId="0" borderId="2" xfId="3" applyFont="1" applyBorder="1" applyAlignment="1">
      <alignment horizontal="center" vertical="center" wrapText="1"/>
    </xf>
    <xf numFmtId="0" fontId="7" fillId="0" borderId="0" xfId="0" applyFont="1" applyAlignment="1">
      <alignment horizontal="center" vertical="center" wrapText="1"/>
    </xf>
    <xf numFmtId="0" fontId="16" fillId="0" borderId="0" xfId="5" applyFont="1" applyAlignment="1">
      <alignment horizontal="center" vertical="center"/>
    </xf>
    <xf numFmtId="168" fontId="16" fillId="0" borderId="0" xfId="5" applyNumberFormat="1" applyFont="1" applyAlignment="1">
      <alignment horizontal="center" vertical="center"/>
    </xf>
    <xf numFmtId="0" fontId="7" fillId="2" borderId="0" xfId="0" applyFont="1" applyFill="1" applyAlignment="1">
      <alignment horizontal="center" vertical="center" wrapText="1"/>
    </xf>
    <xf numFmtId="10" fontId="6" fillId="0" borderId="2" xfId="0" applyNumberFormat="1" applyFont="1" applyBorder="1" applyAlignment="1">
      <alignment horizontal="center" vertical="center"/>
    </xf>
    <xf numFmtId="0" fontId="12" fillId="8" borderId="9" xfId="0" applyFont="1" applyFill="1" applyBorder="1" applyAlignment="1">
      <alignment horizontal="center" vertical="center" wrapText="1"/>
    </xf>
    <xf numFmtId="0" fontId="12" fillId="8" borderId="2" xfId="0" applyFont="1" applyFill="1" applyBorder="1" applyAlignment="1">
      <alignment vertical="center" wrapText="1"/>
    </xf>
    <xf numFmtId="0" fontId="12" fillId="8" borderId="2" xfId="0" applyFont="1" applyFill="1" applyBorder="1" applyAlignment="1">
      <alignment vertical="center"/>
    </xf>
    <xf numFmtId="0" fontId="12" fillId="0" borderId="2" xfId="0" applyFont="1" applyBorder="1" applyAlignment="1">
      <alignment vertical="center" wrapText="1"/>
    </xf>
    <xf numFmtId="0" fontId="12" fillId="0" borderId="2" xfId="0" applyFont="1" applyBorder="1"/>
    <xf numFmtId="9" fontId="12" fillId="0" borderId="2" xfId="2" applyFont="1" applyBorder="1"/>
    <xf numFmtId="0" fontId="7" fillId="7" borderId="53" xfId="0" applyFont="1" applyFill="1" applyBorder="1" applyAlignment="1">
      <alignment horizontal="center" vertical="center" wrapText="1"/>
    </xf>
    <xf numFmtId="0" fontId="23" fillId="0" borderId="2" xfId="0" applyFont="1" applyBorder="1" applyAlignment="1">
      <alignment horizontal="center" vertical="center"/>
    </xf>
    <xf numFmtId="0" fontId="23" fillId="0" borderId="2" xfId="0" applyFont="1" applyBorder="1" applyAlignment="1">
      <alignment horizontal="center" vertical="center" wrapText="1"/>
    </xf>
    <xf numFmtId="3" fontId="6" fillId="0" borderId="20" xfId="0" applyNumberFormat="1" applyFont="1" applyBorder="1" applyAlignment="1">
      <alignment horizontal="center" vertical="center"/>
    </xf>
    <xf numFmtId="0" fontId="6" fillId="0" borderId="24" xfId="0" applyFont="1" applyBorder="1" applyAlignment="1">
      <alignment horizontal="center" vertical="center"/>
    </xf>
    <xf numFmtId="1" fontId="6" fillId="0" borderId="24" xfId="0" applyNumberFormat="1" applyFont="1" applyBorder="1" applyAlignment="1">
      <alignment horizontal="center" vertical="center"/>
    </xf>
    <xf numFmtId="0" fontId="24" fillId="7" borderId="53" xfId="0" applyFont="1" applyFill="1" applyBorder="1" applyAlignment="1">
      <alignment horizontal="center" vertical="center" wrapText="1"/>
    </xf>
    <xf numFmtId="0" fontId="7" fillId="43" borderId="60" xfId="0" applyFont="1" applyFill="1" applyBorder="1" applyAlignment="1">
      <alignment horizontal="center" vertical="center" wrapText="1"/>
    </xf>
    <xf numFmtId="0" fontId="7" fillId="43" borderId="53" xfId="0" applyFont="1" applyFill="1" applyBorder="1" applyAlignment="1">
      <alignment horizontal="center" vertical="center" wrapText="1"/>
    </xf>
    <xf numFmtId="0" fontId="7" fillId="43" borderId="60" xfId="0" applyFont="1" applyFill="1" applyBorder="1" applyAlignment="1">
      <alignment horizontal="center" vertical="center"/>
    </xf>
    <xf numFmtId="0" fontId="6" fillId="0" borderId="63"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62" xfId="0" applyFont="1" applyBorder="1" applyAlignment="1">
      <alignment horizontal="center" vertical="center" wrapText="1"/>
    </xf>
    <xf numFmtId="0" fontId="47" fillId="5" borderId="64" xfId="0" applyFont="1" applyFill="1" applyBorder="1" applyAlignment="1">
      <alignment horizontal="left" vertical="center"/>
    </xf>
    <xf numFmtId="0" fontId="6" fillId="5" borderId="65" xfId="0" applyFont="1" applyFill="1" applyBorder="1" applyAlignment="1">
      <alignment horizontal="left" vertical="center"/>
    </xf>
    <xf numFmtId="0" fontId="6" fillId="5" borderId="65" xfId="0" applyFont="1" applyFill="1" applyBorder="1" applyAlignment="1">
      <alignment vertical="center"/>
    </xf>
    <xf numFmtId="0" fontId="23" fillId="5" borderId="65" xfId="0" applyFont="1" applyFill="1" applyBorder="1" applyAlignment="1">
      <alignment horizontal="center" vertical="center" wrapText="1"/>
    </xf>
    <xf numFmtId="0" fontId="6" fillId="5" borderId="66" xfId="0" applyFont="1" applyFill="1" applyBorder="1"/>
    <xf numFmtId="0" fontId="47" fillId="5" borderId="67" xfId="0" applyFont="1" applyFill="1" applyBorder="1" applyAlignment="1">
      <alignment horizontal="left" vertical="center"/>
    </xf>
    <xf numFmtId="9" fontId="6" fillId="5" borderId="0" xfId="0" applyNumberFormat="1" applyFont="1" applyFill="1"/>
    <xf numFmtId="0" fontId="6" fillId="5" borderId="0" xfId="0" applyFont="1" applyFill="1" applyAlignment="1">
      <alignment vertical="center"/>
    </xf>
    <xf numFmtId="0" fontId="6" fillId="5" borderId="68" xfId="0" applyFont="1" applyFill="1" applyBorder="1"/>
    <xf numFmtId="2" fontId="6" fillId="0" borderId="2" xfId="0" applyNumberFormat="1" applyFont="1" applyBorder="1" applyAlignment="1">
      <alignment horizontal="center" vertical="center"/>
    </xf>
    <xf numFmtId="0" fontId="6" fillId="50" borderId="62" xfId="0" quotePrefix="1" applyFont="1" applyFill="1" applyBorder="1" applyAlignment="1">
      <alignment horizontal="center" vertical="center" wrapText="1"/>
    </xf>
    <xf numFmtId="0" fontId="0" fillId="0" borderId="2" xfId="0" applyBorder="1" applyAlignment="1">
      <alignment horizontal="center" vertical="center" wrapText="1"/>
    </xf>
    <xf numFmtId="0" fontId="12" fillId="8" borderId="2" xfId="0" applyFont="1" applyFill="1" applyBorder="1" applyAlignment="1">
      <alignment horizontal="center" vertical="center" wrapText="1"/>
    </xf>
    <xf numFmtId="9" fontId="6" fillId="0" borderId="2" xfId="2" applyFont="1" applyBorder="1" applyAlignment="1">
      <alignment horizontal="center"/>
    </xf>
    <xf numFmtId="0" fontId="8" fillId="0" borderId="0" xfId="5"/>
    <xf numFmtId="0" fontId="23" fillId="0" borderId="20" xfId="0" applyFont="1" applyBorder="1" applyAlignment="1">
      <alignment horizontal="center" vertical="center" wrapText="1"/>
    </xf>
    <xf numFmtId="0" fontId="8" fillId="0" borderId="0" xfId="5" applyAlignment="1">
      <alignment horizontal="left"/>
    </xf>
    <xf numFmtId="0" fontId="8" fillId="0" borderId="0" xfId="5" applyAlignment="1"/>
    <xf numFmtId="0" fontId="23" fillId="0" borderId="28" xfId="0" applyFont="1" applyBorder="1" applyAlignment="1">
      <alignment horizontal="center" vertical="center" wrapText="1"/>
    </xf>
    <xf numFmtId="0" fontId="23" fillId="0" borderId="69" xfId="0" applyFont="1" applyBorder="1" applyAlignment="1">
      <alignment horizontal="center" vertical="center" wrapText="1"/>
    </xf>
    <xf numFmtId="0" fontId="10" fillId="0" borderId="69" xfId="3" applyFont="1" applyFill="1" applyBorder="1" applyAlignment="1">
      <alignment horizontal="center" vertical="center" wrapText="1"/>
    </xf>
    <xf numFmtId="0" fontId="19" fillId="7" borderId="9" xfId="0" applyFont="1" applyFill="1" applyBorder="1" applyAlignment="1">
      <alignment horizontal="center" vertical="center"/>
    </xf>
    <xf numFmtId="0" fontId="10" fillId="0" borderId="14" xfId="3" applyFont="1" applyFill="1" applyBorder="1" applyAlignment="1">
      <alignment horizontal="center" vertical="center" wrapText="1"/>
    </xf>
    <xf numFmtId="0" fontId="19" fillId="7" borderId="51" xfId="0" applyFont="1" applyFill="1" applyBorder="1" applyAlignment="1">
      <alignment horizontal="center" vertical="center" wrapText="1"/>
    </xf>
    <xf numFmtId="0" fontId="19" fillId="7" borderId="60" xfId="0" applyFont="1" applyFill="1" applyBorder="1" applyAlignment="1">
      <alignment horizontal="center" vertical="center" wrapText="1"/>
    </xf>
    <xf numFmtId="1" fontId="10" fillId="0" borderId="53" xfId="3" applyNumberFormat="1" applyFont="1" applyBorder="1" applyAlignment="1">
      <alignment horizontal="left" vertical="center" wrapText="1"/>
    </xf>
    <xf numFmtId="0" fontId="6" fillId="0" borderId="53" xfId="0" applyFont="1" applyBorder="1"/>
    <xf numFmtId="1" fontId="6" fillId="0" borderId="53" xfId="0" applyNumberFormat="1" applyFont="1" applyBorder="1"/>
    <xf numFmtId="3" fontId="6" fillId="0" borderId="53" xfId="0" applyNumberFormat="1" applyFont="1" applyBorder="1"/>
    <xf numFmtId="2" fontId="6" fillId="0" borderId="53" xfId="0" applyNumberFormat="1" applyFont="1" applyBorder="1"/>
    <xf numFmtId="43" fontId="6" fillId="0" borderId="53" xfId="6" applyFont="1" applyBorder="1" applyAlignment="1">
      <alignment horizontal="left" vertical="center"/>
    </xf>
    <xf numFmtId="43" fontId="6" fillId="0" borderId="53" xfId="0" applyNumberFormat="1" applyFont="1" applyBorder="1"/>
    <xf numFmtId="0" fontId="6" fillId="0" borderId="23" xfId="0" applyFont="1" applyBorder="1" applyAlignment="1">
      <alignment horizontal="center" vertical="center"/>
    </xf>
    <xf numFmtId="1" fontId="10" fillId="0" borderId="53" xfId="3" applyNumberFormat="1" applyFont="1" applyFill="1" applyBorder="1" applyAlignment="1">
      <alignment horizontal="left" vertical="center" wrapText="1"/>
    </xf>
    <xf numFmtId="43" fontId="6" fillId="0" borderId="53" xfId="6" applyFont="1" applyFill="1" applyBorder="1" applyAlignment="1">
      <alignment horizontal="left" vertical="center"/>
    </xf>
    <xf numFmtId="171" fontId="6" fillId="0" borderId="53" xfId="0" applyNumberFormat="1" applyFont="1" applyBorder="1"/>
    <xf numFmtId="0" fontId="6" fillId="0" borderId="2" xfId="0" applyFont="1" applyBorder="1" applyAlignment="1">
      <alignment horizontal="left" vertical="center" wrapText="1"/>
    </xf>
    <xf numFmtId="169" fontId="6" fillId="0" borderId="2" xfId="0" applyNumberFormat="1" applyFont="1" applyBorder="1"/>
    <xf numFmtId="169" fontId="6" fillId="0" borderId="2" xfId="6" applyNumberFormat="1" applyFont="1" applyBorder="1" applyAlignment="1">
      <alignment horizontal="left" vertical="center"/>
    </xf>
    <xf numFmtId="0" fontId="23" fillId="44" borderId="2" xfId="0" applyFont="1" applyFill="1" applyBorder="1" applyAlignment="1">
      <alignment vertical="center"/>
    </xf>
    <xf numFmtId="172" fontId="23" fillId="44" borderId="2" xfId="0" applyNumberFormat="1" applyFont="1" applyFill="1" applyBorder="1" applyAlignment="1">
      <alignment vertical="center"/>
    </xf>
    <xf numFmtId="172" fontId="6" fillId="0" borderId="2" xfId="0" applyNumberFormat="1" applyFont="1" applyBorder="1"/>
    <xf numFmtId="0" fontId="10" fillId="0" borderId="2" xfId="3" applyFont="1" applyBorder="1" applyAlignment="1">
      <alignment horizontal="left" vertical="center" wrapText="1"/>
    </xf>
    <xf numFmtId="0" fontId="10" fillId="0" borderId="0" xfId="3" applyFont="1" applyBorder="1" applyAlignment="1">
      <alignment horizontal="left" vertical="center" wrapText="1"/>
    </xf>
    <xf numFmtId="169" fontId="6" fillId="0" borderId="0" xfId="0" applyNumberFormat="1" applyFont="1"/>
    <xf numFmtId="169" fontId="6" fillId="0" borderId="0" xfId="6" applyNumberFormat="1" applyFont="1" applyBorder="1" applyAlignment="1">
      <alignment horizontal="left" vertical="center"/>
    </xf>
    <xf numFmtId="0" fontId="23" fillId="0" borderId="70" xfId="0" applyFont="1" applyBorder="1"/>
    <xf numFmtId="0" fontId="14" fillId="0" borderId="0" xfId="0" applyFont="1"/>
    <xf numFmtId="43" fontId="6" fillId="0" borderId="2" xfId="0" applyNumberFormat="1" applyFont="1" applyBorder="1"/>
    <xf numFmtId="0" fontId="7" fillId="2" borderId="0" xfId="0" applyFont="1" applyFill="1" applyAlignment="1">
      <alignment vertical="center"/>
    </xf>
    <xf numFmtId="0" fontId="22" fillId="0" borderId="54" xfId="0" applyFont="1" applyBorder="1" applyAlignment="1">
      <alignment horizontal="center" vertical="center"/>
    </xf>
    <xf numFmtId="2" fontId="22" fillId="0" borderId="1" xfId="0" applyNumberFormat="1" applyFont="1" applyBorder="1" applyAlignment="1">
      <alignment horizontal="center" vertical="center"/>
    </xf>
    <xf numFmtId="2" fontId="22" fillId="0" borderId="4" xfId="0" applyNumberFormat="1" applyFont="1" applyBorder="1" applyAlignment="1">
      <alignment horizontal="center" vertical="center"/>
    </xf>
    <xf numFmtId="0" fontId="22" fillId="0" borderId="8" xfId="0" applyFont="1" applyBorder="1" applyAlignment="1">
      <alignment horizontal="center" vertical="center"/>
    </xf>
    <xf numFmtId="2" fontId="22" fillId="0" borderId="2" xfId="0" applyNumberFormat="1" applyFont="1" applyBorder="1" applyAlignment="1">
      <alignment horizontal="center" vertical="center"/>
    </xf>
    <xf numFmtId="2" fontId="22" fillId="0" borderId="5" xfId="0" applyNumberFormat="1" applyFont="1" applyBorder="1" applyAlignment="1">
      <alignment horizontal="center" vertical="center"/>
    </xf>
    <xf numFmtId="0" fontId="22" fillId="0" borderId="55" xfId="0" applyFont="1" applyBorder="1" applyAlignment="1">
      <alignment horizontal="center" vertical="center"/>
    </xf>
    <xf numFmtId="2" fontId="22" fillId="0" borderId="32" xfId="0" applyNumberFormat="1" applyFont="1" applyBorder="1" applyAlignment="1">
      <alignment horizontal="center" vertical="center"/>
    </xf>
    <xf numFmtId="2" fontId="22" fillId="0" borderId="6" xfId="0" applyNumberFormat="1" applyFont="1" applyBorder="1" applyAlignment="1">
      <alignment horizontal="center" vertical="center"/>
    </xf>
    <xf numFmtId="0" fontId="22" fillId="0" borderId="56" xfId="0" applyFont="1" applyBorder="1" applyAlignment="1">
      <alignment horizontal="center" vertical="center"/>
    </xf>
    <xf numFmtId="2" fontId="22" fillId="0" borderId="29" xfId="0" applyNumberFormat="1" applyFont="1" applyBorder="1" applyAlignment="1">
      <alignment horizontal="center" vertical="center"/>
    </xf>
    <xf numFmtId="2" fontId="22" fillId="0" borderId="31" xfId="0" applyNumberFormat="1" applyFont="1" applyBorder="1" applyAlignment="1">
      <alignment horizontal="center" vertical="center"/>
    </xf>
    <xf numFmtId="0" fontId="22" fillId="0" borderId="57" xfId="0" applyFont="1" applyBorder="1" applyAlignment="1">
      <alignment horizontal="center" vertical="center"/>
    </xf>
    <xf numFmtId="2" fontId="22" fillId="0" borderId="28" xfId="0" applyNumberFormat="1" applyFont="1" applyBorder="1" applyAlignment="1">
      <alignment horizontal="center" vertical="center"/>
    </xf>
    <xf numFmtId="2" fontId="22" fillId="0" borderId="30" xfId="0" applyNumberFormat="1" applyFont="1" applyBorder="1" applyAlignment="1">
      <alignment horizontal="center" vertical="center"/>
    </xf>
    <xf numFmtId="0" fontId="22" fillId="0" borderId="78" xfId="0" applyFont="1" applyBorder="1" applyAlignment="1">
      <alignment horizontal="center" vertical="center"/>
    </xf>
    <xf numFmtId="2" fontId="22" fillId="0" borderId="79" xfId="0" applyNumberFormat="1" applyFont="1" applyBorder="1" applyAlignment="1">
      <alignment horizontal="center" vertical="center"/>
    </xf>
    <xf numFmtId="2" fontId="22" fillId="0" borderId="80" xfId="0" applyNumberFormat="1" applyFont="1" applyBorder="1" applyAlignment="1">
      <alignment horizontal="center" vertical="center"/>
    </xf>
    <xf numFmtId="0" fontId="22" fillId="0" borderId="81" xfId="0" applyFont="1" applyBorder="1" applyAlignment="1">
      <alignment horizontal="center" vertical="center"/>
    </xf>
    <xf numFmtId="2" fontId="22" fillId="0" borderId="82" xfId="0" applyNumberFormat="1" applyFont="1" applyBorder="1" applyAlignment="1">
      <alignment horizontal="center" vertical="center"/>
    </xf>
    <xf numFmtId="2" fontId="22" fillId="0" borderId="83" xfId="0" applyNumberFormat="1" applyFont="1" applyBorder="1" applyAlignment="1">
      <alignment horizontal="center" vertical="center"/>
    </xf>
    <xf numFmtId="2" fontId="22" fillId="0" borderId="84" xfId="0" applyNumberFormat="1" applyFont="1" applyBorder="1" applyAlignment="1">
      <alignment horizontal="center" vertical="center"/>
    </xf>
    <xf numFmtId="2" fontId="22" fillId="0" borderId="9" xfId="0" applyNumberFormat="1" applyFont="1" applyBorder="1" applyAlignment="1">
      <alignment horizontal="center" vertical="center"/>
    </xf>
    <xf numFmtId="2" fontId="22" fillId="0" borderId="88" xfId="0" applyNumberFormat="1" applyFont="1" applyBorder="1" applyAlignment="1">
      <alignment horizontal="center" vertical="center"/>
    </xf>
    <xf numFmtId="0" fontId="22" fillId="0" borderId="89" xfId="0" applyFont="1" applyBorder="1" applyAlignment="1">
      <alignment horizontal="center" vertical="center"/>
    </xf>
    <xf numFmtId="2" fontId="22" fillId="0" borderId="72" xfId="0" applyNumberFormat="1" applyFont="1" applyBorder="1" applyAlignment="1">
      <alignment horizontal="center" vertical="center"/>
    </xf>
    <xf numFmtId="2" fontId="22" fillId="0" borderId="73" xfId="0" applyNumberFormat="1" applyFont="1" applyBorder="1" applyAlignment="1">
      <alignment horizontal="center" vertical="center"/>
    </xf>
    <xf numFmtId="0" fontId="22" fillId="0" borderId="90" xfId="0" applyFont="1" applyBorder="1" applyAlignment="1">
      <alignment horizontal="center" vertical="center"/>
    </xf>
    <xf numFmtId="2" fontId="22" fillId="0" borderId="53" xfId="0" applyNumberFormat="1" applyFont="1" applyBorder="1" applyAlignment="1">
      <alignment horizontal="center" vertical="center"/>
    </xf>
    <xf numFmtId="2" fontId="22" fillId="0" borderId="75" xfId="0" applyNumberFormat="1" applyFont="1" applyBorder="1" applyAlignment="1">
      <alignment horizontal="center" vertical="center"/>
    </xf>
    <xf numFmtId="0" fontId="22" fillId="0" borderId="91" xfId="0" applyFont="1" applyBorder="1" applyAlignment="1">
      <alignment horizontal="center" vertical="center"/>
    </xf>
    <xf numFmtId="2" fontId="22" fillId="0" borderId="86" xfId="0" applyNumberFormat="1" applyFont="1" applyBorder="1" applyAlignment="1">
      <alignment horizontal="center" vertical="center"/>
    </xf>
    <xf numFmtId="2" fontId="22" fillId="0" borderId="87" xfId="0" applyNumberFormat="1" applyFont="1" applyBorder="1" applyAlignment="1">
      <alignment horizontal="center" vertical="center"/>
    </xf>
    <xf numFmtId="2" fontId="22" fillId="0" borderId="10" xfId="0" applyNumberFormat="1" applyFont="1" applyBorder="1" applyAlignment="1">
      <alignment horizontal="center" vertical="center"/>
    </xf>
    <xf numFmtId="1" fontId="22" fillId="0" borderId="10" xfId="0" applyNumberFormat="1" applyFont="1" applyBorder="1" applyAlignment="1">
      <alignment horizontal="center" vertical="center"/>
    </xf>
    <xf numFmtId="1" fontId="22" fillId="0" borderId="88" xfId="0" applyNumberFormat="1" applyFont="1" applyBorder="1" applyAlignment="1">
      <alignment horizontal="center" vertical="center"/>
    </xf>
    <xf numFmtId="0" fontId="22" fillId="0" borderId="96" xfId="0" applyFont="1" applyBorder="1" applyAlignment="1">
      <alignment horizontal="center" vertical="center"/>
    </xf>
    <xf numFmtId="0" fontId="22" fillId="0" borderId="100" xfId="0" applyFont="1" applyBorder="1" applyAlignment="1">
      <alignment horizontal="center" vertical="center"/>
    </xf>
    <xf numFmtId="1" fontId="22" fillId="0" borderId="72" xfId="0" applyNumberFormat="1" applyFont="1" applyBorder="1" applyAlignment="1">
      <alignment horizontal="center" vertical="center"/>
    </xf>
    <xf numFmtId="1" fontId="22" fillId="0" borderId="73" xfId="0" applyNumberFormat="1" applyFont="1" applyBorder="1" applyAlignment="1">
      <alignment horizontal="center" vertical="center"/>
    </xf>
    <xf numFmtId="0" fontId="22" fillId="0" borderId="103" xfId="0" applyFont="1" applyBorder="1" applyAlignment="1">
      <alignment horizontal="center" vertical="center"/>
    </xf>
    <xf numFmtId="1" fontId="22" fillId="0" borderId="53" xfId="0" applyNumberFormat="1" applyFont="1" applyBorder="1" applyAlignment="1">
      <alignment horizontal="center" vertical="center"/>
    </xf>
    <xf numFmtId="1" fontId="22" fillId="0" borderId="75" xfId="0" applyNumberFormat="1" applyFont="1" applyBorder="1" applyAlignment="1">
      <alignment horizontal="center" vertical="center"/>
    </xf>
    <xf numFmtId="0" fontId="22" fillId="0" borderId="107" xfId="0" applyFont="1" applyBorder="1" applyAlignment="1">
      <alignment horizontal="center" vertical="center"/>
    </xf>
    <xf numFmtId="1" fontId="22" fillId="0" borderId="86" xfId="0" applyNumberFormat="1" applyFont="1" applyBorder="1" applyAlignment="1">
      <alignment horizontal="center" vertical="center"/>
    </xf>
    <xf numFmtId="1" fontId="22" fillId="0" borderId="87" xfId="0" applyNumberFormat="1" applyFont="1" applyBorder="1" applyAlignment="1">
      <alignment horizontal="center" vertical="center"/>
    </xf>
    <xf numFmtId="0" fontId="22" fillId="0" borderId="59" xfId="0" applyFont="1" applyBorder="1" applyAlignment="1">
      <alignment horizontal="center" vertical="center"/>
    </xf>
    <xf numFmtId="0" fontId="22" fillId="0" borderId="117" xfId="0" applyFont="1" applyBorder="1" applyAlignment="1">
      <alignment horizontal="center" vertical="center"/>
    </xf>
    <xf numFmtId="1" fontId="22" fillId="0" borderId="98" xfId="0" applyNumberFormat="1" applyFont="1" applyBorder="1" applyAlignment="1">
      <alignment horizontal="center" vertical="center"/>
    </xf>
    <xf numFmtId="1" fontId="22" fillId="0" borderId="99" xfId="0" applyNumberFormat="1" applyFont="1" applyBorder="1" applyAlignment="1">
      <alignment horizontal="center" vertical="center"/>
    </xf>
    <xf numFmtId="1" fontId="22" fillId="0" borderId="102" xfId="0" applyNumberFormat="1" applyFont="1" applyBorder="1" applyAlignment="1">
      <alignment horizontal="center" vertical="center"/>
    </xf>
    <xf numFmtId="0" fontId="22" fillId="0" borderId="118" xfId="0" applyFont="1" applyBorder="1" applyAlignment="1">
      <alignment horizontal="center" vertical="center"/>
    </xf>
    <xf numFmtId="1" fontId="22" fillId="0" borderId="105" xfId="0" applyNumberFormat="1" applyFont="1" applyBorder="1" applyAlignment="1">
      <alignment horizontal="center" vertical="center"/>
    </xf>
    <xf numFmtId="1" fontId="22" fillId="0" borderId="106" xfId="0" applyNumberFormat="1" applyFont="1" applyBorder="1" applyAlignment="1">
      <alignment horizontal="center" vertical="center"/>
    </xf>
    <xf numFmtId="2" fontId="22" fillId="0" borderId="60" xfId="0" applyNumberFormat="1" applyFont="1" applyBorder="1" applyAlignment="1">
      <alignment horizontal="center" vertical="center"/>
    </xf>
    <xf numFmtId="2" fontId="22" fillId="0" borderId="77" xfId="0" applyNumberFormat="1" applyFont="1" applyBorder="1" applyAlignment="1">
      <alignment horizontal="center" vertical="center"/>
    </xf>
    <xf numFmtId="0" fontId="22" fillId="0" borderId="120" xfId="0" applyFont="1" applyBorder="1" applyAlignment="1">
      <alignment horizontal="center" vertical="center"/>
    </xf>
    <xf numFmtId="2" fontId="22" fillId="0" borderId="13" xfId="0" applyNumberFormat="1" applyFont="1" applyBorder="1" applyAlignment="1">
      <alignment horizontal="center" vertical="center"/>
    </xf>
    <xf numFmtId="1" fontId="22" fillId="0" borderId="13" xfId="0" applyNumberFormat="1" applyFont="1" applyBorder="1" applyAlignment="1">
      <alignment horizontal="center" vertical="center"/>
    </xf>
    <xf numFmtId="1" fontId="22" fillId="0" borderId="121" xfId="0" applyNumberFormat="1" applyFont="1" applyBorder="1" applyAlignment="1">
      <alignment horizontal="center" vertical="center"/>
    </xf>
    <xf numFmtId="0" fontId="22" fillId="0" borderId="122" xfId="0" applyFont="1" applyBorder="1" applyAlignment="1">
      <alignment horizontal="center" vertical="center"/>
    </xf>
    <xf numFmtId="0" fontId="22" fillId="0" borderId="123" xfId="0" applyFont="1" applyBorder="1" applyAlignment="1">
      <alignment horizontal="center" vertical="center"/>
    </xf>
    <xf numFmtId="0" fontId="22" fillId="0" borderId="124" xfId="0" applyFont="1" applyBorder="1" applyAlignment="1">
      <alignment horizontal="center" vertical="center"/>
    </xf>
    <xf numFmtId="9" fontId="6" fillId="0" borderId="0" xfId="4" applyNumberFormat="1" applyAlignment="1">
      <alignment horizontal="center" vertical="center"/>
    </xf>
    <xf numFmtId="10" fontId="24" fillId="7" borderId="2" xfId="0" applyNumberFormat="1" applyFont="1" applyFill="1" applyBorder="1" applyAlignment="1">
      <alignment horizontal="center" vertical="center"/>
    </xf>
    <xf numFmtId="10" fontId="6" fillId="0" borderId="22" xfId="2" applyNumberFormat="1" applyFont="1" applyFill="1" applyBorder="1" applyAlignment="1">
      <alignment horizontal="center" vertical="center"/>
    </xf>
    <xf numFmtId="10" fontId="6" fillId="0" borderId="22" xfId="0" applyNumberFormat="1" applyFont="1" applyBorder="1" applyAlignment="1">
      <alignment horizontal="center"/>
    </xf>
    <xf numFmtId="10" fontId="6" fillId="0" borderId="20" xfId="2" applyNumberFormat="1" applyFont="1" applyFill="1" applyBorder="1" applyAlignment="1">
      <alignment horizontal="center" vertical="center"/>
    </xf>
    <xf numFmtId="10" fontId="6" fillId="0" borderId="20" xfId="0" applyNumberFormat="1" applyFont="1" applyBorder="1" applyAlignment="1">
      <alignment horizontal="center"/>
    </xf>
    <xf numFmtId="10" fontId="6" fillId="0" borderId="20" xfId="0" applyNumberFormat="1" applyFont="1" applyBorder="1" applyAlignment="1">
      <alignment horizontal="center" vertical="center"/>
    </xf>
    <xf numFmtId="165" fontId="23" fillId="0" borderId="2" xfId="0" applyNumberFormat="1" applyFont="1" applyBorder="1" applyAlignment="1">
      <alignment horizontal="center" vertical="center"/>
    </xf>
    <xf numFmtId="0" fontId="6" fillId="0" borderId="51" xfId="4" applyBorder="1" applyAlignment="1">
      <alignment horizontal="center" vertical="center"/>
    </xf>
    <xf numFmtId="0" fontId="24" fillId="7" borderId="51" xfId="0" applyFont="1" applyFill="1" applyBorder="1" applyAlignment="1">
      <alignment horizontal="center" vertical="center"/>
    </xf>
    <xf numFmtId="0" fontId="24" fillId="43" borderId="128" xfId="0" applyFont="1" applyFill="1" applyBorder="1" applyAlignment="1">
      <alignment horizontal="center" vertical="center" wrapText="1"/>
    </xf>
    <xf numFmtId="165" fontId="61" fillId="0" borderId="2" xfId="0" applyNumberFormat="1" applyFont="1" applyBorder="1"/>
    <xf numFmtId="0" fontId="19" fillId="53" borderId="122" xfId="0" applyFont="1" applyFill="1" applyBorder="1" applyAlignment="1">
      <alignment horizontal="center" vertical="center" wrapText="1"/>
    </xf>
    <xf numFmtId="0" fontId="19" fillId="53" borderId="1" xfId="0" applyFont="1" applyFill="1" applyBorder="1" applyAlignment="1">
      <alignment horizontal="center" vertical="center" wrapText="1"/>
    </xf>
    <xf numFmtId="0" fontId="19" fillId="53" borderId="4" xfId="0" applyFont="1" applyFill="1" applyBorder="1" applyAlignment="1">
      <alignment horizontal="center" vertical="center" wrapText="1"/>
    </xf>
    <xf numFmtId="165" fontId="61" fillId="0" borderId="123" xfId="0" applyNumberFormat="1" applyFont="1" applyBorder="1"/>
    <xf numFmtId="165" fontId="61" fillId="0" borderId="124" xfId="0" applyNumberFormat="1" applyFont="1" applyBorder="1"/>
    <xf numFmtId="165" fontId="61" fillId="0" borderId="32" xfId="0" applyNumberFormat="1" applyFont="1" applyBorder="1"/>
    <xf numFmtId="0" fontId="6" fillId="0" borderId="32" xfId="0" applyFont="1" applyBorder="1"/>
    <xf numFmtId="0" fontId="23" fillId="0" borderId="16" xfId="0" applyFont="1" applyBorder="1" applyAlignment="1">
      <alignment horizontal="center" vertical="center"/>
    </xf>
    <xf numFmtId="0" fontId="23" fillId="0" borderId="131" xfId="0" applyFont="1" applyBorder="1" applyAlignment="1">
      <alignment horizontal="center" vertical="center"/>
    </xf>
    <xf numFmtId="0" fontId="19" fillId="52" borderId="122" xfId="0" applyFont="1" applyFill="1" applyBorder="1" applyAlignment="1">
      <alignment horizontal="center" vertical="center" wrapText="1"/>
    </xf>
    <xf numFmtId="0" fontId="19" fillId="52" borderId="1" xfId="0" applyFont="1" applyFill="1" applyBorder="1" applyAlignment="1">
      <alignment horizontal="center" vertical="center" wrapText="1"/>
    </xf>
    <xf numFmtId="0" fontId="19" fillId="52" borderId="4" xfId="0" applyFont="1" applyFill="1" applyBorder="1" applyAlignment="1">
      <alignment horizontal="center" vertical="center" wrapText="1"/>
    </xf>
    <xf numFmtId="165" fontId="23" fillId="0" borderId="123" xfId="0" applyNumberFormat="1" applyFont="1" applyBorder="1" applyAlignment="1">
      <alignment horizontal="center" vertical="center"/>
    </xf>
    <xf numFmtId="165" fontId="23" fillId="0" borderId="124" xfId="0" applyNumberFormat="1" applyFont="1" applyBorder="1" applyAlignment="1">
      <alignment horizontal="center" vertical="center"/>
    </xf>
    <xf numFmtId="165" fontId="23" fillId="0" borderId="32" xfId="0" applyNumberFormat="1" applyFont="1" applyBorder="1" applyAlignment="1">
      <alignment horizontal="center" vertical="center"/>
    </xf>
    <xf numFmtId="0" fontId="19" fillId="43" borderId="130" xfId="0" applyFont="1" applyFill="1" applyBorder="1" applyAlignment="1">
      <alignment horizontal="center" vertical="center" wrapText="1"/>
    </xf>
    <xf numFmtId="0" fontId="19" fillId="52" borderId="54" xfId="0" applyFont="1" applyFill="1" applyBorder="1" applyAlignment="1">
      <alignment horizontal="center" vertical="center" wrapText="1"/>
    </xf>
    <xf numFmtId="0" fontId="19" fillId="52" borderId="132" xfId="0" applyFont="1" applyFill="1" applyBorder="1" applyAlignment="1">
      <alignment horizontal="center" vertical="center" wrapText="1"/>
    </xf>
    <xf numFmtId="165" fontId="6" fillId="0" borderId="5" xfId="0" applyNumberFormat="1" applyFont="1" applyBorder="1"/>
    <xf numFmtId="165" fontId="6" fillId="0" borderId="6" xfId="0" applyNumberFormat="1" applyFont="1" applyBorder="1"/>
    <xf numFmtId="0" fontId="19" fillId="43" borderId="2" xfId="0" applyFont="1" applyFill="1" applyBorder="1" applyAlignment="1">
      <alignment horizontal="center" vertical="center" wrapText="1"/>
    </xf>
    <xf numFmtId="3" fontId="23" fillId="0" borderId="28" xfId="0" applyNumberFormat="1" applyFont="1" applyBorder="1" applyAlignment="1">
      <alignment horizontal="center"/>
    </xf>
    <xf numFmtId="0" fontId="23" fillId="0" borderId="28" xfId="0" applyFont="1" applyBorder="1" applyAlignment="1">
      <alignment horizontal="center"/>
    </xf>
    <xf numFmtId="0" fontId="23" fillId="0" borderId="28" xfId="0" applyFont="1" applyBorder="1"/>
    <xf numFmtId="165" fontId="23" fillId="0" borderId="28" xfId="0" applyNumberFormat="1" applyFont="1" applyBorder="1"/>
    <xf numFmtId="0" fontId="6" fillId="0" borderId="0" xfId="0" applyFont="1" applyAlignment="1">
      <alignment vertical="top"/>
    </xf>
    <xf numFmtId="0" fontId="62" fillId="0" borderId="0" xfId="0" applyFont="1"/>
    <xf numFmtId="0" fontId="24" fillId="51" borderId="0" xfId="0" applyFont="1" applyFill="1"/>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2" fontId="23" fillId="0" borderId="133" xfId="0" applyNumberFormat="1" applyFont="1" applyBorder="1" applyAlignment="1">
      <alignment horizontal="center" vertical="center"/>
    </xf>
    <xf numFmtId="2" fontId="23" fillId="0" borderId="17" xfId="0" applyNumberFormat="1" applyFont="1" applyBorder="1" applyAlignment="1">
      <alignment horizontal="center" vertical="center"/>
    </xf>
    <xf numFmtId="2" fontId="23" fillId="0" borderId="134" xfId="0" applyNumberFormat="1" applyFont="1" applyBorder="1" applyAlignment="1">
      <alignment horizontal="center" vertical="center"/>
    </xf>
    <xf numFmtId="2" fontId="23" fillId="0" borderId="135" xfId="0" applyNumberFormat="1" applyFont="1" applyBorder="1" applyAlignment="1">
      <alignment horizontal="center" vertical="center"/>
    </xf>
    <xf numFmtId="2" fontId="23" fillId="0" borderId="136" xfId="0" applyNumberFormat="1" applyFont="1" applyBorder="1" applyAlignment="1">
      <alignment horizontal="center" vertical="center"/>
    </xf>
    <xf numFmtId="2" fontId="23" fillId="0" borderId="35" xfId="0" applyNumberFormat="1" applyFont="1" applyBorder="1" applyAlignment="1">
      <alignment horizontal="center" vertical="center"/>
    </xf>
    <xf numFmtId="0" fontId="22" fillId="0" borderId="111" xfId="0" applyFont="1" applyBorder="1" applyAlignment="1">
      <alignment horizontal="center" vertical="center"/>
    </xf>
    <xf numFmtId="0" fontId="22" fillId="0" borderId="66" xfId="0" applyFont="1" applyBorder="1" applyAlignment="1">
      <alignment horizontal="center" vertical="center"/>
    </xf>
    <xf numFmtId="1" fontId="22" fillId="0" borderId="93" xfId="0" applyNumberFormat="1" applyFont="1" applyBorder="1" applyAlignment="1">
      <alignment horizontal="center" vertical="center"/>
    </xf>
    <xf numFmtId="1" fontId="22" fillId="0" borderId="112" xfId="0" applyNumberFormat="1" applyFont="1" applyBorder="1" applyAlignment="1">
      <alignment horizontal="center" vertical="center"/>
    </xf>
    <xf numFmtId="1" fontId="22" fillId="0" borderId="60" xfId="0" applyNumberFormat="1" applyFont="1" applyBorder="1" applyAlignment="1">
      <alignment horizontal="center" vertical="center"/>
    </xf>
    <xf numFmtId="1" fontId="22" fillId="0" borderId="77" xfId="0" applyNumberFormat="1"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xf>
    <xf numFmtId="0" fontId="6" fillId="0" borderId="0" xfId="0" applyFont="1" applyAlignment="1">
      <alignment horizontal="left" vertical="center"/>
    </xf>
    <xf numFmtId="0" fontId="7" fillId="0" borderId="0" xfId="0" applyFont="1" applyAlignment="1">
      <alignment horizontal="center" vertical="center"/>
    </xf>
    <xf numFmtId="0" fontId="6" fillId="0" borderId="20" xfId="0" applyFont="1" applyBorder="1" applyAlignment="1">
      <alignment horizontal="center" vertical="center"/>
    </xf>
    <xf numFmtId="0" fontId="6" fillId="0" borderId="20" xfId="0" applyFont="1" applyBorder="1" applyAlignment="1">
      <alignment horizontal="center" vertical="center" wrapText="1"/>
    </xf>
    <xf numFmtId="0" fontId="6" fillId="0" borderId="0" xfId="0" applyFont="1" applyAlignment="1">
      <alignment horizont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55" fillId="45" borderId="9" xfId="0" applyFont="1" applyFill="1" applyBorder="1" applyAlignment="1">
      <alignment horizontal="center" vertical="center" wrapText="1"/>
    </xf>
    <xf numFmtId="0" fontId="55" fillId="46" borderId="9" xfId="0" applyFont="1" applyFill="1" applyBorder="1" applyAlignment="1">
      <alignment horizontal="center" vertical="center" wrapText="1"/>
    </xf>
    <xf numFmtId="0" fontId="23" fillId="0" borderId="0" xfId="0" applyFont="1" applyAlignment="1">
      <alignment horizontal="left"/>
    </xf>
    <xf numFmtId="0" fontId="7" fillId="7" borderId="2" xfId="0" applyFont="1" applyFill="1" applyBorder="1" applyAlignment="1">
      <alignment horizontal="center" vertical="center" wrapText="1"/>
    </xf>
    <xf numFmtId="0" fontId="7" fillId="7" borderId="0" xfId="0" applyFont="1" applyFill="1" applyAlignment="1">
      <alignment horizontal="center" vertical="center"/>
    </xf>
    <xf numFmtId="0" fontId="7" fillId="7" borderId="9" xfId="0" applyFont="1" applyFill="1" applyBorder="1" applyAlignment="1">
      <alignment horizontal="center" vertical="center"/>
    </xf>
    <xf numFmtId="0" fontId="19" fillId="7" borderId="2" xfId="0" applyFont="1" applyFill="1" applyBorder="1" applyAlignment="1">
      <alignment horizontal="center" vertical="center" wrapText="1"/>
    </xf>
    <xf numFmtId="0" fontId="6" fillId="0" borderId="0" xfId="0" applyFont="1" applyAlignment="1">
      <alignment horizontal="center" vertical="center"/>
    </xf>
    <xf numFmtId="0" fontId="24" fillId="7" borderId="2" xfId="0" applyFont="1" applyFill="1" applyBorder="1" applyAlignment="1">
      <alignment horizontal="center" vertical="center"/>
    </xf>
    <xf numFmtId="0" fontId="0" fillId="0" borderId="0" xfId="0" applyAlignment="1">
      <alignment horizontal="center"/>
    </xf>
    <xf numFmtId="0" fontId="6" fillId="0" borderId="0" xfId="0" applyFont="1" applyAlignment="1">
      <alignment horizontal="left" vertical="center"/>
    </xf>
    <xf numFmtId="0" fontId="13" fillId="9" borderId="0" xfId="0" applyFont="1" applyFill="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left"/>
    </xf>
    <xf numFmtId="0" fontId="18" fillId="0" borderId="16" xfId="0" applyFont="1" applyBorder="1" applyAlignment="1">
      <alignment horizontal="left" vertical="center"/>
    </xf>
    <xf numFmtId="0" fontId="13" fillId="9" borderId="3" xfId="1" applyFont="1" applyFill="1" applyBorder="1" applyAlignment="1">
      <alignment horizontal="center" vertical="center" wrapText="1"/>
    </xf>
    <xf numFmtId="0" fontId="13" fillId="9" borderId="7" xfId="1" applyFont="1" applyFill="1" applyBorder="1" applyAlignment="1">
      <alignment horizontal="center" vertical="center" wrapText="1"/>
    </xf>
    <xf numFmtId="0" fontId="7" fillId="0" borderId="37" xfId="0" applyFont="1" applyBorder="1" applyAlignment="1">
      <alignment horizontal="center" vertical="center"/>
    </xf>
    <xf numFmtId="0" fontId="7" fillId="0" borderId="38" xfId="0" applyFont="1" applyBorder="1" applyAlignment="1">
      <alignment horizontal="center" vertical="center"/>
    </xf>
    <xf numFmtId="0" fontId="7" fillId="0" borderId="39" xfId="0" applyFont="1" applyBorder="1" applyAlignment="1">
      <alignment horizontal="center" vertical="center"/>
    </xf>
    <xf numFmtId="0" fontId="7" fillId="0" borderId="19" xfId="0" applyFont="1" applyBorder="1" applyAlignment="1">
      <alignment horizontal="center" vertical="center"/>
    </xf>
    <xf numFmtId="0" fontId="7" fillId="0" borderId="0" xfId="0" applyFont="1" applyAlignment="1">
      <alignment horizontal="center" vertical="center"/>
    </xf>
    <xf numFmtId="0" fontId="7" fillId="0" borderId="18" xfId="0" applyFont="1" applyBorder="1" applyAlignment="1">
      <alignment horizontal="center" vertical="center"/>
    </xf>
    <xf numFmtId="0" fontId="7" fillId="0" borderId="40"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6" fillId="6" borderId="2" xfId="0" applyFont="1" applyFill="1" applyBorder="1" applyAlignment="1">
      <alignment horizontal="center" vertical="center"/>
    </xf>
    <xf numFmtId="0" fontId="6" fillId="0" borderId="0" xfId="0" applyFont="1" applyAlignment="1">
      <alignment horizontal="center"/>
    </xf>
    <xf numFmtId="168" fontId="6" fillId="0" borderId="24" xfId="0" applyNumberFormat="1" applyFont="1" applyBorder="1" applyAlignment="1">
      <alignment horizontal="center" vertical="center" wrapText="1"/>
    </xf>
    <xf numFmtId="168" fontId="6" fillId="0" borderId="25" xfId="0" applyNumberFormat="1" applyFont="1" applyBorder="1" applyAlignment="1">
      <alignment horizontal="center" vertical="center" wrapText="1"/>
    </xf>
    <xf numFmtId="168" fontId="6" fillId="0" borderId="26" xfId="0" applyNumberFormat="1" applyFont="1" applyBorder="1" applyAlignment="1">
      <alignment horizontal="center" vertical="center" wrapText="1"/>
    </xf>
    <xf numFmtId="0" fontId="13" fillId="9" borderId="33" xfId="0" applyFont="1" applyFill="1" applyBorder="1" applyAlignment="1">
      <alignment horizontal="center" vertical="center"/>
    </xf>
    <xf numFmtId="0" fontId="7" fillId="7" borderId="24"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7" borderId="26" xfId="0" applyFont="1" applyFill="1" applyBorder="1" applyAlignment="1">
      <alignment horizontal="center" vertical="center" wrapText="1"/>
    </xf>
    <xf numFmtId="0" fontId="6" fillId="0" borderId="23"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0" xfId="0" applyFont="1" applyBorder="1" applyAlignment="1">
      <alignment horizontal="center" vertical="center"/>
    </xf>
    <xf numFmtId="0" fontId="6" fillId="0" borderId="23"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0" xfId="0" applyFont="1" applyBorder="1" applyAlignment="1">
      <alignment horizontal="center" vertical="center" wrapText="1"/>
    </xf>
    <xf numFmtId="0" fontId="12" fillId="6" borderId="2" xfId="0" applyFont="1" applyFill="1" applyBorder="1" applyAlignment="1">
      <alignment horizontal="center" vertical="center"/>
    </xf>
    <xf numFmtId="0" fontId="13" fillId="9" borderId="0" xfId="0" applyFont="1" applyFill="1" applyAlignment="1">
      <alignment horizontal="center" vertical="center" wrapText="1"/>
    </xf>
    <xf numFmtId="0" fontId="1" fillId="0" borderId="20" xfId="0" applyFont="1" applyBorder="1" applyAlignment="1">
      <alignment horizontal="center" vertical="center" wrapText="1"/>
    </xf>
    <xf numFmtId="0" fontId="55" fillId="48" borderId="10" xfId="0" applyFont="1" applyFill="1" applyBorder="1" applyAlignment="1">
      <alignment horizontal="center" vertical="center"/>
    </xf>
    <xf numFmtId="0" fontId="55" fillId="48" borderId="15" xfId="0" applyFont="1" applyFill="1" applyBorder="1" applyAlignment="1">
      <alignment horizontal="center" vertical="center"/>
    </xf>
    <xf numFmtId="0" fontId="52" fillId="44" borderId="9" xfId="0" applyFont="1" applyFill="1" applyBorder="1" applyAlignment="1">
      <alignment horizontal="center" vertical="center" wrapText="1"/>
    </xf>
    <xf numFmtId="0" fontId="52" fillId="44" borderId="12" xfId="0" applyFont="1" applyFill="1" applyBorder="1" applyAlignment="1">
      <alignment horizontal="center" vertical="center" wrapText="1"/>
    </xf>
    <xf numFmtId="0" fontId="52" fillId="44" borderId="14" xfId="0" applyFont="1" applyFill="1" applyBorder="1" applyAlignment="1">
      <alignment horizontal="center" vertical="center" wrapText="1"/>
    </xf>
    <xf numFmtId="0" fontId="53" fillId="46" borderId="3" xfId="0" applyFont="1" applyFill="1" applyBorder="1" applyAlignment="1">
      <alignment horizontal="center" vertical="center"/>
    </xf>
    <xf numFmtId="0" fontId="53" fillId="46" borderId="8" xfId="0" applyFont="1" applyFill="1" applyBorder="1" applyAlignment="1">
      <alignment horizontal="center" vertical="center"/>
    </xf>
    <xf numFmtId="0" fontId="55" fillId="45" borderId="9" xfId="0" applyFont="1" applyFill="1" applyBorder="1" applyAlignment="1">
      <alignment horizontal="center" vertical="center" wrapText="1"/>
    </xf>
    <xf numFmtId="0" fontId="55" fillId="45" borderId="14" xfId="0" applyFont="1" applyFill="1" applyBorder="1" applyAlignment="1">
      <alignment horizontal="center" vertical="center" wrapText="1"/>
    </xf>
    <xf numFmtId="0" fontId="55" fillId="46" borderId="9" xfId="0" applyFont="1" applyFill="1" applyBorder="1" applyAlignment="1">
      <alignment horizontal="center" vertical="center" wrapText="1"/>
    </xf>
    <xf numFmtId="0" fontId="55" fillId="46" borderId="14" xfId="0" applyFont="1" applyFill="1" applyBorder="1" applyAlignment="1">
      <alignment horizontal="center" vertical="center" wrapText="1"/>
    </xf>
    <xf numFmtId="0" fontId="53" fillId="45" borderId="2" xfId="0" applyFont="1" applyFill="1" applyBorder="1" applyAlignment="1">
      <alignment horizontal="center" vertical="center"/>
    </xf>
    <xf numFmtId="0" fontId="46" fillId="42" borderId="0" xfId="0" applyFont="1" applyFill="1" applyAlignment="1">
      <alignment horizontal="center" vertical="center"/>
    </xf>
    <xf numFmtId="0" fontId="13" fillId="9" borderId="16" xfId="0" applyFont="1" applyFill="1" applyBorder="1" applyAlignment="1">
      <alignment horizontal="center" vertical="center" wrapText="1"/>
    </xf>
    <xf numFmtId="0" fontId="57" fillId="9" borderId="16" xfId="0" applyFont="1" applyFill="1" applyBorder="1" applyAlignment="1">
      <alignment horizontal="center" vertical="center" wrapText="1"/>
    </xf>
    <xf numFmtId="0" fontId="21"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23" fillId="0" borderId="0" xfId="0" applyFont="1" applyAlignment="1">
      <alignment horizontal="left"/>
    </xf>
    <xf numFmtId="10" fontId="6" fillId="0" borderId="23" xfId="2" applyNumberFormat="1" applyFont="1" applyBorder="1" applyAlignment="1">
      <alignment horizontal="center" vertical="center" wrapText="1"/>
    </xf>
    <xf numFmtId="10" fontId="6" fillId="0" borderId="22" xfId="2" applyNumberFormat="1" applyFont="1" applyBorder="1" applyAlignment="1">
      <alignment horizontal="center" vertical="center" wrapText="1"/>
    </xf>
    <xf numFmtId="0" fontId="13" fillId="9" borderId="28" xfId="0" applyFont="1" applyFill="1" applyBorder="1" applyAlignment="1">
      <alignment horizontal="center" vertical="center" wrapText="1"/>
    </xf>
    <xf numFmtId="0" fontId="46" fillId="42" borderId="2" xfId="0" applyFont="1" applyFill="1" applyBorder="1" applyAlignment="1">
      <alignment horizontal="center" vertical="center" wrapText="1"/>
    </xf>
    <xf numFmtId="0" fontId="13" fillId="9" borderId="15" xfId="0" applyFont="1" applyFill="1" applyBorder="1" applyAlignment="1">
      <alignment horizontal="center" vertical="center" wrapText="1"/>
    </xf>
    <xf numFmtId="0" fontId="7" fillId="7" borderId="2" xfId="0" applyFont="1" applyFill="1" applyBorder="1" applyAlignment="1">
      <alignment horizontal="center" vertical="center"/>
    </xf>
    <xf numFmtId="0" fontId="7" fillId="7" borderId="2" xfId="0" applyFont="1" applyFill="1" applyBorder="1" applyAlignment="1">
      <alignment horizontal="center" vertical="center" wrapText="1"/>
    </xf>
    <xf numFmtId="0" fontId="13" fillId="9" borderId="16" xfId="0" applyFont="1" applyFill="1" applyBorder="1" applyAlignment="1">
      <alignment horizontal="center" vertical="center"/>
    </xf>
    <xf numFmtId="0" fontId="6" fillId="8" borderId="2" xfId="0" applyFont="1" applyFill="1" applyBorder="1" applyAlignment="1">
      <alignment horizontal="left" vertical="center"/>
    </xf>
    <xf numFmtId="0" fontId="24" fillId="7" borderId="58" xfId="0" applyFont="1" applyFill="1" applyBorder="1" applyAlignment="1">
      <alignment horizontal="center" vertical="center" wrapText="1"/>
    </xf>
    <xf numFmtId="0" fontId="24" fillId="7" borderId="59" xfId="0" applyFont="1" applyFill="1" applyBorder="1" applyAlignment="1">
      <alignment horizontal="center" vertical="center" wrapText="1"/>
    </xf>
    <xf numFmtId="0" fontId="13" fillId="9" borderId="3"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8" xfId="0" applyFont="1" applyFill="1" applyBorder="1" applyAlignment="1">
      <alignment horizontal="center" vertical="center"/>
    </xf>
    <xf numFmtId="0" fontId="22" fillId="0" borderId="71" xfId="0" applyFont="1" applyBorder="1" applyAlignment="1">
      <alignment horizontal="center" vertical="center" wrapText="1"/>
    </xf>
    <xf numFmtId="0" fontId="22" fillId="0" borderId="74" xfId="0" applyFont="1" applyBorder="1" applyAlignment="1">
      <alignment horizontal="center" vertical="center" wrapText="1"/>
    </xf>
    <xf numFmtId="0" fontId="22" fillId="0" borderId="85" xfId="0" applyFont="1" applyBorder="1" applyAlignment="1">
      <alignment horizontal="center" vertical="center" wrapText="1"/>
    </xf>
    <xf numFmtId="0" fontId="59" fillId="0" borderId="72" xfId="0" applyFont="1" applyBorder="1" applyAlignment="1">
      <alignment horizontal="center" vertical="center"/>
    </xf>
    <xf numFmtId="0" fontId="59" fillId="0" borderId="53" xfId="0" applyFont="1" applyBorder="1" applyAlignment="1">
      <alignment horizontal="center" vertical="center"/>
    </xf>
    <xf numFmtId="0" fontId="59" fillId="0" borderId="86" xfId="0" applyFont="1" applyBorder="1" applyAlignment="1">
      <alignment horizontal="center" vertical="center"/>
    </xf>
    <xf numFmtId="0" fontId="22" fillId="0" borderId="94" xfId="0" applyFont="1" applyBorder="1" applyAlignment="1">
      <alignment horizontal="center" vertical="center"/>
    </xf>
    <xf numFmtId="0" fontId="22" fillId="0" borderId="13" xfId="0" applyFont="1" applyBorder="1" applyAlignment="1">
      <alignment horizontal="center" vertical="center"/>
    </xf>
    <xf numFmtId="0" fontId="22" fillId="0" borderId="95" xfId="0" applyFont="1" applyBorder="1" applyAlignment="1">
      <alignment horizontal="center" vertical="center"/>
    </xf>
    <xf numFmtId="0" fontId="22" fillId="0" borderId="119"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64" xfId="0" applyFont="1" applyBorder="1" applyAlignment="1">
      <alignment horizontal="center" vertical="center" wrapText="1"/>
    </xf>
    <xf numFmtId="0" fontId="7" fillId="7" borderId="9" xfId="0" applyFont="1" applyFill="1" applyBorder="1" applyAlignment="1">
      <alignment horizontal="center" vertical="center"/>
    </xf>
    <xf numFmtId="0" fontId="22" fillId="0" borderId="72" xfId="0" applyFont="1" applyBorder="1" applyAlignment="1">
      <alignment horizontal="center" vertical="center" wrapText="1"/>
    </xf>
    <xf numFmtId="0" fontId="22" fillId="0" borderId="53" xfId="0" applyFont="1" applyBorder="1" applyAlignment="1">
      <alignment horizontal="center" vertical="center" wrapText="1"/>
    </xf>
    <xf numFmtId="0" fontId="22" fillId="0" borderId="60" xfId="0" applyFont="1" applyBorder="1" applyAlignment="1">
      <alignment horizontal="center" vertical="center" wrapText="1"/>
    </xf>
    <xf numFmtId="0" fontId="22" fillId="0" borderId="72" xfId="0" applyFont="1" applyBorder="1" applyAlignment="1">
      <alignment horizontal="center" vertical="center"/>
    </xf>
    <xf numFmtId="0" fontId="22" fillId="0" borderId="53" xfId="0" applyFont="1" applyBorder="1" applyAlignment="1">
      <alignment horizontal="center" vertical="center"/>
    </xf>
    <xf numFmtId="0" fontId="22" fillId="0" borderId="60" xfId="0" applyFont="1" applyBorder="1" applyAlignment="1">
      <alignment horizontal="center" vertical="center"/>
    </xf>
    <xf numFmtId="0" fontId="22" fillId="0" borderId="73"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7" xfId="0" applyFont="1" applyBorder="1" applyAlignment="1">
      <alignment horizontal="center" vertical="center" wrapText="1"/>
    </xf>
    <xf numFmtId="0" fontId="60" fillId="0" borderId="73" xfId="0" applyFont="1" applyBorder="1" applyAlignment="1">
      <alignment horizontal="center" vertical="center" wrapText="1"/>
    </xf>
    <xf numFmtId="0" fontId="60" fillId="0" borderId="75" xfId="0" applyFont="1" applyBorder="1" applyAlignment="1">
      <alignment horizontal="center" vertical="center" wrapText="1"/>
    </xf>
    <xf numFmtId="0" fontId="60" fillId="0" borderId="87" xfId="0" applyFont="1" applyBorder="1" applyAlignment="1">
      <alignment horizontal="center" vertical="center" wrapText="1"/>
    </xf>
    <xf numFmtId="0" fontId="22" fillId="0" borderId="86" xfId="0" applyFont="1" applyBorder="1" applyAlignment="1">
      <alignment horizontal="center" vertical="center" wrapText="1"/>
    </xf>
    <xf numFmtId="3" fontId="22" fillId="0" borderId="72" xfId="0" applyNumberFormat="1" applyFont="1" applyBorder="1" applyAlignment="1">
      <alignment horizontal="center" vertical="center"/>
    </xf>
    <xf numFmtId="0" fontId="59" fillId="0" borderId="60" xfId="0" applyFont="1" applyBorder="1" applyAlignment="1">
      <alignment horizontal="center" vertical="center"/>
    </xf>
    <xf numFmtId="0" fontId="19" fillId="7" borderId="2" xfId="0" applyFont="1" applyFill="1" applyBorder="1" applyAlignment="1">
      <alignment horizontal="center" vertical="center" wrapText="1"/>
    </xf>
    <xf numFmtId="0" fontId="7" fillId="7" borderId="67" xfId="0" applyFont="1" applyFill="1" applyBorder="1" applyAlignment="1">
      <alignment horizontal="center" vertical="center"/>
    </xf>
    <xf numFmtId="0" fontId="7" fillId="7" borderId="0" xfId="0" applyFont="1" applyFill="1" applyAlignment="1">
      <alignment horizontal="center" vertical="center"/>
    </xf>
    <xf numFmtId="0" fontId="7" fillId="7" borderId="68" xfId="0" applyFont="1" applyFill="1" applyBorder="1" applyAlignment="1">
      <alignment horizontal="center" vertical="center"/>
    </xf>
    <xf numFmtId="0" fontId="13" fillId="9" borderId="17" xfId="0" applyFont="1" applyFill="1" applyBorder="1" applyAlignment="1">
      <alignment horizontal="center" vertical="center" wrapText="1"/>
    </xf>
    <xf numFmtId="0" fontId="22" fillId="0" borderId="76"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98"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99" xfId="0" applyFont="1" applyBorder="1" applyAlignment="1">
      <alignment horizontal="center" vertical="center" wrapText="1"/>
    </xf>
    <xf numFmtId="0" fontId="22" fillId="0" borderId="102" xfId="0" applyFont="1" applyBorder="1" applyAlignment="1">
      <alignment horizontal="center" vertical="center" wrapText="1"/>
    </xf>
    <xf numFmtId="0" fontId="22" fillId="0" borderId="106"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114" xfId="0" applyFont="1" applyBorder="1" applyAlignment="1">
      <alignment horizontal="center" vertical="center" wrapText="1"/>
    </xf>
    <xf numFmtId="0" fontId="22" fillId="0" borderId="115" xfId="0" applyFont="1" applyBorder="1" applyAlignment="1">
      <alignment horizontal="center" vertical="center" wrapText="1"/>
    </xf>
    <xf numFmtId="0" fontId="22" fillId="0" borderId="113" xfId="0" applyFont="1" applyBorder="1" applyAlignment="1">
      <alignment horizontal="center" vertical="center" wrapText="1"/>
    </xf>
    <xf numFmtId="0" fontId="22" fillId="0" borderId="116"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104" xfId="0" applyFont="1" applyBorder="1" applyAlignment="1">
      <alignment horizontal="center" vertical="center" wrapText="1"/>
    </xf>
    <xf numFmtId="0" fontId="22" fillId="0" borderId="98" xfId="0" applyFont="1" applyBorder="1" applyAlignment="1">
      <alignment horizontal="center" vertical="center"/>
    </xf>
    <xf numFmtId="0" fontId="22" fillId="0" borderId="105" xfId="0" applyFont="1" applyBorder="1" applyAlignment="1">
      <alignment horizontal="center" vertical="center"/>
    </xf>
    <xf numFmtId="0" fontId="22" fillId="0" borderId="108" xfId="0" applyFont="1" applyBorder="1" applyAlignment="1">
      <alignment horizontal="center" vertical="center" wrapText="1"/>
    </xf>
    <xf numFmtId="0" fontId="22" fillId="0" borderId="109" xfId="0" applyFont="1" applyBorder="1" applyAlignment="1">
      <alignment horizontal="center" vertical="center" wrapText="1"/>
    </xf>
    <xf numFmtId="0" fontId="22" fillId="0" borderId="110" xfId="0" applyFont="1" applyBorder="1" applyAlignment="1">
      <alignment horizontal="center" vertical="center" wrapText="1"/>
    </xf>
    <xf numFmtId="0" fontId="22" fillId="0" borderId="92" xfId="0" applyFont="1" applyBorder="1" applyAlignment="1">
      <alignment horizontal="center" vertical="center" wrapText="1"/>
    </xf>
    <xf numFmtId="0" fontId="22" fillId="0" borderId="93" xfId="0" applyFont="1" applyBorder="1" applyAlignment="1">
      <alignment horizontal="center" vertical="center"/>
    </xf>
    <xf numFmtId="0" fontId="6" fillId="0" borderId="51" xfId="0" applyFont="1" applyBorder="1" applyAlignment="1">
      <alignment horizontal="center" vertical="center"/>
    </xf>
    <xf numFmtId="0" fontId="23" fillId="0" borderId="126" xfId="0" applyFont="1" applyBorder="1" applyAlignment="1">
      <alignment horizontal="center" vertical="center"/>
    </xf>
    <xf numFmtId="0" fontId="23" fillId="0" borderId="127" xfId="0" applyFont="1" applyBorder="1" applyAlignment="1">
      <alignment horizontal="center" vertical="center"/>
    </xf>
    <xf numFmtId="0" fontId="13" fillId="9" borderId="125" xfId="0" applyFont="1" applyFill="1" applyBorder="1" applyAlignment="1">
      <alignment horizontal="center" vertical="center"/>
    </xf>
    <xf numFmtId="0" fontId="46" fillId="42" borderId="129" xfId="0" applyFont="1" applyFill="1" applyBorder="1" applyAlignment="1">
      <alignment horizontal="center" vertical="center"/>
    </xf>
    <xf numFmtId="0" fontId="46" fillId="42" borderId="16" xfId="0" applyFont="1" applyFill="1" applyBorder="1" applyAlignment="1">
      <alignment horizontal="center" vertical="center"/>
    </xf>
    <xf numFmtId="9" fontId="6" fillId="0" borderId="36" xfId="2" applyFont="1" applyFill="1" applyBorder="1" applyAlignment="1">
      <alignment horizontal="center" vertical="center"/>
    </xf>
    <xf numFmtId="9" fontId="6" fillId="0" borderId="21" xfId="2" applyFont="1" applyFill="1" applyBorder="1" applyAlignment="1">
      <alignment horizontal="center" vertical="center"/>
    </xf>
    <xf numFmtId="9" fontId="6" fillId="0" borderId="22" xfId="2" applyFont="1" applyFill="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horizontal="center" vertical="center"/>
    </xf>
    <xf numFmtId="0" fontId="6" fillId="0" borderId="52" xfId="0" applyFont="1" applyBorder="1" applyAlignment="1">
      <alignment horizontal="center" vertical="center"/>
    </xf>
    <xf numFmtId="0" fontId="24" fillId="7" borderId="2" xfId="0" applyFont="1" applyFill="1" applyBorder="1" applyAlignment="1">
      <alignment horizontal="center" vertical="center"/>
    </xf>
    <xf numFmtId="0" fontId="0" fillId="0" borderId="0" xfId="0" applyAlignment="1">
      <alignment horizontal="center"/>
    </xf>
  </cellXfs>
  <cellStyles count="65">
    <cellStyle name="20% - Accent1" xfId="38" builtinId="30" customBuiltin="1"/>
    <cellStyle name="20% - Accent2" xfId="41" builtinId="34" customBuiltin="1"/>
    <cellStyle name="20% - Accent3" xfId="44" builtinId="38" customBuiltin="1"/>
    <cellStyle name="20% - Accent4" xfId="47" builtinId="42" customBuiltin="1"/>
    <cellStyle name="20% - Accent5" xfId="50" builtinId="46" customBuiltin="1"/>
    <cellStyle name="20% - Accent6" xfId="53" builtinId="50" customBuiltin="1"/>
    <cellStyle name="40% - Accent1" xfId="39" builtinId="31" customBuiltin="1"/>
    <cellStyle name="40% - Accent2" xfId="42" builtinId="35" customBuiltin="1"/>
    <cellStyle name="40% - Accent3" xfId="45" builtinId="39" customBuiltin="1"/>
    <cellStyle name="40% - Accent4" xfId="48" builtinId="43" customBuiltin="1"/>
    <cellStyle name="40% - Accent5" xfId="51" builtinId="47" customBuiltin="1"/>
    <cellStyle name="40% - Accent6" xfId="54" builtinId="51" customBuiltin="1"/>
    <cellStyle name="60% - Accent1 2" xfId="57" xr:uid="{A5A31B34-DF63-450E-91CB-1978F344A671}"/>
    <cellStyle name="60% - Accent2 2" xfId="58" xr:uid="{7FA343A7-9AE0-437C-8FD2-4BF93B23534D}"/>
    <cellStyle name="60% - Accent3 2" xfId="59" xr:uid="{0444A8BB-FC13-4CB2-8302-3819B429D700}"/>
    <cellStyle name="60% - Accent4 2" xfId="60" xr:uid="{DB6B9402-5665-40E2-A607-2A86738F4D44}"/>
    <cellStyle name="60% - Accent5 2" xfId="61" xr:uid="{45D23356-1C44-436E-A73D-432E137D6AF6}"/>
    <cellStyle name="60% - Accent6 2" xfId="62" xr:uid="{B3B8BF45-3A61-4CCF-9402-13C72463570D}"/>
    <cellStyle name="Accent1" xfId="37" builtinId="29" customBuiltin="1"/>
    <cellStyle name="Accent2" xfId="40" builtinId="33" customBuiltin="1"/>
    <cellStyle name="Accent3" xfId="43" builtinId="37" customBuiltin="1"/>
    <cellStyle name="Accent4" xfId="46" builtinId="41" customBuiltin="1"/>
    <cellStyle name="Accent5" xfId="49" builtinId="45" customBuiltin="1"/>
    <cellStyle name="Accent6" xfId="52" builtinId="49" customBuiltin="1"/>
    <cellStyle name="Bad" xfId="27" builtinId="27" customBuiltin="1"/>
    <cellStyle name="Calculation" xfId="30" builtinId="22" customBuiltin="1"/>
    <cellStyle name="Check Cell" xfId="32" builtinId="23" customBuiltin="1"/>
    <cellStyle name="Comma" xfId="6" builtinId="3"/>
    <cellStyle name="Comma 2" xfId="15" xr:uid="{4CD0AE0D-8718-4A5F-88EB-D702C2C5E078}"/>
    <cellStyle name="Comma 3" xfId="14" xr:uid="{2AF3E6CB-EA36-4827-9B99-711993199E74}"/>
    <cellStyle name="Explanatory Text" xfId="35" builtinId="53" customBuiltin="1"/>
    <cellStyle name="Good" xfId="26" builtinId="26" customBuiltin="1"/>
    <cellStyle name="Heading 1" xfId="22" builtinId="16" customBuiltin="1"/>
    <cellStyle name="Heading 2" xfId="23" builtinId="17" customBuiltin="1"/>
    <cellStyle name="Heading 3" xfId="24" builtinId="18" customBuiltin="1"/>
    <cellStyle name="Heading 4" xfId="25" builtinId="19" customBuiltin="1"/>
    <cellStyle name="Hyperlink" xfId="5" builtinId="8"/>
    <cellStyle name="Hyperlink 2" xfId="10" xr:uid="{10C1E3C0-F46B-4E25-BD9A-EE5D62F88FF2}"/>
    <cellStyle name="Input" xfId="28" builtinId="20" customBuiltin="1"/>
    <cellStyle name="Linked Cell" xfId="31" builtinId="24" customBuiltin="1"/>
    <cellStyle name="Neutral 2" xfId="56" xr:uid="{E65AB386-0C70-4E76-8802-199DC08F438A}"/>
    <cellStyle name="Normal" xfId="0" builtinId="0"/>
    <cellStyle name="Normal 2" xfId="3" xr:uid="{E38C2638-0821-4BB2-9C33-A89D3950ADA6}"/>
    <cellStyle name="Normal 2 2" xfId="4" xr:uid="{7604919E-E68F-4366-A693-6A7B8B8DA661}"/>
    <cellStyle name="Normal 2 3" xfId="9" xr:uid="{8A1E39CD-7ABA-4D79-A464-67010D1209C1}"/>
    <cellStyle name="Normal 2 4" xfId="64" xr:uid="{D87259D5-5811-4B73-925F-03E8C552980C}"/>
    <cellStyle name="Normal 265" xfId="16" xr:uid="{6049CA2E-4D2D-467F-BE40-32C85BFF4ACE}"/>
    <cellStyle name="Normal 266" xfId="17" xr:uid="{A6D9E8E7-E69F-4C35-BA4B-54B597C2B23F}"/>
    <cellStyle name="Normal 3" xfId="7" xr:uid="{1C10DAE4-4F9C-4E19-81E4-5574511A6741}"/>
    <cellStyle name="Normal 3 2" xfId="18" xr:uid="{1519A152-7DEF-4A90-B897-A3E5E428DF49}"/>
    <cellStyle name="Normal 4" xfId="11" xr:uid="{43272557-B37F-4996-BC18-AA3EDEAFA379}"/>
    <cellStyle name="Normal 4 2" xfId="19" xr:uid="{367D64B5-1AA2-4F1E-9807-D77A4DD99E2F}"/>
    <cellStyle name="Normal 5" xfId="12" xr:uid="{642BE191-BE2F-4847-8420-1C59B95E270E}"/>
    <cellStyle name="Normal 6" xfId="13" xr:uid="{B1F34A1E-AB59-4C77-B0D5-05EF096BFC59}"/>
    <cellStyle name="Normal 6 2" xfId="63" xr:uid="{E5C94F8B-E280-4E5E-9E3C-559A6B024C15}"/>
    <cellStyle name="Normal_Prototype_Scorecard-LgOffice-2008-03-13" xfId="1" xr:uid="{F839F8A1-86E5-4008-9801-0F032E8A3317}"/>
    <cellStyle name="Note" xfId="34" builtinId="10" customBuiltin="1"/>
    <cellStyle name="Note 2" xfId="20" xr:uid="{14AB7B6B-095A-46DB-BB12-90FA984F5C68}"/>
    <cellStyle name="Output" xfId="29" builtinId="21" customBuiltin="1"/>
    <cellStyle name="Percent" xfId="2" builtinId="5"/>
    <cellStyle name="Percent 2" xfId="8" xr:uid="{CB789C3E-741F-4464-8065-385A956411E6}"/>
    <cellStyle name="Percent 2 2" xfId="21" xr:uid="{88D4BE09-D3AC-4FFB-BD45-8B7F40346EC6}"/>
    <cellStyle name="Title 2" xfId="55" xr:uid="{882B6154-F91C-48B2-A201-56797C1CCA78}"/>
    <cellStyle name="Total" xfId="36" builtinId="25" customBuiltin="1"/>
    <cellStyle name="Warning Text" xfId="33"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0000CC"/>
      <color rgb="FFFF9900"/>
      <color rgb="FFCCCCFF"/>
      <color rgb="FF8238BA"/>
      <color rgb="FFFFEBCD"/>
      <color rgb="FF002F8E"/>
      <color rgb="FF2E9F17"/>
      <color rgb="FFFFFAF3"/>
      <color rgb="FF2DC8FF"/>
      <color rgb="FF001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0.1</c:v>
                </c:pt>
                <c:pt idx="8">
                  <c:v>0.2</c:v>
                </c:pt>
                <c:pt idx="9">
                  <c:v>0.5</c:v>
                </c:pt>
                <c:pt idx="10">
                  <c:v>0.5</c:v>
                </c:pt>
                <c:pt idx="11">
                  <c:v>0.7</c:v>
                </c:pt>
                <c:pt idx="12">
                  <c:v>0.7</c:v>
                </c:pt>
                <c:pt idx="13">
                  <c:v>0.7</c:v>
                </c:pt>
                <c:pt idx="14">
                  <c:v>0.7</c:v>
                </c:pt>
                <c:pt idx="15">
                  <c:v>0.8</c:v>
                </c:pt>
                <c:pt idx="16">
                  <c:v>0.7</c:v>
                </c:pt>
                <c:pt idx="17">
                  <c:v>0.5</c:v>
                </c:pt>
                <c:pt idx="18">
                  <c:v>0.5</c:v>
                </c:pt>
                <c:pt idx="19">
                  <c:v>0.3</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0.1</c:v>
                </c:pt>
                <c:pt idx="8">
                  <c:v>0.2</c:v>
                </c:pt>
                <c:pt idx="9">
                  <c:v>0.5</c:v>
                </c:pt>
                <c:pt idx="10">
                  <c:v>0.6</c:v>
                </c:pt>
                <c:pt idx="11">
                  <c:v>0.8</c:v>
                </c:pt>
                <c:pt idx="12">
                  <c:v>0.8</c:v>
                </c:pt>
                <c:pt idx="13">
                  <c:v>0.8</c:v>
                </c:pt>
                <c:pt idx="14">
                  <c:v>0.8</c:v>
                </c:pt>
                <c:pt idx="15">
                  <c:v>0.8</c:v>
                </c:pt>
                <c:pt idx="16">
                  <c:v>0.8</c:v>
                </c:pt>
                <c:pt idx="17">
                  <c:v>0.6</c:v>
                </c:pt>
                <c:pt idx="18">
                  <c:v>0.2</c:v>
                </c:pt>
                <c:pt idx="19">
                  <c:v>0.2</c:v>
                </c:pt>
                <c:pt idx="20">
                  <c:v>0.2</c:v>
                </c:pt>
                <c:pt idx="21">
                  <c:v>0.1</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c:v>
                </c:pt>
                <c:pt idx="9">
                  <c:v>0.1</c:v>
                </c:pt>
                <c:pt idx="10">
                  <c:v>0.2</c:v>
                </c:pt>
                <c:pt idx="11">
                  <c:v>0.2</c:v>
                </c:pt>
                <c:pt idx="12">
                  <c:v>0.4</c:v>
                </c:pt>
                <c:pt idx="13">
                  <c:v>0.4</c:v>
                </c:pt>
                <c:pt idx="14">
                  <c:v>0.4</c:v>
                </c:pt>
                <c:pt idx="15">
                  <c:v>0.4</c:v>
                </c:pt>
                <c:pt idx="16">
                  <c:v>0.4</c:v>
                </c:pt>
                <c:pt idx="17">
                  <c:v>0.2</c:v>
                </c:pt>
                <c:pt idx="18">
                  <c:v>0.1</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0.2</c:v>
                </c:pt>
                <c:pt idx="8">
                  <c:v>0.5</c:v>
                </c:pt>
                <c:pt idx="9">
                  <c:v>0.85</c:v>
                </c:pt>
                <c:pt idx="10">
                  <c:v>0.85</c:v>
                </c:pt>
                <c:pt idx="11">
                  <c:v>0.85</c:v>
                </c:pt>
                <c:pt idx="12">
                  <c:v>0.85</c:v>
                </c:pt>
                <c:pt idx="13">
                  <c:v>0.85</c:v>
                </c:pt>
                <c:pt idx="14">
                  <c:v>0.85</c:v>
                </c:pt>
                <c:pt idx="15">
                  <c:v>0.85</c:v>
                </c:pt>
                <c:pt idx="16">
                  <c:v>0.85</c:v>
                </c:pt>
                <c:pt idx="17">
                  <c:v>0.85</c:v>
                </c:pt>
                <c:pt idx="18">
                  <c:v>0.55000000000000004</c:v>
                </c:pt>
                <c:pt idx="19">
                  <c:v>0.55000000000000004</c:v>
                </c:pt>
                <c:pt idx="20">
                  <c:v>0.5</c:v>
                </c:pt>
                <c:pt idx="21">
                  <c:v>0.2</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0.1</c:v>
                </c:pt>
                <c:pt idx="8">
                  <c:v>0.3</c:v>
                </c:pt>
                <c:pt idx="9">
                  <c:v>0.55000000000000004</c:v>
                </c:pt>
                <c:pt idx="10">
                  <c:v>0.85</c:v>
                </c:pt>
                <c:pt idx="11">
                  <c:v>0.85</c:v>
                </c:pt>
                <c:pt idx="12">
                  <c:v>0.85</c:v>
                </c:pt>
                <c:pt idx="13">
                  <c:v>0.85</c:v>
                </c:pt>
                <c:pt idx="14">
                  <c:v>0.85</c:v>
                </c:pt>
                <c:pt idx="15">
                  <c:v>0.85</c:v>
                </c:pt>
                <c:pt idx="16">
                  <c:v>0.85</c:v>
                </c:pt>
                <c:pt idx="17">
                  <c:v>0.85</c:v>
                </c:pt>
                <c:pt idx="18">
                  <c:v>0.5</c:v>
                </c:pt>
                <c:pt idx="19">
                  <c:v>0.3</c:v>
                </c:pt>
                <c:pt idx="20">
                  <c:v>0.3</c:v>
                </c:pt>
                <c:pt idx="21">
                  <c:v>0.1</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0.05</c:v>
                </c:pt>
                <c:pt idx="8">
                  <c:v>0.1</c:v>
                </c:pt>
                <c:pt idx="9">
                  <c:v>0.1</c:v>
                </c:pt>
                <c:pt idx="10">
                  <c:v>0.4</c:v>
                </c:pt>
                <c:pt idx="11">
                  <c:v>0.4</c:v>
                </c:pt>
                <c:pt idx="12">
                  <c:v>0.55000000000000004</c:v>
                </c:pt>
                <c:pt idx="13">
                  <c:v>0.55000000000000004</c:v>
                </c:pt>
                <c:pt idx="14">
                  <c:v>0.55000000000000004</c:v>
                </c:pt>
                <c:pt idx="15">
                  <c:v>0.55000000000000004</c:v>
                </c:pt>
                <c:pt idx="16">
                  <c:v>0.55000000000000004</c:v>
                </c:pt>
                <c:pt idx="17">
                  <c:v>0.4</c:v>
                </c:pt>
                <c:pt idx="18">
                  <c:v>0.2</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0.6</c:v>
                </c:pt>
                <c:pt idx="20">
                  <c:v>0.6</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0.6</c:v>
                </c:pt>
                <c:pt idx="7">
                  <c:v>0.6</c:v>
                </c:pt>
                <c:pt idx="8">
                  <c:v>0.9</c:v>
                </c:pt>
                <c:pt idx="9">
                  <c:v>0.9</c:v>
                </c:pt>
                <c:pt idx="10">
                  <c:v>0.9</c:v>
                </c:pt>
                <c:pt idx="11">
                  <c:v>0.9</c:v>
                </c:pt>
                <c:pt idx="12">
                  <c:v>0.9</c:v>
                </c:pt>
                <c:pt idx="13">
                  <c:v>0.9</c:v>
                </c:pt>
                <c:pt idx="14">
                  <c:v>0.9</c:v>
                </c:pt>
                <c:pt idx="15">
                  <c:v>0.9</c:v>
                </c:pt>
                <c:pt idx="16">
                  <c:v>0.9</c:v>
                </c:pt>
                <c:pt idx="17">
                  <c:v>0.9</c:v>
                </c:pt>
                <c:pt idx="18">
                  <c:v>0.9</c:v>
                </c:pt>
                <c:pt idx="19">
                  <c:v>0.9</c:v>
                </c:pt>
                <c:pt idx="20">
                  <c:v>0.6</c:v>
                </c:pt>
                <c:pt idx="21">
                  <c:v>0.6</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0.4</c:v>
                </c:pt>
                <c:pt idx="8">
                  <c:v>0.6</c:v>
                </c:pt>
                <c:pt idx="9">
                  <c:v>0.6</c:v>
                </c:pt>
                <c:pt idx="10">
                  <c:v>0.6</c:v>
                </c:pt>
                <c:pt idx="11">
                  <c:v>0.9</c:v>
                </c:pt>
                <c:pt idx="12">
                  <c:v>0.9</c:v>
                </c:pt>
                <c:pt idx="13">
                  <c:v>0.9</c:v>
                </c:pt>
                <c:pt idx="14">
                  <c:v>0.9</c:v>
                </c:pt>
                <c:pt idx="15">
                  <c:v>0.9</c:v>
                </c:pt>
                <c:pt idx="16">
                  <c:v>0.9</c:v>
                </c:pt>
                <c:pt idx="17">
                  <c:v>0.6</c:v>
                </c:pt>
                <c:pt idx="18">
                  <c:v>0.6</c:v>
                </c:pt>
                <c:pt idx="19">
                  <c:v>0.4</c:v>
                </c:pt>
                <c:pt idx="20">
                  <c:v>0.4</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36.224999999999994</c:v>
                </c:pt>
                <c:pt idx="1">
                  <c:v>31.050000000000004</c:v>
                </c:pt>
                <c:pt idx="2">
                  <c:v>35.024999999999999</c:v>
                </c:pt>
                <c:pt idx="3">
                  <c:v>35.25</c:v>
                </c:pt>
                <c:pt idx="4">
                  <c:v>34.724999999999994</c:v>
                </c:pt>
                <c:pt idx="5">
                  <c:v>25.424999999999997</c:v>
                </c:pt>
                <c:pt idx="6">
                  <c:v>28.725000000000001</c:v>
                </c:pt>
                <c:pt idx="7">
                  <c:v>25.125</c:v>
                </c:pt>
                <c:pt idx="8">
                  <c:v>27.674999999999997</c:v>
                </c:pt>
                <c:pt idx="9">
                  <c:v>27.75</c:v>
                </c:pt>
                <c:pt idx="10">
                  <c:v>34.125</c:v>
                </c:pt>
                <c:pt idx="11">
                  <c:v>35.474999999999994</c:v>
                </c:pt>
                <c:pt idx="12">
                  <c:v>38.4</c:v>
                </c:pt>
                <c:pt idx="13">
                  <c:v>25.275000000000002</c:v>
                </c:pt>
                <c:pt idx="14">
                  <c:v>31.800000000000004</c:v>
                </c:pt>
                <c:pt idx="15">
                  <c:v>28.574999999999996</c:v>
                </c:pt>
              </c:numCache>
            </c:numRef>
          </c:val>
          <c:extLst>
            <c:ext xmlns:c16="http://schemas.microsoft.com/office/drawing/2014/chart" uri="{C3380CC4-5D6E-409C-BE32-E72D297353CC}">
              <c16:uniqueId val="{00000000-CAA5-4319-B2B7-73FBD34DA23A}"/>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24.150000000000006</c:v>
                </c:pt>
                <c:pt idx="1">
                  <c:v>20.700000000000003</c:v>
                </c:pt>
                <c:pt idx="2">
                  <c:v>23.349999999999994</c:v>
                </c:pt>
                <c:pt idx="3">
                  <c:v>23.5</c:v>
                </c:pt>
                <c:pt idx="4">
                  <c:v>23.150000000000006</c:v>
                </c:pt>
                <c:pt idx="5">
                  <c:v>16.950000000000003</c:v>
                </c:pt>
                <c:pt idx="6">
                  <c:v>19.150000000000006</c:v>
                </c:pt>
                <c:pt idx="7">
                  <c:v>16.75</c:v>
                </c:pt>
                <c:pt idx="8">
                  <c:v>18.450000000000003</c:v>
                </c:pt>
                <c:pt idx="9">
                  <c:v>18.5</c:v>
                </c:pt>
                <c:pt idx="10">
                  <c:v>22.75</c:v>
                </c:pt>
                <c:pt idx="11">
                  <c:v>23.650000000000006</c:v>
                </c:pt>
                <c:pt idx="12">
                  <c:v>25.599999999999994</c:v>
                </c:pt>
                <c:pt idx="13">
                  <c:v>16.849999999999998</c:v>
                </c:pt>
                <c:pt idx="14">
                  <c:v>21.200000000000003</c:v>
                </c:pt>
                <c:pt idx="15">
                  <c:v>19.049999999999997</c:v>
                </c:pt>
              </c:numCache>
            </c:numRef>
          </c:val>
          <c:extLst>
            <c:ext xmlns:c16="http://schemas.microsoft.com/office/drawing/2014/chart" uri="{C3380CC4-5D6E-409C-BE32-E72D297353CC}">
              <c16:uniqueId val="{00000001-CAA5-4319-B2B7-73FBD34DA23A}"/>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pt idx="0">
                  <c:v>78.429893238434161</c:v>
                </c:pt>
                <c:pt idx="1">
                  <c:v>73.579357798165134</c:v>
                </c:pt>
                <c:pt idx="2">
                  <c:v>60.258025934959349</c:v>
                </c:pt>
                <c:pt idx="3">
                  <c:v>74.001364678899094</c:v>
                </c:pt>
                <c:pt idx="4">
                  <c:v>59.699454629629628</c:v>
                </c:pt>
                <c:pt idx="5">
                  <c:v>51.34901721778791</c:v>
                </c:pt>
                <c:pt idx="6">
                  <c:v>49.757282229965149</c:v>
                </c:pt>
                <c:pt idx="7">
                  <c:v>59.01353616532721</c:v>
                </c:pt>
                <c:pt idx="8">
                  <c:v>61.215682574916762</c:v>
                </c:pt>
                <c:pt idx="9">
                  <c:v>59.228770632054179</c:v>
                </c:pt>
                <c:pt idx="10">
                  <c:v>80.108516746411482</c:v>
                </c:pt>
                <c:pt idx="11">
                  <c:v>72.222296211251432</c:v>
                </c:pt>
                <c:pt idx="12">
                  <c:v>72.015706018518514</c:v>
                </c:pt>
                <c:pt idx="13">
                  <c:v>77.832416899224796</c:v>
                </c:pt>
                <c:pt idx="14">
                  <c:v>70.721590643274851</c:v>
                </c:pt>
                <c:pt idx="15">
                  <c:v>86.35860335195531</c:v>
                </c:pt>
              </c:numCache>
            </c:numRef>
          </c:yVal>
          <c:smooth val="0"/>
          <c:extLst>
            <c:ext xmlns:c16="http://schemas.microsoft.com/office/drawing/2014/chart" uri="{C3380CC4-5D6E-409C-BE32-E72D297353CC}">
              <c16:uniqueId val="{00000002-CAA5-4319-B2B7-73FBD34DA23A}"/>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40.479999999999997</c:v>
                </c:pt>
                <c:pt idx="1">
                  <c:v>42.01</c:v>
                </c:pt>
                <c:pt idx="2">
                  <c:v>39.54</c:v>
                </c:pt>
                <c:pt idx="3">
                  <c:v>42.67</c:v>
                </c:pt>
                <c:pt idx="4">
                  <c:v>39.43</c:v>
                </c:pt>
                <c:pt idx="5">
                  <c:v>44.56</c:v>
                </c:pt>
                <c:pt idx="6">
                  <c:v>47.71</c:v>
                </c:pt>
                <c:pt idx="7">
                  <c:v>44.71</c:v>
                </c:pt>
                <c:pt idx="8">
                  <c:v>44.81</c:v>
                </c:pt>
                <c:pt idx="9">
                  <c:v>45.53</c:v>
                </c:pt>
                <c:pt idx="10">
                  <c:v>46.55</c:v>
                </c:pt>
                <c:pt idx="11">
                  <c:v>44.39</c:v>
                </c:pt>
                <c:pt idx="12">
                  <c:v>47.24</c:v>
                </c:pt>
                <c:pt idx="13">
                  <c:v>48</c:v>
                </c:pt>
                <c:pt idx="14">
                  <c:v>49.54</c:v>
                </c:pt>
                <c:pt idx="15">
                  <c:v>43.03</c:v>
                </c:pt>
              </c:numCache>
            </c:numRef>
          </c:yVal>
          <c:smooth val="0"/>
          <c:extLst>
            <c:ext xmlns:c16="http://schemas.microsoft.com/office/drawing/2014/chart" uri="{C3380CC4-5D6E-409C-BE32-E72D297353CC}">
              <c16:uniqueId val="{00000003-CAA5-4319-B2B7-73FBD34DA23A}"/>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RetailStripMall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General</c:formatCode>
                <c:ptCount val="16"/>
                <c:pt idx="0">
                  <c:v>35.099999999999994</c:v>
                </c:pt>
                <c:pt idx="1">
                  <c:v>43.8</c:v>
                </c:pt>
                <c:pt idx="2">
                  <c:v>39.224999999999994</c:v>
                </c:pt>
                <c:pt idx="3">
                  <c:v>45.674999999999997</c:v>
                </c:pt>
                <c:pt idx="4">
                  <c:v>37.799999999999997</c:v>
                </c:pt>
                <c:pt idx="5">
                  <c:v>43.349999999999994</c:v>
                </c:pt>
                <c:pt idx="6">
                  <c:v>43.349999999999994</c:v>
                </c:pt>
                <c:pt idx="7">
                  <c:v>44.174999999999997</c:v>
                </c:pt>
                <c:pt idx="8">
                  <c:v>44.7</c:v>
                </c:pt>
                <c:pt idx="9">
                  <c:v>45.150000000000006</c:v>
                </c:pt>
                <c:pt idx="10">
                  <c:v>46.724999999999994</c:v>
                </c:pt>
                <c:pt idx="11">
                  <c:v>45.974999999999994</c:v>
                </c:pt>
                <c:pt idx="12">
                  <c:v>46.724999999999994</c:v>
                </c:pt>
                <c:pt idx="13">
                  <c:v>46.95</c:v>
                </c:pt>
                <c:pt idx="14">
                  <c:v>45.075000000000003</c:v>
                </c:pt>
                <c:pt idx="15">
                  <c:v>45.900000000000006</c:v>
                </c:pt>
              </c:numCache>
            </c:numRef>
          </c:val>
          <c:extLst>
            <c:ext xmlns:c16="http://schemas.microsoft.com/office/drawing/2014/chart" uri="{C3380CC4-5D6E-409C-BE32-E72D297353CC}">
              <c16:uniqueId val="{00000000-5B5E-47B0-8C27-106BAB5D4437}"/>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23.400000000000006</c:v>
                </c:pt>
                <c:pt idx="1">
                  <c:v>29.200000000000003</c:v>
                </c:pt>
                <c:pt idx="2">
                  <c:v>26.150000000000006</c:v>
                </c:pt>
                <c:pt idx="3">
                  <c:v>30.450000000000003</c:v>
                </c:pt>
                <c:pt idx="4">
                  <c:v>25.200000000000003</c:v>
                </c:pt>
                <c:pt idx="5">
                  <c:v>28.900000000000006</c:v>
                </c:pt>
                <c:pt idx="6">
                  <c:v>28.900000000000006</c:v>
                </c:pt>
                <c:pt idx="7">
                  <c:v>29.450000000000003</c:v>
                </c:pt>
                <c:pt idx="8">
                  <c:v>29.799999999999997</c:v>
                </c:pt>
                <c:pt idx="9">
                  <c:v>30.099999999999994</c:v>
                </c:pt>
                <c:pt idx="10">
                  <c:v>31.150000000000006</c:v>
                </c:pt>
                <c:pt idx="11">
                  <c:v>30.650000000000006</c:v>
                </c:pt>
                <c:pt idx="12">
                  <c:v>31.150000000000006</c:v>
                </c:pt>
                <c:pt idx="13">
                  <c:v>31.299999999999997</c:v>
                </c:pt>
                <c:pt idx="14">
                  <c:v>30.049999999999997</c:v>
                </c:pt>
                <c:pt idx="15">
                  <c:v>30.599999999999994</c:v>
                </c:pt>
              </c:numCache>
            </c:numRef>
          </c:val>
          <c:extLst>
            <c:ext xmlns:c16="http://schemas.microsoft.com/office/drawing/2014/chart" uri="{C3380CC4-5D6E-409C-BE32-E72D297353CC}">
              <c16:uniqueId val="{00000001-5B5E-47B0-8C27-106BAB5D4437}"/>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0.00</c:formatCode>
                <c:ptCount val="16"/>
                <c:pt idx="0">
                  <c:v>78.429893238434161</c:v>
                </c:pt>
                <c:pt idx="1">
                  <c:v>73.579357798165134</c:v>
                </c:pt>
                <c:pt idx="2">
                  <c:v>60.258025934959349</c:v>
                </c:pt>
                <c:pt idx="3">
                  <c:v>74.001364678899094</c:v>
                </c:pt>
                <c:pt idx="4">
                  <c:v>59.699454629629628</c:v>
                </c:pt>
                <c:pt idx="5">
                  <c:v>51.34901721778791</c:v>
                </c:pt>
                <c:pt idx="6">
                  <c:v>49.757282229965149</c:v>
                </c:pt>
                <c:pt idx="7">
                  <c:v>59.01353616532721</c:v>
                </c:pt>
                <c:pt idx="8">
                  <c:v>61.215682574916762</c:v>
                </c:pt>
                <c:pt idx="9">
                  <c:v>59.228770632054179</c:v>
                </c:pt>
                <c:pt idx="10">
                  <c:v>80.108516746411482</c:v>
                </c:pt>
                <c:pt idx="11">
                  <c:v>72.222296211251432</c:v>
                </c:pt>
                <c:pt idx="12">
                  <c:v>72.015706018518514</c:v>
                </c:pt>
                <c:pt idx="13">
                  <c:v>77.832416899224796</c:v>
                </c:pt>
                <c:pt idx="14">
                  <c:v>70.721590643274851</c:v>
                </c:pt>
                <c:pt idx="15">
                  <c:v>86.35860335195531</c:v>
                </c:pt>
              </c:numCache>
            </c:numRef>
          </c:yVal>
          <c:smooth val="0"/>
          <c:extLst>
            <c:ext xmlns:c16="http://schemas.microsoft.com/office/drawing/2014/chart" uri="{C3380CC4-5D6E-409C-BE32-E72D297353CC}">
              <c16:uniqueId val="{00000002-5B5E-47B0-8C27-106BAB5D4437}"/>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40.479999999999997</c:v>
                </c:pt>
                <c:pt idx="1">
                  <c:v>42.01</c:v>
                </c:pt>
                <c:pt idx="2">
                  <c:v>39.54</c:v>
                </c:pt>
                <c:pt idx="3">
                  <c:v>42.67</c:v>
                </c:pt>
                <c:pt idx="4">
                  <c:v>39.43</c:v>
                </c:pt>
                <c:pt idx="5">
                  <c:v>44.56</c:v>
                </c:pt>
                <c:pt idx="6">
                  <c:v>47.71</c:v>
                </c:pt>
                <c:pt idx="7">
                  <c:v>44.71</c:v>
                </c:pt>
                <c:pt idx="8">
                  <c:v>44.81</c:v>
                </c:pt>
                <c:pt idx="9">
                  <c:v>45.53</c:v>
                </c:pt>
                <c:pt idx="10">
                  <c:v>46.55</c:v>
                </c:pt>
                <c:pt idx="11">
                  <c:v>44.39</c:v>
                </c:pt>
                <c:pt idx="12">
                  <c:v>47.24</c:v>
                </c:pt>
                <c:pt idx="13">
                  <c:v>48</c:v>
                </c:pt>
                <c:pt idx="14">
                  <c:v>49.54</c:v>
                </c:pt>
                <c:pt idx="15">
                  <c:v>43.03</c:v>
                </c:pt>
              </c:numCache>
            </c:numRef>
          </c:yVal>
          <c:smooth val="0"/>
          <c:extLst>
            <c:ext xmlns:c16="http://schemas.microsoft.com/office/drawing/2014/chart" uri="{C3380CC4-5D6E-409C-BE32-E72D297353CC}">
              <c16:uniqueId val="{00000003-5B5E-47B0-8C27-106BAB5D4437}"/>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9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225288</xdr:colOff>
      <xdr:row>6</xdr:row>
      <xdr:rowOff>13253</xdr:rowOff>
    </xdr:from>
    <xdr:to>
      <xdr:col>1</xdr:col>
      <xdr:colOff>3191869</xdr:colOff>
      <xdr:row>6</xdr:row>
      <xdr:rowOff>1220857</xdr:rowOff>
    </xdr:to>
    <xdr:pic>
      <xdr:nvPicPr>
        <xdr:cNvPr id="3" name="Picture 2">
          <a:extLst>
            <a:ext uri="{FF2B5EF4-FFF2-40B4-BE49-F238E27FC236}">
              <a16:creationId xmlns:a16="http://schemas.microsoft.com/office/drawing/2014/main" id="{62A83F08-4772-4971-B330-92C8B7BC8A4A}"/>
            </a:ext>
          </a:extLst>
        </xdr:cNvPr>
        <xdr:cNvPicPr>
          <a:picLocks noChangeAspect="1"/>
        </xdr:cNvPicPr>
      </xdr:nvPicPr>
      <xdr:blipFill>
        <a:blip xmlns:r="http://schemas.openxmlformats.org/officeDocument/2006/relationships" r:embed="rId1"/>
        <a:stretch>
          <a:fillRect/>
        </a:stretch>
      </xdr:blipFill>
      <xdr:spPr>
        <a:xfrm>
          <a:off x="1941445" y="1583636"/>
          <a:ext cx="2968486" cy="1207604"/>
        </a:xfrm>
        <a:prstGeom prst="rect">
          <a:avLst/>
        </a:prstGeom>
      </xdr:spPr>
    </xdr:pic>
    <xdr:clientData/>
  </xdr:twoCellAnchor>
  <xdr:twoCellAnchor>
    <xdr:from>
      <xdr:col>1</xdr:col>
      <xdr:colOff>52445</xdr:colOff>
      <xdr:row>31</xdr:row>
      <xdr:rowOff>392207</xdr:rowOff>
    </xdr:from>
    <xdr:to>
      <xdr:col>1</xdr:col>
      <xdr:colOff>3447399</xdr:colOff>
      <xdr:row>31</xdr:row>
      <xdr:rowOff>1447464</xdr:rowOff>
    </xdr:to>
    <xdr:pic>
      <xdr:nvPicPr>
        <xdr:cNvPr id="5" name="Picture 4">
          <a:extLst>
            <a:ext uri="{FF2B5EF4-FFF2-40B4-BE49-F238E27FC236}">
              <a16:creationId xmlns:a16="http://schemas.microsoft.com/office/drawing/2014/main" id="{7362111D-E8BF-41F3-AB6B-F18888B824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42205" y="6547262"/>
          <a:ext cx="3394954" cy="1053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134913</xdr:colOff>
      <xdr:row>36</xdr:row>
      <xdr:rowOff>309442</xdr:rowOff>
    </xdr:from>
    <xdr:to>
      <xdr:col>2</xdr:col>
      <xdr:colOff>2716549</xdr:colOff>
      <xdr:row>36</xdr:row>
      <xdr:rowOff>1375092</xdr:rowOff>
    </xdr:to>
    <xdr:pic>
      <xdr:nvPicPr>
        <xdr:cNvPr id="6" name="Picture 5">
          <a:extLst>
            <a:ext uri="{FF2B5EF4-FFF2-40B4-BE49-F238E27FC236}">
              <a16:creationId xmlns:a16="http://schemas.microsoft.com/office/drawing/2014/main" id="{95FA4808-E749-4640-96DE-5D670D1918F9}"/>
            </a:ext>
          </a:extLst>
        </xdr:cNvPr>
        <xdr:cNvPicPr>
          <a:picLocks noChangeAspect="1"/>
        </xdr:cNvPicPr>
      </xdr:nvPicPr>
      <xdr:blipFill>
        <a:blip xmlns:r="http://schemas.openxmlformats.org/officeDocument/2006/relationships" r:embed="rId3"/>
        <a:stretch>
          <a:fillRect/>
        </a:stretch>
      </xdr:blipFill>
      <xdr:spPr>
        <a:xfrm>
          <a:off x="5541303" y="8979097"/>
          <a:ext cx="2589256" cy="1063745"/>
        </a:xfrm>
        <a:prstGeom prst="rect">
          <a:avLst/>
        </a:prstGeom>
      </xdr:spPr>
    </xdr:pic>
    <xdr:clientData/>
  </xdr:twoCellAnchor>
  <xdr:twoCellAnchor>
    <xdr:from>
      <xdr:col>3</xdr:col>
      <xdr:colOff>65332</xdr:colOff>
      <xdr:row>36</xdr:row>
      <xdr:rowOff>394159</xdr:rowOff>
    </xdr:from>
    <xdr:to>
      <xdr:col>3</xdr:col>
      <xdr:colOff>3074912</xdr:colOff>
      <xdr:row>36</xdr:row>
      <xdr:rowOff>1456765</xdr:rowOff>
    </xdr:to>
    <xdr:pic>
      <xdr:nvPicPr>
        <xdr:cNvPr id="7" name="Picture 6">
          <a:extLst>
            <a:ext uri="{FF2B5EF4-FFF2-40B4-BE49-F238E27FC236}">
              <a16:creationId xmlns:a16="http://schemas.microsoft.com/office/drawing/2014/main" id="{8789C011-2607-47CD-9428-428E50E8662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16852" y="9065719"/>
          <a:ext cx="2857180" cy="1060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74633</xdr:colOff>
      <xdr:row>36</xdr:row>
      <xdr:rowOff>210327</xdr:rowOff>
    </xdr:from>
    <xdr:to>
      <xdr:col>5</xdr:col>
      <xdr:colOff>3039644</xdr:colOff>
      <xdr:row>36</xdr:row>
      <xdr:rowOff>1434354</xdr:rowOff>
    </xdr:to>
    <xdr:pic>
      <xdr:nvPicPr>
        <xdr:cNvPr id="8" name="Picture 7">
          <a:extLst>
            <a:ext uri="{FF2B5EF4-FFF2-40B4-BE49-F238E27FC236}">
              <a16:creationId xmlns:a16="http://schemas.microsoft.com/office/drawing/2014/main" id="{A8D03FAC-D4B7-45DB-A56B-07417AE54B3C}"/>
            </a:ext>
          </a:extLst>
        </xdr:cNvPr>
        <xdr:cNvPicPr>
          <a:picLocks noChangeAspect="1"/>
        </xdr:cNvPicPr>
      </xdr:nvPicPr>
      <xdr:blipFill>
        <a:blip xmlns:r="http://schemas.openxmlformats.org/officeDocument/2006/relationships" r:embed="rId5"/>
        <a:stretch>
          <a:fillRect/>
        </a:stretch>
      </xdr:blipFill>
      <xdr:spPr>
        <a:xfrm>
          <a:off x="12819083" y="8874267"/>
          <a:ext cx="2963106" cy="1224027"/>
        </a:xfrm>
        <a:prstGeom prst="rect">
          <a:avLst/>
        </a:prstGeom>
      </xdr:spPr>
    </xdr:pic>
    <xdr:clientData/>
  </xdr:twoCellAnchor>
  <xdr:twoCellAnchor>
    <xdr:from>
      <xdr:col>1</xdr:col>
      <xdr:colOff>241792</xdr:colOff>
      <xdr:row>36</xdr:row>
      <xdr:rowOff>254179</xdr:rowOff>
    </xdr:from>
    <xdr:to>
      <xdr:col>1</xdr:col>
      <xdr:colOff>2870167</xdr:colOff>
      <xdr:row>36</xdr:row>
      <xdr:rowOff>1362745</xdr:rowOff>
    </xdr:to>
    <xdr:pic>
      <xdr:nvPicPr>
        <xdr:cNvPr id="9" name="Picture 8">
          <a:extLst>
            <a:ext uri="{FF2B5EF4-FFF2-40B4-BE49-F238E27FC236}">
              <a16:creationId xmlns:a16="http://schemas.microsoft.com/office/drawing/2014/main" id="{68C9C78B-FCD3-4BA3-9D94-F617A5CF9CE8}"/>
            </a:ext>
          </a:extLst>
        </xdr:cNvPr>
        <xdr:cNvPicPr>
          <a:picLocks noChangeAspect="1"/>
        </xdr:cNvPicPr>
      </xdr:nvPicPr>
      <xdr:blipFill>
        <a:blip xmlns:r="http://schemas.openxmlformats.org/officeDocument/2006/relationships" r:embed="rId6"/>
        <a:stretch>
          <a:fillRect/>
        </a:stretch>
      </xdr:blipFill>
      <xdr:spPr>
        <a:xfrm>
          <a:off x="2131552" y="8918119"/>
          <a:ext cx="2628375" cy="1110471"/>
        </a:xfrm>
        <a:prstGeom prst="rect">
          <a:avLst/>
        </a:prstGeom>
      </xdr:spPr>
    </xdr:pic>
    <xdr:clientData/>
  </xdr:twoCellAnchor>
  <xdr:twoCellAnchor>
    <xdr:from>
      <xdr:col>1</xdr:col>
      <xdr:colOff>313765</xdr:colOff>
      <xdr:row>41</xdr:row>
      <xdr:rowOff>252299</xdr:rowOff>
    </xdr:from>
    <xdr:to>
      <xdr:col>1</xdr:col>
      <xdr:colOff>2761056</xdr:colOff>
      <xdr:row>41</xdr:row>
      <xdr:rowOff>1540809</xdr:rowOff>
    </xdr:to>
    <xdr:pic>
      <xdr:nvPicPr>
        <xdr:cNvPr id="11" name="Picture 10">
          <a:extLst>
            <a:ext uri="{FF2B5EF4-FFF2-40B4-BE49-F238E27FC236}">
              <a16:creationId xmlns:a16="http://schemas.microsoft.com/office/drawing/2014/main" id="{C2D59F50-D868-4A99-BC6A-61C7C460BE2B}"/>
            </a:ext>
          </a:extLst>
        </xdr:cNvPr>
        <xdr:cNvPicPr>
          <a:picLocks noChangeAspect="1"/>
        </xdr:cNvPicPr>
      </xdr:nvPicPr>
      <xdr:blipFill>
        <a:blip xmlns:r="http://schemas.openxmlformats.org/officeDocument/2006/relationships" r:embed="rId7"/>
        <a:stretch>
          <a:fillRect/>
        </a:stretch>
      </xdr:blipFill>
      <xdr:spPr>
        <a:xfrm>
          <a:off x="2201620" y="11221289"/>
          <a:ext cx="2449196" cy="1296130"/>
        </a:xfrm>
        <a:prstGeom prst="rect">
          <a:avLst/>
        </a:prstGeom>
      </xdr:spPr>
    </xdr:pic>
    <xdr:clientData/>
  </xdr:twoCellAnchor>
  <xdr:twoCellAnchor>
    <xdr:from>
      <xdr:col>2</xdr:col>
      <xdr:colOff>114734</xdr:colOff>
      <xdr:row>41</xdr:row>
      <xdr:rowOff>54125</xdr:rowOff>
    </xdr:from>
    <xdr:to>
      <xdr:col>2</xdr:col>
      <xdr:colOff>2454088</xdr:colOff>
      <xdr:row>41</xdr:row>
      <xdr:rowOff>1555991</xdr:rowOff>
    </xdr:to>
    <xdr:pic>
      <xdr:nvPicPr>
        <xdr:cNvPr id="12" name="Picture 11">
          <a:extLst>
            <a:ext uri="{FF2B5EF4-FFF2-40B4-BE49-F238E27FC236}">
              <a16:creationId xmlns:a16="http://schemas.microsoft.com/office/drawing/2014/main" id="{E2AC0CE7-B776-4F6B-B0D6-64703982E584}"/>
            </a:ext>
          </a:extLst>
        </xdr:cNvPr>
        <xdr:cNvPicPr>
          <a:picLocks noChangeAspect="1"/>
        </xdr:cNvPicPr>
      </xdr:nvPicPr>
      <xdr:blipFill>
        <a:blip xmlns:r="http://schemas.openxmlformats.org/officeDocument/2006/relationships" r:embed="rId8"/>
        <a:stretch>
          <a:fillRect/>
        </a:stretch>
      </xdr:blipFill>
      <xdr:spPr>
        <a:xfrm>
          <a:off x="5524934" y="11030735"/>
          <a:ext cx="2343164" cy="1496151"/>
        </a:xfrm>
        <a:prstGeom prst="rect">
          <a:avLst/>
        </a:prstGeom>
      </xdr:spPr>
    </xdr:pic>
    <xdr:clientData/>
  </xdr:twoCellAnchor>
  <xdr:twoCellAnchor>
    <xdr:from>
      <xdr:col>2</xdr:col>
      <xdr:colOff>218179</xdr:colOff>
      <xdr:row>31</xdr:row>
      <xdr:rowOff>113554</xdr:rowOff>
    </xdr:from>
    <xdr:to>
      <xdr:col>2</xdr:col>
      <xdr:colOff>2850103</xdr:colOff>
      <xdr:row>31</xdr:row>
      <xdr:rowOff>1668810</xdr:rowOff>
    </xdr:to>
    <xdr:pic>
      <xdr:nvPicPr>
        <xdr:cNvPr id="13" name="Picture 12">
          <a:extLst>
            <a:ext uri="{FF2B5EF4-FFF2-40B4-BE49-F238E27FC236}">
              <a16:creationId xmlns:a16="http://schemas.microsoft.com/office/drawing/2014/main" id="{054B04B4-38B3-46C4-9A8C-B101F7B83865}"/>
            </a:ext>
          </a:extLst>
        </xdr:cNvPr>
        <xdr:cNvPicPr>
          <a:picLocks noChangeAspect="1"/>
        </xdr:cNvPicPr>
      </xdr:nvPicPr>
      <xdr:blipFill>
        <a:blip xmlns:r="http://schemas.openxmlformats.org/officeDocument/2006/relationships" r:embed="rId9"/>
        <a:stretch>
          <a:fillRect/>
        </a:stretch>
      </xdr:blipFill>
      <xdr:spPr>
        <a:xfrm>
          <a:off x="5626474" y="6266704"/>
          <a:ext cx="2631924" cy="1553351"/>
        </a:xfrm>
        <a:prstGeom prst="rect">
          <a:avLst/>
        </a:prstGeom>
      </xdr:spPr>
    </xdr:pic>
    <xdr:clientData/>
  </xdr:twoCellAnchor>
  <xdr:twoCellAnchor>
    <xdr:from>
      <xdr:col>3</xdr:col>
      <xdr:colOff>97265</xdr:colOff>
      <xdr:row>31</xdr:row>
      <xdr:rowOff>193201</xdr:rowOff>
    </xdr:from>
    <xdr:to>
      <xdr:col>3</xdr:col>
      <xdr:colOff>2859405</xdr:colOff>
      <xdr:row>31</xdr:row>
      <xdr:rowOff>1556600</xdr:rowOff>
    </xdr:to>
    <xdr:pic>
      <xdr:nvPicPr>
        <xdr:cNvPr id="14" name="Picture 13">
          <a:extLst>
            <a:ext uri="{FF2B5EF4-FFF2-40B4-BE49-F238E27FC236}">
              <a16:creationId xmlns:a16="http://schemas.microsoft.com/office/drawing/2014/main" id="{7A4D0830-BEF9-4B31-8374-CAB4CD61CAD6}"/>
            </a:ext>
          </a:extLst>
        </xdr:cNvPr>
        <xdr:cNvPicPr>
          <a:picLocks noChangeAspect="1"/>
        </xdr:cNvPicPr>
      </xdr:nvPicPr>
      <xdr:blipFill>
        <a:blip xmlns:r="http://schemas.openxmlformats.org/officeDocument/2006/relationships" r:embed="rId10"/>
        <a:stretch>
          <a:fillRect/>
        </a:stretch>
      </xdr:blipFill>
      <xdr:spPr>
        <a:xfrm>
          <a:off x="8446880" y="6346351"/>
          <a:ext cx="2765950" cy="13614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1325218</xdr:colOff>
      <xdr:row>0</xdr:row>
      <xdr:rowOff>67505</xdr:rowOff>
    </xdr:from>
    <xdr:to>
      <xdr:col>12</xdr:col>
      <xdr:colOff>1565412</xdr:colOff>
      <xdr:row>1</xdr:row>
      <xdr:rowOff>103203</xdr:rowOff>
    </xdr:to>
    <xdr:sp macro="" textlink="">
      <xdr:nvSpPr>
        <xdr:cNvPr id="8" name="TextBox 7">
          <a:extLst>
            <a:ext uri="{FF2B5EF4-FFF2-40B4-BE49-F238E27FC236}">
              <a16:creationId xmlns:a16="http://schemas.microsoft.com/office/drawing/2014/main" id="{1DDDC35D-79DC-FE8D-E36B-A215903DCB00}"/>
            </a:ext>
          </a:extLst>
        </xdr:cNvPr>
        <xdr:cNvSpPr txBox="1"/>
      </xdr:nvSpPr>
      <xdr:spPr>
        <a:xfrm>
          <a:off x="13855148" y="67505"/>
          <a:ext cx="240194" cy="360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11</xdr:col>
      <xdr:colOff>704850</xdr:colOff>
      <xdr:row>2</xdr:row>
      <xdr:rowOff>0</xdr:rowOff>
    </xdr:from>
    <xdr:to>
      <xdr:col>14</xdr:col>
      <xdr:colOff>434878</xdr:colOff>
      <xdr:row>15</xdr:row>
      <xdr:rowOff>20077</xdr:rowOff>
    </xdr:to>
    <xdr:pic>
      <xdr:nvPicPr>
        <xdr:cNvPr id="2" name="Picture 1">
          <a:extLst>
            <a:ext uri="{FF2B5EF4-FFF2-40B4-BE49-F238E27FC236}">
              <a16:creationId xmlns:a16="http://schemas.microsoft.com/office/drawing/2014/main" id="{1A982156-1766-BE8F-0D73-0E2E02CEF1CA}"/>
            </a:ext>
          </a:extLst>
        </xdr:cNvPr>
        <xdr:cNvPicPr>
          <a:picLocks noChangeAspect="1"/>
        </xdr:cNvPicPr>
      </xdr:nvPicPr>
      <xdr:blipFill>
        <a:blip xmlns:r="http://schemas.openxmlformats.org/officeDocument/2006/relationships" r:embed="rId1"/>
        <a:stretch>
          <a:fillRect/>
        </a:stretch>
      </xdr:blipFill>
      <xdr:spPr>
        <a:xfrm>
          <a:off x="13154025" y="952500"/>
          <a:ext cx="3858163" cy="2610214"/>
        </a:xfrm>
        <a:prstGeom prst="rect">
          <a:avLst/>
        </a:prstGeom>
      </xdr:spPr>
    </xdr:pic>
    <xdr:clientData/>
  </xdr:twoCellAnchor>
  <xdr:twoCellAnchor>
    <xdr:from>
      <xdr:col>13</xdr:col>
      <xdr:colOff>0</xdr:colOff>
      <xdr:row>0</xdr:row>
      <xdr:rowOff>0</xdr:rowOff>
    </xdr:from>
    <xdr:to>
      <xdr:col>13</xdr:col>
      <xdr:colOff>0</xdr:colOff>
      <xdr:row>0</xdr:row>
      <xdr:rowOff>314325</xdr:rowOff>
    </xdr:to>
    <xdr:cxnSp macro="">
      <xdr:nvCxnSpPr>
        <xdr:cNvPr id="7" name="Straight Arrow Connector 5">
          <a:extLst>
            <a:ext uri="{FF2B5EF4-FFF2-40B4-BE49-F238E27FC236}">
              <a16:creationId xmlns:a16="http://schemas.microsoft.com/office/drawing/2014/main" id="{02FEFEE6-7D64-4909-936F-74CF85F91D60}"/>
            </a:ext>
          </a:extLst>
        </xdr:cNvPr>
        <xdr:cNvCxnSpPr/>
      </xdr:nvCxnSpPr>
      <xdr:spPr>
        <a:xfrm flipV="1">
          <a:off x="15049500" y="0"/>
          <a:ext cx="0" cy="314325"/>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9</xdr:row>
      <xdr:rowOff>163830</xdr:rowOff>
    </xdr:from>
    <xdr:to>
      <xdr:col>1</xdr:col>
      <xdr:colOff>1095376</xdr:colOff>
      <xdr:row>25</xdr:row>
      <xdr:rowOff>64770</xdr:rowOff>
    </xdr:to>
    <xdr:pic>
      <xdr:nvPicPr>
        <xdr:cNvPr id="2" name="Picture 1">
          <a:extLst>
            <a:ext uri="{FF2B5EF4-FFF2-40B4-BE49-F238E27FC236}">
              <a16:creationId xmlns:a16="http://schemas.microsoft.com/office/drawing/2014/main" id="{DD4C23AC-09CA-3284-6488-4296CC70A8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2754630"/>
          <a:ext cx="4457700" cy="2653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285750</xdr:colOff>
      <xdr:row>2</xdr:row>
      <xdr:rowOff>261937</xdr:rowOff>
    </xdr:from>
    <xdr:to>
      <xdr:col>36</xdr:col>
      <xdr:colOff>0</xdr:colOff>
      <xdr:row>5</xdr:row>
      <xdr:rowOff>360624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798195</xdr:colOff>
      <xdr:row>1</xdr:row>
      <xdr:rowOff>295275</xdr:rowOff>
    </xdr:from>
    <xdr:to>
      <xdr:col>40</xdr:col>
      <xdr:colOff>578910</xdr:colOff>
      <xdr:row>19</xdr:row>
      <xdr:rowOff>111125</xdr:rowOff>
    </xdr:to>
    <xdr:graphicFrame macro="">
      <xdr:nvGraphicFramePr>
        <xdr:cNvPr id="3" name="Chart 1">
          <a:extLst>
            <a:ext uri="{FF2B5EF4-FFF2-40B4-BE49-F238E27FC236}">
              <a16:creationId xmlns:a16="http://schemas.microsoft.com/office/drawing/2014/main" i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828675</xdr:colOff>
      <xdr:row>20</xdr:row>
      <xdr:rowOff>76200</xdr:rowOff>
    </xdr:from>
    <xdr:to>
      <xdr:col>41</xdr:col>
      <xdr:colOff>64709</xdr:colOff>
      <xdr:row>48</xdr:row>
      <xdr:rowOff>41603</xdr:rowOff>
    </xdr:to>
    <xdr:graphicFrame macro="">
      <xdr:nvGraphicFramePr>
        <xdr:cNvPr id="4" name="Chart 2">
          <a:extLst>
            <a:ext uri="{FF2B5EF4-FFF2-40B4-BE49-F238E27FC236}">
              <a16:creationId xmlns:a16="http://schemas.microsoft.com/office/drawing/2014/main" id="{FBB90149-AC99-4B7E-9C7C-900D7B7BC448}"/>
            </a:ext>
            <a:ext uri="{147F2762-F138-4A5C-976F-8EAC2B608ADB}">
              <a16:predDERef xmlns:a16="http://schemas.microsoft.com/office/drawing/2014/main" pred="{7BF48C0E-CD9A-4829-AA64-75BFF34D2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526852</xdr:colOff>
      <xdr:row>26</xdr:row>
      <xdr:rowOff>152981</xdr:rowOff>
    </xdr:from>
    <xdr:to>
      <xdr:col>9</xdr:col>
      <xdr:colOff>438150</xdr:colOff>
      <xdr:row>36</xdr:row>
      <xdr:rowOff>120987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526852" y="4877381"/>
          <a:ext cx="5397698" cy="1777756"/>
        </a:xfrm>
        <a:prstGeom prst="rect">
          <a:avLst/>
        </a:prstGeom>
      </xdr:spPr>
    </xdr:pic>
    <xdr:clientData/>
  </xdr:twoCellAnchor>
  <xdr:twoCellAnchor>
    <xdr:from>
      <xdr:col>0</xdr:col>
      <xdr:colOff>272415</xdr:colOff>
      <xdr:row>18</xdr:row>
      <xdr:rowOff>17145</xdr:rowOff>
    </xdr:from>
    <xdr:to>
      <xdr:col>10</xdr:col>
      <xdr:colOff>382905</xdr:colOff>
      <xdr:row>26</xdr:row>
      <xdr:rowOff>82887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272415" y="3293745"/>
          <a:ext cx="6206490" cy="15135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nergy.ca.gov/publications/2022/2022-nonresidential-and-multifamily-alternative-calculation-method-reference" TargetMode="External"/><Relationship Id="rId13" Type="http://schemas.openxmlformats.org/officeDocument/2006/relationships/hyperlink" Target="https://efiling.energy.ca.gov/GetDocument.aspx?tn=265693&amp;DocumentContentId=102545"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www.ecfr.gov/current/title-10/chapter-II/subchapter-D/part-431/subpart-D" TargetMode="External"/><Relationship Id="rId12" Type="http://schemas.openxmlformats.org/officeDocument/2006/relationships/hyperlink" Target="https://title24stakeholders.com/wp-content/uploads/2016/10/T24-2019-CASE-Study-Results-Report-Outdoor-Sources_Final_with-Attachments.pdf" TargetMode="External"/><Relationship Id="rId2" Type="http://schemas.openxmlformats.org/officeDocument/2006/relationships/hyperlink" Target="https://www.energycodes.gov/prototype-building-models" TargetMode="External"/><Relationship Id="rId1" Type="http://schemas.openxmlformats.org/officeDocument/2006/relationships/hyperlink" Target="https://bees.noresco.com/software2022.html" TargetMode="External"/><Relationship Id="rId6"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1" Type="http://schemas.openxmlformats.org/officeDocument/2006/relationships/hyperlink" Target="https://2050partners.sharepoint.com/:w:/r/sites/CalBEMCollaborativeEfforts/_layouts/15/Doc.aspx?sourcedoc=%7B3BEF8F74-7FAC-44F2-A70C-D76617660066%7D&amp;file=Infiltration_rate_report_14May2025-Short-Version.docx&amp;action=default&amp;mobileredirect=true" TargetMode="External"/><Relationship Id="rId5" Type="http://schemas.openxmlformats.org/officeDocument/2006/relationships/hyperlink" Target="https://www.eia.gov/consumption/commercial/data/2018/index.php?view=microdata" TargetMode="External"/><Relationship Id="rId10" Type="http://schemas.openxmlformats.org/officeDocument/2006/relationships/hyperlink" Target="https://www.pnnl.gov/main/publications/external/technical_reports/PNNL-20405.pdf" TargetMode="External"/><Relationship Id="rId4" Type="http://schemas.openxmlformats.org/officeDocument/2006/relationships/hyperlink" Target="https://www.energy.ca.gov/publications/2023/2022-california-commercial-end-use-survey-ceus-final-report" TargetMode="External"/><Relationship Id="rId9" Type="http://schemas.openxmlformats.org/officeDocument/2006/relationships/hyperlink" Target="https://title24stakeholders.com/wp-content/uploads/2020/10/2022-T24-Final-CASE-Report_Reduce-Infiltration.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41"/>
  <sheetViews>
    <sheetView zoomScaleNormal="100" workbookViewId="0">
      <selection sqref="A1:C1"/>
    </sheetView>
  </sheetViews>
  <sheetFormatPr defaultColWidth="9.28515625" defaultRowHeight="13.15"/>
  <cols>
    <col min="1" max="1" width="14.7109375" style="3" customWidth="1"/>
    <col min="2" max="2" width="92.140625" style="3" customWidth="1"/>
    <col min="3" max="3" width="39" style="3" customWidth="1"/>
    <col min="4" max="4" width="9.28515625" style="3"/>
    <col min="5" max="5" width="21.7109375" style="3" customWidth="1"/>
    <col min="6" max="6" width="10.7109375" style="3" customWidth="1"/>
    <col min="7" max="7" width="9.7109375" style="3" customWidth="1"/>
    <col min="8" max="8" width="9.7109375" style="3" bestFit="1" customWidth="1"/>
    <col min="9" max="16384" width="9.28515625" style="3"/>
  </cols>
  <sheetData>
    <row r="1" spans="1:4" ht="20.45" customHeight="1">
      <c r="A1" s="372" t="s">
        <v>0</v>
      </c>
      <c r="B1" s="372"/>
      <c r="C1" s="372"/>
    </row>
    <row r="2" spans="1:4">
      <c r="A2" s="371" t="s">
        <v>1</v>
      </c>
      <c r="B2" s="3" t="s">
        <v>2</v>
      </c>
      <c r="C2" s="358"/>
    </row>
    <row r="3" spans="1:4" ht="14.45">
      <c r="A3" s="371"/>
      <c r="B3" s="3" t="s">
        <v>3</v>
      </c>
      <c r="C3" s="201" t="s">
        <v>4</v>
      </c>
      <c r="D3" s="3" t="s">
        <v>5</v>
      </c>
    </row>
    <row r="4" spans="1:4" ht="14.45">
      <c r="A4" s="371"/>
      <c r="B4" s="3" t="s">
        <v>6</v>
      </c>
      <c r="C4" s="201" t="s">
        <v>7</v>
      </c>
      <c r="D4" s="3" t="s">
        <v>5</v>
      </c>
    </row>
    <row r="5" spans="1:4" ht="14.45">
      <c r="A5" s="371"/>
      <c r="B5" s="3" t="s">
        <v>8</v>
      </c>
      <c r="C5" s="201" t="s">
        <v>9</v>
      </c>
      <c r="D5" s="3" t="s">
        <v>5</v>
      </c>
    </row>
    <row r="6" spans="1:4" ht="14.45">
      <c r="A6" s="371" t="s">
        <v>10</v>
      </c>
      <c r="B6" s="3" t="s">
        <v>11</v>
      </c>
      <c r="C6" s="201" t="s">
        <v>12</v>
      </c>
      <c r="D6" s="3" t="s">
        <v>5</v>
      </c>
    </row>
    <row r="7" spans="1:4" ht="14.45">
      <c r="A7" s="371"/>
      <c r="B7" s="3" t="s">
        <v>13</v>
      </c>
      <c r="C7" s="201" t="s">
        <v>14</v>
      </c>
      <c r="D7" s="3" t="s">
        <v>5</v>
      </c>
    </row>
    <row r="8" spans="1:4" ht="14.45">
      <c r="A8" s="371"/>
      <c r="B8" s="3" t="s">
        <v>15</v>
      </c>
      <c r="C8" s="201" t="s">
        <v>16</v>
      </c>
      <c r="D8" s="3" t="s">
        <v>5</v>
      </c>
    </row>
    <row r="9" spans="1:4" ht="14.45">
      <c r="A9" s="371"/>
      <c r="C9" s="201"/>
      <c r="D9" s="3" t="s">
        <v>5</v>
      </c>
    </row>
    <row r="10" spans="1:4">
      <c r="A10" s="371" t="s">
        <v>17</v>
      </c>
      <c r="B10" s="3" t="s">
        <v>18</v>
      </c>
      <c r="C10" s="358"/>
      <c r="D10" s="3" t="s">
        <v>5</v>
      </c>
    </row>
    <row r="11" spans="1:4">
      <c r="A11" s="371"/>
      <c r="B11" s="3" t="s">
        <v>19</v>
      </c>
      <c r="C11" s="358"/>
    </row>
    <row r="12" spans="1:4" ht="14.45">
      <c r="A12" s="371"/>
      <c r="B12" s="3" t="s">
        <v>20</v>
      </c>
      <c r="C12" s="201" t="s">
        <v>21</v>
      </c>
      <c r="D12" s="3" t="s">
        <v>5</v>
      </c>
    </row>
    <row r="13" spans="1:4">
      <c r="A13" s="371"/>
      <c r="C13" s="358"/>
      <c r="D13" s="3" t="s">
        <v>5</v>
      </c>
    </row>
    <row r="14" spans="1:4" ht="14.45" customHeight="1">
      <c r="A14" s="371" t="s">
        <v>22</v>
      </c>
      <c r="B14" s="3" t="s">
        <v>23</v>
      </c>
      <c r="C14" s="358"/>
      <c r="D14" s="3" t="s">
        <v>5</v>
      </c>
    </row>
    <row r="15" spans="1:4" ht="14.45">
      <c r="A15" s="371"/>
      <c r="B15" s="128" t="s">
        <v>24</v>
      </c>
      <c r="C15" s="201" t="s">
        <v>25</v>
      </c>
      <c r="D15" s="3" t="s">
        <v>5</v>
      </c>
    </row>
    <row r="16" spans="1:4" ht="14.45">
      <c r="A16" s="371"/>
      <c r="B16" s="129" t="s">
        <v>26</v>
      </c>
      <c r="C16" s="201" t="s">
        <v>27</v>
      </c>
      <c r="D16" s="3" t="s">
        <v>5</v>
      </c>
    </row>
    <row r="17" spans="1:8" ht="14.45">
      <c r="A17" s="371"/>
      <c r="B17" s="3" t="s">
        <v>28</v>
      </c>
      <c r="C17" s="201" t="s">
        <v>29</v>
      </c>
      <c r="D17" s="3" t="s">
        <v>5</v>
      </c>
    </row>
    <row r="18" spans="1:8" ht="14.45">
      <c r="A18" s="371"/>
      <c r="B18" s="128" t="s">
        <v>30</v>
      </c>
      <c r="C18" s="201" t="s">
        <v>31</v>
      </c>
      <c r="D18" s="3" t="s">
        <v>5</v>
      </c>
    </row>
    <row r="19" spans="1:8" ht="14.45">
      <c r="A19" s="371"/>
      <c r="B19" s="128" t="s">
        <v>32</v>
      </c>
      <c r="C19" s="202" t="s">
        <v>33</v>
      </c>
      <c r="D19" s="3" t="s">
        <v>5</v>
      </c>
    </row>
    <row r="20" spans="1:8" ht="25.9" customHeight="1">
      <c r="A20" s="371"/>
      <c r="B20" s="7" t="s">
        <v>34</v>
      </c>
      <c r="C20" s="63" t="s">
        <v>35</v>
      </c>
      <c r="D20" s="3" t="s">
        <v>5</v>
      </c>
    </row>
    <row r="21" spans="1:8">
      <c r="C21" s="358"/>
    </row>
    <row r="22" spans="1:8" ht="15.6">
      <c r="A22" s="372" t="s">
        <v>36</v>
      </c>
      <c r="B22" s="372"/>
      <c r="C22" s="372"/>
    </row>
    <row r="23" spans="1:8">
      <c r="C23" s="358"/>
    </row>
    <row r="24" spans="1:8">
      <c r="C24" s="358"/>
    </row>
    <row r="25" spans="1:8">
      <c r="C25" s="358"/>
    </row>
    <row r="26" spans="1:8">
      <c r="C26" s="358"/>
    </row>
    <row r="27" spans="1:8">
      <c r="C27" s="358"/>
    </row>
    <row r="28" spans="1:8">
      <c r="C28" s="358"/>
    </row>
    <row r="29" spans="1:8">
      <c r="C29" s="358"/>
    </row>
    <row r="30" spans="1:8">
      <c r="C30" s="358"/>
    </row>
    <row r="31" spans="1:8" ht="19.149999999999999" customHeight="1">
      <c r="C31" s="358"/>
    </row>
    <row r="32" spans="1:8" ht="14.65" customHeight="1">
      <c r="C32" s="358"/>
      <c r="E32" s="113"/>
      <c r="F32" s="368"/>
      <c r="G32" s="368"/>
      <c r="H32" s="368"/>
    </row>
    <row r="33" spans="1:8">
      <c r="C33" s="358"/>
      <c r="E33" s="113"/>
      <c r="F33" s="26"/>
      <c r="G33" s="26"/>
      <c r="H33" s="26"/>
    </row>
    <row r="34" spans="1:8">
      <c r="C34" s="358"/>
    </row>
    <row r="35" spans="1:8" ht="15.6">
      <c r="A35" s="372" t="s">
        <v>37</v>
      </c>
      <c r="B35" s="372"/>
      <c r="C35" s="372"/>
    </row>
    <row r="36" spans="1:8">
      <c r="A36" s="374" t="s">
        <v>38</v>
      </c>
      <c r="B36" s="374"/>
      <c r="C36" s="374"/>
    </row>
    <row r="37" spans="1:8">
      <c r="A37" s="374"/>
      <c r="B37" s="374"/>
      <c r="C37" s="374"/>
    </row>
    <row r="38" spans="1:8">
      <c r="A38" s="374"/>
      <c r="B38" s="374"/>
      <c r="C38" s="374"/>
    </row>
    <row r="39" spans="1:8">
      <c r="A39" s="373"/>
      <c r="B39" s="373"/>
      <c r="C39" s="373"/>
    </row>
    <row r="40" spans="1:8" s="20" customFormat="1" hidden="1">
      <c r="A40" s="20" t="s">
        <v>39</v>
      </c>
    </row>
    <row r="41" spans="1:8">
      <c r="A41" s="373"/>
      <c r="B41" s="373"/>
      <c r="C41" s="373"/>
    </row>
  </sheetData>
  <mergeCells count="12">
    <mergeCell ref="A41:C41"/>
    <mergeCell ref="A37:C37"/>
    <mergeCell ref="A38:C38"/>
    <mergeCell ref="A39:C39"/>
    <mergeCell ref="A35:C35"/>
    <mergeCell ref="A36:C36"/>
    <mergeCell ref="A14:A20"/>
    <mergeCell ref="A1:C1"/>
    <mergeCell ref="A2:A5"/>
    <mergeCell ref="A6:A9"/>
    <mergeCell ref="A22:C22"/>
    <mergeCell ref="A10:A13"/>
  </mergeCells>
  <hyperlinks>
    <hyperlink ref="C6" r:id="rId1" xr:uid="{BE11EEF8-3AF7-48F0-A38B-7309CE5A9491}"/>
    <hyperlink ref="C7" r:id="rId2" location="Commercial" xr:uid="{626A4776-C2FA-489E-88C0-BC9C7C8EA36F}"/>
    <hyperlink ref="C8" r:id="rId3" xr:uid="{0DEB00BB-3A26-4527-9ED4-40D17F93A579}"/>
    <hyperlink ref="C3" r:id="rId4" xr:uid="{7ADAAC21-6BF3-4C55-B602-4E3B84FE2AAA}"/>
    <hyperlink ref="C4" r:id="rId5" xr:uid="{8ADA6228-A7BF-4E82-9D60-E20B0FF95F19}"/>
    <hyperlink ref="C5" r:id="rId6" xr:uid="{19AF5EF3-14A5-44AE-B730-140BF104272A}"/>
    <hyperlink ref="C12" r:id="rId7" xr:uid="{1D5C4E6D-2BF0-4DBD-A420-CFE0F7A621D8}"/>
    <hyperlink ref="C15" r:id="rId8" xr:uid="{28CCD257-BA0A-4BA1-BF99-3248BB0714FA}"/>
    <hyperlink ref="C16" r:id="rId9" xr:uid="{56D3F51C-A1E6-44E7-AAE5-935CA13FA78C}"/>
    <hyperlink ref="C18" r:id="rId10" xr:uid="{307A1B86-01A4-4502-B64A-3B9FE803D16B}"/>
    <hyperlink ref="C19" r:id="rId11" xr:uid="{5C415FD8-0B20-48F3-95B2-03B29588E4D1}"/>
    <hyperlink ref="C17" r:id="rId12" xr:uid="{6717D939-7C1F-47D0-AB1F-52959778113F}"/>
    <hyperlink ref="C20" r:id="rId13" xr:uid="{615EECC0-DAAB-4A87-8792-2805AA13E9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AL43"/>
  <sheetViews>
    <sheetView zoomScale="85" zoomScaleNormal="85" workbookViewId="0">
      <selection activeCell="A2" sqref="A2:C2"/>
    </sheetView>
  </sheetViews>
  <sheetFormatPr defaultColWidth="9.28515625" defaultRowHeight="13.9"/>
  <cols>
    <col min="1" max="1" width="25" style="1" customWidth="1"/>
    <col min="2" max="2" width="51.28515625" style="1" customWidth="1"/>
    <col min="3" max="3" width="49.7109375" style="1" customWidth="1"/>
    <col min="4" max="4" width="35.42578125" style="1" customWidth="1"/>
    <col min="5" max="5" width="8.7109375" style="1" customWidth="1"/>
    <col min="6" max="6" width="38.140625" style="1" customWidth="1"/>
    <col min="7" max="9" width="8.7109375" style="1" customWidth="1"/>
    <col min="10" max="16384" width="9.28515625" style="1"/>
  </cols>
  <sheetData>
    <row r="1" spans="1:9" ht="17.45">
      <c r="A1" s="375" t="s">
        <v>40</v>
      </c>
      <c r="B1" s="375"/>
      <c r="C1" s="375"/>
      <c r="D1" s="8"/>
      <c r="E1" s="8"/>
      <c r="F1" s="8"/>
    </row>
    <row r="2" spans="1:9" ht="25.15" customHeight="1">
      <c r="A2" s="376" t="s">
        <v>41</v>
      </c>
      <c r="B2" s="377"/>
      <c r="C2" s="377"/>
      <c r="D2" s="8"/>
      <c r="E2" s="8"/>
      <c r="F2" s="8"/>
    </row>
    <row r="3" spans="1:9" ht="20.45" customHeight="1">
      <c r="A3" s="13" t="s">
        <v>42</v>
      </c>
      <c r="B3" s="365" t="s">
        <v>43</v>
      </c>
      <c r="C3" s="14" t="s">
        <v>0</v>
      </c>
    </row>
    <row r="4" spans="1:9" ht="16.149999999999999" customHeight="1">
      <c r="A4" s="11" t="s">
        <v>44</v>
      </c>
      <c r="B4" s="360" t="s">
        <v>45</v>
      </c>
      <c r="C4" s="11"/>
    </row>
    <row r="5" spans="1:9" ht="16.149999999999999" customHeight="1">
      <c r="A5" s="11" t="s">
        <v>46</v>
      </c>
      <c r="B5" s="360" t="s">
        <v>47</v>
      </c>
      <c r="C5" s="11"/>
    </row>
    <row r="6" spans="1:9" ht="28.9" customHeight="1">
      <c r="A6" s="11" t="s">
        <v>48</v>
      </c>
      <c r="B6" s="359" t="s">
        <v>49</v>
      </c>
      <c r="C6" s="12" t="s">
        <v>50</v>
      </c>
      <c r="D6" s="63" t="s">
        <v>51</v>
      </c>
    </row>
    <row r="7" spans="1:9" ht="97.15" customHeight="1">
      <c r="A7" s="11" t="s">
        <v>52</v>
      </c>
      <c r="B7" s="370"/>
      <c r="C7" s="12" t="s">
        <v>53</v>
      </c>
      <c r="I7" s="2"/>
    </row>
    <row r="8" spans="1:9" ht="16.149999999999999" customHeight="1">
      <c r="A8" s="9" t="s">
        <v>54</v>
      </c>
      <c r="B8" s="17" t="s">
        <v>55</v>
      </c>
      <c r="C8" s="12" t="s">
        <v>53</v>
      </c>
    </row>
    <row r="9" spans="1:9" ht="26.45">
      <c r="A9" s="9" t="s">
        <v>56</v>
      </c>
      <c r="B9" s="98" t="s">
        <v>57</v>
      </c>
      <c r="C9" s="12" t="s">
        <v>53</v>
      </c>
    </row>
    <row r="10" spans="1:9">
      <c r="A10" s="10" t="s">
        <v>58</v>
      </c>
      <c r="B10" s="34">
        <v>1</v>
      </c>
      <c r="C10" s="12" t="s">
        <v>53</v>
      </c>
    </row>
    <row r="11" spans="1:9">
      <c r="A11" s="10" t="s">
        <v>59</v>
      </c>
      <c r="B11" s="34" t="s">
        <v>60</v>
      </c>
      <c r="C11" s="12" t="s">
        <v>53</v>
      </c>
    </row>
    <row r="12" spans="1:9">
      <c r="A12" s="10" t="s">
        <v>61</v>
      </c>
      <c r="B12" s="97">
        <v>8.2400000000000001E-2</v>
      </c>
      <c r="C12" s="12" t="s">
        <v>53</v>
      </c>
    </row>
    <row r="13" spans="1:9" ht="14.65" customHeight="1">
      <c r="A13" s="9" t="s">
        <v>62</v>
      </c>
      <c r="B13" s="96" t="s">
        <v>63</v>
      </c>
      <c r="C13" s="12" t="s">
        <v>53</v>
      </c>
    </row>
    <row r="14" spans="1:9" ht="14.65" customHeight="1">
      <c r="A14" s="9" t="s">
        <v>64</v>
      </c>
      <c r="B14" s="360" t="s">
        <v>65</v>
      </c>
      <c r="C14" s="12" t="s">
        <v>53</v>
      </c>
    </row>
    <row r="15" spans="1:9" ht="16.149999999999999" customHeight="1">
      <c r="A15" s="9" t="s">
        <v>66</v>
      </c>
      <c r="B15" s="360">
        <v>17</v>
      </c>
      <c r="C15" s="12" t="s">
        <v>53</v>
      </c>
    </row>
    <row r="16" spans="1:9">
      <c r="A16" s="9" t="s">
        <v>67</v>
      </c>
      <c r="B16" s="359" t="s">
        <v>68</v>
      </c>
      <c r="C16" s="12" t="s">
        <v>53</v>
      </c>
    </row>
    <row r="18" spans="1:38" ht="14.25"/>
    <row r="19" spans="1:38" ht="14.25"/>
    <row r="20" spans="1:38" ht="14.25"/>
    <row r="21" spans="1:38" ht="14.25"/>
    <row r="22" spans="1:38" ht="14.25"/>
    <row r="24" spans="1:38" ht="14.65" customHeight="1"/>
    <row r="25" spans="1:38" s="20" customFormat="1" ht="13.15">
      <c r="A25" s="20" t="s">
        <v>39</v>
      </c>
    </row>
    <row r="26" spans="1:38" s="3" customFormat="1" ht="13.15">
      <c r="U26" s="30"/>
      <c r="V26" s="53"/>
      <c r="W26" s="54"/>
      <c r="X26" s="54"/>
      <c r="Y26" s="54"/>
      <c r="Z26" s="54"/>
      <c r="AA26" s="54"/>
      <c r="AB26" s="54"/>
      <c r="AC26" s="54"/>
      <c r="AD26" s="54"/>
      <c r="AE26" s="54"/>
      <c r="AF26" s="54"/>
      <c r="AG26" s="54"/>
      <c r="AH26" s="54"/>
      <c r="AI26" s="54"/>
      <c r="AJ26" s="54"/>
      <c r="AK26" s="54"/>
      <c r="AL26" s="54"/>
    </row>
    <row r="28" spans="1:38" s="3" customFormat="1" ht="13.15">
      <c r="G28" s="54"/>
      <c r="H28" s="54"/>
      <c r="I28" s="54"/>
      <c r="J28" s="54"/>
      <c r="K28" s="54"/>
    </row>
    <row r="29" spans="1:38" s="3" customFormat="1" ht="21" customHeight="1">
      <c r="A29" s="131" t="s">
        <v>69</v>
      </c>
      <c r="B29" s="132"/>
      <c r="C29" s="132"/>
      <c r="F29" s="54"/>
      <c r="G29" s="54"/>
      <c r="H29" s="54"/>
      <c r="I29" s="54"/>
      <c r="J29" s="54"/>
    </row>
    <row r="30" spans="1:38" ht="14.65" customHeight="1">
      <c r="A30" s="3"/>
      <c r="B30" s="3"/>
      <c r="C30" s="3"/>
      <c r="D30" s="3"/>
      <c r="E30" s="3"/>
      <c r="F30" s="3"/>
      <c r="G30" s="3"/>
    </row>
    <row r="31" spans="1:38" s="135" customFormat="1" ht="14.65" customHeight="1">
      <c r="A31" s="133" t="s">
        <v>70</v>
      </c>
      <c r="B31" s="134" t="s">
        <v>71</v>
      </c>
      <c r="C31" s="134" t="s">
        <v>72</v>
      </c>
      <c r="D31" s="134" t="s">
        <v>73</v>
      </c>
    </row>
    <row r="32" spans="1:38" ht="143.44999999999999" customHeight="1">
      <c r="A32" s="136" t="s">
        <v>74</v>
      </c>
      <c r="B32" s="137"/>
      <c r="C32" s="137"/>
      <c r="D32" s="137"/>
    </row>
    <row r="33" spans="1:7">
      <c r="A33" s="137" t="s">
        <v>75</v>
      </c>
      <c r="B33" s="138">
        <v>240000</v>
      </c>
      <c r="C33" s="138">
        <f>3*40000</f>
        <v>120000</v>
      </c>
      <c r="D33" s="138">
        <v>130502</v>
      </c>
    </row>
    <row r="34" spans="1:7">
      <c r="A34" s="139"/>
      <c r="B34" s="139"/>
      <c r="C34" s="82"/>
      <c r="D34" s="139"/>
      <c r="F34" s="3"/>
    </row>
    <row r="35" spans="1:7" ht="14.45">
      <c r="A35" s="140"/>
      <c r="B35" s="141"/>
      <c r="C35" s="141"/>
      <c r="D35" s="141"/>
      <c r="E35" s="3"/>
      <c r="F35" s="3"/>
      <c r="G35" s="3"/>
    </row>
    <row r="36" spans="1:7">
      <c r="A36" s="133" t="s">
        <v>76</v>
      </c>
      <c r="B36" s="134" t="s">
        <v>77</v>
      </c>
      <c r="C36" s="134" t="s">
        <v>78</v>
      </c>
      <c r="D36" s="134" t="s">
        <v>79</v>
      </c>
      <c r="E36" s="3"/>
      <c r="F36" s="134" t="s">
        <v>80</v>
      </c>
    </row>
    <row r="37" spans="1:7" ht="127.15" customHeight="1">
      <c r="A37" s="136" t="s">
        <v>74</v>
      </c>
      <c r="B37" s="137" t="s">
        <v>81</v>
      </c>
      <c r="C37" s="137"/>
      <c r="D37" s="137"/>
      <c r="F37" s="137"/>
    </row>
    <row r="38" spans="1:7">
      <c r="A38" s="142" t="s">
        <v>75</v>
      </c>
      <c r="B38" s="143">
        <v>24692</v>
      </c>
      <c r="C38" s="143">
        <v>24692</v>
      </c>
      <c r="D38" s="144">
        <v>22500</v>
      </c>
      <c r="F38" s="138">
        <v>49997</v>
      </c>
    </row>
    <row r="39" spans="1:7">
      <c r="A39" s="139"/>
      <c r="B39" s="139"/>
      <c r="C39" s="139"/>
    </row>
    <row r="40" spans="1:7">
      <c r="A40" s="139"/>
      <c r="B40" s="139"/>
      <c r="C40" s="139"/>
    </row>
    <row r="41" spans="1:7">
      <c r="A41" s="133" t="s">
        <v>82</v>
      </c>
      <c r="B41" s="145" t="s">
        <v>83</v>
      </c>
      <c r="C41" s="145" t="s">
        <v>84</v>
      </c>
    </row>
    <row r="42" spans="1:7" ht="123.6" customHeight="1">
      <c r="A42" s="136" t="s">
        <v>74</v>
      </c>
      <c r="B42" s="137"/>
      <c r="C42" s="137"/>
    </row>
    <row r="43" spans="1:7">
      <c r="A43" s="137" t="s">
        <v>75</v>
      </c>
      <c r="B43" s="138">
        <v>9375</v>
      </c>
      <c r="C43" s="138">
        <v>8001</v>
      </c>
    </row>
  </sheetData>
  <mergeCells count="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O25"/>
  <sheetViews>
    <sheetView zoomScaleNormal="100" workbookViewId="0">
      <selection sqref="A1:J1"/>
    </sheetView>
  </sheetViews>
  <sheetFormatPr defaultColWidth="8.7109375" defaultRowHeight="12.75" customHeight="1"/>
  <cols>
    <col min="1" max="1" width="42.42578125" style="5" customWidth="1"/>
    <col min="2" max="3" width="27.28515625" style="5" customWidth="1"/>
    <col min="4" max="4" width="19" style="5" customWidth="1"/>
    <col min="5" max="5" width="14.7109375" style="5" customWidth="1"/>
    <col min="6" max="6" width="12.7109375" style="5" customWidth="1"/>
    <col min="7" max="7" width="12" style="5" bestFit="1" customWidth="1"/>
    <col min="8" max="9" width="11.28515625" style="5" customWidth="1"/>
    <col min="10" max="10" width="32.5703125" style="5" customWidth="1"/>
    <col min="11" max="11" width="10.140625" style="5" customWidth="1"/>
    <col min="12" max="12" width="12.7109375" style="5" customWidth="1"/>
    <col min="13" max="13" width="25.28515625" style="5" customWidth="1"/>
    <col min="14" max="14" width="22.28515625" style="5" bestFit="1" customWidth="1"/>
    <col min="15" max="15" width="18.28515625" style="5" customWidth="1"/>
    <col min="16" max="16" width="25.7109375" style="5" customWidth="1"/>
    <col min="17" max="17" width="22.7109375" style="5" customWidth="1"/>
    <col min="18" max="18" width="16.28515625" style="5" customWidth="1"/>
    <col min="19" max="19" width="6.7109375" style="5" bestFit="1" customWidth="1"/>
    <col min="20" max="24" width="17.28515625" style="5" customWidth="1"/>
    <col min="25" max="16384" width="8.7109375" style="5"/>
  </cols>
  <sheetData>
    <row r="1" spans="1:15" ht="25.9" customHeight="1" thickBot="1">
      <c r="A1" s="372" t="str">
        <f>"Proposed Layout - "&amp;Prototype!A2</f>
        <v>Proposed Layout - RetailStripMall</v>
      </c>
      <c r="B1" s="372"/>
      <c r="C1" s="372"/>
      <c r="D1" s="372"/>
      <c r="E1" s="372"/>
      <c r="F1" s="372"/>
      <c r="G1" s="372"/>
      <c r="H1" s="372"/>
      <c r="I1" s="372"/>
      <c r="J1" s="372"/>
      <c r="K1" s="368"/>
      <c r="L1" s="368"/>
      <c r="M1" s="368"/>
      <c r="N1" s="368"/>
      <c r="O1" s="368"/>
    </row>
    <row r="2" spans="1:15" ht="49.9" customHeight="1">
      <c r="A2" s="13" t="s">
        <v>85</v>
      </c>
      <c r="B2" s="13" t="s">
        <v>86</v>
      </c>
      <c r="C2" s="206" t="s">
        <v>87</v>
      </c>
      <c r="D2" s="24" t="s">
        <v>88</v>
      </c>
      <c r="E2" s="25" t="s">
        <v>89</v>
      </c>
      <c r="F2" s="367" t="s">
        <v>90</v>
      </c>
      <c r="G2" s="24" t="s">
        <v>91</v>
      </c>
      <c r="H2" s="24" t="s">
        <v>92</v>
      </c>
      <c r="I2" s="111" t="s">
        <v>93</v>
      </c>
      <c r="J2" s="24" t="s">
        <v>94</v>
      </c>
      <c r="K2" s="368"/>
      <c r="L2" s="378" t="s">
        <v>95</v>
      </c>
      <c r="M2" s="379"/>
      <c r="N2" s="379"/>
      <c r="O2" s="380"/>
    </row>
    <row r="3" spans="1:15" ht="17.649999999999999" customHeight="1">
      <c r="A3" s="160" t="s">
        <v>96</v>
      </c>
      <c r="B3" s="204" t="s">
        <v>97</v>
      </c>
      <c r="C3" s="203" t="s">
        <v>98</v>
      </c>
      <c r="D3" s="74" t="s">
        <v>99</v>
      </c>
      <c r="E3" s="77">
        <f>F3/$F$7</f>
        <v>0.40000688895012398</v>
      </c>
      <c r="F3" s="76">
        <v>3750.0386048999994</v>
      </c>
      <c r="G3" s="76">
        <v>63750.042284000003</v>
      </c>
      <c r="H3" s="74">
        <v>1</v>
      </c>
      <c r="I3" s="15">
        <f>J3*F3/1000*0.5</f>
        <v>31.875328141649995</v>
      </c>
      <c r="J3" s="16">
        <v>17</v>
      </c>
      <c r="K3" s="368"/>
      <c r="L3" s="381"/>
      <c r="M3" s="382"/>
      <c r="N3" s="382"/>
      <c r="O3" s="383"/>
    </row>
    <row r="4" spans="1:15" ht="17.649999999999999" customHeight="1">
      <c r="A4" s="160" t="s">
        <v>96</v>
      </c>
      <c r="B4" s="204" t="s">
        <v>100</v>
      </c>
      <c r="C4" s="203" t="s">
        <v>98</v>
      </c>
      <c r="D4" s="74" t="s">
        <v>99</v>
      </c>
      <c r="E4" s="77">
        <f>F4/$F$7</f>
        <v>0.19999770368329203</v>
      </c>
      <c r="F4" s="76">
        <v>1874.9654828999999</v>
      </c>
      <c r="G4" s="75">
        <v>31875.021142000001</v>
      </c>
      <c r="H4" s="15">
        <v>1</v>
      </c>
      <c r="I4" s="15">
        <f t="shared" ref="I4:I6" si="0">J4*F4/1000*0.5</f>
        <v>15.937206604649999</v>
      </c>
      <c r="J4" s="16">
        <v>17</v>
      </c>
      <c r="K4" s="368"/>
      <c r="L4" s="381"/>
      <c r="M4" s="382"/>
      <c r="N4" s="382"/>
      <c r="O4" s="383"/>
    </row>
    <row r="5" spans="1:15" ht="17.649999999999999" customHeight="1">
      <c r="A5" s="160" t="s">
        <v>96</v>
      </c>
      <c r="B5" s="204" t="s">
        <v>101</v>
      </c>
      <c r="C5" s="203" t="s">
        <v>98</v>
      </c>
      <c r="D5" s="74" t="s">
        <v>99</v>
      </c>
      <c r="E5" s="77">
        <f>F5/$F$7</f>
        <v>0.19999770368329203</v>
      </c>
      <c r="F5" s="76">
        <v>1874.9654828999999</v>
      </c>
      <c r="G5" s="15">
        <v>31875.021142000001</v>
      </c>
      <c r="H5" s="15">
        <v>1</v>
      </c>
      <c r="I5" s="15">
        <f t="shared" si="0"/>
        <v>15.937206604649999</v>
      </c>
      <c r="J5" s="16">
        <v>17</v>
      </c>
      <c r="K5" s="55"/>
      <c r="L5" s="381"/>
      <c r="M5" s="382"/>
      <c r="N5" s="382"/>
      <c r="O5" s="383"/>
    </row>
    <row r="6" spans="1:15" ht="17.649999999999999" customHeight="1">
      <c r="A6" s="160" t="s">
        <v>96</v>
      </c>
      <c r="B6" s="205" t="s">
        <v>102</v>
      </c>
      <c r="C6" s="203" t="s">
        <v>98</v>
      </c>
      <c r="D6" s="74" t="s">
        <v>99</v>
      </c>
      <c r="E6" s="77">
        <f>F6/$F$7</f>
        <v>0.19999770368329203</v>
      </c>
      <c r="F6" s="67">
        <v>1874.9654828999999</v>
      </c>
      <c r="G6" s="15">
        <v>31875.021142000001</v>
      </c>
      <c r="H6" s="15">
        <v>1</v>
      </c>
      <c r="I6" s="15">
        <f t="shared" si="0"/>
        <v>15.937206604649999</v>
      </c>
      <c r="J6" s="16">
        <v>17</v>
      </c>
      <c r="K6" s="368"/>
      <c r="L6" s="381"/>
      <c r="M6" s="382"/>
      <c r="N6" s="382"/>
      <c r="O6" s="383"/>
    </row>
    <row r="7" spans="1:15" ht="25.9" customHeight="1">
      <c r="A7" s="90" t="s">
        <v>103</v>
      </c>
      <c r="B7" s="90" t="s">
        <v>104</v>
      </c>
      <c r="C7" s="207"/>
      <c r="D7" s="18" t="s">
        <v>105</v>
      </c>
      <c r="E7" s="78">
        <f>SUM(E3:E6)</f>
        <v>1</v>
      </c>
      <c r="F7" s="17">
        <f>SUM(F3:F6)</f>
        <v>9374.9350535999984</v>
      </c>
      <c r="G7" s="17">
        <f>SUM(G3:G6)</f>
        <v>159375.10571</v>
      </c>
      <c r="H7" s="15"/>
      <c r="I7" s="17">
        <f>SUM(I3:I6)</f>
        <v>79.68694795559999</v>
      </c>
      <c r="J7" s="16"/>
      <c r="K7" s="368"/>
      <c r="L7" s="381"/>
      <c r="M7" s="382"/>
      <c r="N7" s="382"/>
      <c r="O7" s="383"/>
    </row>
    <row r="8" spans="1:15" ht="13.15">
      <c r="A8" s="368"/>
      <c r="B8" s="368"/>
      <c r="C8" s="368"/>
      <c r="D8" s="368"/>
      <c r="E8" s="368"/>
      <c r="F8" s="352"/>
      <c r="G8" s="352"/>
      <c r="H8" s="352"/>
      <c r="I8" s="352"/>
      <c r="J8" s="352"/>
      <c r="K8" s="368"/>
      <c r="L8" s="381"/>
      <c r="M8" s="382"/>
      <c r="N8" s="382"/>
      <c r="O8" s="383"/>
    </row>
    <row r="9" spans="1:15" ht="13.15">
      <c r="A9" s="354" t="s">
        <v>106</v>
      </c>
      <c r="B9" s="355"/>
      <c r="C9" s="355"/>
      <c r="D9" s="355"/>
      <c r="E9" s="355"/>
      <c r="F9" s="161"/>
      <c r="G9" s="368"/>
      <c r="H9" s="352"/>
      <c r="I9" s="352"/>
      <c r="J9" s="352"/>
      <c r="K9" s="368"/>
      <c r="L9" s="381"/>
      <c r="M9" s="382"/>
      <c r="N9" s="382"/>
      <c r="O9" s="383"/>
    </row>
    <row r="10" spans="1:15" ht="14.65" customHeight="1">
      <c r="A10" s="368"/>
      <c r="B10" s="162"/>
      <c r="C10" s="162"/>
      <c r="D10" s="162"/>
      <c r="E10" s="368"/>
      <c r="F10" s="352"/>
      <c r="G10" s="352"/>
      <c r="H10" s="352"/>
      <c r="I10" s="352"/>
      <c r="J10" s="352"/>
      <c r="K10" s="368"/>
      <c r="L10" s="381"/>
      <c r="M10" s="382"/>
      <c r="N10" s="382"/>
      <c r="O10" s="383"/>
    </row>
    <row r="11" spans="1:15" ht="13.15">
      <c r="A11" s="368"/>
      <c r="B11" s="163"/>
      <c r="C11" s="163"/>
      <c r="D11" s="163"/>
      <c r="E11" s="368"/>
      <c r="F11" s="352"/>
      <c r="G11" s="352"/>
      <c r="H11" s="352"/>
      <c r="I11" s="352"/>
      <c r="J11" s="352"/>
      <c r="K11" s="368"/>
      <c r="L11" s="381"/>
      <c r="M11" s="382"/>
      <c r="N11" s="382"/>
      <c r="O11" s="383"/>
    </row>
    <row r="12" spans="1:15" ht="13.15">
      <c r="A12" s="368"/>
      <c r="B12" s="352"/>
      <c r="C12" s="352"/>
      <c r="D12" s="352"/>
      <c r="E12" s="368"/>
      <c r="F12" s="352"/>
      <c r="G12" s="352"/>
      <c r="H12" s="352"/>
      <c r="I12" s="352"/>
      <c r="J12" s="352"/>
      <c r="K12" s="368"/>
      <c r="L12" s="381"/>
      <c r="M12" s="382"/>
      <c r="N12" s="382"/>
      <c r="O12" s="383"/>
    </row>
    <row r="13" spans="1:15" ht="13.15">
      <c r="A13" s="368"/>
      <c r="B13" s="352"/>
      <c r="C13" s="352"/>
      <c r="D13" s="352"/>
      <c r="E13" s="368"/>
      <c r="F13" s="352"/>
      <c r="G13" s="352"/>
      <c r="H13" s="352"/>
      <c r="I13" s="352"/>
      <c r="J13" s="352"/>
      <c r="K13" s="368"/>
      <c r="L13" s="381"/>
      <c r="M13" s="382"/>
      <c r="N13" s="382"/>
      <c r="O13" s="383"/>
    </row>
    <row r="14" spans="1:15" ht="13.15">
      <c r="A14" s="368"/>
      <c r="B14" s="368"/>
      <c r="C14" s="368"/>
      <c r="D14" s="368"/>
      <c r="E14" s="368"/>
      <c r="F14" s="352"/>
      <c r="G14" s="352"/>
      <c r="H14" s="352"/>
      <c r="I14" s="352"/>
      <c r="J14" s="352"/>
      <c r="K14" s="368"/>
      <c r="L14" s="381"/>
      <c r="M14" s="382"/>
      <c r="N14" s="382"/>
      <c r="O14" s="383"/>
    </row>
    <row r="15" spans="1:15" ht="13.15">
      <c r="A15" s="368"/>
      <c r="B15" s="368"/>
      <c r="C15" s="368"/>
      <c r="D15" s="368"/>
      <c r="E15" s="368"/>
      <c r="F15" s="352"/>
      <c r="G15" s="352"/>
      <c r="H15" s="352"/>
      <c r="I15" s="352"/>
      <c r="J15" s="352"/>
      <c r="K15" s="368"/>
      <c r="L15" s="381"/>
      <c r="M15" s="382"/>
      <c r="N15" s="382"/>
      <c r="O15" s="383"/>
    </row>
    <row r="16" spans="1:15" ht="13.15">
      <c r="A16" s="368"/>
      <c r="B16" s="368"/>
      <c r="C16" s="368"/>
      <c r="D16" s="368"/>
      <c r="E16" s="368"/>
      <c r="F16" s="352"/>
      <c r="G16" s="352"/>
      <c r="H16" s="352"/>
      <c r="I16" s="352"/>
      <c r="J16" s="352"/>
      <c r="K16" s="368"/>
      <c r="L16" s="381"/>
      <c r="M16" s="382"/>
      <c r="N16" s="382"/>
      <c r="O16" s="383"/>
    </row>
    <row r="17" spans="1:15" ht="13.15">
      <c r="A17" s="368"/>
      <c r="B17" s="368"/>
      <c r="C17" s="368"/>
      <c r="D17" s="368"/>
      <c r="E17" s="368"/>
      <c r="F17" s="352"/>
      <c r="G17" s="352"/>
      <c r="H17" s="352"/>
      <c r="I17" s="352"/>
      <c r="J17" s="352"/>
      <c r="K17" s="368"/>
      <c r="L17" s="384"/>
      <c r="M17" s="385"/>
      <c r="N17" s="385"/>
      <c r="O17" s="386"/>
    </row>
    <row r="18" spans="1:15" ht="13.15">
      <c r="A18" s="368"/>
      <c r="B18" s="368"/>
      <c r="C18" s="368"/>
      <c r="D18" s="368"/>
      <c r="E18" s="368"/>
      <c r="F18" s="352"/>
      <c r="G18" s="352"/>
      <c r="H18" s="352"/>
      <c r="I18" s="352"/>
      <c r="J18" s="352"/>
      <c r="K18" s="368"/>
      <c r="L18" s="368"/>
      <c r="M18" s="368"/>
      <c r="N18" s="368"/>
      <c r="O18" s="368"/>
    </row>
    <row r="19" spans="1:15" s="56" customFormat="1" ht="13.15" hidden="1">
      <c r="B19" s="56" t="s">
        <v>39</v>
      </c>
      <c r="F19" s="164"/>
    </row>
    <row r="20" spans="1:15" ht="13.15" hidden="1">
      <c r="A20" s="368"/>
      <c r="B20" s="368"/>
      <c r="C20" s="368"/>
      <c r="D20" s="368"/>
      <c r="E20" s="368"/>
      <c r="F20" s="368"/>
      <c r="G20" s="368"/>
      <c r="H20" s="368"/>
      <c r="I20" s="368"/>
      <c r="J20" s="368"/>
      <c r="K20" s="368"/>
      <c r="L20" s="368"/>
      <c r="M20" s="368"/>
      <c r="N20" s="368"/>
      <c r="O20" s="368"/>
    </row>
    <row r="21" spans="1:15" ht="13.15" hidden="1">
      <c r="A21" s="368" t="s">
        <v>107</v>
      </c>
      <c r="B21" s="368"/>
      <c r="C21" s="368"/>
      <c r="D21" s="368"/>
      <c r="E21" s="368"/>
      <c r="F21" s="368"/>
      <c r="G21" s="368"/>
      <c r="H21" s="368"/>
      <c r="I21" s="368"/>
      <c r="J21" s="368"/>
      <c r="K21" s="368"/>
      <c r="L21" s="368"/>
      <c r="M21" s="368"/>
      <c r="N21" s="368"/>
      <c r="O21" s="368"/>
    </row>
    <row r="22" spans="1:15" ht="13.15" hidden="1">
      <c r="A22" s="387" t="s">
        <v>108</v>
      </c>
      <c r="B22" s="387"/>
      <c r="C22" s="387"/>
      <c r="D22" s="387"/>
      <c r="E22" s="368"/>
      <c r="F22" s="368"/>
      <c r="G22" s="368"/>
      <c r="H22" s="368"/>
      <c r="I22" s="368"/>
      <c r="J22" s="368"/>
      <c r="K22" s="368"/>
      <c r="L22" s="368"/>
      <c r="M22" s="368"/>
      <c r="N22" s="368"/>
      <c r="O22" s="368"/>
    </row>
    <row r="23" spans="1:15" ht="13.15" hidden="1">
      <c r="A23" s="360" t="s">
        <v>109</v>
      </c>
      <c r="B23" s="360" t="s">
        <v>110</v>
      </c>
      <c r="C23" s="360"/>
      <c r="D23" s="360" t="s">
        <v>111</v>
      </c>
      <c r="E23" s="368"/>
      <c r="F23" s="368"/>
      <c r="G23" s="368"/>
      <c r="H23" s="368"/>
      <c r="I23" s="368"/>
      <c r="J23" s="368"/>
      <c r="K23" s="368"/>
      <c r="L23" s="368"/>
      <c r="M23" s="368"/>
      <c r="N23" s="368"/>
      <c r="O23" s="368"/>
    </row>
    <row r="24" spans="1:15" ht="13.15" hidden="1">
      <c r="A24" s="165">
        <v>0.82620000000000005</v>
      </c>
      <c r="B24" s="165">
        <v>0.17369999999999999</v>
      </c>
      <c r="C24" s="165"/>
      <c r="D24" s="42">
        <v>0.83440000000000003</v>
      </c>
      <c r="E24" s="368"/>
      <c r="F24" s="368"/>
      <c r="G24" s="368"/>
      <c r="H24" s="368"/>
      <c r="I24" s="368"/>
      <c r="J24" s="368"/>
      <c r="K24" s="368"/>
      <c r="L24" s="368"/>
      <c r="M24" s="368"/>
      <c r="N24" s="368"/>
      <c r="O24" s="368"/>
    </row>
    <row r="25" spans="1:15" ht="13.15" hidden="1">
      <c r="A25" s="368"/>
      <c r="B25" s="368" t="s">
        <v>112</v>
      </c>
      <c r="C25" s="368"/>
      <c r="D25" s="368"/>
      <c r="E25" s="368"/>
      <c r="F25" s="368"/>
      <c r="G25" s="368"/>
      <c r="H25" s="368"/>
      <c r="I25" s="368"/>
      <c r="J25" s="368"/>
      <c r="K25" s="368"/>
      <c r="L25" s="368"/>
      <c r="M25" s="368"/>
      <c r="N25" s="368"/>
      <c r="O25" s="368"/>
    </row>
  </sheetData>
  <mergeCells count="3">
    <mergeCell ref="L2:O17"/>
    <mergeCell ref="A22:D22"/>
    <mergeCell ref="A1:J1"/>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DD94D1-76BB-4431-AD34-9FFC4CDE8175}">
          <x14:formula1>
            <xm:f>Data!$A$2:$A$200</xm:f>
          </x14:formula1>
          <xm:sqref>A3:A6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6453-F78C-4D06-89C8-88B10A10EE23}">
  <dimension ref="A1:AX45"/>
  <sheetViews>
    <sheetView zoomScale="80" zoomScaleNormal="80" workbookViewId="0">
      <selection sqref="A1:X1"/>
    </sheetView>
  </sheetViews>
  <sheetFormatPr defaultColWidth="9.28515625" defaultRowHeight="13.9"/>
  <cols>
    <col min="1" max="1" width="15.42578125" style="1" customWidth="1"/>
    <col min="2" max="2" width="19.7109375" style="80" customWidth="1"/>
    <col min="3" max="3" width="24.7109375" style="1" customWidth="1"/>
    <col min="4" max="4" width="42.5703125" style="1" customWidth="1"/>
    <col min="5" max="5" width="13.28515625" style="1" customWidth="1"/>
    <col min="6" max="6" width="10.7109375" style="1" customWidth="1"/>
    <col min="7" max="7" width="20.5703125" style="85" customWidth="1"/>
    <col min="8" max="8" width="39.28515625" style="1" customWidth="1"/>
    <col min="9" max="9" width="6.85546875" style="1" customWidth="1"/>
    <col min="10" max="12" width="7" style="1" customWidth="1"/>
    <col min="13" max="13" width="7.85546875" style="1" customWidth="1"/>
    <col min="14" max="14" width="8.7109375" style="1" customWidth="1"/>
    <col min="15" max="15" width="7" style="1" customWidth="1"/>
    <col min="16" max="16" width="7.140625" style="1" customWidth="1"/>
    <col min="17" max="17" width="7.5703125" style="1" customWidth="1"/>
    <col min="18" max="21" width="7" style="1" customWidth="1"/>
    <col min="22" max="22" width="7.7109375" style="1" customWidth="1"/>
    <col min="23" max="24" width="7" style="1" customWidth="1"/>
    <col min="25" max="26" width="9.28515625" style="1"/>
    <col min="27" max="30" width="7.7109375" style="1" customWidth="1"/>
    <col min="31" max="31" width="9.7109375" style="1" customWidth="1"/>
    <col min="32" max="32" width="7.5703125" style="1" customWidth="1"/>
    <col min="33" max="33" width="11.42578125" style="1" customWidth="1"/>
    <col min="34" max="42" width="7.7109375" style="1" customWidth="1"/>
    <col min="43" max="46" width="10.42578125" style="1" customWidth="1"/>
    <col min="47" max="47" width="9.85546875" style="1" customWidth="1"/>
    <col min="48" max="48" width="10.42578125" style="1" customWidth="1"/>
    <col min="49" max="49" width="21.7109375" style="1" customWidth="1"/>
    <col min="50" max="50" width="10.42578125" style="1" customWidth="1"/>
    <col min="51" max="53" width="7.42578125" style="1" customWidth="1"/>
    <col min="54" max="54" width="7.7109375" style="1" customWidth="1"/>
    <col min="55" max="55" width="7.42578125" style="1" customWidth="1"/>
    <col min="56" max="56" width="13.7109375" style="1" customWidth="1"/>
    <col min="57" max="60" width="7.42578125" style="1" customWidth="1"/>
    <col min="61" max="62" width="9.7109375" style="1" bestFit="1" customWidth="1"/>
    <col min="63" max="16384" width="9.28515625" style="1"/>
  </cols>
  <sheetData>
    <row r="1" spans="1:25" ht="31.9" customHeight="1">
      <c r="A1" s="405" t="str">
        <f>"Envelope - "&amp;Prototype!A2</f>
        <v>Envelope - RetailStripMall</v>
      </c>
      <c r="B1" s="405"/>
      <c r="C1" s="405"/>
      <c r="D1" s="405"/>
      <c r="E1" s="405"/>
      <c r="F1" s="405"/>
      <c r="G1" s="405"/>
      <c r="H1" s="405"/>
      <c r="I1" s="405"/>
      <c r="J1" s="405"/>
      <c r="K1" s="405"/>
      <c r="L1" s="405"/>
      <c r="M1" s="405"/>
      <c r="N1" s="405"/>
      <c r="O1" s="405"/>
      <c r="P1" s="405"/>
      <c r="Q1" s="405"/>
      <c r="R1" s="405"/>
      <c r="S1" s="405"/>
      <c r="T1" s="405"/>
      <c r="U1" s="405"/>
      <c r="V1" s="405"/>
      <c r="W1" s="405"/>
      <c r="X1" s="405"/>
    </row>
    <row r="2" spans="1:25" ht="34.15" customHeight="1">
      <c r="A2" s="35" t="s">
        <v>113</v>
      </c>
      <c r="B2" s="35" t="s">
        <v>10</v>
      </c>
      <c r="C2" s="35" t="s">
        <v>114</v>
      </c>
      <c r="D2" s="35" t="s">
        <v>115</v>
      </c>
      <c r="E2" s="69" t="s">
        <v>116</v>
      </c>
      <c r="F2" s="35" t="s">
        <v>117</v>
      </c>
      <c r="G2" s="69" t="s">
        <v>118</v>
      </c>
      <c r="H2" s="35" t="s">
        <v>119</v>
      </c>
      <c r="I2" s="35" t="s">
        <v>120</v>
      </c>
      <c r="J2" s="35" t="s">
        <v>121</v>
      </c>
      <c r="K2" s="35" t="s">
        <v>122</v>
      </c>
      <c r="L2" s="35" t="s">
        <v>123</v>
      </c>
      <c r="M2" s="35" t="s">
        <v>124</v>
      </c>
      <c r="N2" s="35" t="s">
        <v>125</v>
      </c>
      <c r="O2" s="35" t="s">
        <v>126</v>
      </c>
      <c r="P2" s="35" t="s">
        <v>127</v>
      </c>
      <c r="Q2" s="35" t="s">
        <v>128</v>
      </c>
      <c r="R2" s="35" t="s">
        <v>129</v>
      </c>
      <c r="S2" s="35" t="s">
        <v>130</v>
      </c>
      <c r="T2" s="35" t="s">
        <v>131</v>
      </c>
      <c r="U2" s="35" t="s">
        <v>132</v>
      </c>
      <c r="V2" s="35" t="s">
        <v>133</v>
      </c>
      <c r="W2" s="35" t="s">
        <v>134</v>
      </c>
      <c r="X2" s="35" t="s">
        <v>135</v>
      </c>
    </row>
    <row r="3" spans="1:25" ht="13.9" customHeight="1">
      <c r="A3" s="399" t="s">
        <v>136</v>
      </c>
      <c r="B3" s="399" t="s">
        <v>137</v>
      </c>
      <c r="C3" s="403" t="s">
        <v>138</v>
      </c>
      <c r="D3" s="403" t="s">
        <v>139</v>
      </c>
      <c r="E3" s="399" t="s">
        <v>140</v>
      </c>
      <c r="F3" s="356" t="s">
        <v>141</v>
      </c>
      <c r="G3" s="356" t="s">
        <v>65</v>
      </c>
      <c r="H3" s="357" t="s">
        <v>142</v>
      </c>
      <c r="I3" s="356">
        <v>0.35199999999999998</v>
      </c>
      <c r="J3" s="356">
        <v>0.35199999999999998</v>
      </c>
      <c r="K3" s="356">
        <v>0.35199999999999998</v>
      </c>
      <c r="L3" s="356">
        <v>0.35199999999999998</v>
      </c>
      <c r="M3" s="356">
        <v>0.35199999999999998</v>
      </c>
      <c r="N3" s="356">
        <v>0.35199999999999998</v>
      </c>
      <c r="O3" s="356">
        <v>0.35199999999999998</v>
      </c>
      <c r="P3" s="356">
        <v>0.35199999999999998</v>
      </c>
      <c r="Q3" s="356">
        <v>0.35199999999999998</v>
      </c>
      <c r="R3" s="356">
        <v>0.35199999999999998</v>
      </c>
      <c r="S3" s="356">
        <v>0.35199999999999998</v>
      </c>
      <c r="T3" s="356">
        <v>0.35199999999999998</v>
      </c>
      <c r="U3" s="356">
        <v>0.35199999999999998</v>
      </c>
      <c r="V3" s="356">
        <v>0.35199999999999998</v>
      </c>
      <c r="W3" s="356">
        <v>0.35199999999999998</v>
      </c>
      <c r="X3" s="356">
        <v>0.35199999999999998</v>
      </c>
    </row>
    <row r="4" spans="1:25" ht="27" customHeight="1">
      <c r="A4" s="399"/>
      <c r="B4" s="399"/>
      <c r="C4" s="403"/>
      <c r="D4" s="403"/>
      <c r="E4" s="399"/>
      <c r="F4" s="356" t="s">
        <v>143</v>
      </c>
      <c r="G4" s="356">
        <v>1986</v>
      </c>
      <c r="H4" s="357" t="s">
        <v>144</v>
      </c>
      <c r="I4" s="110">
        <v>0.15082956259426847</v>
      </c>
      <c r="J4" s="110">
        <v>0.15748031496062992</v>
      </c>
      <c r="K4" s="110">
        <v>0.15748031496062992</v>
      </c>
      <c r="L4" s="110">
        <v>0.14367816091954022</v>
      </c>
      <c r="M4" s="110">
        <v>0.14367816091954022</v>
      </c>
      <c r="N4" s="110">
        <v>0.21645021645021645</v>
      </c>
      <c r="O4" s="110">
        <v>0.21645021645021645</v>
      </c>
      <c r="P4" s="110">
        <v>0.21645021645021645</v>
      </c>
      <c r="Q4" s="110">
        <v>0.21645021645021645</v>
      </c>
      <c r="R4" s="110">
        <v>0.21645021645021645</v>
      </c>
      <c r="S4" s="110">
        <v>0.18621973929236499</v>
      </c>
      <c r="T4" s="110">
        <v>0.18621973929236499</v>
      </c>
      <c r="U4" s="110">
        <v>0.18621973929236499</v>
      </c>
      <c r="V4" s="110">
        <v>0.15873015873015872</v>
      </c>
      <c r="W4" s="110">
        <v>0.15873015873015872</v>
      </c>
      <c r="X4" s="110">
        <v>0.15082956259426847</v>
      </c>
      <c r="Y4" s="104"/>
    </row>
    <row r="5" spans="1:25" ht="13.9" customHeight="1">
      <c r="A5" s="399"/>
      <c r="B5" s="399"/>
      <c r="C5" s="403"/>
      <c r="D5" s="403"/>
      <c r="E5" s="399"/>
      <c r="F5" s="356" t="s">
        <v>145</v>
      </c>
      <c r="G5" s="356">
        <v>2001</v>
      </c>
      <c r="H5" s="356" t="s">
        <v>146</v>
      </c>
      <c r="I5" s="107">
        <v>0.182</v>
      </c>
      <c r="J5" s="107">
        <v>0.182</v>
      </c>
      <c r="K5" s="107">
        <v>0.189</v>
      </c>
      <c r="L5" s="107">
        <v>0.189</v>
      </c>
      <c r="M5" s="107">
        <v>0.189</v>
      </c>
      <c r="N5" s="107">
        <v>0.189</v>
      </c>
      <c r="O5" s="107">
        <v>0.189</v>
      </c>
      <c r="P5" s="107">
        <v>0.189</v>
      </c>
      <c r="Q5" s="107">
        <v>0.189</v>
      </c>
      <c r="R5" s="107">
        <v>0.182</v>
      </c>
      <c r="S5" s="107">
        <v>0.182</v>
      </c>
      <c r="T5" s="107">
        <v>0.182</v>
      </c>
      <c r="U5" s="107">
        <v>0.182</v>
      </c>
      <c r="V5" s="107">
        <v>0.182</v>
      </c>
      <c r="W5" s="107">
        <v>0.182</v>
      </c>
      <c r="X5" s="107">
        <v>0.182</v>
      </c>
      <c r="Y5" s="81"/>
    </row>
    <row r="6" spans="1:25" ht="13.9" customHeight="1">
      <c r="A6" s="399"/>
      <c r="B6" s="399"/>
      <c r="C6" s="403"/>
      <c r="D6" s="403"/>
      <c r="E6" s="399"/>
      <c r="F6" s="356" t="s">
        <v>147</v>
      </c>
      <c r="G6" s="356">
        <v>2013</v>
      </c>
      <c r="H6" s="356" t="s">
        <v>148</v>
      </c>
      <c r="I6" s="108">
        <v>9.8000000000000004E-2</v>
      </c>
      <c r="J6" s="108">
        <v>6.2E-2</v>
      </c>
      <c r="K6" s="108">
        <v>8.2000000000000003E-2</v>
      </c>
      <c r="L6" s="108">
        <v>6.2E-2</v>
      </c>
      <c r="M6" s="108">
        <v>6.2E-2</v>
      </c>
      <c r="N6" s="108">
        <v>9.8000000000000004E-2</v>
      </c>
      <c r="O6" s="108">
        <v>9.8000000000000004E-2</v>
      </c>
      <c r="P6" s="108">
        <v>6.2E-2</v>
      </c>
      <c r="Q6" s="108">
        <v>6.2E-2</v>
      </c>
      <c r="R6" s="108">
        <v>6.2E-2</v>
      </c>
      <c r="S6" s="108">
        <v>6.2E-2</v>
      </c>
      <c r="T6" s="108">
        <v>6.2E-2</v>
      </c>
      <c r="U6" s="108">
        <v>6.2E-2</v>
      </c>
      <c r="V6" s="108">
        <v>6.2E-2</v>
      </c>
      <c r="W6" s="108">
        <v>6.2E-2</v>
      </c>
      <c r="X6" s="108">
        <v>6.2E-2</v>
      </c>
      <c r="Y6" s="81"/>
    </row>
    <row r="7" spans="1:25" ht="13.9" customHeight="1">
      <c r="A7" s="399"/>
      <c r="B7" s="399"/>
      <c r="C7" s="403"/>
      <c r="D7" s="403"/>
      <c r="E7" s="399"/>
      <c r="F7" s="356" t="s">
        <v>149</v>
      </c>
      <c r="G7" s="79">
        <v>2025</v>
      </c>
      <c r="H7" s="79" t="s">
        <v>148</v>
      </c>
      <c r="I7" s="109">
        <v>0.06</v>
      </c>
      <c r="J7" s="109">
        <v>5.5E-2</v>
      </c>
      <c r="K7" s="109">
        <v>7.0999999999999994E-2</v>
      </c>
      <c r="L7" s="109">
        <v>5.5E-2</v>
      </c>
      <c r="M7" s="109">
        <v>5.5E-2</v>
      </c>
      <c r="N7" s="109">
        <v>0.06</v>
      </c>
      <c r="O7" s="109">
        <v>0.06</v>
      </c>
      <c r="P7" s="109">
        <v>5.5E-2</v>
      </c>
      <c r="Q7" s="109">
        <v>5.5E-2</v>
      </c>
      <c r="R7" s="109">
        <v>5.5E-2</v>
      </c>
      <c r="S7" s="109">
        <v>5.5E-2</v>
      </c>
      <c r="T7" s="109">
        <v>5.5E-2</v>
      </c>
      <c r="U7" s="109">
        <v>5.5E-2</v>
      </c>
      <c r="V7" s="109">
        <v>5.5E-2</v>
      </c>
      <c r="W7" s="109">
        <v>5.5E-2</v>
      </c>
      <c r="X7" s="109">
        <v>5.5E-2</v>
      </c>
      <c r="Y7" s="81"/>
    </row>
    <row r="8" spans="1:25" ht="13.9" customHeight="1">
      <c r="A8" s="399" t="s">
        <v>150</v>
      </c>
      <c r="B8" s="399" t="s">
        <v>137</v>
      </c>
      <c r="C8" s="403" t="s">
        <v>151</v>
      </c>
      <c r="D8" s="406" t="s">
        <v>152</v>
      </c>
      <c r="E8" s="399" t="s">
        <v>140</v>
      </c>
      <c r="F8" s="356" t="s">
        <v>141</v>
      </c>
      <c r="G8" s="356" t="s">
        <v>65</v>
      </c>
      <c r="H8" s="400" t="s">
        <v>153</v>
      </c>
      <c r="I8" s="105">
        <v>5.7000000000000002E-2</v>
      </c>
      <c r="J8" s="105">
        <v>5.7000000000000002E-2</v>
      </c>
      <c r="K8" s="105">
        <v>5.7000000000000002E-2</v>
      </c>
      <c r="L8" s="105">
        <v>5.7000000000000002E-2</v>
      </c>
      <c r="M8" s="105">
        <v>5.7000000000000002E-2</v>
      </c>
      <c r="N8" s="105">
        <v>7.8E-2</v>
      </c>
      <c r="O8" s="105">
        <v>7.8E-2</v>
      </c>
      <c r="P8" s="105">
        <v>7.8E-2</v>
      </c>
      <c r="Q8" s="105">
        <v>7.8E-2</v>
      </c>
      <c r="R8" s="105">
        <v>7.8E-2</v>
      </c>
      <c r="S8" s="105">
        <v>5.7000000000000002E-2</v>
      </c>
      <c r="T8" s="105">
        <v>5.7000000000000002E-2</v>
      </c>
      <c r="U8" s="105">
        <v>5.7000000000000002E-2</v>
      </c>
      <c r="V8" s="105">
        <v>5.7000000000000002E-2</v>
      </c>
      <c r="W8" s="105">
        <v>5.7000000000000002E-2</v>
      </c>
      <c r="X8" s="105">
        <v>5.7000000000000002E-2</v>
      </c>
      <c r="Y8" s="81"/>
    </row>
    <row r="9" spans="1:25" ht="13.9" customHeight="1">
      <c r="A9" s="399"/>
      <c r="B9" s="399"/>
      <c r="C9" s="403"/>
      <c r="D9" s="406"/>
      <c r="E9" s="399"/>
      <c r="F9" s="356" t="s">
        <v>143</v>
      </c>
      <c r="G9" s="356">
        <v>1992</v>
      </c>
      <c r="H9" s="402"/>
      <c r="I9" s="106">
        <v>5.7000000000000002E-2</v>
      </c>
      <c r="J9" s="106">
        <v>5.7000000000000002E-2</v>
      </c>
      <c r="K9" s="106">
        <v>5.7000000000000002E-2</v>
      </c>
      <c r="L9" s="106">
        <v>5.7000000000000002E-2</v>
      </c>
      <c r="M9" s="106">
        <v>5.7000000000000002E-2</v>
      </c>
      <c r="N9" s="106">
        <v>7.8E-2</v>
      </c>
      <c r="O9" s="106">
        <v>7.8E-2</v>
      </c>
      <c r="P9" s="106">
        <v>7.8E-2</v>
      </c>
      <c r="Q9" s="106">
        <v>7.8E-2</v>
      </c>
      <c r="R9" s="106">
        <v>7.8E-2</v>
      </c>
      <c r="S9" s="106">
        <v>5.7000000000000002E-2</v>
      </c>
      <c r="T9" s="106">
        <v>5.7000000000000002E-2</v>
      </c>
      <c r="U9" s="106">
        <v>5.7000000000000002E-2</v>
      </c>
      <c r="V9" s="106">
        <v>5.7000000000000002E-2</v>
      </c>
      <c r="W9" s="106">
        <v>5.7000000000000002E-2</v>
      </c>
      <c r="X9" s="106">
        <v>5.7000000000000002E-2</v>
      </c>
      <c r="Y9" s="81"/>
    </row>
    <row r="10" spans="1:25" ht="13.9" customHeight="1">
      <c r="A10" s="399"/>
      <c r="B10" s="399"/>
      <c r="C10" s="403"/>
      <c r="D10" s="406"/>
      <c r="E10" s="399"/>
      <c r="F10" s="356" t="s">
        <v>145</v>
      </c>
      <c r="G10" s="356">
        <v>2001</v>
      </c>
      <c r="H10" s="356" t="s">
        <v>154</v>
      </c>
      <c r="I10" s="107">
        <v>5.7000000000000002E-2</v>
      </c>
      <c r="J10" s="107">
        <v>5.7000000000000002E-2</v>
      </c>
      <c r="K10" s="107">
        <v>5.7000000000000002E-2</v>
      </c>
      <c r="L10" s="107">
        <v>5.7000000000000002E-2</v>
      </c>
      <c r="M10" s="107">
        <v>5.7000000000000002E-2</v>
      </c>
      <c r="N10" s="107">
        <v>7.8E-2</v>
      </c>
      <c r="O10" s="107">
        <v>7.8E-2</v>
      </c>
      <c r="P10" s="107">
        <v>7.8E-2</v>
      </c>
      <c r="Q10" s="107">
        <v>7.8E-2</v>
      </c>
      <c r="R10" s="107">
        <v>5.7000000000000002E-2</v>
      </c>
      <c r="S10" s="107">
        <v>5.7000000000000002E-2</v>
      </c>
      <c r="T10" s="107">
        <v>5.7000000000000002E-2</v>
      </c>
      <c r="U10" s="107">
        <v>5.7000000000000002E-2</v>
      </c>
      <c r="V10" s="107">
        <v>5.7000000000000002E-2</v>
      </c>
      <c r="W10" s="107">
        <v>5.7000000000000002E-2</v>
      </c>
      <c r="X10" s="107">
        <v>5.7000000000000002E-2</v>
      </c>
      <c r="Y10" s="81"/>
    </row>
    <row r="11" spans="1:25" ht="13.9" customHeight="1">
      <c r="A11" s="399"/>
      <c r="B11" s="399"/>
      <c r="C11" s="403"/>
      <c r="D11" s="406"/>
      <c r="E11" s="399"/>
      <c r="F11" s="356" t="s">
        <v>147</v>
      </c>
      <c r="G11" s="356">
        <v>2013</v>
      </c>
      <c r="H11" s="356" t="s">
        <v>155</v>
      </c>
      <c r="I11" s="108">
        <v>4.9000000000000002E-2</v>
      </c>
      <c r="J11" s="108">
        <v>3.9E-2</v>
      </c>
      <c r="K11" s="108">
        <v>3.9E-2</v>
      </c>
      <c r="L11" s="108">
        <v>3.9E-2</v>
      </c>
      <c r="M11" s="108">
        <v>4.9000000000000002E-2</v>
      </c>
      <c r="N11" s="108">
        <v>7.4999999999999997E-2</v>
      </c>
      <c r="O11" s="108">
        <v>6.7000000000000004E-2</v>
      </c>
      <c r="P11" s="108">
        <v>6.7000000000000004E-2</v>
      </c>
      <c r="Q11" s="108">
        <v>3.9E-2</v>
      </c>
      <c r="R11" s="108">
        <v>3.9E-2</v>
      </c>
      <c r="S11" s="108">
        <v>3.9E-2</v>
      </c>
      <c r="T11" s="108">
        <v>3.9E-2</v>
      </c>
      <c r="U11" s="108">
        <v>3.9E-2</v>
      </c>
      <c r="V11" s="108">
        <v>3.9E-2</v>
      </c>
      <c r="W11" s="108">
        <v>3.9E-2</v>
      </c>
      <c r="X11" s="108">
        <v>3.9E-2</v>
      </c>
      <c r="Y11" s="81"/>
    </row>
    <row r="12" spans="1:25" ht="13.9" customHeight="1">
      <c r="A12" s="399"/>
      <c r="B12" s="399"/>
      <c r="C12" s="403"/>
      <c r="D12" s="406"/>
      <c r="E12" s="399"/>
      <c r="F12" s="356" t="s">
        <v>149</v>
      </c>
      <c r="G12" s="79">
        <v>2025</v>
      </c>
      <c r="H12" s="79" t="s">
        <v>155</v>
      </c>
      <c r="I12" s="109">
        <v>2.8000000000000001E-2</v>
      </c>
      <c r="J12" s="109">
        <v>2.8000000000000001E-2</v>
      </c>
      <c r="K12" s="109">
        <v>2.8000000000000001E-2</v>
      </c>
      <c r="L12" s="109">
        <v>2.8000000000000001E-2</v>
      </c>
      <c r="M12" s="109">
        <v>2.8000000000000001E-2</v>
      </c>
      <c r="N12" s="109">
        <v>4.7E-2</v>
      </c>
      <c r="O12" s="109">
        <v>4.7E-2</v>
      </c>
      <c r="P12" s="109">
        <v>4.7E-2</v>
      </c>
      <c r="Q12" s="109">
        <v>2.8000000000000001E-2</v>
      </c>
      <c r="R12" s="109">
        <v>2.8000000000000001E-2</v>
      </c>
      <c r="S12" s="109">
        <v>2.8000000000000001E-2</v>
      </c>
      <c r="T12" s="109">
        <v>2.8000000000000001E-2</v>
      </c>
      <c r="U12" s="109">
        <v>2.8000000000000001E-2</v>
      </c>
      <c r="V12" s="109">
        <v>2.8000000000000001E-2</v>
      </c>
      <c r="W12" s="109">
        <v>2.8000000000000001E-2</v>
      </c>
      <c r="X12" s="109">
        <v>2.8000000000000001E-2</v>
      </c>
      <c r="Y12" s="81"/>
    </row>
    <row r="13" spans="1:25" ht="21" customHeight="1">
      <c r="A13" s="399" t="s">
        <v>156</v>
      </c>
      <c r="B13" s="399" t="s">
        <v>137</v>
      </c>
      <c r="C13" s="400" t="s">
        <v>157</v>
      </c>
      <c r="D13" s="403" t="s">
        <v>158</v>
      </c>
      <c r="E13" s="399" t="s">
        <v>140</v>
      </c>
      <c r="F13" s="356" t="s">
        <v>141</v>
      </c>
      <c r="G13" s="356" t="s">
        <v>65</v>
      </c>
      <c r="H13" s="400" t="s">
        <v>159</v>
      </c>
      <c r="I13" s="356">
        <f t="shared" ref="I13:X13" si="0">0.5*1.12+0.5*I16</f>
        <v>0.74</v>
      </c>
      <c r="J13" s="356">
        <f t="shared" si="0"/>
        <v>0.74</v>
      </c>
      <c r="K13" s="356">
        <f t="shared" si="0"/>
        <v>0.74</v>
      </c>
      <c r="L13" s="356">
        <f t="shared" si="0"/>
        <v>0.74</v>
      </c>
      <c r="M13" s="356">
        <f t="shared" si="0"/>
        <v>0.74</v>
      </c>
      <c r="N13" s="356">
        <f t="shared" si="0"/>
        <v>0.74</v>
      </c>
      <c r="O13" s="356">
        <f t="shared" si="0"/>
        <v>0.74</v>
      </c>
      <c r="P13" s="356">
        <f t="shared" si="0"/>
        <v>0.74</v>
      </c>
      <c r="Q13" s="356">
        <f t="shared" si="0"/>
        <v>0.74</v>
      </c>
      <c r="R13" s="356">
        <f t="shared" si="0"/>
        <v>0.74</v>
      </c>
      <c r="S13" s="356">
        <f t="shared" si="0"/>
        <v>0.74</v>
      </c>
      <c r="T13" s="356">
        <f t="shared" si="0"/>
        <v>0.74</v>
      </c>
      <c r="U13" s="356">
        <f t="shared" si="0"/>
        <v>0.74</v>
      </c>
      <c r="V13" s="356">
        <f t="shared" si="0"/>
        <v>0.74</v>
      </c>
      <c r="W13" s="356">
        <f t="shared" si="0"/>
        <v>0.74</v>
      </c>
      <c r="X13" s="356">
        <f t="shared" si="0"/>
        <v>0.74</v>
      </c>
      <c r="Y13" s="81"/>
    </row>
    <row r="14" spans="1:25" ht="21" customHeight="1">
      <c r="A14" s="399"/>
      <c r="B14" s="399"/>
      <c r="C14" s="401"/>
      <c r="D14" s="403"/>
      <c r="E14" s="399"/>
      <c r="F14" s="356" t="s">
        <v>143</v>
      </c>
      <c r="G14" s="356" t="s">
        <v>65</v>
      </c>
      <c r="H14" s="402"/>
      <c r="I14" s="99">
        <f>I13</f>
        <v>0.74</v>
      </c>
      <c r="J14" s="99">
        <f t="shared" ref="J14:X14" si="1">J13</f>
        <v>0.74</v>
      </c>
      <c r="K14" s="99">
        <f t="shared" si="1"/>
        <v>0.74</v>
      </c>
      <c r="L14" s="99">
        <f t="shared" si="1"/>
        <v>0.74</v>
      </c>
      <c r="M14" s="99">
        <f t="shared" si="1"/>
        <v>0.74</v>
      </c>
      <c r="N14" s="99">
        <f t="shared" si="1"/>
        <v>0.74</v>
      </c>
      <c r="O14" s="99">
        <f t="shared" si="1"/>
        <v>0.74</v>
      </c>
      <c r="P14" s="99">
        <f t="shared" si="1"/>
        <v>0.74</v>
      </c>
      <c r="Q14" s="99">
        <f t="shared" si="1"/>
        <v>0.74</v>
      </c>
      <c r="R14" s="99">
        <f t="shared" si="1"/>
        <v>0.74</v>
      </c>
      <c r="S14" s="99">
        <f t="shared" si="1"/>
        <v>0.74</v>
      </c>
      <c r="T14" s="99">
        <f t="shared" si="1"/>
        <v>0.74</v>
      </c>
      <c r="U14" s="99">
        <f t="shared" si="1"/>
        <v>0.74</v>
      </c>
      <c r="V14" s="99">
        <f t="shared" si="1"/>
        <v>0.74</v>
      </c>
      <c r="W14" s="99">
        <f t="shared" si="1"/>
        <v>0.74</v>
      </c>
      <c r="X14" s="99">
        <f t="shared" si="1"/>
        <v>0.74</v>
      </c>
      <c r="Y14" s="81"/>
    </row>
    <row r="15" spans="1:25" ht="13.9" customHeight="1">
      <c r="A15" s="399"/>
      <c r="B15" s="399"/>
      <c r="C15" s="401"/>
      <c r="D15" s="399" t="s">
        <v>160</v>
      </c>
      <c r="E15" s="399"/>
      <c r="F15" s="356" t="s">
        <v>145</v>
      </c>
      <c r="G15" s="356">
        <v>2001</v>
      </c>
      <c r="H15" s="356" t="s">
        <v>154</v>
      </c>
      <c r="I15" s="100">
        <v>0.49</v>
      </c>
      <c r="J15" s="100">
        <v>0.49</v>
      </c>
      <c r="K15" s="100">
        <v>0.81</v>
      </c>
      <c r="L15" s="100">
        <v>0.81</v>
      </c>
      <c r="M15" s="100">
        <v>0.81</v>
      </c>
      <c r="N15" s="100">
        <v>0.81</v>
      </c>
      <c r="O15" s="100">
        <v>0.81</v>
      </c>
      <c r="P15" s="100">
        <v>0.81</v>
      </c>
      <c r="Q15" s="100">
        <v>0.81</v>
      </c>
      <c r="R15" s="100">
        <v>0.49</v>
      </c>
      <c r="S15" s="100">
        <v>0.49</v>
      </c>
      <c r="T15" s="100">
        <v>0.49</v>
      </c>
      <c r="U15" s="100">
        <v>0.49</v>
      </c>
      <c r="V15" s="100">
        <v>0.49</v>
      </c>
      <c r="W15" s="100">
        <v>0.49</v>
      </c>
      <c r="X15" s="100">
        <v>0.49</v>
      </c>
      <c r="Y15" s="81"/>
    </row>
    <row r="16" spans="1:25" ht="13.9" customHeight="1">
      <c r="A16" s="399"/>
      <c r="B16" s="399"/>
      <c r="C16" s="401"/>
      <c r="D16" s="399"/>
      <c r="E16" s="399"/>
      <c r="F16" s="356" t="s">
        <v>147</v>
      </c>
      <c r="G16" s="356">
        <v>2013</v>
      </c>
      <c r="H16" s="356" t="s">
        <v>161</v>
      </c>
      <c r="I16" s="101">
        <v>0.36</v>
      </c>
      <c r="J16" s="101">
        <v>0.36</v>
      </c>
      <c r="K16" s="101">
        <v>0.36</v>
      </c>
      <c r="L16" s="101">
        <v>0.36</v>
      </c>
      <c r="M16" s="101">
        <v>0.36</v>
      </c>
      <c r="N16" s="101">
        <v>0.36</v>
      </c>
      <c r="O16" s="101">
        <v>0.36</v>
      </c>
      <c r="P16" s="101">
        <v>0.36</v>
      </c>
      <c r="Q16" s="101">
        <v>0.36</v>
      </c>
      <c r="R16" s="101">
        <v>0.36</v>
      </c>
      <c r="S16" s="101">
        <v>0.36</v>
      </c>
      <c r="T16" s="101">
        <v>0.36</v>
      </c>
      <c r="U16" s="101">
        <v>0.36</v>
      </c>
      <c r="V16" s="101">
        <v>0.36</v>
      </c>
      <c r="W16" s="101">
        <v>0.36</v>
      </c>
      <c r="X16" s="101">
        <v>0.36</v>
      </c>
      <c r="Y16" s="81"/>
    </row>
    <row r="17" spans="1:50" ht="13.9" customHeight="1">
      <c r="A17" s="399"/>
      <c r="B17" s="399"/>
      <c r="C17" s="402"/>
      <c r="D17" s="399"/>
      <c r="E17" s="399"/>
      <c r="F17" s="356" t="s">
        <v>149</v>
      </c>
      <c r="G17" s="79">
        <v>2025</v>
      </c>
      <c r="H17" s="79" t="s">
        <v>161</v>
      </c>
      <c r="I17" s="102">
        <v>0.36</v>
      </c>
      <c r="J17" s="102">
        <v>0.36</v>
      </c>
      <c r="K17" s="102">
        <v>0.36</v>
      </c>
      <c r="L17" s="102">
        <v>0.36</v>
      </c>
      <c r="M17" s="102">
        <v>0.36</v>
      </c>
      <c r="N17" s="102">
        <v>0.36</v>
      </c>
      <c r="O17" s="102">
        <v>0.36</v>
      </c>
      <c r="P17" s="102">
        <v>0.36</v>
      </c>
      <c r="Q17" s="102">
        <v>0.34</v>
      </c>
      <c r="R17" s="102">
        <v>0.36</v>
      </c>
      <c r="S17" s="102">
        <v>0.34</v>
      </c>
      <c r="T17" s="102">
        <v>0.34</v>
      </c>
      <c r="U17" s="102">
        <v>0.34</v>
      </c>
      <c r="V17" s="102">
        <v>0.34</v>
      </c>
      <c r="W17" s="102">
        <v>0.34</v>
      </c>
      <c r="X17" s="102">
        <v>0.36</v>
      </c>
      <c r="Y17" s="81"/>
    </row>
    <row r="18" spans="1:50" ht="13.9" customHeight="1">
      <c r="A18" s="399"/>
      <c r="B18" s="399" t="s">
        <v>137</v>
      </c>
      <c r="C18" s="400" t="s">
        <v>157</v>
      </c>
      <c r="D18" s="403" t="s">
        <v>158</v>
      </c>
      <c r="E18" s="399" t="s">
        <v>162</v>
      </c>
      <c r="F18" s="356" t="s">
        <v>141</v>
      </c>
      <c r="G18" s="356" t="s">
        <v>65</v>
      </c>
      <c r="H18" s="400" t="s">
        <v>159</v>
      </c>
      <c r="I18" s="43">
        <f t="shared" ref="I18:X19" si="2">0.8*0.5+I21*0.5</f>
        <v>0.52500000000000002</v>
      </c>
      <c r="J18" s="43">
        <f t="shared" si="2"/>
        <v>0.52500000000000002</v>
      </c>
      <c r="K18" s="43">
        <f t="shared" si="2"/>
        <v>0.52500000000000002</v>
      </c>
      <c r="L18" s="43">
        <f t="shared" si="2"/>
        <v>0.52500000000000002</v>
      </c>
      <c r="M18" s="43">
        <f t="shared" si="2"/>
        <v>0.52500000000000002</v>
      </c>
      <c r="N18" s="43">
        <f t="shared" si="2"/>
        <v>0.52500000000000002</v>
      </c>
      <c r="O18" s="43">
        <f t="shared" si="2"/>
        <v>0.52500000000000002</v>
      </c>
      <c r="P18" s="43">
        <f t="shared" si="2"/>
        <v>0.52500000000000002</v>
      </c>
      <c r="Q18" s="43">
        <f t="shared" si="2"/>
        <v>0.52500000000000002</v>
      </c>
      <c r="R18" s="43">
        <f t="shared" si="2"/>
        <v>0.52500000000000002</v>
      </c>
      <c r="S18" s="43">
        <f t="shared" si="2"/>
        <v>0.52500000000000002</v>
      </c>
      <c r="T18" s="43">
        <f t="shared" si="2"/>
        <v>0.52500000000000002</v>
      </c>
      <c r="U18" s="43">
        <f t="shared" si="2"/>
        <v>0.52500000000000002</v>
      </c>
      <c r="V18" s="43">
        <f t="shared" si="2"/>
        <v>0.52500000000000002</v>
      </c>
      <c r="W18" s="43">
        <f t="shared" si="2"/>
        <v>0.52500000000000002</v>
      </c>
      <c r="X18" s="43">
        <f t="shared" si="2"/>
        <v>0.52500000000000002</v>
      </c>
      <c r="Y18" s="81"/>
    </row>
    <row r="19" spans="1:50" ht="27.6" customHeight="1">
      <c r="A19" s="399"/>
      <c r="B19" s="399"/>
      <c r="C19" s="401"/>
      <c r="D19" s="403"/>
      <c r="E19" s="399"/>
      <c r="F19" s="356" t="s">
        <v>143</v>
      </c>
      <c r="G19" s="356" t="s">
        <v>65</v>
      </c>
      <c r="H19" s="402"/>
      <c r="I19" s="103">
        <f t="shared" si="2"/>
        <v>0.52500000000000002</v>
      </c>
      <c r="J19" s="103">
        <f t="shared" si="2"/>
        <v>0.52500000000000002</v>
      </c>
      <c r="K19" s="103">
        <f t="shared" si="2"/>
        <v>0.52500000000000002</v>
      </c>
      <c r="L19" s="103">
        <f t="shared" si="2"/>
        <v>0.52500000000000002</v>
      </c>
      <c r="M19" s="103">
        <f t="shared" si="2"/>
        <v>0.52500000000000002</v>
      </c>
      <c r="N19" s="103">
        <f t="shared" si="2"/>
        <v>0.52500000000000002</v>
      </c>
      <c r="O19" s="103">
        <f t="shared" si="2"/>
        <v>0.52500000000000002</v>
      </c>
      <c r="P19" s="103">
        <f t="shared" si="2"/>
        <v>0.52500000000000002</v>
      </c>
      <c r="Q19" s="103">
        <f t="shared" si="2"/>
        <v>0.51</v>
      </c>
      <c r="R19" s="103">
        <f t="shared" si="2"/>
        <v>0.52500000000000002</v>
      </c>
      <c r="S19" s="103">
        <f t="shared" si="2"/>
        <v>0.51</v>
      </c>
      <c r="T19" s="103">
        <f t="shared" si="2"/>
        <v>0.51</v>
      </c>
      <c r="U19" s="103">
        <f t="shared" si="2"/>
        <v>0.51</v>
      </c>
      <c r="V19" s="103">
        <f t="shared" si="2"/>
        <v>0.51</v>
      </c>
      <c r="W19" s="103">
        <f t="shared" si="2"/>
        <v>0.51</v>
      </c>
      <c r="X19" s="103">
        <f t="shared" si="2"/>
        <v>0.52500000000000002</v>
      </c>
      <c r="Y19" s="81"/>
    </row>
    <row r="20" spans="1:50" ht="13.9" customHeight="1">
      <c r="A20" s="399"/>
      <c r="B20" s="399"/>
      <c r="C20" s="401"/>
      <c r="D20" s="399" t="s">
        <v>160</v>
      </c>
      <c r="E20" s="399"/>
      <c r="F20" s="217" t="s">
        <v>145</v>
      </c>
      <c r="G20" s="217">
        <v>2001</v>
      </c>
      <c r="H20" s="356" t="s">
        <v>163</v>
      </c>
      <c r="I20" s="100">
        <v>0.49</v>
      </c>
      <c r="J20" s="100">
        <v>0.47</v>
      </c>
      <c r="K20" s="100">
        <v>0.61</v>
      </c>
      <c r="L20" s="100">
        <v>0.61</v>
      </c>
      <c r="M20" s="100">
        <v>0.61</v>
      </c>
      <c r="N20" s="100">
        <v>0.61</v>
      </c>
      <c r="O20" s="100">
        <v>0.61</v>
      </c>
      <c r="P20" s="100">
        <v>0.61</v>
      </c>
      <c r="Q20" s="100">
        <v>0.61</v>
      </c>
      <c r="R20" s="100">
        <v>0.47</v>
      </c>
      <c r="S20" s="100">
        <v>0.47</v>
      </c>
      <c r="T20" s="100">
        <v>0.47</v>
      </c>
      <c r="U20" s="100">
        <v>0.47</v>
      </c>
      <c r="V20" s="100">
        <v>0.46</v>
      </c>
      <c r="W20" s="100">
        <v>0.46</v>
      </c>
      <c r="X20" s="100">
        <v>0.49</v>
      </c>
      <c r="Y20" s="81"/>
    </row>
    <row r="21" spans="1:50" ht="13.9" customHeight="1">
      <c r="A21" s="399"/>
      <c r="B21" s="399"/>
      <c r="C21" s="401"/>
      <c r="D21" s="399"/>
      <c r="E21" s="399"/>
      <c r="F21" s="356" t="s">
        <v>147</v>
      </c>
      <c r="G21" s="356">
        <v>2013</v>
      </c>
      <c r="H21" s="356" t="s">
        <v>161</v>
      </c>
      <c r="I21" s="101">
        <v>0.25</v>
      </c>
      <c r="J21" s="101">
        <v>0.25</v>
      </c>
      <c r="K21" s="101">
        <v>0.25</v>
      </c>
      <c r="L21" s="101">
        <v>0.25</v>
      </c>
      <c r="M21" s="101">
        <v>0.25</v>
      </c>
      <c r="N21" s="101">
        <v>0.25</v>
      </c>
      <c r="O21" s="101">
        <v>0.25</v>
      </c>
      <c r="P21" s="101">
        <v>0.25</v>
      </c>
      <c r="Q21" s="101">
        <v>0.25</v>
      </c>
      <c r="R21" s="101">
        <v>0.25</v>
      </c>
      <c r="S21" s="101">
        <v>0.25</v>
      </c>
      <c r="T21" s="101">
        <v>0.25</v>
      </c>
      <c r="U21" s="101">
        <v>0.25</v>
      </c>
      <c r="V21" s="101">
        <v>0.25</v>
      </c>
      <c r="W21" s="101">
        <v>0.25</v>
      </c>
      <c r="X21" s="101">
        <v>0.25</v>
      </c>
      <c r="Y21" s="81"/>
    </row>
    <row r="22" spans="1:50" ht="13.9" customHeight="1">
      <c r="A22" s="399"/>
      <c r="B22" s="399"/>
      <c r="C22" s="402"/>
      <c r="D22" s="399"/>
      <c r="E22" s="399"/>
      <c r="F22" s="356" t="s">
        <v>149</v>
      </c>
      <c r="G22" s="79">
        <v>2025</v>
      </c>
      <c r="H22" s="79" t="s">
        <v>161</v>
      </c>
      <c r="I22" s="102">
        <v>0.25</v>
      </c>
      <c r="J22" s="102">
        <v>0.25</v>
      </c>
      <c r="K22" s="102">
        <v>0.25</v>
      </c>
      <c r="L22" s="102">
        <v>0.25</v>
      </c>
      <c r="M22" s="102">
        <v>0.25</v>
      </c>
      <c r="N22" s="102">
        <v>0.25</v>
      </c>
      <c r="O22" s="102">
        <v>0.25</v>
      </c>
      <c r="P22" s="102">
        <v>0.25</v>
      </c>
      <c r="Q22" s="102">
        <v>0.22</v>
      </c>
      <c r="R22" s="102">
        <v>0.25</v>
      </c>
      <c r="S22" s="102">
        <v>0.22</v>
      </c>
      <c r="T22" s="102">
        <v>0.22</v>
      </c>
      <c r="U22" s="102">
        <v>0.22</v>
      </c>
      <c r="V22" s="102">
        <v>0.22</v>
      </c>
      <c r="W22" s="102">
        <v>0.22</v>
      </c>
      <c r="X22" s="102">
        <v>0.25</v>
      </c>
      <c r="Y22" s="81"/>
    </row>
    <row r="23" spans="1:50" ht="15" customHeight="1">
      <c r="A23" s="3"/>
      <c r="B23" s="7"/>
      <c r="C23" s="7"/>
      <c r="D23" s="3"/>
      <c r="E23" s="82"/>
      <c r="F23" s="82"/>
      <c r="G23" s="83"/>
      <c r="H23" s="82"/>
      <c r="I23" s="82"/>
      <c r="J23" s="82"/>
      <c r="K23" s="82"/>
      <c r="L23" s="82"/>
      <c r="M23" s="82"/>
      <c r="N23" s="82"/>
      <c r="O23" s="82"/>
      <c r="P23" s="82"/>
      <c r="Q23" s="82"/>
      <c r="R23" s="82"/>
      <c r="S23" s="82"/>
      <c r="T23" s="82"/>
      <c r="U23" s="82"/>
      <c r="V23" s="82"/>
      <c r="W23" s="82"/>
      <c r="X23" s="82"/>
    </row>
    <row r="24" spans="1:50" ht="25.9" customHeight="1">
      <c r="A24" s="3"/>
      <c r="B24" s="7"/>
      <c r="C24" s="7"/>
      <c r="D24" s="3"/>
      <c r="E24" s="392" t="s">
        <v>164</v>
      </c>
      <c r="F24" s="392"/>
      <c r="G24" s="392"/>
      <c r="H24" s="392"/>
      <c r="I24" s="392"/>
      <c r="J24" s="392"/>
      <c r="K24" s="392"/>
      <c r="L24" s="392"/>
      <c r="M24" s="84"/>
      <c r="N24" s="84"/>
      <c r="O24" s="84"/>
      <c r="P24" s="84"/>
      <c r="Q24" s="84"/>
      <c r="R24" s="84"/>
      <c r="S24" s="84"/>
      <c r="T24" s="84"/>
      <c r="U24" s="84"/>
      <c r="V24" s="84"/>
      <c r="W24" s="84"/>
      <c r="X24" s="84"/>
    </row>
    <row r="25" spans="1:50" ht="43.15" customHeight="1">
      <c r="A25" s="3"/>
      <c r="B25" s="7"/>
      <c r="C25" s="7"/>
      <c r="D25" s="3"/>
      <c r="E25" s="69"/>
      <c r="F25" s="35" t="s">
        <v>117</v>
      </c>
      <c r="G25" s="70" t="s">
        <v>165</v>
      </c>
      <c r="H25" s="70" t="s">
        <v>119</v>
      </c>
      <c r="I25" s="393" t="s">
        <v>166</v>
      </c>
      <c r="J25" s="394"/>
      <c r="K25" s="394"/>
      <c r="L25" s="394"/>
      <c r="M25" s="394"/>
      <c r="N25" s="394"/>
      <c r="O25" s="394"/>
      <c r="P25" s="394"/>
      <c r="Q25" s="394"/>
      <c r="R25" s="394"/>
      <c r="S25" s="394"/>
      <c r="T25" s="394"/>
      <c r="U25" s="394"/>
      <c r="V25" s="394"/>
      <c r="W25" s="394"/>
      <c r="X25" s="395"/>
    </row>
    <row r="26" spans="1:50" ht="24.6" customHeight="1">
      <c r="A26" s="3"/>
      <c r="B26" s="95"/>
      <c r="C26" s="7"/>
      <c r="D26" s="3"/>
      <c r="E26" s="396" t="s">
        <v>164</v>
      </c>
      <c r="F26" s="356" t="s">
        <v>141</v>
      </c>
      <c r="G26" s="356">
        <v>1.1000000000000001</v>
      </c>
      <c r="H26" s="71" t="s">
        <v>167</v>
      </c>
      <c r="I26" s="389">
        <f>(G26*0.112)*((2*'Ext Lighting'!$B$21+'Ext Lighting'!$B$20*Prototype!$B$15)/('Ext Lighting'!$B$20*Prototype!$B$15))</f>
        <v>0.46290352900103532</v>
      </c>
      <c r="J26" s="390"/>
      <c r="K26" s="390"/>
      <c r="L26" s="390"/>
      <c r="M26" s="390"/>
      <c r="N26" s="390"/>
      <c r="O26" s="390"/>
      <c r="P26" s="390"/>
      <c r="Q26" s="390"/>
      <c r="R26" s="390"/>
      <c r="S26" s="390"/>
      <c r="T26" s="390"/>
      <c r="U26" s="390"/>
      <c r="V26" s="390"/>
      <c r="W26" s="390"/>
      <c r="X26" s="391"/>
    </row>
    <row r="27" spans="1:50" ht="24.6" customHeight="1">
      <c r="A27" s="3"/>
      <c r="B27" s="3"/>
      <c r="C27" s="7"/>
      <c r="D27" s="3"/>
      <c r="E27" s="397"/>
      <c r="F27" s="356" t="s">
        <v>143</v>
      </c>
      <c r="G27" s="356">
        <v>1.1000000000000001</v>
      </c>
      <c r="H27" s="71" t="s">
        <v>167</v>
      </c>
      <c r="I27" s="389">
        <f>(G27*0.112)*((2*'Ext Lighting'!$B$21+'Ext Lighting'!$B$20*Prototype!$B$15)/('Ext Lighting'!$B$20*Prototype!$B$15))</f>
        <v>0.46290352900103532</v>
      </c>
      <c r="J27" s="390"/>
      <c r="K27" s="390"/>
      <c r="L27" s="390"/>
      <c r="M27" s="390"/>
      <c r="N27" s="390"/>
      <c r="O27" s="390"/>
      <c r="P27" s="390"/>
      <c r="Q27" s="390"/>
      <c r="R27" s="390"/>
      <c r="S27" s="390"/>
      <c r="T27" s="390"/>
      <c r="U27" s="390"/>
      <c r="V27" s="390"/>
      <c r="W27" s="390"/>
      <c r="X27" s="391"/>
    </row>
    <row r="28" spans="1:50" ht="24.6" customHeight="1">
      <c r="A28" s="3"/>
      <c r="B28" s="7"/>
      <c r="C28" s="7"/>
      <c r="D28" s="3"/>
      <c r="E28" s="397"/>
      <c r="F28" s="356" t="s">
        <v>145</v>
      </c>
      <c r="G28" s="356">
        <v>1.1000000000000001</v>
      </c>
      <c r="H28" s="71" t="s">
        <v>167</v>
      </c>
      <c r="I28" s="389">
        <f>(G28*0.112)*((2*'Ext Lighting'!$B$21+'Ext Lighting'!$B$20*Prototype!$B$15)/('Ext Lighting'!$B$20*Prototype!$B$15))</f>
        <v>0.46290352900103532</v>
      </c>
      <c r="J28" s="390"/>
      <c r="K28" s="390"/>
      <c r="L28" s="390"/>
      <c r="M28" s="390"/>
      <c r="N28" s="390"/>
      <c r="O28" s="390"/>
      <c r="P28" s="390"/>
      <c r="Q28" s="390"/>
      <c r="R28" s="390"/>
      <c r="S28" s="390"/>
      <c r="T28" s="390"/>
      <c r="U28" s="390"/>
      <c r="V28" s="390"/>
      <c r="W28" s="390"/>
      <c r="X28" s="391"/>
      <c r="Y28" s="62"/>
      <c r="AB28" s="388"/>
      <c r="AC28" s="388"/>
      <c r="AD28" s="388"/>
      <c r="AE28" s="388"/>
      <c r="AF28" s="388"/>
      <c r="AG28" s="388"/>
      <c r="AH28" s="388"/>
      <c r="AI28" s="388"/>
      <c r="AJ28" s="388"/>
      <c r="AK28" s="388"/>
      <c r="AL28" s="388"/>
      <c r="AM28" s="388"/>
      <c r="AN28" s="388"/>
      <c r="AO28" s="388"/>
      <c r="AP28" s="388"/>
      <c r="AQ28" s="388"/>
      <c r="AR28" s="388"/>
      <c r="AS28" s="388"/>
      <c r="AT28" s="388"/>
      <c r="AU28" s="388"/>
      <c r="AV28" s="388"/>
      <c r="AW28" s="388"/>
      <c r="AX28" s="388"/>
    </row>
    <row r="29" spans="1:50" ht="26.45">
      <c r="A29" s="3"/>
      <c r="B29" s="7"/>
      <c r="C29" s="3"/>
      <c r="D29" s="3"/>
      <c r="E29" s="397"/>
      <c r="F29" s="356" t="s">
        <v>147</v>
      </c>
      <c r="G29" s="356">
        <v>1</v>
      </c>
      <c r="H29" s="357" t="s">
        <v>168</v>
      </c>
      <c r="I29" s="389">
        <f>(G29*0.112)*((2*'Ext Lighting'!$B$21+'Ext Lighting'!$B$20*Prototype!$B$15)/('Ext Lighting'!$B$20*Prototype!$B$15))</f>
        <v>0.42082139000094115</v>
      </c>
      <c r="J29" s="390"/>
      <c r="K29" s="390"/>
      <c r="L29" s="390"/>
      <c r="M29" s="390"/>
      <c r="N29" s="390"/>
      <c r="O29" s="390"/>
      <c r="P29" s="390"/>
      <c r="Q29" s="390"/>
      <c r="R29" s="390"/>
      <c r="S29" s="390"/>
      <c r="T29" s="390"/>
      <c r="U29" s="390"/>
      <c r="V29" s="390"/>
      <c r="W29" s="390"/>
      <c r="X29" s="391"/>
    </row>
    <row r="30" spans="1:50" ht="30.6" customHeight="1">
      <c r="A30" s="3"/>
      <c r="B30" s="7"/>
      <c r="C30" s="3"/>
      <c r="D30" s="3"/>
      <c r="E30" s="398"/>
      <c r="F30" s="356" t="s">
        <v>149</v>
      </c>
      <c r="G30" s="356" t="s">
        <v>169</v>
      </c>
      <c r="H30" s="357" t="s">
        <v>170</v>
      </c>
      <c r="I30" s="389">
        <f>(0.6*0.112)*((2*'Ext Lighting'!$B$21+'Ext Lighting'!$B$20*Prototype!$B$15)/('Ext Lighting'!$B$20*Prototype!$B$15))</f>
        <v>0.25249283400056466</v>
      </c>
      <c r="J30" s="390"/>
      <c r="K30" s="390"/>
      <c r="L30" s="390"/>
      <c r="M30" s="390"/>
      <c r="N30" s="390"/>
      <c r="O30" s="390"/>
      <c r="P30" s="390"/>
      <c r="Q30" s="390"/>
      <c r="R30" s="390"/>
      <c r="S30" s="390"/>
      <c r="T30" s="390"/>
      <c r="U30" s="390"/>
      <c r="V30" s="390"/>
      <c r="W30" s="390"/>
      <c r="X30" s="391"/>
    </row>
    <row r="31" spans="1:50">
      <c r="E31" s="3" t="s">
        <v>171</v>
      </c>
    </row>
    <row r="32" spans="1:50">
      <c r="E32" s="3" t="s">
        <v>172</v>
      </c>
      <c r="G32" s="156" t="s">
        <v>173</v>
      </c>
    </row>
    <row r="35" spans="1:8" s="86" customFormat="1" ht="17.45" hidden="1">
      <c r="A35" s="20" t="s">
        <v>39</v>
      </c>
      <c r="E35" s="87"/>
      <c r="F35" s="88"/>
      <c r="G35" s="89"/>
    </row>
    <row r="36" spans="1:8" hidden="1">
      <c r="H36" s="85"/>
    </row>
    <row r="37" spans="1:8" hidden="1">
      <c r="A37" s="80"/>
      <c r="B37" s="1"/>
      <c r="F37" s="85"/>
      <c r="G37" s="1"/>
    </row>
    <row r="38" spans="1:8" hidden="1">
      <c r="A38" s="80"/>
      <c r="B38" s="1"/>
      <c r="F38" s="85"/>
      <c r="G38" s="1"/>
    </row>
    <row r="39" spans="1:8" ht="21.6" hidden="1" customHeight="1">
      <c r="A39" s="404" t="s">
        <v>137</v>
      </c>
      <c r="B39" s="404"/>
      <c r="C39" s="404"/>
      <c r="F39" s="85"/>
      <c r="G39" s="1"/>
    </row>
    <row r="40" spans="1:8" ht="30" hidden="1" customHeight="1">
      <c r="A40" s="166" t="s">
        <v>174</v>
      </c>
      <c r="B40" s="167" t="s">
        <v>175</v>
      </c>
      <c r="C40" s="168" t="s">
        <v>176</v>
      </c>
      <c r="F40" s="85"/>
      <c r="G40" s="1"/>
    </row>
    <row r="41" spans="1:8" hidden="1">
      <c r="A41" s="169" t="s">
        <v>177</v>
      </c>
      <c r="B41" s="170">
        <v>143492115.12431455</v>
      </c>
      <c r="C41" s="171">
        <v>0.29194577231068747</v>
      </c>
      <c r="F41" s="85"/>
      <c r="G41" s="1"/>
    </row>
    <row r="42" spans="1:8" hidden="1">
      <c r="A42" s="169" t="s">
        <v>178</v>
      </c>
      <c r="B42" s="170">
        <v>197402439.68097723</v>
      </c>
      <c r="C42" s="171">
        <v>0.40163048442590926</v>
      </c>
      <c r="F42" s="85"/>
      <c r="G42" s="1"/>
    </row>
    <row r="43" spans="1:8" hidden="1">
      <c r="A43" s="169" t="s">
        <v>179</v>
      </c>
      <c r="B43" s="170">
        <v>150608075.93536118</v>
      </c>
      <c r="C43" s="171">
        <v>0.30642374326340338</v>
      </c>
      <c r="F43" s="85"/>
      <c r="G43" s="1"/>
    </row>
    <row r="44" spans="1:8" hidden="1">
      <c r="A44" s="169" t="s">
        <v>180</v>
      </c>
      <c r="B44" s="170">
        <v>491502630.74065292</v>
      </c>
      <c r="C44" s="171">
        <v>1</v>
      </c>
      <c r="F44" s="85"/>
      <c r="G44" s="1"/>
    </row>
    <row r="45" spans="1:8" hidden="1"/>
  </sheetData>
  <mergeCells count="39">
    <mergeCell ref="A39:C39"/>
    <mergeCell ref="H13:H14"/>
    <mergeCell ref="H18:H19"/>
    <mergeCell ref="H8:H9"/>
    <mergeCell ref="A1:X1"/>
    <mergeCell ref="A3:A7"/>
    <mergeCell ref="B3:B7"/>
    <mergeCell ref="C3:C7"/>
    <mergeCell ref="D3:D7"/>
    <mergeCell ref="E3:E7"/>
    <mergeCell ref="A8:A12"/>
    <mergeCell ref="B8:B12"/>
    <mergeCell ref="C8:C12"/>
    <mergeCell ref="D8:D12"/>
    <mergeCell ref="E8:E12"/>
    <mergeCell ref="A13:A22"/>
    <mergeCell ref="B13:B17"/>
    <mergeCell ref="C13:C17"/>
    <mergeCell ref="D13:D14"/>
    <mergeCell ref="E13:E17"/>
    <mergeCell ref="D15:D17"/>
    <mergeCell ref="B18:B22"/>
    <mergeCell ref="C18:C22"/>
    <mergeCell ref="E18:E22"/>
    <mergeCell ref="D18:D19"/>
    <mergeCell ref="D20:D22"/>
    <mergeCell ref="E24:L24"/>
    <mergeCell ref="I25:X25"/>
    <mergeCell ref="E26:E30"/>
    <mergeCell ref="I26:X26"/>
    <mergeCell ref="I27:X27"/>
    <mergeCell ref="I28:X28"/>
    <mergeCell ref="AL28:AP28"/>
    <mergeCell ref="AQ28:AT28"/>
    <mergeCell ref="AU28:AX28"/>
    <mergeCell ref="I29:X29"/>
    <mergeCell ref="I30:X30"/>
    <mergeCell ref="AB28:AF28"/>
    <mergeCell ref="AG28:AK28"/>
  </mergeCells>
  <hyperlinks>
    <hyperlink ref="H26" r:id="rId1" xr:uid="{DABFE6CB-B473-47DF-B585-2F887CAC1E59}"/>
    <hyperlink ref="H27:H28" r:id="rId2" display="2022 CASE report (Table 38)" xr:uid="{E1A1EF92-30EC-496A-A9C7-7B7E49AEA0EF}"/>
    <hyperlink ref="G32" r:id="rId3"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D4A4DC11-CD2B-4154-B386-25845D6E86A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L53"/>
  <sheetViews>
    <sheetView zoomScaleNormal="100" workbookViewId="0">
      <selection sqref="A1:E1"/>
    </sheetView>
  </sheetViews>
  <sheetFormatPr defaultColWidth="8.7109375" defaultRowHeight="13.15"/>
  <cols>
    <col min="1" max="1" width="26" style="3" customWidth="1"/>
    <col min="2" max="2" width="25.140625" style="3" customWidth="1"/>
    <col min="3" max="3" width="33.5703125" style="3" customWidth="1"/>
    <col min="4" max="4" width="34.28515625" style="3" customWidth="1"/>
    <col min="5" max="5" width="32" style="3" customWidth="1"/>
    <col min="6" max="6" width="30.5703125" style="3" customWidth="1"/>
    <col min="7" max="7" width="20.5703125" style="3" customWidth="1"/>
    <col min="8" max="8" width="25.7109375" style="3" customWidth="1"/>
    <col min="9" max="11" width="12.7109375" style="3" customWidth="1"/>
    <col min="12" max="19" width="15.28515625" style="3" customWidth="1"/>
    <col min="20" max="20" width="14.7109375" style="3" customWidth="1"/>
    <col min="21" max="21" width="13.5703125" style="3" customWidth="1"/>
    <col min="22" max="22" width="15.7109375" style="3" customWidth="1"/>
    <col min="23" max="29" width="11" style="3" customWidth="1"/>
    <col min="30" max="38" width="6.5703125" style="3" customWidth="1"/>
    <col min="39" max="39" width="8.7109375" style="3" customWidth="1"/>
    <col min="40" max="16384" width="8.7109375" style="3"/>
  </cols>
  <sheetData>
    <row r="1" spans="1:9" ht="27" customHeight="1">
      <c r="A1" s="420" t="str">
        <f>"HVAC system - "&amp;Prototype!A2</f>
        <v>HVAC system - RetailStripMall</v>
      </c>
      <c r="B1" s="420"/>
      <c r="C1" s="420"/>
      <c r="D1" s="420"/>
      <c r="E1" s="420"/>
    </row>
    <row r="2" spans="1:9" ht="22.15" customHeight="1">
      <c r="A2" s="367" t="s">
        <v>117</v>
      </c>
      <c r="B2" s="367" t="s">
        <v>181</v>
      </c>
      <c r="C2" s="367" t="s">
        <v>182</v>
      </c>
      <c r="D2" s="367" t="s">
        <v>183</v>
      </c>
      <c r="E2" s="367" t="s">
        <v>184</v>
      </c>
    </row>
    <row r="3" spans="1:9" ht="27.6" customHeight="1">
      <c r="A3" s="359" t="s">
        <v>185</v>
      </c>
      <c r="B3" s="359" t="s">
        <v>186</v>
      </c>
      <c r="C3" s="359" t="s">
        <v>187</v>
      </c>
      <c r="D3" s="359" t="s">
        <v>188</v>
      </c>
      <c r="E3" s="360" t="s">
        <v>3</v>
      </c>
      <c r="F3" s="354"/>
      <c r="G3" s="354"/>
      <c r="H3" s="354"/>
      <c r="I3" s="354"/>
    </row>
    <row r="4" spans="1:9" ht="26.45">
      <c r="A4" s="359" t="s">
        <v>189</v>
      </c>
      <c r="B4" s="359" t="s">
        <v>190</v>
      </c>
      <c r="C4" s="359" t="s">
        <v>190</v>
      </c>
      <c r="D4" s="360" t="s">
        <v>191</v>
      </c>
      <c r="E4" s="359" t="s">
        <v>192</v>
      </c>
      <c r="F4" s="422"/>
      <c r="G4" s="422"/>
      <c r="H4" s="422"/>
      <c r="I4" s="422"/>
    </row>
    <row r="5" spans="1:9" ht="15.6" customHeight="1">
      <c r="A5" s="368"/>
      <c r="B5" s="368"/>
      <c r="D5" s="6"/>
      <c r="E5" s="368"/>
    </row>
    <row r="6" spans="1:9">
      <c r="A6" s="354"/>
      <c r="B6" s="368"/>
      <c r="C6" s="368"/>
      <c r="D6" s="354"/>
      <c r="E6" s="368"/>
    </row>
    <row r="7" spans="1:9">
      <c r="A7" s="368"/>
      <c r="B7" s="368"/>
      <c r="C7" s="368"/>
      <c r="D7" s="368"/>
      <c r="E7" s="368"/>
    </row>
    <row r="8" spans="1:9" ht="41.45" customHeight="1">
      <c r="A8" s="421" t="s">
        <v>193</v>
      </c>
      <c r="B8" s="420"/>
      <c r="C8" s="420"/>
      <c r="D8" s="420"/>
      <c r="E8" s="405"/>
    </row>
    <row r="9" spans="1:9" ht="19.149999999999999" customHeight="1">
      <c r="A9" s="73" t="s">
        <v>117</v>
      </c>
      <c r="B9" s="73" t="s">
        <v>194</v>
      </c>
      <c r="C9" s="48" t="s">
        <v>181</v>
      </c>
      <c r="D9" s="48" t="s">
        <v>182</v>
      </c>
      <c r="E9" s="72" t="s">
        <v>184</v>
      </c>
    </row>
    <row r="10" spans="1:9" ht="22.5" customHeight="1">
      <c r="A10" s="360" t="s">
        <v>141</v>
      </c>
      <c r="B10" s="423">
        <v>2008</v>
      </c>
      <c r="C10" s="424" t="s">
        <v>195</v>
      </c>
      <c r="D10" s="400" t="s">
        <v>196</v>
      </c>
      <c r="E10" s="423" t="s">
        <v>197</v>
      </c>
    </row>
    <row r="11" spans="1:9" ht="22.5" customHeight="1">
      <c r="A11" s="360" t="s">
        <v>143</v>
      </c>
      <c r="B11" s="423"/>
      <c r="C11" s="424"/>
      <c r="D11" s="401"/>
      <c r="E11" s="423"/>
    </row>
    <row r="12" spans="1:9" ht="22.5" customHeight="1">
      <c r="A12" s="360" t="s">
        <v>145</v>
      </c>
      <c r="B12" s="423"/>
      <c r="C12" s="424"/>
      <c r="D12" s="402"/>
      <c r="E12" s="423"/>
    </row>
    <row r="13" spans="1:9" ht="52.9">
      <c r="A13" s="360" t="s">
        <v>147</v>
      </c>
      <c r="B13" s="359">
        <v>2013</v>
      </c>
      <c r="C13" s="173" t="s">
        <v>195</v>
      </c>
      <c r="D13" s="200" t="s">
        <v>198</v>
      </c>
      <c r="E13" s="174" t="s">
        <v>199</v>
      </c>
    </row>
    <row r="14" spans="1:9" ht="79.150000000000006">
      <c r="A14" s="360" t="s">
        <v>189</v>
      </c>
      <c r="B14" s="359">
        <v>2025</v>
      </c>
      <c r="C14" s="357" t="s">
        <v>200</v>
      </c>
      <c r="D14" s="357" t="s">
        <v>200</v>
      </c>
      <c r="E14" s="359" t="s">
        <v>201</v>
      </c>
    </row>
    <row r="15" spans="1:9">
      <c r="B15" s="6"/>
      <c r="D15" s="36"/>
      <c r="E15" s="6"/>
    </row>
    <row r="16" spans="1:9">
      <c r="A16" s="37"/>
      <c r="B16" s="6"/>
      <c r="C16" s="6"/>
      <c r="D16" s="36"/>
      <c r="E16" s="6"/>
    </row>
    <row r="17" spans="1:38" ht="13.9" customHeight="1">
      <c r="A17" s="354"/>
      <c r="B17" s="354"/>
      <c r="C17" s="6"/>
      <c r="D17" s="6"/>
      <c r="E17" s="112"/>
    </row>
    <row r="18" spans="1:38" ht="21" customHeight="1">
      <c r="A18" s="419" t="s">
        <v>202</v>
      </c>
      <c r="B18" s="419"/>
      <c r="C18" s="419"/>
      <c r="D18" s="419"/>
      <c r="E18" s="419"/>
      <c r="F18" s="419"/>
      <c r="G18" s="419"/>
      <c r="H18" s="419"/>
    </row>
    <row r="19" spans="1:38" ht="39.6">
      <c r="A19" s="366" t="s">
        <v>117</v>
      </c>
      <c r="B19" s="366" t="s">
        <v>203</v>
      </c>
      <c r="C19" s="366" t="s">
        <v>204</v>
      </c>
      <c r="D19" s="179" t="s">
        <v>205</v>
      </c>
      <c r="E19" s="179" t="s">
        <v>206</v>
      </c>
      <c r="F19" s="180" t="s">
        <v>207</v>
      </c>
      <c r="G19" s="180" t="s">
        <v>208</v>
      </c>
      <c r="H19" s="181" t="s">
        <v>209</v>
      </c>
    </row>
    <row r="20" spans="1:38" ht="52.9">
      <c r="A20" s="183" t="s">
        <v>210</v>
      </c>
      <c r="B20" s="184" t="s">
        <v>211</v>
      </c>
      <c r="C20" s="182" t="s">
        <v>212</v>
      </c>
      <c r="D20" s="359" t="s">
        <v>213</v>
      </c>
      <c r="E20" s="359">
        <v>0.65</v>
      </c>
      <c r="F20" s="184" t="s">
        <v>214</v>
      </c>
      <c r="G20" s="195"/>
      <c r="H20" s="184" t="s">
        <v>215</v>
      </c>
    </row>
    <row r="21" spans="1:38">
      <c r="A21" s="185" t="s">
        <v>216</v>
      </c>
      <c r="B21" s="186"/>
      <c r="C21" s="187"/>
      <c r="D21" s="187"/>
      <c r="E21" s="188"/>
      <c r="F21" s="187"/>
      <c r="G21" s="187"/>
      <c r="H21" s="189"/>
    </row>
    <row r="22" spans="1:38">
      <c r="A22" s="190" t="s">
        <v>217</v>
      </c>
      <c r="B22" s="82"/>
      <c r="C22" s="82"/>
      <c r="D22" s="191"/>
      <c r="E22" s="82"/>
      <c r="F22" s="192"/>
      <c r="G22" s="192"/>
      <c r="H22" s="193"/>
    </row>
    <row r="23" spans="1:38" ht="24.6" customHeight="1">
      <c r="A23" s="359" t="s">
        <v>189</v>
      </c>
      <c r="B23" s="359" t="s">
        <v>218</v>
      </c>
      <c r="C23" s="359" t="s">
        <v>219</v>
      </c>
      <c r="D23" s="194">
        <f>G23*E23*F23/746*6356</f>
        <v>3.369361608579089</v>
      </c>
      <c r="E23" s="360">
        <v>0.65</v>
      </c>
      <c r="F23" s="360">
        <v>0.9</v>
      </c>
      <c r="G23" s="196">
        <v>0.67600000000000005</v>
      </c>
      <c r="H23" s="359" t="s">
        <v>218</v>
      </c>
    </row>
    <row r="24" spans="1:38">
      <c r="F24" s="6" t="s">
        <v>220</v>
      </c>
    </row>
    <row r="25" spans="1:38">
      <c r="A25" s="3" t="s">
        <v>221</v>
      </c>
    </row>
    <row r="26" spans="1:38">
      <c r="A26" s="6" t="s">
        <v>222</v>
      </c>
    </row>
    <row r="27" spans="1:38">
      <c r="A27" s="6" t="s">
        <v>223</v>
      </c>
    </row>
    <row r="28" spans="1:38" ht="13.9" customHeight="1">
      <c r="D28" s="31"/>
    </row>
    <row r="29" spans="1:38" ht="13.9" customHeight="1">
      <c r="D29" s="31"/>
    </row>
    <row r="30" spans="1:38" ht="13.9" customHeight="1">
      <c r="D30" s="31"/>
    </row>
    <row r="31" spans="1:38" s="20" customFormat="1" hidden="1">
      <c r="A31" s="20" t="s">
        <v>39</v>
      </c>
    </row>
    <row r="32" spans="1:38" hidden="1">
      <c r="U32" s="30"/>
      <c r="V32" s="53"/>
      <c r="W32" s="54"/>
      <c r="X32" s="54"/>
      <c r="Y32" s="54"/>
      <c r="Z32" s="54"/>
      <c r="AA32" s="54"/>
      <c r="AB32" s="54"/>
      <c r="AC32" s="54"/>
      <c r="AD32" s="54"/>
      <c r="AE32" s="54"/>
      <c r="AF32" s="54"/>
      <c r="AG32" s="54"/>
      <c r="AH32" s="54"/>
      <c r="AI32" s="54"/>
      <c r="AJ32" s="54"/>
      <c r="AK32" s="54"/>
      <c r="AL32" s="54"/>
    </row>
    <row r="33" spans="1:38" hidden="1">
      <c r="U33" s="32"/>
      <c r="W33" s="30"/>
      <c r="X33" s="30"/>
      <c r="Y33" s="30"/>
      <c r="Z33" s="30"/>
      <c r="AA33" s="30"/>
      <c r="AB33" s="30"/>
      <c r="AC33" s="30"/>
      <c r="AD33" s="30"/>
      <c r="AE33" s="30"/>
      <c r="AF33" s="30"/>
      <c r="AG33" s="30"/>
      <c r="AH33" s="30"/>
      <c r="AI33" s="30"/>
      <c r="AJ33" s="30"/>
      <c r="AK33" s="30"/>
      <c r="AL33" s="30"/>
    </row>
    <row r="34" spans="1:38" hidden="1">
      <c r="U34" s="30"/>
    </row>
    <row r="35" spans="1:38" ht="13.9" hidden="1">
      <c r="A35" s="404" t="s">
        <v>224</v>
      </c>
      <c r="B35" s="404"/>
      <c r="C35" s="404"/>
      <c r="U35" s="30"/>
      <c r="V35" s="33"/>
    </row>
    <row r="36" spans="1:38" ht="13.9" hidden="1">
      <c r="A36" s="197" t="s">
        <v>225</v>
      </c>
      <c r="B36" s="167" t="s">
        <v>175</v>
      </c>
      <c r="C36" s="168" t="s">
        <v>176</v>
      </c>
      <c r="U36" s="30"/>
      <c r="V36" s="33"/>
    </row>
    <row r="37" spans="1:38" hidden="1">
      <c r="A37" s="137" t="s">
        <v>226</v>
      </c>
      <c r="B37" s="138">
        <v>69787484.752178222</v>
      </c>
      <c r="C37" s="198">
        <v>0.14198801875589595</v>
      </c>
      <c r="U37" s="30"/>
      <c r="V37" s="33"/>
    </row>
    <row r="38" spans="1:38" hidden="1">
      <c r="A38" s="137" t="s">
        <v>227</v>
      </c>
      <c r="B38" s="138">
        <v>421715145.98849022</v>
      </c>
      <c r="C38" s="198">
        <v>0.85801198124410416</v>
      </c>
      <c r="U38" s="30"/>
      <c r="V38" s="33"/>
    </row>
    <row r="39" spans="1:38" hidden="1">
      <c r="A39" s="137" t="s">
        <v>180</v>
      </c>
      <c r="B39" s="138">
        <v>491502630.74066842</v>
      </c>
      <c r="C39" s="198">
        <v>1</v>
      </c>
      <c r="U39" s="30"/>
      <c r="V39" s="33"/>
    </row>
    <row r="40" spans="1:38" hidden="1">
      <c r="U40" s="30"/>
      <c r="V40" s="33"/>
    </row>
    <row r="41" spans="1:38" ht="13.9" hidden="1">
      <c r="A41" s="409" t="s">
        <v>228</v>
      </c>
      <c r="B41" s="418" t="s">
        <v>181</v>
      </c>
      <c r="C41" s="418"/>
      <c r="D41" s="418"/>
      <c r="E41" s="412" t="s">
        <v>182</v>
      </c>
      <c r="F41" s="413"/>
      <c r="G41" s="146" t="s">
        <v>183</v>
      </c>
      <c r="H41" s="147" t="s">
        <v>229</v>
      </c>
      <c r="S41" s="30"/>
      <c r="T41" s="33"/>
    </row>
    <row r="42" spans="1:38" ht="14.45" hidden="1" customHeight="1">
      <c r="A42" s="410"/>
      <c r="B42" s="414" t="s">
        <v>230</v>
      </c>
      <c r="C42" s="361" t="s">
        <v>231</v>
      </c>
      <c r="D42" s="414" t="s">
        <v>232</v>
      </c>
      <c r="E42" s="416" t="s">
        <v>233</v>
      </c>
      <c r="F42" s="362" t="s">
        <v>234</v>
      </c>
      <c r="G42" s="148" t="s">
        <v>235</v>
      </c>
      <c r="H42" s="407" t="s">
        <v>232</v>
      </c>
      <c r="S42" s="30"/>
      <c r="T42" s="33"/>
    </row>
    <row r="43" spans="1:38" ht="46.9" hidden="1" customHeight="1">
      <c r="A43" s="411"/>
      <c r="B43" s="415"/>
      <c r="C43" s="149" t="s">
        <v>236</v>
      </c>
      <c r="D43" s="415"/>
      <c r="E43" s="417"/>
      <c r="F43" s="150" t="s">
        <v>236</v>
      </c>
      <c r="G43" s="151" t="s">
        <v>237</v>
      </c>
      <c r="H43" s="408"/>
      <c r="S43" s="30"/>
      <c r="T43" s="33"/>
    </row>
    <row r="44" spans="1:38" ht="29.45" hidden="1" customHeight="1">
      <c r="A44" s="155" t="s">
        <v>98</v>
      </c>
      <c r="B44" s="152">
        <v>0.79</v>
      </c>
      <c r="C44" s="153" t="s">
        <v>238</v>
      </c>
      <c r="D44" s="154" t="s">
        <v>239</v>
      </c>
      <c r="E44" s="154">
        <v>0.8</v>
      </c>
      <c r="F44" s="153" t="s">
        <v>238</v>
      </c>
      <c r="G44" s="153" t="s">
        <v>240</v>
      </c>
      <c r="H44" s="154" t="s">
        <v>241</v>
      </c>
      <c r="S44" s="30"/>
      <c r="T44" s="33"/>
    </row>
    <row r="45" spans="1:38" hidden="1">
      <c r="U45" s="30"/>
      <c r="V45" s="33"/>
    </row>
    <row r="46" spans="1:38">
      <c r="U46" s="30"/>
      <c r="V46" s="33"/>
    </row>
    <row r="47" spans="1:38">
      <c r="U47" s="30"/>
      <c r="V47" s="33"/>
    </row>
    <row r="48" spans="1:38">
      <c r="U48" s="30"/>
      <c r="V48" s="33"/>
    </row>
    <row r="49" spans="21:38">
      <c r="U49" s="30"/>
      <c r="V49" s="33"/>
    </row>
    <row r="50" spans="21:38">
      <c r="U50" s="30"/>
      <c r="V50" s="33"/>
    </row>
    <row r="51" spans="21:38">
      <c r="U51" s="30"/>
      <c r="V51" s="33"/>
    </row>
    <row r="52" spans="21:38">
      <c r="U52" s="30"/>
      <c r="W52" s="29"/>
      <c r="X52" s="29"/>
      <c r="Y52" s="29"/>
      <c r="Z52" s="29"/>
      <c r="AA52" s="29"/>
      <c r="AB52" s="29"/>
      <c r="AC52" s="29"/>
      <c r="AD52" s="29"/>
      <c r="AE52" s="29"/>
      <c r="AF52" s="29"/>
      <c r="AG52" s="29"/>
      <c r="AH52" s="29"/>
      <c r="AI52" s="29"/>
      <c r="AJ52" s="29"/>
      <c r="AK52" s="29"/>
      <c r="AL52" s="29"/>
    </row>
    <row r="53" spans="21:38">
      <c r="U53" s="32"/>
      <c r="W53" s="30"/>
      <c r="X53" s="30"/>
      <c r="Y53" s="30"/>
      <c r="Z53" s="30"/>
      <c r="AA53" s="30"/>
      <c r="AB53" s="30"/>
      <c r="AC53" s="30"/>
      <c r="AD53" s="30"/>
      <c r="AE53" s="30"/>
      <c r="AF53" s="30"/>
      <c r="AG53" s="30"/>
      <c r="AH53" s="30"/>
      <c r="AI53" s="30"/>
      <c r="AJ53" s="30"/>
      <c r="AK53" s="30"/>
      <c r="AL53" s="30"/>
    </row>
  </sheetData>
  <mergeCells count="16">
    <mergeCell ref="A18:H18"/>
    <mergeCell ref="A35:C35"/>
    <mergeCell ref="A1:E1"/>
    <mergeCell ref="A8:E8"/>
    <mergeCell ref="F4:I4"/>
    <mergeCell ref="D10:D12"/>
    <mergeCell ref="B10:B12"/>
    <mergeCell ref="C10:C12"/>
    <mergeCell ref="E10:E12"/>
    <mergeCell ref="H42:H43"/>
    <mergeCell ref="A41:A43"/>
    <mergeCell ref="E41:F41"/>
    <mergeCell ref="B42:B43"/>
    <mergeCell ref="E42:E43"/>
    <mergeCell ref="D42:D43"/>
    <mergeCell ref="B41:D41"/>
  </mergeCells>
  <phoneticPr fontId="5"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R6"/>
  <sheetViews>
    <sheetView workbookViewId="0">
      <selection sqref="A1:R1"/>
    </sheetView>
  </sheetViews>
  <sheetFormatPr defaultRowHeight="14.45"/>
  <cols>
    <col min="1" max="1" width="26.140625" customWidth="1"/>
    <col min="18" max="18" width="21.28515625" customWidth="1"/>
  </cols>
  <sheetData>
    <row r="1" spans="1:18" ht="24" customHeight="1">
      <c r="A1" s="405" t="str">
        <f>"Thermostat Setpoints - "&amp;Prototype!A2</f>
        <v>Thermostat Setpoints - RetailStripMall</v>
      </c>
      <c r="B1" s="405"/>
      <c r="C1" s="405"/>
      <c r="D1" s="405"/>
      <c r="E1" s="405"/>
      <c r="F1" s="405"/>
      <c r="G1" s="405"/>
      <c r="H1" s="405"/>
      <c r="I1" s="405"/>
      <c r="J1" s="405"/>
      <c r="K1" s="405"/>
      <c r="L1" s="405"/>
      <c r="M1" s="405"/>
      <c r="N1" s="405"/>
      <c r="O1" s="405"/>
      <c r="P1" s="405"/>
      <c r="Q1" s="405"/>
      <c r="R1" s="405"/>
    </row>
    <row r="2" spans="1:18" ht="22.15" customHeight="1">
      <c r="A2" s="72" t="s">
        <v>242</v>
      </c>
      <c r="B2" s="73" t="s">
        <v>120</v>
      </c>
      <c r="C2" s="73" t="s">
        <v>121</v>
      </c>
      <c r="D2" s="73" t="s">
        <v>122</v>
      </c>
      <c r="E2" s="73" t="s">
        <v>123</v>
      </c>
      <c r="F2" s="73" t="s">
        <v>124</v>
      </c>
      <c r="G2" s="73" t="s">
        <v>125</v>
      </c>
      <c r="H2" s="73" t="s">
        <v>126</v>
      </c>
      <c r="I2" s="73" t="s">
        <v>127</v>
      </c>
      <c r="J2" s="73" t="s">
        <v>128</v>
      </c>
      <c r="K2" s="73" t="s">
        <v>129</v>
      </c>
      <c r="L2" s="73" t="s">
        <v>130</v>
      </c>
      <c r="M2" s="73" t="s">
        <v>131</v>
      </c>
      <c r="N2" s="73" t="s">
        <v>132</v>
      </c>
      <c r="O2" s="73" t="s">
        <v>133</v>
      </c>
      <c r="P2" s="73" t="s">
        <v>134</v>
      </c>
      <c r="Q2" s="73" t="s">
        <v>135</v>
      </c>
      <c r="R2" s="73" t="s">
        <v>184</v>
      </c>
    </row>
    <row r="3" spans="1:18" ht="21" customHeight="1">
      <c r="A3" s="360" t="s">
        <v>243</v>
      </c>
      <c r="B3" s="360">
        <v>70</v>
      </c>
      <c r="C3" s="360">
        <v>70</v>
      </c>
      <c r="D3" s="360">
        <v>70</v>
      </c>
      <c r="E3" s="360">
        <v>70</v>
      </c>
      <c r="F3" s="360">
        <v>70</v>
      </c>
      <c r="G3" s="360">
        <v>70</v>
      </c>
      <c r="H3" s="360">
        <v>70</v>
      </c>
      <c r="I3" s="360">
        <v>70</v>
      </c>
      <c r="J3" s="360">
        <v>70</v>
      </c>
      <c r="K3" s="360">
        <v>70</v>
      </c>
      <c r="L3" s="360">
        <v>70</v>
      </c>
      <c r="M3" s="360">
        <v>70</v>
      </c>
      <c r="N3" s="360">
        <v>70</v>
      </c>
      <c r="O3" s="360">
        <v>70</v>
      </c>
      <c r="P3" s="360">
        <v>70</v>
      </c>
      <c r="Q3" s="360">
        <v>70</v>
      </c>
      <c r="R3" s="425" t="s">
        <v>244</v>
      </c>
    </row>
    <row r="4" spans="1:18" ht="21" customHeight="1">
      <c r="A4" s="360" t="s">
        <v>245</v>
      </c>
      <c r="B4" s="360">
        <v>60</v>
      </c>
      <c r="C4" s="360">
        <v>60</v>
      </c>
      <c r="D4" s="360">
        <v>60</v>
      </c>
      <c r="E4" s="360">
        <v>60</v>
      </c>
      <c r="F4" s="360">
        <v>60</v>
      </c>
      <c r="G4" s="360">
        <v>60</v>
      </c>
      <c r="H4" s="360">
        <v>60</v>
      </c>
      <c r="I4" s="360">
        <v>60</v>
      </c>
      <c r="J4" s="360">
        <v>60</v>
      </c>
      <c r="K4" s="360">
        <v>60</v>
      </c>
      <c r="L4" s="360">
        <v>60</v>
      </c>
      <c r="M4" s="360">
        <v>60</v>
      </c>
      <c r="N4" s="360">
        <v>60</v>
      </c>
      <c r="O4" s="360">
        <v>60</v>
      </c>
      <c r="P4" s="360">
        <v>60</v>
      </c>
      <c r="Q4" s="360">
        <v>60</v>
      </c>
      <c r="R4" s="426"/>
    </row>
    <row r="5" spans="1:18" ht="21" customHeight="1">
      <c r="A5" s="360" t="s">
        <v>246</v>
      </c>
      <c r="B5" s="360">
        <v>75</v>
      </c>
      <c r="C5" s="360">
        <v>75</v>
      </c>
      <c r="D5" s="360">
        <v>75</v>
      </c>
      <c r="E5" s="360">
        <v>75</v>
      </c>
      <c r="F5" s="360">
        <v>75</v>
      </c>
      <c r="G5" s="360">
        <v>75</v>
      </c>
      <c r="H5" s="360">
        <v>75</v>
      </c>
      <c r="I5" s="360">
        <v>75</v>
      </c>
      <c r="J5" s="360">
        <v>75</v>
      </c>
      <c r="K5" s="360">
        <v>75</v>
      </c>
      <c r="L5" s="360">
        <v>75</v>
      </c>
      <c r="M5" s="360">
        <v>75</v>
      </c>
      <c r="N5" s="360">
        <v>75</v>
      </c>
      <c r="O5" s="360">
        <v>75</v>
      </c>
      <c r="P5" s="360">
        <v>75</v>
      </c>
      <c r="Q5" s="360">
        <v>75</v>
      </c>
      <c r="R5" s="426"/>
    </row>
    <row r="6" spans="1:18" ht="21" customHeight="1">
      <c r="A6" s="360" t="s">
        <v>247</v>
      </c>
      <c r="B6" s="360">
        <v>85</v>
      </c>
      <c r="C6" s="360">
        <v>85</v>
      </c>
      <c r="D6" s="360">
        <v>85</v>
      </c>
      <c r="E6" s="360">
        <v>85</v>
      </c>
      <c r="F6" s="360">
        <v>85</v>
      </c>
      <c r="G6" s="360">
        <v>85</v>
      </c>
      <c r="H6" s="360">
        <v>85</v>
      </c>
      <c r="I6" s="360">
        <v>85</v>
      </c>
      <c r="J6" s="360">
        <v>85</v>
      </c>
      <c r="K6" s="360">
        <v>85</v>
      </c>
      <c r="L6" s="360">
        <v>85</v>
      </c>
      <c r="M6" s="360">
        <v>85</v>
      </c>
      <c r="N6" s="360">
        <v>85</v>
      </c>
      <c r="O6" s="360">
        <v>85</v>
      </c>
      <c r="P6" s="360">
        <v>85</v>
      </c>
      <c r="Q6" s="360">
        <v>85</v>
      </c>
      <c r="R6" s="427"/>
    </row>
  </sheetData>
  <mergeCells count="2">
    <mergeCell ref="R3:R6"/>
    <mergeCell ref="A1:R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L12"/>
  <sheetViews>
    <sheetView zoomScaleNormal="100" workbookViewId="0">
      <selection sqref="A1:K1"/>
    </sheetView>
  </sheetViews>
  <sheetFormatPr defaultColWidth="9.28515625" defaultRowHeight="13.9"/>
  <cols>
    <col min="1" max="1" width="20.28515625" style="59" customWidth="1"/>
    <col min="2" max="2" width="15.42578125" style="59" customWidth="1"/>
    <col min="3" max="3" width="13.28515625" style="59" customWidth="1"/>
    <col min="4" max="4" width="25.42578125" style="59" customWidth="1"/>
    <col min="5" max="5" width="24.7109375" style="59" customWidth="1"/>
    <col min="6" max="6" width="24.28515625" style="59" customWidth="1"/>
    <col min="7" max="9" width="20.28515625" style="59" customWidth="1"/>
    <col min="10" max="10" width="16.85546875" style="59" customWidth="1"/>
    <col min="11" max="11" width="27.5703125" style="59" customWidth="1"/>
    <col min="12" max="12" width="13.7109375" style="59" customWidth="1"/>
    <col min="13" max="13" width="12.28515625" style="59" customWidth="1"/>
    <col min="14" max="14" width="13.7109375" style="59" customWidth="1"/>
    <col min="15" max="15" width="11.7109375" style="59" customWidth="1"/>
    <col min="16" max="16" width="13.7109375" style="59" customWidth="1"/>
    <col min="17" max="17" width="12.28515625" style="59" customWidth="1"/>
    <col min="18" max="18" width="13.7109375" style="59" customWidth="1"/>
    <col min="19" max="19" width="12.28515625" style="59" customWidth="1"/>
    <col min="20" max="20" width="13.7109375" style="59" customWidth="1"/>
    <col min="21" max="21" width="11.7109375" style="59" customWidth="1"/>
    <col min="22" max="23" width="10.7109375" style="59" customWidth="1"/>
    <col min="24" max="24" width="9.28515625" style="59"/>
    <col min="25" max="29" width="11.28515625" style="59" customWidth="1"/>
    <col min="30" max="16384" width="9.28515625" style="59"/>
  </cols>
  <sheetData>
    <row r="1" spans="1:12" ht="24.6" customHeight="1">
      <c r="A1" s="405" t="str">
        <f>"Outdoor Airflow Rate - "&amp;Prototype!A2</f>
        <v>Outdoor Airflow Rate - RetailStripMall</v>
      </c>
      <c r="B1" s="405"/>
      <c r="C1" s="405"/>
      <c r="D1" s="405"/>
      <c r="E1" s="405"/>
      <c r="F1" s="405"/>
      <c r="G1" s="405"/>
      <c r="H1" s="405"/>
      <c r="I1" s="405"/>
      <c r="J1" s="405"/>
      <c r="K1" s="405"/>
      <c r="L1" s="81"/>
    </row>
    <row r="2" spans="1:12" ht="47.45" customHeight="1">
      <c r="A2" s="157" t="s">
        <v>86</v>
      </c>
      <c r="B2" s="111" t="s">
        <v>93</v>
      </c>
      <c r="C2" s="111" t="s">
        <v>248</v>
      </c>
      <c r="D2" s="172" t="s">
        <v>249</v>
      </c>
      <c r="E2" s="172" t="s">
        <v>250</v>
      </c>
      <c r="F2" s="172" t="s">
        <v>251</v>
      </c>
      <c r="G2" s="172" t="s">
        <v>252</v>
      </c>
      <c r="H2" s="172" t="s">
        <v>253</v>
      </c>
      <c r="I2" s="172" t="s">
        <v>254</v>
      </c>
      <c r="J2" s="157" t="s">
        <v>255</v>
      </c>
      <c r="K2" s="157" t="s">
        <v>37</v>
      </c>
      <c r="L2" s="114"/>
    </row>
    <row r="3" spans="1:12" s="3" customFormat="1" ht="20.65" customHeight="1">
      <c r="A3" s="115" t="str">
        <f>Zones!B3</f>
        <v>LG_Store_1</v>
      </c>
      <c r="B3" s="175">
        <f>Zones!I3</f>
        <v>31.875328141649995</v>
      </c>
      <c r="C3" s="175">
        <f>Zones!F3</f>
        <v>3750.0386048999994</v>
      </c>
      <c r="D3" s="356">
        <v>15</v>
      </c>
      <c r="E3" s="356">
        <v>0.2</v>
      </c>
      <c r="F3" s="176" t="s">
        <v>256</v>
      </c>
      <c r="G3" s="177">
        <f>D3*B3</f>
        <v>478.1299221247499</v>
      </c>
      <c r="H3" s="177">
        <f>E3*C3</f>
        <v>750.00772097999993</v>
      </c>
      <c r="I3" s="176">
        <v>50</v>
      </c>
      <c r="J3" s="177">
        <f>MAX(G3:I3)</f>
        <v>750.00772097999993</v>
      </c>
      <c r="K3" s="12" t="s">
        <v>257</v>
      </c>
    </row>
    <row r="4" spans="1:12" s="3" customFormat="1" ht="20.65" customHeight="1">
      <c r="A4" s="115" t="str">
        <f>Zones!B4</f>
        <v>SM_Store_1</v>
      </c>
      <c r="B4" s="175">
        <f>Zones!I4</f>
        <v>15.937206604649999</v>
      </c>
      <c r="C4" s="175">
        <f>Zones!F4</f>
        <v>1874.9654828999999</v>
      </c>
      <c r="D4" s="356">
        <v>15</v>
      </c>
      <c r="E4" s="356">
        <v>0.2</v>
      </c>
      <c r="F4" s="176"/>
      <c r="G4" s="177">
        <f t="shared" ref="G4:G6" si="0">D4*B4</f>
        <v>239.05809906975</v>
      </c>
      <c r="H4" s="177">
        <f t="shared" ref="H4:H6" si="1">E4*C4</f>
        <v>374.99309657999999</v>
      </c>
      <c r="I4" s="176">
        <f t="shared" ref="I4:I6" si="2">F4*C4</f>
        <v>0</v>
      </c>
      <c r="J4" s="177">
        <f t="shared" ref="J4:J6" si="3">MAX(G4:I4)</f>
        <v>374.99309657999999</v>
      </c>
      <c r="K4" s="12"/>
    </row>
    <row r="5" spans="1:12" s="3" customFormat="1" ht="20.65" customHeight="1">
      <c r="A5" s="115" t="str">
        <f>Zones!B5</f>
        <v>SM_Store_2</v>
      </c>
      <c r="B5" s="175">
        <f>Zones!I5</f>
        <v>15.937206604649999</v>
      </c>
      <c r="C5" s="175">
        <f>Zones!F5</f>
        <v>1874.9654828999999</v>
      </c>
      <c r="D5" s="356">
        <v>15</v>
      </c>
      <c r="E5" s="356">
        <v>0.2</v>
      </c>
      <c r="F5" s="176"/>
      <c r="G5" s="177">
        <f t="shared" si="0"/>
        <v>239.05809906975</v>
      </c>
      <c r="H5" s="177">
        <f t="shared" si="1"/>
        <v>374.99309657999999</v>
      </c>
      <c r="I5" s="176">
        <f t="shared" si="2"/>
        <v>0</v>
      </c>
      <c r="J5" s="177">
        <f t="shared" si="3"/>
        <v>374.99309657999999</v>
      </c>
      <c r="K5" s="12"/>
    </row>
    <row r="6" spans="1:12" s="3" customFormat="1" ht="20.65" customHeight="1">
      <c r="A6" s="115" t="str">
        <f>Zones!B6</f>
        <v>SM_Store_3</v>
      </c>
      <c r="B6" s="175">
        <f>Zones!I6</f>
        <v>15.937206604649999</v>
      </c>
      <c r="C6" s="175">
        <f>Zones!F6</f>
        <v>1874.9654828999999</v>
      </c>
      <c r="D6" s="356">
        <v>15</v>
      </c>
      <c r="E6" s="356">
        <v>0.2</v>
      </c>
      <c r="F6" s="176"/>
      <c r="G6" s="177">
        <f t="shared" si="0"/>
        <v>239.05809906975</v>
      </c>
      <c r="H6" s="177">
        <f t="shared" si="1"/>
        <v>374.99309657999999</v>
      </c>
      <c r="I6" s="176">
        <f t="shared" si="2"/>
        <v>0</v>
      </c>
      <c r="J6" s="177">
        <f t="shared" si="3"/>
        <v>374.99309657999999</v>
      </c>
      <c r="K6" s="12"/>
    </row>
    <row r="7" spans="1:12" s="3" customFormat="1" ht="13.15"/>
    <row r="8" spans="1:12" s="3" customFormat="1" ht="13.15"/>
    <row r="11" spans="1:12" ht="15.6">
      <c r="A11" s="1"/>
      <c r="B11" s="1"/>
      <c r="C11" s="1"/>
      <c r="D11" s="1"/>
      <c r="E11" s="1"/>
      <c r="F11" s="1"/>
      <c r="G11" s="1"/>
      <c r="H11" s="1"/>
      <c r="I11" s="1"/>
      <c r="J11" s="1"/>
      <c r="K11" s="60"/>
      <c r="L11" s="1"/>
    </row>
    <row r="12" spans="1:12" s="61" customFormat="1" ht="17.45" hidden="1">
      <c r="A12" s="20" t="s">
        <v>39</v>
      </c>
      <c r="B12" s="20"/>
      <c r="C12" s="20"/>
      <c r="D12" s="86"/>
      <c r="E12" s="86"/>
      <c r="F12" s="86"/>
      <c r="G12" s="86"/>
      <c r="H12" s="86"/>
      <c r="I12" s="86"/>
      <c r="J12" s="86"/>
      <c r="K12" s="87"/>
      <c r="L12" s="88"/>
    </row>
  </sheetData>
  <mergeCells count="1">
    <mergeCell ref="A1:K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dimension ref="A1:AL30"/>
  <sheetViews>
    <sheetView zoomScaleNormal="100" workbookViewId="0">
      <selection sqref="A1:G1"/>
    </sheetView>
  </sheetViews>
  <sheetFormatPr defaultColWidth="8.7109375" defaultRowHeight="13.15"/>
  <cols>
    <col min="1" max="1" width="25.28515625" style="3" customWidth="1"/>
    <col min="2" max="4" width="22.5703125" style="3" customWidth="1"/>
    <col min="5" max="5" width="30.7109375" style="3" customWidth="1"/>
    <col min="6" max="6" width="25.7109375" style="3" customWidth="1"/>
    <col min="7" max="7" width="28.7109375" style="3" customWidth="1"/>
    <col min="8" max="8" width="6.28515625" style="3" customWidth="1"/>
    <col min="9" max="9" width="14.42578125" style="3" customWidth="1"/>
    <col min="10" max="12" width="15.28515625" style="3" customWidth="1"/>
    <col min="13" max="13" width="12.28515625" style="3" customWidth="1"/>
    <col min="14" max="14" width="13.28515625" style="3" customWidth="1"/>
    <col min="15" max="15" width="15.28515625" style="3" customWidth="1"/>
    <col min="16" max="16" width="11" style="3" customWidth="1"/>
    <col min="17" max="20" width="15.28515625" style="3" customWidth="1"/>
    <col min="21" max="21" width="7.7109375" style="3" hidden="1" customWidth="1"/>
    <col min="22" max="22" width="12.42578125" style="3" hidden="1" customWidth="1"/>
    <col min="23" max="38" width="6.5703125" style="3" hidden="1" customWidth="1"/>
    <col min="39" max="39" width="15.28515625" style="3" customWidth="1"/>
    <col min="40" max="40" width="11.28515625" style="3" customWidth="1"/>
    <col min="41" max="41" width="6.28515625" style="3" customWidth="1"/>
    <col min="42" max="45" width="4.7109375" style="3" customWidth="1"/>
    <col min="46" max="46" width="6.28515625" style="3" customWidth="1"/>
    <col min="47" max="61" width="4.7109375" style="3" customWidth="1"/>
    <col min="62" max="16384" width="8.7109375" style="3"/>
  </cols>
  <sheetData>
    <row r="1" spans="1:10" ht="24" customHeight="1">
      <c r="A1" s="405" t="str">
        <f>"Water Heater - "&amp;Prototype!A2</f>
        <v>Water Heater - RetailStripMall</v>
      </c>
      <c r="B1" s="405"/>
      <c r="C1" s="405"/>
      <c r="D1" s="405"/>
      <c r="E1" s="405"/>
      <c r="F1" s="405"/>
      <c r="G1" s="405"/>
    </row>
    <row r="2" spans="1:10" ht="22.15" customHeight="1">
      <c r="A2" s="159" t="s">
        <v>117</v>
      </c>
      <c r="B2" s="159" t="s">
        <v>258</v>
      </c>
      <c r="C2" s="159" t="s">
        <v>259</v>
      </c>
      <c r="D2" s="159" t="s">
        <v>260</v>
      </c>
      <c r="E2" s="159" t="s">
        <v>261</v>
      </c>
      <c r="F2" s="367" t="s">
        <v>262</v>
      </c>
      <c r="G2" s="28" t="s">
        <v>184</v>
      </c>
    </row>
    <row r="3" spans="1:10" ht="25.15" customHeight="1">
      <c r="A3" s="357" t="s">
        <v>185</v>
      </c>
      <c r="B3" s="357" t="s">
        <v>263</v>
      </c>
      <c r="C3" s="357">
        <v>1</v>
      </c>
      <c r="D3" s="357">
        <v>50</v>
      </c>
      <c r="E3" s="91">
        <f>(0.3+27/D3)/100</f>
        <v>8.4000000000000012E-3</v>
      </c>
      <c r="F3" s="137" t="s">
        <v>264</v>
      </c>
      <c r="G3" s="429" t="s">
        <v>265</v>
      </c>
    </row>
    <row r="4" spans="1:10" ht="24" customHeight="1">
      <c r="A4" s="357" t="s">
        <v>189</v>
      </c>
      <c r="B4" s="357" t="s">
        <v>263</v>
      </c>
      <c r="C4" s="357">
        <v>1</v>
      </c>
      <c r="D4" s="357">
        <v>50</v>
      </c>
      <c r="E4" s="91">
        <f>(0.3+27/D4)/100</f>
        <v>8.4000000000000012E-3</v>
      </c>
      <c r="F4" s="137" t="s">
        <v>264</v>
      </c>
      <c r="G4" s="430"/>
    </row>
    <row r="5" spans="1:10" ht="14.65" customHeight="1">
      <c r="A5" s="352"/>
      <c r="B5" s="352"/>
      <c r="C5" s="352"/>
      <c r="D5" s="352"/>
    </row>
    <row r="6" spans="1:10" ht="14.65" customHeight="1">
      <c r="A6" s="431" t="s">
        <v>266</v>
      </c>
      <c r="B6" s="431"/>
      <c r="C6" s="431"/>
      <c r="D6" s="431"/>
      <c r="E6" s="431"/>
      <c r="F6" s="431"/>
      <c r="G6" s="431"/>
    </row>
    <row r="7" spans="1:10" ht="67.5" customHeight="1">
      <c r="A7" s="208" t="s">
        <v>267</v>
      </c>
      <c r="B7" s="159" t="s">
        <v>268</v>
      </c>
      <c r="C7" s="209" t="s">
        <v>269</v>
      </c>
      <c r="D7" s="209" t="s">
        <v>93</v>
      </c>
      <c r="E7" s="209" t="s">
        <v>270</v>
      </c>
      <c r="F7" s="209" t="s">
        <v>271</v>
      </c>
      <c r="G7" s="209" t="s">
        <v>272</v>
      </c>
    </row>
    <row r="8" spans="1:10" ht="16.149999999999999" customHeight="1">
      <c r="A8" s="210" t="str">
        <f>Zones!B3</f>
        <v>LG_Store_1</v>
      </c>
      <c r="B8" s="211" t="s">
        <v>263</v>
      </c>
      <c r="C8" s="212">
        <f>Zones!F3</f>
        <v>3750.0386048999994</v>
      </c>
      <c r="D8" s="213">
        <f>Zones!I3</f>
        <v>31.875328141649995</v>
      </c>
      <c r="E8" s="214">
        <v>0.18</v>
      </c>
      <c r="F8" s="215">
        <f>E8*D8</f>
        <v>5.737559065496999</v>
      </c>
      <c r="G8" s="220">
        <f>F8/60</f>
        <v>9.5625984424949989E-2</v>
      </c>
    </row>
    <row r="9" spans="1:10" ht="16.149999999999999" customHeight="1">
      <c r="A9" s="210" t="str">
        <f>Zones!B4</f>
        <v>SM_Store_1</v>
      </c>
      <c r="B9" s="211" t="s">
        <v>263</v>
      </c>
      <c r="C9" s="212">
        <f>Zones!F4</f>
        <v>1874.9654828999999</v>
      </c>
      <c r="D9" s="213">
        <f>Zones!I4</f>
        <v>15.937206604649999</v>
      </c>
      <c r="E9" s="214">
        <v>0.18</v>
      </c>
      <c r="F9" s="215">
        <f t="shared" ref="F9:F11" si="0">E9*D9</f>
        <v>2.8686971888369999</v>
      </c>
      <c r="G9" s="220">
        <f t="shared" ref="G9:G11" si="1">F9/60</f>
        <v>4.7811619813949997E-2</v>
      </c>
    </row>
    <row r="10" spans="1:10" ht="16.149999999999999" customHeight="1">
      <c r="A10" s="210" t="str">
        <f>Zones!B5</f>
        <v>SM_Store_2</v>
      </c>
      <c r="B10" s="211" t="s">
        <v>263</v>
      </c>
      <c r="C10" s="212">
        <f>Zones!F5</f>
        <v>1874.9654828999999</v>
      </c>
      <c r="D10" s="213">
        <f>Zones!I5</f>
        <v>15.937206604649999</v>
      </c>
      <c r="E10" s="214">
        <v>0.18</v>
      </c>
      <c r="F10" s="215">
        <f t="shared" si="0"/>
        <v>2.8686971888369999</v>
      </c>
      <c r="G10" s="220">
        <f t="shared" si="1"/>
        <v>4.7811619813949997E-2</v>
      </c>
    </row>
    <row r="11" spans="1:10" s="4" customFormat="1">
      <c r="A11" s="218" t="str">
        <f>Zones!B6</f>
        <v>SM_Store_3</v>
      </c>
      <c r="B11" s="211" t="s">
        <v>263</v>
      </c>
      <c r="C11" s="212">
        <f>Zones!F6</f>
        <v>1874.9654828999999</v>
      </c>
      <c r="D11" s="213">
        <f>Zones!I6</f>
        <v>15.937206604649999</v>
      </c>
      <c r="E11" s="214">
        <v>0.18</v>
      </c>
      <c r="F11" s="219">
        <f t="shared" si="0"/>
        <v>2.8686971888369999</v>
      </c>
      <c r="G11" s="220">
        <f t="shared" si="1"/>
        <v>4.7811619813949997E-2</v>
      </c>
    </row>
    <row r="12" spans="1:10" ht="27.75" customHeight="1">
      <c r="A12" s="210" t="str">
        <f>Zones!B7</f>
        <v>Total (4 Space)s</v>
      </c>
      <c r="B12" s="211"/>
      <c r="C12" s="212">
        <f>SUM(C8:C11)</f>
        <v>9374.9350535999984</v>
      </c>
      <c r="D12" s="212">
        <f>SUM(D8:D11)</f>
        <v>79.68694795559999</v>
      </c>
      <c r="E12" s="214">
        <v>0</v>
      </c>
      <c r="F12" s="215"/>
      <c r="G12" s="216">
        <f>SUM(G8:G11)</f>
        <v>0.23906084386679996</v>
      </c>
    </row>
    <row r="16" spans="1:10" ht="15.6">
      <c r="A16" s="432" t="s">
        <v>273</v>
      </c>
      <c r="B16" s="432"/>
      <c r="C16" s="432"/>
      <c r="D16" s="432"/>
      <c r="E16" s="432"/>
      <c r="F16" s="432"/>
      <c r="G16" s="432"/>
      <c r="H16" s="432"/>
      <c r="I16" s="432"/>
      <c r="J16" s="432"/>
    </row>
    <row r="17" spans="1:10" ht="66">
      <c r="A17" s="367" t="s">
        <v>258</v>
      </c>
      <c r="B17" s="367" t="s">
        <v>271</v>
      </c>
      <c r="C17" s="367" t="s">
        <v>274</v>
      </c>
      <c r="D17" s="367" t="s">
        <v>275</v>
      </c>
      <c r="E17" s="367" t="s">
        <v>276</v>
      </c>
      <c r="F17" s="367" t="s">
        <v>277</v>
      </c>
      <c r="G17" s="367" t="s">
        <v>278</v>
      </c>
      <c r="H17" s="367" t="s">
        <v>262</v>
      </c>
      <c r="I17" s="367" t="s">
        <v>279</v>
      </c>
      <c r="J17" s="367" t="s">
        <v>184</v>
      </c>
    </row>
    <row r="18" spans="1:10">
      <c r="A18" s="221" t="s">
        <v>280</v>
      </c>
      <c r="B18" s="222">
        <f xml:space="preserve"> SUMIF(B8:B11, "*Gas*",F8:F11)</f>
        <v>0</v>
      </c>
      <c r="C18" s="222">
        <f>B18*(135-55)*8.2877*1</f>
        <v>0</v>
      </c>
      <c r="D18" s="222">
        <f>C18*0.6</f>
        <v>0</v>
      </c>
      <c r="E18" s="223">
        <f>D18/0.8</f>
        <v>0</v>
      </c>
      <c r="F18" s="222">
        <f>(B18*F20)/B20</f>
        <v>0</v>
      </c>
      <c r="G18" s="222">
        <f>(E18/800)+110*SQRT(F18)</f>
        <v>0</v>
      </c>
      <c r="H18" s="224" t="s">
        <v>281</v>
      </c>
      <c r="I18" s="225">
        <f>G18/B29</f>
        <v>0</v>
      </c>
      <c r="J18" s="423" t="s">
        <v>282</v>
      </c>
    </row>
    <row r="19" spans="1:10">
      <c r="A19" s="221" t="s">
        <v>283</v>
      </c>
      <c r="B19" s="222">
        <f xml:space="preserve"> MAX(SUMIF(B8:B11, "*Electric*",F8:F11),125)</f>
        <v>125</v>
      </c>
      <c r="C19" s="222">
        <f>B19*(135-55)*8.2877*1</f>
        <v>82876.999999999985</v>
      </c>
      <c r="D19" s="222">
        <f>C19*0.85</f>
        <v>70445.449999999983</v>
      </c>
      <c r="E19" s="223">
        <f>D19/1</f>
        <v>70445.449999999983</v>
      </c>
      <c r="F19" s="222">
        <f>(B19*F20)/B20</f>
        <v>50</v>
      </c>
      <c r="G19" s="233">
        <f>0.3+(27/F19)</f>
        <v>0.84000000000000008</v>
      </c>
      <c r="H19" s="137" t="s">
        <v>264</v>
      </c>
      <c r="I19" s="226">
        <f>0.0834*G19*F19</f>
        <v>3.5028000000000006</v>
      </c>
      <c r="J19" s="424"/>
    </row>
    <row r="20" spans="1:10">
      <c r="A20" s="227" t="s">
        <v>284</v>
      </c>
      <c r="B20" s="222">
        <f>B18+B19</f>
        <v>125</v>
      </c>
      <c r="C20" s="222">
        <f>B20*(135-55)*8.2877*1</f>
        <v>82876.999999999985</v>
      </c>
      <c r="D20" s="222">
        <f>C20*0.85</f>
        <v>70445.449999999983</v>
      </c>
      <c r="E20" s="223">
        <f>D20/1</f>
        <v>70445.449999999983</v>
      </c>
      <c r="F20" s="222">
        <f>B20*1*0.4</f>
        <v>50</v>
      </c>
      <c r="G20" s="137"/>
      <c r="H20" s="137"/>
      <c r="I20" s="137"/>
      <c r="J20" s="424"/>
    </row>
    <row r="21" spans="1:10">
      <c r="A21" s="228"/>
      <c r="B21" s="229"/>
      <c r="D21" s="229"/>
      <c r="E21" s="230"/>
      <c r="F21" s="229"/>
    </row>
    <row r="22" spans="1:10">
      <c r="A22" s="128" t="s">
        <v>285</v>
      </c>
      <c r="B22" s="363">
        <v>135</v>
      </c>
      <c r="C22" s="128" t="s">
        <v>286</v>
      </c>
      <c r="D22" s="128"/>
      <c r="E22" s="128"/>
      <c r="F22" s="231" t="s">
        <v>287</v>
      </c>
      <c r="G22" s="233">
        <f>0.3+(27/F20)</f>
        <v>0.84000000000000008</v>
      </c>
      <c r="H22" s="137" t="s">
        <v>264</v>
      </c>
      <c r="I22" s="226">
        <f>0.0834*G22*F20</f>
        <v>3.5028000000000006</v>
      </c>
      <c r="J22" s="128"/>
    </row>
    <row r="23" spans="1:10">
      <c r="A23" s="128" t="s">
        <v>288</v>
      </c>
      <c r="B23" s="363">
        <v>55</v>
      </c>
      <c r="C23" s="128" t="s">
        <v>289</v>
      </c>
      <c r="D23" s="128"/>
      <c r="E23" s="128"/>
      <c r="F23" s="128"/>
      <c r="G23" s="128"/>
      <c r="H23" s="128"/>
      <c r="I23" s="128"/>
      <c r="J23" s="128"/>
    </row>
    <row r="24" spans="1:10" ht="14.45">
      <c r="A24" s="232" t="s">
        <v>290</v>
      </c>
      <c r="B24" s="363">
        <v>0.6</v>
      </c>
      <c r="C24" s="128" t="s">
        <v>289</v>
      </c>
      <c r="D24" s="128"/>
      <c r="E24" s="128"/>
      <c r="F24" s="128"/>
      <c r="G24" s="128"/>
      <c r="H24" s="128"/>
      <c r="I24" s="128"/>
      <c r="J24" s="128"/>
    </row>
    <row r="25" spans="1:10">
      <c r="A25" s="128" t="s">
        <v>291</v>
      </c>
      <c r="B25" s="363">
        <v>0.4</v>
      </c>
      <c r="C25" s="128"/>
      <c r="D25" s="128"/>
      <c r="E25" s="128"/>
      <c r="F25" s="128"/>
      <c r="G25" s="128"/>
      <c r="H25" s="128"/>
      <c r="I25" s="128"/>
      <c r="J25" s="128"/>
    </row>
    <row r="26" spans="1:10">
      <c r="A26" s="428" t="s">
        <v>292</v>
      </c>
      <c r="B26" s="428"/>
      <c r="C26" s="428"/>
      <c r="D26" s="428"/>
      <c r="E26" s="428"/>
      <c r="F26" s="428"/>
      <c r="G26" s="428"/>
      <c r="H26" s="428"/>
      <c r="I26" s="428"/>
      <c r="J26" s="428"/>
    </row>
    <row r="27" spans="1:10" ht="14.45">
      <c r="A27" t="s">
        <v>293</v>
      </c>
      <c r="E27" s="230"/>
    </row>
    <row r="28" spans="1:10" ht="14.45">
      <c r="A28" t="s">
        <v>294</v>
      </c>
      <c r="B28" s="29">
        <v>68</v>
      </c>
    </row>
    <row r="29" spans="1:10" ht="14.45">
      <c r="A29" t="s">
        <v>295</v>
      </c>
      <c r="B29" s="29">
        <f>B22-B28</f>
        <v>67</v>
      </c>
    </row>
    <row r="30" spans="1:10" ht="14.45">
      <c r="A30" t="s">
        <v>296</v>
      </c>
      <c r="B30" s="29"/>
    </row>
  </sheetData>
  <mergeCells count="6">
    <mergeCell ref="A26:J26"/>
    <mergeCell ref="A1:G1"/>
    <mergeCell ref="G3:G4"/>
    <mergeCell ref="A6:G6"/>
    <mergeCell ref="A16:J16"/>
    <mergeCell ref="J18:J2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G14"/>
  <sheetViews>
    <sheetView zoomScaleNormal="100" workbookViewId="0">
      <selection sqref="A1:G1"/>
    </sheetView>
  </sheetViews>
  <sheetFormatPr defaultColWidth="8.7109375" defaultRowHeight="13.15"/>
  <cols>
    <col min="1" max="1" width="43.28515625" style="3" customWidth="1"/>
    <col min="2" max="2" width="15.28515625" style="3" customWidth="1"/>
    <col min="3" max="3" width="23.28515625" style="3" customWidth="1"/>
    <col min="4" max="4" width="21.42578125" style="3" bestFit="1" customWidth="1"/>
    <col min="5" max="5" width="15.28515625" style="3" customWidth="1"/>
    <col min="6" max="6" width="23.28515625" style="3" customWidth="1"/>
    <col min="7" max="8" width="24" style="3" customWidth="1"/>
    <col min="9" max="9" width="10.5703125" style="3" customWidth="1"/>
    <col min="10" max="10" width="11.42578125" style="3" customWidth="1"/>
    <col min="11" max="11" width="10.5703125" style="3" customWidth="1"/>
    <col min="12" max="12" width="13.28515625" style="3" customWidth="1"/>
    <col min="13" max="13" width="9.7109375" style="3" customWidth="1"/>
    <col min="14" max="14" width="9.42578125" style="3" customWidth="1"/>
    <col min="15" max="15" width="12.7109375" style="3" customWidth="1"/>
    <col min="16" max="16" width="14.7109375" style="3" customWidth="1"/>
    <col min="17" max="17" width="20.7109375" style="3" customWidth="1"/>
    <col min="18" max="18" width="19.7109375" style="3" customWidth="1"/>
    <col min="19" max="24" width="8.7109375" style="3"/>
    <col min="25" max="25" width="13.7109375" style="3" bestFit="1" customWidth="1"/>
    <col min="26" max="16384" width="8.7109375" style="3"/>
  </cols>
  <sheetData>
    <row r="1" spans="1:7" ht="25.9" customHeight="1">
      <c r="A1" s="433" t="str">
        <f>"Interior Lighting - "&amp;Prototype!A2</f>
        <v>Interior Lighting - RetailStripMall</v>
      </c>
      <c r="B1" s="420"/>
      <c r="C1" s="420"/>
      <c r="D1" s="420"/>
      <c r="E1" s="420"/>
      <c r="F1" s="420"/>
      <c r="G1" s="420"/>
    </row>
    <row r="2" spans="1:7" ht="21" customHeight="1">
      <c r="A2" s="434" t="s">
        <v>85</v>
      </c>
      <c r="B2" s="435" t="s">
        <v>297</v>
      </c>
      <c r="C2" s="435"/>
      <c r="D2" s="435"/>
      <c r="E2" s="435" t="s">
        <v>210</v>
      </c>
      <c r="F2" s="435"/>
      <c r="G2" s="435"/>
    </row>
    <row r="3" spans="1:7" ht="32.450000000000003" customHeight="1">
      <c r="A3" s="434"/>
      <c r="B3" s="364" t="s">
        <v>298</v>
      </c>
      <c r="C3" s="364" t="s">
        <v>299</v>
      </c>
      <c r="D3" s="364" t="s">
        <v>184</v>
      </c>
      <c r="E3" s="364" t="s">
        <v>300</v>
      </c>
      <c r="F3" s="364" t="s">
        <v>299</v>
      </c>
      <c r="G3" s="364" t="s">
        <v>184</v>
      </c>
    </row>
    <row r="4" spans="1:7" ht="38.25" customHeight="1">
      <c r="A4" s="359" t="str">
        <f>Zones!A3</f>
        <v>Retail Sales Area (Retail Merchandise Sales)</v>
      </c>
      <c r="B4" s="359">
        <v>0.95</v>
      </c>
      <c r="C4" s="137"/>
      <c r="D4" s="359" t="s">
        <v>301</v>
      </c>
      <c r="E4" s="359">
        <v>1.2</v>
      </c>
      <c r="F4" s="137"/>
      <c r="G4" s="359" t="s">
        <v>302</v>
      </c>
    </row>
    <row r="5" spans="1:7">
      <c r="A5" s="352"/>
      <c r="B5" s="352"/>
      <c r="D5" s="352"/>
      <c r="E5" s="352"/>
      <c r="G5" s="352"/>
    </row>
    <row r="6" spans="1:7">
      <c r="A6" s="352"/>
      <c r="B6" s="352"/>
      <c r="D6" s="352"/>
      <c r="E6" s="352"/>
      <c r="G6" s="352"/>
    </row>
    <row r="7" spans="1:7">
      <c r="A7" s="352"/>
      <c r="B7" s="352"/>
      <c r="D7" s="352"/>
      <c r="E7" s="352"/>
      <c r="G7" s="352"/>
    </row>
    <row r="8" spans="1:7">
      <c r="A8" s="352"/>
      <c r="B8" s="352"/>
      <c r="D8" s="352"/>
      <c r="E8" s="352"/>
      <c r="G8" s="352"/>
    </row>
    <row r="9" spans="1:7">
      <c r="A9" s="352"/>
      <c r="B9" s="352"/>
      <c r="D9" s="352"/>
      <c r="E9" s="352"/>
      <c r="G9" s="352"/>
    </row>
    <row r="10" spans="1:7">
      <c r="A10" s="352"/>
      <c r="B10" s="352"/>
      <c r="D10" s="352"/>
      <c r="E10" s="352"/>
      <c r="G10" s="352"/>
    </row>
    <row r="11" spans="1:7">
      <c r="A11" s="352"/>
      <c r="B11" s="352"/>
      <c r="D11" s="352"/>
      <c r="E11" s="352"/>
      <c r="G11" s="352"/>
    </row>
    <row r="12" spans="1:7">
      <c r="A12" s="352"/>
      <c r="B12" s="352"/>
      <c r="D12" s="352"/>
      <c r="E12" s="352"/>
      <c r="G12" s="352"/>
    </row>
    <row r="13" spans="1:7" s="20" customFormat="1" hidden="1">
      <c r="A13" s="20" t="s">
        <v>39</v>
      </c>
      <c r="E13" s="23"/>
    </row>
    <row r="14" spans="1:7" ht="17.649999999999999" customHeight="1"/>
  </sheetData>
  <mergeCells count="4">
    <mergeCell ref="A1:G1"/>
    <mergeCell ref="A2:A3"/>
    <mergeCell ref="B2:D2"/>
    <mergeCell ref="E2:G2"/>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H26"/>
  <sheetViews>
    <sheetView zoomScaleNormal="100" workbookViewId="0">
      <selection sqref="A1:D1"/>
    </sheetView>
  </sheetViews>
  <sheetFormatPr defaultColWidth="8.7109375" defaultRowHeight="13.15"/>
  <cols>
    <col min="1" max="1" width="31" style="3" customWidth="1"/>
    <col min="2" max="2" width="38.140625" style="3" customWidth="1"/>
    <col min="3" max="3" width="19.42578125" style="3" customWidth="1"/>
    <col min="4" max="4" width="19.28515625" style="3" customWidth="1"/>
    <col min="5" max="5" width="27.85546875" style="3" customWidth="1"/>
    <col min="6" max="6" width="17.140625" style="3" customWidth="1"/>
    <col min="7" max="7" width="17.5703125" style="3" customWidth="1"/>
    <col min="8" max="8" width="15.5703125" style="3" customWidth="1"/>
    <col min="9" max="9" width="13.28515625" style="3" customWidth="1"/>
    <col min="10" max="16384" width="8.7109375" style="3"/>
  </cols>
  <sheetData>
    <row r="1" spans="1:8" ht="25.15" customHeight="1">
      <c r="A1" s="436" t="str">
        <f>"Exterior Lighting - "&amp;Prototype!A2</f>
        <v>Exterior Lighting - RetailStripMall</v>
      </c>
      <c r="B1" s="436"/>
      <c r="C1" s="436"/>
      <c r="D1" s="436"/>
    </row>
    <row r="2" spans="1:8" ht="37.15" customHeight="1">
      <c r="A2" s="40" t="s">
        <v>303</v>
      </c>
      <c r="B2" s="40" t="s">
        <v>304</v>
      </c>
      <c r="C2" s="40" t="s">
        <v>305</v>
      </c>
      <c r="D2" s="40" t="s">
        <v>184</v>
      </c>
    </row>
    <row r="3" spans="1:8" ht="22.15" customHeight="1">
      <c r="A3" s="42">
        <f>G14</f>
        <v>913.53724309519987</v>
      </c>
      <c r="B3" s="42">
        <f>G15</f>
        <v>346.56245453752001</v>
      </c>
      <c r="C3" s="42">
        <f>SUM(A3:B3)</f>
        <v>1260.0996976327199</v>
      </c>
      <c r="D3" s="360" t="s">
        <v>306</v>
      </c>
    </row>
    <row r="4" spans="1:8" ht="22.15" customHeight="1">
      <c r="A4" s="55"/>
      <c r="B4" s="55"/>
      <c r="C4" s="55"/>
    </row>
    <row r="5" spans="1:8" ht="12.75" customHeight="1">
      <c r="A5" s="68"/>
      <c r="B5" s="68"/>
      <c r="C5" s="68"/>
    </row>
    <row r="6" spans="1:8" ht="27" customHeight="1">
      <c r="A6" s="436" t="s">
        <v>307</v>
      </c>
      <c r="B6" s="436"/>
      <c r="C6" s="436"/>
      <c r="D6" s="436"/>
      <c r="E6" s="436"/>
      <c r="F6" s="436"/>
      <c r="G6" s="436"/>
    </row>
    <row r="7" spans="1:8" ht="45" customHeight="1">
      <c r="A7" s="92" t="s">
        <v>308</v>
      </c>
      <c r="B7" s="438" t="s">
        <v>309</v>
      </c>
      <c r="C7" s="439"/>
      <c r="D7" s="178" t="s">
        <v>262</v>
      </c>
      <c r="E7" s="178" t="s">
        <v>310</v>
      </c>
      <c r="F7" s="178" t="s">
        <v>262</v>
      </c>
      <c r="G7" s="40" t="s">
        <v>311</v>
      </c>
    </row>
    <row r="8" spans="1:8">
      <c r="A8" s="11" t="s">
        <v>312</v>
      </c>
      <c r="B8" s="11"/>
      <c r="C8" s="116"/>
      <c r="D8" s="360"/>
      <c r="E8" s="360">
        <v>200</v>
      </c>
      <c r="F8" s="360" t="s">
        <v>313</v>
      </c>
      <c r="G8" s="117">
        <f>$E8</f>
        <v>200</v>
      </c>
      <c r="H8" s="113"/>
    </row>
    <row r="9" spans="1:8" ht="36.6" customHeight="1">
      <c r="A9" s="12" t="s">
        <v>314</v>
      </c>
      <c r="B9" s="12" t="s">
        <v>315</v>
      </c>
      <c r="C9" s="93">
        <f>B21/360*400</f>
        <v>10416.594503999999</v>
      </c>
      <c r="D9" s="360" t="s">
        <v>316</v>
      </c>
      <c r="E9" s="360">
        <v>1.9E-2</v>
      </c>
      <c r="F9" s="360" t="s">
        <v>317</v>
      </c>
      <c r="G9" s="117">
        <f>$E9*C9</f>
        <v>197.91529557599998</v>
      </c>
      <c r="H9" s="94"/>
    </row>
    <row r="10" spans="1:8">
      <c r="A10" s="11" t="s">
        <v>318</v>
      </c>
      <c r="B10" s="118" t="s">
        <v>319</v>
      </c>
      <c r="C10" s="119">
        <v>5</v>
      </c>
      <c r="D10" s="360" t="s">
        <v>320</v>
      </c>
      <c r="E10" s="360">
        <v>15</v>
      </c>
      <c r="F10" s="360" t="s">
        <v>321</v>
      </c>
      <c r="G10" s="117">
        <f>E10*C10</f>
        <v>75</v>
      </c>
    </row>
    <row r="11" spans="1:8" ht="26.45">
      <c r="A11" s="11" t="s">
        <v>322</v>
      </c>
      <c r="B11" s="118" t="s">
        <v>323</v>
      </c>
      <c r="C11" s="120">
        <f>B21*0.1</f>
        <v>937.49350535999986</v>
      </c>
      <c r="D11" s="360" t="s">
        <v>316</v>
      </c>
      <c r="E11" s="360">
        <v>7.0000000000000001E-3</v>
      </c>
      <c r="F11" s="360" t="s">
        <v>317</v>
      </c>
      <c r="G11" s="121">
        <f>E11*C11</f>
        <v>6.562454537519999</v>
      </c>
    </row>
    <row r="12" spans="1:8" ht="82.9" customHeight="1">
      <c r="A12" s="11" t="s">
        <v>324</v>
      </c>
      <c r="B12" s="118" t="s">
        <v>325</v>
      </c>
      <c r="C12" s="122">
        <f>B20*0.5*Prototype!B15</f>
        <v>3400</v>
      </c>
      <c r="D12" s="360" t="s">
        <v>316</v>
      </c>
      <c r="E12" s="360">
        <v>0.1</v>
      </c>
      <c r="F12" s="360" t="s">
        <v>317</v>
      </c>
      <c r="G12" s="121">
        <f>E12*C12</f>
        <v>340</v>
      </c>
    </row>
    <row r="13" spans="1:8">
      <c r="A13" s="123" t="s">
        <v>326</v>
      </c>
      <c r="B13" s="3" t="s">
        <v>327</v>
      </c>
      <c r="C13" s="124">
        <f>(B21/B22)*0.1</f>
        <v>937.49350535999986</v>
      </c>
      <c r="D13" s="27" t="s">
        <v>316</v>
      </c>
      <c r="E13" s="27">
        <v>0.47</v>
      </c>
      <c r="F13" s="27" t="s">
        <v>317</v>
      </c>
      <c r="G13" s="121">
        <f>E13*C13</f>
        <v>440.62194751919992</v>
      </c>
    </row>
    <row r="14" spans="1:8">
      <c r="A14" s="437" t="s">
        <v>328</v>
      </c>
      <c r="B14" s="437"/>
      <c r="C14" s="437"/>
      <c r="D14" s="437"/>
      <c r="E14" s="437"/>
      <c r="F14" s="437"/>
      <c r="G14" s="125">
        <f>SUM(G8:G13)-G15</f>
        <v>913.53724309519987</v>
      </c>
    </row>
    <row r="15" spans="1:8">
      <c r="A15" s="437" t="s">
        <v>329</v>
      </c>
      <c r="B15" s="437"/>
      <c r="C15" s="437"/>
      <c r="D15" s="437"/>
      <c r="E15" s="437"/>
      <c r="F15" s="437"/>
      <c r="G15" s="125">
        <f>G11+G12</f>
        <v>346.56245453752001</v>
      </c>
    </row>
    <row r="16" spans="1:8">
      <c r="A16" s="437" t="s">
        <v>284</v>
      </c>
      <c r="B16" s="437"/>
      <c r="C16" s="437"/>
      <c r="D16" s="437"/>
      <c r="E16" s="437"/>
      <c r="F16" s="437"/>
      <c r="G16" s="125">
        <f t="shared" ref="G16" si="0">G14+G15</f>
        <v>1260.0996976327199</v>
      </c>
    </row>
    <row r="17" spans="1:7">
      <c r="A17" s="354"/>
      <c r="B17" s="354"/>
      <c r="C17" s="354"/>
      <c r="D17" s="354"/>
      <c r="E17" s="354"/>
      <c r="F17" s="354"/>
      <c r="G17" s="126"/>
    </row>
    <row r="18" spans="1:7">
      <c r="A18" s="3" t="s">
        <v>330</v>
      </c>
      <c r="C18" s="358"/>
      <c r="F18" s="127"/>
    </row>
    <row r="19" spans="1:7">
      <c r="C19" s="358"/>
      <c r="F19" s="127"/>
    </row>
    <row r="20" spans="1:7">
      <c r="A20" s="128" t="s">
        <v>331</v>
      </c>
      <c r="B20" s="363">
        <f>125*2+75*2</f>
        <v>400</v>
      </c>
      <c r="C20" s="358"/>
      <c r="F20" s="127"/>
    </row>
    <row r="21" spans="1:7">
      <c r="A21" s="3" t="s">
        <v>332</v>
      </c>
      <c r="B21" s="95">
        <f>Zones!F7</f>
        <v>9374.9350535999984</v>
      </c>
      <c r="F21" s="127"/>
    </row>
    <row r="22" spans="1:7">
      <c r="A22" s="3" t="s">
        <v>333</v>
      </c>
      <c r="B22" s="353">
        <v>1</v>
      </c>
      <c r="F22" s="127"/>
    </row>
    <row r="23" spans="1:7" ht="12.75" customHeight="1">
      <c r="C23" s="128"/>
    </row>
    <row r="24" spans="1:7" ht="12.75" customHeight="1">
      <c r="A24" s="68"/>
      <c r="B24" s="68"/>
      <c r="C24" s="68"/>
    </row>
    <row r="26" spans="1:7" s="20" customFormat="1" ht="13.15" hidden="1" customHeight="1">
      <c r="A26" s="20" t="s">
        <v>39</v>
      </c>
      <c r="E26" s="21"/>
      <c r="F26" s="22"/>
      <c r="G26" s="23"/>
    </row>
  </sheetData>
  <mergeCells count="6">
    <mergeCell ref="A1:D1"/>
    <mergeCell ref="A14:F14"/>
    <mergeCell ref="A15:F15"/>
    <mergeCell ref="A16:F16"/>
    <mergeCell ref="A6:G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H27"/>
  <sheetViews>
    <sheetView workbookViewId="0">
      <selection sqref="A1:E1"/>
    </sheetView>
  </sheetViews>
  <sheetFormatPr defaultColWidth="8.7109375" defaultRowHeight="13.15"/>
  <cols>
    <col min="1" max="1" width="49" style="3" bestFit="1" customWidth="1"/>
    <col min="2" max="4" width="32.5703125" style="3" customWidth="1"/>
    <col min="5" max="5" width="37.5703125" style="3" customWidth="1"/>
    <col min="6" max="6" width="19.28515625" style="3" customWidth="1"/>
    <col min="7" max="7" width="35.28515625" style="3" customWidth="1"/>
    <col min="8" max="8" width="18.7109375" style="3" customWidth="1"/>
    <col min="9" max="9" width="14.28515625" style="3" customWidth="1"/>
    <col min="10" max="10" width="8.7109375" style="3"/>
    <col min="11" max="11" width="10.5703125" style="3" bestFit="1" customWidth="1"/>
    <col min="12" max="12" width="16.28515625" style="3" customWidth="1"/>
    <col min="13" max="13" width="10.7109375" style="3" bestFit="1" customWidth="1"/>
    <col min="14" max="14" width="10.5703125" style="3" bestFit="1" customWidth="1"/>
    <col min="15" max="16384" width="8.7109375" style="3"/>
  </cols>
  <sheetData>
    <row r="1" spans="1:8" ht="23.45" customHeight="1">
      <c r="A1" s="440" t="str">
        <f>"Equipment - "&amp;Prototype!A2</f>
        <v>Equipment - RetailStripMall</v>
      </c>
      <c r="B1" s="441"/>
      <c r="C1" s="441"/>
      <c r="D1" s="441"/>
      <c r="E1" s="442"/>
      <c r="F1" s="58"/>
    </row>
    <row r="2" spans="1:8" ht="21" customHeight="1">
      <c r="A2" s="157" t="s">
        <v>85</v>
      </c>
      <c r="B2" s="157" t="s">
        <v>334</v>
      </c>
      <c r="C2" s="157" t="s">
        <v>335</v>
      </c>
      <c r="D2" s="157" t="s">
        <v>336</v>
      </c>
      <c r="E2" s="157" t="s">
        <v>184</v>
      </c>
      <c r="F2" s="368"/>
    </row>
    <row r="3" spans="1:8" ht="75" customHeight="1">
      <c r="A3" s="360" t="str">
        <f>Zones!A3</f>
        <v>Retail Sales Area (Retail Merchandise Sales)</v>
      </c>
      <c r="B3" s="360">
        <v>0.4</v>
      </c>
      <c r="C3" s="360"/>
      <c r="D3" s="360"/>
      <c r="E3" s="359" t="s">
        <v>337</v>
      </c>
      <c r="F3" s="6"/>
    </row>
    <row r="4" spans="1:8" ht="18" customHeight="1">
      <c r="A4" s="368"/>
      <c r="B4" s="368"/>
      <c r="C4" s="368"/>
      <c r="D4" s="368"/>
      <c r="E4" s="352"/>
      <c r="F4" s="368"/>
      <c r="G4" s="6"/>
      <c r="H4" s="19"/>
    </row>
    <row r="6" spans="1:8">
      <c r="A6" s="4"/>
    </row>
    <row r="7" spans="1:8" ht="12.6" customHeight="1">
      <c r="A7" s="199"/>
    </row>
    <row r="8" spans="1:8" ht="13.9" customHeight="1"/>
    <row r="9" spans="1:8" s="20" customFormat="1" hidden="1">
      <c r="A9" s="20" t="s">
        <v>39</v>
      </c>
      <c r="F9" s="21"/>
      <c r="G9" s="22"/>
      <c r="H9" s="23"/>
    </row>
    <row r="10" spans="1:8" hidden="1"/>
    <row r="11" spans="1:8" ht="14.45" hidden="1">
      <c r="A11"/>
    </row>
    <row r="12" spans="1:8" hidden="1"/>
    <row r="13" spans="1:8" hidden="1"/>
    <row r="14" spans="1:8" hidden="1"/>
    <row r="15" spans="1:8" hidden="1"/>
    <row r="16" spans="1:8" hidden="1"/>
    <row r="17" hidden="1"/>
    <row r="18" hidden="1"/>
    <row r="19" hidden="1"/>
    <row r="20" hidden="1"/>
    <row r="21" hidden="1"/>
    <row r="22" hidden="1"/>
    <row r="23" hidden="1"/>
    <row r="24" hidden="1"/>
    <row r="25" hidden="1"/>
    <row r="26" hidden="1"/>
    <row r="27" hidden="1"/>
  </sheetData>
  <mergeCells count="1">
    <mergeCell ref="A1:E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BD104"/>
  <sheetViews>
    <sheetView zoomScale="80" zoomScaleNormal="80" workbookViewId="0"/>
  </sheetViews>
  <sheetFormatPr defaultColWidth="9.28515625" defaultRowHeight="11.45"/>
  <cols>
    <col min="1" max="1" width="9.28515625" style="44"/>
    <col min="2" max="2" width="18.28515625" style="44" customWidth="1"/>
    <col min="3" max="3" width="15.28515625" style="44" customWidth="1"/>
    <col min="4" max="4" width="26.140625" style="44" customWidth="1"/>
    <col min="5" max="5" width="9.28515625" style="44"/>
    <col min="6" max="29" width="5.7109375" style="44" customWidth="1"/>
    <col min="30" max="16384" width="9.28515625" style="44"/>
  </cols>
  <sheetData>
    <row r="1" spans="1:39" ht="24" customHeight="1">
      <c r="A1" s="420" t="str">
        <f>"Schedules - "&amp;Prototype!A2</f>
        <v>Schedules - RetailStripMall</v>
      </c>
      <c r="B1" s="420"/>
      <c r="C1" s="420"/>
      <c r="D1" s="420"/>
      <c r="E1" s="420"/>
      <c r="F1" s="420"/>
      <c r="G1" s="420"/>
      <c r="H1" s="420"/>
      <c r="I1" s="420"/>
      <c r="J1" s="420"/>
      <c r="K1" s="420"/>
      <c r="L1" s="420"/>
      <c r="M1" s="420"/>
      <c r="N1" s="420"/>
      <c r="O1" s="420"/>
      <c r="P1" s="420"/>
      <c r="Q1" s="420"/>
      <c r="R1" s="420"/>
      <c r="S1" s="420"/>
      <c r="T1" s="420"/>
      <c r="U1" s="420"/>
      <c r="V1" s="420"/>
      <c r="W1" s="420"/>
      <c r="X1" s="420"/>
      <c r="Y1" s="420"/>
      <c r="Z1" s="420"/>
      <c r="AA1" s="420"/>
      <c r="AB1" s="420"/>
      <c r="AC1" s="475"/>
      <c r="AD1" s="45"/>
      <c r="AE1" s="45"/>
      <c r="AF1" s="45"/>
      <c r="AG1" s="45"/>
      <c r="AH1" s="45"/>
      <c r="AI1" s="46"/>
      <c r="AJ1" s="46"/>
      <c r="AK1" s="46"/>
    </row>
    <row r="2" spans="1:39" ht="20.45" customHeight="1">
      <c r="A2" s="434" t="s">
        <v>338</v>
      </c>
      <c r="B2" s="434" t="s">
        <v>87</v>
      </c>
      <c r="C2" s="434" t="s">
        <v>339</v>
      </c>
      <c r="D2" s="434" t="s">
        <v>184</v>
      </c>
      <c r="E2" s="434" t="s">
        <v>340</v>
      </c>
      <c r="F2" s="471" t="s">
        <v>341</v>
      </c>
      <c r="G2" s="471"/>
      <c r="H2" s="471"/>
      <c r="I2" s="471"/>
      <c r="J2" s="471"/>
      <c r="K2" s="471"/>
      <c r="L2" s="471"/>
      <c r="M2" s="471"/>
      <c r="N2" s="471"/>
      <c r="O2" s="471"/>
      <c r="P2" s="471"/>
      <c r="Q2" s="471"/>
      <c r="R2" s="471"/>
      <c r="S2" s="471"/>
      <c r="T2" s="471"/>
      <c r="U2" s="471"/>
      <c r="V2" s="471"/>
      <c r="W2" s="471"/>
      <c r="X2" s="471"/>
      <c r="Y2" s="471"/>
      <c r="Z2" s="471"/>
      <c r="AA2" s="471"/>
      <c r="AB2" s="471"/>
      <c r="AC2" s="471"/>
      <c r="AD2" s="45"/>
      <c r="AE2" s="45"/>
      <c r="AF2" s="45"/>
      <c r="AG2" s="45"/>
      <c r="AH2" s="45"/>
      <c r="AI2" s="46"/>
      <c r="AJ2" s="46"/>
      <c r="AK2" s="46"/>
    </row>
    <row r="3" spans="1:39" ht="25.15" customHeight="1" thickBot="1">
      <c r="A3" s="455"/>
      <c r="B3" s="455"/>
      <c r="C3" s="455"/>
      <c r="D3" s="455"/>
      <c r="E3" s="455"/>
      <c r="F3" s="366">
        <v>1</v>
      </c>
      <c r="G3" s="366">
        <v>2</v>
      </c>
      <c r="H3" s="366">
        <v>3</v>
      </c>
      <c r="I3" s="366">
        <v>4</v>
      </c>
      <c r="J3" s="366">
        <v>5</v>
      </c>
      <c r="K3" s="366">
        <v>6</v>
      </c>
      <c r="L3" s="366">
        <v>7</v>
      </c>
      <c r="M3" s="366">
        <v>8</v>
      </c>
      <c r="N3" s="366">
        <v>9</v>
      </c>
      <c r="O3" s="366">
        <v>10</v>
      </c>
      <c r="P3" s="366">
        <v>11</v>
      </c>
      <c r="Q3" s="366">
        <v>12</v>
      </c>
      <c r="R3" s="366">
        <v>13</v>
      </c>
      <c r="S3" s="366">
        <v>14</v>
      </c>
      <c r="T3" s="366">
        <v>15</v>
      </c>
      <c r="U3" s="366">
        <v>16</v>
      </c>
      <c r="V3" s="366">
        <v>17</v>
      </c>
      <c r="W3" s="366">
        <v>18</v>
      </c>
      <c r="X3" s="366">
        <v>19</v>
      </c>
      <c r="Y3" s="366">
        <v>20</v>
      </c>
      <c r="Z3" s="366">
        <v>21</v>
      </c>
      <c r="AA3" s="366">
        <v>22</v>
      </c>
      <c r="AB3" s="366">
        <v>23</v>
      </c>
      <c r="AC3" s="366">
        <v>24</v>
      </c>
      <c r="AD3" s="46"/>
      <c r="AE3" s="46"/>
      <c r="AF3" s="46"/>
      <c r="AG3" s="46"/>
      <c r="AH3" s="46"/>
      <c r="AI3" s="46"/>
      <c r="AJ3" s="46"/>
      <c r="AK3" s="46"/>
    </row>
    <row r="4" spans="1:39" ht="33" customHeight="1">
      <c r="A4" s="443" t="s">
        <v>342</v>
      </c>
      <c r="B4" s="469" t="s">
        <v>98</v>
      </c>
      <c r="C4" s="459" t="s">
        <v>343</v>
      </c>
      <c r="D4" s="462" t="s">
        <v>344</v>
      </c>
      <c r="E4" s="235" t="s">
        <v>345</v>
      </c>
      <c r="F4" s="236">
        <v>0</v>
      </c>
      <c r="G4" s="236">
        <v>0</v>
      </c>
      <c r="H4" s="236">
        <v>0</v>
      </c>
      <c r="I4" s="236">
        <v>0</v>
      </c>
      <c r="J4" s="236">
        <v>0</v>
      </c>
      <c r="K4" s="236">
        <v>0</v>
      </c>
      <c r="L4" s="236">
        <v>0</v>
      </c>
      <c r="M4" s="236">
        <v>0.1</v>
      </c>
      <c r="N4" s="236">
        <v>0.2</v>
      </c>
      <c r="O4" s="236">
        <v>0.5</v>
      </c>
      <c r="P4" s="236">
        <v>0.5</v>
      </c>
      <c r="Q4" s="236">
        <v>0.7</v>
      </c>
      <c r="R4" s="236">
        <v>0.7</v>
      </c>
      <c r="S4" s="236">
        <v>0.7</v>
      </c>
      <c r="T4" s="236">
        <v>0.7</v>
      </c>
      <c r="U4" s="236">
        <v>0.8</v>
      </c>
      <c r="V4" s="236">
        <v>0.7</v>
      </c>
      <c r="W4" s="236">
        <v>0.5</v>
      </c>
      <c r="X4" s="236">
        <v>0.5</v>
      </c>
      <c r="Y4" s="236">
        <v>0.3</v>
      </c>
      <c r="Z4" s="236">
        <v>0.3</v>
      </c>
      <c r="AA4" s="236">
        <v>0</v>
      </c>
      <c r="AB4" s="236">
        <v>0</v>
      </c>
      <c r="AC4" s="237">
        <v>0</v>
      </c>
      <c r="AD4" s="46"/>
      <c r="AE4" s="46"/>
      <c r="AF4" s="46"/>
      <c r="AG4" s="46"/>
      <c r="AH4" s="46"/>
      <c r="AI4" s="46"/>
      <c r="AJ4" s="46"/>
      <c r="AK4" s="46"/>
    </row>
    <row r="5" spans="1:39" ht="33" customHeight="1">
      <c r="A5" s="444"/>
      <c r="B5" s="460"/>
      <c r="C5" s="460"/>
      <c r="D5" s="463"/>
      <c r="E5" s="238" t="s">
        <v>346</v>
      </c>
      <c r="F5" s="239">
        <v>0</v>
      </c>
      <c r="G5" s="239">
        <v>0</v>
      </c>
      <c r="H5" s="239">
        <v>0</v>
      </c>
      <c r="I5" s="239">
        <v>0</v>
      </c>
      <c r="J5" s="239">
        <v>0</v>
      </c>
      <c r="K5" s="239">
        <v>0</v>
      </c>
      <c r="L5" s="239">
        <v>0</v>
      </c>
      <c r="M5" s="239">
        <v>0.1</v>
      </c>
      <c r="N5" s="239">
        <v>0.2</v>
      </c>
      <c r="O5" s="239">
        <v>0.5</v>
      </c>
      <c r="P5" s="239">
        <v>0.6</v>
      </c>
      <c r="Q5" s="239">
        <v>0.8</v>
      </c>
      <c r="R5" s="239">
        <v>0.8</v>
      </c>
      <c r="S5" s="239">
        <v>0.8</v>
      </c>
      <c r="T5" s="239">
        <v>0.8</v>
      </c>
      <c r="U5" s="239">
        <v>0.8</v>
      </c>
      <c r="V5" s="239">
        <v>0.8</v>
      </c>
      <c r="W5" s="239">
        <v>0.6</v>
      </c>
      <c r="X5" s="239">
        <v>0.2</v>
      </c>
      <c r="Y5" s="239">
        <v>0.2</v>
      </c>
      <c r="Z5" s="239">
        <v>0.2</v>
      </c>
      <c r="AA5" s="239">
        <v>0.1</v>
      </c>
      <c r="AB5" s="239">
        <v>0</v>
      </c>
      <c r="AC5" s="240">
        <v>0</v>
      </c>
      <c r="AD5" s="46"/>
      <c r="AE5" s="46"/>
      <c r="AF5" s="46"/>
      <c r="AG5" s="46"/>
      <c r="AH5" s="46"/>
      <c r="AI5" s="46"/>
      <c r="AJ5" s="46"/>
      <c r="AK5" s="46"/>
    </row>
    <row r="6" spans="1:39" ht="33" customHeight="1" thickBot="1">
      <c r="A6" s="476"/>
      <c r="B6" s="461"/>
      <c r="C6" s="461"/>
      <c r="D6" s="464"/>
      <c r="E6" s="241" t="s">
        <v>347</v>
      </c>
      <c r="F6" s="242">
        <v>0</v>
      </c>
      <c r="G6" s="242">
        <v>0</v>
      </c>
      <c r="H6" s="242">
        <v>0</v>
      </c>
      <c r="I6" s="242">
        <v>0</v>
      </c>
      <c r="J6" s="242">
        <v>0</v>
      </c>
      <c r="K6" s="242">
        <v>0</v>
      </c>
      <c r="L6" s="242">
        <v>0</v>
      </c>
      <c r="M6" s="242">
        <v>0</v>
      </c>
      <c r="N6" s="242">
        <v>0</v>
      </c>
      <c r="O6" s="242">
        <v>0.1</v>
      </c>
      <c r="P6" s="242">
        <v>0.2</v>
      </c>
      <c r="Q6" s="242">
        <v>0.2</v>
      </c>
      <c r="R6" s="242">
        <v>0.4</v>
      </c>
      <c r="S6" s="242">
        <v>0.4</v>
      </c>
      <c r="T6" s="242">
        <v>0.4</v>
      </c>
      <c r="U6" s="242">
        <v>0.4</v>
      </c>
      <c r="V6" s="242">
        <v>0.4</v>
      </c>
      <c r="W6" s="242">
        <v>0.2</v>
      </c>
      <c r="X6" s="242">
        <v>0.1</v>
      </c>
      <c r="Y6" s="242">
        <v>0</v>
      </c>
      <c r="Z6" s="242">
        <v>0</v>
      </c>
      <c r="AA6" s="242">
        <v>0</v>
      </c>
      <c r="AB6" s="242">
        <v>0</v>
      </c>
      <c r="AC6" s="243">
        <v>0</v>
      </c>
      <c r="AD6" s="46"/>
      <c r="AE6" s="46"/>
      <c r="AF6" s="46"/>
      <c r="AG6" s="46"/>
      <c r="AH6" s="46"/>
      <c r="AI6" s="46"/>
      <c r="AJ6" s="46"/>
      <c r="AK6" s="46"/>
    </row>
    <row r="7" spans="1:39" ht="38.65" customHeight="1">
      <c r="A7" s="443" t="str">
        <f>A4</f>
        <v>All Zones</v>
      </c>
      <c r="B7" s="446" t="str">
        <f>B4</f>
        <v>Retail</v>
      </c>
      <c r="C7" s="459" t="s">
        <v>348</v>
      </c>
      <c r="D7" s="462" t="s">
        <v>344</v>
      </c>
      <c r="E7" s="244" t="s">
        <v>345</v>
      </c>
      <c r="F7" s="245">
        <v>0.05</v>
      </c>
      <c r="G7" s="245">
        <v>0.05</v>
      </c>
      <c r="H7" s="245">
        <v>0.05</v>
      </c>
      <c r="I7" s="245">
        <v>0.05</v>
      </c>
      <c r="J7" s="245">
        <v>0.05</v>
      </c>
      <c r="K7" s="245">
        <v>0.05</v>
      </c>
      <c r="L7" s="245">
        <v>0.05</v>
      </c>
      <c r="M7" s="245">
        <v>0.2</v>
      </c>
      <c r="N7" s="245">
        <v>0.5</v>
      </c>
      <c r="O7" s="245">
        <v>0.85</v>
      </c>
      <c r="P7" s="245">
        <v>0.85</v>
      </c>
      <c r="Q7" s="245">
        <v>0.85</v>
      </c>
      <c r="R7" s="245">
        <v>0.85</v>
      </c>
      <c r="S7" s="245">
        <v>0.85</v>
      </c>
      <c r="T7" s="245">
        <v>0.85</v>
      </c>
      <c r="U7" s="245">
        <v>0.85</v>
      </c>
      <c r="V7" s="245">
        <v>0.85</v>
      </c>
      <c r="W7" s="245">
        <v>0.85</v>
      </c>
      <c r="X7" s="245">
        <v>0.55000000000000004</v>
      </c>
      <c r="Y7" s="245">
        <v>0.55000000000000004</v>
      </c>
      <c r="Z7" s="245">
        <v>0.5</v>
      </c>
      <c r="AA7" s="245">
        <v>0.2</v>
      </c>
      <c r="AB7" s="245">
        <v>0.05</v>
      </c>
      <c r="AC7" s="246">
        <v>0.05</v>
      </c>
      <c r="AD7" s="46"/>
      <c r="AE7" s="46"/>
      <c r="AF7" s="46"/>
      <c r="AG7" s="46"/>
      <c r="AH7" s="46"/>
      <c r="AI7" s="46"/>
      <c r="AJ7" s="46"/>
      <c r="AK7" s="46"/>
      <c r="AM7" s="57"/>
    </row>
    <row r="8" spans="1:39" ht="38.65" customHeight="1">
      <c r="A8" s="444"/>
      <c r="B8" s="447"/>
      <c r="C8" s="460"/>
      <c r="D8" s="463"/>
      <c r="E8" s="247" t="s">
        <v>346</v>
      </c>
      <c r="F8" s="248">
        <v>0.05</v>
      </c>
      <c r="G8" s="248">
        <v>0.05</v>
      </c>
      <c r="H8" s="248">
        <v>0.05</v>
      </c>
      <c r="I8" s="248">
        <v>0.05</v>
      </c>
      <c r="J8" s="248">
        <v>0.05</v>
      </c>
      <c r="K8" s="248">
        <v>0.05</v>
      </c>
      <c r="L8" s="248">
        <v>0.05</v>
      </c>
      <c r="M8" s="248">
        <v>0.1</v>
      </c>
      <c r="N8" s="248">
        <v>0.3</v>
      </c>
      <c r="O8" s="248">
        <v>0.55000000000000004</v>
      </c>
      <c r="P8" s="248">
        <v>0.85</v>
      </c>
      <c r="Q8" s="248">
        <v>0.85</v>
      </c>
      <c r="R8" s="248">
        <v>0.85</v>
      </c>
      <c r="S8" s="248">
        <v>0.85</v>
      </c>
      <c r="T8" s="248">
        <v>0.85</v>
      </c>
      <c r="U8" s="248">
        <v>0.85</v>
      </c>
      <c r="V8" s="248">
        <v>0.85</v>
      </c>
      <c r="W8" s="248">
        <v>0.85</v>
      </c>
      <c r="X8" s="248">
        <v>0.5</v>
      </c>
      <c r="Y8" s="248">
        <v>0.3</v>
      </c>
      <c r="Z8" s="248">
        <v>0.3</v>
      </c>
      <c r="AA8" s="248">
        <v>0.1</v>
      </c>
      <c r="AB8" s="248">
        <v>0.05</v>
      </c>
      <c r="AC8" s="249">
        <v>0.05</v>
      </c>
      <c r="AD8" s="46"/>
      <c r="AE8" s="46"/>
      <c r="AF8" s="46"/>
      <c r="AG8" s="46"/>
      <c r="AH8" s="46"/>
      <c r="AI8" s="46"/>
      <c r="AJ8" s="46"/>
      <c r="AK8" s="46"/>
      <c r="AM8" s="57"/>
    </row>
    <row r="9" spans="1:39" ht="38.65" customHeight="1" thickBot="1">
      <c r="A9" s="476"/>
      <c r="B9" s="470"/>
      <c r="C9" s="461"/>
      <c r="D9" s="464"/>
      <c r="E9" s="250" t="s">
        <v>347</v>
      </c>
      <c r="F9" s="251">
        <v>0.05</v>
      </c>
      <c r="G9" s="251">
        <v>0.05</v>
      </c>
      <c r="H9" s="251">
        <v>0.05</v>
      </c>
      <c r="I9" s="251">
        <v>0.05</v>
      </c>
      <c r="J9" s="251">
        <v>0.05</v>
      </c>
      <c r="K9" s="251">
        <v>0.05</v>
      </c>
      <c r="L9" s="251">
        <v>0.05</v>
      </c>
      <c r="M9" s="251">
        <v>0.05</v>
      </c>
      <c r="N9" s="251">
        <v>0.1</v>
      </c>
      <c r="O9" s="251">
        <v>0.1</v>
      </c>
      <c r="P9" s="251">
        <v>0.4</v>
      </c>
      <c r="Q9" s="251">
        <v>0.4</v>
      </c>
      <c r="R9" s="251">
        <v>0.55000000000000004</v>
      </c>
      <c r="S9" s="251">
        <v>0.55000000000000004</v>
      </c>
      <c r="T9" s="251">
        <v>0.55000000000000004</v>
      </c>
      <c r="U9" s="251">
        <v>0.55000000000000004</v>
      </c>
      <c r="V9" s="251">
        <v>0.55000000000000004</v>
      </c>
      <c r="W9" s="251">
        <v>0.4</v>
      </c>
      <c r="X9" s="251">
        <v>0.2</v>
      </c>
      <c r="Y9" s="251">
        <v>0.05</v>
      </c>
      <c r="Z9" s="251">
        <v>0.05</v>
      </c>
      <c r="AA9" s="251">
        <v>0.05</v>
      </c>
      <c r="AB9" s="251">
        <v>0.05</v>
      </c>
      <c r="AC9" s="252">
        <v>0.05</v>
      </c>
      <c r="AD9" s="46"/>
      <c r="AE9" s="46"/>
      <c r="AF9" s="46"/>
      <c r="AG9" s="46"/>
      <c r="AH9" s="46"/>
      <c r="AI9" s="46"/>
      <c r="AJ9" s="46"/>
      <c r="AK9" s="46"/>
      <c r="AM9" s="57"/>
    </row>
    <row r="10" spans="1:39" ht="36" customHeight="1">
      <c r="A10" s="443" t="str">
        <f>A4</f>
        <v>All Zones</v>
      </c>
      <c r="B10" s="446" t="str">
        <f>B4</f>
        <v>Retail</v>
      </c>
      <c r="C10" s="456" t="s">
        <v>349</v>
      </c>
      <c r="D10" s="465" t="s">
        <v>350</v>
      </c>
      <c r="E10" s="253" t="s">
        <v>345</v>
      </c>
      <c r="F10" s="254">
        <v>0.4</v>
      </c>
      <c r="G10" s="254">
        <v>0.4</v>
      </c>
      <c r="H10" s="254">
        <v>0.4</v>
      </c>
      <c r="I10" s="254">
        <v>0.4</v>
      </c>
      <c r="J10" s="254">
        <v>0.4</v>
      </c>
      <c r="K10" s="254">
        <v>0.4</v>
      </c>
      <c r="L10" s="254">
        <v>0.6</v>
      </c>
      <c r="M10" s="254">
        <v>0.6</v>
      </c>
      <c r="N10" s="254">
        <v>0.9</v>
      </c>
      <c r="O10" s="254">
        <v>0.9</v>
      </c>
      <c r="P10" s="254">
        <v>0.9</v>
      </c>
      <c r="Q10" s="254">
        <v>0.9</v>
      </c>
      <c r="R10" s="254">
        <v>0.9</v>
      </c>
      <c r="S10" s="254">
        <v>0.9</v>
      </c>
      <c r="T10" s="254">
        <v>0.9</v>
      </c>
      <c r="U10" s="254">
        <v>0.9</v>
      </c>
      <c r="V10" s="254">
        <v>0.9</v>
      </c>
      <c r="W10" s="254">
        <v>0.9</v>
      </c>
      <c r="X10" s="254">
        <v>0.9</v>
      </c>
      <c r="Y10" s="254">
        <v>0.6</v>
      </c>
      <c r="Z10" s="254">
        <v>0.6</v>
      </c>
      <c r="AA10" s="254">
        <v>0.4</v>
      </c>
      <c r="AB10" s="254">
        <v>0.4</v>
      </c>
      <c r="AC10" s="255">
        <v>0.4</v>
      </c>
      <c r="AD10" s="47"/>
      <c r="AE10" s="46"/>
      <c r="AF10" s="46"/>
      <c r="AG10" s="46"/>
      <c r="AH10" s="46"/>
      <c r="AI10" s="46"/>
      <c r="AJ10" s="46"/>
      <c r="AK10" s="46"/>
      <c r="AM10" s="57"/>
    </row>
    <row r="11" spans="1:39" ht="36" customHeight="1">
      <c r="A11" s="444"/>
      <c r="B11" s="447"/>
      <c r="C11" s="457"/>
      <c r="D11" s="466"/>
      <c r="E11" s="247" t="s">
        <v>346</v>
      </c>
      <c r="F11" s="239">
        <v>0.4</v>
      </c>
      <c r="G11" s="239">
        <v>0.4</v>
      </c>
      <c r="H11" s="239">
        <v>0.4</v>
      </c>
      <c r="I11" s="239">
        <v>0.4</v>
      </c>
      <c r="J11" s="239">
        <v>0.4</v>
      </c>
      <c r="K11" s="239">
        <v>0.4</v>
      </c>
      <c r="L11" s="239">
        <v>0.6</v>
      </c>
      <c r="M11" s="239">
        <v>0.6</v>
      </c>
      <c r="N11" s="239">
        <v>0.9</v>
      </c>
      <c r="O11" s="239">
        <v>0.9</v>
      </c>
      <c r="P11" s="239">
        <v>0.9</v>
      </c>
      <c r="Q11" s="239">
        <v>0.9</v>
      </c>
      <c r="R11" s="239">
        <v>0.9</v>
      </c>
      <c r="S11" s="239">
        <v>0.9</v>
      </c>
      <c r="T11" s="239">
        <v>0.9</v>
      </c>
      <c r="U11" s="239">
        <v>0.9</v>
      </c>
      <c r="V11" s="239">
        <v>0.9</v>
      </c>
      <c r="W11" s="239">
        <v>0.9</v>
      </c>
      <c r="X11" s="239">
        <v>0.9</v>
      </c>
      <c r="Y11" s="239">
        <v>0.9</v>
      </c>
      <c r="Z11" s="239">
        <v>0.6</v>
      </c>
      <c r="AA11" s="239">
        <v>0.6</v>
      </c>
      <c r="AB11" s="239">
        <v>0.4</v>
      </c>
      <c r="AC11" s="256">
        <v>0.4</v>
      </c>
      <c r="AD11" s="47"/>
      <c r="AE11" s="46"/>
      <c r="AF11" s="46"/>
      <c r="AG11" s="46"/>
      <c r="AH11" s="46"/>
      <c r="AI11" s="46"/>
      <c r="AJ11" s="46"/>
      <c r="AK11" s="46"/>
      <c r="AM11" s="57"/>
    </row>
    <row r="12" spans="1:39" ht="36" customHeight="1" thickBot="1">
      <c r="A12" s="445"/>
      <c r="B12" s="448"/>
      <c r="C12" s="458"/>
      <c r="D12" s="467"/>
      <c r="E12" s="250" t="s">
        <v>347</v>
      </c>
      <c r="F12" s="257">
        <v>0.4</v>
      </c>
      <c r="G12" s="257">
        <v>0.4</v>
      </c>
      <c r="H12" s="257">
        <v>0.4</v>
      </c>
      <c r="I12" s="257">
        <v>0.4</v>
      </c>
      <c r="J12" s="257">
        <v>0.4</v>
      </c>
      <c r="K12" s="257">
        <v>0.4</v>
      </c>
      <c r="L12" s="257">
        <v>0.4</v>
      </c>
      <c r="M12" s="257">
        <v>0.4</v>
      </c>
      <c r="N12" s="257">
        <v>0.6</v>
      </c>
      <c r="O12" s="257">
        <v>0.6</v>
      </c>
      <c r="P12" s="257">
        <v>0.6</v>
      </c>
      <c r="Q12" s="257">
        <v>0.9</v>
      </c>
      <c r="R12" s="257">
        <v>0.9</v>
      </c>
      <c r="S12" s="257">
        <v>0.9</v>
      </c>
      <c r="T12" s="257">
        <v>0.9</v>
      </c>
      <c r="U12" s="257">
        <v>0.9</v>
      </c>
      <c r="V12" s="257">
        <v>0.9</v>
      </c>
      <c r="W12" s="257">
        <v>0.6</v>
      </c>
      <c r="X12" s="257">
        <v>0.6</v>
      </c>
      <c r="Y12" s="257">
        <v>0.4</v>
      </c>
      <c r="Z12" s="257">
        <v>0.4</v>
      </c>
      <c r="AA12" s="257">
        <v>0.4</v>
      </c>
      <c r="AB12" s="257">
        <v>0.4</v>
      </c>
      <c r="AC12" s="258">
        <v>0.4</v>
      </c>
      <c r="AD12" s="47"/>
      <c r="AE12" s="46"/>
      <c r="AF12" s="46"/>
      <c r="AG12" s="46"/>
      <c r="AH12" s="46"/>
      <c r="AI12" s="46"/>
      <c r="AJ12" s="46"/>
      <c r="AK12" s="46"/>
      <c r="AM12" s="57"/>
    </row>
    <row r="13" spans="1:39" ht="37.15" customHeight="1">
      <c r="A13" s="443" t="str">
        <f t="shared" ref="A13:B13" si="0">A7</f>
        <v>All Zones</v>
      </c>
      <c r="B13" s="446" t="str">
        <f t="shared" si="0"/>
        <v>Retail</v>
      </c>
      <c r="C13" s="456" t="s">
        <v>351</v>
      </c>
      <c r="D13" s="462" t="s">
        <v>344</v>
      </c>
      <c r="E13" s="259" t="s">
        <v>345</v>
      </c>
      <c r="F13" s="260">
        <v>0</v>
      </c>
      <c r="G13" s="260">
        <v>0</v>
      </c>
      <c r="H13" s="260">
        <v>0</v>
      </c>
      <c r="I13" s="260">
        <v>0</v>
      </c>
      <c r="J13" s="260">
        <v>0</v>
      </c>
      <c r="K13" s="260">
        <v>0</v>
      </c>
      <c r="L13" s="260">
        <v>1</v>
      </c>
      <c r="M13" s="260">
        <v>1</v>
      </c>
      <c r="N13" s="260">
        <v>1</v>
      </c>
      <c r="O13" s="260">
        <v>1</v>
      </c>
      <c r="P13" s="260">
        <v>1</v>
      </c>
      <c r="Q13" s="260">
        <v>1</v>
      </c>
      <c r="R13" s="260">
        <v>1</v>
      </c>
      <c r="S13" s="260">
        <v>1</v>
      </c>
      <c r="T13" s="260">
        <v>1</v>
      </c>
      <c r="U13" s="260">
        <v>1</v>
      </c>
      <c r="V13" s="260">
        <v>1</v>
      </c>
      <c r="W13" s="260">
        <v>1</v>
      </c>
      <c r="X13" s="260">
        <v>1</v>
      </c>
      <c r="Y13" s="260">
        <v>1</v>
      </c>
      <c r="Z13" s="260">
        <v>1</v>
      </c>
      <c r="AA13" s="260">
        <v>0</v>
      </c>
      <c r="AB13" s="260">
        <v>0</v>
      </c>
      <c r="AC13" s="261">
        <v>0</v>
      </c>
    </row>
    <row r="14" spans="1:39" ht="37.15" customHeight="1">
      <c r="A14" s="444"/>
      <c r="B14" s="447"/>
      <c r="C14" s="457"/>
      <c r="D14" s="463"/>
      <c r="E14" s="262" t="s">
        <v>346</v>
      </c>
      <c r="F14" s="263">
        <v>0</v>
      </c>
      <c r="G14" s="263">
        <v>0</v>
      </c>
      <c r="H14" s="263">
        <v>0</v>
      </c>
      <c r="I14" s="263">
        <v>0</v>
      </c>
      <c r="J14" s="263">
        <v>0</v>
      </c>
      <c r="K14" s="263">
        <v>0</v>
      </c>
      <c r="L14" s="263">
        <v>1</v>
      </c>
      <c r="M14" s="263">
        <v>1</v>
      </c>
      <c r="N14" s="263">
        <v>1</v>
      </c>
      <c r="O14" s="263">
        <v>1</v>
      </c>
      <c r="P14" s="263">
        <v>1</v>
      </c>
      <c r="Q14" s="263">
        <v>1</v>
      </c>
      <c r="R14" s="263">
        <v>1</v>
      </c>
      <c r="S14" s="263">
        <v>1</v>
      </c>
      <c r="T14" s="263">
        <v>1</v>
      </c>
      <c r="U14" s="263">
        <v>1</v>
      </c>
      <c r="V14" s="263">
        <v>1</v>
      </c>
      <c r="W14" s="263">
        <v>1</v>
      </c>
      <c r="X14" s="263">
        <v>1</v>
      </c>
      <c r="Y14" s="263">
        <v>1</v>
      </c>
      <c r="Z14" s="263">
        <v>1</v>
      </c>
      <c r="AA14" s="263">
        <v>1</v>
      </c>
      <c r="AB14" s="263">
        <v>0</v>
      </c>
      <c r="AC14" s="264">
        <v>0</v>
      </c>
    </row>
    <row r="15" spans="1:39" ht="37.15" customHeight="1" thickBot="1">
      <c r="A15" s="445"/>
      <c r="B15" s="448"/>
      <c r="C15" s="468"/>
      <c r="D15" s="464"/>
      <c r="E15" s="265" t="s">
        <v>347</v>
      </c>
      <c r="F15" s="266">
        <v>0</v>
      </c>
      <c r="G15" s="266">
        <v>0</v>
      </c>
      <c r="H15" s="266">
        <v>0</v>
      </c>
      <c r="I15" s="266">
        <v>0</v>
      </c>
      <c r="J15" s="266">
        <v>0</v>
      </c>
      <c r="K15" s="266">
        <v>0</v>
      </c>
      <c r="L15" s="266">
        <v>0</v>
      </c>
      <c r="M15" s="266">
        <v>0</v>
      </c>
      <c r="N15" s="266">
        <v>1</v>
      </c>
      <c r="O15" s="266">
        <v>1</v>
      </c>
      <c r="P15" s="266">
        <v>1</v>
      </c>
      <c r="Q15" s="266">
        <v>1</v>
      </c>
      <c r="R15" s="266">
        <v>1</v>
      </c>
      <c r="S15" s="266">
        <v>1</v>
      </c>
      <c r="T15" s="266">
        <v>1</v>
      </c>
      <c r="U15" s="266">
        <v>1</v>
      </c>
      <c r="V15" s="266">
        <v>1</v>
      </c>
      <c r="W15" s="266">
        <v>1</v>
      </c>
      <c r="X15" s="266">
        <v>1</v>
      </c>
      <c r="Y15" s="266">
        <v>0</v>
      </c>
      <c r="Z15" s="266">
        <v>0</v>
      </c>
      <c r="AA15" s="266">
        <v>0</v>
      </c>
      <c r="AB15" s="266">
        <v>0</v>
      </c>
      <c r="AC15" s="267">
        <v>0</v>
      </c>
    </row>
    <row r="16" spans="1:39" ht="37.15" customHeight="1">
      <c r="A16" s="443" t="str">
        <f t="shared" ref="A16:B16" si="1">A10</f>
        <v>All Zones</v>
      </c>
      <c r="B16" s="446" t="str">
        <f t="shared" si="1"/>
        <v>Retail</v>
      </c>
      <c r="C16" s="450" t="s">
        <v>352</v>
      </c>
      <c r="D16" s="462" t="s">
        <v>344</v>
      </c>
      <c r="E16" s="259" t="s">
        <v>345</v>
      </c>
      <c r="F16" s="260">
        <v>0.04</v>
      </c>
      <c r="G16" s="260">
        <v>0.05</v>
      </c>
      <c r="H16" s="260">
        <v>0.05</v>
      </c>
      <c r="I16" s="260">
        <v>0.04</v>
      </c>
      <c r="J16" s="260">
        <v>0.04</v>
      </c>
      <c r="K16" s="260">
        <v>0.04</v>
      </c>
      <c r="L16" s="260">
        <v>0.04</v>
      </c>
      <c r="M16" s="260">
        <v>0.15</v>
      </c>
      <c r="N16" s="260">
        <v>0.23</v>
      </c>
      <c r="O16" s="260">
        <v>0.32</v>
      </c>
      <c r="P16" s="260">
        <v>0.41</v>
      </c>
      <c r="Q16" s="260">
        <v>0.56999999999999995</v>
      </c>
      <c r="R16" s="260">
        <v>0.62</v>
      </c>
      <c r="S16" s="260">
        <v>0.61</v>
      </c>
      <c r="T16" s="260">
        <v>0.5</v>
      </c>
      <c r="U16" s="260">
        <v>0.45</v>
      </c>
      <c r="V16" s="260">
        <v>0.46</v>
      </c>
      <c r="W16" s="260">
        <v>0.47</v>
      </c>
      <c r="X16" s="260">
        <v>0.42</v>
      </c>
      <c r="Y16" s="260">
        <v>0.34</v>
      </c>
      <c r="Z16" s="260">
        <v>0.33</v>
      </c>
      <c r="AA16" s="260">
        <v>0.23</v>
      </c>
      <c r="AB16" s="260">
        <v>0.13</v>
      </c>
      <c r="AC16" s="261">
        <v>0.08</v>
      </c>
    </row>
    <row r="17" spans="1:29" ht="37.15" customHeight="1">
      <c r="A17" s="444"/>
      <c r="B17" s="447"/>
      <c r="C17" s="450"/>
      <c r="D17" s="463"/>
      <c r="E17" s="262" t="s">
        <v>346</v>
      </c>
      <c r="F17" s="263">
        <v>0.11</v>
      </c>
      <c r="G17" s="263">
        <v>0.1</v>
      </c>
      <c r="H17" s="263">
        <v>0.08</v>
      </c>
      <c r="I17" s="263">
        <v>0.06</v>
      </c>
      <c r="J17" s="263">
        <v>0.06</v>
      </c>
      <c r="K17" s="263">
        <v>0.06</v>
      </c>
      <c r="L17" s="263">
        <v>7.0000000000000007E-2</v>
      </c>
      <c r="M17" s="263">
        <v>0.2</v>
      </c>
      <c r="N17" s="263">
        <v>0.24</v>
      </c>
      <c r="O17" s="263">
        <v>0.27</v>
      </c>
      <c r="P17" s="263">
        <v>0.42</v>
      </c>
      <c r="Q17" s="263">
        <v>0.54</v>
      </c>
      <c r="R17" s="263">
        <v>0.59</v>
      </c>
      <c r="S17" s="263">
        <v>0.6</v>
      </c>
      <c r="T17" s="263">
        <v>0.49</v>
      </c>
      <c r="U17" s="263">
        <v>0.48</v>
      </c>
      <c r="V17" s="263">
        <v>0.47</v>
      </c>
      <c r="W17" s="263">
        <v>0.46</v>
      </c>
      <c r="X17" s="263">
        <v>0.44</v>
      </c>
      <c r="Y17" s="263">
        <v>0.36</v>
      </c>
      <c r="Z17" s="263">
        <v>0.28999999999999998</v>
      </c>
      <c r="AA17" s="263">
        <v>0.22</v>
      </c>
      <c r="AB17" s="263">
        <v>0.16</v>
      </c>
      <c r="AC17" s="264">
        <v>0.13</v>
      </c>
    </row>
    <row r="18" spans="1:29" ht="37.15" customHeight="1" thickBot="1">
      <c r="A18" s="445"/>
      <c r="B18" s="448"/>
      <c r="C18" s="450"/>
      <c r="D18" s="464"/>
      <c r="E18" s="265" t="s">
        <v>347</v>
      </c>
      <c r="F18" s="266">
        <v>7.0000000000000007E-2</v>
      </c>
      <c r="G18" s="266">
        <v>7.0000000000000007E-2</v>
      </c>
      <c r="H18" s="266">
        <v>7.0000000000000007E-2</v>
      </c>
      <c r="I18" s="266">
        <v>0.06</v>
      </c>
      <c r="J18" s="266">
        <v>0.06</v>
      </c>
      <c r="K18" s="266">
        <v>0.06</v>
      </c>
      <c r="L18" s="266">
        <v>7.0000000000000007E-2</v>
      </c>
      <c r="M18" s="266">
        <v>0.1</v>
      </c>
      <c r="N18" s="266">
        <v>0.12</v>
      </c>
      <c r="O18" s="266">
        <v>0.14000000000000001</v>
      </c>
      <c r="P18" s="266">
        <v>0.28999999999999998</v>
      </c>
      <c r="Q18" s="266">
        <v>0.31</v>
      </c>
      <c r="R18" s="266">
        <v>0.36</v>
      </c>
      <c r="S18" s="266">
        <v>0.36</v>
      </c>
      <c r="T18" s="266">
        <v>0.34</v>
      </c>
      <c r="U18" s="266">
        <v>0.35</v>
      </c>
      <c r="V18" s="266">
        <v>0.37</v>
      </c>
      <c r="W18" s="266">
        <v>0.34</v>
      </c>
      <c r="X18" s="266">
        <v>0.25</v>
      </c>
      <c r="Y18" s="266">
        <v>0.27</v>
      </c>
      <c r="Z18" s="266">
        <v>0.21</v>
      </c>
      <c r="AA18" s="266">
        <v>0.16</v>
      </c>
      <c r="AB18" s="266">
        <v>0.1</v>
      </c>
      <c r="AC18" s="267">
        <v>0.06</v>
      </c>
    </row>
    <row r="19" spans="1:29" ht="37.15" customHeight="1">
      <c r="A19" s="443" t="str">
        <f t="shared" ref="A19:B19" si="2">A13</f>
        <v>All Zones</v>
      </c>
      <c r="B19" s="446" t="str">
        <f t="shared" si="2"/>
        <v>Retail</v>
      </c>
      <c r="C19" s="449" t="s">
        <v>164</v>
      </c>
      <c r="D19" s="462" t="s">
        <v>344</v>
      </c>
      <c r="E19" s="259" t="s">
        <v>345</v>
      </c>
      <c r="F19" s="260">
        <v>1</v>
      </c>
      <c r="G19" s="260">
        <v>1</v>
      </c>
      <c r="H19" s="260">
        <v>1</v>
      </c>
      <c r="I19" s="260">
        <v>1</v>
      </c>
      <c r="J19" s="260">
        <v>1</v>
      </c>
      <c r="K19" s="260">
        <v>1</v>
      </c>
      <c r="L19" s="260">
        <v>0.25</v>
      </c>
      <c r="M19" s="260">
        <v>0.25</v>
      </c>
      <c r="N19" s="260">
        <v>0.25</v>
      </c>
      <c r="O19" s="260">
        <v>0.25</v>
      </c>
      <c r="P19" s="260">
        <v>0.25</v>
      </c>
      <c r="Q19" s="260">
        <v>0.25</v>
      </c>
      <c r="R19" s="260">
        <v>0.25</v>
      </c>
      <c r="S19" s="260">
        <v>0.25</v>
      </c>
      <c r="T19" s="260">
        <v>0.25</v>
      </c>
      <c r="U19" s="260">
        <v>0.25</v>
      </c>
      <c r="V19" s="260">
        <v>0.25</v>
      </c>
      <c r="W19" s="260">
        <v>0.25</v>
      </c>
      <c r="X19" s="260">
        <v>0.25</v>
      </c>
      <c r="Y19" s="260">
        <v>0.25</v>
      </c>
      <c r="Z19" s="260">
        <v>0.25</v>
      </c>
      <c r="AA19" s="260">
        <v>1</v>
      </c>
      <c r="AB19" s="260">
        <v>1</v>
      </c>
      <c r="AC19" s="261">
        <v>1</v>
      </c>
    </row>
    <row r="20" spans="1:29" ht="37.15" customHeight="1">
      <c r="A20" s="444"/>
      <c r="B20" s="447"/>
      <c r="C20" s="450"/>
      <c r="D20" s="463"/>
      <c r="E20" s="262" t="s">
        <v>346</v>
      </c>
      <c r="F20" s="263">
        <v>1</v>
      </c>
      <c r="G20" s="263">
        <v>1</v>
      </c>
      <c r="H20" s="263">
        <v>1</v>
      </c>
      <c r="I20" s="263">
        <v>1</v>
      </c>
      <c r="J20" s="263">
        <v>1</v>
      </c>
      <c r="K20" s="263">
        <v>1</v>
      </c>
      <c r="L20" s="263">
        <v>0.25</v>
      </c>
      <c r="M20" s="263">
        <v>0.25</v>
      </c>
      <c r="N20" s="263">
        <v>0.25</v>
      </c>
      <c r="O20" s="263">
        <v>0.25</v>
      </c>
      <c r="P20" s="263">
        <v>0.25</v>
      </c>
      <c r="Q20" s="263">
        <v>0.25</v>
      </c>
      <c r="R20" s="263">
        <v>0.25</v>
      </c>
      <c r="S20" s="263">
        <v>0.25</v>
      </c>
      <c r="T20" s="263">
        <v>0.25</v>
      </c>
      <c r="U20" s="263">
        <v>0.25</v>
      </c>
      <c r="V20" s="263">
        <v>0.25</v>
      </c>
      <c r="W20" s="263">
        <v>0.25</v>
      </c>
      <c r="X20" s="263">
        <v>0.25</v>
      </c>
      <c r="Y20" s="263">
        <v>0.25</v>
      </c>
      <c r="Z20" s="263">
        <v>0.25</v>
      </c>
      <c r="AA20" s="263">
        <v>0.25</v>
      </c>
      <c r="AB20" s="263">
        <v>1</v>
      </c>
      <c r="AC20" s="264">
        <v>1</v>
      </c>
    </row>
    <row r="21" spans="1:29" ht="37.15" customHeight="1" thickBot="1">
      <c r="A21" s="445"/>
      <c r="B21" s="448"/>
      <c r="C21" s="451"/>
      <c r="D21" s="464"/>
      <c r="E21" s="271" t="s">
        <v>347</v>
      </c>
      <c r="F21" s="289">
        <v>1</v>
      </c>
      <c r="G21" s="289">
        <v>1</v>
      </c>
      <c r="H21" s="289">
        <v>1</v>
      </c>
      <c r="I21" s="289">
        <v>1</v>
      </c>
      <c r="J21" s="289">
        <v>1</v>
      </c>
      <c r="K21" s="289">
        <v>1</v>
      </c>
      <c r="L21" s="289">
        <v>1</v>
      </c>
      <c r="M21" s="289">
        <v>1</v>
      </c>
      <c r="N21" s="289">
        <v>0.25</v>
      </c>
      <c r="O21" s="289">
        <v>0.25</v>
      </c>
      <c r="P21" s="289">
        <v>0.25</v>
      </c>
      <c r="Q21" s="289">
        <v>0.25</v>
      </c>
      <c r="R21" s="289">
        <v>0.25</v>
      </c>
      <c r="S21" s="289">
        <v>0.25</v>
      </c>
      <c r="T21" s="289">
        <v>0.25</v>
      </c>
      <c r="U21" s="289">
        <v>0.25</v>
      </c>
      <c r="V21" s="289">
        <v>0.25</v>
      </c>
      <c r="W21" s="289">
        <v>0.25</v>
      </c>
      <c r="X21" s="289">
        <v>0.25</v>
      </c>
      <c r="Y21" s="289">
        <v>1</v>
      </c>
      <c r="Z21" s="289">
        <v>1</v>
      </c>
      <c r="AA21" s="289">
        <v>1</v>
      </c>
      <c r="AB21" s="289">
        <v>1</v>
      </c>
      <c r="AC21" s="290">
        <v>1</v>
      </c>
    </row>
    <row r="22" spans="1:29" ht="37.15" customHeight="1">
      <c r="A22" s="443" t="str">
        <f t="shared" ref="A22:B22" si="3">A16</f>
        <v>All Zones</v>
      </c>
      <c r="B22" s="446" t="str">
        <f t="shared" si="3"/>
        <v>Retail</v>
      </c>
      <c r="C22" s="449" t="s">
        <v>353</v>
      </c>
      <c r="D22" s="452" t="s">
        <v>344</v>
      </c>
      <c r="E22" s="295" t="s">
        <v>345</v>
      </c>
      <c r="F22" s="236">
        <v>0.9</v>
      </c>
      <c r="G22" s="236">
        <v>0.9</v>
      </c>
      <c r="H22" s="236">
        <v>0.9</v>
      </c>
      <c r="I22" s="236">
        <v>0.9</v>
      </c>
      <c r="J22" s="236">
        <v>0.9</v>
      </c>
      <c r="K22" s="236">
        <v>0.9</v>
      </c>
      <c r="L22" s="236">
        <v>0.9</v>
      </c>
      <c r="M22" s="236">
        <v>0.9</v>
      </c>
      <c r="N22" s="236">
        <v>0.9</v>
      </c>
      <c r="O22" s="236">
        <v>0.9</v>
      </c>
      <c r="P22" s="236">
        <v>0.9</v>
      </c>
      <c r="Q22" s="236">
        <v>0.9</v>
      </c>
      <c r="R22" s="236">
        <v>0.9</v>
      </c>
      <c r="S22" s="236">
        <v>0.9</v>
      </c>
      <c r="T22" s="236">
        <v>0.9</v>
      </c>
      <c r="U22" s="236">
        <v>0.9</v>
      </c>
      <c r="V22" s="236">
        <v>0.9</v>
      </c>
      <c r="W22" s="236">
        <v>0.9</v>
      </c>
      <c r="X22" s="236">
        <v>0.9</v>
      </c>
      <c r="Y22" s="236">
        <v>0.9</v>
      </c>
      <c r="Z22" s="236">
        <v>0.9</v>
      </c>
      <c r="AA22" s="236">
        <v>0.9</v>
      </c>
      <c r="AB22" s="236">
        <v>0.9</v>
      </c>
      <c r="AC22" s="237">
        <v>0.9</v>
      </c>
    </row>
    <row r="23" spans="1:29" ht="37.15" customHeight="1">
      <c r="A23" s="444"/>
      <c r="B23" s="447"/>
      <c r="C23" s="450"/>
      <c r="D23" s="453"/>
      <c r="E23" s="296" t="s">
        <v>346</v>
      </c>
      <c r="F23" s="239">
        <v>0.9</v>
      </c>
      <c r="G23" s="239">
        <v>0.9</v>
      </c>
      <c r="H23" s="239">
        <v>0.9</v>
      </c>
      <c r="I23" s="239">
        <v>0.9</v>
      </c>
      <c r="J23" s="239">
        <v>0.9</v>
      </c>
      <c r="K23" s="239">
        <v>0.9</v>
      </c>
      <c r="L23" s="239">
        <v>0.9</v>
      </c>
      <c r="M23" s="239">
        <v>0.9</v>
      </c>
      <c r="N23" s="239">
        <v>0.9</v>
      </c>
      <c r="O23" s="239">
        <v>0.9</v>
      </c>
      <c r="P23" s="239">
        <v>0.9</v>
      </c>
      <c r="Q23" s="239">
        <v>0.9</v>
      </c>
      <c r="R23" s="239">
        <v>0.9</v>
      </c>
      <c r="S23" s="239">
        <v>0.9</v>
      </c>
      <c r="T23" s="239">
        <v>0.9</v>
      </c>
      <c r="U23" s="239">
        <v>0.9</v>
      </c>
      <c r="V23" s="239">
        <v>0.9</v>
      </c>
      <c r="W23" s="239">
        <v>0.9</v>
      </c>
      <c r="X23" s="239">
        <v>0.9</v>
      </c>
      <c r="Y23" s="239">
        <v>0.9</v>
      </c>
      <c r="Z23" s="239">
        <v>0.9</v>
      </c>
      <c r="AA23" s="239">
        <v>0.9</v>
      </c>
      <c r="AB23" s="239">
        <v>0.9</v>
      </c>
      <c r="AC23" s="240">
        <v>0.9</v>
      </c>
    </row>
    <row r="24" spans="1:29" ht="37.15" customHeight="1" thickBot="1">
      <c r="A24" s="445"/>
      <c r="B24" s="448"/>
      <c r="C24" s="451"/>
      <c r="D24" s="454"/>
      <c r="E24" s="297" t="s">
        <v>347</v>
      </c>
      <c r="F24" s="242">
        <v>0.9</v>
      </c>
      <c r="G24" s="242">
        <v>0.9</v>
      </c>
      <c r="H24" s="242">
        <v>0.9</v>
      </c>
      <c r="I24" s="242">
        <v>0.9</v>
      </c>
      <c r="J24" s="242">
        <v>0.9</v>
      </c>
      <c r="K24" s="242">
        <v>0.9</v>
      </c>
      <c r="L24" s="242">
        <v>0.9</v>
      </c>
      <c r="M24" s="242">
        <v>0.9</v>
      </c>
      <c r="N24" s="242">
        <v>0.9</v>
      </c>
      <c r="O24" s="242">
        <v>0.9</v>
      </c>
      <c r="P24" s="242">
        <v>0.9</v>
      </c>
      <c r="Q24" s="242">
        <v>0.9</v>
      </c>
      <c r="R24" s="242">
        <v>0.9</v>
      </c>
      <c r="S24" s="242">
        <v>0.9</v>
      </c>
      <c r="T24" s="242">
        <v>0.9</v>
      </c>
      <c r="U24" s="242">
        <v>0.9</v>
      </c>
      <c r="V24" s="242">
        <v>0.9</v>
      </c>
      <c r="W24" s="242">
        <v>0.9</v>
      </c>
      <c r="X24" s="242">
        <v>0.9</v>
      </c>
      <c r="Y24" s="242">
        <v>0.9</v>
      </c>
      <c r="Z24" s="242">
        <v>0.9</v>
      </c>
      <c r="AA24" s="242">
        <v>0.9</v>
      </c>
      <c r="AB24" s="242">
        <v>0.9</v>
      </c>
      <c r="AC24" s="243">
        <v>0.9</v>
      </c>
    </row>
    <row r="25" spans="1:29" ht="37.15" customHeight="1">
      <c r="A25" s="443" t="str">
        <f t="shared" ref="A25:B25" si="4">A16</f>
        <v>All Zones</v>
      </c>
      <c r="B25" s="446" t="str">
        <f t="shared" si="4"/>
        <v>Retail</v>
      </c>
      <c r="C25" s="477" t="s">
        <v>354</v>
      </c>
      <c r="D25" s="462" t="s">
        <v>344</v>
      </c>
      <c r="E25" s="291" t="s">
        <v>345</v>
      </c>
      <c r="F25" s="292">
        <f>IF(F13=1,Thermostat!$B$3,Thermostat!$B$4)</f>
        <v>60</v>
      </c>
      <c r="G25" s="293">
        <f>IF(G13=1,Thermostat!$B$3,Thermostat!$B$4)</f>
        <v>60</v>
      </c>
      <c r="H25" s="293">
        <f>IF(H13=1,Thermostat!$B$3,Thermostat!$B$4)</f>
        <v>60</v>
      </c>
      <c r="I25" s="293">
        <f>IF(I13=1,Thermostat!$B$3,Thermostat!$B$4)</f>
        <v>60</v>
      </c>
      <c r="J25" s="293">
        <f>IF(J13=1,Thermostat!$B$3,Thermostat!$B$4)</f>
        <v>60</v>
      </c>
      <c r="K25" s="293">
        <f>IF(K13=1,Thermostat!$B$3,Thermostat!$B$4)</f>
        <v>60</v>
      </c>
      <c r="L25" s="293">
        <f>IF(L13=1,Thermostat!$B$3,Thermostat!$B$4)</f>
        <v>70</v>
      </c>
      <c r="M25" s="293">
        <f>IF(M13=1,Thermostat!$B$3,Thermostat!$B$4)</f>
        <v>70</v>
      </c>
      <c r="N25" s="293">
        <f>IF(N13=1,Thermostat!$B$3,Thermostat!$B$4)</f>
        <v>70</v>
      </c>
      <c r="O25" s="293">
        <f>IF(O13=1,Thermostat!$B$3,Thermostat!$B$4)</f>
        <v>70</v>
      </c>
      <c r="P25" s="293">
        <f>IF(P13=1,Thermostat!$B$3,Thermostat!$B$4)</f>
        <v>70</v>
      </c>
      <c r="Q25" s="293">
        <f>IF(Q13=1,Thermostat!$B$3,Thermostat!$B$4)</f>
        <v>70</v>
      </c>
      <c r="R25" s="293">
        <f>IF(R13=1,Thermostat!$B$3,Thermostat!$B$4)</f>
        <v>70</v>
      </c>
      <c r="S25" s="293">
        <f>IF(S13=1,Thermostat!$B$3,Thermostat!$B$4)</f>
        <v>70</v>
      </c>
      <c r="T25" s="293">
        <f>IF(T13=1,Thermostat!$B$3,Thermostat!$B$4)</f>
        <v>70</v>
      </c>
      <c r="U25" s="293">
        <f>IF(U13=1,Thermostat!$B$3,Thermostat!$B$4)</f>
        <v>70</v>
      </c>
      <c r="V25" s="293">
        <f>IF(V13=1,Thermostat!$B$3,Thermostat!$B$4)</f>
        <v>70</v>
      </c>
      <c r="W25" s="293">
        <f>IF(W13=1,Thermostat!$B$3,Thermostat!$B$4)</f>
        <v>70</v>
      </c>
      <c r="X25" s="293">
        <f>IF(X13=1,Thermostat!$B$3,Thermostat!$B$4)</f>
        <v>70</v>
      </c>
      <c r="Y25" s="293">
        <f>IF(Y13=1,Thermostat!$B$3,Thermostat!$B$4)</f>
        <v>70</v>
      </c>
      <c r="Z25" s="293">
        <f>IF(Z13=1,Thermostat!$B$3,Thermostat!$B$4)</f>
        <v>70</v>
      </c>
      <c r="AA25" s="293">
        <f>IF(AA13=1,Thermostat!$B$3,Thermostat!$B$4)</f>
        <v>60</v>
      </c>
      <c r="AB25" s="293">
        <f>IF(AB13=1,Thermostat!$B$3,Thermostat!$B$4)</f>
        <v>60</v>
      </c>
      <c r="AC25" s="294">
        <f>IF(AC13=1,Thermostat!$B$3,Thermostat!$B$4)</f>
        <v>60</v>
      </c>
    </row>
    <row r="26" spans="1:29" ht="37.15" customHeight="1">
      <c r="A26" s="444"/>
      <c r="B26" s="447"/>
      <c r="C26" s="457"/>
      <c r="D26" s="463"/>
      <c r="E26" s="262" t="s">
        <v>346</v>
      </c>
      <c r="F26" s="268">
        <f>IF(F14=1,Thermostat!$B$3,Thermostat!$B$4)</f>
        <v>60</v>
      </c>
      <c r="G26" s="269">
        <f>IF(G14=1,Thermostat!$B$3,Thermostat!$B$4)</f>
        <v>60</v>
      </c>
      <c r="H26" s="269">
        <f>IF(H14=1,Thermostat!$B$3,Thermostat!$B$4)</f>
        <v>60</v>
      </c>
      <c r="I26" s="269">
        <f>IF(I14=1,Thermostat!$B$3,Thermostat!$B$4)</f>
        <v>60</v>
      </c>
      <c r="J26" s="269">
        <f>IF(J14=1,Thermostat!$B$3,Thermostat!$B$4)</f>
        <v>60</v>
      </c>
      <c r="K26" s="269">
        <f>IF(K14=1,Thermostat!$B$3,Thermostat!$B$4)</f>
        <v>60</v>
      </c>
      <c r="L26" s="269">
        <f>IF(L14=1,Thermostat!$B$3,Thermostat!$B$4)</f>
        <v>70</v>
      </c>
      <c r="M26" s="269">
        <f>IF(M14=1,Thermostat!$B$3,Thermostat!$B$4)</f>
        <v>70</v>
      </c>
      <c r="N26" s="269">
        <f>IF(N14=1,Thermostat!$B$3,Thermostat!$B$4)</f>
        <v>70</v>
      </c>
      <c r="O26" s="269">
        <f>IF(O14=1,Thermostat!$B$3,Thermostat!$B$4)</f>
        <v>70</v>
      </c>
      <c r="P26" s="269">
        <f>IF(P14=1,Thermostat!$B$3,Thermostat!$B$4)</f>
        <v>70</v>
      </c>
      <c r="Q26" s="269">
        <f>IF(Q14=1,Thermostat!$B$3,Thermostat!$B$4)</f>
        <v>70</v>
      </c>
      <c r="R26" s="269">
        <f>IF(R14=1,Thermostat!$B$3,Thermostat!$B$4)</f>
        <v>70</v>
      </c>
      <c r="S26" s="269">
        <f>IF(S14=1,Thermostat!$B$3,Thermostat!$B$4)</f>
        <v>70</v>
      </c>
      <c r="T26" s="269">
        <f>IF(T14=1,Thermostat!$B$3,Thermostat!$B$4)</f>
        <v>70</v>
      </c>
      <c r="U26" s="269">
        <f>IF(U14=1,Thermostat!$B$3,Thermostat!$B$4)</f>
        <v>70</v>
      </c>
      <c r="V26" s="269">
        <f>IF(V14=1,Thermostat!$B$3,Thermostat!$B$4)</f>
        <v>70</v>
      </c>
      <c r="W26" s="269">
        <f>IF(W14=1,Thermostat!$B$3,Thermostat!$B$4)</f>
        <v>70</v>
      </c>
      <c r="X26" s="269">
        <f>IF(X14=1,Thermostat!$B$3,Thermostat!$B$4)</f>
        <v>70</v>
      </c>
      <c r="Y26" s="269">
        <f>IF(Y14=1,Thermostat!$B$3,Thermostat!$B$4)</f>
        <v>70</v>
      </c>
      <c r="Z26" s="269">
        <f>IF(Z14=1,Thermostat!$B$3,Thermostat!$B$4)</f>
        <v>70</v>
      </c>
      <c r="AA26" s="269">
        <f>IF(AA14=1,Thermostat!$B$3,Thermostat!$B$4)</f>
        <v>70</v>
      </c>
      <c r="AB26" s="269">
        <f>IF(AB14=1,Thermostat!$B$3,Thermostat!$B$4)</f>
        <v>60</v>
      </c>
      <c r="AC26" s="270">
        <f>IF(AC14=1,Thermostat!$B$3,Thermostat!$B$4)</f>
        <v>60</v>
      </c>
    </row>
    <row r="27" spans="1:29" ht="37.15" customHeight="1" thickBot="1">
      <c r="A27" s="445"/>
      <c r="B27" s="448"/>
      <c r="C27" s="458"/>
      <c r="D27" s="464"/>
      <c r="E27" s="271" t="s">
        <v>347</v>
      </c>
      <c r="F27" s="268">
        <f>IF(F15=1,Thermostat!$B$3,Thermostat!$B$4)</f>
        <v>60</v>
      </c>
      <c r="G27" s="269">
        <f>IF(G15=1,Thermostat!$B$3,Thermostat!$B$4)</f>
        <v>60</v>
      </c>
      <c r="H27" s="269">
        <f>IF(H15=1,Thermostat!$B$3,Thermostat!$B$4)</f>
        <v>60</v>
      </c>
      <c r="I27" s="269">
        <f>IF(I15=1,Thermostat!$B$3,Thermostat!$B$4)</f>
        <v>60</v>
      </c>
      <c r="J27" s="269">
        <f>IF(J15=1,Thermostat!$B$3,Thermostat!$B$4)</f>
        <v>60</v>
      </c>
      <c r="K27" s="269">
        <f>IF(K15=1,Thermostat!$B$3,Thermostat!$B$4)</f>
        <v>60</v>
      </c>
      <c r="L27" s="269">
        <f>IF(L15=1,Thermostat!$B$3,Thermostat!$B$4)</f>
        <v>60</v>
      </c>
      <c r="M27" s="269">
        <f>IF(M15=1,Thermostat!$B$3,Thermostat!$B$4)</f>
        <v>60</v>
      </c>
      <c r="N27" s="269">
        <f>IF(N15=1,Thermostat!$B$3,Thermostat!$B$4)</f>
        <v>70</v>
      </c>
      <c r="O27" s="269">
        <f>IF(O15=1,Thermostat!$B$3,Thermostat!$B$4)</f>
        <v>70</v>
      </c>
      <c r="P27" s="269">
        <f>IF(P15=1,Thermostat!$B$3,Thermostat!$B$4)</f>
        <v>70</v>
      </c>
      <c r="Q27" s="269">
        <f>IF(Q15=1,Thermostat!$B$3,Thermostat!$B$4)</f>
        <v>70</v>
      </c>
      <c r="R27" s="269">
        <f>IF(R15=1,Thermostat!$B$3,Thermostat!$B$4)</f>
        <v>70</v>
      </c>
      <c r="S27" s="269">
        <f>IF(S15=1,Thermostat!$B$3,Thermostat!$B$4)</f>
        <v>70</v>
      </c>
      <c r="T27" s="269">
        <f>IF(T15=1,Thermostat!$B$3,Thermostat!$B$4)</f>
        <v>70</v>
      </c>
      <c r="U27" s="269">
        <f>IF(U15=1,Thermostat!$B$3,Thermostat!$B$4)</f>
        <v>70</v>
      </c>
      <c r="V27" s="269">
        <f>IF(V15=1,Thermostat!$B$3,Thermostat!$B$4)</f>
        <v>70</v>
      </c>
      <c r="W27" s="269">
        <f>IF(W15=1,Thermostat!$B$3,Thermostat!$B$4)</f>
        <v>70</v>
      </c>
      <c r="X27" s="269">
        <f>IF(X15=1,Thermostat!$B$3,Thermostat!$B$4)</f>
        <v>70</v>
      </c>
      <c r="Y27" s="269">
        <f>IF(Y15=1,Thermostat!$B$3,Thermostat!$B$4)</f>
        <v>60</v>
      </c>
      <c r="Z27" s="269">
        <f>IF(Z15=1,Thermostat!$B$3,Thermostat!$B$4)</f>
        <v>60</v>
      </c>
      <c r="AA27" s="269">
        <f>IF(AA15=1,Thermostat!$B$3,Thermostat!$B$4)</f>
        <v>60</v>
      </c>
      <c r="AB27" s="269">
        <f>IF(AB15=1,Thermostat!$B$3,Thermostat!$B$4)</f>
        <v>60</v>
      </c>
      <c r="AC27" s="270">
        <f>IF(AC15=1,Thermostat!$B$3,Thermostat!$B$4)</f>
        <v>60</v>
      </c>
    </row>
    <row r="28" spans="1:29" ht="37.15" customHeight="1">
      <c r="A28" s="443" t="str">
        <f t="shared" ref="A28:B28" si="5">A19</f>
        <v>All Zones</v>
      </c>
      <c r="B28" s="446" t="str">
        <f t="shared" si="5"/>
        <v>Retail</v>
      </c>
      <c r="C28" s="478" t="s">
        <v>355</v>
      </c>
      <c r="D28" s="480" t="s">
        <v>344</v>
      </c>
      <c r="E28" s="272" t="s">
        <v>345</v>
      </c>
      <c r="F28" s="260">
        <f>IF(F13=1,Thermostat!$B$5,Thermostat!$B$6)</f>
        <v>85</v>
      </c>
      <c r="G28" s="273">
        <f>IF(G13=1,Thermostat!$B$5,Thermostat!$B$6)</f>
        <v>85</v>
      </c>
      <c r="H28" s="273">
        <f>IF(H13=1,Thermostat!$B$5,Thermostat!$B$6)</f>
        <v>85</v>
      </c>
      <c r="I28" s="273">
        <f>IF(I13=1,Thermostat!$B$5,Thermostat!$B$6)</f>
        <v>85</v>
      </c>
      <c r="J28" s="273">
        <f>IF(J13=1,Thermostat!$B$5,Thermostat!$B$6)</f>
        <v>85</v>
      </c>
      <c r="K28" s="273">
        <f>IF(K13=1,Thermostat!$B$5,Thermostat!$B$6)</f>
        <v>85</v>
      </c>
      <c r="L28" s="273">
        <f>IF(L13=1,Thermostat!$B$5,Thermostat!$B$6)</f>
        <v>75</v>
      </c>
      <c r="M28" s="273">
        <f>IF(M13=1,Thermostat!$B$5,Thermostat!$B$6)</f>
        <v>75</v>
      </c>
      <c r="N28" s="273">
        <f>IF(N13=1,Thermostat!$B$5,Thermostat!$B$6)</f>
        <v>75</v>
      </c>
      <c r="O28" s="273">
        <f>IF(O13=1,Thermostat!$B$5,Thermostat!$B$6)</f>
        <v>75</v>
      </c>
      <c r="P28" s="273">
        <f>IF(P13=1,Thermostat!$B$5,Thermostat!$B$6)</f>
        <v>75</v>
      </c>
      <c r="Q28" s="273">
        <f>IF(Q13=1,Thermostat!$B$5,Thermostat!$B$6)</f>
        <v>75</v>
      </c>
      <c r="R28" s="273">
        <f>IF(R13=1,Thermostat!$B$5,Thermostat!$B$6)</f>
        <v>75</v>
      </c>
      <c r="S28" s="273">
        <f>IF(S13=1,Thermostat!$B$5,Thermostat!$B$6)</f>
        <v>75</v>
      </c>
      <c r="T28" s="273">
        <f>IF(T13=1,Thermostat!$B$5,Thermostat!$B$6)</f>
        <v>75</v>
      </c>
      <c r="U28" s="273">
        <f>IF(U13=1,Thermostat!$B$5,Thermostat!$B$6)</f>
        <v>75</v>
      </c>
      <c r="V28" s="273">
        <f>IF(V13=1,Thermostat!$B$5,Thermostat!$B$6)</f>
        <v>75</v>
      </c>
      <c r="W28" s="273">
        <f>IF(W13=1,Thermostat!$B$5,Thermostat!$B$6)</f>
        <v>75</v>
      </c>
      <c r="X28" s="273">
        <f>IF(X13=1,Thermostat!$B$5,Thermostat!$B$6)</f>
        <v>75</v>
      </c>
      <c r="Y28" s="273">
        <f>IF(Y13=1,Thermostat!$B$5,Thermostat!$B$6)</f>
        <v>75</v>
      </c>
      <c r="Z28" s="273">
        <f>IF(Z13=1,Thermostat!$B$5,Thermostat!$B$6)</f>
        <v>75</v>
      </c>
      <c r="AA28" s="273">
        <f>IF(AA13=1,Thermostat!$B$5,Thermostat!$B$6)</f>
        <v>85</v>
      </c>
      <c r="AB28" s="273">
        <f>IF(AB13=1,Thermostat!$B$5,Thermostat!$B$6)</f>
        <v>85</v>
      </c>
      <c r="AC28" s="274">
        <f>IF(AC13=1,Thermostat!$B$5,Thermostat!$B$6)</f>
        <v>85</v>
      </c>
    </row>
    <row r="29" spans="1:29" ht="37.15" customHeight="1">
      <c r="A29" s="444"/>
      <c r="B29" s="447"/>
      <c r="C29" s="457"/>
      <c r="D29" s="481"/>
      <c r="E29" s="275" t="s">
        <v>346</v>
      </c>
      <c r="F29" s="263">
        <f>IF(F14=1,Thermostat!$B$5,Thermostat!$B$6)</f>
        <v>85</v>
      </c>
      <c r="G29" s="276">
        <f>IF(G14=1,Thermostat!$B$5,Thermostat!$B$6)</f>
        <v>85</v>
      </c>
      <c r="H29" s="276">
        <f>IF(H14=1,Thermostat!$B$5,Thermostat!$B$6)</f>
        <v>85</v>
      </c>
      <c r="I29" s="276">
        <f>IF(I14=1,Thermostat!$B$5,Thermostat!$B$6)</f>
        <v>85</v>
      </c>
      <c r="J29" s="276">
        <f>IF(J14=1,Thermostat!$B$5,Thermostat!$B$6)</f>
        <v>85</v>
      </c>
      <c r="K29" s="276">
        <f>IF(K14=1,Thermostat!$B$5,Thermostat!$B$6)</f>
        <v>85</v>
      </c>
      <c r="L29" s="276">
        <f>IF(L14=1,Thermostat!$B$5,Thermostat!$B$6)</f>
        <v>75</v>
      </c>
      <c r="M29" s="276">
        <f>IF(M14=1,Thermostat!$B$5,Thermostat!$B$6)</f>
        <v>75</v>
      </c>
      <c r="N29" s="276">
        <f>IF(N14=1,Thermostat!$B$5,Thermostat!$B$6)</f>
        <v>75</v>
      </c>
      <c r="O29" s="276">
        <f>IF(O14=1,Thermostat!$B$5,Thermostat!$B$6)</f>
        <v>75</v>
      </c>
      <c r="P29" s="276">
        <f>IF(P14=1,Thermostat!$B$5,Thermostat!$B$6)</f>
        <v>75</v>
      </c>
      <c r="Q29" s="276">
        <f>IF(Q14=1,Thermostat!$B$5,Thermostat!$B$6)</f>
        <v>75</v>
      </c>
      <c r="R29" s="276">
        <f>IF(R14=1,Thermostat!$B$5,Thermostat!$B$6)</f>
        <v>75</v>
      </c>
      <c r="S29" s="276">
        <f>IF(S14=1,Thermostat!$B$5,Thermostat!$B$6)</f>
        <v>75</v>
      </c>
      <c r="T29" s="276">
        <f>IF(T14=1,Thermostat!$B$5,Thermostat!$B$6)</f>
        <v>75</v>
      </c>
      <c r="U29" s="276">
        <f>IF(U14=1,Thermostat!$B$5,Thermostat!$B$6)</f>
        <v>75</v>
      </c>
      <c r="V29" s="276">
        <f>IF(V14=1,Thermostat!$B$5,Thermostat!$B$6)</f>
        <v>75</v>
      </c>
      <c r="W29" s="276">
        <f>IF(W14=1,Thermostat!$B$5,Thermostat!$B$6)</f>
        <v>75</v>
      </c>
      <c r="X29" s="276">
        <f>IF(X14=1,Thermostat!$B$5,Thermostat!$B$6)</f>
        <v>75</v>
      </c>
      <c r="Y29" s="276">
        <f>IF(Y14=1,Thermostat!$B$5,Thermostat!$B$6)</f>
        <v>75</v>
      </c>
      <c r="Z29" s="276">
        <f>IF(Z14=1,Thermostat!$B$5,Thermostat!$B$6)</f>
        <v>75</v>
      </c>
      <c r="AA29" s="276">
        <f>IF(AA14=1,Thermostat!$B$5,Thermostat!$B$6)</f>
        <v>75</v>
      </c>
      <c r="AB29" s="276">
        <f>IF(AB14=1,Thermostat!$B$5,Thermostat!$B$6)</f>
        <v>85</v>
      </c>
      <c r="AC29" s="277">
        <f>IF(AC14=1,Thermostat!$B$5,Thermostat!$B$6)</f>
        <v>85</v>
      </c>
    </row>
    <row r="30" spans="1:29" ht="37.15" customHeight="1" thickBot="1">
      <c r="A30" s="445"/>
      <c r="B30" s="448"/>
      <c r="C30" s="479"/>
      <c r="D30" s="482"/>
      <c r="E30" s="278" t="s">
        <v>347</v>
      </c>
      <c r="F30" s="266">
        <f>IF(F15=1,Thermostat!$B$5,Thermostat!$B$6)</f>
        <v>85</v>
      </c>
      <c r="G30" s="279">
        <f>IF(G15=1,Thermostat!$B$5,Thermostat!$B$6)</f>
        <v>85</v>
      </c>
      <c r="H30" s="279">
        <f>IF(H15=1,Thermostat!$B$5,Thermostat!$B$6)</f>
        <v>85</v>
      </c>
      <c r="I30" s="279">
        <f>IF(I15=1,Thermostat!$B$5,Thermostat!$B$6)</f>
        <v>85</v>
      </c>
      <c r="J30" s="279">
        <f>IF(J15=1,Thermostat!$B$5,Thermostat!$B$6)</f>
        <v>85</v>
      </c>
      <c r="K30" s="279">
        <f>IF(K15=1,Thermostat!$B$5,Thermostat!$B$6)</f>
        <v>85</v>
      </c>
      <c r="L30" s="279">
        <f>IF(L15=1,Thermostat!$B$5,Thermostat!$B$6)</f>
        <v>85</v>
      </c>
      <c r="M30" s="279">
        <f>IF(M15=1,Thermostat!$B$5,Thermostat!$B$6)</f>
        <v>85</v>
      </c>
      <c r="N30" s="279">
        <f>IF(N15=1,Thermostat!$B$5,Thermostat!$B$6)</f>
        <v>75</v>
      </c>
      <c r="O30" s="279">
        <f>IF(O15=1,Thermostat!$B$5,Thermostat!$B$6)</f>
        <v>75</v>
      </c>
      <c r="P30" s="279">
        <f>IF(P15=1,Thermostat!$B$5,Thermostat!$B$6)</f>
        <v>75</v>
      </c>
      <c r="Q30" s="279">
        <f>IF(Q15=1,Thermostat!$B$5,Thermostat!$B$6)</f>
        <v>75</v>
      </c>
      <c r="R30" s="279">
        <f>IF(R15=1,Thermostat!$B$5,Thermostat!$B$6)</f>
        <v>75</v>
      </c>
      <c r="S30" s="279">
        <f>IF(S15=1,Thermostat!$B$5,Thermostat!$B$6)</f>
        <v>75</v>
      </c>
      <c r="T30" s="279">
        <f>IF(T15=1,Thermostat!$B$5,Thermostat!$B$6)</f>
        <v>75</v>
      </c>
      <c r="U30" s="279">
        <f>IF(U15=1,Thermostat!$B$5,Thermostat!$B$6)</f>
        <v>75</v>
      </c>
      <c r="V30" s="279">
        <f>IF(V15=1,Thermostat!$B$5,Thermostat!$B$6)</f>
        <v>75</v>
      </c>
      <c r="W30" s="279">
        <f>IF(W15=1,Thermostat!$B$5,Thermostat!$B$6)</f>
        <v>75</v>
      </c>
      <c r="X30" s="279">
        <f>IF(X15=1,Thermostat!$B$5,Thermostat!$B$6)</f>
        <v>75</v>
      </c>
      <c r="Y30" s="279">
        <f>IF(Y15=1,Thermostat!$B$5,Thermostat!$B$6)</f>
        <v>85</v>
      </c>
      <c r="Z30" s="279">
        <f>IF(Z15=1,Thermostat!$B$5,Thermostat!$B$6)</f>
        <v>85</v>
      </c>
      <c r="AA30" s="279">
        <f>IF(AA15=1,Thermostat!$B$5,Thermostat!$B$6)</f>
        <v>85</v>
      </c>
      <c r="AB30" s="279">
        <f>IF(AB15=1,Thermostat!$B$5,Thermostat!$B$6)</f>
        <v>85</v>
      </c>
      <c r="AC30" s="280">
        <f>IF(AC15=1,Thermostat!$B$5,Thermostat!$B$6)</f>
        <v>85</v>
      </c>
    </row>
    <row r="31" spans="1:29" ht="25.9" customHeight="1" thickBot="1">
      <c r="A31" s="472" t="s">
        <v>356</v>
      </c>
      <c r="B31" s="473"/>
      <c r="C31" s="473"/>
      <c r="D31" s="473"/>
      <c r="E31" s="473"/>
      <c r="F31" s="473"/>
      <c r="G31" s="473"/>
      <c r="H31" s="473"/>
      <c r="I31" s="473"/>
      <c r="J31" s="473"/>
      <c r="K31" s="473"/>
      <c r="L31" s="473"/>
      <c r="M31" s="473"/>
      <c r="N31" s="473"/>
      <c r="O31" s="473"/>
      <c r="P31" s="473"/>
      <c r="Q31" s="473"/>
      <c r="R31" s="473"/>
      <c r="S31" s="473"/>
      <c r="T31" s="473"/>
      <c r="U31" s="473"/>
      <c r="V31" s="473"/>
      <c r="W31" s="473"/>
      <c r="X31" s="473"/>
      <c r="Y31" s="473"/>
      <c r="Z31" s="473"/>
      <c r="AA31" s="473"/>
      <c r="AB31" s="473"/>
      <c r="AC31" s="474"/>
    </row>
    <row r="32" spans="1:29" ht="28.9" customHeight="1">
      <c r="A32" s="483"/>
      <c r="B32" s="490" t="s">
        <v>357</v>
      </c>
      <c r="C32" s="478" t="s">
        <v>358</v>
      </c>
      <c r="D32" s="492"/>
      <c r="E32" s="282" t="s">
        <v>345</v>
      </c>
      <c r="F32" s="283">
        <v>1</v>
      </c>
      <c r="G32" s="283">
        <v>1</v>
      </c>
      <c r="H32" s="283">
        <v>1</v>
      </c>
      <c r="I32" s="283">
        <v>1</v>
      </c>
      <c r="J32" s="283">
        <v>1</v>
      </c>
      <c r="K32" s="283">
        <v>1</v>
      </c>
      <c r="L32" s="283">
        <v>1</v>
      </c>
      <c r="M32" s="283">
        <v>1</v>
      </c>
      <c r="N32" s="283">
        <v>1</v>
      </c>
      <c r="O32" s="283">
        <v>1</v>
      </c>
      <c r="P32" s="283">
        <v>1</v>
      </c>
      <c r="Q32" s="283">
        <v>1</v>
      </c>
      <c r="R32" s="283">
        <v>1</v>
      </c>
      <c r="S32" s="283">
        <v>1</v>
      </c>
      <c r="T32" s="283">
        <v>1</v>
      </c>
      <c r="U32" s="283">
        <v>1</v>
      </c>
      <c r="V32" s="283">
        <v>1</v>
      </c>
      <c r="W32" s="283">
        <v>1</v>
      </c>
      <c r="X32" s="283">
        <v>1</v>
      </c>
      <c r="Y32" s="283">
        <v>1</v>
      </c>
      <c r="Z32" s="283">
        <v>1</v>
      </c>
      <c r="AA32" s="283">
        <v>1</v>
      </c>
      <c r="AB32" s="283">
        <v>1</v>
      </c>
      <c r="AC32" s="284">
        <v>1</v>
      </c>
    </row>
    <row r="33" spans="1:29" ht="28.9" customHeight="1">
      <c r="A33" s="488"/>
      <c r="B33" s="460"/>
      <c r="C33" s="486"/>
      <c r="D33" s="493"/>
      <c r="E33" s="281" t="s">
        <v>346</v>
      </c>
      <c r="F33" s="276">
        <v>1</v>
      </c>
      <c r="G33" s="276">
        <v>1</v>
      </c>
      <c r="H33" s="276">
        <v>1</v>
      </c>
      <c r="I33" s="276">
        <v>1</v>
      </c>
      <c r="J33" s="276">
        <v>1</v>
      </c>
      <c r="K33" s="276">
        <v>1</v>
      </c>
      <c r="L33" s="276">
        <v>1</v>
      </c>
      <c r="M33" s="276">
        <v>1</v>
      </c>
      <c r="N33" s="276">
        <v>1</v>
      </c>
      <c r="O33" s="276">
        <v>1</v>
      </c>
      <c r="P33" s="276">
        <v>1</v>
      </c>
      <c r="Q33" s="276">
        <v>1</v>
      </c>
      <c r="R33" s="276">
        <v>1</v>
      </c>
      <c r="S33" s="276">
        <v>1</v>
      </c>
      <c r="T33" s="276">
        <v>1</v>
      </c>
      <c r="U33" s="276">
        <v>1</v>
      </c>
      <c r="V33" s="276">
        <v>1</v>
      </c>
      <c r="W33" s="276">
        <v>1</v>
      </c>
      <c r="X33" s="276">
        <v>1</v>
      </c>
      <c r="Y33" s="276">
        <v>1</v>
      </c>
      <c r="Z33" s="276">
        <v>1</v>
      </c>
      <c r="AA33" s="276">
        <v>1</v>
      </c>
      <c r="AB33" s="276">
        <v>1</v>
      </c>
      <c r="AC33" s="285">
        <v>1</v>
      </c>
    </row>
    <row r="34" spans="1:29" ht="28.9" customHeight="1" thickBot="1">
      <c r="A34" s="489"/>
      <c r="B34" s="491"/>
      <c r="C34" s="487"/>
      <c r="D34" s="494"/>
      <c r="E34" s="286" t="s">
        <v>347</v>
      </c>
      <c r="F34" s="287">
        <v>1</v>
      </c>
      <c r="G34" s="287">
        <v>1</v>
      </c>
      <c r="H34" s="287">
        <v>1</v>
      </c>
      <c r="I34" s="287">
        <v>1</v>
      </c>
      <c r="J34" s="287">
        <v>1</v>
      </c>
      <c r="K34" s="287">
        <v>1</v>
      </c>
      <c r="L34" s="287">
        <v>1</v>
      </c>
      <c r="M34" s="287">
        <v>1</v>
      </c>
      <c r="N34" s="287">
        <v>1</v>
      </c>
      <c r="O34" s="287">
        <v>1</v>
      </c>
      <c r="P34" s="287">
        <v>1</v>
      </c>
      <c r="Q34" s="287">
        <v>1</v>
      </c>
      <c r="R34" s="287">
        <v>1</v>
      </c>
      <c r="S34" s="287">
        <v>1</v>
      </c>
      <c r="T34" s="287">
        <v>1</v>
      </c>
      <c r="U34" s="287">
        <v>1</v>
      </c>
      <c r="V34" s="287">
        <v>1</v>
      </c>
      <c r="W34" s="287">
        <v>1</v>
      </c>
      <c r="X34" s="287">
        <v>1</v>
      </c>
      <c r="Y34" s="287">
        <v>1</v>
      </c>
      <c r="Z34" s="287">
        <v>1</v>
      </c>
      <c r="AA34" s="287">
        <v>1</v>
      </c>
      <c r="AB34" s="287">
        <v>1</v>
      </c>
      <c r="AC34" s="288">
        <v>1</v>
      </c>
    </row>
    <row r="35" spans="1:29" ht="28.9" customHeight="1">
      <c r="A35" s="495"/>
      <c r="B35" s="496" t="s">
        <v>357</v>
      </c>
      <c r="C35" s="477" t="s">
        <v>359</v>
      </c>
      <c r="D35" s="493"/>
      <c r="E35" s="346" t="s">
        <v>345</v>
      </c>
      <c r="F35" s="348">
        <v>0</v>
      </c>
      <c r="G35" s="348">
        <v>0</v>
      </c>
      <c r="H35" s="348">
        <v>0</v>
      </c>
      <c r="I35" s="348">
        <v>0</v>
      </c>
      <c r="J35" s="348">
        <v>0</v>
      </c>
      <c r="K35" s="348">
        <v>1</v>
      </c>
      <c r="L35" s="348">
        <v>1</v>
      </c>
      <c r="M35" s="348">
        <v>1</v>
      </c>
      <c r="N35" s="348">
        <v>1</v>
      </c>
      <c r="O35" s="348">
        <v>1</v>
      </c>
      <c r="P35" s="348">
        <v>1</v>
      </c>
      <c r="Q35" s="348">
        <v>1</v>
      </c>
      <c r="R35" s="348">
        <v>1</v>
      </c>
      <c r="S35" s="348">
        <v>1</v>
      </c>
      <c r="T35" s="348">
        <v>1</v>
      </c>
      <c r="U35" s="348">
        <v>1</v>
      </c>
      <c r="V35" s="348">
        <v>1</v>
      </c>
      <c r="W35" s="348">
        <v>1</v>
      </c>
      <c r="X35" s="348">
        <v>1</v>
      </c>
      <c r="Y35" s="348">
        <v>1</v>
      </c>
      <c r="Z35" s="348">
        <v>1</v>
      </c>
      <c r="AA35" s="348">
        <v>1</v>
      </c>
      <c r="AB35" s="348">
        <v>0</v>
      </c>
      <c r="AC35" s="349">
        <v>0</v>
      </c>
    </row>
    <row r="36" spans="1:29" ht="28.9" customHeight="1">
      <c r="A36" s="444"/>
      <c r="B36" s="460"/>
      <c r="C36" s="486"/>
      <c r="D36" s="493"/>
      <c r="E36" s="281" t="s">
        <v>346</v>
      </c>
      <c r="F36" s="276">
        <v>0</v>
      </c>
      <c r="G36" s="276">
        <v>0</v>
      </c>
      <c r="H36" s="276">
        <v>0</v>
      </c>
      <c r="I36" s="276">
        <v>0</v>
      </c>
      <c r="J36" s="276">
        <v>0</v>
      </c>
      <c r="K36" s="276">
        <v>1</v>
      </c>
      <c r="L36" s="276">
        <v>1</v>
      </c>
      <c r="M36" s="276">
        <v>1</v>
      </c>
      <c r="N36" s="276">
        <v>1</v>
      </c>
      <c r="O36" s="276">
        <v>1</v>
      </c>
      <c r="P36" s="276">
        <v>1</v>
      </c>
      <c r="Q36" s="276">
        <v>1</v>
      </c>
      <c r="R36" s="276">
        <v>1</v>
      </c>
      <c r="S36" s="276">
        <v>1</v>
      </c>
      <c r="T36" s="276">
        <v>1</v>
      </c>
      <c r="U36" s="276">
        <v>1</v>
      </c>
      <c r="V36" s="276">
        <v>1</v>
      </c>
      <c r="W36" s="276">
        <v>1</v>
      </c>
      <c r="X36" s="276">
        <v>1</v>
      </c>
      <c r="Y36" s="276">
        <v>1</v>
      </c>
      <c r="Z36" s="276">
        <v>1</v>
      </c>
      <c r="AA36" s="276">
        <v>1</v>
      </c>
      <c r="AB36" s="276">
        <v>1</v>
      </c>
      <c r="AC36" s="277">
        <v>1</v>
      </c>
    </row>
    <row r="37" spans="1:29" ht="28.9" customHeight="1" thickBot="1">
      <c r="A37" s="476"/>
      <c r="B37" s="461"/>
      <c r="C37" s="486"/>
      <c r="D37" s="493"/>
      <c r="E37" s="347" t="s">
        <v>347</v>
      </c>
      <c r="F37" s="350">
        <v>0</v>
      </c>
      <c r="G37" s="350">
        <v>0</v>
      </c>
      <c r="H37" s="350">
        <v>0</v>
      </c>
      <c r="I37" s="350">
        <v>0</v>
      </c>
      <c r="J37" s="350">
        <v>0</v>
      </c>
      <c r="K37" s="350">
        <v>1</v>
      </c>
      <c r="L37" s="350">
        <v>1</v>
      </c>
      <c r="M37" s="350">
        <v>1</v>
      </c>
      <c r="N37" s="350">
        <v>1</v>
      </c>
      <c r="O37" s="350">
        <v>1</v>
      </c>
      <c r="P37" s="350">
        <v>1</v>
      </c>
      <c r="Q37" s="350">
        <v>1</v>
      </c>
      <c r="R37" s="350">
        <v>1</v>
      </c>
      <c r="S37" s="350">
        <v>1</v>
      </c>
      <c r="T37" s="350">
        <v>1</v>
      </c>
      <c r="U37" s="350">
        <v>1</v>
      </c>
      <c r="V37" s="350">
        <v>1</v>
      </c>
      <c r="W37" s="350">
        <v>1</v>
      </c>
      <c r="X37" s="350">
        <v>1</v>
      </c>
      <c r="Y37" s="350">
        <v>1</v>
      </c>
      <c r="Z37" s="350">
        <v>1</v>
      </c>
      <c r="AA37" s="350">
        <v>1</v>
      </c>
      <c r="AB37" s="350">
        <v>1</v>
      </c>
      <c r="AC37" s="351">
        <v>1</v>
      </c>
    </row>
    <row r="38" spans="1:29" ht="28.9" customHeight="1">
      <c r="A38" s="483" t="s">
        <v>360</v>
      </c>
      <c r="B38" s="478" t="s">
        <v>357</v>
      </c>
      <c r="C38" s="478" t="s">
        <v>361</v>
      </c>
      <c r="D38" s="480" t="s">
        <v>362</v>
      </c>
      <c r="E38" s="282" t="s">
        <v>345</v>
      </c>
      <c r="F38" s="283">
        <v>131.9</v>
      </c>
      <c r="G38" s="283">
        <v>131.9</v>
      </c>
      <c r="H38" s="283">
        <v>131.9</v>
      </c>
      <c r="I38" s="283">
        <v>131.9</v>
      </c>
      <c r="J38" s="283">
        <v>131.9</v>
      </c>
      <c r="K38" s="283">
        <v>131.9</v>
      </c>
      <c r="L38" s="283">
        <v>131.9</v>
      </c>
      <c r="M38" s="283">
        <v>131.9</v>
      </c>
      <c r="N38" s="283">
        <v>131.9</v>
      </c>
      <c r="O38" s="283">
        <v>131.9</v>
      </c>
      <c r="P38" s="283">
        <v>131.9</v>
      </c>
      <c r="Q38" s="283">
        <v>131.9</v>
      </c>
      <c r="R38" s="283">
        <v>131.9</v>
      </c>
      <c r="S38" s="283">
        <v>131.9</v>
      </c>
      <c r="T38" s="283">
        <v>131.9</v>
      </c>
      <c r="U38" s="283">
        <v>131.9</v>
      </c>
      <c r="V38" s="283">
        <v>131.9</v>
      </c>
      <c r="W38" s="283">
        <v>131.9</v>
      </c>
      <c r="X38" s="283">
        <v>131.9</v>
      </c>
      <c r="Y38" s="283">
        <v>131.9</v>
      </c>
      <c r="Z38" s="283">
        <v>131.9</v>
      </c>
      <c r="AA38" s="283">
        <v>131.9</v>
      </c>
      <c r="AB38" s="283">
        <v>131.9</v>
      </c>
      <c r="AC38" s="284">
        <v>131.9</v>
      </c>
    </row>
    <row r="39" spans="1:29" ht="28.9" customHeight="1">
      <c r="A39" s="484"/>
      <c r="B39" s="486"/>
      <c r="C39" s="486"/>
      <c r="D39" s="481"/>
      <c r="E39" s="281" t="s">
        <v>346</v>
      </c>
      <c r="F39" s="276">
        <v>131.9</v>
      </c>
      <c r="G39" s="276">
        <v>131.9</v>
      </c>
      <c r="H39" s="276">
        <v>131.9</v>
      </c>
      <c r="I39" s="276">
        <v>131.9</v>
      </c>
      <c r="J39" s="276">
        <v>131.9</v>
      </c>
      <c r="K39" s="276">
        <v>131.9</v>
      </c>
      <c r="L39" s="276">
        <v>131.9</v>
      </c>
      <c r="M39" s="276">
        <v>131.9</v>
      </c>
      <c r="N39" s="276">
        <v>131.9</v>
      </c>
      <c r="O39" s="276">
        <v>131.9</v>
      </c>
      <c r="P39" s="276">
        <v>131.9</v>
      </c>
      <c r="Q39" s="276">
        <v>131.9</v>
      </c>
      <c r="R39" s="276">
        <v>131.9</v>
      </c>
      <c r="S39" s="276">
        <v>131.9</v>
      </c>
      <c r="T39" s="276">
        <v>131.9</v>
      </c>
      <c r="U39" s="276">
        <v>131.9</v>
      </c>
      <c r="V39" s="276">
        <v>131.9</v>
      </c>
      <c r="W39" s="276">
        <v>131.9</v>
      </c>
      <c r="X39" s="276">
        <v>131.9</v>
      </c>
      <c r="Y39" s="276">
        <v>131.9</v>
      </c>
      <c r="Z39" s="276">
        <v>131.9</v>
      </c>
      <c r="AA39" s="276">
        <v>131.9</v>
      </c>
      <c r="AB39" s="276">
        <v>131.9</v>
      </c>
      <c r="AC39" s="285">
        <v>131.9</v>
      </c>
    </row>
    <row r="40" spans="1:29" ht="28.9" customHeight="1" thickBot="1">
      <c r="A40" s="485"/>
      <c r="B40" s="487"/>
      <c r="C40" s="487"/>
      <c r="D40" s="482"/>
      <c r="E40" s="286" t="s">
        <v>347</v>
      </c>
      <c r="F40" s="287">
        <v>131.9</v>
      </c>
      <c r="G40" s="287">
        <v>131.9</v>
      </c>
      <c r="H40" s="287">
        <v>131.9</v>
      </c>
      <c r="I40" s="287">
        <v>131.9</v>
      </c>
      <c r="J40" s="287">
        <v>131.9</v>
      </c>
      <c r="K40" s="287">
        <v>131.9</v>
      </c>
      <c r="L40" s="287">
        <v>131.9</v>
      </c>
      <c r="M40" s="287">
        <v>131.9</v>
      </c>
      <c r="N40" s="287">
        <v>131.9</v>
      </c>
      <c r="O40" s="287">
        <v>131.9</v>
      </c>
      <c r="P40" s="287">
        <v>131.9</v>
      </c>
      <c r="Q40" s="287">
        <v>131.9</v>
      </c>
      <c r="R40" s="287">
        <v>131.9</v>
      </c>
      <c r="S40" s="287">
        <v>131.9</v>
      </c>
      <c r="T40" s="287">
        <v>131.9</v>
      </c>
      <c r="U40" s="287">
        <v>131.9</v>
      </c>
      <c r="V40" s="287">
        <v>131.9</v>
      </c>
      <c r="W40" s="287">
        <v>131.9</v>
      </c>
      <c r="X40" s="287">
        <v>131.9</v>
      </c>
      <c r="Y40" s="287">
        <v>131.9</v>
      </c>
      <c r="Z40" s="287">
        <v>131.9</v>
      </c>
      <c r="AA40" s="287">
        <v>131.9</v>
      </c>
      <c r="AB40" s="287">
        <v>131.9</v>
      </c>
      <c r="AC40" s="288">
        <v>131.9</v>
      </c>
    </row>
    <row r="41" spans="1:29" ht="11.45" customHeight="1"/>
    <row r="50" spans="1:56" ht="14.45" hidden="1">
      <c r="A50" s="337" t="s">
        <v>39</v>
      </c>
      <c r="B50" s="337"/>
      <c r="C50" s="337"/>
      <c r="D50" s="337" t="s">
        <v>363</v>
      </c>
      <c r="E50" s="337" t="s">
        <v>363</v>
      </c>
      <c r="F50" s="337" t="s">
        <v>363</v>
      </c>
      <c r="G50" s="337" t="s">
        <v>363</v>
      </c>
      <c r="H50" s="337" t="s">
        <v>363</v>
      </c>
      <c r="I50" s="337" t="s">
        <v>363</v>
      </c>
      <c r="J50" s="337" t="s">
        <v>363</v>
      </c>
      <c r="K50" s="337" t="s">
        <v>363</v>
      </c>
      <c r="L50" s="337" t="s">
        <v>363</v>
      </c>
      <c r="M50" s="337" t="s">
        <v>363</v>
      </c>
      <c r="N50" s="337" t="s">
        <v>363</v>
      </c>
      <c r="O50" s="337" t="s">
        <v>363</v>
      </c>
      <c r="P50" s="337" t="s">
        <v>363</v>
      </c>
      <c r="Q50" s="337" t="s">
        <v>363</v>
      </c>
      <c r="R50" s="337" t="s">
        <v>363</v>
      </c>
      <c r="S50" s="337" t="s">
        <v>363</v>
      </c>
      <c r="T50" s="337" t="s">
        <v>363</v>
      </c>
      <c r="U50" s="337" t="s">
        <v>363</v>
      </c>
      <c r="V50" s="337" t="s">
        <v>363</v>
      </c>
      <c r="W50" s="337" t="s">
        <v>363</v>
      </c>
      <c r="X50" s="337" t="s">
        <v>363</v>
      </c>
      <c r="Y50" s="337" t="s">
        <v>363</v>
      </c>
      <c r="Z50" s="337" t="s">
        <v>363</v>
      </c>
      <c r="AA50" s="337" t="s">
        <v>363</v>
      </c>
      <c r="AB50" s="337" t="s">
        <v>363</v>
      </c>
      <c r="AC50" s="337" t="s">
        <v>363</v>
      </c>
      <c r="AD50" s="337" t="s">
        <v>363</v>
      </c>
      <c r="AE50" s="337" t="s">
        <v>363</v>
      </c>
      <c r="AF50" s="337" t="s">
        <v>363</v>
      </c>
      <c r="AG50" s="337" t="s">
        <v>363</v>
      </c>
      <c r="AH50" s="337" t="s">
        <v>363</v>
      </c>
      <c r="AI50" s="337" t="s">
        <v>363</v>
      </c>
      <c r="AJ50" s="337" t="s">
        <v>363</v>
      </c>
      <c r="AK50" s="337" t="s">
        <v>363</v>
      </c>
      <c r="AL50" s="337" t="s">
        <v>363</v>
      </c>
      <c r="AM50" s="337" t="s">
        <v>363</v>
      </c>
      <c r="AN50"/>
      <c r="AO50"/>
      <c r="AP50"/>
      <c r="AQ50"/>
      <c r="AR50"/>
      <c r="AS50"/>
      <c r="AT50"/>
      <c r="AU50"/>
      <c r="AV50"/>
      <c r="AW50"/>
      <c r="AX50"/>
      <c r="AY50"/>
      <c r="AZ50"/>
      <c r="BA50"/>
      <c r="BB50"/>
      <c r="BC50"/>
      <c r="BD50"/>
    </row>
    <row r="104" spans="1:6" s="56" customFormat="1" ht="18.600000000000001" customHeight="1">
      <c r="A104" s="234" t="s">
        <v>39</v>
      </c>
      <c r="B104" s="234"/>
      <c r="C104" s="234"/>
      <c r="D104" s="234"/>
      <c r="E104" s="234"/>
      <c r="F104" s="234"/>
    </row>
  </sheetData>
  <mergeCells count="56">
    <mergeCell ref="A38:A40"/>
    <mergeCell ref="B38:B40"/>
    <mergeCell ref="C38:C40"/>
    <mergeCell ref="D38:D40"/>
    <mergeCell ref="A32:A34"/>
    <mergeCell ref="B32:B34"/>
    <mergeCell ref="C32:C34"/>
    <mergeCell ref="D32:D34"/>
    <mergeCell ref="A35:A37"/>
    <mergeCell ref="B35:B37"/>
    <mergeCell ref="C35:C37"/>
    <mergeCell ref="D35:D37"/>
    <mergeCell ref="A31:AC31"/>
    <mergeCell ref="A2:A3"/>
    <mergeCell ref="A1:AC1"/>
    <mergeCell ref="A4:A6"/>
    <mergeCell ref="A7:A9"/>
    <mergeCell ref="A10:A12"/>
    <mergeCell ref="A25:A27"/>
    <mergeCell ref="B25:B27"/>
    <mergeCell ref="C25:C27"/>
    <mergeCell ref="D25:D27"/>
    <mergeCell ref="A28:A30"/>
    <mergeCell ref="B28:B30"/>
    <mergeCell ref="C28:C30"/>
    <mergeCell ref="D28:D30"/>
    <mergeCell ref="A16:A18"/>
    <mergeCell ref="B16:B18"/>
    <mergeCell ref="C16:C18"/>
    <mergeCell ref="D16:D18"/>
    <mergeCell ref="A19:A21"/>
    <mergeCell ref="B19:B21"/>
    <mergeCell ref="C19:C21"/>
    <mergeCell ref="D19:D21"/>
    <mergeCell ref="F2:AC2"/>
    <mergeCell ref="E2:E3"/>
    <mergeCell ref="D2:D3"/>
    <mergeCell ref="C2:C3"/>
    <mergeCell ref="D4:D6"/>
    <mergeCell ref="C4:C6"/>
    <mergeCell ref="A22:A24"/>
    <mergeCell ref="B22:B24"/>
    <mergeCell ref="C22:C24"/>
    <mergeCell ref="D22:D24"/>
    <mergeCell ref="B2:B3"/>
    <mergeCell ref="C10:C12"/>
    <mergeCell ref="C7:C9"/>
    <mergeCell ref="D7:D9"/>
    <mergeCell ref="B10:B12"/>
    <mergeCell ref="D10:D12"/>
    <mergeCell ref="A13:A15"/>
    <mergeCell ref="B13:B15"/>
    <mergeCell ref="C13:C15"/>
    <mergeCell ref="D13:D15"/>
    <mergeCell ref="B4:B6"/>
    <mergeCell ref="B7:B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I25"/>
  <sheetViews>
    <sheetView zoomScaleNormal="100" workbookViewId="0">
      <selection sqref="A1:H1"/>
    </sheetView>
  </sheetViews>
  <sheetFormatPr defaultColWidth="8.7109375" defaultRowHeight="12.75" customHeight="1"/>
  <cols>
    <col min="1" max="1" width="14.42578125" style="3" customWidth="1"/>
    <col min="2" max="2" width="8.7109375" style="3"/>
    <col min="3" max="8" width="17" style="3" customWidth="1"/>
    <col min="9" max="12" width="13.85546875" style="3" customWidth="1"/>
    <col min="13" max="13" width="8.7109375" style="3"/>
    <col min="14" max="14" width="14.42578125" style="3" customWidth="1"/>
    <col min="15" max="15" width="15.42578125" style="3" customWidth="1"/>
    <col min="16" max="16" width="19.28515625" style="3" customWidth="1"/>
    <col min="17" max="18" width="18.28515625" style="3" customWidth="1"/>
    <col min="19" max="19" width="17.28515625" style="3" customWidth="1"/>
    <col min="20" max="20" width="18.5703125" style="3" customWidth="1"/>
    <col min="21" max="21" width="15.140625" style="3" customWidth="1"/>
    <col min="22" max="22" width="12.28515625" style="3" customWidth="1"/>
    <col min="23" max="23" width="8.7109375" style="3"/>
    <col min="24" max="24" width="13.7109375" style="3" customWidth="1"/>
    <col min="25" max="27" width="8.7109375" style="3"/>
    <col min="28" max="28" width="12.42578125" style="3" customWidth="1"/>
    <col min="29" max="29" width="8.7109375" style="3"/>
    <col min="30" max="30" width="10.42578125" style="3" customWidth="1"/>
    <col min="31" max="16384" width="8.7109375" style="3"/>
  </cols>
  <sheetData>
    <row r="1" spans="1:35" ht="27" customHeight="1">
      <c r="A1" s="501" t="str">
        <f>"CalBEM Energy Consumption - "&amp;Prototype!A2</f>
        <v>CalBEM Energy Consumption - RetailStripMall</v>
      </c>
      <c r="B1" s="419"/>
      <c r="C1" s="419"/>
      <c r="D1" s="419"/>
      <c r="E1" s="419"/>
      <c r="F1" s="419"/>
      <c r="G1" s="419"/>
      <c r="H1" s="419"/>
      <c r="I1" s="502" t="s">
        <v>364</v>
      </c>
      <c r="J1" s="502"/>
      <c r="K1" s="502"/>
      <c r="L1" s="502"/>
      <c r="N1" s="500" t="s">
        <v>365</v>
      </c>
      <c r="O1" s="372"/>
      <c r="P1" s="372"/>
      <c r="Q1" s="372"/>
      <c r="R1" s="372"/>
      <c r="S1" s="372"/>
      <c r="T1" s="372"/>
      <c r="U1" s="372"/>
      <c r="V1" s="372"/>
      <c r="Y1" s="3" t="s">
        <v>366</v>
      </c>
      <c r="AI1" s="336" t="s">
        <v>367</v>
      </c>
    </row>
    <row r="2" spans="1:35" ht="39.6" customHeight="1">
      <c r="A2" s="308" t="s">
        <v>10</v>
      </c>
      <c r="B2" s="325" t="s">
        <v>368</v>
      </c>
      <c r="C2" s="319" t="s">
        <v>369</v>
      </c>
      <c r="D2" s="326" t="s">
        <v>370</v>
      </c>
      <c r="E2" s="327" t="s">
        <v>371</v>
      </c>
      <c r="F2" s="319" t="s">
        <v>372</v>
      </c>
      <c r="G2" s="320" t="s">
        <v>373</v>
      </c>
      <c r="H2" s="321" t="s">
        <v>374</v>
      </c>
      <c r="I2" s="310" t="s">
        <v>375</v>
      </c>
      <c r="J2" s="311" t="s">
        <v>376</v>
      </c>
      <c r="K2" s="311" t="s">
        <v>377</v>
      </c>
      <c r="L2" s="312" t="s">
        <v>378</v>
      </c>
      <c r="N2" s="307" t="s">
        <v>10</v>
      </c>
      <c r="O2" s="208" t="s">
        <v>368</v>
      </c>
      <c r="P2" s="330" t="s">
        <v>379</v>
      </c>
      <c r="Q2" s="330" t="s">
        <v>380</v>
      </c>
      <c r="R2" s="330" t="s">
        <v>381</v>
      </c>
      <c r="S2" s="330" t="s">
        <v>382</v>
      </c>
      <c r="T2" s="330" t="s">
        <v>376</v>
      </c>
      <c r="U2" s="330" t="s">
        <v>377</v>
      </c>
      <c r="V2" s="330" t="s">
        <v>383</v>
      </c>
      <c r="Y2" s="335" t="s">
        <v>384</v>
      </c>
    </row>
    <row r="3" spans="1:35" ht="19.149999999999999" customHeight="1">
      <c r="A3" s="498" t="s">
        <v>41</v>
      </c>
      <c r="B3" s="317">
        <v>1</v>
      </c>
      <c r="C3" s="340">
        <v>43.650344009489913</v>
      </c>
      <c r="D3" s="341">
        <v>34.779549228944248</v>
      </c>
      <c r="E3" s="342">
        <v>78.429893238434161</v>
      </c>
      <c r="F3" s="322">
        <v>40.479999999999997</v>
      </c>
      <c r="G3" s="305">
        <v>0</v>
      </c>
      <c r="H3" s="338">
        <v>40.479999999999997</v>
      </c>
      <c r="I3" s="313">
        <v>46.8</v>
      </c>
      <c r="J3" s="309">
        <f>I3*1.25</f>
        <v>58.5</v>
      </c>
      <c r="K3" s="137">
        <f>0.75*I3</f>
        <v>35.099999999999994</v>
      </c>
      <c r="L3" s="328">
        <f>J3-K3</f>
        <v>23.400000000000006</v>
      </c>
      <c r="N3" s="497" t="s">
        <v>98</v>
      </c>
      <c r="O3" s="306">
        <v>1</v>
      </c>
      <c r="P3" s="331">
        <v>13814</v>
      </c>
      <c r="Q3" s="332">
        <v>37.9</v>
      </c>
      <c r="R3" s="332">
        <v>10.4</v>
      </c>
      <c r="S3" s="333">
        <f>Q3+R3</f>
        <v>48.3</v>
      </c>
      <c r="T3" s="334">
        <f>S3*1.25</f>
        <v>60.375</v>
      </c>
      <c r="U3" s="334">
        <f>S3*0.75</f>
        <v>36.224999999999994</v>
      </c>
      <c r="V3" s="334">
        <f>T3-U3</f>
        <v>24.150000000000006</v>
      </c>
    </row>
    <row r="4" spans="1:35" ht="19.149999999999999" customHeight="1">
      <c r="A4" s="498"/>
      <c r="B4" s="317">
        <v>2</v>
      </c>
      <c r="C4" s="340">
        <v>48.011192660550456</v>
      </c>
      <c r="D4" s="341">
        <v>25.568165137614677</v>
      </c>
      <c r="E4" s="342">
        <v>73.579357798165134</v>
      </c>
      <c r="F4" s="322">
        <v>42.01</v>
      </c>
      <c r="G4" s="305">
        <v>0</v>
      </c>
      <c r="H4" s="338">
        <v>42.01</v>
      </c>
      <c r="I4" s="313">
        <v>58.4</v>
      </c>
      <c r="J4" s="309">
        <f t="shared" ref="J4:J18" si="0">I4*1.25</f>
        <v>73</v>
      </c>
      <c r="K4" s="137">
        <f t="shared" ref="K4:K18" si="1">0.75*I4</f>
        <v>43.8</v>
      </c>
      <c r="L4" s="328">
        <f t="shared" ref="L4:L18" si="2">J4-K4</f>
        <v>29.200000000000003</v>
      </c>
      <c r="N4" s="497"/>
      <c r="O4" s="306">
        <v>2</v>
      </c>
      <c r="P4" s="331">
        <v>25239</v>
      </c>
      <c r="Q4" s="332">
        <v>26.6</v>
      </c>
      <c r="R4" s="332">
        <v>14.8</v>
      </c>
      <c r="S4" s="333">
        <f t="shared" ref="S4:S18" si="3">Q4+R4</f>
        <v>41.400000000000006</v>
      </c>
      <c r="T4" s="334">
        <f t="shared" ref="T4:T18" si="4">S4*1.25</f>
        <v>51.750000000000007</v>
      </c>
      <c r="U4" s="334">
        <f t="shared" ref="U4:U18" si="5">S4*0.75</f>
        <v>31.050000000000004</v>
      </c>
      <c r="V4" s="334">
        <f t="shared" ref="V4:V18" si="6">T4-U4</f>
        <v>20.700000000000003</v>
      </c>
    </row>
    <row r="5" spans="1:35" ht="19.149999999999999" customHeight="1">
      <c r="A5" s="498"/>
      <c r="B5" s="317">
        <v>3</v>
      </c>
      <c r="C5" s="340">
        <v>42.627090894308942</v>
      </c>
      <c r="D5" s="341">
        <v>17.630935040650407</v>
      </c>
      <c r="E5" s="342">
        <v>60.258025934959349</v>
      </c>
      <c r="F5" s="322">
        <v>39.54</v>
      </c>
      <c r="G5" s="305">
        <v>0</v>
      </c>
      <c r="H5" s="338">
        <v>39.54</v>
      </c>
      <c r="I5" s="313">
        <v>52.3</v>
      </c>
      <c r="J5" s="309">
        <f t="shared" si="0"/>
        <v>65.375</v>
      </c>
      <c r="K5" s="137">
        <f t="shared" si="1"/>
        <v>39.224999999999994</v>
      </c>
      <c r="L5" s="328">
        <f t="shared" si="2"/>
        <v>26.150000000000006</v>
      </c>
      <c r="N5" s="497"/>
      <c r="O5" s="306">
        <v>3</v>
      </c>
      <c r="P5" s="331">
        <v>88648</v>
      </c>
      <c r="Q5" s="332">
        <v>34.799999999999997</v>
      </c>
      <c r="R5" s="332">
        <v>11.9</v>
      </c>
      <c r="S5" s="333">
        <f t="shared" si="3"/>
        <v>46.699999999999996</v>
      </c>
      <c r="T5" s="334">
        <f t="shared" si="4"/>
        <v>58.374999999999993</v>
      </c>
      <c r="U5" s="334">
        <f t="shared" si="5"/>
        <v>35.024999999999999</v>
      </c>
      <c r="V5" s="334">
        <f t="shared" si="6"/>
        <v>23.349999999999994</v>
      </c>
    </row>
    <row r="6" spans="1:35" ht="19.149999999999999" customHeight="1">
      <c r="A6" s="498"/>
      <c r="B6" s="317">
        <v>4</v>
      </c>
      <c r="C6" s="340">
        <v>52.167064220183491</v>
      </c>
      <c r="D6" s="341">
        <v>21.8343004587156</v>
      </c>
      <c r="E6" s="342">
        <v>74.001364678899094</v>
      </c>
      <c r="F6" s="322">
        <v>42.67</v>
      </c>
      <c r="G6" s="305">
        <v>0</v>
      </c>
      <c r="H6" s="338">
        <v>42.67</v>
      </c>
      <c r="I6" s="313">
        <v>60.9</v>
      </c>
      <c r="J6" s="309">
        <f t="shared" si="0"/>
        <v>76.125</v>
      </c>
      <c r="K6" s="137">
        <f t="shared" si="1"/>
        <v>45.674999999999997</v>
      </c>
      <c r="L6" s="328">
        <f t="shared" si="2"/>
        <v>30.450000000000003</v>
      </c>
      <c r="N6" s="497"/>
      <c r="O6" s="306">
        <v>4</v>
      </c>
      <c r="P6" s="331">
        <v>44551</v>
      </c>
      <c r="Q6" s="332">
        <v>35.5</v>
      </c>
      <c r="R6" s="332">
        <v>11.5</v>
      </c>
      <c r="S6" s="333">
        <f t="shared" si="3"/>
        <v>47</v>
      </c>
      <c r="T6" s="334">
        <f t="shared" si="4"/>
        <v>58.75</v>
      </c>
      <c r="U6" s="334">
        <f t="shared" si="5"/>
        <v>35.25</v>
      </c>
      <c r="V6" s="334">
        <f t="shared" si="6"/>
        <v>23.5</v>
      </c>
    </row>
    <row r="7" spans="1:35" ht="19.149999999999999" customHeight="1">
      <c r="A7" s="498"/>
      <c r="B7" s="317">
        <v>5</v>
      </c>
      <c r="C7" s="340">
        <v>43.857848425925923</v>
      </c>
      <c r="D7" s="341">
        <v>15.841606203703703</v>
      </c>
      <c r="E7" s="342">
        <v>59.699454629629628</v>
      </c>
      <c r="F7" s="322">
        <v>39.43</v>
      </c>
      <c r="G7" s="305">
        <v>0</v>
      </c>
      <c r="H7" s="338">
        <v>39.43</v>
      </c>
      <c r="I7" s="313">
        <v>50.4</v>
      </c>
      <c r="J7" s="309">
        <f t="shared" si="0"/>
        <v>63</v>
      </c>
      <c r="K7" s="137">
        <f t="shared" si="1"/>
        <v>37.799999999999997</v>
      </c>
      <c r="L7" s="328">
        <f t="shared" si="2"/>
        <v>25.200000000000003</v>
      </c>
      <c r="N7" s="497"/>
      <c r="O7" s="306">
        <v>5</v>
      </c>
      <c r="P7" s="331">
        <v>9847</v>
      </c>
      <c r="Q7" s="332">
        <v>31.7</v>
      </c>
      <c r="R7" s="332">
        <v>14.6</v>
      </c>
      <c r="S7" s="333">
        <f t="shared" si="3"/>
        <v>46.3</v>
      </c>
      <c r="T7" s="334">
        <f t="shared" si="4"/>
        <v>57.875</v>
      </c>
      <c r="U7" s="334">
        <f t="shared" si="5"/>
        <v>34.724999999999994</v>
      </c>
      <c r="V7" s="334">
        <f t="shared" si="6"/>
        <v>23.150000000000006</v>
      </c>
    </row>
    <row r="8" spans="1:35" ht="19.149999999999999" customHeight="1">
      <c r="A8" s="498"/>
      <c r="B8" s="317">
        <v>6</v>
      </c>
      <c r="C8" s="340">
        <v>46.088596716077532</v>
      </c>
      <c r="D8" s="341">
        <v>5.2604205017103762</v>
      </c>
      <c r="E8" s="342">
        <v>51.34901721778791</v>
      </c>
      <c r="F8" s="322">
        <v>44.56</v>
      </c>
      <c r="G8" s="305">
        <v>0</v>
      </c>
      <c r="H8" s="338">
        <v>44.56</v>
      </c>
      <c r="I8" s="313">
        <v>57.8</v>
      </c>
      <c r="J8" s="309">
        <f t="shared" si="0"/>
        <v>72.25</v>
      </c>
      <c r="K8" s="137">
        <f t="shared" si="1"/>
        <v>43.349999999999994</v>
      </c>
      <c r="L8" s="328">
        <f t="shared" si="2"/>
        <v>28.900000000000006</v>
      </c>
      <c r="N8" s="497"/>
      <c r="O8" s="306">
        <v>6</v>
      </c>
      <c r="P8" s="331">
        <v>92562</v>
      </c>
      <c r="Q8" s="332">
        <v>29.3</v>
      </c>
      <c r="R8" s="332">
        <v>4.5999999999999996</v>
      </c>
      <c r="S8" s="333">
        <f t="shared" si="3"/>
        <v>33.9</v>
      </c>
      <c r="T8" s="334">
        <f t="shared" si="4"/>
        <v>42.375</v>
      </c>
      <c r="U8" s="334">
        <f t="shared" si="5"/>
        <v>25.424999999999997</v>
      </c>
      <c r="V8" s="334">
        <f t="shared" si="6"/>
        <v>16.950000000000003</v>
      </c>
    </row>
    <row r="9" spans="1:35" ht="19.149999999999999" customHeight="1">
      <c r="A9" s="498"/>
      <c r="B9" s="317">
        <v>7</v>
      </c>
      <c r="C9" s="340">
        <v>45.789384436701503</v>
      </c>
      <c r="D9" s="341">
        <v>3.9678977932636466</v>
      </c>
      <c r="E9" s="342">
        <v>49.757282229965149</v>
      </c>
      <c r="F9" s="322">
        <v>47.71</v>
      </c>
      <c r="G9" s="305">
        <v>0</v>
      </c>
      <c r="H9" s="338">
        <v>47.71</v>
      </c>
      <c r="I9" s="313">
        <v>57.8</v>
      </c>
      <c r="J9" s="309">
        <f t="shared" si="0"/>
        <v>72.25</v>
      </c>
      <c r="K9" s="137">
        <f t="shared" si="1"/>
        <v>43.349999999999994</v>
      </c>
      <c r="L9" s="328">
        <f t="shared" si="2"/>
        <v>28.900000000000006</v>
      </c>
      <c r="N9" s="497"/>
      <c r="O9" s="306">
        <v>7</v>
      </c>
      <c r="P9" s="331">
        <v>63471</v>
      </c>
      <c r="Q9" s="332">
        <v>35.1</v>
      </c>
      <c r="R9" s="332">
        <v>3.2</v>
      </c>
      <c r="S9" s="333">
        <f t="shared" si="3"/>
        <v>38.300000000000004</v>
      </c>
      <c r="T9" s="334">
        <f t="shared" si="4"/>
        <v>47.875000000000007</v>
      </c>
      <c r="U9" s="334">
        <f t="shared" si="5"/>
        <v>28.725000000000001</v>
      </c>
      <c r="V9" s="334">
        <f t="shared" si="6"/>
        <v>19.150000000000006</v>
      </c>
    </row>
    <row r="10" spans="1:35" ht="19.149999999999999" customHeight="1">
      <c r="A10" s="498"/>
      <c r="B10" s="317">
        <v>8</v>
      </c>
      <c r="C10" s="340">
        <v>53.364741676234217</v>
      </c>
      <c r="D10" s="341">
        <v>5.648794489092996</v>
      </c>
      <c r="E10" s="342">
        <v>59.01353616532721</v>
      </c>
      <c r="F10" s="322">
        <v>44.71</v>
      </c>
      <c r="G10" s="305">
        <v>0</v>
      </c>
      <c r="H10" s="338">
        <v>44.71</v>
      </c>
      <c r="I10" s="313">
        <v>58.9</v>
      </c>
      <c r="J10" s="309">
        <f t="shared" si="0"/>
        <v>73.625</v>
      </c>
      <c r="K10" s="137">
        <f t="shared" si="1"/>
        <v>44.174999999999997</v>
      </c>
      <c r="L10" s="328">
        <f t="shared" si="2"/>
        <v>29.450000000000003</v>
      </c>
      <c r="N10" s="497"/>
      <c r="O10" s="306">
        <v>8</v>
      </c>
      <c r="P10" s="331">
        <v>147354</v>
      </c>
      <c r="Q10" s="332">
        <v>29</v>
      </c>
      <c r="R10" s="332">
        <v>4.5</v>
      </c>
      <c r="S10" s="333">
        <f t="shared" si="3"/>
        <v>33.5</v>
      </c>
      <c r="T10" s="334">
        <f t="shared" si="4"/>
        <v>41.875</v>
      </c>
      <c r="U10" s="334">
        <f t="shared" si="5"/>
        <v>25.125</v>
      </c>
      <c r="V10" s="334">
        <f t="shared" si="6"/>
        <v>16.75</v>
      </c>
    </row>
    <row r="11" spans="1:35" ht="19.149999999999999" customHeight="1">
      <c r="A11" s="498"/>
      <c r="B11" s="317">
        <v>9</v>
      </c>
      <c r="C11" s="340">
        <v>53.468668146503887</v>
      </c>
      <c r="D11" s="341">
        <v>7.7470144284128741</v>
      </c>
      <c r="E11" s="342">
        <v>61.215682574916762</v>
      </c>
      <c r="F11" s="322">
        <v>44.81</v>
      </c>
      <c r="G11" s="305">
        <v>0</v>
      </c>
      <c r="H11" s="338">
        <v>44.81</v>
      </c>
      <c r="I11" s="313">
        <v>59.6</v>
      </c>
      <c r="J11" s="309">
        <f t="shared" si="0"/>
        <v>74.5</v>
      </c>
      <c r="K11" s="137">
        <f t="shared" si="1"/>
        <v>44.7</v>
      </c>
      <c r="L11" s="328">
        <f t="shared" si="2"/>
        <v>29.799999999999997</v>
      </c>
      <c r="N11" s="497"/>
      <c r="O11" s="306">
        <v>9</v>
      </c>
      <c r="P11" s="331">
        <v>212697</v>
      </c>
      <c r="Q11" s="332">
        <v>32.1</v>
      </c>
      <c r="R11" s="332">
        <v>4.8</v>
      </c>
      <c r="S11" s="333">
        <f t="shared" si="3"/>
        <v>36.9</v>
      </c>
      <c r="T11" s="334">
        <f t="shared" si="4"/>
        <v>46.125</v>
      </c>
      <c r="U11" s="334">
        <f t="shared" si="5"/>
        <v>27.674999999999997</v>
      </c>
      <c r="V11" s="334">
        <f t="shared" si="6"/>
        <v>18.450000000000003</v>
      </c>
    </row>
    <row r="12" spans="1:35" ht="19.149999999999999" customHeight="1">
      <c r="A12" s="498"/>
      <c r="B12" s="317">
        <v>10</v>
      </c>
      <c r="C12" s="340">
        <v>51.669136930022574</v>
      </c>
      <c r="D12" s="341">
        <v>7.5596337020316025</v>
      </c>
      <c r="E12" s="342">
        <v>59.228770632054179</v>
      </c>
      <c r="F12" s="322">
        <v>45.53</v>
      </c>
      <c r="G12" s="305">
        <v>0</v>
      </c>
      <c r="H12" s="338">
        <v>45.53</v>
      </c>
      <c r="I12" s="313">
        <v>60.2</v>
      </c>
      <c r="J12" s="309">
        <f t="shared" si="0"/>
        <v>75.25</v>
      </c>
      <c r="K12" s="137">
        <f t="shared" si="1"/>
        <v>45.150000000000006</v>
      </c>
      <c r="L12" s="328">
        <f t="shared" si="2"/>
        <v>30.099999999999994</v>
      </c>
      <c r="N12" s="497"/>
      <c r="O12" s="306">
        <v>10</v>
      </c>
      <c r="P12" s="331">
        <v>149832</v>
      </c>
      <c r="Q12" s="332">
        <v>31.7</v>
      </c>
      <c r="R12" s="332">
        <v>5.3</v>
      </c>
      <c r="S12" s="333">
        <f t="shared" si="3"/>
        <v>37</v>
      </c>
      <c r="T12" s="334">
        <f t="shared" si="4"/>
        <v>46.25</v>
      </c>
      <c r="U12" s="334">
        <f t="shared" si="5"/>
        <v>27.75</v>
      </c>
      <c r="V12" s="334">
        <f t="shared" si="6"/>
        <v>18.5</v>
      </c>
    </row>
    <row r="13" spans="1:35" ht="19.149999999999999" customHeight="1">
      <c r="A13" s="498"/>
      <c r="B13" s="317">
        <v>11</v>
      </c>
      <c r="C13" s="340">
        <v>55.909581339712922</v>
      </c>
      <c r="D13" s="341">
        <v>24.198935406698567</v>
      </c>
      <c r="E13" s="342">
        <v>80.108516746411482</v>
      </c>
      <c r="F13" s="322">
        <v>46.55</v>
      </c>
      <c r="G13" s="305">
        <v>0</v>
      </c>
      <c r="H13" s="338">
        <v>46.55</v>
      </c>
      <c r="I13" s="313">
        <v>62.3</v>
      </c>
      <c r="J13" s="309">
        <f t="shared" si="0"/>
        <v>77.875</v>
      </c>
      <c r="K13" s="137">
        <f t="shared" si="1"/>
        <v>46.724999999999994</v>
      </c>
      <c r="L13" s="328">
        <f t="shared" si="2"/>
        <v>31.150000000000006</v>
      </c>
      <c r="N13" s="497"/>
      <c r="O13" s="306">
        <v>11</v>
      </c>
      <c r="P13" s="331">
        <v>45934</v>
      </c>
      <c r="Q13" s="332">
        <v>36.200000000000003</v>
      </c>
      <c r="R13" s="332">
        <v>9.3000000000000007</v>
      </c>
      <c r="S13" s="333">
        <f t="shared" si="3"/>
        <v>45.5</v>
      </c>
      <c r="T13" s="334">
        <f t="shared" si="4"/>
        <v>56.875</v>
      </c>
      <c r="U13" s="334">
        <f t="shared" si="5"/>
        <v>34.125</v>
      </c>
      <c r="V13" s="334">
        <f t="shared" si="6"/>
        <v>22.75</v>
      </c>
    </row>
    <row r="14" spans="1:35" ht="19.149999999999999" customHeight="1">
      <c r="A14" s="498"/>
      <c r="B14" s="317">
        <v>12</v>
      </c>
      <c r="C14" s="340">
        <v>50.249701492537312</v>
      </c>
      <c r="D14" s="341">
        <v>21.972594718714124</v>
      </c>
      <c r="E14" s="342">
        <v>72.222296211251432</v>
      </c>
      <c r="F14" s="322">
        <v>44.39</v>
      </c>
      <c r="G14" s="305">
        <v>0</v>
      </c>
      <c r="H14" s="338">
        <v>44.39</v>
      </c>
      <c r="I14" s="313">
        <v>61.3</v>
      </c>
      <c r="J14" s="309">
        <f t="shared" si="0"/>
        <v>76.625</v>
      </c>
      <c r="K14" s="137">
        <f t="shared" si="1"/>
        <v>45.974999999999994</v>
      </c>
      <c r="L14" s="328">
        <f t="shared" si="2"/>
        <v>30.650000000000006</v>
      </c>
      <c r="N14" s="497"/>
      <c r="O14" s="306">
        <v>12</v>
      </c>
      <c r="P14" s="331">
        <v>195816</v>
      </c>
      <c r="Q14" s="332">
        <v>37.5</v>
      </c>
      <c r="R14" s="332">
        <v>9.8000000000000007</v>
      </c>
      <c r="S14" s="333">
        <f t="shared" si="3"/>
        <v>47.3</v>
      </c>
      <c r="T14" s="334">
        <f t="shared" si="4"/>
        <v>59.125</v>
      </c>
      <c r="U14" s="334">
        <f t="shared" si="5"/>
        <v>35.474999999999994</v>
      </c>
      <c r="V14" s="334">
        <f t="shared" si="6"/>
        <v>23.650000000000006</v>
      </c>
    </row>
    <row r="15" spans="1:35" ht="19.149999999999999" customHeight="1">
      <c r="A15" s="498"/>
      <c r="B15" s="317">
        <v>13</v>
      </c>
      <c r="C15" s="340">
        <v>54.911678240740734</v>
      </c>
      <c r="D15" s="341">
        <v>17.10402777777778</v>
      </c>
      <c r="E15" s="342">
        <v>72.015706018518514</v>
      </c>
      <c r="F15" s="322">
        <v>47.24</v>
      </c>
      <c r="G15" s="305">
        <v>0</v>
      </c>
      <c r="H15" s="338">
        <v>47.24</v>
      </c>
      <c r="I15" s="313">
        <v>62.3</v>
      </c>
      <c r="J15" s="309">
        <f t="shared" si="0"/>
        <v>77.875</v>
      </c>
      <c r="K15" s="137">
        <f t="shared" si="1"/>
        <v>46.724999999999994</v>
      </c>
      <c r="L15" s="328">
        <f t="shared" si="2"/>
        <v>31.150000000000006</v>
      </c>
      <c r="N15" s="497"/>
      <c r="O15" s="306">
        <v>13</v>
      </c>
      <c r="P15" s="331">
        <v>67122</v>
      </c>
      <c r="Q15" s="332">
        <v>42.3</v>
      </c>
      <c r="R15" s="332">
        <v>8.9</v>
      </c>
      <c r="S15" s="333">
        <f t="shared" si="3"/>
        <v>51.199999999999996</v>
      </c>
      <c r="T15" s="334">
        <f t="shared" si="4"/>
        <v>63.999999999999993</v>
      </c>
      <c r="U15" s="334">
        <f t="shared" si="5"/>
        <v>38.4</v>
      </c>
      <c r="V15" s="334">
        <f t="shared" si="6"/>
        <v>25.599999999999994</v>
      </c>
    </row>
    <row r="16" spans="1:35" ht="19.149999999999999" customHeight="1">
      <c r="A16" s="498"/>
      <c r="B16" s="317">
        <v>14</v>
      </c>
      <c r="C16" s="340">
        <v>56.845759069767439</v>
      </c>
      <c r="D16" s="341">
        <v>20.986657829457364</v>
      </c>
      <c r="E16" s="342">
        <v>77.832416899224796</v>
      </c>
      <c r="F16" s="322">
        <v>48</v>
      </c>
      <c r="G16" s="305">
        <v>0</v>
      </c>
      <c r="H16" s="338">
        <v>48</v>
      </c>
      <c r="I16" s="313">
        <v>62.6</v>
      </c>
      <c r="J16" s="309">
        <f t="shared" si="0"/>
        <v>78.25</v>
      </c>
      <c r="K16" s="137">
        <f t="shared" si="1"/>
        <v>46.95</v>
      </c>
      <c r="L16" s="328">
        <f t="shared" si="2"/>
        <v>31.299999999999997</v>
      </c>
      <c r="N16" s="497"/>
      <c r="O16" s="306">
        <v>14</v>
      </c>
      <c r="P16" s="331">
        <v>39049</v>
      </c>
      <c r="Q16" s="332">
        <v>29.3</v>
      </c>
      <c r="R16" s="332">
        <v>4.4000000000000004</v>
      </c>
      <c r="S16" s="333">
        <f t="shared" si="3"/>
        <v>33.700000000000003</v>
      </c>
      <c r="T16" s="334">
        <f t="shared" si="4"/>
        <v>42.125</v>
      </c>
      <c r="U16" s="334">
        <f t="shared" si="5"/>
        <v>25.275000000000002</v>
      </c>
      <c r="V16" s="334">
        <f t="shared" si="6"/>
        <v>16.849999999999998</v>
      </c>
    </row>
    <row r="17" spans="1:22" ht="19.149999999999999" customHeight="1">
      <c r="A17" s="498"/>
      <c r="B17" s="317">
        <v>15</v>
      </c>
      <c r="C17" s="340">
        <v>67.152280701754378</v>
      </c>
      <c r="D17" s="341">
        <v>3.5693099415204683</v>
      </c>
      <c r="E17" s="342">
        <v>70.721590643274851</v>
      </c>
      <c r="F17" s="322">
        <v>49.54</v>
      </c>
      <c r="G17" s="305">
        <v>0</v>
      </c>
      <c r="H17" s="338">
        <v>49.54</v>
      </c>
      <c r="I17" s="313">
        <v>60.1</v>
      </c>
      <c r="J17" s="309">
        <f t="shared" si="0"/>
        <v>75.125</v>
      </c>
      <c r="K17" s="137">
        <f t="shared" si="1"/>
        <v>45.075000000000003</v>
      </c>
      <c r="L17" s="328">
        <f t="shared" si="2"/>
        <v>30.049999999999997</v>
      </c>
      <c r="N17" s="497"/>
      <c r="O17" s="306">
        <v>15</v>
      </c>
      <c r="P17" s="331">
        <v>73160</v>
      </c>
      <c r="Q17" s="332">
        <v>34.1</v>
      </c>
      <c r="R17" s="332">
        <v>8.3000000000000007</v>
      </c>
      <c r="S17" s="333">
        <f t="shared" si="3"/>
        <v>42.400000000000006</v>
      </c>
      <c r="T17" s="334">
        <f t="shared" si="4"/>
        <v>53.000000000000007</v>
      </c>
      <c r="U17" s="334">
        <f t="shared" si="5"/>
        <v>31.800000000000004</v>
      </c>
      <c r="V17" s="334">
        <f t="shared" si="6"/>
        <v>21.200000000000003</v>
      </c>
    </row>
    <row r="18" spans="1:22" ht="19.149999999999999" customHeight="1">
      <c r="A18" s="499"/>
      <c r="B18" s="318">
        <v>16</v>
      </c>
      <c r="C18" s="343">
        <v>47.890882681564243</v>
      </c>
      <c r="D18" s="344">
        <v>38.46772067039106</v>
      </c>
      <c r="E18" s="345">
        <v>86.35860335195531</v>
      </c>
      <c r="F18" s="323">
        <v>43.03</v>
      </c>
      <c r="G18" s="324">
        <v>0</v>
      </c>
      <c r="H18" s="339">
        <v>43.03</v>
      </c>
      <c r="I18" s="314">
        <v>61.2</v>
      </c>
      <c r="J18" s="315">
        <f t="shared" si="0"/>
        <v>76.5</v>
      </c>
      <c r="K18" s="316">
        <f t="shared" si="1"/>
        <v>45.900000000000006</v>
      </c>
      <c r="L18" s="329">
        <f t="shared" si="2"/>
        <v>30.599999999999994</v>
      </c>
      <c r="N18" s="497"/>
      <c r="O18" s="306">
        <v>16</v>
      </c>
      <c r="P18" s="331">
        <v>149464</v>
      </c>
      <c r="Q18" s="332">
        <v>32.799999999999997</v>
      </c>
      <c r="R18" s="332">
        <v>5.3</v>
      </c>
      <c r="S18" s="333">
        <f t="shared" si="3"/>
        <v>38.099999999999994</v>
      </c>
      <c r="T18" s="334">
        <f t="shared" si="4"/>
        <v>47.624999999999993</v>
      </c>
      <c r="U18" s="334">
        <f t="shared" si="5"/>
        <v>28.574999999999996</v>
      </c>
      <c r="V18" s="334">
        <f t="shared" si="6"/>
        <v>19.049999999999997</v>
      </c>
    </row>
    <row r="19" spans="1:22" ht="13.15"/>
    <row r="20" spans="1:22" ht="13.15">
      <c r="N20" s="3" t="s">
        <v>385</v>
      </c>
    </row>
    <row r="21" spans="1:22" ht="13.15">
      <c r="N21" s="3" t="s">
        <v>386</v>
      </c>
    </row>
    <row r="22" spans="1:22" ht="13.15">
      <c r="N22" s="3" t="s">
        <v>387</v>
      </c>
    </row>
    <row r="25" spans="1:22" s="20" customFormat="1" ht="13.15" hidden="1">
      <c r="N25" s="20" t="s">
        <v>39</v>
      </c>
      <c r="R25" s="21"/>
      <c r="S25" s="22"/>
      <c r="T25" s="23"/>
    </row>
  </sheetData>
  <mergeCells count="5">
    <mergeCell ref="N3:N18"/>
    <mergeCell ref="A3:A18"/>
    <mergeCell ref="N1:V1"/>
    <mergeCell ref="A1:H1"/>
    <mergeCell ref="I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34"/>
  <sheetViews>
    <sheetView tabSelected="1" zoomScale="85" zoomScaleNormal="85" workbookViewId="0">
      <selection sqref="A1:G1"/>
    </sheetView>
  </sheetViews>
  <sheetFormatPr defaultColWidth="8.7109375" defaultRowHeight="12.75" customHeight="1"/>
  <cols>
    <col min="1" max="2" width="12" style="3" customWidth="1"/>
    <col min="3" max="6" width="13.7109375" style="3" customWidth="1"/>
    <col min="7" max="7" width="13.28515625" style="3" customWidth="1"/>
    <col min="8" max="8" width="12.7109375" style="3" bestFit="1" customWidth="1"/>
    <col min="9" max="9" width="8.7109375" style="3"/>
    <col min="10" max="10" width="12" style="3" customWidth="1"/>
    <col min="11" max="11" width="14.140625" style="3" customWidth="1"/>
    <col min="12" max="12" width="10.28515625" style="3" customWidth="1"/>
    <col min="13" max="27" width="5.7109375" style="3" customWidth="1"/>
    <col min="28" max="16384" width="8.7109375" style="3"/>
  </cols>
  <sheetData>
    <row r="1" spans="1:28" ht="28.9" customHeight="1">
      <c r="A1" s="405" t="str">
        <f>"% of Floor Area per CZ and Vintage Bin - Retail"</f>
        <v>% of Floor Area per CZ and Vintage Bin - Retail</v>
      </c>
      <c r="B1" s="405"/>
      <c r="C1" s="405"/>
      <c r="D1" s="405"/>
      <c r="E1" s="405"/>
      <c r="F1" s="405"/>
      <c r="G1" s="405"/>
      <c r="J1" s="405" t="str">
        <f>"% of Floor Area per CZ and Vintage Bin - Retail"</f>
        <v>% of Floor Area per CZ and Vintage Bin - Retail</v>
      </c>
      <c r="K1" s="405"/>
      <c r="L1" s="405"/>
      <c r="M1" s="405"/>
      <c r="N1" s="405"/>
      <c r="O1" s="405"/>
      <c r="P1" s="405"/>
      <c r="Q1" s="405"/>
      <c r="R1" s="405"/>
      <c r="S1" s="405"/>
      <c r="T1" s="405"/>
      <c r="U1" s="405"/>
      <c r="V1" s="405"/>
      <c r="W1" s="405"/>
      <c r="X1" s="405"/>
      <c r="Y1" s="405"/>
      <c r="Z1" s="405"/>
      <c r="AA1" s="405"/>
    </row>
    <row r="2" spans="1:28" ht="32.25" customHeight="1">
      <c r="A2" s="509" t="s">
        <v>10</v>
      </c>
      <c r="B2" s="509" t="s">
        <v>368</v>
      </c>
      <c r="C2" s="509" t="s">
        <v>388</v>
      </c>
      <c r="D2" s="509"/>
      <c r="E2" s="509"/>
      <c r="F2" s="509"/>
      <c r="G2" s="509"/>
      <c r="J2" s="509" t="s">
        <v>10</v>
      </c>
      <c r="K2" s="509" t="s">
        <v>388</v>
      </c>
      <c r="L2" s="509" t="s">
        <v>368</v>
      </c>
      <c r="M2" s="509"/>
      <c r="N2" s="509"/>
      <c r="O2" s="509"/>
      <c r="P2" s="509"/>
      <c r="Q2" s="509"/>
      <c r="R2" s="509"/>
      <c r="S2" s="509"/>
      <c r="T2" s="509"/>
      <c r="U2" s="509"/>
      <c r="V2" s="509"/>
      <c r="W2" s="509"/>
      <c r="X2" s="509"/>
      <c r="Y2" s="509"/>
      <c r="Z2" s="509"/>
      <c r="AA2" s="509"/>
    </row>
    <row r="3" spans="1:28" ht="21" customHeight="1">
      <c r="A3" s="509"/>
      <c r="B3" s="509"/>
      <c r="C3" s="299" t="s">
        <v>389</v>
      </c>
      <c r="D3" s="299" t="s">
        <v>143</v>
      </c>
      <c r="E3" s="299" t="s">
        <v>145</v>
      </c>
      <c r="F3" s="299" t="s">
        <v>147</v>
      </c>
      <c r="G3" s="299" t="s">
        <v>390</v>
      </c>
      <c r="J3" s="509"/>
      <c r="K3" s="509"/>
      <c r="L3" s="369">
        <v>1</v>
      </c>
      <c r="M3" s="369">
        <v>2</v>
      </c>
      <c r="N3" s="369">
        <v>3</v>
      </c>
      <c r="O3" s="369">
        <v>4</v>
      </c>
      <c r="P3" s="369">
        <v>5</v>
      </c>
      <c r="Q3" s="369">
        <v>6</v>
      </c>
      <c r="R3" s="369">
        <v>7</v>
      </c>
      <c r="S3" s="369">
        <v>8</v>
      </c>
      <c r="T3" s="369">
        <v>9</v>
      </c>
      <c r="U3" s="369">
        <v>10</v>
      </c>
      <c r="V3" s="369">
        <v>11</v>
      </c>
      <c r="W3" s="369">
        <v>12</v>
      </c>
      <c r="X3" s="369">
        <v>13</v>
      </c>
      <c r="Y3" s="369">
        <v>14</v>
      </c>
      <c r="Z3" s="369">
        <v>15</v>
      </c>
      <c r="AA3" s="369">
        <v>16</v>
      </c>
    </row>
    <row r="4" spans="1:28" ht="16.899999999999999" customHeight="1">
      <c r="A4" s="506" t="s">
        <v>98</v>
      </c>
      <c r="B4" s="130">
        <v>1</v>
      </c>
      <c r="C4" s="300">
        <v>0.312</v>
      </c>
      <c r="D4" s="300">
        <v>0.28299999999999997</v>
      </c>
      <c r="E4" s="300">
        <v>0.16200000000000001</v>
      </c>
      <c r="F4" s="300">
        <v>8.5999999999999993E-2</v>
      </c>
      <c r="G4" s="301">
        <v>0.157</v>
      </c>
      <c r="H4" s="66">
        <f>SUM(C4:G4)</f>
        <v>1</v>
      </c>
      <c r="J4" s="503" t="s">
        <v>98</v>
      </c>
      <c r="K4" s="41" t="s">
        <v>389</v>
      </c>
      <c r="L4" s="41">
        <v>1.0318539E-2</v>
      </c>
      <c r="M4" s="41">
        <v>2.9366620999999999E-2</v>
      </c>
      <c r="N4" s="41">
        <v>8.4695091E-2</v>
      </c>
      <c r="O4" s="41">
        <v>4.4778878000000001E-2</v>
      </c>
      <c r="P4" s="41">
        <v>5.1230199999999998E-3</v>
      </c>
      <c r="Q4" s="41">
        <v>9.2452429000000003E-2</v>
      </c>
      <c r="R4" s="41">
        <v>3.9592212000000002E-2</v>
      </c>
      <c r="S4" s="41">
        <v>0.15153345600000001</v>
      </c>
      <c r="T4" s="41">
        <v>0.227736361</v>
      </c>
      <c r="U4" s="41">
        <v>4.3801296000000003E-2</v>
      </c>
      <c r="V4" s="41">
        <v>2.9412305E-2</v>
      </c>
      <c r="W4" s="41">
        <v>0.123247883</v>
      </c>
      <c r="X4" s="41">
        <v>3.4112319000000002E-2</v>
      </c>
      <c r="Y4" s="41">
        <v>1.7624404999999999E-2</v>
      </c>
      <c r="Z4" s="41">
        <v>2.2383301000000001E-2</v>
      </c>
      <c r="AA4" s="41">
        <v>4.3821882999999999E-2</v>
      </c>
      <c r="AB4" s="66">
        <f t="shared" ref="AB4:AB9" si="0">SUM(L4:AA4)</f>
        <v>0.99999999900000003</v>
      </c>
    </row>
    <row r="5" spans="1:28" ht="16.899999999999999" customHeight="1">
      <c r="A5" s="507"/>
      <c r="B5" s="39">
        <v>2</v>
      </c>
      <c r="C5" s="302">
        <v>0.48599999999999999</v>
      </c>
      <c r="D5" s="302">
        <v>0.29199999999999998</v>
      </c>
      <c r="E5" s="302">
        <v>6.8000000000000005E-2</v>
      </c>
      <c r="F5" s="302">
        <v>2.5999999999999999E-2</v>
      </c>
      <c r="G5" s="303">
        <v>0.128</v>
      </c>
      <c r="H5" s="66">
        <f t="shared" ref="H5:H19" si="1">SUM(C5:G5)</f>
        <v>1</v>
      </c>
      <c r="J5" s="504"/>
      <c r="K5" s="41" t="s">
        <v>143</v>
      </c>
      <c r="L5" s="41">
        <v>9.6543110000000005E-3</v>
      </c>
      <c r="M5" s="41">
        <v>1.8200183000000002E-2</v>
      </c>
      <c r="N5" s="41">
        <v>4.8977778E-2</v>
      </c>
      <c r="O5" s="41">
        <v>2.3912375E-2</v>
      </c>
      <c r="P5" s="41">
        <v>6.5232989999999998E-3</v>
      </c>
      <c r="Q5" s="41">
        <v>6.1209764E-2</v>
      </c>
      <c r="R5" s="41">
        <v>6.7170300000000002E-2</v>
      </c>
      <c r="S5" s="41">
        <v>8.8770271999999997E-2</v>
      </c>
      <c r="T5" s="41">
        <v>0.13600272499999999</v>
      </c>
      <c r="U5" s="41">
        <v>0.12822096999999999</v>
      </c>
      <c r="V5" s="41">
        <v>2.8728246999999998E-2</v>
      </c>
      <c r="W5" s="41">
        <v>0.135588193</v>
      </c>
      <c r="X5" s="41">
        <v>4.4256912000000002E-2</v>
      </c>
      <c r="Y5" s="41">
        <v>2.9196159999999999E-2</v>
      </c>
      <c r="Z5" s="41">
        <v>5.5827031999999999E-2</v>
      </c>
      <c r="AA5" s="41">
        <v>0.11776148</v>
      </c>
      <c r="AB5" s="66">
        <f t="shared" si="0"/>
        <v>1.0000000010000001</v>
      </c>
    </row>
    <row r="6" spans="1:28" ht="16.899999999999999" customHeight="1">
      <c r="A6" s="507"/>
      <c r="B6" s="39">
        <v>3</v>
      </c>
      <c r="C6" s="302">
        <v>0.4</v>
      </c>
      <c r="D6" s="302">
        <v>0.224</v>
      </c>
      <c r="E6" s="302">
        <v>0.14299999999999999</v>
      </c>
      <c r="F6" s="302">
        <v>9.4E-2</v>
      </c>
      <c r="G6" s="303">
        <v>0.14000000000000001</v>
      </c>
      <c r="H6" s="66">
        <f t="shared" si="1"/>
        <v>1.0009999999999999</v>
      </c>
      <c r="J6" s="504"/>
      <c r="K6" s="41" t="s">
        <v>145</v>
      </c>
      <c r="L6" s="41">
        <v>8.9363310000000005E-3</v>
      </c>
      <c r="M6" s="41">
        <v>6.8539200000000003E-3</v>
      </c>
      <c r="N6" s="41">
        <v>5.0648865000000001E-2</v>
      </c>
      <c r="O6" s="41">
        <v>2.3776164999999998E-2</v>
      </c>
      <c r="P6" s="41">
        <v>8.8369260000000002E-3</v>
      </c>
      <c r="Q6" s="41">
        <v>5.2331234999999997E-2</v>
      </c>
      <c r="R6" s="41">
        <v>3.5697864000000003E-2</v>
      </c>
      <c r="S6" s="41">
        <v>8.5961078999999996E-2</v>
      </c>
      <c r="T6" s="41">
        <v>0.131069771</v>
      </c>
      <c r="U6" s="41">
        <v>0.103253792</v>
      </c>
      <c r="V6" s="41">
        <v>3.7879151999999999E-2</v>
      </c>
      <c r="W6" s="41">
        <v>0.18437962499999999</v>
      </c>
      <c r="X6" s="41">
        <v>7.6306105999999999E-2</v>
      </c>
      <c r="Y6" s="41">
        <v>2.7957388999999999E-2</v>
      </c>
      <c r="Z6" s="41">
        <v>5.9186013000000003E-2</v>
      </c>
      <c r="AA6" s="41">
        <v>0.10692576600000001</v>
      </c>
      <c r="AB6" s="66">
        <f t="shared" si="0"/>
        <v>0.99999999900000014</v>
      </c>
    </row>
    <row r="7" spans="1:28" ht="16.899999999999999" customHeight="1">
      <c r="A7" s="507"/>
      <c r="B7" s="39">
        <v>4</v>
      </c>
      <c r="C7" s="302">
        <v>0.42</v>
      </c>
      <c r="D7" s="302">
        <v>0.217</v>
      </c>
      <c r="E7" s="302">
        <v>0.13400000000000001</v>
      </c>
      <c r="F7" s="302">
        <v>0.10100000000000001</v>
      </c>
      <c r="G7" s="303">
        <v>0.128</v>
      </c>
      <c r="H7" s="66">
        <f t="shared" si="1"/>
        <v>1</v>
      </c>
      <c r="J7" s="504"/>
      <c r="K7" s="41" t="s">
        <v>147</v>
      </c>
      <c r="L7" s="41">
        <v>6.9801780000000001E-3</v>
      </c>
      <c r="M7" s="41">
        <v>3.835504E-3</v>
      </c>
      <c r="N7" s="41">
        <v>4.8925516000000002E-2</v>
      </c>
      <c r="O7" s="41">
        <v>2.6371556000000001E-2</v>
      </c>
      <c r="P7" s="41">
        <v>2.609625E-3</v>
      </c>
      <c r="Q7" s="41">
        <v>2.6863664999999998E-2</v>
      </c>
      <c r="R7" s="41">
        <v>1.1595095E-2</v>
      </c>
      <c r="S7" s="41">
        <v>4.3944136000000002E-2</v>
      </c>
      <c r="T7" s="41">
        <v>4.9958990000000002E-2</v>
      </c>
      <c r="U7" s="41">
        <v>0.217001413</v>
      </c>
      <c r="V7" s="41">
        <v>2.9401699999999999E-2</v>
      </c>
      <c r="W7" s="41">
        <v>0.105672272</v>
      </c>
      <c r="X7" s="41">
        <v>3.9400408999999997E-2</v>
      </c>
      <c r="Y7" s="41">
        <v>5.3281132000000002E-2</v>
      </c>
      <c r="Z7" s="41">
        <v>9.3022767000000006E-2</v>
      </c>
      <c r="AA7" s="41">
        <v>0.24113604299999999</v>
      </c>
      <c r="AB7" s="66">
        <f t="shared" si="0"/>
        <v>1.0000000009999999</v>
      </c>
    </row>
    <row r="8" spans="1:28" ht="16.899999999999999" customHeight="1">
      <c r="A8" s="507"/>
      <c r="B8" s="39">
        <v>5</v>
      </c>
      <c r="C8" s="302">
        <v>0.218</v>
      </c>
      <c r="D8" s="302">
        <v>0.26800000000000002</v>
      </c>
      <c r="E8" s="302">
        <v>0.22500000000000001</v>
      </c>
      <c r="F8" s="302">
        <v>4.4999999999999998E-2</v>
      </c>
      <c r="G8" s="303">
        <v>0.245</v>
      </c>
      <c r="H8" s="66">
        <f t="shared" si="1"/>
        <v>1.0009999999999999</v>
      </c>
      <c r="J8" s="504"/>
      <c r="K8" s="41" t="s">
        <v>390</v>
      </c>
      <c r="L8" s="41">
        <v>1.2366366E-2</v>
      </c>
      <c r="M8" s="41">
        <v>1.8382498000000001E-2</v>
      </c>
      <c r="N8" s="41">
        <v>7.0681501999999993E-2</v>
      </c>
      <c r="O8" s="41">
        <v>3.2523011999999997E-2</v>
      </c>
      <c r="P8" s="41">
        <v>1.3731721000000001E-2</v>
      </c>
      <c r="Q8" s="41">
        <v>6.5337692000000003E-2</v>
      </c>
      <c r="R8" s="41">
        <v>5.0258313999999998E-2</v>
      </c>
      <c r="S8" s="41">
        <v>0.108712183</v>
      </c>
      <c r="T8" s="41">
        <v>0.12039145499999999</v>
      </c>
      <c r="U8" s="41">
        <v>9.6425317999999996E-2</v>
      </c>
      <c r="V8" s="41">
        <v>4.2933064999999999E-2</v>
      </c>
      <c r="W8" s="41">
        <v>0.14416053700000001</v>
      </c>
      <c r="X8" s="41">
        <v>5.217082E-2</v>
      </c>
      <c r="Y8" s="41">
        <v>2.1740072999999999E-2</v>
      </c>
      <c r="Z8" s="41">
        <v>6.0365786999999997E-2</v>
      </c>
      <c r="AA8" s="41">
        <v>8.9819656999999997E-2</v>
      </c>
      <c r="AB8" s="66">
        <f t="shared" si="0"/>
        <v>1</v>
      </c>
    </row>
    <row r="9" spans="1:28" ht="16.899999999999999" customHeight="1">
      <c r="A9" s="507"/>
      <c r="B9" s="39">
        <v>6</v>
      </c>
      <c r="C9" s="302">
        <v>0.41799999999999998</v>
      </c>
      <c r="D9" s="302">
        <v>0.26800000000000002</v>
      </c>
      <c r="E9" s="302">
        <v>0.14199999999999999</v>
      </c>
      <c r="F9" s="302">
        <v>4.9000000000000002E-2</v>
      </c>
      <c r="G9" s="303">
        <v>0.124</v>
      </c>
      <c r="H9" s="66">
        <f t="shared" si="1"/>
        <v>1.0009999999999999</v>
      </c>
      <c r="J9" s="505"/>
      <c r="K9" s="41" t="s">
        <v>284</v>
      </c>
      <c r="L9" s="41">
        <v>9.7387419999999999E-3</v>
      </c>
      <c r="M9" s="41">
        <v>1.7792715000000001E-2</v>
      </c>
      <c r="N9" s="41">
        <v>6.2478314E-2</v>
      </c>
      <c r="O9" s="41">
        <v>3.1398052000000003E-2</v>
      </c>
      <c r="P9" s="41">
        <v>6.9418329999999997E-3</v>
      </c>
      <c r="Q9" s="41">
        <v>6.5251490999999995E-2</v>
      </c>
      <c r="R9" s="41">
        <v>4.4744863000000003E-2</v>
      </c>
      <c r="S9" s="41">
        <v>0.103874984</v>
      </c>
      <c r="T9" s="41">
        <v>0.14994120999999999</v>
      </c>
      <c r="U9" s="41">
        <v>0.10562719800000001</v>
      </c>
      <c r="V9" s="41">
        <v>3.2381859999999998E-2</v>
      </c>
      <c r="W9" s="41">
        <v>0.13803907500000001</v>
      </c>
      <c r="X9" s="41">
        <v>4.7319033000000003E-2</v>
      </c>
      <c r="Y9" s="41">
        <v>2.7527533999999999E-2</v>
      </c>
      <c r="Z9" s="41">
        <v>5.1575598E-2</v>
      </c>
      <c r="AA9" s="41">
        <v>0.105367498</v>
      </c>
      <c r="AB9" s="66">
        <f t="shared" si="0"/>
        <v>0.99999999999999989</v>
      </c>
    </row>
    <row r="10" spans="1:28" ht="16.899999999999999" customHeight="1">
      <c r="A10" s="507"/>
      <c r="B10" s="39">
        <v>7</v>
      </c>
      <c r="C10" s="302">
        <v>0.26100000000000001</v>
      </c>
      <c r="D10" s="302">
        <v>0.42799999999999999</v>
      </c>
      <c r="E10" s="302">
        <v>0.14099999999999999</v>
      </c>
      <c r="F10" s="302">
        <v>3.1E-2</v>
      </c>
      <c r="G10" s="303">
        <v>0.13900000000000001</v>
      </c>
      <c r="H10" s="66">
        <f t="shared" si="1"/>
        <v>1</v>
      </c>
      <c r="J10" s="6"/>
      <c r="K10" s="64"/>
      <c r="L10" s="26"/>
      <c r="M10" s="26"/>
      <c r="N10" s="26"/>
      <c r="O10" s="26"/>
      <c r="P10" s="65"/>
    </row>
    <row r="11" spans="1:28" ht="16.899999999999999" customHeight="1">
      <c r="A11" s="507"/>
      <c r="B11" s="39">
        <v>8</v>
      </c>
      <c r="C11" s="302">
        <v>0.43</v>
      </c>
      <c r="D11" s="302">
        <v>0.24399999999999999</v>
      </c>
      <c r="E11" s="302">
        <v>0.14599999999999999</v>
      </c>
      <c r="F11" s="302">
        <v>5.0999999999999997E-2</v>
      </c>
      <c r="G11" s="303">
        <v>0.129</v>
      </c>
      <c r="H11" s="66">
        <f t="shared" si="1"/>
        <v>1</v>
      </c>
      <c r="J11" s="6"/>
      <c r="K11" s="64"/>
      <c r="L11" s="26"/>
      <c r="M11" s="26"/>
      <c r="N11" s="26"/>
      <c r="O11" s="26"/>
      <c r="P11" s="65"/>
    </row>
    <row r="12" spans="1:28" ht="16.899999999999999" customHeight="1">
      <c r="A12" s="507"/>
      <c r="B12" s="39">
        <v>9</v>
      </c>
      <c r="C12" s="302">
        <v>0.44800000000000001</v>
      </c>
      <c r="D12" s="302">
        <v>0.25900000000000001</v>
      </c>
      <c r="E12" s="302">
        <v>0.154</v>
      </c>
      <c r="F12" s="302">
        <v>0.04</v>
      </c>
      <c r="G12" s="303">
        <v>9.9000000000000005E-2</v>
      </c>
      <c r="H12" s="66">
        <f t="shared" si="1"/>
        <v>1.0000000000000002</v>
      </c>
      <c r="J12" s="6"/>
      <c r="K12" s="298"/>
      <c r="L12" s="298"/>
      <c r="M12" s="298"/>
      <c r="N12" s="298"/>
      <c r="O12" s="26"/>
      <c r="P12" s="65"/>
    </row>
    <row r="13" spans="1:28" ht="16.899999999999999" customHeight="1">
      <c r="A13" s="507"/>
      <c r="B13" s="39">
        <v>10</v>
      </c>
      <c r="C13" s="302">
        <v>0.122</v>
      </c>
      <c r="D13" s="302">
        <v>0.34599999999999997</v>
      </c>
      <c r="E13" s="302">
        <v>0.17199999999999999</v>
      </c>
      <c r="F13" s="302">
        <v>0.246</v>
      </c>
      <c r="G13" s="303">
        <v>0.113</v>
      </c>
      <c r="H13" s="66">
        <f t="shared" si="1"/>
        <v>0.99899999999999989</v>
      </c>
      <c r="J13" s="6"/>
      <c r="K13" s="298"/>
      <c r="L13" s="298"/>
      <c r="M13" s="298"/>
      <c r="N13" s="298"/>
      <c r="O13" s="26"/>
      <c r="P13" s="65"/>
    </row>
    <row r="14" spans="1:28" ht="16.899999999999999" customHeight="1">
      <c r="A14" s="507"/>
      <c r="B14" s="39">
        <v>11</v>
      </c>
      <c r="C14" s="302">
        <v>0.26800000000000002</v>
      </c>
      <c r="D14" s="302">
        <v>0.253</v>
      </c>
      <c r="E14" s="302">
        <v>0.20599999999999999</v>
      </c>
      <c r="F14" s="302">
        <v>0.109</v>
      </c>
      <c r="G14" s="303">
        <v>0.16400000000000001</v>
      </c>
      <c r="H14" s="66">
        <f t="shared" si="1"/>
        <v>1</v>
      </c>
      <c r="J14" s="6"/>
      <c r="K14" s="298"/>
      <c r="L14" s="298"/>
      <c r="M14" s="298"/>
      <c r="N14" s="298"/>
      <c r="O14" s="26"/>
      <c r="P14" s="65"/>
    </row>
    <row r="15" spans="1:28" ht="16.899999999999999" customHeight="1">
      <c r="A15" s="507"/>
      <c r="B15" s="39">
        <v>12</v>
      </c>
      <c r="C15" s="302">
        <v>0.26300000000000001</v>
      </c>
      <c r="D15" s="302">
        <v>0.28000000000000003</v>
      </c>
      <c r="E15" s="302">
        <v>0.23599999999999999</v>
      </c>
      <c r="F15" s="302">
        <v>9.1999999999999998E-2</v>
      </c>
      <c r="G15" s="303">
        <v>0.129</v>
      </c>
      <c r="H15" s="66">
        <f t="shared" si="1"/>
        <v>1</v>
      </c>
      <c r="J15" s="6"/>
      <c r="K15" s="298"/>
      <c r="L15" s="298"/>
      <c r="M15" s="298"/>
      <c r="N15" s="298"/>
      <c r="O15" s="26"/>
      <c r="P15" s="65"/>
    </row>
    <row r="16" spans="1:28" ht="16.899999999999999" customHeight="1">
      <c r="A16" s="507"/>
      <c r="B16" s="39">
        <v>13</v>
      </c>
      <c r="C16" s="302">
        <v>0.21199999999999999</v>
      </c>
      <c r="D16" s="302">
        <v>0.26700000000000002</v>
      </c>
      <c r="E16" s="302">
        <v>0.28499999999999998</v>
      </c>
      <c r="F16" s="302">
        <v>0.1</v>
      </c>
      <c r="G16" s="303">
        <v>0.13600000000000001</v>
      </c>
      <c r="H16" s="66">
        <f t="shared" si="1"/>
        <v>1</v>
      </c>
      <c r="J16" s="6"/>
      <c r="K16" s="298"/>
      <c r="L16" s="298"/>
      <c r="M16" s="298"/>
      <c r="N16" s="298"/>
      <c r="O16" s="26"/>
      <c r="P16" s="65"/>
    </row>
    <row r="17" spans="1:16" ht="16.899999999999999" customHeight="1">
      <c r="A17" s="507"/>
      <c r="B17" s="39">
        <v>14</v>
      </c>
      <c r="C17" s="302">
        <v>0.189</v>
      </c>
      <c r="D17" s="302">
        <v>0.30299999999999999</v>
      </c>
      <c r="E17" s="302">
        <v>0.17899999999999999</v>
      </c>
      <c r="F17" s="302">
        <v>0.23200000000000001</v>
      </c>
      <c r="G17" s="303">
        <v>9.8000000000000004E-2</v>
      </c>
      <c r="H17" s="66">
        <f t="shared" si="1"/>
        <v>1.0010000000000001</v>
      </c>
      <c r="J17" s="6"/>
      <c r="K17" s="298"/>
      <c r="L17" s="298"/>
      <c r="M17" s="298"/>
      <c r="N17" s="298"/>
      <c r="O17" s="26"/>
      <c r="P17" s="65"/>
    </row>
    <row r="18" spans="1:16" ht="16.899999999999999" customHeight="1">
      <c r="A18" s="507"/>
      <c r="B18" s="39">
        <v>15</v>
      </c>
      <c r="C18" s="302">
        <v>0.128</v>
      </c>
      <c r="D18" s="302">
        <v>0.309</v>
      </c>
      <c r="E18" s="302">
        <v>0.20200000000000001</v>
      </c>
      <c r="F18" s="302">
        <v>0.216</v>
      </c>
      <c r="G18" s="303">
        <v>0.14499999999999999</v>
      </c>
      <c r="H18" s="66">
        <f t="shared" si="1"/>
        <v>1</v>
      </c>
      <c r="J18" s="6"/>
      <c r="K18" s="298"/>
      <c r="L18" s="298"/>
      <c r="M18" s="298"/>
      <c r="N18" s="298"/>
      <c r="O18" s="26"/>
      <c r="P18" s="65"/>
    </row>
    <row r="19" spans="1:16" ht="16.899999999999999" customHeight="1">
      <c r="A19" s="507"/>
      <c r="B19" s="39">
        <v>16</v>
      </c>
      <c r="C19" s="303">
        <v>0.123</v>
      </c>
      <c r="D19" s="303">
        <v>0.31900000000000001</v>
      </c>
      <c r="E19" s="303">
        <v>0.17899999999999999</v>
      </c>
      <c r="F19" s="303">
        <v>0.27400000000000002</v>
      </c>
      <c r="G19" s="303">
        <v>0.105</v>
      </c>
      <c r="H19" s="66">
        <f t="shared" si="1"/>
        <v>1</v>
      </c>
      <c r="J19" s="6"/>
      <c r="K19" s="298"/>
      <c r="L19" s="298"/>
      <c r="M19" s="298"/>
      <c r="N19" s="298"/>
      <c r="O19" s="26"/>
      <c r="P19" s="65"/>
    </row>
    <row r="20" spans="1:16" ht="18.600000000000001" customHeight="1">
      <c r="A20" s="508"/>
      <c r="B20" s="158" t="s">
        <v>391</v>
      </c>
      <c r="C20" s="304">
        <v>0.32900000000000001</v>
      </c>
      <c r="D20" s="304">
        <v>0.28000000000000003</v>
      </c>
      <c r="E20" s="304">
        <v>0.17199999999999999</v>
      </c>
      <c r="F20" s="304">
        <v>9.7000000000000003E-2</v>
      </c>
      <c r="G20" s="304">
        <v>0.121</v>
      </c>
      <c r="H20" s="66">
        <f>SUM(C20:G20)</f>
        <v>0.99899999999999989</v>
      </c>
      <c r="K20" s="298"/>
      <c r="L20" s="298"/>
      <c r="M20" s="298"/>
      <c r="N20" s="298"/>
    </row>
    <row r="21" spans="1:16" ht="13.15">
      <c r="H21" s="66"/>
      <c r="K21" s="298"/>
      <c r="L21" s="298"/>
      <c r="M21" s="298"/>
      <c r="N21" s="298"/>
    </row>
    <row r="22" spans="1:16" ht="13.15">
      <c r="A22" s="3" t="s">
        <v>392</v>
      </c>
      <c r="K22" s="298"/>
      <c r="L22" s="298"/>
      <c r="M22" s="298"/>
      <c r="N22" s="298"/>
    </row>
    <row r="23" spans="1:16" ht="13.15">
      <c r="A23" s="3" t="s">
        <v>386</v>
      </c>
      <c r="K23" s="298"/>
      <c r="L23" s="298"/>
      <c r="M23" s="298"/>
      <c r="N23" s="298"/>
    </row>
    <row r="24" spans="1:16" ht="13.15">
      <c r="A24" s="3" t="s">
        <v>387</v>
      </c>
      <c r="K24" s="298"/>
      <c r="L24" s="298"/>
      <c r="M24" s="298"/>
      <c r="N24" s="298"/>
    </row>
    <row r="25" spans="1:16" ht="13.15">
      <c r="K25" s="298"/>
      <c r="L25" s="298"/>
      <c r="M25" s="298"/>
      <c r="N25" s="298"/>
    </row>
    <row r="26" spans="1:16" ht="13.15">
      <c r="K26" s="298"/>
      <c r="L26" s="298"/>
      <c r="M26" s="298"/>
      <c r="N26" s="298"/>
    </row>
    <row r="27" spans="1:16" ht="13.15">
      <c r="K27" s="298"/>
      <c r="L27" s="298"/>
      <c r="M27" s="298"/>
      <c r="N27" s="298"/>
    </row>
    <row r="28" spans="1:16" ht="13.15">
      <c r="K28" s="298"/>
      <c r="L28" s="298"/>
      <c r="M28" s="298"/>
      <c r="N28" s="298"/>
    </row>
    <row r="29" spans="1:16" ht="13.15">
      <c r="K29" s="298"/>
      <c r="L29" s="298"/>
      <c r="M29" s="298"/>
      <c r="N29" s="298"/>
    </row>
    <row r="30" spans="1:16" ht="13.15">
      <c r="K30" s="298"/>
      <c r="L30" s="298"/>
      <c r="M30" s="298"/>
      <c r="N30" s="298"/>
    </row>
    <row r="31" spans="1:16" ht="13.15"/>
    <row r="32" spans="1:16" s="20" customFormat="1" ht="13.15" hidden="1">
      <c r="A32" s="20" t="s">
        <v>39</v>
      </c>
      <c r="E32" s="21"/>
      <c r="F32" s="22"/>
      <c r="G32" s="23"/>
      <c r="K32" s="298" t="e">
        <f>C21+$G21*C21/SUM($C21:$F21)</f>
        <v>#DIV/0!</v>
      </c>
      <c r="L32" s="298" t="e">
        <f>D21+$G21*D21/SUM($C21:$F21)</f>
        <v>#DIV/0!</v>
      </c>
      <c r="M32" s="298" t="e">
        <f>E21+$G21*E21/SUM($C21:$F21)</f>
        <v>#DIV/0!</v>
      </c>
      <c r="N32" s="298" t="e">
        <f>F21+$G21*F21/SUM($C21:$F21)</f>
        <v>#DIV/0!</v>
      </c>
    </row>
    <row r="33" spans="11:14" ht="13.15">
      <c r="K33" s="298"/>
      <c r="L33" s="298"/>
      <c r="M33" s="298"/>
      <c r="N33" s="298"/>
    </row>
    <row r="34" spans="11:14" ht="13.15">
      <c r="K34" s="298"/>
      <c r="L34" s="298"/>
      <c r="M34" s="298"/>
      <c r="N34" s="298"/>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FF0000"/>
  </sheetPr>
  <dimension ref="A1:J37"/>
  <sheetViews>
    <sheetView workbookViewId="0">
      <selection activeCell="F9" sqref="F9"/>
    </sheetView>
  </sheetViews>
  <sheetFormatPr defaultRowHeight="14.45"/>
  <sheetData>
    <row r="1" spans="1:10" ht="21" customHeight="1">
      <c r="A1" s="405" t="str">
        <f>"PV - "&amp;Prototype!A2</f>
        <v>PV - RetailStripMall</v>
      </c>
      <c r="B1" s="405"/>
      <c r="C1" s="405"/>
      <c r="D1" s="405"/>
      <c r="E1" s="405"/>
      <c r="F1" s="405"/>
      <c r="G1" s="405"/>
      <c r="H1" s="405"/>
      <c r="I1" s="405"/>
      <c r="J1" s="405"/>
    </row>
    <row r="2" spans="1:10">
      <c r="A2" t="s">
        <v>393</v>
      </c>
    </row>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FF0000"/>
  </sheetPr>
  <dimension ref="A1:H11"/>
  <sheetViews>
    <sheetView zoomScaleNormal="70" workbookViewId="0">
      <selection sqref="A1:H1"/>
    </sheetView>
  </sheetViews>
  <sheetFormatPr defaultColWidth="8.7109375" defaultRowHeight="13.15"/>
  <cols>
    <col min="1" max="1" width="21" style="3" customWidth="1"/>
    <col min="2" max="2" width="14.28515625" style="3" customWidth="1"/>
    <col min="3" max="3" width="14.5703125" style="3" customWidth="1"/>
    <col min="4" max="8" width="8.7109375" style="3"/>
    <col min="9" max="9" width="13.7109375" style="3" customWidth="1"/>
    <col min="10" max="10" width="14.42578125" style="3" customWidth="1"/>
    <col min="11" max="16384" width="8.7109375" style="3"/>
  </cols>
  <sheetData>
    <row r="1" spans="1:8" ht="24.6" customHeight="1">
      <c r="A1" s="405" t="str">
        <f>"EV Charger - "&amp;Prototype!A2</f>
        <v>EV Charger - RetailStripMall</v>
      </c>
      <c r="B1" s="405"/>
      <c r="C1" s="405"/>
      <c r="D1" s="405"/>
      <c r="E1" s="405"/>
      <c r="F1" s="405"/>
      <c r="G1" s="405"/>
      <c r="H1" s="405"/>
    </row>
    <row r="2" spans="1:8">
      <c r="A2" s="3" t="s">
        <v>393</v>
      </c>
      <c r="B2" s="49"/>
      <c r="C2" s="50"/>
      <c r="D2" s="51"/>
      <c r="E2" s="51"/>
    </row>
    <row r="3" spans="1:8">
      <c r="A3" s="38"/>
      <c r="B3" s="363"/>
      <c r="C3" s="353"/>
      <c r="D3" s="52"/>
      <c r="E3" s="52"/>
    </row>
    <row r="11" spans="1:8" s="20" customFormat="1" hidden="1">
      <c r="A11" s="20" t="s">
        <v>39</v>
      </c>
      <c r="E11" s="21"/>
      <c r="F11" s="22"/>
      <c r="G11" s="23"/>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59496-F63C-45BF-9A8F-C42EEB2D7A3C}">
  <dimension ref="A1:G83"/>
  <sheetViews>
    <sheetView topLeftCell="A67" workbookViewId="0">
      <selection activeCell="A81" sqref="A81:A83"/>
    </sheetView>
  </sheetViews>
  <sheetFormatPr defaultRowHeight="14.45"/>
  <cols>
    <col min="1" max="1" width="58.7109375" customWidth="1"/>
    <col min="2" max="2" width="30.85546875" customWidth="1"/>
    <col min="3" max="3" width="30.28515625" customWidth="1"/>
  </cols>
  <sheetData>
    <row r="1" spans="1:7">
      <c r="A1" t="s">
        <v>394</v>
      </c>
      <c r="B1" t="s">
        <v>395</v>
      </c>
      <c r="C1" t="s">
        <v>395</v>
      </c>
      <c r="D1" s="510" t="s">
        <v>396</v>
      </c>
      <c r="E1" s="510"/>
      <c r="F1" s="510"/>
      <c r="G1" s="510"/>
    </row>
    <row r="2" spans="1:7">
      <c r="A2" s="354" t="s">
        <v>397</v>
      </c>
      <c r="D2">
        <v>2013</v>
      </c>
      <c r="E2">
        <v>2016</v>
      </c>
      <c r="F2">
        <v>2019</v>
      </c>
      <c r="G2">
        <v>2025</v>
      </c>
    </row>
    <row r="3" spans="1:7">
      <c r="A3" s="354" t="s">
        <v>398</v>
      </c>
    </row>
    <row r="4" spans="1:7">
      <c r="A4" t="s">
        <v>399</v>
      </c>
    </row>
    <row r="5" spans="1:7">
      <c r="A5" t="s">
        <v>400</v>
      </c>
    </row>
    <row r="6" spans="1:7">
      <c r="A6" t="s">
        <v>401</v>
      </c>
    </row>
    <row r="7" spans="1:7">
      <c r="A7" t="s">
        <v>402</v>
      </c>
    </row>
    <row r="8" spans="1:7">
      <c r="A8" t="s">
        <v>403</v>
      </c>
    </row>
    <row r="9" spans="1:7">
      <c r="A9" t="s">
        <v>404</v>
      </c>
    </row>
    <row r="10" spans="1:7">
      <c r="A10" t="s">
        <v>405</v>
      </c>
    </row>
    <row r="11" spans="1:7">
      <c r="A11" t="s">
        <v>406</v>
      </c>
    </row>
    <row r="12" spans="1:7">
      <c r="A12" t="s">
        <v>407</v>
      </c>
    </row>
    <row r="13" spans="1:7">
      <c r="A13" t="s">
        <v>408</v>
      </c>
    </row>
    <row r="14" spans="1:7">
      <c r="A14" t="s">
        <v>409</v>
      </c>
    </row>
    <row r="15" spans="1:7">
      <c r="A15" t="s">
        <v>410</v>
      </c>
    </row>
    <row r="16" spans="1:7">
      <c r="A16" t="s">
        <v>411</v>
      </c>
    </row>
    <row r="17" spans="1:1">
      <c r="A17" t="s">
        <v>412</v>
      </c>
    </row>
    <row r="18" spans="1:1">
      <c r="A18" t="s">
        <v>413</v>
      </c>
    </row>
    <row r="19" spans="1:1">
      <c r="A19" t="s">
        <v>414</v>
      </c>
    </row>
    <row r="20" spans="1:1">
      <c r="A20" t="s">
        <v>415</v>
      </c>
    </row>
    <row r="21" spans="1:1">
      <c r="A21" t="s">
        <v>416</v>
      </c>
    </row>
    <row r="22" spans="1:1">
      <c r="A22" t="s">
        <v>417</v>
      </c>
    </row>
    <row r="23" spans="1:1">
      <c r="A23" t="s">
        <v>418</v>
      </c>
    </row>
    <row r="24" spans="1:1">
      <c r="A24" t="s">
        <v>419</v>
      </c>
    </row>
    <row r="25" spans="1:1">
      <c r="A25" t="s">
        <v>420</v>
      </c>
    </row>
    <row r="26" spans="1:1">
      <c r="A26" t="s">
        <v>421</v>
      </c>
    </row>
    <row r="27" spans="1:1">
      <c r="A27" t="s">
        <v>422</v>
      </c>
    </row>
    <row r="28" spans="1:1">
      <c r="A28" t="s">
        <v>423</v>
      </c>
    </row>
    <row r="29" spans="1:1">
      <c r="A29" t="s">
        <v>424</v>
      </c>
    </row>
    <row r="30" spans="1:1">
      <c r="A30" t="s">
        <v>425</v>
      </c>
    </row>
    <row r="31" spans="1:1">
      <c r="A31" t="s">
        <v>426</v>
      </c>
    </row>
    <row r="32" spans="1:1">
      <c r="A32" t="s">
        <v>427</v>
      </c>
    </row>
    <row r="33" spans="1:1">
      <c r="A33" t="s">
        <v>428</v>
      </c>
    </row>
    <row r="34" spans="1:1">
      <c r="A34" t="s">
        <v>429</v>
      </c>
    </row>
    <row r="35" spans="1:1">
      <c r="A35" t="s">
        <v>430</v>
      </c>
    </row>
    <row r="36" spans="1:1">
      <c r="A36" t="s">
        <v>431</v>
      </c>
    </row>
    <row r="37" spans="1:1">
      <c r="A37" t="s">
        <v>432</v>
      </c>
    </row>
    <row r="38" spans="1:1">
      <c r="A38" t="s">
        <v>433</v>
      </c>
    </row>
    <row r="39" spans="1:1">
      <c r="A39" t="s">
        <v>434</v>
      </c>
    </row>
    <row r="40" spans="1:1">
      <c r="A40" t="s">
        <v>435</v>
      </c>
    </row>
    <row r="41" spans="1:1">
      <c r="A41" t="s">
        <v>436</v>
      </c>
    </row>
    <row r="42" spans="1:1">
      <c r="A42" t="s">
        <v>437</v>
      </c>
    </row>
    <row r="43" spans="1:1">
      <c r="A43" t="s">
        <v>438</v>
      </c>
    </row>
    <row r="44" spans="1:1">
      <c r="A44" t="s">
        <v>439</v>
      </c>
    </row>
    <row r="45" spans="1:1">
      <c r="A45" t="s">
        <v>440</v>
      </c>
    </row>
    <row r="46" spans="1:1">
      <c r="A46" t="s">
        <v>441</v>
      </c>
    </row>
    <row r="47" spans="1:1">
      <c r="A47" t="s">
        <v>442</v>
      </c>
    </row>
    <row r="48" spans="1:1">
      <c r="A48" t="s">
        <v>443</v>
      </c>
    </row>
    <row r="49" spans="1:1">
      <c r="A49" t="s">
        <v>444</v>
      </c>
    </row>
    <row r="50" spans="1:1">
      <c r="A50" t="s">
        <v>445</v>
      </c>
    </row>
    <row r="51" spans="1:1">
      <c r="A51" t="s">
        <v>446</v>
      </c>
    </row>
    <row r="52" spans="1:1">
      <c r="A52" t="s">
        <v>447</v>
      </c>
    </row>
    <row r="53" spans="1:1">
      <c r="A53" t="s">
        <v>448</v>
      </c>
    </row>
    <row r="54" spans="1:1">
      <c r="A54" t="s">
        <v>449</v>
      </c>
    </row>
    <row r="55" spans="1:1">
      <c r="A55" t="s">
        <v>450</v>
      </c>
    </row>
    <row r="56" spans="1:1">
      <c r="A56" t="s">
        <v>96</v>
      </c>
    </row>
    <row r="57" spans="1:1">
      <c r="A57" t="s">
        <v>451</v>
      </c>
    </row>
    <row r="58" spans="1:1">
      <c r="A58" t="s">
        <v>452</v>
      </c>
    </row>
    <row r="59" spans="1:1">
      <c r="A59" t="s">
        <v>453</v>
      </c>
    </row>
    <row r="60" spans="1:1">
      <c r="A60" t="s">
        <v>454</v>
      </c>
    </row>
    <row r="61" spans="1:1">
      <c r="A61" t="s">
        <v>455</v>
      </c>
    </row>
    <row r="62" spans="1:1">
      <c r="A62" t="s">
        <v>456</v>
      </c>
    </row>
    <row r="63" spans="1:1">
      <c r="A63" t="s">
        <v>457</v>
      </c>
    </row>
    <row r="64" spans="1:1">
      <c r="A64" t="s">
        <v>458</v>
      </c>
    </row>
    <row r="65" spans="1:1">
      <c r="A65" t="s">
        <v>459</v>
      </c>
    </row>
    <row r="66" spans="1:1">
      <c r="A66" t="s">
        <v>460</v>
      </c>
    </row>
    <row r="67" spans="1:1">
      <c r="A67" t="s">
        <v>461</v>
      </c>
    </row>
    <row r="68" spans="1:1">
      <c r="A68" t="s">
        <v>462</v>
      </c>
    </row>
    <row r="69" spans="1:1">
      <c r="A69" t="s">
        <v>463</v>
      </c>
    </row>
    <row r="70" spans="1:1">
      <c r="A70" t="s">
        <v>464</v>
      </c>
    </row>
    <row r="71" spans="1:1">
      <c r="A71" t="s">
        <v>465</v>
      </c>
    </row>
    <row r="72" spans="1:1">
      <c r="A72" t="s">
        <v>466</v>
      </c>
    </row>
    <row r="73" spans="1:1">
      <c r="A73" t="s">
        <v>467</v>
      </c>
    </row>
    <row r="74" spans="1:1">
      <c r="A74" t="s">
        <v>468</v>
      </c>
    </row>
    <row r="75" spans="1:1">
      <c r="A75" t="s">
        <v>469</v>
      </c>
    </row>
    <row r="76" spans="1:1">
      <c r="A76" t="s">
        <v>470</v>
      </c>
    </row>
    <row r="77" spans="1:1">
      <c r="A77" t="s">
        <v>471</v>
      </c>
    </row>
    <row r="78" spans="1:1">
      <c r="A78" t="s">
        <v>472</v>
      </c>
    </row>
    <row r="79" spans="1:1">
      <c r="A79" t="s">
        <v>473</v>
      </c>
    </row>
    <row r="80" spans="1:1">
      <c r="A80" t="s">
        <v>474</v>
      </c>
    </row>
    <row r="81" spans="1:1">
      <c r="A81" t="s">
        <v>475</v>
      </c>
    </row>
    <row r="82" spans="1:1">
      <c r="A82" t="s">
        <v>476</v>
      </c>
    </row>
    <row r="83" spans="1:1">
      <c r="A83" t="s">
        <v>477</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816333-575B-4274-8A3E-18699B071E90}"/>
</file>

<file path=customXml/itemProps2.xml><?xml version="1.0" encoding="utf-8"?>
<ds:datastoreItem xmlns:ds="http://schemas.openxmlformats.org/officeDocument/2006/customXml" ds:itemID="{737EA208-2E02-47D0-B2BE-40A42BF2072F}"/>
</file>

<file path=customXml/itemProps3.xml><?xml version="1.0" encoding="utf-8"?>
<ds:datastoreItem xmlns:ds="http://schemas.openxmlformats.org/officeDocument/2006/customXml" ds:itemID="{7921AF10-0BF8-441A-BDBA-64AF3E09D4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2025-12-24T09:20:05Z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