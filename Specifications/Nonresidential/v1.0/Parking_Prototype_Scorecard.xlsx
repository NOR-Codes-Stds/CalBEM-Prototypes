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581" documentId="13_ncr:1_{41DA3F75-B796-4A4F-8253-043897F3BE30}" xr6:coauthVersionLast="47" xr6:coauthVersionMax="47" xr10:uidLastSave="{0058EB55-EEA5-4380-B325-78E636BD3321}"/>
  <bookViews>
    <workbookView xWindow="28680" yWindow="-120" windowWidth="29040" windowHeight="15720" tabRatio="890"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1"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state="hidden" r:id="rId14"/>
    <sheet name="PV" sheetId="27" state="hidden" r:id="rId15"/>
    <sheet name="EV Charger" sheetId="22" state="hidden" r:id="rId16"/>
    <sheet name="Data" sheetId="32" state="hidden" r:id="rId17"/>
  </sheets>
  <externalReferences>
    <externalReference r:id="rId18"/>
  </externalReferences>
  <definedNames>
    <definedName name="_xlnm._FilterDatabase" localSheetId="16" hidden="1">Data!$D$1:$G$1</definedName>
    <definedName name="_xlnm._FilterDatabase" localSheetId="2" hidden="1">Zones!$A$2:$K$10</definedName>
    <definedName name="nonparticipating_forecastzone_scale_factor" localSheetId="16">'[1]Energy Usage'!#REF!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20" l="1"/>
  <c r="K18" i="20"/>
  <c r="J18" i="20"/>
  <c r="K17" i="20"/>
  <c r="J17" i="20"/>
  <c r="K16" i="20"/>
  <c r="J16" i="20"/>
  <c r="L16" i="20" s="1"/>
  <c r="K15" i="20"/>
  <c r="J15" i="20"/>
  <c r="K14" i="20"/>
  <c r="J14" i="20"/>
  <c r="K13" i="20"/>
  <c r="J13" i="20"/>
  <c r="K12" i="20"/>
  <c r="J12" i="20"/>
  <c r="K11" i="20"/>
  <c r="J11" i="20"/>
  <c r="L11" i="20" s="1"/>
  <c r="K10" i="20"/>
  <c r="J10" i="20"/>
  <c r="K9" i="20"/>
  <c r="J9" i="20"/>
  <c r="L9" i="20" s="1"/>
  <c r="K8" i="20"/>
  <c r="J8" i="20"/>
  <c r="K7" i="20"/>
  <c r="J7" i="20"/>
  <c r="K6" i="20"/>
  <c r="J6" i="20"/>
  <c r="L6" i="20" s="1"/>
  <c r="K5" i="20"/>
  <c r="J5" i="20"/>
  <c r="K4" i="20"/>
  <c r="J4" i="20"/>
  <c r="K3" i="20"/>
  <c r="J3" i="20"/>
  <c r="L3" i="20" s="1"/>
  <c r="L7" i="20" l="1"/>
  <c r="L4" i="20"/>
  <c r="L17" i="20"/>
  <c r="L13" i="20"/>
  <c r="L14" i="20"/>
  <c r="L5" i="20"/>
  <c r="L15" i="20"/>
  <c r="L10" i="20"/>
  <c r="L12" i="20"/>
  <c r="L18" i="20"/>
  <c r="L8" i="20"/>
  <c r="G10" i="13" l="1"/>
  <c r="G9" i="13"/>
  <c r="G8" i="13"/>
  <c r="G6" i="13"/>
  <c r="G5" i="13"/>
  <c r="G4" i="13"/>
  <c r="G3" i="13"/>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G34" i="28"/>
  <c r="H34" i="28"/>
  <c r="I34" i="28"/>
  <c r="J34" i="28"/>
  <c r="K34" i="28"/>
  <c r="L34" i="28"/>
  <c r="M34" i="28"/>
  <c r="N34" i="28"/>
  <c r="O34" i="28"/>
  <c r="P34" i="28"/>
  <c r="Q34" i="28"/>
  <c r="R34" i="28"/>
  <c r="S34" i="28"/>
  <c r="T34" i="28"/>
  <c r="U34" i="28"/>
  <c r="V34" i="28"/>
  <c r="W34" i="28"/>
  <c r="X34" i="28"/>
  <c r="Y34" i="28"/>
  <c r="Z34" i="28"/>
  <c r="AA34" i="28"/>
  <c r="AB34" i="28"/>
  <c r="AC34" i="28"/>
  <c r="F33" i="28"/>
  <c r="F34" i="28"/>
  <c r="F32" i="28"/>
  <c r="F10" i="28"/>
  <c r="G10" i="28"/>
  <c r="H10" i="28"/>
  <c r="I10" i="28"/>
  <c r="J10" i="28"/>
  <c r="K10" i="28"/>
  <c r="L10" i="28"/>
  <c r="M10" i="28"/>
  <c r="N10" i="28"/>
  <c r="O10" i="28"/>
  <c r="P10" i="28"/>
  <c r="Q10" i="28"/>
  <c r="R10" i="28"/>
  <c r="S10" i="28"/>
  <c r="T10" i="28"/>
  <c r="U10" i="28"/>
  <c r="V10" i="28"/>
  <c r="W10" i="28"/>
  <c r="X10" i="28"/>
  <c r="Y10" i="28"/>
  <c r="Z10" i="28"/>
  <c r="AA10" i="28"/>
  <c r="AB10" i="28"/>
  <c r="AC10" i="28"/>
  <c r="F11" i="28"/>
  <c r="G11" i="28"/>
  <c r="H11" i="28"/>
  <c r="I11" i="28"/>
  <c r="J11" i="28"/>
  <c r="K11" i="28"/>
  <c r="L11" i="28"/>
  <c r="M11" i="28"/>
  <c r="N11" i="28"/>
  <c r="O11" i="28"/>
  <c r="P11" i="28"/>
  <c r="Q11" i="28"/>
  <c r="R11" i="28"/>
  <c r="S11" i="28"/>
  <c r="T11" i="28"/>
  <c r="U11" i="28"/>
  <c r="V11" i="28"/>
  <c r="W11" i="28"/>
  <c r="X11" i="28"/>
  <c r="Y11" i="28"/>
  <c r="Z11" i="28"/>
  <c r="AA11" i="28"/>
  <c r="AB11" i="28"/>
  <c r="AC11" i="28"/>
  <c r="F12" i="28"/>
  <c r="G12" i="28"/>
  <c r="H12" i="28"/>
  <c r="I12" i="28"/>
  <c r="J12" i="28"/>
  <c r="K12" i="28"/>
  <c r="L12" i="28"/>
  <c r="M12" i="28"/>
  <c r="N12" i="28"/>
  <c r="O12" i="28"/>
  <c r="P12" i="28"/>
  <c r="Q12" i="28"/>
  <c r="R12" i="28"/>
  <c r="S12" i="28"/>
  <c r="T12" i="28"/>
  <c r="U12" i="28"/>
  <c r="V12" i="28"/>
  <c r="W12" i="28"/>
  <c r="X12" i="28"/>
  <c r="Y12" i="28"/>
  <c r="Z12" i="28"/>
  <c r="AA12" i="28"/>
  <c r="AB12" i="28"/>
  <c r="AC12" i="28"/>
  <c r="B4" i="18"/>
  <c r="B5" i="18"/>
  <c r="B6" i="18"/>
  <c r="B7" i="18"/>
  <c r="B8" i="18"/>
  <c r="B9" i="18"/>
  <c r="B3" i="18"/>
  <c r="A4" i="18"/>
  <c r="A5" i="18"/>
  <c r="A6" i="18"/>
  <c r="A7" i="18"/>
  <c r="A8" i="18"/>
  <c r="A9" i="18"/>
  <c r="A3" i="1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G25" i="28"/>
  <c r="H25" i="28"/>
  <c r="I25" i="28"/>
  <c r="J25" i="28"/>
  <c r="K25" i="28"/>
  <c r="L25" i="28"/>
  <c r="M25" i="28"/>
  <c r="N25" i="28"/>
  <c r="O25" i="28"/>
  <c r="P25" i="28"/>
  <c r="Q25" i="28"/>
  <c r="R25" i="28"/>
  <c r="S25" i="28"/>
  <c r="T25" i="28"/>
  <c r="U25" i="28"/>
  <c r="V25" i="28"/>
  <c r="W25" i="28"/>
  <c r="X25" i="28"/>
  <c r="Y25" i="28"/>
  <c r="Z25" i="28"/>
  <c r="AA25" i="28"/>
  <c r="AB25" i="28"/>
  <c r="AC25" i="28"/>
  <c r="F25" i="28"/>
  <c r="F24" i="28"/>
  <c r="F23" i="28"/>
  <c r="G20" i="28"/>
  <c r="H20" i="28"/>
  <c r="I20" i="28"/>
  <c r="J20" i="28"/>
  <c r="K20" i="28"/>
  <c r="L20" i="28"/>
  <c r="M20" i="28"/>
  <c r="N20" i="28"/>
  <c r="O20" i="28"/>
  <c r="P20" i="28"/>
  <c r="Q20" i="28"/>
  <c r="R20" i="28"/>
  <c r="S20" i="28"/>
  <c r="T20" i="28"/>
  <c r="U20" i="28"/>
  <c r="V20" i="28"/>
  <c r="W20" i="28"/>
  <c r="X20" i="28"/>
  <c r="Y20" i="28"/>
  <c r="Z20" i="28"/>
  <c r="AA20" i="28"/>
  <c r="AB20" i="28"/>
  <c r="AC20" i="28"/>
  <c r="G21" i="28"/>
  <c r="H21" i="28"/>
  <c r="I21" i="28"/>
  <c r="J21" i="28"/>
  <c r="K21" i="28"/>
  <c r="L21" i="28"/>
  <c r="M21" i="28"/>
  <c r="N21" i="28"/>
  <c r="O21" i="28"/>
  <c r="P21" i="28"/>
  <c r="Q21" i="28"/>
  <c r="R21" i="28"/>
  <c r="S21" i="28"/>
  <c r="T21" i="28"/>
  <c r="U21" i="28"/>
  <c r="V21" i="28"/>
  <c r="W21" i="28"/>
  <c r="X21" i="28"/>
  <c r="Y21" i="28"/>
  <c r="Z21" i="28"/>
  <c r="AA21" i="28"/>
  <c r="AB21" i="28"/>
  <c r="AC21" i="28"/>
  <c r="G22" i="28"/>
  <c r="H22" i="28"/>
  <c r="I22" i="28"/>
  <c r="J22" i="28"/>
  <c r="K22" i="28"/>
  <c r="L22" i="28"/>
  <c r="M22" i="28"/>
  <c r="N22" i="28"/>
  <c r="O22" i="28"/>
  <c r="P22" i="28"/>
  <c r="Q22" i="28"/>
  <c r="R22" i="28"/>
  <c r="S22" i="28"/>
  <c r="T22" i="28"/>
  <c r="U22" i="28"/>
  <c r="V22" i="28"/>
  <c r="W22" i="28"/>
  <c r="X22" i="28"/>
  <c r="Y22" i="28"/>
  <c r="Z22" i="28"/>
  <c r="AA22" i="28"/>
  <c r="AB22" i="28"/>
  <c r="AC22" i="28"/>
  <c r="F22" i="28"/>
  <c r="F21" i="28"/>
  <c r="F20" i="28"/>
  <c r="G29" i="28"/>
  <c r="G35" i="28" s="1"/>
  <c r="H29" i="28"/>
  <c r="H38" i="28" s="1"/>
  <c r="I29" i="28"/>
  <c r="I35" i="28" s="1"/>
  <c r="J29" i="28"/>
  <c r="J38" i="28" s="1"/>
  <c r="K29" i="28"/>
  <c r="K38" i="28" s="1"/>
  <c r="L29" i="28"/>
  <c r="L38" i="28" s="1"/>
  <c r="M29" i="28"/>
  <c r="M35" i="28" s="1"/>
  <c r="N29" i="28"/>
  <c r="N35" i="28" s="1"/>
  <c r="O29" i="28"/>
  <c r="O35" i="28" s="1"/>
  <c r="P29" i="28"/>
  <c r="P35" i="28" s="1"/>
  <c r="Q29" i="28"/>
  <c r="Q35" i="28" s="1"/>
  <c r="R29" i="28"/>
  <c r="R35" i="28" s="1"/>
  <c r="S29" i="28"/>
  <c r="S38" i="28" s="1"/>
  <c r="T29" i="28"/>
  <c r="T38" i="28" s="1"/>
  <c r="U29" i="28"/>
  <c r="U38" i="28" s="1"/>
  <c r="V29" i="28"/>
  <c r="V38" i="28" s="1"/>
  <c r="W29" i="28"/>
  <c r="W38" i="28" s="1"/>
  <c r="X29" i="28"/>
  <c r="X38" i="28" s="1"/>
  <c r="Y29" i="28"/>
  <c r="Y35" i="28" s="1"/>
  <c r="Z29" i="28"/>
  <c r="Z38" i="28" s="1"/>
  <c r="AA29" i="28"/>
  <c r="AA38" i="28" s="1"/>
  <c r="AB29" i="28"/>
  <c r="AB38" i="28" s="1"/>
  <c r="AC29" i="28"/>
  <c r="AC35" i="28" s="1"/>
  <c r="G30" i="28"/>
  <c r="G36" i="28" s="1"/>
  <c r="H30" i="28"/>
  <c r="H36" i="28" s="1"/>
  <c r="I30" i="28"/>
  <c r="I36" i="28" s="1"/>
  <c r="J30" i="28"/>
  <c r="J36" i="28" s="1"/>
  <c r="K30" i="28"/>
  <c r="K39" i="28" s="1"/>
  <c r="L30" i="28"/>
  <c r="L36" i="28" s="1"/>
  <c r="M30" i="28"/>
  <c r="M36" i="28" s="1"/>
  <c r="N30" i="28"/>
  <c r="N36" i="28" s="1"/>
  <c r="O30" i="28"/>
  <c r="O36" i="28" s="1"/>
  <c r="P30" i="28"/>
  <c r="P39" i="28" s="1"/>
  <c r="Q30" i="28"/>
  <c r="Q39" i="28" s="1"/>
  <c r="R30" i="28"/>
  <c r="R39" i="28" s="1"/>
  <c r="S30" i="28"/>
  <c r="S39" i="28" s="1"/>
  <c r="T30" i="28"/>
  <c r="T36" i="28" s="1"/>
  <c r="U30" i="28"/>
  <c r="U36" i="28" s="1"/>
  <c r="V30" i="28"/>
  <c r="V36" i="28" s="1"/>
  <c r="W30" i="28"/>
  <c r="W36" i="28" s="1"/>
  <c r="X30" i="28"/>
  <c r="X36" i="28" s="1"/>
  <c r="Y30" i="28"/>
  <c r="Y39" i="28" s="1"/>
  <c r="Z30" i="28"/>
  <c r="Z39" i="28" s="1"/>
  <c r="AA30" i="28"/>
  <c r="AA39" i="28" s="1"/>
  <c r="AB30" i="28"/>
  <c r="AB36" i="28" s="1"/>
  <c r="AC30" i="28"/>
  <c r="AC36" i="28" s="1"/>
  <c r="G31" i="28"/>
  <c r="G37" i="28" s="1"/>
  <c r="H31" i="28"/>
  <c r="H37" i="28" s="1"/>
  <c r="I31" i="28"/>
  <c r="I37" i="28" s="1"/>
  <c r="J31" i="28"/>
  <c r="J40" i="28" s="1"/>
  <c r="K31" i="28"/>
  <c r="K37" i="28" s="1"/>
  <c r="L31" i="28"/>
  <c r="L37" i="28" s="1"/>
  <c r="M31" i="28"/>
  <c r="M37" i="28" s="1"/>
  <c r="N31" i="28"/>
  <c r="N37" i="28" s="1"/>
  <c r="O31" i="28"/>
  <c r="O37" i="28" s="1"/>
  <c r="P31" i="28"/>
  <c r="P37" i="28" s="1"/>
  <c r="Q31" i="28"/>
  <c r="Q37" i="28" s="1"/>
  <c r="R31" i="28"/>
  <c r="R37" i="28" s="1"/>
  <c r="S31" i="28"/>
  <c r="S37" i="28" s="1"/>
  <c r="T31" i="28"/>
  <c r="T37" i="28" s="1"/>
  <c r="U31" i="28"/>
  <c r="U40" i="28" s="1"/>
  <c r="V31" i="28"/>
  <c r="V40" i="28" s="1"/>
  <c r="W31" i="28"/>
  <c r="W40" i="28" s="1"/>
  <c r="X31" i="28"/>
  <c r="X40" i="28" s="1"/>
  <c r="Y31" i="28"/>
  <c r="Y40" i="28" s="1"/>
  <c r="Z31" i="28"/>
  <c r="Z40" i="28" s="1"/>
  <c r="AA31" i="28"/>
  <c r="AA37" i="28" s="1"/>
  <c r="AB31" i="28"/>
  <c r="AB37" i="28" s="1"/>
  <c r="AC31" i="28"/>
  <c r="AC37" i="28" s="1"/>
  <c r="F30" i="28"/>
  <c r="F39" i="28" s="1"/>
  <c r="F31" i="28"/>
  <c r="F40" i="28" s="1"/>
  <c r="F29" i="28"/>
  <c r="F38" i="28" s="1"/>
  <c r="J3" i="13" l="1"/>
  <c r="AB35" i="28"/>
  <c r="AA35" i="28"/>
  <c r="R40" i="28"/>
  <c r="Q40" i="28"/>
  <c r="P40" i="28"/>
  <c r="O40" i="28"/>
  <c r="R38" i="28"/>
  <c r="Q38" i="28"/>
  <c r="Z37" i="28"/>
  <c r="Y37" i="28"/>
  <c r="P36" i="28"/>
  <c r="X37" i="28"/>
  <c r="Q36" i="28"/>
  <c r="T40" i="28"/>
  <c r="S36" i="28"/>
  <c r="R36" i="28"/>
  <c r="Z35" i="28"/>
  <c r="S40" i="28"/>
  <c r="W39" i="28"/>
  <c r="U37" i="28"/>
  <c r="X35" i="28"/>
  <c r="U39" i="28"/>
  <c r="T39" i="28"/>
  <c r="V35" i="28"/>
  <c r="U35" i="28"/>
  <c r="T35" i="28"/>
  <c r="S35" i="28"/>
  <c r="AA36" i="28"/>
  <c r="V39" i="28"/>
  <c r="Y38" i="28"/>
  <c r="Z36" i="28"/>
  <c r="W37" i="28"/>
  <c r="V37" i="28"/>
  <c r="W35" i="28"/>
  <c r="Y36" i="28"/>
  <c r="X39" i="28"/>
  <c r="N40" i="28"/>
  <c r="F37" i="28"/>
  <c r="L40" i="28"/>
  <c r="M39" i="28"/>
  <c r="J39" i="28"/>
  <c r="M40" i="28"/>
  <c r="AC40" i="28"/>
  <c r="G40" i="28"/>
  <c r="H39" i="28"/>
  <c r="I38" i="28"/>
  <c r="J37" i="28"/>
  <c r="K36" i="28"/>
  <c r="L35" i="28"/>
  <c r="K35" i="28"/>
  <c r="N38" i="28"/>
  <c r="J35" i="28"/>
  <c r="O39" i="28"/>
  <c r="L39" i="28"/>
  <c r="O38" i="28"/>
  <c r="H35" i="28"/>
  <c r="P38" i="28"/>
  <c r="F35" i="28"/>
  <c r="N39" i="28"/>
  <c r="F36" i="28"/>
  <c r="K40" i="28"/>
  <c r="M38" i="28"/>
  <c r="I40" i="28"/>
  <c r="H40" i="28"/>
  <c r="I39" i="28"/>
  <c r="AB40" i="28"/>
  <c r="AC39" i="28"/>
  <c r="G39" i="28"/>
  <c r="AA40" i="28"/>
  <c r="AB39" i="28"/>
  <c r="AC38" i="28"/>
  <c r="G38" i="28"/>
  <c r="A14" i="7"/>
  <c r="A15" i="7"/>
  <c r="A10" i="7"/>
  <c r="A11" i="7"/>
  <c r="A12" i="7"/>
  <c r="A13" i="7"/>
  <c r="A9" i="7"/>
  <c r="A1" i="22"/>
  <c r="A1" i="27"/>
  <c r="A1" i="13"/>
  <c r="A1" i="1"/>
  <c r="A1" i="14"/>
  <c r="A1" i="7"/>
  <c r="A1" i="25"/>
  <c r="A1" i="9"/>
  <c r="A1" i="29"/>
  <c r="A1" i="28"/>
  <c r="C13" i="9" l="1"/>
  <c r="A6" i="25"/>
  <c r="G16" i="9"/>
  <c r="G14" i="9"/>
  <c r="G13" i="9"/>
  <c r="G17" i="9" s="1"/>
  <c r="C9" i="7" l="1"/>
  <c r="D3" i="18"/>
  <c r="C14" i="7"/>
  <c r="D8" i="18"/>
  <c r="J4" i="1"/>
  <c r="K4" i="1"/>
  <c r="L4" i="1"/>
  <c r="M4" i="1"/>
  <c r="N4" i="1"/>
  <c r="O4" i="1"/>
  <c r="P4" i="1"/>
  <c r="Q4" i="1"/>
  <c r="R4" i="1"/>
  <c r="S4" i="1"/>
  <c r="T4" i="1"/>
  <c r="U4" i="1"/>
  <c r="V4" i="1"/>
  <c r="W4" i="1"/>
  <c r="X4" i="1"/>
  <c r="I4" i="1"/>
  <c r="I8" i="18" l="1"/>
  <c r="J8" i="18"/>
  <c r="J8" i="13" l="1"/>
  <c r="D9" i="18"/>
  <c r="G7" i="13"/>
  <c r="D7" i="18" s="1"/>
  <c r="D6" i="18"/>
  <c r="D4" i="18"/>
  <c r="A5" i="29"/>
  <c r="A4" i="29"/>
  <c r="A3" i="29"/>
  <c r="A5" i="25"/>
  <c r="A4" i="25"/>
  <c r="I4" i="18" l="1"/>
  <c r="J4" i="18"/>
  <c r="C11" i="7"/>
  <c r="D5" i="18"/>
  <c r="I6" i="18"/>
  <c r="J6" i="18"/>
  <c r="I7" i="18"/>
  <c r="J7" i="18"/>
  <c r="I9" i="18"/>
  <c r="J9" i="18"/>
  <c r="D9" i="7"/>
  <c r="C3" i="18"/>
  <c r="H3" i="18" s="1"/>
  <c r="D14" i="7"/>
  <c r="F14" i="7" s="1"/>
  <c r="G14" i="7" s="1"/>
  <c r="C8" i="18"/>
  <c r="H8" i="18" s="1"/>
  <c r="K8" i="18" s="1"/>
  <c r="C10" i="7"/>
  <c r="C16" i="7" s="1"/>
  <c r="J7" i="13"/>
  <c r="C13" i="7"/>
  <c r="J9" i="13"/>
  <c r="C15" i="7"/>
  <c r="J6" i="13"/>
  <c r="C12" i="7"/>
  <c r="J5" i="13"/>
  <c r="J4" i="13"/>
  <c r="D10" i="7" l="1"/>
  <c r="C4" i="18"/>
  <c r="H4" i="18" s="1"/>
  <c r="K4" i="18" s="1"/>
  <c r="D11" i="7"/>
  <c r="F11" i="7" s="1"/>
  <c r="G11" i="7" s="1"/>
  <c r="C5" i="18"/>
  <c r="H5" i="18" s="1"/>
  <c r="D12" i="7"/>
  <c r="F12" i="7" s="1"/>
  <c r="G12" i="7" s="1"/>
  <c r="C6" i="18"/>
  <c r="H6" i="18" s="1"/>
  <c r="K6" i="18" s="1"/>
  <c r="D15" i="7"/>
  <c r="F15" i="7" s="1"/>
  <c r="G15" i="7" s="1"/>
  <c r="C9" i="18"/>
  <c r="H9" i="18" s="1"/>
  <c r="K9" i="18" s="1"/>
  <c r="D13" i="7"/>
  <c r="F13" i="7" s="1"/>
  <c r="G13" i="7" s="1"/>
  <c r="C7" i="18"/>
  <c r="H7" i="18" s="1"/>
  <c r="K7" i="18" s="1"/>
  <c r="I5" i="18"/>
  <c r="J5" i="18"/>
  <c r="B8" i="2"/>
  <c r="B22" i="9" s="1"/>
  <c r="F3" i="13"/>
  <c r="J1" i="21"/>
  <c r="A1" i="21"/>
  <c r="A7" i="9"/>
  <c r="A1" i="18"/>
  <c r="A31" i="18"/>
  <c r="B32" i="7"/>
  <c r="K5" i="18" l="1"/>
  <c r="J4" i="21"/>
  <c r="A4" i="21"/>
  <c r="G12" i="9"/>
  <c r="G15" i="9" l="1"/>
  <c r="G11" i="9"/>
  <c r="G9" i="9"/>
  <c r="A1" i="31"/>
  <c r="A3" i="9" l="1"/>
  <c r="G18" i="9" l="1"/>
  <c r="B3" i="9"/>
  <c r="C3" i="9" s="1"/>
  <c r="A28" i="18" l="1"/>
  <c r="C31" i="18"/>
  <c r="C30" i="18"/>
  <c r="B31" i="18"/>
  <c r="B30" i="18"/>
  <c r="A30" i="18"/>
  <c r="D30" i="18" l="1"/>
  <c r="G30" i="18" l="1"/>
  <c r="D31" i="18" l="1"/>
  <c r="B32" i="18"/>
  <c r="F10" i="7" l="1"/>
  <c r="G10" i="7" s="1"/>
  <c r="G31" i="18"/>
  <c r="F9" i="7"/>
  <c r="B22" i="7" s="1"/>
  <c r="B23" i="7" s="1"/>
  <c r="D32" i="18"/>
  <c r="F16" i="7" l="1"/>
  <c r="G16" i="7" s="1"/>
  <c r="G32" i="18"/>
  <c r="D16" i="7"/>
  <c r="B3" i="1"/>
  <c r="F22" i="7" l="1"/>
  <c r="C22" i="7"/>
  <c r="B8" i="1"/>
  <c r="G9" i="7"/>
  <c r="D3" i="7" l="1"/>
  <c r="G22" i="7"/>
  <c r="D22" i="7"/>
  <c r="C23" i="7"/>
  <c r="E22" i="7" l="1"/>
  <c r="E23" i="7" s="1"/>
  <c r="D23" i="7"/>
  <c r="I22" i="7"/>
  <c r="G25" i="7"/>
  <c r="E3" i="7" s="1"/>
  <c r="I25" i="7"/>
  <c r="F4" i="13"/>
  <c r="F6" i="13"/>
  <c r="F5" i="13"/>
  <c r="F8" i="13"/>
  <c r="F9" i="13"/>
  <c r="AB4" i="21" l="1"/>
  <c r="AB5" i="21"/>
  <c r="AB6" i="21"/>
  <c r="AB7" i="21"/>
  <c r="AB8" i="21"/>
  <c r="H5" i="21"/>
  <c r="H6" i="21"/>
  <c r="H7" i="21"/>
  <c r="H8" i="21"/>
  <c r="H9" i="21"/>
  <c r="H10" i="21"/>
  <c r="H11" i="21"/>
  <c r="H12" i="21"/>
  <c r="H13" i="21"/>
  <c r="H14" i="21"/>
  <c r="H15" i="21"/>
  <c r="H16" i="21"/>
  <c r="H17" i="21"/>
  <c r="H18" i="21"/>
  <c r="H19" i="21"/>
  <c r="H4" i="21"/>
  <c r="D4" i="7" l="1"/>
  <c r="E4" i="7" l="1"/>
  <c r="F7" i="13" l="1"/>
  <c r="J10" i="13"/>
  <c r="I3" i="18" l="1"/>
  <c r="J3" i="18"/>
  <c r="K3" i="18"/>
</calcChain>
</file>

<file path=xl/sharedStrings.xml><?xml version="1.0" encoding="utf-8"?>
<sst xmlns="http://schemas.openxmlformats.org/spreadsheetml/2006/main" count="748" uniqueCount="452">
  <si>
    <t>Data Sources</t>
  </si>
  <si>
    <t>Dataset</t>
  </si>
  <si>
    <t>Dodge 2023</t>
  </si>
  <si>
    <t>CEUS 2022</t>
  </si>
  <si>
    <t>ComStock 2023</t>
  </si>
  <si>
    <t>Prototype</t>
  </si>
  <si>
    <r>
      <t>CEC Open parking garage prototype</t>
    </r>
    <r>
      <rPr>
        <sz val="10"/>
        <rFont val="Arial"/>
        <family val="2"/>
      </rPr>
      <t xml:space="preserve"> (CBECC 2022.3.1)</t>
    </r>
  </si>
  <si>
    <t>https://bees.noresco.com/software2022.html</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</si>
  <si>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</si>
  <si>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</si>
  <si>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</si>
  <si>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</si>
  <si>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</si>
  <si>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</si>
  <si>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</si>
  <si>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</si>
  <si>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</si>
  <si>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</si>
  <si>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</si>
  <si>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</si>
  <si>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</si>
  <si>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</si>
  <si>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</si>
  <si>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2010</t>
  </si>
  <si>
    <t>file:///N:/Prj_SUS/2023/S23668%20SCE%20CA%20Prototypes%20Development/Technical/NR/0_Input%20data/Lighting/PNNL-20405.pdf</t>
  </si>
  <si>
    <t>Air leakage Memo, NORESCO, 2025</t>
  </si>
  <si>
    <t>Infiltration_rate_report_14May2025-Short-Version.docx</t>
  </si>
  <si>
    <t>Construction Rate</t>
  </si>
  <si>
    <t>Notes</t>
  </si>
  <si>
    <t>*Definitions are from T24 2025</t>
  </si>
  <si>
    <t xml:space="preserve">Parking Garage Building is a building with building floor areas used for parking vehicles, and 
consists of at least a roof over the parking area enclosed with walls on all sides. The building 
includes areas for vehicle maneuvering to reach designated parking spaces. If the roof of a 
parking structure is also used for parking, the section without an overhead roof is considered an 
outdoor parking lot instead of a parking garage. </t>
  </si>
  <si>
    <r>
      <rPr>
        <b/>
        <sz val="10"/>
        <color theme="1"/>
        <rFont val="Arial"/>
        <family val="2"/>
      </rPr>
      <t>Daylight Adaptation Zone</t>
    </r>
    <r>
      <rPr>
        <sz val="10"/>
        <color theme="1"/>
        <rFont val="Arial"/>
        <family val="2"/>
      </rPr>
      <t xml:space="preserve"> in a Parking Garage is the interior path of travel for vehicles 
adjacent to the entrance or exit of a parking garage as needed for visual adaptation to 
transition from exterior daylight levels to interior light levels. Daylight Adaptation Zones only 
include the path of vehicular travel and do not include adjacent Parking Areas.</t>
    </r>
  </si>
  <si>
    <r>
      <rPr>
        <b/>
        <sz val="10"/>
        <color rgb="FF000000"/>
        <rFont val="Arial"/>
        <family val="2"/>
      </rPr>
      <t>Parking Zone and Ramps</t>
    </r>
    <r>
      <rPr>
        <sz val="10"/>
        <color rgb="FF000000"/>
        <rFont val="Arial"/>
        <family val="2"/>
      </rPr>
      <t xml:space="preserve"> in a Parking Garage is used for the purpose of parking and 
maneuvering of vehicles. Parking areas include sloping floors of a parking garage. Ramps and 
driveways specifically for the purpose of moving vehicles between floors of a parking garage. 
Parking areas and ramps do not include Daylight Adaptation Zones or the roof of a Parking 
Garage, which may be present in a Parking Garage. </t>
    </r>
  </si>
  <si>
    <t>NORESCO, Updated August 2025</t>
  </si>
  <si>
    <t>ParkingOpen</t>
  </si>
  <si>
    <t>Characteristic</t>
  </si>
  <si>
    <t>Value</t>
  </si>
  <si>
    <t>Building Type</t>
  </si>
  <si>
    <t>Open Parking</t>
  </si>
  <si>
    <t>Building Category</t>
  </si>
  <si>
    <t>Nonresidential</t>
  </si>
  <si>
    <t>Vintages</t>
  </si>
  <si>
    <t>4 Vintages: Pre-1978 , 1978-1997 ,1998-2007 , 2008-2018
New Construction (2019+)</t>
  </si>
  <si>
    <t>Based on the vintage bin analysis</t>
  </si>
  <si>
    <t>NonRes-Vintage bins-Draft Report-30Nov2023-Final.docx</t>
  </si>
  <si>
    <t>Shape</t>
  </si>
  <si>
    <t xml:space="preserve">The analysis uses prototype geometry originally developed by CEC. This is an open parking garage, there are no actual windows—the space is fully open to ambient air and therefore unconditioned. </t>
  </si>
  <si>
    <t>Total Floor Area (ft²)</t>
  </si>
  <si>
    <t>Same as CEC</t>
  </si>
  <si>
    <t>Aspect Ratio</t>
  </si>
  <si>
    <t>Number of Floors</t>
  </si>
  <si>
    <t>Roof type</t>
  </si>
  <si>
    <t>Flat</t>
  </si>
  <si>
    <t>WWR</t>
  </si>
  <si>
    <t>n/a (50% openings all around the building)</t>
  </si>
  <si>
    <t>Shading Geometry</t>
  </si>
  <si>
    <t xml:space="preserve">No Shades </t>
  </si>
  <si>
    <t>Floor to floor height (feet)</t>
  </si>
  <si>
    <t>Floor to ceiling height (feet)</t>
  </si>
  <si>
    <t>Glazing sill height (feet)</t>
  </si>
  <si>
    <t>n/a</t>
  </si>
  <si>
    <t>Above grade wall area (ft²)</t>
  </si>
  <si>
    <t>Gross wall area  (ft²)</t>
  </si>
  <si>
    <t>Roof area  (ft²)</t>
  </si>
  <si>
    <t>Underground Gross Wall Area  (ft²)</t>
  </si>
  <si>
    <t>Space Type</t>
  </si>
  <si>
    <t>Space/Thermal Zone</t>
  </si>
  <si>
    <t>HVAC System Name/AHU Name</t>
  </si>
  <si>
    <t>Schedule Category</t>
  </si>
  <si>
    <t>Conditioned (Y/N)</t>
  </si>
  <si>
    <t>Area Fraction</t>
  </si>
  <si>
    <t>Area (ft²)</t>
  </si>
  <si>
    <t>Volume (ft³)</t>
  </si>
  <si>
    <t>Multipliers</t>
  </si>
  <si>
    <t>Number of People</t>
  </si>
  <si>
    <t xml:space="preserve">People 
(Persons/1,000 ft²)
[T24, 2025,Table 120.1-A] </t>
  </si>
  <si>
    <t>Parking Garage Area (Parking Zone and Ramps)</t>
  </si>
  <si>
    <t xml:space="preserve">Core  </t>
  </si>
  <si>
    <t>Parking</t>
  </si>
  <si>
    <t>Yes</t>
  </si>
  <si>
    <t>Parking Garage Area (Daylight Adaptation Zones)</t>
  </si>
  <si>
    <t xml:space="preserve">Daylight adaption  </t>
  </si>
  <si>
    <t xml:space="preserve">East perimeter  </t>
  </si>
  <si>
    <t xml:space="preserve">North perimeter  </t>
  </si>
  <si>
    <t>Retail Sales Area (Retail Merchandise Sales)</t>
  </si>
  <si>
    <t xml:space="preserve">Parking attendant  </t>
  </si>
  <si>
    <t>AHU-1</t>
  </si>
  <si>
    <t>TicketAttendant</t>
  </si>
  <si>
    <t xml:space="preserve">South perimeter  </t>
  </si>
  <si>
    <t xml:space="preserve">West perimeter  </t>
  </si>
  <si>
    <t>Total (3 Space types)</t>
  </si>
  <si>
    <t>Total ( 8 spaces)</t>
  </si>
  <si>
    <t>Total ( 1Thermal Zones)</t>
  </si>
  <si>
    <t xml:space="preserve"> Total (1 Conditioned zones)</t>
  </si>
  <si>
    <t>Background Data [To be deleted prior to publication]</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</si>
  <si>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</si>
  <si>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</si>
  <si>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</si>
  <si>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</si>
  <si>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</si>
  <si>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</si>
  <si>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</si>
  <si>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</si>
  <si>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</si>
  <si>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</si>
  <si>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</si>
  <si>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</si>
  <si>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</si>
  <si>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</si>
  <si>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</si>
  <si>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</si>
  <si>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</si>
  <si>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</si>
  <si>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</si>
  <si>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</si>
  <si>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</si>
  <si>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</si>
  <si>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</si>
  <si>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</si>
  <si>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ExtWall_Concrete4in_Insulated</t>
  </si>
  <si>
    <t>4 in. Concrete- Insulation (insulation only for ticket attendance ext wall)</t>
  </si>
  <si>
    <t>U-value IP</t>
  </si>
  <si>
    <t>Pre 1978</t>
  </si>
  <si>
    <t>N/A</t>
  </si>
  <si>
    <t>ASHRAE 90.1, 2022 Table A3.1-2, 4", R-0, 135 lb/ft3 Density</t>
  </si>
  <si>
    <t>1978-1997</t>
  </si>
  <si>
    <t>Package A/ Heat Capacity was considered ~10 (BTU/F/ft²)</t>
  </si>
  <si>
    <t>1998-2007</t>
  </si>
  <si>
    <t>Table 1-H</t>
  </si>
  <si>
    <t>2008-2018</t>
  </si>
  <si>
    <t>Table 140.3-B</t>
  </si>
  <si>
    <t>2019+</t>
  </si>
  <si>
    <t>Roof</t>
  </si>
  <si>
    <t>FlatRoof_Concrete8in_Insulated</t>
  </si>
  <si>
    <t>Built-up Roof 
8 in concrete deck + isulation ((insulation only  for ticket attendant ceiling)</t>
  </si>
  <si>
    <t>Considering 30 years for roof/ insulation replacement.</t>
  </si>
  <si>
    <t>**The unconditioned portion of the parking garage should only have concrete walls. However, there is also a small conditioned area served by an AHU system which should still use insulation in the assembly.</t>
  </si>
  <si>
    <t>Zones</t>
  </si>
  <si>
    <t xml:space="preserve">Heating </t>
  </si>
  <si>
    <t>Cooling</t>
  </si>
  <si>
    <t>Air Distribution</t>
  </si>
  <si>
    <t>Source</t>
  </si>
  <si>
    <t>Exisiting</t>
  </si>
  <si>
    <t>Conditioned zones-Parking Attendant Zone</t>
  </si>
  <si>
    <t>Electric Unit heater</t>
  </si>
  <si>
    <t>Engineering judgement</t>
  </si>
  <si>
    <t>New Construction</t>
  </si>
  <si>
    <t xml:space="preserve">Efficiency of HVAC system </t>
  </si>
  <si>
    <t>Upgrade/Installed year</t>
  </si>
  <si>
    <t>Heating DX</t>
  </si>
  <si>
    <t>Cooling DX</t>
  </si>
  <si>
    <t xml:space="preserve">Sources </t>
  </si>
  <si>
    <t xml:space="preserve">Thermal Efficiency of 1
</t>
  </si>
  <si>
    <t>* Et = Combustion efficiency</t>
  </si>
  <si>
    <t>* Et = Thermal efficiency</t>
  </si>
  <si>
    <t>Fan power</t>
  </si>
  <si>
    <t>Approach</t>
  </si>
  <si>
    <t>System</t>
  </si>
  <si>
    <t>Total Static Pressure (TSP)
in w.c.
[PNNL 20405, 2010, Table 5.11]</t>
  </si>
  <si>
    <t>Fan Efficiency
[ACM, 2025]</t>
  </si>
  <si>
    <t>Fan Motor and Drive Efficiency 
[ACM 2025, Table 13]</t>
  </si>
  <si>
    <t>W/cfm
[ACM 2025, Table 14 and 15]</t>
  </si>
  <si>
    <t>Data Source</t>
  </si>
  <si>
    <t>Existing</t>
  </si>
  <si>
    <t>PNNL TSP</t>
  </si>
  <si>
    <t xml:space="preserve">PTAC, PTHP, or FCUs </t>
  </si>
  <si>
    <t>PNNL 2010 TSD</t>
  </si>
  <si>
    <t>Brake horse power (bhp)=(Supply cfm*TSP in w.c.)/(6356*Fan efficiency)</t>
  </si>
  <si>
    <t>Fan power (w/cfm) = bhp/motor and drive efficiency *746</t>
  </si>
  <si>
    <t>ACM 2025</t>
  </si>
  <si>
    <t>2025 ACM</t>
  </si>
  <si>
    <t>* 0.9 is an average fan efficiency according to ACM 2025, Table 13</t>
  </si>
  <si>
    <t>Fan total eff (E+ input) = 0.65 x Motor_eff</t>
  </si>
  <si>
    <t>TSP (E+ input) in w.c. = Motor_eff/746 x (6356 x Fan_eff) x W/cfm</t>
  </si>
  <si>
    <t>Fan_eff=0.65</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</si>
  <si>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</si>
  <si>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</si>
  <si>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</si>
  <si>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</si>
  <si>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</si>
  <si>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</si>
  <si>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</si>
  <si>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</si>
  <si>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Exhaust shall not be required where two or more sides comprise walls that are at least 50% open to the outside.</t>
  </si>
  <si>
    <t>Requirement</t>
  </si>
  <si>
    <t>Description</t>
  </si>
  <si>
    <t>Criterion</t>
  </si>
  <si>
    <t>Value / Standard</t>
  </si>
  <si>
    <t>Airflow Modulation</t>
  </si>
  <si>
    <t>Reduce to minimum 10 ACH or pressurization limit</t>
  </si>
  <si>
    <t>Pressure relationship</t>
  </si>
  <si>
    <t>Negative relative to adjacent spaces</t>
  </si>
  <si>
    <t>Variable Exhaust/Makeup Air</t>
  </si>
  <si>
    <t>Coordinated VAV systems for pressurization</t>
  </si>
  <si>
    <t>Pressure differential target</t>
  </si>
  <si>
    <t>0.01–0.05 in. w.c.</t>
  </si>
  <si>
    <t>Fan Power Limit</t>
  </si>
  <si>
    <t>≤ 0.65 W/CFM (standard); ≤ 0.85 W/CFM (with filtration)</t>
  </si>
  <si>
    <t>Infiltration modeling</t>
  </si>
  <si>
    <t>Not the primary OA source; modeled as tightly controlled</t>
  </si>
  <si>
    <t>Sash Closure Controls</t>
  </si>
  <si>
    <t>Auto-close after 5 min inactivity with safety features</t>
  </si>
  <si>
    <t>Envelope air barrier</t>
  </si>
  <si>
    <t>Required per T24 standards</t>
  </si>
  <si>
    <t>Makeup Air Compliance</t>
  </si>
  <si>
    <t>Must meet Section 140.4(o) standards</t>
  </si>
  <si>
    <t>Standard reference</t>
  </si>
  <si>
    <t>ANSI Z9.5-2022, ASHRAE 62.1, ASHRAE 90.1</t>
  </si>
  <si>
    <t>Total ft²</t>
  </si>
  <si>
    <t>Min. occupancy load (persons/1000 ft²)</t>
  </si>
  <si>
    <t xml:space="preserve">Total Number of Occupants </t>
  </si>
  <si>
    <t>cfm/ft² (Table 120.1-A – Minimum Ventilation Rates)</t>
  </si>
  <si>
    <t>Required Exhaust Rate-CFM/ft² (Table 120.1-B – Minimum Exhaust Rates)</t>
  </si>
  <si>
    <t>cfm</t>
  </si>
  <si>
    <t xml:space="preserve"> T24, 2025, Equation 120.1-F and Table 120.1-A</t>
  </si>
  <si>
    <t>Total</t>
  </si>
  <si>
    <t>Setpoint</t>
  </si>
  <si>
    <t>Parking Attendant Heating Setpoint (F)</t>
  </si>
  <si>
    <t>T24 2022 - Appendix 5.4B</t>
  </si>
  <si>
    <t xml:space="preserve">The parking attendant area is fully conditioned in the CEC model, this is the setpoint requirement for that area. </t>
  </si>
  <si>
    <t>Parking AttendantSetback (F)</t>
  </si>
  <si>
    <t>Parking Attendant Setpoint (F)</t>
  </si>
  <si>
    <t>Parking Attendant Setback (F)</t>
  </si>
  <si>
    <t xml:space="preserve">  Office Cooling Setback (F)</t>
  </si>
  <si>
    <r>
      <rPr>
        <b/>
        <sz val="10"/>
        <color rgb="FF000000"/>
        <rFont val="Arial"/>
        <family val="2"/>
      </rPr>
      <t>Source:</t>
    </r>
    <r>
      <rPr>
        <sz val="10"/>
        <color rgb="FF000000"/>
        <rFont val="Arial"/>
        <family val="2"/>
      </rPr>
      <t xml:space="preserve"> PNNL Healthcare-Outpaitiet prototype use this setpoints: Administration zones: 72°F Cooling/70°F Heating, Critical zones: 72°F Cooling/70°F Heating, Operating rooms: 65°F Cooling/65°F Heating</t>
    </r>
  </si>
  <si>
    <t>PNNL Healthcare-Outpaitiet prototype use this setbacks: 77°F Cooling/65°F Heating, Critical zones: no setback, Operating rooms: 72°F Cooling/65°F Heating</t>
  </si>
  <si>
    <t>Statewide</t>
  </si>
  <si>
    <t>WH Type</t>
  </si>
  <si>
    <t>Efficiency</t>
  </si>
  <si>
    <t>Tank Volume (gal)</t>
  </si>
  <si>
    <t>Tank Loss</t>
  </si>
  <si>
    <t>Unit</t>
  </si>
  <si>
    <t xml:space="preserve">Existing  </t>
  </si>
  <si>
    <t xml:space="preserve">Electric </t>
  </si>
  <si>
    <t>(%/hr)</t>
  </si>
  <si>
    <t>According to 2025 ACM</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</si>
  <si>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</si>
  <si>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</si>
  <si>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</si>
  <si>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</si>
  <si>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</si>
  <si>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</si>
  <si>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</si>
  <si>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Electric</t>
  </si>
  <si>
    <t xml:space="preserve">Water Heater Capacity, Tank Capacity, and Tank Loss </t>
  </si>
  <si>
    <t>Heat Output (Btu/hr)
[ACM, 2025, 5.9.2: Rated capacity section]</t>
  </si>
  <si>
    <t>WH Capacity (Btu/hr)
[ACM, 2025, 5.9.2: Rated capacity section]</t>
  </si>
  <si>
    <t>Required Energy Input (Btu/hr)</t>
  </si>
  <si>
    <t>Storage Volume (ga)</t>
  </si>
  <si>
    <t xml:space="preserve">Standby Loss </t>
  </si>
  <si>
    <t>Off/On Cycle Loss Coefficient to Ambient Temp (Btu/h-F)</t>
  </si>
  <si>
    <t>%/hr</t>
  </si>
  <si>
    <t>Standby loss equation: Title 20, §1605.1 Table F-4 
WH capacity equation: ACM, 2025, 5.9.2: Rated capacity section)</t>
  </si>
  <si>
    <t>Design supply temperature (F)</t>
  </si>
  <si>
    <t>Ref: T24 2022 - Appendix 5.4B</t>
  </si>
  <si>
    <t>Standby Loss for Existing</t>
  </si>
  <si>
    <t>Btu/hr</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</si>
  <si>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</si>
  <si>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</si>
  <si>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</si>
  <si>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</si>
  <si>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</si>
  <si>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</si>
  <si>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</si>
  <si>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</si>
  <si>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</si>
  <si>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</si>
  <si>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</si>
  <si>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</si>
  <si>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</si>
  <si>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</si>
  <si>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</si>
  <si>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</si>
  <si>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*Parking attendant zone</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</si>
  <si>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</si>
  <si>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</si>
  <si>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</si>
  <si>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</si>
  <si>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</si>
  <si>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</si>
  <si>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</si>
  <si>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</si>
  <si>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</si>
  <si>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</si>
  <si>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</si>
  <si>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</si>
  <si>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</si>
  <si>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</si>
  <si>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</si>
  <si>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14 building entrance per PNNL Model</t>
  </si>
  <si>
    <t>(count)</t>
  </si>
  <si>
    <t>(W/ea)</t>
  </si>
  <si>
    <t>Hardscape Ornamental Light</t>
  </si>
  <si>
    <t>0.1 ft² per 1 ft² of gross building area for hardscape ornamental light</t>
  </si>
  <si>
    <t>Building façade</t>
  </si>
  <si>
    <t>0.1 W per 1 ft² of facade area 
Façade Area = Perimeter × 0.5 × 13 ft * 
The 0.5 factor assumes that only half of the perimeter walls are lit.
-Formula ia developed based on the 2019 Outdoor Lighting CASE report</t>
  </si>
  <si>
    <t>Security lighting for retail parking</t>
  </si>
  <si>
    <t>1 sf per 100 sf of gross building area</t>
  </si>
  <si>
    <t>Non-sales canopy</t>
  </si>
  <si>
    <t>Non-motion-controlled Luminaires</t>
  </si>
  <si>
    <t>Total floor area</t>
  </si>
  <si>
    <t xml:space="preserve">Perimeter </t>
  </si>
  <si>
    <t>Floors</t>
  </si>
  <si>
    <t>Hour</t>
  </si>
  <si>
    <t>Saturday</t>
  </si>
  <si>
    <t>Sunday</t>
  </si>
  <si>
    <t>Weekday</t>
  </si>
  <si>
    <t>Spaces</t>
  </si>
  <si>
    <t>Plug load Power Density (W/ft²)</t>
  </si>
  <si>
    <t>Gas Power Density (Btu/hr-ft²)</t>
  </si>
  <si>
    <t>Refrigeration Power Density (W/ft²)</t>
  </si>
  <si>
    <t>T24 2022 - Appendix 5.4A</t>
  </si>
  <si>
    <t>Parking attendant zone - Plug load and schedules project with CEC, 2025</t>
  </si>
  <si>
    <t>Zone</t>
  </si>
  <si>
    <t>Schedule</t>
  </si>
  <si>
    <t>Type</t>
  </si>
  <si>
    <t>Parking Zones</t>
  </si>
  <si>
    <t>Occupancy</t>
  </si>
  <si>
    <t>T24 2022 - Appendix 5.4B, [Parking]</t>
  </si>
  <si>
    <t>Lights</t>
  </si>
  <si>
    <t xml:space="preserve">ElecEquipment </t>
  </si>
  <si>
    <t xml:space="preserve">GasEquipment </t>
  </si>
  <si>
    <t>Parking Attendant</t>
  </si>
  <si>
    <t>Ticket Attendant Zone</t>
  </si>
  <si>
    <t>ServiceHotWater</t>
  </si>
  <si>
    <t>HVACAvail</t>
  </si>
  <si>
    <t>Infiltration</t>
  </si>
  <si>
    <t>HtgSetpt</t>
  </si>
  <si>
    <t>ClgSetpt</t>
  </si>
  <si>
    <t>Building</t>
  </si>
  <si>
    <t>Elevator</t>
  </si>
  <si>
    <t>ExtLightingNonMotionCtrl</t>
  </si>
  <si>
    <t xml:space="preserve">Siimlar </t>
  </si>
  <si>
    <t>ExtLightingMotionCtrl</t>
  </si>
  <si>
    <t>PNNL Hospital Prototype (2022) Modified to 0 for 11 pm to 5 am during weekday and 12 am to 5 am during weekend</t>
  </si>
  <si>
    <t>ParkingPeopleActivityLevel</t>
  </si>
  <si>
    <t>same as stairs</t>
  </si>
  <si>
    <t>TicketAttendantPeopleActivityLevel</t>
  </si>
  <si>
    <t>assumed same as meeting room</t>
  </si>
  <si>
    <t>Parkig Attendance</t>
  </si>
  <si>
    <t>Retail Occupancy</t>
  </si>
  <si>
    <t>Retail Lighting</t>
  </si>
  <si>
    <t>Plug load and schedules project with CEC, 2025</t>
  </si>
  <si>
    <t>Refrigeration</t>
  </si>
  <si>
    <t>CZ</t>
  </si>
  <si>
    <t>Total Floorspace (Thousand of ft²)</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</si>
  <si>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</si>
  <si>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</si>
  <si>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</si>
  <si>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</si>
  <si>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Not available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</si>
  <si>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</si>
  <si>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</si>
  <si>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</si>
  <si>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</si>
  <si>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</si>
  <si>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</si>
  <si>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</si>
  <si>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</si>
  <si>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</si>
  <si>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</si>
  <si>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</si>
  <si>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</si>
  <si>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</si>
  <si>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</si>
  <si>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</si>
  <si>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</si>
  <si>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</si>
  <si>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</si>
  <si>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</si>
  <si>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</si>
  <si>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</si>
  <si>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</si>
  <si>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</si>
  <si>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</si>
  <si>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</si>
  <si>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</si>
  <si>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</si>
  <si>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</si>
  <si>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</si>
  <si>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</si>
  <si>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</si>
  <si>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</si>
  <si>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</si>
  <si>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</si>
  <si>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</si>
  <si>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</si>
  <si>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</si>
  <si>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</si>
  <si>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</si>
  <si>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</si>
  <si>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</si>
  <si>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</si>
  <si>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</si>
  <si>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</si>
  <si>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</si>
  <si>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</si>
  <si>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</si>
  <si>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</si>
  <si>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</si>
  <si>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</si>
  <si>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</si>
  <si>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</si>
  <si>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</si>
  <si>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</si>
  <si>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</si>
  <si>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</si>
  <si>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</si>
  <si>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</si>
  <si>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</si>
  <si>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</si>
  <si>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</si>
  <si>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</si>
  <si>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</si>
  <si>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</si>
  <si>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</si>
  <si>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</si>
  <si>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</si>
  <si>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</si>
  <si>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</si>
  <si>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</si>
  <si>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</si>
  <si>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</si>
  <si>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</si>
  <si>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</si>
  <si>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</si>
  <si>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</si>
  <si>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</si>
  <si>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</si>
  <si>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</si>
  <si>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Plenum</t>
  </si>
  <si>
    <t>IT Room (EPD 12)</t>
  </si>
  <si>
    <t>Computer Room (EPD 20)</t>
  </si>
  <si>
    <t>Server Room (EPD 45)</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</si>
  <si>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</si>
  <si>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</si>
  <si>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</si>
  <si>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</si>
  <si>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</si>
  <si>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</si>
  <si>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</si>
  <si>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</si>
  <si>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</si>
  <si>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</si>
  <si>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CEUS 2023 Electricity EUI (kBtu/ft²)</t>
  </si>
  <si>
    <t>CEUS 2023 Gas EUI  (kBtu/ft²)</t>
  </si>
  <si>
    <t>CEUS 2023 Total EUI (kBtu/ft²)</t>
  </si>
  <si>
    <t>Acceptable Range (20% Higher)</t>
  </si>
  <si>
    <t>Acceptable Range (20% Lower)</t>
  </si>
  <si>
    <t xml:space="preserve">CEUS 2022 Acceptable EUI Range </t>
  </si>
  <si>
    <t>CalBEM Energy Consumption - ParkingOpen</t>
  </si>
  <si>
    <t>chrome-extension://efaidnbmnnnibpcajpcglclefindmkaj/https://www.energystar.gov/sites/default/files/tools/Parking%20Adjustment%20Technical%20Reference_508.pdf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</si>
</sst>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
    <numFmt numFmtId="165" formatCode="0.0"/>
    <numFmt numFmtId="166" formatCode="#,##0.0"/>
    <numFmt numFmtId="168" formatCode="0.000"/>
    <numFmt numFmtId="169" formatCode="_(* #,##0_);_(* \(#,##0\);_(* &quot;-&quot;??_);_(@_)"/>
    <numFmt numFmtId="170" formatCode="#,##0;\-0;[Color15]0"/>
    <numFmt numFmtId="171" formatCode="_(* #,##0.0_);_(* \(#,##0.0\);_(* &quot;-&quot;??_);_(@_)"/>
    <numFmt numFmtId="172" formatCode="_(* #,##0.000_);_(* \(#,##0.000\);_(* &quot;-&quot;??_);_(@_)"/>
    <numFmt numFmtId="173" formatCode="_(* #,##0.0_);_(* \(#,##0.0\);_(* &quot;-&quot;?????_);_(@_)"/>
    <numFmt numFmtId="174" formatCode="_(* #,##0.0000_);_(* \(#,##0.0000\);_(* &quot;-&quot;??_);_(@_)"/>
  </numFmts>
  <fonts count="60">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b/>
      <sz val="12"/>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sz val="10"/>
      <color theme="0"/>
      <name val="Arial"/>
      <family val="2"/>
    </font>
    <font>
      <sz val="11"/>
      <color rgb="FF00000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color theme="1"/>
      <name val="Arial"/>
      <family val="2"/>
    </font>
    <font>
      <u/>
      <sz val="10"/>
      <name val="Arial"/>
      <family val="2"/>
    </font>
    <font>
      <sz val="14"/>
      <color rgb="FF000000"/>
      <name val="Times New Roman"/>
      <family val="1"/>
    </font>
    <font>
      <sz val="9"/>
      <color rgb="FFFF000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s>
  <fills count="48">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lightUp"/>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rgb="FF000000"/>
      </patternFill>
    </fill>
  </fills>
  <borders count="13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rgb="FF595959"/>
      </left>
      <right style="thin">
        <color rgb="FF595959"/>
      </right>
      <top style="thin">
        <color rgb="FF595959"/>
      </top>
      <bottom style="thin">
        <color rgb="FF595959"/>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medium">
        <color theme="1" tint="0.34998626667073579"/>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indexed="64"/>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top style="thin">
        <color rgb="FF000000"/>
      </top>
      <bottom/>
      <diagonal/>
    </border>
    <border>
      <left style="thin">
        <color rgb="FF000000"/>
      </left>
      <right style="medium">
        <color indexed="64"/>
      </right>
      <top style="medium">
        <color indexed="64"/>
      </top>
      <bottom style="thin">
        <color rgb="FF000000"/>
      </bottom>
      <diagonal/>
    </border>
    <border>
      <left/>
      <right/>
      <top style="medium">
        <color indexed="64"/>
      </top>
      <bottom style="medium">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6" fillId="0" borderId="0"/>
    <xf numFmtId="0" fontId="18" fillId="0" borderId="0" applyNumberFormat="0" applyFill="0" applyBorder="0" applyAlignment="0" applyProtection="0"/>
    <xf numFmtId="0" fontId="7" fillId="0" borderId="0"/>
    <xf numFmtId="0" fontId="7" fillId="0" borderId="0"/>
    <xf numFmtId="0" fontId="42" fillId="0" borderId="0" applyNumberFormat="0" applyFill="0" applyBorder="0" applyAlignment="0" applyProtection="0"/>
    <xf numFmtId="0" fontId="43" fillId="0" borderId="130" applyNumberFormat="0" applyFill="0" applyAlignment="0" applyProtection="0"/>
    <xf numFmtId="0" fontId="44" fillId="0" borderId="131" applyNumberFormat="0" applyFill="0" applyAlignment="0" applyProtection="0"/>
    <xf numFmtId="0" fontId="45" fillId="0" borderId="132" applyNumberFormat="0" applyFill="0" applyAlignment="0" applyProtection="0"/>
    <xf numFmtId="0" fontId="45" fillId="0" borderId="0" applyNumberFormat="0" applyFill="0" applyBorder="0" applyAlignment="0" applyProtection="0"/>
    <xf numFmtId="0" fontId="46" fillId="16" borderId="0" applyNumberFormat="0" applyBorder="0" applyAlignment="0" applyProtection="0"/>
    <xf numFmtId="0" fontId="47" fillId="17" borderId="0" applyNumberFormat="0" applyBorder="0" applyAlignment="0" applyProtection="0"/>
    <xf numFmtId="0" fontId="48" fillId="18" borderId="0" applyNumberFormat="0" applyBorder="0" applyAlignment="0" applyProtection="0"/>
    <xf numFmtId="0" fontId="49" fillId="19" borderId="133" applyNumberFormat="0" applyAlignment="0" applyProtection="0"/>
    <xf numFmtId="0" fontId="50" fillId="20" borderId="134" applyNumberFormat="0" applyAlignment="0" applyProtection="0"/>
    <xf numFmtId="0" fontId="51" fillId="20" borderId="133" applyNumberFormat="0" applyAlignment="0" applyProtection="0"/>
    <xf numFmtId="0" fontId="52" fillId="0" borderId="135" applyNumberFormat="0" applyFill="0" applyAlignment="0" applyProtection="0"/>
    <xf numFmtId="0" fontId="10" fillId="21" borderId="136" applyNumberFormat="0" applyAlignment="0" applyProtection="0"/>
    <xf numFmtId="0" fontId="53" fillId="0" borderId="0" applyNumberFormat="0" applyFill="0" applyBorder="0" applyAlignment="0" applyProtection="0"/>
    <xf numFmtId="0" fontId="2" fillId="22" borderId="137" applyNumberFormat="0" applyFont="0" applyAlignment="0" applyProtection="0"/>
    <xf numFmtId="0" fontId="54" fillId="0" borderId="0" applyNumberFormat="0" applyFill="0" applyBorder="0" applyAlignment="0" applyProtection="0"/>
    <xf numFmtId="0" fontId="3" fillId="0" borderId="138" applyNumberFormat="0" applyFill="0" applyAlignment="0" applyProtection="0"/>
    <xf numFmtId="0" fontId="13"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3"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3"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3"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13"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13"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5" fillId="0" borderId="0" applyNumberFormat="0" applyFill="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6" fillId="1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57"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22" borderId="137"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cellStyleXfs>
  <cellXfs count="541">
    <xf numFmtId="0" fontId="0" fillId="0" borderId="0" xfId="0"/>
    <xf numFmtId="0" fontId="3" fillId="0" borderId="0" xfId="0" applyFont="1"/>
    <xf numFmtId="0" fontId="14" fillId="0" borderId="0" xfId="0" applyFont="1"/>
    <xf numFmtId="0" fontId="14"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vertical="center" wrapText="1"/>
    </xf>
    <xf numFmtId="0" fontId="18" fillId="0" borderId="0" xfId="5" applyFont="1"/>
    <xf numFmtId="0" fontId="7" fillId="0" borderId="0" xfId="0" applyFont="1" applyAlignment="1">
      <alignment wrapText="1"/>
    </xf>
    <xf numFmtId="0" fontId="17"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3" fontId="7" fillId="0" borderId="2" xfId="7" applyNumberFormat="1" applyFont="1" applyBorder="1" applyAlignment="1">
      <alignment horizontal="center" vertical="center"/>
    </xf>
    <xf numFmtId="0" fontId="1"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center" vertical="top" wrapText="1"/>
    </xf>
    <xf numFmtId="168" fontId="18" fillId="0" borderId="0" xfId="5" applyNumberFormat="1" applyFont="1" applyAlignment="1">
      <alignment horizontal="left" vertical="top"/>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2" fillId="8" borderId="2" xfId="0" applyFont="1" applyFill="1" applyBorder="1" applyAlignment="1">
      <alignment horizontal="center" vertical="center" wrapText="1"/>
    </xf>
    <xf numFmtId="0" fontId="21" fillId="8"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left"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9" fontId="7" fillId="0" borderId="0" xfId="0" applyNumberFormat="1" applyFont="1" applyAlignment="1">
      <alignment vertical="center"/>
    </xf>
    <xf numFmtId="0" fontId="8" fillId="0" borderId="0" xfId="0" applyFont="1" applyAlignment="1">
      <alignment vertical="center"/>
    </xf>
    <xf numFmtId="0" fontId="24" fillId="0" borderId="0" xfId="0" applyFont="1" applyAlignment="1">
      <alignment wrapText="1"/>
    </xf>
    <xf numFmtId="0" fontId="7" fillId="0" borderId="23" xfId="4" applyBorder="1" applyAlignment="1">
      <alignment horizontal="center" vertical="center"/>
    </xf>
    <xf numFmtId="9" fontId="7" fillId="0" borderId="23" xfId="2" applyFont="1" applyFill="1" applyBorder="1" applyAlignment="1">
      <alignment horizontal="center" vertical="center"/>
    </xf>
    <xf numFmtId="3" fontId="7" fillId="0" borderId="2" xfId="0" applyNumberFormat="1" applyFont="1" applyBorder="1" applyAlignment="1">
      <alignment horizontal="center" vertical="center"/>
    </xf>
    <xf numFmtId="0" fontId="25" fillId="0" borderId="0" xfId="0" applyFont="1" applyAlignment="1">
      <alignment horizontal="center" vertical="center"/>
    </xf>
    <xf numFmtId="0" fontId="28" fillId="5" borderId="0" xfId="0" applyFont="1" applyFill="1" applyAlignment="1">
      <alignment vertical="center" wrapText="1"/>
    </xf>
    <xf numFmtId="0" fontId="25" fillId="5" borderId="0" xfId="0" applyFont="1" applyFill="1" applyAlignment="1">
      <alignment horizontal="center" vertical="center"/>
    </xf>
    <xf numFmtId="165" fontId="25" fillId="5" borderId="0" xfId="0" applyNumberFormat="1" applyFont="1" applyFill="1" applyAlignment="1">
      <alignment horizontal="center" vertical="center"/>
    </xf>
    <xf numFmtId="0" fontId="27" fillId="0" borderId="0" xfId="0" applyFont="1" applyAlignment="1">
      <alignment horizontal="left" vertical="center" wrapText="1"/>
    </xf>
    <xf numFmtId="0" fontId="27" fillId="0" borderId="0" xfId="0" applyFont="1" applyAlignment="1">
      <alignment horizontal="left" vertical="center"/>
    </xf>
    <xf numFmtId="0" fontId="27"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23" xfId="0" applyNumberFormat="1" applyFont="1" applyBorder="1" applyAlignment="1">
      <alignment horizontal="center"/>
    </xf>
    <xf numFmtId="0" fontId="8" fillId="0" borderId="0" xfId="4" applyFont="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168" fontId="25" fillId="0" borderId="0" xfId="0" applyNumberFormat="1" applyFont="1" applyAlignment="1">
      <alignment horizontal="center" vertical="center"/>
    </xf>
    <xf numFmtId="3" fontId="7" fillId="0" borderId="0" xfId="7" applyNumberFormat="1" applyFont="1" applyAlignment="1">
      <alignment horizontal="center" vertical="center"/>
    </xf>
    <xf numFmtId="9" fontId="7" fillId="0" borderId="25" xfId="0" applyNumberFormat="1" applyFont="1" applyBorder="1" applyAlignment="1">
      <alignment horizontal="center"/>
    </xf>
    <xf numFmtId="0" fontId="29" fillId="0" borderId="0" xfId="0" applyFont="1"/>
    <xf numFmtId="0" fontId="30" fillId="2" borderId="0" xfId="0" applyFont="1" applyFill="1"/>
    <xf numFmtId="0" fontId="29" fillId="0" borderId="0" xfId="0" applyFont="1" applyAlignment="1">
      <alignment wrapText="1"/>
    </xf>
    <xf numFmtId="0" fontId="29" fillId="0" borderId="0" xfId="0" applyFont="1" applyAlignment="1">
      <alignment horizontal="center"/>
    </xf>
    <xf numFmtId="166" fontId="1"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24" fillId="0" borderId="0" xfId="0" applyFont="1" applyAlignment="1">
      <alignment horizontal="left" vertical="center" wrapText="1"/>
    </xf>
    <xf numFmtId="0" fontId="12" fillId="0" borderId="2" xfId="3" applyFont="1" applyFill="1" applyBorder="1" applyAlignment="1">
      <alignment horizontal="left" vertical="top" wrapText="1"/>
    </xf>
    <xf numFmtId="169" fontId="12" fillId="0" borderId="2" xfId="6" applyNumberFormat="1" applyFont="1" applyFill="1" applyBorder="1" applyAlignment="1">
      <alignment horizontal="left" vertical="top" wrapText="1"/>
    </xf>
    <xf numFmtId="0" fontId="8" fillId="8" borderId="26" xfId="0" applyFont="1" applyFill="1" applyBorder="1" applyAlignment="1">
      <alignment horizontal="center" vertical="center"/>
    </xf>
    <xf numFmtId="0" fontId="8" fillId="8" borderId="26" xfId="0" applyFont="1" applyFill="1" applyBorder="1" applyAlignment="1">
      <alignment horizontal="center" vertical="center" wrapText="1"/>
    </xf>
    <xf numFmtId="169" fontId="12" fillId="0" borderId="2" xfId="6" applyNumberFormat="1" applyFont="1" applyBorder="1" applyAlignment="1">
      <alignment horizontal="center" vertical="center" wrapText="1"/>
    </xf>
    <xf numFmtId="1" fontId="14" fillId="0" borderId="2" xfId="0" applyNumberFormat="1" applyFont="1" applyBorder="1" applyAlignment="1">
      <alignment horizontal="center" vertical="center"/>
    </xf>
    <xf numFmtId="0" fontId="14" fillId="0" borderId="2" xfId="0" applyFont="1" applyBorder="1" applyAlignment="1">
      <alignment horizontal="center" vertical="center"/>
    </xf>
    <xf numFmtId="0" fontId="21" fillId="8" borderId="12" xfId="0" applyFont="1" applyFill="1" applyBorder="1" applyAlignment="1">
      <alignment horizontal="center" vertical="center" wrapText="1"/>
    </xf>
    <xf numFmtId="0" fontId="1" fillId="0" borderId="23" xfId="0" applyFont="1" applyBorder="1" applyAlignment="1">
      <alignment horizontal="center" vertical="center"/>
    </xf>
    <xf numFmtId="0" fontId="1" fillId="0" borderId="52" xfId="0" applyFont="1" applyBorder="1" applyAlignment="1">
      <alignment horizontal="center" vertical="center" wrapText="1"/>
    </xf>
    <xf numFmtId="0" fontId="15" fillId="0" borderId="0" xfId="0" applyFont="1" applyAlignment="1">
      <alignment vertical="center"/>
    </xf>
    <xf numFmtId="0" fontId="31" fillId="0" borderId="0" xfId="0" applyFont="1"/>
    <xf numFmtId="169" fontId="7" fillId="0" borderId="2" xfId="6" applyNumberFormat="1" applyFont="1" applyBorder="1" applyAlignment="1">
      <alignment horizontal="left" vertical="center" wrapText="1"/>
    </xf>
    <xf numFmtId="43" fontId="7" fillId="0" borderId="0" xfId="0" applyNumberFormat="1" applyFont="1"/>
    <xf numFmtId="0" fontId="12" fillId="0" borderId="0" xfId="3" applyFont="1" applyBorder="1" applyAlignment="1">
      <alignment horizontal="left" vertical="center" wrapText="1"/>
    </xf>
    <xf numFmtId="169" fontId="7" fillId="0" borderId="0" xfId="6" applyNumberFormat="1" applyFont="1" applyBorder="1" applyAlignment="1">
      <alignment horizontal="left" vertical="center"/>
    </xf>
    <xf numFmtId="0" fontId="12" fillId="0" borderId="8" xfId="3" applyFont="1" applyBorder="1" applyAlignment="1">
      <alignment horizontal="left" vertical="center" wrapText="1"/>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43" fontId="7" fillId="0" borderId="2" xfId="6" applyFont="1" applyBorder="1" applyAlignment="1">
      <alignment horizontal="left" vertical="center"/>
    </xf>
    <xf numFmtId="164" fontId="7" fillId="0" borderId="2" xfId="2" applyNumberFormat="1" applyFont="1" applyBorder="1" applyAlignment="1">
      <alignment horizontal="center"/>
    </xf>
    <xf numFmtId="1" fontId="12" fillId="0" borderId="4" xfId="3" applyNumberFormat="1" applyFont="1" applyBorder="1" applyAlignment="1">
      <alignment horizontal="left" vertical="center" wrapText="1"/>
    </xf>
    <xf numFmtId="1" fontId="12" fillId="0" borderId="6" xfId="3" applyNumberFormat="1" applyFont="1" applyBorder="1" applyAlignment="1">
      <alignment horizontal="left" vertical="center" wrapText="1"/>
    </xf>
    <xf numFmtId="1" fontId="7" fillId="0" borderId="0" xfId="0" applyNumberFormat="1" applyFont="1" applyAlignment="1">
      <alignment horizontal="left" vertical="center" wrapText="1"/>
    </xf>
    <xf numFmtId="0" fontId="1" fillId="0" borderId="0" xfId="0" applyFont="1" applyAlignment="1">
      <alignment horizontal="center" vertical="center" wrapText="1"/>
    </xf>
    <xf numFmtId="0" fontId="23" fillId="0" borderId="0" xfId="0" applyFont="1"/>
    <xf numFmtId="169" fontId="12" fillId="0" borderId="1" xfId="6" applyNumberFormat="1" applyFont="1" applyBorder="1" applyAlignment="1">
      <alignment horizontal="center" vertical="center" wrapText="1"/>
    </xf>
    <xf numFmtId="1"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2" fontId="14" fillId="0" borderId="1" xfId="0" applyNumberFormat="1" applyFont="1" applyBorder="1" applyAlignment="1">
      <alignment horizontal="center" vertical="center"/>
    </xf>
    <xf numFmtId="169" fontId="14" fillId="0" borderId="1" xfId="6" applyNumberFormat="1" applyFont="1" applyFill="1" applyBorder="1" applyAlignment="1">
      <alignment horizontal="center" vertical="center"/>
    </xf>
    <xf numFmtId="169" fontId="12" fillId="0" borderId="36" xfId="6" applyNumberFormat="1" applyFont="1" applyBorder="1" applyAlignment="1">
      <alignment horizontal="center" vertical="center" wrapText="1"/>
    </xf>
    <xf numFmtId="0" fontId="14" fillId="0" borderId="36" xfId="0" applyFont="1" applyBorder="1" applyAlignment="1">
      <alignment horizontal="center" vertical="center"/>
    </xf>
    <xf numFmtId="1" fontId="14" fillId="0" borderId="36" xfId="0" applyNumberFormat="1" applyFont="1" applyBorder="1" applyAlignment="1">
      <alignment horizontal="center" vertical="center"/>
    </xf>
    <xf numFmtId="169" fontId="14" fillId="0" borderId="36" xfId="6" applyNumberFormat="1" applyFont="1" applyFill="1" applyBorder="1" applyAlignment="1">
      <alignment horizontal="center" vertical="center"/>
    </xf>
    <xf numFmtId="0" fontId="26" fillId="0" borderId="2" xfId="0" applyFont="1" applyBorder="1" applyAlignment="1">
      <alignment horizontal="center" vertical="center"/>
    </xf>
    <xf numFmtId="0" fontId="24" fillId="0" borderId="2" xfId="0" applyFont="1" applyBorder="1" applyAlignment="1">
      <alignment horizontal="center" vertical="center"/>
    </xf>
    <xf numFmtId="0" fontId="26" fillId="0" borderId="2" xfId="0" applyFont="1" applyBorder="1" applyAlignment="1">
      <alignment horizontal="left" vertical="center"/>
    </xf>
    <xf numFmtId="169" fontId="14" fillId="0" borderId="17" xfId="6" applyNumberFormat="1" applyFont="1" applyFill="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wrapText="1"/>
    </xf>
    <xf numFmtId="0" fontId="26" fillId="0" borderId="0" xfId="0" applyFont="1" applyAlignment="1">
      <alignment vertical="center"/>
    </xf>
    <xf numFmtId="0" fontId="26" fillId="0" borderId="0" xfId="0" applyFont="1" applyAlignment="1">
      <alignment horizontal="center" vertical="center"/>
    </xf>
    <xf numFmtId="0" fontId="32" fillId="0" borderId="0" xfId="0" applyFont="1"/>
    <xf numFmtId="0" fontId="21" fillId="11" borderId="2" xfId="0" applyFont="1" applyFill="1" applyBorder="1" applyAlignment="1">
      <alignment horizontal="center" vertical="center"/>
    </xf>
    <xf numFmtId="168" fontId="7" fillId="9" borderId="2" xfId="0" applyNumberFormat="1" applyFont="1" applyFill="1" applyBorder="1" applyAlignment="1">
      <alignment horizontal="center" vertical="center"/>
    </xf>
    <xf numFmtId="0" fontId="34" fillId="0" borderId="0" xfId="0" applyFont="1" applyAlignment="1">
      <alignment vertical="center"/>
    </xf>
    <xf numFmtId="0" fontId="27" fillId="11" borderId="2" xfId="0" applyFont="1" applyFill="1" applyBorder="1" applyAlignment="1">
      <alignment horizontal="center" vertical="center"/>
    </xf>
    <xf numFmtId="0" fontId="26" fillId="0" borderId="0" xfId="0" applyFont="1" applyAlignment="1">
      <alignment horizontal="center" vertical="top" wrapText="1"/>
    </xf>
    <xf numFmtId="0" fontId="7" fillId="0" borderId="2" xfId="0" applyFont="1" applyBorder="1"/>
    <xf numFmtId="0" fontId="8" fillId="2" borderId="0" xfId="0" applyFont="1" applyFill="1" applyAlignment="1">
      <alignment vertical="center"/>
    </xf>
    <xf numFmtId="2" fontId="7" fillId="0" borderId="2" xfId="0" applyNumberFormat="1" applyFont="1" applyBorder="1" applyAlignment="1">
      <alignment horizontal="center" vertical="center" wrapText="1"/>
    </xf>
    <xf numFmtId="0" fontId="1" fillId="0" borderId="0" xfId="1" applyAlignment="1">
      <alignment vertical="center" wrapText="1"/>
    </xf>
    <xf numFmtId="0" fontId="0" fillId="2" borderId="0" xfId="0" applyFill="1"/>
    <xf numFmtId="0" fontId="15" fillId="0" borderId="0" xfId="0" applyFont="1" applyAlignment="1">
      <alignment vertical="center" wrapText="1"/>
    </xf>
    <xf numFmtId="0" fontId="27" fillId="11" borderId="2" xfId="0" applyFont="1" applyFill="1" applyBorder="1" applyAlignment="1">
      <alignment horizontal="center" vertical="center" wrapText="1"/>
    </xf>
    <xf numFmtId="0" fontId="26" fillId="0" borderId="12" xfId="0" applyFont="1" applyBorder="1" applyAlignment="1">
      <alignment horizontal="center" vertical="center"/>
    </xf>
    <xf numFmtId="0" fontId="7" fillId="0" borderId="12" xfId="0" applyFont="1" applyBorder="1" applyAlignment="1">
      <alignment horizontal="center" vertical="center"/>
    </xf>
    <xf numFmtId="0" fontId="26" fillId="14" borderId="14" xfId="0" applyFont="1" applyFill="1" applyBorder="1" applyAlignment="1">
      <alignment vertical="center"/>
    </xf>
    <xf numFmtId="0" fontId="26" fillId="14" borderId="19" xfId="0" applyFont="1" applyFill="1" applyBorder="1" applyAlignment="1">
      <alignment vertical="center"/>
    </xf>
    <xf numFmtId="0" fontId="26" fillId="0" borderId="0" xfId="0" applyFont="1" applyAlignment="1">
      <alignment horizontal="center" vertical="center" wrapText="1"/>
    </xf>
    <xf numFmtId="0" fontId="33" fillId="13" borderId="0" xfId="0" applyFont="1" applyFill="1" applyAlignment="1">
      <alignment horizontal="center" vertical="center"/>
    </xf>
    <xf numFmtId="169" fontId="7" fillId="0" borderId="0" xfId="0" applyNumberFormat="1" applyFont="1"/>
    <xf numFmtId="0" fontId="26" fillId="0" borderId="55" xfId="0" applyFont="1" applyBorder="1"/>
    <xf numFmtId="0" fontId="26" fillId="14" borderId="55" xfId="0" applyFont="1" applyFill="1" applyBorder="1" applyAlignment="1">
      <alignment vertical="center"/>
    </xf>
    <xf numFmtId="0" fontId="16" fillId="0" borderId="0" xfId="0" applyFont="1"/>
    <xf numFmtId="1" fontId="38" fillId="0" borderId="0" xfId="0" applyNumberFormat="1" applyFont="1" applyAlignment="1">
      <alignment horizontal="left" vertical="center" wrapText="1"/>
    </xf>
    <xf numFmtId="2" fontId="38" fillId="0" borderId="0" xfId="0" applyNumberFormat="1" applyFont="1" applyAlignment="1">
      <alignment horizontal="center" vertical="center" wrapText="1"/>
    </xf>
    <xf numFmtId="0" fontId="39" fillId="0" borderId="0" xfId="0" applyFont="1" applyAlignment="1">
      <alignment horizontal="center" vertical="center" wrapText="1"/>
    </xf>
    <xf numFmtId="0" fontId="19" fillId="0" borderId="0" xfId="0" applyFont="1"/>
    <xf numFmtId="170" fontId="35" fillId="0" borderId="0" xfId="0" applyNumberFormat="1" applyFont="1"/>
    <xf numFmtId="0" fontId="7" fillId="0" borderId="2" xfId="0" applyFont="1" applyBorder="1" applyAlignment="1">
      <alignment horizontal="right" vertical="center"/>
    </xf>
    <xf numFmtId="169" fontId="7" fillId="0" borderId="2" xfId="6" applyNumberFormat="1" applyFont="1" applyBorder="1" applyAlignment="1">
      <alignment horizontal="right" vertical="center" wrapText="1"/>
    </xf>
    <xf numFmtId="169" fontId="7" fillId="0" borderId="2" xfId="0" applyNumberFormat="1" applyFont="1" applyBorder="1" applyAlignment="1">
      <alignment horizontal="right" vertical="center"/>
    </xf>
    <xf numFmtId="3" fontId="7" fillId="0" borderId="0" xfId="0" applyNumberFormat="1" applyFont="1"/>
    <xf numFmtId="169" fontId="7" fillId="0" borderId="0" xfId="6" applyNumberFormat="1" applyFont="1"/>
    <xf numFmtId="169" fontId="7" fillId="0" borderId="2" xfId="6" applyNumberFormat="1" applyFont="1" applyBorder="1" applyAlignment="1">
      <alignment horizontal="right" vertical="center"/>
    </xf>
    <xf numFmtId="0" fontId="7" fillId="15" borderId="12" xfId="0" applyFont="1" applyFill="1" applyBorder="1"/>
    <xf numFmtId="0" fontId="7" fillId="9" borderId="2" xfId="0" applyFont="1" applyFill="1" applyBorder="1" applyAlignment="1">
      <alignment horizontal="center" vertical="center"/>
    </xf>
    <xf numFmtId="0" fontId="7" fillId="6" borderId="2" xfId="0" applyFont="1" applyFill="1" applyBorder="1" applyAlignment="1">
      <alignment horizontal="center" vertical="center"/>
    </xf>
    <xf numFmtId="168" fontId="7" fillId="6" borderId="2" xfId="0" applyNumberFormat="1" applyFont="1" applyFill="1" applyBorder="1" applyAlignment="1">
      <alignment horizontal="center" vertical="center"/>
    </xf>
    <xf numFmtId="0" fontId="7" fillId="3" borderId="2" xfId="0" applyFont="1" applyFill="1" applyBorder="1" applyAlignment="1">
      <alignment horizontal="center" vertical="center"/>
    </xf>
    <xf numFmtId="168" fontId="7" fillId="3" borderId="2" xfId="0" applyNumberFormat="1" applyFont="1" applyFill="1" applyBorder="1" applyAlignment="1">
      <alignment horizontal="center" vertical="center"/>
    </xf>
    <xf numFmtId="0" fontId="14" fillId="0" borderId="0" xfId="0" applyFont="1" applyAlignment="1">
      <alignment vertical="center"/>
    </xf>
    <xf numFmtId="0" fontId="7" fillId="5" borderId="0" xfId="0" applyFont="1" applyFill="1"/>
    <xf numFmtId="0" fontId="7" fillId="5" borderId="0" xfId="0" applyFont="1" applyFill="1" applyAlignment="1">
      <alignment horizontal="center"/>
    </xf>
    <xf numFmtId="169" fontId="14" fillId="0" borderId="0" xfId="0" applyNumberFormat="1" applyFont="1"/>
    <xf numFmtId="0" fontId="17" fillId="2" borderId="0" xfId="0" applyFont="1" applyFill="1"/>
    <xf numFmtId="0" fontId="17" fillId="2" borderId="0" xfId="0" applyFont="1" applyFill="1" applyAlignment="1">
      <alignment wrapText="1"/>
    </xf>
    <xf numFmtId="0" fontId="17" fillId="2" borderId="0" xfId="0" applyFont="1" applyFill="1" applyAlignment="1">
      <alignment horizontal="left"/>
    </xf>
    <xf numFmtId="0" fontId="17" fillId="2" borderId="0" xfId="0" applyFont="1" applyFill="1" applyAlignment="1">
      <alignment horizontal="center"/>
    </xf>
    <xf numFmtId="173" fontId="26" fillId="14" borderId="27" xfId="0" applyNumberFormat="1" applyFont="1" applyFill="1" applyBorder="1" applyAlignment="1">
      <alignment vertical="center"/>
    </xf>
    <xf numFmtId="0" fontId="26" fillId="0" borderId="57" xfId="0" applyFont="1" applyBorder="1" applyAlignment="1">
      <alignment horizontal="center" vertical="center"/>
    </xf>
    <xf numFmtId="0" fontId="7" fillId="0" borderId="23" xfId="0" applyFont="1" applyBorder="1" applyAlignment="1">
      <alignment horizontal="center" vertical="center"/>
    </xf>
    <xf numFmtId="0" fontId="7" fillId="0" borderId="23" xfId="0" applyFont="1" applyBorder="1" applyAlignment="1">
      <alignment horizontal="center" vertical="center" wrapText="1"/>
    </xf>
    <xf numFmtId="0" fontId="0" fillId="0" borderId="0" xfId="0" applyAlignment="1">
      <alignment horizontal="left"/>
    </xf>
    <xf numFmtId="0" fontId="25" fillId="0" borderId="2" xfId="0" applyFont="1" applyBorder="1" applyAlignment="1">
      <alignment horizontal="center" vertical="center" wrapText="1"/>
    </xf>
    <xf numFmtId="0" fontId="7" fillId="0" borderId="25" xfId="4" applyBorder="1" applyAlignment="1">
      <alignment horizontal="center" vertical="center"/>
    </xf>
    <xf numFmtId="0" fontId="27" fillId="11" borderId="58" xfId="0" applyFont="1" applyFill="1" applyBorder="1" applyAlignment="1">
      <alignment horizontal="center" vertical="center" wrapText="1"/>
    </xf>
    <xf numFmtId="1" fontId="1" fillId="0" borderId="2" xfId="7" applyNumberFormat="1" applyFont="1" applyBorder="1" applyAlignment="1">
      <alignment horizontal="center" vertical="center"/>
    </xf>
    <xf numFmtId="0" fontId="12" fillId="0" borderId="2" xfId="3" applyFont="1" applyFill="1" applyBorder="1" applyAlignment="1">
      <alignment horizontal="center" vertical="center" wrapText="1"/>
    </xf>
    <xf numFmtId="3" fontId="12" fillId="0" borderId="2" xfId="3" applyNumberFormat="1" applyFont="1" applyFill="1" applyBorder="1" applyAlignment="1">
      <alignment horizontal="center" vertical="center" wrapText="1"/>
    </xf>
    <xf numFmtId="0" fontId="12" fillId="0" borderId="2" xfId="3" applyFont="1" applyBorder="1" applyAlignment="1">
      <alignment horizontal="center" vertical="top" wrapText="1"/>
    </xf>
    <xf numFmtId="3" fontId="12" fillId="0" borderId="2" xfId="3" applyNumberFormat="1" applyFont="1" applyBorder="1" applyAlignment="1">
      <alignment horizontal="center" vertical="center" wrapText="1"/>
    </xf>
    <xf numFmtId="0" fontId="8" fillId="8" borderId="59" xfId="0" applyFont="1" applyFill="1" applyBorder="1" applyAlignment="1">
      <alignment horizontal="center" vertical="center"/>
    </xf>
    <xf numFmtId="0" fontId="8" fillId="8" borderId="60" xfId="0" applyFont="1" applyFill="1" applyBorder="1" applyAlignment="1">
      <alignment horizontal="center" vertical="center"/>
    </xf>
    <xf numFmtId="0" fontId="8" fillId="8" borderId="61" xfId="0" applyFont="1" applyFill="1" applyBorder="1" applyAlignment="1">
      <alignment horizontal="center" vertical="center" wrapText="1"/>
    </xf>
    <xf numFmtId="0" fontId="8" fillId="8" borderId="62" xfId="0" applyFont="1" applyFill="1" applyBorder="1" applyAlignment="1">
      <alignment horizontal="center" vertical="center"/>
    </xf>
    <xf numFmtId="0" fontId="7" fillId="0" borderId="63" xfId="0" applyFont="1" applyBorder="1" applyAlignment="1">
      <alignment horizontal="center" vertical="center"/>
    </xf>
    <xf numFmtId="0" fontId="26" fillId="0" borderId="67" xfId="0" applyFont="1" applyBorder="1" applyAlignment="1">
      <alignment horizontal="center" vertical="center" wrapText="1"/>
    </xf>
    <xf numFmtId="0" fontId="7" fillId="0" borderId="68" xfId="0" applyFont="1" applyBorder="1" applyAlignment="1">
      <alignment horizontal="center" vertical="center"/>
    </xf>
    <xf numFmtId="0" fontId="1" fillId="0" borderId="69" xfId="0" applyFont="1" applyBorder="1" applyAlignment="1">
      <alignment horizontal="center" vertical="center"/>
    </xf>
    <xf numFmtId="0" fontId="1" fillId="0" borderId="70" xfId="0" applyFont="1" applyBorder="1" applyAlignment="1">
      <alignment horizontal="center" vertical="center" wrapText="1"/>
    </xf>
    <xf numFmtId="0" fontId="26" fillId="0" borderId="71" xfId="0" applyFont="1" applyBorder="1" applyAlignment="1">
      <alignment horizontal="center" vertical="center" wrapText="1"/>
    </xf>
    <xf numFmtId="0" fontId="7" fillId="0" borderId="12" xfId="0" applyFont="1" applyBorder="1"/>
    <xf numFmtId="0" fontId="37" fillId="14" borderId="13" xfId="0" applyFont="1" applyFill="1" applyBorder="1" applyAlignment="1">
      <alignment horizontal="left" vertical="center"/>
    </xf>
    <xf numFmtId="0" fontId="26" fillId="14" borderId="0" xfId="0" applyFont="1" applyFill="1" applyAlignment="1">
      <alignment vertical="center"/>
    </xf>
    <xf numFmtId="0" fontId="26" fillId="14" borderId="15" xfId="0" applyFont="1" applyFill="1" applyBorder="1" applyAlignment="1">
      <alignment vertical="center"/>
    </xf>
    <xf numFmtId="0" fontId="37" fillId="14" borderId="18" xfId="0" applyFont="1" applyFill="1" applyBorder="1" applyAlignment="1">
      <alignment horizontal="left" vertical="center"/>
    </xf>
    <xf numFmtId="0" fontId="26" fillId="14" borderId="20" xfId="0" applyFont="1" applyFill="1" applyBorder="1" applyAlignment="1">
      <alignment vertical="center"/>
    </xf>
    <xf numFmtId="0" fontId="26" fillId="0" borderId="2" xfId="0" applyFont="1" applyBorder="1" applyAlignment="1">
      <alignment horizontal="center" vertical="center" wrapText="1"/>
    </xf>
    <xf numFmtId="2" fontId="26" fillId="0" borderId="2" xfId="0" applyNumberFormat="1" applyFont="1" applyBorder="1" applyAlignment="1">
      <alignment horizontal="center" vertical="center"/>
    </xf>
    <xf numFmtId="0" fontId="8" fillId="8" borderId="72" xfId="0" applyFont="1" applyFill="1" applyBorder="1" applyAlignment="1">
      <alignment horizontal="center" vertical="center"/>
    </xf>
    <xf numFmtId="1" fontId="12" fillId="0" borderId="2" xfId="3" applyNumberFormat="1" applyFont="1" applyBorder="1" applyAlignment="1">
      <alignment horizontal="left" vertical="center" wrapText="1"/>
    </xf>
    <xf numFmtId="1" fontId="7" fillId="0" borderId="2" xfId="0" applyNumberFormat="1" applyFont="1" applyBorder="1" applyAlignment="1">
      <alignment horizontal="left" vertical="center"/>
    </xf>
    <xf numFmtId="1" fontId="7" fillId="0" borderId="2" xfId="0" applyNumberFormat="1" applyFont="1" applyBorder="1" applyAlignment="1">
      <alignment horizontal="left" vertical="center" wrapText="1"/>
    </xf>
    <xf numFmtId="0" fontId="9" fillId="0" borderId="0" xfId="5" applyBorder="1"/>
    <xf numFmtId="0" fontId="26" fillId="0" borderId="0" xfId="0" applyFont="1" applyAlignment="1">
      <alignment wrapText="1"/>
    </xf>
    <xf numFmtId="0" fontId="1" fillId="0" borderId="2" xfId="1" applyBorder="1" applyAlignment="1">
      <alignment vertical="center" wrapText="1"/>
    </xf>
    <xf numFmtId="168" fontId="7" fillId="9" borderId="2" xfId="0" applyNumberFormat="1" applyFont="1" applyFill="1" applyBorder="1" applyAlignment="1">
      <alignment horizontal="center" vertical="center" wrapText="1"/>
    </xf>
    <xf numFmtId="168" fontId="7" fillId="0" borderId="2" xfId="0" applyNumberFormat="1" applyFont="1" applyBorder="1" applyAlignment="1">
      <alignment horizontal="center" vertical="center"/>
    </xf>
    <xf numFmtId="0" fontId="7" fillId="12" borderId="2" xfId="0" applyFont="1" applyFill="1" applyBorder="1" applyAlignment="1">
      <alignment horizontal="center" vertical="center"/>
    </xf>
    <xf numFmtId="0" fontId="1" fillId="12" borderId="2" xfId="0" applyFont="1" applyFill="1" applyBorder="1" applyAlignment="1">
      <alignment horizontal="center" vertical="center"/>
    </xf>
    <xf numFmtId="168" fontId="1" fillId="12" borderId="2" xfId="0" applyNumberFormat="1" applyFont="1" applyFill="1" applyBorder="1" applyAlignment="1">
      <alignment horizontal="center" vertical="center"/>
    </xf>
    <xf numFmtId="168" fontId="7" fillId="12" borderId="2" xfId="0" applyNumberFormat="1" applyFont="1" applyFill="1" applyBorder="1" applyAlignment="1">
      <alignment horizontal="center" vertical="center"/>
    </xf>
    <xf numFmtId="2" fontId="7" fillId="0" borderId="2" xfId="0" applyNumberFormat="1" applyFont="1" applyBorder="1" applyAlignment="1">
      <alignment horizontal="center" vertical="center"/>
    </xf>
    <xf numFmtId="0" fontId="34" fillId="0" borderId="0" xfId="0" applyFont="1"/>
    <xf numFmtId="169" fontId="7" fillId="0" borderId="2" xfId="0" applyNumberFormat="1" applyFont="1" applyBorder="1" applyAlignment="1">
      <alignment horizontal="center" vertical="center" wrapText="1"/>
    </xf>
    <xf numFmtId="0" fontId="7" fillId="0" borderId="2" xfId="0" applyFont="1" applyBorder="1" applyAlignment="1">
      <alignment wrapText="1"/>
    </xf>
    <xf numFmtId="0" fontId="12" fillId="0" borderId="2" xfId="3" applyFont="1" applyBorder="1" applyAlignment="1">
      <alignment horizontal="left" vertical="center" wrapText="1"/>
    </xf>
    <xf numFmtId="169" fontId="7" fillId="0" borderId="2" xfId="6" applyNumberFormat="1" applyFont="1" applyBorder="1"/>
    <xf numFmtId="0" fontId="7" fillId="0" borderId="2" xfId="0" applyFont="1" applyBorder="1" applyAlignment="1">
      <alignment horizontal="left" vertical="center" wrapText="1"/>
    </xf>
    <xf numFmtId="0" fontId="27" fillId="8" borderId="2" xfId="0" applyFont="1" applyFill="1" applyBorder="1" applyAlignment="1">
      <alignment horizontal="left" vertical="center" wrapText="1"/>
    </xf>
    <xf numFmtId="170" fontId="7" fillId="0" borderId="2" xfId="0" applyNumberFormat="1" applyFont="1" applyBorder="1" applyAlignment="1">
      <alignment vertical="center"/>
    </xf>
    <xf numFmtId="170" fontId="1" fillId="0" borderId="2" xfId="0" applyNumberFormat="1" applyFont="1" applyBorder="1" applyAlignment="1">
      <alignment vertical="center"/>
    </xf>
    <xf numFmtId="0" fontId="21" fillId="8" borderId="2" xfId="0" applyFont="1" applyFill="1" applyBorder="1" applyAlignment="1">
      <alignment vertical="center"/>
    </xf>
    <xf numFmtId="0" fontId="1" fillId="0" borderId="2" xfId="1" applyBorder="1" applyAlignment="1">
      <alignment vertical="center"/>
    </xf>
    <xf numFmtId="9" fontId="7" fillId="0" borderId="2" xfId="0" applyNumberFormat="1" applyFont="1" applyBorder="1" applyAlignment="1">
      <alignment horizontal="center"/>
    </xf>
    <xf numFmtId="0" fontId="40" fillId="0" borderId="0" xfId="0" applyFont="1" applyAlignment="1">
      <alignment horizontal="right" vertical="center" wrapText="1"/>
    </xf>
    <xf numFmtId="0" fontId="36" fillId="0" borderId="2" xfId="0" applyFont="1" applyBorder="1" applyAlignment="1">
      <alignment horizontal="left" vertical="top" wrapText="1"/>
    </xf>
    <xf numFmtId="3" fontId="36" fillId="0" borderId="2" xfId="0" applyNumberFormat="1" applyFont="1" applyBorder="1" applyAlignment="1">
      <alignment horizontal="center" vertical="center" wrapText="1"/>
    </xf>
    <xf numFmtId="10" fontId="7" fillId="0" borderId="2" xfId="2" applyNumberFormat="1" applyFont="1" applyBorder="1" applyAlignment="1">
      <alignment horizontal="center"/>
    </xf>
    <xf numFmtId="0" fontId="38" fillId="0" borderId="0" xfId="0" applyFont="1" applyAlignment="1">
      <alignment vertical="center" wrapText="1"/>
    </xf>
    <xf numFmtId="0" fontId="39" fillId="0" borderId="2" xfId="0" applyFont="1" applyBorder="1" applyAlignment="1">
      <alignment horizontal="center" vertical="center" wrapText="1"/>
    </xf>
    <xf numFmtId="0" fontId="24" fillId="0" borderId="2" xfId="0" applyFont="1" applyBorder="1" applyAlignment="1">
      <alignment wrapText="1"/>
    </xf>
    <xf numFmtId="0" fontId="8" fillId="0" borderId="0" xfId="0" applyFont="1" applyAlignment="1">
      <alignment horizontal="center" vertical="center"/>
    </xf>
    <xf numFmtId="0" fontId="21" fillId="11" borderId="27" xfId="0" applyFont="1" applyFill="1" applyBorder="1" applyAlignment="1">
      <alignment horizontal="center" vertical="center" wrapText="1"/>
    </xf>
    <xf numFmtId="4" fontId="26" fillId="0" borderId="55" xfId="0" applyNumberFormat="1" applyFont="1" applyBorder="1"/>
    <xf numFmtId="171" fontId="7" fillId="0" borderId="2" xfId="0" applyNumberFormat="1" applyFont="1" applyBorder="1" applyAlignment="1">
      <alignment horizontal="center" vertical="center" wrapText="1"/>
    </xf>
    <xf numFmtId="169" fontId="7" fillId="0" borderId="2" xfId="0" applyNumberFormat="1" applyFont="1" applyBorder="1" applyAlignment="1">
      <alignment horizontal="center" vertical="center"/>
    </xf>
    <xf numFmtId="171" fontId="7" fillId="0" borderId="2" xfId="0" applyNumberFormat="1" applyFont="1" applyBorder="1" applyAlignment="1">
      <alignment horizontal="center" vertical="center"/>
    </xf>
    <xf numFmtId="169" fontId="7" fillId="0" borderId="2" xfId="6" applyNumberFormat="1" applyFont="1" applyBorder="1" applyAlignment="1">
      <alignment horizontal="center" vertical="center"/>
    </xf>
    <xf numFmtId="43" fontId="7" fillId="0" borderId="2" xfId="0" applyNumberFormat="1" applyFont="1" applyBorder="1" applyAlignment="1">
      <alignment horizontal="center" vertical="center"/>
    </xf>
    <xf numFmtId="173" fontId="7" fillId="0" borderId="2" xfId="0" applyNumberFormat="1" applyFont="1" applyBorder="1" applyAlignment="1">
      <alignment horizontal="center" vertical="center"/>
    </xf>
    <xf numFmtId="43" fontId="7" fillId="0" borderId="0" xfId="0" applyNumberFormat="1" applyFont="1" applyAlignment="1">
      <alignment horizontal="center" vertical="top" wrapText="1"/>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7" fillId="0" borderId="9" xfId="0" applyFont="1" applyBorder="1" applyAlignment="1">
      <alignment horizontal="center" vertical="center"/>
    </xf>
    <xf numFmtId="0" fontId="7" fillId="0" borderId="28" xfId="0" applyFont="1" applyBorder="1" applyAlignment="1">
      <alignment horizontal="center" vertical="center"/>
    </xf>
    <xf numFmtId="0" fontId="7" fillId="0" borderId="35" xfId="0" applyFont="1" applyBorder="1" applyAlignment="1">
      <alignment horizontal="center" vertical="center"/>
    </xf>
    <xf numFmtId="0" fontId="7" fillId="0" borderId="27" xfId="0" applyFont="1" applyBorder="1" applyAlignment="1">
      <alignment horizontal="center" vertical="center"/>
    </xf>
    <xf numFmtId="0" fontId="7" fillId="0" borderId="31" xfId="0" applyFont="1" applyBorder="1" applyAlignment="1">
      <alignment horizontal="center"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29" xfId="0" applyFont="1" applyBorder="1" applyAlignment="1">
      <alignment horizontal="center" vertical="center"/>
    </xf>
    <xf numFmtId="0" fontId="26" fillId="0" borderId="73" xfId="0" applyFont="1" applyBorder="1" applyAlignment="1">
      <alignment horizontal="center" vertical="center"/>
    </xf>
    <xf numFmtId="0" fontId="26" fillId="0" borderId="1" xfId="0" applyFont="1" applyBorder="1" applyAlignment="1">
      <alignment horizontal="center" vertical="center"/>
    </xf>
    <xf numFmtId="0" fontId="26" fillId="0" borderId="5" xfId="0" applyFont="1" applyBorder="1" applyAlignment="1">
      <alignment horizontal="center" vertical="center"/>
    </xf>
    <xf numFmtId="0" fontId="26" fillId="0" borderId="11" xfId="0" applyFont="1" applyBorder="1" applyAlignment="1">
      <alignment horizontal="center" vertical="center"/>
    </xf>
    <xf numFmtId="0" fontId="26" fillId="0" borderId="7" xfId="0" applyFont="1" applyBorder="1" applyAlignment="1">
      <alignment horizontal="center" vertical="center"/>
    </xf>
    <xf numFmtId="0" fontId="26" fillId="0" borderId="74" xfId="0" applyFont="1" applyBorder="1" applyAlignment="1">
      <alignment horizontal="center" vertical="center"/>
    </xf>
    <xf numFmtId="0" fontId="26" fillId="0" borderId="36" xfId="0" applyFont="1" applyBorder="1" applyAlignment="1">
      <alignment horizontal="center" vertical="center"/>
    </xf>
    <xf numFmtId="0" fontId="26" fillId="0" borderId="9" xfId="0" applyFont="1" applyBorder="1" applyAlignment="1">
      <alignment horizontal="center" vertical="center"/>
    </xf>
    <xf numFmtId="0" fontId="26" fillId="0" borderId="78" xfId="0" applyFont="1" applyBorder="1" applyAlignment="1">
      <alignment horizontal="center" vertical="center"/>
    </xf>
    <xf numFmtId="0" fontId="26" fillId="0" borderId="28" xfId="0" applyFont="1" applyBorder="1" applyAlignment="1">
      <alignment horizontal="center" vertical="center"/>
    </xf>
    <xf numFmtId="0" fontId="26" fillId="0" borderId="35" xfId="0" applyFont="1" applyBorder="1" applyAlignment="1">
      <alignment horizontal="center" vertical="center"/>
    </xf>
    <xf numFmtId="0" fontId="26" fillId="0" borderId="79" xfId="0" applyFont="1" applyBorder="1" applyAlignment="1">
      <alignment horizontal="center" vertical="center"/>
    </xf>
    <xf numFmtId="0" fontId="26" fillId="0" borderId="27" xfId="0" applyFont="1" applyBorder="1" applyAlignment="1">
      <alignment horizontal="center" vertical="center"/>
    </xf>
    <xf numFmtId="0" fontId="26" fillId="0" borderId="31" xfId="0" applyFont="1" applyBorder="1" applyAlignment="1">
      <alignment horizontal="center" vertical="center"/>
    </xf>
    <xf numFmtId="0" fontId="26" fillId="0" borderId="80" xfId="0" applyFont="1" applyBorder="1" applyAlignment="1">
      <alignment horizontal="center" vertical="center"/>
    </xf>
    <xf numFmtId="0" fontId="26" fillId="0" borderId="33" xfId="0" applyFont="1" applyBorder="1" applyAlignment="1">
      <alignment horizontal="center" vertical="center"/>
    </xf>
    <xf numFmtId="0" fontId="26" fillId="0" borderId="34" xfId="0" applyFont="1" applyBorder="1" applyAlignment="1">
      <alignment horizontal="center" vertical="center"/>
    </xf>
    <xf numFmtId="0" fontId="26" fillId="0" borderId="81" xfId="0" applyFont="1" applyBorder="1" applyAlignment="1">
      <alignment horizontal="center" vertical="center"/>
    </xf>
    <xf numFmtId="2" fontId="7" fillId="0" borderId="1" xfId="0" applyNumberFormat="1" applyFont="1" applyBorder="1" applyAlignment="1">
      <alignment horizontal="center" vertical="center"/>
    </xf>
    <xf numFmtId="2" fontId="7" fillId="0" borderId="5"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36" xfId="0" applyNumberFormat="1" applyFont="1" applyBorder="1" applyAlignment="1">
      <alignment horizontal="center" vertical="center"/>
    </xf>
    <xf numFmtId="2" fontId="7" fillId="0" borderId="9" xfId="0" applyNumberFormat="1" applyFont="1" applyBorder="1" applyAlignment="1">
      <alignment horizontal="center" vertical="center"/>
    </xf>
    <xf numFmtId="0" fontId="21" fillId="11" borderId="27" xfId="0" applyFont="1" applyFill="1" applyBorder="1" applyAlignment="1">
      <alignment horizontal="center" vertical="center"/>
    </xf>
    <xf numFmtId="0" fontId="27" fillId="11" borderId="27" xfId="0" applyFont="1" applyFill="1" applyBorder="1" applyAlignment="1">
      <alignment horizontal="center" vertical="center" wrapText="1"/>
    </xf>
    <xf numFmtId="0" fontId="27" fillId="11" borderId="27" xfId="0" applyFont="1" applyFill="1" applyBorder="1" applyAlignment="1">
      <alignment horizontal="center" vertical="center"/>
    </xf>
    <xf numFmtId="0" fontId="7" fillId="0" borderId="27" xfId="0" applyFont="1" applyBorder="1" applyAlignment="1">
      <alignment horizontal="left" vertical="center"/>
    </xf>
    <xf numFmtId="169" fontId="7" fillId="0" borderId="27" xfId="6" applyNumberFormat="1" applyFont="1" applyBorder="1" applyAlignment="1">
      <alignment horizontal="left" vertical="center"/>
    </xf>
    <xf numFmtId="2" fontId="7" fillId="0" borderId="27" xfId="0" applyNumberFormat="1" applyFont="1" applyBorder="1" applyAlignment="1">
      <alignment horizontal="left" vertical="center"/>
    </xf>
    <xf numFmtId="169" fontId="26" fillId="0" borderId="27" xfId="6" applyNumberFormat="1" applyFont="1" applyBorder="1" applyAlignment="1">
      <alignment vertical="center"/>
    </xf>
    <xf numFmtId="0" fontId="8" fillId="11" borderId="84" xfId="0" applyFont="1" applyFill="1" applyBorder="1" applyAlignment="1">
      <alignment horizontal="center" vertical="center" wrapText="1"/>
    </xf>
    <xf numFmtId="169" fontId="26" fillId="0" borderId="27" xfId="6" applyNumberFormat="1" applyFont="1" applyBorder="1" applyAlignment="1">
      <alignment horizontal="center" vertical="center" wrapText="1"/>
    </xf>
    <xf numFmtId="169" fontId="26" fillId="0" borderId="27" xfId="6" applyNumberFormat="1" applyFont="1" applyBorder="1" applyAlignment="1">
      <alignment horizontal="center" vertical="center"/>
    </xf>
    <xf numFmtId="0" fontId="27" fillId="11" borderId="12" xfId="0" applyFont="1" applyFill="1" applyBorder="1" applyAlignment="1">
      <alignment horizontal="center" vertical="center"/>
    </xf>
    <xf numFmtId="0" fontId="7" fillId="0" borderId="2" xfId="0" applyFont="1" applyBorder="1" applyAlignment="1">
      <alignment horizontal="left" vertical="center"/>
    </xf>
    <xf numFmtId="0" fontId="21" fillId="11" borderId="27" xfId="0" applyFont="1" applyFill="1" applyBorder="1" applyAlignment="1">
      <alignment horizontal="left" vertical="center"/>
    </xf>
    <xf numFmtId="168" fontId="7" fillId="0" borderId="2" xfId="0" applyNumberFormat="1" applyFont="1" applyBorder="1"/>
    <xf numFmtId="174" fontId="7" fillId="0" borderId="2" xfId="0" applyNumberFormat="1" applyFont="1" applyBorder="1"/>
    <xf numFmtId="172" fontId="1" fillId="0" borderId="2" xfId="6" applyNumberFormat="1" applyFont="1" applyBorder="1" applyAlignment="1">
      <alignment horizontal="left"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26" fillId="0" borderId="2" xfId="0" applyFont="1" applyBorder="1" applyAlignment="1">
      <alignment horizontal="left" vertical="top" wrapText="1"/>
    </xf>
    <xf numFmtId="0" fontId="8" fillId="2" borderId="0" xfId="0" applyFont="1" applyFill="1" applyAlignment="1">
      <alignment horizontal="left" vertical="center"/>
    </xf>
    <xf numFmtId="0" fontId="8" fillId="2" borderId="0" xfId="0" applyFont="1" applyFill="1" applyAlignment="1">
      <alignment horizontal="center" vertical="center"/>
    </xf>
    <xf numFmtId="0" fontId="12" fillId="4" borderId="2" xfId="3" applyFont="1" applyFill="1" applyBorder="1" applyAlignment="1">
      <alignment horizontal="left" vertical="top" wrapText="1"/>
    </xf>
    <xf numFmtId="0" fontId="7" fillId="0" borderId="89" xfId="0" applyFont="1" applyBorder="1" applyAlignment="1">
      <alignment horizontal="center" vertical="center"/>
    </xf>
    <xf numFmtId="0" fontId="26" fillId="0" borderId="90" xfId="0" applyFont="1" applyBorder="1" applyAlignment="1">
      <alignment horizontal="center" vertical="center"/>
    </xf>
    <xf numFmtId="0" fontId="7" fillId="0" borderId="30" xfId="0" applyFont="1" applyBorder="1" applyAlignment="1">
      <alignment horizontal="center" vertical="center"/>
    </xf>
    <xf numFmtId="0" fontId="26" fillId="0" borderId="91" xfId="0" applyFont="1" applyBorder="1" applyAlignment="1">
      <alignment horizontal="center" vertical="center"/>
    </xf>
    <xf numFmtId="0" fontId="7" fillId="0" borderId="32" xfId="0" applyFont="1" applyBorder="1" applyAlignment="1">
      <alignment horizontal="center" vertical="center"/>
    </xf>
    <xf numFmtId="0" fontId="26" fillId="0" borderId="92" xfId="0" applyFont="1" applyBorder="1" applyAlignment="1">
      <alignment horizontal="center" vertical="center"/>
    </xf>
    <xf numFmtId="0" fontId="7" fillId="0" borderId="79" xfId="0" applyFont="1" applyBorder="1" applyAlignment="1">
      <alignment horizontal="center" vertical="center"/>
    </xf>
    <xf numFmtId="0" fontId="7" fillId="0" borderId="80" xfId="0" applyFont="1" applyBorder="1" applyAlignment="1">
      <alignment horizontal="center" vertical="center"/>
    </xf>
    <xf numFmtId="0" fontId="7" fillId="0" borderId="81" xfId="0" applyFont="1" applyBorder="1" applyAlignment="1">
      <alignment horizontal="center" vertical="center"/>
    </xf>
    <xf numFmtId="0" fontId="25" fillId="0" borderId="95" xfId="0" applyFont="1" applyBorder="1" applyAlignment="1">
      <alignment horizontal="center" vertical="center"/>
    </xf>
    <xf numFmtId="1" fontId="25" fillId="0" borderId="96" xfId="0" applyNumberFormat="1" applyFont="1" applyBorder="1" applyAlignment="1">
      <alignment horizontal="center" vertical="center"/>
    </xf>
    <xf numFmtId="1" fontId="25" fillId="0" borderId="97" xfId="0" applyNumberFormat="1" applyFont="1" applyBorder="1" applyAlignment="1">
      <alignment horizontal="center" vertical="center"/>
    </xf>
    <xf numFmtId="0" fontId="25" fillId="0" borderId="98" xfId="0" applyFont="1" applyBorder="1" applyAlignment="1">
      <alignment horizontal="center" vertical="center"/>
    </xf>
    <xf numFmtId="1" fontId="25" fillId="0" borderId="84" xfId="0" applyNumberFormat="1" applyFont="1" applyBorder="1" applyAlignment="1">
      <alignment horizontal="center" vertical="center"/>
    </xf>
    <xf numFmtId="1" fontId="25" fillId="0" borderId="99" xfId="0" applyNumberFormat="1" applyFont="1" applyBorder="1" applyAlignment="1">
      <alignment horizontal="center" vertical="center"/>
    </xf>
    <xf numFmtId="0" fontId="25" fillId="0" borderId="100" xfId="0" applyFont="1" applyBorder="1" applyAlignment="1">
      <alignment horizontal="center" vertical="center"/>
    </xf>
    <xf numFmtId="1" fontId="25" fillId="0" borderId="101" xfId="0" applyNumberFormat="1" applyFont="1" applyBorder="1" applyAlignment="1">
      <alignment horizontal="center" vertical="center"/>
    </xf>
    <xf numFmtId="1" fontId="25" fillId="0" borderId="102" xfId="0" applyNumberFormat="1" applyFont="1" applyBorder="1" applyAlignment="1">
      <alignment horizontal="center" vertical="center"/>
    </xf>
    <xf numFmtId="0" fontId="25" fillId="0" borderId="104" xfId="0" applyFont="1" applyBorder="1" applyAlignment="1">
      <alignment horizontal="center" vertical="center"/>
    </xf>
    <xf numFmtId="1" fontId="41" fillId="0" borderId="105" xfId="0" applyNumberFormat="1" applyFont="1" applyBorder="1" applyAlignment="1">
      <alignment horizontal="center" vertical="center"/>
    </xf>
    <xf numFmtId="1" fontId="41" fillId="0" borderId="106" xfId="0" applyNumberFormat="1" applyFont="1" applyBorder="1" applyAlignment="1">
      <alignment horizontal="center" vertical="center"/>
    </xf>
    <xf numFmtId="1" fontId="41" fillId="0" borderId="84" xfId="0" applyNumberFormat="1" applyFont="1" applyBorder="1" applyAlignment="1">
      <alignment horizontal="center" vertical="center"/>
    </xf>
    <xf numFmtId="1" fontId="41" fillId="0" borderId="99" xfId="0" applyNumberFormat="1" applyFont="1" applyBorder="1" applyAlignment="1">
      <alignment horizontal="center" vertical="center"/>
    </xf>
    <xf numFmtId="0" fontId="25" fillId="0" borderId="107" xfId="0" applyFont="1" applyBorder="1" applyAlignment="1">
      <alignment horizontal="center" vertical="center"/>
    </xf>
    <xf numFmtId="1" fontId="41" fillId="0" borderId="108" xfId="0" applyNumberFormat="1" applyFont="1" applyBorder="1" applyAlignment="1">
      <alignment horizontal="center" vertical="center"/>
    </xf>
    <xf numFmtId="1" fontId="41" fillId="0" borderId="109" xfId="0" applyNumberFormat="1" applyFont="1" applyBorder="1" applyAlignment="1">
      <alignment horizontal="center" vertical="center"/>
    </xf>
    <xf numFmtId="0" fontId="7" fillId="0" borderId="111" xfId="0" applyFont="1" applyBorder="1" applyAlignment="1">
      <alignment horizontal="center" vertical="center"/>
    </xf>
    <xf numFmtId="0" fontId="7" fillId="0" borderId="56" xfId="0" applyFont="1" applyBorder="1" applyAlignment="1">
      <alignment horizontal="center" vertical="center"/>
    </xf>
    <xf numFmtId="0" fontId="7" fillId="0" borderId="112" xfId="0" applyFont="1" applyBorder="1" applyAlignment="1">
      <alignment horizontal="center" vertical="center"/>
    </xf>
    <xf numFmtId="0" fontId="7" fillId="0" borderId="113" xfId="0" applyFont="1" applyBorder="1" applyAlignment="1">
      <alignment horizontal="center" vertical="center"/>
    </xf>
    <xf numFmtId="0" fontId="7" fillId="0" borderId="114" xfId="0" applyFont="1" applyBorder="1" applyAlignment="1">
      <alignment horizontal="center" vertical="center"/>
    </xf>
    <xf numFmtId="1" fontId="7" fillId="0" borderId="1" xfId="0" applyNumberFormat="1" applyFont="1" applyBorder="1" applyAlignment="1">
      <alignment horizontal="center" vertical="center"/>
    </xf>
    <xf numFmtId="1" fontId="7" fillId="0" borderId="5"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7" xfId="0" applyNumberFormat="1" applyFont="1" applyBorder="1" applyAlignment="1">
      <alignment horizontal="center" vertical="center"/>
    </xf>
    <xf numFmtId="1" fontId="7" fillId="0" borderId="36" xfId="0" applyNumberFormat="1" applyFont="1" applyBorder="1" applyAlignment="1">
      <alignment horizontal="center" vertical="center"/>
    </xf>
    <xf numFmtId="1" fontId="7" fillId="0" borderId="9" xfId="0" applyNumberFormat="1" applyFont="1" applyBorder="1" applyAlignment="1">
      <alignment horizontal="center" vertical="center"/>
    </xf>
    <xf numFmtId="1" fontId="7" fillId="0" borderId="12" xfId="0" applyNumberFormat="1" applyFont="1" applyBorder="1" applyAlignment="1">
      <alignment horizontal="center" vertical="center"/>
    </xf>
    <xf numFmtId="1" fontId="7" fillId="0" borderId="111" xfId="0" applyNumberFormat="1" applyFont="1" applyBorder="1" applyAlignment="1">
      <alignment horizontal="center" vertical="center"/>
    </xf>
    <xf numFmtId="0" fontId="7" fillId="0" borderId="115" xfId="0" applyFont="1" applyBorder="1" applyAlignment="1">
      <alignment horizontal="center" vertical="center"/>
    </xf>
    <xf numFmtId="0" fontId="23" fillId="0" borderId="27" xfId="0" applyFont="1" applyBorder="1" applyAlignment="1">
      <alignment horizontal="center" vertical="center"/>
    </xf>
    <xf numFmtId="0" fontId="23" fillId="0" borderId="31" xfId="0" applyFont="1" applyBorder="1" applyAlignment="1">
      <alignment horizontal="center" vertical="center"/>
    </xf>
    <xf numFmtId="0" fontId="23" fillId="0" borderId="33" xfId="0" applyFont="1" applyBorder="1" applyAlignment="1">
      <alignment horizontal="center" vertical="center"/>
    </xf>
    <xf numFmtId="0" fontId="23" fillId="0" borderId="34" xfId="0" applyFont="1" applyBorder="1" applyAlignment="1">
      <alignment horizontal="center" vertical="center"/>
    </xf>
    <xf numFmtId="0" fontId="23" fillId="0" borderId="29" xfId="0" applyFont="1" applyBorder="1" applyAlignment="1">
      <alignment horizontal="center" vertical="center"/>
    </xf>
    <xf numFmtId="0" fontId="23" fillId="0" borderId="116" xfId="0"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1" fontId="23" fillId="0" borderId="2" xfId="0" applyNumberFormat="1" applyFont="1" applyBorder="1" applyAlignment="1">
      <alignment horizontal="center" vertical="center"/>
    </xf>
    <xf numFmtId="1" fontId="23" fillId="0" borderId="7" xfId="0" applyNumberFormat="1" applyFont="1" applyBorder="1" applyAlignment="1">
      <alignment horizontal="center" vertical="center"/>
    </xf>
    <xf numFmtId="1" fontId="23" fillId="0" borderId="36" xfId="0" applyNumberFormat="1" applyFont="1" applyBorder="1" applyAlignment="1">
      <alignment horizontal="center" vertical="center"/>
    </xf>
    <xf numFmtId="1" fontId="23" fillId="0" borderId="9" xfId="0" applyNumberFormat="1" applyFont="1" applyBorder="1" applyAlignment="1">
      <alignment horizontal="center" vertical="center"/>
    </xf>
    <xf numFmtId="0" fontId="7" fillId="0" borderId="116" xfId="0" applyFont="1" applyBorder="1" applyAlignment="1">
      <alignment horizontal="center" vertical="center"/>
    </xf>
    <xf numFmtId="0" fontId="21" fillId="0" borderId="0" xfId="0" applyFont="1" applyAlignment="1">
      <alignment vertical="center" wrapText="1"/>
    </xf>
    <xf numFmtId="0" fontId="14" fillId="0" borderId="27" xfId="0" applyFont="1" applyBorder="1"/>
    <xf numFmtId="169" fontId="26" fillId="0" borderId="118" xfId="6" applyNumberFormat="1" applyFont="1" applyBorder="1" applyAlignment="1">
      <alignment vertical="center"/>
    </xf>
    <xf numFmtId="0" fontId="27" fillId="11" borderId="119" xfId="0" applyFont="1" applyFill="1" applyBorder="1" applyAlignment="1">
      <alignment horizontal="center" vertical="center"/>
    </xf>
    <xf numFmtId="169" fontId="26" fillId="0" borderId="120" xfId="6" applyNumberFormat="1" applyFont="1" applyBorder="1" applyAlignment="1">
      <alignment vertical="center" wrapText="1"/>
    </xf>
    <xf numFmtId="0" fontId="7" fillId="0" borderId="119" xfId="0" applyFont="1" applyBorder="1" applyAlignment="1">
      <alignment horizontal="left" vertical="center"/>
    </xf>
    <xf numFmtId="0" fontId="7" fillId="0" borderId="79" xfId="0" applyFont="1" applyBorder="1" applyAlignment="1">
      <alignment horizontal="left" vertical="center"/>
    </xf>
    <xf numFmtId="165" fontId="25" fillId="0" borderId="0" xfId="0" applyNumberFormat="1" applyFont="1" applyAlignment="1">
      <alignment horizontal="center" vertical="center"/>
    </xf>
    <xf numFmtId="0" fontId="26" fillId="0" borderId="0" xfId="0" applyFont="1"/>
    <xf numFmtId="1" fontId="7" fillId="0" borderId="27" xfId="0" applyNumberFormat="1" applyFont="1" applyBorder="1" applyAlignment="1">
      <alignment horizontal="center" vertical="center"/>
    </xf>
    <xf numFmtId="0" fontId="7" fillId="0" borderId="121" xfId="0" applyFont="1" applyBorder="1" applyAlignment="1">
      <alignment horizontal="center" vertical="center"/>
    </xf>
    <xf numFmtId="1" fontId="7" fillId="0" borderId="17" xfId="0" applyNumberFormat="1" applyFont="1" applyBorder="1" applyAlignment="1">
      <alignment horizontal="center" vertical="center"/>
    </xf>
    <xf numFmtId="1" fontId="7" fillId="0" borderId="110" xfId="0" applyNumberFormat="1" applyFont="1" applyBorder="1" applyAlignment="1">
      <alignment horizontal="center" vertical="center"/>
    </xf>
    <xf numFmtId="0" fontId="7" fillId="0" borderId="122" xfId="0" applyFont="1" applyBorder="1" applyAlignment="1">
      <alignment horizontal="center" vertical="center"/>
    </xf>
    <xf numFmtId="1" fontId="7" fillId="0" borderId="123" xfId="0" applyNumberFormat="1" applyFont="1" applyBorder="1" applyAlignment="1">
      <alignment horizontal="center" vertical="center"/>
    </xf>
    <xf numFmtId="1" fontId="7" fillId="0" borderId="124" xfId="0" applyNumberFormat="1" applyFont="1" applyBorder="1" applyAlignment="1">
      <alignment horizontal="center" vertical="center"/>
    </xf>
    <xf numFmtId="0" fontId="7" fillId="0" borderId="125" xfId="0" applyFont="1" applyBorder="1" applyAlignment="1">
      <alignment horizontal="center" vertical="center"/>
    </xf>
    <xf numFmtId="1" fontId="7" fillId="0" borderId="126" xfId="0" applyNumberFormat="1" applyFont="1" applyBorder="1" applyAlignment="1">
      <alignment horizontal="center" vertical="center"/>
    </xf>
    <xf numFmtId="0" fontId="7" fillId="0" borderId="127" xfId="0" applyFont="1" applyBorder="1" applyAlignment="1">
      <alignment horizontal="center" vertical="center"/>
    </xf>
    <xf numFmtId="1" fontId="7" fillId="0" borderId="128" xfId="0" applyNumberFormat="1" applyFont="1" applyBorder="1" applyAlignment="1">
      <alignment horizontal="center" vertical="center"/>
    </xf>
    <xf numFmtId="1" fontId="7" fillId="0" borderId="129" xfId="0" applyNumberFormat="1" applyFont="1" applyBorder="1" applyAlignment="1">
      <alignment horizontal="center" vertical="center"/>
    </xf>
    <xf numFmtId="0" fontId="26" fillId="0" borderId="0" xfId="0" applyFont="1" applyAlignment="1">
      <alignment horizontal="center"/>
    </xf>
    <xf numFmtId="0" fontId="9" fillId="0" borderId="0" xfId="5" applyBorder="1" applyAlignment="1">
      <alignment horizontal="left"/>
    </xf>
    <xf numFmtId="0" fontId="7" fillId="0" borderId="0" xfId="0" applyFont="1" applyAlignment="1">
      <alignment horizontal="center" vertical="center" wrapText="1"/>
    </xf>
    <xf numFmtId="0" fontId="26" fillId="0" borderId="0" xfId="0" applyFont="1" applyAlignment="1">
      <alignment horizontal="left" vertical="center"/>
    </xf>
    <xf numFmtId="0" fontId="7" fillId="0" borderId="0" xfId="0" applyFont="1" applyAlignment="1">
      <alignment horizontal="center"/>
    </xf>
    <xf numFmtId="0" fontId="7" fillId="0" borderId="0" xfId="0" applyFont="1" applyAlignment="1">
      <alignment horizontal="left"/>
    </xf>
    <xf numFmtId="0" fontId="7" fillId="0" borderId="0" xfId="0" applyFont="1" applyAlignment="1">
      <alignment horizontal="left"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1" fillId="0" borderId="2" xfId="0" applyFont="1" applyBorder="1" applyAlignment="1">
      <alignment horizontal="center" vertical="center" wrapText="1"/>
    </xf>
    <xf numFmtId="0" fontId="26" fillId="0" borderId="0" xfId="0" applyFont="1" applyAlignment="1">
      <alignment horizontal="left"/>
    </xf>
    <xf numFmtId="0" fontId="8" fillId="8" borderId="2" xfId="0" applyFont="1" applyFill="1" applyBorder="1" applyAlignment="1">
      <alignment horizontal="center" vertical="center"/>
    </xf>
    <xf numFmtId="0" fontId="8" fillId="8" borderId="2" xfId="0" applyFont="1" applyFill="1" applyBorder="1" applyAlignment="1">
      <alignment horizontal="center" vertical="center" wrapText="1"/>
    </xf>
    <xf numFmtId="0" fontId="27" fillId="8" borderId="2" xfId="0" applyFont="1" applyFill="1" applyBorder="1" applyAlignment="1">
      <alignment horizontal="center" vertical="center" wrapText="1"/>
    </xf>
    <xf numFmtId="0" fontId="8" fillId="8" borderId="12" xfId="0" applyFont="1" applyFill="1" applyBorder="1" applyAlignment="1">
      <alignment horizontal="center" vertical="center"/>
    </xf>
    <xf numFmtId="0" fontId="7" fillId="0" borderId="1" xfId="0" applyFont="1" applyBorder="1" applyAlignment="1">
      <alignment horizontal="center" vertical="center"/>
    </xf>
    <xf numFmtId="0" fontId="7" fillId="0" borderId="36" xfId="0" applyFont="1" applyBorder="1" applyAlignment="1">
      <alignment horizontal="center" vertical="center"/>
    </xf>
    <xf numFmtId="0" fontId="21" fillId="8" borderId="2" xfId="0" applyFont="1" applyFill="1" applyBorder="1" applyAlignment="1">
      <alignment horizontal="center" vertical="center" wrapText="1"/>
    </xf>
    <xf numFmtId="9" fontId="7" fillId="0" borderId="25" xfId="2" applyFont="1" applyFill="1" applyBorder="1" applyAlignment="1">
      <alignment horizontal="center" vertical="center"/>
    </xf>
    <xf numFmtId="0" fontId="7" fillId="0" borderId="0" xfId="0" applyFont="1" applyAlignment="1">
      <alignment horizontal="center" vertical="center"/>
    </xf>
    <xf numFmtId="0" fontId="27" fillId="8" borderId="2" xfId="0" applyFont="1" applyFill="1" applyBorder="1" applyAlignment="1">
      <alignment horizontal="center" vertical="center"/>
    </xf>
    <xf numFmtId="0" fontId="21" fillId="47" borderId="2" xfId="0" applyFont="1" applyFill="1" applyBorder="1" applyAlignment="1">
      <alignment horizontal="center" vertical="center" wrapText="1"/>
    </xf>
    <xf numFmtId="0" fontId="21" fillId="11" borderId="2" xfId="0" applyFont="1" applyFill="1" applyBorder="1" applyAlignment="1">
      <alignment horizontal="center" vertical="center" wrapText="1"/>
    </xf>
    <xf numFmtId="165" fontId="26" fillId="0" borderId="2" xfId="0" applyNumberFormat="1" applyFont="1" applyBorder="1" applyAlignment="1">
      <alignment horizontal="center" vertical="center"/>
    </xf>
    <xf numFmtId="0" fontId="7" fillId="0" borderId="2" xfId="4" applyBorder="1" applyAlignment="1">
      <alignment horizontal="center" vertical="center"/>
    </xf>
    <xf numFmtId="171" fontId="7" fillId="0" borderId="2" xfId="6" applyNumberFormat="1" applyFont="1" applyBorder="1" applyAlignment="1">
      <alignment horizontal="center" vertical="center"/>
    </xf>
    <xf numFmtId="171" fontId="7" fillId="0" borderId="2" xfId="0" applyNumberFormat="1" applyFont="1" applyBorder="1"/>
    <xf numFmtId="171" fontId="26" fillId="0" borderId="2" xfId="0" applyNumberFormat="1" applyFont="1" applyBorder="1" applyAlignment="1">
      <alignment horizontal="center" vertical="center"/>
    </xf>
    <xf numFmtId="0" fontId="7" fillId="0" borderId="0" xfId="0" applyFont="1" applyAlignment="1">
      <alignment horizontal="left" vertical="center" wrapText="1"/>
    </xf>
    <xf numFmtId="0" fontId="15" fillId="10" borderId="0" xfId="0" applyFont="1" applyFill="1" applyAlignment="1">
      <alignment horizontal="center" vertical="center"/>
    </xf>
    <xf numFmtId="0" fontId="26" fillId="0" borderId="0" xfId="0" applyFont="1" applyAlignment="1">
      <alignment horizontal="center"/>
    </xf>
    <xf numFmtId="0" fontId="9" fillId="0" borderId="0" xfId="5" applyBorder="1" applyAlignment="1">
      <alignment horizontal="left"/>
    </xf>
    <xf numFmtId="0" fontId="7" fillId="0" borderId="0" xfId="0" applyFont="1" applyAlignment="1">
      <alignment horizontal="center" vertical="center" wrapText="1"/>
    </xf>
    <xf numFmtId="0" fontId="26" fillId="0" borderId="0" xfId="0" applyFont="1" applyAlignment="1">
      <alignment horizontal="left" vertical="center" wrapText="1"/>
    </xf>
    <xf numFmtId="0" fontId="26" fillId="0" borderId="0" xfId="0" applyFont="1" applyAlignment="1">
      <alignment horizontal="left" vertical="center"/>
    </xf>
    <xf numFmtId="0" fontId="7" fillId="0" borderId="0" xfId="0" applyFont="1" applyAlignment="1">
      <alignment horizontal="center"/>
    </xf>
    <xf numFmtId="0" fontId="9" fillId="0" borderId="0" xfId="5" applyAlignment="1">
      <alignment horizontal="center"/>
    </xf>
    <xf numFmtId="0" fontId="7" fillId="0" borderId="0" xfId="0" applyFont="1" applyAlignment="1">
      <alignment horizontal="left"/>
    </xf>
    <xf numFmtId="0" fontId="7" fillId="0" borderId="0" xfId="0" applyFont="1" applyAlignment="1">
      <alignment horizontal="left" vertical="center"/>
    </xf>
    <xf numFmtId="0" fontId="20" fillId="0" borderId="0" xfId="0" applyFont="1" applyAlignment="1">
      <alignment horizontal="left" vertical="center"/>
    </xf>
    <xf numFmtId="0" fontId="15" fillId="10" borderId="2" xfId="1" applyFont="1" applyFill="1" applyBorder="1" applyAlignment="1">
      <alignment horizontal="center" vertical="center" wrapText="1"/>
    </xf>
    <xf numFmtId="0" fontId="15" fillId="10" borderId="41" xfId="0" applyFont="1" applyFill="1" applyBorder="1" applyAlignment="1">
      <alignment horizontal="center" vertical="center"/>
    </xf>
    <xf numFmtId="0" fontId="15" fillId="10" borderId="42" xfId="0" applyFont="1" applyFill="1" applyBorder="1" applyAlignment="1">
      <alignment horizontal="center" vertical="center"/>
    </xf>
    <xf numFmtId="0" fontId="15" fillId="10" borderId="43" xfId="0" applyFont="1" applyFill="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22" xfId="0" applyFont="1" applyBorder="1" applyAlignment="1">
      <alignment horizontal="center" vertical="center"/>
    </xf>
    <xf numFmtId="0" fontId="8" fillId="0" borderId="0" xfId="0" applyFont="1" applyAlignment="1">
      <alignment horizontal="center" vertical="center"/>
    </xf>
    <xf numFmtId="0" fontId="8" fillId="0" borderId="21" xfId="0" applyFont="1" applyBorder="1" applyAlignment="1">
      <alignment horizontal="center" vertical="center"/>
    </xf>
    <xf numFmtId="0" fontId="8" fillId="0" borderId="44"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7" fillId="7" borderId="2" xfId="0" applyFont="1" applyFill="1" applyBorder="1" applyAlignment="1">
      <alignment horizontal="center" vertical="center" wrapText="1"/>
    </xf>
    <xf numFmtId="0" fontId="7" fillId="7" borderId="2" xfId="0" applyFont="1" applyFill="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1" fillId="0" borderId="2" xfId="0" applyFont="1" applyBorder="1" applyAlignment="1">
      <alignment horizontal="center" vertical="center" wrapText="1"/>
    </xf>
    <xf numFmtId="0" fontId="15" fillId="10" borderId="2" xfId="0" applyFont="1" applyFill="1" applyBorder="1" applyAlignment="1">
      <alignment horizontal="center" vertical="center" wrapText="1"/>
    </xf>
    <xf numFmtId="0" fontId="33" fillId="13" borderId="41" xfId="0" applyFont="1" applyFill="1" applyBorder="1" applyAlignment="1">
      <alignment horizontal="center" vertical="center"/>
    </xf>
    <xf numFmtId="0" fontId="33" fillId="13" borderId="42" xfId="0" applyFont="1" applyFill="1" applyBorder="1" applyAlignment="1">
      <alignment horizontal="center" vertical="center"/>
    </xf>
    <xf numFmtId="0" fontId="33" fillId="13" borderId="43" xfId="0" applyFont="1" applyFill="1" applyBorder="1" applyAlignment="1">
      <alignment horizontal="center" vertical="center"/>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1" xfId="0" applyFont="1" applyBorder="1" applyAlignment="1">
      <alignment horizontal="center" vertical="center" wrapText="1"/>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26" fillId="0" borderId="66" xfId="0" applyFont="1" applyBorder="1" applyAlignment="1">
      <alignment horizontal="center" vertical="center" wrapText="1"/>
    </xf>
    <xf numFmtId="0" fontId="15" fillId="10" borderId="41" xfId="0" applyFont="1" applyFill="1" applyBorder="1" applyAlignment="1">
      <alignment horizontal="center" vertical="center" wrapText="1"/>
    </xf>
    <xf numFmtId="0" fontId="15" fillId="10" borderId="42" xfId="0" applyFont="1" applyFill="1" applyBorder="1" applyAlignment="1">
      <alignment horizontal="center" vertical="center" wrapText="1"/>
    </xf>
    <xf numFmtId="0" fontId="15" fillId="10" borderId="43" xfId="0" applyFont="1" applyFill="1" applyBorder="1" applyAlignment="1">
      <alignment horizontal="center" vertical="center" wrapText="1"/>
    </xf>
    <xf numFmtId="0" fontId="15" fillId="10" borderId="22" xfId="0" applyFont="1" applyFill="1" applyBorder="1" applyAlignment="1">
      <alignment horizontal="center" vertical="center" wrapText="1"/>
    </xf>
    <xf numFmtId="0" fontId="15" fillId="10" borderId="0" xfId="0" applyFont="1" applyFill="1" applyAlignment="1">
      <alignment horizontal="center" vertical="center" wrapText="1"/>
    </xf>
    <xf numFmtId="0" fontId="7" fillId="0" borderId="26" xfId="0" applyFont="1" applyBorder="1" applyAlignment="1">
      <alignment horizontal="center" vertical="center" wrapText="1"/>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40" xfId="0" applyFont="1" applyBorder="1" applyAlignment="1">
      <alignment horizontal="center" vertical="center"/>
    </xf>
    <xf numFmtId="0" fontId="7" fillId="0" borderId="46" xfId="0" applyFont="1" applyBorder="1" applyAlignment="1">
      <alignment horizontal="center" vertical="center"/>
    </xf>
    <xf numFmtId="0" fontId="7" fillId="0" borderId="48" xfId="0" applyFont="1" applyBorder="1" applyAlignment="1">
      <alignment horizontal="center" vertical="center"/>
    </xf>
    <xf numFmtId="0" fontId="7" fillId="0" borderId="50" xfId="0" applyFont="1" applyBorder="1" applyAlignment="1">
      <alignment horizontal="center" vertical="center"/>
    </xf>
    <xf numFmtId="0" fontId="26" fillId="0" borderId="0" xfId="0" applyFont="1"/>
    <xf numFmtId="0" fontId="15" fillId="10" borderId="37" xfId="0" applyFont="1" applyFill="1" applyBorder="1" applyAlignment="1">
      <alignment horizontal="center" vertical="center" wrapText="1"/>
    </xf>
    <xf numFmtId="0" fontId="14" fillId="0" borderId="45"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54" xfId="0" applyFont="1" applyBorder="1" applyAlignment="1">
      <alignment horizontal="center" vertical="center" wrapText="1"/>
    </xf>
    <xf numFmtId="0" fontId="26" fillId="0" borderId="22" xfId="0" applyFont="1" applyBorder="1" applyAlignment="1">
      <alignment horizontal="left" vertical="top" wrapText="1"/>
    </xf>
    <xf numFmtId="0" fontId="26" fillId="0" borderId="0" xfId="0" applyFont="1" applyAlignment="1">
      <alignment horizontal="left" vertical="top" wrapText="1"/>
    </xf>
    <xf numFmtId="0" fontId="26" fillId="0" borderId="12"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15" fillId="10" borderId="18" xfId="0" applyFont="1" applyFill="1" applyBorder="1" applyAlignment="1">
      <alignment horizontal="center" vertical="center" wrapText="1"/>
    </xf>
    <xf numFmtId="0" fontId="15" fillId="10" borderId="19" xfId="0" applyFont="1" applyFill="1" applyBorder="1" applyAlignment="1">
      <alignment horizontal="center" vertical="center" wrapText="1"/>
    </xf>
    <xf numFmtId="0" fontId="33" fillId="13" borderId="2" xfId="0" applyFont="1" applyFill="1" applyBorder="1" applyAlignment="1">
      <alignment horizontal="center" vertical="center" wrapText="1"/>
    </xf>
    <xf numFmtId="0" fontId="26" fillId="0" borderId="0" xfId="0" applyFont="1" applyAlignment="1">
      <alignment horizontal="left"/>
    </xf>
    <xf numFmtId="0" fontId="8" fillId="8" borderId="2" xfId="0" applyFont="1" applyFill="1" applyBorder="1" applyAlignment="1">
      <alignment horizontal="center" vertical="center"/>
    </xf>
    <xf numFmtId="0" fontId="8" fillId="8" borderId="2" xfId="0" applyFont="1" applyFill="1" applyBorder="1" applyAlignment="1">
      <alignment horizontal="center" vertical="center" wrapText="1"/>
    </xf>
    <xf numFmtId="0" fontId="15" fillId="10" borderId="2" xfId="0" applyFont="1" applyFill="1" applyBorder="1" applyAlignment="1">
      <alignment horizontal="center" vertical="center"/>
    </xf>
    <xf numFmtId="0" fontId="27" fillId="8" borderId="2" xfId="0" applyFont="1" applyFill="1" applyBorder="1" applyAlignment="1">
      <alignment horizontal="center" vertical="center" wrapText="1"/>
    </xf>
    <xf numFmtId="0" fontId="11" fillId="10" borderId="0" xfId="0" applyFont="1" applyFill="1" applyAlignment="1">
      <alignment horizontal="center" vertical="center" wrapText="1"/>
    </xf>
    <xf numFmtId="0" fontId="15" fillId="10" borderId="13" xfId="0" applyFont="1" applyFill="1" applyBorder="1" applyAlignment="1">
      <alignment horizontal="center" vertical="center"/>
    </xf>
    <xf numFmtId="0" fontId="15" fillId="10" borderId="14" xfId="0" applyFont="1" applyFill="1" applyBorder="1" applyAlignment="1">
      <alignment horizontal="center" vertical="center"/>
    </xf>
    <xf numFmtId="0" fontId="15" fillId="10" borderId="15" xfId="0" applyFont="1" applyFill="1" applyBorder="1" applyAlignment="1">
      <alignment horizontal="center" vertical="center"/>
    </xf>
    <xf numFmtId="0" fontId="7" fillId="0" borderId="12"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1" fontId="7" fillId="0" borderId="12" xfId="0" applyNumberFormat="1" applyFont="1" applyBorder="1" applyAlignment="1">
      <alignment horizontal="center" vertical="center" wrapText="1"/>
    </xf>
    <xf numFmtId="1" fontId="7" fillId="0" borderId="17" xfId="0" applyNumberFormat="1" applyFont="1" applyBorder="1" applyAlignment="1">
      <alignment horizontal="center" vertical="center" wrapText="1"/>
    </xf>
    <xf numFmtId="0" fontId="8" fillId="8" borderId="12" xfId="0" applyFont="1" applyFill="1" applyBorder="1" applyAlignment="1">
      <alignment horizontal="center" vertical="center"/>
    </xf>
    <xf numFmtId="0" fontId="8" fillId="8" borderId="82"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77" xfId="0" applyFont="1" applyBorder="1" applyAlignment="1">
      <alignment horizontal="center" vertical="center" wrapText="1"/>
    </xf>
    <xf numFmtId="0" fontId="7" fillId="0" borderId="82" xfId="0" applyFont="1" applyBorder="1" applyAlignment="1">
      <alignment horizontal="center" vertical="center" wrapText="1"/>
    </xf>
    <xf numFmtId="0" fontId="7" fillId="0" borderId="77" xfId="0" applyFont="1" applyBorder="1" applyAlignment="1">
      <alignment horizontal="center" vertical="center"/>
    </xf>
    <xf numFmtId="0" fontId="7" fillId="0" borderId="16" xfId="0" applyFont="1" applyBorder="1" applyAlignment="1">
      <alignment horizontal="center" vertical="center"/>
    </xf>
    <xf numFmtId="0" fontId="7" fillId="0" borderId="82" xfId="0" applyFont="1" applyBorder="1" applyAlignment="1">
      <alignment horizontal="center" vertical="center"/>
    </xf>
    <xf numFmtId="0" fontId="7" fillId="0" borderId="8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88" xfId="0" applyFont="1" applyBorder="1" applyAlignment="1">
      <alignment horizontal="center" vertical="center" wrapText="1"/>
    </xf>
    <xf numFmtId="0" fontId="7" fillId="0" borderId="1" xfId="0" applyFont="1" applyBorder="1" applyAlignment="1">
      <alignment horizontal="center" vertical="center"/>
    </xf>
    <xf numFmtId="0" fontId="7" fillId="0" borderId="36" xfId="0" applyFont="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4" borderId="77"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4" borderId="82" xfId="0" applyFont="1" applyFill="1" applyBorder="1" applyAlignment="1">
      <alignment horizontal="center" vertical="center" wrapText="1"/>
    </xf>
    <xf numFmtId="0" fontId="25" fillId="0" borderId="77"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85" xfId="0" applyFont="1" applyBorder="1" applyAlignment="1">
      <alignment horizontal="center" vertical="center" wrapText="1"/>
    </xf>
    <xf numFmtId="0" fontId="26" fillId="0" borderId="77" xfId="0" applyFont="1" applyBorder="1" applyAlignment="1">
      <alignment horizontal="center" vertical="center" wrapText="1"/>
    </xf>
    <xf numFmtId="0" fontId="26" fillId="0" borderId="82" xfId="0" applyFont="1" applyBorder="1" applyAlignment="1">
      <alignment horizontal="center" vertical="center" wrapText="1"/>
    </xf>
    <xf numFmtId="0" fontId="26" fillId="0" borderId="75" xfId="0" applyFont="1" applyBorder="1" applyAlignment="1">
      <alignment horizontal="center" vertical="center"/>
    </xf>
    <xf numFmtId="0" fontId="26" fillId="0" borderId="76" xfId="0" applyFont="1" applyBorder="1" applyAlignment="1">
      <alignment horizontal="center" vertical="center"/>
    </xf>
    <xf numFmtId="0" fontId="26" fillId="0" borderId="83" xfId="0" applyFont="1" applyBorder="1" applyAlignment="1">
      <alignment horizontal="center" vertical="center"/>
    </xf>
    <xf numFmtId="0" fontId="21" fillId="8" borderId="86" xfId="0" applyFont="1" applyFill="1" applyBorder="1" applyAlignment="1">
      <alignment horizontal="center" vertical="center" wrapText="1"/>
    </xf>
    <xf numFmtId="0" fontId="21" fillId="8" borderId="117" xfId="0" applyFont="1" applyFill="1" applyBorder="1" applyAlignment="1">
      <alignment horizontal="center" vertical="center" wrapText="1"/>
    </xf>
    <xf numFmtId="0" fontId="25" fillId="0" borderId="94" xfId="0" applyFont="1" applyBorder="1" applyAlignment="1">
      <alignment horizontal="center" vertical="center" wrapText="1"/>
    </xf>
    <xf numFmtId="0" fontId="25" fillId="0" borderId="82" xfId="0" applyFont="1" applyBorder="1" applyAlignment="1">
      <alignment horizontal="center" vertical="center" wrapText="1"/>
    </xf>
    <xf numFmtId="0" fontId="41" fillId="0" borderId="94" xfId="0" applyFont="1" applyBorder="1" applyAlignment="1">
      <alignment horizontal="center" vertical="center" wrapText="1"/>
    </xf>
    <xf numFmtId="0" fontId="41" fillId="0" borderId="16" xfId="0" applyFont="1" applyBorder="1" applyAlignment="1">
      <alignment horizontal="center" vertical="center" wrapText="1"/>
    </xf>
    <xf numFmtId="0" fontId="41" fillId="0" borderId="82" xfId="0" applyFont="1" applyBorder="1" applyAlignment="1">
      <alignment horizontal="center" vertical="center" wrapText="1"/>
    </xf>
    <xf numFmtId="0" fontId="25" fillId="0" borderId="45" xfId="0" applyFont="1" applyBorder="1" applyAlignment="1">
      <alignment horizontal="center" vertical="center" wrapText="1"/>
    </xf>
    <xf numFmtId="0" fontId="25" fillId="0" borderId="53" xfId="0" applyFont="1" applyBorder="1" applyAlignment="1">
      <alignment horizontal="center" vertical="center" wrapText="1"/>
    </xf>
    <xf numFmtId="0" fontId="25"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3"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76" xfId="0" applyFont="1" applyBorder="1" applyAlignment="1">
      <alignment horizontal="center" vertical="center" wrapText="1"/>
    </xf>
    <xf numFmtId="0" fontId="7" fillId="0" borderId="83"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16" xfId="0" applyFont="1" applyBorder="1" applyAlignment="1">
      <alignment horizontal="center" vertical="center"/>
    </xf>
    <xf numFmtId="0" fontId="26" fillId="0" borderId="82" xfId="0" applyFont="1" applyBorder="1" applyAlignment="1">
      <alignment horizontal="center" vertical="center"/>
    </xf>
    <xf numFmtId="0" fontId="7" fillId="0" borderId="110" xfId="0" applyFont="1" applyBorder="1" applyAlignment="1">
      <alignment horizontal="center" vertical="center" wrapText="1"/>
    </xf>
    <xf numFmtId="0" fontId="25" fillId="0" borderId="103" xfId="0" applyFont="1" applyBorder="1" applyAlignment="1">
      <alignment horizontal="center" vertical="center" wrapText="1"/>
    </xf>
    <xf numFmtId="0" fontId="41" fillId="0" borderId="103" xfId="0" applyFont="1" applyBorder="1" applyAlignment="1">
      <alignment horizontal="center" vertical="center" wrapText="1"/>
    </xf>
    <xf numFmtId="0" fontId="15" fillId="10" borderId="20"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26" fillId="0" borderId="2" xfId="0" applyFont="1" applyBorder="1" applyAlignment="1">
      <alignment horizontal="center" vertical="center"/>
    </xf>
    <xf numFmtId="0" fontId="33" fillId="13" borderId="18" xfId="0" applyFont="1" applyFill="1" applyBorder="1" applyAlignment="1">
      <alignment horizontal="center" vertical="center"/>
    </xf>
    <xf numFmtId="0" fontId="33" fillId="13" borderId="19" xfId="0" applyFont="1" applyFill="1" applyBorder="1" applyAlignment="1">
      <alignment horizontal="center" vertical="center"/>
    </xf>
    <xf numFmtId="0" fontId="15" fillId="10" borderId="18" xfId="0" applyFont="1" applyFill="1" applyBorder="1" applyAlignment="1">
      <alignment horizontal="center" vertical="center"/>
    </xf>
    <xf numFmtId="0" fontId="15" fillId="10" borderId="19" xfId="0" applyFont="1" applyFill="1" applyBorder="1" applyAlignment="1">
      <alignment horizontal="center" vertical="center"/>
    </xf>
    <xf numFmtId="9" fontId="7" fillId="0" borderId="40" xfId="2" applyFont="1" applyFill="1" applyBorder="1" applyAlignment="1">
      <alignment horizontal="center" vertical="center"/>
    </xf>
    <xf numFmtId="9" fontId="7" fillId="0" borderId="24" xfId="2" applyFont="1" applyFill="1" applyBorder="1" applyAlignment="1">
      <alignment horizontal="center" vertical="center"/>
    </xf>
    <xf numFmtId="9" fontId="7" fillId="0" borderId="25" xfId="2" applyFont="1" applyFill="1" applyBorder="1" applyAlignment="1">
      <alignment horizontal="center" vertical="center"/>
    </xf>
    <xf numFmtId="0" fontId="7" fillId="0" borderId="14" xfId="0" applyFont="1" applyBorder="1" applyAlignment="1">
      <alignment horizontal="center" vertical="center"/>
    </xf>
    <xf numFmtId="0" fontId="7" fillId="0" borderId="0" xfId="0" applyFont="1" applyAlignment="1">
      <alignment horizontal="center" vertical="center"/>
    </xf>
    <xf numFmtId="0" fontId="27" fillId="8" borderId="3" xfId="0" applyFont="1" applyFill="1" applyBorder="1" applyAlignment="1">
      <alignment horizontal="center" vertical="center"/>
    </xf>
    <xf numFmtId="0" fontId="27" fillId="8" borderId="10" xfId="0" applyFont="1" applyFill="1" applyBorder="1" applyAlignment="1">
      <alignment horizontal="center" vertical="center"/>
    </xf>
    <xf numFmtId="0" fontId="27" fillId="8" borderId="11" xfId="0" applyFont="1" applyFill="1" applyBorder="1" applyAlignment="1">
      <alignment horizontal="center" vertical="center"/>
    </xf>
    <xf numFmtId="0" fontId="27" fillId="8" borderId="2"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7" xfId="0" applyFont="1" applyFill="1" applyBorder="1" applyAlignment="1">
      <alignment horizontal="center" vertical="center"/>
    </xf>
    <xf numFmtId="0" fontId="0" fillId="0" borderId="0" xfId="0" applyAlignment="1">
      <alignment horizontal="center"/>
    </xf>
  </cellXfs>
  <cellStyles count="427">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8984391F-B6B8-4C59-9007-AF347F2B1C21}"/>
    <cellStyle name="60% - Accent2" xfId="37" builtinId="36" customBuiltin="1"/>
    <cellStyle name="60% - Accent2 2" xfId="61" xr:uid="{4A98BB56-5B64-4C88-BD75-A3405CC6BDA7}"/>
    <cellStyle name="60% - Accent3" xfId="41" builtinId="40" customBuiltin="1"/>
    <cellStyle name="60% - Accent3 2" xfId="62" xr:uid="{9380A47D-B72E-457C-88A0-FFD3F32C844F}"/>
    <cellStyle name="60% - Accent4" xfId="45" builtinId="44" customBuiltin="1"/>
    <cellStyle name="60% - Accent4 2" xfId="63" xr:uid="{FC7DE9AB-12C8-4BC7-83CD-A651584A4CE3}"/>
    <cellStyle name="60% - Accent5" xfId="49" builtinId="48" customBuiltin="1"/>
    <cellStyle name="60% - Accent5 2" xfId="64" xr:uid="{FEDB70E4-DE66-442E-B292-55EF36975626}"/>
    <cellStyle name="60% - Accent6" xfId="53" builtinId="52" customBuiltin="1"/>
    <cellStyle name="60% - Accent6 2" xfId="65" xr:uid="{80545A43-C56C-46CD-A0F7-2C9FDF19286B}"/>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E09F7647-299B-47FC-9647-D27B7F5E1730}"/>
    <cellStyle name="Comma 2 10" xfId="425" xr:uid="{FE98172A-C23C-4796-A7B9-8BAFCB44E543}"/>
    <cellStyle name="Comma 2 2" xfId="68" xr:uid="{F2747021-1A12-4286-AD76-F2E2FB1725A8}"/>
    <cellStyle name="Comma 2 2 2" xfId="69" xr:uid="{992BCC51-9428-41E8-92B4-44B3A2A18100}"/>
    <cellStyle name="Comma 2 2 3" xfId="70" xr:uid="{77D5A549-142D-4F12-86EB-AE7499712297}"/>
    <cellStyle name="Comma 2 3" xfId="71" xr:uid="{A173CD28-0CBC-418E-A5F2-46A5473B3EAB}"/>
    <cellStyle name="Comma 2 4" xfId="72" xr:uid="{E8074F9C-A920-4E83-906C-B9ED650FA7C8}"/>
    <cellStyle name="Comma 2 5" xfId="73" xr:uid="{6006E92B-C14D-4F7A-A51D-498EF1D428A2}"/>
    <cellStyle name="Comma 2 6" xfId="74" xr:uid="{B4064CEA-3D6D-4FA6-A22C-2B9FF829F337}"/>
    <cellStyle name="Comma 2 7" xfId="75" xr:uid="{4B27CFF2-B6B9-4E08-B60B-45BAD7C74CDA}"/>
    <cellStyle name="Comma 2 8" xfId="76" xr:uid="{5E8F78D6-5E55-4D73-BD0D-19E2C4813C40}"/>
    <cellStyle name="Comma 2 9" xfId="77" xr:uid="{6B68D09D-CB46-485E-95A1-F2EAA0178954}"/>
    <cellStyle name="Comma 3" xfId="78" xr:uid="{EE4A6B82-8818-437B-B8E1-7BE2AB056EA8}"/>
    <cellStyle name="Comma 3 2" xfId="79" xr:uid="{399CE451-B4A2-4655-BED3-60E37B6DF5AE}"/>
    <cellStyle name="Comma 4" xfId="80" xr:uid="{6D4C0B4A-1A9D-4E86-A6B9-A7737CCC22FB}"/>
    <cellStyle name="Comma 4 2" xfId="81" xr:uid="{49ECB606-8FCD-421F-80CD-07CB93CF938A}"/>
    <cellStyle name="Comma 4 2 2" xfId="82" xr:uid="{91ECC57F-A0EF-4CFE-8CDF-CDA8C50EAAB6}"/>
    <cellStyle name="Comma 5" xfId="83" xr:uid="{4A7EF01D-BCE2-4973-A919-E79C43E967C8}"/>
    <cellStyle name="Comma 5 2" xfId="84" xr:uid="{E3D4A11B-6F45-44A6-A1B9-516F90EB5017}"/>
    <cellStyle name="Comma 5 3" xfId="85" xr:uid="{54DDA033-EF91-41CA-809E-D9F8CC43DE7C}"/>
    <cellStyle name="Comma 6" xfId="66" xr:uid="{D96A35B1-2FCC-44EA-B172-69795A96379D}"/>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C45E7A89-5304-4E89-B32E-B02DD3633871}"/>
    <cellStyle name="Input" xfId="21" builtinId="20" customBuiltin="1"/>
    <cellStyle name="Linked Cell" xfId="24" builtinId="24" customBuiltin="1"/>
    <cellStyle name="Neutral" xfId="20" builtinId="28" customBuiltin="1"/>
    <cellStyle name="Neutral 2" xfId="86" xr:uid="{C463764C-C1D7-4B5D-93DE-8326F8781F66}"/>
    <cellStyle name="Normal" xfId="0" builtinId="0" customBuiltin="1"/>
    <cellStyle name="Normal 10" xfId="87" xr:uid="{3857F24B-07B9-44C8-9540-59247D334037}"/>
    <cellStyle name="Normal 10 2" xfId="88" xr:uid="{931A0E66-31BC-45C3-86BE-CB4D634B8247}"/>
    <cellStyle name="Normal 100" xfId="89" xr:uid="{E7DFCE76-C8C7-4BF5-A66E-91C83DE2CE24}"/>
    <cellStyle name="Normal 101" xfId="90" xr:uid="{D63218C8-6D61-4C75-9911-EC25EA938850}"/>
    <cellStyle name="Normal 102" xfId="91" xr:uid="{219805EB-4C2E-4131-8AAC-419C308BC85C}"/>
    <cellStyle name="Normal 103" xfId="92" xr:uid="{54987C12-0B7B-4C54-9AD2-0296EEA19CA7}"/>
    <cellStyle name="Normal 104" xfId="93" xr:uid="{DB9674E3-82B3-42D2-A629-A1692104A6BD}"/>
    <cellStyle name="Normal 105" xfId="94" xr:uid="{AB87CAF0-6277-47DF-A3B8-CA27CCAC1E3F}"/>
    <cellStyle name="Normal 106" xfId="95" xr:uid="{518E68FA-6A85-4F11-A484-335B60D72DE7}"/>
    <cellStyle name="Normal 107" xfId="96" xr:uid="{FCDE3EF4-3F86-4E3D-ADB6-4FCF302C2D8A}"/>
    <cellStyle name="Normal 108" xfId="97" xr:uid="{1ED9ACAF-6F04-42DA-BD80-E9787FAB460D}"/>
    <cellStyle name="Normal 109" xfId="98" xr:uid="{5637C852-B697-4891-ADFB-52CA337C4ADF}"/>
    <cellStyle name="Normal 11" xfId="99" xr:uid="{40075857-9906-41FD-A150-D905027954A3}"/>
    <cellStyle name="Normal 11 2 2 2" xfId="55" xr:uid="{83839FB4-52C4-4E21-AC83-2F722A019855}"/>
    <cellStyle name="Normal 110" xfId="100" xr:uid="{1597BEDE-E5B7-4758-AED7-7A5064492E3D}"/>
    <cellStyle name="Normal 111" xfId="101" xr:uid="{06193787-8AEC-4482-AB0B-1196A849E6F1}"/>
    <cellStyle name="Normal 112" xfId="102" xr:uid="{0ED9EAE8-848B-4603-A0DB-BBA02C50FBCD}"/>
    <cellStyle name="Normal 113" xfId="103" xr:uid="{B79AED22-F9C6-47D7-91AC-AD59234CE367}"/>
    <cellStyle name="Normal 114" xfId="104" xr:uid="{66E2654B-AA17-4821-95A4-06CB0E9D4A57}"/>
    <cellStyle name="Normal 115" xfId="105" xr:uid="{3EB14108-B7E6-40E6-A17C-FCC1733F2C8F}"/>
    <cellStyle name="Normal 116" xfId="106" xr:uid="{FDC18CB9-8F45-40D8-AEB1-882FD470653B}"/>
    <cellStyle name="Normal 117" xfId="107" xr:uid="{8AF0473B-BF1E-4BE7-BFE4-F6B23E753A9D}"/>
    <cellStyle name="Normal 118" xfId="108" xr:uid="{03ADF3EF-3B5D-4C33-84DB-043E0D4B4FA5}"/>
    <cellStyle name="Normal 119" xfId="109" xr:uid="{8850F5BF-18E4-4B9F-B5BC-16C7B219DA8C}"/>
    <cellStyle name="Normal 12" xfId="110" xr:uid="{7A4CC8E0-2C60-4171-9B2F-925CBD0001BB}"/>
    <cellStyle name="Normal 120" xfId="111" xr:uid="{50915288-FAEE-402A-A6D7-2FEEA09A2852}"/>
    <cellStyle name="Normal 121" xfId="112" xr:uid="{92C6B064-3A73-4B46-A217-C6439EF747B3}"/>
    <cellStyle name="Normal 122" xfId="113" xr:uid="{DCCA8557-9660-4661-8C11-3C695CD314E4}"/>
    <cellStyle name="Normal 123" xfId="114" xr:uid="{8B1C00A1-FD10-483C-AC5A-72F83838F8F8}"/>
    <cellStyle name="Normal 124" xfId="115" xr:uid="{E9AC7695-9B37-4986-B67F-58B729447B35}"/>
    <cellStyle name="Normal 125" xfId="116" xr:uid="{671F21D3-0E20-4238-A2A4-C76025E735D9}"/>
    <cellStyle name="Normal 126" xfId="117" xr:uid="{059B3C5F-F3B2-48B4-988D-0129639D755D}"/>
    <cellStyle name="Normal 127" xfId="118" xr:uid="{5DD878EA-10E1-4557-88C4-B309B043D334}"/>
    <cellStyle name="Normal 128" xfId="119" xr:uid="{5257B63B-7402-4A98-BDC7-37A7592271A0}"/>
    <cellStyle name="Normal 129" xfId="120" xr:uid="{6BC9CA95-C229-444D-AD98-B3E1E1D3A404}"/>
    <cellStyle name="Normal 13" xfId="121" xr:uid="{0BFC6A7E-8146-4146-A5EB-D0968FC1BA40}"/>
    <cellStyle name="Normal 130" xfId="122" xr:uid="{2B805CB7-12FB-40FA-9F1E-D48C43287E04}"/>
    <cellStyle name="Normal 131" xfId="123" xr:uid="{DFDDFFDD-73D8-45B1-AB23-9E636E287EB5}"/>
    <cellStyle name="Normal 132" xfId="124" xr:uid="{937AC65D-AE6B-42E0-BA6C-BB4FA89B39A8}"/>
    <cellStyle name="Normal 133" xfId="125" xr:uid="{4A0F9318-6F1F-4776-98CB-A08A8833C3A3}"/>
    <cellStyle name="Normal 134" xfId="126" xr:uid="{32CF4B85-AC2B-46FB-83F7-02810E9D9BB5}"/>
    <cellStyle name="Normal 135" xfId="127" xr:uid="{6597C0FA-1DFB-4A0A-A2A0-C74ED7720C68}"/>
    <cellStyle name="Normal 136" xfId="128" xr:uid="{C821F10B-3CD7-40C2-8378-07ABEAA08127}"/>
    <cellStyle name="Normal 137" xfId="129" xr:uid="{1A584958-7E3E-4340-88A1-4B9001FD5B16}"/>
    <cellStyle name="Normal 138" xfId="130" xr:uid="{0E5A7B59-1D87-40A6-BDD5-5CD9C76B6D3B}"/>
    <cellStyle name="Normal 139" xfId="131" xr:uid="{8E876DF0-5DF5-48A2-9322-02AE65204E27}"/>
    <cellStyle name="Normal 14" xfId="56" xr:uid="{1F2DCA42-0DE7-470F-AA2C-44913F813CBB}"/>
    <cellStyle name="Normal 14 2" xfId="132" xr:uid="{9A447817-809A-4422-BE4C-B02E5EA3BAED}"/>
    <cellStyle name="Normal 140" xfId="133" xr:uid="{D3D61D8D-1603-4C1F-A334-14A9C3FCDE45}"/>
    <cellStyle name="Normal 141" xfId="134" xr:uid="{218AA0F9-2D55-4523-BA7A-283E22A04484}"/>
    <cellStyle name="Normal 142" xfId="135" xr:uid="{F186700D-07C1-40A5-AAD1-B24AC9777544}"/>
    <cellStyle name="Normal 143" xfId="136" xr:uid="{0B089FC2-7CF9-4DDD-9797-3826E8A64413}"/>
    <cellStyle name="Normal 144" xfId="137" xr:uid="{54792DDA-E8EF-47B0-B2A2-635888147A16}"/>
    <cellStyle name="Normal 145" xfId="138" xr:uid="{7ECD1600-B9C3-4763-B1FB-5A653FC3DF10}"/>
    <cellStyle name="Normal 146" xfId="139" xr:uid="{84667826-6891-4E26-9051-F7C09D26CA4A}"/>
    <cellStyle name="Normal 147" xfId="140" xr:uid="{FC9D116D-1961-4C05-A0C0-9F3C3D189557}"/>
    <cellStyle name="Normal 148" xfId="141" xr:uid="{507916A4-79CD-4116-9B11-983E8914B2C4}"/>
    <cellStyle name="Normal 149" xfId="142" xr:uid="{50D2CC50-A421-4BA3-8FEC-6CE908676528}"/>
    <cellStyle name="Normal 15" xfId="143" xr:uid="{E919009D-5E1C-4A4E-9DD5-9C7240F7163E}"/>
    <cellStyle name="Normal 150" xfId="144" xr:uid="{C1A8A3BC-03B6-4A6F-A9F8-945F9130B159}"/>
    <cellStyle name="Normal 151" xfId="145" xr:uid="{3A0D0F55-3C9A-4056-A6BE-A78FE2EB4FC9}"/>
    <cellStyle name="Normal 152" xfId="146" xr:uid="{23626E7C-0C6F-4DB4-B10C-9C9065F20615}"/>
    <cellStyle name="Normal 153" xfId="147" xr:uid="{1ACC846D-EB00-4E39-A912-276C5FD0A5E0}"/>
    <cellStyle name="Normal 154" xfId="148" xr:uid="{B59B91BD-DA13-4814-BC03-A41B7807508A}"/>
    <cellStyle name="Normal 155" xfId="149" xr:uid="{1B8B2BAF-684B-455D-8FBC-B513ED9DBA7C}"/>
    <cellStyle name="Normal 156" xfId="150" xr:uid="{58988F4B-B58D-4E15-B22C-4C8E3200C41A}"/>
    <cellStyle name="Normal 157" xfId="151" xr:uid="{EC42FC2F-4E09-4489-940A-BC5BA8145259}"/>
    <cellStyle name="Normal 158" xfId="152" xr:uid="{A605DB00-1F8C-4758-A284-9AC2502681E2}"/>
    <cellStyle name="Normal 159" xfId="153" xr:uid="{AEECFE4B-94E1-40DA-8749-7D73C8548FB2}"/>
    <cellStyle name="Normal 16" xfId="154" xr:uid="{AE45C0F8-3C0F-4A28-B95E-E87F2D69D9D6}"/>
    <cellStyle name="Normal 160" xfId="155" xr:uid="{F8EBDDEF-5110-4571-9873-2F666A9AE7CF}"/>
    <cellStyle name="Normal 161" xfId="156" xr:uid="{7E65267D-0A53-4F1F-804C-AAFAB6FE58B9}"/>
    <cellStyle name="Normal 162" xfId="157" xr:uid="{70679581-2AEF-4270-B513-9C3B06574835}"/>
    <cellStyle name="Normal 163" xfId="158" xr:uid="{88D33506-2B0A-4856-A0DB-693213A59A19}"/>
    <cellStyle name="Normal 164" xfId="159" xr:uid="{87A6399A-033B-4D17-972E-F64E3858745E}"/>
    <cellStyle name="Normal 165" xfId="160" xr:uid="{8F4DF223-9B8C-41A5-AC92-490F12AD18F5}"/>
    <cellStyle name="Normal 166" xfId="161" xr:uid="{8E63BA12-E141-4EAB-ADE7-DBE39A0AD2C2}"/>
    <cellStyle name="Normal 167" xfId="162" xr:uid="{EDB79BD5-021F-499B-A130-032AB0F87EC0}"/>
    <cellStyle name="Normal 168" xfId="163" xr:uid="{805290CD-9AF1-4E02-9F02-E2F09A0A71C5}"/>
    <cellStyle name="Normal 169" xfId="164" xr:uid="{95E16A12-2A96-453C-8382-B10E0D26CC8E}"/>
    <cellStyle name="Normal 17" xfId="165" xr:uid="{C36CB297-452C-47AC-B8CF-AFF48F40E0EE}"/>
    <cellStyle name="Normal 170" xfId="166" xr:uid="{B733C848-DD1B-42F9-B2BD-7CA1930081E7}"/>
    <cellStyle name="Normal 171" xfId="167" xr:uid="{803D4EE8-267A-42CC-81D3-DFBB8D7E840C}"/>
    <cellStyle name="Normal 172" xfId="168" xr:uid="{11CBFB82-D18F-4813-B2A4-B6D5865D1E02}"/>
    <cellStyle name="Normal 173" xfId="169" xr:uid="{0EE5B6AB-532B-4622-BE3E-AE0958D17C46}"/>
    <cellStyle name="Normal 174" xfId="170" xr:uid="{A4C38043-13D8-4360-B01E-F109F3AF889E}"/>
    <cellStyle name="Normal 175" xfId="171" xr:uid="{CA7E66E0-1DC1-41D7-8ECF-79D746ED77D3}"/>
    <cellStyle name="Normal 176" xfId="172" xr:uid="{8CF3814D-7E00-48C0-9C11-28C3F57ACE02}"/>
    <cellStyle name="Normal 177" xfId="173" xr:uid="{66C61B63-EACC-4CC8-86BB-5D5DBC96214A}"/>
    <cellStyle name="Normal 178" xfId="174" xr:uid="{7D96E516-23BA-40C0-A81F-4712396AD07F}"/>
    <cellStyle name="Normal 179" xfId="175" xr:uid="{B01B0E5D-EF85-4AFD-B505-502D802CA55F}"/>
    <cellStyle name="Normal 18" xfId="176" xr:uid="{EB52EAA1-01E6-4D83-8629-867FC6209803}"/>
    <cellStyle name="Normal 180" xfId="177" xr:uid="{3B44BCF9-21E4-4861-9C4F-7B0B81835F24}"/>
    <cellStyle name="Normal 181" xfId="178" xr:uid="{1F53AE8D-7CED-4D35-A0F8-0064E292DFA7}"/>
    <cellStyle name="Normal 182" xfId="179" xr:uid="{28925B18-EAE5-4AEE-A20D-B270646448EE}"/>
    <cellStyle name="Normal 183" xfId="180" xr:uid="{DE990C0D-5468-4F51-A355-AE38AFF8B3C2}"/>
    <cellStyle name="Normal 184" xfId="181" xr:uid="{4BF970CD-101D-4DDB-A607-7BA1D269B333}"/>
    <cellStyle name="Normal 185" xfId="182" xr:uid="{73786FE2-8028-473C-BB1E-32FB60F7E9E5}"/>
    <cellStyle name="Normal 186" xfId="183" xr:uid="{9D356CDA-5D51-44D2-B051-624F50D1E4B0}"/>
    <cellStyle name="Normal 187" xfId="184" xr:uid="{1ACD0E50-6163-474E-AA84-1D0844FCF842}"/>
    <cellStyle name="Normal 188" xfId="185" xr:uid="{269AC1B6-DBB1-4D06-8116-AFA503953081}"/>
    <cellStyle name="Normal 189" xfId="186" xr:uid="{37FBC59C-A856-4577-AB7B-A619EECFD129}"/>
    <cellStyle name="Normal 19" xfId="187" xr:uid="{D760C345-5FD3-48BD-8028-C53E83913FB3}"/>
    <cellStyle name="Normal 190" xfId="188" xr:uid="{9CF0D338-DB09-411A-B66D-CBFF9569F99B}"/>
    <cellStyle name="Normal 191" xfId="189" xr:uid="{50D7B718-1508-4D8C-A0CA-59E15B633407}"/>
    <cellStyle name="Normal 192" xfId="190" xr:uid="{C413C59B-A5BB-4AFD-AEB3-6BBD04D02481}"/>
    <cellStyle name="Normal 193" xfId="191" xr:uid="{1CA4F233-3146-42B2-B7C9-A95C40904CE3}"/>
    <cellStyle name="Normal 194" xfId="192" xr:uid="{895FD4AB-97DF-4574-AE0A-6DE3DA21C987}"/>
    <cellStyle name="Normal 195" xfId="193" xr:uid="{58B405FB-B510-403F-9070-D028C13FD7B4}"/>
    <cellStyle name="Normal 196" xfId="194" xr:uid="{A6DA3E5F-AC21-44F2-A000-AECF3095D425}"/>
    <cellStyle name="Normal 197" xfId="195" xr:uid="{C46FB97D-339D-4C76-804F-9A3E0C1FA889}"/>
    <cellStyle name="Normal 198" xfId="196" xr:uid="{9A5D4BB1-322D-4159-9243-DBDC6B1D8A4D}"/>
    <cellStyle name="Normal 199" xfId="197" xr:uid="{E17C104B-3686-47BF-8DF0-9F8F36523D42}"/>
    <cellStyle name="Normal 2" xfId="3" xr:uid="{E38C2638-0821-4BB2-9C33-A89D3950ADA6}"/>
    <cellStyle name="Normal 2 2" xfId="4" xr:uid="{7604919E-E68F-4366-A693-6A7B8B8DA661}"/>
    <cellStyle name="Normal 2 2 2" xfId="200" xr:uid="{50FD7615-CAEF-4FBA-AA37-E49061F608DA}"/>
    <cellStyle name="Normal 2 2 3" xfId="201" xr:uid="{A927D640-074C-4F6B-AB00-5575DB560092}"/>
    <cellStyle name="Normal 2 2 4" xfId="202" xr:uid="{1214F34F-06B3-47FA-B11E-8F0032C14E19}"/>
    <cellStyle name="Normal 2 2 5" xfId="199" xr:uid="{B1C1EE68-8286-4D22-96FF-758ECF492EDE}"/>
    <cellStyle name="Normal 2 2 6" xfId="54" xr:uid="{205AEB74-F9C4-414D-9A1B-78996B72E141}"/>
    <cellStyle name="Normal 2 3" xfId="9" xr:uid="{8A1E39CD-7ABA-4D79-A464-67010D1209C1}"/>
    <cellStyle name="Normal 2 3 2" xfId="204" xr:uid="{40E62CAC-B683-42A7-BCE7-8391E1ABE974}"/>
    <cellStyle name="Normal 2 3 3" xfId="205" xr:uid="{ECB42858-2E7C-4CD0-9634-7EFD2769CE4F}"/>
    <cellStyle name="Normal 2 3 4" xfId="203" xr:uid="{474AC8CD-EE24-40CC-8D51-B53BCF84A287}"/>
    <cellStyle name="Normal 2 4" xfId="206" xr:uid="{5608F821-DE77-4525-9BB4-F48DD5D81E11}"/>
    <cellStyle name="Normal 2 4 2" xfId="207" xr:uid="{00C2177B-3B11-4752-8431-FC51801094C5}"/>
    <cellStyle name="Normal 2 4 3" xfId="208" xr:uid="{D9DB9083-A32B-4F4D-B66F-AEC012E224B8}"/>
    <cellStyle name="Normal 2 5" xfId="209" xr:uid="{8852F338-C9CE-49BD-8BA0-C13036BD073E}"/>
    <cellStyle name="Normal 2 6" xfId="421" xr:uid="{B0F6D359-6BE0-4F19-BBFC-EE8072F2C1E5}"/>
    <cellStyle name="Normal 2 7" xfId="198" xr:uid="{8F754D9A-9329-43DB-A1E0-79BDE4369C32}"/>
    <cellStyle name="Normal 2_AEDG50_HotelSmall_Inputs" xfId="210" xr:uid="{7FBBBE15-B17E-477C-99A1-67AE0C77622B}"/>
    <cellStyle name="Normal 20" xfId="211" xr:uid="{963D63CB-89F5-4159-B110-846E7977FC2E}"/>
    <cellStyle name="Normal 200" xfId="212" xr:uid="{7CD713F0-5DFF-4844-8E7C-C84BE4207266}"/>
    <cellStyle name="Normal 201" xfId="213" xr:uid="{D2F7ABCA-50CA-48EB-8B11-617F81F3233C}"/>
    <cellStyle name="Normal 202" xfId="214" xr:uid="{79F901CB-BF02-43FB-A7DC-9BC5411B1F7F}"/>
    <cellStyle name="Normal 203" xfId="215" xr:uid="{8FD523D5-D905-4690-BA56-8B826038800A}"/>
    <cellStyle name="Normal 204" xfId="216" xr:uid="{98D3F17E-6666-448F-AE5B-A82DD3B22E88}"/>
    <cellStyle name="Normal 205" xfId="217" xr:uid="{FEEA43B7-8335-4C59-A2BA-64421986D080}"/>
    <cellStyle name="Normal 206" xfId="218" xr:uid="{8BB3F938-C255-4C93-9599-A78AF4D9246F}"/>
    <cellStyle name="Normal 207" xfId="219" xr:uid="{73F05702-3EF3-45C4-AA67-B65AA194A7CA}"/>
    <cellStyle name="Normal 208" xfId="220" xr:uid="{ED44DC05-08D0-4B69-B42F-A123205A9086}"/>
    <cellStyle name="Normal 209" xfId="221" xr:uid="{44F24D8F-E3A1-4B60-B41E-0EC3DCE69FC1}"/>
    <cellStyle name="Normal 21" xfId="222" xr:uid="{5E0AF08D-E06A-4AD7-83F1-5C26ADB3DA82}"/>
    <cellStyle name="Normal 210" xfId="223" xr:uid="{127827BF-5D2B-4B9A-971D-9143FB9DA91F}"/>
    <cellStyle name="Normal 211" xfId="224" xr:uid="{9A6A7BA7-4E74-4313-8F68-3F24C2970138}"/>
    <cellStyle name="Normal 212" xfId="225" xr:uid="{668FCDE7-0ABD-4CAB-87AB-22A79D1CFE47}"/>
    <cellStyle name="Normal 213" xfId="226" xr:uid="{700EB3B7-4344-4E3A-9A4F-AC5AB8C9B24D}"/>
    <cellStyle name="Normal 214" xfId="227" xr:uid="{33FB97B9-87AD-452D-A33E-BBDE8060F930}"/>
    <cellStyle name="Normal 215" xfId="228" xr:uid="{DFA6142E-5916-46D7-99A1-A9BB3E2B381F}"/>
    <cellStyle name="Normal 216" xfId="229" xr:uid="{10B8C402-4156-42CF-A59E-14F9628FCB16}"/>
    <cellStyle name="Normal 217" xfId="230" xr:uid="{9FDBE4B6-30C3-49FF-967E-26604842B0D5}"/>
    <cellStyle name="Normal 218" xfId="231" xr:uid="{0A500424-F199-45C9-BBF2-1F7549AA2608}"/>
    <cellStyle name="Normal 219" xfId="232" xr:uid="{20088062-60FF-45B4-96EB-C6F719F98557}"/>
    <cellStyle name="Normal 22" xfId="233" xr:uid="{28686999-F013-4A1D-92A8-C414CD53D17B}"/>
    <cellStyle name="Normal 220" xfId="234" xr:uid="{B9352C15-4267-4163-8FE5-3FBFC13B3380}"/>
    <cellStyle name="Normal 221" xfId="235" xr:uid="{D708375F-7AFE-428A-A86B-BAC7C0420B75}"/>
    <cellStyle name="Normal 222" xfId="236" xr:uid="{CE62AA4F-C4A9-466F-8898-F8DC88E7C542}"/>
    <cellStyle name="Normal 223" xfId="237" xr:uid="{E664B74F-5847-4C0F-9D76-B23CED646201}"/>
    <cellStyle name="Normal 224" xfId="238" xr:uid="{5F72E405-DF42-474D-BA2A-85304F0025D8}"/>
    <cellStyle name="Normal 225" xfId="239" xr:uid="{2997722B-1540-4594-87A2-39A303999840}"/>
    <cellStyle name="Normal 226" xfId="240" xr:uid="{1B125CAF-47C2-4535-9F20-5C56B8F54492}"/>
    <cellStyle name="Normal 227" xfId="241" xr:uid="{89555286-2566-4B4E-BFCC-A728A8832726}"/>
    <cellStyle name="Normal 228" xfId="242" xr:uid="{21165F37-21BF-4719-AC28-3A3AF776DBFE}"/>
    <cellStyle name="Normal 229" xfId="243" xr:uid="{87A0C6A6-B7E3-4F4C-BADC-8B8D8EE7DB84}"/>
    <cellStyle name="Normal 23" xfId="244" xr:uid="{C62478E6-767D-4B4B-875C-39AADDFC8F1F}"/>
    <cellStyle name="Normal 230" xfId="245" xr:uid="{B0C76B09-13D4-4234-B455-19DCECE68CD7}"/>
    <cellStyle name="Normal 231" xfId="246" xr:uid="{400F5082-A628-43C5-80B7-77710A3E9497}"/>
    <cellStyle name="Normal 232" xfId="247" xr:uid="{FEE193DD-D45F-4360-A5F3-8625C839BF73}"/>
    <cellStyle name="Normal 233" xfId="248" xr:uid="{B681E8F1-D102-44E6-AEFC-C404361957CC}"/>
    <cellStyle name="Normal 234" xfId="249" xr:uid="{D730655A-8C35-4918-BFC8-DB5AB4AC87E2}"/>
    <cellStyle name="Normal 235" xfId="250" xr:uid="{7744E6E1-AA7F-4151-8D09-3C6669C425B3}"/>
    <cellStyle name="Normal 236" xfId="251" xr:uid="{22698762-FB26-4711-ABBE-DCD9F7104692}"/>
    <cellStyle name="Normal 237" xfId="252" xr:uid="{715A6F3B-AAF7-4F30-947D-2A127B9C41ED}"/>
    <cellStyle name="Normal 238" xfId="253" xr:uid="{A0ABF33C-BD02-4137-9985-403256E8FB84}"/>
    <cellStyle name="Normal 239" xfId="254" xr:uid="{52E2DA4E-5C53-4401-882A-EBC049298F03}"/>
    <cellStyle name="Normal 24" xfId="255" xr:uid="{EFA02CE8-B91C-4E7A-A06B-E480128B9487}"/>
    <cellStyle name="Normal 240" xfId="256" xr:uid="{9B50BFE3-3A81-44F7-8EB9-D364A106C099}"/>
    <cellStyle name="Normal 241" xfId="257" xr:uid="{F782B826-C441-48C3-9D5C-58770592D00B}"/>
    <cellStyle name="Normal 242" xfId="258" xr:uid="{352EB5D8-0468-4BE7-820E-0ECC202F8722}"/>
    <cellStyle name="Normal 243" xfId="259" xr:uid="{39EA8AEB-616A-438B-92A7-53219EB62793}"/>
    <cellStyle name="Normal 244" xfId="260" xr:uid="{221051B7-6D2A-4806-8B74-CD26F7D73AA7}"/>
    <cellStyle name="Normal 245" xfId="261" xr:uid="{F2EE6044-70F0-4F1F-BB8E-CD8E1EE16C81}"/>
    <cellStyle name="Normal 246" xfId="262" xr:uid="{20563A6B-41BB-4C13-9827-F437F6B0372D}"/>
    <cellStyle name="Normal 247" xfId="263" xr:uid="{B03CE7D6-9103-4D0F-86EF-6FEB2911BA34}"/>
    <cellStyle name="Normal 248" xfId="264" xr:uid="{860721F8-0DA2-4607-AAE5-AA9092982102}"/>
    <cellStyle name="Normal 249" xfId="265" xr:uid="{F6AD439A-6D8D-4C35-BD2D-EB1F7DC12978}"/>
    <cellStyle name="Normal 25" xfId="266" xr:uid="{C8EDE420-DE95-4EB7-A6E2-F8C29248D1AE}"/>
    <cellStyle name="Normal 250" xfId="267" xr:uid="{CCEDD94F-A79D-4E91-A02E-AC4F063E487E}"/>
    <cellStyle name="Normal 251" xfId="268" xr:uid="{3CE01977-F150-4BD0-8FEC-8D6D4063FD2F}"/>
    <cellStyle name="Normal 252" xfId="269" xr:uid="{414D4EA9-D5BE-4A3B-883C-F322BF2C4420}"/>
    <cellStyle name="Normal 253" xfId="270" xr:uid="{A0BAA560-87B9-4AC8-BDAB-D9245DAF3AA5}"/>
    <cellStyle name="Normal 254" xfId="271" xr:uid="{E202409C-11BA-462E-BBC4-E36A331E4D62}"/>
    <cellStyle name="Normal 255" xfId="272" xr:uid="{A464B725-ADC5-4FCD-8F79-3174F3A74DD7}"/>
    <cellStyle name="Normal 256" xfId="273" xr:uid="{A6712F44-EA8E-4623-AA92-601C71329C18}"/>
    <cellStyle name="Normal 256 2" xfId="274" xr:uid="{9F6061B5-6CAB-4E16-A711-370043E59066}"/>
    <cellStyle name="Normal 257" xfId="275" xr:uid="{3624D6F1-7B59-4038-9E56-459FE4D0624B}"/>
    <cellStyle name="Normal 257 2" xfId="276" xr:uid="{099EF3CE-07F3-42B5-A69A-9A007678AAB7}"/>
    <cellStyle name="Normal 258" xfId="277" xr:uid="{86503478-4749-41C5-9799-44C63FA45200}"/>
    <cellStyle name="Normal 258 2" xfId="278" xr:uid="{8EB992D7-4667-4990-B2DC-8C5BC08E73C0}"/>
    <cellStyle name="Normal 259" xfId="279" xr:uid="{7B198B5A-DFB4-4BBE-94ED-339688DF8F04}"/>
    <cellStyle name="Normal 259 2" xfId="280" xr:uid="{0579C7D3-FA9F-49A3-9CBC-3EAA3E179BC1}"/>
    <cellStyle name="Normal 26" xfId="281" xr:uid="{9412515A-F7DD-4898-82E4-60525C603148}"/>
    <cellStyle name="Normal 260" xfId="282" xr:uid="{A31773C7-97D7-4AA5-9BB4-975AA3C26716}"/>
    <cellStyle name="Normal 260 2" xfId="283" xr:uid="{5E36F98A-6804-441D-9355-8F371C409306}"/>
    <cellStyle name="Normal 261" xfId="284" xr:uid="{6B2A02DA-1E9C-4433-A345-FB90C5EC40D3}"/>
    <cellStyle name="Normal 262" xfId="285" xr:uid="{AD24E542-2CCE-4A05-A255-462051D3B058}"/>
    <cellStyle name="Normal 263" xfId="286" xr:uid="{C64A8807-285E-4522-AEDE-658A20BDA959}"/>
    <cellStyle name="Normal 264" xfId="287" xr:uid="{48C0964F-971D-4FE6-AEB5-024131CB1D46}"/>
    <cellStyle name="Normal 265" xfId="288" xr:uid="{6766428F-2B19-4113-AA27-9157B3C0DCC3}"/>
    <cellStyle name="Normal 265 2" xfId="289" xr:uid="{A7F3466D-938D-4D15-95A3-8C011FBE1B4A}"/>
    <cellStyle name="Normal 265 3" xfId="290" xr:uid="{E8EEBC8D-2D4F-49F5-80B1-E546C7D8D2D2}"/>
    <cellStyle name="Normal 266" xfId="291" xr:uid="{F781EA0E-FE59-4574-8CA3-97194F295D16}"/>
    <cellStyle name="Normal 266 2" xfId="292" xr:uid="{A172C240-3CDC-4446-A6F3-062790AF049E}"/>
    <cellStyle name="Normal 266 3" xfId="293" xr:uid="{378D6FDB-F7D7-4B80-AF79-B98800B70B1D}"/>
    <cellStyle name="Normal 267" xfId="294" xr:uid="{F12EAADD-60D3-4B67-B766-0619B14F0196}"/>
    <cellStyle name="Normal 267 2" xfId="295" xr:uid="{86CAA1C9-222D-428E-8847-BDD3C4B30D9C}"/>
    <cellStyle name="Normal 268" xfId="296" xr:uid="{67C1E5C9-FB69-4A2F-9B9B-67545325BC06}"/>
    <cellStyle name="Normal 268 2" xfId="297" xr:uid="{053F3C6E-CAB7-429B-9899-F3B8DDB1A439}"/>
    <cellStyle name="Normal 269" xfId="298" xr:uid="{4E04A64E-BCFF-4A61-AFB5-CC4BD981166F}"/>
    <cellStyle name="Normal 269 2" xfId="299" xr:uid="{AAA60268-5606-4DDD-97F1-C8D6F98EE1A2}"/>
    <cellStyle name="Normal 27" xfId="300" xr:uid="{E5DE821E-B7D1-4DA9-B6A6-52D08ADD0657}"/>
    <cellStyle name="Normal 270" xfId="301" xr:uid="{815B5703-219B-418A-8945-480A3073FC8E}"/>
    <cellStyle name="Normal 270 2" xfId="302" xr:uid="{1D3A82C7-5667-49AB-ADD1-8E6A34124E84}"/>
    <cellStyle name="Normal 271" xfId="303" xr:uid="{F0FBC990-E714-4D90-B834-2C86DC64EF10}"/>
    <cellStyle name="Normal 272" xfId="304" xr:uid="{121174B3-257D-4775-88B7-C4CA630A5FB8}"/>
    <cellStyle name="Normal 273" xfId="305" xr:uid="{A9F3BE6A-D0E6-4AB0-914D-C122024E558B}"/>
    <cellStyle name="Normal 274" xfId="306" xr:uid="{53FABFA0-66A5-4278-8C98-44B3D1B0179C}"/>
    <cellStyle name="Normal 275" xfId="307" xr:uid="{2703B4A4-C99C-49B4-A0E1-3CBA347B4C9F}"/>
    <cellStyle name="Normal 276" xfId="308" xr:uid="{463816FC-980D-462B-8E0A-5D89E2BB26CB}"/>
    <cellStyle name="Normal 277" xfId="309" xr:uid="{158726FA-74F9-4571-90E5-2438551D6631}"/>
    <cellStyle name="Normal 278" xfId="310" xr:uid="{D4F3B6CF-7E9A-4FD0-91C1-00DA707FE58D}"/>
    <cellStyle name="Normal 279" xfId="311" xr:uid="{27A11727-30CA-4BA6-B837-23E76AE25810}"/>
    <cellStyle name="Normal 28" xfId="312" xr:uid="{298D6331-C149-4ABF-9F27-9E050F818183}"/>
    <cellStyle name="Normal 280" xfId="313" xr:uid="{06759576-7694-4912-B286-4A0343FC49B2}"/>
    <cellStyle name="Normal 281" xfId="314" xr:uid="{5A24E742-7A47-4425-B20F-74E7A4FE492E}"/>
    <cellStyle name="Normal 282" xfId="59" xr:uid="{AF88647C-839A-443D-B397-45D57499D72E}"/>
    <cellStyle name="Normal 29" xfId="315" xr:uid="{9B5E0296-2D31-4EC3-A741-F5B10644C1B2}"/>
    <cellStyle name="Normal 3" xfId="7" xr:uid="{1C10DAE4-4F9C-4E19-81E4-5574511A6741}"/>
    <cellStyle name="Normal 3 2" xfId="317" xr:uid="{CAF6C609-1698-4B01-B1A0-4C182BE4AF8A}"/>
    <cellStyle name="Normal 3 2 2" xfId="318" xr:uid="{CA867420-5676-4AA0-B25A-E111F4CD2AD7}"/>
    <cellStyle name="Normal 3 2 2 2" xfId="319" xr:uid="{AC4886CE-6CE5-4918-8DB0-2062906DBD01}"/>
    <cellStyle name="Normal 3 2 3" xfId="320" xr:uid="{3A33F913-A171-4BF0-B4AA-DEA722881EE8}"/>
    <cellStyle name="Normal 3 2 4" xfId="424" xr:uid="{D1128F2A-7A89-4F32-A911-86F3E79B3479}"/>
    <cellStyle name="Normal 3 3" xfId="321" xr:uid="{450E0E6F-4169-4344-992F-440B127E4841}"/>
    <cellStyle name="Normal 3 3 2" xfId="322" xr:uid="{98F99273-EDBC-404B-8C74-2E89643EFBE3}"/>
    <cellStyle name="Normal 3 3 3" xfId="323" xr:uid="{35E44B50-BD21-4F18-9FB6-B4622C13471E}"/>
    <cellStyle name="Normal 3 4" xfId="324" xr:uid="{F447DFD9-C137-4E58-B9FD-0CD85ED2814C}"/>
    <cellStyle name="Normal 3 5" xfId="423" xr:uid="{FC6CCAD5-3255-44AC-9998-9D34B5F6F373}"/>
    <cellStyle name="Normal 3 6" xfId="316" xr:uid="{4AADDB8F-A297-47AE-9842-5CE5602950E6}"/>
    <cellStyle name="Normal 30" xfId="325" xr:uid="{4E103556-3107-4B00-87BA-FD1E0CB16186}"/>
    <cellStyle name="Normal 31" xfId="326" xr:uid="{BEAC29C3-01C0-4237-AFBF-2D2DD8B38EFB}"/>
    <cellStyle name="Normal 32" xfId="327" xr:uid="{51B50FFB-5D95-4BF4-80B2-9A85806393E6}"/>
    <cellStyle name="Normal 33" xfId="328" xr:uid="{B5C632F1-8253-4489-9F23-E1FE1DDDCEDF}"/>
    <cellStyle name="Normal 34" xfId="329" xr:uid="{04351600-AF6C-443F-BF1A-1DD7BD7900C9}"/>
    <cellStyle name="Normal 35" xfId="330" xr:uid="{44141BCF-C906-447D-B9FA-3784FB7380C8}"/>
    <cellStyle name="Normal 36" xfId="331" xr:uid="{E6941FCF-C045-4641-AFC1-D2781BC3B065}"/>
    <cellStyle name="Normal 37" xfId="332" xr:uid="{A627E34C-4D75-4044-94D7-A861AC513B7F}"/>
    <cellStyle name="Normal 38" xfId="333" xr:uid="{9F865A11-CA22-4B4A-A940-1CBB79DF2AE4}"/>
    <cellStyle name="Normal 39" xfId="334" xr:uid="{DFD7F168-4364-4413-8881-9820EF298460}"/>
    <cellStyle name="Normal 4" xfId="11" xr:uid="{43272557-B37F-4996-BC18-AA3EDEAFA379}"/>
    <cellStyle name="Normal 4 2" xfId="336" xr:uid="{7A071732-E000-4A74-AC0F-9D33E319FA8C}"/>
    <cellStyle name="Normal 4 3" xfId="337" xr:uid="{D94557AC-5251-4F62-8B39-C6E5677E11CA}"/>
    <cellStyle name="Normal 4 4" xfId="338" xr:uid="{60C57175-FB2D-4A9D-AE53-7F9EE308C1E6}"/>
    <cellStyle name="Normal 4 5" xfId="335" xr:uid="{5D8B5451-8D9F-45FE-82F9-9B36B855E23D}"/>
    <cellStyle name="Normal 40" xfId="339" xr:uid="{DEC04CCA-2783-416C-8EAB-51D6B168AB63}"/>
    <cellStyle name="Normal 41" xfId="340" xr:uid="{1D422064-823B-402F-A086-B97188B4B960}"/>
    <cellStyle name="Normal 42" xfId="341" xr:uid="{09F470B4-678D-494C-837C-AC041F6E13D9}"/>
    <cellStyle name="Normal 43" xfId="342" xr:uid="{2E709DF5-D0E6-41AF-862D-FEA88967C078}"/>
    <cellStyle name="Normal 44" xfId="343" xr:uid="{1C704B48-2942-46AF-84A7-FE0882BA2BAA}"/>
    <cellStyle name="Normal 45" xfId="344" xr:uid="{638FBC51-CD9E-4415-BB61-853DCE895501}"/>
    <cellStyle name="Normal 46" xfId="345" xr:uid="{29D86342-3B64-410C-A345-E1A007BF4FE3}"/>
    <cellStyle name="Normal 47" xfId="346" xr:uid="{5F3CBCBE-BD9F-4B9B-9496-626FE7398635}"/>
    <cellStyle name="Normal 48" xfId="347" xr:uid="{27254FFF-7944-4B9F-8A49-B9E2E0994567}"/>
    <cellStyle name="Normal 49" xfId="348" xr:uid="{BF200ADB-A498-4990-82FB-78B1779F0402}"/>
    <cellStyle name="Normal 5" xfId="12" xr:uid="{642BE191-BE2F-4847-8420-1C59B95E270E}"/>
    <cellStyle name="Normal 5 2" xfId="349" xr:uid="{5266BA82-8DEE-4FCC-9538-0BF27FFF9E8B}"/>
    <cellStyle name="Normal 50" xfId="350" xr:uid="{6EF5D7A8-ACCD-4922-833D-1E256DBEEEA1}"/>
    <cellStyle name="Normal 51" xfId="351" xr:uid="{4E01F6DC-1BCB-4AC3-97CA-EC3F40C5A577}"/>
    <cellStyle name="Normal 52" xfId="352" xr:uid="{9BE1DCB5-5B49-4148-B1CA-3C47CA6BEEE3}"/>
    <cellStyle name="Normal 53" xfId="353" xr:uid="{46AF1148-F17F-4890-8064-0D766C8B5EBA}"/>
    <cellStyle name="Normal 54" xfId="354" xr:uid="{01AB0BDE-7DAC-485B-B6F1-D34D0A56933C}"/>
    <cellStyle name="Normal 55" xfId="355" xr:uid="{D57803D0-C3E5-46D2-99B7-5C044CFDD43B}"/>
    <cellStyle name="Normal 56" xfId="356" xr:uid="{9051CF0F-5E40-4891-AAC3-FFE174F03037}"/>
    <cellStyle name="Normal 57" xfId="357" xr:uid="{CAD2E21C-AD37-4556-93D8-E024183CA1A5}"/>
    <cellStyle name="Normal 58" xfId="358" xr:uid="{9B1C8A71-6E6C-471E-A691-9FB681A5D671}"/>
    <cellStyle name="Normal 59" xfId="359" xr:uid="{936ED22B-13A3-478B-99FA-36B8D0682A90}"/>
    <cellStyle name="Normal 6" xfId="360" xr:uid="{9E9F03C6-871C-4AA8-AED1-BC1D0BA81DC7}"/>
    <cellStyle name="Normal 6 2" xfId="58" xr:uid="{A35247FB-C1C0-475E-803B-C8631EED0124}"/>
    <cellStyle name="Normal 60" xfId="361" xr:uid="{244377B7-D5D1-49F6-B27C-F1D35DD3DAE5}"/>
    <cellStyle name="Normal 61" xfId="362" xr:uid="{CEFDF981-B0CA-40A1-BC20-C0962AB6BF84}"/>
    <cellStyle name="Normal 62" xfId="363" xr:uid="{1C5D8A3F-96A1-4305-9E3C-874438259C25}"/>
    <cellStyle name="Normal 63" xfId="364" xr:uid="{D34642C3-252F-4094-9662-73DB5913178E}"/>
    <cellStyle name="Normal 64" xfId="365" xr:uid="{4EB56300-FE97-433C-A03F-0E23F724A0DB}"/>
    <cellStyle name="Normal 65" xfId="366" xr:uid="{9277B1C4-10CC-4DE1-9B6D-05A404E08117}"/>
    <cellStyle name="Normal 66" xfId="367" xr:uid="{73AD5EC3-BF52-4FB0-B2A1-4EB1F974692B}"/>
    <cellStyle name="Normal 67" xfId="368" xr:uid="{E666D09E-6C39-4ACE-8C6C-D90B9909AAD8}"/>
    <cellStyle name="Normal 68" xfId="369" xr:uid="{22E78602-5150-4BB6-B953-4D6DE8D61B95}"/>
    <cellStyle name="Normal 69" xfId="370" xr:uid="{C9F62525-A04F-4998-94E2-0FA589997FE8}"/>
    <cellStyle name="Normal 7" xfId="371" xr:uid="{9AA4FAA2-660D-4C80-B742-37EBC9981E11}"/>
    <cellStyle name="Normal 70" xfId="372" xr:uid="{2683063A-9A5A-4FB1-A88B-87D3A4812D67}"/>
    <cellStyle name="Normal 71" xfId="373" xr:uid="{8364295B-5369-4FF0-9C0C-0A86968C63C2}"/>
    <cellStyle name="Normal 72" xfId="374" xr:uid="{6D094D4B-0553-4C35-85E4-6FC36D848B24}"/>
    <cellStyle name="Normal 73" xfId="375" xr:uid="{BA6731C2-A40A-4890-A5C7-8C36FDD209D4}"/>
    <cellStyle name="Normal 74" xfId="376" xr:uid="{720504F4-5635-422E-B9BC-BDC2CD881889}"/>
    <cellStyle name="Normal 75" xfId="377" xr:uid="{09ED4D59-3591-46C8-BB15-71CE4F19A95F}"/>
    <cellStyle name="Normal 76" xfId="378" xr:uid="{F275B34E-6CB0-4392-9EFC-617E5F477628}"/>
    <cellStyle name="Normal 77" xfId="379" xr:uid="{BA162809-44A2-469F-9C0B-3E052537DD5A}"/>
    <cellStyle name="Normal 78" xfId="380" xr:uid="{ADBE194E-21FF-4FF4-878C-9F55598802FD}"/>
    <cellStyle name="Normal 79" xfId="381" xr:uid="{B305C228-B78B-44F6-8C27-4B2C959BE0CB}"/>
    <cellStyle name="Normal 8" xfId="382" xr:uid="{FCA0B26C-18A4-461D-B828-561F0C231FE0}"/>
    <cellStyle name="Normal 80" xfId="383" xr:uid="{20CC77DB-F090-4C0E-AF17-46D4A39588DA}"/>
    <cellStyle name="Normal 81" xfId="384" xr:uid="{79DF8003-8B56-4323-9E66-072BCB1E27D0}"/>
    <cellStyle name="Normal 82" xfId="385" xr:uid="{08826A35-FA38-4623-9844-8C73C15CA745}"/>
    <cellStyle name="Normal 83" xfId="386" xr:uid="{1967179C-7772-48EF-84D6-FE3DDDD5C7BB}"/>
    <cellStyle name="Normal 84" xfId="387" xr:uid="{308BC17C-AB24-4798-90FE-2400E028B561}"/>
    <cellStyle name="Normal 85" xfId="388" xr:uid="{4435CC10-9638-4FD4-A0C3-6B563136BDE4}"/>
    <cellStyle name="Normal 86" xfId="389" xr:uid="{353588B9-3AA2-4834-896A-C1F21F256CAC}"/>
    <cellStyle name="Normal 87" xfId="390" xr:uid="{4DAE947C-A8B5-4C94-86E0-3DC1BC68430C}"/>
    <cellStyle name="Normal 88" xfId="391" xr:uid="{F888DDD0-936A-4778-9C5E-8CFA451DC5B5}"/>
    <cellStyle name="Normal 89" xfId="392" xr:uid="{07C27758-1BD3-4306-84AE-48BA2BCB81D9}"/>
    <cellStyle name="Normal 9" xfId="393" xr:uid="{39761B95-BF70-43F8-A99E-A509BBD3E7BB}"/>
    <cellStyle name="Normal 9 3" xfId="394" xr:uid="{6B06DB58-CE39-41FD-B404-108321ACF06A}"/>
    <cellStyle name="Normal 9 3 2" xfId="395" xr:uid="{BC2BE3BE-FB64-4389-86DA-89BBBACEA392}"/>
    <cellStyle name="Normal 90" xfId="396" xr:uid="{B9A9F1FD-C164-4B97-9949-F195EC707226}"/>
    <cellStyle name="Normal 91" xfId="397" xr:uid="{E9A178CF-22BB-4697-BFD5-B0DA92022699}"/>
    <cellStyle name="Normal 92" xfId="398" xr:uid="{C5C90283-5E80-4358-A40C-4D237EAFAD62}"/>
    <cellStyle name="Normal 93" xfId="399" xr:uid="{6DB4EC58-BA1B-4280-BE0A-7BCE19802A9C}"/>
    <cellStyle name="Normal 94" xfId="400" xr:uid="{B522C236-9A37-4C2C-9187-40F263BEF824}"/>
    <cellStyle name="Normal 95" xfId="401" xr:uid="{949AF804-FA80-43BE-9EE3-484B544DE334}"/>
    <cellStyle name="Normal 96" xfId="402" xr:uid="{F666CE5B-7152-40D8-B942-19A1564FA056}"/>
    <cellStyle name="Normal 97" xfId="403" xr:uid="{B09B366D-8F82-4448-B1A3-0D9B60753DA0}"/>
    <cellStyle name="Normal 98" xfId="404" xr:uid="{7F9328F8-FDCB-46AE-995E-291E119F25DA}"/>
    <cellStyle name="Normal 99" xfId="405" xr:uid="{74AA0316-7A68-4885-B33B-D9CE5BF11B70}"/>
    <cellStyle name="Normal_Prototype_Scorecard-LgOffice-2008-03-13" xfId="1" xr:uid="{F839F8A1-86E5-4008-9801-0F032E8A3317}"/>
    <cellStyle name="Note" xfId="27" builtinId="10" customBuiltin="1"/>
    <cellStyle name="Note 2" xfId="406" xr:uid="{A41C2B9C-44A1-4FCA-9F9A-D1E02B856359}"/>
    <cellStyle name="Output" xfId="22" builtinId="21" customBuiltin="1"/>
    <cellStyle name="Percent" xfId="2" builtinId="5"/>
    <cellStyle name="Percent 2" xfId="8" xr:uid="{CB789C3E-741F-4464-8065-385A956411E6}"/>
    <cellStyle name="Percent 2 10" xfId="407" xr:uid="{2BDE264C-58A2-4CA1-8855-F34B9B6483AB}"/>
    <cellStyle name="Percent 2 2" xfId="57" xr:uid="{18E2A07F-91B1-4EA3-A6CB-C71D5ED187EB}"/>
    <cellStyle name="Percent 2 3" xfId="408" xr:uid="{CA4B5A47-74FB-4DCE-8407-BCC6E7F2E829}"/>
    <cellStyle name="Percent 2 4" xfId="409" xr:uid="{B3ACD5DE-6A76-41DF-A98F-95ED4368545D}"/>
    <cellStyle name="Percent 2 5" xfId="410" xr:uid="{A041E7E4-33D5-4364-AA5F-54F9FD7BB2A9}"/>
    <cellStyle name="Percent 2 6" xfId="411" xr:uid="{10DA2974-EEC0-428C-BB0E-1FAA61AD5035}"/>
    <cellStyle name="Percent 2 7" xfId="412" xr:uid="{33B0A217-E7B7-442A-ABDD-E046C89FE49A}"/>
    <cellStyle name="Percent 2 8" xfId="413" xr:uid="{557729E3-542E-49F7-887F-965EC2B0E03C}"/>
    <cellStyle name="Percent 2 9" xfId="422" xr:uid="{CB800CE7-695F-4FBD-9D54-B92E7A73C47A}"/>
    <cellStyle name="Percent 3" xfId="414" xr:uid="{1DB6721D-CF1E-4CC0-88EC-B8B78BD6F17A}"/>
    <cellStyle name="Percent 3 2" xfId="426" xr:uid="{C9347BF1-52EB-4C42-92B5-0D851888EA23}"/>
    <cellStyle name="Percent 4" xfId="415" xr:uid="{CA9AC36E-46C3-46BE-98A9-289A4AF40D08}"/>
    <cellStyle name="Percent 5" xfId="416" xr:uid="{383860E8-6AA5-4F0D-8004-97A75AFA4EA3}"/>
    <cellStyle name="Percent 6" xfId="417" xr:uid="{D2FD0973-2824-4293-9BD8-BFE17B0C42A7}"/>
    <cellStyle name="Percent 7" xfId="418" xr:uid="{57417720-7220-4545-B3E8-1889A71F495C}"/>
    <cellStyle name="Title" xfId="13" builtinId="15" customBuiltin="1"/>
    <cellStyle name="Title 2" xfId="419" xr:uid="{C226CB1E-7F06-4C90-A4D1-528187C237BC}"/>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541D-40B0-962A-A5C79439ED86}"/>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1D-40B0-962A-A5C79439ED86}"/>
            </c:ext>
          </c:extLst>
        </c:ser>
        <c:ser>
          <c:idx val="2"/>
          <c:order val="2"/>
          <c:tx>
            <c:strRef>
              <c:f>Schedules!$E$15</c:f>
              <c:strCache>
                <c:ptCount val="1"/>
                <c:pt idx="0">
                  <c:v>Sunday</c:v>
                </c:pt>
              </c:strCache>
            </c:strRef>
          </c:tx>
          <c:spPr>
            <a:ln w="28575" cap="rnd">
              <a:solidFill>
                <a:schemeClr val="accent3"/>
              </a:solidFill>
              <a:prstDash val="dash"/>
              <a:round/>
            </a:ln>
            <a:effectLst/>
          </c:spPr>
          <c:marker>
            <c:symbol val="none"/>
          </c:marker>
          <c:val>
            <c:numRef>
              <c:f>Schedules!$F$15:$AC$15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Schedules!$F$42:$AC$42</c:f>
              <c:numCache>
                <c:formatCode>General</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Schedules!$F$43:$AC$43</c:f>
              <c:numCache>
                <c:formatCode>General</c:formatCode>
                <c:ptCount val="24"/>
                <c:pt idx="0">
                  <c:v>0</c:v>
                </c:pt>
                <c:pt idx="1">
                  <c:v>0</c:v>
                </c:pt>
                <c:pt idx="2">
                  <c:v>0</c:v>
                </c:pt>
                <c:pt idx="3">
                  <c:v>0</c:v>
                </c:pt>
                <c:pt idx="4">
                  <c:v>0</c:v>
                </c:pt>
                <c:pt idx="5">
                  <c:v>0</c:v>
                </c:pt>
                <c:pt idx="6">
                  <c:v>0</c:v>
                </c:pt>
                <c:pt idx="7">
                  <c:v>0.16</c:v>
                </c:pt>
                <c:pt idx="8">
                  <c:v>0.14000000000000001</c:v>
                </c:pt>
                <c:pt idx="9">
                  <c:v>0.21</c:v>
                </c:pt>
                <c:pt idx="10">
                  <c:v>0.18</c:v>
                </c:pt>
                <c:pt idx="11">
                  <c:v>0.25</c:v>
                </c:pt>
                <c:pt idx="12">
                  <c:v>0.21</c:v>
                </c:pt>
                <c:pt idx="13">
                  <c:v>0.13</c:v>
                </c:pt>
                <c:pt idx="14">
                  <c:v>0.08</c:v>
                </c:pt>
                <c:pt idx="15">
                  <c:v>0.04</c:v>
                </c:pt>
                <c:pt idx="16">
                  <c:v>0.05</c:v>
                </c:pt>
                <c:pt idx="17">
                  <c:v>0.06</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Schedules!$F$44:$AC$44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Schedules!$F$96:$AC$96</c:f>
              <c:numCache>
                <c:formatCode>0.00</c:formatCode>
                <c:ptCount val="24"/>
                <c:pt idx="0">
                  <c:v>0</c:v>
                </c:pt>
                <c:pt idx="1">
                  <c:v>0</c:v>
                </c:pt>
                <c:pt idx="2">
                  <c:v>0</c:v>
                </c:pt>
                <c:pt idx="3">
                  <c:v>0</c:v>
                </c:pt>
                <c:pt idx="4">
                  <c:v>0</c:v>
                </c:pt>
                <c:pt idx="5">
                  <c:v>0</c:v>
                </c:pt>
                <c:pt idx="6">
                  <c:v>0</c:v>
                </c:pt>
                <c:pt idx="7">
                  <c:v>0.5</c:v>
                </c:pt>
                <c:pt idx="8">
                  <c:v>0.5</c:v>
                </c:pt>
                <c:pt idx="9">
                  <c:v>0.5</c:v>
                </c:pt>
                <c:pt idx="10">
                  <c:v>0.9</c:v>
                </c:pt>
                <c:pt idx="11">
                  <c:v>0.9</c:v>
                </c:pt>
                <c:pt idx="12">
                  <c:v>0.9</c:v>
                </c:pt>
                <c:pt idx="13">
                  <c:v>0.9</c:v>
                </c:pt>
                <c:pt idx="14">
                  <c:v>0.75</c:v>
                </c:pt>
                <c:pt idx="15">
                  <c:v>0.75</c:v>
                </c:pt>
                <c:pt idx="16">
                  <c:v>0.75</c:v>
                </c:pt>
                <c:pt idx="17">
                  <c:v>0.75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Schedules!$F$97:$AC$97</c:f>
              <c:numCache>
                <c:formatCode>0.00</c:formatCode>
                <c:ptCount val="24"/>
                <c:pt idx="0">
                  <c:v>0</c:v>
                </c:pt>
                <c:pt idx="1">
                  <c:v>0</c:v>
                </c:pt>
                <c:pt idx="2">
                  <c:v>0</c:v>
                </c:pt>
                <c:pt idx="3">
                  <c:v>0</c:v>
                </c:pt>
                <c:pt idx="4">
                  <c:v>0</c:v>
                </c:pt>
                <c:pt idx="5">
                  <c:v>0</c:v>
                </c:pt>
                <c:pt idx="6">
                  <c:v>0</c:v>
                </c:pt>
                <c:pt idx="7">
                  <c:v>0</c:v>
                </c:pt>
                <c:pt idx="8">
                  <c:v>0.5</c:v>
                </c:pt>
                <c:pt idx="9">
                  <c:v>0.5</c:v>
                </c:pt>
                <c:pt idx="10">
                  <c:v>0.9</c:v>
                </c:pt>
                <c:pt idx="11">
                  <c:v>0.9</c:v>
                </c:pt>
                <c:pt idx="12">
                  <c:v>0.9</c:v>
                </c:pt>
                <c:pt idx="13">
                  <c:v>0.9</c:v>
                </c:pt>
                <c:pt idx="14">
                  <c:v>0.75</c:v>
                </c:pt>
                <c:pt idx="15">
                  <c:v>0.75</c:v>
                </c:pt>
                <c:pt idx="16">
                  <c:v>0.75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Schedules!$F$98:$AC$98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Schedules!$F$99:$AC$99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Schedules!$F$100:$AC$100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Schedules!$F$101:$AC$101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Schedules!$F$26:$AC$26</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135-48D8-A067-570C878F17DC}"/>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Schedules!$F$27:$AC$27</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135-48D8-A067-570C878F17DC}"/>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Schedules!$F$28:$AC$28</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Avail.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c:f>
              <c:strCache>
                <c:ptCount val="1"/>
                <c:pt idx="0">
                  <c:v>Weekday</c:v>
                </c:pt>
              </c:strCache>
            </c:strRef>
          </c:tx>
          <c:spPr>
            <a:ln w="28575" cap="rnd">
              <a:solidFill>
                <a:schemeClr val="accent1"/>
              </a:solidFill>
              <a:round/>
            </a:ln>
            <a:effectLst/>
          </c:spPr>
          <c:marker>
            <c:symbol val="none"/>
          </c:marker>
          <c:val>
            <c:numRef>
              <c:f>Schedules!$F$29:$AC$29</c:f>
              <c:numCache>
                <c:formatCode>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Schedules!$E$30</c:f>
              <c:strCache>
                <c:ptCount val="1"/>
                <c:pt idx="0">
                  <c:v>Saturday</c:v>
                </c:pt>
              </c:strCache>
            </c:strRef>
          </c:tx>
          <c:spPr>
            <a:ln w="28575" cap="rnd">
              <a:solidFill>
                <a:schemeClr val="accent2"/>
              </a:solidFill>
              <a:round/>
            </a:ln>
            <a:effectLst/>
          </c:spPr>
          <c:marker>
            <c:symbol val="none"/>
          </c:marker>
          <c:val>
            <c:numRef>
              <c:f>Schedules!$F$30:$AC$30</c:f>
              <c:numCache>
                <c:formatCode>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Schedules!$E$31</c:f>
              <c:strCache>
                <c:ptCount val="1"/>
                <c:pt idx="0">
                  <c:v>Sunday</c:v>
                </c:pt>
              </c:strCache>
            </c:strRef>
          </c:tx>
          <c:spPr>
            <a:ln w="28575" cap="rnd">
              <a:solidFill>
                <a:schemeClr val="accent3"/>
              </a:solidFill>
              <a:round/>
            </a:ln>
            <a:effectLst/>
          </c:spPr>
          <c:marker>
            <c:symbol val="none"/>
          </c:marker>
          <c:val>
            <c:numRef>
              <c:f>Schedules!$F$31:$AC$31</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Occ</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Schedules!$E$45</c:f>
              <c:strCache>
                <c:ptCount val="1"/>
                <c:pt idx="0">
                  <c:v>Weekday</c:v>
                </c:pt>
              </c:strCache>
            </c:strRef>
          </c:tx>
          <c:spPr>
            <a:ln w="28575" cap="rnd">
              <a:solidFill>
                <a:schemeClr val="accent1"/>
              </a:solidFill>
              <a:round/>
            </a:ln>
            <a:effectLst/>
          </c:spPr>
          <c:marker>
            <c:symbol val="none"/>
          </c:marker>
          <c:val>
            <c:numRef>
              <c:f>Schedules!$F$45:$AC$45</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EBD-4C97-8BA0-98DE7443EFFC}"/>
            </c:ext>
          </c:extLst>
        </c:ser>
        <c:ser>
          <c:idx val="1"/>
          <c:order val="1"/>
          <c:tx>
            <c:strRef>
              <c:f>Schedules!$E$46</c:f>
              <c:strCache>
                <c:ptCount val="1"/>
                <c:pt idx="0">
                  <c:v>Saturday</c:v>
                </c:pt>
              </c:strCache>
            </c:strRef>
          </c:tx>
          <c:spPr>
            <a:ln w="28575" cap="rnd">
              <a:solidFill>
                <a:schemeClr val="accent2"/>
              </a:solidFill>
              <a:round/>
            </a:ln>
            <a:effectLst/>
          </c:spPr>
          <c:marker>
            <c:symbol val="none"/>
          </c:marker>
          <c:val>
            <c:numRef>
              <c:f>Schedules!$F$46:$AC$46</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EBD-4C97-8BA0-98DE7443EFFC}"/>
            </c:ext>
          </c:extLst>
        </c:ser>
        <c:ser>
          <c:idx val="2"/>
          <c:order val="2"/>
          <c:tx>
            <c:strRef>
              <c:f>Schedules!$E$47</c:f>
              <c:strCache>
                <c:ptCount val="1"/>
                <c:pt idx="0">
                  <c:v>Sunday</c:v>
                </c:pt>
              </c:strCache>
            </c:strRef>
          </c:tx>
          <c:spPr>
            <a:ln w="28575" cap="rnd">
              <a:solidFill>
                <a:schemeClr val="accent3"/>
              </a:solidFill>
              <a:round/>
            </a:ln>
            <a:effectLst/>
          </c:spPr>
          <c:marker>
            <c:symbol val="none"/>
          </c:marker>
          <c:val>
            <c:numRef>
              <c:f>Schedules!$F$47:$AC$47</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EBD-4C97-8BA0-98DE7443EFF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Schedules!$F$51</c:f>
              <c:strCache>
                <c:ptCount val="1"/>
                <c:pt idx="0">
                  <c:v>146.5</c:v>
                </c:pt>
              </c:strCache>
            </c:strRef>
          </c:tx>
          <c:spPr>
            <a:ln w="28575" cap="rnd">
              <a:solidFill>
                <a:schemeClr val="accent1"/>
              </a:solidFill>
              <a:round/>
            </a:ln>
            <a:effectLst/>
          </c:spPr>
          <c:marker>
            <c:symbol val="none"/>
          </c:marker>
          <c:val>
            <c:numRef>
              <c:f>Schedules!$F$51:$AC$51</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0-A072-434C-9B89-8706E4E245C1}"/>
            </c:ext>
          </c:extLst>
        </c:ser>
        <c:ser>
          <c:idx val="1"/>
          <c:order val="1"/>
          <c:tx>
            <c:strRef>
              <c:f>Schedules!$F$52</c:f>
              <c:strCache>
                <c:ptCount val="1"/>
                <c:pt idx="0">
                  <c:v>146.5</c:v>
                </c:pt>
              </c:strCache>
            </c:strRef>
          </c:tx>
          <c:spPr>
            <a:ln w="28575" cap="rnd">
              <a:solidFill>
                <a:schemeClr val="accent2"/>
              </a:solidFill>
              <a:round/>
            </a:ln>
            <a:effectLst/>
          </c:spPr>
          <c:marker>
            <c:symbol val="none"/>
          </c:marker>
          <c:val>
            <c:numRef>
              <c:f>Schedules!$F$52:$AC$52</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1-A072-434C-9B89-8706E4E245C1}"/>
            </c:ext>
          </c:extLst>
        </c:ser>
        <c:ser>
          <c:idx val="2"/>
          <c:order val="2"/>
          <c:tx>
            <c:strRef>
              <c:f>Schedules!$F$53</c:f>
              <c:strCache>
                <c:ptCount val="1"/>
                <c:pt idx="0">
                  <c:v>146.5</c:v>
                </c:pt>
              </c:strCache>
            </c:strRef>
          </c:tx>
          <c:spPr>
            <a:ln w="28575" cap="rnd">
              <a:solidFill>
                <a:schemeClr val="accent3"/>
              </a:solidFill>
              <a:round/>
            </a:ln>
            <a:effectLst/>
          </c:spPr>
          <c:marker>
            <c:symbol val="none"/>
          </c:marker>
          <c:val>
            <c:numRef>
              <c:f>Schedules!$F$53:$AC$53</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2-A072-434C-9B89-8706E4E245C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Schedules!$E$54</c:f>
              <c:strCache>
                <c:ptCount val="1"/>
                <c:pt idx="0">
                  <c:v>Weekday</c:v>
                </c:pt>
              </c:strCache>
            </c:strRef>
          </c:tx>
          <c:spPr>
            <a:ln w="28575" cap="rnd">
              <a:solidFill>
                <a:schemeClr val="accent1"/>
              </a:solidFill>
              <a:round/>
            </a:ln>
            <a:effectLst/>
          </c:spPr>
          <c:marker>
            <c:symbol val="none"/>
          </c:marker>
          <c:val>
            <c:numRef>
              <c:f>Schedules!$F$54:$AC$54</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0-C421-4431-8E07-8DB632C41EF4}"/>
            </c:ext>
          </c:extLst>
        </c:ser>
        <c:ser>
          <c:idx val="1"/>
          <c:order val="1"/>
          <c:tx>
            <c:strRef>
              <c:f>Schedules!$E$55</c:f>
              <c:strCache>
                <c:ptCount val="1"/>
                <c:pt idx="0">
                  <c:v>Saturday</c:v>
                </c:pt>
              </c:strCache>
            </c:strRef>
          </c:tx>
          <c:spPr>
            <a:ln w="28575" cap="rnd">
              <a:solidFill>
                <a:schemeClr val="accent2"/>
              </a:solidFill>
              <a:round/>
            </a:ln>
            <a:effectLst/>
          </c:spPr>
          <c:marker>
            <c:symbol val="none"/>
          </c:marker>
          <c:val>
            <c:numRef>
              <c:f>Schedules!$F$55:$AC$55</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1-C421-4431-8E07-8DB632C41EF4}"/>
            </c:ext>
          </c:extLst>
        </c:ser>
        <c:ser>
          <c:idx val="2"/>
          <c:order val="2"/>
          <c:tx>
            <c:strRef>
              <c:f>Schedules!$E$56</c:f>
              <c:strCache>
                <c:ptCount val="1"/>
                <c:pt idx="0">
                  <c:v>Sunday</c:v>
                </c:pt>
              </c:strCache>
            </c:strRef>
          </c:tx>
          <c:spPr>
            <a:ln w="28575" cap="rnd">
              <a:solidFill>
                <a:schemeClr val="accent3"/>
              </a:solidFill>
              <a:round/>
            </a:ln>
            <a:effectLst/>
          </c:spPr>
          <c:marker>
            <c:symbol val="none"/>
          </c:marker>
          <c:val>
            <c:numRef>
              <c:f>Schedules!$F$56:$AC$56</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2-C421-4431-8E07-8DB632C41EF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Occ</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Schedules!$E$45</c:f>
              <c:strCache>
                <c:ptCount val="1"/>
                <c:pt idx="0">
                  <c:v>Weekday</c:v>
                </c:pt>
              </c:strCache>
            </c:strRef>
          </c:tx>
          <c:spPr>
            <a:ln w="28575" cap="rnd">
              <a:solidFill>
                <a:schemeClr val="accent1"/>
              </a:solidFill>
              <a:round/>
            </a:ln>
            <a:effectLst/>
          </c:spPr>
          <c:marker>
            <c:symbol val="none"/>
          </c:marker>
          <c:val>
            <c:numRef>
              <c:f>Schedules!$F$45:$AC$45</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C16B-4578-91CE-0E3A5785EB3E}"/>
            </c:ext>
          </c:extLst>
        </c:ser>
        <c:ser>
          <c:idx val="1"/>
          <c:order val="1"/>
          <c:tx>
            <c:strRef>
              <c:f>Schedules!$E$46</c:f>
              <c:strCache>
                <c:ptCount val="1"/>
                <c:pt idx="0">
                  <c:v>Saturday</c:v>
                </c:pt>
              </c:strCache>
            </c:strRef>
          </c:tx>
          <c:spPr>
            <a:ln w="28575" cap="rnd">
              <a:solidFill>
                <a:schemeClr val="accent2"/>
              </a:solidFill>
              <a:round/>
            </a:ln>
            <a:effectLst/>
          </c:spPr>
          <c:marker>
            <c:symbol val="none"/>
          </c:marker>
          <c:val>
            <c:numRef>
              <c:f>Schedules!$F$46:$AC$46</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C16B-4578-91CE-0E3A5785EB3E}"/>
            </c:ext>
          </c:extLst>
        </c:ser>
        <c:ser>
          <c:idx val="2"/>
          <c:order val="2"/>
          <c:tx>
            <c:strRef>
              <c:f>Schedules!$E$47</c:f>
              <c:strCache>
                <c:ptCount val="1"/>
                <c:pt idx="0">
                  <c:v>Sunday</c:v>
                </c:pt>
              </c:strCache>
            </c:strRef>
          </c:tx>
          <c:spPr>
            <a:ln w="28575" cap="rnd">
              <a:solidFill>
                <a:schemeClr val="accent3"/>
              </a:solidFill>
              <a:round/>
            </a:ln>
            <a:effectLst/>
          </c:spPr>
          <c:marker>
            <c:symbol val="none"/>
          </c:marker>
          <c:val>
            <c:numRef>
              <c:f>Schedules!$F$47:$AC$47</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C16B-4578-91CE-0E3A5785EB3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Schedules!$F$51</c:f>
              <c:strCache>
                <c:ptCount val="1"/>
                <c:pt idx="0">
                  <c:v>146.5</c:v>
                </c:pt>
              </c:strCache>
            </c:strRef>
          </c:tx>
          <c:spPr>
            <a:ln w="28575" cap="rnd">
              <a:solidFill>
                <a:schemeClr val="accent1"/>
              </a:solidFill>
              <a:round/>
            </a:ln>
            <a:effectLst/>
          </c:spPr>
          <c:marker>
            <c:symbol val="none"/>
          </c:marker>
          <c:val>
            <c:numRef>
              <c:f>Schedules!$F$51:$AC$51</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0-108A-404F-89BF-F4510C5C9A2B}"/>
            </c:ext>
          </c:extLst>
        </c:ser>
        <c:ser>
          <c:idx val="1"/>
          <c:order val="1"/>
          <c:tx>
            <c:strRef>
              <c:f>Schedules!$F$52</c:f>
              <c:strCache>
                <c:ptCount val="1"/>
                <c:pt idx="0">
                  <c:v>146.5</c:v>
                </c:pt>
              </c:strCache>
            </c:strRef>
          </c:tx>
          <c:spPr>
            <a:ln w="28575" cap="rnd">
              <a:solidFill>
                <a:schemeClr val="accent2"/>
              </a:solidFill>
              <a:round/>
            </a:ln>
            <a:effectLst/>
          </c:spPr>
          <c:marker>
            <c:symbol val="none"/>
          </c:marker>
          <c:val>
            <c:numRef>
              <c:f>Schedules!$F$52:$AC$52</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1-108A-404F-89BF-F4510C5C9A2B}"/>
            </c:ext>
          </c:extLst>
        </c:ser>
        <c:ser>
          <c:idx val="2"/>
          <c:order val="2"/>
          <c:tx>
            <c:strRef>
              <c:f>Schedules!$F$53</c:f>
              <c:strCache>
                <c:ptCount val="1"/>
                <c:pt idx="0">
                  <c:v>146.5</c:v>
                </c:pt>
              </c:strCache>
            </c:strRef>
          </c:tx>
          <c:spPr>
            <a:ln w="28575" cap="rnd">
              <a:solidFill>
                <a:schemeClr val="accent3"/>
              </a:solidFill>
              <a:round/>
            </a:ln>
            <a:effectLst/>
          </c:spPr>
          <c:marker>
            <c:symbol val="none"/>
          </c:marker>
          <c:val>
            <c:numRef>
              <c:f>Schedules!$F$53:$AC$53</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2-108A-404F-89BF-F4510C5C9A2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Schedules!$E$54</c:f>
              <c:strCache>
                <c:ptCount val="1"/>
                <c:pt idx="0">
                  <c:v>Weekday</c:v>
                </c:pt>
              </c:strCache>
            </c:strRef>
          </c:tx>
          <c:spPr>
            <a:ln w="28575" cap="rnd">
              <a:solidFill>
                <a:schemeClr val="accent1"/>
              </a:solidFill>
              <a:round/>
            </a:ln>
            <a:effectLst/>
          </c:spPr>
          <c:marker>
            <c:symbol val="none"/>
          </c:marker>
          <c:val>
            <c:numRef>
              <c:f>Schedules!$F$54:$AC$54</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0-6AC9-444C-9841-533A33805835}"/>
            </c:ext>
          </c:extLst>
        </c:ser>
        <c:ser>
          <c:idx val="1"/>
          <c:order val="1"/>
          <c:tx>
            <c:strRef>
              <c:f>Schedules!$E$55</c:f>
              <c:strCache>
                <c:ptCount val="1"/>
                <c:pt idx="0">
                  <c:v>Saturday</c:v>
                </c:pt>
              </c:strCache>
            </c:strRef>
          </c:tx>
          <c:spPr>
            <a:ln w="28575" cap="rnd">
              <a:solidFill>
                <a:schemeClr val="accent2"/>
              </a:solidFill>
              <a:round/>
            </a:ln>
            <a:effectLst/>
          </c:spPr>
          <c:marker>
            <c:symbol val="none"/>
          </c:marker>
          <c:val>
            <c:numRef>
              <c:f>Schedules!$F$55:$AC$55</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1-6AC9-444C-9841-533A33805835}"/>
            </c:ext>
          </c:extLst>
        </c:ser>
        <c:ser>
          <c:idx val="2"/>
          <c:order val="2"/>
          <c:tx>
            <c:strRef>
              <c:f>Schedules!$E$56</c:f>
              <c:strCache>
                <c:ptCount val="1"/>
                <c:pt idx="0">
                  <c:v>Sunday</c:v>
                </c:pt>
              </c:strCache>
            </c:strRef>
          </c:tx>
          <c:spPr>
            <a:ln w="28575" cap="rnd">
              <a:solidFill>
                <a:schemeClr val="accent3"/>
              </a:solidFill>
              <a:round/>
            </a:ln>
            <a:effectLst/>
          </c:spPr>
          <c:marker>
            <c:symbol val="none"/>
          </c:marker>
          <c:val>
            <c:numRef>
              <c:f>Schedules!$F$56:$AC$56</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2-6AC9-444C-9841-533A338058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AAE4-4CAD-AA2C-180C6F02193D}"/>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AAE4-4CAD-AA2C-180C6F02193D}"/>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AAE4-4CAD-AA2C-180C6F02193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DDC-4FE7-BE33-B4F36FBD71BD}"/>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DDC-4FE7-BE33-B4F36FBD71BD}"/>
            </c:ext>
          </c:extLst>
        </c:ser>
        <c:ser>
          <c:idx val="2"/>
          <c:order val="2"/>
          <c:tx>
            <c:strRef>
              <c:f>Schedules!$E$15</c:f>
              <c:strCache>
                <c:ptCount val="1"/>
                <c:pt idx="0">
                  <c:v>Sunday</c:v>
                </c:pt>
              </c:strCache>
            </c:strRef>
          </c:tx>
          <c:spPr>
            <a:ln w="28575" cap="rnd">
              <a:solidFill>
                <a:schemeClr val="accent3"/>
              </a:solidFill>
              <a:prstDash val="dash"/>
              <a:round/>
            </a:ln>
            <a:effectLst/>
          </c:spPr>
          <c:marker>
            <c:symbol val="none"/>
          </c:marker>
          <c:val>
            <c:numRef>
              <c:f>Schedules!$F$15:$AC$15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DDC-4FE7-BE33-B4F36FBD71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1F31-467B-9269-BC9B0C455F5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1F31-467B-9269-BC9B0C455F5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1F31-467B-9269-BC9B0C455F5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ParkingOpen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3.1500000000000004</c:v>
                </c:pt>
                <c:pt idx="1">
                  <c:v>3.1500000000000004</c:v>
                </c:pt>
                <c:pt idx="2">
                  <c:v>3.1500000000000004</c:v>
                </c:pt>
                <c:pt idx="3">
                  <c:v>3.1500000000000004</c:v>
                </c:pt>
                <c:pt idx="4">
                  <c:v>3.1500000000000004</c:v>
                </c:pt>
                <c:pt idx="5">
                  <c:v>3.1500000000000004</c:v>
                </c:pt>
                <c:pt idx="6">
                  <c:v>3.1500000000000004</c:v>
                </c:pt>
                <c:pt idx="7">
                  <c:v>3.1500000000000004</c:v>
                </c:pt>
                <c:pt idx="8">
                  <c:v>3.1500000000000004</c:v>
                </c:pt>
                <c:pt idx="9">
                  <c:v>3.1500000000000004</c:v>
                </c:pt>
                <c:pt idx="10">
                  <c:v>3.1500000000000004</c:v>
                </c:pt>
                <c:pt idx="11">
                  <c:v>3.1500000000000004</c:v>
                </c:pt>
                <c:pt idx="12">
                  <c:v>3.1500000000000004</c:v>
                </c:pt>
                <c:pt idx="13">
                  <c:v>3.1500000000000004</c:v>
                </c:pt>
                <c:pt idx="14">
                  <c:v>3.1500000000000004</c:v>
                </c:pt>
                <c:pt idx="15">
                  <c:v>3.1500000000000004</c:v>
                </c:pt>
              </c:numCache>
            </c:numRef>
          </c:val>
          <c:extLst>
            <c:ext xmlns:c16="http://schemas.microsoft.com/office/drawing/2014/chart" uri="{C3380CC4-5D6E-409C-BE32-E72D297353CC}">
              <c16:uniqueId val="{00000000-F934-42F9-B8BA-E0C0001C547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2.0999999999999996</c:v>
                </c:pt>
                <c:pt idx="1">
                  <c:v>2.0999999999999996</c:v>
                </c:pt>
                <c:pt idx="2">
                  <c:v>2.0999999999999996</c:v>
                </c:pt>
                <c:pt idx="3">
                  <c:v>2.0999999999999996</c:v>
                </c:pt>
                <c:pt idx="4">
                  <c:v>2.0999999999999996</c:v>
                </c:pt>
                <c:pt idx="5">
                  <c:v>2.0999999999999996</c:v>
                </c:pt>
                <c:pt idx="6">
                  <c:v>2.0999999999999996</c:v>
                </c:pt>
                <c:pt idx="7">
                  <c:v>2.0999999999999996</c:v>
                </c:pt>
                <c:pt idx="8">
                  <c:v>2.0999999999999996</c:v>
                </c:pt>
                <c:pt idx="9">
                  <c:v>2.0999999999999996</c:v>
                </c:pt>
                <c:pt idx="10">
                  <c:v>2.0999999999999996</c:v>
                </c:pt>
                <c:pt idx="11">
                  <c:v>2.0999999999999996</c:v>
                </c:pt>
                <c:pt idx="12">
                  <c:v>2.0999999999999996</c:v>
                </c:pt>
                <c:pt idx="13">
                  <c:v>2.0999999999999996</c:v>
                </c:pt>
                <c:pt idx="14">
                  <c:v>2.0999999999999996</c:v>
                </c:pt>
                <c:pt idx="15">
                  <c:v>2.0999999999999996</c:v>
                </c:pt>
              </c:numCache>
            </c:numRef>
          </c:val>
          <c:extLst>
            <c:ext xmlns:c16="http://schemas.microsoft.com/office/drawing/2014/chart" uri="{C3380CC4-5D6E-409C-BE32-E72D297353CC}">
              <c16:uniqueId val="{00000001-F934-42F9-B8BA-E0C0001C547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3.9</c:v>
                </c:pt>
                <c:pt idx="1">
                  <c:v>3.7</c:v>
                </c:pt>
                <c:pt idx="2">
                  <c:v>3.7</c:v>
                </c:pt>
                <c:pt idx="3">
                  <c:v>3.6</c:v>
                </c:pt>
                <c:pt idx="4">
                  <c:v>3.6</c:v>
                </c:pt>
                <c:pt idx="5">
                  <c:v>3.5</c:v>
                </c:pt>
                <c:pt idx="6">
                  <c:v>3.5</c:v>
                </c:pt>
                <c:pt idx="7">
                  <c:v>3.4</c:v>
                </c:pt>
                <c:pt idx="8">
                  <c:v>3.5</c:v>
                </c:pt>
                <c:pt idx="9">
                  <c:v>3.5</c:v>
                </c:pt>
                <c:pt idx="10">
                  <c:v>3.6</c:v>
                </c:pt>
                <c:pt idx="11">
                  <c:v>3.6</c:v>
                </c:pt>
                <c:pt idx="12">
                  <c:v>3.6</c:v>
                </c:pt>
                <c:pt idx="13">
                  <c:v>3.6</c:v>
                </c:pt>
                <c:pt idx="14">
                  <c:v>3.4</c:v>
                </c:pt>
                <c:pt idx="15">
                  <c:v>3.8</c:v>
                </c:pt>
              </c:numCache>
            </c:numRef>
          </c:yVal>
          <c:smooth val="0"/>
          <c:extLst>
            <c:ext xmlns:c16="http://schemas.microsoft.com/office/drawing/2014/chart" uri="{C3380CC4-5D6E-409C-BE32-E72D297353CC}">
              <c16:uniqueId val="{00000002-F934-42F9-B8BA-E0C0001C547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chemeClr val="accent4"/>
              </a:solidFill>
              <a:ln w="9525">
                <a:solidFill>
                  <a:schemeClr val="accent4"/>
                </a:solidFill>
              </a:ln>
              <a:effectLst/>
            </c:spPr>
          </c:marker>
          <c:yVal>
            <c:numRef>
              <c:f>'Energy Usage'!$H$3:$H$18</c:f>
              <c:numCache>
                <c:formatCode>General</c:formatCode>
                <c:ptCount val="16"/>
                <c:pt idx="0">
                  <c:v>3.1</c:v>
                </c:pt>
                <c:pt idx="1">
                  <c:v>2.9</c:v>
                </c:pt>
                <c:pt idx="2">
                  <c:v>2.9</c:v>
                </c:pt>
                <c:pt idx="3">
                  <c:v>2.8</c:v>
                </c:pt>
                <c:pt idx="4">
                  <c:v>2.8</c:v>
                </c:pt>
                <c:pt idx="5">
                  <c:v>2.7</c:v>
                </c:pt>
                <c:pt idx="6">
                  <c:v>2.7</c:v>
                </c:pt>
                <c:pt idx="7">
                  <c:v>2.6</c:v>
                </c:pt>
                <c:pt idx="8">
                  <c:v>2.7</c:v>
                </c:pt>
                <c:pt idx="9">
                  <c:v>2.7</c:v>
                </c:pt>
                <c:pt idx="10">
                  <c:v>2.8</c:v>
                </c:pt>
                <c:pt idx="11">
                  <c:v>2.8</c:v>
                </c:pt>
                <c:pt idx="12">
                  <c:v>2.8</c:v>
                </c:pt>
                <c:pt idx="13">
                  <c:v>2.8</c:v>
                </c:pt>
                <c:pt idx="14">
                  <c:v>2.6</c:v>
                </c:pt>
                <c:pt idx="15">
                  <c:v>3</c:v>
                </c:pt>
              </c:numCache>
            </c:numRef>
          </c:yVal>
          <c:smooth val="0"/>
          <c:extLst>
            <c:ext xmlns:c16="http://schemas.microsoft.com/office/drawing/2014/chart" uri="{C3380CC4-5D6E-409C-BE32-E72D297353CC}">
              <c16:uniqueId val="{00000000-83BA-4C2A-8BFE-7E6815BD4A95}"/>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1</xdr:col>
      <xdr:colOff>400050</xdr:colOff>
      <xdr:row>6</xdr:row>
      <xdr:rowOff>28575</xdr:rowOff>
    </xdr:from>
    <xdr:to>
      <xdr:col>1</xdr:col>
      <xdr:colOff>2867025</xdr:colOff>
      <xdr:row>6</xdr:row>
      <xdr:rowOff>1200150</xdr:rowOff>
    </xdr:to>
    <xdr:pic>
      <xdr:nvPicPr>
        <xdr:cNvPr id="3" name="Picture 1">
          <a:extLst>
            <a:ext uri="{FF2B5EF4-FFF2-40B4-BE49-F238E27FC236}">
              <a16:creationId xmlns:a16="http://schemas.microsoft.com/office/drawing/2014/main" id="{1591E2D0-B46D-286B-6135-FCF9148826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66925" y="1590675"/>
          <a:ext cx="2466975"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1282561</xdr:colOff>
      <xdr:row>0</xdr:row>
      <xdr:rowOff>35035</xdr:rowOff>
    </xdr:from>
    <xdr:to>
      <xdr:col>13</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1325218</xdr:colOff>
      <xdr:row>0</xdr:row>
      <xdr:rowOff>67505</xdr:rowOff>
    </xdr:from>
    <xdr:to>
      <xdr:col>13</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704850</xdr:colOff>
      <xdr:row>35</xdr:row>
      <xdr:rowOff>24765</xdr:rowOff>
    </xdr:from>
    <xdr:to>
      <xdr:col>11</xdr:col>
      <xdr:colOff>499062</xdr:colOff>
      <xdr:row>62</xdr:row>
      <xdr:rowOff>96679</xdr:rowOff>
    </xdr:to>
    <xdr:pic>
      <xdr:nvPicPr>
        <xdr:cNvPr id="2"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57850" y="8990171"/>
          <a:ext cx="16312467" cy="4880610"/>
        </a:xfrm>
        <a:prstGeom prst="rect">
          <a:avLst/>
        </a:prstGeom>
      </xdr:spPr>
    </xdr:pic>
    <xdr:clientData/>
  </xdr:twoCellAnchor>
  <xdr:twoCellAnchor>
    <xdr:from>
      <xdr:col>0</xdr:col>
      <xdr:colOff>60465</xdr:colOff>
      <xdr:row>35</xdr:row>
      <xdr:rowOff>89040</xdr:rowOff>
    </xdr:from>
    <xdr:to>
      <xdr:col>3</xdr:col>
      <xdr:colOff>1049178</xdr:colOff>
      <xdr:row>78</xdr:row>
      <xdr:rowOff>20961</xdr:rowOff>
    </xdr:to>
    <xdr:pic>
      <xdr:nvPicPr>
        <xdr:cNvPr id="3"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65" y="9054446"/>
          <a:ext cx="7476191" cy="76076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42334</xdr:colOff>
      <xdr:row>14</xdr:row>
      <xdr:rowOff>10583</xdr:rowOff>
    </xdr:from>
    <xdr:to>
      <xdr:col>1</xdr:col>
      <xdr:colOff>1412264</xdr:colOff>
      <xdr:row>30</xdr:row>
      <xdr:rowOff>3386</xdr:rowOff>
    </xdr:to>
    <xdr:pic>
      <xdr:nvPicPr>
        <xdr:cNvPr id="5"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34" y="9779000"/>
          <a:ext cx="4735430" cy="269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12</xdr:row>
      <xdr:rowOff>0</xdr:rowOff>
    </xdr:from>
    <xdr:to>
      <xdr:col>36</xdr:col>
      <xdr:colOff>26126</xdr:colOff>
      <xdr:row>15</xdr:row>
      <xdr:rowOff>0</xdr:rowOff>
    </xdr:to>
    <xdr:graphicFrame macro="">
      <xdr:nvGraphicFramePr>
        <xdr:cNvPr id="22"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40</xdr:row>
      <xdr:rowOff>375219</xdr:rowOff>
    </xdr:from>
    <xdr:to>
      <xdr:col>36</xdr:col>
      <xdr:colOff>35719</xdr:colOff>
      <xdr:row>43</xdr:row>
      <xdr:rowOff>446314</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252277</xdr:colOff>
      <xdr:row>94</xdr:row>
      <xdr:rowOff>253433</xdr:rowOff>
    </xdr:from>
    <xdr:to>
      <xdr:col>35</xdr:col>
      <xdr:colOff>599260</xdr:colOff>
      <xdr:row>97</xdr:row>
      <xdr:rowOff>253434</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98</xdr:row>
      <xdr:rowOff>0</xdr:rowOff>
    </xdr:from>
    <xdr:to>
      <xdr:col>36</xdr:col>
      <xdr:colOff>26126</xdr:colOff>
      <xdr:row>101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24</xdr:row>
      <xdr:rowOff>445770</xdr:rowOff>
    </xdr:from>
    <xdr:to>
      <xdr:col>36</xdr:col>
      <xdr:colOff>36672</xdr:colOff>
      <xdr:row>27</xdr:row>
      <xdr:rowOff>445770</xdr:rowOff>
    </xdr:to>
    <xdr:graphicFrame macro="">
      <xdr:nvGraphicFramePr>
        <xdr:cNvPr id="16"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27D64350-4A7F-4D54-86AE-92FDC42BF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319564</xdr:colOff>
      <xdr:row>28</xdr:row>
      <xdr:rowOff>0</xdr:rowOff>
    </xdr:from>
    <xdr:to>
      <xdr:col>36</xdr:col>
      <xdr:colOff>33814</xdr:colOff>
      <xdr:row>30</xdr:row>
      <xdr:rowOff>446722</xdr:rowOff>
    </xdr:to>
    <xdr:graphicFrame macro="">
      <xdr:nvGraphicFramePr>
        <xdr:cNvPr id="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325279</xdr:colOff>
      <xdr:row>44</xdr:row>
      <xdr:rowOff>15716</xdr:rowOff>
    </xdr:from>
    <xdr:to>
      <xdr:col>36</xdr:col>
      <xdr:colOff>30004</xdr:colOff>
      <xdr:row>46</xdr:row>
      <xdr:rowOff>619125</xdr:rowOff>
    </xdr:to>
    <xdr:graphicFrame macro="">
      <xdr:nvGraphicFramePr>
        <xdr:cNvPr id="7" name="Chart 6">
          <a:extLst>
            <a:ext uri="{FF2B5EF4-FFF2-40B4-BE49-F238E27FC236}">
              <a16:creationId xmlns:a16="http://schemas.microsoft.com/office/drawing/2014/main" id="{3813E3FC-05AB-4CFC-8B8A-52D5F4A8393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321468</xdr:colOff>
      <xdr:row>50</xdr:row>
      <xdr:rowOff>23813</xdr:rowOff>
    </xdr:from>
    <xdr:to>
      <xdr:col>36</xdr:col>
      <xdr:colOff>30003</xdr:colOff>
      <xdr:row>52</xdr:row>
      <xdr:rowOff>432911</xdr:rowOff>
    </xdr:to>
    <xdr:graphicFrame macro="">
      <xdr:nvGraphicFramePr>
        <xdr:cNvPr id="8" name="Chart 7">
          <a:extLst>
            <a:ext uri="{FF2B5EF4-FFF2-40B4-BE49-F238E27FC236}">
              <a16:creationId xmlns:a16="http://schemas.microsoft.com/office/drawing/2014/main" id="{215BD367-41AA-48C1-85B5-BB87FE2C24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325279</xdr:colOff>
      <xdr:row>52</xdr:row>
      <xdr:rowOff>521970</xdr:rowOff>
    </xdr:from>
    <xdr:to>
      <xdr:col>36</xdr:col>
      <xdr:colOff>20479</xdr:colOff>
      <xdr:row>55</xdr:row>
      <xdr:rowOff>476249</xdr:rowOff>
    </xdr:to>
    <xdr:graphicFrame macro="">
      <xdr:nvGraphicFramePr>
        <xdr:cNvPr id="10" name="Chart 9">
          <a:extLst>
            <a:ext uri="{FF2B5EF4-FFF2-40B4-BE49-F238E27FC236}">
              <a16:creationId xmlns:a16="http://schemas.microsoft.com/office/drawing/2014/main" id="{C1E6EC12-9883-4963-A0DA-108FE63AC34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325279</xdr:colOff>
      <xdr:row>84</xdr:row>
      <xdr:rowOff>15716</xdr:rowOff>
    </xdr:from>
    <xdr:to>
      <xdr:col>36</xdr:col>
      <xdr:colOff>30004</xdr:colOff>
      <xdr:row>86</xdr:row>
      <xdr:rowOff>619125</xdr:rowOff>
    </xdr:to>
    <xdr:graphicFrame macro="">
      <xdr:nvGraphicFramePr>
        <xdr:cNvPr id="11" name="Chart 10">
          <a:extLst>
            <a:ext uri="{FF2B5EF4-FFF2-40B4-BE49-F238E27FC236}">
              <a16:creationId xmlns:a16="http://schemas.microsoft.com/office/drawing/2014/main" id="{80128171-2E14-46C4-9D94-7EBFBCE591A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321468</xdr:colOff>
      <xdr:row>87</xdr:row>
      <xdr:rowOff>23813</xdr:rowOff>
    </xdr:from>
    <xdr:to>
      <xdr:col>36</xdr:col>
      <xdr:colOff>30003</xdr:colOff>
      <xdr:row>89</xdr:row>
      <xdr:rowOff>432911</xdr:rowOff>
    </xdr:to>
    <xdr:graphicFrame macro="">
      <xdr:nvGraphicFramePr>
        <xdr:cNvPr id="12" name="Chart 11">
          <a:extLst>
            <a:ext uri="{FF2B5EF4-FFF2-40B4-BE49-F238E27FC236}">
              <a16:creationId xmlns:a16="http://schemas.microsoft.com/office/drawing/2014/main" id="{916F8185-C596-45C0-8E39-486F95199EB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325279</xdr:colOff>
      <xdr:row>89</xdr:row>
      <xdr:rowOff>521970</xdr:rowOff>
    </xdr:from>
    <xdr:to>
      <xdr:col>36</xdr:col>
      <xdr:colOff>20479</xdr:colOff>
      <xdr:row>92</xdr:row>
      <xdr:rowOff>476249</xdr:rowOff>
    </xdr:to>
    <xdr:graphicFrame macro="">
      <xdr:nvGraphicFramePr>
        <xdr:cNvPr id="13" name="Chart 12">
          <a:extLst>
            <a:ext uri="{FF2B5EF4-FFF2-40B4-BE49-F238E27FC236}">
              <a16:creationId xmlns:a16="http://schemas.microsoft.com/office/drawing/2014/main" id="{7BBF22C4-702F-40D1-8DC9-C77D4EEE422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309562</xdr:colOff>
      <xdr:row>19</xdr:row>
      <xdr:rowOff>35719</xdr:rowOff>
    </xdr:from>
    <xdr:to>
      <xdr:col>36</xdr:col>
      <xdr:colOff>23812</xdr:colOff>
      <xdr:row>21</xdr:row>
      <xdr:rowOff>429510</xdr:rowOff>
    </xdr:to>
    <xdr:graphicFrame macro="">
      <xdr:nvGraphicFramePr>
        <xdr:cNvPr id="14" name="Chart 5">
          <a:extLst>
            <a:ext uri="{FF2B5EF4-FFF2-40B4-BE49-F238E27FC236}">
              <a16:creationId xmlns:a16="http://schemas.microsoft.com/office/drawing/2014/main" id="{8EFD3D01-76DC-4B31-B2C0-EE6DA372DE2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315686</xdr:colOff>
      <xdr:row>22</xdr:row>
      <xdr:rowOff>0</xdr:rowOff>
    </xdr:from>
    <xdr:to>
      <xdr:col>36</xdr:col>
      <xdr:colOff>26126</xdr:colOff>
      <xdr:row>25</xdr:row>
      <xdr:rowOff>0</xdr:rowOff>
    </xdr:to>
    <xdr:graphicFrame macro="">
      <xdr:nvGraphicFramePr>
        <xdr:cNvPr id="15" name="Chart 5">
          <a:extLst>
            <a:ext uri="{FF2B5EF4-FFF2-40B4-BE49-F238E27FC236}">
              <a16:creationId xmlns:a16="http://schemas.microsoft.com/office/drawing/2014/main" id="{6B9FB8E3-ADEE-48EC-BBAC-3D35BCD4CE4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21" name="Chart 5">
          <a:extLst>
            <a:ext uri="{FF2B5EF4-FFF2-40B4-BE49-F238E27FC236}">
              <a16:creationId xmlns:a16="http://schemas.microsoft.com/office/drawing/2014/main" id="{F563EB75-451C-4FB5-A1B7-35EA07538262}"/>
            </a:ext>
            <a:ext uri="{147F2762-F138-4A5C-976F-8EAC2B608ADB}">
              <a16:predDERef xmlns:a16="http://schemas.microsoft.com/office/drawing/2014/main" pred="{6B9FB8E3-ADEE-48EC-BBAC-3D35BCD4C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23</xdr:col>
      <xdr:colOff>9525</xdr:colOff>
      <xdr:row>0</xdr:row>
      <xdr:rowOff>76200</xdr:rowOff>
    </xdr:from>
    <xdr:to>
      <xdr:col>40</xdr:col>
      <xdr:colOff>218508</xdr:colOff>
      <xdr:row>18</xdr:row>
      <xdr:rowOff>84632</xdr:rowOff>
    </xdr:to>
    <xdr:graphicFrame macro="">
      <xdr:nvGraphicFramePr>
        <xdr:cNvPr id="2" name="Chart 5">
          <a:extLst>
            <a:ext uri="{FF2B5EF4-FFF2-40B4-BE49-F238E27FC236}">
              <a16:creationId xmlns:a16="http://schemas.microsoft.com/office/drawing/2014/main" id="{0C92C4BD-9D16-4766-9C1E-063DE8550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66</xdr:row>
      <xdr:rowOff>0</xdr:rowOff>
    </xdr:from>
    <xdr:to>
      <xdr:col>6</xdr:col>
      <xdr:colOff>3637</xdr:colOff>
      <xdr:row>88</xdr:row>
      <xdr:rowOff>131643</xdr:rowOff>
    </xdr:to>
    <xdr:pic>
      <xdr:nvPicPr>
        <xdr:cNvPr id="5" name="Picture 4">
          <a:extLst>
            <a:ext uri="{FF2B5EF4-FFF2-40B4-BE49-F238E27FC236}">
              <a16:creationId xmlns:a16="http://schemas.microsoft.com/office/drawing/2014/main" id="{8EAD5D76-A33F-812D-5E8C-30BEA9878570}"/>
            </a:ext>
          </a:extLst>
        </xdr:cNvPr>
        <xdr:cNvPicPr>
          <a:picLocks noChangeAspect="1"/>
        </xdr:cNvPicPr>
      </xdr:nvPicPr>
      <xdr:blipFill>
        <a:blip xmlns:r="http://schemas.openxmlformats.org/officeDocument/2006/relationships" r:embed="rId2"/>
        <a:stretch>
          <a:fillRect/>
        </a:stretch>
      </xdr:blipFill>
      <xdr:spPr>
        <a:xfrm>
          <a:off x="0" y="12864353"/>
          <a:ext cx="6792273" cy="3829584"/>
        </a:xfrm>
        <a:prstGeom prst="rect">
          <a:avLst/>
        </a:prstGeom>
      </xdr:spPr>
    </xdr:pic>
    <xdr:clientData/>
  </xdr:twoCellAnchor>
  <xdr:twoCellAnchor editAs="oneCell">
    <xdr:from>
      <xdr:col>0</xdr:col>
      <xdr:colOff>0</xdr:colOff>
      <xdr:row>26</xdr:row>
      <xdr:rowOff>0</xdr:rowOff>
    </xdr:from>
    <xdr:to>
      <xdr:col>8</xdr:col>
      <xdr:colOff>31502</xdr:colOff>
      <xdr:row>63</xdr:row>
      <xdr:rowOff>90643</xdr:rowOff>
    </xdr:to>
    <xdr:pic>
      <xdr:nvPicPr>
        <xdr:cNvPr id="3" name="Picture 2">
          <a:extLst>
            <a:ext uri="{FF2B5EF4-FFF2-40B4-BE49-F238E27FC236}">
              <a16:creationId xmlns:a16="http://schemas.microsoft.com/office/drawing/2014/main" id="{BAA32514-8765-66EC-A390-85A5D0EE6FC1}"/>
            </a:ext>
          </a:extLst>
        </xdr:cNvPr>
        <xdr:cNvPicPr>
          <a:picLocks noChangeAspect="1"/>
        </xdr:cNvPicPr>
      </xdr:nvPicPr>
      <xdr:blipFill>
        <a:blip xmlns:r="http://schemas.openxmlformats.org/officeDocument/2006/relationships" r:embed="rId3"/>
        <a:stretch>
          <a:fillRect/>
        </a:stretch>
      </xdr:blipFill>
      <xdr:spPr>
        <a:xfrm>
          <a:off x="0" y="6140824"/>
          <a:ext cx="8693649" cy="63099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Archive/HotelLarge_Prototype_Scorecard_3Oct2025.xlsx" TargetMode="External"/><Relationship Id="rId1" Type="http://schemas.openxmlformats.org/officeDocument/2006/relationships/externalLinkPath" Target="Archive/HotelLarge_Prototype_Scorecard_3Oc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Prototype"/>
      <sheetName val="Zones"/>
      <sheetName val="HVAC System"/>
      <sheetName val="Envelope"/>
      <sheetName val="Heating-No area used to convert"/>
      <sheetName val="Thermostat"/>
      <sheetName val="Ventilation"/>
      <sheetName val="Water Heater"/>
      <sheetName val="Cooking Euipment"/>
      <sheetName val="Air compressor"/>
      <sheetName val="Refrigerated"/>
      <sheetName val="Interior Lights"/>
      <sheetName val="Occupnacy"/>
      <sheetName val="Ext Lighting"/>
      <sheetName val="Equipment"/>
      <sheetName val="Schedules"/>
      <sheetName val="Energy Usage"/>
      <sheetName val="Weights"/>
      <sheetName val="PV"/>
      <sheetName val="EV Charger"/>
      <sheetName val="Data"/>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0_Input%20data/Lighting/PNNL-20405.pdf"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49"/>
  <sheetViews>
    <sheetView zoomScaleNormal="100" workbookViewId="0">
      <selection sqref="A1:F1"/>
    </sheetView>
  </sheetViews>
  <sheetFormatPr defaultColWidth="9.28515625" defaultRowHeight="12.75"/>
  <cols>
    <col min="1" max="1" width="16.140625" style="4" bestFit="1" customWidth="1"/>
    <col min="2" max="2" width="77.28515625" style="4" customWidth="1"/>
    <col min="3" max="3" width="12" style="4" customWidth="1"/>
    <col min="4" max="7" width="9.28515625" style="4"/>
    <col min="8" max="8" width="21.7109375" style="4" customWidth="1"/>
    <col min="9" max="9" width="10.7109375" style="4" customWidth="1"/>
    <col min="10" max="10" width="9.7109375" style="4" customWidth="1"/>
    <col min="11" max="11" width="9.7109375" style="4" bestFit="1" customWidth="1"/>
    <col min="12" max="16384" width="9.28515625" style="4"/>
  </cols>
  <sheetData>
    <row r="1" spans="1:7" ht="20.45" customHeight="1">
      <c r="A1" s="391" t="s">
        <v>0</v>
      </c>
      <c r="B1" s="391"/>
      <c r="C1" s="391"/>
      <c r="D1" s="391"/>
      <c r="E1" s="391"/>
      <c r="F1" s="391"/>
    </row>
    <row r="2" spans="1:7">
      <c r="A2" s="400" t="s">
        <v>1</v>
      </c>
      <c r="B2" s="4" t="s">
        <v>2</v>
      </c>
      <c r="C2" s="397"/>
      <c r="D2" s="397"/>
      <c r="E2" s="397"/>
      <c r="F2" s="397"/>
    </row>
    <row r="3" spans="1:7">
      <c r="A3" s="400"/>
      <c r="B3" s="4" t="s">
        <v>3</v>
      </c>
      <c r="C3" s="397"/>
      <c r="D3" s="397"/>
      <c r="E3" s="397"/>
      <c r="F3" s="397"/>
    </row>
    <row r="4" spans="1:7">
      <c r="A4" s="400"/>
      <c r="B4" s="4" t="s">
        <v>4</v>
      </c>
      <c r="C4" s="397"/>
      <c r="D4" s="397"/>
      <c r="E4" s="397"/>
      <c r="F4" s="397"/>
    </row>
    <row r="5" spans="1:7">
      <c r="A5" s="400"/>
      <c r="C5" s="397"/>
      <c r="D5" s="397"/>
      <c r="E5" s="397"/>
      <c r="F5" s="397"/>
    </row>
    <row r="6" spans="1:7" ht="15">
      <c r="A6" s="400" t="s">
        <v>5</v>
      </c>
      <c r="B6" s="4" t="s">
        <v>6</v>
      </c>
      <c r="C6" s="393" t="s">
        <v>7</v>
      </c>
      <c r="D6" s="399"/>
      <c r="E6" s="399"/>
      <c r="F6" s="399"/>
    </row>
    <row r="7" spans="1:7" ht="15">
      <c r="A7" s="400"/>
      <c r="C7" s="393"/>
      <c r="D7" s="399"/>
      <c r="E7" s="399"/>
      <c r="F7" s="399"/>
    </row>
    <row r="8" spans="1:7" ht="15">
      <c r="A8" s="400"/>
      <c r="C8" s="393"/>
      <c r="D8" s="399"/>
      <c r="E8" s="399"/>
      <c r="F8" s="399"/>
    </row>
    <row r="9" spans="1:7">
      <c r="A9" s="396" t="s">
        <v>8</v>
      </c>
      <c r="B9" s="349" t="s">
        <v>9</v>
      </c>
      <c r="C9" s="392"/>
      <c r="D9" s="392"/>
      <c r="E9" s="392"/>
      <c r="F9" s="392"/>
    </row>
    <row r="10" spans="1:7">
      <c r="A10" s="396"/>
      <c r="B10" s="349" t="s">
        <v>10</v>
      </c>
      <c r="C10" s="392"/>
      <c r="D10" s="392"/>
      <c r="E10" s="392"/>
      <c r="F10" s="392"/>
    </row>
    <row r="11" spans="1:7">
      <c r="A11" s="396"/>
      <c r="B11" s="349" t="s">
        <v>11</v>
      </c>
      <c r="C11" s="392"/>
      <c r="D11" s="392"/>
      <c r="E11" s="392"/>
      <c r="F11" s="392"/>
    </row>
    <row r="12" spans="1:7">
      <c r="A12" s="396"/>
      <c r="B12" s="349" t="s">
        <v>12</v>
      </c>
      <c r="C12" s="392"/>
      <c r="D12" s="392"/>
      <c r="E12" s="392"/>
      <c r="F12" s="392"/>
    </row>
    <row r="13" spans="1:7" ht="15">
      <c r="A13" s="396"/>
      <c r="B13" s="349" t="s">
        <v>13</v>
      </c>
      <c r="C13" s="194" t="s">
        <v>14</v>
      </c>
      <c r="D13" s="362"/>
      <c r="E13" s="362"/>
      <c r="F13" s="362"/>
      <c r="G13" s="4" t="s">
        <v>15</v>
      </c>
    </row>
    <row r="14" spans="1:7">
      <c r="A14" s="396"/>
      <c r="C14" s="397"/>
      <c r="D14" s="397"/>
      <c r="E14" s="397"/>
      <c r="F14" s="397"/>
      <c r="G14" s="4" t="s">
        <v>15</v>
      </c>
    </row>
    <row r="15" spans="1:7" ht="15">
      <c r="A15" s="396" t="s">
        <v>16</v>
      </c>
      <c r="B15" s="195" t="s">
        <v>17</v>
      </c>
      <c r="C15" s="393" t="s">
        <v>18</v>
      </c>
      <c r="D15" s="393"/>
      <c r="E15" s="393"/>
      <c r="F15" s="393"/>
      <c r="G15" s="4" t="s">
        <v>15</v>
      </c>
    </row>
    <row r="16" spans="1:7" ht="15">
      <c r="A16" s="396"/>
      <c r="B16" s="349" t="s">
        <v>19</v>
      </c>
      <c r="C16" s="393" t="s">
        <v>20</v>
      </c>
      <c r="D16" s="393"/>
      <c r="E16" s="393"/>
      <c r="F16" s="393"/>
    </row>
    <row r="17" spans="1:7" ht="15">
      <c r="A17" s="396"/>
      <c r="B17" s="195" t="s">
        <v>21</v>
      </c>
      <c r="C17" s="398" t="s">
        <v>22</v>
      </c>
      <c r="D17" s="397"/>
      <c r="E17" s="397"/>
      <c r="F17" s="397"/>
    </row>
    <row r="18" spans="1:7" ht="15">
      <c r="A18" s="396"/>
      <c r="B18" s="349" t="s">
        <v>23</v>
      </c>
      <c r="C18" s="393" t="s">
        <v>24</v>
      </c>
      <c r="D18" s="393"/>
      <c r="E18" s="393"/>
      <c r="F18" s="393"/>
    </row>
    <row r="19" spans="1:7" ht="15">
      <c r="A19" s="396"/>
      <c r="B19" s="349" t="s">
        <v>25</v>
      </c>
      <c r="C19" s="363" t="s">
        <v>26</v>
      </c>
      <c r="D19" s="363"/>
      <c r="E19" s="363"/>
      <c r="F19" s="363"/>
      <c r="G19" s="4" t="s">
        <v>15</v>
      </c>
    </row>
    <row r="20" spans="1:7" ht="18.600000000000001" customHeight="1">
      <c r="A20" s="391" t="s">
        <v>27</v>
      </c>
      <c r="B20" s="391"/>
      <c r="C20" s="391"/>
      <c r="D20" s="391"/>
      <c r="E20" s="391"/>
      <c r="F20" s="391"/>
    </row>
    <row r="21" spans="1:7">
      <c r="C21" s="366"/>
      <c r="D21" s="366"/>
      <c r="E21" s="366"/>
      <c r="F21" s="366"/>
    </row>
    <row r="22" spans="1:7">
      <c r="C22" s="366"/>
      <c r="D22" s="366"/>
      <c r="E22" s="366"/>
      <c r="F22" s="366"/>
    </row>
    <row r="23" spans="1:7">
      <c r="C23" s="366"/>
      <c r="D23" s="366"/>
      <c r="E23" s="366"/>
      <c r="F23" s="366"/>
    </row>
    <row r="24" spans="1:7">
      <c r="C24" s="366"/>
      <c r="D24" s="366"/>
      <c r="E24" s="366"/>
      <c r="F24" s="366"/>
    </row>
    <row r="25" spans="1:7">
      <c r="C25" s="366"/>
      <c r="D25" s="366"/>
      <c r="E25" s="366"/>
      <c r="F25" s="366"/>
    </row>
    <row r="26" spans="1:7">
      <c r="C26" s="366"/>
      <c r="D26" s="366"/>
      <c r="E26" s="366"/>
      <c r="F26" s="366"/>
    </row>
    <row r="27" spans="1:7">
      <c r="C27" s="366"/>
      <c r="D27" s="366"/>
      <c r="E27" s="366"/>
      <c r="F27" s="366"/>
    </row>
    <row r="28" spans="1:7">
      <c r="C28" s="366"/>
      <c r="D28" s="366"/>
      <c r="E28" s="366"/>
      <c r="F28" s="366"/>
    </row>
    <row r="29" spans="1:7">
      <c r="C29" s="366"/>
      <c r="D29" s="366"/>
      <c r="E29" s="366"/>
      <c r="F29" s="366"/>
    </row>
    <row r="30" spans="1:7">
      <c r="C30" s="366"/>
      <c r="D30" s="366"/>
      <c r="E30" s="366"/>
      <c r="F30" s="366"/>
    </row>
    <row r="31" spans="1:7">
      <c r="C31" s="366"/>
      <c r="D31" s="366"/>
      <c r="E31" s="366"/>
      <c r="F31" s="366"/>
    </row>
    <row r="32" spans="1:7">
      <c r="C32" s="366"/>
      <c r="D32" s="366"/>
      <c r="E32" s="366"/>
      <c r="F32" s="366"/>
    </row>
    <row r="33" spans="1:11" ht="19.149999999999999" customHeight="1">
      <c r="A33" s="391" t="s">
        <v>28</v>
      </c>
      <c r="B33" s="391"/>
      <c r="C33" s="391"/>
      <c r="D33" s="391"/>
      <c r="E33" s="391"/>
      <c r="F33" s="391"/>
    </row>
    <row r="34" spans="1:11" ht="105.6" customHeight="1">
      <c r="A34" s="394" t="s">
        <v>29</v>
      </c>
      <c r="B34" s="390" t="s">
        <v>30</v>
      </c>
      <c r="C34" s="390"/>
      <c r="D34" s="390"/>
      <c r="E34" s="390"/>
      <c r="F34" s="390"/>
      <c r="H34" s="7"/>
      <c r="I34" s="381"/>
      <c r="J34" s="381"/>
      <c r="K34" s="381"/>
    </row>
    <row r="35" spans="1:11" ht="93.6" customHeight="1">
      <c r="A35" s="394"/>
      <c r="B35" s="390" t="s">
        <v>31</v>
      </c>
      <c r="C35" s="390"/>
      <c r="D35" s="390"/>
      <c r="E35" s="390"/>
      <c r="F35" s="390"/>
      <c r="H35" s="7"/>
      <c r="I35" s="27"/>
      <c r="J35" s="27"/>
      <c r="K35" s="27"/>
    </row>
    <row r="36" spans="1:11" ht="93.6" customHeight="1">
      <c r="A36" s="394"/>
      <c r="B36" s="395" t="s">
        <v>32</v>
      </c>
      <c r="C36" s="390"/>
      <c r="D36" s="390"/>
      <c r="E36" s="390"/>
      <c r="F36" s="390"/>
    </row>
    <row r="37" spans="1:11" ht="15">
      <c r="A37" s="364"/>
      <c r="B37" s="7"/>
      <c r="C37" s="7"/>
      <c r="D37" s="7"/>
      <c r="E37" s="7"/>
      <c r="F37" s="7"/>
      <c r="H37"/>
    </row>
    <row r="49" spans="7:7" ht="15">
      <c r="G49"/>
    </row>
  </sheetData>
  <mergeCells count="27">
    <mergeCell ref="C9:F9"/>
    <mergeCell ref="A1:F1"/>
    <mergeCell ref="C2:F2"/>
    <mergeCell ref="C3:F3"/>
    <mergeCell ref="C5:F5"/>
    <mergeCell ref="C6:F6"/>
    <mergeCell ref="A2:A5"/>
    <mergeCell ref="A6:A8"/>
    <mergeCell ref="C7:F7"/>
    <mergeCell ref="C8:F8"/>
    <mergeCell ref="C4:F4"/>
    <mergeCell ref="B34:F34"/>
    <mergeCell ref="A33:F33"/>
    <mergeCell ref="A20:F20"/>
    <mergeCell ref="C10:F10"/>
    <mergeCell ref="C18:F18"/>
    <mergeCell ref="C16:F16"/>
    <mergeCell ref="C11:F11"/>
    <mergeCell ref="C12:F12"/>
    <mergeCell ref="C15:F15"/>
    <mergeCell ref="A34:A36"/>
    <mergeCell ref="B35:F35"/>
    <mergeCell ref="B36:F36"/>
    <mergeCell ref="A9:A14"/>
    <mergeCell ref="A15:A19"/>
    <mergeCell ref="C14:F14"/>
    <mergeCell ref="C17:F17"/>
  </mergeCells>
  <phoneticPr fontId="5" type="noConversion"/>
  <hyperlinks>
    <hyperlink ref="C6" r:id="rId1" xr:uid="{BE11EEF8-3AF7-48F0-A38B-7309CE5A9491}"/>
    <hyperlink ref="C13" r:id="rId2" xr:uid="{503F163B-AFBD-427F-ADC4-A1AE50657669}"/>
    <hyperlink ref="C15" r:id="rId3" xr:uid="{E864610B-B6CB-4D7D-8E7A-ADEB74F9D08F}"/>
    <hyperlink ref="C16" r:id="rId4" xr:uid="{C7B98ED6-F285-456B-8617-9DFBA59B4488}"/>
    <hyperlink ref="C18" r:id="rId5" display="\\carcgl.com\amer\nor\Prj_SUS\2023\S23668 SCE CA Prototypes Development\Technical\NR\0_Input data\Lighting\PNNL-20405.pdf" xr:uid="{3EF0991A-66B7-47EA-BC76-6D88C135361A}"/>
    <hyperlink ref="C19"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7" xr:uid="{AC8A87CD-B523-4A49-AE6F-94E4A4371B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2"/>
  <sheetViews>
    <sheetView tabSelected="1" zoomScaleNormal="100" workbookViewId="0">
      <selection sqref="A1:C1"/>
    </sheetView>
  </sheetViews>
  <sheetFormatPr defaultColWidth="9.28515625" defaultRowHeight="14.25"/>
  <cols>
    <col min="1" max="1" width="25" style="2" customWidth="1"/>
    <col min="2" max="2" width="51.28515625" style="2" customWidth="1"/>
    <col min="3" max="3" width="49.7109375" style="2" customWidth="1"/>
    <col min="4" max="9" width="8.7109375" style="2" customWidth="1"/>
    <col min="10" max="16384" width="9.28515625" style="2"/>
  </cols>
  <sheetData>
    <row r="1" spans="1:9" ht="18">
      <c r="A1" s="401" t="s">
        <v>33</v>
      </c>
      <c r="B1" s="401"/>
      <c r="C1" s="401"/>
      <c r="D1" s="10"/>
      <c r="E1" s="10"/>
      <c r="F1" s="10"/>
    </row>
    <row r="2" spans="1:9" ht="25.15" customHeight="1">
      <c r="A2" s="402" t="s">
        <v>34</v>
      </c>
      <c r="B2" s="402"/>
      <c r="C2" s="402"/>
      <c r="D2" s="10"/>
      <c r="E2" s="10"/>
      <c r="F2" s="10"/>
    </row>
    <row r="3" spans="1:9" ht="20.45" customHeight="1">
      <c r="A3" s="213" t="s">
        <v>35</v>
      </c>
      <c r="B3" s="373" t="s">
        <v>36</v>
      </c>
      <c r="C3" s="373" t="s">
        <v>0</v>
      </c>
    </row>
    <row r="4" spans="1:9" ht="16.149999999999999" customHeight="1">
      <c r="A4" s="13" t="s">
        <v>37</v>
      </c>
      <c r="B4" s="370" t="s">
        <v>38</v>
      </c>
      <c r="C4" s="13"/>
    </row>
    <row r="5" spans="1:9" ht="16.149999999999999" customHeight="1">
      <c r="A5" s="13" t="s">
        <v>39</v>
      </c>
      <c r="B5" s="370" t="s">
        <v>40</v>
      </c>
      <c r="C5" s="13"/>
    </row>
    <row r="6" spans="1:9" ht="28.9" customHeight="1">
      <c r="A6" s="13" t="s">
        <v>41</v>
      </c>
      <c r="B6" s="369" t="s">
        <v>42</v>
      </c>
      <c r="C6" s="209" t="s">
        <v>43</v>
      </c>
      <c r="D6" s="61" t="s">
        <v>44</v>
      </c>
    </row>
    <row r="7" spans="1:9" ht="97.15" customHeight="1">
      <c r="A7" s="13" t="s">
        <v>45</v>
      </c>
      <c r="B7"/>
      <c r="C7" s="14" t="s">
        <v>46</v>
      </c>
      <c r="D7"/>
      <c r="I7" s="3"/>
    </row>
    <row r="8" spans="1:9" ht="16.149999999999999" customHeight="1">
      <c r="A8" s="196" t="s">
        <v>47</v>
      </c>
      <c r="B8" s="11">
        <f>Zones!G10</f>
        <v>185627.8</v>
      </c>
      <c r="C8" s="13" t="s">
        <v>48</v>
      </c>
    </row>
    <row r="9" spans="1:9" ht="40.15" customHeight="1">
      <c r="A9" s="196" t="s">
        <v>49</v>
      </c>
      <c r="B9" s="60">
        <v>1</v>
      </c>
      <c r="C9" s="13" t="s">
        <v>48</v>
      </c>
    </row>
    <row r="10" spans="1:9" ht="18.600000000000001" customHeight="1">
      <c r="A10" s="214" t="s">
        <v>50</v>
      </c>
      <c r="B10" s="369">
        <v>3</v>
      </c>
      <c r="C10" s="13" t="s">
        <v>48</v>
      </c>
    </row>
    <row r="11" spans="1:9" ht="17.45" customHeight="1">
      <c r="A11" s="214" t="s">
        <v>51</v>
      </c>
      <c r="B11" s="370" t="s">
        <v>52</v>
      </c>
      <c r="C11" s="13" t="s">
        <v>48</v>
      </c>
    </row>
    <row r="12" spans="1:9" ht="19.899999999999999" customHeight="1">
      <c r="A12" s="214" t="s">
        <v>53</v>
      </c>
      <c r="B12" s="215" t="s">
        <v>54</v>
      </c>
      <c r="C12" s="13" t="s">
        <v>48</v>
      </c>
    </row>
    <row r="13" spans="1:9" ht="22.15" customHeight="1">
      <c r="A13" s="196" t="s">
        <v>55</v>
      </c>
      <c r="B13" s="12" t="s">
        <v>56</v>
      </c>
      <c r="C13" s="13" t="s">
        <v>48</v>
      </c>
    </row>
    <row r="14" spans="1:9" ht="33.6" customHeight="1">
      <c r="A14" s="196" t="s">
        <v>57</v>
      </c>
      <c r="B14" s="369">
        <v>13</v>
      </c>
      <c r="C14" s="13" t="s">
        <v>48</v>
      </c>
    </row>
    <row r="15" spans="1:9" ht="27.6" customHeight="1">
      <c r="A15" s="196" t="s">
        <v>58</v>
      </c>
      <c r="B15" s="370">
        <v>13</v>
      </c>
      <c r="C15" s="13" t="s">
        <v>48</v>
      </c>
    </row>
    <row r="16" spans="1:9">
      <c r="A16" s="196" t="s">
        <v>59</v>
      </c>
      <c r="B16" s="369" t="s">
        <v>60</v>
      </c>
      <c r="C16" s="13" t="s">
        <v>48</v>
      </c>
    </row>
    <row r="17" spans="1:3">
      <c r="A17" s="120"/>
      <c r="B17" s="364"/>
      <c r="C17" s="6"/>
    </row>
    <row r="18" spans="1:3">
      <c r="A18" s="120"/>
      <c r="B18" s="364"/>
      <c r="C18" s="6"/>
    </row>
    <row r="20" spans="1:3" ht="18.75">
      <c r="A20" s="217" t="s">
        <v>61</v>
      </c>
      <c r="B20" s="218">
        <v>27302.66</v>
      </c>
      <c r="C20" s="216"/>
    </row>
    <row r="21" spans="1:3" ht="18.75">
      <c r="A21" s="217" t="s">
        <v>62</v>
      </c>
      <c r="B21" s="218">
        <v>27302.66</v>
      </c>
      <c r="C21" s="216"/>
    </row>
    <row r="22" spans="1:3" ht="22.15" customHeight="1">
      <c r="A22" s="217" t="s">
        <v>63</v>
      </c>
      <c r="B22" s="218">
        <v>63116</v>
      </c>
      <c r="C22" s="6"/>
    </row>
    <row r="23" spans="1:3" ht="25.5">
      <c r="A23" s="217" t="s">
        <v>64</v>
      </c>
      <c r="B23" s="218">
        <v>0</v>
      </c>
      <c r="C23" s="6"/>
    </row>
    <row r="24" spans="1:3">
      <c r="A24" s="120"/>
      <c r="B24" s="364"/>
      <c r="C24" s="6"/>
    </row>
    <row r="27" spans="1:3" ht="14.65" customHeight="1"/>
    <row r="28" spans="1:3" ht="14.65" customHeight="1"/>
    <row r="31" spans="1:3" ht="14.65" customHeight="1"/>
    <row r="32" spans="1:3" ht="14.65" customHeight="1"/>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P25"/>
  <sheetViews>
    <sheetView zoomScale="80" zoomScaleNormal="80" workbookViewId="0">
      <pane xSplit="1" topLeftCell="E1" activePane="topRight" state="frozen"/>
      <selection pane="topRight" activeCell="M2" sqref="M2:P10"/>
    </sheetView>
  </sheetViews>
  <sheetFormatPr defaultColWidth="8.7109375" defaultRowHeight="12.75"/>
  <cols>
    <col min="1" max="1" width="60.42578125" style="4" customWidth="1"/>
    <col min="2" max="2" width="36.7109375" style="4" customWidth="1"/>
    <col min="3" max="4" width="18.42578125" style="4" customWidth="1"/>
    <col min="5" max="5" width="19" style="4" customWidth="1"/>
    <col min="6" max="6" width="14.7109375" style="4" customWidth="1"/>
    <col min="7" max="7" width="12.7109375" style="4" customWidth="1"/>
    <col min="8" max="8" width="12" style="4" bestFit="1" customWidth="1"/>
    <col min="9" max="10" width="11.28515625" style="4" customWidth="1"/>
    <col min="11" max="11" width="32.5703125" style="4" customWidth="1"/>
    <col min="12" max="12" width="24.42578125" style="4" customWidth="1"/>
    <col min="13" max="13" width="12.7109375" style="4" customWidth="1"/>
    <col min="14" max="14" width="25.28515625" style="4" customWidth="1"/>
    <col min="15" max="15" width="22.28515625" style="4" bestFit="1" customWidth="1"/>
    <col min="16" max="16" width="18.28515625" style="4" customWidth="1"/>
    <col min="17" max="17" width="25.7109375" style="4" customWidth="1"/>
    <col min="18" max="16384" width="8.7109375" style="4"/>
  </cols>
  <sheetData>
    <row r="1" spans="1:16" ht="25.9" customHeight="1" thickBot="1">
      <c r="A1" s="403" t="str">
        <f>"Proposed Layout - "&amp;Prototype!A2</f>
        <v>Proposed Layout - ParkingOpen</v>
      </c>
      <c r="B1" s="404"/>
      <c r="C1" s="404"/>
      <c r="D1" s="404"/>
      <c r="E1" s="404"/>
      <c r="F1" s="404"/>
      <c r="G1" s="404"/>
      <c r="H1" s="404"/>
      <c r="I1" s="404"/>
      <c r="J1" s="404"/>
      <c r="K1" s="405"/>
    </row>
    <row r="2" spans="1:16" ht="53.45" customHeight="1">
      <c r="A2" s="112" t="s">
        <v>65</v>
      </c>
      <c r="B2" s="112" t="s">
        <v>66</v>
      </c>
      <c r="C2" s="379" t="s">
        <v>67</v>
      </c>
      <c r="D2" s="73" t="s">
        <v>68</v>
      </c>
      <c r="E2" s="25" t="s">
        <v>69</v>
      </c>
      <c r="F2" s="26" t="s">
        <v>70</v>
      </c>
      <c r="G2" s="26" t="s">
        <v>71</v>
      </c>
      <c r="H2" s="25" t="s">
        <v>72</v>
      </c>
      <c r="I2" s="25" t="s">
        <v>73</v>
      </c>
      <c r="J2" s="166" t="s">
        <v>74</v>
      </c>
      <c r="K2" s="25" t="s">
        <v>75</v>
      </c>
      <c r="L2"/>
      <c r="M2" s="406"/>
      <c r="N2" s="407"/>
      <c r="O2" s="407"/>
      <c r="P2" s="408"/>
    </row>
    <row r="3" spans="1:16" ht="17.649999999999999" customHeight="1">
      <c r="A3" s="66" t="s">
        <v>76</v>
      </c>
      <c r="B3" s="66" t="s">
        <v>77</v>
      </c>
      <c r="C3" s="66" t="s">
        <v>60</v>
      </c>
      <c r="D3" s="66" t="s">
        <v>78</v>
      </c>
      <c r="E3" s="66" t="s">
        <v>79</v>
      </c>
      <c r="F3" s="87">
        <f t="shared" ref="F3:F9" si="0">G3/$G$10</f>
        <v>3.2595063885905023E-2</v>
      </c>
      <c r="G3" s="67">
        <f>6050.55</f>
        <v>6050.55</v>
      </c>
      <c r="H3" s="15">
        <v>13110.37</v>
      </c>
      <c r="I3" s="15">
        <v>3</v>
      </c>
      <c r="J3" s="15">
        <f>(K3*G3)/1000</f>
        <v>30.252749999999999</v>
      </c>
      <c r="K3" s="167">
        <v>5</v>
      </c>
      <c r="L3"/>
      <c r="M3" s="409"/>
      <c r="N3" s="410"/>
      <c r="O3" s="410"/>
      <c r="P3" s="411"/>
    </row>
    <row r="4" spans="1:16" ht="17.649999999999999" customHeight="1">
      <c r="A4" s="66" t="s">
        <v>80</v>
      </c>
      <c r="B4" s="66" t="s">
        <v>81</v>
      </c>
      <c r="C4" s="66" t="s">
        <v>60</v>
      </c>
      <c r="D4" s="66" t="s">
        <v>78</v>
      </c>
      <c r="E4" s="66" t="s">
        <v>79</v>
      </c>
      <c r="F4" s="87">
        <f t="shared" si="0"/>
        <v>9.8053201083027446E-3</v>
      </c>
      <c r="G4" s="67">
        <f>1820.14</f>
        <v>1820.14</v>
      </c>
      <c r="H4" s="15">
        <v>23663.58</v>
      </c>
      <c r="I4" s="15">
        <v>1</v>
      </c>
      <c r="J4" s="15">
        <f t="shared" ref="J4:J9" si="1">(K4*G4)/1000</f>
        <v>9.1007000000000016</v>
      </c>
      <c r="K4" s="167">
        <v>5</v>
      </c>
      <c r="L4"/>
      <c r="M4" s="409"/>
      <c r="N4" s="410"/>
      <c r="O4" s="410"/>
      <c r="P4" s="411"/>
    </row>
    <row r="5" spans="1:16" ht="17.649999999999999" customHeight="1">
      <c r="A5" s="66" t="s">
        <v>76</v>
      </c>
      <c r="B5" s="66" t="s">
        <v>82</v>
      </c>
      <c r="C5" s="66" t="s">
        <v>60</v>
      </c>
      <c r="D5" s="66" t="s">
        <v>78</v>
      </c>
      <c r="E5" s="66" t="s">
        <v>79</v>
      </c>
      <c r="F5" s="87">
        <f t="shared" si="0"/>
        <v>7.4349477826058386E-2</v>
      </c>
      <c r="G5" s="67">
        <f>13801.33</f>
        <v>13801.33</v>
      </c>
      <c r="H5" s="15">
        <v>29904.25</v>
      </c>
      <c r="I5" s="15">
        <v>3</v>
      </c>
      <c r="J5" s="15">
        <f t="shared" si="1"/>
        <v>69.006649999999993</v>
      </c>
      <c r="K5" s="167">
        <v>5</v>
      </c>
      <c r="L5"/>
      <c r="M5" s="409"/>
      <c r="N5" s="410"/>
      <c r="O5" s="410"/>
      <c r="P5" s="411"/>
    </row>
    <row r="6" spans="1:16" ht="17.649999999999999" customHeight="1">
      <c r="A6" s="66" t="s">
        <v>76</v>
      </c>
      <c r="B6" s="66" t="s">
        <v>83</v>
      </c>
      <c r="C6" s="66" t="s">
        <v>60</v>
      </c>
      <c r="D6" s="66" t="s">
        <v>78</v>
      </c>
      <c r="E6" s="66" t="s">
        <v>79</v>
      </c>
      <c r="F6" s="87">
        <f t="shared" si="0"/>
        <v>7.4349477826058386E-2</v>
      </c>
      <c r="G6" s="67">
        <f>13801.33</f>
        <v>13801.33</v>
      </c>
      <c r="H6" s="15">
        <v>29904.25</v>
      </c>
      <c r="I6" s="15">
        <v>3</v>
      </c>
      <c r="J6" s="15">
        <f t="shared" si="1"/>
        <v>69.006649999999993</v>
      </c>
      <c r="K6" s="167">
        <v>5</v>
      </c>
      <c r="L6"/>
      <c r="M6" s="409"/>
      <c r="N6" s="410"/>
      <c r="O6" s="410"/>
      <c r="P6" s="411"/>
    </row>
    <row r="7" spans="1:16" ht="17.649999999999999" customHeight="1">
      <c r="A7" s="284" t="s">
        <v>84</v>
      </c>
      <c r="B7" s="66" t="s">
        <v>85</v>
      </c>
      <c r="C7" s="66" t="s">
        <v>86</v>
      </c>
      <c r="D7" s="287" t="s">
        <v>87</v>
      </c>
      <c r="E7" s="66" t="s">
        <v>79</v>
      </c>
      <c r="F7" s="219">
        <f t="shared" si="0"/>
        <v>2.1575432128161838E-4</v>
      </c>
      <c r="G7" s="67">
        <f>40.05*I7</f>
        <v>40.049999999999997</v>
      </c>
      <c r="H7" s="15">
        <v>320</v>
      </c>
      <c r="I7" s="15">
        <v>1</v>
      </c>
      <c r="J7" s="15">
        <f t="shared" si="1"/>
        <v>0.68084999999999996</v>
      </c>
      <c r="K7" s="167">
        <v>17</v>
      </c>
      <c r="L7"/>
      <c r="M7" s="409"/>
      <c r="N7" s="410"/>
      <c r="O7" s="410"/>
      <c r="P7" s="411"/>
    </row>
    <row r="8" spans="1:16" ht="17.649999999999999" customHeight="1">
      <c r="A8" s="66" t="s">
        <v>76</v>
      </c>
      <c r="B8" s="66" t="s">
        <v>88</v>
      </c>
      <c r="C8" s="66" t="s">
        <v>60</v>
      </c>
      <c r="D8" s="66" t="s">
        <v>78</v>
      </c>
      <c r="E8" s="66" t="s">
        <v>79</v>
      </c>
      <c r="F8" s="87">
        <f t="shared" si="0"/>
        <v>7.4349477826058386E-2</v>
      </c>
      <c r="G8" s="67">
        <f>13801.33</f>
        <v>13801.33</v>
      </c>
      <c r="H8" s="15">
        <v>29904.25</v>
      </c>
      <c r="I8" s="15">
        <v>3</v>
      </c>
      <c r="J8" s="15">
        <f t="shared" si="1"/>
        <v>69.006649999999993</v>
      </c>
      <c r="K8" s="167">
        <v>5</v>
      </c>
      <c r="L8"/>
      <c r="M8" s="409"/>
      <c r="N8" s="410"/>
      <c r="O8" s="410"/>
      <c r="P8" s="411"/>
    </row>
    <row r="9" spans="1:16" ht="17.649999999999999" customHeight="1">
      <c r="A9" s="66" t="s">
        <v>76</v>
      </c>
      <c r="B9" s="66" t="s">
        <v>89</v>
      </c>
      <c r="C9" s="66" t="s">
        <v>60</v>
      </c>
      <c r="D9" s="66" t="s">
        <v>78</v>
      </c>
      <c r="E9" s="66" t="s">
        <v>79</v>
      </c>
      <c r="F9" s="87">
        <f t="shared" si="0"/>
        <v>7.4349477826058386E-2</v>
      </c>
      <c r="G9" s="67">
        <f>13801.33</f>
        <v>13801.33</v>
      </c>
      <c r="H9" s="15">
        <v>29904.25</v>
      </c>
      <c r="I9" s="15">
        <v>3</v>
      </c>
      <c r="J9" s="15">
        <f t="shared" si="1"/>
        <v>69.006649999999993</v>
      </c>
      <c r="K9" s="167">
        <v>5</v>
      </c>
      <c r="L9"/>
      <c r="M9" s="409"/>
      <c r="N9" s="410"/>
      <c r="O9" s="410"/>
      <c r="P9" s="411"/>
    </row>
    <row r="10" spans="1:16" ht="39.6" customHeight="1" thickBot="1">
      <c r="A10" s="168" t="s">
        <v>90</v>
      </c>
      <c r="B10" s="168" t="s">
        <v>91</v>
      </c>
      <c r="C10" s="168" t="s">
        <v>92</v>
      </c>
      <c r="D10" s="168"/>
      <c r="E10" s="169" t="s">
        <v>93</v>
      </c>
      <c r="F10" s="170"/>
      <c r="G10" s="171">
        <f>G3*I3+G4*I4+G5*I5+G6*I6+G7+G8*I8+G9*I9</f>
        <v>185627.8</v>
      </c>
      <c r="H10" s="15"/>
      <c r="I10" s="15"/>
      <c r="J10" s="15">
        <f>SUM(J3:J9)</f>
        <v>316.06089999999995</v>
      </c>
      <c r="K10" s="167"/>
      <c r="L10"/>
      <c r="M10" s="412"/>
      <c r="N10" s="413"/>
      <c r="O10" s="413"/>
      <c r="P10" s="414"/>
    </row>
    <row r="11" spans="1:16" ht="15">
      <c r="G11" s="17"/>
      <c r="H11" s="17"/>
      <c r="I11" s="17"/>
      <c r="J11" s="17"/>
      <c r="K11" s="18"/>
      <c r="L11"/>
    </row>
    <row r="12" spans="1:16" ht="15">
      <c r="A12" s="5"/>
      <c r="B12" s="5"/>
      <c r="C12" s="5"/>
      <c r="D12" s="5"/>
      <c r="E12" s="5"/>
      <c r="F12" s="5"/>
      <c r="G12" s="19"/>
      <c r="I12" s="17"/>
      <c r="J12" s="17"/>
      <c r="K12" s="17"/>
      <c r="L12"/>
    </row>
    <row r="13" spans="1:16" ht="14.65" customHeight="1">
      <c r="A13" s="8"/>
      <c r="B13" s="8"/>
      <c r="C13" s="8"/>
      <c r="D13" s="8"/>
      <c r="E13" s="8"/>
      <c r="G13" s="232"/>
      <c r="H13" s="17"/>
      <c r="I13" s="17"/>
      <c r="J13" s="17"/>
      <c r="K13" s="17"/>
      <c r="L13"/>
    </row>
    <row r="14" spans="1:16" ht="15">
      <c r="A14" s="20"/>
      <c r="B14" s="20"/>
      <c r="C14" s="20"/>
      <c r="D14" s="20"/>
      <c r="E14" s="20"/>
      <c r="G14" s="17"/>
      <c r="H14" s="17"/>
      <c r="I14" s="17"/>
      <c r="J14" s="17"/>
      <c r="K14" s="17"/>
      <c r="L14"/>
    </row>
    <row r="15" spans="1:16" ht="15">
      <c r="A15" s="17"/>
      <c r="B15" s="17"/>
      <c r="C15" s="17"/>
      <c r="D15" s="17"/>
      <c r="E15" s="17"/>
      <c r="G15" s="17"/>
      <c r="H15" s="17"/>
      <c r="I15" s="17"/>
      <c r="J15" s="17"/>
      <c r="K15" s="17"/>
      <c r="L15"/>
    </row>
    <row r="16" spans="1:16" ht="15">
      <c r="A16" s="17"/>
      <c r="B16" s="17"/>
      <c r="C16" s="17"/>
      <c r="D16" s="17"/>
      <c r="E16" s="17"/>
      <c r="G16" s="17"/>
      <c r="H16" s="17"/>
      <c r="I16" s="17"/>
      <c r="J16" s="17"/>
      <c r="K16" s="17"/>
      <c r="L16"/>
    </row>
    <row r="17" spans="1:12" ht="15">
      <c r="G17" s="17"/>
      <c r="H17" s="17"/>
      <c r="I17" s="17"/>
      <c r="J17" s="17"/>
      <c r="K17" s="17"/>
      <c r="L17"/>
    </row>
    <row r="18" spans="1:12" ht="15">
      <c r="G18" s="17"/>
      <c r="H18" s="17"/>
      <c r="I18" s="17"/>
      <c r="J18" s="17"/>
      <c r="K18" s="17"/>
      <c r="L18"/>
    </row>
    <row r="19" spans="1:12" ht="15">
      <c r="G19" s="17"/>
      <c r="H19" s="17"/>
      <c r="I19" s="17"/>
      <c r="J19" s="17"/>
      <c r="K19" s="17"/>
      <c r="L19"/>
    </row>
    <row r="20" spans="1:12" ht="15">
      <c r="G20" s="17"/>
      <c r="H20" s="17"/>
      <c r="I20" s="17"/>
      <c r="J20" s="17"/>
      <c r="K20" s="17"/>
      <c r="L20"/>
    </row>
    <row r="21" spans="1:12" ht="15">
      <c r="G21" s="17"/>
      <c r="H21" s="17"/>
      <c r="I21" s="17"/>
      <c r="J21" s="17"/>
      <c r="K21" s="17"/>
      <c r="L21"/>
    </row>
    <row r="22" spans="1:12" s="21" customFormat="1" ht="14.45" hidden="1" customHeight="1">
      <c r="A22" s="21" t="s">
        <v>94</v>
      </c>
      <c r="G22" s="22"/>
      <c r="H22" s="24"/>
      <c r="L22" s="121"/>
    </row>
    <row r="23" spans="1:12" ht="15">
      <c r="A23" s="16"/>
      <c r="B23" s="16"/>
      <c r="C23" s="16"/>
      <c r="D23" s="16"/>
      <c r="E23" s="16"/>
      <c r="F23" s="16"/>
      <c r="L23"/>
    </row>
    <row r="24" spans="1:12" ht="15">
      <c r="L24"/>
    </row>
    <row r="25" spans="1:12" ht="15">
      <c r="L25"/>
    </row>
  </sheetData>
  <autoFilter ref="A2:K10" xr:uid="{2E9DC9C1-ABE9-4C74-8C0A-F769CBEC5074}"/>
  <mergeCells count="2">
    <mergeCell ref="A1:K1"/>
    <mergeCell ref="M2:P10"/>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C764EE-A58E-42AA-A710-33FC51E1CD20}">
          <x14:formula1>
            <xm:f>Data!$A$2:$A$200</xm:f>
          </x14:formula1>
          <xm:sqref>A3:A9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14"/>
  <sheetViews>
    <sheetView zoomScale="80" zoomScaleNormal="80" workbookViewId="0">
      <selection sqref="A1:X1"/>
    </sheetView>
  </sheetViews>
  <sheetFormatPr defaultColWidth="9.28515625" defaultRowHeight="14.25"/>
  <cols>
    <col min="1" max="1" width="15.42578125" style="56" customWidth="1"/>
    <col min="2" max="2" width="13.5703125" style="58" customWidth="1"/>
    <col min="3" max="3" width="26.42578125" style="56" customWidth="1"/>
    <col min="4" max="4" width="41.42578125" style="56" bestFit="1" customWidth="1"/>
    <col min="5" max="5" width="11.7109375" style="56" customWidth="1"/>
    <col min="6" max="6" width="20" style="56" customWidth="1"/>
    <col min="7" max="7" width="20.5703125" style="59" customWidth="1"/>
    <col min="8" max="8" width="59.5703125" style="56" customWidth="1"/>
    <col min="9" max="9" width="6.85546875" style="56" customWidth="1"/>
    <col min="10" max="12" width="7" style="56" customWidth="1"/>
    <col min="13" max="13" width="7.85546875" style="56" customWidth="1"/>
    <col min="14" max="14" width="8.7109375" style="56" customWidth="1"/>
    <col min="15" max="15" width="7" style="56" customWidth="1"/>
    <col min="16" max="16" width="7.140625" style="56" customWidth="1"/>
    <col min="17" max="17" width="7.5703125" style="56" customWidth="1"/>
    <col min="18" max="21" width="7" style="56" customWidth="1"/>
    <col min="22" max="22" width="7.7109375" style="56" customWidth="1"/>
    <col min="23" max="24" width="7" style="56" customWidth="1"/>
    <col min="25" max="26" width="9.28515625" style="56"/>
    <col min="27" max="30" width="7.7109375" style="56" customWidth="1"/>
    <col min="31" max="31" width="9.7109375" style="56" customWidth="1"/>
    <col min="32" max="32" width="7.5703125" style="56" customWidth="1"/>
    <col min="33" max="33" width="11.42578125" style="56" customWidth="1"/>
    <col min="34" max="42" width="7.7109375" style="56" customWidth="1"/>
    <col min="43" max="46" width="10.42578125" style="56" customWidth="1"/>
    <col min="47" max="47" width="9.85546875" style="56" customWidth="1"/>
    <col min="48" max="48" width="10.42578125" style="56" customWidth="1"/>
    <col min="49" max="49" width="21.7109375" style="56" customWidth="1"/>
    <col min="50" max="50" width="10.42578125" style="56" customWidth="1"/>
    <col min="51" max="53" width="7.42578125" style="56" customWidth="1"/>
    <col min="54" max="54" width="7.7109375" style="56" customWidth="1"/>
    <col min="55" max="55" width="7.42578125" style="56" customWidth="1"/>
    <col min="56" max="56" width="13.7109375" style="56" customWidth="1"/>
    <col min="57" max="60" width="7.42578125" style="56" customWidth="1"/>
    <col min="61" max="62" width="9.7109375" style="56" bestFit="1" customWidth="1"/>
    <col min="63" max="16384" width="9.28515625" style="56"/>
  </cols>
  <sheetData>
    <row r="1" spans="1:50" ht="31.9" customHeight="1">
      <c r="A1" s="420" t="str">
        <f>"Envelope - "&amp;Prototype!A2</f>
        <v>Envelope - ParkingOpen</v>
      </c>
      <c r="B1" s="420"/>
      <c r="C1" s="420"/>
      <c r="D1" s="420"/>
      <c r="E1" s="420"/>
      <c r="F1" s="420"/>
      <c r="G1" s="420"/>
      <c r="H1" s="420"/>
      <c r="I1" s="420"/>
      <c r="J1" s="420"/>
      <c r="K1" s="420"/>
      <c r="L1" s="420"/>
      <c r="M1" s="420"/>
      <c r="N1" s="420"/>
      <c r="O1" s="420"/>
      <c r="P1" s="420"/>
      <c r="Q1" s="420"/>
      <c r="R1" s="420"/>
      <c r="S1" s="420"/>
      <c r="T1" s="420"/>
      <c r="U1" s="420"/>
      <c r="V1" s="420"/>
      <c r="W1" s="420"/>
      <c r="X1" s="420"/>
      <c r="Y1" s="2"/>
      <c r="Z1" s="2"/>
      <c r="AA1" s="2"/>
      <c r="AB1" s="2"/>
      <c r="AC1" s="2"/>
      <c r="AD1" s="2"/>
      <c r="AE1" s="2"/>
      <c r="AF1" s="2"/>
      <c r="AG1" s="2"/>
      <c r="AH1" s="2"/>
      <c r="AI1" s="2"/>
      <c r="AJ1" s="2"/>
      <c r="AK1" s="2"/>
      <c r="AL1" s="2"/>
      <c r="AM1" s="2"/>
      <c r="AN1" s="2"/>
      <c r="AO1" s="2"/>
      <c r="AP1" s="2"/>
      <c r="AQ1" s="2"/>
      <c r="AR1" s="2"/>
      <c r="AS1" s="2"/>
      <c r="AT1" s="2"/>
      <c r="AU1" s="2"/>
      <c r="AV1" s="2"/>
      <c r="AW1" s="2"/>
      <c r="AX1" s="2"/>
    </row>
    <row r="2" spans="1:50" ht="45.6" customHeight="1">
      <c r="A2" s="373" t="s">
        <v>95</v>
      </c>
      <c r="B2" s="373" t="s">
        <v>5</v>
      </c>
      <c r="C2" s="373" t="s">
        <v>96</v>
      </c>
      <c r="D2" s="373" t="s">
        <v>97</v>
      </c>
      <c r="E2" s="374" t="s">
        <v>98</v>
      </c>
      <c r="F2" s="373" t="s">
        <v>99</v>
      </c>
      <c r="G2" s="374" t="s">
        <v>100</v>
      </c>
      <c r="H2" s="373" t="s">
        <v>101</v>
      </c>
      <c r="I2" s="373" t="s">
        <v>102</v>
      </c>
      <c r="J2" s="373" t="s">
        <v>103</v>
      </c>
      <c r="K2" s="373" t="s">
        <v>104</v>
      </c>
      <c r="L2" s="373" t="s">
        <v>105</v>
      </c>
      <c r="M2" s="373" t="s">
        <v>106</v>
      </c>
      <c r="N2" s="373" t="s">
        <v>107</v>
      </c>
      <c r="O2" s="373" t="s">
        <v>108</v>
      </c>
      <c r="P2" s="373" t="s">
        <v>109</v>
      </c>
      <c r="Q2" s="373" t="s">
        <v>110</v>
      </c>
      <c r="R2" s="373" t="s">
        <v>111</v>
      </c>
      <c r="S2" s="373" t="s">
        <v>112</v>
      </c>
      <c r="T2" s="373" t="s">
        <v>113</v>
      </c>
      <c r="U2" s="373" t="s">
        <v>114</v>
      </c>
      <c r="V2" s="373" t="s">
        <v>115</v>
      </c>
      <c r="W2" s="373" t="s">
        <v>116</v>
      </c>
      <c r="X2" s="373" t="s">
        <v>117</v>
      </c>
      <c r="Y2" s="2"/>
      <c r="Z2" s="2"/>
      <c r="AA2" s="2"/>
      <c r="AB2" s="2"/>
      <c r="AC2" s="2"/>
      <c r="AD2" s="2"/>
      <c r="AE2" s="2"/>
      <c r="AF2" s="2"/>
      <c r="AG2" s="2"/>
      <c r="AH2" s="2"/>
      <c r="AI2" s="2"/>
      <c r="AJ2" s="2"/>
      <c r="AK2" s="2"/>
      <c r="AL2" s="2"/>
      <c r="AM2" s="2"/>
      <c r="AN2" s="2"/>
      <c r="AO2" s="2"/>
      <c r="AP2" s="2"/>
      <c r="AQ2" s="2"/>
      <c r="AR2" s="2"/>
      <c r="AS2" s="2"/>
      <c r="AT2" s="2"/>
      <c r="AU2" s="2"/>
      <c r="AV2" s="2"/>
      <c r="AW2" s="2"/>
      <c r="AX2" s="2"/>
    </row>
    <row r="3" spans="1:50" ht="31.9" customHeight="1">
      <c r="A3" s="418" t="s">
        <v>118</v>
      </c>
      <c r="B3" s="417" t="str">
        <f>Prototype!A2</f>
        <v>ParkingOpen</v>
      </c>
      <c r="C3" s="415" t="s">
        <v>119</v>
      </c>
      <c r="D3" s="417" t="s">
        <v>120</v>
      </c>
      <c r="E3" s="418" t="s">
        <v>121</v>
      </c>
      <c r="F3" s="370" t="s">
        <v>122</v>
      </c>
      <c r="G3" s="370" t="s">
        <v>123</v>
      </c>
      <c r="H3" s="198" t="s">
        <v>124</v>
      </c>
      <c r="I3" s="198">
        <v>0.87</v>
      </c>
      <c r="J3" s="198">
        <v>0.87</v>
      </c>
      <c r="K3" s="198">
        <v>0.87</v>
      </c>
      <c r="L3" s="198">
        <v>0.87</v>
      </c>
      <c r="M3" s="198">
        <v>0.87</v>
      </c>
      <c r="N3" s="198">
        <v>0.87</v>
      </c>
      <c r="O3" s="198">
        <v>0.87</v>
      </c>
      <c r="P3" s="198">
        <v>0.87</v>
      </c>
      <c r="Q3" s="198">
        <v>0.87</v>
      </c>
      <c r="R3" s="198">
        <v>0.87</v>
      </c>
      <c r="S3" s="198">
        <v>0.87</v>
      </c>
      <c r="T3" s="198">
        <v>0.87</v>
      </c>
      <c r="U3" s="198">
        <v>0.87</v>
      </c>
      <c r="V3" s="198">
        <v>0.87</v>
      </c>
      <c r="W3" s="198">
        <v>0.87</v>
      </c>
      <c r="X3" s="198">
        <v>0.87</v>
      </c>
      <c r="Y3" s="2"/>
      <c r="Z3" s="2"/>
      <c r="AA3" s="2"/>
      <c r="AB3" s="2"/>
      <c r="AC3" s="2"/>
      <c r="AD3" s="2"/>
      <c r="AE3" s="2"/>
      <c r="AF3" s="2"/>
      <c r="AG3" s="2"/>
      <c r="AH3" s="2"/>
      <c r="AI3" s="2"/>
      <c r="AJ3" s="2"/>
      <c r="AK3" s="2"/>
      <c r="AL3" s="2"/>
      <c r="AM3" s="2"/>
      <c r="AN3" s="2"/>
      <c r="AO3" s="2"/>
      <c r="AP3" s="2"/>
      <c r="AQ3" s="2"/>
      <c r="AR3" s="2"/>
      <c r="AS3" s="2"/>
      <c r="AT3" s="2"/>
      <c r="AU3" s="2"/>
      <c r="AV3" s="2"/>
      <c r="AW3" s="2"/>
      <c r="AX3" s="2"/>
    </row>
    <row r="4" spans="1:50" ht="50.45" customHeight="1">
      <c r="A4" s="418"/>
      <c r="B4" s="417"/>
      <c r="C4" s="415"/>
      <c r="D4" s="417"/>
      <c r="E4" s="418"/>
      <c r="F4" s="146" t="s">
        <v>125</v>
      </c>
      <c r="G4" s="146">
        <v>1986</v>
      </c>
      <c r="H4" s="197" t="s">
        <v>126</v>
      </c>
      <c r="I4" s="113">
        <f>5/12.51</f>
        <v>0.3996802557953637</v>
      </c>
      <c r="J4" s="113">
        <f t="shared" ref="J4:X4" si="0">5/12.51</f>
        <v>0.3996802557953637</v>
      </c>
      <c r="K4" s="113">
        <f t="shared" si="0"/>
        <v>0.3996802557953637</v>
      </c>
      <c r="L4" s="113">
        <f t="shared" si="0"/>
        <v>0.3996802557953637</v>
      </c>
      <c r="M4" s="113">
        <f t="shared" si="0"/>
        <v>0.3996802557953637</v>
      </c>
      <c r="N4" s="113">
        <f t="shared" si="0"/>
        <v>0.3996802557953637</v>
      </c>
      <c r="O4" s="113">
        <f t="shared" si="0"/>
        <v>0.3996802557953637</v>
      </c>
      <c r="P4" s="113">
        <f t="shared" si="0"/>
        <v>0.3996802557953637</v>
      </c>
      <c r="Q4" s="113">
        <f t="shared" si="0"/>
        <v>0.3996802557953637</v>
      </c>
      <c r="R4" s="113">
        <f t="shared" si="0"/>
        <v>0.3996802557953637</v>
      </c>
      <c r="S4" s="113">
        <f t="shared" si="0"/>
        <v>0.3996802557953637</v>
      </c>
      <c r="T4" s="113">
        <f t="shared" si="0"/>
        <v>0.3996802557953637</v>
      </c>
      <c r="U4" s="113">
        <f t="shared" si="0"/>
        <v>0.3996802557953637</v>
      </c>
      <c r="V4" s="113">
        <f t="shared" si="0"/>
        <v>0.3996802557953637</v>
      </c>
      <c r="W4" s="113">
        <f t="shared" si="0"/>
        <v>0.3996802557953637</v>
      </c>
      <c r="X4" s="113">
        <f t="shared" si="0"/>
        <v>0.3996802557953637</v>
      </c>
      <c r="Y4" s="2"/>
      <c r="Z4" s="2"/>
      <c r="AA4" s="2"/>
      <c r="AB4" s="2"/>
      <c r="AC4" s="2"/>
      <c r="AD4" s="2"/>
      <c r="AE4" s="2"/>
      <c r="AF4" s="2"/>
      <c r="AG4" s="2"/>
      <c r="AH4" s="2"/>
      <c r="AI4" s="2"/>
      <c r="AJ4" s="2"/>
      <c r="AK4" s="2"/>
      <c r="AL4" s="2"/>
      <c r="AM4" s="2"/>
      <c r="AN4" s="2"/>
      <c r="AO4" s="2"/>
      <c r="AP4" s="2"/>
      <c r="AQ4" s="2"/>
      <c r="AR4" s="2"/>
      <c r="AS4" s="2"/>
      <c r="AT4" s="2"/>
      <c r="AU4" s="2"/>
      <c r="AV4" s="2"/>
      <c r="AW4" s="2"/>
      <c r="AX4" s="2"/>
    </row>
    <row r="5" spans="1:50" ht="31.9" customHeight="1">
      <c r="A5" s="418"/>
      <c r="B5" s="417"/>
      <c r="C5" s="415"/>
      <c r="D5" s="417"/>
      <c r="E5" s="418"/>
      <c r="F5" s="147" t="s">
        <v>127</v>
      </c>
      <c r="G5" s="147">
        <v>2001</v>
      </c>
      <c r="H5" s="147" t="s">
        <v>128</v>
      </c>
      <c r="I5" s="147">
        <v>0.34</v>
      </c>
      <c r="J5" s="147">
        <v>0.43</v>
      </c>
      <c r="K5" s="147">
        <v>0.43</v>
      </c>
      <c r="L5" s="147">
        <v>0.43</v>
      </c>
      <c r="M5" s="147">
        <v>0.43</v>
      </c>
      <c r="N5" s="147">
        <v>0.43</v>
      </c>
      <c r="O5" s="147">
        <v>0.43</v>
      </c>
      <c r="P5" s="147">
        <v>0.43</v>
      </c>
      <c r="Q5" s="147">
        <v>0.43</v>
      </c>
      <c r="R5" s="147">
        <v>0.43</v>
      </c>
      <c r="S5" s="147">
        <v>0.43</v>
      </c>
      <c r="T5" s="147">
        <v>0.43</v>
      </c>
      <c r="U5" s="147">
        <v>0.43</v>
      </c>
      <c r="V5" s="147">
        <v>0.43</v>
      </c>
      <c r="W5" s="148">
        <v>0.43</v>
      </c>
      <c r="X5" s="148">
        <v>0.34</v>
      </c>
      <c r="Y5" s="2"/>
      <c r="Z5" s="2"/>
      <c r="AA5" s="2"/>
      <c r="AB5" s="2"/>
      <c r="AC5" s="2"/>
      <c r="AD5" s="2"/>
      <c r="AE5" s="2"/>
      <c r="AF5" s="2"/>
      <c r="AG5" s="2"/>
      <c r="AH5" s="2"/>
      <c r="AI5" s="2"/>
      <c r="AJ5" s="2"/>
      <c r="AK5" s="2"/>
      <c r="AL5" s="2"/>
      <c r="AM5" s="2"/>
      <c r="AN5" s="2"/>
      <c r="AO5" s="2"/>
      <c r="AP5" s="2"/>
      <c r="AQ5" s="2"/>
      <c r="AR5" s="2"/>
      <c r="AS5" s="2"/>
      <c r="AT5" s="2"/>
      <c r="AU5" s="2"/>
      <c r="AV5" s="2"/>
      <c r="AW5" s="2"/>
      <c r="AX5" s="2"/>
    </row>
    <row r="6" spans="1:50" ht="31.9" customHeight="1">
      <c r="A6" s="418"/>
      <c r="B6" s="417"/>
      <c r="C6" s="415"/>
      <c r="D6" s="417"/>
      <c r="E6" s="418"/>
      <c r="F6" s="149" t="s">
        <v>129</v>
      </c>
      <c r="G6" s="149">
        <v>2013</v>
      </c>
      <c r="H6" s="149" t="s">
        <v>130</v>
      </c>
      <c r="I6" s="149">
        <v>0.19600000000000001</v>
      </c>
      <c r="J6" s="149">
        <v>0.17</v>
      </c>
      <c r="K6" s="149">
        <v>0.27800000000000002</v>
      </c>
      <c r="L6" s="149">
        <v>0.22700000000000001</v>
      </c>
      <c r="M6" s="149">
        <v>0.44</v>
      </c>
      <c r="N6" s="149">
        <v>0.44</v>
      </c>
      <c r="O6" s="149">
        <v>0.44</v>
      </c>
      <c r="P6" s="149">
        <v>0.44</v>
      </c>
      <c r="Q6" s="149">
        <v>0.44</v>
      </c>
      <c r="R6" s="149">
        <v>0.17</v>
      </c>
      <c r="S6" s="149">
        <v>0.17</v>
      </c>
      <c r="T6" s="149">
        <v>0.17</v>
      </c>
      <c r="U6" s="149">
        <v>0.17</v>
      </c>
      <c r="V6" s="149">
        <v>0.17</v>
      </c>
      <c r="W6" s="150">
        <v>0.17</v>
      </c>
      <c r="X6" s="150">
        <v>0.17</v>
      </c>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31.9" customHeight="1">
      <c r="A7" s="418"/>
      <c r="B7" s="417"/>
      <c r="C7" s="415"/>
      <c r="D7" s="417"/>
      <c r="E7" s="418"/>
      <c r="F7" s="199" t="s">
        <v>131</v>
      </c>
      <c r="G7" s="200">
        <v>2025</v>
      </c>
      <c r="H7" s="200" t="s">
        <v>130</v>
      </c>
      <c r="I7" s="201">
        <v>0.17</v>
      </c>
      <c r="J7" s="200">
        <v>0.13800000000000001</v>
      </c>
      <c r="K7" s="200">
        <v>0.22700000000000001</v>
      </c>
      <c r="L7" s="200">
        <v>0.19600000000000001</v>
      </c>
      <c r="M7" s="200">
        <v>0.36399999999999999</v>
      </c>
      <c r="N7" s="200">
        <v>0.36399999999999999</v>
      </c>
      <c r="O7" s="200">
        <v>0.36399999999999999</v>
      </c>
      <c r="P7" s="200">
        <v>0.36399999999999999</v>
      </c>
      <c r="Q7" s="200">
        <v>0.36399999999999999</v>
      </c>
      <c r="R7" s="200">
        <v>0.13800000000000001</v>
      </c>
      <c r="S7" s="200">
        <v>0.13800000000000001</v>
      </c>
      <c r="T7" s="200">
        <v>0.13800000000000001</v>
      </c>
      <c r="U7" s="200">
        <v>0.13800000000000001</v>
      </c>
      <c r="V7" s="200">
        <v>0.13800000000000001</v>
      </c>
      <c r="W7" s="202">
        <v>0.13800000000000001</v>
      </c>
      <c r="X7" s="202">
        <v>0.13800000000000001</v>
      </c>
      <c r="Y7" s="2"/>
      <c r="Z7" s="2"/>
      <c r="AA7" s="2"/>
      <c r="AB7" s="2"/>
      <c r="AC7" s="2"/>
      <c r="AD7" s="2"/>
      <c r="AE7" s="2"/>
      <c r="AF7" s="2"/>
      <c r="AG7" s="2"/>
      <c r="AH7" s="2"/>
      <c r="AI7" s="2"/>
      <c r="AJ7" s="2"/>
      <c r="AK7" s="2"/>
      <c r="AL7" s="2"/>
      <c r="AM7" s="2"/>
      <c r="AN7" s="2"/>
      <c r="AO7" s="2"/>
      <c r="AP7" s="2"/>
      <c r="AQ7" s="2"/>
      <c r="AR7" s="2"/>
      <c r="AS7" s="2"/>
      <c r="AT7" s="2"/>
      <c r="AU7" s="2"/>
      <c r="AV7" s="2"/>
      <c r="AW7" s="2"/>
      <c r="AX7" s="2"/>
    </row>
    <row r="8" spans="1:50" ht="31.9" customHeight="1">
      <c r="A8" s="418" t="s">
        <v>132</v>
      </c>
      <c r="B8" s="417" t="str">
        <f t="shared" ref="B8" si="1">$B$3</f>
        <v>ParkingOpen</v>
      </c>
      <c r="C8" s="415" t="s">
        <v>133</v>
      </c>
      <c r="D8" s="419" t="s">
        <v>134</v>
      </c>
      <c r="E8" s="418" t="s">
        <v>121</v>
      </c>
      <c r="F8" s="370" t="s">
        <v>122</v>
      </c>
      <c r="G8" s="370" t="s">
        <v>123</v>
      </c>
      <c r="H8" s="417" t="s">
        <v>135</v>
      </c>
      <c r="I8" s="370">
        <v>5.7000000000000002E-2</v>
      </c>
      <c r="J8" s="370">
        <v>5.7000000000000002E-2</v>
      </c>
      <c r="K8" s="370">
        <v>5.7000000000000002E-2</v>
      </c>
      <c r="L8" s="370">
        <v>5.7000000000000002E-2</v>
      </c>
      <c r="M8" s="370">
        <v>5.7000000000000002E-2</v>
      </c>
      <c r="N8" s="370">
        <v>7.8E-2</v>
      </c>
      <c r="O8" s="370">
        <v>7.8E-2</v>
      </c>
      <c r="P8" s="370">
        <v>7.8E-2</v>
      </c>
      <c r="Q8" s="370">
        <v>7.8E-2</v>
      </c>
      <c r="R8" s="370">
        <v>7.8E-2</v>
      </c>
      <c r="S8" s="370">
        <v>5.7000000000000002E-2</v>
      </c>
      <c r="T8" s="370">
        <v>5.7000000000000002E-2</v>
      </c>
      <c r="U8" s="370">
        <v>5.7000000000000002E-2</v>
      </c>
      <c r="V8" s="370">
        <v>5.7000000000000002E-2</v>
      </c>
      <c r="W8" s="370">
        <v>5.7000000000000002E-2</v>
      </c>
      <c r="X8" s="370">
        <v>5.7000000000000002E-2</v>
      </c>
      <c r="Y8" s="151"/>
      <c r="Z8" s="2"/>
      <c r="AA8" s="2"/>
      <c r="AB8" s="2"/>
      <c r="AC8" s="2"/>
      <c r="AD8" s="2"/>
      <c r="AE8" s="2"/>
      <c r="AF8" s="2"/>
      <c r="AG8" s="2"/>
      <c r="AH8" s="2"/>
      <c r="AI8" s="2"/>
      <c r="AJ8" s="2"/>
      <c r="AK8" s="2"/>
      <c r="AL8" s="2"/>
      <c r="AM8" s="2"/>
      <c r="AN8" s="2"/>
      <c r="AO8" s="2"/>
      <c r="AP8" s="2"/>
      <c r="AQ8" s="2"/>
      <c r="AR8" s="2"/>
      <c r="AS8" s="2"/>
      <c r="AT8" s="2"/>
      <c r="AU8" s="2"/>
      <c r="AV8" s="2"/>
      <c r="AW8" s="2"/>
      <c r="AX8" s="2"/>
    </row>
    <row r="9" spans="1:50" ht="31.9" customHeight="1">
      <c r="A9" s="418"/>
      <c r="B9" s="417"/>
      <c r="C9" s="416"/>
      <c r="D9" s="419"/>
      <c r="E9" s="418"/>
      <c r="F9" s="146" t="s">
        <v>125</v>
      </c>
      <c r="G9" s="146">
        <v>1992</v>
      </c>
      <c r="H9" s="417"/>
      <c r="I9" s="146">
        <v>5.7000000000000002E-2</v>
      </c>
      <c r="J9" s="146">
        <v>5.7000000000000002E-2</v>
      </c>
      <c r="K9" s="146">
        <v>5.7000000000000002E-2</v>
      </c>
      <c r="L9" s="146">
        <v>5.7000000000000002E-2</v>
      </c>
      <c r="M9" s="146">
        <v>5.7000000000000002E-2</v>
      </c>
      <c r="N9" s="146">
        <v>7.8E-2</v>
      </c>
      <c r="O9" s="146">
        <v>7.8E-2</v>
      </c>
      <c r="P9" s="146">
        <v>7.8E-2</v>
      </c>
      <c r="Q9" s="146">
        <v>7.8E-2</v>
      </c>
      <c r="R9" s="146">
        <v>7.8E-2</v>
      </c>
      <c r="S9" s="146">
        <v>5.7000000000000002E-2</v>
      </c>
      <c r="T9" s="146">
        <v>5.7000000000000002E-2</v>
      </c>
      <c r="U9" s="146">
        <v>5.7000000000000002E-2</v>
      </c>
      <c r="V9" s="146">
        <v>5.7000000000000002E-2</v>
      </c>
      <c r="W9" s="146">
        <v>5.7000000000000002E-2</v>
      </c>
      <c r="X9" s="146">
        <v>5.7000000000000002E-2</v>
      </c>
      <c r="Y9" s="151"/>
      <c r="Z9" s="2"/>
      <c r="AA9" s="2"/>
      <c r="AB9" s="2"/>
      <c r="AC9" s="2"/>
      <c r="AD9" s="2"/>
      <c r="AE9" s="2"/>
      <c r="AF9" s="2"/>
      <c r="AG9" s="2"/>
      <c r="AH9" s="2"/>
      <c r="AI9" s="2"/>
      <c r="AJ9" s="2"/>
      <c r="AK9" s="2"/>
      <c r="AL9" s="2"/>
      <c r="AM9" s="2"/>
      <c r="AN9" s="2"/>
      <c r="AO9" s="2"/>
      <c r="AP9" s="2"/>
      <c r="AQ9" s="2"/>
      <c r="AR9" s="2"/>
      <c r="AS9" s="2"/>
      <c r="AT9" s="2"/>
      <c r="AU9" s="2"/>
      <c r="AV9" s="2"/>
      <c r="AW9" s="2"/>
      <c r="AX9" s="2"/>
    </row>
    <row r="10" spans="1:50" ht="31.9" customHeight="1">
      <c r="A10" s="418"/>
      <c r="B10" s="417"/>
      <c r="C10" s="416"/>
      <c r="D10" s="419"/>
      <c r="E10" s="418"/>
      <c r="F10" s="147" t="s">
        <v>127</v>
      </c>
      <c r="G10" s="147">
        <v>2001</v>
      </c>
      <c r="H10" s="147" t="s">
        <v>128</v>
      </c>
      <c r="I10" s="147">
        <v>5.7000000000000002E-2</v>
      </c>
      <c r="J10" s="147">
        <v>5.7000000000000002E-2</v>
      </c>
      <c r="K10" s="147">
        <v>5.7000000000000002E-2</v>
      </c>
      <c r="L10" s="147">
        <v>5.7000000000000002E-2</v>
      </c>
      <c r="M10" s="147">
        <v>5.7000000000000002E-2</v>
      </c>
      <c r="N10" s="147">
        <v>7.8E-2</v>
      </c>
      <c r="O10" s="147">
        <v>7.8E-2</v>
      </c>
      <c r="P10" s="147">
        <v>7.8E-2</v>
      </c>
      <c r="Q10" s="147">
        <v>7.8E-2</v>
      </c>
      <c r="R10" s="147">
        <v>5.7000000000000002E-2</v>
      </c>
      <c r="S10" s="147">
        <v>5.7000000000000002E-2</v>
      </c>
      <c r="T10" s="147">
        <v>5.7000000000000002E-2</v>
      </c>
      <c r="U10" s="147">
        <v>5.7000000000000002E-2</v>
      </c>
      <c r="V10" s="147">
        <v>5.7000000000000002E-2</v>
      </c>
      <c r="W10" s="147">
        <v>5.7000000000000002E-2</v>
      </c>
      <c r="X10" s="147">
        <v>5.7000000000000002E-2</v>
      </c>
      <c r="Y10" s="151"/>
      <c r="Z10" s="2"/>
      <c r="AA10" s="2"/>
      <c r="AB10" s="2"/>
      <c r="AC10" s="2"/>
      <c r="AD10" s="2"/>
      <c r="AE10" s="2"/>
      <c r="AF10" s="2"/>
      <c r="AG10" s="2"/>
      <c r="AH10" s="2"/>
      <c r="AI10" s="2"/>
      <c r="AJ10" s="2"/>
      <c r="AK10" s="2"/>
      <c r="AL10" s="2"/>
      <c r="AM10" s="2"/>
      <c r="AN10" s="2"/>
      <c r="AO10" s="2"/>
      <c r="AP10" s="2"/>
      <c r="AQ10" s="2"/>
      <c r="AR10" s="2"/>
      <c r="AS10" s="2"/>
      <c r="AT10" s="2"/>
      <c r="AU10" s="2"/>
      <c r="AV10" s="2"/>
      <c r="AW10" s="2"/>
      <c r="AX10" s="2"/>
    </row>
    <row r="11" spans="1:50" ht="31.9" customHeight="1">
      <c r="A11" s="418"/>
      <c r="B11" s="417"/>
      <c r="C11" s="416"/>
      <c r="D11" s="419"/>
      <c r="E11" s="418"/>
      <c r="F11" s="149" t="s">
        <v>129</v>
      </c>
      <c r="G11" s="149">
        <v>2013</v>
      </c>
      <c r="H11" s="149" t="s">
        <v>130</v>
      </c>
      <c r="I11" s="149">
        <v>4.9000000000000002E-2</v>
      </c>
      <c r="J11" s="149">
        <v>3.9E-2</v>
      </c>
      <c r="K11" s="149">
        <v>3.9E-2</v>
      </c>
      <c r="L11" s="149">
        <v>3.9E-2</v>
      </c>
      <c r="M11" s="149">
        <v>4.9000000000000002E-2</v>
      </c>
      <c r="N11" s="149">
        <v>7.4999999999999997E-2</v>
      </c>
      <c r="O11" s="149">
        <v>6.7000000000000004E-2</v>
      </c>
      <c r="P11" s="149">
        <v>6.7000000000000004E-2</v>
      </c>
      <c r="Q11" s="149">
        <v>3.9E-2</v>
      </c>
      <c r="R11" s="149">
        <v>3.9E-2</v>
      </c>
      <c r="S11" s="149">
        <v>3.9E-2</v>
      </c>
      <c r="T11" s="149">
        <v>3.9E-2</v>
      </c>
      <c r="U11" s="149">
        <v>3.9E-2</v>
      </c>
      <c r="V11" s="149">
        <v>3.9E-2</v>
      </c>
      <c r="W11" s="149">
        <v>3.9E-2</v>
      </c>
      <c r="X11" s="149">
        <v>3.9E-2</v>
      </c>
      <c r="Y11" s="151"/>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31.9" customHeight="1">
      <c r="A12" s="418"/>
      <c r="B12" s="417"/>
      <c r="C12" s="416"/>
      <c r="D12" s="419"/>
      <c r="E12" s="418"/>
      <c r="F12" s="199" t="s">
        <v>131</v>
      </c>
      <c r="G12" s="200">
        <v>2025</v>
      </c>
      <c r="H12" s="200" t="s">
        <v>130</v>
      </c>
      <c r="I12" s="200">
        <v>3.7999999999999999E-2</v>
      </c>
      <c r="J12" s="200">
        <v>3.7999999999999999E-2</v>
      </c>
      <c r="K12" s="200">
        <v>3.7999999999999999E-2</v>
      </c>
      <c r="L12" s="200">
        <v>3.7999999999999999E-2</v>
      </c>
      <c r="M12" s="200">
        <v>3.7999999999999999E-2</v>
      </c>
      <c r="N12" s="200">
        <v>3.7999999999999999E-2</v>
      </c>
      <c r="O12" s="200">
        <v>3.7999999999999999E-2</v>
      </c>
      <c r="P12" s="200">
        <v>3.7999999999999999E-2</v>
      </c>
      <c r="Q12" s="200">
        <v>3.7999999999999999E-2</v>
      </c>
      <c r="R12" s="200">
        <v>3.7999999999999999E-2</v>
      </c>
      <c r="S12" s="200">
        <v>3.7999999999999999E-2</v>
      </c>
      <c r="T12" s="200">
        <v>3.7999999999999999E-2</v>
      </c>
      <c r="U12" s="200">
        <v>3.7999999999999999E-2</v>
      </c>
      <c r="V12" s="200">
        <v>3.7999999999999999E-2</v>
      </c>
      <c r="W12" s="200">
        <v>3.7999999999999999E-2</v>
      </c>
      <c r="X12" s="200">
        <v>3.7999999999999999E-2</v>
      </c>
      <c r="Y12" s="151"/>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ht="24.75" customHeight="1">
      <c r="A13" s="4" t="s">
        <v>136</v>
      </c>
      <c r="B13" s="9"/>
      <c r="C13" s="4"/>
      <c r="D13" s="4"/>
      <c r="E13" s="152"/>
      <c r="F13" s="152"/>
      <c r="G13" s="153"/>
      <c r="H13" s="152"/>
      <c r="I13" s="152"/>
      <c r="J13" s="152"/>
      <c r="K13" s="152"/>
      <c r="L13" s="152"/>
      <c r="M13" s="152"/>
      <c r="N13" s="152"/>
      <c r="O13" s="152"/>
      <c r="P13" s="152"/>
      <c r="Q13" s="152"/>
      <c r="R13" s="152"/>
      <c r="S13" s="152"/>
      <c r="T13" s="152"/>
      <c r="U13" s="152"/>
      <c r="V13" s="152"/>
      <c r="W13" s="152"/>
      <c r="X13" s="15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row>
    <row r="14" spans="1:50" ht="25.9" customHeight="1">
      <c r="A14" s="4"/>
      <c r="B14" s="9"/>
      <c r="C14" s="4"/>
      <c r="D14" s="4"/>
      <c r="E14" s="76"/>
      <c r="F14" s="76"/>
      <c r="G14" s="76"/>
      <c r="H14" s="76"/>
      <c r="I14" s="76"/>
      <c r="J14" s="76"/>
      <c r="K14" s="76"/>
      <c r="L14" s="76"/>
      <c r="M14" s="77"/>
      <c r="N14" s="77"/>
      <c r="O14" s="77"/>
      <c r="P14" s="77"/>
      <c r="Q14" s="77"/>
      <c r="R14" s="77"/>
      <c r="S14" s="77"/>
      <c r="T14" s="77"/>
      <c r="U14" s="77"/>
      <c r="V14" s="77"/>
      <c r="W14" s="77"/>
      <c r="X14" s="77"/>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sheetData>
  <mergeCells count="12">
    <mergeCell ref="A1:X1"/>
    <mergeCell ref="D3:D7"/>
    <mergeCell ref="B3:B7"/>
    <mergeCell ref="A3:A7"/>
    <mergeCell ref="C3:C7"/>
    <mergeCell ref="C8:C12"/>
    <mergeCell ref="H8:H9"/>
    <mergeCell ref="A8:A12"/>
    <mergeCell ref="E3:E7"/>
    <mergeCell ref="B8:B12"/>
    <mergeCell ref="E8:E12"/>
    <mergeCell ref="D8:D12"/>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6"/>
  <sheetViews>
    <sheetView zoomScale="70" zoomScaleNormal="70" zoomScaleSheetLayoutView="40" workbookViewId="0">
      <selection sqref="A1:G1"/>
    </sheetView>
  </sheetViews>
  <sheetFormatPr defaultColWidth="8.7109375" defaultRowHeight="12.75"/>
  <cols>
    <col min="1" max="1" width="33.140625" style="4" customWidth="1"/>
    <col min="2" max="2" width="30.85546875" style="4" customWidth="1"/>
    <col min="3" max="3" width="29.140625" style="4" customWidth="1"/>
    <col min="4" max="4" width="29.42578125" style="4" customWidth="1"/>
    <col min="5" max="5" width="37.42578125" style="4" bestFit="1" customWidth="1"/>
    <col min="6" max="6" width="48.28515625" style="4" bestFit="1" customWidth="1"/>
    <col min="7" max="7" width="34" style="4" customWidth="1"/>
    <col min="8" max="8" width="25.140625" style="4" bestFit="1" customWidth="1"/>
    <col min="9" max="11" width="12.7109375" style="4" customWidth="1"/>
    <col min="12" max="19" width="15.28515625" style="4" customWidth="1"/>
    <col min="20" max="20" width="14.7109375" style="4" customWidth="1"/>
    <col min="21" max="21" width="13.5703125" style="4" customWidth="1"/>
    <col min="22" max="22" width="15.7109375" style="4" customWidth="1"/>
    <col min="23" max="29" width="11" style="4" customWidth="1"/>
    <col min="30" max="38" width="6.5703125" style="4" customWidth="1"/>
    <col min="39" max="39" width="8.7109375" style="4" customWidth="1"/>
    <col min="40" max="16384" width="8.7109375" style="4"/>
  </cols>
  <sheetData>
    <row r="1" spans="1:9" ht="27" customHeight="1">
      <c r="A1" s="430" t="str">
        <f>"HVAC system - "&amp;Prototype!A2</f>
        <v>HVAC system - ParkingOpen</v>
      </c>
      <c r="B1" s="431"/>
      <c r="C1" s="431"/>
      <c r="D1" s="431"/>
      <c r="E1" s="431"/>
      <c r="F1" s="431"/>
      <c r="G1" s="432"/>
    </row>
    <row r="2" spans="1:9" ht="29.45" customHeight="1">
      <c r="A2" s="190" t="s">
        <v>99</v>
      </c>
      <c r="B2" s="73" t="s">
        <v>137</v>
      </c>
      <c r="C2" s="73" t="s">
        <v>138</v>
      </c>
      <c r="D2" s="73" t="s">
        <v>139</v>
      </c>
      <c r="E2" s="73" t="s">
        <v>140</v>
      </c>
      <c r="F2" s="73" t="s">
        <v>141</v>
      </c>
      <c r="G2" s="73" t="s">
        <v>101</v>
      </c>
    </row>
    <row r="3" spans="1:9" ht="42" customHeight="1">
      <c r="A3" s="369" t="s">
        <v>142</v>
      </c>
      <c r="B3" s="369" t="s">
        <v>143</v>
      </c>
      <c r="C3" s="188" t="s">
        <v>144</v>
      </c>
      <c r="D3" s="188" t="s">
        <v>60</v>
      </c>
      <c r="E3" s="188" t="s">
        <v>60</v>
      </c>
      <c r="F3" s="369" t="s">
        <v>145</v>
      </c>
      <c r="G3" s="369"/>
      <c r="H3" s="368"/>
      <c r="I3" s="368"/>
    </row>
    <row r="4" spans="1:9" ht="56.45" customHeight="1">
      <c r="A4" s="370" t="s">
        <v>146</v>
      </c>
      <c r="B4" s="369" t="s">
        <v>143</v>
      </c>
      <c r="C4" s="188" t="s">
        <v>144</v>
      </c>
      <c r="D4" s="188" t="s">
        <v>60</v>
      </c>
      <c r="E4" s="188" t="s">
        <v>60</v>
      </c>
      <c r="F4" s="369" t="s">
        <v>145</v>
      </c>
      <c r="G4" s="369"/>
      <c r="H4" s="65"/>
      <c r="I4" s="65"/>
    </row>
    <row r="5" spans="1:9" ht="25.9" customHeight="1">
      <c r="A5" s="7"/>
      <c r="B5" s="7"/>
      <c r="C5" s="381"/>
      <c r="D5" s="381"/>
      <c r="E5" s="381"/>
      <c r="F5" s="65"/>
      <c r="G5" s="65"/>
      <c r="H5" s="65"/>
      <c r="I5" s="65"/>
    </row>
    <row r="6" spans="1:9" ht="15.6" customHeight="1">
      <c r="A6" s="381"/>
      <c r="B6" s="381"/>
      <c r="C6" s="381"/>
      <c r="D6" s="381"/>
      <c r="E6" s="381"/>
    </row>
    <row r="7" spans="1:9">
      <c r="A7" s="368"/>
      <c r="B7" s="381"/>
      <c r="C7" s="381"/>
      <c r="D7" s="381"/>
      <c r="E7" s="381"/>
    </row>
    <row r="8" spans="1:9">
      <c r="A8" s="381"/>
      <c r="B8" s="381"/>
      <c r="C8" s="381"/>
      <c r="D8" s="381"/>
      <c r="E8" s="381"/>
    </row>
    <row r="9" spans="1:9" ht="25.9" customHeight="1">
      <c r="A9" s="433" t="s">
        <v>147</v>
      </c>
      <c r="B9" s="434"/>
      <c r="C9" s="434"/>
      <c r="D9" s="434"/>
      <c r="E9" s="434"/>
      <c r="F9" s="434"/>
      <c r="G9" s="434"/>
      <c r="H9" s="122"/>
    </row>
    <row r="10" spans="1:9" ht="27.6" customHeight="1">
      <c r="A10" s="172" t="s">
        <v>99</v>
      </c>
      <c r="B10" s="173" t="s">
        <v>148</v>
      </c>
      <c r="C10" s="174" t="s">
        <v>144</v>
      </c>
      <c r="D10" s="379" t="s">
        <v>149</v>
      </c>
      <c r="E10" s="379" t="s">
        <v>150</v>
      </c>
      <c r="F10" s="73" t="s">
        <v>151</v>
      </c>
      <c r="G10" s="175" t="s">
        <v>101</v>
      </c>
    </row>
    <row r="11" spans="1:9" ht="22.15" customHeight="1">
      <c r="A11" s="176" t="s">
        <v>122</v>
      </c>
      <c r="B11" s="439">
        <v>2008</v>
      </c>
      <c r="C11" s="435" t="s">
        <v>152</v>
      </c>
      <c r="D11" s="438" t="s">
        <v>60</v>
      </c>
      <c r="E11" s="438" t="s">
        <v>60</v>
      </c>
      <c r="F11" s="424"/>
      <c r="G11" s="427"/>
    </row>
    <row r="12" spans="1:9" ht="20.45" customHeight="1">
      <c r="A12" s="176" t="s">
        <v>125</v>
      </c>
      <c r="B12" s="440"/>
      <c r="C12" s="436"/>
      <c r="D12" s="436"/>
      <c r="E12" s="436"/>
      <c r="F12" s="425"/>
      <c r="G12" s="428"/>
    </row>
    <row r="13" spans="1:9" ht="23.45" customHeight="1">
      <c r="A13" s="176" t="s">
        <v>127</v>
      </c>
      <c r="B13" s="441"/>
      <c r="C13" s="437"/>
      <c r="D13" s="437"/>
      <c r="E13" s="437"/>
      <c r="F13" s="426"/>
      <c r="G13" s="429"/>
    </row>
    <row r="14" spans="1:9" ht="33" customHeight="1">
      <c r="A14" s="176" t="s">
        <v>129</v>
      </c>
      <c r="B14" s="74">
        <v>2013</v>
      </c>
      <c r="C14" s="162" t="s">
        <v>152</v>
      </c>
      <c r="D14" s="161" t="s">
        <v>60</v>
      </c>
      <c r="E14" s="161" t="s">
        <v>60</v>
      </c>
      <c r="F14" s="75"/>
      <c r="G14" s="177"/>
    </row>
    <row r="15" spans="1:9" ht="49.9" customHeight="1">
      <c r="A15" s="178" t="s">
        <v>146</v>
      </c>
      <c r="B15" s="179">
        <v>2025</v>
      </c>
      <c r="C15" s="162" t="s">
        <v>152</v>
      </c>
      <c r="D15" s="161" t="s">
        <v>60</v>
      </c>
      <c r="E15" s="161" t="s">
        <v>60</v>
      </c>
      <c r="F15" s="180"/>
      <c r="G15" s="181"/>
    </row>
    <row r="16" spans="1:9" ht="13.15" customHeight="1">
      <c r="B16" s="6"/>
      <c r="C16" s="6"/>
      <c r="D16" s="34"/>
      <c r="E16" s="6"/>
    </row>
    <row r="17" spans="1:40">
      <c r="A17" s="35"/>
      <c r="B17" s="6"/>
      <c r="C17" s="6" t="s">
        <v>153</v>
      </c>
      <c r="D17" s="6" t="s">
        <v>154</v>
      </c>
      <c r="E17" s="6"/>
    </row>
    <row r="18" spans="1:40" ht="13.5" thickBot="1">
      <c r="A18" s="349"/>
      <c r="B18" s="349"/>
      <c r="C18" s="349"/>
      <c r="D18" s="349"/>
      <c r="E18" s="349"/>
    </row>
    <row r="19" spans="1:40" ht="15.75">
      <c r="A19" s="421" t="s">
        <v>155</v>
      </c>
      <c r="B19" s="422"/>
      <c r="C19" s="422"/>
      <c r="D19" s="422"/>
      <c r="E19" s="422"/>
      <c r="F19" s="422"/>
      <c r="G19" s="422"/>
      <c r="H19" s="422"/>
      <c r="I19" s="423"/>
    </row>
    <row r="20" spans="1:40" ht="38.25">
      <c r="A20" s="115" t="s">
        <v>99</v>
      </c>
      <c r="B20" s="115" t="s">
        <v>156</v>
      </c>
      <c r="C20" s="115" t="s">
        <v>157</v>
      </c>
      <c r="D20" s="123" t="s">
        <v>158</v>
      </c>
      <c r="E20" s="123" t="s">
        <v>159</v>
      </c>
      <c r="F20" s="273" t="s">
        <v>160</v>
      </c>
      <c r="G20" s="273" t="s">
        <v>161</v>
      </c>
      <c r="H20" s="115" t="s">
        <v>162</v>
      </c>
      <c r="I20" s="115" t="s">
        <v>101</v>
      </c>
    </row>
    <row r="21" spans="1:40" ht="27" customHeight="1">
      <c r="A21" s="124" t="s">
        <v>163</v>
      </c>
      <c r="B21" s="124" t="s">
        <v>164</v>
      </c>
      <c r="C21" s="124" t="s">
        <v>165</v>
      </c>
      <c r="D21" s="125">
        <v>1.33</v>
      </c>
      <c r="E21" s="125">
        <v>0.65</v>
      </c>
      <c r="F21" s="125">
        <v>0.9</v>
      </c>
      <c r="G21" s="145"/>
      <c r="H21" s="160" t="s">
        <v>166</v>
      </c>
      <c r="I21" s="182"/>
    </row>
    <row r="22" spans="1:40">
      <c r="A22" s="183" t="s">
        <v>167</v>
      </c>
      <c r="B22" s="126"/>
      <c r="C22" s="126"/>
      <c r="D22" s="126"/>
      <c r="E22" s="126"/>
      <c r="F22" s="126"/>
      <c r="G22" s="126"/>
      <c r="H22" s="184"/>
      <c r="I22" s="185"/>
    </row>
    <row r="23" spans="1:40">
      <c r="A23" s="186" t="s">
        <v>168</v>
      </c>
      <c r="B23" s="127"/>
      <c r="C23" s="127"/>
      <c r="D23" s="127"/>
      <c r="E23" s="127"/>
      <c r="F23" s="127"/>
      <c r="G23" s="127"/>
      <c r="H23" s="127"/>
      <c r="I23" s="187"/>
    </row>
    <row r="24" spans="1:40">
      <c r="A24" s="102" t="s">
        <v>146</v>
      </c>
      <c r="B24" s="102" t="s">
        <v>169</v>
      </c>
      <c r="C24" s="102" t="s">
        <v>165</v>
      </c>
      <c r="D24" s="189">
        <v>1.33</v>
      </c>
      <c r="E24" s="102">
        <v>0.65</v>
      </c>
      <c r="F24" s="370">
        <v>0.9</v>
      </c>
      <c r="G24" s="188">
        <v>0.53</v>
      </c>
      <c r="H24" s="102" t="s">
        <v>170</v>
      </c>
      <c r="I24" s="117"/>
    </row>
    <row r="25" spans="1:40">
      <c r="A25" s="109"/>
      <c r="B25" s="109"/>
      <c r="C25" s="128"/>
      <c r="D25" s="128"/>
      <c r="E25" s="110"/>
      <c r="F25" s="109" t="s">
        <v>171</v>
      </c>
      <c r="G25" s="128"/>
      <c r="H25" s="110"/>
    </row>
    <row r="26" spans="1:40">
      <c r="A26" s="349" t="s">
        <v>172</v>
      </c>
      <c r="B26" s="349"/>
      <c r="C26" s="349"/>
      <c r="D26" s="349"/>
      <c r="E26" s="349"/>
      <c r="F26" s="349"/>
      <c r="G26" s="349"/>
      <c r="H26" s="349"/>
      <c r="I26" s="349"/>
      <c r="J26" s="349"/>
      <c r="K26" s="349"/>
      <c r="L26" s="349"/>
      <c r="M26" s="349"/>
      <c r="N26" s="349"/>
      <c r="O26" s="349"/>
      <c r="P26" s="349"/>
      <c r="Q26" s="349"/>
      <c r="R26" s="349"/>
      <c r="S26" s="349"/>
      <c r="T26" s="349"/>
      <c r="U26" s="349"/>
      <c r="V26" s="349"/>
      <c r="W26" s="349"/>
      <c r="X26" s="349"/>
      <c r="Y26" s="349"/>
      <c r="Z26" s="349"/>
      <c r="AA26" s="349"/>
      <c r="AB26" s="349"/>
      <c r="AC26" s="349"/>
      <c r="AD26" s="349"/>
      <c r="AE26" s="442"/>
      <c r="AF26" s="442"/>
      <c r="AG26" s="442"/>
      <c r="AH26" s="442"/>
      <c r="AI26" s="442"/>
      <c r="AJ26" s="442"/>
      <c r="AK26" s="442"/>
      <c r="AL26" s="442"/>
      <c r="AM26" s="442"/>
      <c r="AN26" s="442"/>
    </row>
    <row r="27" spans="1:40">
      <c r="A27" s="109" t="s">
        <v>173</v>
      </c>
      <c r="B27" s="349"/>
      <c r="C27" s="349"/>
      <c r="D27" s="349"/>
      <c r="E27" s="349"/>
      <c r="F27" s="349"/>
      <c r="G27" s="349"/>
      <c r="H27" s="349"/>
      <c r="I27" s="349"/>
      <c r="J27" s="349"/>
      <c r="K27" s="349"/>
      <c r="L27" s="349"/>
      <c r="M27" s="349"/>
      <c r="N27" s="349"/>
      <c r="O27" s="349"/>
      <c r="P27" s="349"/>
      <c r="Q27" s="349"/>
      <c r="R27" s="349"/>
      <c r="S27" s="349"/>
      <c r="T27" s="349"/>
      <c r="U27" s="349"/>
      <c r="V27" s="349"/>
      <c r="W27" s="349"/>
      <c r="X27" s="349"/>
      <c r="Y27" s="349"/>
      <c r="Z27" s="349"/>
      <c r="AA27" s="349"/>
      <c r="AB27" s="349"/>
      <c r="AC27" s="349"/>
      <c r="AD27" s="349"/>
      <c r="AE27" s="442"/>
      <c r="AF27" s="442"/>
      <c r="AG27" s="442"/>
      <c r="AH27" s="442"/>
      <c r="AI27" s="442"/>
      <c r="AJ27" s="442"/>
      <c r="AK27" s="442"/>
      <c r="AL27" s="442"/>
      <c r="AM27" s="442"/>
      <c r="AN27" s="442"/>
    </row>
    <row r="28" spans="1:40">
      <c r="A28" s="109" t="s">
        <v>174</v>
      </c>
      <c r="B28" s="204"/>
      <c r="C28" s="349"/>
      <c r="D28" s="349"/>
      <c r="E28" s="349"/>
      <c r="F28" s="349"/>
      <c r="G28" s="349"/>
      <c r="H28" s="349"/>
      <c r="I28" s="349"/>
      <c r="J28" s="349"/>
      <c r="K28" s="349"/>
      <c r="L28" s="349"/>
      <c r="M28" s="349"/>
      <c r="N28" s="349"/>
      <c r="O28" s="349"/>
      <c r="P28" s="349"/>
      <c r="Q28" s="349"/>
      <c r="R28" s="349"/>
      <c r="S28" s="349"/>
      <c r="T28" s="349"/>
      <c r="U28" s="349"/>
      <c r="V28" s="349"/>
      <c r="W28" s="349"/>
      <c r="X28" s="349"/>
      <c r="Y28" s="349"/>
      <c r="Z28" s="349"/>
      <c r="AA28" s="349"/>
      <c r="AB28" s="349"/>
      <c r="AC28" s="349"/>
      <c r="AD28" s="349"/>
      <c r="AE28" s="442"/>
      <c r="AF28" s="442"/>
      <c r="AG28" s="442"/>
      <c r="AH28" s="442"/>
      <c r="AI28" s="442"/>
      <c r="AJ28" s="442"/>
      <c r="AK28" s="442"/>
      <c r="AL28" s="442"/>
      <c r="AM28" s="442"/>
      <c r="AN28" s="442"/>
    </row>
    <row r="29" spans="1:40">
      <c r="A29" s="6"/>
      <c r="B29" s="6"/>
      <c r="C29" s="6"/>
      <c r="D29" s="6"/>
    </row>
    <row r="30" spans="1:40">
      <c r="D30" s="31"/>
    </row>
    <row r="31" spans="1:40" ht="13.9" customHeight="1">
      <c r="A31" s="114"/>
      <c r="B31" s="109"/>
      <c r="C31" s="61"/>
      <c r="D31" s="109"/>
      <c r="E31" s="109"/>
    </row>
    <row r="32" spans="1:40" s="21" customFormat="1" hidden="1">
      <c r="A32" s="21" t="s">
        <v>94</v>
      </c>
    </row>
    <row r="33" spans="21:38">
      <c r="U33" s="30"/>
      <c r="V33" s="50"/>
      <c r="W33" s="51"/>
      <c r="X33" s="51"/>
      <c r="Y33" s="51"/>
      <c r="Z33" s="51"/>
      <c r="AA33" s="51"/>
      <c r="AB33" s="51"/>
      <c r="AC33" s="51"/>
      <c r="AD33" s="51"/>
      <c r="AE33" s="51"/>
      <c r="AF33" s="51"/>
      <c r="AG33" s="51"/>
      <c r="AH33" s="51"/>
      <c r="AI33" s="51"/>
      <c r="AJ33" s="51"/>
      <c r="AK33" s="51"/>
      <c r="AL33" s="51"/>
    </row>
    <row r="34" spans="21:38">
      <c r="U34" s="30"/>
      <c r="V34" s="50"/>
      <c r="W34" s="51"/>
      <c r="X34" s="51"/>
      <c r="Y34" s="51"/>
      <c r="Z34" s="51"/>
      <c r="AA34" s="51"/>
      <c r="AB34" s="51"/>
      <c r="AC34" s="51"/>
      <c r="AD34" s="51"/>
      <c r="AE34" s="51"/>
      <c r="AF34" s="51"/>
      <c r="AG34" s="51"/>
      <c r="AH34" s="51"/>
      <c r="AI34" s="51"/>
      <c r="AJ34" s="51"/>
      <c r="AK34" s="51"/>
      <c r="AL34" s="51"/>
    </row>
    <row r="35" spans="21:38">
      <c r="U35" s="30"/>
      <c r="V35" s="50"/>
      <c r="W35" s="51"/>
      <c r="X35" s="51"/>
      <c r="Y35" s="51"/>
      <c r="Z35" s="51"/>
      <c r="AA35" s="51"/>
      <c r="AB35" s="51"/>
      <c r="AC35" s="51"/>
      <c r="AD35" s="51"/>
      <c r="AE35" s="51"/>
      <c r="AF35" s="51"/>
      <c r="AG35" s="51"/>
      <c r="AH35" s="51"/>
      <c r="AI35" s="51"/>
      <c r="AJ35" s="51"/>
      <c r="AK35" s="51"/>
      <c r="AL35" s="51"/>
    </row>
    <row r="36" spans="21:38">
      <c r="U36" s="30"/>
      <c r="V36" s="50"/>
      <c r="W36" s="51"/>
      <c r="X36" s="51"/>
      <c r="Y36" s="51"/>
      <c r="Z36" s="51"/>
      <c r="AA36" s="51"/>
      <c r="AB36" s="51"/>
      <c r="AC36" s="51"/>
      <c r="AD36" s="51"/>
      <c r="AE36" s="51"/>
      <c r="AF36" s="51"/>
      <c r="AG36" s="51"/>
      <c r="AH36" s="51"/>
      <c r="AI36" s="51"/>
      <c r="AJ36" s="51"/>
      <c r="AK36" s="51"/>
      <c r="AL36" s="51"/>
    </row>
    <row r="37" spans="21:38">
      <c r="U37" s="30"/>
      <c r="V37" s="50"/>
      <c r="W37" s="51"/>
      <c r="X37" s="51"/>
      <c r="Y37" s="51"/>
      <c r="Z37" s="51"/>
      <c r="AA37" s="51"/>
      <c r="AB37" s="51"/>
      <c r="AC37" s="51"/>
      <c r="AD37" s="51"/>
      <c r="AE37" s="51"/>
      <c r="AF37" s="51"/>
      <c r="AG37" s="51"/>
      <c r="AH37" s="51"/>
      <c r="AI37" s="51"/>
      <c r="AJ37" s="51"/>
      <c r="AK37" s="51"/>
      <c r="AL37" s="51"/>
    </row>
    <row r="38" spans="21:38">
      <c r="U38" s="30"/>
      <c r="W38" s="29"/>
      <c r="X38" s="29"/>
      <c r="Y38" s="29"/>
      <c r="Z38" s="29"/>
      <c r="AA38" s="29"/>
      <c r="AB38" s="29"/>
      <c r="AC38" s="29"/>
      <c r="AD38" s="29"/>
      <c r="AE38" s="29"/>
      <c r="AF38" s="29"/>
      <c r="AG38" s="29"/>
      <c r="AH38" s="29"/>
      <c r="AI38" s="29"/>
      <c r="AJ38" s="29"/>
      <c r="AK38" s="29"/>
      <c r="AL38" s="29"/>
    </row>
    <row r="39" spans="21:38">
      <c r="U39" s="32"/>
      <c r="W39" s="30"/>
      <c r="X39" s="30"/>
      <c r="Y39" s="30"/>
      <c r="Z39" s="30"/>
      <c r="AA39" s="30"/>
      <c r="AB39" s="30"/>
      <c r="AC39" s="30"/>
      <c r="AD39" s="30"/>
      <c r="AE39" s="30"/>
      <c r="AF39" s="30"/>
      <c r="AG39" s="30"/>
      <c r="AH39" s="30"/>
      <c r="AI39" s="30"/>
      <c r="AJ39" s="30"/>
      <c r="AK39" s="30"/>
      <c r="AL39" s="30"/>
    </row>
    <row r="40" spans="21:38">
      <c r="U40" s="30"/>
    </row>
    <row r="43" spans="21:38">
      <c r="U43" s="28"/>
      <c r="V43" s="28"/>
      <c r="W43" s="49"/>
      <c r="X43" s="49"/>
      <c r="Y43" s="49"/>
      <c r="Z43" s="49"/>
      <c r="AA43" s="49"/>
      <c r="AB43" s="49"/>
      <c r="AC43" s="49"/>
      <c r="AD43" s="49"/>
      <c r="AE43" s="49"/>
      <c r="AF43" s="49"/>
      <c r="AG43" s="49"/>
      <c r="AH43" s="49"/>
      <c r="AI43" s="49"/>
      <c r="AJ43" s="49"/>
      <c r="AK43" s="49"/>
      <c r="AL43" s="49"/>
    </row>
    <row r="44" spans="21:38">
      <c r="V44" s="33"/>
    </row>
    <row r="45" spans="21:38">
      <c r="U45" s="30"/>
      <c r="V45" s="33"/>
    </row>
    <row r="46" spans="21:38">
      <c r="U46" s="30"/>
      <c r="V46" s="33"/>
    </row>
    <row r="47" spans="21:38">
      <c r="U47" s="30"/>
      <c r="V47" s="33"/>
    </row>
    <row r="48" spans="21:38">
      <c r="U48" s="30"/>
      <c r="V48" s="33"/>
    </row>
    <row r="49" spans="21:22">
      <c r="U49" s="30"/>
      <c r="V49" s="33"/>
    </row>
    <row r="50" spans="21:22">
      <c r="U50" s="30"/>
      <c r="V50" s="33"/>
    </row>
    <row r="51" spans="21:22">
      <c r="U51" s="30"/>
      <c r="V51" s="33"/>
    </row>
    <row r="52" spans="21:22">
      <c r="U52" s="30"/>
      <c r="V52" s="33"/>
    </row>
    <row r="53" spans="21:22">
      <c r="U53" s="30"/>
      <c r="V53" s="33"/>
    </row>
    <row r="54" spans="21:22">
      <c r="U54" s="30"/>
      <c r="V54" s="33"/>
    </row>
    <row r="55" spans="21:22">
      <c r="U55" s="30"/>
      <c r="V55" s="33"/>
    </row>
    <row r="56" spans="21:22">
      <c r="U56" s="30"/>
      <c r="V56" s="33"/>
    </row>
    <row r="57" spans="21:22">
      <c r="U57" s="30"/>
      <c r="V57" s="33"/>
    </row>
    <row r="58" spans="21:22">
      <c r="U58" s="30"/>
      <c r="V58" s="33"/>
    </row>
    <row r="59" spans="21:22">
      <c r="U59" s="30"/>
      <c r="V59" s="33"/>
    </row>
    <row r="60" spans="21:22">
      <c r="U60" s="30"/>
      <c r="V60" s="33"/>
    </row>
    <row r="61" spans="21:22">
      <c r="U61" s="30"/>
      <c r="V61" s="33"/>
    </row>
    <row r="62" spans="21:22">
      <c r="U62" s="30"/>
      <c r="V62" s="33"/>
    </row>
    <row r="63" spans="21:22">
      <c r="U63" s="30"/>
      <c r="V63" s="33"/>
    </row>
    <row r="64" spans="21:22">
      <c r="U64" s="30"/>
      <c r="V64" s="33"/>
    </row>
    <row r="65" spans="21:38">
      <c r="U65" s="30"/>
      <c r="W65" s="29"/>
      <c r="X65" s="29"/>
      <c r="Y65" s="29"/>
      <c r="Z65" s="29"/>
      <c r="AA65" s="29"/>
      <c r="AB65" s="29"/>
      <c r="AC65" s="29"/>
      <c r="AD65" s="29"/>
      <c r="AE65" s="29"/>
      <c r="AF65" s="29"/>
      <c r="AG65" s="29"/>
      <c r="AH65" s="29"/>
      <c r="AI65" s="29"/>
      <c r="AJ65" s="29"/>
      <c r="AK65" s="29"/>
      <c r="AL65" s="29"/>
    </row>
    <row r="66" spans="21:38">
      <c r="U66" s="32"/>
      <c r="W66" s="30"/>
      <c r="X66" s="30"/>
      <c r="Y66" s="30"/>
      <c r="Z66" s="30"/>
      <c r="AA66" s="30"/>
      <c r="AB66" s="30"/>
      <c r="AC66" s="30"/>
      <c r="AD66" s="30"/>
      <c r="AE66" s="30"/>
      <c r="AF66" s="30"/>
      <c r="AG66" s="30"/>
      <c r="AH66" s="30"/>
      <c r="AI66" s="30"/>
      <c r="AJ66" s="30"/>
      <c r="AK66" s="30"/>
      <c r="AL66" s="30"/>
    </row>
  </sheetData>
  <mergeCells count="24">
    <mergeCell ref="AE28:AF28"/>
    <mergeCell ref="AG28:AH28"/>
    <mergeCell ref="AI28:AJ28"/>
    <mergeCell ref="AK28:AL28"/>
    <mergeCell ref="AM28:AN28"/>
    <mergeCell ref="AE27:AF27"/>
    <mergeCell ref="AG27:AH27"/>
    <mergeCell ref="AI27:AJ27"/>
    <mergeCell ref="AK27:AL27"/>
    <mergeCell ref="AM27:AN27"/>
    <mergeCell ref="AE26:AF26"/>
    <mergeCell ref="AG26:AH26"/>
    <mergeCell ref="AI26:AJ26"/>
    <mergeCell ref="AK26:AL26"/>
    <mergeCell ref="AM26:AN26"/>
    <mergeCell ref="A19:I19"/>
    <mergeCell ref="F11:F13"/>
    <mergeCell ref="G11:G13"/>
    <mergeCell ref="A1:G1"/>
    <mergeCell ref="A9:G9"/>
    <mergeCell ref="C11:C13"/>
    <mergeCell ref="E11:E13"/>
    <mergeCell ref="B11:B13"/>
    <mergeCell ref="D11:D13"/>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Y42"/>
  <sheetViews>
    <sheetView zoomScale="80" zoomScaleNormal="80" workbookViewId="0">
      <pane xSplit="1" topLeftCell="B1" activePane="topRight" state="frozen"/>
      <selection pane="topRight" sqref="A1:K1"/>
    </sheetView>
  </sheetViews>
  <sheetFormatPr defaultColWidth="9.28515625" defaultRowHeight="14.25"/>
  <cols>
    <col min="1" max="2" width="45.85546875" style="56" customWidth="1"/>
    <col min="3" max="5" width="20.28515625" style="56" customWidth="1"/>
    <col min="6" max="6" width="25.28515625" style="56" bestFit="1" customWidth="1"/>
    <col min="7" max="7" width="28.7109375" style="56" customWidth="1"/>
    <col min="8" max="8" width="23.7109375" style="56" customWidth="1"/>
    <col min="9" max="9" width="13.7109375" style="56" customWidth="1"/>
    <col min="10" max="10" width="11.7109375" style="56" customWidth="1"/>
    <col min="11" max="11" width="13.7109375" style="56" customWidth="1"/>
    <col min="12" max="12" width="54.5703125" style="56" customWidth="1"/>
    <col min="13" max="13" width="12.28515625" style="56" customWidth="1"/>
    <col min="14" max="14" width="13.7109375" style="56" customWidth="1"/>
    <col min="15" max="15" width="12.28515625" style="56" customWidth="1"/>
    <col min="16" max="16" width="18.140625" style="56" customWidth="1"/>
    <col min="17" max="17" width="17.140625" style="56" customWidth="1"/>
    <col min="18" max="18" width="22.42578125" style="56" customWidth="1"/>
    <col min="19" max="19" width="21.7109375" style="56" customWidth="1"/>
    <col min="20" max="20" width="9.28515625" style="56" customWidth="1"/>
    <col min="21" max="21" width="23.28515625" style="56" customWidth="1"/>
    <col min="22" max="25" width="11.28515625" style="56" customWidth="1"/>
    <col min="26" max="16384" width="9.28515625" style="56"/>
  </cols>
  <sheetData>
    <row r="1" spans="1:25" ht="24.6" customHeight="1">
      <c r="A1" s="421" t="str">
        <f>"Outdoor Airflow Rate - "&amp;Prototype!A2</f>
        <v>Outdoor Airflow Rate - ParkingOpen</v>
      </c>
      <c r="B1" s="422"/>
      <c r="C1" s="422"/>
      <c r="D1" s="422"/>
      <c r="E1" s="422"/>
      <c r="F1" s="422"/>
      <c r="G1" s="422"/>
      <c r="H1" s="422"/>
      <c r="I1" s="422"/>
      <c r="J1" s="422"/>
      <c r="K1" s="422"/>
      <c r="L1" s="129"/>
      <c r="M1" s="2"/>
      <c r="N1" s="2"/>
      <c r="O1" s="2"/>
      <c r="P1" s="2"/>
      <c r="Q1" s="2"/>
      <c r="R1" s="2"/>
      <c r="S1" s="2"/>
      <c r="T1" s="2"/>
      <c r="U1" s="2"/>
      <c r="V1" s="2"/>
      <c r="W1" s="2"/>
      <c r="X1" s="2"/>
      <c r="Y1" s="2"/>
    </row>
    <row r="2" spans="1:25" ht="76.150000000000006" customHeight="1">
      <c r="A2" s="278" t="s">
        <v>65</v>
      </c>
      <c r="B2" s="266" t="s">
        <v>66</v>
      </c>
      <c r="C2" s="266" t="s">
        <v>74</v>
      </c>
      <c r="D2" s="224" t="s">
        <v>175</v>
      </c>
      <c r="E2" s="267" t="s">
        <v>176</v>
      </c>
      <c r="F2" s="267" t="s">
        <v>177</v>
      </c>
      <c r="G2" s="267" t="s">
        <v>178</v>
      </c>
      <c r="H2" s="267" t="s">
        <v>179</v>
      </c>
      <c r="I2" s="267" t="s">
        <v>180</v>
      </c>
      <c r="J2" s="267" t="s">
        <v>181</v>
      </c>
      <c r="K2" s="268" t="s">
        <v>182</v>
      </c>
      <c r="L2" s="344" t="s">
        <v>28</v>
      </c>
      <c r="M2" s="2"/>
      <c r="N2" s="2"/>
      <c r="O2" s="2"/>
      <c r="P2" s="2"/>
      <c r="Q2" s="2"/>
      <c r="R2" s="2"/>
      <c r="S2" s="2"/>
      <c r="T2" s="2"/>
      <c r="U2" s="2"/>
      <c r="V2" s="2"/>
      <c r="W2" s="2"/>
      <c r="X2" s="2"/>
      <c r="Y2" s="2"/>
    </row>
    <row r="3" spans="1:25" ht="42.75" customHeight="1">
      <c r="A3" s="269" t="str">
        <f>Zones!A3</f>
        <v>Parking Garage Area (Parking Zone and Ramps)</v>
      </c>
      <c r="B3" s="269" t="str">
        <f>Zones!B3</f>
        <v xml:space="preserve">Core  </v>
      </c>
      <c r="C3" s="270">
        <f>Zones!J3</f>
        <v>30.252749999999999</v>
      </c>
      <c r="D3" s="270">
        <f>Zones!G3</f>
        <v>6050.55</v>
      </c>
      <c r="E3" s="269">
        <v>0</v>
      </c>
      <c r="F3" s="269">
        <v>0</v>
      </c>
      <c r="G3" s="271">
        <v>0</v>
      </c>
      <c r="H3" s="275">
        <f>C3*E3</f>
        <v>0</v>
      </c>
      <c r="I3" s="274">
        <f>D3*F3</f>
        <v>0</v>
      </c>
      <c r="J3" s="274">
        <f t="shared" ref="J3" si="0">G3*D3</f>
        <v>0</v>
      </c>
      <c r="K3" s="343">
        <f t="shared" ref="K3" si="1">MAX(H3,I3,J3)</f>
        <v>0</v>
      </c>
      <c r="L3" s="342"/>
      <c r="M3" s="2"/>
      <c r="N3" s="2"/>
      <c r="O3" s="2"/>
      <c r="P3" s="2"/>
      <c r="Q3" s="2"/>
      <c r="R3" s="2"/>
      <c r="S3" s="2"/>
      <c r="T3" s="2"/>
      <c r="U3" s="2"/>
      <c r="V3" s="2"/>
      <c r="W3" s="2"/>
      <c r="X3" s="2"/>
      <c r="Y3" s="2"/>
    </row>
    <row r="4" spans="1:25" ht="27.75" customHeight="1">
      <c r="A4" s="269" t="str">
        <f>Zones!A4</f>
        <v>Parking Garage Area (Daylight Adaptation Zones)</v>
      </c>
      <c r="B4" s="269" t="str">
        <f>Zones!B4</f>
        <v xml:space="preserve">Daylight adaption  </v>
      </c>
      <c r="C4" s="270">
        <f>Zones!J4</f>
        <v>9.1007000000000016</v>
      </c>
      <c r="D4" s="270">
        <f>Zones!G4</f>
        <v>1820.14</v>
      </c>
      <c r="E4" s="269">
        <v>0</v>
      </c>
      <c r="F4" s="269">
        <v>0</v>
      </c>
      <c r="G4" s="271">
        <v>0</v>
      </c>
      <c r="H4" s="275">
        <f t="shared" ref="H4:H9" si="2">C4*E4</f>
        <v>0</v>
      </c>
      <c r="I4" s="274">
        <f t="shared" ref="I4:I9" si="3">D4*F4</f>
        <v>0</v>
      </c>
      <c r="J4" s="274">
        <f t="shared" ref="J4:J9" si="4">G4*D4</f>
        <v>0</v>
      </c>
      <c r="K4" s="343">
        <f t="shared" ref="K4:K9" si="5">MAX(H4,I4,J4)</f>
        <v>0</v>
      </c>
      <c r="L4" s="274"/>
      <c r="M4" s="2"/>
      <c r="N4" s="2"/>
      <c r="O4" s="2"/>
      <c r="P4" s="2"/>
      <c r="Q4" s="2"/>
      <c r="R4" s="2"/>
      <c r="S4" s="2"/>
      <c r="T4" s="2"/>
      <c r="U4" s="2"/>
      <c r="V4" s="2"/>
      <c r="W4" s="2"/>
      <c r="X4" s="2"/>
      <c r="Y4" s="2"/>
    </row>
    <row r="5" spans="1:25">
      <c r="A5" s="269" t="str">
        <f>Zones!A5</f>
        <v>Parking Garage Area (Parking Zone and Ramps)</v>
      </c>
      <c r="B5" s="269" t="str">
        <f>Zones!B5</f>
        <v xml:space="preserve">East perimeter  </v>
      </c>
      <c r="C5" s="270">
        <f>Zones!J5</f>
        <v>69.006649999999993</v>
      </c>
      <c r="D5" s="270">
        <f>Zones!G5</f>
        <v>13801.33</v>
      </c>
      <c r="E5" s="269">
        <v>0</v>
      </c>
      <c r="F5" s="269">
        <v>0</v>
      </c>
      <c r="G5" s="271">
        <v>0</v>
      </c>
      <c r="H5" s="275">
        <f t="shared" si="2"/>
        <v>0</v>
      </c>
      <c r="I5" s="274">
        <f t="shared" si="3"/>
        <v>0</v>
      </c>
      <c r="J5" s="274">
        <f t="shared" si="4"/>
        <v>0</v>
      </c>
      <c r="K5" s="343">
        <f t="shared" si="5"/>
        <v>0</v>
      </c>
      <c r="L5" s="342"/>
      <c r="M5" s="2"/>
      <c r="N5" s="2"/>
      <c r="O5" s="2"/>
      <c r="P5" s="2"/>
      <c r="Q5" s="2"/>
      <c r="R5" s="2"/>
      <c r="S5" s="2"/>
      <c r="T5" s="2"/>
      <c r="U5" s="2"/>
      <c r="V5" s="2"/>
      <c r="W5" s="2"/>
      <c r="X5" s="2"/>
      <c r="Y5" s="2"/>
    </row>
    <row r="6" spans="1:25">
      <c r="A6" s="269" t="str">
        <f>Zones!A6</f>
        <v>Parking Garage Area (Parking Zone and Ramps)</v>
      </c>
      <c r="B6" s="269" t="str">
        <f>Zones!B6</f>
        <v xml:space="preserve">North perimeter  </v>
      </c>
      <c r="C6" s="270">
        <f>Zones!J6</f>
        <v>69.006649999999993</v>
      </c>
      <c r="D6" s="270">
        <f>Zones!G6</f>
        <v>13801.33</v>
      </c>
      <c r="E6" s="269">
        <v>0</v>
      </c>
      <c r="F6" s="269">
        <v>0</v>
      </c>
      <c r="G6" s="271">
        <v>0</v>
      </c>
      <c r="H6" s="275">
        <f t="shared" si="2"/>
        <v>0</v>
      </c>
      <c r="I6" s="274">
        <f t="shared" si="3"/>
        <v>0</v>
      </c>
      <c r="J6" s="274">
        <f t="shared" si="4"/>
        <v>0</v>
      </c>
      <c r="K6" s="343">
        <f t="shared" si="5"/>
        <v>0</v>
      </c>
      <c r="L6" s="342"/>
      <c r="M6" s="2"/>
      <c r="N6" s="2"/>
      <c r="O6" s="2"/>
      <c r="P6" s="2"/>
      <c r="Q6" s="2"/>
      <c r="R6" s="2"/>
      <c r="S6" s="2"/>
      <c r="T6" s="2"/>
      <c r="U6" s="2"/>
      <c r="V6" s="2"/>
      <c r="W6" s="2"/>
      <c r="X6" s="2"/>
      <c r="Y6" s="2"/>
    </row>
    <row r="7" spans="1:25" ht="25.5">
      <c r="A7" s="269" t="str">
        <f>Zones!A7</f>
        <v>Retail Sales Area (Retail Merchandise Sales)</v>
      </c>
      <c r="B7" s="269" t="str">
        <f>Zones!B7</f>
        <v xml:space="preserve">Parking attendant  </v>
      </c>
      <c r="C7" s="270">
        <f>Zones!J7</f>
        <v>0.68084999999999996</v>
      </c>
      <c r="D7" s="270">
        <f>Zones!G7</f>
        <v>40.049999999999997</v>
      </c>
      <c r="E7" s="269">
        <v>15</v>
      </c>
      <c r="F7" s="269">
        <v>0.2</v>
      </c>
      <c r="G7" s="2">
        <v>0</v>
      </c>
      <c r="H7" s="275">
        <f t="shared" si="2"/>
        <v>10.21275</v>
      </c>
      <c r="I7" s="274">
        <f t="shared" si="3"/>
        <v>8.01</v>
      </c>
      <c r="J7" s="274">
        <f t="shared" si="4"/>
        <v>0</v>
      </c>
      <c r="K7" s="272">
        <f t="shared" si="5"/>
        <v>10.21275</v>
      </c>
      <c r="L7" s="345" t="s">
        <v>183</v>
      </c>
      <c r="M7" s="2"/>
      <c r="N7" s="2"/>
      <c r="O7" s="2"/>
      <c r="P7" s="2"/>
      <c r="Q7" s="2"/>
      <c r="R7" s="2"/>
      <c r="S7" s="2"/>
      <c r="T7" s="2"/>
      <c r="U7" s="2"/>
      <c r="V7" s="2"/>
      <c r="W7" s="2"/>
      <c r="X7" s="2"/>
      <c r="Y7" s="2"/>
    </row>
    <row r="8" spans="1:25">
      <c r="A8" s="346" t="str">
        <f>Zones!A8</f>
        <v>Parking Garage Area (Parking Zone and Ramps)</v>
      </c>
      <c r="B8" s="269" t="str">
        <f>Zones!B8</f>
        <v xml:space="preserve">South perimeter  </v>
      </c>
      <c r="C8" s="270">
        <f>Zones!J8</f>
        <v>69.006649999999993</v>
      </c>
      <c r="D8" s="270">
        <f>Zones!G8</f>
        <v>13801.33</v>
      </c>
      <c r="E8" s="269">
        <v>0</v>
      </c>
      <c r="F8" s="269">
        <v>0</v>
      </c>
      <c r="G8" s="271">
        <v>0</v>
      </c>
      <c r="H8" s="275">
        <f t="shared" si="2"/>
        <v>0</v>
      </c>
      <c r="I8" s="274">
        <f t="shared" si="3"/>
        <v>0</v>
      </c>
      <c r="J8" s="274">
        <f t="shared" si="4"/>
        <v>0</v>
      </c>
      <c r="K8" s="343">
        <f t="shared" si="5"/>
        <v>0</v>
      </c>
      <c r="L8" s="342"/>
      <c r="M8" s="2"/>
      <c r="N8" s="2"/>
      <c r="O8" s="2"/>
      <c r="P8" s="2"/>
      <c r="Q8" s="2"/>
      <c r="R8" s="2"/>
      <c r="S8" s="2"/>
      <c r="T8" s="2"/>
      <c r="U8" s="2"/>
      <c r="V8" s="2"/>
      <c r="W8" s="2"/>
      <c r="X8" s="2"/>
      <c r="Y8" s="2"/>
    </row>
    <row r="9" spans="1:25">
      <c r="A9" s="269" t="str">
        <f>Zones!A9</f>
        <v>Parking Garage Area (Parking Zone and Ramps)</v>
      </c>
      <c r="B9" s="347" t="str">
        <f>Zones!B9</f>
        <v xml:space="preserve">West perimeter  </v>
      </c>
      <c r="C9" s="270">
        <f>Zones!J9</f>
        <v>69.006649999999993</v>
      </c>
      <c r="D9" s="270">
        <f>Zones!G9</f>
        <v>13801.33</v>
      </c>
      <c r="E9" s="269">
        <v>0</v>
      </c>
      <c r="F9" s="269">
        <v>0</v>
      </c>
      <c r="G9" s="271">
        <v>0</v>
      </c>
      <c r="H9" s="275">
        <f t="shared" si="2"/>
        <v>0</v>
      </c>
      <c r="I9" s="274">
        <f t="shared" si="3"/>
        <v>0</v>
      </c>
      <c r="J9" s="274">
        <f t="shared" si="4"/>
        <v>0</v>
      </c>
      <c r="K9" s="343">
        <f t="shared" si="5"/>
        <v>0</v>
      </c>
      <c r="L9" s="342"/>
      <c r="M9" s="2"/>
      <c r="N9" s="2"/>
      <c r="O9" s="2"/>
      <c r="P9" s="2"/>
      <c r="Q9" s="2"/>
      <c r="R9" s="2"/>
      <c r="S9" s="2"/>
      <c r="T9" s="2"/>
      <c r="U9" s="2"/>
      <c r="V9" s="2"/>
      <c r="W9" s="2"/>
      <c r="X9" s="2"/>
      <c r="Y9" s="2"/>
    </row>
    <row r="10" spans="1:25">
      <c r="A10" s="368"/>
      <c r="B10" s="111"/>
      <c r="C10" s="111"/>
      <c r="D10" s="111"/>
      <c r="E10" s="111"/>
      <c r="F10" s="116"/>
      <c r="G10" s="116"/>
      <c r="H10" s="2"/>
      <c r="I10" s="2"/>
      <c r="J10" s="2"/>
      <c r="K10" s="2"/>
      <c r="L10" s="2"/>
      <c r="M10" s="2"/>
      <c r="N10" s="2"/>
      <c r="O10" s="2"/>
      <c r="P10" s="2"/>
      <c r="Q10" s="2"/>
      <c r="R10" s="2"/>
      <c r="S10" s="2"/>
      <c r="T10" s="2"/>
      <c r="U10" s="2"/>
      <c r="V10" s="2"/>
      <c r="W10" s="2"/>
      <c r="X10" s="2"/>
      <c r="Y10" s="2"/>
    </row>
    <row r="11" spans="1:25">
      <c r="A11" s="2"/>
      <c r="B11" s="2"/>
      <c r="C11" s="2"/>
      <c r="D11" s="2"/>
      <c r="E11" s="2"/>
      <c r="F11" s="2"/>
      <c r="G11" s="2"/>
      <c r="H11" s="2"/>
      <c r="I11" s="2"/>
      <c r="J11" s="2"/>
      <c r="K11" s="2"/>
      <c r="L11" s="2"/>
      <c r="M11" s="2"/>
      <c r="N11" s="2"/>
      <c r="O11" s="2"/>
      <c r="P11" s="2"/>
      <c r="Q11" s="2"/>
      <c r="R11" s="2"/>
      <c r="S11" s="2"/>
      <c r="T11" s="2"/>
      <c r="U11" s="2"/>
      <c r="V11" s="2"/>
      <c r="W11" s="2"/>
      <c r="X11" s="2"/>
      <c r="Y11" s="2"/>
    </row>
    <row r="12" spans="1:25">
      <c r="A12" s="2"/>
      <c r="B12" s="2"/>
      <c r="C12" s="2"/>
      <c r="D12" s="2"/>
      <c r="E12" s="154"/>
      <c r="F12" s="2"/>
      <c r="G12" s="2"/>
      <c r="H12" s="2"/>
      <c r="I12" s="2"/>
      <c r="J12" s="2"/>
      <c r="K12" s="2"/>
      <c r="L12" s="2"/>
      <c r="M12" s="2"/>
      <c r="N12" s="2"/>
      <c r="O12" s="2"/>
      <c r="P12" s="2"/>
      <c r="Q12" s="2"/>
      <c r="R12" s="2"/>
      <c r="S12" s="2"/>
      <c r="T12" s="2"/>
      <c r="U12" s="2"/>
      <c r="V12" s="2"/>
      <c r="W12" s="2"/>
      <c r="X12" s="2"/>
      <c r="Y12" s="2"/>
    </row>
    <row r="13" spans="1:25">
      <c r="A13" s="2"/>
      <c r="B13" s="2"/>
      <c r="C13" s="2"/>
      <c r="D13" s="2"/>
      <c r="E13" s="2"/>
      <c r="F13" s="2"/>
      <c r="G13" s="2"/>
      <c r="H13" s="2"/>
      <c r="I13" s="2"/>
      <c r="J13" s="2"/>
      <c r="K13" s="2"/>
      <c r="L13" s="2"/>
      <c r="M13" s="2"/>
      <c r="N13" s="2"/>
      <c r="O13" s="2"/>
      <c r="P13" s="2"/>
      <c r="Q13" s="2"/>
      <c r="R13" s="2"/>
      <c r="S13" s="2"/>
      <c r="T13" s="2"/>
      <c r="U13" s="2"/>
      <c r="V13" s="2"/>
      <c r="W13" s="2"/>
      <c r="X13" s="2"/>
      <c r="Y13" s="2"/>
    </row>
    <row r="14" spans="1:25">
      <c r="A14" s="2"/>
      <c r="B14" s="2"/>
      <c r="C14" s="2"/>
      <c r="D14" s="2"/>
      <c r="E14" s="2"/>
      <c r="F14" s="2"/>
      <c r="G14" s="2"/>
      <c r="H14" s="2"/>
      <c r="I14" s="2"/>
      <c r="J14" s="2"/>
      <c r="K14" s="2"/>
      <c r="L14" s="2"/>
      <c r="M14" s="2"/>
      <c r="N14" s="2"/>
      <c r="O14" s="2"/>
      <c r="P14" s="2"/>
      <c r="Q14" s="2"/>
      <c r="R14" s="2"/>
      <c r="S14" s="2"/>
      <c r="T14" s="2"/>
      <c r="U14" s="2"/>
      <c r="V14" s="2"/>
      <c r="W14" s="2"/>
      <c r="X14" s="2"/>
      <c r="Y14" s="2"/>
    </row>
    <row r="15" spans="1:25">
      <c r="A15" s="2"/>
      <c r="B15" s="2"/>
      <c r="C15" s="2"/>
      <c r="D15" s="2"/>
      <c r="E15" s="2"/>
      <c r="F15" s="2"/>
      <c r="G15" s="2"/>
      <c r="H15" s="2"/>
      <c r="I15" s="2"/>
      <c r="J15" s="2"/>
      <c r="K15" s="2"/>
      <c r="L15" s="2"/>
      <c r="M15" s="2"/>
      <c r="N15" s="2"/>
      <c r="O15" s="2"/>
      <c r="P15" s="2"/>
      <c r="Q15" s="2"/>
      <c r="R15" s="2"/>
      <c r="S15" s="2"/>
      <c r="T15" s="2"/>
      <c r="U15" s="2"/>
      <c r="V15" s="2"/>
      <c r="W15" s="2"/>
      <c r="X15" s="2"/>
      <c r="Y15" s="2"/>
    </row>
    <row r="16" spans="1:25">
      <c r="A16" s="2"/>
      <c r="B16" s="2"/>
      <c r="C16" s="2"/>
      <c r="D16" s="2"/>
      <c r="E16" s="2"/>
      <c r="F16" s="2"/>
      <c r="G16" s="2"/>
      <c r="H16" s="2"/>
      <c r="I16" s="2"/>
      <c r="J16" s="2"/>
      <c r="K16" s="2"/>
      <c r="L16" s="2"/>
      <c r="M16" s="2"/>
      <c r="N16" s="2"/>
      <c r="O16" s="2"/>
      <c r="P16" s="2"/>
      <c r="Q16" s="2"/>
      <c r="R16" s="2"/>
      <c r="S16" s="2"/>
      <c r="T16" s="2"/>
      <c r="U16" s="2"/>
      <c r="V16" s="2"/>
      <c r="W16" s="2"/>
      <c r="X16" s="2"/>
      <c r="Y16" s="2"/>
    </row>
    <row r="17" spans="1:25">
      <c r="A17" s="2"/>
      <c r="B17" s="2"/>
      <c r="C17" s="2"/>
      <c r="D17" s="2"/>
      <c r="E17" s="2"/>
      <c r="F17" s="2"/>
      <c r="G17" s="2"/>
      <c r="H17" s="2"/>
      <c r="I17" s="2"/>
      <c r="J17" s="2"/>
      <c r="K17" s="2"/>
      <c r="L17" s="2"/>
      <c r="M17" s="2"/>
      <c r="N17" s="2"/>
      <c r="O17" s="2"/>
      <c r="P17" s="2"/>
      <c r="Q17" s="2"/>
      <c r="R17" s="2"/>
      <c r="S17" s="2"/>
      <c r="T17" s="2"/>
      <c r="U17" s="2"/>
      <c r="V17" s="2"/>
      <c r="W17" s="2"/>
      <c r="X17" s="2"/>
      <c r="Y17" s="2"/>
    </row>
    <row r="18" spans="1:25" s="57" customFormat="1" ht="18" hidden="1">
      <c r="A18" s="21" t="s">
        <v>94</v>
      </c>
      <c r="B18" s="155"/>
      <c r="C18" s="155"/>
      <c r="D18" s="155"/>
      <c r="E18" s="156"/>
      <c r="F18" s="157"/>
      <c r="G18" s="158"/>
      <c r="H18" s="155"/>
      <c r="I18" s="155"/>
      <c r="J18" s="155"/>
      <c r="K18" s="155"/>
      <c r="L18" s="155"/>
      <c r="M18" s="155"/>
      <c r="N18" s="155"/>
      <c r="O18" s="155"/>
      <c r="P18" s="155"/>
      <c r="Q18" s="155"/>
      <c r="R18" s="155"/>
      <c r="S18" s="155"/>
      <c r="T18" s="155"/>
      <c r="U18" s="155"/>
      <c r="V18" s="155"/>
      <c r="W18" s="155"/>
      <c r="X18" s="155"/>
      <c r="Y18" s="155"/>
    </row>
    <row r="19" spans="1:25" hidden="1">
      <c r="A19" s="2"/>
      <c r="B19" s="2"/>
      <c r="C19" s="2"/>
      <c r="D19" s="2"/>
      <c r="E19" s="2"/>
      <c r="F19" s="2"/>
      <c r="G19" s="2"/>
      <c r="H19" s="2"/>
      <c r="I19" s="2"/>
      <c r="J19" s="2"/>
      <c r="K19" s="2"/>
      <c r="L19" s="2"/>
      <c r="M19" s="2"/>
      <c r="N19" s="2"/>
      <c r="O19" s="2"/>
      <c r="P19" s="2"/>
      <c r="Q19" s="2"/>
      <c r="R19" s="2"/>
      <c r="S19" s="2"/>
      <c r="T19" s="2"/>
      <c r="U19" s="2"/>
      <c r="V19" s="2"/>
      <c r="W19" s="2"/>
      <c r="X19" s="2"/>
      <c r="Y19" s="2"/>
    </row>
    <row r="20" spans="1:25" hidden="1">
      <c r="A20" s="2"/>
      <c r="B20" s="2"/>
      <c r="C20" s="2"/>
      <c r="D20" s="2"/>
      <c r="E20" s="2"/>
      <c r="F20" s="2"/>
      <c r="G20" s="2"/>
      <c r="H20" s="2"/>
      <c r="I20" s="2"/>
      <c r="J20" s="2"/>
      <c r="K20" s="2"/>
      <c r="L20" s="2"/>
      <c r="M20" s="2"/>
      <c r="N20" s="2"/>
      <c r="O20" s="2"/>
      <c r="P20" s="2"/>
      <c r="Q20" s="2"/>
      <c r="R20" s="2"/>
      <c r="S20" s="2"/>
      <c r="T20" s="2"/>
      <c r="U20" s="2"/>
      <c r="V20" s="2"/>
      <c r="W20" s="2"/>
      <c r="X20" s="2"/>
      <c r="Y20" s="2"/>
    </row>
    <row r="21" spans="1:25" ht="15" hidden="1">
      <c r="A21" s="106" t="s">
        <v>184</v>
      </c>
      <c r="B21" s="106" t="s">
        <v>185</v>
      </c>
      <c r="C21" s="106" t="s">
        <v>186</v>
      </c>
      <c r="D21" s="106" t="s">
        <v>187</v>
      </c>
      <c r="E21" s="2"/>
      <c r="F21" s="2"/>
      <c r="G21" s="2"/>
      <c r="H21" s="2"/>
      <c r="I21" s="2"/>
      <c r="J21" s="2"/>
      <c r="K21" s="2"/>
      <c r="L21" s="2"/>
      <c r="M21" s="2"/>
      <c r="N21" s="2"/>
      <c r="O21" s="2"/>
      <c r="P21" s="2"/>
      <c r="Q21" s="2"/>
      <c r="R21" s="2"/>
      <c r="S21" s="2"/>
      <c r="T21" s="2"/>
      <c r="U21" s="2"/>
      <c r="V21" s="2"/>
      <c r="W21" s="2"/>
      <c r="X21" s="2"/>
      <c r="Y21" s="2"/>
    </row>
    <row r="22" spans="1:25" ht="30" hidden="1">
      <c r="A22" s="107" t="s">
        <v>188</v>
      </c>
      <c r="B22" s="108" t="s">
        <v>189</v>
      </c>
      <c r="C22" s="107" t="s">
        <v>190</v>
      </c>
      <c r="D22" s="108" t="s">
        <v>191</v>
      </c>
      <c r="E22" s="2"/>
      <c r="F22"/>
      <c r="G22" s="2"/>
      <c r="H22" s="2"/>
      <c r="I22" s="2"/>
      <c r="J22" s="2"/>
      <c r="K22" s="2"/>
      <c r="L22" s="2"/>
      <c r="M22" s="2"/>
      <c r="N22" s="2"/>
      <c r="O22" s="2"/>
      <c r="P22" s="2"/>
      <c r="Q22" s="2"/>
      <c r="R22" s="2"/>
      <c r="S22" s="2"/>
      <c r="T22" s="2"/>
      <c r="U22" s="2"/>
      <c r="V22" s="2"/>
      <c r="W22" s="2"/>
      <c r="X22" s="2"/>
      <c r="Y22" s="2"/>
    </row>
    <row r="23" spans="1:25" ht="30" hidden="1">
      <c r="A23" s="107" t="s">
        <v>192</v>
      </c>
      <c r="B23" s="108" t="s">
        <v>193</v>
      </c>
      <c r="C23" s="107" t="s">
        <v>194</v>
      </c>
      <c r="D23" s="108" t="s">
        <v>195</v>
      </c>
      <c r="E23" s="2"/>
      <c r="F23" s="2"/>
      <c r="G23" s="2"/>
      <c r="H23" s="2"/>
      <c r="I23" s="2"/>
      <c r="J23" s="2"/>
      <c r="K23" s="2"/>
      <c r="L23" s="2"/>
      <c r="M23" s="2"/>
      <c r="N23" s="2"/>
      <c r="O23" s="2"/>
      <c r="P23" s="2"/>
      <c r="Q23" s="2"/>
      <c r="R23" s="2"/>
      <c r="S23" s="2"/>
      <c r="T23" s="2"/>
      <c r="U23" s="2"/>
      <c r="V23" s="2"/>
      <c r="W23" s="2"/>
      <c r="X23" s="2"/>
      <c r="Y23" s="2"/>
    </row>
    <row r="24" spans="1:25" ht="45" hidden="1">
      <c r="A24" s="107" t="s">
        <v>196</v>
      </c>
      <c r="B24" s="108" t="s">
        <v>197</v>
      </c>
      <c r="C24" s="107" t="s">
        <v>198</v>
      </c>
      <c r="D24" s="108" t="s">
        <v>199</v>
      </c>
      <c r="E24" s="2"/>
      <c r="F24" s="2"/>
      <c r="G24" s="2"/>
      <c r="H24" s="2"/>
      <c r="I24" s="2"/>
      <c r="J24" s="2"/>
      <c r="K24" s="2"/>
      <c r="L24" s="2"/>
      <c r="M24" s="2"/>
      <c r="N24" s="2"/>
      <c r="O24" s="2"/>
      <c r="P24" s="2"/>
      <c r="Q24" s="2"/>
      <c r="R24" s="2"/>
      <c r="S24" s="2"/>
      <c r="T24" s="2"/>
      <c r="U24" s="2"/>
      <c r="V24" s="2"/>
      <c r="W24" s="2"/>
      <c r="X24" s="2"/>
      <c r="Y24" s="2"/>
    </row>
    <row r="25" spans="1:25" ht="30" hidden="1">
      <c r="A25" s="107" t="s">
        <v>200</v>
      </c>
      <c r="B25" s="108" t="s">
        <v>201</v>
      </c>
      <c r="C25" s="107" t="s">
        <v>202</v>
      </c>
      <c r="D25" s="108" t="s">
        <v>203</v>
      </c>
      <c r="E25" s="2"/>
      <c r="F25" s="2"/>
      <c r="G25" s="2"/>
      <c r="H25" s="2"/>
      <c r="I25" s="2"/>
      <c r="J25" s="2"/>
      <c r="K25" s="2"/>
      <c r="L25" s="2"/>
      <c r="M25" s="2"/>
      <c r="N25" s="2"/>
      <c r="O25" s="2"/>
      <c r="P25" s="2"/>
      <c r="Q25" s="2"/>
      <c r="R25" s="2"/>
      <c r="S25" s="2"/>
      <c r="T25" s="2"/>
      <c r="U25" s="2"/>
      <c r="V25" s="2"/>
      <c r="W25" s="2"/>
      <c r="X25" s="2"/>
      <c r="Y25" s="2"/>
    </row>
    <row r="26" spans="1:25" ht="45" hidden="1">
      <c r="A26" s="107" t="s">
        <v>204</v>
      </c>
      <c r="B26" s="108" t="s">
        <v>205</v>
      </c>
      <c r="C26" s="107" t="s">
        <v>206</v>
      </c>
      <c r="D26" s="108" t="s">
        <v>207</v>
      </c>
      <c r="E26" s="2"/>
      <c r="F26" s="2"/>
      <c r="G26" s="2"/>
      <c r="H26" s="2"/>
      <c r="I26" s="2"/>
      <c r="J26" s="2"/>
      <c r="K26" s="2"/>
      <c r="L26" s="2"/>
      <c r="M26" s="2"/>
      <c r="N26" s="2"/>
      <c r="O26" s="2"/>
      <c r="P26" s="2"/>
      <c r="Q26" s="2"/>
      <c r="R26" s="2"/>
      <c r="S26" s="2"/>
      <c r="T26" s="2"/>
      <c r="U26" s="2"/>
      <c r="V26" s="2"/>
      <c r="W26" s="2"/>
      <c r="X26" s="2"/>
      <c r="Y26" s="2"/>
    </row>
    <row r="27" spans="1:25" hidden="1">
      <c r="A27" s="2"/>
      <c r="B27" s="2"/>
      <c r="C27" s="2"/>
      <c r="D27" s="2"/>
      <c r="E27" s="2"/>
      <c r="F27" s="2"/>
      <c r="G27" s="2"/>
      <c r="H27" s="2"/>
      <c r="I27" s="2"/>
      <c r="J27" s="2"/>
      <c r="K27" s="2"/>
      <c r="L27" s="2"/>
      <c r="M27" s="2"/>
      <c r="N27" s="2"/>
      <c r="O27" s="2"/>
      <c r="P27" s="2"/>
      <c r="Q27" s="2"/>
      <c r="R27" s="2"/>
      <c r="S27" s="2"/>
      <c r="T27" s="2"/>
      <c r="U27" s="2"/>
      <c r="V27" s="2"/>
      <c r="W27" s="2"/>
      <c r="X27" s="2"/>
      <c r="Y27" s="2"/>
    </row>
    <row r="28" spans="1:25" ht="15.75" hidden="1">
      <c r="A28" s="443" t="str">
        <f>"Outdoor Airflow Rate - "&amp;Prototype!B4</f>
        <v>Outdoor Airflow Rate - Open Parking</v>
      </c>
      <c r="B28" s="443"/>
      <c r="C28" s="443"/>
      <c r="D28" s="443"/>
      <c r="E28" s="443"/>
      <c r="F28" s="443"/>
      <c r="G28" s="443"/>
      <c r="H28" s="443"/>
      <c r="I28" s="2"/>
      <c r="J28" s="2"/>
      <c r="K28" s="2"/>
      <c r="L28" s="2"/>
      <c r="M28" s="2"/>
      <c r="N28" s="2"/>
      <c r="O28" s="2"/>
      <c r="P28" s="2"/>
      <c r="Q28" s="2"/>
      <c r="R28" s="2"/>
      <c r="S28" s="2"/>
      <c r="T28" s="2"/>
      <c r="U28" s="2"/>
      <c r="V28" s="2"/>
      <c r="W28" s="2"/>
      <c r="X28" s="2"/>
      <c r="Y28" s="2"/>
    </row>
    <row r="29" spans="1:25" ht="39" hidden="1" thickBot="1">
      <c r="A29" s="68" t="s">
        <v>65</v>
      </c>
      <c r="B29" s="68" t="s">
        <v>208</v>
      </c>
      <c r="C29" s="69" t="s">
        <v>209</v>
      </c>
      <c r="D29" s="69" t="s">
        <v>210</v>
      </c>
      <c r="E29" s="69" t="s">
        <v>211</v>
      </c>
      <c r="F29" s="69" t="s">
        <v>212</v>
      </c>
      <c r="G29" s="68" t="s">
        <v>213</v>
      </c>
      <c r="H29" s="68" t="s">
        <v>141</v>
      </c>
      <c r="I29" s="2"/>
      <c r="J29" s="2"/>
      <c r="K29" s="2"/>
      <c r="L29" s="2"/>
      <c r="M29" s="2"/>
      <c r="N29" s="2"/>
      <c r="O29" s="2"/>
      <c r="P29" s="2"/>
      <c r="Q29" s="2"/>
      <c r="R29" s="2"/>
      <c r="S29" s="2"/>
      <c r="T29" s="2"/>
      <c r="U29" s="2"/>
      <c r="V29" s="2"/>
      <c r="W29" s="2"/>
      <c r="X29" s="2"/>
      <c r="Y29" s="2"/>
    </row>
    <row r="30" spans="1:25" hidden="1">
      <c r="A30" s="88" t="str">
        <f>Zones!A3</f>
        <v>Parking Garage Area (Parking Zone and Ramps)</v>
      </c>
      <c r="B30" s="93">
        <f>SUMIF(Zones!A$3:A$9, "*Science laboratories*", Zones!G3:G9)</f>
        <v>0</v>
      </c>
      <c r="C30" s="94">
        <f>Zones!K3</f>
        <v>5</v>
      </c>
      <c r="D30" s="94">
        <f>(B30/1000)*C30</f>
        <v>0</v>
      </c>
      <c r="E30" s="95">
        <v>0.15</v>
      </c>
      <c r="F30" s="96">
        <v>1</v>
      </c>
      <c r="G30" s="97">
        <f>MAX(E30*B30,D30*15,F30*B30)</f>
        <v>0</v>
      </c>
      <c r="H30" s="444" t="s">
        <v>214</v>
      </c>
      <c r="I30" s="2"/>
      <c r="J30" s="2"/>
      <c r="K30" s="2"/>
      <c r="L30" s="2"/>
      <c r="M30" s="2"/>
      <c r="N30" s="2"/>
      <c r="O30" s="2"/>
      <c r="P30" s="2"/>
      <c r="Q30" s="2"/>
      <c r="R30" s="2"/>
      <c r="S30" s="2"/>
      <c r="T30" s="2"/>
      <c r="U30" s="2"/>
      <c r="V30" s="2"/>
      <c r="W30" s="2"/>
      <c r="X30" s="2"/>
      <c r="Y30" s="2"/>
    </row>
    <row r="31" spans="1:25" hidden="1">
      <c r="A31" s="89" t="e">
        <f>Zones!#REF!</f>
        <v>#REF!</v>
      </c>
      <c r="B31" s="70">
        <f>SUMIF(Zones!A$3:A$9, "*Office Area (&gt;250 square feet)*", Zones!G$3:G$9)</f>
        <v>0</v>
      </c>
      <c r="C31" s="71" t="e">
        <f>Zones!#REF!</f>
        <v>#REF!</v>
      </c>
      <c r="D31" s="71" t="e">
        <f t="shared" ref="D31" si="6">(B31/1000)*C31</f>
        <v>#REF!</v>
      </c>
      <c r="E31" s="72">
        <v>0.15</v>
      </c>
      <c r="F31" s="164"/>
      <c r="G31" s="105" t="e">
        <f>MAX(E31*B31,D31*15,F31*B31)</f>
        <v>#REF!</v>
      </c>
      <c r="H31" s="445"/>
      <c r="I31" s="2"/>
      <c r="J31" s="2"/>
      <c r="K31" s="2"/>
      <c r="L31" s="2"/>
      <c r="M31" s="2"/>
      <c r="N31" s="2"/>
      <c r="O31" s="2"/>
      <c r="P31" s="2"/>
      <c r="Q31" s="2"/>
      <c r="R31" s="2"/>
      <c r="S31" s="2"/>
      <c r="T31" s="2"/>
      <c r="U31" s="2"/>
      <c r="V31" s="2"/>
      <c r="W31" s="2"/>
      <c r="X31" s="2"/>
      <c r="Y31" s="2"/>
    </row>
    <row r="32" spans="1:25" ht="15" hidden="1" thickBot="1">
      <c r="A32" s="82" t="s">
        <v>215</v>
      </c>
      <c r="B32" s="98">
        <f>SUM(B30:B31)</f>
        <v>0</v>
      </c>
      <c r="C32" s="99"/>
      <c r="D32" s="100" t="e">
        <f>SUM(D30:D31)</f>
        <v>#REF!</v>
      </c>
      <c r="E32" s="99"/>
      <c r="F32" s="99"/>
      <c r="G32" s="101" t="e">
        <f>SUM(G30:G31)</f>
        <v>#REF!</v>
      </c>
      <c r="H32" s="446"/>
      <c r="I32" s="2"/>
      <c r="J32" s="2"/>
      <c r="K32" s="2"/>
      <c r="L32" s="2"/>
      <c r="M32" s="2"/>
      <c r="N32" s="2"/>
      <c r="O32" s="2"/>
      <c r="P32" s="2"/>
      <c r="Q32" s="2"/>
      <c r="R32" s="2"/>
      <c r="S32" s="2"/>
      <c r="T32" s="2"/>
      <c r="U32" s="2"/>
      <c r="V32" s="2"/>
      <c r="W32" s="2"/>
      <c r="X32" s="2"/>
      <c r="Y32" s="2"/>
    </row>
    <row r="33" spans="1:25" hidden="1">
      <c r="A33" s="2"/>
      <c r="B33" s="2"/>
      <c r="C33" s="2"/>
      <c r="D33" s="2"/>
      <c r="E33" s="2"/>
      <c r="F33" s="2"/>
      <c r="G33" s="2"/>
      <c r="H33" s="2"/>
      <c r="I33" s="2"/>
      <c r="J33" s="2"/>
      <c r="K33" s="2"/>
      <c r="L33" s="2"/>
      <c r="M33" s="2"/>
      <c r="N33" s="2"/>
      <c r="O33" s="2"/>
      <c r="P33" s="2"/>
      <c r="Q33" s="2"/>
      <c r="R33" s="2"/>
      <c r="S33" s="2"/>
      <c r="T33" s="2"/>
      <c r="U33" s="2"/>
      <c r="V33" s="2"/>
      <c r="W33" s="2"/>
      <c r="X33" s="2"/>
      <c r="Y33" s="2"/>
    </row>
    <row r="34" spans="1:25" hidden="1">
      <c r="A34" s="2"/>
      <c r="B34" s="2"/>
      <c r="C34" s="2"/>
      <c r="D34" s="2"/>
      <c r="E34" s="2"/>
      <c r="F34" s="2"/>
      <c r="G34" s="2"/>
      <c r="H34" s="2"/>
      <c r="I34" s="2"/>
      <c r="J34" s="2"/>
      <c r="K34" s="2"/>
      <c r="L34" s="2"/>
      <c r="M34" s="2"/>
      <c r="N34" s="2"/>
      <c r="O34" s="2"/>
      <c r="P34" s="2"/>
      <c r="Q34" s="2"/>
      <c r="R34" s="2"/>
      <c r="S34" s="2"/>
      <c r="T34" s="2"/>
      <c r="U34" s="2"/>
      <c r="V34" s="2"/>
      <c r="W34" s="2"/>
      <c r="X34" s="2"/>
      <c r="Y34" s="2"/>
    </row>
    <row r="35" spans="1:25" hidden="1">
      <c r="A35" s="2"/>
      <c r="B35" s="2"/>
      <c r="C35" s="2"/>
      <c r="D35" s="2"/>
      <c r="E35" s="2"/>
      <c r="F35" s="2"/>
      <c r="G35" s="2"/>
      <c r="H35" s="2"/>
      <c r="I35" s="2"/>
      <c r="J35" s="2"/>
      <c r="K35" s="2"/>
      <c r="L35" s="2"/>
      <c r="M35" s="2"/>
      <c r="N35" s="2"/>
      <c r="O35" s="2"/>
      <c r="P35" s="2"/>
      <c r="Q35" s="2"/>
      <c r="R35" s="2"/>
      <c r="S35" s="2"/>
      <c r="T35" s="2"/>
      <c r="U35" s="2"/>
      <c r="V35" s="2"/>
      <c r="W35" s="2"/>
      <c r="X35" s="2"/>
      <c r="Y35" s="2"/>
    </row>
    <row r="36" spans="1:25" hidden="1">
      <c r="A36" s="2"/>
      <c r="B36" s="2"/>
      <c r="C36" s="2"/>
      <c r="D36" s="2"/>
      <c r="E36" s="2"/>
      <c r="F36" s="2"/>
      <c r="G36" s="2"/>
      <c r="H36" s="2"/>
      <c r="I36" s="2"/>
      <c r="J36" s="2"/>
      <c r="K36" s="2"/>
      <c r="L36" s="2"/>
      <c r="M36" s="2"/>
      <c r="N36" s="2"/>
      <c r="O36" s="2"/>
      <c r="P36" s="2"/>
      <c r="Q36" s="2"/>
      <c r="R36" s="2"/>
      <c r="S36" s="2"/>
      <c r="T36" s="2"/>
      <c r="U36" s="2"/>
      <c r="V36" s="2"/>
      <c r="W36" s="2"/>
      <c r="X36" s="2"/>
      <c r="Y36" s="2"/>
    </row>
    <row r="37" spans="1:25">
      <c r="A37" s="2"/>
      <c r="B37" s="2"/>
      <c r="C37" s="2"/>
      <c r="D37" s="2"/>
      <c r="E37" s="2"/>
      <c r="F37" s="2"/>
      <c r="G37" s="2"/>
      <c r="H37" s="2"/>
      <c r="I37" s="2"/>
      <c r="J37" s="2"/>
      <c r="K37" s="2"/>
      <c r="L37" s="2"/>
      <c r="M37" s="2"/>
      <c r="N37" s="2"/>
      <c r="O37" s="2"/>
      <c r="P37" s="2"/>
      <c r="Q37" s="2"/>
      <c r="R37" s="2"/>
      <c r="S37" s="2"/>
      <c r="T37" s="2"/>
      <c r="U37" s="2"/>
      <c r="V37" s="2"/>
      <c r="W37" s="2"/>
      <c r="X37" s="2"/>
      <c r="Y37" s="2"/>
    </row>
    <row r="38" spans="1:25">
      <c r="A38" s="2"/>
      <c r="B38" s="2"/>
      <c r="C38" s="2"/>
      <c r="D38" s="2"/>
      <c r="E38" s="2"/>
      <c r="F38" s="2"/>
      <c r="G38" s="2"/>
      <c r="H38" s="2"/>
      <c r="I38" s="2"/>
      <c r="J38" s="2"/>
      <c r="K38" s="2"/>
      <c r="L38" s="2"/>
      <c r="M38" s="2"/>
      <c r="N38" s="2"/>
      <c r="O38" s="2"/>
      <c r="P38" s="2"/>
      <c r="Q38" s="2"/>
      <c r="R38" s="2"/>
      <c r="S38" s="2"/>
      <c r="T38" s="2"/>
      <c r="U38" s="2"/>
      <c r="V38" s="2"/>
      <c r="W38" s="2"/>
      <c r="X38" s="2"/>
      <c r="Y38" s="2"/>
    </row>
    <row r="39" spans="1:25">
      <c r="A39" s="2"/>
      <c r="B39" s="2"/>
      <c r="C39" s="2"/>
      <c r="D39" s="2"/>
      <c r="E39" s="2"/>
      <c r="F39" s="2"/>
      <c r="G39" s="2"/>
      <c r="H39" s="2"/>
      <c r="I39" s="2"/>
      <c r="J39" s="2"/>
      <c r="K39" s="2"/>
      <c r="L39" s="2"/>
      <c r="M39" s="2"/>
      <c r="N39" s="2"/>
      <c r="O39" s="2"/>
      <c r="P39" s="2"/>
      <c r="Q39" s="2"/>
      <c r="R39" s="2"/>
      <c r="S39" s="2"/>
      <c r="T39" s="2"/>
      <c r="U39" s="2"/>
      <c r="V39" s="2"/>
      <c r="W39" s="2"/>
      <c r="X39" s="2"/>
      <c r="Y39" s="2"/>
    </row>
    <row r="40" spans="1:25">
      <c r="A40" s="2"/>
      <c r="B40" s="2"/>
      <c r="C40" s="2"/>
      <c r="D40" s="2"/>
      <c r="E40" s="2"/>
      <c r="F40" s="2"/>
      <c r="G40" s="2"/>
      <c r="H40" s="2"/>
      <c r="I40" s="2"/>
      <c r="J40" s="2"/>
      <c r="K40" s="2"/>
      <c r="L40" s="2"/>
      <c r="M40" s="2"/>
      <c r="N40" s="2"/>
      <c r="O40" s="2"/>
      <c r="P40" s="2"/>
      <c r="Q40" s="2"/>
      <c r="R40" s="2"/>
      <c r="S40" s="2"/>
      <c r="T40" s="2"/>
      <c r="U40" s="2"/>
      <c r="V40" s="2"/>
      <c r="W40" s="2"/>
      <c r="X40" s="2"/>
      <c r="Y40" s="2"/>
    </row>
    <row r="41" spans="1:25">
      <c r="A41" s="2"/>
      <c r="B41" s="2"/>
      <c r="C41" s="2"/>
      <c r="D41" s="2"/>
      <c r="E41" s="2"/>
      <c r="F41" s="2"/>
      <c r="G41" s="2"/>
      <c r="H41" s="2"/>
      <c r="I41" s="2"/>
      <c r="J41" s="2"/>
      <c r="K41" s="2"/>
      <c r="L41" s="2"/>
      <c r="M41" s="2"/>
      <c r="N41" s="2"/>
      <c r="O41" s="2"/>
      <c r="P41" s="2"/>
      <c r="Q41" s="2"/>
      <c r="R41" s="2"/>
      <c r="S41" s="2"/>
      <c r="T41" s="2"/>
      <c r="U41" s="2"/>
      <c r="V41" s="2"/>
      <c r="W41" s="2"/>
      <c r="X41" s="2"/>
      <c r="Y41" s="2"/>
    </row>
    <row r="42" spans="1:25">
      <c r="A42" s="2"/>
      <c r="B42" s="2"/>
      <c r="C42" s="2"/>
      <c r="D42" s="2"/>
      <c r="E42" s="2"/>
      <c r="F42" s="2"/>
      <c r="G42" s="2"/>
      <c r="H42" s="2"/>
      <c r="I42" s="2"/>
      <c r="J42" s="2"/>
      <c r="K42" s="2"/>
      <c r="L42" s="2"/>
      <c r="M42" s="2"/>
      <c r="N42" s="2"/>
      <c r="O42" s="2"/>
      <c r="P42" s="2"/>
      <c r="Q42" s="2"/>
      <c r="R42" s="2"/>
      <c r="S42" s="2"/>
      <c r="T42" s="2"/>
      <c r="U42" s="2"/>
      <c r="V42" s="2"/>
      <c r="W42" s="2"/>
      <c r="X42" s="2"/>
      <c r="Y42" s="2"/>
    </row>
  </sheetData>
  <mergeCells count="3">
    <mergeCell ref="A28:H28"/>
    <mergeCell ref="H30:H32"/>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S12"/>
  <sheetViews>
    <sheetView zoomScale="80" zoomScaleNormal="80" workbookViewId="0">
      <selection sqref="A1:S1"/>
    </sheetView>
  </sheetViews>
  <sheetFormatPr defaultRowHeight="15"/>
  <cols>
    <col min="1" max="1" width="57.85546875" customWidth="1"/>
    <col min="18" max="18" width="17.7109375" customWidth="1"/>
    <col min="19" max="19" width="31" customWidth="1"/>
  </cols>
  <sheetData>
    <row r="1" spans="1:19" ht="24" customHeight="1">
      <c r="A1" s="452" t="str">
        <f>"Thermostat Setpoints - "&amp;Prototype!A2</f>
        <v>Thermostat Setpoints - ParkingOpen</v>
      </c>
      <c r="B1" s="453"/>
      <c r="C1" s="453"/>
      <c r="D1" s="453"/>
      <c r="E1" s="453"/>
      <c r="F1" s="453"/>
      <c r="G1" s="453"/>
      <c r="H1" s="453"/>
      <c r="I1" s="453"/>
      <c r="J1" s="453"/>
      <c r="K1" s="453"/>
      <c r="L1" s="453"/>
      <c r="M1" s="453"/>
      <c r="N1" s="453"/>
      <c r="O1" s="453"/>
      <c r="P1" s="453"/>
      <c r="Q1" s="453"/>
      <c r="R1" s="453"/>
      <c r="S1" s="453"/>
    </row>
    <row r="2" spans="1:19" ht="21.6" customHeight="1">
      <c r="A2" s="379" t="s">
        <v>216</v>
      </c>
      <c r="B2" s="373" t="s">
        <v>102</v>
      </c>
      <c r="C2" s="373" t="s">
        <v>103</v>
      </c>
      <c r="D2" s="373" t="s">
        <v>104</v>
      </c>
      <c r="E2" s="373" t="s">
        <v>105</v>
      </c>
      <c r="F2" s="373" t="s">
        <v>106</v>
      </c>
      <c r="G2" s="373" t="s">
        <v>107</v>
      </c>
      <c r="H2" s="373" t="s">
        <v>108</v>
      </c>
      <c r="I2" s="373" t="s">
        <v>109</v>
      </c>
      <c r="J2" s="373" t="s">
        <v>110</v>
      </c>
      <c r="K2" s="373" t="s">
        <v>111</v>
      </c>
      <c r="L2" s="373" t="s">
        <v>112</v>
      </c>
      <c r="M2" s="373" t="s">
        <v>113</v>
      </c>
      <c r="N2" s="373" t="s">
        <v>114</v>
      </c>
      <c r="O2" s="373" t="s">
        <v>115</v>
      </c>
      <c r="P2" s="373" t="s">
        <v>116</v>
      </c>
      <c r="Q2" s="373" t="s">
        <v>117</v>
      </c>
      <c r="R2" s="115" t="s">
        <v>141</v>
      </c>
      <c r="S2" s="276" t="s">
        <v>101</v>
      </c>
    </row>
    <row r="3" spans="1:19" ht="22.9" customHeight="1">
      <c r="A3" s="104" t="s">
        <v>217</v>
      </c>
      <c r="B3" s="102">
        <v>70</v>
      </c>
      <c r="C3" s="102">
        <v>70</v>
      </c>
      <c r="D3" s="102">
        <v>70</v>
      </c>
      <c r="E3" s="102">
        <v>70</v>
      </c>
      <c r="F3" s="102">
        <v>70</v>
      </c>
      <c r="G3" s="102">
        <v>70</v>
      </c>
      <c r="H3" s="102">
        <v>70</v>
      </c>
      <c r="I3" s="102">
        <v>70</v>
      </c>
      <c r="J3" s="102">
        <v>70</v>
      </c>
      <c r="K3" s="102">
        <v>70</v>
      </c>
      <c r="L3" s="102">
        <v>70</v>
      </c>
      <c r="M3" s="102">
        <v>70</v>
      </c>
      <c r="N3" s="102">
        <v>70</v>
      </c>
      <c r="O3" s="102">
        <v>70</v>
      </c>
      <c r="P3" s="102">
        <v>70</v>
      </c>
      <c r="Q3" s="102">
        <v>70</v>
      </c>
      <c r="R3" s="449" t="s">
        <v>218</v>
      </c>
      <c r="S3" s="449" t="s">
        <v>219</v>
      </c>
    </row>
    <row r="4" spans="1:19" ht="22.9" customHeight="1">
      <c r="A4" s="104" t="s">
        <v>220</v>
      </c>
      <c r="B4" s="102">
        <v>60</v>
      </c>
      <c r="C4" s="102">
        <v>60</v>
      </c>
      <c r="D4" s="102">
        <v>60</v>
      </c>
      <c r="E4" s="102">
        <v>60</v>
      </c>
      <c r="F4" s="102">
        <v>60</v>
      </c>
      <c r="G4" s="102">
        <v>60</v>
      </c>
      <c r="H4" s="102">
        <v>60</v>
      </c>
      <c r="I4" s="102">
        <v>60</v>
      </c>
      <c r="J4" s="102">
        <v>60</v>
      </c>
      <c r="K4" s="102">
        <v>60</v>
      </c>
      <c r="L4" s="102">
        <v>60</v>
      </c>
      <c r="M4" s="102">
        <v>60</v>
      </c>
      <c r="N4" s="102">
        <v>60</v>
      </c>
      <c r="O4" s="102">
        <v>60</v>
      </c>
      <c r="P4" s="102">
        <v>60</v>
      </c>
      <c r="Q4" s="102">
        <v>60</v>
      </c>
      <c r="R4" s="450"/>
      <c r="S4" s="450"/>
    </row>
    <row r="5" spans="1:19" s="223" customFormat="1" ht="22.9" customHeight="1">
      <c r="A5" s="104" t="s">
        <v>221</v>
      </c>
      <c r="B5" s="102">
        <v>75</v>
      </c>
      <c r="C5" s="102">
        <v>75</v>
      </c>
      <c r="D5" s="102">
        <v>75</v>
      </c>
      <c r="E5" s="102">
        <v>75</v>
      </c>
      <c r="F5" s="102">
        <v>75</v>
      </c>
      <c r="G5" s="102">
        <v>75</v>
      </c>
      <c r="H5" s="102">
        <v>75</v>
      </c>
      <c r="I5" s="102">
        <v>75</v>
      </c>
      <c r="J5" s="102">
        <v>75</v>
      </c>
      <c r="K5" s="102">
        <v>75</v>
      </c>
      <c r="L5" s="102">
        <v>75</v>
      </c>
      <c r="M5" s="102">
        <v>75</v>
      </c>
      <c r="N5" s="102">
        <v>75</v>
      </c>
      <c r="O5" s="102">
        <v>75</v>
      </c>
      <c r="P5" s="102">
        <v>75</v>
      </c>
      <c r="Q5" s="102">
        <v>75</v>
      </c>
      <c r="R5" s="450"/>
      <c r="S5" s="450"/>
    </row>
    <row r="6" spans="1:19" ht="22.9" customHeight="1">
      <c r="A6" s="104" t="s">
        <v>222</v>
      </c>
      <c r="B6" s="102">
        <v>85</v>
      </c>
      <c r="C6" s="102">
        <v>85</v>
      </c>
      <c r="D6" s="102">
        <v>85</v>
      </c>
      <c r="E6" s="102">
        <v>85</v>
      </c>
      <c r="F6" s="102">
        <v>85</v>
      </c>
      <c r="G6" s="102">
        <v>85</v>
      </c>
      <c r="H6" s="102">
        <v>85</v>
      </c>
      <c r="I6" s="102">
        <v>85</v>
      </c>
      <c r="J6" s="102">
        <v>85</v>
      </c>
      <c r="K6" s="102">
        <v>85</v>
      </c>
      <c r="L6" s="102">
        <v>85</v>
      </c>
      <c r="M6" s="102">
        <v>85</v>
      </c>
      <c r="N6" s="102">
        <v>85</v>
      </c>
      <c r="O6" s="102">
        <v>85</v>
      </c>
      <c r="P6" s="102">
        <v>85</v>
      </c>
      <c r="Q6" s="102">
        <v>85</v>
      </c>
      <c r="R6" s="451"/>
      <c r="S6" s="451"/>
    </row>
    <row r="7" spans="1:19" ht="22.9" customHeight="1">
      <c r="A7" s="163"/>
      <c r="B7" s="163"/>
      <c r="C7" s="163"/>
      <c r="D7" s="163"/>
      <c r="E7" s="163"/>
      <c r="F7" s="163"/>
      <c r="G7" s="163"/>
      <c r="H7" s="163"/>
      <c r="I7" s="163"/>
    </row>
    <row r="8" spans="1:19" ht="22.9" customHeight="1">
      <c r="A8" s="163"/>
      <c r="B8" s="163"/>
      <c r="C8" s="163"/>
      <c r="D8" s="163"/>
      <c r="E8" s="163"/>
      <c r="F8" s="163"/>
      <c r="G8" s="163"/>
      <c r="H8" s="163"/>
      <c r="I8" s="163"/>
    </row>
    <row r="9" spans="1:19" ht="22.9" customHeight="1">
      <c r="A9" s="104" t="s">
        <v>223</v>
      </c>
      <c r="B9" s="103">
        <v>85</v>
      </c>
      <c r="C9" s="103">
        <v>85</v>
      </c>
      <c r="D9" s="103">
        <v>85</v>
      </c>
      <c r="E9" s="103">
        <v>85</v>
      </c>
      <c r="F9" s="103">
        <v>85</v>
      </c>
      <c r="G9" s="103">
        <v>85</v>
      </c>
      <c r="H9" s="103">
        <v>85</v>
      </c>
      <c r="I9" s="103">
        <v>85</v>
      </c>
      <c r="J9" s="103">
        <v>85</v>
      </c>
      <c r="K9" s="103">
        <v>85</v>
      </c>
      <c r="L9" s="103">
        <v>85</v>
      </c>
      <c r="M9" s="103">
        <v>85</v>
      </c>
      <c r="N9" s="103">
        <v>85</v>
      </c>
      <c r="O9" s="103">
        <v>85</v>
      </c>
      <c r="P9" s="103">
        <v>85</v>
      </c>
      <c r="Q9" s="103">
        <v>85</v>
      </c>
    </row>
    <row r="11" spans="1:19" ht="22.9" customHeight="1">
      <c r="A11" s="396" t="s">
        <v>224</v>
      </c>
      <c r="B11" s="396"/>
      <c r="C11" s="396"/>
      <c r="D11" s="396"/>
      <c r="E11" s="396"/>
      <c r="F11" s="396"/>
      <c r="G11" s="396"/>
      <c r="H11" s="396"/>
      <c r="I11" s="396"/>
      <c r="J11" s="396"/>
      <c r="K11" s="396"/>
      <c r="L11" s="396"/>
      <c r="M11" s="396"/>
      <c r="N11" s="396"/>
      <c r="O11" s="396"/>
      <c r="P11" s="396"/>
      <c r="Q11" s="396"/>
    </row>
    <row r="12" spans="1:19" ht="14.45" customHeight="1">
      <c r="A12" s="447" t="s">
        <v>225</v>
      </c>
      <c r="B12" s="448"/>
      <c r="C12" s="448"/>
      <c r="D12" s="448"/>
      <c r="E12" s="448"/>
      <c r="F12" s="448"/>
      <c r="G12" s="448"/>
      <c r="H12" s="448"/>
      <c r="I12" s="448"/>
      <c r="J12" s="448"/>
      <c r="K12" s="448"/>
      <c r="L12" s="448"/>
      <c r="M12" s="448"/>
      <c r="N12" s="448"/>
      <c r="O12" s="7"/>
      <c r="P12" s="7"/>
      <c r="Q12" s="7"/>
    </row>
  </sheetData>
  <mergeCells count="5">
    <mergeCell ref="A12:N12"/>
    <mergeCell ref="A11:Q11"/>
    <mergeCell ref="R3:R6"/>
    <mergeCell ref="A1:S1"/>
    <mergeCell ref="S3:S6"/>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M88"/>
  <sheetViews>
    <sheetView zoomScale="85" zoomScaleNormal="85" workbookViewId="0">
      <selection sqref="A1:G1"/>
    </sheetView>
  </sheetViews>
  <sheetFormatPr defaultColWidth="8.7109375" defaultRowHeight="12.75" customHeight="1"/>
  <cols>
    <col min="1" max="1" width="49.5703125" style="4" bestFit="1" customWidth="1"/>
    <col min="2" max="3" width="22.5703125" style="4" customWidth="1"/>
    <col min="4" max="4" width="20.85546875" style="4" customWidth="1"/>
    <col min="5" max="5" width="21.42578125" style="4" customWidth="1"/>
    <col min="6" max="6" width="38.7109375" style="4" customWidth="1"/>
    <col min="7" max="7" width="35.7109375" style="4" customWidth="1"/>
    <col min="8" max="8" width="9.42578125" style="4" bestFit="1" customWidth="1"/>
    <col min="9" max="9" width="18" style="4" customWidth="1"/>
    <col min="10" max="10" width="59" style="4" customWidth="1"/>
    <col min="11" max="13" width="15.28515625" style="4" customWidth="1"/>
    <col min="14" max="14" width="12.28515625" style="4" customWidth="1"/>
    <col min="15" max="15" width="13.28515625" style="4" customWidth="1"/>
    <col min="16" max="16" width="15.28515625" style="4" customWidth="1"/>
    <col min="17" max="17" width="11" style="4" customWidth="1"/>
    <col min="18" max="21" width="15.28515625" style="4" customWidth="1"/>
    <col min="22" max="22" width="7.7109375" style="4" hidden="1" customWidth="1"/>
    <col min="23" max="23" width="12.42578125" style="4" hidden="1" customWidth="1"/>
    <col min="24" max="39" width="6.5703125" style="4" hidden="1" customWidth="1"/>
    <col min="40" max="40" width="15.28515625" style="4" customWidth="1"/>
    <col min="41" max="41" width="11.28515625" style="4" customWidth="1"/>
    <col min="42" max="42" width="6.28515625" style="4" customWidth="1"/>
    <col min="43" max="46" width="4.7109375" style="4" customWidth="1"/>
    <col min="47" max="47" width="6.28515625" style="4" customWidth="1"/>
    <col min="48" max="62" width="4.7109375" style="4" customWidth="1"/>
    <col min="63" max="16384" width="8.7109375" style="4"/>
  </cols>
  <sheetData>
    <row r="1" spans="1:9" ht="24" customHeight="1">
      <c r="A1" s="420" t="str">
        <f>"Water Heater -  "&amp;Prototype!A2</f>
        <v>Water Heater -  ParkingOpen</v>
      </c>
      <c r="B1" s="420"/>
      <c r="C1" s="420"/>
      <c r="D1" s="420"/>
      <c r="E1" s="420"/>
      <c r="F1" s="420"/>
      <c r="G1" s="420"/>
    </row>
    <row r="2" spans="1:9" ht="22.15" customHeight="1">
      <c r="A2" s="379" t="s">
        <v>99</v>
      </c>
      <c r="B2" s="379" t="s">
        <v>227</v>
      </c>
      <c r="C2" s="379" t="s">
        <v>228</v>
      </c>
      <c r="D2" s="379" t="s">
        <v>229</v>
      </c>
      <c r="E2" s="379" t="s">
        <v>230</v>
      </c>
      <c r="F2" s="379" t="s">
        <v>231</v>
      </c>
      <c r="G2" s="379" t="s">
        <v>101</v>
      </c>
    </row>
    <row r="3" spans="1:9" ht="31.15" customHeight="1">
      <c r="A3" s="369" t="s">
        <v>232</v>
      </c>
      <c r="B3" s="369" t="s">
        <v>233</v>
      </c>
      <c r="C3" s="369">
        <v>1</v>
      </c>
      <c r="D3" s="205">
        <f>F22</f>
        <v>30</v>
      </c>
      <c r="E3" s="226">
        <f>G25</f>
        <v>1.2</v>
      </c>
      <c r="F3" s="205" t="s">
        <v>234</v>
      </c>
      <c r="G3" s="117" t="s">
        <v>145</v>
      </c>
    </row>
    <row r="4" spans="1:9" ht="24" customHeight="1">
      <c r="A4" s="369" t="s">
        <v>146</v>
      </c>
      <c r="B4" s="369" t="s">
        <v>233</v>
      </c>
      <c r="C4" s="369">
        <v>1</v>
      </c>
      <c r="D4" s="205">
        <f>F22</f>
        <v>30</v>
      </c>
      <c r="E4" s="226">
        <f>G22</f>
        <v>1.2</v>
      </c>
      <c r="F4" s="205" t="s">
        <v>234</v>
      </c>
      <c r="G4" s="206" t="s">
        <v>235</v>
      </c>
    </row>
    <row r="5" spans="1:9" ht="19.5" customHeight="1">
      <c r="F5" s="9"/>
    </row>
    <row r="6" spans="1:9" ht="20.25" customHeight="1">
      <c r="F6" s="9"/>
    </row>
    <row r="7" spans="1:9" ht="21" customHeight="1">
      <c r="A7" s="420" t="s">
        <v>236</v>
      </c>
      <c r="B7" s="420"/>
      <c r="C7" s="420"/>
      <c r="D7" s="420"/>
      <c r="E7" s="420"/>
      <c r="F7" s="420"/>
      <c r="G7" s="420"/>
      <c r="H7" s="122"/>
      <c r="I7" s="122"/>
    </row>
    <row r="8" spans="1:9" ht="98.45" customHeight="1">
      <c r="A8" s="379" t="s">
        <v>237</v>
      </c>
      <c r="B8" s="379" t="s">
        <v>238</v>
      </c>
      <c r="C8" s="379" t="s">
        <v>239</v>
      </c>
      <c r="D8" s="379" t="s">
        <v>74</v>
      </c>
      <c r="E8" s="379" t="s">
        <v>240</v>
      </c>
      <c r="F8" s="379" t="s">
        <v>241</v>
      </c>
      <c r="G8" s="379" t="s">
        <v>242</v>
      </c>
    </row>
    <row r="9" spans="1:9" ht="24" customHeight="1">
      <c r="A9" s="191" t="str">
        <f>Zones!B3</f>
        <v xml:space="preserve">Core  </v>
      </c>
      <c r="B9" s="117" t="s">
        <v>243</v>
      </c>
      <c r="C9" s="78">
        <f>Zones!G3</f>
        <v>6050.55</v>
      </c>
      <c r="D9" s="78">
        <f>Zones!J3</f>
        <v>30.252749999999999</v>
      </c>
      <c r="E9" s="86">
        <v>0</v>
      </c>
      <c r="F9" s="279">
        <f>E9*D9</f>
        <v>0</v>
      </c>
      <c r="G9" s="280">
        <f>F9/60</f>
        <v>0</v>
      </c>
    </row>
    <row r="10" spans="1:9" ht="24" customHeight="1">
      <c r="A10" s="191" t="str">
        <f>Zones!B4</f>
        <v xml:space="preserve">Daylight adaption  </v>
      </c>
      <c r="B10" s="117" t="s">
        <v>243</v>
      </c>
      <c r="C10" s="78">
        <f>Zones!G4</f>
        <v>1820.14</v>
      </c>
      <c r="D10" s="78">
        <f>Zones!J4</f>
        <v>9.1007000000000016</v>
      </c>
      <c r="E10" s="86">
        <v>0</v>
      </c>
      <c r="F10" s="279">
        <f>E10*D10</f>
        <v>0</v>
      </c>
      <c r="G10" s="280">
        <f t="shared" ref="G10:G15" si="0">F10/60</f>
        <v>0</v>
      </c>
    </row>
    <row r="11" spans="1:9" ht="24" customHeight="1">
      <c r="A11" s="191" t="str">
        <f>Zones!B5</f>
        <v xml:space="preserve">East perimeter  </v>
      </c>
      <c r="B11" s="117" t="s">
        <v>243</v>
      </c>
      <c r="C11" s="78">
        <f>Zones!G5</f>
        <v>13801.33</v>
      </c>
      <c r="D11" s="78">
        <f>Zones!J5</f>
        <v>69.006649999999993</v>
      </c>
      <c r="E11" s="86">
        <v>0</v>
      </c>
      <c r="F11" s="279">
        <f t="shared" ref="F11:F15" si="1">E11*D11</f>
        <v>0</v>
      </c>
      <c r="G11" s="280">
        <f t="shared" si="0"/>
        <v>0</v>
      </c>
    </row>
    <row r="12" spans="1:9" ht="24" customHeight="1">
      <c r="A12" s="191" t="str">
        <f>Zones!B6</f>
        <v xml:space="preserve">North perimeter  </v>
      </c>
      <c r="B12" s="117" t="s">
        <v>243</v>
      </c>
      <c r="C12" s="78">
        <f>Zones!G6</f>
        <v>13801.33</v>
      </c>
      <c r="D12" s="78">
        <f>Zones!J6</f>
        <v>69.006649999999993</v>
      </c>
      <c r="E12" s="86">
        <v>0</v>
      </c>
      <c r="F12" s="279">
        <f t="shared" si="1"/>
        <v>0</v>
      </c>
      <c r="G12" s="280">
        <f t="shared" si="0"/>
        <v>0</v>
      </c>
    </row>
    <row r="13" spans="1:9" ht="24" customHeight="1">
      <c r="A13" s="191" t="str">
        <f>Zones!B7</f>
        <v xml:space="preserve">Parking attendant  </v>
      </c>
      <c r="B13" s="117" t="s">
        <v>243</v>
      </c>
      <c r="C13" s="78">
        <f>Zones!G7</f>
        <v>40.049999999999997</v>
      </c>
      <c r="D13" s="78">
        <f>Zones!J7</f>
        <v>0.68084999999999996</v>
      </c>
      <c r="E13" s="86">
        <v>0.18</v>
      </c>
      <c r="F13" s="279">
        <f t="shared" si="1"/>
        <v>0.12255299999999998</v>
      </c>
      <c r="G13" s="280">
        <f t="shared" si="0"/>
        <v>2.0425499999999997E-3</v>
      </c>
    </row>
    <row r="14" spans="1:9" ht="24" customHeight="1">
      <c r="A14" s="191" t="str">
        <f>Zones!B8</f>
        <v xml:space="preserve">South perimeter  </v>
      </c>
      <c r="B14" s="117" t="s">
        <v>243</v>
      </c>
      <c r="C14" s="78">
        <f>Zones!G8</f>
        <v>13801.33</v>
      </c>
      <c r="D14" s="78">
        <f>Zones!J8</f>
        <v>69.006649999999993</v>
      </c>
      <c r="E14" s="86">
        <v>0</v>
      </c>
      <c r="F14" s="279">
        <f t="shared" si="1"/>
        <v>0</v>
      </c>
      <c r="G14" s="280">
        <f t="shared" si="0"/>
        <v>0</v>
      </c>
    </row>
    <row r="15" spans="1:9" ht="24" customHeight="1">
      <c r="A15" s="191" t="str">
        <f>Zones!B9</f>
        <v xml:space="preserve">West perimeter  </v>
      </c>
      <c r="B15" s="117" t="s">
        <v>243</v>
      </c>
      <c r="C15" s="78">
        <f>Zones!G9</f>
        <v>13801.33</v>
      </c>
      <c r="D15" s="78">
        <f>Zones!J9</f>
        <v>69.006649999999993</v>
      </c>
      <c r="E15" s="86">
        <v>0</v>
      </c>
      <c r="F15" s="279">
        <f t="shared" si="1"/>
        <v>0</v>
      </c>
      <c r="G15" s="280">
        <f t="shared" si="0"/>
        <v>0</v>
      </c>
    </row>
    <row r="16" spans="1:9" ht="27" customHeight="1">
      <c r="A16" s="207" t="s">
        <v>215</v>
      </c>
      <c r="B16" s="207"/>
      <c r="C16" s="208">
        <f>SUM(C9:C10)</f>
        <v>7870.6900000000005</v>
      </c>
      <c r="D16" s="208">
        <f>SUM(D9:D10)</f>
        <v>39.353450000000002</v>
      </c>
      <c r="E16" s="208"/>
      <c r="F16" s="281">
        <f>SUM(F9:F15)</f>
        <v>0.12255299999999998</v>
      </c>
      <c r="G16" s="280">
        <f>F16/60</f>
        <v>2.0425499999999997E-3</v>
      </c>
      <c r="H16" s="79"/>
      <c r="I16" s="79"/>
    </row>
    <row r="17" spans="1:10">
      <c r="A17" s="80"/>
      <c r="E17" s="81"/>
    </row>
    <row r="18" spans="1:10">
      <c r="A18" s="80"/>
      <c r="E18" s="81"/>
    </row>
    <row r="19" spans="1:10">
      <c r="A19" s="80"/>
      <c r="E19" s="81"/>
    </row>
    <row r="20" spans="1:10" ht="15.75">
      <c r="A20" s="454" t="s">
        <v>244</v>
      </c>
      <c r="B20" s="454"/>
      <c r="C20" s="454"/>
      <c r="D20" s="454"/>
      <c r="E20" s="454"/>
      <c r="F20" s="454"/>
      <c r="G20" s="454"/>
      <c r="H20" s="454"/>
      <c r="I20" s="454"/>
      <c r="J20" s="454"/>
    </row>
    <row r="21" spans="1:10" ht="70.150000000000006" customHeight="1">
      <c r="A21" s="379" t="s">
        <v>227</v>
      </c>
      <c r="B21" s="379" t="s">
        <v>241</v>
      </c>
      <c r="C21" s="379" t="s">
        <v>245</v>
      </c>
      <c r="D21" s="379" t="s">
        <v>246</v>
      </c>
      <c r="E21" s="379" t="s">
        <v>247</v>
      </c>
      <c r="F21" s="379" t="s">
        <v>248</v>
      </c>
      <c r="G21" s="379" t="s">
        <v>249</v>
      </c>
      <c r="H21" s="379" t="s">
        <v>231</v>
      </c>
      <c r="I21" s="379" t="s">
        <v>250</v>
      </c>
      <c r="J21" s="379" t="s">
        <v>141</v>
      </c>
    </row>
    <row r="22" spans="1:10" ht="39.6" customHeight="1">
      <c r="A22" s="209" t="s">
        <v>243</v>
      </c>
      <c r="B22" s="227">
        <f>MAX(SUMIF(B9:B11, "*Electric*", F9:F11),75)</f>
        <v>75</v>
      </c>
      <c r="C22" s="228">
        <f>B22*(135-55)*8.2877*1</f>
        <v>49726.2</v>
      </c>
      <c r="D22" s="227">
        <f>C22*0.6</f>
        <v>29835.719999999998</v>
      </c>
      <c r="E22" s="229">
        <f>D22/0.9498</f>
        <v>31412.634238787112</v>
      </c>
      <c r="F22" s="227">
        <f>B22*1*0.4</f>
        <v>30</v>
      </c>
      <c r="G22" s="230">
        <f>0.3+(27/F22)</f>
        <v>1.2</v>
      </c>
      <c r="H22" s="370" t="s">
        <v>251</v>
      </c>
      <c r="I22" s="231">
        <f>0.0834*G22*F22</f>
        <v>3.0024000000000002</v>
      </c>
      <c r="J22" s="209" t="s">
        <v>252</v>
      </c>
    </row>
    <row r="23" spans="1:10" ht="39.6" customHeight="1">
      <c r="A23" s="209" t="s">
        <v>215</v>
      </c>
      <c r="B23" s="227">
        <f>B22</f>
        <v>75</v>
      </c>
      <c r="C23" s="227">
        <f>C22</f>
        <v>49726.2</v>
      </c>
      <c r="D23" s="227">
        <f>D22</f>
        <v>29835.719999999998</v>
      </c>
      <c r="E23" s="227">
        <f>E22</f>
        <v>31412.634238787112</v>
      </c>
      <c r="F23" s="227"/>
      <c r="G23" s="230"/>
      <c r="H23" s="370"/>
      <c r="I23" s="231"/>
      <c r="J23" s="209"/>
    </row>
    <row r="24" spans="1:10" ht="44.45" customHeight="1">
      <c r="A24" s="80"/>
      <c r="B24" s="130"/>
      <c r="E24" s="81"/>
      <c r="F24" s="130"/>
    </row>
    <row r="25" spans="1:10" ht="18.600000000000001" customHeight="1">
      <c r="A25" s="349" t="s">
        <v>253</v>
      </c>
      <c r="B25" s="372">
        <v>135</v>
      </c>
      <c r="C25" s="349" t="s">
        <v>254</v>
      </c>
      <c r="D25" s="349"/>
      <c r="E25" s="349"/>
      <c r="F25" s="131" t="s">
        <v>255</v>
      </c>
      <c r="G25" s="225">
        <f>G22</f>
        <v>1.2</v>
      </c>
      <c r="H25" s="132" t="s">
        <v>256</v>
      </c>
      <c r="I25" s="159">
        <f>0.0834*G22*F22</f>
        <v>3.0024000000000002</v>
      </c>
      <c r="J25" s="349"/>
    </row>
    <row r="26" spans="1:10">
      <c r="A26" s="349" t="s">
        <v>257</v>
      </c>
      <c r="B26" s="372">
        <v>55</v>
      </c>
      <c r="C26" s="349" t="s">
        <v>258</v>
      </c>
      <c r="D26" s="349"/>
      <c r="E26" s="349"/>
      <c r="F26" s="349"/>
      <c r="G26" s="349"/>
      <c r="H26" s="349"/>
      <c r="I26" s="349"/>
      <c r="J26" s="349"/>
    </row>
    <row r="27" spans="1:10" ht="15">
      <c r="A27" s="133" t="s">
        <v>259</v>
      </c>
      <c r="B27" s="372">
        <v>0.6</v>
      </c>
      <c r="C27" s="349" t="s">
        <v>258</v>
      </c>
      <c r="D27" s="349"/>
      <c r="E27" s="349"/>
      <c r="F27" s="349"/>
      <c r="G27" s="349"/>
      <c r="H27" s="349"/>
      <c r="I27" s="349"/>
      <c r="J27" s="349"/>
    </row>
    <row r="28" spans="1:10">
      <c r="A28" s="349" t="s">
        <v>260</v>
      </c>
      <c r="B28" s="372">
        <v>0.4</v>
      </c>
      <c r="C28" s="349"/>
      <c r="D28" s="349"/>
      <c r="E28" s="349"/>
      <c r="F28" s="349"/>
      <c r="G28" s="349"/>
      <c r="H28" s="349"/>
      <c r="I28" s="349"/>
      <c r="J28" s="349"/>
    </row>
    <row r="29" spans="1:10">
      <c r="A29" s="455" t="s">
        <v>261</v>
      </c>
      <c r="B29" s="455"/>
      <c r="C29" s="455"/>
      <c r="D29" s="455"/>
      <c r="E29" s="455"/>
      <c r="F29" s="455"/>
      <c r="G29" s="455"/>
      <c r="H29" s="455"/>
      <c r="I29" s="455"/>
      <c r="J29" s="455"/>
    </row>
    <row r="30" spans="1:10" ht="15">
      <c r="A30" t="s">
        <v>262</v>
      </c>
      <c r="E30" s="81"/>
    </row>
    <row r="31" spans="1:10" ht="15">
      <c r="A31" t="s">
        <v>263</v>
      </c>
      <c r="B31" s="29">
        <v>68</v>
      </c>
    </row>
    <row r="32" spans="1:10" ht="15">
      <c r="A32" t="s">
        <v>264</v>
      </c>
      <c r="B32" s="29">
        <f>B25-B31</f>
        <v>67</v>
      </c>
    </row>
    <row r="33" spans="1:2" ht="15">
      <c r="A33" t="s">
        <v>265</v>
      </c>
      <c r="B33" s="29"/>
    </row>
    <row r="34" spans="1:2" ht="15">
      <c r="A34"/>
      <c r="B34" s="29"/>
    </row>
    <row r="35" spans="1:2" s="118" customFormat="1" ht="21" hidden="1" customHeight="1">
      <c r="A35" s="118" t="s">
        <v>94</v>
      </c>
    </row>
    <row r="36" spans="1:2" ht="15" hidden="1">
      <c r="A36" s="84"/>
    </row>
    <row r="37" spans="1:2" ht="15" hidden="1">
      <c r="A37" s="83"/>
    </row>
    <row r="38" spans="1:2" ht="15" hidden="1">
      <c r="A38" s="84"/>
    </row>
    <row r="39" spans="1:2" ht="15" hidden="1">
      <c r="A39" s="85"/>
    </row>
    <row r="40" spans="1:2" ht="15" hidden="1">
      <c r="A40" s="84"/>
    </row>
    <row r="41" spans="1:2" ht="15" hidden="1">
      <c r="A41" s="85"/>
    </row>
    <row r="42" spans="1:2" ht="15" hidden="1">
      <c r="A42" s="84"/>
    </row>
    <row r="43" spans="1:2" ht="15" hidden="1">
      <c r="A43" s="85"/>
    </row>
    <row r="44" spans="1:2" ht="15" hidden="1">
      <c r="A44" s="84"/>
    </row>
    <row r="45" spans="1:2" ht="15" hidden="1">
      <c r="A45" s="83"/>
    </row>
    <row r="46" spans="1:2" ht="15" hidden="1">
      <c r="A46" s="84"/>
    </row>
    <row r="47" spans="1:2" ht="15" hidden="1">
      <c r="A47" s="83"/>
    </row>
    <row r="48" spans="1:2" ht="15" hidden="1">
      <c r="A48" s="83"/>
    </row>
    <row r="49" spans="1:1" ht="15" hidden="1">
      <c r="A49" s="85"/>
    </row>
    <row r="50" spans="1:1" ht="15" hidden="1">
      <c r="A50" s="85"/>
    </row>
    <row r="51" spans="1:1" ht="15" hidden="1">
      <c r="A51" s="85"/>
    </row>
    <row r="52" spans="1:1" ht="15" hidden="1">
      <c r="A52" s="85"/>
    </row>
    <row r="53" spans="1:1" ht="15" hidden="1">
      <c r="A53" s="85"/>
    </row>
    <row r="54" spans="1:1" ht="15" hidden="1">
      <c r="A54" s="85"/>
    </row>
    <row r="55" spans="1:1" ht="15" hidden="1">
      <c r="A55" s="83"/>
    </row>
    <row r="56" spans="1:1" ht="15" hidden="1">
      <c r="A56" s="84"/>
    </row>
    <row r="57" spans="1:1" ht="15" hidden="1">
      <c r="A57" s="83"/>
    </row>
    <row r="58" spans="1:1" ht="15" hidden="1">
      <c r="A58" s="83"/>
    </row>
    <row r="59" spans="1:1" ht="15" hidden="1">
      <c r="A59" s="85"/>
    </row>
    <row r="60" spans="1:1" ht="15" hidden="1">
      <c r="A60" s="85"/>
    </row>
    <row r="61" spans="1:1" ht="15" hidden="1">
      <c r="A61" s="83"/>
    </row>
    <row r="62" spans="1:1" ht="15" hidden="1">
      <c r="A62" s="84"/>
    </row>
    <row r="63" spans="1:1" ht="15" hidden="1">
      <c r="A63" s="83"/>
    </row>
    <row r="64" spans="1:1" ht="15" hidden="1">
      <c r="A64" s="83"/>
    </row>
    <row r="65" spans="1:1" ht="15" hidden="1">
      <c r="A65" s="85"/>
    </row>
    <row r="66" spans="1:1" ht="15" hidden="1">
      <c r="A66" s="85"/>
    </row>
    <row r="67" spans="1:1" ht="15" hidden="1">
      <c r="A67" s="85"/>
    </row>
    <row r="68" spans="1:1" ht="15" hidden="1">
      <c r="A68" s="85"/>
    </row>
    <row r="69" spans="1:1" ht="15" hidden="1">
      <c r="A69" s="85"/>
    </row>
    <row r="70" spans="1:1" ht="15" hidden="1">
      <c r="A70" s="85"/>
    </row>
    <row r="71" spans="1:1" ht="15" hidden="1">
      <c r="A71" s="85"/>
    </row>
    <row r="72" spans="1:1" ht="15" hidden="1">
      <c r="A72" s="85"/>
    </row>
    <row r="73" spans="1:1" ht="15" hidden="1">
      <c r="A73" s="83"/>
    </row>
    <row r="74" spans="1:1" ht="15" hidden="1">
      <c r="A74" s="84"/>
    </row>
    <row r="75" spans="1:1" ht="15" hidden="1">
      <c r="A75" s="83"/>
    </row>
    <row r="76" spans="1:1" ht="15" hidden="1">
      <c r="A76" s="83"/>
    </row>
    <row r="77" spans="1:1" ht="15" hidden="1">
      <c r="A77" s="85"/>
    </row>
    <row r="78" spans="1:1" ht="15" hidden="1">
      <c r="A78" s="85"/>
    </row>
    <row r="79" spans="1:1" ht="15" hidden="1">
      <c r="A79" s="85"/>
    </row>
    <row r="80" spans="1:1" ht="15" hidden="1">
      <c r="A80" s="85"/>
    </row>
    <row r="81" spans="1:1" ht="15" hidden="1">
      <c r="A81"/>
    </row>
    <row r="82" spans="1:1" ht="15" hidden="1">
      <c r="A82"/>
    </row>
    <row r="83" spans="1:1" ht="15">
      <c r="A83"/>
    </row>
    <row r="84" spans="1:1" ht="15">
      <c r="A84" s="1"/>
    </row>
    <row r="85" spans="1:1" ht="15">
      <c r="A85" s="83"/>
    </row>
    <row r="86" spans="1:1" ht="15">
      <c r="A86" s="84"/>
    </row>
    <row r="87" spans="1:1" ht="15">
      <c r="A87" s="83"/>
    </row>
    <row r="88" spans="1:1" ht="15">
      <c r="A88" s="83"/>
    </row>
  </sheetData>
  <mergeCells count="4">
    <mergeCell ref="A1:G1"/>
    <mergeCell ref="A20:J20"/>
    <mergeCell ref="A29:J29"/>
    <mergeCell ref="A7:G7"/>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1"/>
  <sheetViews>
    <sheetView zoomScale="90" zoomScaleNormal="90" workbookViewId="0">
      <selection sqref="A1:G1"/>
    </sheetView>
  </sheetViews>
  <sheetFormatPr defaultColWidth="8.7109375" defaultRowHeight="12.75"/>
  <cols>
    <col min="1" max="1" width="49.7109375" style="4" bestFit="1" customWidth="1"/>
    <col min="2" max="2" width="21.42578125" style="4" bestFit="1" customWidth="1"/>
    <col min="3" max="3" width="26.5703125" style="4" customWidth="1"/>
    <col min="4" max="4" width="30.140625" style="4" customWidth="1"/>
    <col min="5" max="5" width="18.28515625" style="4" customWidth="1"/>
    <col min="6" max="6" width="28.42578125" style="4" customWidth="1"/>
    <col min="7" max="7" width="30" style="4" customWidth="1"/>
    <col min="8" max="8" width="24" style="4" customWidth="1"/>
    <col min="9" max="9" width="10.5703125" style="4" customWidth="1"/>
    <col min="10" max="10" width="11.42578125" style="4" customWidth="1"/>
    <col min="11" max="11" width="10.5703125" style="4" customWidth="1"/>
    <col min="12" max="12" width="13.28515625" style="4" customWidth="1"/>
    <col min="13" max="13" width="9.7109375" style="4" customWidth="1"/>
    <col min="14" max="14" width="9.42578125" style="4" customWidth="1"/>
    <col min="15" max="15" width="12.7109375" style="4" customWidth="1"/>
    <col min="16" max="16" width="14.7109375" style="4" customWidth="1"/>
    <col min="17" max="17" width="20.7109375" style="4" customWidth="1"/>
    <col min="18" max="18" width="19.7109375" style="4" customWidth="1"/>
    <col min="19" max="24" width="8.7109375" style="4"/>
    <col min="25" max="25" width="13.7109375" style="4" bestFit="1" customWidth="1"/>
    <col min="26" max="16384" width="8.7109375" style="4"/>
  </cols>
  <sheetData>
    <row r="1" spans="1:8" ht="25.9" customHeight="1">
      <c r="A1" s="420" t="str">
        <f>"Interior Lighting - "&amp;Prototype!A2</f>
        <v>Interior Lighting - ParkingOpen</v>
      </c>
      <c r="B1" s="420"/>
      <c r="C1" s="420"/>
      <c r="D1" s="420"/>
      <c r="E1" s="420"/>
      <c r="F1" s="420"/>
      <c r="G1" s="420"/>
    </row>
    <row r="2" spans="1:8" ht="25.9" customHeight="1">
      <c r="A2" s="456" t="s">
        <v>65</v>
      </c>
      <c r="B2" s="457" t="s">
        <v>266</v>
      </c>
      <c r="C2" s="457"/>
      <c r="D2" s="457"/>
      <c r="E2" s="457" t="s">
        <v>163</v>
      </c>
      <c r="F2" s="457"/>
      <c r="G2" s="457"/>
    </row>
    <row r="3" spans="1:8" ht="43.15" customHeight="1">
      <c r="A3" s="456"/>
      <c r="B3" s="374" t="s">
        <v>267</v>
      </c>
      <c r="C3" s="374" t="s">
        <v>268</v>
      </c>
      <c r="D3" s="373" t="s">
        <v>141</v>
      </c>
      <c r="E3" s="374" t="s">
        <v>269</v>
      </c>
      <c r="F3" s="374" t="s">
        <v>270</v>
      </c>
      <c r="G3" s="374" t="s">
        <v>141</v>
      </c>
    </row>
    <row r="4" spans="1:8" ht="27" customHeight="1">
      <c r="A4" s="193" t="str">
        <f>Zones!A3</f>
        <v>Parking Garage Area (Parking Zone and Ramps)</v>
      </c>
      <c r="B4" s="119">
        <v>0.1</v>
      </c>
      <c r="C4" s="371"/>
      <c r="D4" s="417" t="s">
        <v>271</v>
      </c>
      <c r="E4" s="119">
        <v>0.14000000000000001</v>
      </c>
      <c r="F4" s="371"/>
      <c r="G4" s="417" t="s">
        <v>272</v>
      </c>
    </row>
    <row r="5" spans="1:8" ht="24" customHeight="1">
      <c r="A5" s="193" t="str">
        <f>Zones!A4</f>
        <v>Parking Garage Area (Daylight Adaptation Zones)</v>
      </c>
      <c r="B5" s="119">
        <v>1</v>
      </c>
      <c r="C5" s="371"/>
      <c r="D5" s="417"/>
      <c r="E5" s="119">
        <v>0.75</v>
      </c>
      <c r="F5" s="371"/>
      <c r="G5" s="417"/>
    </row>
    <row r="6" spans="1:8" ht="22.9" customHeight="1">
      <c r="A6" s="193" t="str">
        <f>Zones!A7</f>
        <v>Retail Sales Area (Retail Merchandise Sales)</v>
      </c>
      <c r="B6" s="119">
        <v>0.95</v>
      </c>
      <c r="C6" s="221"/>
      <c r="D6" s="417"/>
      <c r="E6" s="119">
        <v>1.2</v>
      </c>
      <c r="F6" s="222"/>
      <c r="G6" s="417"/>
      <c r="H6" s="4" t="s">
        <v>273</v>
      </c>
    </row>
    <row r="7" spans="1:8" ht="21" customHeight="1">
      <c r="A7" s="134"/>
      <c r="B7" s="135"/>
      <c r="C7" s="136"/>
      <c r="D7" s="220"/>
      <c r="E7" s="36"/>
      <c r="F7" s="36"/>
    </row>
    <row r="8" spans="1:8" ht="13.15" customHeight="1">
      <c r="A8" s="90"/>
      <c r="B8" s="364"/>
      <c r="C8" s="91"/>
      <c r="D8" s="364"/>
    </row>
    <row r="9" spans="1:8" ht="13.15" customHeight="1">
      <c r="A9" s="90"/>
      <c r="B9" s="364"/>
      <c r="C9" s="91"/>
      <c r="D9" s="364"/>
    </row>
    <row r="10" spans="1:8" s="21" customFormat="1" hidden="1">
      <c r="C10" s="22"/>
      <c r="D10" s="24"/>
    </row>
    <row r="11" spans="1:8" ht="17.649999999999999" customHeight="1"/>
  </sheetData>
  <mergeCells count="6">
    <mergeCell ref="A1:G1"/>
    <mergeCell ref="A2:A3"/>
    <mergeCell ref="B2:D2"/>
    <mergeCell ref="E2:G2"/>
    <mergeCell ref="D4:D6"/>
    <mergeCell ref="G4:G6"/>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30"/>
  <sheetViews>
    <sheetView zoomScale="85" zoomScaleNormal="85" workbookViewId="0">
      <selection sqref="A1:D1"/>
    </sheetView>
  </sheetViews>
  <sheetFormatPr defaultColWidth="8.7109375" defaultRowHeight="12.75"/>
  <cols>
    <col min="1" max="1" width="32" style="4" customWidth="1"/>
    <col min="2" max="2" width="35.28515625" style="4" customWidth="1"/>
    <col min="3" max="3" width="21.28515625" style="4" customWidth="1"/>
    <col min="4" max="4" width="36.28515625" style="4" customWidth="1"/>
    <col min="5" max="5" width="38.85546875" style="4" customWidth="1"/>
    <col min="6" max="6" width="17.140625" style="4" customWidth="1"/>
    <col min="7" max="7" width="17.5703125" style="4" customWidth="1"/>
    <col min="8" max="8" width="15.5703125" style="4" customWidth="1"/>
    <col min="9" max="9" width="13.28515625" style="4" customWidth="1"/>
    <col min="10" max="16384" width="8.7109375" style="4"/>
  </cols>
  <sheetData>
    <row r="1" spans="1:7" ht="25.15" customHeight="1">
      <c r="A1" s="458" t="str">
        <f>"Exterior Lighting - "&amp;Prototype!A2</f>
        <v>Exterior Lighting - ParkingOpen</v>
      </c>
      <c r="B1" s="458"/>
      <c r="C1" s="458"/>
      <c r="D1" s="458"/>
    </row>
    <row r="2" spans="1:7" ht="37.15" customHeight="1">
      <c r="A2" s="375" t="s">
        <v>274</v>
      </c>
      <c r="B2" s="375" t="s">
        <v>275</v>
      </c>
      <c r="C2" s="375" t="s">
        <v>276</v>
      </c>
      <c r="D2" s="375" t="s">
        <v>141</v>
      </c>
    </row>
    <row r="3" spans="1:7" ht="45.6" customHeight="1">
      <c r="A3" s="39">
        <f>G16</f>
        <v>200</v>
      </c>
      <c r="B3" s="39">
        <f>G17</f>
        <v>782.54100000000005</v>
      </c>
      <c r="C3" s="39">
        <f>A3+B3</f>
        <v>982.54100000000005</v>
      </c>
      <c r="D3" s="369" t="s">
        <v>277</v>
      </c>
      <c r="E3" s="92"/>
    </row>
    <row r="4" spans="1:7" ht="22.15" customHeight="1">
      <c r="A4" s="52"/>
      <c r="B4" s="52"/>
      <c r="C4" s="52"/>
    </row>
    <row r="5" spans="1:7" ht="15">
      <c r="A5"/>
      <c r="C5" s="137"/>
      <c r="E5" s="138"/>
    </row>
    <row r="6" spans="1:7" ht="15">
      <c r="A6"/>
      <c r="C6" s="137"/>
      <c r="E6" s="138"/>
    </row>
    <row r="7" spans="1:7" ht="15.75">
      <c r="A7" s="458" t="str">
        <f>"Exterior Lighting"</f>
        <v>Exterior Lighting</v>
      </c>
      <c r="B7" s="458"/>
      <c r="C7" s="458"/>
      <c r="D7" s="458"/>
      <c r="E7" s="458"/>
      <c r="F7" s="458"/>
      <c r="G7" s="458"/>
    </row>
    <row r="8" spans="1:7" ht="51.6" customHeight="1">
      <c r="A8" s="210" t="s">
        <v>278</v>
      </c>
      <c r="B8" s="459" t="s">
        <v>279</v>
      </c>
      <c r="C8" s="459"/>
      <c r="D8" s="375" t="s">
        <v>231</v>
      </c>
      <c r="E8" s="375" t="s">
        <v>280</v>
      </c>
      <c r="F8" s="375" t="s">
        <v>231</v>
      </c>
      <c r="G8" s="375" t="s">
        <v>281</v>
      </c>
    </row>
    <row r="9" spans="1:7" ht="21" customHeight="1">
      <c r="A9" s="13" t="s">
        <v>282</v>
      </c>
      <c r="B9" s="13"/>
      <c r="C9" s="139"/>
      <c r="D9" s="370"/>
      <c r="E9" s="370">
        <v>200</v>
      </c>
      <c r="F9" s="102" t="s">
        <v>283</v>
      </c>
      <c r="G9" s="211">
        <f>$E9</f>
        <v>200</v>
      </c>
    </row>
    <row r="10" spans="1:7" ht="38.25">
      <c r="A10" s="13" t="s">
        <v>284</v>
      </c>
      <c r="B10" s="14" t="s">
        <v>285</v>
      </c>
      <c r="C10" s="140">
        <v>0</v>
      </c>
      <c r="D10" s="370" t="s">
        <v>286</v>
      </c>
      <c r="E10" s="370">
        <v>1.9E-2</v>
      </c>
      <c r="F10" s="102" t="s">
        <v>287</v>
      </c>
      <c r="G10" s="211"/>
    </row>
    <row r="11" spans="1:7" ht="24" customHeight="1">
      <c r="A11" s="13" t="s">
        <v>288</v>
      </c>
      <c r="B11" s="13" t="s">
        <v>289</v>
      </c>
      <c r="C11" s="139"/>
      <c r="D11" s="370" t="s">
        <v>290</v>
      </c>
      <c r="E11" s="370">
        <v>15</v>
      </c>
      <c r="F11" s="102" t="s">
        <v>291</v>
      </c>
      <c r="G11" s="211">
        <f>E11*C11</f>
        <v>0</v>
      </c>
    </row>
    <row r="12" spans="1:7" ht="39.6" customHeight="1">
      <c r="A12" s="13" t="s">
        <v>292</v>
      </c>
      <c r="B12" s="14" t="s">
        <v>293</v>
      </c>
      <c r="C12" s="144">
        <v>18563</v>
      </c>
      <c r="D12" s="370" t="s">
        <v>286</v>
      </c>
      <c r="E12" s="370">
        <v>7.0000000000000001E-3</v>
      </c>
      <c r="F12" s="102" t="s">
        <v>287</v>
      </c>
      <c r="G12" s="212">
        <f>E12*C12</f>
        <v>129.941</v>
      </c>
    </row>
    <row r="13" spans="1:7" ht="103.9" customHeight="1">
      <c r="A13" s="13" t="s">
        <v>294</v>
      </c>
      <c r="B13" s="14" t="s">
        <v>295</v>
      </c>
      <c r="C13" s="141">
        <f>B23*0.5*13</f>
        <v>6526</v>
      </c>
      <c r="D13" s="370" t="s">
        <v>286</v>
      </c>
      <c r="E13" s="370">
        <v>0.1</v>
      </c>
      <c r="F13" s="102" t="s">
        <v>287</v>
      </c>
      <c r="G13" s="212">
        <f>E13*C13</f>
        <v>652.6</v>
      </c>
    </row>
    <row r="14" spans="1:7">
      <c r="A14" s="13" t="s">
        <v>296</v>
      </c>
      <c r="B14" s="14" t="s">
        <v>297</v>
      </c>
      <c r="C14" s="141"/>
      <c r="D14" s="370" t="s">
        <v>286</v>
      </c>
      <c r="E14" s="370">
        <v>5.0000000000000001E-3</v>
      </c>
      <c r="F14" s="102" t="s">
        <v>287</v>
      </c>
      <c r="G14" s="212">
        <f>E14*C14</f>
        <v>0</v>
      </c>
    </row>
    <row r="15" spans="1:7">
      <c r="A15" s="13" t="s">
        <v>298</v>
      </c>
      <c r="B15" s="13"/>
      <c r="C15" s="144"/>
      <c r="D15" s="370" t="s">
        <v>286</v>
      </c>
      <c r="E15" s="370">
        <v>0.13700000000000001</v>
      </c>
      <c r="F15" s="102" t="s">
        <v>287</v>
      </c>
      <c r="G15" s="212">
        <f>E15*C15</f>
        <v>0</v>
      </c>
    </row>
    <row r="16" spans="1:7">
      <c r="A16" s="13" t="s">
        <v>274</v>
      </c>
      <c r="B16" s="13"/>
      <c r="C16" s="139"/>
      <c r="D16" s="370"/>
      <c r="E16" s="370"/>
      <c r="F16" s="370"/>
      <c r="G16" s="212">
        <f>G10+G9+G15+G11+G14</f>
        <v>200</v>
      </c>
    </row>
    <row r="17" spans="1:7">
      <c r="A17" s="13" t="s">
        <v>299</v>
      </c>
      <c r="B17" s="13"/>
      <c r="C17" s="139"/>
      <c r="D17" s="370"/>
      <c r="E17" s="370"/>
      <c r="F17" s="370"/>
      <c r="G17" s="212">
        <f>G12+G13</f>
        <v>782.54100000000005</v>
      </c>
    </row>
    <row r="18" spans="1:7">
      <c r="A18" s="13" t="s">
        <v>215</v>
      </c>
      <c r="B18" s="13"/>
      <c r="C18" s="139"/>
      <c r="D18" s="370"/>
      <c r="E18" s="370"/>
      <c r="F18" s="370"/>
      <c r="G18" s="212">
        <f>G16+G17</f>
        <v>982.54100000000005</v>
      </c>
    </row>
    <row r="22" spans="1:7">
      <c r="A22" s="4" t="s">
        <v>300</v>
      </c>
      <c r="B22" s="142">
        <f>Prototype!B8</f>
        <v>185627.8</v>
      </c>
    </row>
    <row r="23" spans="1:7">
      <c r="A23" s="4" t="s">
        <v>301</v>
      </c>
      <c r="B23" s="143">
        <v>1004</v>
      </c>
    </row>
    <row r="24" spans="1:7">
      <c r="A24" s="4" t="s">
        <v>302</v>
      </c>
      <c r="B24" s="4">
        <v>3</v>
      </c>
    </row>
    <row r="25" spans="1:7" ht="15">
      <c r="A25"/>
      <c r="C25" s="137"/>
      <c r="E25" s="138"/>
    </row>
    <row r="26" spans="1:7" ht="15">
      <c r="A26"/>
      <c r="C26" s="137"/>
      <c r="E26" s="138"/>
    </row>
    <row r="30" spans="1:7" s="21" customFormat="1" ht="13.15" hidden="1" customHeight="1">
      <c r="A30" s="21" t="s">
        <v>94</v>
      </c>
      <c r="E30" s="22"/>
      <c r="F30" s="23"/>
      <c r="G30" s="24"/>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G31"/>
  <sheetViews>
    <sheetView zoomScale="90" zoomScaleNormal="90" workbookViewId="0">
      <selection sqref="A1:F1"/>
    </sheetView>
  </sheetViews>
  <sheetFormatPr defaultColWidth="8.7109375" defaultRowHeight="12.75"/>
  <cols>
    <col min="1" max="1" width="49" style="4" customWidth="1"/>
    <col min="2" max="2" width="22.42578125" style="4" customWidth="1"/>
    <col min="3" max="3" width="21.140625" style="4" customWidth="1"/>
    <col min="4" max="4" width="23.28515625" style="4" customWidth="1"/>
    <col min="5" max="5" width="31.7109375" style="4" customWidth="1"/>
    <col min="6" max="6" width="69.7109375" style="4" customWidth="1"/>
    <col min="7" max="7" width="18.28515625" style="4" customWidth="1"/>
    <col min="8" max="8" width="21.42578125" style="4" customWidth="1"/>
    <col min="9" max="9" width="33.85546875" style="4" bestFit="1" customWidth="1"/>
    <col min="10" max="10" width="10.7109375" style="4" bestFit="1" customWidth="1"/>
    <col min="11" max="11" width="10.5703125" style="4" bestFit="1" customWidth="1"/>
    <col min="12" max="16384" width="8.7109375" style="4"/>
  </cols>
  <sheetData>
    <row r="1" spans="1:7" ht="23.45" customHeight="1">
      <c r="A1" s="461" t="str">
        <f>"Equipment - "&amp;Prototype!A2</f>
        <v>Equipment - ParkingOpen</v>
      </c>
      <c r="B1" s="462"/>
      <c r="C1" s="462"/>
      <c r="D1" s="462"/>
      <c r="E1" s="462"/>
      <c r="F1" s="463"/>
    </row>
    <row r="2" spans="1:7" ht="54.6" customHeight="1">
      <c r="A2" s="373" t="s">
        <v>307</v>
      </c>
      <c r="B2" s="374" t="s">
        <v>308</v>
      </c>
      <c r="C2" s="374" t="s">
        <v>309</v>
      </c>
      <c r="D2" s="374" t="s">
        <v>310</v>
      </c>
      <c r="E2" s="373" t="s">
        <v>141</v>
      </c>
      <c r="F2" s="373" t="s">
        <v>101</v>
      </c>
    </row>
    <row r="3" spans="1:7" ht="34.15" customHeight="1">
      <c r="A3" s="192" t="str">
        <f>Zones!A3</f>
        <v>Parking Garage Area (Parking Zone and Ramps)</v>
      </c>
      <c r="B3" s="370">
        <v>0</v>
      </c>
      <c r="C3" s="370">
        <v>0</v>
      </c>
      <c r="D3" s="370">
        <v>0</v>
      </c>
      <c r="E3" s="464" t="s">
        <v>311</v>
      </c>
      <c r="F3" s="467"/>
    </row>
    <row r="4" spans="1:7" ht="40.9" customHeight="1">
      <c r="A4" s="192" t="str">
        <f>Zones!A4</f>
        <v>Parking Garage Area (Daylight Adaptation Zones)</v>
      </c>
      <c r="B4" s="370">
        <v>0</v>
      </c>
      <c r="C4" s="370">
        <v>0</v>
      </c>
      <c r="D4" s="370">
        <v>0</v>
      </c>
      <c r="E4" s="465"/>
      <c r="F4" s="468"/>
      <c r="G4" s="54"/>
    </row>
    <row r="5" spans="1:7" ht="33.6" customHeight="1">
      <c r="A5" s="277" t="str">
        <f>Zones!A7</f>
        <v>Retail Sales Area (Retail Merchandise Sales)</v>
      </c>
      <c r="B5" s="370">
        <v>0.4</v>
      </c>
      <c r="C5" s="370">
        <v>0</v>
      </c>
      <c r="D5" s="370">
        <v>0</v>
      </c>
      <c r="E5" s="466"/>
      <c r="F5" s="192" t="s">
        <v>312</v>
      </c>
    </row>
    <row r="7" spans="1:7" ht="15" customHeight="1"/>
    <row r="8" spans="1:7" ht="15" customHeight="1"/>
    <row r="9" spans="1:7" ht="13.9" customHeight="1"/>
    <row r="10" spans="1:7" s="21" customFormat="1" hidden="1">
      <c r="A10" s="21" t="s">
        <v>94</v>
      </c>
      <c r="D10" s="23"/>
      <c r="E10" s="24"/>
    </row>
    <row r="11" spans="1:7" hidden="1"/>
    <row r="12" spans="1:7" hidden="1"/>
    <row r="13" spans="1:7" hidden="1"/>
    <row r="14" spans="1:7" ht="15" hidden="1">
      <c r="A14"/>
    </row>
    <row r="15" spans="1:7" hidden="1"/>
    <row r="16" spans="1:7" hidden="1"/>
    <row r="17" hidden="1"/>
    <row r="18" hidden="1"/>
    <row r="19" hidden="1"/>
    <row r="20" hidden="1"/>
    <row r="21" hidden="1"/>
    <row r="22" hidden="1"/>
    <row r="23" hidden="1"/>
    <row r="24" hidden="1"/>
    <row r="25" hidden="1"/>
    <row r="26" hidden="1"/>
    <row r="27" hidden="1"/>
    <row r="28" hidden="1"/>
    <row r="29" hidden="1"/>
    <row r="30" hidden="1"/>
    <row r="31" hidden="1"/>
  </sheetData>
  <mergeCells count="3">
    <mergeCell ref="A1:F1"/>
    <mergeCell ref="E3:E5"/>
    <mergeCell ref="F3:F4"/>
  </mergeCells>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01"/>
  <sheetViews>
    <sheetView zoomScale="85" zoomScaleNormal="85" workbookViewId="0">
      <selection activeCell="F7" sqref="F7"/>
    </sheetView>
  </sheetViews>
  <sheetFormatPr defaultColWidth="9.28515625" defaultRowHeight="12"/>
  <cols>
    <col min="1" max="1" width="22.7109375" style="40" customWidth="1"/>
    <col min="2" max="2" width="18.28515625" style="40" customWidth="1"/>
    <col min="3" max="4" width="15.28515625" style="40" customWidth="1"/>
    <col min="5" max="5" width="9.28515625" style="40"/>
    <col min="6" max="29" width="5.7109375" style="40" customWidth="1"/>
    <col min="30" max="16384" width="9.28515625" style="40"/>
  </cols>
  <sheetData>
    <row r="1" spans="1:39" ht="24" customHeight="1">
      <c r="A1" s="453" t="str">
        <f>"Schedules - "&amp;Prototype!A2</f>
        <v>Schedules - ParkingOpen</v>
      </c>
      <c r="B1" s="453"/>
      <c r="C1" s="453"/>
      <c r="D1" s="453"/>
      <c r="E1" s="453"/>
      <c r="F1" s="453"/>
      <c r="G1" s="453"/>
      <c r="H1" s="453"/>
      <c r="I1" s="453"/>
      <c r="J1" s="453"/>
      <c r="K1" s="453"/>
      <c r="L1" s="453"/>
      <c r="M1" s="453"/>
      <c r="N1" s="453"/>
      <c r="O1" s="453"/>
      <c r="P1" s="453"/>
      <c r="Q1" s="453"/>
      <c r="R1" s="453"/>
      <c r="S1" s="453"/>
      <c r="T1" s="453"/>
      <c r="U1" s="453"/>
      <c r="V1" s="453"/>
      <c r="W1" s="453"/>
      <c r="X1" s="453"/>
      <c r="Y1" s="453"/>
      <c r="Z1" s="453"/>
      <c r="AA1" s="453"/>
      <c r="AB1" s="453"/>
      <c r="AC1" s="522"/>
      <c r="AD1" s="41"/>
      <c r="AE1" s="41"/>
      <c r="AF1" s="41"/>
      <c r="AG1" s="41"/>
      <c r="AH1" s="41"/>
      <c r="AI1" s="42"/>
      <c r="AJ1" s="42"/>
      <c r="AK1" s="42"/>
    </row>
    <row r="2" spans="1:39" ht="24" customHeight="1">
      <c r="A2" s="469" t="s">
        <v>313</v>
      </c>
      <c r="B2" s="469" t="s">
        <v>68</v>
      </c>
      <c r="C2" s="469" t="s">
        <v>314</v>
      </c>
      <c r="D2" s="469" t="s">
        <v>141</v>
      </c>
      <c r="E2" s="456" t="s">
        <v>315</v>
      </c>
      <c r="F2" s="523" t="s">
        <v>303</v>
      </c>
      <c r="G2" s="523"/>
      <c r="H2" s="523"/>
      <c r="I2" s="523"/>
      <c r="J2" s="523"/>
      <c r="K2" s="523"/>
      <c r="L2" s="523"/>
      <c r="M2" s="523"/>
      <c r="N2" s="523"/>
      <c r="O2" s="523"/>
      <c r="P2" s="523"/>
      <c r="Q2" s="523"/>
      <c r="R2" s="523"/>
      <c r="S2" s="523"/>
      <c r="T2" s="523"/>
      <c r="U2" s="523"/>
      <c r="V2" s="523"/>
      <c r="W2" s="523"/>
      <c r="X2" s="523"/>
      <c r="Y2" s="523"/>
      <c r="Z2" s="523"/>
      <c r="AA2" s="523"/>
      <c r="AB2" s="523"/>
      <c r="AC2" s="523"/>
      <c r="AD2" s="41"/>
      <c r="AE2" s="41"/>
      <c r="AF2" s="41"/>
      <c r="AG2" s="41"/>
      <c r="AH2" s="41"/>
      <c r="AI2" s="42"/>
      <c r="AJ2" s="42"/>
      <c r="AK2" s="42"/>
    </row>
    <row r="3" spans="1:39" ht="25.15" customHeight="1" thickBot="1">
      <c r="A3" s="470"/>
      <c r="B3" s="470"/>
      <c r="C3" s="470"/>
      <c r="D3" s="470"/>
      <c r="E3" s="469"/>
      <c r="F3" s="376">
        <v>1</v>
      </c>
      <c r="G3" s="376">
        <v>2</v>
      </c>
      <c r="H3" s="376">
        <v>3</v>
      </c>
      <c r="I3" s="376">
        <v>4</v>
      </c>
      <c r="J3" s="376">
        <v>5</v>
      </c>
      <c r="K3" s="376">
        <v>6</v>
      </c>
      <c r="L3" s="376">
        <v>7</v>
      </c>
      <c r="M3" s="376">
        <v>8</v>
      </c>
      <c r="N3" s="376">
        <v>9</v>
      </c>
      <c r="O3" s="376">
        <v>10</v>
      </c>
      <c r="P3" s="376">
        <v>11</v>
      </c>
      <c r="Q3" s="376">
        <v>12</v>
      </c>
      <c r="R3" s="376">
        <v>13</v>
      </c>
      <c r="S3" s="376">
        <v>14</v>
      </c>
      <c r="T3" s="376">
        <v>15</v>
      </c>
      <c r="U3" s="376">
        <v>16</v>
      </c>
      <c r="V3" s="376">
        <v>17</v>
      </c>
      <c r="W3" s="376">
        <v>18</v>
      </c>
      <c r="X3" s="376">
        <v>19</v>
      </c>
      <c r="Y3" s="376">
        <v>20</v>
      </c>
      <c r="Z3" s="376">
        <v>21</v>
      </c>
      <c r="AA3" s="376">
        <v>22</v>
      </c>
      <c r="AB3" s="376">
        <v>23</v>
      </c>
      <c r="AC3" s="376">
        <v>24</v>
      </c>
      <c r="AD3" s="42"/>
      <c r="AE3" s="42"/>
      <c r="AF3" s="42"/>
      <c r="AG3" s="42"/>
      <c r="AH3" s="42"/>
      <c r="AI3" s="42"/>
      <c r="AJ3" s="42"/>
      <c r="AK3" s="42"/>
    </row>
    <row r="4" spans="1:39" ht="25.15" customHeight="1">
      <c r="A4" s="471" t="s">
        <v>316</v>
      </c>
      <c r="B4" s="481" t="s">
        <v>78</v>
      </c>
      <c r="C4" s="473" t="s">
        <v>317</v>
      </c>
      <c r="D4" s="471" t="s">
        <v>318</v>
      </c>
      <c r="E4" s="377" t="s">
        <v>306</v>
      </c>
      <c r="F4" s="377">
        <v>0</v>
      </c>
      <c r="G4" s="377">
        <v>0</v>
      </c>
      <c r="H4" s="377">
        <v>0</v>
      </c>
      <c r="I4" s="377">
        <v>0</v>
      </c>
      <c r="J4" s="377">
        <v>0</v>
      </c>
      <c r="K4" s="377">
        <v>0</v>
      </c>
      <c r="L4" s="377">
        <v>0</v>
      </c>
      <c r="M4" s="377">
        <v>0</v>
      </c>
      <c r="N4" s="377">
        <v>0</v>
      </c>
      <c r="O4" s="377">
        <v>0</v>
      </c>
      <c r="P4" s="377">
        <v>0</v>
      </c>
      <c r="Q4" s="377">
        <v>0</v>
      </c>
      <c r="R4" s="377">
        <v>0</v>
      </c>
      <c r="S4" s="377">
        <v>0</v>
      </c>
      <c r="T4" s="377">
        <v>0</v>
      </c>
      <c r="U4" s="377">
        <v>0</v>
      </c>
      <c r="V4" s="377">
        <v>0</v>
      </c>
      <c r="W4" s="377">
        <v>0</v>
      </c>
      <c r="X4" s="377">
        <v>0</v>
      </c>
      <c r="Y4" s="377">
        <v>0</v>
      </c>
      <c r="Z4" s="377">
        <v>0</v>
      </c>
      <c r="AA4" s="377">
        <v>0</v>
      </c>
      <c r="AB4" s="377">
        <v>0</v>
      </c>
      <c r="AC4" s="233">
        <v>0</v>
      </c>
      <c r="AD4" s="42"/>
      <c r="AE4" s="42"/>
      <c r="AF4" s="42"/>
      <c r="AG4" s="42"/>
      <c r="AH4" s="42"/>
      <c r="AI4" s="42"/>
      <c r="AJ4" s="42"/>
      <c r="AK4" s="42"/>
    </row>
    <row r="5" spans="1:39" ht="33" customHeight="1">
      <c r="A5" s="417"/>
      <c r="B5" s="418"/>
      <c r="C5" s="465"/>
      <c r="D5" s="417"/>
      <c r="E5" s="370" t="s">
        <v>304</v>
      </c>
      <c r="F5" s="370">
        <v>0</v>
      </c>
      <c r="G5" s="370">
        <v>0</v>
      </c>
      <c r="H5" s="370">
        <v>0</v>
      </c>
      <c r="I5" s="370">
        <v>0</v>
      </c>
      <c r="J5" s="370">
        <v>0</v>
      </c>
      <c r="K5" s="370">
        <v>0</v>
      </c>
      <c r="L5" s="370">
        <v>0</v>
      </c>
      <c r="M5" s="370">
        <v>0</v>
      </c>
      <c r="N5" s="370">
        <v>0</v>
      </c>
      <c r="O5" s="370">
        <v>0</v>
      </c>
      <c r="P5" s="370">
        <v>0</v>
      </c>
      <c r="Q5" s="370">
        <v>0</v>
      </c>
      <c r="R5" s="370">
        <v>0</v>
      </c>
      <c r="S5" s="370">
        <v>0</v>
      </c>
      <c r="T5" s="370">
        <v>0</v>
      </c>
      <c r="U5" s="370">
        <v>0</v>
      </c>
      <c r="V5" s="370">
        <v>0</v>
      </c>
      <c r="W5" s="370">
        <v>0</v>
      </c>
      <c r="X5" s="370">
        <v>0</v>
      </c>
      <c r="Y5" s="370">
        <v>0</v>
      </c>
      <c r="Z5" s="370">
        <v>0</v>
      </c>
      <c r="AA5" s="370">
        <v>0</v>
      </c>
      <c r="AB5" s="370">
        <v>0</v>
      </c>
      <c r="AC5" s="234">
        <v>0</v>
      </c>
      <c r="AD5" s="42"/>
      <c r="AE5" s="42"/>
      <c r="AF5" s="42"/>
      <c r="AG5" s="42"/>
      <c r="AH5" s="42"/>
      <c r="AI5" s="42"/>
      <c r="AJ5" s="42"/>
      <c r="AK5" s="42"/>
    </row>
    <row r="6" spans="1:39" ht="33" customHeight="1" thickBot="1">
      <c r="A6" s="472"/>
      <c r="B6" s="482"/>
      <c r="C6" s="474"/>
      <c r="D6" s="472"/>
      <c r="E6" s="378" t="s">
        <v>305</v>
      </c>
      <c r="F6" s="378">
        <v>0</v>
      </c>
      <c r="G6" s="378">
        <v>0</v>
      </c>
      <c r="H6" s="378">
        <v>0</v>
      </c>
      <c r="I6" s="378">
        <v>0</v>
      </c>
      <c r="J6" s="378">
        <v>0</v>
      </c>
      <c r="K6" s="378">
        <v>0</v>
      </c>
      <c r="L6" s="378">
        <v>0</v>
      </c>
      <c r="M6" s="378">
        <v>0</v>
      </c>
      <c r="N6" s="378">
        <v>0</v>
      </c>
      <c r="O6" s="378">
        <v>0</v>
      </c>
      <c r="P6" s="378">
        <v>0</v>
      </c>
      <c r="Q6" s="378">
        <v>0</v>
      </c>
      <c r="R6" s="378">
        <v>0</v>
      </c>
      <c r="S6" s="378">
        <v>0</v>
      </c>
      <c r="T6" s="378">
        <v>0</v>
      </c>
      <c r="U6" s="378">
        <v>0</v>
      </c>
      <c r="V6" s="378">
        <v>0</v>
      </c>
      <c r="W6" s="378">
        <v>0</v>
      </c>
      <c r="X6" s="378">
        <v>0</v>
      </c>
      <c r="Y6" s="378">
        <v>0</v>
      </c>
      <c r="Z6" s="378">
        <v>0</v>
      </c>
      <c r="AA6" s="378">
        <v>0</v>
      </c>
      <c r="AB6" s="378">
        <v>0</v>
      </c>
      <c r="AC6" s="235">
        <v>0</v>
      </c>
      <c r="AD6" s="42"/>
      <c r="AE6" s="42"/>
      <c r="AF6" s="42"/>
      <c r="AG6" s="42"/>
      <c r="AH6" s="42"/>
      <c r="AI6" s="42"/>
      <c r="AJ6" s="42"/>
      <c r="AK6" s="42"/>
    </row>
    <row r="7" spans="1:39" ht="38.65" customHeight="1">
      <c r="A7" s="471" t="s">
        <v>316</v>
      </c>
      <c r="B7" s="475" t="s">
        <v>78</v>
      </c>
      <c r="C7" s="473" t="s">
        <v>319</v>
      </c>
      <c r="D7" s="471" t="s">
        <v>318</v>
      </c>
      <c r="E7" s="236" t="s">
        <v>306</v>
      </c>
      <c r="F7" s="236">
        <v>0.5</v>
      </c>
      <c r="G7" s="236">
        <v>0.5</v>
      </c>
      <c r="H7" s="236">
        <v>0.5</v>
      </c>
      <c r="I7" s="236">
        <v>0.5</v>
      </c>
      <c r="J7" s="236">
        <v>0.5</v>
      </c>
      <c r="K7" s="236">
        <v>0.5</v>
      </c>
      <c r="L7" s="236">
        <v>1</v>
      </c>
      <c r="M7" s="236">
        <v>1</v>
      </c>
      <c r="N7" s="236">
        <v>1</v>
      </c>
      <c r="O7" s="236">
        <v>1</v>
      </c>
      <c r="P7" s="236">
        <v>1</v>
      </c>
      <c r="Q7" s="236">
        <v>1</v>
      </c>
      <c r="R7" s="236">
        <v>1</v>
      </c>
      <c r="S7" s="236">
        <v>1</v>
      </c>
      <c r="T7" s="236">
        <v>1</v>
      </c>
      <c r="U7" s="236">
        <v>1</v>
      </c>
      <c r="V7" s="236">
        <v>1</v>
      </c>
      <c r="W7" s="236">
        <v>1</v>
      </c>
      <c r="X7" s="236">
        <v>1</v>
      </c>
      <c r="Y7" s="236">
        <v>1</v>
      </c>
      <c r="Z7" s="236">
        <v>1</v>
      </c>
      <c r="AA7" s="236">
        <v>1</v>
      </c>
      <c r="AB7" s="236">
        <v>0.5</v>
      </c>
      <c r="AC7" s="237">
        <v>0.5</v>
      </c>
      <c r="AD7" s="42"/>
      <c r="AE7" s="42"/>
      <c r="AF7" s="42"/>
      <c r="AG7" s="42"/>
      <c r="AH7" s="42"/>
      <c r="AI7" s="42"/>
      <c r="AJ7" s="42"/>
      <c r="AK7" s="42"/>
      <c r="AM7" s="53"/>
    </row>
    <row r="8" spans="1:39" ht="38.65" customHeight="1">
      <c r="A8" s="417"/>
      <c r="B8" s="476"/>
      <c r="C8" s="465"/>
      <c r="D8" s="417"/>
      <c r="E8" s="238" t="s">
        <v>304</v>
      </c>
      <c r="F8" s="238">
        <v>0.5</v>
      </c>
      <c r="G8" s="238">
        <v>0.5</v>
      </c>
      <c r="H8" s="238">
        <v>0.5</v>
      </c>
      <c r="I8" s="238">
        <v>0.5</v>
      </c>
      <c r="J8" s="238">
        <v>0.5</v>
      </c>
      <c r="K8" s="238">
        <v>0.5</v>
      </c>
      <c r="L8" s="238">
        <v>1</v>
      </c>
      <c r="M8" s="238">
        <v>1</v>
      </c>
      <c r="N8" s="238">
        <v>1</v>
      </c>
      <c r="O8" s="238">
        <v>1</v>
      </c>
      <c r="P8" s="238">
        <v>1</v>
      </c>
      <c r="Q8" s="238">
        <v>1</v>
      </c>
      <c r="R8" s="238">
        <v>1</v>
      </c>
      <c r="S8" s="238">
        <v>1</v>
      </c>
      <c r="T8" s="238">
        <v>1</v>
      </c>
      <c r="U8" s="238">
        <v>1</v>
      </c>
      <c r="V8" s="238">
        <v>1</v>
      </c>
      <c r="W8" s="238">
        <v>0.5</v>
      </c>
      <c r="X8" s="238">
        <v>0.5</v>
      </c>
      <c r="Y8" s="238">
        <v>0.5</v>
      </c>
      <c r="Z8" s="238">
        <v>0.5</v>
      </c>
      <c r="AA8" s="238">
        <v>0.5</v>
      </c>
      <c r="AB8" s="238">
        <v>0.5</v>
      </c>
      <c r="AC8" s="239">
        <v>0.5</v>
      </c>
      <c r="AD8" s="42"/>
      <c r="AE8" s="42"/>
      <c r="AF8" s="42"/>
      <c r="AG8" s="42"/>
      <c r="AH8" s="42"/>
      <c r="AI8" s="42"/>
      <c r="AJ8" s="42"/>
      <c r="AK8" s="42"/>
      <c r="AM8" s="53"/>
    </row>
    <row r="9" spans="1:39" ht="38.65" customHeight="1" thickBot="1">
      <c r="A9" s="472"/>
      <c r="B9" s="477"/>
      <c r="C9" s="474"/>
      <c r="D9" s="472"/>
      <c r="E9" s="240" t="s">
        <v>305</v>
      </c>
      <c r="F9" s="240">
        <v>0.5</v>
      </c>
      <c r="G9" s="240">
        <v>0.5</v>
      </c>
      <c r="H9" s="240">
        <v>0.5</v>
      </c>
      <c r="I9" s="240">
        <v>0.5</v>
      </c>
      <c r="J9" s="240">
        <v>0.5</v>
      </c>
      <c r="K9" s="240">
        <v>0.5</v>
      </c>
      <c r="L9" s="240">
        <v>0.5</v>
      </c>
      <c r="M9" s="240">
        <v>0.5</v>
      </c>
      <c r="N9" s="240">
        <v>0.5</v>
      </c>
      <c r="O9" s="240">
        <v>0.5</v>
      </c>
      <c r="P9" s="240">
        <v>0.5</v>
      </c>
      <c r="Q9" s="240">
        <v>0.5</v>
      </c>
      <c r="R9" s="240">
        <v>0.5</v>
      </c>
      <c r="S9" s="240">
        <v>0.5</v>
      </c>
      <c r="T9" s="240">
        <v>0.5</v>
      </c>
      <c r="U9" s="240">
        <v>0.5</v>
      </c>
      <c r="V9" s="240">
        <v>0.5</v>
      </c>
      <c r="W9" s="240">
        <v>0.5</v>
      </c>
      <c r="X9" s="240">
        <v>0.5</v>
      </c>
      <c r="Y9" s="240">
        <v>0.5</v>
      </c>
      <c r="Z9" s="240">
        <v>0.5</v>
      </c>
      <c r="AA9" s="240">
        <v>0.5</v>
      </c>
      <c r="AB9" s="240">
        <v>0.5</v>
      </c>
      <c r="AC9" s="241">
        <v>0.5</v>
      </c>
      <c r="AD9" s="42"/>
      <c r="AE9" s="42"/>
      <c r="AF9" s="42"/>
      <c r="AG9" s="42"/>
      <c r="AH9" s="42"/>
      <c r="AI9" s="42"/>
      <c r="AJ9" s="42"/>
      <c r="AK9" s="42"/>
      <c r="AM9" s="53"/>
    </row>
    <row r="10" spans="1:39" ht="38.65" customHeight="1">
      <c r="A10" s="471" t="s">
        <v>316</v>
      </c>
      <c r="B10" s="475" t="s">
        <v>78</v>
      </c>
      <c r="C10" s="473" t="s">
        <v>320</v>
      </c>
      <c r="D10" s="478" t="s">
        <v>318</v>
      </c>
      <c r="E10" s="288" t="s">
        <v>306</v>
      </c>
      <c r="F10" s="334">
        <f t="shared" ref="F10:AC10" si="0">F7</f>
        <v>0.5</v>
      </c>
      <c r="G10" s="334">
        <f t="shared" si="0"/>
        <v>0.5</v>
      </c>
      <c r="H10" s="334">
        <f t="shared" si="0"/>
        <v>0.5</v>
      </c>
      <c r="I10" s="334">
        <f t="shared" si="0"/>
        <v>0.5</v>
      </c>
      <c r="J10" s="334">
        <f t="shared" si="0"/>
        <v>0.5</v>
      </c>
      <c r="K10" s="334">
        <f t="shared" si="0"/>
        <v>0.5</v>
      </c>
      <c r="L10" s="334">
        <f t="shared" si="0"/>
        <v>1</v>
      </c>
      <c r="M10" s="334">
        <f t="shared" si="0"/>
        <v>1</v>
      </c>
      <c r="N10" s="334">
        <f t="shared" si="0"/>
        <v>1</v>
      </c>
      <c r="O10" s="334">
        <f t="shared" si="0"/>
        <v>1</v>
      </c>
      <c r="P10" s="334">
        <f t="shared" si="0"/>
        <v>1</v>
      </c>
      <c r="Q10" s="334">
        <f t="shared" si="0"/>
        <v>1</v>
      </c>
      <c r="R10" s="334">
        <f t="shared" si="0"/>
        <v>1</v>
      </c>
      <c r="S10" s="334">
        <f t="shared" si="0"/>
        <v>1</v>
      </c>
      <c r="T10" s="334">
        <f t="shared" si="0"/>
        <v>1</v>
      </c>
      <c r="U10" s="334">
        <f t="shared" si="0"/>
        <v>1</v>
      </c>
      <c r="V10" s="334">
        <f t="shared" si="0"/>
        <v>1</v>
      </c>
      <c r="W10" s="334">
        <f t="shared" si="0"/>
        <v>1</v>
      </c>
      <c r="X10" s="334">
        <f t="shared" si="0"/>
        <v>1</v>
      </c>
      <c r="Y10" s="334">
        <f t="shared" si="0"/>
        <v>1</v>
      </c>
      <c r="Z10" s="334">
        <f t="shared" si="0"/>
        <v>1</v>
      </c>
      <c r="AA10" s="334">
        <f t="shared" si="0"/>
        <v>1</v>
      </c>
      <c r="AB10" s="334">
        <f t="shared" si="0"/>
        <v>0.5</v>
      </c>
      <c r="AC10" s="335">
        <f t="shared" si="0"/>
        <v>0.5</v>
      </c>
      <c r="AD10" s="43"/>
      <c r="AE10" s="42"/>
      <c r="AF10" s="42"/>
      <c r="AG10" s="42"/>
      <c r="AH10" s="42"/>
      <c r="AI10" s="42"/>
      <c r="AJ10" s="42"/>
      <c r="AK10" s="42"/>
      <c r="AM10" s="53"/>
    </row>
    <row r="11" spans="1:39" ht="38.65" customHeight="1">
      <c r="A11" s="417"/>
      <c r="B11" s="476"/>
      <c r="C11" s="465"/>
      <c r="D11" s="479"/>
      <c r="E11" s="290" t="s">
        <v>304</v>
      </c>
      <c r="F11" s="336">
        <f t="shared" ref="F11:AC11" si="1">F8</f>
        <v>0.5</v>
      </c>
      <c r="G11" s="336">
        <f t="shared" si="1"/>
        <v>0.5</v>
      </c>
      <c r="H11" s="336">
        <f t="shared" si="1"/>
        <v>0.5</v>
      </c>
      <c r="I11" s="336">
        <f t="shared" si="1"/>
        <v>0.5</v>
      </c>
      <c r="J11" s="336">
        <f t="shared" si="1"/>
        <v>0.5</v>
      </c>
      <c r="K11" s="336">
        <f t="shared" si="1"/>
        <v>0.5</v>
      </c>
      <c r="L11" s="336">
        <f t="shared" si="1"/>
        <v>1</v>
      </c>
      <c r="M11" s="336">
        <f t="shared" si="1"/>
        <v>1</v>
      </c>
      <c r="N11" s="336">
        <f t="shared" si="1"/>
        <v>1</v>
      </c>
      <c r="O11" s="336">
        <f t="shared" si="1"/>
        <v>1</v>
      </c>
      <c r="P11" s="336">
        <f t="shared" si="1"/>
        <v>1</v>
      </c>
      <c r="Q11" s="336">
        <f t="shared" si="1"/>
        <v>1</v>
      </c>
      <c r="R11" s="336">
        <f t="shared" si="1"/>
        <v>1</v>
      </c>
      <c r="S11" s="336">
        <f t="shared" si="1"/>
        <v>1</v>
      </c>
      <c r="T11" s="336">
        <f t="shared" si="1"/>
        <v>1</v>
      </c>
      <c r="U11" s="336">
        <f t="shared" si="1"/>
        <v>1</v>
      </c>
      <c r="V11" s="336">
        <f t="shared" si="1"/>
        <v>1</v>
      </c>
      <c r="W11" s="336">
        <f t="shared" si="1"/>
        <v>0.5</v>
      </c>
      <c r="X11" s="336">
        <f t="shared" si="1"/>
        <v>0.5</v>
      </c>
      <c r="Y11" s="336">
        <f t="shared" si="1"/>
        <v>0.5</v>
      </c>
      <c r="Z11" s="336">
        <f t="shared" si="1"/>
        <v>0.5</v>
      </c>
      <c r="AA11" s="336">
        <f t="shared" si="1"/>
        <v>0.5</v>
      </c>
      <c r="AB11" s="336">
        <f t="shared" si="1"/>
        <v>0.5</v>
      </c>
      <c r="AC11" s="337">
        <f t="shared" si="1"/>
        <v>0.5</v>
      </c>
      <c r="AD11" s="43"/>
      <c r="AE11" s="42"/>
      <c r="AF11" s="42"/>
      <c r="AG11" s="42"/>
      <c r="AH11" s="42"/>
      <c r="AI11" s="42"/>
      <c r="AJ11" s="42"/>
      <c r="AK11" s="42"/>
      <c r="AM11" s="53"/>
    </row>
    <row r="12" spans="1:39" ht="38.65" customHeight="1" thickBot="1">
      <c r="A12" s="472"/>
      <c r="B12" s="477"/>
      <c r="C12" s="474"/>
      <c r="D12" s="480"/>
      <c r="E12" s="292" t="s">
        <v>305</v>
      </c>
      <c r="F12" s="338">
        <f t="shared" ref="F12:AC12" si="2">F9</f>
        <v>0.5</v>
      </c>
      <c r="G12" s="338">
        <f t="shared" si="2"/>
        <v>0.5</v>
      </c>
      <c r="H12" s="338">
        <f t="shared" si="2"/>
        <v>0.5</v>
      </c>
      <c r="I12" s="338">
        <f t="shared" si="2"/>
        <v>0.5</v>
      </c>
      <c r="J12" s="338">
        <f t="shared" si="2"/>
        <v>0.5</v>
      </c>
      <c r="K12" s="338">
        <f t="shared" si="2"/>
        <v>0.5</v>
      </c>
      <c r="L12" s="338">
        <f t="shared" si="2"/>
        <v>0.5</v>
      </c>
      <c r="M12" s="338">
        <f t="shared" si="2"/>
        <v>0.5</v>
      </c>
      <c r="N12" s="338">
        <f t="shared" si="2"/>
        <v>0.5</v>
      </c>
      <c r="O12" s="338">
        <f t="shared" si="2"/>
        <v>0.5</v>
      </c>
      <c r="P12" s="338">
        <f t="shared" si="2"/>
        <v>0.5</v>
      </c>
      <c r="Q12" s="338">
        <f t="shared" si="2"/>
        <v>0.5</v>
      </c>
      <c r="R12" s="338">
        <f t="shared" si="2"/>
        <v>0.5</v>
      </c>
      <c r="S12" s="338">
        <f t="shared" si="2"/>
        <v>0.5</v>
      </c>
      <c r="T12" s="338">
        <f t="shared" si="2"/>
        <v>0.5</v>
      </c>
      <c r="U12" s="338">
        <f t="shared" si="2"/>
        <v>0.5</v>
      </c>
      <c r="V12" s="338">
        <f t="shared" si="2"/>
        <v>0.5</v>
      </c>
      <c r="W12" s="338">
        <f t="shared" si="2"/>
        <v>0.5</v>
      </c>
      <c r="X12" s="338">
        <f t="shared" si="2"/>
        <v>0.5</v>
      </c>
      <c r="Y12" s="338">
        <f t="shared" si="2"/>
        <v>0.5</v>
      </c>
      <c r="Z12" s="338">
        <f t="shared" si="2"/>
        <v>0.5</v>
      </c>
      <c r="AA12" s="338">
        <f t="shared" si="2"/>
        <v>0.5</v>
      </c>
      <c r="AB12" s="338">
        <f t="shared" si="2"/>
        <v>0.5</v>
      </c>
      <c r="AC12" s="339">
        <f t="shared" si="2"/>
        <v>0.5</v>
      </c>
      <c r="AD12" s="43"/>
      <c r="AE12" s="42"/>
      <c r="AF12" s="42"/>
      <c r="AG12" s="42"/>
      <c r="AH12" s="42"/>
      <c r="AI12" s="42"/>
      <c r="AJ12" s="42"/>
      <c r="AK12" s="42"/>
      <c r="AM12" s="53"/>
    </row>
    <row r="13" spans="1:39" ht="36" customHeight="1">
      <c r="A13" s="471" t="s">
        <v>316</v>
      </c>
      <c r="B13" s="475" t="s">
        <v>78</v>
      </c>
      <c r="C13" s="473" t="s">
        <v>321</v>
      </c>
      <c r="D13" s="471" t="s">
        <v>318</v>
      </c>
      <c r="E13" s="242" t="s">
        <v>306</v>
      </c>
      <c r="F13" s="377">
        <v>0</v>
      </c>
      <c r="G13" s="377">
        <v>0</v>
      </c>
      <c r="H13" s="377">
        <v>0</v>
      </c>
      <c r="I13" s="377">
        <v>0</v>
      </c>
      <c r="J13" s="377">
        <v>0</v>
      </c>
      <c r="K13" s="377">
        <v>0</v>
      </c>
      <c r="L13" s="377">
        <v>0</v>
      </c>
      <c r="M13" s="377">
        <v>0</v>
      </c>
      <c r="N13" s="377">
        <v>0</v>
      </c>
      <c r="O13" s="377">
        <v>0</v>
      </c>
      <c r="P13" s="377">
        <v>0</v>
      </c>
      <c r="Q13" s="377">
        <v>0</v>
      </c>
      <c r="R13" s="377">
        <v>0</v>
      </c>
      <c r="S13" s="377">
        <v>0</v>
      </c>
      <c r="T13" s="377">
        <v>0</v>
      </c>
      <c r="U13" s="377">
        <v>0</v>
      </c>
      <c r="V13" s="377">
        <v>0</v>
      </c>
      <c r="W13" s="377">
        <v>0</v>
      </c>
      <c r="X13" s="377">
        <v>0</v>
      </c>
      <c r="Y13" s="377">
        <v>0</v>
      </c>
      <c r="Z13" s="377">
        <v>0</v>
      </c>
      <c r="AA13" s="377">
        <v>0</v>
      </c>
      <c r="AB13" s="377">
        <v>0</v>
      </c>
      <c r="AC13" s="233">
        <v>0</v>
      </c>
      <c r="AD13" s="348"/>
      <c r="AM13" s="53"/>
    </row>
    <row r="14" spans="1:39" ht="36" customHeight="1">
      <c r="A14" s="417"/>
      <c r="B14" s="476"/>
      <c r="C14" s="465"/>
      <c r="D14" s="417"/>
      <c r="E14" s="238" t="s">
        <v>304</v>
      </c>
      <c r="F14" s="370">
        <v>0</v>
      </c>
      <c r="G14" s="370">
        <v>0</v>
      </c>
      <c r="H14" s="370">
        <v>0</v>
      </c>
      <c r="I14" s="370">
        <v>0</v>
      </c>
      <c r="J14" s="370">
        <v>0</v>
      </c>
      <c r="K14" s="370">
        <v>0</v>
      </c>
      <c r="L14" s="370">
        <v>0</v>
      </c>
      <c r="M14" s="370">
        <v>0</v>
      </c>
      <c r="N14" s="370">
        <v>0</v>
      </c>
      <c r="O14" s="370">
        <v>0</v>
      </c>
      <c r="P14" s="370">
        <v>0</v>
      </c>
      <c r="Q14" s="370">
        <v>0</v>
      </c>
      <c r="R14" s="370">
        <v>0</v>
      </c>
      <c r="S14" s="370">
        <v>0</v>
      </c>
      <c r="T14" s="370">
        <v>0</v>
      </c>
      <c r="U14" s="370">
        <v>0</v>
      </c>
      <c r="V14" s="370">
        <v>0</v>
      </c>
      <c r="W14" s="370">
        <v>0</v>
      </c>
      <c r="X14" s="370">
        <v>0</v>
      </c>
      <c r="Y14" s="370">
        <v>0</v>
      </c>
      <c r="Z14" s="370">
        <v>0</v>
      </c>
      <c r="AA14" s="370">
        <v>0</v>
      </c>
      <c r="AB14" s="370">
        <v>0</v>
      </c>
      <c r="AC14" s="234">
        <v>0</v>
      </c>
      <c r="AD14" s="348"/>
      <c r="AM14" s="53"/>
    </row>
    <row r="15" spans="1:39" ht="36" customHeight="1" thickBot="1">
      <c r="A15" s="472"/>
      <c r="B15" s="477"/>
      <c r="C15" s="474"/>
      <c r="D15" s="472"/>
      <c r="E15" s="240" t="s">
        <v>305</v>
      </c>
      <c r="F15" s="378">
        <v>0</v>
      </c>
      <c r="G15" s="378">
        <v>0</v>
      </c>
      <c r="H15" s="378">
        <v>0</v>
      </c>
      <c r="I15" s="378">
        <v>0</v>
      </c>
      <c r="J15" s="378">
        <v>0</v>
      </c>
      <c r="K15" s="378">
        <v>0</v>
      </c>
      <c r="L15" s="378">
        <v>0</v>
      </c>
      <c r="M15" s="378">
        <v>0</v>
      </c>
      <c r="N15" s="378">
        <v>0</v>
      </c>
      <c r="O15" s="378">
        <v>0</v>
      </c>
      <c r="P15" s="378">
        <v>0</v>
      </c>
      <c r="Q15" s="378">
        <v>0</v>
      </c>
      <c r="R15" s="378">
        <v>0</v>
      </c>
      <c r="S15" s="378">
        <v>0</v>
      </c>
      <c r="T15" s="378">
        <v>0</v>
      </c>
      <c r="U15" s="378">
        <v>0</v>
      </c>
      <c r="V15" s="378">
        <v>0</v>
      </c>
      <c r="W15" s="378">
        <v>0</v>
      </c>
      <c r="X15" s="378">
        <v>0</v>
      </c>
      <c r="Y15" s="378">
        <v>0</v>
      </c>
      <c r="Z15" s="378">
        <v>0</v>
      </c>
      <c r="AA15" s="378">
        <v>0</v>
      </c>
      <c r="AB15" s="378">
        <v>0</v>
      </c>
      <c r="AC15" s="235">
        <v>0</v>
      </c>
      <c r="AD15" s="348"/>
      <c r="AM15" s="53"/>
    </row>
    <row r="16" spans="1:39" ht="36" customHeight="1" thickBot="1">
      <c r="A16" s="497" t="s">
        <v>322</v>
      </c>
      <c r="B16" s="498"/>
      <c r="C16" s="498"/>
      <c r="D16" s="498"/>
      <c r="E16" s="498"/>
      <c r="F16" s="498"/>
      <c r="G16" s="498"/>
      <c r="H16" s="498"/>
      <c r="I16" s="498"/>
      <c r="J16" s="498"/>
      <c r="K16" s="498"/>
      <c r="L16" s="498"/>
      <c r="M16" s="498"/>
      <c r="N16" s="498"/>
      <c r="O16" s="498"/>
      <c r="P16" s="498"/>
      <c r="Q16" s="498"/>
      <c r="R16" s="498"/>
      <c r="S16" s="498"/>
      <c r="T16" s="498"/>
      <c r="U16" s="498"/>
      <c r="V16" s="498"/>
      <c r="W16" s="498"/>
      <c r="X16" s="498"/>
      <c r="Y16" s="498"/>
      <c r="Z16" s="498"/>
      <c r="AA16" s="498"/>
      <c r="AB16" s="498"/>
      <c r="AC16" s="498"/>
      <c r="AD16" s="42"/>
      <c r="AE16" s="42"/>
      <c r="AF16" s="42"/>
      <c r="AG16" s="42"/>
      <c r="AH16" s="42"/>
      <c r="AI16" s="42"/>
      <c r="AJ16" s="42"/>
      <c r="AK16" s="42"/>
      <c r="AM16" s="53"/>
    </row>
    <row r="17" spans="1:39" ht="36" customHeight="1">
      <c r="A17" s="471" t="s">
        <v>323</v>
      </c>
      <c r="B17" s="471" t="s">
        <v>87</v>
      </c>
      <c r="C17" s="471" t="s">
        <v>317</v>
      </c>
      <c r="D17" s="478" t="s">
        <v>318</v>
      </c>
      <c r="E17" s="282" t="s">
        <v>306</v>
      </c>
      <c r="F17" s="377">
        <v>0</v>
      </c>
      <c r="G17" s="377">
        <v>0</v>
      </c>
      <c r="H17" s="377">
        <v>0</v>
      </c>
      <c r="I17" s="377">
        <v>0</v>
      </c>
      <c r="J17" s="377">
        <v>0</v>
      </c>
      <c r="K17" s="377">
        <v>0</v>
      </c>
      <c r="L17" s="377">
        <v>1</v>
      </c>
      <c r="M17" s="377">
        <v>1</v>
      </c>
      <c r="N17" s="377">
        <v>1</v>
      </c>
      <c r="O17" s="377">
        <v>1</v>
      </c>
      <c r="P17" s="377">
        <v>1</v>
      </c>
      <c r="Q17" s="377">
        <v>1</v>
      </c>
      <c r="R17" s="377">
        <v>1</v>
      </c>
      <c r="S17" s="377">
        <v>1</v>
      </c>
      <c r="T17" s="377">
        <v>1</v>
      </c>
      <c r="U17" s="377">
        <v>1</v>
      </c>
      <c r="V17" s="377">
        <v>1</v>
      </c>
      <c r="W17" s="377">
        <v>0</v>
      </c>
      <c r="X17" s="377">
        <v>0</v>
      </c>
      <c r="Y17" s="377">
        <v>0</v>
      </c>
      <c r="Z17" s="377">
        <v>0</v>
      </c>
      <c r="AA17" s="377">
        <v>0</v>
      </c>
      <c r="AB17" s="377">
        <v>0</v>
      </c>
      <c r="AC17" s="233">
        <v>0</v>
      </c>
      <c r="AD17" s="42"/>
      <c r="AE17" s="42"/>
      <c r="AF17" s="42"/>
      <c r="AG17" s="42"/>
      <c r="AH17" s="42"/>
      <c r="AI17" s="42"/>
      <c r="AJ17" s="42"/>
      <c r="AK17" s="42"/>
      <c r="AM17" s="53"/>
    </row>
    <row r="18" spans="1:39" ht="36" customHeight="1">
      <c r="A18" s="417"/>
      <c r="B18" s="417"/>
      <c r="C18" s="417"/>
      <c r="D18" s="479"/>
      <c r="E18" s="283" t="s">
        <v>304</v>
      </c>
      <c r="F18" s="370">
        <v>0</v>
      </c>
      <c r="G18" s="370">
        <v>0</v>
      </c>
      <c r="H18" s="370">
        <v>0</v>
      </c>
      <c r="I18" s="370">
        <v>0</v>
      </c>
      <c r="J18" s="370">
        <v>0</v>
      </c>
      <c r="K18" s="370">
        <v>0</v>
      </c>
      <c r="L18" s="370">
        <v>0</v>
      </c>
      <c r="M18" s="370">
        <v>1</v>
      </c>
      <c r="N18" s="370">
        <v>1</v>
      </c>
      <c r="O18" s="370">
        <v>1</v>
      </c>
      <c r="P18" s="370">
        <v>1</v>
      </c>
      <c r="Q18" s="370">
        <v>1</v>
      </c>
      <c r="R18" s="370">
        <v>1</v>
      </c>
      <c r="S18" s="370">
        <v>1</v>
      </c>
      <c r="T18" s="370">
        <v>1</v>
      </c>
      <c r="U18" s="370">
        <v>0</v>
      </c>
      <c r="V18" s="370">
        <v>0</v>
      </c>
      <c r="W18" s="370">
        <v>0</v>
      </c>
      <c r="X18" s="370">
        <v>0</v>
      </c>
      <c r="Y18" s="370">
        <v>0</v>
      </c>
      <c r="Z18" s="370">
        <v>0</v>
      </c>
      <c r="AA18" s="370">
        <v>0</v>
      </c>
      <c r="AB18" s="370">
        <v>0</v>
      </c>
      <c r="AC18" s="234">
        <v>0</v>
      </c>
      <c r="AD18" s="42"/>
      <c r="AE18" s="42"/>
      <c r="AF18" s="42"/>
      <c r="AG18" s="42"/>
      <c r="AH18" s="42"/>
      <c r="AI18" s="42"/>
      <c r="AJ18" s="42"/>
      <c r="AK18" s="42"/>
      <c r="AM18" s="53"/>
    </row>
    <row r="19" spans="1:39" ht="36" customHeight="1" thickBot="1">
      <c r="A19" s="472"/>
      <c r="B19" s="472"/>
      <c r="C19" s="472"/>
      <c r="D19" s="480"/>
      <c r="E19" s="315" t="s">
        <v>305</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314">
        <v>0</v>
      </c>
      <c r="AD19" s="42"/>
      <c r="AE19" s="42"/>
      <c r="AF19" s="42"/>
      <c r="AG19" s="42"/>
      <c r="AH19" s="42"/>
      <c r="AI19" s="42"/>
      <c r="AJ19" s="42"/>
      <c r="AK19" s="42"/>
      <c r="AM19" s="53"/>
    </row>
    <row r="20" spans="1:39" ht="38.65" customHeight="1">
      <c r="A20" s="471" t="s">
        <v>323</v>
      </c>
      <c r="B20" s="471" t="s">
        <v>87</v>
      </c>
      <c r="C20" s="473" t="s">
        <v>319</v>
      </c>
      <c r="D20" s="478" t="s">
        <v>318</v>
      </c>
      <c r="E20" s="288" t="s">
        <v>306</v>
      </c>
      <c r="F20" s="332">
        <f>F17</f>
        <v>0</v>
      </c>
      <c r="G20" s="332">
        <f t="shared" ref="G20:AC20" si="3">G17</f>
        <v>0</v>
      </c>
      <c r="H20" s="332">
        <f t="shared" si="3"/>
        <v>0</v>
      </c>
      <c r="I20" s="332">
        <f t="shared" si="3"/>
        <v>0</v>
      </c>
      <c r="J20" s="332">
        <f t="shared" si="3"/>
        <v>0</v>
      </c>
      <c r="K20" s="332">
        <f t="shared" si="3"/>
        <v>0</v>
      </c>
      <c r="L20" s="332">
        <f t="shared" si="3"/>
        <v>1</v>
      </c>
      <c r="M20" s="332">
        <f t="shared" si="3"/>
        <v>1</v>
      </c>
      <c r="N20" s="332">
        <f t="shared" si="3"/>
        <v>1</v>
      </c>
      <c r="O20" s="332">
        <f t="shared" si="3"/>
        <v>1</v>
      </c>
      <c r="P20" s="332">
        <f t="shared" si="3"/>
        <v>1</v>
      </c>
      <c r="Q20" s="332">
        <f t="shared" si="3"/>
        <v>1</v>
      </c>
      <c r="R20" s="332">
        <f t="shared" si="3"/>
        <v>1</v>
      </c>
      <c r="S20" s="332">
        <f t="shared" si="3"/>
        <v>1</v>
      </c>
      <c r="T20" s="332">
        <f t="shared" si="3"/>
        <v>1</v>
      </c>
      <c r="U20" s="332">
        <f t="shared" si="3"/>
        <v>1</v>
      </c>
      <c r="V20" s="332">
        <f t="shared" si="3"/>
        <v>1</v>
      </c>
      <c r="W20" s="332">
        <f t="shared" si="3"/>
        <v>0</v>
      </c>
      <c r="X20" s="332">
        <f t="shared" si="3"/>
        <v>0</v>
      </c>
      <c r="Y20" s="332">
        <f t="shared" si="3"/>
        <v>0</v>
      </c>
      <c r="Z20" s="332">
        <f t="shared" si="3"/>
        <v>0</v>
      </c>
      <c r="AA20" s="332">
        <f t="shared" si="3"/>
        <v>0</v>
      </c>
      <c r="AB20" s="332">
        <f t="shared" si="3"/>
        <v>0</v>
      </c>
      <c r="AC20" s="333">
        <f t="shared" si="3"/>
        <v>0</v>
      </c>
      <c r="AD20" s="42"/>
      <c r="AE20" s="42"/>
      <c r="AF20" s="42"/>
      <c r="AG20" s="42"/>
      <c r="AH20" s="42"/>
      <c r="AI20" s="42"/>
      <c r="AJ20" s="42"/>
      <c r="AK20" s="42"/>
      <c r="AM20" s="53"/>
    </row>
    <row r="21" spans="1:39" ht="38.65" customHeight="1">
      <c r="A21" s="417"/>
      <c r="B21" s="417"/>
      <c r="C21" s="465"/>
      <c r="D21" s="479"/>
      <c r="E21" s="290" t="s">
        <v>304</v>
      </c>
      <c r="F21" s="328">
        <f>F18</f>
        <v>0</v>
      </c>
      <c r="G21" s="328">
        <f t="shared" ref="G21:AC21" si="4">G18</f>
        <v>0</v>
      </c>
      <c r="H21" s="328">
        <f t="shared" si="4"/>
        <v>0</v>
      </c>
      <c r="I21" s="328">
        <f t="shared" si="4"/>
        <v>0</v>
      </c>
      <c r="J21" s="328">
        <f t="shared" si="4"/>
        <v>0</v>
      </c>
      <c r="K21" s="328">
        <f t="shared" si="4"/>
        <v>0</v>
      </c>
      <c r="L21" s="328">
        <f t="shared" si="4"/>
        <v>0</v>
      </c>
      <c r="M21" s="328">
        <f t="shared" si="4"/>
        <v>1</v>
      </c>
      <c r="N21" s="328">
        <f t="shared" si="4"/>
        <v>1</v>
      </c>
      <c r="O21" s="328">
        <f t="shared" si="4"/>
        <v>1</v>
      </c>
      <c r="P21" s="328">
        <f t="shared" si="4"/>
        <v>1</v>
      </c>
      <c r="Q21" s="328">
        <f t="shared" si="4"/>
        <v>1</v>
      </c>
      <c r="R21" s="328">
        <f t="shared" si="4"/>
        <v>1</v>
      </c>
      <c r="S21" s="328">
        <f t="shared" si="4"/>
        <v>1</v>
      </c>
      <c r="T21" s="328">
        <f t="shared" si="4"/>
        <v>1</v>
      </c>
      <c r="U21" s="328">
        <f t="shared" si="4"/>
        <v>0</v>
      </c>
      <c r="V21" s="328">
        <f t="shared" si="4"/>
        <v>0</v>
      </c>
      <c r="W21" s="328">
        <f t="shared" si="4"/>
        <v>0</v>
      </c>
      <c r="X21" s="328">
        <f t="shared" si="4"/>
        <v>0</v>
      </c>
      <c r="Y21" s="328">
        <f t="shared" si="4"/>
        <v>0</v>
      </c>
      <c r="Z21" s="328">
        <f t="shared" si="4"/>
        <v>0</v>
      </c>
      <c r="AA21" s="328">
        <f t="shared" si="4"/>
        <v>0</v>
      </c>
      <c r="AB21" s="328">
        <f t="shared" si="4"/>
        <v>0</v>
      </c>
      <c r="AC21" s="329">
        <f t="shared" si="4"/>
        <v>0</v>
      </c>
      <c r="AD21" s="42"/>
      <c r="AE21" s="42"/>
      <c r="AF21" s="42"/>
      <c r="AG21" s="42"/>
      <c r="AH21" s="42"/>
      <c r="AI21" s="42"/>
      <c r="AJ21" s="42"/>
      <c r="AK21" s="42"/>
      <c r="AM21" s="53"/>
    </row>
    <row r="22" spans="1:39" ht="38.65" customHeight="1" thickBot="1">
      <c r="A22" s="472"/>
      <c r="B22" s="472"/>
      <c r="C22" s="474"/>
      <c r="D22" s="480"/>
      <c r="E22" s="292" t="s">
        <v>305</v>
      </c>
      <c r="F22" s="330">
        <f>F19</f>
        <v>0</v>
      </c>
      <c r="G22" s="330">
        <f t="shared" ref="G22:AC22" si="5">G19</f>
        <v>0</v>
      </c>
      <c r="H22" s="330">
        <f t="shared" si="5"/>
        <v>0</v>
      </c>
      <c r="I22" s="330">
        <f t="shared" si="5"/>
        <v>0</v>
      </c>
      <c r="J22" s="330">
        <f t="shared" si="5"/>
        <v>0</v>
      </c>
      <c r="K22" s="330">
        <f t="shared" si="5"/>
        <v>0</v>
      </c>
      <c r="L22" s="330">
        <f t="shared" si="5"/>
        <v>0</v>
      </c>
      <c r="M22" s="330">
        <f t="shared" si="5"/>
        <v>0</v>
      </c>
      <c r="N22" s="330">
        <f t="shared" si="5"/>
        <v>0</v>
      </c>
      <c r="O22" s="330">
        <f t="shared" si="5"/>
        <v>0</v>
      </c>
      <c r="P22" s="330">
        <f t="shared" si="5"/>
        <v>0</v>
      </c>
      <c r="Q22" s="330">
        <f t="shared" si="5"/>
        <v>0</v>
      </c>
      <c r="R22" s="330">
        <f t="shared" si="5"/>
        <v>0</v>
      </c>
      <c r="S22" s="330">
        <f t="shared" si="5"/>
        <v>0</v>
      </c>
      <c r="T22" s="330">
        <f t="shared" si="5"/>
        <v>0</v>
      </c>
      <c r="U22" s="330">
        <f t="shared" si="5"/>
        <v>0</v>
      </c>
      <c r="V22" s="330">
        <f t="shared" si="5"/>
        <v>0</v>
      </c>
      <c r="W22" s="330">
        <f t="shared" si="5"/>
        <v>0</v>
      </c>
      <c r="X22" s="330">
        <f t="shared" si="5"/>
        <v>0</v>
      </c>
      <c r="Y22" s="330">
        <f t="shared" si="5"/>
        <v>0</v>
      </c>
      <c r="Z22" s="330">
        <f t="shared" si="5"/>
        <v>0</v>
      </c>
      <c r="AA22" s="330">
        <f t="shared" si="5"/>
        <v>0</v>
      </c>
      <c r="AB22" s="330">
        <f t="shared" si="5"/>
        <v>0</v>
      </c>
      <c r="AC22" s="331">
        <f t="shared" si="5"/>
        <v>0</v>
      </c>
      <c r="AD22" s="42"/>
      <c r="AE22" s="42"/>
      <c r="AF22" s="42"/>
      <c r="AG22" s="42"/>
      <c r="AH22" s="42"/>
      <c r="AI22" s="42"/>
      <c r="AJ22" s="42"/>
      <c r="AK22" s="42"/>
      <c r="AM22" s="53"/>
    </row>
    <row r="23" spans="1:39" ht="38.65" customHeight="1">
      <c r="A23" s="471" t="s">
        <v>323</v>
      </c>
      <c r="B23" s="471" t="s">
        <v>87</v>
      </c>
      <c r="C23" s="473" t="s">
        <v>320</v>
      </c>
      <c r="D23" s="478" t="s">
        <v>318</v>
      </c>
      <c r="E23" s="288" t="s">
        <v>306</v>
      </c>
      <c r="F23" s="334">
        <f>F17</f>
        <v>0</v>
      </c>
      <c r="G23" s="334">
        <f t="shared" ref="G23:AC23" si="6">G17</f>
        <v>0</v>
      </c>
      <c r="H23" s="334">
        <f t="shared" si="6"/>
        <v>0</v>
      </c>
      <c r="I23" s="334">
        <f t="shared" si="6"/>
        <v>0</v>
      </c>
      <c r="J23" s="334">
        <f t="shared" si="6"/>
        <v>0</v>
      </c>
      <c r="K23" s="334">
        <f t="shared" si="6"/>
        <v>0</v>
      </c>
      <c r="L23" s="334">
        <f t="shared" si="6"/>
        <v>1</v>
      </c>
      <c r="M23" s="334">
        <f t="shared" si="6"/>
        <v>1</v>
      </c>
      <c r="N23" s="334">
        <f t="shared" si="6"/>
        <v>1</v>
      </c>
      <c r="O23" s="334">
        <f t="shared" si="6"/>
        <v>1</v>
      </c>
      <c r="P23" s="334">
        <f t="shared" si="6"/>
        <v>1</v>
      </c>
      <c r="Q23" s="334">
        <f t="shared" si="6"/>
        <v>1</v>
      </c>
      <c r="R23" s="334">
        <f t="shared" si="6"/>
        <v>1</v>
      </c>
      <c r="S23" s="334">
        <f t="shared" si="6"/>
        <v>1</v>
      </c>
      <c r="T23" s="334">
        <f t="shared" si="6"/>
        <v>1</v>
      </c>
      <c r="U23" s="334">
        <f t="shared" si="6"/>
        <v>1</v>
      </c>
      <c r="V23" s="334">
        <f t="shared" si="6"/>
        <v>1</v>
      </c>
      <c r="W23" s="334">
        <f t="shared" si="6"/>
        <v>0</v>
      </c>
      <c r="X23" s="334">
        <f t="shared" si="6"/>
        <v>0</v>
      </c>
      <c r="Y23" s="334">
        <f t="shared" si="6"/>
        <v>0</v>
      </c>
      <c r="Z23" s="334">
        <f t="shared" si="6"/>
        <v>0</v>
      </c>
      <c r="AA23" s="334">
        <f t="shared" si="6"/>
        <v>0</v>
      </c>
      <c r="AB23" s="334">
        <f t="shared" si="6"/>
        <v>0</v>
      </c>
      <c r="AC23" s="335">
        <f t="shared" si="6"/>
        <v>0</v>
      </c>
      <c r="AD23" s="43"/>
      <c r="AE23" s="42"/>
      <c r="AF23" s="42"/>
      <c r="AG23" s="42"/>
      <c r="AH23" s="42"/>
      <c r="AI23" s="42"/>
      <c r="AJ23" s="42"/>
      <c r="AK23" s="42"/>
      <c r="AM23" s="53"/>
    </row>
    <row r="24" spans="1:39" ht="38.65" customHeight="1">
      <c r="A24" s="417"/>
      <c r="B24" s="417"/>
      <c r="C24" s="465"/>
      <c r="D24" s="479"/>
      <c r="E24" s="290" t="s">
        <v>304</v>
      </c>
      <c r="F24" s="336">
        <f>F18</f>
        <v>0</v>
      </c>
      <c r="G24" s="336">
        <f t="shared" ref="G24:AC24" si="7">G18</f>
        <v>0</v>
      </c>
      <c r="H24" s="336">
        <f t="shared" si="7"/>
        <v>0</v>
      </c>
      <c r="I24" s="336">
        <f t="shared" si="7"/>
        <v>0</v>
      </c>
      <c r="J24" s="336">
        <f t="shared" si="7"/>
        <v>0</v>
      </c>
      <c r="K24" s="336">
        <f t="shared" si="7"/>
        <v>0</v>
      </c>
      <c r="L24" s="336">
        <f t="shared" si="7"/>
        <v>0</v>
      </c>
      <c r="M24" s="336">
        <f t="shared" si="7"/>
        <v>1</v>
      </c>
      <c r="N24" s="336">
        <f t="shared" si="7"/>
        <v>1</v>
      </c>
      <c r="O24" s="336">
        <f t="shared" si="7"/>
        <v>1</v>
      </c>
      <c r="P24" s="336">
        <f t="shared" si="7"/>
        <v>1</v>
      </c>
      <c r="Q24" s="336">
        <f t="shared" si="7"/>
        <v>1</v>
      </c>
      <c r="R24" s="336">
        <f t="shared" si="7"/>
        <v>1</v>
      </c>
      <c r="S24" s="336">
        <f t="shared" si="7"/>
        <v>1</v>
      </c>
      <c r="T24" s="336">
        <f t="shared" si="7"/>
        <v>1</v>
      </c>
      <c r="U24" s="336">
        <f t="shared" si="7"/>
        <v>0</v>
      </c>
      <c r="V24" s="336">
        <f t="shared" si="7"/>
        <v>0</v>
      </c>
      <c r="W24" s="336">
        <f t="shared" si="7"/>
        <v>0</v>
      </c>
      <c r="X24" s="336">
        <f t="shared" si="7"/>
        <v>0</v>
      </c>
      <c r="Y24" s="336">
        <f t="shared" si="7"/>
        <v>0</v>
      </c>
      <c r="Z24" s="336">
        <f t="shared" si="7"/>
        <v>0</v>
      </c>
      <c r="AA24" s="336">
        <f t="shared" si="7"/>
        <v>0</v>
      </c>
      <c r="AB24" s="336">
        <f t="shared" si="7"/>
        <v>0</v>
      </c>
      <c r="AC24" s="337">
        <f t="shared" si="7"/>
        <v>0</v>
      </c>
      <c r="AD24" s="43"/>
      <c r="AE24" s="42"/>
      <c r="AF24" s="42"/>
      <c r="AG24" s="42"/>
      <c r="AH24" s="42"/>
      <c r="AI24" s="42"/>
      <c r="AJ24" s="42"/>
      <c r="AK24" s="42"/>
      <c r="AM24" s="53"/>
    </row>
    <row r="25" spans="1:39" ht="38.65" customHeight="1" thickBot="1">
      <c r="A25" s="472"/>
      <c r="B25" s="472"/>
      <c r="C25" s="474"/>
      <c r="D25" s="480"/>
      <c r="E25" s="292" t="s">
        <v>305</v>
      </c>
      <c r="F25" s="338">
        <f>F19</f>
        <v>0</v>
      </c>
      <c r="G25" s="338">
        <f t="shared" ref="G25:AC25" si="8">G19</f>
        <v>0</v>
      </c>
      <c r="H25" s="338">
        <f t="shared" si="8"/>
        <v>0</v>
      </c>
      <c r="I25" s="338">
        <f t="shared" si="8"/>
        <v>0</v>
      </c>
      <c r="J25" s="338">
        <f t="shared" si="8"/>
        <v>0</v>
      </c>
      <c r="K25" s="338">
        <f t="shared" si="8"/>
        <v>0</v>
      </c>
      <c r="L25" s="338">
        <f t="shared" si="8"/>
        <v>0</v>
      </c>
      <c r="M25" s="338">
        <f t="shared" si="8"/>
        <v>0</v>
      </c>
      <c r="N25" s="338">
        <f t="shared" si="8"/>
        <v>0</v>
      </c>
      <c r="O25" s="338">
        <f t="shared" si="8"/>
        <v>0</v>
      </c>
      <c r="P25" s="338">
        <f t="shared" si="8"/>
        <v>0</v>
      </c>
      <c r="Q25" s="338">
        <f t="shared" si="8"/>
        <v>0</v>
      </c>
      <c r="R25" s="338">
        <f t="shared" si="8"/>
        <v>0</v>
      </c>
      <c r="S25" s="338">
        <f t="shared" si="8"/>
        <v>0</v>
      </c>
      <c r="T25" s="338">
        <f t="shared" si="8"/>
        <v>0</v>
      </c>
      <c r="U25" s="338">
        <f t="shared" si="8"/>
        <v>0</v>
      </c>
      <c r="V25" s="338">
        <f t="shared" si="8"/>
        <v>0</v>
      </c>
      <c r="W25" s="338">
        <f t="shared" si="8"/>
        <v>0</v>
      </c>
      <c r="X25" s="338">
        <f t="shared" si="8"/>
        <v>0</v>
      </c>
      <c r="Y25" s="338">
        <f t="shared" si="8"/>
        <v>0</v>
      </c>
      <c r="Z25" s="338">
        <f t="shared" si="8"/>
        <v>0</v>
      </c>
      <c r="AA25" s="338">
        <f t="shared" si="8"/>
        <v>0</v>
      </c>
      <c r="AB25" s="338">
        <f t="shared" si="8"/>
        <v>0</v>
      </c>
      <c r="AC25" s="339">
        <f t="shared" si="8"/>
        <v>0</v>
      </c>
      <c r="AD25" s="43"/>
      <c r="AE25" s="42"/>
      <c r="AF25" s="42"/>
      <c r="AG25" s="42"/>
      <c r="AH25" s="42"/>
      <c r="AI25" s="42"/>
      <c r="AJ25" s="42"/>
      <c r="AK25" s="42"/>
      <c r="AM25" s="53"/>
    </row>
    <row r="26" spans="1:39" ht="38.65" customHeight="1">
      <c r="A26" s="471" t="s">
        <v>323</v>
      </c>
      <c r="B26" s="471" t="s">
        <v>87</v>
      </c>
      <c r="C26" s="486" t="s">
        <v>324</v>
      </c>
      <c r="D26" s="471" t="s">
        <v>318</v>
      </c>
      <c r="E26" s="377" t="s">
        <v>306</v>
      </c>
      <c r="F26" s="377">
        <v>0</v>
      </c>
      <c r="G26" s="377">
        <v>0</v>
      </c>
      <c r="H26" s="377">
        <v>0</v>
      </c>
      <c r="I26" s="377">
        <v>0</v>
      </c>
      <c r="J26" s="377">
        <v>0</v>
      </c>
      <c r="K26" s="377">
        <v>0</v>
      </c>
      <c r="L26" s="377">
        <v>0</v>
      </c>
      <c r="M26" s="377">
        <v>0</v>
      </c>
      <c r="N26" s="377">
        <v>0</v>
      </c>
      <c r="O26" s="377">
        <v>0</v>
      </c>
      <c r="P26" s="377">
        <v>0</v>
      </c>
      <c r="Q26" s="377">
        <v>0</v>
      </c>
      <c r="R26" s="377">
        <v>0</v>
      </c>
      <c r="S26" s="377">
        <v>0</v>
      </c>
      <c r="T26" s="377">
        <v>0</v>
      </c>
      <c r="U26" s="377">
        <v>0</v>
      </c>
      <c r="V26" s="377">
        <v>0</v>
      </c>
      <c r="W26" s="377">
        <v>0</v>
      </c>
      <c r="X26" s="377">
        <v>0</v>
      </c>
      <c r="Y26" s="377">
        <v>0</v>
      </c>
      <c r="Z26" s="377">
        <v>0</v>
      </c>
      <c r="AA26" s="377">
        <v>0</v>
      </c>
      <c r="AB26" s="377">
        <v>0</v>
      </c>
      <c r="AC26" s="233">
        <v>0</v>
      </c>
      <c r="AD26" s="42"/>
      <c r="AE26" s="42"/>
      <c r="AF26" s="42"/>
      <c r="AG26" s="42"/>
      <c r="AH26" s="42"/>
      <c r="AI26" s="42"/>
      <c r="AJ26" s="42"/>
      <c r="AK26" s="42"/>
      <c r="AM26" s="53"/>
    </row>
    <row r="27" spans="1:39" ht="38.65" customHeight="1">
      <c r="A27" s="417"/>
      <c r="B27" s="417"/>
      <c r="C27" s="487"/>
      <c r="D27" s="417"/>
      <c r="E27" s="370" t="s">
        <v>304</v>
      </c>
      <c r="F27" s="370">
        <v>0</v>
      </c>
      <c r="G27" s="370">
        <v>0</v>
      </c>
      <c r="H27" s="370">
        <v>0</v>
      </c>
      <c r="I27" s="370">
        <v>0</v>
      </c>
      <c r="J27" s="370">
        <v>0</v>
      </c>
      <c r="K27" s="370">
        <v>0</v>
      </c>
      <c r="L27" s="370">
        <v>0</v>
      </c>
      <c r="M27" s="370">
        <v>0</v>
      </c>
      <c r="N27" s="370">
        <v>0</v>
      </c>
      <c r="O27" s="370">
        <v>0</v>
      </c>
      <c r="P27" s="370">
        <v>0</v>
      </c>
      <c r="Q27" s="370">
        <v>0</v>
      </c>
      <c r="R27" s="370">
        <v>0</v>
      </c>
      <c r="S27" s="370">
        <v>0</v>
      </c>
      <c r="T27" s="370">
        <v>0</v>
      </c>
      <c r="U27" s="370">
        <v>0</v>
      </c>
      <c r="V27" s="370">
        <v>0</v>
      </c>
      <c r="W27" s="370">
        <v>0</v>
      </c>
      <c r="X27" s="370">
        <v>0</v>
      </c>
      <c r="Y27" s="370">
        <v>0</v>
      </c>
      <c r="Z27" s="370">
        <v>0</v>
      </c>
      <c r="AA27" s="370">
        <v>0</v>
      </c>
      <c r="AB27" s="370">
        <v>0</v>
      </c>
      <c r="AC27" s="234">
        <v>0</v>
      </c>
      <c r="AD27" s="42"/>
      <c r="AE27" s="42"/>
      <c r="AF27" s="42"/>
      <c r="AG27" s="42"/>
      <c r="AH27" s="42"/>
      <c r="AI27" s="42"/>
      <c r="AJ27" s="42"/>
      <c r="AK27" s="42"/>
      <c r="AM27" s="53"/>
    </row>
    <row r="28" spans="1:39" ht="38.65" customHeight="1" thickBot="1">
      <c r="A28" s="472"/>
      <c r="B28" s="472"/>
      <c r="C28" s="488"/>
      <c r="D28" s="472"/>
      <c r="E28" s="378" t="s">
        <v>305</v>
      </c>
      <c r="F28" s="378">
        <v>0</v>
      </c>
      <c r="G28" s="378">
        <v>0</v>
      </c>
      <c r="H28" s="378">
        <v>0</v>
      </c>
      <c r="I28" s="378">
        <v>0</v>
      </c>
      <c r="J28" s="378">
        <v>0</v>
      </c>
      <c r="K28" s="378">
        <v>0</v>
      </c>
      <c r="L28" s="378">
        <v>0</v>
      </c>
      <c r="M28" s="378">
        <v>0</v>
      </c>
      <c r="N28" s="378">
        <v>0</v>
      </c>
      <c r="O28" s="378">
        <v>0</v>
      </c>
      <c r="P28" s="378">
        <v>0</v>
      </c>
      <c r="Q28" s="378">
        <v>0</v>
      </c>
      <c r="R28" s="378">
        <v>0</v>
      </c>
      <c r="S28" s="378">
        <v>0</v>
      </c>
      <c r="T28" s="378">
        <v>0</v>
      </c>
      <c r="U28" s="378">
        <v>0</v>
      </c>
      <c r="V28" s="378">
        <v>0</v>
      </c>
      <c r="W28" s="378">
        <v>0</v>
      </c>
      <c r="X28" s="378">
        <v>0</v>
      </c>
      <c r="Y28" s="378">
        <v>0</v>
      </c>
      <c r="Z28" s="378">
        <v>0</v>
      </c>
      <c r="AA28" s="378">
        <v>0</v>
      </c>
      <c r="AB28" s="378">
        <v>0</v>
      </c>
      <c r="AC28" s="235">
        <v>0</v>
      </c>
      <c r="AD28" s="42"/>
      <c r="AE28" s="42"/>
      <c r="AF28" s="42"/>
      <c r="AG28" s="42"/>
      <c r="AH28" s="42"/>
      <c r="AI28" s="42"/>
      <c r="AJ28" s="42"/>
      <c r="AK28" s="42"/>
      <c r="AM28" s="53"/>
    </row>
    <row r="29" spans="1:39" ht="36" customHeight="1">
      <c r="A29" s="507" t="s">
        <v>323</v>
      </c>
      <c r="B29" s="471" t="s">
        <v>87</v>
      </c>
      <c r="C29" s="471" t="s">
        <v>325</v>
      </c>
      <c r="D29" s="483" t="s">
        <v>318</v>
      </c>
      <c r="E29" s="316" t="s">
        <v>306</v>
      </c>
      <c r="F29" s="319">
        <f>IF(F17=1,1,0)</f>
        <v>0</v>
      </c>
      <c r="G29" s="319">
        <f t="shared" ref="G29:AC31" si="9">IF(G17=1,1,0)</f>
        <v>0</v>
      </c>
      <c r="H29" s="319">
        <f t="shared" si="9"/>
        <v>0</v>
      </c>
      <c r="I29" s="319">
        <f t="shared" si="9"/>
        <v>0</v>
      </c>
      <c r="J29" s="319">
        <f t="shared" si="9"/>
        <v>0</v>
      </c>
      <c r="K29" s="319">
        <f t="shared" si="9"/>
        <v>0</v>
      </c>
      <c r="L29" s="319">
        <f t="shared" si="9"/>
        <v>1</v>
      </c>
      <c r="M29" s="319">
        <f t="shared" si="9"/>
        <v>1</v>
      </c>
      <c r="N29" s="319">
        <f t="shared" si="9"/>
        <v>1</v>
      </c>
      <c r="O29" s="319">
        <f t="shared" si="9"/>
        <v>1</v>
      </c>
      <c r="P29" s="319">
        <f t="shared" si="9"/>
        <v>1</v>
      </c>
      <c r="Q29" s="319">
        <f t="shared" si="9"/>
        <v>1</v>
      </c>
      <c r="R29" s="319">
        <f t="shared" si="9"/>
        <v>1</v>
      </c>
      <c r="S29" s="319">
        <f t="shared" si="9"/>
        <v>1</v>
      </c>
      <c r="T29" s="319">
        <f t="shared" si="9"/>
        <v>1</v>
      </c>
      <c r="U29" s="319">
        <f t="shared" si="9"/>
        <v>1</v>
      </c>
      <c r="V29" s="319">
        <f t="shared" si="9"/>
        <v>1</v>
      </c>
      <c r="W29" s="319">
        <f t="shared" si="9"/>
        <v>0</v>
      </c>
      <c r="X29" s="319">
        <f t="shared" si="9"/>
        <v>0</v>
      </c>
      <c r="Y29" s="319">
        <f t="shared" si="9"/>
        <v>0</v>
      </c>
      <c r="Z29" s="319">
        <f t="shared" si="9"/>
        <v>0</v>
      </c>
      <c r="AA29" s="319">
        <f t="shared" si="9"/>
        <v>0</v>
      </c>
      <c r="AB29" s="319">
        <f t="shared" si="9"/>
        <v>0</v>
      </c>
      <c r="AC29" s="320">
        <f t="shared" si="9"/>
        <v>0</v>
      </c>
      <c r="AD29" s="43"/>
      <c r="AE29" s="42"/>
      <c r="AF29" s="42"/>
      <c r="AG29" s="42"/>
      <c r="AH29" s="42"/>
      <c r="AI29" s="42"/>
      <c r="AJ29" s="42"/>
      <c r="AK29" s="42"/>
      <c r="AM29" s="53"/>
    </row>
    <row r="30" spans="1:39" ht="36" customHeight="1">
      <c r="A30" s="508"/>
      <c r="B30" s="417"/>
      <c r="C30" s="417"/>
      <c r="D30" s="484"/>
      <c r="E30" s="317" t="s">
        <v>304</v>
      </c>
      <c r="F30" s="321">
        <f t="shared" ref="F30:U31" si="10">IF(F18=1,1,0)</f>
        <v>0</v>
      </c>
      <c r="G30" s="321">
        <f t="shared" si="10"/>
        <v>0</v>
      </c>
      <c r="H30" s="321">
        <f t="shared" si="10"/>
        <v>0</v>
      </c>
      <c r="I30" s="321">
        <f t="shared" si="10"/>
        <v>0</v>
      </c>
      <c r="J30" s="321">
        <f t="shared" si="10"/>
        <v>0</v>
      </c>
      <c r="K30" s="321">
        <f t="shared" si="10"/>
        <v>0</v>
      </c>
      <c r="L30" s="321">
        <f t="shared" si="10"/>
        <v>0</v>
      </c>
      <c r="M30" s="321">
        <f t="shared" si="10"/>
        <v>1</v>
      </c>
      <c r="N30" s="321">
        <f t="shared" si="10"/>
        <v>1</v>
      </c>
      <c r="O30" s="321">
        <f t="shared" si="10"/>
        <v>1</v>
      </c>
      <c r="P30" s="321">
        <f t="shared" si="10"/>
        <v>1</v>
      </c>
      <c r="Q30" s="321">
        <f t="shared" si="10"/>
        <v>1</v>
      </c>
      <c r="R30" s="321">
        <f t="shared" si="10"/>
        <v>1</v>
      </c>
      <c r="S30" s="321">
        <f t="shared" si="10"/>
        <v>1</v>
      </c>
      <c r="T30" s="321">
        <f t="shared" si="10"/>
        <v>1</v>
      </c>
      <c r="U30" s="321">
        <f t="shared" si="10"/>
        <v>0</v>
      </c>
      <c r="V30" s="321">
        <f t="shared" si="9"/>
        <v>0</v>
      </c>
      <c r="W30" s="321">
        <f t="shared" si="9"/>
        <v>0</v>
      </c>
      <c r="X30" s="321">
        <f t="shared" si="9"/>
        <v>0</v>
      </c>
      <c r="Y30" s="321">
        <f t="shared" si="9"/>
        <v>0</v>
      </c>
      <c r="Z30" s="321">
        <f t="shared" si="9"/>
        <v>0</v>
      </c>
      <c r="AA30" s="321">
        <f t="shared" si="9"/>
        <v>0</v>
      </c>
      <c r="AB30" s="321">
        <f t="shared" si="9"/>
        <v>0</v>
      </c>
      <c r="AC30" s="322">
        <f t="shared" si="9"/>
        <v>0</v>
      </c>
      <c r="AD30" s="43"/>
      <c r="AE30" s="42"/>
      <c r="AF30" s="42"/>
      <c r="AG30" s="42"/>
      <c r="AH30" s="42"/>
      <c r="AI30" s="42"/>
      <c r="AJ30" s="42"/>
      <c r="AK30" s="42"/>
      <c r="AM30" s="53"/>
    </row>
    <row r="31" spans="1:39" ht="36" customHeight="1">
      <c r="A31" s="509"/>
      <c r="B31" s="472"/>
      <c r="C31" s="472"/>
      <c r="D31" s="485"/>
      <c r="E31" s="327" t="s">
        <v>305</v>
      </c>
      <c r="F31" s="325">
        <f t="shared" si="10"/>
        <v>0</v>
      </c>
      <c r="G31" s="325">
        <f t="shared" si="9"/>
        <v>0</v>
      </c>
      <c r="H31" s="325">
        <f t="shared" si="9"/>
        <v>0</v>
      </c>
      <c r="I31" s="325">
        <f t="shared" si="9"/>
        <v>0</v>
      </c>
      <c r="J31" s="325">
        <f t="shared" si="9"/>
        <v>0</v>
      </c>
      <c r="K31" s="325">
        <f t="shared" si="9"/>
        <v>0</v>
      </c>
      <c r="L31" s="325">
        <f t="shared" si="9"/>
        <v>0</v>
      </c>
      <c r="M31" s="325">
        <f t="shared" si="9"/>
        <v>0</v>
      </c>
      <c r="N31" s="325">
        <f t="shared" si="9"/>
        <v>0</v>
      </c>
      <c r="O31" s="325">
        <f t="shared" si="9"/>
        <v>0</v>
      </c>
      <c r="P31" s="325">
        <f t="shared" si="9"/>
        <v>0</v>
      </c>
      <c r="Q31" s="325">
        <f t="shared" si="9"/>
        <v>0</v>
      </c>
      <c r="R31" s="325">
        <f t="shared" si="9"/>
        <v>0</v>
      </c>
      <c r="S31" s="325">
        <f t="shared" si="9"/>
        <v>0</v>
      </c>
      <c r="T31" s="325">
        <f t="shared" si="9"/>
        <v>0</v>
      </c>
      <c r="U31" s="325">
        <f t="shared" si="9"/>
        <v>0</v>
      </c>
      <c r="V31" s="325">
        <f t="shared" si="9"/>
        <v>0</v>
      </c>
      <c r="W31" s="325">
        <f t="shared" si="9"/>
        <v>0</v>
      </c>
      <c r="X31" s="325">
        <f t="shared" si="9"/>
        <v>0</v>
      </c>
      <c r="Y31" s="325">
        <f t="shared" si="9"/>
        <v>0</v>
      </c>
      <c r="Z31" s="325">
        <f t="shared" si="9"/>
        <v>0</v>
      </c>
      <c r="AA31" s="325">
        <f t="shared" si="9"/>
        <v>0</v>
      </c>
      <c r="AB31" s="325">
        <f t="shared" si="9"/>
        <v>0</v>
      </c>
      <c r="AC31" s="326">
        <f t="shared" si="9"/>
        <v>0</v>
      </c>
      <c r="AD31" s="43"/>
      <c r="AE31" s="42"/>
      <c r="AF31" s="42"/>
      <c r="AG31" s="42"/>
      <c r="AH31" s="42"/>
      <c r="AI31" s="42"/>
      <c r="AJ31" s="42"/>
      <c r="AK31" s="42"/>
      <c r="AM31" s="53"/>
    </row>
    <row r="32" spans="1:39" ht="36" customHeight="1">
      <c r="A32" s="507" t="s">
        <v>323</v>
      </c>
      <c r="B32" s="471" t="s">
        <v>87</v>
      </c>
      <c r="C32" s="471" t="s">
        <v>326</v>
      </c>
      <c r="D32" s="478" t="s">
        <v>318</v>
      </c>
      <c r="E32" s="354" t="s">
        <v>306</v>
      </c>
      <c r="F32" s="355">
        <f>IF(F17=0,1,0.25)</f>
        <v>1</v>
      </c>
      <c r="G32" s="355">
        <f t="shared" ref="G32:AC34" si="11">IF(G17=0,1,0.25)</f>
        <v>1</v>
      </c>
      <c r="H32" s="355">
        <f t="shared" si="11"/>
        <v>1</v>
      </c>
      <c r="I32" s="355">
        <f t="shared" si="11"/>
        <v>1</v>
      </c>
      <c r="J32" s="355">
        <f t="shared" si="11"/>
        <v>1</v>
      </c>
      <c r="K32" s="355">
        <f t="shared" si="11"/>
        <v>1</v>
      </c>
      <c r="L32" s="355">
        <f t="shared" si="11"/>
        <v>0.25</v>
      </c>
      <c r="M32" s="355">
        <f t="shared" si="11"/>
        <v>0.25</v>
      </c>
      <c r="N32" s="355">
        <f t="shared" si="11"/>
        <v>0.25</v>
      </c>
      <c r="O32" s="355">
        <f t="shared" si="11"/>
        <v>0.25</v>
      </c>
      <c r="P32" s="355">
        <f t="shared" si="11"/>
        <v>0.25</v>
      </c>
      <c r="Q32" s="355">
        <f t="shared" si="11"/>
        <v>0.25</v>
      </c>
      <c r="R32" s="355">
        <f t="shared" si="11"/>
        <v>0.25</v>
      </c>
      <c r="S32" s="355">
        <f t="shared" si="11"/>
        <v>0.25</v>
      </c>
      <c r="T32" s="355">
        <f t="shared" si="11"/>
        <v>0.25</v>
      </c>
      <c r="U32" s="355">
        <f t="shared" si="11"/>
        <v>0.25</v>
      </c>
      <c r="V32" s="355">
        <f t="shared" si="11"/>
        <v>0.25</v>
      </c>
      <c r="W32" s="355">
        <f t="shared" si="11"/>
        <v>1</v>
      </c>
      <c r="X32" s="355">
        <f t="shared" si="11"/>
        <v>1</v>
      </c>
      <c r="Y32" s="355">
        <f t="shared" si="11"/>
        <v>1</v>
      </c>
      <c r="Z32" s="355">
        <f t="shared" si="11"/>
        <v>1</v>
      </c>
      <c r="AA32" s="355">
        <f t="shared" si="11"/>
        <v>1</v>
      </c>
      <c r="AB32" s="355">
        <f t="shared" si="11"/>
        <v>1</v>
      </c>
      <c r="AC32" s="356">
        <f t="shared" si="11"/>
        <v>1</v>
      </c>
      <c r="AD32" s="43"/>
      <c r="AE32" s="42"/>
      <c r="AF32" s="42"/>
      <c r="AG32" s="42"/>
      <c r="AH32" s="42"/>
      <c r="AI32" s="42"/>
      <c r="AJ32" s="42"/>
      <c r="AK32" s="42"/>
      <c r="AM32" s="53"/>
    </row>
    <row r="33" spans="1:39" ht="36" customHeight="1">
      <c r="A33" s="508"/>
      <c r="B33" s="417"/>
      <c r="C33" s="417"/>
      <c r="D33" s="479"/>
      <c r="E33" s="357" t="s">
        <v>304</v>
      </c>
      <c r="F33" s="350">
        <f t="shared" ref="F33:U34" si="12">IF(F18=0,1,0.25)</f>
        <v>1</v>
      </c>
      <c r="G33" s="350">
        <f t="shared" si="12"/>
        <v>1</v>
      </c>
      <c r="H33" s="350">
        <f t="shared" si="12"/>
        <v>1</v>
      </c>
      <c r="I33" s="350">
        <f t="shared" si="12"/>
        <v>1</v>
      </c>
      <c r="J33" s="350">
        <f t="shared" si="12"/>
        <v>1</v>
      </c>
      <c r="K33" s="350">
        <f t="shared" si="12"/>
        <v>1</v>
      </c>
      <c r="L33" s="350">
        <f t="shared" si="12"/>
        <v>1</v>
      </c>
      <c r="M33" s="350">
        <f t="shared" si="12"/>
        <v>0.25</v>
      </c>
      <c r="N33" s="350">
        <f t="shared" si="12"/>
        <v>0.25</v>
      </c>
      <c r="O33" s="350">
        <f t="shared" si="12"/>
        <v>0.25</v>
      </c>
      <c r="P33" s="350">
        <f t="shared" si="12"/>
        <v>0.25</v>
      </c>
      <c r="Q33" s="350">
        <f t="shared" si="12"/>
        <v>0.25</v>
      </c>
      <c r="R33" s="350">
        <f t="shared" si="12"/>
        <v>0.25</v>
      </c>
      <c r="S33" s="350">
        <f t="shared" si="12"/>
        <v>0.25</v>
      </c>
      <c r="T33" s="350">
        <f t="shared" si="12"/>
        <v>0.25</v>
      </c>
      <c r="U33" s="350">
        <f t="shared" si="12"/>
        <v>1</v>
      </c>
      <c r="V33" s="350">
        <f t="shared" si="11"/>
        <v>1</v>
      </c>
      <c r="W33" s="350">
        <f t="shared" si="11"/>
        <v>1</v>
      </c>
      <c r="X33" s="350">
        <f t="shared" si="11"/>
        <v>1</v>
      </c>
      <c r="Y33" s="350">
        <f t="shared" si="11"/>
        <v>1</v>
      </c>
      <c r="Z33" s="350">
        <f t="shared" si="11"/>
        <v>1</v>
      </c>
      <c r="AA33" s="350">
        <f t="shared" si="11"/>
        <v>1</v>
      </c>
      <c r="AB33" s="350">
        <f t="shared" si="11"/>
        <v>1</v>
      </c>
      <c r="AC33" s="358">
        <f t="shared" si="11"/>
        <v>1</v>
      </c>
      <c r="AD33" s="43"/>
      <c r="AE33" s="42"/>
      <c r="AF33" s="42"/>
      <c r="AG33" s="42"/>
      <c r="AH33" s="42"/>
      <c r="AI33" s="42"/>
      <c r="AJ33" s="42"/>
      <c r="AK33" s="42"/>
      <c r="AM33" s="53"/>
    </row>
    <row r="34" spans="1:39" ht="36" customHeight="1">
      <c r="A34" s="509"/>
      <c r="B34" s="472"/>
      <c r="C34" s="472"/>
      <c r="D34" s="480"/>
      <c r="E34" s="359" t="s">
        <v>305</v>
      </c>
      <c r="F34" s="360">
        <f t="shared" si="12"/>
        <v>1</v>
      </c>
      <c r="G34" s="360">
        <f t="shared" si="11"/>
        <v>1</v>
      </c>
      <c r="H34" s="360">
        <f t="shared" si="11"/>
        <v>1</v>
      </c>
      <c r="I34" s="360">
        <f t="shared" si="11"/>
        <v>1</v>
      </c>
      <c r="J34" s="360">
        <f t="shared" si="11"/>
        <v>1</v>
      </c>
      <c r="K34" s="360">
        <f t="shared" si="11"/>
        <v>1</v>
      </c>
      <c r="L34" s="360">
        <f t="shared" si="11"/>
        <v>1</v>
      </c>
      <c r="M34" s="360">
        <f t="shared" si="11"/>
        <v>1</v>
      </c>
      <c r="N34" s="360">
        <f t="shared" si="11"/>
        <v>1</v>
      </c>
      <c r="O34" s="360">
        <f t="shared" si="11"/>
        <v>1</v>
      </c>
      <c r="P34" s="360">
        <f t="shared" si="11"/>
        <v>1</v>
      </c>
      <c r="Q34" s="360">
        <f t="shared" si="11"/>
        <v>1</v>
      </c>
      <c r="R34" s="360">
        <f t="shared" si="11"/>
        <v>1</v>
      </c>
      <c r="S34" s="360">
        <f t="shared" si="11"/>
        <v>1</v>
      </c>
      <c r="T34" s="360">
        <f t="shared" si="11"/>
        <v>1</v>
      </c>
      <c r="U34" s="360">
        <f t="shared" si="11"/>
        <v>1</v>
      </c>
      <c r="V34" s="360">
        <f t="shared" si="11"/>
        <v>1</v>
      </c>
      <c r="W34" s="360">
        <f t="shared" si="11"/>
        <v>1</v>
      </c>
      <c r="X34" s="360">
        <f t="shared" si="11"/>
        <v>1</v>
      </c>
      <c r="Y34" s="360">
        <f t="shared" si="11"/>
        <v>1</v>
      </c>
      <c r="Z34" s="360">
        <f t="shared" si="11"/>
        <v>1</v>
      </c>
      <c r="AA34" s="360">
        <f t="shared" si="11"/>
        <v>1</v>
      </c>
      <c r="AB34" s="360">
        <f t="shared" si="11"/>
        <v>1</v>
      </c>
      <c r="AC34" s="361">
        <f t="shared" si="11"/>
        <v>1</v>
      </c>
      <c r="AD34" s="43"/>
      <c r="AE34" s="42"/>
      <c r="AF34" s="42"/>
      <c r="AG34" s="42"/>
      <c r="AH34" s="42"/>
      <c r="AI34" s="42"/>
      <c r="AJ34" s="42"/>
      <c r="AK34" s="42"/>
      <c r="AM34" s="53"/>
    </row>
    <row r="35" spans="1:39" ht="36" customHeight="1">
      <c r="A35" s="507" t="s">
        <v>323</v>
      </c>
      <c r="B35" s="471" t="s">
        <v>87</v>
      </c>
      <c r="C35" s="471" t="s">
        <v>327</v>
      </c>
      <c r="D35" s="483" t="s">
        <v>318</v>
      </c>
      <c r="E35" s="351" t="s">
        <v>306</v>
      </c>
      <c r="F35" s="352">
        <f>IF(F29=1,Thermostat!$B$3,Thermostat!$B$4)</f>
        <v>60</v>
      </c>
      <c r="G35" s="352">
        <f>IF(G29=1,Thermostat!$B$3,Thermostat!$B$4)</f>
        <v>60</v>
      </c>
      <c r="H35" s="352">
        <f>IF(H29=1,Thermostat!$B$3,Thermostat!$B$4)</f>
        <v>60</v>
      </c>
      <c r="I35" s="352">
        <f>IF(I29=1,Thermostat!$B$3,Thermostat!$B$4)</f>
        <v>60</v>
      </c>
      <c r="J35" s="352">
        <f>IF(J29=1,Thermostat!$B$3,Thermostat!$B$4)</f>
        <v>60</v>
      </c>
      <c r="K35" s="352">
        <f>IF(K29=1,Thermostat!$B$3,Thermostat!$B$4)</f>
        <v>60</v>
      </c>
      <c r="L35" s="352">
        <f>IF(L29=1,Thermostat!$B$3,Thermostat!$B$4)</f>
        <v>70</v>
      </c>
      <c r="M35" s="352">
        <f>IF(M29=1,Thermostat!$B$3,Thermostat!$B$4)</f>
        <v>70</v>
      </c>
      <c r="N35" s="352">
        <f>IF(N29=1,Thermostat!$B$3,Thermostat!$B$4)</f>
        <v>70</v>
      </c>
      <c r="O35" s="352">
        <f>IF(O29=1,Thermostat!$B$3,Thermostat!$B$4)</f>
        <v>70</v>
      </c>
      <c r="P35" s="352">
        <f>IF(P29=1,Thermostat!$B$3,Thermostat!$B$4)</f>
        <v>70</v>
      </c>
      <c r="Q35" s="352">
        <f>IF(Q29=1,Thermostat!$B$3,Thermostat!$B$4)</f>
        <v>70</v>
      </c>
      <c r="R35" s="352">
        <f>IF(R29=1,Thermostat!$B$3,Thermostat!$B$4)</f>
        <v>70</v>
      </c>
      <c r="S35" s="352">
        <f>IF(S29=1,Thermostat!$B$3,Thermostat!$B$4)</f>
        <v>70</v>
      </c>
      <c r="T35" s="352">
        <f>IF(T29=1,Thermostat!$B$3,Thermostat!$B$4)</f>
        <v>70</v>
      </c>
      <c r="U35" s="352">
        <f>IF(U29=1,Thermostat!$B$3,Thermostat!$B$4)</f>
        <v>70</v>
      </c>
      <c r="V35" s="352">
        <f>IF(V29=1,Thermostat!$B$3,Thermostat!$B$4)</f>
        <v>70</v>
      </c>
      <c r="W35" s="352">
        <f>IF(W29=1,Thermostat!$B$3,Thermostat!$B$4)</f>
        <v>60</v>
      </c>
      <c r="X35" s="352">
        <f>IF(X29=1,Thermostat!$B$3,Thermostat!$B$4)</f>
        <v>60</v>
      </c>
      <c r="Y35" s="352">
        <f>IF(Y29=1,Thermostat!$B$3,Thermostat!$B$4)</f>
        <v>60</v>
      </c>
      <c r="Z35" s="352">
        <f>IF(Z29=1,Thermostat!$B$3,Thermostat!$B$4)</f>
        <v>60</v>
      </c>
      <c r="AA35" s="352">
        <f>IF(AA29=1,Thermostat!$B$3,Thermostat!$B$4)</f>
        <v>60</v>
      </c>
      <c r="AB35" s="352">
        <f>IF(AB29=1,Thermostat!$B$3,Thermostat!$B$4)</f>
        <v>60</v>
      </c>
      <c r="AC35" s="353">
        <f>IF(AC29=1,Thermostat!$B$3,Thermostat!$B$4)</f>
        <v>60</v>
      </c>
      <c r="AD35" s="42"/>
      <c r="AE35" s="42"/>
      <c r="AF35" s="42"/>
      <c r="AG35" s="42"/>
      <c r="AH35" s="42"/>
      <c r="AI35" s="42"/>
      <c r="AJ35" s="42"/>
      <c r="AK35" s="42"/>
      <c r="AM35" s="53"/>
    </row>
    <row r="36" spans="1:39" ht="36" customHeight="1">
      <c r="A36" s="508"/>
      <c r="B36" s="417"/>
      <c r="C36" s="417"/>
      <c r="D36" s="484"/>
      <c r="E36" s="317" t="s">
        <v>304</v>
      </c>
      <c r="F36" s="321">
        <f>IF(F30=1,Thermostat!$B$3,Thermostat!$B$4)</f>
        <v>60</v>
      </c>
      <c r="G36" s="321">
        <f>IF(G30=1,Thermostat!$B$3,Thermostat!$B$4)</f>
        <v>60</v>
      </c>
      <c r="H36" s="321">
        <f>IF(H30=1,Thermostat!$B$3,Thermostat!$B$4)</f>
        <v>60</v>
      </c>
      <c r="I36" s="321">
        <f>IF(I30=1,Thermostat!$B$3,Thermostat!$B$4)</f>
        <v>60</v>
      </c>
      <c r="J36" s="321">
        <f>IF(J30=1,Thermostat!$B$3,Thermostat!$B$4)</f>
        <v>60</v>
      </c>
      <c r="K36" s="321">
        <f>IF(K30=1,Thermostat!$B$3,Thermostat!$B$4)</f>
        <v>60</v>
      </c>
      <c r="L36" s="321">
        <f>IF(L30=1,Thermostat!$B$3,Thermostat!$B$4)</f>
        <v>60</v>
      </c>
      <c r="M36" s="321">
        <f>IF(M30=1,Thermostat!$B$3,Thermostat!$B$4)</f>
        <v>70</v>
      </c>
      <c r="N36" s="321">
        <f>IF(N30=1,Thermostat!$B$3,Thermostat!$B$4)</f>
        <v>70</v>
      </c>
      <c r="O36" s="321">
        <f>IF(O30=1,Thermostat!$B$3,Thermostat!$B$4)</f>
        <v>70</v>
      </c>
      <c r="P36" s="321">
        <f>IF(P30=1,Thermostat!$B$3,Thermostat!$B$4)</f>
        <v>70</v>
      </c>
      <c r="Q36" s="321">
        <f>IF(Q30=1,Thermostat!$B$3,Thermostat!$B$4)</f>
        <v>70</v>
      </c>
      <c r="R36" s="321">
        <f>IF(R30=1,Thermostat!$B$3,Thermostat!$B$4)</f>
        <v>70</v>
      </c>
      <c r="S36" s="321">
        <f>IF(S30=1,Thermostat!$B$3,Thermostat!$B$4)</f>
        <v>70</v>
      </c>
      <c r="T36" s="321">
        <f>IF(T30=1,Thermostat!$B$3,Thermostat!$B$4)</f>
        <v>70</v>
      </c>
      <c r="U36" s="321">
        <f>IF(U30=1,Thermostat!$B$3,Thermostat!$B$4)</f>
        <v>60</v>
      </c>
      <c r="V36" s="321">
        <f>IF(V30=1,Thermostat!$B$3,Thermostat!$B$4)</f>
        <v>60</v>
      </c>
      <c r="W36" s="321">
        <f>IF(W30=1,Thermostat!$B$3,Thermostat!$B$4)</f>
        <v>60</v>
      </c>
      <c r="X36" s="321">
        <f>IF(X30=1,Thermostat!$B$3,Thermostat!$B$4)</f>
        <v>60</v>
      </c>
      <c r="Y36" s="321">
        <f>IF(Y30=1,Thermostat!$B$3,Thermostat!$B$4)</f>
        <v>60</v>
      </c>
      <c r="Z36" s="321">
        <f>IF(Z30=1,Thermostat!$B$3,Thermostat!$B$4)</f>
        <v>60</v>
      </c>
      <c r="AA36" s="321">
        <f>IF(AA30=1,Thermostat!$B$3,Thermostat!$B$4)</f>
        <v>60</v>
      </c>
      <c r="AB36" s="321">
        <f>IF(AB30=1,Thermostat!$B$3,Thermostat!$B$4)</f>
        <v>60</v>
      </c>
      <c r="AC36" s="322">
        <f>IF(AC30=1,Thermostat!$B$3,Thermostat!$B$4)</f>
        <v>60</v>
      </c>
      <c r="AD36" s="42"/>
      <c r="AE36" s="42"/>
      <c r="AF36" s="42"/>
      <c r="AG36" s="42"/>
      <c r="AH36" s="42"/>
      <c r="AI36" s="42"/>
      <c r="AJ36" s="42"/>
      <c r="AK36" s="42"/>
      <c r="AM36" s="53"/>
    </row>
    <row r="37" spans="1:39" ht="36" customHeight="1" thickBot="1">
      <c r="A37" s="509"/>
      <c r="B37" s="472"/>
      <c r="C37" s="472"/>
      <c r="D37" s="485"/>
      <c r="E37" s="318" t="s">
        <v>305</v>
      </c>
      <c r="F37" s="323">
        <f>IF(F31=1,Thermostat!$B$3,Thermostat!$B$4)</f>
        <v>60</v>
      </c>
      <c r="G37" s="323">
        <f>IF(G31=1,Thermostat!$B$3,Thermostat!$B$4)</f>
        <v>60</v>
      </c>
      <c r="H37" s="323">
        <f>IF(H31=1,Thermostat!$B$3,Thermostat!$B$4)</f>
        <v>60</v>
      </c>
      <c r="I37" s="323">
        <f>IF(I31=1,Thermostat!$B$3,Thermostat!$B$4)</f>
        <v>60</v>
      </c>
      <c r="J37" s="323">
        <f>IF(J31=1,Thermostat!$B$3,Thermostat!$B$4)</f>
        <v>60</v>
      </c>
      <c r="K37" s="323">
        <f>IF(K31=1,Thermostat!$B$3,Thermostat!$B$4)</f>
        <v>60</v>
      </c>
      <c r="L37" s="323">
        <f>IF(L31=1,Thermostat!$B$3,Thermostat!$B$4)</f>
        <v>60</v>
      </c>
      <c r="M37" s="323">
        <f>IF(M31=1,Thermostat!$B$3,Thermostat!$B$4)</f>
        <v>60</v>
      </c>
      <c r="N37" s="323">
        <f>IF(N31=1,Thermostat!$B$3,Thermostat!$B$4)</f>
        <v>60</v>
      </c>
      <c r="O37" s="323">
        <f>IF(O31=1,Thermostat!$B$3,Thermostat!$B$4)</f>
        <v>60</v>
      </c>
      <c r="P37" s="323">
        <f>IF(P31=1,Thermostat!$B$3,Thermostat!$B$4)</f>
        <v>60</v>
      </c>
      <c r="Q37" s="323">
        <f>IF(Q31=1,Thermostat!$B$3,Thermostat!$B$4)</f>
        <v>60</v>
      </c>
      <c r="R37" s="323">
        <f>IF(R31=1,Thermostat!$B$3,Thermostat!$B$4)</f>
        <v>60</v>
      </c>
      <c r="S37" s="323">
        <f>IF(S31=1,Thermostat!$B$3,Thermostat!$B$4)</f>
        <v>60</v>
      </c>
      <c r="T37" s="323">
        <f>IF(T31=1,Thermostat!$B$3,Thermostat!$B$4)</f>
        <v>60</v>
      </c>
      <c r="U37" s="323">
        <f>IF(U31=1,Thermostat!$B$3,Thermostat!$B$4)</f>
        <v>60</v>
      </c>
      <c r="V37" s="323">
        <f>IF(V31=1,Thermostat!$B$3,Thermostat!$B$4)</f>
        <v>60</v>
      </c>
      <c r="W37" s="323">
        <f>IF(W31=1,Thermostat!$B$3,Thermostat!$B$4)</f>
        <v>60</v>
      </c>
      <c r="X37" s="323">
        <f>IF(X31=1,Thermostat!$B$3,Thermostat!$B$4)</f>
        <v>60</v>
      </c>
      <c r="Y37" s="323">
        <f>IF(Y31=1,Thermostat!$B$3,Thermostat!$B$4)</f>
        <v>60</v>
      </c>
      <c r="Z37" s="323">
        <f>IF(Z31=1,Thermostat!$B$3,Thermostat!$B$4)</f>
        <v>60</v>
      </c>
      <c r="AA37" s="323">
        <f>IF(AA31=1,Thermostat!$B$3,Thermostat!$B$4)</f>
        <v>60</v>
      </c>
      <c r="AB37" s="323">
        <f>IF(AB31=1,Thermostat!$B$3,Thermostat!$B$4)</f>
        <v>60</v>
      </c>
      <c r="AC37" s="324">
        <f>IF(AC31=1,Thermostat!$B$3,Thermostat!$B$4)</f>
        <v>60</v>
      </c>
      <c r="AD37" s="42"/>
      <c r="AE37" s="42"/>
      <c r="AF37" s="42"/>
      <c r="AG37" s="42"/>
      <c r="AH37" s="42"/>
      <c r="AI37" s="42"/>
      <c r="AJ37" s="42"/>
      <c r="AK37" s="42"/>
      <c r="AM37" s="53"/>
    </row>
    <row r="38" spans="1:39" ht="36" customHeight="1">
      <c r="A38" s="507" t="s">
        <v>323</v>
      </c>
      <c r="B38" s="471" t="s">
        <v>87</v>
      </c>
      <c r="C38" s="471" t="s">
        <v>328</v>
      </c>
      <c r="D38" s="483" t="s">
        <v>318</v>
      </c>
      <c r="E38" s="316" t="s">
        <v>306</v>
      </c>
      <c r="F38" s="319">
        <f>IF(F29=1,Thermostat!$B$5,Thermostat!$B$6)</f>
        <v>85</v>
      </c>
      <c r="G38" s="319">
        <f>IF(G29=1,Thermostat!$B$5,Thermostat!$B$6)</f>
        <v>85</v>
      </c>
      <c r="H38" s="319">
        <f>IF(H29=1,Thermostat!$B$5,Thermostat!$B$6)</f>
        <v>85</v>
      </c>
      <c r="I38" s="319">
        <f>IF(I29=1,Thermostat!$B$5,Thermostat!$B$6)</f>
        <v>85</v>
      </c>
      <c r="J38" s="319">
        <f>IF(J29=1,Thermostat!$B$5,Thermostat!$B$6)</f>
        <v>85</v>
      </c>
      <c r="K38" s="319">
        <f>IF(K29=1,Thermostat!$B$5,Thermostat!$B$6)</f>
        <v>85</v>
      </c>
      <c r="L38" s="319">
        <f>IF(L29=1,Thermostat!$B$5,Thermostat!$B$6)</f>
        <v>75</v>
      </c>
      <c r="M38" s="319">
        <f>IF(M29=1,Thermostat!$B$5,Thermostat!$B$6)</f>
        <v>75</v>
      </c>
      <c r="N38" s="319">
        <f>IF(N29=1,Thermostat!$B$5,Thermostat!$B$6)</f>
        <v>75</v>
      </c>
      <c r="O38" s="319">
        <f>IF(O29=1,Thermostat!$B$5,Thermostat!$B$6)</f>
        <v>75</v>
      </c>
      <c r="P38" s="319">
        <f>IF(P29=1,Thermostat!$B$5,Thermostat!$B$6)</f>
        <v>75</v>
      </c>
      <c r="Q38" s="319">
        <f>IF(Q29=1,Thermostat!$B$5,Thermostat!$B$6)</f>
        <v>75</v>
      </c>
      <c r="R38" s="319">
        <f>IF(R29=1,Thermostat!$B$5,Thermostat!$B$6)</f>
        <v>75</v>
      </c>
      <c r="S38" s="319">
        <f>IF(S29=1,Thermostat!$B$5,Thermostat!$B$6)</f>
        <v>75</v>
      </c>
      <c r="T38" s="319">
        <f>IF(T29=1,Thermostat!$B$5,Thermostat!$B$6)</f>
        <v>75</v>
      </c>
      <c r="U38" s="319">
        <f>IF(U29=1,Thermostat!$B$5,Thermostat!$B$6)</f>
        <v>75</v>
      </c>
      <c r="V38" s="319">
        <f>IF(V29=1,Thermostat!$B$5,Thermostat!$B$6)</f>
        <v>75</v>
      </c>
      <c r="W38" s="319">
        <f>IF(W29=1,Thermostat!$B$5,Thermostat!$B$6)</f>
        <v>85</v>
      </c>
      <c r="X38" s="319">
        <f>IF(X29=1,Thermostat!$B$5,Thermostat!$B$6)</f>
        <v>85</v>
      </c>
      <c r="Y38" s="319">
        <f>IF(Y29=1,Thermostat!$B$5,Thermostat!$B$6)</f>
        <v>85</v>
      </c>
      <c r="Z38" s="319">
        <f>IF(Z29=1,Thermostat!$B$5,Thermostat!$B$6)</f>
        <v>85</v>
      </c>
      <c r="AA38" s="319">
        <f>IF(AA29=1,Thermostat!$B$5,Thermostat!$B$6)</f>
        <v>85</v>
      </c>
      <c r="AB38" s="319">
        <f>IF(AB29=1,Thermostat!$B$5,Thermostat!$B$6)</f>
        <v>85</v>
      </c>
      <c r="AC38" s="320">
        <f>IF(AC29=1,Thermostat!$B$5,Thermostat!$B$6)</f>
        <v>85</v>
      </c>
      <c r="AD38" s="42"/>
      <c r="AE38" s="42"/>
      <c r="AF38" s="42"/>
      <c r="AG38" s="42"/>
      <c r="AH38" s="42"/>
      <c r="AI38" s="42"/>
      <c r="AJ38" s="42"/>
      <c r="AK38" s="42"/>
      <c r="AM38" s="53"/>
    </row>
    <row r="39" spans="1:39" ht="36" customHeight="1">
      <c r="A39" s="508"/>
      <c r="B39" s="417"/>
      <c r="C39" s="417"/>
      <c r="D39" s="484"/>
      <c r="E39" s="317" t="s">
        <v>304</v>
      </c>
      <c r="F39" s="321">
        <f>IF(F30=1,Thermostat!$B$5,Thermostat!$B$6)</f>
        <v>85</v>
      </c>
      <c r="G39" s="321">
        <f>IF(G30=1,Thermostat!$B$5,Thermostat!$B$6)</f>
        <v>85</v>
      </c>
      <c r="H39" s="321">
        <f>IF(H30=1,Thermostat!$B$5,Thermostat!$B$6)</f>
        <v>85</v>
      </c>
      <c r="I39" s="321">
        <f>IF(I30=1,Thermostat!$B$5,Thermostat!$B$6)</f>
        <v>85</v>
      </c>
      <c r="J39" s="321">
        <f>IF(J30=1,Thermostat!$B$5,Thermostat!$B$6)</f>
        <v>85</v>
      </c>
      <c r="K39" s="321">
        <f>IF(K30=1,Thermostat!$B$5,Thermostat!$B$6)</f>
        <v>85</v>
      </c>
      <c r="L39" s="321">
        <f>IF(L30=1,Thermostat!$B$5,Thermostat!$B$6)</f>
        <v>85</v>
      </c>
      <c r="M39" s="321">
        <f>IF(M30=1,Thermostat!$B$5,Thermostat!$B$6)</f>
        <v>75</v>
      </c>
      <c r="N39" s="321">
        <f>IF(N30=1,Thermostat!$B$5,Thermostat!$B$6)</f>
        <v>75</v>
      </c>
      <c r="O39" s="321">
        <f>IF(O30=1,Thermostat!$B$5,Thermostat!$B$6)</f>
        <v>75</v>
      </c>
      <c r="P39" s="321">
        <f>IF(P30=1,Thermostat!$B$5,Thermostat!$B$6)</f>
        <v>75</v>
      </c>
      <c r="Q39" s="321">
        <f>IF(Q30=1,Thermostat!$B$5,Thermostat!$B$6)</f>
        <v>75</v>
      </c>
      <c r="R39" s="321">
        <f>IF(R30=1,Thermostat!$B$5,Thermostat!$B$6)</f>
        <v>75</v>
      </c>
      <c r="S39" s="321">
        <f>IF(S30=1,Thermostat!$B$5,Thermostat!$B$6)</f>
        <v>75</v>
      </c>
      <c r="T39" s="321">
        <f>IF(T30=1,Thermostat!$B$5,Thermostat!$B$6)</f>
        <v>75</v>
      </c>
      <c r="U39" s="321">
        <f>IF(U30=1,Thermostat!$B$5,Thermostat!$B$6)</f>
        <v>85</v>
      </c>
      <c r="V39" s="321">
        <f>IF(V30=1,Thermostat!$B$5,Thermostat!$B$6)</f>
        <v>85</v>
      </c>
      <c r="W39" s="321">
        <f>IF(W30=1,Thermostat!$B$5,Thermostat!$B$6)</f>
        <v>85</v>
      </c>
      <c r="X39" s="321">
        <f>IF(X30=1,Thermostat!$B$5,Thermostat!$B$6)</f>
        <v>85</v>
      </c>
      <c r="Y39" s="321">
        <f>IF(Y30=1,Thermostat!$B$5,Thermostat!$B$6)</f>
        <v>85</v>
      </c>
      <c r="Z39" s="321">
        <f>IF(Z30=1,Thermostat!$B$5,Thermostat!$B$6)</f>
        <v>85</v>
      </c>
      <c r="AA39" s="321">
        <f>IF(AA30=1,Thermostat!$B$5,Thermostat!$B$6)</f>
        <v>85</v>
      </c>
      <c r="AB39" s="321">
        <f>IF(AB30=1,Thermostat!$B$5,Thermostat!$B$6)</f>
        <v>85</v>
      </c>
      <c r="AC39" s="322">
        <f>IF(AC30=1,Thermostat!$B$5,Thermostat!$B$6)</f>
        <v>85</v>
      </c>
      <c r="AD39" s="42"/>
      <c r="AE39" s="42"/>
      <c r="AF39" s="42"/>
      <c r="AG39" s="42"/>
      <c r="AH39" s="42"/>
      <c r="AI39" s="42"/>
      <c r="AJ39" s="42"/>
      <c r="AK39" s="42"/>
      <c r="AM39" s="53"/>
    </row>
    <row r="40" spans="1:39" ht="36" customHeight="1" thickBot="1">
      <c r="A40" s="509"/>
      <c r="B40" s="472"/>
      <c r="C40" s="472"/>
      <c r="D40" s="485"/>
      <c r="E40" s="318" t="s">
        <v>305</v>
      </c>
      <c r="F40" s="323">
        <f>IF(F31=1,Thermostat!$B$5,Thermostat!$B$6)</f>
        <v>85</v>
      </c>
      <c r="G40" s="323">
        <f>IF(G31=1,Thermostat!$B$5,Thermostat!$B$6)</f>
        <v>85</v>
      </c>
      <c r="H40" s="323">
        <f>IF(H31=1,Thermostat!$B$5,Thermostat!$B$6)</f>
        <v>85</v>
      </c>
      <c r="I40" s="323">
        <f>IF(I31=1,Thermostat!$B$5,Thermostat!$B$6)</f>
        <v>85</v>
      </c>
      <c r="J40" s="323">
        <f>IF(J31=1,Thermostat!$B$5,Thermostat!$B$6)</f>
        <v>85</v>
      </c>
      <c r="K40" s="323">
        <f>IF(K31=1,Thermostat!$B$5,Thermostat!$B$6)</f>
        <v>85</v>
      </c>
      <c r="L40" s="323">
        <f>IF(L31=1,Thermostat!$B$5,Thermostat!$B$6)</f>
        <v>85</v>
      </c>
      <c r="M40" s="323">
        <f>IF(M31=1,Thermostat!$B$5,Thermostat!$B$6)</f>
        <v>85</v>
      </c>
      <c r="N40" s="323">
        <f>IF(N31=1,Thermostat!$B$5,Thermostat!$B$6)</f>
        <v>85</v>
      </c>
      <c r="O40" s="323">
        <f>IF(O31=1,Thermostat!$B$5,Thermostat!$B$6)</f>
        <v>85</v>
      </c>
      <c r="P40" s="323">
        <f>IF(P31=1,Thermostat!$B$5,Thermostat!$B$6)</f>
        <v>85</v>
      </c>
      <c r="Q40" s="323">
        <f>IF(Q31=1,Thermostat!$B$5,Thermostat!$B$6)</f>
        <v>85</v>
      </c>
      <c r="R40" s="323">
        <f>IF(R31=1,Thermostat!$B$5,Thermostat!$B$6)</f>
        <v>85</v>
      </c>
      <c r="S40" s="323">
        <f>IF(S31=1,Thermostat!$B$5,Thermostat!$B$6)</f>
        <v>85</v>
      </c>
      <c r="T40" s="323">
        <f>IF(T31=1,Thermostat!$B$5,Thermostat!$B$6)</f>
        <v>85</v>
      </c>
      <c r="U40" s="323">
        <f>IF(U31=1,Thermostat!$B$5,Thermostat!$B$6)</f>
        <v>85</v>
      </c>
      <c r="V40" s="323">
        <f>IF(V31=1,Thermostat!$B$5,Thermostat!$B$6)</f>
        <v>85</v>
      </c>
      <c r="W40" s="323">
        <f>IF(W31=1,Thermostat!$B$5,Thermostat!$B$6)</f>
        <v>85</v>
      </c>
      <c r="X40" s="323">
        <f>IF(X31=1,Thermostat!$B$5,Thermostat!$B$6)</f>
        <v>85</v>
      </c>
      <c r="Y40" s="323">
        <f>IF(Y31=1,Thermostat!$B$5,Thermostat!$B$6)</f>
        <v>85</v>
      </c>
      <c r="Z40" s="323">
        <f>IF(Z31=1,Thermostat!$B$5,Thermostat!$B$6)</f>
        <v>85</v>
      </c>
      <c r="AA40" s="323">
        <f>IF(AA31=1,Thermostat!$B$5,Thermostat!$B$6)</f>
        <v>85</v>
      </c>
      <c r="AB40" s="323">
        <f>IF(AB31=1,Thermostat!$B$5,Thermostat!$B$6)</f>
        <v>85</v>
      </c>
      <c r="AC40" s="324">
        <f>IF(AC31=1,Thermostat!$B$5,Thermostat!$B$6)</f>
        <v>85</v>
      </c>
      <c r="AD40" s="42"/>
      <c r="AE40" s="42"/>
      <c r="AF40" s="42"/>
      <c r="AG40" s="42"/>
      <c r="AH40" s="42"/>
      <c r="AI40" s="42"/>
      <c r="AJ40" s="42"/>
      <c r="AK40" s="42"/>
      <c r="AM40" s="53"/>
    </row>
    <row r="41" spans="1:39" ht="36" customHeight="1">
      <c r="A41" s="497" t="s">
        <v>16</v>
      </c>
      <c r="B41" s="498"/>
      <c r="C41" s="498"/>
      <c r="D41" s="498"/>
      <c r="E41" s="498"/>
      <c r="F41" s="498"/>
      <c r="G41" s="498"/>
      <c r="H41" s="498"/>
      <c r="I41" s="498"/>
      <c r="J41" s="498"/>
      <c r="K41" s="498"/>
      <c r="L41" s="498"/>
      <c r="M41" s="498"/>
      <c r="N41" s="498"/>
      <c r="O41" s="498"/>
      <c r="P41" s="498"/>
      <c r="Q41" s="498"/>
      <c r="R41" s="498"/>
      <c r="S41" s="498"/>
      <c r="T41" s="498"/>
      <c r="U41" s="498"/>
      <c r="V41" s="498"/>
      <c r="W41" s="498"/>
      <c r="X41" s="498"/>
      <c r="Y41" s="498"/>
      <c r="Z41" s="498"/>
      <c r="AA41" s="498"/>
      <c r="AB41" s="498"/>
      <c r="AC41" s="498"/>
      <c r="AD41" s="341"/>
      <c r="AE41" s="42"/>
      <c r="AF41" s="42"/>
      <c r="AG41" s="42"/>
      <c r="AH41" s="42"/>
      <c r="AI41" s="42"/>
      <c r="AJ41" s="42"/>
      <c r="AK41" s="42"/>
      <c r="AM41" s="53"/>
    </row>
    <row r="42" spans="1:39" ht="36" customHeight="1">
      <c r="A42" s="507"/>
      <c r="B42" s="471" t="s">
        <v>329</v>
      </c>
      <c r="C42" s="471" t="s">
        <v>330</v>
      </c>
      <c r="D42" s="483" t="s">
        <v>318</v>
      </c>
      <c r="E42" s="296" t="s">
        <v>306</v>
      </c>
      <c r="F42" s="242">
        <v>0</v>
      </c>
      <c r="G42" s="242">
        <v>0</v>
      </c>
      <c r="H42" s="242">
        <v>0</v>
      </c>
      <c r="I42" s="242">
        <v>0</v>
      </c>
      <c r="J42" s="242">
        <v>0</v>
      </c>
      <c r="K42" s="242">
        <v>0</v>
      </c>
      <c r="L42" s="242">
        <v>0</v>
      </c>
      <c r="M42" s="242">
        <v>0.35</v>
      </c>
      <c r="N42" s="242">
        <v>0.69</v>
      </c>
      <c r="O42" s="242">
        <v>0.43</v>
      </c>
      <c r="P42" s="242">
        <v>0.37</v>
      </c>
      <c r="Q42" s="242">
        <v>0.43</v>
      </c>
      <c r="R42" s="242">
        <v>0.57999999999999996</v>
      </c>
      <c r="S42" s="242">
        <v>0.48</v>
      </c>
      <c r="T42" s="242">
        <v>0.37</v>
      </c>
      <c r="U42" s="242">
        <v>0.37</v>
      </c>
      <c r="V42" s="242">
        <v>0.46</v>
      </c>
      <c r="W42" s="242">
        <v>0.62</v>
      </c>
      <c r="X42" s="242">
        <v>0.2</v>
      </c>
      <c r="Y42" s="242">
        <v>0.12</v>
      </c>
      <c r="Z42" s="242">
        <v>0.04</v>
      </c>
      <c r="AA42" s="242">
        <v>0.04</v>
      </c>
      <c r="AB42" s="242">
        <v>0</v>
      </c>
      <c r="AC42" s="340">
        <v>0</v>
      </c>
      <c r="AD42" s="42"/>
      <c r="AE42" s="42"/>
      <c r="AF42" s="42"/>
      <c r="AG42" s="42"/>
      <c r="AH42" s="42"/>
      <c r="AI42" s="42"/>
      <c r="AJ42" s="42"/>
      <c r="AK42" s="42"/>
      <c r="AM42" s="53"/>
    </row>
    <row r="43" spans="1:39" ht="36" customHeight="1">
      <c r="A43" s="508"/>
      <c r="B43" s="417"/>
      <c r="C43" s="417"/>
      <c r="D43" s="484"/>
      <c r="E43" s="294" t="s">
        <v>304</v>
      </c>
      <c r="F43" s="238">
        <v>0</v>
      </c>
      <c r="G43" s="238">
        <v>0</v>
      </c>
      <c r="H43" s="238">
        <v>0</v>
      </c>
      <c r="I43" s="238">
        <v>0</v>
      </c>
      <c r="J43" s="238">
        <v>0</v>
      </c>
      <c r="K43" s="238">
        <v>0</v>
      </c>
      <c r="L43" s="238">
        <v>0</v>
      </c>
      <c r="M43" s="238">
        <v>0.16</v>
      </c>
      <c r="N43" s="238">
        <v>0.14000000000000001</v>
      </c>
      <c r="O43" s="238">
        <v>0.21</v>
      </c>
      <c r="P43" s="238">
        <v>0.18</v>
      </c>
      <c r="Q43" s="238">
        <v>0.25</v>
      </c>
      <c r="R43" s="238">
        <v>0.21</v>
      </c>
      <c r="S43" s="238">
        <v>0.13</v>
      </c>
      <c r="T43" s="238">
        <v>0.08</v>
      </c>
      <c r="U43" s="238">
        <v>0.04</v>
      </c>
      <c r="V43" s="238">
        <v>0.05</v>
      </c>
      <c r="W43" s="238">
        <v>0.06</v>
      </c>
      <c r="X43" s="238">
        <v>0</v>
      </c>
      <c r="Y43" s="238">
        <v>0</v>
      </c>
      <c r="Z43" s="238">
        <v>0</v>
      </c>
      <c r="AA43" s="238">
        <v>0</v>
      </c>
      <c r="AB43" s="238">
        <v>0</v>
      </c>
      <c r="AC43" s="239">
        <v>0</v>
      </c>
      <c r="AD43" s="42"/>
      <c r="AE43" s="42"/>
      <c r="AF43" s="42"/>
      <c r="AG43" s="42"/>
      <c r="AH43" s="42"/>
      <c r="AI43" s="42"/>
      <c r="AJ43" s="42"/>
      <c r="AK43" s="42"/>
      <c r="AM43" s="53"/>
    </row>
    <row r="44" spans="1:39" ht="36" customHeight="1">
      <c r="A44" s="509"/>
      <c r="B44" s="472"/>
      <c r="C44" s="472"/>
      <c r="D44" s="485"/>
      <c r="E44" s="295" t="s">
        <v>305</v>
      </c>
      <c r="F44" s="240">
        <v>0</v>
      </c>
      <c r="G44" s="240">
        <v>0</v>
      </c>
      <c r="H44" s="240">
        <v>0</v>
      </c>
      <c r="I44" s="240">
        <v>0</v>
      </c>
      <c r="J44" s="240">
        <v>0</v>
      </c>
      <c r="K44" s="240">
        <v>0</v>
      </c>
      <c r="L44" s="240">
        <v>0</v>
      </c>
      <c r="M44" s="240">
        <v>0</v>
      </c>
      <c r="N44" s="240">
        <v>0</v>
      </c>
      <c r="O44" s="240">
        <v>0</v>
      </c>
      <c r="P44" s="240">
        <v>0</v>
      </c>
      <c r="Q44" s="240">
        <v>0</v>
      </c>
      <c r="R44" s="240">
        <v>0</v>
      </c>
      <c r="S44" s="240">
        <v>0</v>
      </c>
      <c r="T44" s="240">
        <v>0</v>
      </c>
      <c r="U44" s="240">
        <v>0</v>
      </c>
      <c r="V44" s="240">
        <v>0</v>
      </c>
      <c r="W44" s="240">
        <v>0</v>
      </c>
      <c r="X44" s="240">
        <v>0</v>
      </c>
      <c r="Y44" s="240">
        <v>0</v>
      </c>
      <c r="Z44" s="240">
        <v>0</v>
      </c>
      <c r="AA44" s="240">
        <v>0</v>
      </c>
      <c r="AB44" s="240">
        <v>0</v>
      </c>
      <c r="AC44" s="241">
        <v>0</v>
      </c>
      <c r="AD44" s="42"/>
      <c r="AE44" s="42"/>
      <c r="AF44" s="42"/>
      <c r="AG44" s="42"/>
      <c r="AH44" s="42"/>
      <c r="AI44" s="42"/>
      <c r="AJ44" s="42"/>
      <c r="AK44" s="42"/>
      <c r="AM44" s="53"/>
    </row>
    <row r="45" spans="1:39" ht="29.45" customHeight="1">
      <c r="A45" s="507"/>
      <c r="B45" s="499" t="s">
        <v>329</v>
      </c>
      <c r="C45" s="501" t="s">
        <v>331</v>
      </c>
      <c r="D45" s="504" t="s">
        <v>332</v>
      </c>
      <c r="E45" s="297" t="s">
        <v>306</v>
      </c>
      <c r="F45" s="298">
        <v>1</v>
      </c>
      <c r="G45" s="298">
        <v>1</v>
      </c>
      <c r="H45" s="298">
        <v>1</v>
      </c>
      <c r="I45" s="298">
        <v>1</v>
      </c>
      <c r="J45" s="298">
        <v>1</v>
      </c>
      <c r="K45" s="298">
        <v>1</v>
      </c>
      <c r="L45" s="298">
        <v>1</v>
      </c>
      <c r="M45" s="298">
        <v>1</v>
      </c>
      <c r="N45" s="298">
        <v>1</v>
      </c>
      <c r="O45" s="298">
        <v>1</v>
      </c>
      <c r="P45" s="298">
        <v>1</v>
      </c>
      <c r="Q45" s="298">
        <v>1</v>
      </c>
      <c r="R45" s="298">
        <v>1</v>
      </c>
      <c r="S45" s="298">
        <v>1</v>
      </c>
      <c r="T45" s="298">
        <v>1</v>
      </c>
      <c r="U45" s="298">
        <v>1</v>
      </c>
      <c r="V45" s="298">
        <v>1</v>
      </c>
      <c r="W45" s="298">
        <v>1</v>
      </c>
      <c r="X45" s="298">
        <v>1</v>
      </c>
      <c r="Y45" s="298">
        <v>1</v>
      </c>
      <c r="Z45" s="298">
        <v>1</v>
      </c>
      <c r="AA45" s="298">
        <v>1</v>
      </c>
      <c r="AB45" s="298">
        <v>1</v>
      </c>
      <c r="AC45" s="299">
        <v>1</v>
      </c>
    </row>
    <row r="46" spans="1:39" ht="29.45" customHeight="1">
      <c r="A46" s="508"/>
      <c r="B46" s="490"/>
      <c r="C46" s="502"/>
      <c r="D46" s="505"/>
      <c r="E46" s="300" t="s">
        <v>304</v>
      </c>
      <c r="F46" s="301">
        <v>1</v>
      </c>
      <c r="G46" s="301">
        <v>1</v>
      </c>
      <c r="H46" s="301">
        <v>1</v>
      </c>
      <c r="I46" s="301">
        <v>1</v>
      </c>
      <c r="J46" s="301">
        <v>1</v>
      </c>
      <c r="K46" s="301">
        <v>1</v>
      </c>
      <c r="L46" s="301">
        <v>1</v>
      </c>
      <c r="M46" s="301">
        <v>1</v>
      </c>
      <c r="N46" s="301">
        <v>1</v>
      </c>
      <c r="O46" s="301">
        <v>1</v>
      </c>
      <c r="P46" s="301">
        <v>1</v>
      </c>
      <c r="Q46" s="301">
        <v>1</v>
      </c>
      <c r="R46" s="301">
        <v>1</v>
      </c>
      <c r="S46" s="301">
        <v>1</v>
      </c>
      <c r="T46" s="301">
        <v>1</v>
      </c>
      <c r="U46" s="301">
        <v>1</v>
      </c>
      <c r="V46" s="301">
        <v>1</v>
      </c>
      <c r="W46" s="301">
        <v>1</v>
      </c>
      <c r="X46" s="301">
        <v>1</v>
      </c>
      <c r="Y46" s="301">
        <v>1</v>
      </c>
      <c r="Z46" s="301">
        <v>1</v>
      </c>
      <c r="AA46" s="301">
        <v>1</v>
      </c>
      <c r="AB46" s="301">
        <v>1</v>
      </c>
      <c r="AC46" s="302">
        <v>1</v>
      </c>
    </row>
    <row r="47" spans="1:39" ht="29.45" customHeight="1" thickBot="1">
      <c r="A47" s="509"/>
      <c r="B47" s="500"/>
      <c r="C47" s="503"/>
      <c r="D47" s="506"/>
      <c r="E47" s="303" t="s">
        <v>305</v>
      </c>
      <c r="F47" s="304">
        <v>1</v>
      </c>
      <c r="G47" s="304">
        <v>1</v>
      </c>
      <c r="H47" s="304">
        <v>1</v>
      </c>
      <c r="I47" s="304">
        <v>1</v>
      </c>
      <c r="J47" s="304">
        <v>1</v>
      </c>
      <c r="K47" s="304">
        <v>1</v>
      </c>
      <c r="L47" s="304">
        <v>1</v>
      </c>
      <c r="M47" s="304">
        <v>1</v>
      </c>
      <c r="N47" s="304">
        <v>1</v>
      </c>
      <c r="O47" s="304">
        <v>1</v>
      </c>
      <c r="P47" s="304">
        <v>1</v>
      </c>
      <c r="Q47" s="304">
        <v>1</v>
      </c>
      <c r="R47" s="304">
        <v>1</v>
      </c>
      <c r="S47" s="304">
        <v>1</v>
      </c>
      <c r="T47" s="304">
        <v>1</v>
      </c>
      <c r="U47" s="304">
        <v>1</v>
      </c>
      <c r="V47" s="304">
        <v>1</v>
      </c>
      <c r="W47" s="304">
        <v>1</v>
      </c>
      <c r="X47" s="304">
        <v>1</v>
      </c>
      <c r="Y47" s="304">
        <v>1</v>
      </c>
      <c r="Z47" s="304">
        <v>1</v>
      </c>
      <c r="AA47" s="304">
        <v>1</v>
      </c>
      <c r="AB47" s="304">
        <v>1</v>
      </c>
      <c r="AC47" s="305">
        <v>1</v>
      </c>
    </row>
    <row r="48" spans="1:39" ht="29.45" customHeight="1">
      <c r="A48" s="507"/>
      <c r="B48" s="520" t="s">
        <v>329</v>
      </c>
      <c r="C48" s="521" t="s">
        <v>333</v>
      </c>
      <c r="D48" s="505" t="s">
        <v>334</v>
      </c>
      <c r="E48" s="306" t="s">
        <v>306</v>
      </c>
      <c r="F48" s="307">
        <v>0</v>
      </c>
      <c r="G48" s="307">
        <v>0</v>
      </c>
      <c r="H48" s="307">
        <v>0</v>
      </c>
      <c r="I48" s="307">
        <v>0</v>
      </c>
      <c r="J48" s="307">
        <v>0</v>
      </c>
      <c r="K48" s="307">
        <v>1</v>
      </c>
      <c r="L48" s="307">
        <v>1</v>
      </c>
      <c r="M48" s="307">
        <v>1</v>
      </c>
      <c r="N48" s="307">
        <v>1</v>
      </c>
      <c r="O48" s="307">
        <v>1</v>
      </c>
      <c r="P48" s="307">
        <v>1</v>
      </c>
      <c r="Q48" s="307">
        <v>1</v>
      </c>
      <c r="R48" s="307">
        <v>1</v>
      </c>
      <c r="S48" s="307">
        <v>1</v>
      </c>
      <c r="T48" s="307">
        <v>1</v>
      </c>
      <c r="U48" s="307">
        <v>1</v>
      </c>
      <c r="V48" s="307">
        <v>1</v>
      </c>
      <c r="W48" s="307">
        <v>1</v>
      </c>
      <c r="X48" s="307">
        <v>1</v>
      </c>
      <c r="Y48" s="307">
        <v>1</v>
      </c>
      <c r="Z48" s="307">
        <v>1</v>
      </c>
      <c r="AA48" s="307">
        <v>1</v>
      </c>
      <c r="AB48" s="307">
        <v>0</v>
      </c>
      <c r="AC48" s="308">
        <v>0</v>
      </c>
    </row>
    <row r="49" spans="1:29" ht="29.45" customHeight="1">
      <c r="A49" s="508"/>
      <c r="B49" s="490"/>
      <c r="C49" s="502"/>
      <c r="D49" s="505"/>
      <c r="E49" s="300" t="s">
        <v>304</v>
      </c>
      <c r="F49" s="309">
        <v>0</v>
      </c>
      <c r="G49" s="309">
        <v>0</v>
      </c>
      <c r="H49" s="309">
        <v>0</v>
      </c>
      <c r="I49" s="309">
        <v>0</v>
      </c>
      <c r="J49" s="309">
        <v>0</v>
      </c>
      <c r="K49" s="309">
        <v>1</v>
      </c>
      <c r="L49" s="309">
        <v>1</v>
      </c>
      <c r="M49" s="309">
        <v>1</v>
      </c>
      <c r="N49" s="309">
        <v>1</v>
      </c>
      <c r="O49" s="309">
        <v>1</v>
      </c>
      <c r="P49" s="309">
        <v>1</v>
      </c>
      <c r="Q49" s="309">
        <v>1</v>
      </c>
      <c r="R49" s="309">
        <v>1</v>
      </c>
      <c r="S49" s="309">
        <v>1</v>
      </c>
      <c r="T49" s="309">
        <v>1</v>
      </c>
      <c r="U49" s="309">
        <v>1</v>
      </c>
      <c r="V49" s="309">
        <v>1</v>
      </c>
      <c r="W49" s="309">
        <v>1</v>
      </c>
      <c r="X49" s="309">
        <v>1</v>
      </c>
      <c r="Y49" s="309">
        <v>1</v>
      </c>
      <c r="Z49" s="309">
        <v>1</v>
      </c>
      <c r="AA49" s="309">
        <v>1</v>
      </c>
      <c r="AB49" s="309">
        <v>1</v>
      </c>
      <c r="AC49" s="310">
        <v>1</v>
      </c>
    </row>
    <row r="50" spans="1:29" ht="29.45" customHeight="1" thickBot="1">
      <c r="A50" s="509"/>
      <c r="B50" s="500"/>
      <c r="C50" s="503"/>
      <c r="D50" s="506"/>
      <c r="E50" s="311" t="s">
        <v>305</v>
      </c>
      <c r="F50" s="312">
        <v>0</v>
      </c>
      <c r="G50" s="312">
        <v>0</v>
      </c>
      <c r="H50" s="312">
        <v>0</v>
      </c>
      <c r="I50" s="312">
        <v>0</v>
      </c>
      <c r="J50" s="312">
        <v>0</v>
      </c>
      <c r="K50" s="312">
        <v>1</v>
      </c>
      <c r="L50" s="312">
        <v>1</v>
      </c>
      <c r="M50" s="312">
        <v>1</v>
      </c>
      <c r="N50" s="312">
        <v>1</v>
      </c>
      <c r="O50" s="312">
        <v>1</v>
      </c>
      <c r="P50" s="312">
        <v>1</v>
      </c>
      <c r="Q50" s="312">
        <v>1</v>
      </c>
      <c r="R50" s="312">
        <v>1</v>
      </c>
      <c r="S50" s="312">
        <v>1</v>
      </c>
      <c r="T50" s="312">
        <v>1</v>
      </c>
      <c r="U50" s="312">
        <v>1</v>
      </c>
      <c r="V50" s="312">
        <v>1</v>
      </c>
      <c r="W50" s="312">
        <v>1</v>
      </c>
      <c r="X50" s="312">
        <v>1</v>
      </c>
      <c r="Y50" s="312">
        <v>1</v>
      </c>
      <c r="Z50" s="312">
        <v>1</v>
      </c>
      <c r="AA50" s="312">
        <v>1</v>
      </c>
      <c r="AB50" s="312">
        <v>1</v>
      </c>
      <c r="AC50" s="313">
        <v>1</v>
      </c>
    </row>
    <row r="51" spans="1:29" ht="34.15" customHeight="1">
      <c r="A51" s="510" t="s">
        <v>316</v>
      </c>
      <c r="B51" s="517" t="s">
        <v>329</v>
      </c>
      <c r="C51" s="450" t="s">
        <v>335</v>
      </c>
      <c r="D51" s="519" t="s">
        <v>336</v>
      </c>
      <c r="E51" s="288" t="s">
        <v>306</v>
      </c>
      <c r="F51" s="260">
        <v>146.5</v>
      </c>
      <c r="G51" s="260">
        <v>146.5</v>
      </c>
      <c r="H51" s="260">
        <v>146.5</v>
      </c>
      <c r="I51" s="260">
        <v>146.5</v>
      </c>
      <c r="J51" s="260">
        <v>146.5</v>
      </c>
      <c r="K51" s="260">
        <v>146.5</v>
      </c>
      <c r="L51" s="260">
        <v>146.5</v>
      </c>
      <c r="M51" s="260">
        <v>146.5</v>
      </c>
      <c r="N51" s="260">
        <v>146.5</v>
      </c>
      <c r="O51" s="260">
        <v>146.5</v>
      </c>
      <c r="P51" s="260">
        <v>146.5</v>
      </c>
      <c r="Q51" s="260">
        <v>146.5</v>
      </c>
      <c r="R51" s="260">
        <v>146.5</v>
      </c>
      <c r="S51" s="260">
        <v>146.5</v>
      </c>
      <c r="T51" s="260">
        <v>146.5</v>
      </c>
      <c r="U51" s="260">
        <v>146.5</v>
      </c>
      <c r="V51" s="260">
        <v>146.5</v>
      </c>
      <c r="W51" s="260">
        <v>146.5</v>
      </c>
      <c r="X51" s="260">
        <v>146.5</v>
      </c>
      <c r="Y51" s="260">
        <v>146.5</v>
      </c>
      <c r="Z51" s="260">
        <v>146.5</v>
      </c>
      <c r="AA51" s="260">
        <v>146.5</v>
      </c>
      <c r="AB51" s="260">
        <v>146.5</v>
      </c>
      <c r="AC51" s="289">
        <v>146.5</v>
      </c>
    </row>
    <row r="52" spans="1:29" ht="34.15" customHeight="1">
      <c r="A52" s="508"/>
      <c r="B52" s="517"/>
      <c r="C52" s="450"/>
      <c r="D52" s="484"/>
      <c r="E52" s="290" t="s">
        <v>304</v>
      </c>
      <c r="F52" s="254">
        <v>146.5</v>
      </c>
      <c r="G52" s="254">
        <v>146.5</v>
      </c>
      <c r="H52" s="254">
        <v>146.5</v>
      </c>
      <c r="I52" s="254">
        <v>146.5</v>
      </c>
      <c r="J52" s="254">
        <v>146.5</v>
      </c>
      <c r="K52" s="254">
        <v>146.5</v>
      </c>
      <c r="L52" s="254">
        <v>146.5</v>
      </c>
      <c r="M52" s="254">
        <v>146.5</v>
      </c>
      <c r="N52" s="254">
        <v>146.5</v>
      </c>
      <c r="O52" s="254">
        <v>146.5</v>
      </c>
      <c r="P52" s="254">
        <v>146.5</v>
      </c>
      <c r="Q52" s="254">
        <v>146.5</v>
      </c>
      <c r="R52" s="254">
        <v>146.5</v>
      </c>
      <c r="S52" s="254">
        <v>146.5</v>
      </c>
      <c r="T52" s="254">
        <v>146.5</v>
      </c>
      <c r="U52" s="254">
        <v>146.5</v>
      </c>
      <c r="V52" s="254">
        <v>146.5</v>
      </c>
      <c r="W52" s="254">
        <v>146.5</v>
      </c>
      <c r="X52" s="254">
        <v>146.5</v>
      </c>
      <c r="Y52" s="254">
        <v>146.5</v>
      </c>
      <c r="Z52" s="254">
        <v>146.5</v>
      </c>
      <c r="AA52" s="254">
        <v>146.5</v>
      </c>
      <c r="AB52" s="254">
        <v>146.5</v>
      </c>
      <c r="AC52" s="291">
        <v>146.5</v>
      </c>
    </row>
    <row r="53" spans="1:29" ht="34.15" customHeight="1" thickBot="1">
      <c r="A53" s="509"/>
      <c r="B53" s="518"/>
      <c r="C53" s="493"/>
      <c r="D53" s="485"/>
      <c r="E53" s="292" t="s">
        <v>305</v>
      </c>
      <c r="F53" s="257">
        <v>146.5</v>
      </c>
      <c r="G53" s="257">
        <v>146.5</v>
      </c>
      <c r="H53" s="257">
        <v>146.5</v>
      </c>
      <c r="I53" s="257">
        <v>146.5</v>
      </c>
      <c r="J53" s="257">
        <v>146.5</v>
      </c>
      <c r="K53" s="257">
        <v>146.5</v>
      </c>
      <c r="L53" s="257">
        <v>146.5</v>
      </c>
      <c r="M53" s="257">
        <v>146.5</v>
      </c>
      <c r="N53" s="257">
        <v>146.5</v>
      </c>
      <c r="O53" s="257">
        <v>146.5</v>
      </c>
      <c r="P53" s="257">
        <v>146.5</v>
      </c>
      <c r="Q53" s="257">
        <v>146.5</v>
      </c>
      <c r="R53" s="257">
        <v>146.5</v>
      </c>
      <c r="S53" s="257">
        <v>146.5</v>
      </c>
      <c r="T53" s="257">
        <v>146.5</v>
      </c>
      <c r="U53" s="257">
        <v>146.5</v>
      </c>
      <c r="V53" s="257">
        <v>146.5</v>
      </c>
      <c r="W53" s="257">
        <v>146.5</v>
      </c>
      <c r="X53" s="257">
        <v>146.5</v>
      </c>
      <c r="Y53" s="257">
        <v>146.5</v>
      </c>
      <c r="Z53" s="257">
        <v>146.5</v>
      </c>
      <c r="AA53" s="257">
        <v>146.5</v>
      </c>
      <c r="AB53" s="257">
        <v>146.5</v>
      </c>
      <c r="AC53" s="293">
        <v>146.5</v>
      </c>
    </row>
    <row r="54" spans="1:29" ht="40.9" customHeight="1">
      <c r="A54" s="511" t="s">
        <v>323</v>
      </c>
      <c r="B54" s="489" t="s">
        <v>329</v>
      </c>
      <c r="C54" s="492" t="s">
        <v>337</v>
      </c>
      <c r="D54" s="514" t="s">
        <v>338</v>
      </c>
      <c r="E54" s="296" t="s">
        <v>306</v>
      </c>
      <c r="F54" s="260">
        <v>117.2</v>
      </c>
      <c r="G54" s="260">
        <v>117.2</v>
      </c>
      <c r="H54" s="260">
        <v>117.2</v>
      </c>
      <c r="I54" s="260">
        <v>117.2</v>
      </c>
      <c r="J54" s="260">
        <v>117.2</v>
      </c>
      <c r="K54" s="260">
        <v>117.2</v>
      </c>
      <c r="L54" s="260">
        <v>117.2</v>
      </c>
      <c r="M54" s="260">
        <v>117.2</v>
      </c>
      <c r="N54" s="260">
        <v>117.2</v>
      </c>
      <c r="O54" s="260">
        <v>117.2</v>
      </c>
      <c r="P54" s="260">
        <v>117.2</v>
      </c>
      <c r="Q54" s="260">
        <v>117.2</v>
      </c>
      <c r="R54" s="260">
        <v>117.2</v>
      </c>
      <c r="S54" s="260">
        <v>117.2</v>
      </c>
      <c r="T54" s="260">
        <v>117.2</v>
      </c>
      <c r="U54" s="260">
        <v>117.2</v>
      </c>
      <c r="V54" s="260">
        <v>117.2</v>
      </c>
      <c r="W54" s="260">
        <v>117.2</v>
      </c>
      <c r="X54" s="260">
        <v>117.2</v>
      </c>
      <c r="Y54" s="260">
        <v>117.2</v>
      </c>
      <c r="Z54" s="260">
        <v>117.2</v>
      </c>
      <c r="AA54" s="260">
        <v>117.2</v>
      </c>
      <c r="AB54" s="260">
        <v>117.2</v>
      </c>
      <c r="AC54" s="289">
        <v>117.2</v>
      </c>
    </row>
    <row r="55" spans="1:29" ht="40.9" customHeight="1">
      <c r="A55" s="512"/>
      <c r="B55" s="490"/>
      <c r="C55" s="450"/>
      <c r="D55" s="515"/>
      <c r="E55" s="294" t="s">
        <v>304</v>
      </c>
      <c r="F55" s="254">
        <v>117.2</v>
      </c>
      <c r="G55" s="254">
        <v>117.2</v>
      </c>
      <c r="H55" s="254">
        <v>117.2</v>
      </c>
      <c r="I55" s="254">
        <v>117.2</v>
      </c>
      <c r="J55" s="254">
        <v>117.2</v>
      </c>
      <c r="K55" s="254">
        <v>117.2</v>
      </c>
      <c r="L55" s="254">
        <v>117.2</v>
      </c>
      <c r="M55" s="254">
        <v>117.2</v>
      </c>
      <c r="N55" s="254">
        <v>117.2</v>
      </c>
      <c r="O55" s="254">
        <v>117.2</v>
      </c>
      <c r="P55" s="254">
        <v>117.2</v>
      </c>
      <c r="Q55" s="254">
        <v>117.2</v>
      </c>
      <c r="R55" s="254">
        <v>117.2</v>
      </c>
      <c r="S55" s="254">
        <v>117.2</v>
      </c>
      <c r="T55" s="254">
        <v>117.2</v>
      </c>
      <c r="U55" s="254">
        <v>117.2</v>
      </c>
      <c r="V55" s="254">
        <v>117.2</v>
      </c>
      <c r="W55" s="254">
        <v>117.2</v>
      </c>
      <c r="X55" s="254">
        <v>117.2</v>
      </c>
      <c r="Y55" s="254">
        <v>117.2</v>
      </c>
      <c r="Z55" s="254">
        <v>117.2</v>
      </c>
      <c r="AA55" s="254">
        <v>117.2</v>
      </c>
      <c r="AB55" s="254">
        <v>117.2</v>
      </c>
      <c r="AC55" s="291">
        <v>117.2</v>
      </c>
    </row>
    <row r="56" spans="1:29" ht="40.9" customHeight="1" thickBot="1">
      <c r="A56" s="513"/>
      <c r="B56" s="500"/>
      <c r="C56" s="493"/>
      <c r="D56" s="516"/>
      <c r="E56" s="295" t="s">
        <v>305</v>
      </c>
      <c r="F56" s="257">
        <v>117.2</v>
      </c>
      <c r="G56" s="257">
        <v>117.2</v>
      </c>
      <c r="H56" s="257">
        <v>117.2</v>
      </c>
      <c r="I56" s="257">
        <v>117.2</v>
      </c>
      <c r="J56" s="257">
        <v>117.2</v>
      </c>
      <c r="K56" s="257">
        <v>117.2</v>
      </c>
      <c r="L56" s="257">
        <v>117.2</v>
      </c>
      <c r="M56" s="257">
        <v>117.2</v>
      </c>
      <c r="N56" s="257">
        <v>117.2</v>
      </c>
      <c r="O56" s="257">
        <v>117.2</v>
      </c>
      <c r="P56" s="257">
        <v>117.2</v>
      </c>
      <c r="Q56" s="257">
        <v>117.2</v>
      </c>
      <c r="R56" s="257">
        <v>117.2</v>
      </c>
      <c r="S56" s="257">
        <v>117.2</v>
      </c>
      <c r="T56" s="257">
        <v>117.2</v>
      </c>
      <c r="U56" s="257">
        <v>117.2</v>
      </c>
      <c r="V56" s="257">
        <v>117.2</v>
      </c>
      <c r="W56" s="257">
        <v>117.2</v>
      </c>
      <c r="X56" s="257">
        <v>117.2</v>
      </c>
      <c r="Y56" s="257">
        <v>117.2</v>
      </c>
      <c r="Z56" s="257">
        <v>117.2</v>
      </c>
      <c r="AA56" s="257">
        <v>117.2</v>
      </c>
      <c r="AB56" s="257">
        <v>117.2</v>
      </c>
      <c r="AC56" s="293">
        <v>117.2</v>
      </c>
    </row>
    <row r="81" spans="1:39" s="286" customFormat="1" ht="21.6" customHeight="1">
      <c r="A81" s="285" t="s">
        <v>94</v>
      </c>
      <c r="C81" s="118"/>
      <c r="D81" s="118"/>
      <c r="E81" s="118"/>
      <c r="F81" s="118"/>
      <c r="G81" s="118"/>
    </row>
    <row r="84" spans="1:39" ht="12.75" thickBot="1"/>
    <row r="85" spans="1:39" ht="12.75">
      <c r="A85" s="494" t="s">
        <v>339</v>
      </c>
      <c r="B85" s="494" t="s">
        <v>340</v>
      </c>
      <c r="C85" s="492" t="s">
        <v>218</v>
      </c>
      <c r="D85" s="471" t="s">
        <v>318</v>
      </c>
      <c r="E85" s="243" t="s">
        <v>306</v>
      </c>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5"/>
    </row>
    <row r="86" spans="1:39" ht="12.75">
      <c r="A86" s="495"/>
      <c r="B86" s="495"/>
      <c r="C86" s="450"/>
      <c r="D86" s="417"/>
      <c r="E86" s="246" t="s">
        <v>304</v>
      </c>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247"/>
    </row>
    <row r="87" spans="1:39" ht="13.5" thickBot="1">
      <c r="A87" s="496"/>
      <c r="B87" s="496"/>
      <c r="C87" s="493"/>
      <c r="D87" s="472"/>
      <c r="E87" s="248" t="s">
        <v>305</v>
      </c>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50"/>
    </row>
    <row r="88" spans="1:39" ht="12.75">
      <c r="A88" s="494" t="s">
        <v>339</v>
      </c>
      <c r="B88" s="495" t="s">
        <v>341</v>
      </c>
      <c r="C88" s="450" t="s">
        <v>218</v>
      </c>
      <c r="D88" s="471" t="s">
        <v>318</v>
      </c>
      <c r="E88" s="251" t="s">
        <v>306</v>
      </c>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3"/>
    </row>
    <row r="89" spans="1:39" ht="12.75">
      <c r="A89" s="495"/>
      <c r="B89" s="495"/>
      <c r="C89" s="450"/>
      <c r="D89" s="417"/>
      <c r="E89" s="254" t="s">
        <v>304</v>
      </c>
      <c r="F89" s="255"/>
      <c r="G89" s="255"/>
      <c r="H89" s="255"/>
      <c r="I89" s="255"/>
      <c r="J89" s="255"/>
      <c r="K89" s="255"/>
      <c r="L89" s="255"/>
      <c r="M89" s="255"/>
      <c r="N89" s="255"/>
      <c r="O89" s="255"/>
      <c r="P89" s="255"/>
      <c r="Q89" s="255"/>
      <c r="R89" s="255"/>
      <c r="S89" s="255"/>
      <c r="T89" s="255"/>
      <c r="U89" s="255"/>
      <c r="V89" s="255"/>
      <c r="W89" s="255"/>
      <c r="X89" s="255"/>
      <c r="Y89" s="255"/>
      <c r="Z89" s="255"/>
      <c r="AA89" s="255"/>
      <c r="AB89" s="255"/>
      <c r="AC89" s="256"/>
    </row>
    <row r="90" spans="1:39" ht="13.5" thickBot="1">
      <c r="A90" s="496"/>
      <c r="B90" s="496"/>
      <c r="C90" s="493"/>
      <c r="D90" s="472"/>
      <c r="E90" s="257" t="s">
        <v>305</v>
      </c>
      <c r="F90" s="258"/>
      <c r="G90" s="258"/>
      <c r="H90" s="258"/>
      <c r="I90" s="258"/>
      <c r="J90" s="258"/>
      <c r="K90" s="258"/>
      <c r="L90" s="258"/>
      <c r="M90" s="258"/>
      <c r="N90" s="258"/>
      <c r="O90" s="258"/>
      <c r="P90" s="258"/>
      <c r="Q90" s="258"/>
      <c r="R90" s="258"/>
      <c r="S90" s="258"/>
      <c r="T90" s="258"/>
      <c r="U90" s="258"/>
      <c r="V90" s="258"/>
      <c r="W90" s="258"/>
      <c r="X90" s="258"/>
      <c r="Y90" s="258"/>
      <c r="Z90" s="258"/>
      <c r="AA90" s="258"/>
      <c r="AB90" s="258"/>
      <c r="AC90" s="259"/>
    </row>
    <row r="91" spans="1:39" ht="12.75">
      <c r="A91" s="494" t="s">
        <v>339</v>
      </c>
      <c r="B91" s="489" t="s">
        <v>320</v>
      </c>
      <c r="C91" s="492" t="s">
        <v>342</v>
      </c>
      <c r="D91" s="492" t="s">
        <v>342</v>
      </c>
      <c r="E91" s="260" t="s">
        <v>306</v>
      </c>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5"/>
    </row>
    <row r="92" spans="1:39" ht="12.75">
      <c r="A92" s="495"/>
      <c r="B92" s="490"/>
      <c r="C92" s="450"/>
      <c r="D92" s="450"/>
      <c r="E92" s="254" t="s">
        <v>304</v>
      </c>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247"/>
    </row>
    <row r="93" spans="1:39" ht="13.5" thickBot="1">
      <c r="A93" s="496"/>
      <c r="B93" s="491"/>
      <c r="C93" s="493"/>
      <c r="D93" s="493"/>
      <c r="E93" s="257" t="s">
        <v>305</v>
      </c>
      <c r="F93" s="249"/>
      <c r="G93" s="249"/>
      <c r="H93" s="249"/>
      <c r="I93" s="249"/>
      <c r="J93" s="249"/>
      <c r="K93" s="249"/>
      <c r="L93" s="249"/>
      <c r="M93" s="249"/>
      <c r="N93" s="249"/>
      <c r="O93" s="249"/>
      <c r="P93" s="249"/>
      <c r="Q93" s="249"/>
      <c r="R93" s="249"/>
      <c r="S93" s="249"/>
      <c r="T93" s="249"/>
      <c r="U93" s="249"/>
      <c r="V93" s="249"/>
      <c r="W93" s="249"/>
      <c r="X93" s="249"/>
      <c r="Y93" s="249"/>
      <c r="Z93" s="249"/>
      <c r="AA93" s="249"/>
      <c r="AB93" s="249"/>
      <c r="AC93" s="250"/>
    </row>
    <row r="95" spans="1:39" ht="12.75" thickBot="1"/>
    <row r="96" spans="1:39" ht="36" customHeight="1">
      <c r="A96" s="471" t="s">
        <v>316</v>
      </c>
      <c r="B96" s="475" t="s">
        <v>78</v>
      </c>
      <c r="C96" s="473" t="s">
        <v>321</v>
      </c>
      <c r="D96" s="471" t="s">
        <v>318</v>
      </c>
      <c r="E96" s="242" t="s">
        <v>306</v>
      </c>
      <c r="F96" s="261">
        <v>0</v>
      </c>
      <c r="G96" s="261">
        <v>0</v>
      </c>
      <c r="H96" s="261">
        <v>0</v>
      </c>
      <c r="I96" s="261">
        <v>0</v>
      </c>
      <c r="J96" s="261">
        <v>0</v>
      </c>
      <c r="K96" s="261">
        <v>0</v>
      </c>
      <c r="L96" s="261">
        <v>0</v>
      </c>
      <c r="M96" s="261">
        <v>0.5</v>
      </c>
      <c r="N96" s="261">
        <v>0.5</v>
      </c>
      <c r="O96" s="261">
        <v>0.5</v>
      </c>
      <c r="P96" s="261">
        <v>0.9</v>
      </c>
      <c r="Q96" s="261">
        <v>0.9</v>
      </c>
      <c r="R96" s="261">
        <v>0.9</v>
      </c>
      <c r="S96" s="261">
        <v>0.9</v>
      </c>
      <c r="T96" s="261">
        <v>0.75</v>
      </c>
      <c r="U96" s="261">
        <v>0.75</v>
      </c>
      <c r="V96" s="261">
        <v>0.75</v>
      </c>
      <c r="W96" s="261">
        <v>0.75</v>
      </c>
      <c r="X96" s="261">
        <v>0</v>
      </c>
      <c r="Y96" s="261">
        <v>0</v>
      </c>
      <c r="Z96" s="261">
        <v>0</v>
      </c>
      <c r="AA96" s="261">
        <v>0</v>
      </c>
      <c r="AB96" s="261">
        <v>0</v>
      </c>
      <c r="AC96" s="262">
        <v>0</v>
      </c>
      <c r="AD96" s="43"/>
      <c r="AE96" s="42"/>
      <c r="AF96" s="42"/>
      <c r="AG96" s="42"/>
      <c r="AH96" s="42"/>
      <c r="AI96" s="42"/>
      <c r="AJ96" s="42"/>
      <c r="AK96" s="42"/>
      <c r="AM96" s="53"/>
    </row>
    <row r="97" spans="1:39" ht="36" customHeight="1">
      <c r="A97" s="417"/>
      <c r="B97" s="476"/>
      <c r="C97" s="465"/>
      <c r="D97" s="417"/>
      <c r="E97" s="238" t="s">
        <v>304</v>
      </c>
      <c r="F97" s="203">
        <v>0</v>
      </c>
      <c r="G97" s="203">
        <v>0</v>
      </c>
      <c r="H97" s="203">
        <v>0</v>
      </c>
      <c r="I97" s="203">
        <v>0</v>
      </c>
      <c r="J97" s="203">
        <v>0</v>
      </c>
      <c r="K97" s="203">
        <v>0</v>
      </c>
      <c r="L97" s="203">
        <v>0</v>
      </c>
      <c r="M97" s="203">
        <v>0</v>
      </c>
      <c r="N97" s="203">
        <v>0.5</v>
      </c>
      <c r="O97" s="203">
        <v>0.5</v>
      </c>
      <c r="P97" s="203">
        <v>0.9</v>
      </c>
      <c r="Q97" s="203">
        <v>0.9</v>
      </c>
      <c r="R97" s="203">
        <v>0.9</v>
      </c>
      <c r="S97" s="203">
        <v>0.9</v>
      </c>
      <c r="T97" s="203">
        <v>0.75</v>
      </c>
      <c r="U97" s="203">
        <v>0.75</v>
      </c>
      <c r="V97" s="203">
        <v>0.75</v>
      </c>
      <c r="W97" s="203">
        <v>0</v>
      </c>
      <c r="X97" s="203">
        <v>0</v>
      </c>
      <c r="Y97" s="203">
        <v>0</v>
      </c>
      <c r="Z97" s="203">
        <v>0</v>
      </c>
      <c r="AA97" s="203">
        <v>0</v>
      </c>
      <c r="AB97" s="203">
        <v>0</v>
      </c>
      <c r="AC97" s="263">
        <v>0</v>
      </c>
      <c r="AD97" s="43"/>
      <c r="AE97" s="42"/>
      <c r="AF97" s="42"/>
      <c r="AG97" s="42"/>
      <c r="AH97" s="42"/>
      <c r="AI97" s="42"/>
      <c r="AJ97" s="42"/>
      <c r="AK97" s="42"/>
      <c r="AM97" s="53"/>
    </row>
    <row r="98" spans="1:39" ht="36" customHeight="1" thickBot="1">
      <c r="A98" s="472"/>
      <c r="B98" s="477"/>
      <c r="C98" s="474"/>
      <c r="D98" s="472"/>
      <c r="E98" s="240" t="s">
        <v>305</v>
      </c>
      <c r="F98" s="264">
        <v>0</v>
      </c>
      <c r="G98" s="264">
        <v>0</v>
      </c>
      <c r="H98" s="264">
        <v>0</v>
      </c>
      <c r="I98" s="264">
        <v>0</v>
      </c>
      <c r="J98" s="264">
        <v>0</v>
      </c>
      <c r="K98" s="264">
        <v>0</v>
      </c>
      <c r="L98" s="264">
        <v>0</v>
      </c>
      <c r="M98" s="264">
        <v>0</v>
      </c>
      <c r="N98" s="264">
        <v>0</v>
      </c>
      <c r="O98" s="264">
        <v>0</v>
      </c>
      <c r="P98" s="264">
        <v>0</v>
      </c>
      <c r="Q98" s="264">
        <v>0</v>
      </c>
      <c r="R98" s="264">
        <v>0</v>
      </c>
      <c r="S98" s="264">
        <v>0</v>
      </c>
      <c r="T98" s="264">
        <v>0</v>
      </c>
      <c r="U98" s="264">
        <v>0</v>
      </c>
      <c r="V98" s="264">
        <v>0</v>
      </c>
      <c r="W98" s="264">
        <v>0</v>
      </c>
      <c r="X98" s="264">
        <v>0</v>
      </c>
      <c r="Y98" s="264">
        <v>0</v>
      </c>
      <c r="Z98" s="264">
        <v>0</v>
      </c>
      <c r="AA98" s="264">
        <v>0</v>
      </c>
      <c r="AB98" s="264">
        <v>0</v>
      </c>
      <c r="AC98" s="265">
        <v>0</v>
      </c>
      <c r="AD98" s="43"/>
      <c r="AE98" s="42"/>
      <c r="AF98" s="42"/>
      <c r="AG98" s="42"/>
      <c r="AH98" s="42"/>
      <c r="AI98" s="42"/>
      <c r="AJ98" s="42"/>
      <c r="AK98" s="42"/>
      <c r="AM98" s="53"/>
    </row>
    <row r="99" spans="1:39" ht="36" customHeight="1">
      <c r="A99" s="471" t="s">
        <v>316</v>
      </c>
      <c r="B99" s="475" t="s">
        <v>78</v>
      </c>
      <c r="C99" s="466" t="s">
        <v>343</v>
      </c>
      <c r="D99" s="471" t="s">
        <v>318</v>
      </c>
      <c r="E99" s="242" t="s">
        <v>306</v>
      </c>
      <c r="F99" s="261">
        <v>0.9</v>
      </c>
      <c r="G99" s="261">
        <v>0.9</v>
      </c>
      <c r="H99" s="261">
        <v>0.9</v>
      </c>
      <c r="I99" s="261">
        <v>0.9</v>
      </c>
      <c r="J99" s="261">
        <v>0.9</v>
      </c>
      <c r="K99" s="261">
        <v>0.9</v>
      </c>
      <c r="L99" s="261">
        <v>0.9</v>
      </c>
      <c r="M99" s="261">
        <v>0.9</v>
      </c>
      <c r="N99" s="261">
        <v>0.9</v>
      </c>
      <c r="O99" s="261">
        <v>0.9</v>
      </c>
      <c r="P99" s="261">
        <v>0.9</v>
      </c>
      <c r="Q99" s="261">
        <v>0.9</v>
      </c>
      <c r="R99" s="261">
        <v>0.9</v>
      </c>
      <c r="S99" s="261">
        <v>0.9</v>
      </c>
      <c r="T99" s="261">
        <v>0.9</v>
      </c>
      <c r="U99" s="261">
        <v>0.9</v>
      </c>
      <c r="V99" s="261">
        <v>0.9</v>
      </c>
      <c r="W99" s="261">
        <v>0.9</v>
      </c>
      <c r="X99" s="261">
        <v>0.9</v>
      </c>
      <c r="Y99" s="261">
        <v>0.9</v>
      </c>
      <c r="Z99" s="261">
        <v>0.9</v>
      </c>
      <c r="AA99" s="261">
        <v>0.9</v>
      </c>
      <c r="AB99" s="261">
        <v>0.9</v>
      </c>
      <c r="AC99" s="262">
        <v>0.9</v>
      </c>
      <c r="AD99" s="43"/>
      <c r="AE99" s="42"/>
      <c r="AF99" s="42"/>
      <c r="AG99" s="42"/>
      <c r="AH99" s="42"/>
      <c r="AI99" s="42"/>
      <c r="AJ99" s="42"/>
      <c r="AK99" s="42"/>
      <c r="AM99" s="53"/>
    </row>
    <row r="100" spans="1:39" ht="36" customHeight="1">
      <c r="A100" s="417"/>
      <c r="B100" s="476"/>
      <c r="C100" s="417"/>
      <c r="D100" s="417"/>
      <c r="E100" s="238" t="s">
        <v>304</v>
      </c>
      <c r="F100" s="203">
        <v>0.9</v>
      </c>
      <c r="G100" s="203">
        <v>0.9</v>
      </c>
      <c r="H100" s="203">
        <v>0.9</v>
      </c>
      <c r="I100" s="203">
        <v>0.9</v>
      </c>
      <c r="J100" s="203">
        <v>0.9</v>
      </c>
      <c r="K100" s="203">
        <v>0.9</v>
      </c>
      <c r="L100" s="203">
        <v>0.9</v>
      </c>
      <c r="M100" s="203">
        <v>0.9</v>
      </c>
      <c r="N100" s="203">
        <v>0.9</v>
      </c>
      <c r="O100" s="203">
        <v>0.9</v>
      </c>
      <c r="P100" s="203">
        <v>0.9</v>
      </c>
      <c r="Q100" s="203">
        <v>0.9</v>
      </c>
      <c r="R100" s="203">
        <v>0.9</v>
      </c>
      <c r="S100" s="203">
        <v>0.9</v>
      </c>
      <c r="T100" s="203">
        <v>0.9</v>
      </c>
      <c r="U100" s="203">
        <v>0.9</v>
      </c>
      <c r="V100" s="203">
        <v>0.9</v>
      </c>
      <c r="W100" s="203">
        <v>0.9</v>
      </c>
      <c r="X100" s="203">
        <v>0.9</v>
      </c>
      <c r="Y100" s="203">
        <v>0.9</v>
      </c>
      <c r="Z100" s="203">
        <v>0.9</v>
      </c>
      <c r="AA100" s="203">
        <v>0.9</v>
      </c>
      <c r="AB100" s="203">
        <v>0.9</v>
      </c>
      <c r="AC100" s="263">
        <v>0.9</v>
      </c>
      <c r="AD100" s="43"/>
      <c r="AE100" s="42"/>
      <c r="AF100" s="42"/>
      <c r="AG100" s="42"/>
      <c r="AH100" s="42"/>
      <c r="AI100" s="42"/>
      <c r="AJ100" s="42"/>
      <c r="AK100" s="42"/>
      <c r="AM100" s="53"/>
    </row>
    <row r="101" spans="1:39" ht="36" customHeight="1" thickBot="1">
      <c r="A101" s="472"/>
      <c r="B101" s="477"/>
      <c r="C101" s="472"/>
      <c r="D101" s="472"/>
      <c r="E101" s="240" t="s">
        <v>305</v>
      </c>
      <c r="F101" s="264">
        <v>0.9</v>
      </c>
      <c r="G101" s="264">
        <v>0.9</v>
      </c>
      <c r="H101" s="264">
        <v>0.9</v>
      </c>
      <c r="I101" s="264">
        <v>0.9</v>
      </c>
      <c r="J101" s="264">
        <v>0.9</v>
      </c>
      <c r="K101" s="264">
        <v>0.9</v>
      </c>
      <c r="L101" s="264">
        <v>0.9</v>
      </c>
      <c r="M101" s="264">
        <v>0.9</v>
      </c>
      <c r="N101" s="264">
        <v>0.9</v>
      </c>
      <c r="O101" s="264">
        <v>0.9</v>
      </c>
      <c r="P101" s="264">
        <v>0.9</v>
      </c>
      <c r="Q101" s="264">
        <v>0.9</v>
      </c>
      <c r="R101" s="264">
        <v>0.9</v>
      </c>
      <c r="S101" s="264">
        <v>0.9</v>
      </c>
      <c r="T101" s="264">
        <v>0.9</v>
      </c>
      <c r="U101" s="264">
        <v>0.9</v>
      </c>
      <c r="V101" s="264">
        <v>0.9</v>
      </c>
      <c r="W101" s="264">
        <v>0.9</v>
      </c>
      <c r="X101" s="264">
        <v>0.9</v>
      </c>
      <c r="Y101" s="264">
        <v>0.9</v>
      </c>
      <c r="Z101" s="264">
        <v>0.9</v>
      </c>
      <c r="AA101" s="264">
        <v>0.9</v>
      </c>
      <c r="AB101" s="264">
        <v>0.9</v>
      </c>
      <c r="AC101" s="265">
        <v>0.9</v>
      </c>
      <c r="AD101" s="43"/>
      <c r="AE101" s="42"/>
      <c r="AF101" s="42"/>
      <c r="AG101" s="42"/>
      <c r="AH101" s="42"/>
      <c r="AI101" s="42"/>
      <c r="AJ101" s="42"/>
      <c r="AK101" s="42"/>
      <c r="AM101" s="53"/>
    </row>
  </sheetData>
  <mergeCells count="97">
    <mergeCell ref="D23:D25"/>
    <mergeCell ref="B35:B37"/>
    <mergeCell ref="C35:C37"/>
    <mergeCell ref="D35:D37"/>
    <mergeCell ref="A38:A40"/>
    <mergeCell ref="A26:A28"/>
    <mergeCell ref="A32:A34"/>
    <mergeCell ref="B32:B34"/>
    <mergeCell ref="C32:C34"/>
    <mergeCell ref="D32:D34"/>
    <mergeCell ref="A1:AC1"/>
    <mergeCell ref="A17:A19"/>
    <mergeCell ref="B17:B19"/>
    <mergeCell ref="C17:C19"/>
    <mergeCell ref="D17:D19"/>
    <mergeCell ref="A2:A3"/>
    <mergeCell ref="A4:A6"/>
    <mergeCell ref="A7:A9"/>
    <mergeCell ref="A13:A15"/>
    <mergeCell ref="A10:A12"/>
    <mergeCell ref="B2:B3"/>
    <mergeCell ref="C13:C15"/>
    <mergeCell ref="C7:C9"/>
    <mergeCell ref="F2:AC2"/>
    <mergeCell ref="E2:E3"/>
    <mergeCell ref="D2:D3"/>
    <mergeCell ref="B54:B56"/>
    <mergeCell ref="C54:C56"/>
    <mergeCell ref="D54:D56"/>
    <mergeCell ref="D38:D40"/>
    <mergeCell ref="A41:AC41"/>
    <mergeCell ref="B38:B40"/>
    <mergeCell ref="C38:C40"/>
    <mergeCell ref="A42:A44"/>
    <mergeCell ref="B51:B53"/>
    <mergeCell ref="C51:C53"/>
    <mergeCell ref="D51:D53"/>
    <mergeCell ref="B48:B50"/>
    <mergeCell ref="C48:C50"/>
    <mergeCell ref="D48:D50"/>
    <mergeCell ref="A99:A101"/>
    <mergeCell ref="A29:A31"/>
    <mergeCell ref="A45:A47"/>
    <mergeCell ref="A51:A53"/>
    <mergeCell ref="A54:A56"/>
    <mergeCell ref="A88:A90"/>
    <mergeCell ref="A91:A93"/>
    <mergeCell ref="A85:A87"/>
    <mergeCell ref="A48:A50"/>
    <mergeCell ref="A35:A37"/>
    <mergeCell ref="B96:B98"/>
    <mergeCell ref="A96:A98"/>
    <mergeCell ref="B10:B12"/>
    <mergeCell ref="B88:B90"/>
    <mergeCell ref="A16:AC16"/>
    <mergeCell ref="A20:A22"/>
    <mergeCell ref="B20:B22"/>
    <mergeCell ref="C20:C22"/>
    <mergeCell ref="D20:D22"/>
    <mergeCell ref="A23:A25"/>
    <mergeCell ref="B23:B25"/>
    <mergeCell ref="C23:C25"/>
    <mergeCell ref="D96:D98"/>
    <mergeCell ref="B45:B47"/>
    <mergeCell ref="C45:C47"/>
    <mergeCell ref="D45:D47"/>
    <mergeCell ref="D88:D90"/>
    <mergeCell ref="B91:B93"/>
    <mergeCell ref="C91:C93"/>
    <mergeCell ref="D91:D93"/>
    <mergeCell ref="B85:B87"/>
    <mergeCell ref="C85:C87"/>
    <mergeCell ref="D85:D87"/>
    <mergeCell ref="C88:C90"/>
    <mergeCell ref="B99:B101"/>
    <mergeCell ref="C99:C101"/>
    <mergeCell ref="D99:D101"/>
    <mergeCell ref="B4:B6"/>
    <mergeCell ref="B7:B9"/>
    <mergeCell ref="C96:C98"/>
    <mergeCell ref="B29:B31"/>
    <mergeCell ref="C29:C31"/>
    <mergeCell ref="D29:D31"/>
    <mergeCell ref="D13:D15"/>
    <mergeCell ref="B26:B28"/>
    <mergeCell ref="C26:C28"/>
    <mergeCell ref="D26:D28"/>
    <mergeCell ref="B42:B44"/>
    <mergeCell ref="C42:C44"/>
    <mergeCell ref="D42:D44"/>
    <mergeCell ref="C2:C3"/>
    <mergeCell ref="D4:D6"/>
    <mergeCell ref="C4:C6"/>
    <mergeCell ref="D7:D9"/>
    <mergeCell ref="B13:B15"/>
    <mergeCell ref="C10:C12"/>
    <mergeCell ref="D10:D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zoomScale="85" zoomScaleNormal="85" workbookViewId="0">
      <selection sqref="A1:L1"/>
    </sheetView>
  </sheetViews>
  <sheetFormatPr defaultColWidth="8.7109375" defaultRowHeight="12.75"/>
  <cols>
    <col min="1" max="1" width="14.42578125" style="4" customWidth="1"/>
    <col min="2" max="2" width="15.42578125" style="4" customWidth="1"/>
    <col min="3" max="3" width="19.28515625" style="4" customWidth="1"/>
    <col min="4" max="5" width="18.28515625" style="4" customWidth="1"/>
    <col min="6" max="8" width="13.7109375" style="4" customWidth="1"/>
    <col min="9" max="9" width="10.7109375" style="4" customWidth="1"/>
    <col min="10" max="11" width="8.7109375" style="4"/>
    <col min="12" max="12" width="13.7109375" style="4" customWidth="1"/>
    <col min="13" max="13" width="8.7109375" style="4"/>
    <col min="14" max="14" width="18" style="4" customWidth="1"/>
    <col min="15" max="15" width="8.7109375" style="4"/>
    <col min="16" max="16" width="12.42578125" style="4" customWidth="1"/>
    <col min="17" max="16384" width="8.7109375" style="4"/>
  </cols>
  <sheetData>
    <row r="1" spans="1:22" ht="27" customHeight="1">
      <c r="A1" s="525" t="s">
        <v>450</v>
      </c>
      <c r="B1" s="526"/>
      <c r="C1" s="526"/>
      <c r="D1" s="526"/>
      <c r="E1" s="526"/>
      <c r="F1" s="526"/>
      <c r="G1" s="526"/>
      <c r="H1" s="526"/>
      <c r="I1" s="526"/>
      <c r="J1" s="526"/>
      <c r="K1" s="526"/>
      <c r="L1" s="526"/>
      <c r="N1" s="527" t="str">
        <f>"Energy Consumption - "&amp;Prototype!A2</f>
        <v>Energy Consumption - ParkingOpen</v>
      </c>
      <c r="O1" s="528"/>
      <c r="P1" s="528"/>
      <c r="Q1" s="528"/>
      <c r="R1" s="528"/>
      <c r="S1" s="528"/>
      <c r="T1" s="528"/>
      <c r="U1" s="528"/>
      <c r="V1" s="528"/>
    </row>
    <row r="2" spans="1:22" ht="39.6" customHeight="1">
      <c r="A2" s="379" t="s">
        <v>5</v>
      </c>
      <c r="B2" s="379" t="s">
        <v>344</v>
      </c>
      <c r="C2" s="379" t="s">
        <v>434</v>
      </c>
      <c r="D2" s="379" t="s">
        <v>435</v>
      </c>
      <c r="E2" s="379" t="s">
        <v>436</v>
      </c>
      <c r="F2" s="379" t="s">
        <v>437</v>
      </c>
      <c r="G2" s="379" t="s">
        <v>438</v>
      </c>
      <c r="H2" s="379" t="s">
        <v>439</v>
      </c>
      <c r="I2" s="383" t="s">
        <v>440</v>
      </c>
      <c r="J2" s="383" t="s">
        <v>441</v>
      </c>
      <c r="K2" s="383" t="s">
        <v>442</v>
      </c>
      <c r="L2" s="383" t="s">
        <v>443</v>
      </c>
      <c r="N2" s="382" t="s">
        <v>5</v>
      </c>
      <c r="O2" s="379" t="s">
        <v>344</v>
      </c>
      <c r="P2" s="379" t="s">
        <v>345</v>
      </c>
      <c r="Q2" s="379" t="s">
        <v>444</v>
      </c>
      <c r="R2" s="379" t="s">
        <v>445</v>
      </c>
      <c r="S2" s="384" t="s">
        <v>446</v>
      </c>
      <c r="T2" s="384" t="s">
        <v>447</v>
      </c>
      <c r="U2" s="384" t="s">
        <v>448</v>
      </c>
      <c r="V2" s="384" t="s">
        <v>449</v>
      </c>
    </row>
    <row r="3" spans="1:22" ht="19.149999999999999" customHeight="1">
      <c r="A3" s="524" t="s">
        <v>34</v>
      </c>
      <c r="B3" s="102">
        <v>1</v>
      </c>
      <c r="C3" s="385">
        <v>3.9</v>
      </c>
      <c r="D3" s="385">
        <v>0</v>
      </c>
      <c r="E3" s="385">
        <v>3.9</v>
      </c>
      <c r="F3" s="102">
        <v>3.1</v>
      </c>
      <c r="G3" s="102">
        <v>0</v>
      </c>
      <c r="H3" s="102">
        <v>3.1</v>
      </c>
      <c r="I3" s="102">
        <v>4.2</v>
      </c>
      <c r="J3" s="385">
        <f>(I3*1.25)</f>
        <v>5.25</v>
      </c>
      <c r="K3" s="385">
        <f>(I3*0.75)</f>
        <v>3.1500000000000004</v>
      </c>
      <c r="L3" s="385">
        <f>J3-K3</f>
        <v>2.0999999999999996</v>
      </c>
      <c r="N3" s="418" t="s">
        <v>34</v>
      </c>
      <c r="O3" s="386">
        <v>1</v>
      </c>
      <c r="P3" s="229"/>
      <c r="Q3" s="387"/>
      <c r="R3" s="387"/>
      <c r="S3" s="388"/>
      <c r="T3" s="389"/>
      <c r="U3" s="389"/>
      <c r="V3" s="388"/>
    </row>
    <row r="4" spans="1:22" ht="19.149999999999999" customHeight="1">
      <c r="A4" s="524"/>
      <c r="B4" s="102">
        <v>2</v>
      </c>
      <c r="C4" s="385">
        <v>3.7</v>
      </c>
      <c r="D4" s="385">
        <v>0</v>
      </c>
      <c r="E4" s="385">
        <v>3.7</v>
      </c>
      <c r="F4" s="102">
        <v>2.9</v>
      </c>
      <c r="G4" s="102">
        <v>0</v>
      </c>
      <c r="H4" s="102">
        <v>2.9</v>
      </c>
      <c r="I4" s="102">
        <v>4.2</v>
      </c>
      <c r="J4" s="385">
        <f t="shared" ref="J4:J18" si="0">(I4*1.25)</f>
        <v>5.25</v>
      </c>
      <c r="K4" s="385">
        <f t="shared" ref="K4:K18" si="1">(I4*0.75)</f>
        <v>3.1500000000000004</v>
      </c>
      <c r="L4" s="385">
        <f t="shared" ref="L4:L18" si="2">J4-K4</f>
        <v>2.0999999999999996</v>
      </c>
      <c r="N4" s="418"/>
      <c r="O4" s="386">
        <v>2</v>
      </c>
      <c r="P4" s="229"/>
      <c r="Q4" s="387"/>
      <c r="R4" s="387"/>
      <c r="S4" s="388"/>
      <c r="T4" s="389"/>
      <c r="U4" s="389"/>
      <c r="V4" s="388"/>
    </row>
    <row r="5" spans="1:22" ht="19.149999999999999" customHeight="1">
      <c r="A5" s="524"/>
      <c r="B5" s="102">
        <v>3</v>
      </c>
      <c r="C5" s="385">
        <v>3.7</v>
      </c>
      <c r="D5" s="385">
        <v>0</v>
      </c>
      <c r="E5" s="385">
        <v>3.7</v>
      </c>
      <c r="F5" s="102">
        <v>2.9</v>
      </c>
      <c r="G5" s="102">
        <v>0</v>
      </c>
      <c r="H5" s="102">
        <v>2.9</v>
      </c>
      <c r="I5" s="102">
        <v>4.2</v>
      </c>
      <c r="J5" s="385">
        <f t="shared" si="0"/>
        <v>5.25</v>
      </c>
      <c r="K5" s="385">
        <f t="shared" si="1"/>
        <v>3.1500000000000004</v>
      </c>
      <c r="L5" s="385">
        <f t="shared" si="2"/>
        <v>2.0999999999999996</v>
      </c>
      <c r="N5" s="418"/>
      <c r="O5" s="386">
        <v>3</v>
      </c>
      <c r="P5" s="229"/>
      <c r="Q5" s="387"/>
      <c r="R5" s="387"/>
      <c r="S5" s="388"/>
      <c r="T5" s="389"/>
      <c r="U5" s="389"/>
      <c r="V5" s="388"/>
    </row>
    <row r="6" spans="1:22" ht="19.149999999999999" customHeight="1">
      <c r="A6" s="524"/>
      <c r="B6" s="102">
        <v>4</v>
      </c>
      <c r="C6" s="385">
        <v>3.6</v>
      </c>
      <c r="D6" s="385">
        <v>0</v>
      </c>
      <c r="E6" s="385">
        <v>3.6</v>
      </c>
      <c r="F6" s="102">
        <v>2.8</v>
      </c>
      <c r="G6" s="102">
        <v>0</v>
      </c>
      <c r="H6" s="102">
        <v>2.8</v>
      </c>
      <c r="I6" s="102">
        <v>4.2</v>
      </c>
      <c r="J6" s="385">
        <f t="shared" si="0"/>
        <v>5.25</v>
      </c>
      <c r="K6" s="385">
        <f t="shared" si="1"/>
        <v>3.1500000000000004</v>
      </c>
      <c r="L6" s="385">
        <f t="shared" si="2"/>
        <v>2.0999999999999996</v>
      </c>
      <c r="N6" s="418"/>
      <c r="O6" s="386">
        <v>4</v>
      </c>
      <c r="P6" s="229"/>
      <c r="Q6" s="387"/>
      <c r="R6" s="387"/>
      <c r="S6" s="388"/>
      <c r="T6" s="389"/>
      <c r="U6" s="389"/>
      <c r="V6" s="388"/>
    </row>
    <row r="7" spans="1:22" ht="19.149999999999999" customHeight="1">
      <c r="A7" s="524"/>
      <c r="B7" s="102">
        <v>5</v>
      </c>
      <c r="C7" s="385">
        <v>3.6</v>
      </c>
      <c r="D7" s="385">
        <v>0</v>
      </c>
      <c r="E7" s="385">
        <v>3.6</v>
      </c>
      <c r="F7" s="102">
        <v>2.8</v>
      </c>
      <c r="G7" s="102">
        <v>0</v>
      </c>
      <c r="H7" s="102">
        <v>2.8</v>
      </c>
      <c r="I7" s="102">
        <v>4.2</v>
      </c>
      <c r="J7" s="385">
        <f t="shared" si="0"/>
        <v>5.25</v>
      </c>
      <c r="K7" s="385">
        <f t="shared" si="1"/>
        <v>3.1500000000000004</v>
      </c>
      <c r="L7" s="385">
        <f t="shared" si="2"/>
        <v>2.0999999999999996</v>
      </c>
      <c r="N7" s="418"/>
      <c r="O7" s="386">
        <v>5</v>
      </c>
      <c r="P7" s="229"/>
      <c r="Q7" s="387"/>
      <c r="R7" s="387"/>
      <c r="S7" s="388"/>
      <c r="T7" s="389"/>
      <c r="U7" s="389"/>
      <c r="V7" s="388"/>
    </row>
    <row r="8" spans="1:22" ht="19.149999999999999" customHeight="1">
      <c r="A8" s="524"/>
      <c r="B8" s="102">
        <v>6</v>
      </c>
      <c r="C8" s="385">
        <v>3.5</v>
      </c>
      <c r="D8" s="385">
        <v>0</v>
      </c>
      <c r="E8" s="385">
        <v>3.5</v>
      </c>
      <c r="F8" s="102">
        <v>2.7</v>
      </c>
      <c r="G8" s="102">
        <v>0</v>
      </c>
      <c r="H8" s="102">
        <v>2.7</v>
      </c>
      <c r="I8" s="102">
        <v>4.2</v>
      </c>
      <c r="J8" s="385">
        <f t="shared" si="0"/>
        <v>5.25</v>
      </c>
      <c r="K8" s="385">
        <f t="shared" si="1"/>
        <v>3.1500000000000004</v>
      </c>
      <c r="L8" s="385">
        <f t="shared" si="2"/>
        <v>2.0999999999999996</v>
      </c>
      <c r="N8" s="418"/>
      <c r="O8" s="386">
        <v>6</v>
      </c>
      <c r="P8" s="229"/>
      <c r="Q8" s="387"/>
      <c r="R8" s="387"/>
      <c r="S8" s="388"/>
      <c r="T8" s="389"/>
      <c r="U8" s="389"/>
      <c r="V8" s="388"/>
    </row>
    <row r="9" spans="1:22" ht="19.149999999999999" customHeight="1">
      <c r="A9" s="524"/>
      <c r="B9" s="102">
        <v>7</v>
      </c>
      <c r="C9" s="385">
        <v>3.5</v>
      </c>
      <c r="D9" s="385">
        <v>0</v>
      </c>
      <c r="E9" s="385">
        <v>3.5</v>
      </c>
      <c r="F9" s="102">
        <v>2.7</v>
      </c>
      <c r="G9" s="102">
        <v>0</v>
      </c>
      <c r="H9" s="102">
        <v>2.7</v>
      </c>
      <c r="I9" s="102">
        <v>4.2</v>
      </c>
      <c r="J9" s="385">
        <f t="shared" si="0"/>
        <v>5.25</v>
      </c>
      <c r="K9" s="385">
        <f t="shared" si="1"/>
        <v>3.1500000000000004</v>
      </c>
      <c r="L9" s="385">
        <f t="shared" si="2"/>
        <v>2.0999999999999996</v>
      </c>
      <c r="N9" s="418"/>
      <c r="O9" s="386">
        <v>7</v>
      </c>
      <c r="P9" s="229"/>
      <c r="Q9" s="387"/>
      <c r="R9" s="387"/>
      <c r="S9" s="388"/>
      <c r="T9" s="389"/>
      <c r="U9" s="389"/>
      <c r="V9" s="388"/>
    </row>
    <row r="10" spans="1:22" ht="19.149999999999999" customHeight="1">
      <c r="A10" s="524"/>
      <c r="B10" s="102">
        <v>8</v>
      </c>
      <c r="C10" s="385">
        <v>3.4</v>
      </c>
      <c r="D10" s="385">
        <v>0</v>
      </c>
      <c r="E10" s="385">
        <v>3.4</v>
      </c>
      <c r="F10" s="102">
        <v>2.6</v>
      </c>
      <c r="G10" s="102">
        <v>0</v>
      </c>
      <c r="H10" s="102">
        <v>2.6</v>
      </c>
      <c r="I10" s="102">
        <v>4.2</v>
      </c>
      <c r="J10" s="385">
        <f t="shared" si="0"/>
        <v>5.25</v>
      </c>
      <c r="K10" s="385">
        <f t="shared" si="1"/>
        <v>3.1500000000000004</v>
      </c>
      <c r="L10" s="385">
        <f t="shared" si="2"/>
        <v>2.0999999999999996</v>
      </c>
      <c r="N10" s="418"/>
      <c r="O10" s="386">
        <v>8</v>
      </c>
      <c r="P10" s="229"/>
      <c r="Q10" s="387"/>
      <c r="R10" s="387"/>
      <c r="S10" s="388"/>
      <c r="T10" s="389"/>
      <c r="U10" s="389"/>
      <c r="V10" s="388"/>
    </row>
    <row r="11" spans="1:22" ht="19.149999999999999" customHeight="1">
      <c r="A11" s="524"/>
      <c r="B11" s="102">
        <v>9</v>
      </c>
      <c r="C11" s="385">
        <v>3.5</v>
      </c>
      <c r="D11" s="385">
        <v>0</v>
      </c>
      <c r="E11" s="385">
        <v>3.5</v>
      </c>
      <c r="F11" s="102">
        <v>2.7</v>
      </c>
      <c r="G11" s="102">
        <v>0</v>
      </c>
      <c r="H11" s="102">
        <v>2.7</v>
      </c>
      <c r="I11" s="102">
        <v>4.2</v>
      </c>
      <c r="J11" s="385">
        <f t="shared" si="0"/>
        <v>5.25</v>
      </c>
      <c r="K11" s="385">
        <f t="shared" si="1"/>
        <v>3.1500000000000004</v>
      </c>
      <c r="L11" s="385">
        <f t="shared" si="2"/>
        <v>2.0999999999999996</v>
      </c>
      <c r="N11" s="418"/>
      <c r="O11" s="386">
        <v>9</v>
      </c>
      <c r="P11" s="229"/>
      <c r="Q11" s="387"/>
      <c r="R11" s="387"/>
      <c r="S11" s="388"/>
      <c r="T11" s="389"/>
      <c r="U11" s="389"/>
      <c r="V11" s="388"/>
    </row>
    <row r="12" spans="1:22" ht="19.149999999999999" customHeight="1">
      <c r="A12" s="524"/>
      <c r="B12" s="102">
        <v>10</v>
      </c>
      <c r="C12" s="385">
        <v>3.5</v>
      </c>
      <c r="D12" s="385">
        <v>0</v>
      </c>
      <c r="E12" s="385">
        <v>3.5</v>
      </c>
      <c r="F12" s="102">
        <v>2.7</v>
      </c>
      <c r="G12" s="102">
        <v>0</v>
      </c>
      <c r="H12" s="102">
        <v>2.7</v>
      </c>
      <c r="I12" s="102">
        <v>4.2</v>
      </c>
      <c r="J12" s="385">
        <f t="shared" si="0"/>
        <v>5.25</v>
      </c>
      <c r="K12" s="385">
        <f t="shared" si="1"/>
        <v>3.1500000000000004</v>
      </c>
      <c r="L12" s="385">
        <f t="shared" si="2"/>
        <v>2.0999999999999996</v>
      </c>
      <c r="N12" s="418"/>
      <c r="O12" s="386">
        <v>10</v>
      </c>
      <c r="P12" s="229"/>
      <c r="Q12" s="387"/>
      <c r="R12" s="387"/>
      <c r="S12" s="388"/>
      <c r="T12" s="389"/>
      <c r="U12" s="389"/>
      <c r="V12" s="388"/>
    </row>
    <row r="13" spans="1:22" ht="19.149999999999999" customHeight="1">
      <c r="A13" s="524"/>
      <c r="B13" s="102">
        <v>11</v>
      </c>
      <c r="C13" s="385">
        <v>3.6</v>
      </c>
      <c r="D13" s="385">
        <v>0</v>
      </c>
      <c r="E13" s="385">
        <v>3.6</v>
      </c>
      <c r="F13" s="102">
        <v>2.8</v>
      </c>
      <c r="G13" s="102">
        <v>0</v>
      </c>
      <c r="H13" s="102">
        <v>2.8</v>
      </c>
      <c r="I13" s="102">
        <v>4.2</v>
      </c>
      <c r="J13" s="385">
        <f t="shared" si="0"/>
        <v>5.25</v>
      </c>
      <c r="K13" s="385">
        <f t="shared" si="1"/>
        <v>3.1500000000000004</v>
      </c>
      <c r="L13" s="385">
        <f t="shared" si="2"/>
        <v>2.0999999999999996</v>
      </c>
      <c r="N13" s="418"/>
      <c r="O13" s="386">
        <v>11</v>
      </c>
      <c r="P13" s="229"/>
      <c r="Q13" s="387"/>
      <c r="R13" s="387"/>
      <c r="S13" s="388"/>
      <c r="T13" s="389"/>
      <c r="U13" s="389"/>
      <c r="V13" s="388"/>
    </row>
    <row r="14" spans="1:22" ht="19.149999999999999" customHeight="1">
      <c r="A14" s="524"/>
      <c r="B14" s="102">
        <v>12</v>
      </c>
      <c r="C14" s="385">
        <v>3.6</v>
      </c>
      <c r="D14" s="385">
        <v>0</v>
      </c>
      <c r="E14" s="385">
        <v>3.6</v>
      </c>
      <c r="F14" s="102">
        <v>2.8</v>
      </c>
      <c r="G14" s="102">
        <v>0</v>
      </c>
      <c r="H14" s="102">
        <v>2.8</v>
      </c>
      <c r="I14" s="102">
        <v>4.2</v>
      </c>
      <c r="J14" s="385">
        <f t="shared" si="0"/>
        <v>5.25</v>
      </c>
      <c r="K14" s="385">
        <f t="shared" si="1"/>
        <v>3.1500000000000004</v>
      </c>
      <c r="L14" s="385">
        <f t="shared" si="2"/>
        <v>2.0999999999999996</v>
      </c>
      <c r="N14" s="418"/>
      <c r="O14" s="386">
        <v>12</v>
      </c>
      <c r="P14" s="229"/>
      <c r="Q14" s="387"/>
      <c r="R14" s="387"/>
      <c r="S14" s="388"/>
      <c r="T14" s="389"/>
      <c r="U14" s="389"/>
      <c r="V14" s="388"/>
    </row>
    <row r="15" spans="1:22" ht="19.149999999999999" customHeight="1">
      <c r="A15" s="524"/>
      <c r="B15" s="102">
        <v>13</v>
      </c>
      <c r="C15" s="385">
        <v>3.6</v>
      </c>
      <c r="D15" s="385">
        <v>0</v>
      </c>
      <c r="E15" s="385">
        <v>3.6</v>
      </c>
      <c r="F15" s="102">
        <v>2.8</v>
      </c>
      <c r="G15" s="102">
        <v>0</v>
      </c>
      <c r="H15" s="102">
        <v>2.8</v>
      </c>
      <c r="I15" s="102">
        <v>4.2</v>
      </c>
      <c r="J15" s="385">
        <f t="shared" si="0"/>
        <v>5.25</v>
      </c>
      <c r="K15" s="385">
        <f t="shared" si="1"/>
        <v>3.1500000000000004</v>
      </c>
      <c r="L15" s="385">
        <f t="shared" si="2"/>
        <v>2.0999999999999996</v>
      </c>
      <c r="N15" s="418"/>
      <c r="O15" s="386">
        <v>13</v>
      </c>
      <c r="P15" s="229"/>
      <c r="Q15" s="387"/>
      <c r="R15" s="387"/>
      <c r="S15" s="388"/>
      <c r="T15" s="389"/>
      <c r="U15" s="389"/>
      <c r="V15" s="388"/>
    </row>
    <row r="16" spans="1:22" ht="19.149999999999999" customHeight="1">
      <c r="A16" s="524"/>
      <c r="B16" s="102">
        <v>14</v>
      </c>
      <c r="C16" s="385">
        <v>3.6</v>
      </c>
      <c r="D16" s="385">
        <v>0</v>
      </c>
      <c r="E16" s="385">
        <v>3.6</v>
      </c>
      <c r="F16" s="102">
        <v>2.8</v>
      </c>
      <c r="G16" s="102">
        <v>0</v>
      </c>
      <c r="H16" s="102">
        <v>2.8</v>
      </c>
      <c r="I16" s="102">
        <v>4.2</v>
      </c>
      <c r="J16" s="385">
        <f t="shared" si="0"/>
        <v>5.25</v>
      </c>
      <c r="K16" s="385">
        <f t="shared" si="1"/>
        <v>3.1500000000000004</v>
      </c>
      <c r="L16" s="385">
        <f t="shared" si="2"/>
        <v>2.0999999999999996</v>
      </c>
      <c r="N16" s="418"/>
      <c r="O16" s="386">
        <v>14</v>
      </c>
      <c r="P16" s="229"/>
      <c r="Q16" s="387"/>
      <c r="R16" s="387"/>
      <c r="S16" s="388"/>
      <c r="T16" s="389"/>
      <c r="U16" s="389"/>
      <c r="V16" s="388"/>
    </row>
    <row r="17" spans="1:22" ht="19.149999999999999" customHeight="1">
      <c r="A17" s="524"/>
      <c r="B17" s="102">
        <v>15</v>
      </c>
      <c r="C17" s="385">
        <v>3.4</v>
      </c>
      <c r="D17" s="385">
        <v>0</v>
      </c>
      <c r="E17" s="385">
        <v>3.4</v>
      </c>
      <c r="F17" s="102">
        <v>2.6</v>
      </c>
      <c r="G17" s="102">
        <v>0</v>
      </c>
      <c r="H17" s="102">
        <v>2.6</v>
      </c>
      <c r="I17" s="102">
        <v>4.2</v>
      </c>
      <c r="J17" s="385">
        <f t="shared" si="0"/>
        <v>5.25</v>
      </c>
      <c r="K17" s="385">
        <f t="shared" si="1"/>
        <v>3.1500000000000004</v>
      </c>
      <c r="L17" s="385">
        <f t="shared" si="2"/>
        <v>2.0999999999999996</v>
      </c>
      <c r="N17" s="418"/>
      <c r="O17" s="386">
        <v>15</v>
      </c>
      <c r="P17" s="229"/>
      <c r="Q17" s="387"/>
      <c r="R17" s="387"/>
      <c r="S17" s="388"/>
      <c r="T17" s="389"/>
      <c r="U17" s="389"/>
      <c r="V17" s="388"/>
    </row>
    <row r="18" spans="1:22" ht="19.149999999999999" customHeight="1">
      <c r="A18" s="524"/>
      <c r="B18" s="102">
        <v>16</v>
      </c>
      <c r="C18" s="385">
        <v>3.8</v>
      </c>
      <c r="D18" s="385">
        <v>0</v>
      </c>
      <c r="E18" s="385">
        <v>3.8</v>
      </c>
      <c r="F18" s="102">
        <v>3</v>
      </c>
      <c r="G18" s="102">
        <v>0</v>
      </c>
      <c r="H18" s="102">
        <v>3</v>
      </c>
      <c r="I18" s="102">
        <v>4.2</v>
      </c>
      <c r="J18" s="385">
        <f t="shared" si="0"/>
        <v>5.25</v>
      </c>
      <c r="K18" s="385">
        <f t="shared" si="1"/>
        <v>3.1500000000000004</v>
      </c>
      <c r="L18" s="385">
        <f t="shared" si="2"/>
        <v>2.0999999999999996</v>
      </c>
      <c r="N18" s="418"/>
      <c r="O18" s="386">
        <v>16</v>
      </c>
      <c r="P18" s="229"/>
      <c r="Q18" s="387"/>
      <c r="R18" s="387"/>
      <c r="S18" s="388"/>
      <c r="T18" s="389"/>
      <c r="U18" s="389"/>
      <c r="V18" s="388"/>
    </row>
    <row r="20" spans="1:22">
      <c r="A20" s="4" t="s">
        <v>451</v>
      </c>
      <c r="N20" s="4" t="s">
        <v>346</v>
      </c>
    </row>
    <row r="21" spans="1:22">
      <c r="N21" s="4" t="s">
        <v>347</v>
      </c>
    </row>
    <row r="25" spans="1:22" s="21" customFormat="1">
      <c r="N25" s="21" t="s">
        <v>94</v>
      </c>
      <c r="R25" s="22"/>
      <c r="S25" s="23"/>
      <c r="T25" s="24"/>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activeCell="L13" sqref="L13"/>
    </sheetView>
  </sheetViews>
  <sheetFormatPr defaultColWidth="8.7109375" defaultRowHeight="12.75"/>
  <cols>
    <col min="1" max="2" width="12" style="4" customWidth="1"/>
    <col min="3" max="6" width="13.7109375" style="4" customWidth="1"/>
    <col min="7" max="7" width="13.28515625" style="4" customWidth="1"/>
    <col min="8" max="8" width="12.7109375" style="4" bestFit="1" customWidth="1"/>
    <col min="9" max="9" width="8.7109375" style="4"/>
    <col min="10" max="10" width="12" style="4" customWidth="1"/>
    <col min="11" max="11" width="14.140625" style="4" customWidth="1"/>
    <col min="12" max="12" width="10.28515625" style="4" customWidth="1"/>
    <col min="13" max="27" width="5.7109375" style="4" customWidth="1"/>
    <col min="28" max="16384" width="8.7109375" style="4"/>
  </cols>
  <sheetData>
    <row r="1" spans="1:28" ht="28.9" customHeight="1">
      <c r="A1" s="453" t="str">
        <f>"% of Floor Area per CZ and Vintage Bin - "&amp;Prototype!A2</f>
        <v>% of Floor Area per CZ and Vintage Bin - ParkingOpen</v>
      </c>
      <c r="B1" s="453"/>
      <c r="C1" s="453"/>
      <c r="D1" s="453"/>
      <c r="E1" s="453"/>
      <c r="F1" s="453"/>
      <c r="G1" s="453"/>
      <c r="J1" s="453" t="str">
        <f>"% of Floor Area per CZ and Vintage Bin - "&amp;Prototype!A2</f>
        <v>% of Floor Area per CZ and Vintage Bin - ParkingOpen</v>
      </c>
      <c r="K1" s="453"/>
      <c r="L1" s="453"/>
      <c r="M1" s="453"/>
      <c r="N1" s="453"/>
      <c r="O1" s="453"/>
      <c r="P1" s="453"/>
      <c r="Q1" s="453"/>
      <c r="R1" s="453"/>
      <c r="S1" s="453"/>
      <c r="T1" s="453"/>
      <c r="U1" s="453"/>
      <c r="V1" s="453"/>
      <c r="W1" s="453"/>
      <c r="X1" s="453"/>
      <c r="Y1" s="453"/>
      <c r="Z1" s="453"/>
      <c r="AA1" s="453"/>
    </row>
    <row r="2" spans="1:28" ht="21" customHeight="1">
      <c r="A2" s="538" t="s">
        <v>5</v>
      </c>
      <c r="B2" s="538" t="s">
        <v>344</v>
      </c>
      <c r="C2" s="534" t="s">
        <v>348</v>
      </c>
      <c r="D2" s="535"/>
      <c r="E2" s="535"/>
      <c r="F2" s="535"/>
      <c r="G2" s="536"/>
      <c r="J2" s="537" t="s">
        <v>5</v>
      </c>
      <c r="K2" s="537" t="s">
        <v>348</v>
      </c>
      <c r="L2" s="537" t="s">
        <v>344</v>
      </c>
      <c r="M2" s="537"/>
      <c r="N2" s="537"/>
      <c r="O2" s="537"/>
      <c r="P2" s="537"/>
      <c r="Q2" s="537"/>
      <c r="R2" s="537"/>
      <c r="S2" s="537"/>
      <c r="T2" s="537"/>
      <c r="U2" s="537"/>
      <c r="V2" s="537"/>
      <c r="W2" s="537"/>
      <c r="X2" s="537"/>
      <c r="Y2" s="537"/>
      <c r="Z2" s="537"/>
      <c r="AA2" s="537"/>
    </row>
    <row r="3" spans="1:28" ht="21" customHeight="1">
      <c r="A3" s="539"/>
      <c r="B3" s="539"/>
      <c r="C3" s="382" t="s">
        <v>349</v>
      </c>
      <c r="D3" s="382" t="s">
        <v>125</v>
      </c>
      <c r="E3" s="382" t="s">
        <v>127</v>
      </c>
      <c r="F3" s="382" t="s">
        <v>129</v>
      </c>
      <c r="G3" s="382" t="s">
        <v>350</v>
      </c>
      <c r="J3" s="537"/>
      <c r="K3" s="537"/>
      <c r="L3" s="382">
        <v>1</v>
      </c>
      <c r="M3" s="382">
        <v>2</v>
      </c>
      <c r="N3" s="382">
        <v>3</v>
      </c>
      <c r="O3" s="382">
        <v>4</v>
      </c>
      <c r="P3" s="382">
        <v>5</v>
      </c>
      <c r="Q3" s="382">
        <v>6</v>
      </c>
      <c r="R3" s="382">
        <v>7</v>
      </c>
      <c r="S3" s="382">
        <v>8</v>
      </c>
      <c r="T3" s="382">
        <v>9</v>
      </c>
      <c r="U3" s="382">
        <v>10</v>
      </c>
      <c r="V3" s="382">
        <v>11</v>
      </c>
      <c r="W3" s="382">
        <v>12</v>
      </c>
      <c r="X3" s="382">
        <v>13</v>
      </c>
      <c r="Y3" s="382">
        <v>14</v>
      </c>
      <c r="Z3" s="382">
        <v>15</v>
      </c>
      <c r="AA3" s="382">
        <v>16</v>
      </c>
    </row>
    <row r="4" spans="1:28" ht="16.899999999999999" customHeight="1">
      <c r="A4" s="532" t="str">
        <f>Prototype!B4</f>
        <v>Open Parking</v>
      </c>
      <c r="B4" s="165">
        <v>1</v>
      </c>
      <c r="C4" s="380"/>
      <c r="D4" s="380"/>
      <c r="E4" s="380"/>
      <c r="F4" s="380"/>
      <c r="G4" s="55"/>
      <c r="H4" s="64">
        <f>SUM(C4:G4)</f>
        <v>0</v>
      </c>
      <c r="J4" s="529" t="str">
        <f>Prototype!B4</f>
        <v>Open Parking</v>
      </c>
      <c r="K4" s="38" t="s">
        <v>349</v>
      </c>
      <c r="L4" s="38"/>
      <c r="M4" s="38"/>
      <c r="N4" s="38"/>
      <c r="O4" s="38"/>
      <c r="P4" s="38"/>
      <c r="Q4" s="38"/>
      <c r="R4" s="38"/>
      <c r="S4" s="38"/>
      <c r="T4" s="38"/>
      <c r="U4" s="38"/>
      <c r="V4" s="38"/>
      <c r="W4" s="38"/>
      <c r="X4" s="38"/>
      <c r="Y4" s="38"/>
      <c r="Z4" s="38"/>
      <c r="AA4" s="38"/>
      <c r="AB4" s="64">
        <f>SUM(L4:AA4)</f>
        <v>0</v>
      </c>
    </row>
    <row r="5" spans="1:28" ht="16.899999999999999" customHeight="1">
      <c r="A5" s="533"/>
      <c r="B5" s="37">
        <v>2</v>
      </c>
      <c r="C5" s="38"/>
      <c r="D5" s="38"/>
      <c r="E5" s="38"/>
      <c r="F5" s="38"/>
      <c r="G5" s="48"/>
      <c r="H5" s="64">
        <f t="shared" ref="H5:H19" si="0">SUM(C5:G5)</f>
        <v>0</v>
      </c>
      <c r="J5" s="530"/>
      <c r="K5" s="38" t="s">
        <v>125</v>
      </c>
      <c r="L5" s="38"/>
      <c r="M5" s="38"/>
      <c r="N5" s="38"/>
      <c r="O5" s="38"/>
      <c r="P5" s="38"/>
      <c r="Q5" s="38"/>
      <c r="R5" s="38"/>
      <c r="S5" s="38"/>
      <c r="T5" s="38"/>
      <c r="U5" s="38"/>
      <c r="V5" s="38"/>
      <c r="W5" s="38"/>
      <c r="X5" s="38"/>
      <c r="Y5" s="38"/>
      <c r="Z5" s="38"/>
      <c r="AA5" s="38"/>
      <c r="AB5" s="64">
        <f>SUM(L5:AA5)</f>
        <v>0</v>
      </c>
    </row>
    <row r="6" spans="1:28" ht="16.899999999999999" customHeight="1">
      <c r="A6" s="533"/>
      <c r="B6" s="37">
        <v>3</v>
      </c>
      <c r="C6" s="38"/>
      <c r="D6" s="38"/>
      <c r="E6" s="38"/>
      <c r="F6" s="38"/>
      <c r="G6" s="48"/>
      <c r="H6" s="64">
        <f t="shared" si="0"/>
        <v>0</v>
      </c>
      <c r="J6" s="530"/>
      <c r="K6" s="38" t="s">
        <v>127</v>
      </c>
      <c r="L6" s="38"/>
      <c r="M6" s="38"/>
      <c r="N6" s="38"/>
      <c r="O6" s="38"/>
      <c r="P6" s="38"/>
      <c r="Q6" s="38"/>
      <c r="R6" s="38"/>
      <c r="S6" s="38"/>
      <c r="T6" s="38"/>
      <c r="U6" s="38"/>
      <c r="V6" s="38"/>
      <c r="W6" s="38"/>
      <c r="X6" s="38"/>
      <c r="Y6" s="38"/>
      <c r="Z6" s="38"/>
      <c r="AA6" s="38"/>
      <c r="AB6" s="64">
        <f>SUM(L6:AA6)</f>
        <v>0</v>
      </c>
    </row>
    <row r="7" spans="1:28" ht="16.899999999999999" customHeight="1">
      <c r="A7" s="533"/>
      <c r="B7" s="37">
        <v>4</v>
      </c>
      <c r="C7" s="38"/>
      <c r="D7" s="38"/>
      <c r="E7" s="38"/>
      <c r="F7" s="38"/>
      <c r="G7" s="48"/>
      <c r="H7" s="64">
        <f t="shared" si="0"/>
        <v>0</v>
      </c>
      <c r="J7" s="530"/>
      <c r="K7" s="38" t="s">
        <v>129</v>
      </c>
      <c r="L7" s="38"/>
      <c r="M7" s="38"/>
      <c r="N7" s="38"/>
      <c r="O7" s="38"/>
      <c r="P7" s="38"/>
      <c r="Q7" s="38"/>
      <c r="R7" s="38"/>
      <c r="S7" s="38"/>
      <c r="T7" s="38"/>
      <c r="U7" s="38"/>
      <c r="V7" s="38"/>
      <c r="W7" s="38"/>
      <c r="X7" s="38"/>
      <c r="Y7" s="38"/>
      <c r="Z7" s="38"/>
      <c r="AA7" s="38"/>
      <c r="AB7" s="64">
        <f>SUM(L7:AA7)</f>
        <v>0</v>
      </c>
    </row>
    <row r="8" spans="1:28" ht="16.899999999999999" customHeight="1">
      <c r="A8" s="533"/>
      <c r="B8" s="37">
        <v>5</v>
      </c>
      <c r="C8" s="38"/>
      <c r="D8" s="38"/>
      <c r="E8" s="38"/>
      <c r="F8" s="38"/>
      <c r="G8" s="48"/>
      <c r="H8" s="64">
        <f t="shared" si="0"/>
        <v>0</v>
      </c>
      <c r="J8" s="530"/>
      <c r="K8" s="38" t="s">
        <v>350</v>
      </c>
      <c r="L8" s="38"/>
      <c r="M8" s="38"/>
      <c r="N8" s="38"/>
      <c r="O8" s="38"/>
      <c r="P8" s="38"/>
      <c r="Q8" s="38"/>
      <c r="R8" s="38"/>
      <c r="S8" s="38"/>
      <c r="T8" s="38"/>
      <c r="U8" s="38"/>
      <c r="V8" s="38"/>
      <c r="W8" s="38"/>
      <c r="X8" s="38"/>
      <c r="Y8" s="38"/>
      <c r="Z8" s="38"/>
      <c r="AA8" s="38"/>
      <c r="AB8" s="64">
        <f>SUM(L8:AA8)</f>
        <v>0</v>
      </c>
    </row>
    <row r="9" spans="1:28" ht="16.899999999999999" customHeight="1">
      <c r="A9" s="533"/>
      <c r="B9" s="37">
        <v>6</v>
      </c>
      <c r="C9" s="38"/>
      <c r="D9" s="38"/>
      <c r="E9" s="38"/>
      <c r="F9" s="38"/>
      <c r="G9" s="48"/>
      <c r="H9" s="64">
        <f t="shared" si="0"/>
        <v>0</v>
      </c>
      <c r="J9" s="531"/>
      <c r="K9" s="38" t="s">
        <v>215</v>
      </c>
      <c r="L9" s="38"/>
      <c r="M9" s="38"/>
      <c r="N9" s="38"/>
      <c r="O9" s="38"/>
      <c r="P9" s="38"/>
      <c r="Q9" s="38"/>
      <c r="R9" s="38"/>
      <c r="S9" s="38"/>
      <c r="T9" s="38"/>
      <c r="U9" s="38"/>
      <c r="V9" s="38"/>
      <c r="W9" s="38"/>
      <c r="X9" s="38"/>
      <c r="Y9" s="38"/>
      <c r="Z9" s="38"/>
      <c r="AA9" s="38"/>
      <c r="AB9" s="31"/>
    </row>
    <row r="10" spans="1:28" ht="16.899999999999999" customHeight="1">
      <c r="A10" s="533"/>
      <c r="B10" s="37">
        <v>7</v>
      </c>
      <c r="C10" s="38"/>
      <c r="D10" s="38"/>
      <c r="E10" s="38"/>
      <c r="F10" s="38"/>
      <c r="G10" s="48"/>
      <c r="H10" s="64">
        <f t="shared" si="0"/>
        <v>0</v>
      </c>
      <c r="J10" s="6"/>
      <c r="K10" s="62"/>
      <c r="L10" s="27"/>
      <c r="M10" s="27"/>
      <c r="N10" s="27"/>
      <c r="O10" s="27"/>
      <c r="P10" s="63"/>
    </row>
    <row r="11" spans="1:28" ht="16.899999999999999" customHeight="1">
      <c r="A11" s="533"/>
      <c r="B11" s="37">
        <v>8</v>
      </c>
      <c r="C11" s="38"/>
      <c r="D11" s="38"/>
      <c r="E11" s="38"/>
      <c r="F11" s="38"/>
      <c r="G11" s="48"/>
      <c r="H11" s="64">
        <f t="shared" si="0"/>
        <v>0</v>
      </c>
      <c r="J11" s="6"/>
      <c r="K11" s="62"/>
      <c r="L11" s="27"/>
      <c r="M11" s="27"/>
      <c r="N11" s="27"/>
      <c r="O11" s="27"/>
      <c r="P11" s="63"/>
    </row>
    <row r="12" spans="1:28" ht="16.899999999999999" customHeight="1">
      <c r="A12" s="533"/>
      <c r="B12" s="37">
        <v>9</v>
      </c>
      <c r="C12" s="38"/>
      <c r="D12" s="38"/>
      <c r="E12" s="38"/>
      <c r="F12" s="38"/>
      <c r="G12" s="48"/>
      <c r="H12" s="64">
        <f t="shared" si="0"/>
        <v>0</v>
      </c>
      <c r="J12" s="6"/>
      <c r="K12" s="62"/>
      <c r="L12" s="27"/>
      <c r="M12" s="27"/>
      <c r="N12" s="27"/>
      <c r="O12" s="27"/>
      <c r="P12" s="63"/>
    </row>
    <row r="13" spans="1:28" ht="16.899999999999999" customHeight="1">
      <c r="A13" s="533"/>
      <c r="B13" s="37">
        <v>10</v>
      </c>
      <c r="C13" s="38"/>
      <c r="D13" s="38"/>
      <c r="E13" s="38"/>
      <c r="F13" s="38"/>
      <c r="G13" s="48"/>
      <c r="H13" s="64">
        <f t="shared" si="0"/>
        <v>0</v>
      </c>
      <c r="J13" s="6"/>
      <c r="K13" s="62"/>
      <c r="L13" s="27"/>
      <c r="M13" s="27"/>
      <c r="N13" s="27"/>
      <c r="O13" s="27"/>
      <c r="P13" s="63"/>
    </row>
    <row r="14" spans="1:28" ht="16.899999999999999" customHeight="1">
      <c r="A14" s="533"/>
      <c r="B14" s="37">
        <v>11</v>
      </c>
      <c r="C14" s="38"/>
      <c r="D14" s="38"/>
      <c r="E14" s="38"/>
      <c r="F14" s="38"/>
      <c r="G14" s="48"/>
      <c r="H14" s="64">
        <f t="shared" si="0"/>
        <v>0</v>
      </c>
      <c r="J14" s="6"/>
      <c r="K14" s="62"/>
      <c r="L14" s="27"/>
      <c r="M14" s="27"/>
      <c r="N14" s="27"/>
      <c r="O14" s="27"/>
      <c r="P14" s="63"/>
    </row>
    <row r="15" spans="1:28" ht="16.899999999999999" customHeight="1">
      <c r="A15" s="533"/>
      <c r="B15" s="37">
        <v>12</v>
      </c>
      <c r="C15" s="38"/>
      <c r="D15" s="38"/>
      <c r="E15" s="38"/>
      <c r="F15" s="38"/>
      <c r="G15" s="48"/>
      <c r="H15" s="64">
        <f t="shared" si="0"/>
        <v>0</v>
      </c>
      <c r="J15" s="6"/>
      <c r="K15" s="62"/>
      <c r="L15" s="27"/>
      <c r="M15" s="27"/>
      <c r="N15" s="27"/>
      <c r="O15" s="27"/>
      <c r="P15" s="63"/>
    </row>
    <row r="16" spans="1:28" ht="16.899999999999999" customHeight="1">
      <c r="A16" s="533"/>
      <c r="B16" s="37">
        <v>13</v>
      </c>
      <c r="C16" s="38"/>
      <c r="D16" s="38"/>
      <c r="E16" s="38"/>
      <c r="F16" s="38"/>
      <c r="G16" s="48"/>
      <c r="H16" s="64">
        <f t="shared" si="0"/>
        <v>0</v>
      </c>
      <c r="J16" s="6"/>
      <c r="K16" s="62"/>
      <c r="L16" s="27"/>
      <c r="M16" s="27"/>
      <c r="N16" s="27"/>
      <c r="O16" s="27"/>
      <c r="P16" s="63"/>
    </row>
    <row r="17" spans="1:16" ht="16.899999999999999" customHeight="1">
      <c r="A17" s="533"/>
      <c r="B17" s="37">
        <v>14</v>
      </c>
      <c r="C17" s="38"/>
      <c r="D17" s="38"/>
      <c r="E17" s="38"/>
      <c r="F17" s="38"/>
      <c r="G17" s="48"/>
      <c r="H17" s="64">
        <f t="shared" si="0"/>
        <v>0</v>
      </c>
      <c r="J17" s="6"/>
      <c r="K17" s="62"/>
      <c r="L17" s="27"/>
      <c r="M17" s="27"/>
      <c r="N17" s="27"/>
      <c r="O17" s="27"/>
      <c r="P17" s="63"/>
    </row>
    <row r="18" spans="1:16" ht="16.899999999999999" customHeight="1">
      <c r="A18" s="533"/>
      <c r="B18" s="37">
        <v>15</v>
      </c>
      <c r="C18" s="38"/>
      <c r="D18" s="38"/>
      <c r="E18" s="38"/>
      <c r="F18" s="38"/>
      <c r="G18" s="48"/>
      <c r="H18" s="64">
        <f t="shared" si="0"/>
        <v>0</v>
      </c>
      <c r="J18" s="6"/>
      <c r="K18" s="62"/>
      <c r="L18" s="27"/>
      <c r="M18" s="27"/>
      <c r="N18" s="27"/>
      <c r="O18" s="27"/>
      <c r="P18" s="63"/>
    </row>
    <row r="19" spans="1:16" ht="16.899999999999999" customHeight="1">
      <c r="A19" s="533"/>
      <c r="B19" s="37">
        <v>16</v>
      </c>
      <c r="C19" s="48"/>
      <c r="D19" s="48"/>
      <c r="E19" s="48"/>
      <c r="F19" s="48"/>
      <c r="G19" s="48"/>
      <c r="H19" s="64">
        <f t="shared" si="0"/>
        <v>0</v>
      </c>
      <c r="J19" s="6"/>
      <c r="K19" s="62"/>
      <c r="L19" s="27"/>
      <c r="M19" s="27"/>
      <c r="N19" s="27"/>
      <c r="O19" s="27"/>
      <c r="P19" s="63"/>
    </row>
    <row r="20" spans="1:16">
      <c r="A20" s="533"/>
      <c r="B20" s="48" t="s">
        <v>226</v>
      </c>
      <c r="C20" s="48"/>
      <c r="D20" s="48"/>
      <c r="E20" s="48"/>
      <c r="F20" s="48"/>
      <c r="G20" s="48"/>
    </row>
    <row r="22" spans="1:16">
      <c r="A22" s="4" t="s">
        <v>351</v>
      </c>
    </row>
    <row r="29" spans="1:16" s="21" customFormat="1">
      <c r="A29" s="21" t="s">
        <v>94</v>
      </c>
      <c r="E29" s="22"/>
      <c r="F29" s="23"/>
      <c r="G29" s="24"/>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5"/>
  <sheetData>
    <row r="1" spans="1:10" ht="21.6" customHeight="1">
      <c r="A1" s="460" t="str">
        <f>"PV - "&amp;Prototype!A2</f>
        <v>PV - ParkingOpen</v>
      </c>
      <c r="B1" s="460"/>
      <c r="C1" s="460"/>
      <c r="D1" s="460"/>
      <c r="E1" s="460"/>
      <c r="F1" s="460"/>
      <c r="G1" s="460"/>
      <c r="H1" s="460"/>
      <c r="I1" s="460"/>
      <c r="J1" s="460"/>
    </row>
    <row r="2" spans="1:10">
      <c r="A2" t="s">
        <v>352</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E7" sqref="E7"/>
    </sheetView>
  </sheetViews>
  <sheetFormatPr defaultColWidth="8.7109375" defaultRowHeight="12.75"/>
  <cols>
    <col min="1" max="1" width="21" style="4" customWidth="1"/>
    <col min="2" max="2" width="14.28515625" style="4" customWidth="1"/>
    <col min="3" max="3" width="14.5703125" style="4" customWidth="1"/>
    <col min="4" max="8" width="8.7109375" style="4"/>
    <col min="9" max="9" width="13.7109375" style="4" customWidth="1"/>
    <col min="10" max="10" width="14.42578125" style="4" customWidth="1"/>
    <col min="11" max="16384" width="8.7109375" style="4"/>
  </cols>
  <sheetData>
    <row r="1" spans="1:8" ht="20.45" customHeight="1">
      <c r="A1" s="434" t="str">
        <f>"EV Charger - "&amp;Prototype!A2</f>
        <v>EV Charger - ParkingOpen</v>
      </c>
      <c r="B1" s="434"/>
      <c r="C1" s="434"/>
      <c r="D1" s="434"/>
      <c r="E1" s="434"/>
      <c r="F1" s="434"/>
      <c r="G1" s="434"/>
      <c r="H1" s="434"/>
    </row>
    <row r="2" spans="1:8" ht="15">
      <c r="A2" t="s">
        <v>352</v>
      </c>
      <c r="B2" s="44"/>
      <c r="C2" s="45"/>
      <c r="D2" s="46"/>
      <c r="E2" s="46"/>
    </row>
    <row r="3" spans="1:8">
      <c r="A3" s="365"/>
      <c r="B3" s="372"/>
      <c r="C3" s="367"/>
      <c r="D3" s="47"/>
      <c r="E3" s="47"/>
    </row>
    <row r="11" spans="1:8" s="21" customFormat="1" hidden="1">
      <c r="A11" s="21" t="s">
        <v>94</v>
      </c>
      <c r="E11" s="22"/>
      <c r="F11" s="23"/>
      <c r="G11" s="24"/>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CE19-8C22-406E-94EC-45FC842CBBE1}">
  <dimension ref="A1:G83"/>
  <sheetViews>
    <sheetView workbookViewId="0"/>
  </sheetViews>
  <sheetFormatPr defaultRowHeight="15"/>
  <cols>
    <col min="1" max="1" width="58.7109375" customWidth="1"/>
    <col min="2" max="2" width="30.85546875" customWidth="1"/>
    <col min="3" max="3" width="30.28515625" customWidth="1"/>
  </cols>
  <sheetData>
    <row r="1" spans="1:7">
      <c r="A1" t="s">
        <v>353</v>
      </c>
      <c r="B1" t="s">
        <v>354</v>
      </c>
      <c r="C1" t="s">
        <v>354</v>
      </c>
      <c r="D1" s="540" t="s">
        <v>355</v>
      </c>
      <c r="E1" s="540"/>
      <c r="F1" s="540"/>
      <c r="G1" s="540"/>
    </row>
    <row r="2" spans="1:7">
      <c r="A2" s="368" t="s">
        <v>356</v>
      </c>
      <c r="D2">
        <v>2013</v>
      </c>
      <c r="E2">
        <v>2016</v>
      </c>
      <c r="F2">
        <v>2019</v>
      </c>
      <c r="G2">
        <v>2025</v>
      </c>
    </row>
    <row r="3" spans="1:7">
      <c r="A3" s="368" t="s">
        <v>357</v>
      </c>
    </row>
    <row r="4" spans="1:7">
      <c r="A4" t="s">
        <v>358</v>
      </c>
    </row>
    <row r="5" spans="1:7">
      <c r="A5" t="s">
        <v>359</v>
      </c>
    </row>
    <row r="6" spans="1:7">
      <c r="A6" t="s">
        <v>360</v>
      </c>
    </row>
    <row r="7" spans="1:7">
      <c r="A7" t="s">
        <v>361</v>
      </c>
    </row>
    <row r="8" spans="1:7">
      <c r="A8" t="s">
        <v>362</v>
      </c>
    </row>
    <row r="9" spans="1:7">
      <c r="A9" t="s">
        <v>363</v>
      </c>
    </row>
    <row r="10" spans="1:7">
      <c r="A10" t="s">
        <v>364</v>
      </c>
    </row>
    <row r="11" spans="1:7">
      <c r="A11" t="s">
        <v>365</v>
      </c>
    </row>
    <row r="12" spans="1:7">
      <c r="A12" t="s">
        <v>366</v>
      </c>
    </row>
    <row r="13" spans="1:7">
      <c r="A13" t="s">
        <v>367</v>
      </c>
    </row>
    <row r="14" spans="1:7">
      <c r="A14" t="s">
        <v>368</v>
      </c>
    </row>
    <row r="15" spans="1:7">
      <c r="A15" t="s">
        <v>369</v>
      </c>
    </row>
    <row r="16" spans="1:7">
      <c r="A16" t="s">
        <v>370</v>
      </c>
    </row>
    <row r="17" spans="1:1">
      <c r="A17" t="s">
        <v>371</v>
      </c>
    </row>
    <row r="18" spans="1:1">
      <c r="A18" t="s">
        <v>372</v>
      </c>
    </row>
    <row r="19" spans="1:1">
      <c r="A19" t="s">
        <v>373</v>
      </c>
    </row>
    <row r="20" spans="1:1">
      <c r="A20" t="s">
        <v>374</v>
      </c>
    </row>
    <row r="21" spans="1:1">
      <c r="A21" t="s">
        <v>375</v>
      </c>
    </row>
    <row r="22" spans="1:1">
      <c r="A22" t="s">
        <v>376</v>
      </c>
    </row>
    <row r="23" spans="1:1">
      <c r="A23" t="s">
        <v>377</v>
      </c>
    </row>
    <row r="24" spans="1:1">
      <c r="A24" t="s">
        <v>378</v>
      </c>
    </row>
    <row r="25" spans="1:1">
      <c r="A25" t="s">
        <v>379</v>
      </c>
    </row>
    <row r="26" spans="1:1">
      <c r="A26" t="s">
        <v>380</v>
      </c>
    </row>
    <row r="27" spans="1:1">
      <c r="A27" t="s">
        <v>381</v>
      </c>
    </row>
    <row r="28" spans="1:1">
      <c r="A28" t="s">
        <v>382</v>
      </c>
    </row>
    <row r="29" spans="1:1">
      <c r="A29" t="s">
        <v>383</v>
      </c>
    </row>
    <row r="30" spans="1:1">
      <c r="A30" t="s">
        <v>384</v>
      </c>
    </row>
    <row r="31" spans="1:1">
      <c r="A31" t="s">
        <v>385</v>
      </c>
    </row>
    <row r="32" spans="1:1">
      <c r="A32" t="s">
        <v>386</v>
      </c>
    </row>
    <row r="33" spans="1:1">
      <c r="A33" t="s">
        <v>387</v>
      </c>
    </row>
    <row r="34" spans="1:1">
      <c r="A34" t="s">
        <v>388</v>
      </c>
    </row>
    <row r="35" spans="1:1">
      <c r="A35" t="s">
        <v>389</v>
      </c>
    </row>
    <row r="36" spans="1:1">
      <c r="A36" t="s">
        <v>390</v>
      </c>
    </row>
    <row r="37" spans="1:1">
      <c r="A37" t="s">
        <v>391</v>
      </c>
    </row>
    <row r="38" spans="1:1">
      <c r="A38" t="s">
        <v>392</v>
      </c>
    </row>
    <row r="39" spans="1:1">
      <c r="A39" t="s">
        <v>393</v>
      </c>
    </row>
    <row r="40" spans="1:1">
      <c r="A40" t="s">
        <v>394</v>
      </c>
    </row>
    <row r="41" spans="1:1">
      <c r="A41" t="s">
        <v>395</v>
      </c>
    </row>
    <row r="42" spans="1:1">
      <c r="A42" t="s">
        <v>396</v>
      </c>
    </row>
    <row r="43" spans="1:1">
      <c r="A43" t="s">
        <v>397</v>
      </c>
    </row>
    <row r="44" spans="1:1">
      <c r="A44" t="s">
        <v>398</v>
      </c>
    </row>
    <row r="45" spans="1:1">
      <c r="A45" t="s">
        <v>399</v>
      </c>
    </row>
    <row r="46" spans="1:1">
      <c r="A46" t="s">
        <v>400</v>
      </c>
    </row>
    <row r="47" spans="1:1">
      <c r="A47" t="s">
        <v>401</v>
      </c>
    </row>
    <row r="48" spans="1:1">
      <c r="A48" t="s">
        <v>402</v>
      </c>
    </row>
    <row r="49" spans="1:1">
      <c r="A49" t="s">
        <v>403</v>
      </c>
    </row>
    <row r="50" spans="1:1">
      <c r="A50" t="s">
        <v>404</v>
      </c>
    </row>
    <row r="51" spans="1:1">
      <c r="A51" t="s">
        <v>405</v>
      </c>
    </row>
    <row r="52" spans="1:1">
      <c r="A52" t="s">
        <v>76</v>
      </c>
    </row>
    <row r="53" spans="1:1">
      <c r="A53" t="s">
        <v>80</v>
      </c>
    </row>
    <row r="54" spans="1:1">
      <c r="A54" t="s">
        <v>406</v>
      </c>
    </row>
    <row r="55" spans="1:1">
      <c r="A55" t="s">
        <v>407</v>
      </c>
    </row>
    <row r="56" spans="1:1">
      <c r="A56" t="s">
        <v>84</v>
      </c>
    </row>
    <row r="57" spans="1:1">
      <c r="A57" t="s">
        <v>408</v>
      </c>
    </row>
    <row r="58" spans="1:1">
      <c r="A58" t="s">
        <v>409</v>
      </c>
    </row>
    <row r="59" spans="1:1">
      <c r="A59" t="s">
        <v>410</v>
      </c>
    </row>
    <row r="60" spans="1:1">
      <c r="A60" t="s">
        <v>411</v>
      </c>
    </row>
    <row r="61" spans="1:1">
      <c r="A61" t="s">
        <v>412</v>
      </c>
    </row>
    <row r="62" spans="1:1">
      <c r="A62" t="s">
        <v>413</v>
      </c>
    </row>
    <row r="63" spans="1:1">
      <c r="A63" t="s">
        <v>414</v>
      </c>
    </row>
    <row r="64" spans="1:1">
      <c r="A64" t="s">
        <v>415</v>
      </c>
    </row>
    <row r="65" spans="1:1">
      <c r="A65" t="s">
        <v>416</v>
      </c>
    </row>
    <row r="66" spans="1:1">
      <c r="A66" t="s">
        <v>417</v>
      </c>
    </row>
    <row r="67" spans="1:1">
      <c r="A67" t="s">
        <v>418</v>
      </c>
    </row>
    <row r="68" spans="1:1">
      <c r="A68" t="s">
        <v>419</v>
      </c>
    </row>
    <row r="69" spans="1:1">
      <c r="A69" t="s">
        <v>420</v>
      </c>
    </row>
    <row r="70" spans="1:1">
      <c r="A70" t="s">
        <v>421</v>
      </c>
    </row>
    <row r="71" spans="1:1">
      <c r="A71" t="s">
        <v>422</v>
      </c>
    </row>
    <row r="72" spans="1:1">
      <c r="A72" t="s">
        <v>423</v>
      </c>
    </row>
    <row r="73" spans="1:1">
      <c r="A73" t="s">
        <v>424</v>
      </c>
    </row>
    <row r="74" spans="1:1">
      <c r="A74" t="s">
        <v>425</v>
      </c>
    </row>
    <row r="75" spans="1:1">
      <c r="A75" t="s">
        <v>426</v>
      </c>
    </row>
    <row r="76" spans="1:1">
      <c r="A76" t="s">
        <v>427</v>
      </c>
    </row>
    <row r="77" spans="1:1">
      <c r="A77" t="s">
        <v>428</v>
      </c>
    </row>
    <row r="78" spans="1:1">
      <c r="A78" t="s">
        <v>429</v>
      </c>
    </row>
    <row r="79" spans="1:1">
      <c r="A79" t="s">
        <v>330</v>
      </c>
    </row>
    <row r="80" spans="1:1">
      <c r="A80" t="s">
        <v>430</v>
      </c>
    </row>
    <row r="81" spans="1:1">
      <c r="A81" t="s">
        <v>431</v>
      </c>
    </row>
    <row r="82" spans="1:1">
      <c r="A82" t="s">
        <v>432</v>
      </c>
    </row>
    <row r="83" spans="1:1">
      <c r="A83" t="s">
        <v>433</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www.w3.org/XML/1998/namespace"/>
    <ds:schemaRef ds:uri="http://schemas.microsoft.com/office/2006/documentManagement/types"/>
    <ds:schemaRef ds:uri="http://purl.org/dc/dcmitype/"/>
    <ds:schemaRef ds:uri="f3a47e91-274c-46a0-ba98-7b939b571e5b"/>
    <ds:schemaRef ds:uri="http://purl.org/dc/elements/1.1/"/>
    <ds:schemaRef ds:uri="http://schemas.microsoft.com/office/infopath/2007/PartnerControls"/>
    <ds:schemaRef ds:uri="http://schemas.openxmlformats.org/package/2006/metadata/core-properties"/>
    <ds:schemaRef ds:uri="ea1b199f-450f-4d51-8ad4-88f218385cd9"/>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B94EA8B-45D2-426F-8A29-619C71013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