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carcglgov.sharepoint.com/sites/NYStretchCoordination/Shared Documents/Prototypes/Prototypes/Scorecards/"/>
    </mc:Choice>
  </mc:AlternateContent>
  <xr:revisionPtr revIDLastSave="1070" documentId="13_ncr:1_{DDE8DA32-80DD-4BF7-81F3-DAAB7E7AC368}" xr6:coauthVersionLast="47" xr6:coauthVersionMax="47" xr10:uidLastSave="{3131597B-6BDA-498E-BDF0-E2BC8D677865}"/>
  <bookViews>
    <workbookView xWindow="-120" yWindow="-16320" windowWidth="29040" windowHeight="15720" tabRatio="770" activeTab="12" xr2:uid="{EAC23EE3-0CA0-4FF8-990D-9B21A59FA3E0}"/>
  </bookViews>
  <sheets>
    <sheet name="Notes" sheetId="23" r:id="rId1"/>
    <sheet name="Prototype" sheetId="2" r:id="rId2"/>
    <sheet name="Zones" sheetId="13" r:id="rId3"/>
    <sheet name="Envelope" sheetId="1" r:id="rId4"/>
    <sheet name="HVAC System" sheetId="14" r:id="rId5"/>
    <sheet name="Thermostat" sheetId="31" r:id="rId6"/>
    <sheet name="Ventilation" sheetId="18" r:id="rId7"/>
    <sheet name="Water Heater" sheetId="7" r:id="rId8"/>
    <sheet name="Ext Lighting" sheetId="9" r:id="rId9"/>
    <sheet name="Equipment" sheetId="29" r:id="rId10"/>
    <sheet name="Interior Lights" sheetId="25" r:id="rId11"/>
    <sheet name="Schedules" sheetId="28" r:id="rId12"/>
    <sheet name="Energy Usage" sheetId="20" r:id="rId13"/>
    <sheet name="Weights" sheetId="21" state="hidden" r:id="rId14"/>
    <sheet name="PV" sheetId="27" state="hidden" r:id="rId15"/>
    <sheet name="EV Charger" sheetId="22" state="hidden" r:id="rId16"/>
    <sheet name="Data" sheetId="32" state="hidden" r:id="rId17"/>
  </sheets>
  <externalReferences>
    <externalReference r:id="rId18"/>
    <externalReference r:id="rId19"/>
    <externalReference r:id="rId20"/>
  </externalReferences>
  <definedNames>
    <definedName name="_xlnm._FilterDatabase" localSheetId="16" hidden="1">Data!$E$1:$H$1</definedName>
    <definedName name="_xlnm._FilterDatabase" localSheetId="2" hidden="1">Zones!$A$2:$K$21</definedName>
    <definedName name="nonparticipating_forecastzone_scale_factor" localSheetId="16">'[1]Energy Usage'!#REF!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20" l="1"/>
  <c r="K4" i="20"/>
  <c r="L4" i="20" s="1"/>
  <c r="J5" i="20"/>
  <c r="K5" i="20"/>
  <c r="J6" i="20"/>
  <c r="K6" i="20"/>
  <c r="J7" i="20"/>
  <c r="K7" i="20"/>
  <c r="J8" i="20"/>
  <c r="K8" i="20"/>
  <c r="J9" i="20"/>
  <c r="K9" i="20"/>
  <c r="J10" i="20"/>
  <c r="K10" i="20"/>
  <c r="J11" i="20"/>
  <c r="L11" i="20" s="1"/>
  <c r="K11" i="20"/>
  <c r="J12" i="20"/>
  <c r="L12" i="20" s="1"/>
  <c r="K12" i="20"/>
  <c r="J13" i="20"/>
  <c r="L13" i="20" s="1"/>
  <c r="K13" i="20"/>
  <c r="J14" i="20"/>
  <c r="L14" i="20" s="1"/>
  <c r="K14" i="20"/>
  <c r="J15" i="20"/>
  <c r="K15" i="20"/>
  <c r="J16" i="20"/>
  <c r="K16" i="20"/>
  <c r="J17" i="20"/>
  <c r="K17" i="20"/>
  <c r="J18" i="20"/>
  <c r="K18" i="20"/>
  <c r="K3" i="20"/>
  <c r="J3" i="20"/>
  <c r="O1" i="20"/>
  <c r="V18" i="20"/>
  <c r="U18" i="20"/>
  <c r="W18" i="20" s="1"/>
  <c r="L18" i="20"/>
  <c r="V17" i="20"/>
  <c r="U17" i="20"/>
  <c r="W17" i="20" s="1"/>
  <c r="L17" i="20"/>
  <c r="V16" i="20"/>
  <c r="L16" i="20"/>
  <c r="V15" i="20"/>
  <c r="U15" i="20"/>
  <c r="L15" i="20"/>
  <c r="V14" i="20"/>
  <c r="V13" i="20"/>
  <c r="V12" i="20"/>
  <c r="U12" i="20"/>
  <c r="W12" i="20" s="1"/>
  <c r="V11" i="20"/>
  <c r="V10" i="20"/>
  <c r="V9" i="20"/>
  <c r="L9" i="20"/>
  <c r="V8" i="20"/>
  <c r="L8" i="20"/>
  <c r="V7" i="20"/>
  <c r="L7" i="20"/>
  <c r="V6" i="20"/>
  <c r="L6" i="20"/>
  <c r="V5" i="20"/>
  <c r="U5" i="20"/>
  <c r="W5" i="20" s="1"/>
  <c r="L5" i="20"/>
  <c r="V4" i="20"/>
  <c r="V3" i="20"/>
  <c r="O3" i="20"/>
  <c r="G21" i="13"/>
  <c r="L3" i="20" l="1"/>
  <c r="W15" i="20"/>
  <c r="L10" i="20"/>
  <c r="U13" i="20"/>
  <c r="W13" i="20" s="1"/>
  <c r="U9" i="20"/>
  <c r="W9" i="20" s="1"/>
  <c r="U6" i="20"/>
  <c r="W6" i="20" s="1"/>
  <c r="U3" i="20"/>
  <c r="W3" i="20" s="1"/>
  <c r="U16" i="20"/>
  <c r="W16" i="20" s="1"/>
  <c r="U10" i="20"/>
  <c r="W10" i="20" s="1"/>
  <c r="U7" i="20"/>
  <c r="W7" i="20" s="1"/>
  <c r="U4" i="20"/>
  <c r="W4" i="20" s="1"/>
  <c r="U14" i="20"/>
  <c r="W14" i="20" s="1"/>
  <c r="U11" i="20"/>
  <c r="W11" i="20" s="1"/>
  <c r="U8" i="20"/>
  <c r="W8" i="20" s="1"/>
  <c r="J3" i="13" l="1"/>
  <c r="G65" i="28"/>
  <c r="H65" i="28"/>
  <c r="I65" i="28"/>
  <c r="J65" i="28"/>
  <c r="K65" i="28"/>
  <c r="L65" i="28"/>
  <c r="M65" i="28"/>
  <c r="N65" i="28"/>
  <c r="O65" i="28"/>
  <c r="P65" i="28"/>
  <c r="Q65" i="28"/>
  <c r="R65" i="28"/>
  <c r="S65" i="28"/>
  <c r="T65" i="28"/>
  <c r="U65" i="28"/>
  <c r="V65" i="28"/>
  <c r="W65" i="28"/>
  <c r="X65" i="28"/>
  <c r="Y65" i="28"/>
  <c r="Z65" i="28"/>
  <c r="AA65" i="28"/>
  <c r="AB65" i="28"/>
  <c r="AC65" i="28"/>
  <c r="G66" i="28"/>
  <c r="H66" i="28"/>
  <c r="I66" i="28"/>
  <c r="J66" i="28"/>
  <c r="K66" i="28"/>
  <c r="L66" i="28"/>
  <c r="M66" i="28"/>
  <c r="N66" i="28"/>
  <c r="O66" i="28"/>
  <c r="P66" i="28"/>
  <c r="Q66" i="28"/>
  <c r="R66" i="28"/>
  <c r="S66" i="28"/>
  <c r="T66" i="28"/>
  <c r="U66" i="28"/>
  <c r="V66" i="28"/>
  <c r="W66" i="28"/>
  <c r="X66" i="28"/>
  <c r="Y66" i="28"/>
  <c r="Z66" i="28"/>
  <c r="AA66" i="28"/>
  <c r="AB66" i="28"/>
  <c r="AC66" i="28"/>
  <c r="G67" i="28"/>
  <c r="H67" i="28"/>
  <c r="I67" i="28"/>
  <c r="J67" i="28"/>
  <c r="K67" i="28"/>
  <c r="L67" i="28"/>
  <c r="M67" i="28"/>
  <c r="N67" i="28"/>
  <c r="O67" i="28"/>
  <c r="P67" i="28"/>
  <c r="Q67" i="28"/>
  <c r="R67" i="28"/>
  <c r="S67" i="28"/>
  <c r="T67" i="28"/>
  <c r="U67" i="28"/>
  <c r="V67" i="28"/>
  <c r="W67" i="28"/>
  <c r="X67" i="28"/>
  <c r="Y67" i="28"/>
  <c r="Z67" i="28"/>
  <c r="AA67" i="28"/>
  <c r="AB67" i="28"/>
  <c r="AC67" i="28"/>
  <c r="F66" i="28"/>
  <c r="F67" i="28"/>
  <c r="F65" i="28"/>
  <c r="B8" i="18"/>
  <c r="J3" i="18"/>
  <c r="E30" i="18"/>
  <c r="D30" i="18"/>
  <c r="D10" i="7" l="1"/>
  <c r="F10" i="7" s="1"/>
  <c r="D11" i="7"/>
  <c r="F11" i="7" s="1"/>
  <c r="D12" i="7"/>
  <c r="F12" i="7" s="1"/>
  <c r="D13" i="7"/>
  <c r="F13" i="7" s="1"/>
  <c r="D14" i="7"/>
  <c r="F14" i="7" s="1"/>
  <c r="D15" i="7"/>
  <c r="F15" i="7" s="1"/>
  <c r="D16" i="7"/>
  <c r="F16" i="7" s="1"/>
  <c r="D17" i="7"/>
  <c r="F17" i="7" s="1"/>
  <c r="D18" i="7"/>
  <c r="F18" i="7" s="1"/>
  <c r="D19" i="7"/>
  <c r="F19" i="7" s="1"/>
  <c r="D20" i="7"/>
  <c r="F20" i="7" s="1"/>
  <c r="D21" i="7"/>
  <c r="F21" i="7" s="1"/>
  <c r="D22" i="7"/>
  <c r="F22" i="7" s="1"/>
  <c r="D23" i="7"/>
  <c r="F23" i="7" s="1"/>
  <c r="D24" i="7"/>
  <c r="F24" i="7" s="1"/>
  <c r="G24" i="7" s="1"/>
  <c r="D25" i="7"/>
  <c r="F25" i="7" s="1"/>
  <c r="G25" i="7" s="1"/>
  <c r="D26" i="7"/>
  <c r="F26" i="7" s="1"/>
  <c r="G26" i="7" s="1"/>
  <c r="C10" i="7"/>
  <c r="C11" i="7"/>
  <c r="C12" i="7"/>
  <c r="C13" i="7"/>
  <c r="C14" i="7"/>
  <c r="C15" i="7"/>
  <c r="C16" i="7"/>
  <c r="C17" i="7"/>
  <c r="C18" i="7"/>
  <c r="C19" i="7"/>
  <c r="C20" i="7"/>
  <c r="C21" i="7"/>
  <c r="C22" i="7"/>
  <c r="C23" i="7"/>
  <c r="C24" i="7"/>
  <c r="C25" i="7"/>
  <c r="C26" i="7"/>
  <c r="A10" i="7"/>
  <c r="A11" i="7"/>
  <c r="A12" i="7"/>
  <c r="A13" i="7"/>
  <c r="A14" i="7"/>
  <c r="A15" i="7"/>
  <c r="A16" i="7"/>
  <c r="A17" i="7"/>
  <c r="A18" i="7"/>
  <c r="A19" i="7"/>
  <c r="A20" i="7"/>
  <c r="A21" i="7"/>
  <c r="A22" i="7"/>
  <c r="A23" i="7"/>
  <c r="A24" i="7"/>
  <c r="A25" i="7"/>
  <c r="A26" i="7"/>
  <c r="A5" i="29"/>
  <c r="A6" i="25"/>
  <c r="A4" i="25"/>
  <c r="G62" i="28"/>
  <c r="H62" i="28"/>
  <c r="I62" i="28"/>
  <c r="J62" i="28"/>
  <c r="K62" i="28"/>
  <c r="L62" i="28"/>
  <c r="M62" i="28"/>
  <c r="N62" i="28"/>
  <c r="O62" i="28"/>
  <c r="P62" i="28"/>
  <c r="Q62" i="28"/>
  <c r="R62" i="28"/>
  <c r="S62" i="28"/>
  <c r="T62" i="28"/>
  <c r="U62" i="28"/>
  <c r="V62" i="28"/>
  <c r="W62" i="28"/>
  <c r="X62" i="28"/>
  <c r="Y62" i="28"/>
  <c r="Z62" i="28"/>
  <c r="AA62" i="28"/>
  <c r="AB62" i="28"/>
  <c r="AC62" i="28"/>
  <c r="G63" i="28"/>
  <c r="H63" i="28"/>
  <c r="I63" i="28"/>
  <c r="J63" i="28"/>
  <c r="K63" i="28"/>
  <c r="L63" i="28"/>
  <c r="M63" i="28"/>
  <c r="N63" i="28"/>
  <c r="O63" i="28"/>
  <c r="P63" i="28"/>
  <c r="Q63" i="28"/>
  <c r="R63" i="28"/>
  <c r="S63" i="28"/>
  <c r="T63" i="28"/>
  <c r="U63" i="28"/>
  <c r="V63" i="28"/>
  <c r="W63" i="28"/>
  <c r="X63" i="28"/>
  <c r="Y63" i="28"/>
  <c r="Z63" i="28"/>
  <c r="AA63" i="28"/>
  <c r="AB63" i="28"/>
  <c r="AC63" i="28"/>
  <c r="G64" i="28"/>
  <c r="H64" i="28"/>
  <c r="I64" i="28"/>
  <c r="J64" i="28"/>
  <c r="K64" i="28"/>
  <c r="L64" i="28"/>
  <c r="M64" i="28"/>
  <c r="N64" i="28"/>
  <c r="O64" i="28"/>
  <c r="P64" i="28"/>
  <c r="Q64" i="28"/>
  <c r="R64" i="28"/>
  <c r="S64" i="28"/>
  <c r="T64" i="28"/>
  <c r="U64" i="28"/>
  <c r="V64" i="28"/>
  <c r="W64" i="28"/>
  <c r="X64" i="28"/>
  <c r="Y64" i="28"/>
  <c r="Z64" i="28"/>
  <c r="AA64" i="28"/>
  <c r="AB64" i="28"/>
  <c r="AC64" i="28"/>
  <c r="F63" i="28"/>
  <c r="F64" i="28"/>
  <c r="F62" i="28"/>
  <c r="G37" i="28"/>
  <c r="H37" i="28"/>
  <c r="I37" i="28"/>
  <c r="J37" i="28"/>
  <c r="K37" i="28"/>
  <c r="L37" i="28"/>
  <c r="M37" i="28"/>
  <c r="N37" i="28"/>
  <c r="O37" i="28"/>
  <c r="P37" i="28"/>
  <c r="Q37" i="28"/>
  <c r="R37" i="28"/>
  <c r="S37" i="28"/>
  <c r="T37" i="28"/>
  <c r="U37" i="28"/>
  <c r="V37" i="28"/>
  <c r="W37" i="28"/>
  <c r="X37" i="28"/>
  <c r="Y37" i="28"/>
  <c r="Z37" i="28"/>
  <c r="AA37" i="28"/>
  <c r="AB37" i="28"/>
  <c r="AC37" i="28"/>
  <c r="G38" i="28"/>
  <c r="H38" i="28"/>
  <c r="I38" i="28"/>
  <c r="J38" i="28"/>
  <c r="K38" i="28"/>
  <c r="L38" i="28"/>
  <c r="M38" i="28"/>
  <c r="N38" i="28"/>
  <c r="O38" i="28"/>
  <c r="P38" i="28"/>
  <c r="Q38" i="28"/>
  <c r="R38" i="28"/>
  <c r="S38" i="28"/>
  <c r="T38" i="28"/>
  <c r="U38" i="28"/>
  <c r="V38" i="28"/>
  <c r="W38" i="28"/>
  <c r="X38" i="28"/>
  <c r="Y38" i="28"/>
  <c r="Z38" i="28"/>
  <c r="AA38" i="28"/>
  <c r="AB38" i="28"/>
  <c r="AC38" i="28"/>
  <c r="G39" i="28"/>
  <c r="H39" i="28"/>
  <c r="I39" i="28"/>
  <c r="J39" i="28"/>
  <c r="K39" i="28"/>
  <c r="L39" i="28"/>
  <c r="M39" i="28"/>
  <c r="N39" i="28"/>
  <c r="O39" i="28"/>
  <c r="P39" i="28"/>
  <c r="Q39" i="28"/>
  <c r="R39" i="28"/>
  <c r="S39" i="28"/>
  <c r="T39" i="28"/>
  <c r="U39" i="28"/>
  <c r="V39" i="28"/>
  <c r="W39" i="28"/>
  <c r="X39" i="28"/>
  <c r="Y39" i="28"/>
  <c r="Z39" i="28"/>
  <c r="AA39" i="28"/>
  <c r="AB39" i="28"/>
  <c r="AC39" i="28"/>
  <c r="G40" i="28"/>
  <c r="H40" i="28"/>
  <c r="I40" i="28"/>
  <c r="J40" i="28"/>
  <c r="K40" i="28"/>
  <c r="L40" i="28"/>
  <c r="M40" i="28"/>
  <c r="N40" i="28"/>
  <c r="O40" i="28"/>
  <c r="P40" i="28"/>
  <c r="Q40" i="28"/>
  <c r="R40" i="28"/>
  <c r="S40" i="28"/>
  <c r="T40" i="28"/>
  <c r="U40" i="28"/>
  <c r="V40" i="28"/>
  <c r="W40" i="28"/>
  <c r="X40" i="28"/>
  <c r="Y40" i="28"/>
  <c r="Z40" i="28"/>
  <c r="AA40" i="28"/>
  <c r="AB40" i="28"/>
  <c r="AC40" i="28"/>
  <c r="G41" i="28"/>
  <c r="H41" i="28"/>
  <c r="I41" i="28"/>
  <c r="J41" i="28"/>
  <c r="K41" i="28"/>
  <c r="L41" i="28"/>
  <c r="M41" i="28"/>
  <c r="N41" i="28"/>
  <c r="O41" i="28"/>
  <c r="P41" i="28"/>
  <c r="Q41" i="28"/>
  <c r="R41" i="28"/>
  <c r="S41" i="28"/>
  <c r="T41" i="28"/>
  <c r="U41" i="28"/>
  <c r="V41" i="28"/>
  <c r="W41" i="28"/>
  <c r="X41" i="28"/>
  <c r="Y41" i="28"/>
  <c r="Z41" i="28"/>
  <c r="AA41" i="28"/>
  <c r="AB41" i="28"/>
  <c r="AC41" i="28"/>
  <c r="G42" i="28"/>
  <c r="H42" i="28"/>
  <c r="I42" i="28"/>
  <c r="J42" i="28"/>
  <c r="K42" i="28"/>
  <c r="L42" i="28"/>
  <c r="M42" i="28"/>
  <c r="N42" i="28"/>
  <c r="O42" i="28"/>
  <c r="P42" i="28"/>
  <c r="Q42" i="28"/>
  <c r="R42" i="28"/>
  <c r="S42" i="28"/>
  <c r="T42" i="28"/>
  <c r="U42" i="28"/>
  <c r="V42" i="28"/>
  <c r="W42" i="28"/>
  <c r="X42" i="28"/>
  <c r="Y42" i="28"/>
  <c r="Z42" i="28"/>
  <c r="AA42" i="28"/>
  <c r="AB42" i="28"/>
  <c r="AC42" i="28"/>
  <c r="F41" i="28"/>
  <c r="F42" i="28"/>
  <c r="F40" i="28"/>
  <c r="F38" i="28"/>
  <c r="F39" i="28"/>
  <c r="F37" i="28"/>
  <c r="A9" i="7" l="1"/>
  <c r="B34" i="7"/>
  <c r="C9" i="7"/>
  <c r="C27" i="7" s="1"/>
  <c r="D9" i="7"/>
  <c r="G10" i="7"/>
  <c r="G11" i="7"/>
  <c r="G12" i="7"/>
  <c r="G13" i="7"/>
  <c r="G14" i="7"/>
  <c r="G15" i="7"/>
  <c r="G16" i="7"/>
  <c r="G17" i="7"/>
  <c r="G18" i="7"/>
  <c r="G19" i="7"/>
  <c r="G20" i="7"/>
  <c r="G21" i="7"/>
  <c r="G22" i="7"/>
  <c r="G23" i="7"/>
  <c r="J1" i="21"/>
  <c r="A1" i="21"/>
  <c r="A7" i="9"/>
  <c r="B3" i="18"/>
  <c r="D3" i="18"/>
  <c r="A1" i="18"/>
  <c r="A57" i="18"/>
  <c r="B44" i="7"/>
  <c r="D24" i="14"/>
  <c r="F9" i="7" l="1"/>
  <c r="B33" i="7" s="1"/>
  <c r="D27" i="7"/>
  <c r="J4" i="21"/>
  <c r="A4" i="21"/>
  <c r="C19" i="29"/>
  <c r="B12" i="29" s="1"/>
  <c r="D29" i="29"/>
  <c r="H11" i="29" s="1"/>
  <c r="C29" i="29"/>
  <c r="B29" i="29"/>
  <c r="H12" i="29" s="1"/>
  <c r="C3" i="9"/>
  <c r="B3" i="9"/>
  <c r="A3" i="9"/>
  <c r="C13" i="9"/>
  <c r="G13" i="9"/>
  <c r="G12" i="9"/>
  <c r="G9" i="7" l="1"/>
  <c r="F27" i="7"/>
  <c r="G27" i="7" s="1"/>
  <c r="C20" i="29"/>
  <c r="B11" i="29"/>
  <c r="B21" i="9" l="1"/>
  <c r="C10" i="9" s="1"/>
  <c r="G10" i="9"/>
  <c r="G14" i="9"/>
  <c r="G11" i="9"/>
  <c r="G9" i="9"/>
  <c r="A1" i="25"/>
  <c r="A1" i="31"/>
  <c r="G15" i="9" l="1"/>
  <c r="G16" i="9"/>
  <c r="G17" i="9" s="1"/>
  <c r="J14" i="1"/>
  <c r="K14" i="1"/>
  <c r="L14" i="1"/>
  <c r="M14" i="1"/>
  <c r="N14" i="1"/>
  <c r="O14" i="1"/>
  <c r="P14" i="1"/>
  <c r="Q14" i="1"/>
  <c r="R14" i="1"/>
  <c r="S14" i="1"/>
  <c r="T14" i="1"/>
  <c r="U14" i="1"/>
  <c r="V14" i="1"/>
  <c r="W14" i="1"/>
  <c r="X14" i="1"/>
  <c r="I14" i="1"/>
  <c r="G15" i="18" l="1"/>
  <c r="G14" i="18"/>
  <c r="G13" i="18"/>
  <c r="G12" i="18"/>
  <c r="G5" i="18"/>
  <c r="G4" i="18"/>
  <c r="G3" i="18"/>
  <c r="G6" i="18"/>
  <c r="G7" i="18"/>
  <c r="G8" i="18"/>
  <c r="G9" i="18"/>
  <c r="G10" i="18"/>
  <c r="G11" i="18"/>
  <c r="G16" i="18"/>
  <c r="G17" i="18"/>
  <c r="G18" i="18"/>
  <c r="G19" i="18"/>
  <c r="G20" i="18"/>
  <c r="D4" i="18"/>
  <c r="D31" i="18" s="1"/>
  <c r="E31" i="18" s="1"/>
  <c r="D5" i="18"/>
  <c r="D32" i="18" s="1"/>
  <c r="E32" i="18" s="1"/>
  <c r="D6" i="18"/>
  <c r="I6" i="18" s="1"/>
  <c r="D7" i="18"/>
  <c r="I7" i="18" s="1"/>
  <c r="D8" i="18"/>
  <c r="D9" i="18"/>
  <c r="D10" i="18"/>
  <c r="D11" i="18"/>
  <c r="D12" i="18"/>
  <c r="D33" i="18" s="1"/>
  <c r="E33" i="18" s="1"/>
  <c r="D13" i="18"/>
  <c r="D34" i="18" s="1"/>
  <c r="E34" i="18" s="1"/>
  <c r="D14" i="18"/>
  <c r="D35" i="18" s="1"/>
  <c r="E35" i="18" s="1"/>
  <c r="D15" i="18"/>
  <c r="D36" i="18" s="1"/>
  <c r="E36" i="18" s="1"/>
  <c r="D16" i="18"/>
  <c r="D17" i="18"/>
  <c r="D18" i="18"/>
  <c r="D19" i="18"/>
  <c r="D20" i="18"/>
  <c r="I20" i="18" s="1"/>
  <c r="D21" i="18"/>
  <c r="B4" i="18"/>
  <c r="B31" i="18" s="1"/>
  <c r="B5" i="18"/>
  <c r="B32" i="18" s="1"/>
  <c r="B6" i="18"/>
  <c r="B7" i="18"/>
  <c r="B9" i="18"/>
  <c r="B10" i="18"/>
  <c r="B11" i="18"/>
  <c r="B12" i="18"/>
  <c r="B33" i="18" s="1"/>
  <c r="B13" i="18"/>
  <c r="B34" i="18" s="1"/>
  <c r="B14" i="18"/>
  <c r="B35" i="18" s="1"/>
  <c r="B15" i="18"/>
  <c r="B36" i="18" s="1"/>
  <c r="B16" i="18"/>
  <c r="B17" i="18"/>
  <c r="B18" i="18"/>
  <c r="B19" i="18"/>
  <c r="B20" i="18"/>
  <c r="B21" i="18"/>
  <c r="B30" i="18"/>
  <c r="A4" i="18"/>
  <c r="A5" i="18"/>
  <c r="A6" i="18"/>
  <c r="A7" i="18"/>
  <c r="A8" i="18"/>
  <c r="A9" i="18"/>
  <c r="A10" i="18"/>
  <c r="A11" i="18"/>
  <c r="A12" i="18"/>
  <c r="A13" i="18"/>
  <c r="A14" i="18"/>
  <c r="A15" i="18"/>
  <c r="A16" i="18"/>
  <c r="A17" i="18"/>
  <c r="A18" i="18"/>
  <c r="A19" i="18"/>
  <c r="A20" i="18"/>
  <c r="A21" i="18"/>
  <c r="A3" i="18"/>
  <c r="J19" i="1"/>
  <c r="K19" i="1"/>
  <c r="L19" i="1"/>
  <c r="M19" i="1"/>
  <c r="N19" i="1"/>
  <c r="O19" i="1"/>
  <c r="P19" i="1"/>
  <c r="Q19" i="1"/>
  <c r="R19" i="1"/>
  <c r="S19" i="1"/>
  <c r="T19" i="1"/>
  <c r="U19" i="1"/>
  <c r="V19" i="1"/>
  <c r="W19" i="1"/>
  <c r="X19" i="1"/>
  <c r="I19" i="1"/>
  <c r="J18" i="1"/>
  <c r="K18" i="1"/>
  <c r="L18" i="1"/>
  <c r="M18" i="1"/>
  <c r="N18" i="1"/>
  <c r="O18" i="1"/>
  <c r="P18" i="1"/>
  <c r="Q18" i="1"/>
  <c r="R18" i="1"/>
  <c r="S18" i="1"/>
  <c r="T18" i="1"/>
  <c r="U18" i="1"/>
  <c r="V18" i="1"/>
  <c r="W18" i="1"/>
  <c r="X18" i="1"/>
  <c r="I18" i="1"/>
  <c r="J13" i="1"/>
  <c r="K13" i="1"/>
  <c r="L13" i="1"/>
  <c r="M13" i="1"/>
  <c r="N13" i="1"/>
  <c r="O13" i="1"/>
  <c r="P13" i="1"/>
  <c r="Q13" i="1"/>
  <c r="R13" i="1"/>
  <c r="S13" i="1"/>
  <c r="T13" i="1"/>
  <c r="U13" i="1"/>
  <c r="V13" i="1"/>
  <c r="W13" i="1"/>
  <c r="X13" i="1"/>
  <c r="I13" i="1"/>
  <c r="J8" i="18" l="1"/>
  <c r="J4" i="18"/>
  <c r="J13" i="18"/>
  <c r="J14" i="18"/>
  <c r="J15" i="18"/>
  <c r="J19" i="18"/>
  <c r="J18" i="18"/>
  <c r="J12" i="18"/>
  <c r="J20" i="18"/>
  <c r="J7" i="18"/>
  <c r="J17" i="18"/>
  <c r="J16" i="18"/>
  <c r="J11" i="18"/>
  <c r="J6" i="18"/>
  <c r="J5" i="18"/>
  <c r="J10" i="18"/>
  <c r="J9" i="18"/>
  <c r="J21" i="18" l="1"/>
  <c r="A54" i="18"/>
  <c r="C57" i="18"/>
  <c r="C56" i="18"/>
  <c r="B57" i="18"/>
  <c r="B56" i="18"/>
  <c r="A56" i="18"/>
  <c r="A5" i="25"/>
  <c r="D56" i="18" l="1"/>
  <c r="G56" i="18" s="1"/>
  <c r="F9" i="18"/>
  <c r="I9" i="18" s="1"/>
  <c r="F8" i="18"/>
  <c r="I8" i="18" s="1"/>
  <c r="F11" i="18"/>
  <c r="I11" i="18" s="1"/>
  <c r="F12" i="18"/>
  <c r="I12" i="18" s="1"/>
  <c r="F13" i="18"/>
  <c r="I13" i="18" s="1"/>
  <c r="F14" i="18"/>
  <c r="I14" i="18" s="1"/>
  <c r="F10" i="18"/>
  <c r="I10" i="18" s="1"/>
  <c r="F19" i="18"/>
  <c r="I19" i="18" s="1"/>
  <c r="F5" i="18"/>
  <c r="I5" i="18" s="1"/>
  <c r="F18" i="18"/>
  <c r="I18" i="18" s="1"/>
  <c r="F17" i="18"/>
  <c r="I17" i="18" s="1"/>
  <c r="F16" i="18"/>
  <c r="I16" i="18" s="1"/>
  <c r="F4" i="18"/>
  <c r="I4" i="18" s="1"/>
  <c r="F3" i="18"/>
  <c r="I3" i="18" s="1"/>
  <c r="F15" i="18"/>
  <c r="I15" i="18" s="1"/>
  <c r="C3" i="18"/>
  <c r="H3" i="18" s="1"/>
  <c r="K3" i="18" l="1"/>
  <c r="J4" i="13"/>
  <c r="C4" i="18" s="1"/>
  <c r="H4" i="18" s="1"/>
  <c r="K4" i="18" s="1"/>
  <c r="J5" i="13"/>
  <c r="C5" i="18" s="1"/>
  <c r="H5" i="18" s="1"/>
  <c r="K5" i="18" s="1"/>
  <c r="J6" i="13"/>
  <c r="C6" i="18" s="1"/>
  <c r="H6" i="18" s="1"/>
  <c r="K6" i="18" s="1"/>
  <c r="J7" i="13"/>
  <c r="C7" i="18" s="1"/>
  <c r="H7" i="18" s="1"/>
  <c r="K7" i="18" s="1"/>
  <c r="J8" i="13"/>
  <c r="C8" i="18" s="1"/>
  <c r="H8" i="18" s="1"/>
  <c r="K8" i="18" s="1"/>
  <c r="J9" i="13"/>
  <c r="C9" i="18" s="1"/>
  <c r="H9" i="18" s="1"/>
  <c r="K9" i="18" s="1"/>
  <c r="J10" i="13"/>
  <c r="C10" i="18" s="1"/>
  <c r="H10" i="18" s="1"/>
  <c r="K10" i="18" s="1"/>
  <c r="J11" i="13"/>
  <c r="C11" i="18" s="1"/>
  <c r="H11" i="18" s="1"/>
  <c r="K11" i="18" s="1"/>
  <c r="J12" i="13"/>
  <c r="C12" i="18" s="1"/>
  <c r="H12" i="18" s="1"/>
  <c r="K12" i="18" s="1"/>
  <c r="J13" i="13"/>
  <c r="C13" i="18" s="1"/>
  <c r="H13" i="18" s="1"/>
  <c r="K13" i="18" s="1"/>
  <c r="J14" i="13"/>
  <c r="C14" i="18" s="1"/>
  <c r="H14" i="18" s="1"/>
  <c r="K14" i="18" s="1"/>
  <c r="J15" i="13"/>
  <c r="C15" i="18" s="1"/>
  <c r="H15" i="18" s="1"/>
  <c r="K15" i="18" s="1"/>
  <c r="J16" i="13"/>
  <c r="C16" i="18" s="1"/>
  <c r="H16" i="18" s="1"/>
  <c r="K16" i="18" s="1"/>
  <c r="J17" i="13"/>
  <c r="C17" i="18" s="1"/>
  <c r="H17" i="18" s="1"/>
  <c r="K17" i="18" s="1"/>
  <c r="J18" i="13"/>
  <c r="C18" i="18" s="1"/>
  <c r="H18" i="18" s="1"/>
  <c r="K18" i="18" s="1"/>
  <c r="J19" i="13"/>
  <c r="C19" i="18" s="1"/>
  <c r="H19" i="18" s="1"/>
  <c r="K19" i="18" s="1"/>
  <c r="J20" i="13"/>
  <c r="C20" i="18" s="1"/>
  <c r="H20" i="18" s="1"/>
  <c r="K20" i="18" s="1"/>
  <c r="K21" i="18" l="1"/>
  <c r="J21" i="13"/>
  <c r="C21" i="18" s="1"/>
  <c r="F3" i="13" l="1"/>
  <c r="A4" i="29"/>
  <c r="D57" i="18" l="1"/>
  <c r="B58" i="18"/>
  <c r="G57" i="18" l="1"/>
  <c r="D58" i="18"/>
  <c r="B35" i="7" l="1"/>
  <c r="C33" i="7"/>
  <c r="D33" i="7" s="1"/>
  <c r="G58" i="18"/>
  <c r="B3" i="1"/>
  <c r="B18" i="1" s="1"/>
  <c r="E33" i="7" l="1"/>
  <c r="B8" i="1"/>
  <c r="C34" i="7"/>
  <c r="B13" i="1"/>
  <c r="D34" i="7" l="1"/>
  <c r="E34" i="7" s="1"/>
  <c r="A3" i="29"/>
  <c r="A1" i="13" l="1"/>
  <c r="F4" i="13" l="1"/>
  <c r="F6" i="13"/>
  <c r="F8" i="13"/>
  <c r="F11" i="13"/>
  <c r="F12" i="13"/>
  <c r="F16" i="13"/>
  <c r="F17" i="13"/>
  <c r="F18" i="13"/>
  <c r="F19" i="13"/>
  <c r="F5" i="13"/>
  <c r="F9" i="13"/>
  <c r="F10" i="13"/>
  <c r="F13" i="13"/>
  <c r="F14" i="13"/>
  <c r="F15" i="13"/>
  <c r="F20" i="13"/>
  <c r="F7" i="13"/>
  <c r="A1" i="27"/>
  <c r="A1" i="22"/>
  <c r="A1" i="28"/>
  <c r="A1" i="29"/>
  <c r="A1" i="9"/>
  <c r="A1" i="1"/>
  <c r="A1" i="14"/>
  <c r="AB4" i="21" l="1"/>
  <c r="AB5" i="21"/>
  <c r="AB6" i="21"/>
  <c r="AB7" i="21"/>
  <c r="AB8" i="21"/>
  <c r="H5" i="21"/>
  <c r="H6" i="21"/>
  <c r="H7" i="21"/>
  <c r="H8" i="21"/>
  <c r="H9" i="21"/>
  <c r="H10" i="21"/>
  <c r="H11" i="21"/>
  <c r="H12" i="21"/>
  <c r="H13" i="21"/>
  <c r="H14" i="21"/>
  <c r="H15" i="21"/>
  <c r="H16" i="21"/>
  <c r="H17" i="21"/>
  <c r="H18" i="21"/>
  <c r="H19" i="21"/>
  <c r="H4" i="21"/>
  <c r="F35" i="7" l="1"/>
  <c r="F33" i="7" s="1"/>
  <c r="C35" i="7"/>
  <c r="F34" i="7"/>
  <c r="D4" i="7" l="1"/>
  <c r="D3" i="7"/>
  <c r="D35" i="7"/>
  <c r="E35" i="7" s="1"/>
  <c r="G37" i="7" s="1"/>
  <c r="I37" i="7" s="1"/>
  <c r="I34" i="7"/>
  <c r="G33" i="7"/>
  <c r="I33" i="7" s="1"/>
  <c r="E3" i="7" l="1"/>
  <c r="E4" i="7"/>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<sst xmlns="http://schemas.openxmlformats.org/spreadsheetml/2006/main" count="961" uniqueCount="542">
  <si>
    <t>Data Sources</t>
  </si>
  <si>
    <t>Dataset</t>
  </si>
  <si>
    <t>Dodge 2023</t>
  </si>
  <si>
    <t>CEUS 2022</t>
  </si>
  <si>
    <t>ComStock 2023</t>
  </si>
  <si>
    <t>Prototype</t>
  </si>
  <si>
    <r>
      <t>CEC Laboratory prototype</t>
    </r>
    <r>
      <rPr>
        <sz val="10"/>
        <rFont val="Arial"/>
        <family val="2"/>
      </rPr>
      <t xml:space="preserve"> (CBECC 2022.3.1)</t>
    </r>
  </si>
  <si>
    <t>https://bees.noresco.com/software2022.html</t>
  </si>
  <si>
    <t xml:space="preserve"> </t>
  </si>
  <si>
    <t>DEER Manufacturing-BioTech prototype (June 2024)</t>
  </si>
  <si>
    <t>https://github.com/sound-data/DEER-Prototypes-EnergyPlus</t>
  </si>
  <si>
    <t>Codes</t>
  </si>
  <si>
    <t xml:space="preserve">Title 24, part 6, referred to as T24 (1984, 2001, 2007, 2013, 2016, 2022, 2025) </t>
  </si>
  <si>
    <t>ASHRAE 90.1 (2022)</t>
  </si>
  <si>
    <t>CFR Title 10 (2008, 2010, 2025)</t>
  </si>
  <si>
    <t>ACM 2022</t>
  </si>
  <si>
    <t>T24 2022 - Appendix 5.4A and Appendix 5.4B</t>
  </si>
  <si>
    <t>https://www.energy.ca.gov/publications/2022/2022-nonresidential-and-multifamily-alternative-calculation-method-reference</t>
  </si>
  <si>
    <t>Other</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</si>
  <si>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</si>
  <si>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</si>
  <si>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</si>
  <si>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</si>
  <si>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</si>
  <si>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</si>
  <si>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2010</t>
  </si>
  <si>
    <t>file:///N:/Prj_SUS/2023/S23668%20SCE%20CA%20Prototypes%20Development/Technical/NR/0_Input%20data/Lighting/PNNL-20405.pdf</t>
  </si>
  <si>
    <t>Air leakage Memo, NORESCO, 2025</t>
  </si>
  <si>
    <t>Infiltration_rate_report_14May2025-Short-Version.docx</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</si>
  <si>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</si>
  <si>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</si>
  <si>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Construction Rate</t>
  </si>
  <si>
    <t>Notes</t>
  </si>
  <si>
    <t>2025 T24</t>
  </si>
  <si>
    <t xml:space="preserve">Laboratory is a space or room where hazardous materials are used for activities such as testing, analysis, instruction, research, or developmental activities. Laboratory Suite is a Group L occupancy space within a building or structure, which may include multiple laboratories, offices, storage, equipment rooms or similar support functions. Laboratory, Scientific Area is a room or area where research, experiments, and measurement in medical and physical sciences are performed requiring examination of fine details. The area may include workbenches, countertops, scientific instruments, and associated floor spaces. Scientific laboratory does not refer to film, computer, and other laboratories where scientific experiments 
are not performed. </t>
  </si>
  <si>
    <t>NORESCO, Updated August 2025</t>
  </si>
  <si>
    <t>Laboratory</t>
  </si>
  <si>
    <t>Characteristic</t>
  </si>
  <si>
    <t>Value</t>
  </si>
  <si>
    <t>Building Type</t>
  </si>
  <si>
    <t>Building Category</t>
  </si>
  <si>
    <t>Nonresidential</t>
  </si>
  <si>
    <t>Vintages</t>
  </si>
  <si>
    <t>4 Vintages: Pre-1978 , 1978-1997 ,1998-2007 , 2008-2018
New Construction (2019+)</t>
  </si>
  <si>
    <t xml:space="preserve">Based on the vintage bin analysis
</t>
  </si>
  <si>
    <t>NonRes-Vintage bins-Draft Report-30Nov2023-Final.docx</t>
  </si>
  <si>
    <t>Shape</t>
  </si>
  <si>
    <t xml:space="preserve">The analysis uses prototype geometry originally developed by CEC. </t>
  </si>
  <si>
    <t>Total Floor Area (ft²)</t>
  </si>
  <si>
    <t>Same as CEC</t>
  </si>
  <si>
    <t>Aspect Ratio</t>
  </si>
  <si>
    <t>Number of Floors</t>
  </si>
  <si>
    <t>Roof type</t>
  </si>
  <si>
    <t>Flat</t>
  </si>
  <si>
    <t>WWR</t>
  </si>
  <si>
    <t xml:space="preserve">33%
</t>
  </si>
  <si>
    <t>Shading Geometry</t>
  </si>
  <si>
    <t xml:space="preserve">No Shades </t>
  </si>
  <si>
    <t>Floor to floor height (feet)</t>
  </si>
  <si>
    <t>Floor to ceiling height (feet)</t>
  </si>
  <si>
    <t>9 
(4 ft above-ceiling plenum)</t>
  </si>
  <si>
    <t>Glazing sill height (feet)</t>
  </si>
  <si>
    <t>3.35 ft 
(top of the window is 7.64 ft high with 4.29 ft high glass)</t>
  </si>
  <si>
    <t>Above grade wall area (ft²)</t>
  </si>
  <si>
    <t>Gross wall area  (ft²)</t>
  </si>
  <si>
    <t>Roof area  (ft²)</t>
  </si>
  <si>
    <t>Underground Gross Wall Area  (ft²)</t>
  </si>
  <si>
    <t>Existing prototypes:</t>
  </si>
  <si>
    <t>DEER Manufacturing-BioTech model</t>
  </si>
  <si>
    <t>PNNL</t>
  </si>
  <si>
    <t>CEC Lab Model</t>
  </si>
  <si>
    <t>n/a</t>
  </si>
  <si>
    <t>Space Type</t>
  </si>
  <si>
    <t>Space/Thermal Zone</t>
  </si>
  <si>
    <t>HVAC System Name/AHU Name</t>
  </si>
  <si>
    <t>Schedule Category</t>
  </si>
  <si>
    <t>Conditioned (Y/N)</t>
  </si>
  <si>
    <t>Area Fraction</t>
  </si>
  <si>
    <t>Area (ft²)</t>
  </si>
  <si>
    <t>Volume (ft³)</t>
  </si>
  <si>
    <t>Multipliers</t>
  </si>
  <si>
    <t>Number of People</t>
  </si>
  <si>
    <t xml:space="preserve">People 
(Persons/1,000 ft²)
[T24, 2025,Table 120.1-A] </t>
  </si>
  <si>
    <t>Laboratory, Scientific</t>
  </si>
  <si>
    <t>Core_bottom</t>
  </si>
  <si>
    <t>AHU-1</t>
  </si>
  <si>
    <t>Lab</t>
  </si>
  <si>
    <t>Yes</t>
  </si>
  <si>
    <t>Core_mid</t>
  </si>
  <si>
    <t>AHU-2</t>
  </si>
  <si>
    <t xml:space="preserve">Core_top </t>
  </si>
  <si>
    <t>AHU-3</t>
  </si>
  <si>
    <t>Plenum</t>
  </si>
  <si>
    <t xml:space="preserve">Firstfloor_plenum </t>
  </si>
  <si>
    <t>No</t>
  </si>
  <si>
    <t>Midfloor_plenum</t>
  </si>
  <si>
    <t>Office Area (&gt;250 square feet)</t>
  </si>
  <si>
    <t xml:space="preserve">Perimeter_bot_zn_1 </t>
  </si>
  <si>
    <t>Office</t>
  </si>
  <si>
    <t xml:space="preserve">Perimeter_bot_zn_2 </t>
  </si>
  <si>
    <t xml:space="preserve">Perimeter_bot_zn_3 </t>
  </si>
  <si>
    <t xml:space="preserve">Perimeter_bot_zn_4 </t>
  </si>
  <si>
    <t xml:space="preserve">Perimeter_mid_zn_1 </t>
  </si>
  <si>
    <t xml:space="preserve">Perimeter_mid_zn_2 </t>
  </si>
  <si>
    <t xml:space="preserve">Perimeter_mid_zn_3 </t>
  </si>
  <si>
    <t>Perimeter_mid_zn_4</t>
  </si>
  <si>
    <t xml:space="preserve">Perimeter_top_zn_1 </t>
  </si>
  <si>
    <t xml:space="preserve">Perimeter_top_zn_2 </t>
  </si>
  <si>
    <t xml:space="preserve">Perimeter_top_zn_3 </t>
  </si>
  <si>
    <t xml:space="preserve">Perimeter_top_zn_4 </t>
  </si>
  <si>
    <t xml:space="preserve">Topfloor_plenum </t>
  </si>
  <si>
    <t>Total (2 Space types)</t>
  </si>
  <si>
    <t>Total ( 18 spaces)</t>
  </si>
  <si>
    <t>Total ( Thermal Zones)</t>
  </si>
  <si>
    <t xml:space="preserve"> Total (15 Conditioned zones)</t>
  </si>
  <si>
    <t>Background Data [To be deleted prior to publication]</t>
  </si>
  <si>
    <t>Element</t>
  </si>
  <si>
    <t xml:space="preserve"> Assembly Type</t>
  </si>
  <si>
    <t>Construction</t>
  </si>
  <si>
    <t>Thermal properties</t>
  </si>
  <si>
    <t>Vintage</t>
  </si>
  <si>
    <t>Selected T24</t>
  </si>
  <si>
    <t>Note</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</si>
  <si>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</si>
  <si>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</si>
  <si>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</si>
  <si>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</si>
  <si>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</si>
  <si>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</si>
  <si>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</si>
  <si>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</si>
  <si>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</si>
  <si>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</si>
  <si>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</si>
  <si>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</si>
  <si>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</si>
  <si>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</si>
  <si>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</si>
  <si>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</si>
  <si>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</si>
  <si>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</si>
  <si>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 frame + insulation + Gypsum board</t>
  </si>
  <si>
    <t>U-value IP</t>
  </si>
  <si>
    <t>Pre 1978</t>
  </si>
  <si>
    <t>N/A</t>
  </si>
  <si>
    <t>ASHRAE 90.1, 2022 Table A3.3.3.1, 3.5", R-0</t>
  </si>
  <si>
    <t>1978-1997</t>
  </si>
  <si>
    <t>Similar to Low-rise office: 
Package A/ Heat Capacity was considered ~10 (BTU/F/ft²)</t>
  </si>
  <si>
    <t>1998-2007</t>
  </si>
  <si>
    <t>Table 1-H</t>
  </si>
  <si>
    <t>2008-2018</t>
  </si>
  <si>
    <t>Table 140.3-B</t>
  </si>
  <si>
    <t>2019+</t>
  </si>
  <si>
    <t>Roof</t>
  </si>
  <si>
    <t>FlatRoof_WoodFramedAndOther_NonRes</t>
  </si>
  <si>
    <t>Built-up Roof
roof membrane+roof insulation+metal decking</t>
  </si>
  <si>
    <t>Considering 30 years for roof/ insulation replacement.</t>
  </si>
  <si>
    <t>Windows</t>
  </si>
  <si>
    <t>FixedWindow_NonRes</t>
  </si>
  <si>
    <t xml:space="preserve">Single pane </t>
  </si>
  <si>
    <t>ASHRAE Handbook of Fundamentals (Table 4-Ch15) for single pane &amp; T24, 2013  for double pane (33%-67%)*</t>
  </si>
  <si>
    <t>Double pane</t>
  </si>
  <si>
    <t>SHGC</t>
  </si>
  <si>
    <t>ASHRAE Handbook of Fundamentals (Table 10-Ch15) for single pane &amp; T24, 2013  for double pane (33%-67%)*</t>
  </si>
  <si>
    <t>Table 1-H - WWR:31-40% / SHGC non-north</t>
  </si>
  <si>
    <t>Infiltration</t>
  </si>
  <si>
    <t>2022 CASE report (Table 38)</t>
  </si>
  <si>
    <t>Source:  T24 air barrier requirements (all editions) and the standardized infiltration rate reported in the 2022 CASE report and Dodge 2023 data</t>
  </si>
  <si>
    <t>Zones</t>
  </si>
  <si>
    <t xml:space="preserve">Heating </t>
  </si>
  <si>
    <t>Cooling</t>
  </si>
  <si>
    <t>Air Distribution</t>
  </si>
  <si>
    <t>Source</t>
  </si>
  <si>
    <t>Exisiting</t>
  </si>
  <si>
    <t xml:space="preserve">Conditioned zones </t>
  </si>
  <si>
    <t>Gas Boiler</t>
  </si>
  <si>
    <t xml:space="preserve">DX </t>
  </si>
  <si>
    <t>Multi zone VAV with hydronic reheat</t>
  </si>
  <si>
    <t>Engineering Judgement</t>
  </si>
  <si>
    <t>100% outdoor air for labs, but no required energy recovery</t>
  </si>
  <si>
    <t>New Construction</t>
  </si>
  <si>
    <t>Central air-to-water HP</t>
  </si>
  <si>
    <t>Central air-cooled Chiller</t>
  </si>
  <si>
    <t>VAV ( Each zone has a 
chilled water or hot water changeover coil 
with a 6-way valve for cooling or heating)</t>
  </si>
  <si>
    <t xml:space="preserve">T24 2025 ACM 2025, Table 2 and 3 
</t>
  </si>
  <si>
    <t>System 14a – Aircooled 4pipe VAV with Exhaust heat recovery</t>
  </si>
  <si>
    <t xml:space="preserve">Efficiency of HVAC system </t>
  </si>
  <si>
    <t>Upgrade/Installed year</t>
  </si>
  <si>
    <t xml:space="preserve">Air-Cooled Chiller </t>
  </si>
  <si>
    <t>Air-to-Water HP</t>
  </si>
  <si>
    <t xml:space="preserve">Sources </t>
  </si>
  <si>
    <t>Air-cooled Chiller &gt;150 Tons--2.8 COP, 3.05 IPLV</t>
  </si>
  <si>
    <t>Gas-Fired Boiler ≥ 300,000 Btu/h and 
≤ 2,500,000 Btu/h-- 80% Et</t>
  </si>
  <si>
    <t xml:space="preserve">
T24, Part 6, 2008 , Table 112-D (for Water Chilling Packages) </t>
  </si>
  <si>
    <t>Air-cooled Chiller &gt;150 Tons--≥ 9.562 EER, ≥ 12.500 IPLV</t>
  </si>
  <si>
    <t xml:space="preserve">
T24, Part 6, 2013 , Table 110.2-D (for Water Chilling Packages) -Table 110.2-k (for Gas Fired Boiler)</t>
  </si>
  <si>
    <t>Air-cooled Chiller &gt;150 Tons--≥ 10.100 EER, ≥ 14.000 IPLV</t>
  </si>
  <si>
    <t>Air Cooled (Heating Mode) Split system and 
single package≥ 135,000 Btu/h and &lt; 
240,000 Btu/h 
3.3 COP</t>
  </si>
  <si>
    <t xml:space="preserve">
T24, Part 6, 2013 , Table 110.2-D (for Water Chilling Packages) - Table 110.2-B (for HP efficiecny)</t>
  </si>
  <si>
    <t>* Et = Combustion efficiency</t>
  </si>
  <si>
    <t>* Et = Thermal efficiency</t>
  </si>
  <si>
    <t>Fan power</t>
  </si>
  <si>
    <t>Approach</t>
  </si>
  <si>
    <t>System</t>
  </si>
  <si>
    <t>Total Static Pressure (TSP)
in w.c.
(PNNL 20405, 2010, Table 5.11)</t>
  </si>
  <si>
    <t>Fan Efficiency
(ACM, 2025)</t>
  </si>
  <si>
    <t>Fan Motor and Drive Efficiency 
[ACM 2025, Table 13]</t>
  </si>
  <si>
    <t>W/cfm
[ACM 2025, Table 14 and 15]</t>
  </si>
  <si>
    <t>Data Source</t>
  </si>
  <si>
    <t>Existing</t>
  </si>
  <si>
    <t>PNNL TSP</t>
  </si>
  <si>
    <t>System 6 VAV &gt;5,000 cfm</t>
  </si>
  <si>
    <t>PNNL 2010 TSD</t>
  </si>
  <si>
    <t>Brake horse power (bhp)=(Supply cfm*TSP in w.c.)/(6356*Fan efficiency)</t>
  </si>
  <si>
    <t>Fan power (w/cfm) = bhp/motor and drive efficiency *746</t>
  </si>
  <si>
    <t>ACM 2025</t>
  </si>
  <si>
    <t>Multi Zone VAV System &gt;5,000 cfm; &lt; 10,000 cfm</t>
  </si>
  <si>
    <t>2025 ACM</t>
  </si>
  <si>
    <t>* 0.9 is an average fan efficiency according to ACM 2025, Table 13</t>
  </si>
  <si>
    <t>Fan total eff (E+ input) = 0.65 x Motor_eff</t>
  </si>
  <si>
    <t>TSP (E+ input) in w.c. = Motor_eff/746 x (6356 x Fan_eff) x W/cfm</t>
  </si>
  <si>
    <t>Fan_eff=0.65</t>
  </si>
  <si>
    <t>Setpoint</t>
  </si>
  <si>
    <t>Lab Heating Setpoint (F)</t>
  </si>
  <si>
    <t>T24 2022 - Appendix 5.4B</t>
  </si>
  <si>
    <t>Lab Heating Setback (F)</t>
  </si>
  <si>
    <t>Lab Cooling Setpoint (F)</t>
  </si>
  <si>
    <t>Lab Cooling Setback (F)</t>
  </si>
  <si>
    <t>Office Heating Setpoint (F)</t>
  </si>
  <si>
    <t>Office Heating Setback (F)</t>
  </si>
  <si>
    <t>Office Cooling Setpoint (F)</t>
  </si>
  <si>
    <t>Office Cooling Setback (F)</t>
  </si>
  <si>
    <t xml:space="preserve">  Office Cooling Setback (F)</t>
  </si>
  <si>
    <r>
      <rPr>
        <b/>
        <sz val="10"/>
        <color rgb="FF000000"/>
        <rFont val="Arial"/>
        <family val="2"/>
      </rPr>
      <t>Source:</t>
    </r>
    <r>
      <rPr>
        <sz val="10"/>
        <color rgb="FF000000"/>
        <rFont val="Arial"/>
        <family val="2"/>
      </rPr>
      <t xml:space="preserve"> PNNL Healthcare-Outpaitiet prototype use this setpoints: Administration zones: 72°F Cooling/70°F Heating, Critical zones: 72°F Cooling/70°F Heating, Operating rooms: 65°F Cooling/65°F Heating</t>
    </r>
  </si>
  <si>
    <t>PNNL Healthcare-Outpaitiet prototype use this setbacks: 77°F Cooling/65°F Heating, Critical zones: no setback, Operating rooms: 72°F Cooling/65°F Heating</t>
  </si>
  <si>
    <t>Floor Area (ft²)</t>
  </si>
  <si>
    <t>cfm/person (T24, 2025, Equation 120.1-F and Table 120.1-A)</t>
  </si>
  <si>
    <t>cfm/ft² (T24, 2025, Equation 120.1-F and Table 120.1-A)</t>
  </si>
  <si>
    <t>Required exhaust rate-CFM/ft²- (T24, part 6 2025, Table 120.1-B – minimum exhaust rates)</t>
  </si>
  <si>
    <t>Total cfm driven by people</t>
  </si>
  <si>
    <t>Total cfm driven by area</t>
  </si>
  <si>
    <t>Total cfm driven by exhaust</t>
  </si>
  <si>
    <t>Total cfm</t>
  </si>
  <si>
    <t>Exhaust Hood</t>
  </si>
  <si>
    <t xml:space="preserve">Type of hood </t>
  </si>
  <si>
    <t>Space</t>
  </si>
  <si>
    <t>Max Exhaust Flow Rate (cfm/ft)
[T24, 2025, Table 140.9-C]</t>
  </si>
  <si>
    <t>Hood length (ft)</t>
  </si>
  <si>
    <t>Hood Exhaust Rate (cfm)</t>
  </si>
  <si>
    <t>Fume Hood</t>
  </si>
  <si>
    <t>~1 fume hood per 500–1,500 ft² for research or academic lab buildings</t>
  </si>
  <si>
    <t>*ANSI Z9.5 is the American National Standard for Laboratory Ventilation, and Section 6.4 focuses on how and where lab exhaust air must be discharged to ensure safety, health, and code compliance.</t>
  </si>
  <si>
    <t>*2025 California Title 24, Part 6, the prescriptive exhaust requirements for laboratory spaces are detailed in Section 140.9(c).</t>
  </si>
  <si>
    <t>Requirement</t>
  </si>
  <si>
    <t>Description</t>
  </si>
  <si>
    <t>Criterion</t>
  </si>
  <si>
    <t>Value / Standard</t>
  </si>
  <si>
    <t>Airflow Modulation</t>
  </si>
  <si>
    <t>Reduce to minimum 10 ACH or pressurization limit</t>
  </si>
  <si>
    <t>Pressure relationship</t>
  </si>
  <si>
    <t>Negative relative to adjacent spaces</t>
  </si>
  <si>
    <t>Variable Exhaust/Makeup Air</t>
  </si>
  <si>
    <t>Coordinated VAV systems for pressurization</t>
  </si>
  <si>
    <t>Pressure differential target</t>
  </si>
  <si>
    <t>0.01–0.05 in. w.c.</t>
  </si>
  <si>
    <t>Fan Power Limit</t>
  </si>
  <si>
    <t>≤ 0.65 W/CFM (standard); ≤ 0.85 W/CFM (with filtration)</t>
  </si>
  <si>
    <t>Infiltration modeling</t>
  </si>
  <si>
    <t>Not the primary OA source; modeled as tightly controlled</t>
  </si>
  <si>
    <t>Sash Closure Controls</t>
  </si>
  <si>
    <t>Auto-close after 5 min inactivity with safety features</t>
  </si>
  <si>
    <t>Envelope air barrier</t>
  </si>
  <si>
    <t>Required per T24 standards</t>
  </si>
  <si>
    <t>Makeup Air Compliance</t>
  </si>
  <si>
    <t>Must meet Section 140.4(o) standards</t>
  </si>
  <si>
    <t>Standard reference</t>
  </si>
  <si>
    <t>ANSI Z9.5-2022, ASHRAE 62.1, ASHRAE 90.1</t>
  </si>
  <si>
    <t>Total ft²</t>
  </si>
  <si>
    <t>Min. occupancy load (persons/1000 ft²)</t>
  </si>
  <si>
    <t xml:space="preserve">Total Number of Occupants </t>
  </si>
  <si>
    <t>cfm/ft² (Table 120.1-A – Minimum Ventilation Rates)</t>
  </si>
  <si>
    <t>Required Exhaust Rate-CFM/ft² (Table 120.1-B – Minimum Exhaust Rates)</t>
  </si>
  <si>
    <t>cfm</t>
  </si>
  <si>
    <t xml:space="preserve"> T24, 2025, Equation 120.1-F and Table 120.1-A</t>
  </si>
  <si>
    <t>Total</t>
  </si>
  <si>
    <t>Water Heater - Laboratory</t>
  </si>
  <si>
    <t>WH Type</t>
  </si>
  <si>
    <t>Efficiency</t>
  </si>
  <si>
    <t>Tank Volume (gal)</t>
  </si>
  <si>
    <t>Tank Loss</t>
  </si>
  <si>
    <t>Unit</t>
  </si>
  <si>
    <t xml:space="preserve">Existing  </t>
  </si>
  <si>
    <t>Gas</t>
  </si>
  <si>
    <t>(Btu/hr)</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</si>
  <si>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</si>
  <si>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</si>
  <si>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</si>
  <si>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</si>
  <si>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</si>
  <si>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</si>
  <si>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</si>
  <si>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 xml:space="preserve">Water Heater Capacity, Tank Capacity, and Tank Loss </t>
  </si>
  <si>
    <t>Heat Output (Btu/hr)
[ACM, 2025, 5.9.2: Rated capacity section]</t>
  </si>
  <si>
    <t>WH Capacity (Btu/hr)
[ACM, 2025, 5.9.2: Rated capacity section]</t>
  </si>
  <si>
    <t>Required Energy Input (Btu/hr)</t>
  </si>
  <si>
    <t>Storage Volume (gal)</t>
  </si>
  <si>
    <t xml:space="preserve">Standby Loss </t>
  </si>
  <si>
    <t>Off/On Cycle Loss Coefficient to Ambient Temp (Btu/h-F)</t>
  </si>
  <si>
    <t>Gas Storage WH</t>
  </si>
  <si>
    <t>Btu/hr</t>
  </si>
  <si>
    <t>Standby loss equation: Title 20, §1605.1 Table F-4 
WH capacity equation: ACM, 2025, 5.9.2: Rated capacity section)</t>
  </si>
  <si>
    <t xml:space="preserve">Electric resistance WH </t>
  </si>
  <si>
    <t>%/hr</t>
  </si>
  <si>
    <t>Design supply temperature (F)</t>
  </si>
  <si>
    <t>Ref: T24 2022 - Appendix 5.4B</t>
  </si>
  <si>
    <t>Standby Loss for Existing</t>
  </si>
  <si>
    <t>Cold Water supply temperature (F)</t>
  </si>
  <si>
    <t>Ref: ACM, 2025, 5.9.2: Rated capacity section</t>
  </si>
  <si>
    <t>WH system factor</t>
  </si>
  <si>
    <t>Reheat multiplier</t>
  </si>
  <si>
    <t xml:space="preserve">* The 0.40 multiplier is a storage sizing factor used to account for the fact that the water heater doesn't need to store the full peak hour demand—it can reheat water during that time. This factor assumes that the heater will recover part of the hot water used during the peak hour, so only 40% of the peak hour demand needs to be stored at any given moment. </t>
  </si>
  <si>
    <t>**For Gas Water Heater: UA(Btu/h-°F)​=Q˙​SL​ (Btu/h)/ΔT (∘F)​</t>
  </si>
  <si>
    <t>Ambient temp</t>
  </si>
  <si>
    <t>Delta T</t>
  </si>
  <si>
    <t>** For Electric Water Heater: UA(Btu/h-°F)​= 0.0834 *SL​ (%/hr)*V gal</t>
  </si>
  <si>
    <t>Motion Controlled Luminaires (W)</t>
  </si>
  <si>
    <t>Non-motion Controlled Luminaires (W)</t>
  </si>
  <si>
    <t>Total (W)</t>
  </si>
  <si>
    <t>T24, 2022 &amp; 2025
2019 Outdoor Lighting CASE report 
 PNNL 90.1-2010 TSD</t>
  </si>
  <si>
    <t>Items (Assume LZ2)</t>
  </si>
  <si>
    <t>Assumptions
(2019 Outdoor Lighting CASE Report &amp; PNNL 90.1-2010 TSD)</t>
  </si>
  <si>
    <t>Lighting Power Allowance 
(T24, part 6, 2025, Table 140.7-A &amp; 140.7-B)</t>
  </si>
  <si>
    <t>Exterior Lighting Power (W)</t>
  </si>
  <si>
    <t>IWA (Initial Wattage Allowance)</t>
  </si>
  <si>
    <t>(W)</t>
  </si>
  <si>
    <t>Parking area</t>
  </si>
  <si>
    <t xml:space="preserve"> 400 ft² for every parking space 
1 parking space per 830 ft² of gross building area </t>
  </si>
  <si>
    <t>(ft²)</t>
  </si>
  <si>
    <t>(W/ft²)</t>
  </si>
  <si>
    <t>Building Entrance</t>
  </si>
  <si>
    <t>14 building entrance per PNNL Model</t>
  </si>
  <si>
    <t>(count)</t>
  </si>
  <si>
    <t>(W/ea)</t>
  </si>
  <si>
    <t>Hardscape Ornamental Light</t>
  </si>
  <si>
    <t>0.1 ft² per 1 ft² of gross building area for hardscape ornamental light</t>
  </si>
  <si>
    <t>Building façade</t>
  </si>
  <si>
    <t>0.1 W per 1 ft² of facade area 
Façade Area = Perimeter × 0.5 × 28 ft (30 ft is the max height that is lit) * 
The 0.5 factor assumes that only half of the perimeter walls are lit.
-Formula ia developed based on the 2019 Outdoor Lighting CASE report</t>
  </si>
  <si>
    <t>Non-sales canopy</t>
  </si>
  <si>
    <t>Non-motion-controlled Luminaires</t>
  </si>
  <si>
    <t>Total floor area</t>
  </si>
  <si>
    <t xml:space="preserve">Perimeter </t>
  </si>
  <si>
    <t>Floors</t>
  </si>
  <si>
    <t>Spaces</t>
  </si>
  <si>
    <t>Plug load Intensity (W/ft²)</t>
  </si>
  <si>
    <t>Gas Power Density (Btu/hr-ft²)</t>
  </si>
  <si>
    <t>Refrigeration Power Density (W/ft²)</t>
  </si>
  <si>
    <t>T24 2022 - Appendix 5.4A</t>
  </si>
  <si>
    <t xml:space="preserve"> Appendix 5.4A: Gas equipment=13 Btu/h-ft²--CEC model (Lab) has the Gas equipment for 51 Btu/h-ft² and Refrig load for 0.28 w/ft²---CPUC supports this data</t>
  </si>
  <si>
    <t>Plug load and schedules project with CEC, 2025</t>
  </si>
  <si>
    <t>Elevator</t>
  </si>
  <si>
    <t>No. of Elevators</t>
  </si>
  <si>
    <t>Cab Lighting Power Density (W/ft²)</t>
  </si>
  <si>
    <t>Lighting Shutoff</t>
  </si>
  <si>
    <t>Cab Fan Control</t>
  </si>
  <si>
    <t>Fan Power Limit (W/cfm)</t>
  </si>
  <si>
    <t>Regenerative Drive Threshold</t>
  </si>
  <si>
    <t>Design load (w)</t>
  </si>
  <si>
    <t>Design Load based on PNNL ASHRAE 90.1 2013 Laboratory prototype</t>
  </si>
  <si>
    <t>0.6 </t>
  </si>
  <si>
    <t>Automatic shut‑off after ≤ 5 min no‑occupancy</t>
  </si>
  <si>
    <t>When the elevator cab is stopped and unoccupied with doors closed for over 15 minutes, the cab interior lighting and ventilation fans shall be switched off until elevator cab operation resumes.</t>
  </si>
  <si>
    <t>Design Load based on PNNL ASHRAE 90.1 2022 Laboratory prototype --- per T24 2025 §120.6 (f)---Cab Lighting power density is Exempt (covered process)</t>
  </si>
  <si>
    <t>Assumptions for elevators:</t>
  </si>
  <si>
    <t xml:space="preserve">One elevator for approximately 50,000 square feet in use. </t>
  </si>
  <si>
    <t>For every two floors or two and a half floors, one more elevator was added.</t>
  </si>
  <si>
    <t>An in-use rate of 70% for the floor area was assumed, based on engineering judgment.</t>
  </si>
  <si>
    <t xml:space="preserve">Calculated number of Elevators: </t>
  </si>
  <si>
    <t>Same as PNNL assumptions</t>
  </si>
  <si>
    <t>Calculate Elevator load (kw)based on ACM 2022:</t>
  </si>
  <si>
    <t>ACM 2022 suggestion for elevator load (kw):</t>
  </si>
  <si>
    <t xml:space="preserve">Elevator load will be defined as exterior load not equipment load  </t>
  </si>
  <si>
    <t>Elevator Load= Elevator Lift+ Elevator Light+Fan</t>
  </si>
  <si>
    <t>Elevator Lift (W)</t>
  </si>
  <si>
    <t>Elevator Fan</t>
  </si>
  <si>
    <t>Elevator Light</t>
  </si>
  <si>
    <t>0.7 W/ft²</t>
  </si>
  <si>
    <t>1.5 w/ft²</t>
  </si>
  <si>
    <t>1.65 w/ft²</t>
  </si>
  <si>
    <t>based on PNNL ASHRAE 90.1 Office Medium prototype</t>
  </si>
  <si>
    <t xml:space="preserve">New Construction </t>
  </si>
  <si>
    <t>Lighting density 
(W/ft²)</t>
  </si>
  <si>
    <t>Additional lighting power for porTable lighting (W/ft²)</t>
  </si>
  <si>
    <t xml:space="preserve">LPD (W/ft²) </t>
  </si>
  <si>
    <t>Additional LPD for PorTable Lighting (W/ft²)</t>
  </si>
  <si>
    <t xml:space="preserve">T24, part 6, 2025, Table 140.6 C  (Area category method) </t>
  </si>
  <si>
    <t xml:space="preserve">T24, part 6, 2016, Table 140.6 C   (Area category method) </t>
  </si>
  <si>
    <t>Zone</t>
  </si>
  <si>
    <t>Schedule</t>
  </si>
  <si>
    <t>Type</t>
  </si>
  <si>
    <t>Hour</t>
  </si>
  <si>
    <t>Level 2 and 3 Lab Zones</t>
  </si>
  <si>
    <t>Occupancy</t>
  </si>
  <si>
    <t>T24 2022 - Appendix 5.4B, [Lab]</t>
  </si>
  <si>
    <t>Weekday</t>
  </si>
  <si>
    <t>Saturday</t>
  </si>
  <si>
    <t>Sunday</t>
  </si>
  <si>
    <t>Lights</t>
  </si>
  <si>
    <t xml:space="preserve">ElecEquipment </t>
  </si>
  <si>
    <t>ServiceHotWater</t>
  </si>
  <si>
    <t>GasEquipment</t>
  </si>
  <si>
    <t>Refrigeration</t>
  </si>
  <si>
    <t>HVACAvail</t>
  </si>
  <si>
    <t>ExhaustCAV</t>
  </si>
  <si>
    <t>ExhaustVAVManualSashCtrl</t>
  </si>
  <si>
    <t>ExhaustVAVAutoSashCtrl</t>
  </si>
  <si>
    <t>Office Zones</t>
  </si>
  <si>
    <t>HtgSetpt</t>
  </si>
  <si>
    <t>T24 2022 - Appendix 5.4B, [Office]</t>
  </si>
  <si>
    <t>ClgSetpt</t>
  </si>
  <si>
    <t xml:space="preserve">Office </t>
  </si>
  <si>
    <r>
      <t xml:space="preserve">T24 2022 - Appendix 5.4B, [Office]
</t>
    </r>
    <r>
      <rPr>
        <sz val="9"/>
        <color rgb="FF0070C0"/>
        <rFont val="Arial"/>
        <family val="2"/>
      </rPr>
      <t xml:space="preserve">
Updated base on Plug load and schedules project with CEC, 2025</t>
    </r>
  </si>
  <si>
    <t xml:space="preserve">ElecEquipment
</t>
  </si>
  <si>
    <t xml:space="preserve">Plug load and schedules project with CEC, 2025 </t>
  </si>
  <si>
    <r>
      <t xml:space="preserve">T24 2022 - Appendix 5.4B, [Office]
</t>
    </r>
    <r>
      <rPr>
        <sz val="9"/>
        <color rgb="FF0070C0"/>
        <rFont val="Arial"/>
        <family val="2"/>
      </rPr>
      <t>Updated base on Plug load and schedules project with CEC, 202</t>
    </r>
  </si>
  <si>
    <t>Building</t>
  </si>
  <si>
    <t>ExtLightingNonMotionCtrl</t>
  </si>
  <si>
    <t>ExtLightingMotionCtrl</t>
  </si>
  <si>
    <t>CalBEM Energy Consumption - Laboratory</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</si>
  <si>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</si>
  <si>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</si>
  <si>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</si>
  <si>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</si>
  <si>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</si>
  <si>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</si>
  <si>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</si>
  <si>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</si>
  <si>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</si>
  <si>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</si>
  <si>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</si>
  <si>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</si>
  <si>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</si>
  <si>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</si>
  <si>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</si>
  <si>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Acceptable Range (20% Higher)</t>
  </si>
  <si>
    <t>Acceptable Range (20% Lower)</t>
  </si>
  <si>
    <t xml:space="preserve">CEUS 2022 Acceptable EUI Range </t>
  </si>
  <si>
    <r>
      <rPr>
        <b/>
        <sz val="10"/>
        <color theme="1"/>
        <rFont val="Arial"/>
        <family val="2"/>
      </rPr>
      <t xml:space="preserve">Ref: </t>
    </r>
    <r>
      <rPr>
        <sz val="10"/>
        <color theme="1"/>
        <rFont val="Arial"/>
        <family val="2"/>
      </rPr>
      <t xml:space="preserve">CEUS 2022 Report </t>
    </r>
  </si>
  <si>
    <t xml:space="preserve">And converted FZ level data to CZ level </t>
  </si>
  <si>
    <t>CEUS has only one category for healthcare.</t>
  </si>
  <si>
    <t>Vintage Bin</t>
  </si>
  <si>
    <t>Pre-1978</t>
  </si>
  <si>
    <t>Not available</t>
  </si>
  <si>
    <t>Statewide</t>
  </si>
  <si>
    <t>Ref: CEUS 2022 dataset</t>
  </si>
  <si>
    <t>TBD</t>
  </si>
  <si>
    <t>Space Function</t>
  </si>
  <si>
    <t xml:space="preserve">Exhaust Required? </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</si>
  <si>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</si>
  <si>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</si>
  <si>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</si>
  <si>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</si>
  <si>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</si>
  <si>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</si>
  <si>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</si>
  <si>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</si>
  <si>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</si>
  <si>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</si>
  <si>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</si>
  <si>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</si>
  <si>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</si>
  <si>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</si>
  <si>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</si>
  <si>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</si>
  <si>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</si>
  <si>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Convention, Conference, Multipurpose and Meeting Area</t>
  </si>
  <si>
    <t>Copy Room</t>
  </si>
  <si>
    <t>Corridor Area</t>
  </si>
  <si>
    <t>Dining Area (Bar/Lounge and Fine Dining)</t>
  </si>
  <si>
    <t>Dining Area (Cafeteria/Fast Food)</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</si>
  <si>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</si>
  <si>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</si>
  <si>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</si>
  <si>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</si>
  <si>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</si>
  <si>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</si>
  <si>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</si>
  <si>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</si>
  <si>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</si>
  <si>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</si>
  <si>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</si>
  <si>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</si>
  <si>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</si>
  <si>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</si>
  <si>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</si>
  <si>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</si>
  <si>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 xml:space="preserve">Laundry Area </t>
  </si>
  <si>
    <t>Library (Reading Area)</t>
  </si>
  <si>
    <t>Library (Stacks Area)</t>
  </si>
  <si>
    <t>Lobby, Main Entry</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</si>
  <si>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</si>
  <si>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</si>
  <si>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</si>
  <si>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</si>
  <si>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</si>
  <si>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</si>
  <si>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</si>
  <si>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</si>
  <si>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</si>
  <si>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</si>
  <si>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</si>
  <si>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</si>
  <si>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</si>
  <si>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</si>
  <si>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</si>
  <si>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</si>
  <si>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</si>
  <si>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</si>
  <si>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</si>
  <si>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</si>
  <si>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</si>
  <si>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</si>
  <si>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</si>
  <si>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</si>
  <si>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</si>
  <si>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</si>
  <si>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</si>
  <si>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</si>
  <si>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</si>
  <si>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</si>
  <si>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</si>
  <si>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</si>
  <si>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</si>
  <si>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</si>
  <si>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</si>
  <si>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IT Room (EPD 12)</t>
  </si>
  <si>
    <t>Computer Room (EPD 20)</t>
  </si>
  <si>
    <t>Server Room (EPD 45)</t>
  </si>
  <si>
    <t>I_75
6-sdied Infiltration rate 
@ 75 pa</t>
  </si>
  <si>
    <t xml:space="preserve"> I-design (cfm/ft²) 
(4-sided Infiltration rate at normal pressure) 
(Design flow rate approach and Flow/Exterior Wall Area calculation method) </t>
  </si>
  <si>
    <t>2022 CASE report (Table 38) &amp;
T24, 2008-2016 (Table 140.3-B)--Air barrier is required in CZ 10-16</t>
  </si>
  <si>
    <t>2022 CASE report (Table 38) &amp;  
T24, 2025 (Table 140.3-B)--Air barrier is required in all CZs</t>
  </si>
  <si>
    <t xml:space="preserve">Air Leakage Memo: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</si>
</sst>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0.0%"/>
    <numFmt numFmtId="165" formatCode="0.0"/>
    <numFmt numFmtId="166" formatCode="#,##0.0"/>
    <numFmt numFmtId="167" formatCode="0.000"/>
    <numFmt numFmtId="168" formatCode="_(* #,##0_);_(* \(#,##0\);_(* &quot;-&quot;??_);_(@_)"/>
    <numFmt numFmtId="169" formatCode="#,##0;\-0;[Color15]0"/>
    <numFmt numFmtId="170" formatCode="_(* #,##0.0_);_(* \(#,##0.0\);_(* &quot;-&quot;??_);_(@_)"/>
    <numFmt numFmtId="171" formatCode="_(* #,##0.000_);_(* \(#,##0.000\);_(* &quot;-&quot;??_);_(@_)"/>
    <numFmt numFmtId="172" formatCode="_(* #,##0.0_);_(* \(#,##0.0\);_(* &quot;-&quot;?????_);_(@_)"/>
  </numFmts>
  <fonts count="42"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FF0000"/>
      <name val="Arial"/>
      <family val="2"/>
    </font>
    <font>
      <sz val="10"/>
      <color rgb="FFC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4"/>
      <color theme="1"/>
      <name val="Arial"/>
      <family val="2"/>
    </font>
    <font>
      <b/>
      <sz val="10"/>
      <color rgb="FF002F8E"/>
      <name val="Arial"/>
      <family val="2"/>
    </font>
    <font>
      <sz val="10"/>
      <color theme="0"/>
      <name val="Arial"/>
      <family val="2"/>
    </font>
    <font>
      <b/>
      <sz val="11"/>
      <color rgb="FF000000"/>
      <name val="Arial"/>
      <family val="2"/>
    </font>
    <font>
      <sz val="11"/>
      <color rgb="FF000000"/>
      <name val="Arial"/>
      <family val="2"/>
    </font>
    <font>
      <b/>
      <sz val="12"/>
      <color rgb="FFFFFFFF"/>
      <name val="Arial"/>
      <family val="2"/>
    </font>
    <font>
      <u/>
      <sz val="10"/>
      <color rgb="FF0563C1"/>
      <name val="Arial"/>
      <family val="2"/>
    </font>
    <font>
      <b/>
      <sz val="11"/>
      <color rgb="FF000000"/>
      <name val="Calibri"/>
      <family val="2"/>
      <scheme val="minor"/>
    </font>
    <font>
      <sz val="11"/>
      <name val="Calibri"/>
      <family val="2"/>
      <scheme val="minor"/>
    </font>
    <font>
      <sz val="9"/>
      <color rgb="FF000000"/>
      <name val="Arial"/>
      <family val="2"/>
    </font>
    <font>
      <sz val="10"/>
      <color rgb="FFA6A6A6"/>
      <name val="Arial"/>
      <family val="2"/>
    </font>
    <font>
      <sz val="10"/>
      <color rgb="FF0070C0"/>
      <name val="Arial"/>
      <family val="2"/>
    </font>
    <font>
      <u/>
      <sz val="10"/>
      <color theme="1"/>
      <name val="Arial"/>
      <family val="2"/>
    </font>
    <font>
      <u/>
      <sz val="10"/>
      <name val="Arial"/>
      <family val="2"/>
    </font>
    <font>
      <sz val="9"/>
      <color rgb="FF0070C0"/>
      <name val="Arial"/>
      <family val="2"/>
    </font>
  </fonts>
  <fills count="15">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theme="0" tint="-0.34998626667073579"/>
        <bgColor indexed="64"/>
      </patternFill>
    </fill>
    <fill>
      <patternFill patternType="solid">
        <fgColor rgb="FF203764"/>
        <bgColor rgb="FF000000"/>
      </patternFill>
    </fill>
    <fill>
      <patternFill patternType="solid">
        <fgColor rgb="FFFFFFFF"/>
        <bgColor rgb="FF000000"/>
      </patternFill>
    </fill>
    <fill>
      <patternFill patternType="lightUp"/>
    </fill>
    <fill>
      <patternFill patternType="solid">
        <fgColor rgb="FFFFF2CC"/>
        <bgColor rgb="FF000000"/>
      </patternFill>
    </fill>
  </fills>
  <borders count="172">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right/>
      <top/>
      <bottom style="thin">
        <color theme="0" tint="-0.499984740745262"/>
      </bottom>
      <diagonal/>
    </border>
    <border>
      <left/>
      <right/>
      <top/>
      <bottom style="medium">
        <color indexed="64"/>
      </bottom>
      <diagonal/>
    </border>
    <border>
      <left/>
      <right style="medium">
        <color indexed="64"/>
      </right>
      <top/>
      <bottom style="medium">
        <color indexed="64"/>
      </bottom>
      <diagonal/>
    </border>
    <border>
      <left style="thin">
        <color theme="0" tint="-0.499984740745262"/>
      </left>
      <right style="thin">
        <color theme="0" tint="-0.499984740745262"/>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theme="0" tint="-0.499984740745262"/>
      </left>
      <right style="thin">
        <color rgb="FF808080"/>
      </right>
      <top style="thin">
        <color theme="0" tint="-0.499984740745262"/>
      </top>
      <bottom/>
      <diagonal/>
    </border>
    <border>
      <left style="thin">
        <color rgb="FF808080"/>
      </left>
      <right style="thin">
        <color rgb="FF808080"/>
      </right>
      <top style="thin">
        <color rgb="FF808080"/>
      </top>
      <bottom/>
      <diagonal/>
    </border>
    <border>
      <left style="thin">
        <color theme="0" tint="-0.499984740745262"/>
      </left>
      <right style="thin">
        <color rgb="FF808080"/>
      </right>
      <top/>
      <bottom/>
      <diagonal/>
    </border>
    <border>
      <left style="thin">
        <color rgb="FF808080"/>
      </left>
      <right style="thin">
        <color rgb="FF808080"/>
      </right>
      <top/>
      <bottom/>
      <diagonal/>
    </border>
    <border>
      <left style="thin">
        <color theme="0" tint="-0.499984740745262"/>
      </left>
      <right style="thin">
        <color rgb="FF808080"/>
      </right>
      <top/>
      <bottom style="thin">
        <color theme="0" tint="-0.499984740745262"/>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rgb="FF595959"/>
      </left>
      <right style="thin">
        <color rgb="FF595959"/>
      </right>
      <top style="thin">
        <color rgb="FF595959"/>
      </top>
      <bottom style="thin">
        <color rgb="FF595959"/>
      </bottom>
      <diagonal/>
    </border>
    <border>
      <left style="thin">
        <color indexed="64"/>
      </left>
      <right style="thin">
        <color indexed="64"/>
      </right>
      <top style="thin">
        <color indexed="64"/>
      </top>
      <bottom style="thin">
        <color rgb="FF000000"/>
      </bottom>
      <diagonal/>
    </border>
    <border>
      <left style="thin">
        <color rgb="FF595959"/>
      </left>
      <right style="thin">
        <color rgb="FF595959"/>
      </right>
      <top style="thin">
        <color indexed="64"/>
      </top>
      <bottom style="thin">
        <color rgb="FF595959"/>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rgb="FF808080"/>
      </left>
      <right style="thin">
        <color indexed="64"/>
      </right>
      <top style="thin">
        <color theme="0" tint="-0.499984740745262"/>
      </top>
      <bottom/>
      <diagonal/>
    </border>
    <border>
      <left style="thin">
        <color rgb="FF808080"/>
      </left>
      <right style="thin">
        <color indexed="64"/>
      </right>
      <top/>
      <bottom/>
      <diagonal/>
    </border>
    <border>
      <left style="thin">
        <color rgb="FF808080"/>
      </left>
      <right style="thin">
        <color indexed="64"/>
      </right>
      <top/>
      <bottom style="thin">
        <color rgb="FF808080"/>
      </bottom>
      <diagonal/>
    </border>
    <border>
      <left style="thin">
        <color rgb="FF808080"/>
      </left>
      <right style="thin">
        <color indexed="64"/>
      </right>
      <top style="thin">
        <color rgb="FF808080"/>
      </top>
      <bottom style="thin">
        <color rgb="FF808080"/>
      </bottom>
      <diagonal/>
    </border>
    <border>
      <left style="thin">
        <color indexed="64"/>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style="thin">
        <color indexed="64"/>
      </right>
      <top style="thin">
        <color rgb="FF808080"/>
      </top>
      <bottom style="thin">
        <color indexed="64"/>
      </bottom>
      <diagonal/>
    </border>
    <border>
      <left style="thin">
        <color indexed="64"/>
      </left>
      <right style="thin">
        <color theme="0" tint="-0.499984740745262"/>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indexed="64"/>
      </right>
      <top style="thin">
        <color theme="1" tint="0.34998626667073579"/>
      </top>
      <bottom style="thin">
        <color indexed="64"/>
      </bottom>
      <diagonal/>
    </border>
    <border>
      <left style="thin">
        <color indexed="64"/>
      </left>
      <right style="thin">
        <color indexed="64"/>
      </right>
      <top style="thin">
        <color theme="1" tint="0.34998626667073579"/>
      </top>
      <bottom style="thin">
        <color indexed="64"/>
      </bottom>
      <diagonal/>
    </border>
    <border>
      <left style="thin">
        <color rgb="FF000000"/>
      </left>
      <right style="thin">
        <color rgb="FF000000"/>
      </right>
      <top style="thin">
        <color theme="1" tint="0.34998626667073579"/>
      </top>
      <bottom style="thin">
        <color rgb="FF000000"/>
      </bottom>
      <diagonal/>
    </border>
    <border>
      <left style="thin">
        <color indexed="64"/>
      </left>
      <right style="thin">
        <color theme="1" tint="0.34998626667073579"/>
      </right>
      <top style="thin">
        <color theme="1" tint="0.34998626667073579"/>
      </top>
      <bottom style="thin">
        <color indexed="64"/>
      </bottom>
      <diagonal/>
    </border>
    <border>
      <left style="thin">
        <color theme="1" tint="0.34998626667073579"/>
      </left>
      <right style="thin">
        <color indexed="64"/>
      </right>
      <top style="thin">
        <color indexed="64"/>
      </top>
      <bottom style="thin">
        <color indexed="64"/>
      </bottom>
      <diagonal/>
    </border>
    <border>
      <left style="thin">
        <color indexed="64"/>
      </left>
      <right style="thin">
        <color theme="1" tint="0.34998626667073579"/>
      </right>
      <top style="thin">
        <color indexed="64"/>
      </top>
      <bottom style="thin">
        <color indexed="64"/>
      </bottom>
      <diagonal/>
    </border>
    <border>
      <left style="thin">
        <color theme="1" tint="0.34998626667073579"/>
      </left>
      <right style="thin">
        <color indexed="64"/>
      </right>
      <top style="thin">
        <color indexed="64"/>
      </top>
      <bottom style="thin">
        <color theme="1" tint="0.34998626667073579"/>
      </bottom>
      <diagonal/>
    </border>
    <border>
      <left style="thin">
        <color indexed="64"/>
      </left>
      <right style="thin">
        <color indexed="64"/>
      </right>
      <top style="thin">
        <color indexed="64"/>
      </top>
      <bottom style="thin">
        <color theme="1" tint="0.34998626667073579"/>
      </bottom>
      <diagonal/>
    </border>
    <border>
      <left style="thin">
        <color indexed="64"/>
      </left>
      <right style="thin">
        <color theme="1" tint="0.34998626667073579"/>
      </right>
      <top style="thin">
        <color indexed="64"/>
      </top>
      <bottom style="thin">
        <color theme="1" tint="0.3499862666707357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rgb="FF000000"/>
      </left>
      <right style="thin">
        <color rgb="FF000000"/>
      </right>
      <top style="thin">
        <color rgb="FF000000"/>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right style="thin">
        <color rgb="FF000000"/>
      </right>
      <top style="thin">
        <color rgb="FF000000"/>
      </top>
      <bottom/>
      <diagonal/>
    </border>
    <border>
      <left style="medium">
        <color indexed="64"/>
      </left>
      <right/>
      <top/>
      <bottom style="thin">
        <color rgb="FF000000"/>
      </bottom>
      <diagonal/>
    </border>
    <border>
      <left style="thin">
        <color indexed="64"/>
      </left>
      <right style="thin">
        <color indexed="64"/>
      </right>
      <top style="medium">
        <color indexed="64"/>
      </top>
      <bottom style="thin">
        <color theme="1" tint="0.34998626667073579"/>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thin">
        <color indexed="64"/>
      </left>
      <right style="thin">
        <color indexed="64"/>
      </right>
      <top/>
      <bottom style="thin">
        <color theme="1" tint="0.34998626667073579"/>
      </bottom>
      <diagonal/>
    </border>
    <border>
      <left style="medium">
        <color indexed="64"/>
      </left>
      <right style="thin">
        <color theme="1" tint="0.34998626667073579"/>
      </right>
      <top style="medium">
        <color indexed="64"/>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style="medium">
        <color indexed="64"/>
      </bottom>
      <diagonal/>
    </border>
    <border>
      <left style="thin">
        <color rgb="FF000000"/>
      </left>
      <right style="thin">
        <color rgb="FF000000"/>
      </right>
      <top/>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thin">
        <color indexed="64"/>
      </right>
      <top style="medium">
        <color rgb="FF000000"/>
      </top>
      <bottom/>
      <diagonal/>
    </border>
    <border>
      <left style="thin">
        <color indexed="64"/>
      </left>
      <right style="medium">
        <color indexed="64"/>
      </right>
      <top style="medium">
        <color rgb="FF000000"/>
      </top>
      <bottom/>
      <diagonal/>
    </border>
    <border>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indexed="64"/>
      </bottom>
      <diagonal/>
    </border>
    <border>
      <left style="thin">
        <color indexed="64"/>
      </left>
      <right style="medium">
        <color rgb="FF000000"/>
      </right>
      <top style="thin">
        <color indexed="64"/>
      </top>
      <bottom style="medium">
        <color indexed="64"/>
      </bottom>
      <diagonal/>
    </border>
    <border>
      <left style="medium">
        <color rgb="FF000000"/>
      </left>
      <right style="thin">
        <color indexed="64"/>
      </right>
      <top style="medium">
        <color indexed="64"/>
      </top>
      <bottom style="thin">
        <color indexed="64"/>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indexed="64"/>
      </bottom>
      <diagonal/>
    </border>
    <border>
      <left style="thin">
        <color indexed="64"/>
      </left>
      <right style="medium">
        <color rgb="FF000000"/>
      </right>
      <top style="medium">
        <color indexed="64"/>
      </top>
      <bottom style="thin">
        <color indexed="64"/>
      </bottom>
      <diagonal/>
    </border>
    <border>
      <left style="thin">
        <color indexed="64"/>
      </left>
      <right style="medium">
        <color rgb="FF000000"/>
      </right>
      <top/>
      <bottom/>
      <diagonal/>
    </border>
    <border>
      <left style="thin">
        <color indexed="64"/>
      </left>
      <right style="medium">
        <color rgb="FF000000"/>
      </right>
      <top style="thin">
        <color indexed="64"/>
      </top>
      <bottom/>
      <diagonal/>
    </border>
    <border>
      <left style="medium">
        <color rgb="FF000000"/>
      </left>
      <right style="thin">
        <color indexed="64"/>
      </right>
      <top style="medium">
        <color indexed="64"/>
      </top>
      <bottom/>
      <diagonal/>
    </border>
    <border>
      <left style="medium">
        <color rgb="FF000000"/>
      </left>
      <right style="thin">
        <color indexed="64"/>
      </right>
      <top/>
      <bottom/>
      <diagonal/>
    </border>
    <border>
      <left style="medium">
        <color rgb="FF000000"/>
      </left>
      <right style="thin">
        <color indexed="64"/>
      </right>
      <top/>
      <bottom style="medium">
        <color indexed="64"/>
      </bottom>
      <diagonal/>
    </border>
    <border>
      <left style="thin">
        <color indexed="64"/>
      </left>
      <right style="medium">
        <color rgb="FF000000"/>
      </right>
      <top/>
      <bottom style="thin">
        <color indexed="64"/>
      </bottom>
      <diagonal/>
    </border>
    <border>
      <left style="medium">
        <color rgb="FF000000"/>
      </left>
      <right/>
      <top style="medium">
        <color indexed="64"/>
      </top>
      <bottom style="medium">
        <color indexed="64"/>
      </bottom>
      <diagonal/>
    </border>
    <border>
      <left style="medium">
        <color rgb="FF000000"/>
      </left>
      <right style="thin">
        <color indexed="64"/>
      </right>
      <top/>
      <bottom style="medium">
        <color rgb="FF000000"/>
      </bottom>
      <diagonal/>
    </border>
    <border>
      <left style="thin">
        <color indexed="64"/>
      </left>
      <right style="thin">
        <color indexed="64"/>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indexed="64"/>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bottom style="medium">
        <color rgb="FF000000"/>
      </bottom>
      <diagonal/>
    </border>
    <border>
      <left style="thin">
        <color indexed="64"/>
      </left>
      <right/>
      <top/>
      <bottom style="medium">
        <color indexed="64"/>
      </bottom>
      <diagonal/>
    </border>
    <border>
      <left style="medium">
        <color rgb="FF000000"/>
      </left>
      <right/>
      <top/>
      <bottom style="thin">
        <color indexed="64"/>
      </bottom>
      <diagonal/>
    </border>
    <border>
      <left style="medium">
        <color rgb="FF000000"/>
      </left>
      <right/>
      <top style="thin">
        <color indexed="64"/>
      </top>
      <bottom style="thin">
        <color indexed="64"/>
      </bottom>
      <diagonal/>
    </border>
    <border>
      <left/>
      <right style="medium">
        <color rgb="FF000000"/>
      </right>
      <top/>
      <bottom/>
      <diagonal/>
    </border>
    <border>
      <left style="thin">
        <color indexed="64"/>
      </left>
      <right style="medium">
        <color indexed="64"/>
      </right>
      <top style="thin">
        <color indexed="64"/>
      </top>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right style="thin">
        <color theme="1" tint="0.34998626667073579"/>
      </right>
      <top style="thin">
        <color theme="1" tint="0.34998626667073579"/>
      </top>
      <bottom style="medium">
        <color theme="1" tint="0.34998626667073579"/>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right style="thin">
        <color theme="1" tint="0.34998626667073579"/>
      </right>
      <top/>
      <bottom style="thin">
        <color theme="1" tint="0.34998626667073579"/>
      </bottom>
      <diagonal/>
    </border>
    <border>
      <left style="thin">
        <color indexed="64"/>
      </left>
      <right style="medium">
        <color indexed="64"/>
      </right>
      <top/>
      <bottom style="thin">
        <color indexed="64"/>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indexed="64"/>
      </left>
      <right style="medium">
        <color indexed="64"/>
      </right>
      <top/>
      <bottom style="medium">
        <color theme="1" tint="0.34998626667073579"/>
      </bottom>
      <diagonal/>
    </border>
    <border>
      <left style="thin">
        <color indexed="64"/>
      </left>
      <right style="medium">
        <color indexed="64"/>
      </right>
      <top style="medium">
        <color theme="1" tint="0.34998626667073579"/>
      </top>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medium">
        <color theme="1" tint="0.34998626667073579"/>
      </right>
      <top style="thin">
        <color theme="1" tint="0.34998626667073579"/>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rgb="FF000000"/>
      </left>
      <right/>
      <top style="thin">
        <color indexed="64"/>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3">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3" fillId="0" borderId="0"/>
    <xf numFmtId="0" fontId="15" fillId="0" borderId="0" applyNumberFormat="0" applyFill="0" applyBorder="0" applyAlignment="0" applyProtection="0"/>
    <xf numFmtId="0" fontId="6" fillId="0" borderId="0"/>
    <xf numFmtId="0" fontId="6" fillId="0" borderId="0"/>
  </cellStyleXfs>
  <cellXfs count="630">
    <xf numFmtId="0" fontId="0" fillId="0" borderId="0" xfId="0"/>
    <xf numFmtId="0" fontId="0" fillId="0" borderId="0" xfId="0" applyAlignment="1">
      <alignment vertical="center"/>
    </xf>
    <xf numFmtId="0" fontId="0" fillId="0" borderId="2" xfId="0" applyBorder="1"/>
    <xf numFmtId="0" fontId="8" fillId="0" borderId="0" xfId="5"/>
    <xf numFmtId="0" fontId="3" fillId="0" borderId="0" xfId="0" applyFont="1"/>
    <xf numFmtId="165" fontId="0" fillId="0" borderId="2" xfId="0" applyNumberFormat="1" applyBorder="1"/>
    <xf numFmtId="0" fontId="11" fillId="0" borderId="0" xfId="0" applyFont="1"/>
    <xf numFmtId="0" fontId="11" fillId="0" borderId="0" xfId="0" applyFont="1" applyAlignment="1">
      <alignment horizontal="center" vertical="center"/>
    </xf>
    <xf numFmtId="0" fontId="6" fillId="0" borderId="0" xfId="0" applyFont="1"/>
    <xf numFmtId="0" fontId="7" fillId="0" borderId="0" xfId="0" applyFont="1"/>
    <xf numFmtId="0" fontId="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wrapText="1"/>
    </xf>
    <xf numFmtId="0" fontId="15" fillId="0" borderId="0" xfId="5" applyFont="1"/>
    <xf numFmtId="0" fontId="6" fillId="0" borderId="0" xfId="0" applyFont="1" applyAlignment="1">
      <alignment wrapText="1"/>
    </xf>
    <xf numFmtId="0" fontId="14" fillId="0" borderId="0" xfId="0" applyFont="1" applyAlignment="1">
      <alignment vertical="center"/>
    </xf>
    <xf numFmtId="3" fontId="1" fillId="0" borderId="2" xfId="1" applyNumberFormat="1" applyBorder="1" applyAlignment="1">
      <alignment horizontal="center" vertical="center" wrapText="1"/>
    </xf>
    <xf numFmtId="0" fontId="1" fillId="0" borderId="2" xfId="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vertical="center" wrapText="1"/>
    </xf>
    <xf numFmtId="3" fontId="6" fillId="0" borderId="2" xfId="7" applyNumberFormat="1" applyFont="1" applyBorder="1" applyAlignment="1">
      <alignment horizontal="center" vertical="center"/>
    </xf>
    <xf numFmtId="0" fontId="1" fillId="0" borderId="0" xfId="0" applyFont="1" applyAlignment="1">
      <alignment vertical="top"/>
    </xf>
    <xf numFmtId="0" fontId="6" fillId="0" borderId="0" xfId="0" applyFont="1" applyAlignment="1">
      <alignment horizontal="center" vertical="top" wrapText="1"/>
    </xf>
    <xf numFmtId="0" fontId="6" fillId="0" borderId="0" xfId="0" applyFont="1" applyAlignment="1">
      <alignment horizontal="left" vertical="top" wrapText="1"/>
    </xf>
    <xf numFmtId="0" fontId="7" fillId="0" borderId="0" xfId="0" applyFont="1" applyAlignment="1">
      <alignment horizontal="center" vertical="top" wrapText="1"/>
    </xf>
    <xf numFmtId="167" fontId="15" fillId="0" borderId="0" xfId="5" applyNumberFormat="1" applyFont="1" applyAlignment="1">
      <alignment horizontal="left" vertical="top"/>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19" fillId="6" borderId="2" xfId="0" applyFont="1" applyFill="1" applyBorder="1" applyAlignment="1">
      <alignment horizontal="center" vertical="center" wrapText="1"/>
    </xf>
    <xf numFmtId="0" fontId="18" fillId="6" borderId="2" xfId="0" applyFont="1" applyFill="1" applyBorder="1" applyAlignment="1">
      <alignment horizontal="center" vertical="center"/>
    </xf>
    <xf numFmtId="9" fontId="6" fillId="0" borderId="0" xfId="2" applyFont="1" applyFill="1" applyBorder="1" applyAlignment="1">
      <alignment horizontal="center" vertical="center"/>
    </xf>
    <xf numFmtId="0" fontId="7" fillId="0" borderId="0" xfId="0" applyFont="1" applyAlignment="1">
      <alignment horizontal="left" vertical="center" wrapText="1"/>
    </xf>
    <xf numFmtId="1" fontId="6" fillId="0" borderId="0" xfId="0" applyNumberFormat="1" applyFont="1"/>
    <xf numFmtId="9" fontId="6" fillId="0" borderId="0" xfId="2" applyFont="1" applyFill="1" applyBorder="1"/>
    <xf numFmtId="9" fontId="6" fillId="0" borderId="0" xfId="0" applyNumberFormat="1" applyFont="1"/>
    <xf numFmtId="9" fontId="7" fillId="0" borderId="0" xfId="2" applyFont="1" applyFill="1" applyBorder="1"/>
    <xf numFmtId="164" fontId="6" fillId="0" borderId="0" xfId="0" applyNumberFormat="1" applyFont="1"/>
    <xf numFmtId="9" fontId="6" fillId="0" borderId="0" xfId="0" applyNumberFormat="1" applyFont="1" applyAlignment="1">
      <alignment vertical="center"/>
    </xf>
    <xf numFmtId="0" fontId="7" fillId="0" borderId="0" xfId="0" applyFont="1" applyAlignment="1">
      <alignment vertical="center"/>
    </xf>
    <xf numFmtId="0" fontId="21" fillId="0" borderId="0" xfId="0" applyFont="1" applyAlignment="1">
      <alignment wrapText="1"/>
    </xf>
    <xf numFmtId="0" fontId="6" fillId="0" borderId="24" xfId="4" applyBorder="1" applyAlignment="1">
      <alignment horizontal="center" vertical="center"/>
    </xf>
    <xf numFmtId="9" fontId="6" fillId="0" borderId="24" xfId="2" applyFont="1" applyFill="1" applyBorder="1" applyAlignment="1">
      <alignment horizontal="center" vertical="center"/>
    </xf>
    <xf numFmtId="3" fontId="6" fillId="0" borderId="2" xfId="0" applyNumberFormat="1" applyFont="1" applyBorder="1" applyAlignment="1">
      <alignment horizontal="center" vertical="center"/>
    </xf>
    <xf numFmtId="0" fontId="22" fillId="0" borderId="0" xfId="0" applyFont="1" applyAlignment="1">
      <alignment horizontal="center" vertical="center"/>
    </xf>
    <xf numFmtId="0" fontId="22" fillId="0" borderId="28" xfId="0" applyFont="1" applyBorder="1" applyAlignment="1">
      <alignment horizontal="center" vertical="center"/>
    </xf>
    <xf numFmtId="0" fontId="22" fillId="0" borderId="29" xfId="0" applyFont="1" applyBorder="1" applyAlignment="1">
      <alignment horizontal="center" vertical="center"/>
    </xf>
    <xf numFmtId="0" fontId="22" fillId="0" borderId="31" xfId="0" applyFont="1" applyBorder="1" applyAlignment="1">
      <alignment horizontal="center" vertical="center"/>
    </xf>
    <xf numFmtId="0" fontId="25" fillId="4" borderId="0" xfId="0" applyFont="1" applyFill="1" applyAlignment="1">
      <alignment vertical="center" wrapText="1"/>
    </xf>
    <xf numFmtId="0" fontId="22" fillId="4" borderId="0" xfId="0" applyFont="1" applyFill="1" applyAlignment="1">
      <alignment horizontal="center" vertical="center"/>
    </xf>
    <xf numFmtId="165" fontId="22" fillId="4" borderId="0" xfId="0" applyNumberFormat="1" applyFont="1" applyFill="1" applyAlignment="1">
      <alignment horizontal="center" vertical="center"/>
    </xf>
    <xf numFmtId="0" fontId="24" fillId="0" borderId="0" xfId="0" applyFont="1" applyAlignment="1">
      <alignment horizontal="left" vertical="center" wrapText="1"/>
    </xf>
    <xf numFmtId="0" fontId="24" fillId="0" borderId="0" xfId="0" applyFont="1" applyAlignment="1">
      <alignment horizontal="left" vertical="center"/>
    </xf>
    <xf numFmtId="0" fontId="24"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24" xfId="0" applyNumberFormat="1" applyFont="1" applyBorder="1" applyAlignment="1">
      <alignment horizontal="center"/>
    </xf>
    <xf numFmtId="0" fontId="7" fillId="0" borderId="0" xfId="4" applyFont="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3" fontId="6" fillId="0" borderId="0" xfId="0" applyNumberFormat="1" applyFont="1" applyAlignment="1">
      <alignment horizontal="center" vertical="center"/>
    </xf>
    <xf numFmtId="2" fontId="0" fillId="0" borderId="2" xfId="0" applyNumberFormat="1" applyBorder="1" applyAlignment="1">
      <alignment horizontal="center" vertical="center"/>
    </xf>
    <xf numFmtId="2" fontId="0" fillId="0" borderId="1" xfId="0" applyNumberFormat="1" applyBorder="1" applyAlignment="1">
      <alignment horizontal="center" vertical="center"/>
    </xf>
    <xf numFmtId="2" fontId="0" fillId="0" borderId="34" xfId="0" applyNumberFormat="1" applyBorder="1" applyAlignment="1">
      <alignment horizontal="center" vertical="center"/>
    </xf>
    <xf numFmtId="0" fontId="7" fillId="2" borderId="0" xfId="0" applyFont="1" applyFill="1" applyAlignment="1">
      <alignment horizontal="center" vertical="center"/>
    </xf>
    <xf numFmtId="167" fontId="22" fillId="0" borderId="0" xfId="0" applyNumberFormat="1" applyFont="1" applyAlignment="1">
      <alignment horizontal="center" vertical="center"/>
    </xf>
    <xf numFmtId="3" fontId="6" fillId="0" borderId="0" xfId="7" applyNumberFormat="1" applyFont="1" applyAlignment="1">
      <alignment horizontal="center" vertical="center"/>
    </xf>
    <xf numFmtId="9" fontId="6" fillId="0" borderId="26" xfId="0" applyNumberFormat="1" applyFont="1" applyBorder="1" applyAlignment="1">
      <alignment horizontal="center"/>
    </xf>
    <xf numFmtId="0" fontId="26" fillId="0" borderId="0" xfId="0" applyFont="1"/>
    <xf numFmtId="0" fontId="27" fillId="2" borderId="0" xfId="0" applyFont="1" applyFill="1"/>
    <xf numFmtId="0" fontId="26" fillId="0" borderId="0" xfId="0" applyFont="1" applyAlignment="1">
      <alignment wrapText="1"/>
    </xf>
    <xf numFmtId="0" fontId="26" fillId="0" borderId="0" xfId="0" applyFont="1" applyAlignment="1">
      <alignment horizontal="center"/>
    </xf>
    <xf numFmtId="166" fontId="1" fillId="0" borderId="2" xfId="1" applyNumberFormat="1" applyBorder="1" applyAlignment="1">
      <alignment horizontal="center" vertical="center" wrapText="1"/>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21" fillId="0" borderId="0" xfId="0" applyFont="1" applyAlignment="1">
      <alignment horizontal="left" vertical="center" wrapText="1"/>
    </xf>
    <xf numFmtId="0" fontId="10" fillId="0" borderId="2" xfId="3" applyFont="1" applyFill="1" applyBorder="1" applyAlignment="1">
      <alignment horizontal="left" vertical="top" wrapText="1"/>
    </xf>
    <xf numFmtId="168" fontId="10" fillId="0" borderId="2" xfId="6" applyNumberFormat="1" applyFont="1" applyFill="1" applyBorder="1" applyAlignment="1">
      <alignment horizontal="left" vertical="top" wrapText="1"/>
    </xf>
    <xf numFmtId="0" fontId="7" fillId="6" borderId="27" xfId="0" applyFont="1" applyFill="1" applyBorder="1" applyAlignment="1">
      <alignment horizontal="center" vertical="center"/>
    </xf>
    <xf numFmtId="0" fontId="7" fillId="6" borderId="27" xfId="0" applyFont="1" applyFill="1" applyBorder="1" applyAlignment="1">
      <alignment horizontal="center" vertical="center" wrapText="1"/>
    </xf>
    <xf numFmtId="168" fontId="10" fillId="0" borderId="2" xfId="6" applyNumberFormat="1" applyFont="1" applyBorder="1" applyAlignment="1">
      <alignment horizontal="center" vertical="center" wrapText="1"/>
    </xf>
    <xf numFmtId="1" fontId="11" fillId="0" borderId="2" xfId="0" applyNumberFormat="1" applyFont="1" applyBorder="1" applyAlignment="1">
      <alignment horizontal="center" vertical="center"/>
    </xf>
    <xf numFmtId="0" fontId="11" fillId="0" borderId="2" xfId="0" applyFont="1" applyBorder="1" applyAlignment="1">
      <alignment horizontal="center" vertical="center"/>
    </xf>
    <xf numFmtId="0" fontId="7" fillId="6" borderId="43" xfId="0" applyFont="1" applyFill="1" applyBorder="1" applyAlignment="1">
      <alignment horizontal="center" vertical="center" wrapText="1"/>
    </xf>
    <xf numFmtId="0" fontId="18" fillId="6" borderId="12" xfId="0" applyFont="1" applyFill="1" applyBorder="1" applyAlignment="1">
      <alignment horizontal="center" vertical="center" wrapText="1"/>
    </xf>
    <xf numFmtId="0" fontId="1" fillId="0" borderId="24" xfId="0" applyFont="1" applyBorder="1" applyAlignment="1">
      <alignment horizontal="center" vertical="center"/>
    </xf>
    <xf numFmtId="0" fontId="1" fillId="0" borderId="51" xfId="0" applyFont="1" applyBorder="1" applyAlignment="1">
      <alignment horizontal="center" vertical="center" wrapText="1"/>
    </xf>
    <xf numFmtId="0" fontId="12" fillId="0" borderId="0" xfId="0" applyFont="1" applyAlignment="1">
      <alignment vertical="center"/>
    </xf>
    <xf numFmtId="0" fontId="29" fillId="0" borderId="0" xfId="0" applyFont="1"/>
    <xf numFmtId="0" fontId="11" fillId="0" borderId="0" xfId="0" applyFont="1" applyAlignment="1">
      <alignment horizontal="center"/>
    </xf>
    <xf numFmtId="0" fontId="6" fillId="0" borderId="5" xfId="0" applyFont="1" applyBorder="1"/>
    <xf numFmtId="0" fontId="6" fillId="0" borderId="7" xfId="0" applyFont="1" applyBorder="1"/>
    <xf numFmtId="168" fontId="6" fillId="0" borderId="2" xfId="6" applyNumberFormat="1" applyFont="1" applyBorder="1" applyAlignment="1">
      <alignment horizontal="left" vertical="center" wrapText="1"/>
    </xf>
    <xf numFmtId="168" fontId="6" fillId="0" borderId="2" xfId="6" applyNumberFormat="1" applyFont="1" applyBorder="1" applyAlignment="1">
      <alignment horizontal="left" vertical="center"/>
    </xf>
    <xf numFmtId="43" fontId="6" fillId="0" borderId="0" xfId="0" applyNumberFormat="1" applyFont="1"/>
    <xf numFmtId="0" fontId="10" fillId="0" borderId="0" xfId="3" applyFont="1" applyBorder="1" applyAlignment="1">
      <alignment horizontal="left" vertical="center" wrapText="1"/>
    </xf>
    <xf numFmtId="168" fontId="6" fillId="0" borderId="0" xfId="6" applyNumberFormat="1" applyFont="1" applyBorder="1" applyAlignment="1">
      <alignment horizontal="left" vertical="center"/>
    </xf>
    <xf numFmtId="168" fontId="6" fillId="0" borderId="2" xfId="0" applyNumberFormat="1" applyFont="1" applyBorder="1"/>
    <xf numFmtId="0" fontId="10" fillId="0" borderId="8" xfId="3" applyFont="1" applyBorder="1" applyAlignment="1">
      <alignment horizontal="left" vertical="center" wrapText="1"/>
    </xf>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2"/>
    </xf>
    <xf numFmtId="43" fontId="6" fillId="0" borderId="2" xfId="6" applyFont="1" applyBorder="1" applyAlignment="1">
      <alignment horizontal="left" vertical="center"/>
    </xf>
    <xf numFmtId="1" fontId="6" fillId="0" borderId="2" xfId="0" applyNumberFormat="1" applyFont="1" applyBorder="1"/>
    <xf numFmtId="164" fontId="6" fillId="0" borderId="2" xfId="2" applyNumberFormat="1" applyFont="1" applyBorder="1" applyAlignment="1">
      <alignment horizontal="center"/>
    </xf>
    <xf numFmtId="1" fontId="10" fillId="0" borderId="4" xfId="3" applyNumberFormat="1" applyFont="1" applyBorder="1" applyAlignment="1">
      <alignment horizontal="left" vertical="center" wrapText="1"/>
    </xf>
    <xf numFmtId="0" fontId="6" fillId="0" borderId="1" xfId="0" applyFont="1" applyBorder="1"/>
    <xf numFmtId="1" fontId="10" fillId="0" borderId="6" xfId="3" applyNumberFormat="1" applyFont="1" applyBorder="1" applyAlignment="1">
      <alignment horizontal="left" vertical="center" wrapText="1"/>
    </xf>
    <xf numFmtId="1" fontId="6" fillId="0" borderId="0" xfId="0" applyNumberFormat="1" applyFont="1" applyAlignment="1">
      <alignment horizontal="left" vertical="center" wrapText="1"/>
    </xf>
    <xf numFmtId="0" fontId="1" fillId="0" borderId="0" xfId="0" applyFont="1" applyAlignment="1">
      <alignment horizontal="center" vertical="center" wrapText="1"/>
    </xf>
    <xf numFmtId="0" fontId="20" fillId="0" borderId="0" xfId="0" applyFont="1"/>
    <xf numFmtId="0" fontId="6" fillId="0" borderId="2" xfId="0" quotePrefix="1" applyFont="1" applyBorder="1" applyAlignment="1">
      <alignment horizontal="center" vertical="center" wrapText="1"/>
    </xf>
    <xf numFmtId="168" fontId="10" fillId="0" borderId="1" xfId="6" applyNumberFormat="1" applyFont="1" applyBorder="1" applyAlignment="1">
      <alignment horizontal="center" vertical="center" wrapText="1"/>
    </xf>
    <xf numFmtId="1"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2" fontId="11" fillId="0" borderId="1" xfId="0" applyNumberFormat="1" applyFont="1" applyBorder="1" applyAlignment="1">
      <alignment horizontal="center" vertical="center"/>
    </xf>
    <xf numFmtId="168" fontId="11" fillId="0" borderId="1" xfId="6" applyNumberFormat="1" applyFont="1" applyFill="1" applyBorder="1" applyAlignment="1">
      <alignment horizontal="center" vertical="center"/>
    </xf>
    <xf numFmtId="168" fontId="10" fillId="0" borderId="34" xfId="6" applyNumberFormat="1" applyFont="1" applyBorder="1" applyAlignment="1">
      <alignment horizontal="center" vertical="center" wrapText="1"/>
    </xf>
    <xf numFmtId="0" fontId="11" fillId="0" borderId="34" xfId="0" applyFont="1" applyBorder="1" applyAlignment="1">
      <alignment horizontal="center" vertical="center"/>
    </xf>
    <xf numFmtId="1" fontId="11" fillId="0" borderId="34" xfId="0" applyNumberFormat="1" applyFont="1" applyBorder="1" applyAlignment="1">
      <alignment horizontal="center" vertical="center"/>
    </xf>
    <xf numFmtId="168" fontId="11" fillId="0" borderId="34" xfId="6" applyNumberFormat="1" applyFont="1" applyFill="1" applyBorder="1" applyAlignment="1">
      <alignment horizontal="center" vertical="center"/>
    </xf>
    <xf numFmtId="0" fontId="23" fillId="0" borderId="2" xfId="0" applyFont="1" applyBorder="1" applyAlignment="1">
      <alignment horizontal="center" vertical="center"/>
    </xf>
    <xf numFmtId="0" fontId="21" fillId="0" borderId="2" xfId="0" applyFont="1" applyBorder="1" applyAlignment="1">
      <alignment horizontal="center" vertical="center"/>
    </xf>
    <xf numFmtId="0" fontId="23" fillId="0" borderId="2" xfId="0" applyFont="1" applyBorder="1" applyAlignment="1">
      <alignment horizontal="left" vertical="center"/>
    </xf>
    <xf numFmtId="16" fontId="0" fillId="0" borderId="0" xfId="0" applyNumberFormat="1" applyAlignment="1">
      <alignment horizontal="left"/>
    </xf>
    <xf numFmtId="0" fontId="21" fillId="0" borderId="0" xfId="0" applyFont="1" applyAlignment="1">
      <alignment horizontal="left" vertical="center"/>
    </xf>
    <xf numFmtId="0" fontId="21" fillId="0" borderId="0" xfId="0" applyFont="1" applyAlignment="1">
      <alignment horizontal="center" vertical="center"/>
    </xf>
    <xf numFmtId="0" fontId="22" fillId="0" borderId="0" xfId="0" applyFont="1" applyAlignment="1">
      <alignment horizontal="center" vertical="center" wrapText="1"/>
    </xf>
    <xf numFmtId="2" fontId="0" fillId="0" borderId="0" xfId="0" applyNumberFormat="1" applyAlignment="1">
      <alignment horizontal="center" vertical="center"/>
    </xf>
    <xf numFmtId="168" fontId="11" fillId="0" borderId="18" xfId="6" applyNumberFormat="1" applyFont="1" applyFill="1" applyBorder="1" applyAlignment="1">
      <alignment horizontal="center" vertical="center"/>
    </xf>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0" fillId="0" borderId="2" xfId="0" applyBorder="1" applyAlignment="1">
      <alignment vertical="center" wrapText="1"/>
    </xf>
    <xf numFmtId="0" fontId="23" fillId="0" borderId="0" xfId="0" applyFont="1" applyAlignment="1">
      <alignment vertical="center"/>
    </xf>
    <xf numFmtId="0" fontId="23" fillId="0" borderId="0" xfId="0" applyFont="1" applyAlignment="1">
      <alignment horizontal="center" vertical="center"/>
    </xf>
    <xf numFmtId="0" fontId="30" fillId="0" borderId="0" xfId="0" applyFont="1" applyAlignment="1">
      <alignment vertical="center"/>
    </xf>
    <xf numFmtId="0" fontId="31" fillId="0" borderId="0" xfId="0" applyFont="1"/>
    <xf numFmtId="0" fontId="18" fillId="9" borderId="2" xfId="0" applyFont="1" applyFill="1" applyBorder="1" applyAlignment="1">
      <alignment horizontal="center" vertical="center"/>
    </xf>
    <xf numFmtId="167" fontId="6" fillId="7" borderId="2" xfId="0" applyNumberFormat="1" applyFont="1" applyFill="1" applyBorder="1" applyAlignment="1">
      <alignment horizontal="center" vertical="center"/>
    </xf>
    <xf numFmtId="0" fontId="33" fillId="0" borderId="0" xfId="0" applyFont="1" applyAlignment="1">
      <alignment vertical="center"/>
    </xf>
    <xf numFmtId="168" fontId="23" fillId="0" borderId="2" xfId="6" applyNumberFormat="1" applyFont="1" applyBorder="1" applyAlignment="1">
      <alignment horizontal="center" vertical="center"/>
    </xf>
    <xf numFmtId="168" fontId="23" fillId="0" borderId="2" xfId="6" applyNumberFormat="1" applyFont="1" applyBorder="1" applyAlignment="1">
      <alignment horizontal="center" vertical="center" wrapText="1"/>
    </xf>
    <xf numFmtId="0" fontId="24" fillId="9" borderId="2" xfId="0" applyFont="1" applyFill="1" applyBorder="1" applyAlignment="1">
      <alignment horizontal="center" vertical="center"/>
    </xf>
    <xf numFmtId="0" fontId="34" fillId="0" borderId="0" xfId="0" applyFont="1"/>
    <xf numFmtId="0" fontId="23" fillId="0" borderId="0" xfId="0" applyFont="1" applyAlignment="1">
      <alignment horizontal="center" vertical="top" wrapText="1"/>
    </xf>
    <xf numFmtId="0" fontId="23" fillId="0" borderId="2" xfId="0" applyFont="1" applyBorder="1" applyAlignment="1">
      <alignment horizontal="left" vertical="center" wrapText="1"/>
    </xf>
    <xf numFmtId="0" fontId="24" fillId="9" borderId="2" xfId="0" applyFont="1" applyFill="1" applyBorder="1" applyAlignment="1">
      <alignment vertical="center"/>
    </xf>
    <xf numFmtId="0" fontId="6" fillId="0" borderId="2" xfId="0" applyFont="1" applyBorder="1"/>
    <xf numFmtId="0" fontId="7" fillId="2" borderId="0" xfId="0" applyFont="1" applyFill="1" applyAlignment="1">
      <alignment vertical="center"/>
    </xf>
    <xf numFmtId="0" fontId="1" fillId="0" borderId="0" xfId="1" applyAlignment="1">
      <alignment vertical="center" wrapText="1"/>
    </xf>
    <xf numFmtId="0" fontId="37" fillId="0" borderId="51" xfId="0" applyFont="1" applyBorder="1" applyAlignment="1">
      <alignment horizontal="left" vertical="top" wrapText="1"/>
    </xf>
    <xf numFmtId="3" fontId="37" fillId="0" borderId="51" xfId="0" applyNumberFormat="1" applyFont="1" applyBorder="1" applyAlignment="1">
      <alignment horizontal="center" vertical="center" wrapText="1"/>
    </xf>
    <xf numFmtId="0" fontId="0" fillId="2" borderId="0" xfId="0" applyFill="1"/>
    <xf numFmtId="0" fontId="12" fillId="0" borderId="0" xfId="0" applyFont="1" applyAlignment="1">
      <alignment vertical="center" wrapText="1"/>
    </xf>
    <xf numFmtId="0" fontId="24" fillId="9" borderId="2" xfId="0" applyFont="1" applyFill="1" applyBorder="1" applyAlignment="1">
      <alignment horizontal="center" vertical="center" wrapText="1"/>
    </xf>
    <xf numFmtId="0" fontId="23" fillId="0" borderId="12" xfId="0" applyFont="1" applyBorder="1" applyAlignment="1">
      <alignment horizontal="center" vertical="center"/>
    </xf>
    <xf numFmtId="0" fontId="6" fillId="0" borderId="12" xfId="0" applyFont="1" applyBorder="1" applyAlignment="1">
      <alignment horizontal="center" vertical="center"/>
    </xf>
    <xf numFmtId="0" fontId="23" fillId="12" borderId="14" xfId="0" applyFont="1" applyFill="1" applyBorder="1" applyAlignment="1">
      <alignment vertical="center"/>
    </xf>
    <xf numFmtId="0" fontId="23" fillId="12" borderId="20" xfId="0" applyFont="1" applyFill="1" applyBorder="1" applyAlignment="1">
      <alignment vertical="center"/>
    </xf>
    <xf numFmtId="0" fontId="23" fillId="0" borderId="0" xfId="0" applyFont="1" applyAlignment="1">
      <alignment horizontal="center" vertical="center" wrapText="1"/>
    </xf>
    <xf numFmtId="0" fontId="32" fillId="11" borderId="0" xfId="0" applyFont="1" applyFill="1" applyAlignment="1">
      <alignment horizontal="center" vertical="center"/>
    </xf>
    <xf numFmtId="168" fontId="23" fillId="0" borderId="2" xfId="6" applyNumberFormat="1" applyFont="1" applyBorder="1" applyAlignment="1">
      <alignment vertical="center"/>
    </xf>
    <xf numFmtId="168" fontId="6" fillId="0" borderId="3" xfId="0" applyNumberFormat="1" applyFont="1" applyBorder="1" applyAlignment="1">
      <alignment horizontal="center" vertical="center" wrapText="1"/>
    </xf>
    <xf numFmtId="168" fontId="6" fillId="0" borderId="0" xfId="0" applyNumberFormat="1" applyFont="1"/>
    <xf numFmtId="0" fontId="23" fillId="0" borderId="55" xfId="0" applyFont="1" applyBorder="1"/>
    <xf numFmtId="3" fontId="23" fillId="0" borderId="55" xfId="0" applyNumberFormat="1" applyFont="1" applyBorder="1"/>
    <xf numFmtId="0" fontId="23" fillId="12" borderId="55" xfId="0" applyFont="1" applyFill="1" applyBorder="1" applyAlignment="1">
      <alignment vertical="center"/>
    </xf>
    <xf numFmtId="0" fontId="13" fillId="0" borderId="0" xfId="0" applyFont="1"/>
    <xf numFmtId="1" fontId="39" fillId="0" borderId="0" xfId="0" applyNumberFormat="1" applyFont="1" applyAlignment="1">
      <alignment horizontal="left" vertical="center" wrapText="1"/>
    </xf>
    <xf numFmtId="2" fontId="39" fillId="0" borderId="0" xfId="0" applyNumberFormat="1" applyFont="1" applyAlignment="1">
      <alignment horizontal="center" vertical="center" wrapText="1"/>
    </xf>
    <xf numFmtId="0" fontId="40" fillId="0" borderId="0" xfId="0" applyFont="1" applyAlignment="1">
      <alignment horizontal="center" vertical="center" wrapText="1"/>
    </xf>
    <xf numFmtId="0" fontId="16" fillId="0" borderId="0" xfId="0" applyFont="1"/>
    <xf numFmtId="169" fontId="35" fillId="0" borderId="0" xfId="0" applyNumberFormat="1" applyFont="1"/>
    <xf numFmtId="0" fontId="6" fillId="0" borderId="2" xfId="0" applyFont="1" applyBorder="1" applyAlignment="1">
      <alignment horizontal="right" vertical="center"/>
    </xf>
    <xf numFmtId="168" fontId="6" fillId="0" borderId="2" xfId="6" applyNumberFormat="1" applyFont="1" applyBorder="1" applyAlignment="1">
      <alignment horizontal="right" vertical="center" wrapText="1"/>
    </xf>
    <xf numFmtId="168" fontId="6" fillId="0" borderId="2" xfId="0" applyNumberFormat="1" applyFont="1" applyBorder="1" applyAlignment="1">
      <alignment horizontal="right" vertical="center"/>
    </xf>
    <xf numFmtId="3" fontId="6" fillId="0" borderId="0" xfId="0" applyNumberFormat="1" applyFont="1"/>
    <xf numFmtId="168" fontId="6" fillId="0" borderId="0" xfId="6" applyNumberFormat="1" applyFont="1"/>
    <xf numFmtId="168" fontId="6" fillId="0" borderId="2" xfId="6" applyNumberFormat="1" applyFont="1" applyBorder="1" applyAlignment="1">
      <alignment horizontal="right" vertical="center"/>
    </xf>
    <xf numFmtId="1" fontId="10" fillId="0" borderId="2" xfId="3" applyNumberFormat="1" applyFont="1" applyBorder="1" applyAlignment="1">
      <alignment horizontal="center" vertical="center" wrapText="1"/>
    </xf>
    <xf numFmtId="1" fontId="10" fillId="0" borderId="0" xfId="3" applyNumberFormat="1" applyFont="1" applyBorder="1" applyAlignment="1">
      <alignment horizontal="left" vertical="center" wrapText="1"/>
    </xf>
    <xf numFmtId="1" fontId="10" fillId="0" borderId="0" xfId="3" applyNumberFormat="1" applyFont="1" applyBorder="1" applyAlignment="1">
      <alignment horizontal="center" vertical="center" wrapText="1"/>
    </xf>
    <xf numFmtId="0" fontId="0" fillId="0" borderId="0" xfId="0" applyAlignment="1">
      <alignment horizontal="center" vertical="center" wrapText="1"/>
    </xf>
    <xf numFmtId="168" fontId="6" fillId="0" borderId="0" xfId="6" applyNumberFormat="1" applyFont="1" applyBorder="1" applyAlignment="1">
      <alignment horizontal="center" vertical="center" wrapText="1"/>
    </xf>
    <xf numFmtId="171" fontId="6" fillId="0" borderId="0" xfId="6" applyNumberFormat="1" applyFont="1" applyBorder="1" applyAlignment="1">
      <alignment horizontal="center" vertical="center" wrapText="1"/>
    </xf>
    <xf numFmtId="170" fontId="6" fillId="0" borderId="0" xfId="0" applyNumberFormat="1" applyFont="1" applyAlignment="1">
      <alignment horizontal="center" vertical="center" wrapText="1"/>
    </xf>
    <xf numFmtId="0" fontId="6" fillId="0" borderId="4" xfId="0" applyFont="1" applyBorder="1"/>
    <xf numFmtId="0" fontId="6" fillId="0" borderId="6" xfId="0" applyFont="1" applyBorder="1"/>
    <xf numFmtId="170" fontId="6" fillId="0" borderId="2" xfId="6" applyNumberFormat="1" applyFont="1" applyBorder="1"/>
    <xf numFmtId="170" fontId="6" fillId="0" borderId="7" xfId="6" applyNumberFormat="1" applyFont="1" applyBorder="1"/>
    <xf numFmtId="165" fontId="6" fillId="0" borderId="2" xfId="0" applyNumberFormat="1" applyFont="1" applyBorder="1"/>
    <xf numFmtId="0" fontId="6" fillId="0" borderId="8" xfId="0" applyFont="1" applyBorder="1"/>
    <xf numFmtId="170" fontId="6" fillId="0" borderId="34" xfId="6" applyNumberFormat="1" applyFont="1" applyBorder="1"/>
    <xf numFmtId="170" fontId="6" fillId="0" borderId="9" xfId="6" applyNumberFormat="1" applyFont="1" applyBorder="1"/>
    <xf numFmtId="0" fontId="36" fillId="0" borderId="1" xfId="0" applyFont="1" applyBorder="1" applyAlignment="1">
      <alignment horizontal="center" vertical="center"/>
    </xf>
    <xf numFmtId="0" fontId="36" fillId="12" borderId="0" xfId="0" applyFont="1" applyFill="1" applyAlignment="1">
      <alignment horizontal="center" vertical="center"/>
    </xf>
    <xf numFmtId="0" fontId="36" fillId="0" borderId="2" xfId="0" applyFont="1" applyBorder="1" applyAlignment="1">
      <alignment horizontal="center" vertical="center"/>
    </xf>
    <xf numFmtId="0" fontId="36" fillId="0" borderId="34" xfId="0" applyFont="1" applyBorder="1" applyAlignment="1">
      <alignment horizontal="center" vertical="center"/>
    </xf>
    <xf numFmtId="0" fontId="36" fillId="0" borderId="0" xfId="0" applyFont="1" applyAlignment="1">
      <alignment horizontal="center" vertical="center"/>
    </xf>
    <xf numFmtId="0" fontId="7" fillId="0" borderId="0" xfId="0" applyFont="1" applyAlignment="1">
      <alignment horizontal="center" vertical="center"/>
    </xf>
    <xf numFmtId="0" fontId="6" fillId="13" borderId="12" xfId="0" applyFont="1" applyFill="1" applyBorder="1"/>
    <xf numFmtId="0" fontId="6" fillId="7" borderId="2" xfId="0" applyFont="1" applyFill="1" applyBorder="1" applyAlignment="1">
      <alignment horizontal="center" vertical="center"/>
    </xf>
    <xf numFmtId="0" fontId="6" fillId="5" borderId="2" xfId="0" applyFont="1" applyFill="1" applyBorder="1" applyAlignment="1">
      <alignment horizontal="center" vertical="center"/>
    </xf>
    <xf numFmtId="167" fontId="6" fillId="5" borderId="2" xfId="0" applyNumberFormat="1" applyFont="1" applyFill="1" applyBorder="1" applyAlignment="1">
      <alignment horizontal="center" vertical="center"/>
    </xf>
    <xf numFmtId="0" fontId="6" fillId="3" borderId="2" xfId="0" applyFont="1" applyFill="1" applyBorder="1" applyAlignment="1">
      <alignment horizontal="center" vertical="center"/>
    </xf>
    <xf numFmtId="167" fontId="6" fillId="3" borderId="2" xfId="0" applyNumberFormat="1" applyFont="1" applyFill="1" applyBorder="1" applyAlignment="1">
      <alignment horizontal="center" vertical="center"/>
    </xf>
    <xf numFmtId="0" fontId="11" fillId="0" borderId="0" xfId="0" applyFont="1" applyAlignment="1">
      <alignment vertical="center"/>
    </xf>
    <xf numFmtId="0" fontId="6" fillId="4" borderId="0" xfId="0" applyFont="1" applyFill="1"/>
    <xf numFmtId="0" fontId="6" fillId="4" borderId="0" xfId="0" applyFont="1" applyFill="1" applyAlignment="1">
      <alignment horizontal="center"/>
    </xf>
    <xf numFmtId="0" fontId="11" fillId="0" borderId="2" xfId="0" applyFont="1" applyBorder="1" applyAlignment="1">
      <alignment horizontal="left" vertical="center"/>
    </xf>
    <xf numFmtId="168" fontId="11" fillId="0" borderId="2" xfId="6" applyNumberFormat="1" applyFont="1" applyBorder="1" applyAlignment="1">
      <alignment horizontal="left" vertical="center"/>
    </xf>
    <xf numFmtId="2" fontId="11" fillId="0" borderId="2" xfId="0" applyNumberFormat="1" applyFont="1" applyBorder="1" applyAlignment="1">
      <alignment horizontal="left" vertical="center"/>
    </xf>
    <xf numFmtId="165" fontId="11" fillId="0" borderId="0" xfId="2" applyNumberFormat="1" applyFont="1"/>
    <xf numFmtId="0" fontId="11" fillId="0" borderId="2" xfId="0" applyFont="1" applyBorder="1" applyAlignment="1">
      <alignment vertical="center"/>
    </xf>
    <xf numFmtId="168" fontId="11" fillId="0" borderId="0" xfId="0" applyNumberFormat="1" applyFont="1"/>
    <xf numFmtId="0" fontId="14" fillId="2" borderId="0" xfId="0" applyFont="1" applyFill="1"/>
    <xf numFmtId="0" fontId="14" fillId="2" borderId="0" xfId="0" applyFont="1" applyFill="1" applyAlignment="1">
      <alignment wrapText="1"/>
    </xf>
    <xf numFmtId="0" fontId="14" fillId="2" borderId="0" xfId="0" applyFont="1" applyFill="1" applyAlignment="1">
      <alignment horizontal="left"/>
    </xf>
    <xf numFmtId="0" fontId="14" fillId="2" borderId="0" xfId="0" applyFont="1" applyFill="1" applyAlignment="1">
      <alignment horizontal="center"/>
    </xf>
    <xf numFmtId="172" fontId="23" fillId="12" borderId="28" xfId="0" applyNumberFormat="1" applyFont="1" applyFill="1" applyBorder="1" applyAlignment="1">
      <alignment vertical="center"/>
    </xf>
    <xf numFmtId="0" fontId="23" fillId="0" borderId="56" xfId="0" applyFont="1" applyBorder="1" applyAlignment="1">
      <alignment horizontal="center" vertical="center"/>
    </xf>
    <xf numFmtId="0" fontId="6" fillId="0" borderId="24" xfId="0" applyFont="1" applyBorder="1" applyAlignment="1">
      <alignment horizontal="center" vertical="center"/>
    </xf>
    <xf numFmtId="0" fontId="6" fillId="0" borderId="24" xfId="0" applyFont="1" applyBorder="1" applyAlignment="1">
      <alignment horizontal="center" vertical="center" wrapText="1"/>
    </xf>
    <xf numFmtId="0" fontId="6" fillId="0" borderId="26" xfId="4" applyBorder="1" applyAlignment="1">
      <alignment horizontal="center" vertical="center"/>
    </xf>
    <xf numFmtId="0" fontId="24" fillId="9" borderId="57" xfId="0" applyFont="1" applyFill="1" applyBorder="1" applyAlignment="1">
      <alignment horizontal="center" vertical="center" wrapText="1"/>
    </xf>
    <xf numFmtId="1" fontId="1" fillId="0" borderId="2" xfId="7" applyNumberFormat="1" applyFont="1" applyBorder="1" applyAlignment="1">
      <alignment horizontal="center" vertical="center"/>
    </xf>
    <xf numFmtId="0" fontId="10" fillId="0" borderId="2" xfId="3" applyFont="1" applyFill="1" applyBorder="1" applyAlignment="1">
      <alignment horizontal="center" vertical="center" wrapText="1"/>
    </xf>
    <xf numFmtId="3" fontId="10" fillId="0" borderId="2" xfId="3" applyNumberFormat="1" applyFont="1" applyFill="1" applyBorder="1" applyAlignment="1">
      <alignment horizontal="center" vertical="center" wrapText="1"/>
    </xf>
    <xf numFmtId="0" fontId="10" fillId="0" borderId="2" xfId="3" applyFont="1" applyBorder="1" applyAlignment="1">
      <alignment horizontal="center" vertical="top" wrapText="1"/>
    </xf>
    <xf numFmtId="3" fontId="10" fillId="0" borderId="2" xfId="3" applyNumberFormat="1" applyFont="1" applyBorder="1" applyAlignment="1">
      <alignment horizontal="center" vertical="center" wrapText="1"/>
    </xf>
    <xf numFmtId="0" fontId="7" fillId="6" borderId="58" xfId="0" applyFont="1" applyFill="1" applyBorder="1" applyAlignment="1">
      <alignment horizontal="center" vertical="center"/>
    </xf>
    <xf numFmtId="0" fontId="7" fillId="6" borderId="59" xfId="0" applyFont="1" applyFill="1" applyBorder="1" applyAlignment="1">
      <alignment horizontal="center" vertical="center"/>
    </xf>
    <xf numFmtId="0" fontId="7" fillId="6" borderId="60" xfId="0" applyFont="1" applyFill="1" applyBorder="1" applyAlignment="1">
      <alignment horizontal="center" vertical="center" wrapText="1"/>
    </xf>
    <xf numFmtId="0" fontId="7" fillId="6" borderId="61" xfId="0" applyFont="1" applyFill="1" applyBorder="1" applyAlignment="1">
      <alignment horizontal="center" vertical="center"/>
    </xf>
    <xf numFmtId="0" fontId="6" fillId="0" borderId="62" xfId="0" applyFont="1" applyBorder="1" applyAlignment="1">
      <alignment horizontal="center" vertical="center"/>
    </xf>
    <xf numFmtId="0" fontId="23" fillId="0" borderId="66" xfId="0" applyFont="1" applyBorder="1" applyAlignment="1">
      <alignment horizontal="center" vertical="center" wrapText="1"/>
    </xf>
    <xf numFmtId="0" fontId="6" fillId="0" borderId="67" xfId="0" applyFont="1" applyBorder="1" applyAlignment="1">
      <alignment horizontal="center" vertical="center"/>
    </xf>
    <xf numFmtId="0" fontId="1" fillId="0" borderId="68" xfId="0" applyFont="1" applyBorder="1" applyAlignment="1">
      <alignment horizontal="center" vertical="center"/>
    </xf>
    <xf numFmtId="0" fontId="6" fillId="0" borderId="68" xfId="0" applyFont="1" applyBorder="1" applyAlignment="1">
      <alignment horizontal="center" vertical="center" wrapText="1"/>
    </xf>
    <xf numFmtId="0" fontId="1" fillId="0" borderId="69" xfId="0" applyFont="1" applyBorder="1" applyAlignment="1">
      <alignment horizontal="center" vertical="center" wrapText="1"/>
    </xf>
    <xf numFmtId="0" fontId="23" fillId="0" borderId="70" xfId="0" applyFont="1" applyBorder="1" applyAlignment="1">
      <alignment horizontal="center" vertical="center" wrapText="1"/>
    </xf>
    <xf numFmtId="0" fontId="6" fillId="0" borderId="12" xfId="0" applyFont="1" applyBorder="1"/>
    <xf numFmtId="0" fontId="38" fillId="12" borderId="13" xfId="0" applyFont="1" applyFill="1" applyBorder="1" applyAlignment="1">
      <alignment horizontal="left" vertical="center"/>
    </xf>
    <xf numFmtId="0" fontId="23" fillId="12" borderId="0" xfId="0" applyFont="1" applyFill="1" applyAlignment="1">
      <alignment vertical="center"/>
    </xf>
    <xf numFmtId="0" fontId="23" fillId="12" borderId="15" xfId="0" applyFont="1" applyFill="1" applyBorder="1" applyAlignment="1">
      <alignment vertical="center"/>
    </xf>
    <xf numFmtId="0" fontId="38" fillId="12" borderId="19" xfId="0" applyFont="1" applyFill="1" applyBorder="1" applyAlignment="1">
      <alignment horizontal="left" vertical="center"/>
    </xf>
    <xf numFmtId="0" fontId="23" fillId="12" borderId="21" xfId="0" applyFont="1" applyFill="1" applyBorder="1" applyAlignment="1">
      <alignment vertical="center"/>
    </xf>
    <xf numFmtId="0" fontId="23" fillId="0" borderId="2" xfId="0" applyFont="1" applyBorder="1" applyAlignment="1">
      <alignment horizontal="center" vertical="center" wrapText="1"/>
    </xf>
    <xf numFmtId="2" fontId="23" fillId="0" borderId="2" xfId="0" applyNumberFormat="1" applyFont="1" applyBorder="1" applyAlignment="1">
      <alignment horizontal="center" vertical="center"/>
    </xf>
    <xf numFmtId="0" fontId="7" fillId="6" borderId="71" xfId="0" applyFont="1" applyFill="1" applyBorder="1" applyAlignment="1">
      <alignment horizontal="center" vertical="center"/>
    </xf>
    <xf numFmtId="0" fontId="8" fillId="0" borderId="2" xfId="5" applyBorder="1" applyAlignment="1">
      <alignment horizontal="center" vertical="center"/>
    </xf>
    <xf numFmtId="1" fontId="10" fillId="0" borderId="2" xfId="3" applyNumberFormat="1" applyFont="1" applyBorder="1" applyAlignment="1">
      <alignment horizontal="left" vertical="center" wrapText="1"/>
    </xf>
    <xf numFmtId="168" fontId="6" fillId="0" borderId="2" xfId="6" applyNumberFormat="1" applyFont="1" applyBorder="1" applyAlignment="1">
      <alignment horizontal="center" vertical="center" wrapText="1"/>
    </xf>
    <xf numFmtId="171" fontId="6" fillId="0" borderId="2" xfId="6" applyNumberFormat="1" applyFont="1" applyBorder="1" applyAlignment="1">
      <alignment horizontal="center" vertical="center" wrapText="1"/>
    </xf>
    <xf numFmtId="1" fontId="23" fillId="0" borderId="2" xfId="0" applyNumberFormat="1" applyFont="1" applyBorder="1" applyAlignment="1">
      <alignment horizontal="center" vertical="center" wrapText="1"/>
    </xf>
    <xf numFmtId="0" fontId="8" fillId="0" borderId="0" xfId="5" applyBorder="1"/>
    <xf numFmtId="0" fontId="23" fillId="0" borderId="0" xfId="0" applyFont="1" applyAlignment="1">
      <alignment wrapText="1"/>
    </xf>
    <xf numFmtId="10" fontId="6" fillId="0" borderId="2" xfId="0" applyNumberFormat="1" applyFont="1" applyBorder="1" applyAlignment="1">
      <alignment horizontal="center"/>
    </xf>
    <xf numFmtId="0" fontId="1" fillId="0" borderId="2" xfId="1" applyBorder="1" applyAlignment="1">
      <alignment vertical="center" wrapText="1"/>
    </xf>
    <xf numFmtId="0" fontId="11" fillId="0" borderId="2" xfId="0" applyFont="1" applyBorder="1"/>
    <xf numFmtId="167" fontId="6" fillId="7" borderId="2" xfId="0" applyNumberFormat="1" applyFont="1" applyFill="1" applyBorder="1" applyAlignment="1">
      <alignment horizontal="center" vertical="center" wrapText="1"/>
    </xf>
    <xf numFmtId="167" fontId="6" fillId="0" borderId="2" xfId="0" applyNumberFormat="1" applyFont="1" applyBorder="1" applyAlignment="1">
      <alignment horizontal="center" vertical="center"/>
    </xf>
    <xf numFmtId="0" fontId="6" fillId="10" borderId="2" xfId="0" applyFont="1" applyFill="1" applyBorder="1" applyAlignment="1">
      <alignment horizontal="center" vertical="center"/>
    </xf>
    <xf numFmtId="0" fontId="1" fillId="10" borderId="2" xfId="0" applyFont="1" applyFill="1" applyBorder="1" applyAlignment="1">
      <alignment horizontal="center" vertical="center"/>
    </xf>
    <xf numFmtId="167" fontId="1" fillId="10" borderId="2" xfId="0" applyNumberFormat="1" applyFont="1" applyFill="1" applyBorder="1" applyAlignment="1">
      <alignment horizontal="center" vertical="center"/>
    </xf>
    <xf numFmtId="167" fontId="6" fillId="10" borderId="2" xfId="0" applyNumberFormat="1" applyFont="1" applyFill="1" applyBorder="1" applyAlignment="1">
      <alignment horizontal="center" vertical="center"/>
    </xf>
    <xf numFmtId="2" fontId="6" fillId="0" borderId="2" xfId="0" applyNumberFormat="1" applyFont="1" applyBorder="1" applyAlignment="1">
      <alignment horizontal="center" vertical="center"/>
    </xf>
    <xf numFmtId="2" fontId="6" fillId="7" borderId="2" xfId="0" applyNumberFormat="1" applyFont="1" applyFill="1" applyBorder="1" applyAlignment="1">
      <alignment horizontal="center" vertical="center"/>
    </xf>
    <xf numFmtId="0" fontId="6" fillId="5" borderId="2" xfId="0" applyFont="1" applyFill="1" applyBorder="1" applyAlignment="1">
      <alignment horizontal="center" vertical="center" wrapText="1"/>
    </xf>
    <xf numFmtId="0" fontId="7" fillId="0" borderId="0" xfId="0" applyFont="1" applyAlignment="1">
      <alignment vertical="center" wrapText="1"/>
    </xf>
    <xf numFmtId="0" fontId="33" fillId="0" borderId="0" xfId="0" applyFont="1"/>
    <xf numFmtId="168" fontId="6" fillId="0" borderId="2" xfId="0" applyNumberFormat="1" applyFont="1" applyBorder="1" applyAlignment="1">
      <alignment horizontal="center" vertical="center" wrapText="1"/>
    </xf>
    <xf numFmtId="43" fontId="6" fillId="0" borderId="2" xfId="0" applyNumberFormat="1" applyFont="1" applyBorder="1"/>
    <xf numFmtId="0" fontId="10" fillId="0" borderId="2" xfId="3" applyFont="1" applyBorder="1" applyAlignment="1">
      <alignment horizontal="left" vertical="center" wrapText="1"/>
    </xf>
    <xf numFmtId="168" fontId="6" fillId="0" borderId="2" xfId="6" applyNumberFormat="1" applyFont="1" applyBorder="1"/>
    <xf numFmtId="168" fontId="1" fillId="0" borderId="2" xfId="6" applyNumberFormat="1" applyFont="1" applyBorder="1" applyAlignment="1">
      <alignment horizontal="left" vertical="center"/>
    </xf>
    <xf numFmtId="0" fontId="6" fillId="0" borderId="2" xfId="0" applyFont="1" applyBorder="1" applyAlignment="1">
      <alignment horizontal="left" vertical="center" wrapText="1"/>
    </xf>
    <xf numFmtId="0" fontId="23" fillId="12" borderId="2" xfId="0" applyFont="1" applyFill="1" applyBorder="1" applyAlignment="1">
      <alignment vertical="center"/>
    </xf>
    <xf numFmtId="172" fontId="23" fillId="12" borderId="2" xfId="0" applyNumberFormat="1" applyFont="1" applyFill="1" applyBorder="1" applyAlignment="1">
      <alignment vertical="center"/>
    </xf>
    <xf numFmtId="172" fontId="6" fillId="0" borderId="2" xfId="0" applyNumberFormat="1" applyFont="1" applyBorder="1"/>
    <xf numFmtId="0" fontId="24" fillId="6" borderId="2" xfId="0" applyFont="1" applyFill="1" applyBorder="1" applyAlignment="1">
      <alignment horizontal="left" vertical="center" wrapText="1"/>
    </xf>
    <xf numFmtId="169" fontId="6" fillId="0" borderId="2" xfId="0" applyNumberFormat="1" applyFont="1" applyBorder="1" applyAlignment="1">
      <alignment vertical="center"/>
    </xf>
    <xf numFmtId="169" fontId="1" fillId="0" borderId="2" xfId="0" applyNumberFormat="1" applyFont="1" applyBorder="1" applyAlignment="1">
      <alignment vertical="center"/>
    </xf>
    <xf numFmtId="0" fontId="18" fillId="6" borderId="2" xfId="0" applyFont="1" applyFill="1" applyBorder="1" applyAlignment="1">
      <alignment vertical="center"/>
    </xf>
    <xf numFmtId="0" fontId="18" fillId="6" borderId="2" xfId="0" applyFont="1" applyFill="1" applyBorder="1" applyAlignment="1">
      <alignment horizontal="left" vertical="center"/>
    </xf>
    <xf numFmtId="0" fontId="1" fillId="0" borderId="2" xfId="1" applyBorder="1" applyAlignment="1">
      <alignment vertical="center"/>
    </xf>
    <xf numFmtId="0" fontId="11" fillId="0" borderId="0" xfId="0" applyFont="1" applyAlignment="1">
      <alignment wrapText="1"/>
    </xf>
    <xf numFmtId="0" fontId="0" fillId="0" borderId="0" xfId="0" applyAlignment="1">
      <alignment horizontal="left"/>
    </xf>
    <xf numFmtId="0" fontId="7" fillId="9" borderId="74" xfId="0" applyFont="1" applyFill="1" applyBorder="1" applyAlignment="1">
      <alignment horizontal="center" vertical="center" wrapText="1"/>
    </xf>
    <xf numFmtId="0" fontId="23" fillId="0" borderId="0" xfId="0" applyFont="1" applyAlignment="1">
      <alignment horizontal="center"/>
    </xf>
    <xf numFmtId="0" fontId="8" fillId="0" borderId="0" xfId="5" applyBorder="1" applyAlignment="1">
      <alignment horizontal="left"/>
    </xf>
    <xf numFmtId="0" fontId="28" fillId="0" borderId="0" xfId="0" applyFont="1" applyAlignment="1">
      <alignment vertical="center" wrapText="1"/>
    </xf>
    <xf numFmtId="0" fontId="18" fillId="9" borderId="75" xfId="0" applyFont="1" applyFill="1" applyBorder="1" applyAlignment="1">
      <alignment horizontal="center" vertical="center"/>
    </xf>
    <xf numFmtId="0" fontId="18" fillId="9" borderId="76" xfId="0" applyFont="1" applyFill="1" applyBorder="1" applyAlignment="1">
      <alignment horizontal="center" vertical="center"/>
    </xf>
    <xf numFmtId="0" fontId="18" fillId="9" borderId="77" xfId="0" applyFont="1" applyFill="1" applyBorder="1" applyAlignment="1">
      <alignment horizontal="center" vertical="center" wrapText="1"/>
    </xf>
    <xf numFmtId="0" fontId="24" fillId="9" borderId="76" xfId="0" applyFont="1" applyFill="1" applyBorder="1" applyAlignment="1">
      <alignment horizontal="center" vertical="center" wrapText="1"/>
    </xf>
    <xf numFmtId="0" fontId="24" fillId="9" borderId="76" xfId="0" applyFont="1" applyFill="1" applyBorder="1" applyAlignment="1">
      <alignment horizontal="center" vertical="center"/>
    </xf>
    <xf numFmtId="0" fontId="24" fillId="9" borderId="78" xfId="0" applyFont="1" applyFill="1" applyBorder="1" applyAlignment="1">
      <alignment horizontal="center" vertical="center"/>
    </xf>
    <xf numFmtId="0" fontId="11" fillId="0" borderId="79" xfId="0" applyFont="1" applyBorder="1" applyAlignment="1">
      <alignment horizontal="left" vertical="center"/>
    </xf>
    <xf numFmtId="168" fontId="23" fillId="0" borderId="80" xfId="6" applyNumberFormat="1" applyFont="1" applyBorder="1" applyAlignment="1">
      <alignment vertical="center"/>
    </xf>
    <xf numFmtId="0" fontId="11" fillId="0" borderId="81" xfId="0" applyFont="1" applyBorder="1" applyAlignment="1">
      <alignment horizontal="left" vertical="center"/>
    </xf>
    <xf numFmtId="0" fontId="11" fillId="0" borderId="82" xfId="0" applyFont="1" applyBorder="1" applyAlignment="1">
      <alignment horizontal="left" vertical="center"/>
    </xf>
    <xf numFmtId="168" fontId="11" fillId="0" borderId="82" xfId="6" applyNumberFormat="1" applyFont="1" applyBorder="1" applyAlignment="1">
      <alignment horizontal="left" vertical="center"/>
    </xf>
    <xf numFmtId="168" fontId="11" fillId="0" borderId="82" xfId="0" applyNumberFormat="1" applyFont="1" applyBorder="1"/>
    <xf numFmtId="3" fontId="11" fillId="0" borderId="82" xfId="0" applyNumberFormat="1" applyFont="1" applyBorder="1"/>
    <xf numFmtId="3" fontId="11" fillId="0" borderId="83" xfId="0" applyNumberFormat="1" applyFont="1" applyBorder="1"/>
    <xf numFmtId="0" fontId="31" fillId="7" borderId="2" xfId="0" applyFont="1" applyFill="1" applyBorder="1" applyAlignment="1">
      <alignment horizontal="center" vertical="center"/>
    </xf>
    <xf numFmtId="0" fontId="23" fillId="0" borderId="0" xfId="0" applyFont="1" applyAlignment="1">
      <alignment vertical="center" wrapText="1"/>
    </xf>
    <xf numFmtId="0" fontId="8" fillId="0" borderId="0" xfId="5" applyAlignment="1">
      <alignment horizontal="left"/>
    </xf>
    <xf numFmtId="0" fontId="8" fillId="0" borderId="0" xfId="5" applyFill="1" applyBorder="1" applyAlignment="1">
      <alignment horizontal="left" vertical="center"/>
    </xf>
    <xf numFmtId="0" fontId="10" fillId="0" borderId="11" xfId="3" applyFont="1" applyFill="1" applyBorder="1" applyAlignment="1">
      <alignment horizontal="left" vertical="top" wrapText="1"/>
    </xf>
    <xf numFmtId="0" fontId="10" fillId="0" borderId="18" xfId="3" applyFont="1" applyFill="1" applyBorder="1" applyAlignment="1">
      <alignment horizontal="center" vertical="center" wrapText="1"/>
    </xf>
    <xf numFmtId="2" fontId="0" fillId="0" borderId="12" xfId="0" applyNumberFormat="1" applyBorder="1" applyAlignment="1">
      <alignment horizontal="center" vertical="center"/>
    </xf>
    <xf numFmtId="0" fontId="36" fillId="0" borderId="87" xfId="0" applyFont="1" applyBorder="1" applyAlignment="1">
      <alignment horizontal="center" vertical="center"/>
    </xf>
    <xf numFmtId="0" fontId="36" fillId="0" borderId="88" xfId="0" applyFont="1" applyBorder="1" applyAlignment="1">
      <alignment horizontal="center" vertical="center"/>
    </xf>
    <xf numFmtId="0" fontId="36" fillId="0" borderId="89" xfId="0" applyFont="1" applyBorder="1" applyAlignment="1">
      <alignment horizontal="center" vertical="center"/>
    </xf>
    <xf numFmtId="0" fontId="36" fillId="0" borderId="90" xfId="0" applyFont="1" applyBorder="1" applyAlignment="1">
      <alignment horizontal="center" vertical="center"/>
    </xf>
    <xf numFmtId="0" fontId="36" fillId="0" borderId="91" xfId="0" applyFont="1" applyBorder="1" applyAlignment="1">
      <alignment horizontal="center" vertical="center"/>
    </xf>
    <xf numFmtId="0" fontId="22" fillId="0" borderId="72" xfId="0" applyFont="1" applyBorder="1" applyAlignment="1">
      <alignment horizontal="center" vertical="center"/>
    </xf>
    <xf numFmtId="0" fontId="22" fillId="0" borderId="11" xfId="0" applyFont="1" applyBorder="1" applyAlignment="1">
      <alignment horizontal="center" vertical="center"/>
    </xf>
    <xf numFmtId="0" fontId="22" fillId="0" borderId="73" xfId="0" applyFont="1" applyBorder="1" applyAlignment="1">
      <alignment horizontal="center" vertical="center"/>
    </xf>
    <xf numFmtId="0" fontId="22" fillId="0" borderId="92" xfId="0" applyFont="1" applyBorder="1" applyAlignment="1">
      <alignment horizontal="center" vertical="center"/>
    </xf>
    <xf numFmtId="0" fontId="22" fillId="0" borderId="93" xfId="0" applyFont="1" applyBorder="1" applyAlignment="1">
      <alignment horizontal="center" vertical="center"/>
    </xf>
    <xf numFmtId="0" fontId="22" fillId="0" borderId="94" xfId="0" applyFont="1" applyBorder="1" applyAlignment="1">
      <alignment horizontal="center" vertical="center"/>
    </xf>
    <xf numFmtId="0" fontId="22" fillId="0" borderId="95" xfId="0" applyFont="1" applyBorder="1" applyAlignment="1">
      <alignment horizontal="center" vertical="center"/>
    </xf>
    <xf numFmtId="0" fontId="22" fillId="0" borderId="96" xfId="0" applyFont="1" applyBorder="1" applyAlignment="1">
      <alignment horizontal="center" vertical="center"/>
    </xf>
    <xf numFmtId="0" fontId="36" fillId="0" borderId="97" xfId="0" applyFont="1" applyBorder="1" applyAlignment="1">
      <alignment horizontal="center" vertical="center"/>
    </xf>
    <xf numFmtId="0" fontId="36" fillId="0" borderId="18" xfId="0" applyFont="1" applyBorder="1" applyAlignment="1">
      <alignment horizontal="center" vertical="center"/>
    </xf>
    <xf numFmtId="2" fontId="22" fillId="0" borderId="18" xfId="0" applyNumberFormat="1" applyFont="1" applyBorder="1" applyAlignment="1">
      <alignment horizontal="center" vertical="center"/>
    </xf>
    <xf numFmtId="2" fontId="22" fillId="0" borderId="2" xfId="0" applyNumberFormat="1" applyFont="1" applyBorder="1" applyAlignment="1">
      <alignment horizontal="center" vertical="center"/>
    </xf>
    <xf numFmtId="0" fontId="22" fillId="0" borderId="99" xfId="0" applyFont="1" applyBorder="1" applyAlignment="1">
      <alignment horizontal="center" vertical="center"/>
    </xf>
    <xf numFmtId="0" fontId="22" fillId="0" borderId="102" xfId="0" applyFont="1" applyBorder="1" applyAlignment="1">
      <alignment horizontal="center" vertical="center"/>
    </xf>
    <xf numFmtId="0" fontId="22" fillId="0" borderId="104" xfId="0" applyFont="1" applyBorder="1" applyAlignment="1">
      <alignment horizontal="center" vertical="center"/>
    </xf>
    <xf numFmtId="0" fontId="39" fillId="0" borderId="0" xfId="0" applyFont="1" applyAlignment="1">
      <alignment vertical="center" wrapText="1"/>
    </xf>
    <xf numFmtId="1" fontId="6" fillId="0" borderId="28" xfId="0" applyNumberFormat="1" applyFont="1" applyBorder="1" applyAlignment="1">
      <alignment horizontal="left" vertical="center" wrapText="1"/>
    </xf>
    <xf numFmtId="2" fontId="6" fillId="0" borderId="28" xfId="0" applyNumberFormat="1" applyFont="1" applyBorder="1" applyAlignment="1">
      <alignment horizontal="center" vertical="center" wrapText="1"/>
    </xf>
    <xf numFmtId="0" fontId="1" fillId="0" borderId="28" xfId="0" applyFont="1" applyBorder="1" applyAlignment="1">
      <alignment horizontal="center" vertical="center" wrapText="1"/>
    </xf>
    <xf numFmtId="0" fontId="21" fillId="0" borderId="28" xfId="0" applyFont="1" applyBorder="1" applyAlignment="1">
      <alignment wrapText="1"/>
    </xf>
    <xf numFmtId="0" fontId="6" fillId="0" borderId="28" xfId="0" applyFont="1" applyBorder="1"/>
    <xf numFmtId="0" fontId="7" fillId="6" borderId="12" xfId="0" applyFont="1" applyFill="1" applyBorder="1" applyAlignment="1">
      <alignment horizontal="center" vertical="center" wrapText="1"/>
    </xf>
    <xf numFmtId="0" fontId="6" fillId="0" borderId="28" xfId="0" applyFont="1" applyBorder="1" applyAlignment="1">
      <alignment horizontal="center" vertical="center" wrapText="1"/>
    </xf>
    <xf numFmtId="1" fontId="6" fillId="0" borderId="28" xfId="0" applyNumberFormat="1" applyFont="1" applyBorder="1" applyAlignment="1">
      <alignment horizontal="left" vertical="center"/>
    </xf>
    <xf numFmtId="0" fontId="6" fillId="0" borderId="28" xfId="0" applyFont="1" applyBorder="1" applyAlignment="1">
      <alignment horizontal="center" vertical="center"/>
    </xf>
    <xf numFmtId="0" fontId="6" fillId="0" borderId="28" xfId="0" applyFont="1" applyBorder="1" applyAlignment="1">
      <alignment vertical="center"/>
    </xf>
    <xf numFmtId="0" fontId="7" fillId="6" borderId="43" xfId="0" applyFont="1" applyFill="1" applyBorder="1" applyAlignment="1">
      <alignment horizontal="center" vertical="center"/>
    </xf>
    <xf numFmtId="2" fontId="0" fillId="0" borderId="16" xfId="0" applyNumberFormat="1" applyBorder="1" applyAlignment="1">
      <alignment horizontal="center" vertical="center"/>
    </xf>
    <xf numFmtId="0" fontId="22" fillId="0" borderId="116" xfId="0" applyFont="1" applyBorder="1" applyAlignment="1">
      <alignment horizontal="center" vertical="center"/>
    </xf>
    <xf numFmtId="0" fontId="22" fillId="0" borderId="117" xfId="0" applyFont="1" applyBorder="1" applyAlignment="1">
      <alignment horizontal="center" vertical="center"/>
    </xf>
    <xf numFmtId="0" fontId="22" fillId="0" borderId="119" xfId="0" applyFont="1" applyBorder="1" applyAlignment="1">
      <alignment horizontal="center" vertical="center"/>
    </xf>
    <xf numFmtId="0" fontId="22" fillId="0" borderId="121" xfId="0" applyFont="1" applyBorder="1" applyAlignment="1">
      <alignment horizontal="center" vertical="center"/>
    </xf>
    <xf numFmtId="0" fontId="22" fillId="0" borderId="123" xfId="0" applyFont="1" applyBorder="1" applyAlignment="1">
      <alignment horizontal="center" vertical="center"/>
    </xf>
    <xf numFmtId="0" fontId="22" fillId="0" borderId="124" xfId="0" applyFont="1" applyBorder="1" applyAlignment="1">
      <alignment horizontal="center" vertical="center"/>
    </xf>
    <xf numFmtId="0" fontId="22" fillId="0" borderId="125" xfId="0" applyFont="1" applyBorder="1" applyAlignment="1">
      <alignment horizontal="center" vertical="center"/>
    </xf>
    <xf numFmtId="2" fontId="0" fillId="0" borderId="126" xfId="0" applyNumberFormat="1" applyBorder="1" applyAlignment="1">
      <alignment horizontal="center" vertical="center"/>
    </xf>
    <xf numFmtId="2" fontId="0" fillId="0" borderId="119" xfId="0" applyNumberFormat="1" applyBorder="1" applyAlignment="1">
      <alignment horizontal="center" vertical="center"/>
    </xf>
    <xf numFmtId="2" fontId="0" fillId="0" borderId="121" xfId="0" applyNumberFormat="1" applyBorder="1" applyAlignment="1">
      <alignment horizontal="center" vertical="center"/>
    </xf>
    <xf numFmtId="2" fontId="0" fillId="0" borderId="127" xfId="0" applyNumberFormat="1" applyBorder="1" applyAlignment="1">
      <alignment horizontal="center" vertical="center"/>
    </xf>
    <xf numFmtId="2" fontId="0" fillId="0" borderId="128" xfId="0" applyNumberFormat="1" applyBorder="1" applyAlignment="1">
      <alignment horizontal="center" vertical="center"/>
    </xf>
    <xf numFmtId="0" fontId="36" fillId="0" borderId="126" xfId="0" applyFont="1" applyBorder="1" applyAlignment="1">
      <alignment horizontal="center" vertical="center"/>
    </xf>
    <xf numFmtId="0" fontId="36" fillId="0" borderId="119" xfId="0" applyFont="1" applyBorder="1" applyAlignment="1">
      <alignment horizontal="center" vertical="center"/>
    </xf>
    <xf numFmtId="0" fontId="36" fillId="0" borderId="121" xfId="0" applyFont="1" applyBorder="1" applyAlignment="1">
      <alignment horizontal="center" vertical="center"/>
    </xf>
    <xf numFmtId="0" fontId="36" fillId="0" borderId="132" xfId="0" applyFont="1" applyBorder="1" applyAlignment="1">
      <alignment horizontal="center" vertical="center"/>
    </xf>
    <xf numFmtId="0" fontId="22" fillId="0" borderId="136" xfId="0" applyFont="1" applyBorder="1" applyAlignment="1">
      <alignment horizontal="center" vertical="center"/>
    </xf>
    <xf numFmtId="2" fontId="0" fillId="0" borderId="114" xfId="0" applyNumberFormat="1" applyBorder="1" applyAlignment="1">
      <alignment horizontal="center" vertical="center"/>
    </xf>
    <xf numFmtId="2" fontId="0" fillId="0" borderId="137" xfId="0" applyNumberFormat="1" applyBorder="1" applyAlignment="1">
      <alignment horizontal="center" vertical="center"/>
    </xf>
    <xf numFmtId="0" fontId="22" fillId="0" borderId="138" xfId="0" applyFont="1" applyBorder="1" applyAlignment="1">
      <alignment horizontal="center" vertical="center"/>
    </xf>
    <xf numFmtId="0" fontId="22" fillId="0" borderId="139" xfId="0" applyFont="1" applyBorder="1" applyAlignment="1">
      <alignment horizontal="center" vertical="center"/>
    </xf>
    <xf numFmtId="2" fontId="0" fillId="0" borderId="135" xfId="0" applyNumberFormat="1" applyBorder="1" applyAlignment="1">
      <alignment horizontal="center" vertical="center"/>
    </xf>
    <xf numFmtId="2" fontId="0" fillId="0" borderId="140" xfId="0" applyNumberFormat="1" applyBorder="1" applyAlignment="1">
      <alignment horizontal="center" vertical="center"/>
    </xf>
    <xf numFmtId="2" fontId="0" fillId="0" borderId="18" xfId="0" applyNumberFormat="1" applyBorder="1" applyAlignment="1">
      <alignment horizontal="center" vertical="center"/>
    </xf>
    <xf numFmtId="2" fontId="0" fillId="0" borderId="132" xfId="0" applyNumberFormat="1" applyBorder="1" applyAlignment="1">
      <alignment horizontal="center" vertical="center"/>
    </xf>
    <xf numFmtId="0" fontId="36" fillId="0" borderId="142" xfId="0" applyFont="1" applyBorder="1" applyAlignment="1">
      <alignment horizontal="center" vertical="center"/>
    </xf>
    <xf numFmtId="0" fontId="36" fillId="0" borderId="143" xfId="0" applyFont="1" applyBorder="1" applyAlignment="1">
      <alignment horizontal="center" vertical="center"/>
    </xf>
    <xf numFmtId="2" fontId="22" fillId="0" borderId="1" xfId="0" applyNumberFormat="1" applyFont="1" applyBorder="1" applyAlignment="1">
      <alignment horizontal="center" vertical="center"/>
    </xf>
    <xf numFmtId="2" fontId="22" fillId="0" borderId="5" xfId="0" applyNumberFormat="1" applyFont="1" applyBorder="1" applyAlignment="1">
      <alignment horizontal="center" vertical="center"/>
    </xf>
    <xf numFmtId="2" fontId="41" fillId="0" borderId="12" xfId="0" applyNumberFormat="1" applyFont="1" applyBorder="1" applyAlignment="1">
      <alignment horizontal="center" vertical="center"/>
    </xf>
    <xf numFmtId="2" fontId="41" fillId="0" borderId="2" xfId="0" applyNumberFormat="1" applyFont="1" applyBorder="1" applyAlignment="1">
      <alignment horizontal="center" vertical="center"/>
    </xf>
    <xf numFmtId="2" fontId="22" fillId="0" borderId="7" xfId="0" applyNumberFormat="1" applyFont="1" applyBorder="1" applyAlignment="1">
      <alignment horizontal="center" vertical="center"/>
    </xf>
    <xf numFmtId="0" fontId="22" fillId="0" borderId="15" xfId="0" applyFont="1" applyBorder="1" applyAlignment="1">
      <alignment horizontal="center" vertical="center"/>
    </xf>
    <xf numFmtId="2" fontId="22" fillId="0" borderId="12" xfId="0" applyNumberFormat="1" applyFont="1" applyBorder="1" applyAlignment="1">
      <alignment horizontal="center" vertical="center"/>
    </xf>
    <xf numFmtId="2" fontId="22" fillId="0" borderId="145" xfId="0" applyNumberFormat="1" applyFont="1" applyBorder="1" applyAlignment="1">
      <alignment horizontal="center" vertical="center"/>
    </xf>
    <xf numFmtId="0" fontId="22" fillId="0" borderId="146" xfId="0" applyFont="1" applyBorder="1" applyAlignment="1">
      <alignment horizontal="center" vertical="center"/>
    </xf>
    <xf numFmtId="2" fontId="22" fillId="0" borderId="43" xfId="0" applyNumberFormat="1" applyFont="1" applyBorder="1" applyAlignment="1">
      <alignment horizontal="center" vertical="center"/>
    </xf>
    <xf numFmtId="0" fontId="22" fillId="0" borderId="147" xfId="0" applyFont="1" applyBorder="1" applyAlignment="1">
      <alignment horizontal="center" vertical="center"/>
    </xf>
    <xf numFmtId="2" fontId="22" fillId="0" borderId="34" xfId="0" applyNumberFormat="1" applyFont="1" applyBorder="1" applyAlignment="1">
      <alignment horizontal="center" vertical="center"/>
    </xf>
    <xf numFmtId="2" fontId="22" fillId="0" borderId="9" xfId="0" applyNumberFormat="1" applyFont="1" applyBorder="1" applyAlignment="1">
      <alignment horizontal="center" vertical="center"/>
    </xf>
    <xf numFmtId="2" fontId="41" fillId="0" borderId="148" xfId="0" applyNumberFormat="1" applyFont="1" applyBorder="1" applyAlignment="1">
      <alignment horizontal="center" vertical="center"/>
    </xf>
    <xf numFmtId="2" fontId="41" fillId="0" borderId="149" xfId="0" applyNumberFormat="1" applyFont="1" applyBorder="1" applyAlignment="1">
      <alignment horizontal="center" vertical="center"/>
    </xf>
    <xf numFmtId="2" fontId="41" fillId="0" borderId="150" xfId="0" applyNumberFormat="1" applyFont="1" applyBorder="1" applyAlignment="1">
      <alignment horizontal="center" vertical="center"/>
    </xf>
    <xf numFmtId="2" fontId="41" fillId="0" borderId="151" xfId="0" applyNumberFormat="1" applyFont="1" applyBorder="1" applyAlignment="1">
      <alignment horizontal="center" vertical="center"/>
    </xf>
    <xf numFmtId="0" fontId="22" fillId="0" borderId="152" xfId="0" applyFont="1" applyBorder="1" applyAlignment="1">
      <alignment horizontal="center" vertical="center"/>
    </xf>
    <xf numFmtId="2" fontId="41" fillId="0" borderId="153" xfId="0" applyNumberFormat="1" applyFont="1" applyBorder="1" applyAlignment="1">
      <alignment horizontal="center" vertical="center"/>
    </xf>
    <xf numFmtId="2" fontId="41" fillId="0" borderId="154" xfId="0" applyNumberFormat="1" applyFont="1" applyBorder="1" applyAlignment="1">
      <alignment horizontal="center" vertical="center"/>
    </xf>
    <xf numFmtId="0" fontId="22" fillId="0" borderId="155" xfId="0" applyFont="1" applyBorder="1" applyAlignment="1">
      <alignment horizontal="center" vertical="center"/>
    </xf>
    <xf numFmtId="2" fontId="22" fillId="0" borderId="156" xfId="0" applyNumberFormat="1" applyFont="1" applyBorder="1" applyAlignment="1">
      <alignment horizontal="center" vertical="center"/>
    </xf>
    <xf numFmtId="2" fontId="22" fillId="0" borderId="157" xfId="0" applyNumberFormat="1" applyFont="1" applyBorder="1" applyAlignment="1">
      <alignment horizontal="center" vertical="center"/>
    </xf>
    <xf numFmtId="2" fontId="22" fillId="0" borderId="158" xfId="0" applyNumberFormat="1" applyFont="1" applyBorder="1" applyAlignment="1">
      <alignment horizontal="center" vertical="center"/>
    </xf>
    <xf numFmtId="2" fontId="22" fillId="0" borderId="74" xfId="0" applyNumberFormat="1" applyFont="1" applyBorder="1" applyAlignment="1">
      <alignment horizontal="center" vertical="center"/>
    </xf>
    <xf numFmtId="2" fontId="22" fillId="0" borderId="159" xfId="0" applyNumberFormat="1" applyFont="1" applyBorder="1" applyAlignment="1">
      <alignment horizontal="center" vertical="center"/>
    </xf>
    <xf numFmtId="2" fontId="22" fillId="0" borderId="162" xfId="0" applyNumberFormat="1" applyFont="1" applyBorder="1" applyAlignment="1">
      <alignment horizontal="center" vertical="center"/>
    </xf>
    <xf numFmtId="2" fontId="22" fillId="0" borderId="163" xfId="0" applyNumberFormat="1" applyFont="1" applyBorder="1" applyAlignment="1">
      <alignment horizontal="center" vertical="center"/>
    </xf>
    <xf numFmtId="0" fontId="36" fillId="0" borderId="28" xfId="0" applyFont="1" applyBorder="1" applyAlignment="1">
      <alignment horizontal="center" vertical="center"/>
    </xf>
    <xf numFmtId="0" fontId="36" fillId="0" borderId="167" xfId="0" applyFont="1" applyBorder="1" applyAlignment="1">
      <alignment horizontal="center" vertical="center"/>
    </xf>
    <xf numFmtId="0" fontId="36" fillId="0" borderId="12" xfId="0" applyFont="1" applyBorder="1" applyAlignment="1">
      <alignment horizontal="center" vertical="center"/>
    </xf>
    <xf numFmtId="0" fontId="36" fillId="0" borderId="128" xfId="0" applyFont="1" applyBorder="1" applyAlignment="1">
      <alignment horizontal="center" vertical="center"/>
    </xf>
    <xf numFmtId="0" fontId="36" fillId="0" borderId="136" xfId="0" applyFont="1" applyBorder="1" applyAlignment="1">
      <alignment horizontal="center" vertical="center"/>
    </xf>
    <xf numFmtId="0" fontId="36" fillId="0" borderId="168" xfId="0" applyFont="1" applyBorder="1" applyAlignment="1">
      <alignment horizontal="center" vertical="center"/>
    </xf>
    <xf numFmtId="0" fontId="36" fillId="0" borderId="169" xfId="0" applyFont="1" applyBorder="1" applyAlignment="1">
      <alignment horizontal="center" vertical="center"/>
    </xf>
    <xf numFmtId="0" fontId="36" fillId="0" borderId="138" xfId="0" applyFont="1" applyBorder="1" applyAlignment="1">
      <alignment horizontal="center" vertical="center"/>
    </xf>
    <xf numFmtId="0" fontId="36" fillId="0" borderId="124" xfId="0" applyFont="1" applyBorder="1" applyAlignment="1">
      <alignment horizontal="center" vertical="center"/>
    </xf>
    <xf numFmtId="0" fontId="36" fillId="0" borderId="139" xfId="0" applyFont="1" applyBorder="1" applyAlignment="1">
      <alignment horizontal="center" vertical="center"/>
    </xf>
    <xf numFmtId="0" fontId="36" fillId="0" borderId="170" xfId="0" applyFont="1" applyBorder="1" applyAlignment="1">
      <alignment horizontal="center" vertical="center"/>
    </xf>
    <xf numFmtId="0" fontId="36" fillId="0" borderId="171" xfId="0" applyFont="1" applyBorder="1" applyAlignment="1">
      <alignment horizontal="center" vertical="center"/>
    </xf>
    <xf numFmtId="0" fontId="18" fillId="14" borderId="2" xfId="0" applyFont="1" applyFill="1" applyBorder="1" applyAlignment="1">
      <alignment horizontal="center" vertical="center" wrapText="1"/>
    </xf>
    <xf numFmtId="0" fontId="18" fillId="9" borderId="2" xfId="0" applyFont="1" applyFill="1" applyBorder="1" applyAlignment="1">
      <alignment horizontal="center" vertical="center" wrapText="1"/>
    </xf>
    <xf numFmtId="165" fontId="23" fillId="0" borderId="2" xfId="0" applyNumberFormat="1" applyFont="1" applyBorder="1" applyAlignment="1">
      <alignment horizontal="center" vertical="center"/>
    </xf>
    <xf numFmtId="165" fontId="13" fillId="0" borderId="2" xfId="0" applyNumberFormat="1" applyFont="1" applyBorder="1"/>
    <xf numFmtId="0" fontId="6" fillId="0" borderId="2" xfId="4" applyBorder="1" applyAlignment="1">
      <alignment horizontal="center" vertical="center"/>
    </xf>
    <xf numFmtId="168" fontId="6" fillId="0" borderId="2" xfId="6" applyNumberFormat="1" applyFont="1" applyBorder="1" applyAlignment="1">
      <alignment horizontal="center" vertical="center"/>
    </xf>
    <xf numFmtId="170" fontId="6" fillId="0" borderId="2" xfId="6" applyNumberFormat="1" applyFont="1" applyBorder="1" applyAlignment="1">
      <alignment horizontal="center" vertical="center"/>
    </xf>
    <xf numFmtId="170" fontId="6" fillId="0" borderId="2" xfId="0" applyNumberFormat="1" applyFont="1" applyBorder="1"/>
    <xf numFmtId="170" fontId="23" fillId="0" borderId="2" xfId="0" applyNumberFormat="1" applyFont="1" applyBorder="1" applyAlignment="1">
      <alignment horizontal="center" vertical="center"/>
    </xf>
    <xf numFmtId="0" fontId="23" fillId="0" borderId="0" xfId="0" applyFont="1"/>
    <xf numFmtId="0" fontId="6" fillId="0" borderId="0" xfId="0" applyFont="1" applyAlignment="1">
      <alignment horizontal="left" vertical="center"/>
    </xf>
    <xf numFmtId="0" fontId="23" fillId="0" borderId="0" xfId="0" applyFont="1" applyAlignment="1">
      <alignment horizontal="left" vertical="center"/>
    </xf>
    <xf numFmtId="0" fontId="6" fillId="0" borderId="2" xfId="0" applyFont="1" applyBorder="1" applyAlignment="1">
      <alignment horizontal="center" vertical="center"/>
    </xf>
    <xf numFmtId="0" fontId="6" fillId="0" borderId="2" xfId="0" applyFont="1" applyBorder="1" applyAlignment="1">
      <alignment horizontal="center" vertical="center" wrapText="1"/>
    </xf>
    <xf numFmtId="0" fontId="1" fillId="0" borderId="2" xfId="0" applyFont="1" applyBorder="1" applyAlignment="1">
      <alignment horizontal="center" vertical="center" wrapText="1"/>
    </xf>
    <xf numFmtId="0" fontId="6" fillId="0" borderId="0" xfId="0" applyFont="1" applyAlignment="1">
      <alignment horizontal="center"/>
    </xf>
    <xf numFmtId="0" fontId="7" fillId="6" borderId="2" xfId="0" applyFont="1" applyFill="1" applyBorder="1" applyAlignment="1">
      <alignment horizontal="center" vertical="center" wrapText="1"/>
    </xf>
    <xf numFmtId="0" fontId="6" fillId="0" borderId="2" xfId="0" applyFont="1" applyBorder="1" applyAlignment="1">
      <alignment horizontal="left" vertical="center"/>
    </xf>
    <xf numFmtId="0" fontId="0" fillId="0" borderId="2" xfId="0" applyBorder="1" applyAlignment="1">
      <alignment horizontal="center" vertical="center" wrapText="1"/>
    </xf>
    <xf numFmtId="0" fontId="7" fillId="2" borderId="0" xfId="0" applyFont="1" applyFill="1" applyAlignment="1">
      <alignment horizontal="left" vertical="center"/>
    </xf>
    <xf numFmtId="0" fontId="23" fillId="0" borderId="0" xfId="0" applyFont="1" applyAlignment="1">
      <alignment horizontal="left"/>
    </xf>
    <xf numFmtId="0" fontId="24" fillId="6" borderId="2" xfId="0" applyFont="1" applyFill="1" applyBorder="1" applyAlignment="1">
      <alignment horizontal="center" vertical="center" wrapText="1"/>
    </xf>
    <xf numFmtId="0" fontId="7" fillId="0" borderId="0" xfId="0" applyFont="1" applyAlignment="1">
      <alignment horizontal="left" vertical="center"/>
    </xf>
    <xf numFmtId="0" fontId="6" fillId="0" borderId="0" xfId="0" applyFont="1" applyAlignment="1">
      <alignment horizontal="left"/>
    </xf>
    <xf numFmtId="0" fontId="7" fillId="6" borderId="2" xfId="0" applyFont="1" applyFill="1" applyBorder="1" applyAlignment="1">
      <alignment horizontal="center" vertical="center"/>
    </xf>
    <xf numFmtId="0" fontId="7" fillId="6" borderId="12" xfId="0" applyFont="1" applyFill="1" applyBorder="1" applyAlignment="1">
      <alignment horizontal="center" vertical="center"/>
    </xf>
    <xf numFmtId="0" fontId="22" fillId="0" borderId="113" xfId="0" applyFont="1" applyBorder="1" applyAlignment="1">
      <alignment horizontal="center" vertical="center"/>
    </xf>
    <xf numFmtId="0" fontId="22" fillId="0" borderId="2" xfId="0" applyFont="1" applyBorder="1" applyAlignment="1">
      <alignment horizontal="center" vertical="center"/>
    </xf>
    <xf numFmtId="0" fontId="22" fillId="0" borderId="34" xfId="0" applyFont="1" applyBorder="1" applyAlignment="1">
      <alignment horizontal="center" vertical="center"/>
    </xf>
    <xf numFmtId="0" fontId="18" fillId="6" borderId="2" xfId="0" applyFont="1" applyFill="1" applyBorder="1" applyAlignment="1">
      <alignment horizontal="center" vertical="center" wrapText="1"/>
    </xf>
    <xf numFmtId="0" fontId="22" fillId="0" borderId="2" xfId="0" applyFont="1" applyBorder="1" applyAlignment="1">
      <alignment horizontal="center" vertical="center" wrapText="1"/>
    </xf>
    <xf numFmtId="9" fontId="6" fillId="0" borderId="26" xfId="2" applyFont="1" applyFill="1" applyBorder="1" applyAlignment="1">
      <alignment horizontal="center" vertical="center"/>
    </xf>
    <xf numFmtId="0" fontId="6" fillId="0" borderId="0" xfId="0" applyFont="1" applyAlignment="1">
      <alignment horizontal="center" vertical="center"/>
    </xf>
    <xf numFmtId="0" fontId="24" fillId="6" borderId="2" xfId="0" applyFont="1" applyFill="1" applyBorder="1" applyAlignment="1">
      <alignment horizontal="center" vertical="center"/>
    </xf>
    <xf numFmtId="0" fontId="22" fillId="0" borderId="1" xfId="0" applyFont="1" applyBorder="1" applyAlignment="1">
      <alignment horizontal="center" vertical="center"/>
    </xf>
    <xf numFmtId="0" fontId="7" fillId="0" borderId="0" xfId="0" applyFont="1" applyAlignment="1">
      <alignment wrapText="1"/>
    </xf>
    <xf numFmtId="0" fontId="7" fillId="0" borderId="0" xfId="0" applyFont="1" applyAlignment="1">
      <alignment horizontal="left"/>
    </xf>
    <xf numFmtId="0" fontId="7" fillId="0" borderId="0" xfId="0" applyFont="1" applyAlignment="1">
      <alignment horizontal="center"/>
    </xf>
    <xf numFmtId="0" fontId="22" fillId="0" borderId="126" xfId="0" applyFont="1" applyBorder="1" applyAlignment="1">
      <alignment horizontal="center" vertical="center"/>
    </xf>
    <xf numFmtId="0" fontId="12" fillId="8" borderId="0" xfId="0" applyFont="1" applyFill="1" applyAlignment="1">
      <alignment horizontal="center" vertical="center"/>
    </xf>
    <xf numFmtId="0" fontId="6" fillId="0" borderId="0" xfId="0" applyFont="1" applyAlignment="1">
      <alignment horizontal="left" vertical="center"/>
    </xf>
    <xf numFmtId="0" fontId="6" fillId="0" borderId="0" xfId="0" applyFont="1" applyAlignment="1">
      <alignment horizontal="left" vertical="center" wrapText="1"/>
    </xf>
    <xf numFmtId="0" fontId="23" fillId="0" borderId="0" xfId="0" applyFont="1" applyAlignment="1">
      <alignment horizontal="left" vertical="center"/>
    </xf>
    <xf numFmtId="168" fontId="11" fillId="0" borderId="2" xfId="6" applyNumberFormat="1" applyFont="1" applyBorder="1" applyAlignment="1">
      <alignment horizontal="center" vertical="center"/>
    </xf>
    <xf numFmtId="0" fontId="17" fillId="0" borderId="0" xfId="0" applyFont="1" applyAlignment="1">
      <alignment horizontal="left" vertical="center"/>
    </xf>
    <xf numFmtId="0" fontId="12" fillId="8" borderId="2" xfId="1" applyFont="1" applyFill="1" applyBorder="1" applyAlignment="1">
      <alignment horizontal="center" vertical="center" wrapText="1"/>
    </xf>
    <xf numFmtId="0" fontId="31" fillId="7" borderId="3" xfId="0" applyFont="1" applyFill="1" applyBorder="1" applyAlignment="1">
      <alignment horizontal="center" vertical="center"/>
    </xf>
    <xf numFmtId="0" fontId="31" fillId="7" borderId="11" xfId="0" applyFont="1" applyFill="1" applyBorder="1" applyAlignment="1">
      <alignment horizontal="center" vertical="center"/>
    </xf>
    <xf numFmtId="0" fontId="31" fillId="0" borderId="3" xfId="0" applyFont="1" applyBorder="1" applyAlignment="1">
      <alignment horizontal="center"/>
    </xf>
    <xf numFmtId="0" fontId="31" fillId="0" borderId="11" xfId="0" applyFont="1" applyBorder="1" applyAlignment="1">
      <alignment horizontal="center"/>
    </xf>
    <xf numFmtId="0" fontId="11" fillId="7" borderId="2" xfId="0" applyFont="1" applyFill="1" applyBorder="1" applyAlignment="1">
      <alignment horizontal="center" vertical="center"/>
    </xf>
    <xf numFmtId="0" fontId="11" fillId="0" borderId="2" xfId="0" applyFont="1" applyBorder="1" applyAlignment="1">
      <alignment horizontal="center"/>
    </xf>
    <xf numFmtId="0" fontId="12" fillId="8" borderId="39" xfId="0" applyFont="1" applyFill="1" applyBorder="1" applyAlignment="1">
      <alignment horizontal="center" vertical="center"/>
    </xf>
    <xf numFmtId="0" fontId="12" fillId="8" borderId="40" xfId="0" applyFont="1" applyFill="1" applyBorder="1" applyAlignment="1">
      <alignment horizontal="center" vertical="center"/>
    </xf>
    <xf numFmtId="0" fontId="12" fillId="8" borderId="41" xfId="0" applyFont="1" applyFill="1" applyBorder="1" applyAlignment="1">
      <alignment horizontal="center" vertical="center"/>
    </xf>
    <xf numFmtId="0" fontId="7" fillId="0" borderId="39" xfId="0" applyFont="1" applyBorder="1" applyAlignment="1">
      <alignment horizontal="center" vertical="center"/>
    </xf>
    <xf numFmtId="0" fontId="7" fillId="0" borderId="40" xfId="0" applyFont="1" applyBorder="1" applyAlignment="1">
      <alignment horizontal="center" vertical="center"/>
    </xf>
    <xf numFmtId="0" fontId="7" fillId="0" borderId="41" xfId="0" applyFont="1" applyBorder="1" applyAlignment="1">
      <alignment horizontal="center" vertical="center"/>
    </xf>
    <xf numFmtId="0" fontId="7" fillId="0" borderId="23" xfId="0" applyFont="1" applyBorder="1" applyAlignment="1">
      <alignment horizontal="center" vertical="center"/>
    </xf>
    <xf numFmtId="0" fontId="7" fillId="0" borderId="0" xfId="0" applyFont="1" applyAlignment="1">
      <alignment horizontal="center" vertical="center"/>
    </xf>
    <xf numFmtId="0" fontId="7" fillId="0" borderId="22" xfId="0" applyFont="1" applyBorder="1" applyAlignment="1">
      <alignment horizontal="center" vertical="center"/>
    </xf>
    <xf numFmtId="0" fontId="7" fillId="0" borderId="42" xfId="0" applyFont="1" applyBorder="1" applyAlignment="1">
      <alignment horizontal="center" vertical="center"/>
    </xf>
    <xf numFmtId="0" fontId="7" fillId="0" borderId="36" xfId="0" applyFont="1" applyBorder="1" applyAlignment="1">
      <alignment horizontal="center" vertical="center"/>
    </xf>
    <xf numFmtId="0" fontId="7" fillId="0" borderId="37" xfId="0" applyFont="1" applyBorder="1" applyAlignment="1">
      <alignment horizontal="center" vertical="center"/>
    </xf>
    <xf numFmtId="0" fontId="6" fillId="0" borderId="2" xfId="0" applyFont="1" applyBorder="1" applyAlignment="1">
      <alignment horizontal="center" vertical="center"/>
    </xf>
    <xf numFmtId="0" fontId="6" fillId="0" borderId="2" xfId="0" applyFont="1" applyBorder="1" applyAlignment="1">
      <alignment horizontal="center" vertical="center" wrapText="1"/>
    </xf>
    <xf numFmtId="0" fontId="1" fillId="0" borderId="2" xfId="0" applyFont="1" applyBorder="1" applyAlignment="1">
      <alignment horizontal="center" vertical="center" wrapText="1"/>
    </xf>
    <xf numFmtId="0" fontId="6" fillId="0" borderId="0" xfId="0" applyFont="1" applyAlignment="1">
      <alignment horizontal="center"/>
    </xf>
    <xf numFmtId="0" fontId="12" fillId="8" borderId="2" xfId="0" applyFont="1" applyFill="1" applyBorder="1" applyAlignment="1">
      <alignment horizontal="center" vertical="center" wrapText="1"/>
    </xf>
    <xf numFmtId="0" fontId="12" fillId="8" borderId="20" xfId="0" applyFont="1" applyFill="1" applyBorder="1" applyAlignment="1">
      <alignment horizontal="center" vertical="center"/>
    </xf>
    <xf numFmtId="0" fontId="7" fillId="6" borderId="2" xfId="0" applyFont="1" applyFill="1" applyBorder="1" applyAlignment="1">
      <alignment horizontal="center" vertical="center" wrapText="1"/>
    </xf>
    <xf numFmtId="0" fontId="6" fillId="0" borderId="2" xfId="0" applyFont="1" applyBorder="1" applyAlignment="1">
      <alignment horizontal="left" vertical="center"/>
    </xf>
    <xf numFmtId="0" fontId="32" fillId="11" borderId="39" xfId="0" applyFont="1" applyFill="1" applyBorder="1" applyAlignment="1">
      <alignment horizontal="center" vertical="center"/>
    </xf>
    <xf numFmtId="0" fontId="32" fillId="11" borderId="40" xfId="0" applyFont="1" applyFill="1" applyBorder="1" applyAlignment="1">
      <alignment horizontal="center" vertical="center"/>
    </xf>
    <xf numFmtId="0" fontId="32" fillId="11" borderId="41" xfId="0" applyFont="1" applyFill="1" applyBorder="1" applyAlignment="1">
      <alignment horizontal="center" vertical="center"/>
    </xf>
    <xf numFmtId="0" fontId="1" fillId="0" borderId="46" xfId="0" applyFont="1" applyBorder="1" applyAlignment="1">
      <alignment horizontal="center" vertical="center" wrapText="1"/>
    </xf>
    <xf numFmtId="0" fontId="1" fillId="0" borderId="48" xfId="0" applyFont="1" applyBorder="1" applyAlignment="1">
      <alignment horizontal="center" vertical="center" wrapText="1"/>
    </xf>
    <xf numFmtId="0" fontId="1" fillId="0" borderId="50" xfId="0" applyFont="1" applyBorder="1" applyAlignment="1">
      <alignment horizontal="center" vertical="center" wrapText="1"/>
    </xf>
    <xf numFmtId="0" fontId="23" fillId="0" borderId="63" xfId="0" applyFont="1" applyBorder="1" applyAlignment="1">
      <alignment horizontal="center" vertical="center" wrapText="1"/>
    </xf>
    <xf numFmtId="0" fontId="23" fillId="0" borderId="64" xfId="0" applyFont="1" applyBorder="1" applyAlignment="1">
      <alignment horizontal="center" vertical="center" wrapText="1"/>
    </xf>
    <xf numFmtId="0" fontId="23" fillId="0" borderId="65" xfId="0" applyFont="1" applyBorder="1" applyAlignment="1">
      <alignment horizontal="center" vertical="center" wrapText="1"/>
    </xf>
    <xf numFmtId="0" fontId="12" fillId="8" borderId="39" xfId="0" applyFont="1" applyFill="1" applyBorder="1" applyAlignment="1">
      <alignment horizontal="center" vertical="center" wrapText="1"/>
    </xf>
    <xf numFmtId="0" fontId="12" fillId="8" borderId="40" xfId="0" applyFont="1" applyFill="1" applyBorder="1" applyAlignment="1">
      <alignment horizontal="center" vertical="center" wrapText="1"/>
    </xf>
    <xf numFmtId="0" fontId="12" fillId="8" borderId="41"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0" xfId="0" applyFont="1" applyFill="1" applyAlignment="1">
      <alignment horizontal="center" vertical="center" wrapText="1"/>
    </xf>
    <xf numFmtId="0" fontId="6" fillId="0" borderId="27" xfId="0" applyFont="1" applyBorder="1" applyAlignment="1">
      <alignment horizontal="center" vertical="center" wrapText="1"/>
    </xf>
    <xf numFmtId="0" fontId="6" fillId="0" borderId="25" xfId="0" applyFont="1" applyBorder="1" applyAlignment="1">
      <alignment horizontal="center" vertical="center"/>
    </xf>
    <xf numFmtId="0" fontId="6" fillId="0" borderId="26" xfId="0" applyFont="1" applyBorder="1" applyAlignment="1">
      <alignment horizontal="center" vertical="center"/>
    </xf>
    <xf numFmtId="0" fontId="6" fillId="0" borderId="38" xfId="0" applyFont="1" applyBorder="1" applyAlignment="1">
      <alignment horizontal="center" vertical="center"/>
    </xf>
    <xf numFmtId="0" fontId="6" fillId="0" borderId="45" xfId="0" applyFont="1" applyBorder="1" applyAlignment="1">
      <alignment horizontal="center" vertical="center"/>
    </xf>
    <xf numFmtId="0" fontId="6" fillId="0" borderId="47" xfId="0" applyFont="1" applyBorder="1" applyAlignment="1">
      <alignment horizontal="center" vertical="center"/>
    </xf>
    <xf numFmtId="0" fontId="6" fillId="0" borderId="49" xfId="0" applyFont="1" applyBorder="1" applyAlignment="1">
      <alignment horizontal="center" vertical="center"/>
    </xf>
    <xf numFmtId="0" fontId="6" fillId="0" borderId="38" xfId="0" applyFont="1" applyBorder="1" applyAlignment="1">
      <alignment horizontal="center" vertical="center" wrapText="1"/>
    </xf>
    <xf numFmtId="0" fontId="23" fillId="0" borderId="0" xfId="0" applyFont="1"/>
    <xf numFmtId="0" fontId="0" fillId="0" borderId="2" xfId="0" applyBorder="1" applyAlignment="1">
      <alignment horizontal="center" vertical="center" wrapText="1"/>
    </xf>
    <xf numFmtId="0" fontId="23" fillId="0" borderId="23" xfId="0" applyFont="1" applyBorder="1" applyAlignment="1">
      <alignment horizontal="left" vertical="top" wrapText="1"/>
    </xf>
    <xf numFmtId="0" fontId="23" fillId="0" borderId="0" xfId="0" applyFont="1" applyAlignment="1">
      <alignment horizontal="left" vertical="top" wrapText="1"/>
    </xf>
    <xf numFmtId="0" fontId="7" fillId="2" borderId="0" xfId="0" applyFont="1" applyFill="1" applyAlignment="1">
      <alignment horizontal="left" vertical="center"/>
    </xf>
    <xf numFmtId="0" fontId="12" fillId="8" borderId="35" xfId="0" applyFont="1" applyFill="1" applyBorder="1" applyAlignment="1">
      <alignment horizontal="center" vertical="center" wrapText="1"/>
    </xf>
    <xf numFmtId="0" fontId="11" fillId="0" borderId="44" xfId="0" applyFont="1" applyBorder="1" applyAlignment="1">
      <alignment horizontal="center" vertical="center" wrapText="1"/>
    </xf>
    <xf numFmtId="0" fontId="11" fillId="0" borderId="52" xfId="0" applyFont="1" applyBorder="1" applyAlignment="1">
      <alignment horizontal="center" vertical="center" wrapText="1"/>
    </xf>
    <xf numFmtId="0" fontId="11" fillId="0" borderId="53" xfId="0" applyFont="1" applyBorder="1" applyAlignment="1">
      <alignment horizontal="center" vertical="center" wrapText="1"/>
    </xf>
    <xf numFmtId="0" fontId="32" fillId="11" borderId="2" xfId="0" applyFont="1" applyFill="1" applyBorder="1" applyAlignment="1">
      <alignment horizontal="center" vertical="center" wrapText="1"/>
    </xf>
    <xf numFmtId="0" fontId="13" fillId="0" borderId="12"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8" xfId="0" applyFont="1" applyBorder="1" applyAlignment="1">
      <alignment horizontal="center" vertical="center" wrapText="1"/>
    </xf>
    <xf numFmtId="0" fontId="23" fillId="0" borderId="0" xfId="0" applyFont="1" applyAlignment="1">
      <alignment horizontal="left"/>
    </xf>
    <xf numFmtId="0" fontId="12" fillId="8" borderId="2" xfId="0" applyFont="1" applyFill="1" applyBorder="1" applyAlignment="1">
      <alignment horizontal="center" vertical="center"/>
    </xf>
    <xf numFmtId="0" fontId="24" fillId="6" borderId="2" xfId="0" applyFont="1" applyFill="1" applyBorder="1" applyAlignment="1">
      <alignment horizontal="center" vertical="center" wrapText="1"/>
    </xf>
    <xf numFmtId="0" fontId="12" fillId="8" borderId="13" xfId="0" applyFont="1" applyFill="1" applyBorder="1" applyAlignment="1">
      <alignment horizontal="center" vertical="center"/>
    </xf>
    <xf numFmtId="0" fontId="12" fillId="8" borderId="14" xfId="0" applyFont="1" applyFill="1" applyBorder="1" applyAlignment="1">
      <alignment horizontal="center" vertical="center"/>
    </xf>
    <xf numFmtId="0" fontId="12" fillId="8" borderId="15" xfId="0" applyFont="1" applyFill="1" applyBorder="1" applyAlignment="1">
      <alignment horizontal="center" vertical="center"/>
    </xf>
    <xf numFmtId="0" fontId="7" fillId="0" borderId="0" xfId="0" applyFont="1" applyAlignment="1">
      <alignment horizontal="left" vertical="center"/>
    </xf>
    <xf numFmtId="0" fontId="6" fillId="0" borderId="86" xfId="0" applyFont="1" applyBorder="1" applyAlignment="1">
      <alignment horizontal="center" vertical="center" wrapText="1"/>
    </xf>
    <xf numFmtId="0" fontId="6" fillId="0" borderId="111"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0" xfId="0" applyFont="1" applyAlignment="1">
      <alignment horizontal="left"/>
    </xf>
    <xf numFmtId="0" fontId="7" fillId="6" borderId="2" xfId="0" applyFont="1" applyFill="1" applyBorder="1" applyAlignment="1">
      <alignment horizontal="center" vertical="center"/>
    </xf>
    <xf numFmtId="0" fontId="7" fillId="6" borderId="12" xfId="0" applyFont="1" applyFill="1" applyBorder="1" applyAlignment="1">
      <alignment horizontal="center" vertical="center"/>
    </xf>
    <xf numFmtId="0" fontId="22" fillId="0" borderId="113" xfId="0" applyFont="1" applyBorder="1" applyAlignment="1">
      <alignment horizontal="center" vertical="center"/>
    </xf>
    <xf numFmtId="0" fontId="22" fillId="0" borderId="2" xfId="0" applyFont="1" applyBorder="1" applyAlignment="1">
      <alignment horizontal="center" vertical="center"/>
    </xf>
    <xf numFmtId="0" fontId="22" fillId="0" borderId="34" xfId="0" applyFont="1" applyBorder="1" applyAlignment="1">
      <alignment horizontal="center" vertical="center"/>
    </xf>
    <xf numFmtId="0" fontId="22" fillId="0" borderId="1" xfId="0" applyFont="1" applyBorder="1" applyAlignment="1">
      <alignment horizontal="center" vertical="center"/>
    </xf>
    <xf numFmtId="0" fontId="6" fillId="0" borderId="4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54" xfId="0" applyFont="1" applyBorder="1" applyAlignment="1">
      <alignment horizontal="center" vertical="center" wrapText="1"/>
    </xf>
    <xf numFmtId="0" fontId="18" fillId="6" borderId="2" xfId="0" applyFont="1" applyFill="1" applyBorder="1" applyAlignment="1">
      <alignment horizontal="center" vertical="center" wrapText="1"/>
    </xf>
    <xf numFmtId="0" fontId="22" fillId="0" borderId="115" xfId="0" applyFont="1" applyBorder="1" applyAlignment="1">
      <alignment horizontal="center" vertical="center" wrapText="1"/>
    </xf>
    <xf numFmtId="0" fontId="22" fillId="0" borderId="52" xfId="0" applyFont="1" applyBorder="1" applyAlignment="1">
      <alignment horizontal="center" vertical="center" wrapText="1"/>
    </xf>
    <xf numFmtId="0" fontId="22" fillId="0" borderId="53" xfId="0" applyFont="1" applyBorder="1" applyAlignment="1">
      <alignment horizontal="center" vertical="center" wrapText="1"/>
    </xf>
    <xf numFmtId="0" fontId="6" fillId="0" borderId="114" xfId="0" applyFont="1" applyBorder="1" applyAlignment="1">
      <alignment horizontal="center" vertical="center" wrapText="1"/>
    </xf>
    <xf numFmtId="0" fontId="22" fillId="0" borderId="44"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12" xfId="0" applyFont="1" applyBorder="1" applyAlignment="1">
      <alignment horizontal="center" vertical="center" wrapText="1"/>
    </xf>
    <xf numFmtId="0" fontId="22" fillId="0" borderId="112" xfId="0" applyFont="1" applyBorder="1" applyAlignment="1">
      <alignment horizontal="center" vertical="center" wrapText="1"/>
    </xf>
    <xf numFmtId="0" fontId="22" fillId="0" borderId="118" xfId="0" applyFont="1" applyBorder="1" applyAlignment="1">
      <alignment horizontal="center" vertical="center" wrapText="1"/>
    </xf>
    <xf numFmtId="0" fontId="22" fillId="0" borderId="120" xfId="0" applyFont="1" applyBorder="1" applyAlignment="1">
      <alignment horizontal="center" vertical="center" wrapText="1"/>
    </xf>
    <xf numFmtId="0" fontId="22" fillId="0" borderId="122" xfId="0" applyFont="1" applyBorder="1" applyAlignment="1">
      <alignment horizontal="center" vertical="center" wrapText="1"/>
    </xf>
    <xf numFmtId="0" fontId="36" fillId="0" borderId="43" xfId="0" applyFont="1" applyBorder="1" applyAlignment="1">
      <alignment horizontal="center" vertical="center" wrapText="1"/>
    </xf>
    <xf numFmtId="0" fontId="36" fillId="0" borderId="16" xfId="0" applyFont="1" applyBorder="1" applyAlignment="1">
      <alignment horizontal="center" vertical="center" wrapText="1"/>
    </xf>
    <xf numFmtId="0" fontId="36" fillId="0" borderId="54" xfId="0" applyFont="1" applyBorder="1" applyAlignment="1">
      <alignment horizontal="center" vertical="center" wrapText="1"/>
    </xf>
    <xf numFmtId="0" fontId="41" fillId="0" borderId="161" xfId="0" applyFont="1" applyBorder="1" applyAlignment="1">
      <alignment horizontal="center" vertical="center" wrapText="1"/>
    </xf>
    <xf numFmtId="0" fontId="41" fillId="0" borderId="52" xfId="0" applyFont="1" applyBorder="1" applyAlignment="1">
      <alignment horizontal="center" vertical="center" wrapText="1"/>
    </xf>
    <xf numFmtId="0" fontId="41" fillId="0" borderId="53" xfId="0" applyFont="1" applyBorder="1" applyAlignment="1">
      <alignment horizontal="center" vertical="center" wrapText="1"/>
    </xf>
    <xf numFmtId="0" fontId="36" fillId="0" borderId="43" xfId="0" applyFont="1" applyBorder="1" applyAlignment="1">
      <alignment horizontal="center" vertical="center"/>
    </xf>
    <xf numFmtId="0" fontId="36" fillId="0" borderId="16" xfId="0" applyFont="1" applyBorder="1" applyAlignment="1">
      <alignment horizontal="center" vertical="center"/>
    </xf>
    <xf numFmtId="0" fontId="36" fillId="0" borderId="54" xfId="0" applyFont="1" applyBorder="1" applyAlignment="1">
      <alignment horizontal="center" vertical="center"/>
    </xf>
    <xf numFmtId="0" fontId="22" fillId="0" borderId="160" xfId="0" applyFont="1" applyBorder="1" applyAlignment="1">
      <alignment horizontal="center" vertical="center" wrapText="1"/>
    </xf>
    <xf numFmtId="0" fontId="22" fillId="0" borderId="34"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8" xfId="0" applyFont="1" applyBorder="1" applyAlignment="1">
      <alignment horizontal="center" vertical="center" wrapText="1"/>
    </xf>
    <xf numFmtId="0" fontId="18" fillId="6" borderId="84" xfId="0" applyFont="1" applyFill="1" applyBorder="1" applyAlignment="1">
      <alignment horizontal="center" vertical="center" wrapText="1"/>
    </xf>
    <xf numFmtId="0" fontId="18" fillId="6" borderId="85" xfId="0" applyFont="1" applyFill="1" applyBorder="1" applyAlignment="1">
      <alignment horizontal="center" vertical="center" wrapText="1"/>
    </xf>
    <xf numFmtId="0" fontId="18" fillId="6" borderId="36" xfId="0" applyFont="1" applyFill="1" applyBorder="1" applyAlignment="1">
      <alignment horizontal="center" vertical="center" wrapText="1"/>
    </xf>
    <xf numFmtId="0" fontId="36" fillId="0" borderId="17" xfId="0" applyFont="1" applyBorder="1" applyAlignment="1">
      <alignment horizontal="center" vertical="center" wrapText="1"/>
    </xf>
    <xf numFmtId="0" fontId="36" fillId="0" borderId="141" xfId="0" applyFont="1" applyBorder="1" applyAlignment="1">
      <alignment horizontal="center" vertical="center" wrapText="1"/>
    </xf>
    <xf numFmtId="0" fontId="36" fillId="0" borderId="135" xfId="0" applyFont="1" applyBorder="1" applyAlignment="1">
      <alignment horizontal="center" vertical="center" wrapText="1"/>
    </xf>
    <xf numFmtId="0" fontId="12" fillId="8" borderId="20" xfId="0" applyFont="1" applyFill="1" applyBorder="1" applyAlignment="1">
      <alignment horizontal="center" vertical="center" wrapText="1"/>
    </xf>
    <xf numFmtId="0" fontId="12" fillId="8" borderId="21" xfId="0" applyFont="1" applyFill="1" applyBorder="1" applyAlignment="1">
      <alignment horizontal="center" vertical="center" wrapText="1"/>
    </xf>
    <xf numFmtId="0" fontId="22" fillId="0" borderId="107"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54" xfId="0" applyFont="1" applyBorder="1" applyAlignment="1">
      <alignment horizontal="center" vertical="center" wrapText="1"/>
    </xf>
    <xf numFmtId="0" fontId="36" fillId="0" borderId="129" xfId="0" applyFont="1" applyBorder="1" applyAlignment="1">
      <alignment horizontal="center" vertical="center" wrapText="1"/>
    </xf>
    <xf numFmtId="0" fontId="36" fillId="0" borderId="130" xfId="0" applyFont="1" applyBorder="1" applyAlignment="1">
      <alignment horizontal="center" vertical="center" wrapText="1"/>
    </xf>
    <xf numFmtId="0" fontId="36" fillId="0" borderId="134" xfId="0" applyFont="1" applyBorder="1" applyAlignment="1">
      <alignment horizontal="center" vertical="center" wrapText="1"/>
    </xf>
    <xf numFmtId="0" fontId="22" fillId="0" borderId="98" xfId="0" applyFont="1" applyBorder="1" applyAlignment="1">
      <alignment horizontal="center" vertical="center" wrapText="1"/>
    </xf>
    <xf numFmtId="0" fontId="36" fillId="0" borderId="131" xfId="0" applyFont="1" applyBorder="1" applyAlignment="1">
      <alignment horizontal="center" vertical="center" wrapText="1"/>
    </xf>
    <xf numFmtId="0" fontId="18" fillId="6" borderId="133" xfId="0" applyFont="1" applyFill="1" applyBorder="1" applyAlignment="1">
      <alignment horizontal="center" vertical="center" wrapText="1"/>
    </xf>
    <xf numFmtId="0" fontId="18" fillId="6" borderId="0" xfId="0" applyFont="1" applyFill="1" applyAlignment="1">
      <alignment horizontal="center" vertical="center" wrapText="1"/>
    </xf>
    <xf numFmtId="0" fontId="18" fillId="6" borderId="144" xfId="0" applyFont="1" applyFill="1" applyBorder="1" applyAlignment="1">
      <alignment horizontal="center" vertical="center" wrapText="1"/>
    </xf>
    <xf numFmtId="0" fontId="36" fillId="0" borderId="44" xfId="0" applyFont="1" applyBorder="1" applyAlignment="1">
      <alignment horizontal="center" vertical="center" wrapText="1"/>
    </xf>
    <xf numFmtId="0" fontId="36" fillId="0" borderId="52" xfId="0" applyFont="1" applyBorder="1" applyAlignment="1">
      <alignment horizontal="center" vertical="center" wrapText="1"/>
    </xf>
    <xf numFmtId="0" fontId="36" fillId="0" borderId="53" xfId="0" applyFont="1" applyBorder="1" applyAlignment="1">
      <alignment horizontal="center" vertical="center" wrapText="1"/>
    </xf>
    <xf numFmtId="0" fontId="36" fillId="0" borderId="164" xfId="0" applyFont="1" applyBorder="1" applyAlignment="1">
      <alignment horizontal="center" vertical="center" wrapText="1"/>
    </xf>
    <xf numFmtId="0" fontId="36" fillId="0" borderId="165" xfId="0" applyFont="1" applyBorder="1" applyAlignment="1">
      <alignment horizontal="center" vertical="center" wrapText="1"/>
    </xf>
    <xf numFmtId="0" fontId="36" fillId="0" borderId="166" xfId="0" applyFont="1" applyBorder="1" applyAlignment="1">
      <alignment horizontal="center" vertical="center" wrapText="1"/>
    </xf>
    <xf numFmtId="0" fontId="22" fillId="0" borderId="43" xfId="0" applyFont="1" applyBorder="1" applyAlignment="1">
      <alignment horizontal="center" vertical="center" wrapText="1"/>
    </xf>
    <xf numFmtId="0" fontId="32" fillId="11" borderId="2" xfId="0" applyFont="1" applyFill="1" applyBorder="1" applyAlignment="1">
      <alignment horizontal="center" vertical="center"/>
    </xf>
    <xf numFmtId="0" fontId="12" fillId="8" borderId="19" xfId="0" applyFont="1" applyFill="1" applyBorder="1" applyAlignment="1">
      <alignment horizontal="center" vertical="center"/>
    </xf>
    <xf numFmtId="9" fontId="6" fillId="0" borderId="38" xfId="2" applyFont="1" applyFill="1" applyBorder="1" applyAlignment="1">
      <alignment horizontal="center" vertical="center"/>
    </xf>
    <xf numFmtId="9" fontId="6" fillId="0" borderId="25" xfId="2" applyFont="1" applyFill="1" applyBorder="1" applyAlignment="1">
      <alignment horizontal="center" vertical="center"/>
    </xf>
    <xf numFmtId="9" fontId="6" fillId="0" borderId="26" xfId="2" applyFont="1" applyFill="1" applyBorder="1" applyAlignment="1">
      <alignment horizontal="center" vertical="center"/>
    </xf>
    <xf numFmtId="0" fontId="6" fillId="0" borderId="14" xfId="0" applyFont="1" applyBorder="1" applyAlignment="1">
      <alignment horizontal="center" vertical="center"/>
    </xf>
    <xf numFmtId="0" fontId="6" fillId="0" borderId="0" xfId="0" applyFont="1" applyAlignment="1">
      <alignment horizontal="center" vertical="center"/>
    </xf>
    <xf numFmtId="0" fontId="24" fillId="6" borderId="3" xfId="0" applyFont="1" applyFill="1" applyBorder="1" applyAlignment="1">
      <alignment horizontal="center" vertical="center"/>
    </xf>
    <xf numFmtId="0" fontId="24" fillId="6" borderId="10" xfId="0" applyFont="1" applyFill="1" applyBorder="1" applyAlignment="1">
      <alignment horizontal="center" vertical="center"/>
    </xf>
    <xf numFmtId="0" fontId="24" fillId="6" borderId="11" xfId="0" applyFont="1" applyFill="1" applyBorder="1" applyAlignment="1">
      <alignment horizontal="center" vertical="center"/>
    </xf>
    <xf numFmtId="0" fontId="24" fillId="6" borderId="2" xfId="0" applyFont="1" applyFill="1" applyBorder="1" applyAlignment="1">
      <alignment horizontal="center" vertical="center"/>
    </xf>
    <xf numFmtId="0" fontId="24" fillId="6" borderId="12" xfId="0" applyFont="1" applyFill="1" applyBorder="1" applyAlignment="1">
      <alignment horizontal="center" vertical="center"/>
    </xf>
    <xf numFmtId="0" fontId="24" fillId="6" borderId="18" xfId="0" applyFont="1" applyFill="1" applyBorder="1" applyAlignment="1">
      <alignment horizontal="center" vertical="center"/>
    </xf>
    <xf numFmtId="0" fontId="9" fillId="8" borderId="0" xfId="0" applyFont="1" applyFill="1" applyAlignment="1">
      <alignment horizontal="center" vertical="center" wrapText="1"/>
    </xf>
    <xf numFmtId="0" fontId="0" fillId="0" borderId="0" xfId="0" applyAlignment="1">
      <alignment horizontal="center"/>
    </xf>
    <xf numFmtId="0" fontId="36" fillId="0" borderId="98" xfId="0" applyFont="1" applyBorder="1" applyAlignment="1">
      <alignment horizontal="center" vertical="center" wrapText="1"/>
    </xf>
    <xf numFmtId="0" fontId="36" fillId="0" borderId="99" xfId="0" applyFont="1" applyBorder="1" applyAlignment="1">
      <alignment horizontal="center" vertical="center"/>
    </xf>
    <xf numFmtId="1" fontId="36" fillId="0" borderId="100" xfId="0" applyNumberFormat="1" applyFont="1" applyBorder="1" applyAlignment="1">
      <alignment horizontal="center" vertical="center"/>
    </xf>
    <xf numFmtId="1" fontId="36" fillId="0" borderId="101" xfId="0" applyNumberFormat="1" applyFont="1" applyBorder="1" applyAlignment="1">
      <alignment horizontal="center" vertical="center"/>
    </xf>
    <xf numFmtId="0" fontId="36" fillId="0" borderId="102" xfId="0" applyFont="1" applyBorder="1" applyAlignment="1">
      <alignment horizontal="center" vertical="center"/>
    </xf>
    <xf numFmtId="1" fontId="36" fillId="0" borderId="74" xfId="0" applyNumberFormat="1" applyFont="1" applyBorder="1" applyAlignment="1">
      <alignment horizontal="center" vertical="center"/>
    </xf>
    <xf numFmtId="1" fontId="36" fillId="0" borderId="103" xfId="0" applyNumberFormat="1" applyFont="1" applyBorder="1" applyAlignment="1">
      <alignment horizontal="center" vertical="center"/>
    </xf>
    <xf numFmtId="0" fontId="36" fillId="0" borderId="104" xfId="0" applyFont="1" applyBorder="1" applyAlignment="1">
      <alignment horizontal="center" vertical="center"/>
    </xf>
    <xf numFmtId="1" fontId="36" fillId="0" borderId="105" xfId="0" applyNumberFormat="1" applyFont="1" applyBorder="1" applyAlignment="1">
      <alignment horizontal="center" vertical="center"/>
    </xf>
    <xf numFmtId="1" fontId="36" fillId="0" borderId="106" xfId="0" applyNumberFormat="1" applyFont="1" applyBorder="1" applyAlignment="1">
      <alignment horizontal="center" vertical="center"/>
    </xf>
    <xf numFmtId="0" fontId="36" fillId="0" borderId="107" xfId="0" applyFont="1" applyBorder="1" applyAlignment="1">
      <alignment horizontal="center" vertical="center" wrapText="1"/>
    </xf>
    <xf numFmtId="0" fontId="36" fillId="0" borderId="108" xfId="0" applyFont="1" applyBorder="1" applyAlignment="1">
      <alignment horizontal="center" vertical="center"/>
    </xf>
    <xf numFmtId="0" fontId="36" fillId="0" borderId="109" xfId="0" applyFont="1" applyBorder="1" applyAlignment="1">
      <alignment horizontal="center" vertical="center"/>
    </xf>
    <xf numFmtId="0" fontId="36" fillId="0" borderId="110" xfId="0" applyFont="1" applyBorder="1" applyAlignment="1">
      <alignment horizontal="center" vertical="center"/>
    </xf>
    <xf numFmtId="0" fontId="22" fillId="0" borderId="29" xfId="0" applyFont="1" applyFill="1" applyBorder="1" applyAlignment="1">
      <alignment horizontal="center" vertical="center"/>
    </xf>
    <xf numFmtId="0" fontId="22" fillId="0" borderId="33" xfId="0" applyFont="1" applyFill="1" applyBorder="1" applyAlignment="1">
      <alignment horizontal="center" vertical="center"/>
    </xf>
    <xf numFmtId="0" fontId="22" fillId="0" borderId="28" xfId="0" applyFont="1" applyFill="1" applyBorder="1" applyAlignment="1">
      <alignment horizontal="center" vertical="center"/>
    </xf>
    <xf numFmtId="0" fontId="22" fillId="0" borderId="30" xfId="0" applyFont="1" applyFill="1" applyBorder="1" applyAlignment="1">
      <alignment horizontal="center" vertical="center"/>
    </xf>
    <xf numFmtId="0" fontId="22" fillId="0" borderId="31" xfId="0" applyFont="1" applyFill="1" applyBorder="1" applyAlignment="1">
      <alignment horizontal="center" vertical="center"/>
    </xf>
    <xf numFmtId="0" fontId="22" fillId="0" borderId="32" xfId="0" applyFont="1" applyFill="1" applyBorder="1" applyAlignment="1">
      <alignment horizontal="center" vertical="center"/>
    </xf>
  </cellXfs>
  <cellStyles count="13">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FF9900"/>
      <color rgb="FFCCCCFF"/>
      <color rgb="FF8238BA"/>
      <color rgb="FFFFEBCD"/>
      <color rgb="FF002F8E"/>
      <color rgb="FF0000CC"/>
      <color rgb="FF2E9F17"/>
      <color rgb="FFFFFAF3"/>
      <color rgb="FF2DC8FF"/>
      <color rgb="FF001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22/10/relationships/richValueRel" Target="richData/richValueRel.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microsoft.com/office/2017/06/relationships/rdRichValueStructure" Target="richData/rdrichvaluestructure.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 </a:t>
            </a:r>
            <a:r>
              <a:rPr lang="en-US" sz="1000" b="0" i="0" u="none" strike="noStrike" kern="1200" spc="0" baseline="0">
                <a:solidFill>
                  <a:sysClr val="windowText" lastClr="000000"/>
                </a:solidFill>
                <a:latin typeface="Arial" panose="020B0604020202020204" pitchFamily="34" charset="0"/>
                <a:cs typeface="Arial" panose="020B0604020202020204" pitchFamily="34" charset="0"/>
              </a:rPr>
              <a:t>(*overall)</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0.05</c:v>
                </c:pt>
                <c:pt idx="1">
                  <c:v>0.05</c:v>
                </c:pt>
                <c:pt idx="2">
                  <c:v>0.05</c:v>
                </c:pt>
                <c:pt idx="3">
                  <c:v>0.05</c:v>
                </c:pt>
                <c:pt idx="4">
                  <c:v>0.05</c:v>
                </c:pt>
                <c:pt idx="5">
                  <c:v>0.05</c:v>
                </c:pt>
                <c:pt idx="6">
                  <c:v>0.05</c:v>
                </c:pt>
                <c:pt idx="7">
                  <c:v>0.1</c:v>
                </c:pt>
                <c:pt idx="8">
                  <c:v>0.2</c:v>
                </c:pt>
                <c:pt idx="9">
                  <c:v>0.9</c:v>
                </c:pt>
                <c:pt idx="10">
                  <c:v>0.9</c:v>
                </c:pt>
                <c:pt idx="11">
                  <c:v>0.45</c:v>
                </c:pt>
                <c:pt idx="12">
                  <c:v>0.45</c:v>
                </c:pt>
                <c:pt idx="13">
                  <c:v>0.9</c:v>
                </c:pt>
                <c:pt idx="14">
                  <c:v>0.9</c:v>
                </c:pt>
                <c:pt idx="15">
                  <c:v>0.9</c:v>
                </c:pt>
                <c:pt idx="16">
                  <c:v>0.9</c:v>
                </c:pt>
                <c:pt idx="17">
                  <c:v>0.9</c:v>
                </c:pt>
                <c:pt idx="18">
                  <c:v>0.3</c:v>
                </c:pt>
                <c:pt idx="19">
                  <c:v>0.1</c:v>
                </c:pt>
                <c:pt idx="20">
                  <c:v>0.1</c:v>
                </c:pt>
                <c:pt idx="21">
                  <c:v>0.1</c:v>
                </c:pt>
                <c:pt idx="22">
                  <c:v>0.05</c:v>
                </c:pt>
                <c:pt idx="23">
                  <c:v>0.05</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0.05</c:v>
                </c:pt>
                <c:pt idx="1">
                  <c:v>0.05</c:v>
                </c:pt>
                <c:pt idx="2">
                  <c:v>0.05</c:v>
                </c:pt>
                <c:pt idx="3">
                  <c:v>0.05</c:v>
                </c:pt>
                <c:pt idx="4">
                  <c:v>0.05</c:v>
                </c:pt>
                <c:pt idx="5">
                  <c:v>0.05</c:v>
                </c:pt>
                <c:pt idx="6">
                  <c:v>0.05</c:v>
                </c:pt>
                <c:pt idx="7">
                  <c:v>0.1</c:v>
                </c:pt>
                <c:pt idx="8">
                  <c:v>0.1</c:v>
                </c:pt>
                <c:pt idx="9">
                  <c:v>0.3</c:v>
                </c:pt>
                <c:pt idx="10">
                  <c:v>0.3</c:v>
                </c:pt>
                <c:pt idx="11">
                  <c:v>0.3</c:v>
                </c:pt>
                <c:pt idx="12">
                  <c:v>0.3</c:v>
                </c:pt>
                <c:pt idx="13">
                  <c:v>0.1</c:v>
                </c:pt>
                <c:pt idx="14">
                  <c:v>0.1</c:v>
                </c:pt>
                <c:pt idx="15">
                  <c:v>0.1</c:v>
                </c:pt>
                <c:pt idx="16">
                  <c:v>0.1</c:v>
                </c:pt>
                <c:pt idx="17">
                  <c:v>0.1</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0.05</c:v>
                </c:pt>
                <c:pt idx="1">
                  <c:v>0.05</c:v>
                </c:pt>
                <c:pt idx="2">
                  <c:v>0.05</c:v>
                </c:pt>
                <c:pt idx="3">
                  <c:v>0.05</c:v>
                </c:pt>
                <c:pt idx="4">
                  <c:v>0.05</c:v>
                </c:pt>
                <c:pt idx="5">
                  <c:v>0.05</c:v>
                </c:pt>
                <c:pt idx="6">
                  <c:v>0.05</c:v>
                </c:pt>
                <c:pt idx="7">
                  <c:v>0.1</c:v>
                </c:pt>
                <c:pt idx="8">
                  <c:v>0.1</c:v>
                </c:pt>
                <c:pt idx="9">
                  <c:v>0.3</c:v>
                </c:pt>
                <c:pt idx="10">
                  <c:v>0.3</c:v>
                </c:pt>
                <c:pt idx="11">
                  <c:v>0.3</c:v>
                </c:pt>
                <c:pt idx="12">
                  <c:v>0.3</c:v>
                </c:pt>
                <c:pt idx="13">
                  <c:v>0.1</c:v>
                </c:pt>
                <c:pt idx="14">
                  <c:v>0.1</c:v>
                </c:pt>
                <c:pt idx="15">
                  <c:v>0.1</c:v>
                </c:pt>
                <c:pt idx="16">
                  <c:v>0.1</c:v>
                </c:pt>
                <c:pt idx="17">
                  <c:v>0.1</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General</c:formatCode>
                <c:ptCount val="24"/>
                <c:pt idx="0">
                  <c:v>0.2</c:v>
                </c:pt>
                <c:pt idx="1">
                  <c:v>0.2</c:v>
                </c:pt>
                <c:pt idx="2">
                  <c:v>0.2</c:v>
                </c:pt>
                <c:pt idx="3">
                  <c:v>0.2</c:v>
                </c:pt>
                <c:pt idx="4">
                  <c:v>0.2</c:v>
                </c:pt>
                <c:pt idx="5">
                  <c:v>0.2</c:v>
                </c:pt>
                <c:pt idx="6">
                  <c:v>0.3</c:v>
                </c:pt>
                <c:pt idx="7">
                  <c:v>0.5</c:v>
                </c:pt>
                <c:pt idx="8">
                  <c:v>0.9</c:v>
                </c:pt>
                <c:pt idx="9">
                  <c:v>0.9</c:v>
                </c:pt>
                <c:pt idx="10">
                  <c:v>0.9</c:v>
                </c:pt>
                <c:pt idx="11">
                  <c:v>0.9</c:v>
                </c:pt>
                <c:pt idx="12">
                  <c:v>0.8</c:v>
                </c:pt>
                <c:pt idx="13">
                  <c:v>0.9</c:v>
                </c:pt>
                <c:pt idx="14">
                  <c:v>0.9</c:v>
                </c:pt>
                <c:pt idx="15">
                  <c:v>0.9</c:v>
                </c:pt>
                <c:pt idx="16">
                  <c:v>0.9</c:v>
                </c:pt>
                <c:pt idx="17">
                  <c:v>0.9</c:v>
                </c:pt>
                <c:pt idx="18">
                  <c:v>0.5</c:v>
                </c:pt>
                <c:pt idx="19">
                  <c:v>0.5</c:v>
                </c:pt>
                <c:pt idx="20">
                  <c:v>0.3</c:v>
                </c:pt>
                <c:pt idx="21">
                  <c:v>0.3</c:v>
                </c:pt>
                <c:pt idx="22">
                  <c:v>0.2</c:v>
                </c:pt>
                <c:pt idx="23">
                  <c:v>0.2</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General</c:formatCode>
                <c:ptCount val="24"/>
                <c:pt idx="0">
                  <c:v>0.1</c:v>
                </c:pt>
                <c:pt idx="1">
                  <c:v>0.1</c:v>
                </c:pt>
                <c:pt idx="2">
                  <c:v>0.1</c:v>
                </c:pt>
                <c:pt idx="3">
                  <c:v>0.1</c:v>
                </c:pt>
                <c:pt idx="4">
                  <c:v>0.1</c:v>
                </c:pt>
                <c:pt idx="5">
                  <c:v>0.1</c:v>
                </c:pt>
                <c:pt idx="6">
                  <c:v>0.1</c:v>
                </c:pt>
                <c:pt idx="7">
                  <c:v>0.1</c:v>
                </c:pt>
                <c:pt idx="8">
                  <c:v>0.4</c:v>
                </c:pt>
                <c:pt idx="9">
                  <c:v>0.4</c:v>
                </c:pt>
                <c:pt idx="10">
                  <c:v>0.4</c:v>
                </c:pt>
                <c:pt idx="11">
                  <c:v>0.4</c:v>
                </c:pt>
                <c:pt idx="12">
                  <c:v>0.2</c:v>
                </c:pt>
                <c:pt idx="13">
                  <c:v>0.2</c:v>
                </c:pt>
                <c:pt idx="14">
                  <c:v>0.2</c:v>
                </c:pt>
                <c:pt idx="15">
                  <c:v>0.2</c:v>
                </c:pt>
                <c:pt idx="16">
                  <c:v>0.2</c:v>
                </c:pt>
                <c:pt idx="17">
                  <c:v>0.1</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General</c:formatCode>
                <c:ptCount val="24"/>
                <c:pt idx="0">
                  <c:v>0.1</c:v>
                </c:pt>
                <c:pt idx="1">
                  <c:v>0.1</c:v>
                </c:pt>
                <c:pt idx="2">
                  <c:v>0.1</c:v>
                </c:pt>
                <c:pt idx="3">
                  <c:v>0.1</c:v>
                </c:pt>
                <c:pt idx="4">
                  <c:v>0.1</c:v>
                </c:pt>
                <c:pt idx="5">
                  <c:v>0.1</c:v>
                </c:pt>
                <c:pt idx="6">
                  <c:v>0.1</c:v>
                </c:pt>
                <c:pt idx="7">
                  <c:v>0.1</c:v>
                </c:pt>
                <c:pt idx="8">
                  <c:v>0.4</c:v>
                </c:pt>
                <c:pt idx="9">
                  <c:v>0.4</c:v>
                </c:pt>
                <c:pt idx="10">
                  <c:v>0.4</c:v>
                </c:pt>
                <c:pt idx="11">
                  <c:v>0.4</c:v>
                </c:pt>
                <c:pt idx="12">
                  <c:v>0.2</c:v>
                </c:pt>
                <c:pt idx="13">
                  <c:v>0.2</c:v>
                </c:pt>
                <c:pt idx="14">
                  <c:v>0.2</c:v>
                </c:pt>
                <c:pt idx="15">
                  <c:v>0.2</c:v>
                </c:pt>
                <c:pt idx="16">
                  <c:v>0.2</c:v>
                </c:pt>
                <c:pt idx="17">
                  <c:v>0.1</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0.2</c:v>
                </c:pt>
                <c:pt idx="1">
                  <c:v>0.2</c:v>
                </c:pt>
                <c:pt idx="2">
                  <c:v>0.2</c:v>
                </c:pt>
                <c:pt idx="3">
                  <c:v>0.2</c:v>
                </c:pt>
                <c:pt idx="4">
                  <c:v>0.2</c:v>
                </c:pt>
                <c:pt idx="5">
                  <c:v>0.2</c:v>
                </c:pt>
                <c:pt idx="6">
                  <c:v>0.3</c:v>
                </c:pt>
                <c:pt idx="7">
                  <c:v>0.4</c:v>
                </c:pt>
                <c:pt idx="8">
                  <c:v>0.5</c:v>
                </c:pt>
                <c:pt idx="9">
                  <c:v>0.7</c:v>
                </c:pt>
                <c:pt idx="10">
                  <c:v>0.8</c:v>
                </c:pt>
                <c:pt idx="11">
                  <c:v>0.5</c:v>
                </c:pt>
                <c:pt idx="12">
                  <c:v>0.6</c:v>
                </c:pt>
                <c:pt idx="13">
                  <c:v>0.7</c:v>
                </c:pt>
                <c:pt idx="14">
                  <c:v>0.9</c:v>
                </c:pt>
                <c:pt idx="15">
                  <c:v>0.8</c:v>
                </c:pt>
                <c:pt idx="16">
                  <c:v>0.5</c:v>
                </c:pt>
                <c:pt idx="17">
                  <c:v>0.4</c:v>
                </c:pt>
                <c:pt idx="18">
                  <c:v>0.3</c:v>
                </c:pt>
                <c:pt idx="19">
                  <c:v>0.2</c:v>
                </c:pt>
                <c:pt idx="20">
                  <c:v>0.2</c:v>
                </c:pt>
                <c:pt idx="21">
                  <c:v>0.2</c:v>
                </c:pt>
                <c:pt idx="22">
                  <c:v>0.2</c:v>
                </c:pt>
                <c:pt idx="23">
                  <c:v>0.2</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Gas 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0.1</c:v>
                </c:pt>
                <c:pt idx="8">
                  <c:v>0.2</c:v>
                </c:pt>
                <c:pt idx="9">
                  <c:v>0.9</c:v>
                </c:pt>
                <c:pt idx="10">
                  <c:v>0.9</c:v>
                </c:pt>
                <c:pt idx="11">
                  <c:v>0.45</c:v>
                </c:pt>
                <c:pt idx="12">
                  <c:v>0.45</c:v>
                </c:pt>
                <c:pt idx="13">
                  <c:v>0.9</c:v>
                </c:pt>
                <c:pt idx="14">
                  <c:v>0.9</c:v>
                </c:pt>
                <c:pt idx="15">
                  <c:v>0.9</c:v>
                </c:pt>
                <c:pt idx="16">
                  <c:v>0.9</c:v>
                </c:pt>
                <c:pt idx="17">
                  <c:v>0.9</c:v>
                </c:pt>
                <c:pt idx="18">
                  <c:v>0.1</c:v>
                </c:pt>
                <c:pt idx="19">
                  <c:v>0.1</c:v>
                </c:pt>
                <c:pt idx="20">
                  <c:v>0</c:v>
                </c:pt>
                <c:pt idx="21">
                  <c:v>0</c:v>
                </c:pt>
                <c:pt idx="22">
                  <c:v>0</c:v>
                </c:pt>
                <c:pt idx="23">
                  <c:v>0</c:v>
                </c:pt>
              </c:numCache>
            </c:numRef>
          </c:val>
          <c:smooth val="0"/>
          <c:extLst>
            <c:ext xmlns:c16="http://schemas.microsoft.com/office/drawing/2014/chart" uri="{C3380CC4-5D6E-409C-BE32-E72D297353CC}">
              <c16:uniqueId val="{00000000-2D5E-43D9-9D39-369DFAAB902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0.1</c:v>
                </c:pt>
                <c:pt idx="8">
                  <c:v>0.1</c:v>
                </c:pt>
                <c:pt idx="9">
                  <c:v>0.3</c:v>
                </c:pt>
                <c:pt idx="10">
                  <c:v>0.3</c:v>
                </c:pt>
                <c:pt idx="11">
                  <c:v>0.3</c:v>
                </c:pt>
                <c:pt idx="12">
                  <c:v>0.3</c:v>
                </c:pt>
                <c:pt idx="13">
                  <c:v>0.1</c:v>
                </c:pt>
                <c:pt idx="14">
                  <c:v>0.1</c:v>
                </c:pt>
                <c:pt idx="15">
                  <c:v>0.1</c:v>
                </c:pt>
                <c:pt idx="16">
                  <c:v>0.1</c:v>
                </c:pt>
                <c:pt idx="17">
                  <c:v>0.1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2D5E-43D9-9D39-369DFAAB9026}"/>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0.1</c:v>
                </c:pt>
                <c:pt idx="8">
                  <c:v>0.1</c:v>
                </c:pt>
                <c:pt idx="9">
                  <c:v>0.3</c:v>
                </c:pt>
                <c:pt idx="10">
                  <c:v>0.3</c:v>
                </c:pt>
                <c:pt idx="11">
                  <c:v>0.3</c:v>
                </c:pt>
                <c:pt idx="12">
                  <c:v>0.3</c:v>
                </c:pt>
                <c:pt idx="13">
                  <c:v>0.1</c:v>
                </c:pt>
                <c:pt idx="14">
                  <c:v>0.1</c:v>
                </c:pt>
                <c:pt idx="15">
                  <c:v>0.1</c:v>
                </c:pt>
                <c:pt idx="16">
                  <c:v>0.1</c:v>
                </c:pt>
                <c:pt idx="17">
                  <c:v>0.1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2D5E-43D9-9D39-369DFAAB90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Refrigeration</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CC28-48CD-BF25-42D80026CFAB}"/>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CC28-48CD-BF25-42D80026CFAB}"/>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CC28-48CD-BF25-42D80026CFA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SHW</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3135-48D8-A067-570C878F17DC}"/>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3135-48D8-A067-570C878F17DC}"/>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3135-48D8-A067-570C878F17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Lab Exhaust</a:t>
            </a:r>
          </a:p>
        </c:rich>
      </c:tx>
      <c:overlay val="0"/>
      <c:spPr>
        <a:noFill/>
        <a:ln>
          <a:noFill/>
        </a:ln>
        <a:effectLst/>
      </c:sp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3"/>
          <c:order val="0"/>
          <c:tx>
            <c:strRef>
              <c:f>Schedules!$E$28</c:f>
              <c:strCache>
                <c:ptCount val="1"/>
                <c:pt idx="0">
                  <c:v>Weekday</c:v>
                </c:pt>
              </c:strCache>
            </c:strRef>
          </c:tx>
          <c:marker>
            <c:symbol val="none"/>
          </c:marker>
          <c:val>
            <c:numRef>
              <c:f>Schedules!$F$28:$AC$28</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9-99AC-4633-A8D5-A2355C1A2EF9}"/>
            </c:ext>
          </c:extLst>
        </c:ser>
        <c:ser>
          <c:idx val="4"/>
          <c:order val="1"/>
          <c:tx>
            <c:strRef>
              <c:f>Schedules!$E$29</c:f>
              <c:strCache>
                <c:ptCount val="1"/>
                <c:pt idx="0">
                  <c:v>Saturday</c:v>
                </c:pt>
              </c:strCache>
            </c:strRef>
          </c:tx>
          <c:marker>
            <c:symbol val="none"/>
          </c:marker>
          <c:val>
            <c:numRef>
              <c:f>Schedules!$F$29:$AC$29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A-99AC-4633-A8D5-A2355C1A2EF9}"/>
            </c:ext>
          </c:extLst>
        </c:ser>
        <c:ser>
          <c:idx val="5"/>
          <c:order val="2"/>
          <c:tx>
            <c:strRef>
              <c:f>Schedules!$E$30</c:f>
              <c:strCache>
                <c:ptCount val="1"/>
                <c:pt idx="0">
                  <c:v>Sunday</c:v>
                </c:pt>
              </c:strCache>
            </c:strRef>
          </c:tx>
          <c:marker>
            <c:symbol val="none"/>
          </c:marker>
          <c:val>
            <c:numRef>
              <c:f>Schedules!$F$30:$AC$30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B-99AC-4633-A8D5-A2355C1A2EF9}"/>
            </c:ext>
          </c:extLst>
        </c:ser>
        <c:ser>
          <c:idx val="0"/>
          <c:order val="3"/>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4-99AC-4633-A8D5-A2355C1A2EF9}"/>
            </c:ext>
          </c:extLst>
        </c:ser>
        <c:ser>
          <c:idx val="1"/>
          <c:order val="4"/>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6-99AC-4633-A8D5-A2355C1A2EF9}"/>
            </c:ext>
          </c:extLst>
        </c:ser>
        <c:ser>
          <c:idx val="2"/>
          <c:order val="5"/>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8-99AC-4633-A8D5-A2355C1A2EF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Lab Exhaust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Schedules!$E$31</c:f>
              <c:strCache>
                <c:ptCount val="1"/>
                <c:pt idx="0">
                  <c:v>Weekday</c:v>
                </c:pt>
              </c:strCache>
            </c:strRef>
          </c:tx>
          <c:spPr>
            <a:ln w="28575" cap="rnd">
              <a:solidFill>
                <a:schemeClr val="accent1"/>
              </a:solidFill>
              <a:round/>
            </a:ln>
            <a:effectLst/>
          </c:spPr>
          <c:marker>
            <c:symbol val="none"/>
          </c:marker>
          <c:val>
            <c:numRef>
              <c:f>Schedules!$F$31:$AC$31</c:f>
              <c:numCache>
                <c:formatCode>0.00</c:formatCode>
                <c:ptCount val="24"/>
                <c:pt idx="0">
                  <c:v>0.5</c:v>
                </c:pt>
                <c:pt idx="1">
                  <c:v>0.5</c:v>
                </c:pt>
                <c:pt idx="2">
                  <c:v>0.5</c:v>
                </c:pt>
                <c:pt idx="3">
                  <c:v>0.5</c:v>
                </c:pt>
                <c:pt idx="4">
                  <c:v>0.5</c:v>
                </c:pt>
                <c:pt idx="5">
                  <c:v>0.5</c:v>
                </c:pt>
                <c:pt idx="6">
                  <c:v>0.5</c:v>
                </c:pt>
                <c:pt idx="7">
                  <c:v>0.5</c:v>
                </c:pt>
                <c:pt idx="8">
                  <c:v>0.51</c:v>
                </c:pt>
                <c:pt idx="9">
                  <c:v>0.56000000000000005</c:v>
                </c:pt>
                <c:pt idx="10">
                  <c:v>0.56000000000000005</c:v>
                </c:pt>
                <c:pt idx="11">
                  <c:v>0.53</c:v>
                </c:pt>
                <c:pt idx="12">
                  <c:v>0.53</c:v>
                </c:pt>
                <c:pt idx="13">
                  <c:v>0.56000000000000005</c:v>
                </c:pt>
                <c:pt idx="14">
                  <c:v>0.56000000000000005</c:v>
                </c:pt>
                <c:pt idx="15">
                  <c:v>0.56000000000000005</c:v>
                </c:pt>
                <c:pt idx="16">
                  <c:v>0.56000000000000005</c:v>
                </c:pt>
                <c:pt idx="17">
                  <c:v>0.56000000000000005</c:v>
                </c:pt>
                <c:pt idx="18">
                  <c:v>0.52</c:v>
                </c:pt>
                <c:pt idx="19">
                  <c:v>0.5</c:v>
                </c:pt>
                <c:pt idx="20">
                  <c:v>0.5</c:v>
                </c:pt>
                <c:pt idx="21">
                  <c:v>0.5</c:v>
                </c:pt>
                <c:pt idx="22">
                  <c:v>0.5</c:v>
                </c:pt>
                <c:pt idx="23">
                  <c:v>0.5</c:v>
                </c:pt>
              </c:numCache>
            </c:numRef>
          </c:val>
          <c:smooth val="0"/>
          <c:extLst>
            <c:ext xmlns:c16="http://schemas.microsoft.com/office/drawing/2014/chart" uri="{C3380CC4-5D6E-409C-BE32-E72D297353CC}">
              <c16:uniqueId val="{00000000-4628-4655-98BE-89B62E481268}"/>
            </c:ext>
          </c:extLst>
        </c:ser>
        <c:ser>
          <c:idx val="1"/>
          <c:order val="1"/>
          <c:tx>
            <c:strRef>
              <c:f>Schedules!$E$32</c:f>
              <c:strCache>
                <c:ptCount val="1"/>
                <c:pt idx="0">
                  <c:v>Saturday</c:v>
                </c:pt>
              </c:strCache>
            </c:strRef>
          </c:tx>
          <c:spPr>
            <a:ln w="28575" cap="rnd">
              <a:solidFill>
                <a:schemeClr val="accent2"/>
              </a:solidFill>
              <a:round/>
            </a:ln>
            <a:effectLst/>
          </c:spPr>
          <c:marker>
            <c:symbol val="none"/>
          </c:marker>
          <c:val>
            <c:numRef>
              <c:f>Schedules!$F$32:$AC$32</c:f>
              <c:numCache>
                <c:formatCode>0.00</c:formatCode>
                <c:ptCount val="24"/>
                <c:pt idx="0">
                  <c:v>0.5</c:v>
                </c:pt>
                <c:pt idx="1">
                  <c:v>0.5</c:v>
                </c:pt>
                <c:pt idx="2">
                  <c:v>0.5</c:v>
                </c:pt>
                <c:pt idx="3">
                  <c:v>0.5</c:v>
                </c:pt>
                <c:pt idx="4">
                  <c:v>0.5</c:v>
                </c:pt>
                <c:pt idx="5">
                  <c:v>0.5</c:v>
                </c:pt>
                <c:pt idx="6">
                  <c:v>0.5</c:v>
                </c:pt>
                <c:pt idx="7">
                  <c:v>0.5</c:v>
                </c:pt>
                <c:pt idx="8">
                  <c:v>0.5</c:v>
                </c:pt>
                <c:pt idx="9">
                  <c:v>0.52</c:v>
                </c:pt>
                <c:pt idx="10">
                  <c:v>0.52</c:v>
                </c:pt>
                <c:pt idx="11">
                  <c:v>0.52</c:v>
                </c:pt>
                <c:pt idx="12">
                  <c:v>0.52</c:v>
                </c:pt>
                <c:pt idx="13">
                  <c:v>0.5</c:v>
                </c:pt>
                <c:pt idx="14">
                  <c:v>0.5</c:v>
                </c:pt>
                <c:pt idx="15">
                  <c:v>0.5</c:v>
                </c:pt>
                <c:pt idx="16">
                  <c:v>0.5</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1-4628-4655-98BE-89B62E481268}"/>
            </c:ext>
          </c:extLst>
        </c:ser>
        <c:ser>
          <c:idx val="2"/>
          <c:order val="2"/>
          <c:tx>
            <c:strRef>
              <c:f>Schedules!$E$33</c:f>
              <c:strCache>
                <c:ptCount val="1"/>
                <c:pt idx="0">
                  <c:v>Sunday</c:v>
                </c:pt>
              </c:strCache>
            </c:strRef>
          </c:tx>
          <c:spPr>
            <a:ln w="28575" cap="rnd">
              <a:solidFill>
                <a:schemeClr val="accent3"/>
              </a:solidFill>
              <a:round/>
            </a:ln>
            <a:effectLst/>
          </c:spPr>
          <c:marker>
            <c:symbol val="none"/>
          </c:marker>
          <c:val>
            <c:numRef>
              <c:f>Schedules!$F$33:$AC$33</c:f>
              <c:numCache>
                <c:formatCode>0.00</c:formatCode>
                <c:ptCount val="24"/>
                <c:pt idx="0">
                  <c:v>0.5</c:v>
                </c:pt>
                <c:pt idx="1">
                  <c:v>0.5</c:v>
                </c:pt>
                <c:pt idx="2">
                  <c:v>0.5</c:v>
                </c:pt>
                <c:pt idx="3">
                  <c:v>0.5</c:v>
                </c:pt>
                <c:pt idx="4">
                  <c:v>0.5</c:v>
                </c:pt>
                <c:pt idx="5">
                  <c:v>0.5</c:v>
                </c:pt>
                <c:pt idx="6">
                  <c:v>0.5</c:v>
                </c:pt>
                <c:pt idx="7">
                  <c:v>0.5</c:v>
                </c:pt>
                <c:pt idx="8">
                  <c:v>0.5</c:v>
                </c:pt>
                <c:pt idx="9">
                  <c:v>0.52</c:v>
                </c:pt>
                <c:pt idx="10">
                  <c:v>0.52</c:v>
                </c:pt>
                <c:pt idx="11">
                  <c:v>0.52</c:v>
                </c:pt>
                <c:pt idx="12">
                  <c:v>0.52</c:v>
                </c:pt>
                <c:pt idx="13">
                  <c:v>0.5</c:v>
                </c:pt>
                <c:pt idx="14">
                  <c:v>0.5</c:v>
                </c:pt>
                <c:pt idx="15">
                  <c:v>0.5</c:v>
                </c:pt>
                <c:pt idx="16">
                  <c:v>0.5</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2-4628-4655-98BE-89B62E48126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0.8"/>
          <c:min val="0.4"/>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Lab Exhaust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Schedules!$E$34</c:f>
              <c:strCache>
                <c:ptCount val="1"/>
                <c:pt idx="0">
                  <c:v>Weekday</c:v>
                </c:pt>
              </c:strCache>
            </c:strRef>
          </c:tx>
          <c:spPr>
            <a:ln w="28575" cap="rnd">
              <a:solidFill>
                <a:schemeClr val="accent1"/>
              </a:solidFill>
              <a:round/>
            </a:ln>
            <a:effectLst/>
          </c:spPr>
          <c:marker>
            <c:symbol val="none"/>
          </c:marker>
          <c:val>
            <c:numRef>
              <c:f>Schedules!$F$34:$AC$34</c:f>
              <c:numCache>
                <c:formatCode>0.00</c:formatCode>
                <c:ptCount val="24"/>
                <c:pt idx="0">
                  <c:v>0.2</c:v>
                </c:pt>
                <c:pt idx="1">
                  <c:v>0.2</c:v>
                </c:pt>
                <c:pt idx="2">
                  <c:v>0.2</c:v>
                </c:pt>
                <c:pt idx="3">
                  <c:v>0.2</c:v>
                </c:pt>
                <c:pt idx="4">
                  <c:v>0.2</c:v>
                </c:pt>
                <c:pt idx="5">
                  <c:v>0.2</c:v>
                </c:pt>
                <c:pt idx="6">
                  <c:v>0.2</c:v>
                </c:pt>
                <c:pt idx="7">
                  <c:v>0.21</c:v>
                </c:pt>
                <c:pt idx="8">
                  <c:v>0.22</c:v>
                </c:pt>
                <c:pt idx="9">
                  <c:v>0.33</c:v>
                </c:pt>
                <c:pt idx="10">
                  <c:v>0.33</c:v>
                </c:pt>
                <c:pt idx="11">
                  <c:v>0.26</c:v>
                </c:pt>
                <c:pt idx="12">
                  <c:v>0.26</c:v>
                </c:pt>
                <c:pt idx="13">
                  <c:v>0.33</c:v>
                </c:pt>
                <c:pt idx="14">
                  <c:v>0.33</c:v>
                </c:pt>
                <c:pt idx="15">
                  <c:v>0.33</c:v>
                </c:pt>
                <c:pt idx="16">
                  <c:v>0.33</c:v>
                </c:pt>
                <c:pt idx="17">
                  <c:v>0.33</c:v>
                </c:pt>
                <c:pt idx="18">
                  <c:v>0.24</c:v>
                </c:pt>
                <c:pt idx="19">
                  <c:v>0.21</c:v>
                </c:pt>
                <c:pt idx="20">
                  <c:v>0.21</c:v>
                </c:pt>
                <c:pt idx="21">
                  <c:v>0.21</c:v>
                </c:pt>
                <c:pt idx="22">
                  <c:v>0.2</c:v>
                </c:pt>
                <c:pt idx="23">
                  <c:v>0.2</c:v>
                </c:pt>
              </c:numCache>
            </c:numRef>
          </c:val>
          <c:smooth val="0"/>
          <c:extLst>
            <c:ext xmlns:c16="http://schemas.microsoft.com/office/drawing/2014/chart" uri="{C3380CC4-5D6E-409C-BE32-E72D297353CC}">
              <c16:uniqueId val="{00000000-7802-45F1-A8F3-3D71F337625D}"/>
            </c:ext>
          </c:extLst>
        </c:ser>
        <c:ser>
          <c:idx val="1"/>
          <c:order val="1"/>
          <c:tx>
            <c:strRef>
              <c:f>Schedules!$E$35</c:f>
              <c:strCache>
                <c:ptCount val="1"/>
                <c:pt idx="0">
                  <c:v>Saturday</c:v>
                </c:pt>
              </c:strCache>
            </c:strRef>
          </c:tx>
          <c:spPr>
            <a:ln w="28575" cap="rnd">
              <a:solidFill>
                <a:schemeClr val="accent2"/>
              </a:solidFill>
              <a:round/>
            </a:ln>
            <a:effectLst/>
          </c:spPr>
          <c:marker>
            <c:symbol val="none"/>
          </c:marker>
          <c:val>
            <c:numRef>
              <c:f>Schedules!$F$35:$AC$35</c:f>
              <c:numCache>
                <c:formatCode>0.00</c:formatCode>
                <c:ptCount val="24"/>
                <c:pt idx="0">
                  <c:v>0.2</c:v>
                </c:pt>
                <c:pt idx="1">
                  <c:v>0.2</c:v>
                </c:pt>
                <c:pt idx="2">
                  <c:v>0.2</c:v>
                </c:pt>
                <c:pt idx="3">
                  <c:v>0.2</c:v>
                </c:pt>
                <c:pt idx="4">
                  <c:v>0.2</c:v>
                </c:pt>
                <c:pt idx="5">
                  <c:v>0.2</c:v>
                </c:pt>
                <c:pt idx="6">
                  <c:v>0.2</c:v>
                </c:pt>
                <c:pt idx="7">
                  <c:v>0.21</c:v>
                </c:pt>
                <c:pt idx="8">
                  <c:v>0.21</c:v>
                </c:pt>
                <c:pt idx="9">
                  <c:v>0.24</c:v>
                </c:pt>
                <c:pt idx="10">
                  <c:v>0.24</c:v>
                </c:pt>
                <c:pt idx="11">
                  <c:v>0.24</c:v>
                </c:pt>
                <c:pt idx="12">
                  <c:v>0.24</c:v>
                </c:pt>
                <c:pt idx="13">
                  <c:v>0.21</c:v>
                </c:pt>
                <c:pt idx="14">
                  <c:v>0.21</c:v>
                </c:pt>
                <c:pt idx="15">
                  <c:v>0.21</c:v>
                </c:pt>
                <c:pt idx="16">
                  <c:v>0.21</c:v>
                </c:pt>
                <c:pt idx="17">
                  <c:v>0.21</c:v>
                </c:pt>
                <c:pt idx="18">
                  <c:v>0.2</c:v>
                </c:pt>
                <c:pt idx="19">
                  <c:v>0.2</c:v>
                </c:pt>
                <c:pt idx="20">
                  <c:v>0.2</c:v>
                </c:pt>
                <c:pt idx="21">
                  <c:v>0.2</c:v>
                </c:pt>
                <c:pt idx="22">
                  <c:v>0.2</c:v>
                </c:pt>
                <c:pt idx="23">
                  <c:v>0.2</c:v>
                </c:pt>
              </c:numCache>
            </c:numRef>
          </c:val>
          <c:smooth val="0"/>
          <c:extLst>
            <c:ext xmlns:c16="http://schemas.microsoft.com/office/drawing/2014/chart" uri="{C3380CC4-5D6E-409C-BE32-E72D297353CC}">
              <c16:uniqueId val="{00000001-7802-45F1-A8F3-3D71F337625D}"/>
            </c:ext>
          </c:extLst>
        </c:ser>
        <c:ser>
          <c:idx val="2"/>
          <c:order val="2"/>
          <c:tx>
            <c:strRef>
              <c:f>Schedules!$E$36</c:f>
              <c:strCache>
                <c:ptCount val="1"/>
                <c:pt idx="0">
                  <c:v>Sunday</c:v>
                </c:pt>
              </c:strCache>
            </c:strRef>
          </c:tx>
          <c:spPr>
            <a:ln w="28575" cap="rnd">
              <a:solidFill>
                <a:schemeClr val="accent3"/>
              </a:solidFill>
              <a:round/>
            </a:ln>
            <a:effectLst/>
          </c:spPr>
          <c:marker>
            <c:symbol val="none"/>
          </c:marker>
          <c:val>
            <c:numRef>
              <c:f>Schedules!$F$36:$AC$36</c:f>
              <c:numCache>
                <c:formatCode>0.00</c:formatCode>
                <c:ptCount val="24"/>
                <c:pt idx="0">
                  <c:v>0.2</c:v>
                </c:pt>
                <c:pt idx="1">
                  <c:v>0.2</c:v>
                </c:pt>
                <c:pt idx="2">
                  <c:v>0.2</c:v>
                </c:pt>
                <c:pt idx="3">
                  <c:v>0.2</c:v>
                </c:pt>
                <c:pt idx="4">
                  <c:v>0.2</c:v>
                </c:pt>
                <c:pt idx="5">
                  <c:v>0.2</c:v>
                </c:pt>
                <c:pt idx="6">
                  <c:v>0.2</c:v>
                </c:pt>
                <c:pt idx="7">
                  <c:v>0.21</c:v>
                </c:pt>
                <c:pt idx="8">
                  <c:v>0.21</c:v>
                </c:pt>
                <c:pt idx="9">
                  <c:v>0.24</c:v>
                </c:pt>
                <c:pt idx="10">
                  <c:v>0.24</c:v>
                </c:pt>
                <c:pt idx="11">
                  <c:v>0.24</c:v>
                </c:pt>
                <c:pt idx="12">
                  <c:v>0.24</c:v>
                </c:pt>
                <c:pt idx="13">
                  <c:v>0.21</c:v>
                </c:pt>
                <c:pt idx="14">
                  <c:v>0.21</c:v>
                </c:pt>
                <c:pt idx="15">
                  <c:v>0.21</c:v>
                </c:pt>
                <c:pt idx="16">
                  <c:v>0.21</c:v>
                </c:pt>
                <c:pt idx="17">
                  <c:v>0.21</c:v>
                </c:pt>
                <c:pt idx="18">
                  <c:v>0.2</c:v>
                </c:pt>
                <c:pt idx="19">
                  <c:v>0.2</c:v>
                </c:pt>
                <c:pt idx="20">
                  <c:v>0.2</c:v>
                </c:pt>
                <c:pt idx="21">
                  <c:v>0.2</c:v>
                </c:pt>
                <c:pt idx="22">
                  <c:v>0.2</c:v>
                </c:pt>
                <c:pt idx="23">
                  <c:v>0.2</c:v>
                </c:pt>
              </c:numCache>
            </c:numRef>
          </c:val>
          <c:smooth val="0"/>
          <c:extLst>
            <c:ext xmlns:c16="http://schemas.microsoft.com/office/drawing/2014/chart" uri="{C3380CC4-5D6E-409C-BE32-E72D297353CC}">
              <c16:uniqueId val="{00000002-7802-45F1-A8F3-3D71F337625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Occupancy</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[3]Schedules!$D$30</c:f>
              <c:strCache>
                <c:ptCount val="1"/>
                <c:pt idx="0">
                  <c:v>Weekday</c:v>
                </c:pt>
              </c:strCache>
            </c:strRef>
          </c:tx>
          <c:spPr>
            <a:ln w="28575" cap="rnd">
              <a:solidFill>
                <a:schemeClr val="accent1"/>
              </a:solidFill>
              <a:round/>
            </a:ln>
            <a:effectLst/>
          </c:spPr>
          <c:marker>
            <c:symbol val="none"/>
          </c:marker>
          <c:val>
            <c:numRef>
              <c:f>[3]Schedules!$E$30:$AB$30</c:f>
              <c:numCache>
                <c:formatCode>General</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c:v>
                </c:pt>
              </c:numCache>
            </c:numRef>
          </c:val>
          <c:smooth val="0"/>
          <c:extLst>
            <c:ext xmlns:c16="http://schemas.microsoft.com/office/drawing/2014/chart" uri="{C3380CC4-5D6E-409C-BE32-E72D297353CC}">
              <c16:uniqueId val="{00000000-F676-415A-BF87-A4BF08F7481A}"/>
            </c:ext>
          </c:extLst>
        </c:ser>
        <c:ser>
          <c:idx val="1"/>
          <c:order val="1"/>
          <c:tx>
            <c:strRef>
              <c:f>[3]Schedules!$D$31</c:f>
              <c:strCache>
                <c:ptCount val="1"/>
                <c:pt idx="0">
                  <c:v>Saturday</c:v>
                </c:pt>
              </c:strCache>
            </c:strRef>
          </c:tx>
          <c:spPr>
            <a:ln w="28575" cap="rnd">
              <a:solidFill>
                <a:schemeClr val="accent2"/>
              </a:solidFill>
              <a:round/>
            </a:ln>
            <a:effectLst/>
          </c:spPr>
          <c:marker>
            <c:symbol val="none"/>
          </c:marker>
          <c:val>
            <c:numRef>
              <c:f>[3]Schedules!$E$31:$AB$31</c:f>
              <c:numCache>
                <c:formatCode>General</c:formatCode>
                <c:ptCount val="24"/>
                <c:pt idx="0">
                  <c:v>0</c:v>
                </c:pt>
                <c:pt idx="1">
                  <c:v>0</c:v>
                </c:pt>
                <c:pt idx="2">
                  <c:v>0</c:v>
                </c:pt>
                <c:pt idx="3">
                  <c:v>0</c:v>
                </c:pt>
                <c:pt idx="4">
                  <c:v>0</c:v>
                </c:pt>
                <c:pt idx="5">
                  <c:v>0</c:v>
                </c:pt>
                <c:pt idx="6">
                  <c:v>0.1</c:v>
                </c:pt>
                <c:pt idx="7">
                  <c:v>0.1</c:v>
                </c:pt>
                <c:pt idx="8">
                  <c:v>0.3</c:v>
                </c:pt>
                <c:pt idx="9">
                  <c:v>0.3</c:v>
                </c:pt>
                <c:pt idx="10">
                  <c:v>0.3</c:v>
                </c:pt>
                <c:pt idx="11">
                  <c:v>0.3</c:v>
                </c:pt>
                <c:pt idx="12">
                  <c:v>0.1</c:v>
                </c:pt>
                <c:pt idx="13">
                  <c:v>0.1</c:v>
                </c:pt>
                <c:pt idx="14">
                  <c:v>0.1</c:v>
                </c:pt>
                <c:pt idx="15">
                  <c:v>0.1</c:v>
                </c:pt>
                <c:pt idx="16">
                  <c:v>0.1</c:v>
                </c:pt>
                <c:pt idx="17">
                  <c:v>0.05</c:v>
                </c:pt>
                <c:pt idx="18">
                  <c:v>0.05</c:v>
                </c:pt>
                <c:pt idx="19">
                  <c:v>0</c:v>
                </c:pt>
                <c:pt idx="20">
                  <c:v>0</c:v>
                </c:pt>
                <c:pt idx="21">
                  <c:v>0</c:v>
                </c:pt>
                <c:pt idx="22">
                  <c:v>0</c:v>
                </c:pt>
                <c:pt idx="23">
                  <c:v>0</c:v>
                </c:pt>
              </c:numCache>
            </c:numRef>
          </c:val>
          <c:smooth val="0"/>
          <c:extLst>
            <c:ext xmlns:c16="http://schemas.microsoft.com/office/drawing/2014/chart" uri="{C3380CC4-5D6E-409C-BE32-E72D297353CC}">
              <c16:uniqueId val="{00000001-F676-415A-BF87-A4BF08F7481A}"/>
            </c:ext>
          </c:extLst>
        </c:ser>
        <c:ser>
          <c:idx val="2"/>
          <c:order val="2"/>
          <c:tx>
            <c:strRef>
              <c:f>[3]Schedules!$D$32</c:f>
              <c:strCache>
                <c:ptCount val="1"/>
                <c:pt idx="0">
                  <c:v>Sunday</c:v>
                </c:pt>
              </c:strCache>
            </c:strRef>
          </c:tx>
          <c:spPr>
            <a:ln w="28575" cap="rnd">
              <a:solidFill>
                <a:schemeClr val="accent3"/>
              </a:solidFill>
              <a:round/>
            </a:ln>
            <a:effectLst/>
          </c:spPr>
          <c:marker>
            <c:symbol val="none"/>
          </c:marker>
          <c:val>
            <c:numRef>
              <c:f>[3]Schedules!$E$32:$AB$32</c:f>
              <c:numCache>
                <c:formatCode>General</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F676-415A-BF87-A4BF08F7481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[3]Schedules!$D$33</c:f>
              <c:strCache>
                <c:ptCount val="1"/>
                <c:pt idx="0">
                  <c:v>Weekday</c:v>
                </c:pt>
              </c:strCache>
            </c:strRef>
          </c:tx>
          <c:spPr>
            <a:ln w="28575" cap="rnd">
              <a:solidFill>
                <a:schemeClr val="accent1"/>
              </a:solidFill>
              <a:round/>
            </a:ln>
            <a:effectLst/>
          </c:spPr>
          <c:marker>
            <c:symbol val="none"/>
          </c:marker>
          <c:val>
            <c:numRef>
              <c:f>[3]Schedules!$E$33:$AB$33</c:f>
              <c:numCache>
                <c:formatCode>General</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16D8-4A03-BF56-7E97964B4807}"/>
            </c:ext>
          </c:extLst>
        </c:ser>
        <c:ser>
          <c:idx val="1"/>
          <c:order val="1"/>
          <c:tx>
            <c:strRef>
              <c:f>[3]Schedules!$D$34</c:f>
              <c:strCache>
                <c:ptCount val="1"/>
                <c:pt idx="0">
                  <c:v>Saturday</c:v>
                </c:pt>
              </c:strCache>
            </c:strRef>
          </c:tx>
          <c:spPr>
            <a:ln w="28575" cap="rnd">
              <a:solidFill>
                <a:schemeClr val="accent2"/>
              </a:solidFill>
              <a:round/>
            </a:ln>
            <a:effectLst/>
          </c:spPr>
          <c:marker>
            <c:symbol val="none"/>
          </c:marker>
          <c:val>
            <c:numRef>
              <c:f>[3]Schedules!$E$34:$AB$34</c:f>
              <c:numCache>
                <c:formatCode>General</c:formatCode>
                <c:ptCount val="24"/>
                <c:pt idx="0">
                  <c:v>0.05</c:v>
                </c:pt>
                <c:pt idx="1">
                  <c:v>0.05</c:v>
                </c:pt>
                <c:pt idx="2">
                  <c:v>0.05</c:v>
                </c:pt>
                <c:pt idx="3">
                  <c:v>0.05</c:v>
                </c:pt>
                <c:pt idx="4">
                  <c:v>0.05</c:v>
                </c:pt>
                <c:pt idx="5">
                  <c:v>0.05</c:v>
                </c:pt>
                <c:pt idx="6">
                  <c:v>0.1</c:v>
                </c:pt>
                <c:pt idx="7">
                  <c:v>0.1</c:v>
                </c:pt>
                <c:pt idx="8">
                  <c:v>0.3</c:v>
                </c:pt>
                <c:pt idx="9">
                  <c:v>0.3</c:v>
                </c:pt>
                <c:pt idx="10">
                  <c:v>0.3</c:v>
                </c:pt>
                <c:pt idx="11">
                  <c:v>0.3</c:v>
                </c:pt>
                <c:pt idx="12">
                  <c:v>0.15</c:v>
                </c:pt>
                <c:pt idx="13">
                  <c:v>0.15</c:v>
                </c:pt>
                <c:pt idx="14">
                  <c:v>0.15</c:v>
                </c:pt>
                <c:pt idx="15">
                  <c:v>0.15</c:v>
                </c:pt>
                <c:pt idx="16">
                  <c:v>0.15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16D8-4A03-BF56-7E97964B4807}"/>
            </c:ext>
          </c:extLst>
        </c:ser>
        <c:ser>
          <c:idx val="2"/>
          <c:order val="2"/>
          <c:tx>
            <c:strRef>
              <c:f>[3]Schedules!$D$35</c:f>
              <c:strCache>
                <c:ptCount val="1"/>
                <c:pt idx="0">
                  <c:v>Sunday</c:v>
                </c:pt>
              </c:strCache>
            </c:strRef>
          </c:tx>
          <c:spPr>
            <a:ln w="28575" cap="rnd">
              <a:solidFill>
                <a:schemeClr val="accent3"/>
              </a:solidFill>
              <a:round/>
            </a:ln>
            <a:effectLst/>
          </c:spPr>
          <c:marker>
            <c:symbol val="none"/>
          </c:marker>
          <c:val>
            <c:numRef>
              <c:f>[3]Schedules!$E$35:$AB$35</c:f>
              <c:numCache>
                <c:formatCode>General</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16D8-4A03-BF56-7E97964B480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Schedules!$E$50</c:f>
              <c:strCache>
                <c:ptCount val="1"/>
                <c:pt idx="0">
                  <c:v>Weekday</c:v>
                </c:pt>
              </c:strCache>
            </c:strRef>
          </c:tx>
          <c:spPr>
            <a:ln w="28575" cap="rnd">
              <a:solidFill>
                <a:schemeClr val="accent1"/>
              </a:solidFill>
              <a:round/>
            </a:ln>
            <a:effectLst/>
          </c:spPr>
          <c:marker>
            <c:symbol val="none"/>
          </c:marker>
          <c:val>
            <c:numRef>
              <c:f>Schedules!$F$50:$AC$50</c:f>
              <c:numCache>
                <c:formatCode>0.00</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7A0C-449D-BB0E-5A255186181E}"/>
            </c:ext>
          </c:extLst>
        </c:ser>
        <c:ser>
          <c:idx val="1"/>
          <c:order val="1"/>
          <c:tx>
            <c:strRef>
              <c:f>Schedules!$E$51</c:f>
              <c:strCache>
                <c:ptCount val="1"/>
                <c:pt idx="0">
                  <c:v>Saturday</c:v>
                </c:pt>
              </c:strCache>
            </c:strRef>
          </c:tx>
          <c:spPr>
            <a:ln w="28575" cap="rnd">
              <a:solidFill>
                <a:schemeClr val="accent2"/>
              </a:solidFill>
              <a:round/>
            </a:ln>
            <a:effectLst/>
          </c:spPr>
          <c:marker>
            <c:symbol val="none"/>
          </c:marker>
          <c:val>
            <c:numRef>
              <c:f>Schedules!$F$51:$AC$51</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7A0C-449D-BB0E-5A255186181E}"/>
            </c:ext>
          </c:extLst>
        </c:ser>
        <c:ser>
          <c:idx val="2"/>
          <c:order val="2"/>
          <c:tx>
            <c:strRef>
              <c:f>Schedules!$E$52</c:f>
              <c:strCache>
                <c:ptCount val="1"/>
                <c:pt idx="0">
                  <c:v>Sunday</c:v>
                </c:pt>
              </c:strCache>
            </c:strRef>
          </c:tx>
          <c:spPr>
            <a:ln w="28575" cap="rnd">
              <a:solidFill>
                <a:schemeClr val="accent3"/>
              </a:solidFill>
              <a:round/>
            </a:ln>
            <a:effectLst/>
          </c:spPr>
          <c:marker>
            <c:symbol val="none"/>
          </c:marker>
          <c:val>
            <c:numRef>
              <c:f>Schedules!$F$52:$AC$52</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7A0C-449D-BB0E-5A255186181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Laboratory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101.47500000000001</c:v>
                </c:pt>
                <c:pt idx="1">
                  <c:v>101.47500000000001</c:v>
                </c:pt>
                <c:pt idx="2">
                  <c:v>101.47500000000001</c:v>
                </c:pt>
                <c:pt idx="3">
                  <c:v>101.47500000000001</c:v>
                </c:pt>
                <c:pt idx="4">
                  <c:v>101.47500000000001</c:v>
                </c:pt>
                <c:pt idx="5">
                  <c:v>101.47500000000001</c:v>
                </c:pt>
                <c:pt idx="6">
                  <c:v>101.47500000000001</c:v>
                </c:pt>
                <c:pt idx="7">
                  <c:v>101.47500000000001</c:v>
                </c:pt>
                <c:pt idx="8">
                  <c:v>101.47500000000001</c:v>
                </c:pt>
                <c:pt idx="9">
                  <c:v>101.47500000000001</c:v>
                </c:pt>
                <c:pt idx="10">
                  <c:v>101.47500000000001</c:v>
                </c:pt>
                <c:pt idx="11">
                  <c:v>101.47500000000001</c:v>
                </c:pt>
                <c:pt idx="12">
                  <c:v>101.47500000000001</c:v>
                </c:pt>
                <c:pt idx="13">
                  <c:v>101.47500000000001</c:v>
                </c:pt>
                <c:pt idx="14">
                  <c:v>101.47500000000001</c:v>
                </c:pt>
                <c:pt idx="15">
                  <c:v>101.47500000000001</c:v>
                </c:pt>
              </c:numCache>
            </c:numRef>
          </c:val>
          <c:extLst>
            <c:ext xmlns:c16="http://schemas.microsoft.com/office/drawing/2014/chart" uri="{C3380CC4-5D6E-409C-BE32-E72D297353CC}">
              <c16:uniqueId val="{00000000-2F9C-4D03-8A05-D5FB094A654E}"/>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67.649999999999991</c:v>
                </c:pt>
                <c:pt idx="1">
                  <c:v>67.649999999999991</c:v>
                </c:pt>
                <c:pt idx="2">
                  <c:v>67.649999999999991</c:v>
                </c:pt>
                <c:pt idx="3">
                  <c:v>67.649999999999991</c:v>
                </c:pt>
                <c:pt idx="4">
                  <c:v>67.649999999999991</c:v>
                </c:pt>
                <c:pt idx="5">
                  <c:v>67.649999999999991</c:v>
                </c:pt>
                <c:pt idx="6">
                  <c:v>67.649999999999991</c:v>
                </c:pt>
                <c:pt idx="7">
                  <c:v>67.649999999999991</c:v>
                </c:pt>
                <c:pt idx="8">
                  <c:v>67.649999999999991</c:v>
                </c:pt>
                <c:pt idx="9">
                  <c:v>67.649999999999991</c:v>
                </c:pt>
                <c:pt idx="10">
                  <c:v>67.649999999999991</c:v>
                </c:pt>
                <c:pt idx="11">
                  <c:v>67.649999999999991</c:v>
                </c:pt>
                <c:pt idx="12">
                  <c:v>67.649999999999991</c:v>
                </c:pt>
                <c:pt idx="13">
                  <c:v>67.649999999999991</c:v>
                </c:pt>
                <c:pt idx="14">
                  <c:v>67.649999999999991</c:v>
                </c:pt>
                <c:pt idx="15">
                  <c:v>67.649999999999991</c:v>
                </c:pt>
              </c:numCache>
            </c:numRef>
          </c:val>
          <c:extLst>
            <c:ext xmlns:c16="http://schemas.microsoft.com/office/drawing/2014/chart" uri="{C3380CC4-5D6E-409C-BE32-E72D297353CC}">
              <c16:uniqueId val="{00000001-2F9C-4D03-8A05-D5FB094A654E}"/>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pt idx="0">
                  <c:v>124.05499999999999</c:v>
                </c:pt>
                <c:pt idx="1">
                  <c:v>123.19499999999999</c:v>
                </c:pt>
                <c:pt idx="2">
                  <c:v>111.33</c:v>
                </c:pt>
                <c:pt idx="3">
                  <c:v>124.2175</c:v>
                </c:pt>
                <c:pt idx="4">
                  <c:v>114.75</c:v>
                </c:pt>
                <c:pt idx="5">
                  <c:v>104.4975</c:v>
                </c:pt>
                <c:pt idx="6">
                  <c:v>104.05999999999999</c:v>
                </c:pt>
                <c:pt idx="7">
                  <c:v>110.52</c:v>
                </c:pt>
                <c:pt idx="8">
                  <c:v>111.21250000000001</c:v>
                </c:pt>
                <c:pt idx="9">
                  <c:v>113.1</c:v>
                </c:pt>
                <c:pt idx="10">
                  <c:v>125.64250000000001</c:v>
                </c:pt>
                <c:pt idx="11">
                  <c:v>120.76</c:v>
                </c:pt>
                <c:pt idx="12">
                  <c:v>120.52500000000001</c:v>
                </c:pt>
                <c:pt idx="13">
                  <c:v>125.285</c:v>
                </c:pt>
                <c:pt idx="14">
                  <c:v>120.76249999999999</c:v>
                </c:pt>
                <c:pt idx="15">
                  <c:v>125.965</c:v>
                </c:pt>
              </c:numCache>
            </c:numRef>
          </c:yVal>
          <c:smooth val="0"/>
          <c:extLst>
            <c:ext xmlns:c16="http://schemas.microsoft.com/office/drawing/2014/chart" uri="{C3380CC4-5D6E-409C-BE32-E72D297353CC}">
              <c16:uniqueId val="{00000002-2F9C-4D03-8A05-D5FB094A654E}"/>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pt idx="0">
                  <c:v>76.599999999999994</c:v>
                </c:pt>
                <c:pt idx="1">
                  <c:v>81</c:v>
                </c:pt>
                <c:pt idx="2">
                  <c:v>75.64</c:v>
                </c:pt>
                <c:pt idx="3">
                  <c:v>85.07</c:v>
                </c:pt>
                <c:pt idx="4">
                  <c:v>76.41</c:v>
                </c:pt>
                <c:pt idx="5">
                  <c:v>76.67</c:v>
                </c:pt>
                <c:pt idx="6">
                  <c:v>76.77</c:v>
                </c:pt>
                <c:pt idx="7">
                  <c:v>81.539999999999992</c:v>
                </c:pt>
                <c:pt idx="8">
                  <c:v>81.8</c:v>
                </c:pt>
                <c:pt idx="9">
                  <c:v>84.47</c:v>
                </c:pt>
                <c:pt idx="10">
                  <c:v>88.28</c:v>
                </c:pt>
                <c:pt idx="11">
                  <c:v>83.240000000000009</c:v>
                </c:pt>
                <c:pt idx="12">
                  <c:v>87.81</c:v>
                </c:pt>
                <c:pt idx="13">
                  <c:v>90.45</c:v>
                </c:pt>
                <c:pt idx="14">
                  <c:v>96.57</c:v>
                </c:pt>
                <c:pt idx="15">
                  <c:v>91.02</c:v>
                </c:pt>
              </c:numCache>
            </c:numRef>
          </c:yVal>
          <c:smooth val="0"/>
          <c:extLst>
            <c:ext xmlns:c16="http://schemas.microsoft.com/office/drawing/2014/chart" uri="{C3380CC4-5D6E-409C-BE32-E72D297353CC}">
              <c16:uniqueId val="{00000003-2F9C-4D03-8A05-D5FB094A654E}"/>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1</xdr:col>
      <xdr:colOff>171450</xdr:colOff>
      <xdr:row>22</xdr:row>
      <xdr:rowOff>66675</xdr:rowOff>
    </xdr:from>
    <xdr:to>
      <xdr:col>2</xdr:col>
      <xdr:colOff>1314450</xdr:colOff>
      <xdr:row>33</xdr:row>
      <xdr:rowOff>76200</xdr:rowOff>
    </xdr:to>
    <xdr:pic>
      <xdr:nvPicPr>
        <xdr:cNvPr id="2" name="Picture 1">
          <a:extLst>
            <a:ext uri="{FF2B5EF4-FFF2-40B4-BE49-F238E27FC236}">
              <a16:creationId xmlns:a16="http://schemas.microsoft.com/office/drawing/2014/main" id="{F5C2B302-30A5-479F-81D6-AB535EF4FA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3638550"/>
          <a:ext cx="70294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1282561</xdr:colOff>
      <xdr:row>0</xdr:row>
      <xdr:rowOff>35035</xdr:rowOff>
    </xdr:from>
    <xdr:to>
      <xdr:col>13</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1325218</xdr:colOff>
      <xdr:row>0</xdr:row>
      <xdr:rowOff>67505</xdr:rowOff>
    </xdr:from>
    <xdr:to>
      <xdr:col>13</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12</xdr:col>
      <xdr:colOff>301466</xdr:colOff>
      <xdr:row>2</xdr:row>
      <xdr:rowOff>202405</xdr:rowOff>
    </xdr:from>
    <xdr:to>
      <xdr:col>15</xdr:col>
      <xdr:colOff>1078231</xdr:colOff>
      <xdr:row>17</xdr:row>
      <xdr:rowOff>126682</xdr:rowOff>
    </xdr:to>
    <xdr:pic>
      <xdr:nvPicPr>
        <xdr:cNvPr id="9" name="Picture 1">
          <a:extLst>
            <a:ext uri="{FF2B5EF4-FFF2-40B4-BE49-F238E27FC236}">
              <a16:creationId xmlns:a16="http://schemas.microsoft.com/office/drawing/2014/main" id="{44F18BD3-388D-3ED4-D34C-67A920D38596}"/>
            </a:ext>
          </a:extLst>
        </xdr:cNvPr>
        <xdr:cNvPicPr>
          <a:picLocks noChangeAspect="1"/>
        </xdr:cNvPicPr>
      </xdr:nvPicPr>
      <xdr:blipFill rotWithShape="1">
        <a:blip xmlns:r="http://schemas.openxmlformats.org/officeDocument/2006/relationships" r:embed="rId1"/>
        <a:srcRect l="8657" t="11713" r="10266" b="14929"/>
        <a:stretch>
          <a:fillRect/>
        </a:stretch>
      </xdr:blipFill>
      <xdr:spPr>
        <a:xfrm>
          <a:off x="15303341" y="1202530"/>
          <a:ext cx="4794410" cy="32104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453390</xdr:colOff>
      <xdr:row>51</xdr:row>
      <xdr:rowOff>7620</xdr:rowOff>
    </xdr:from>
    <xdr:to>
      <xdr:col>7</xdr:col>
      <xdr:colOff>34290</xdr:colOff>
      <xdr:row>63</xdr:row>
      <xdr:rowOff>174798</xdr:rowOff>
    </xdr:to>
    <xdr:pic>
      <xdr:nvPicPr>
        <xdr:cNvPr id="2" name="Picture 1">
          <a:extLst>
            <a:ext uri="{FF2B5EF4-FFF2-40B4-BE49-F238E27FC236}">
              <a16:creationId xmlns:a16="http://schemas.microsoft.com/office/drawing/2014/main" id="{AFEA444E-9695-43EF-A659-63F4DD3F1C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63515" y="9304020"/>
          <a:ext cx="7515225" cy="2342688"/>
        </a:xfrm>
        <a:prstGeom prst="rect">
          <a:avLst/>
        </a:prstGeom>
      </xdr:spPr>
    </xdr:pic>
    <xdr:clientData/>
  </xdr:twoCellAnchor>
  <xdr:twoCellAnchor editAs="oneCell">
    <xdr:from>
      <xdr:col>0</xdr:col>
      <xdr:colOff>64275</xdr:colOff>
      <xdr:row>47</xdr:row>
      <xdr:rowOff>87135</xdr:rowOff>
    </xdr:from>
    <xdr:to>
      <xdr:col>2</xdr:col>
      <xdr:colOff>550520</xdr:colOff>
      <xdr:row>78</xdr:row>
      <xdr:rowOff>91458</xdr:rowOff>
    </xdr:to>
    <xdr:pic>
      <xdr:nvPicPr>
        <xdr:cNvPr id="3" name="Picture 2">
          <a:extLst>
            <a:ext uri="{FF2B5EF4-FFF2-40B4-BE49-F238E27FC236}">
              <a16:creationId xmlns:a16="http://schemas.microsoft.com/office/drawing/2014/main" id="{B19D1045-9E71-456A-B218-18674A7C5C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4275" y="6282195"/>
          <a:ext cx="5435435" cy="59726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42334</xdr:colOff>
      <xdr:row>35</xdr:row>
      <xdr:rowOff>10583</xdr:rowOff>
    </xdr:from>
    <xdr:to>
      <xdr:col>1</xdr:col>
      <xdr:colOff>1920264</xdr:colOff>
      <xdr:row>51</xdr:row>
      <xdr:rowOff>1269</xdr:rowOff>
    </xdr:to>
    <xdr:pic>
      <xdr:nvPicPr>
        <xdr:cNvPr id="2" name="Picture 1">
          <a:extLst>
            <a:ext uri="{FF2B5EF4-FFF2-40B4-BE49-F238E27FC236}">
              <a16:creationId xmlns:a16="http://schemas.microsoft.com/office/drawing/2014/main" id="{AEB1AFCA-EA94-4BC1-8D8C-9F7ECC1A4A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334" y="9779000"/>
          <a:ext cx="4735430" cy="2692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29</xdr:col>
      <xdr:colOff>309562</xdr:colOff>
      <xdr:row>1</xdr:row>
      <xdr:rowOff>295606</xdr:rowOff>
    </xdr:from>
    <xdr:to>
      <xdr:col>36</xdr:col>
      <xdr:colOff>23812</xdr:colOff>
      <xdr:row>5</xdr:row>
      <xdr:rowOff>408249</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317591</xdr:colOff>
      <xdr:row>15</xdr:row>
      <xdr:rowOff>0</xdr:rowOff>
    </xdr:from>
    <xdr:to>
      <xdr:col>36</xdr:col>
      <xdr:colOff>22316</xdr:colOff>
      <xdr:row>17</xdr:row>
      <xdr:rowOff>416719</xdr:rowOff>
    </xdr:to>
    <xdr:graphicFrame macro="">
      <xdr:nvGraphicFramePr>
        <xdr:cNvPr id="3" name="Chart 5">
          <a:extLst>
            <a:ext uri="{FF2B5EF4-FFF2-40B4-BE49-F238E27FC236}">
              <a16:creationId xmlns:a16="http://schemas.microsoft.com/office/drawing/2014/main" id="{884648C1-6468-4333-AE0F-5CE56E487EB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4" name="Chart 5">
          <a:extLst>
            <a:ext uri="{FF2B5EF4-FFF2-40B4-BE49-F238E27FC236}">
              <a16:creationId xmlns:a16="http://schemas.microsoft.com/office/drawing/2014/main" id="{27D64350-4A7F-4D54-86AE-92FDC42BF73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322422</xdr:colOff>
      <xdr:row>11</xdr:row>
      <xdr:rowOff>445770</xdr:rowOff>
    </xdr:from>
    <xdr:to>
      <xdr:col>36</xdr:col>
      <xdr:colOff>36672</xdr:colOff>
      <xdr:row>14</xdr:row>
      <xdr:rowOff>445770</xdr:rowOff>
    </xdr:to>
    <xdr:graphicFrame macro="">
      <xdr:nvGraphicFramePr>
        <xdr:cNvPr id="5" name="Chart 5">
          <a:extLst>
            <a:ext uri="{FF2B5EF4-FFF2-40B4-BE49-F238E27FC236}">
              <a16:creationId xmlns:a16="http://schemas.microsoft.com/office/drawing/2014/main" id="{30DFB9F4-BE6F-4EEB-A7AF-A22CE2CE65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219075</xdr:colOff>
      <xdr:row>27</xdr:row>
      <xdr:rowOff>0</xdr:rowOff>
    </xdr:from>
    <xdr:to>
      <xdr:col>36</xdr:col>
      <xdr:colOff>57150</xdr:colOff>
      <xdr:row>30</xdr:row>
      <xdr:rowOff>19050</xdr:rowOff>
    </xdr:to>
    <xdr:graphicFrame macro="">
      <xdr:nvGraphicFramePr>
        <xdr:cNvPr id="6" name="Chart 5">
          <a:extLst>
            <a:ext uri="{FF2B5EF4-FFF2-40B4-BE49-F238E27FC236}">
              <a16:creationId xmlns:a16="http://schemas.microsoft.com/office/drawing/2014/main" id="{7B39A9DF-A694-432E-8DE3-84CF58EE363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209550</xdr:colOff>
      <xdr:row>30</xdr:row>
      <xdr:rowOff>9525</xdr:rowOff>
    </xdr:from>
    <xdr:to>
      <xdr:col>36</xdr:col>
      <xdr:colOff>47625</xdr:colOff>
      <xdr:row>33</xdr:row>
      <xdr:rowOff>28575</xdr:rowOff>
    </xdr:to>
    <xdr:graphicFrame macro="">
      <xdr:nvGraphicFramePr>
        <xdr:cNvPr id="7" name="Chart 6">
          <a:extLst>
            <a:ext uri="{FF2B5EF4-FFF2-40B4-BE49-F238E27FC236}">
              <a16:creationId xmlns:a16="http://schemas.microsoft.com/office/drawing/2014/main" id="{E4BE6AED-89C8-41D8-88B1-03E02A96DEB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209550</xdr:colOff>
      <xdr:row>32</xdr:row>
      <xdr:rowOff>447675</xdr:rowOff>
    </xdr:from>
    <xdr:to>
      <xdr:col>36</xdr:col>
      <xdr:colOff>47625</xdr:colOff>
      <xdr:row>43</xdr:row>
      <xdr:rowOff>9525</xdr:rowOff>
    </xdr:to>
    <xdr:graphicFrame macro="">
      <xdr:nvGraphicFramePr>
        <xdr:cNvPr id="8" name="Chart 7">
          <a:extLst>
            <a:ext uri="{FF2B5EF4-FFF2-40B4-BE49-F238E27FC236}">
              <a16:creationId xmlns:a16="http://schemas.microsoft.com/office/drawing/2014/main" id="{3DB5B2BD-5A63-4192-8BC0-DBF6A44CC0F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149269</xdr:colOff>
      <xdr:row>43</xdr:row>
      <xdr:rowOff>19118</xdr:rowOff>
    </xdr:from>
    <xdr:to>
      <xdr:col>36</xdr:col>
      <xdr:colOff>69532</xdr:colOff>
      <xdr:row>46</xdr:row>
      <xdr:rowOff>23812</xdr:rowOff>
    </xdr:to>
    <xdr:graphicFrame macro="">
      <xdr:nvGraphicFramePr>
        <xdr:cNvPr id="10" name="Chart 9">
          <a:extLst>
            <a:ext uri="{FF2B5EF4-FFF2-40B4-BE49-F238E27FC236}">
              <a16:creationId xmlns:a16="http://schemas.microsoft.com/office/drawing/2014/main" id="{56DA9D62-1356-4D01-B4BD-FF0C3844A41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158794</xdr:colOff>
      <xdr:row>46</xdr:row>
      <xdr:rowOff>20002</xdr:rowOff>
    </xdr:from>
    <xdr:to>
      <xdr:col>36</xdr:col>
      <xdr:colOff>73342</xdr:colOff>
      <xdr:row>49</xdr:row>
      <xdr:rowOff>20206</xdr:rowOff>
    </xdr:to>
    <xdr:graphicFrame macro="">
      <xdr:nvGraphicFramePr>
        <xdr:cNvPr id="11" name="Chart 10">
          <a:extLst>
            <a:ext uri="{FF2B5EF4-FFF2-40B4-BE49-F238E27FC236}">
              <a16:creationId xmlns:a16="http://schemas.microsoft.com/office/drawing/2014/main" id="{7E152DAA-8483-43EF-8FD6-104144BA17E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143080</xdr:colOff>
      <xdr:row>49</xdr:row>
      <xdr:rowOff>46197</xdr:rowOff>
    </xdr:from>
    <xdr:to>
      <xdr:col>36</xdr:col>
      <xdr:colOff>51913</xdr:colOff>
      <xdr:row>51</xdr:row>
      <xdr:rowOff>483054</xdr:rowOff>
    </xdr:to>
    <xdr:graphicFrame macro="">
      <xdr:nvGraphicFramePr>
        <xdr:cNvPr id="12" name="Chart 11">
          <a:extLst>
            <a:ext uri="{FF2B5EF4-FFF2-40B4-BE49-F238E27FC236}">
              <a16:creationId xmlns:a16="http://schemas.microsoft.com/office/drawing/2014/main" id="{82248AAC-0B2E-4991-982E-90209C9933F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24</xdr:col>
      <xdr:colOff>23813</xdr:colOff>
      <xdr:row>0</xdr:row>
      <xdr:rowOff>11907</xdr:rowOff>
    </xdr:from>
    <xdr:to>
      <xdr:col>40</xdr:col>
      <xdr:colOff>347664</xdr:colOff>
      <xdr:row>16</xdr:row>
      <xdr:rowOff>242888</xdr:rowOff>
    </xdr:to>
    <xdr:graphicFrame macro="">
      <xdr:nvGraphicFramePr>
        <xdr:cNvPr id="3" name="Chart 2">
          <a:extLst>
            <a:ext uri="{FF2B5EF4-FFF2-40B4-BE49-F238E27FC236}">
              <a16:creationId xmlns:a16="http://schemas.microsoft.com/office/drawing/2014/main" id="{B9C32D97-CF6B-47E3-9763-1E2BC662F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416718</xdr:colOff>
      <xdr:row>20</xdr:row>
      <xdr:rowOff>11906</xdr:rowOff>
    </xdr:from>
    <xdr:to>
      <xdr:col>7</xdr:col>
      <xdr:colOff>406716</xdr:colOff>
      <xdr:row>58</xdr:row>
      <xdr:rowOff>12440</xdr:rowOff>
    </xdr:to>
    <xdr:pic>
      <xdr:nvPicPr>
        <xdr:cNvPr id="2" name="Picture 1">
          <a:extLst>
            <a:ext uri="{FF2B5EF4-FFF2-40B4-BE49-F238E27FC236}">
              <a16:creationId xmlns:a16="http://schemas.microsoft.com/office/drawing/2014/main" id="{7C60B961-0B31-7B36-CACB-E3C27A9A914D}"/>
            </a:ext>
          </a:extLst>
        </xdr:cNvPr>
        <xdr:cNvPicPr>
          <a:picLocks noChangeAspect="1"/>
        </xdr:cNvPicPr>
      </xdr:nvPicPr>
      <xdr:blipFill>
        <a:blip xmlns:r="http://schemas.openxmlformats.org/officeDocument/2006/relationships" r:embed="rId2"/>
        <a:stretch>
          <a:fillRect/>
        </a:stretch>
      </xdr:blipFill>
      <xdr:spPr>
        <a:xfrm>
          <a:off x="416718" y="5298281"/>
          <a:ext cx="8741092" cy="633465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arcglgov.sharepoint.com/sites/NYStretchCoordination/Shared%20Documents/Prototypes/Prototypes/Scorecards/Archive/HotelLarge_Prototype_Scorecard_3Oct2025.xlsx" TargetMode="External"/><Relationship Id="rId1" Type="http://schemas.openxmlformats.org/officeDocument/2006/relationships/externalLinkPath" Target="Archive/HotelLarge_Prototype_Scorecard_3Oct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Prj_SUS\2023\S23668%20SCE%20CA%20Prototypes%20Development\Technical\NR\Laboratory\Lab_Prototype_Scorecard_REV4.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carcglgov.sharepoint.com/sites/NYStretchCoordination/Shared%20Documents/Prototypes/Prototypes/Scorecards/Outpatent_Prototype_Scorecard-14Aug2025.xlsx" TargetMode="External"/><Relationship Id="rId1" Type="http://schemas.openxmlformats.org/officeDocument/2006/relationships/externalLinkPath" Target="Outpatent_Prototype_Scorecard-14Aug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Prototype"/>
      <sheetName val="Zones"/>
      <sheetName val="HVAC System"/>
      <sheetName val="Envelope"/>
      <sheetName val="Heating-No area used to convert"/>
      <sheetName val="Thermostat"/>
      <sheetName val="Ventilation"/>
      <sheetName val="Water Heater"/>
      <sheetName val="Cooking Euipment"/>
      <sheetName val="Air compressor"/>
      <sheetName val="Refrigerated"/>
      <sheetName val="Interior Lights"/>
      <sheetName val="Occupnacy"/>
      <sheetName val="Ext Lighting"/>
      <sheetName val="Equipment"/>
      <sheetName val="Schedules"/>
      <sheetName val="Energy Usage"/>
      <sheetName val="Weights"/>
      <sheetName val="PV"/>
      <sheetName val="EV Charger"/>
      <sheetName val="Data"/>
      <sheetName val="FZ-C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Prototype"/>
      <sheetName val="Zones"/>
      <sheetName val="Envelope"/>
      <sheetName val="HVAC System"/>
      <sheetName val="Thermostat"/>
      <sheetName val="Heating-No area used to convert"/>
      <sheetName val="Ventilation"/>
      <sheetName val="Water Heater"/>
      <sheetName val="Cooking Euipment"/>
      <sheetName val="Air compressor"/>
      <sheetName val="Refrigerated"/>
      <sheetName val="Interior Lights"/>
      <sheetName val="Ext Lighting"/>
      <sheetName val="Occupnacy"/>
      <sheetName val="Equipment"/>
      <sheetName val="Schedules"/>
      <sheetName val="Energy Usage"/>
      <sheetName val="Weights"/>
      <sheetName val="PV"/>
      <sheetName val="EV Charger"/>
      <sheetName val="FZ-CZ"/>
    </sheetNames>
    <sheetDataSet>
      <sheetData sheetId="0"/>
      <sheetData sheetId="1"/>
      <sheetData sheetId="2">
        <row r="3">
          <cell r="F3">
            <v>10587.74</v>
          </cell>
          <cell r="I3">
            <v>264.69349999999997</v>
          </cell>
        </row>
        <row r="4">
          <cell r="F4">
            <v>10587.74</v>
          </cell>
          <cell r="I4">
            <v>264.69349999999997</v>
          </cell>
        </row>
        <row r="5">
          <cell r="F5">
            <v>10587.74</v>
          </cell>
          <cell r="I5">
            <v>264.69349999999997</v>
          </cell>
        </row>
        <row r="6">
          <cell r="F6">
            <v>17877.68</v>
          </cell>
          <cell r="I6">
            <v>0</v>
          </cell>
        </row>
        <row r="7">
          <cell r="F7">
            <v>17877.68</v>
          </cell>
          <cell r="I7">
            <v>0</v>
          </cell>
        </row>
        <row r="8">
          <cell r="F8">
            <v>2231.98</v>
          </cell>
          <cell r="I8">
            <v>11.1599</v>
          </cell>
        </row>
        <row r="9">
          <cell r="F9">
            <v>1413.04</v>
          </cell>
          <cell r="I9">
            <v>7.0651999999999999</v>
          </cell>
        </row>
        <row r="10">
          <cell r="F10">
            <v>2231.98</v>
          </cell>
          <cell r="I10">
            <v>11.1599</v>
          </cell>
        </row>
        <row r="11">
          <cell r="F11">
            <v>1412.94</v>
          </cell>
          <cell r="I11">
            <v>7.0647000000000011</v>
          </cell>
        </row>
        <row r="12">
          <cell r="F12">
            <v>2231.98</v>
          </cell>
          <cell r="I12">
            <v>55.799500000000002</v>
          </cell>
        </row>
        <row r="13">
          <cell r="F13">
            <v>1413.04</v>
          </cell>
          <cell r="I13">
            <v>35.326000000000001</v>
          </cell>
        </row>
        <row r="14">
          <cell r="F14">
            <v>2231.98</v>
          </cell>
          <cell r="I14">
            <v>55.799500000000002</v>
          </cell>
        </row>
        <row r="15">
          <cell r="F15">
            <v>1412.94</v>
          </cell>
          <cell r="I15">
            <v>35.323500000000003</v>
          </cell>
        </row>
        <row r="16">
          <cell r="F16">
            <v>2231.98</v>
          </cell>
          <cell r="I16">
            <v>11.1599</v>
          </cell>
        </row>
        <row r="17">
          <cell r="F17">
            <v>1413.04</v>
          </cell>
          <cell r="I17">
            <v>7.0651999999999999</v>
          </cell>
        </row>
        <row r="18">
          <cell r="F18">
            <v>2231.98</v>
          </cell>
          <cell r="I18">
            <v>11.1599</v>
          </cell>
        </row>
        <row r="19">
          <cell r="F19">
            <v>1412.94</v>
          </cell>
          <cell r="I19">
            <v>7.0647000000000011</v>
          </cell>
        </row>
        <row r="20">
          <cell r="F20">
            <v>17877.68</v>
          </cell>
          <cell r="I20">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28rPMAoyQECnlcv8Kt3MJ58ZG-oPRVFNitSI8hg4XNmRfqTzTCegRrqYe5ObVx5b" itemId="01AXUKAFOQEVWNV7N64BFLKTV5F4D523NI">
      <xxl21:absoluteUrl r:id="rId2"/>
    </xxl21:alternateUrls>
    <sheetNames>
      <sheetName val="Notes"/>
      <sheetName val="Prototype"/>
      <sheetName val="Zones"/>
      <sheetName val="Envelope"/>
      <sheetName val="HVAC System"/>
      <sheetName val="Thermostat"/>
      <sheetName val="Heating-No area used to convert"/>
      <sheetName val="Ventilation"/>
      <sheetName val="Water Heater"/>
      <sheetName val="Cooking Euipment"/>
      <sheetName val="Air compressor"/>
      <sheetName val="Refrigerated"/>
      <sheetName val="Int Lighting"/>
      <sheetName val="Ext Lighting"/>
      <sheetName val="Occupnacy"/>
      <sheetName val="Equipment"/>
      <sheetName val="Schedules"/>
      <sheetName val="Energy Usage"/>
      <sheetName val="Weights"/>
      <sheetName val="PV"/>
      <sheetName val="EV Charger"/>
      <sheetName val="FZ-C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30">
          <cell r="D30" t="str">
            <v>Weekday</v>
          </cell>
          <cell r="E30">
            <v>0</v>
          </cell>
          <cell r="F30">
            <v>0</v>
          </cell>
          <cell r="G30">
            <v>0</v>
          </cell>
          <cell r="H30">
            <v>0</v>
          </cell>
          <cell r="I30">
            <v>0</v>
          </cell>
          <cell r="J30">
            <v>0</v>
          </cell>
          <cell r="K30">
            <v>0.1</v>
          </cell>
          <cell r="L30">
            <v>0.2</v>
          </cell>
          <cell r="M30">
            <v>0.95</v>
          </cell>
          <cell r="N30">
            <v>0.95</v>
          </cell>
          <cell r="O30">
            <v>0.95</v>
          </cell>
          <cell r="P30">
            <v>0.95</v>
          </cell>
          <cell r="Q30">
            <v>0.5</v>
          </cell>
          <cell r="R30">
            <v>0.95</v>
          </cell>
          <cell r="S30">
            <v>0.95</v>
          </cell>
          <cell r="T30">
            <v>0.95</v>
          </cell>
          <cell r="U30">
            <v>0.95</v>
          </cell>
          <cell r="V30">
            <v>0.3</v>
          </cell>
          <cell r="W30">
            <v>0.1</v>
          </cell>
          <cell r="X30">
            <v>0.1</v>
          </cell>
          <cell r="Y30">
            <v>0.1</v>
          </cell>
          <cell r="Z30">
            <v>0.1</v>
          </cell>
          <cell r="AA30">
            <v>0.05</v>
          </cell>
          <cell r="AB30">
            <v>0</v>
          </cell>
        </row>
        <row r="31">
          <cell r="D31" t="str">
            <v>Saturday</v>
          </cell>
          <cell r="E31">
            <v>0</v>
          </cell>
          <cell r="F31">
            <v>0</v>
          </cell>
          <cell r="G31">
            <v>0</v>
          </cell>
          <cell r="H31">
            <v>0</v>
          </cell>
          <cell r="I31">
            <v>0</v>
          </cell>
          <cell r="J31">
            <v>0</v>
          </cell>
          <cell r="K31">
            <v>0.1</v>
          </cell>
          <cell r="L31">
            <v>0.1</v>
          </cell>
          <cell r="M31">
            <v>0.3</v>
          </cell>
          <cell r="N31">
            <v>0.3</v>
          </cell>
          <cell r="O31">
            <v>0.3</v>
          </cell>
          <cell r="P31">
            <v>0.3</v>
          </cell>
          <cell r="Q31">
            <v>0.1</v>
          </cell>
          <cell r="R31">
            <v>0.1</v>
          </cell>
          <cell r="S31">
            <v>0.1</v>
          </cell>
          <cell r="T31">
            <v>0.1</v>
          </cell>
          <cell r="U31">
            <v>0.1</v>
          </cell>
          <cell r="V31">
            <v>0.05</v>
          </cell>
          <cell r="W31">
            <v>0.05</v>
          </cell>
          <cell r="X31">
            <v>0</v>
          </cell>
          <cell r="Y31">
            <v>0</v>
          </cell>
          <cell r="Z31">
            <v>0</v>
          </cell>
          <cell r="AA31">
            <v>0</v>
          </cell>
          <cell r="AB31">
            <v>0</v>
          </cell>
        </row>
        <row r="32">
          <cell r="D32" t="str">
            <v>Sunday</v>
          </cell>
          <cell r="E32">
            <v>0</v>
          </cell>
          <cell r="F32">
            <v>0</v>
          </cell>
          <cell r="G32">
            <v>0</v>
          </cell>
          <cell r="H32">
            <v>0</v>
          </cell>
          <cell r="I32">
            <v>0</v>
          </cell>
          <cell r="J32">
            <v>0</v>
          </cell>
          <cell r="K32">
            <v>0.05</v>
          </cell>
          <cell r="L32">
            <v>0.05</v>
          </cell>
          <cell r="M32">
            <v>0.05</v>
          </cell>
          <cell r="N32">
            <v>0.05</v>
          </cell>
          <cell r="O32">
            <v>0.05</v>
          </cell>
          <cell r="P32">
            <v>0.05</v>
          </cell>
          <cell r="Q32">
            <v>0.05</v>
          </cell>
          <cell r="R32">
            <v>0.05</v>
          </cell>
          <cell r="S32">
            <v>0.05</v>
          </cell>
          <cell r="T32">
            <v>0.05</v>
          </cell>
          <cell r="U32">
            <v>0.05</v>
          </cell>
          <cell r="V32">
            <v>0.05</v>
          </cell>
          <cell r="W32">
            <v>0</v>
          </cell>
          <cell r="X32">
            <v>0</v>
          </cell>
          <cell r="Y32">
            <v>0</v>
          </cell>
          <cell r="Z32">
            <v>0</v>
          </cell>
          <cell r="AA32">
            <v>0</v>
          </cell>
          <cell r="AB32">
            <v>0</v>
          </cell>
        </row>
        <row r="33">
          <cell r="D33" t="str">
            <v>Weekday</v>
          </cell>
          <cell r="E33">
            <v>0.05</v>
          </cell>
          <cell r="F33">
            <v>0.05</v>
          </cell>
          <cell r="G33">
            <v>0.05</v>
          </cell>
          <cell r="H33">
            <v>0.05</v>
          </cell>
          <cell r="I33">
            <v>0.05</v>
          </cell>
          <cell r="J33">
            <v>0.1</v>
          </cell>
          <cell r="K33">
            <v>0.1</v>
          </cell>
          <cell r="L33">
            <v>0.3</v>
          </cell>
          <cell r="M33">
            <v>0.65</v>
          </cell>
          <cell r="N33">
            <v>0.65</v>
          </cell>
          <cell r="O33">
            <v>0.65</v>
          </cell>
          <cell r="P33">
            <v>0.65</v>
          </cell>
          <cell r="Q33">
            <v>0.65</v>
          </cell>
          <cell r="R33">
            <v>0.65</v>
          </cell>
          <cell r="S33">
            <v>0.65</v>
          </cell>
          <cell r="T33">
            <v>0.65</v>
          </cell>
          <cell r="U33">
            <v>0.65</v>
          </cell>
          <cell r="V33">
            <v>0.35</v>
          </cell>
          <cell r="W33">
            <v>0.3</v>
          </cell>
          <cell r="X33">
            <v>0.3</v>
          </cell>
          <cell r="Y33">
            <v>0.2</v>
          </cell>
          <cell r="Z33">
            <v>0.2</v>
          </cell>
          <cell r="AA33">
            <v>0.1</v>
          </cell>
          <cell r="AB33">
            <v>0.05</v>
          </cell>
        </row>
        <row r="34">
          <cell r="D34" t="str">
            <v>Saturday</v>
          </cell>
          <cell r="E34">
            <v>0.05</v>
          </cell>
          <cell r="F34">
            <v>0.05</v>
          </cell>
          <cell r="G34">
            <v>0.05</v>
          </cell>
          <cell r="H34">
            <v>0.05</v>
          </cell>
          <cell r="I34">
            <v>0.05</v>
          </cell>
          <cell r="J34">
            <v>0.05</v>
          </cell>
          <cell r="K34">
            <v>0.1</v>
          </cell>
          <cell r="L34">
            <v>0.1</v>
          </cell>
          <cell r="M34">
            <v>0.3</v>
          </cell>
          <cell r="N34">
            <v>0.3</v>
          </cell>
          <cell r="O34">
            <v>0.3</v>
          </cell>
          <cell r="P34">
            <v>0.3</v>
          </cell>
          <cell r="Q34">
            <v>0.15</v>
          </cell>
          <cell r="R34">
            <v>0.15</v>
          </cell>
          <cell r="S34">
            <v>0.15</v>
          </cell>
          <cell r="T34">
            <v>0.15</v>
          </cell>
          <cell r="U34">
            <v>0.15</v>
          </cell>
          <cell r="V34">
            <v>0.05</v>
          </cell>
          <cell r="W34">
            <v>0.05</v>
          </cell>
          <cell r="X34">
            <v>0.05</v>
          </cell>
          <cell r="Y34">
            <v>0.05</v>
          </cell>
          <cell r="Z34">
            <v>0.05</v>
          </cell>
          <cell r="AA34">
            <v>0.05</v>
          </cell>
          <cell r="AB34">
            <v>0.05</v>
          </cell>
        </row>
        <row r="35">
          <cell r="D35" t="str">
            <v>Sunday</v>
          </cell>
          <cell r="E35">
            <v>0.05</v>
          </cell>
          <cell r="F35">
            <v>0.05</v>
          </cell>
          <cell r="G35">
            <v>0.05</v>
          </cell>
          <cell r="H35">
            <v>0.05</v>
          </cell>
          <cell r="I35">
            <v>0.05</v>
          </cell>
          <cell r="J35">
            <v>0.05</v>
          </cell>
          <cell r="K35">
            <v>0.05</v>
          </cell>
          <cell r="L35">
            <v>0.05</v>
          </cell>
          <cell r="M35">
            <v>0.05</v>
          </cell>
          <cell r="N35">
            <v>0.05</v>
          </cell>
          <cell r="O35">
            <v>0.05</v>
          </cell>
          <cell r="P35">
            <v>0.05</v>
          </cell>
          <cell r="Q35">
            <v>0.05</v>
          </cell>
          <cell r="R35">
            <v>0.05</v>
          </cell>
          <cell r="S35">
            <v>0.05</v>
          </cell>
          <cell r="T35">
            <v>0.05</v>
          </cell>
          <cell r="U35">
            <v>0.05</v>
          </cell>
          <cell r="V35">
            <v>0.05</v>
          </cell>
          <cell r="W35">
            <v>0.05</v>
          </cell>
          <cell r="X35">
            <v>0.05</v>
          </cell>
          <cell r="Y35">
            <v>0.05</v>
          </cell>
          <cell r="Z35">
            <v>0.05</v>
          </cell>
          <cell r="AA35">
            <v>0.05</v>
          </cell>
          <cell r="AB35">
            <v>0.05</v>
          </cell>
        </row>
      </sheetData>
      <sheetData sheetId="17"/>
      <sheetData sheetId="18"/>
      <sheetData sheetId="19"/>
      <sheetData sheetId="20"/>
      <sheetData sheetId="21"/>
    </sheetDataSet>
  </externalBook>
</externalLink>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itle24stakeholders.com/wp-content/uploads/2017/09/2019-T24-CASE-Report_Fume-Hoods_Final_September-2017.pdf?" TargetMode="External"/><Relationship Id="rId3" Type="http://schemas.openxmlformats.org/officeDocument/2006/relationships/hyperlink" Target="https://www.energy.ca.gov/publications/2022/2022-nonresidential-and-multifamily-alternative-calculation-method-reference" TargetMode="External"/><Relationship Id="rId7"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2" Type="http://schemas.openxmlformats.org/officeDocument/2006/relationships/hyperlink" Target="https://github.com/sound-data/DEER-Prototypes-EnergyPlus" TargetMode="External"/><Relationship Id="rId1" Type="http://schemas.openxmlformats.org/officeDocument/2006/relationships/hyperlink" Target="https://bees.noresco.com/software2022.html" TargetMode="External"/><Relationship Id="rId6" Type="http://schemas.openxmlformats.org/officeDocument/2006/relationships/hyperlink" Target="file:///\\carcgl.com\amer\nor\Prj_SUS\2023\S23668%20SCE%20CA%20Prototypes%20Development\Technical\NR\0_Input%20data\Lighting\PNNL-20405.pdf" TargetMode="External"/><Relationship Id="rId5" Type="http://schemas.openxmlformats.org/officeDocument/2006/relationships/hyperlink" Target="https://title24stakeholders.com/wp-content/uploads/2016/10/T24-2019-CASE-Study-Results-Report-Outdoor-Sources_Final_with-Attachments.pdf" TargetMode="External"/><Relationship Id="rId10" Type="http://schemas.openxmlformats.org/officeDocument/2006/relationships/drawing" Target="../drawings/drawing1.xml"/><Relationship Id="rId4" Type="http://schemas.openxmlformats.org/officeDocument/2006/relationships/hyperlink" Target="https://title24stakeholders.com/wp-content/uploads/2020/10/2022-T24-Final-CASE-Report_Reduce-Infiltration.pdf" TargetMode="External"/><Relationship Id="rId9" Type="http://schemas.openxmlformats.org/officeDocument/2006/relationships/hyperlink" Target="https://efiling.energy.ca.gov/GetDocument.aspx?tn=265693&amp;DocumentContentId=102545"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onRes-Vintage%20bins-Draft%20Report-30Nov2023-Final.docx?d=w8560be34ea9744e086bccf7767b0a3cf&amp;csf=1&amp;web=1&amp;e=tpxacv"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H51"/>
  <sheetViews>
    <sheetView zoomScaleNormal="100" workbookViewId="0">
      <selection sqref="A1:C1"/>
    </sheetView>
  </sheetViews>
  <sheetFormatPr defaultColWidth="9.33203125" defaultRowHeight="13.2" x14ac:dyDescent="0.25"/>
  <cols>
    <col min="1" max="1" width="16.109375" style="8" bestFit="1" customWidth="1"/>
    <col min="2" max="2" width="88.6640625" style="8" customWidth="1"/>
    <col min="3" max="3" width="37.33203125" style="8" customWidth="1"/>
    <col min="4" max="4" width="9.33203125" style="8"/>
    <col min="5" max="5" width="21.6640625" style="8" customWidth="1"/>
    <col min="6" max="6" width="10.6640625" style="8" customWidth="1"/>
    <col min="7" max="7" width="9.6640625" style="8" customWidth="1"/>
    <col min="8" max="8" width="9.6640625" style="8" bestFit="1" customWidth="1"/>
    <col min="9" max="16384" width="9.33203125" style="8"/>
  </cols>
  <sheetData>
    <row r="1" spans="1:4" ht="20.399999999999999" customHeight="1" x14ac:dyDescent="0.25">
      <c r="A1" s="454" t="s">
        <v>0</v>
      </c>
      <c r="B1" s="454"/>
      <c r="C1" s="454"/>
    </row>
    <row r="2" spans="1:4" x14ac:dyDescent="0.25">
      <c r="A2" s="455" t="s">
        <v>1</v>
      </c>
      <c r="B2" s="8" t="s">
        <v>2</v>
      </c>
      <c r="C2" s="430"/>
    </row>
    <row r="3" spans="1:4" x14ac:dyDescent="0.25">
      <c r="A3" s="455"/>
      <c r="B3" s="8" t="s">
        <v>3</v>
      </c>
      <c r="C3" s="430"/>
    </row>
    <row r="4" spans="1:4" x14ac:dyDescent="0.25">
      <c r="A4" s="455"/>
      <c r="B4" s="8" t="s">
        <v>4</v>
      </c>
      <c r="C4" s="430"/>
    </row>
    <row r="5" spans="1:4" x14ac:dyDescent="0.25">
      <c r="A5" s="455"/>
      <c r="C5" s="430"/>
    </row>
    <row r="6" spans="1:4" ht="14.4" x14ac:dyDescent="0.3">
      <c r="A6" s="455" t="s">
        <v>5</v>
      </c>
      <c r="B6" s="8" t="s">
        <v>6</v>
      </c>
      <c r="C6" s="292" t="s">
        <v>7</v>
      </c>
      <c r="D6" s="8" t="s">
        <v>8</v>
      </c>
    </row>
    <row r="7" spans="1:4" ht="14.4" x14ac:dyDescent="0.3">
      <c r="A7" s="455"/>
      <c r="B7" s="8" t="s">
        <v>9</v>
      </c>
      <c r="C7" s="292" t="s">
        <v>10</v>
      </c>
      <c r="D7" s="8" t="s">
        <v>8</v>
      </c>
    </row>
    <row r="8" spans="1:4" ht="14.4" x14ac:dyDescent="0.3">
      <c r="A8" s="455"/>
      <c r="C8" s="292"/>
      <c r="D8" s="8" t="s">
        <v>8</v>
      </c>
    </row>
    <row r="9" spans="1:4" x14ac:dyDescent="0.25">
      <c r="A9" s="457" t="s">
        <v>11</v>
      </c>
      <c r="B9" s="424" t="s">
        <v>12</v>
      </c>
      <c r="C9" s="291"/>
      <c r="D9" s="8" t="s">
        <v>8</v>
      </c>
    </row>
    <row r="10" spans="1:4" x14ac:dyDescent="0.25">
      <c r="A10" s="457"/>
      <c r="B10" s="424" t="s">
        <v>13</v>
      </c>
      <c r="C10" s="291"/>
      <c r="D10" s="8" t="s">
        <v>8</v>
      </c>
    </row>
    <row r="11" spans="1:4" x14ac:dyDescent="0.25">
      <c r="A11" s="457"/>
      <c r="B11" s="424" t="s">
        <v>14</v>
      </c>
      <c r="C11" s="291"/>
      <c r="D11" s="8" t="s">
        <v>8</v>
      </c>
    </row>
    <row r="12" spans="1:4" x14ac:dyDescent="0.25">
      <c r="A12" s="457"/>
      <c r="B12" s="424" t="s">
        <v>15</v>
      </c>
      <c r="C12" s="291"/>
      <c r="D12" s="8" t="s">
        <v>8</v>
      </c>
    </row>
    <row r="13" spans="1:4" ht="14.4" x14ac:dyDescent="0.3">
      <c r="A13" s="457"/>
      <c r="B13" s="424" t="s">
        <v>16</v>
      </c>
      <c r="C13" s="257" t="s">
        <v>17</v>
      </c>
      <c r="D13" s="8" t="s">
        <v>8</v>
      </c>
    </row>
    <row r="14" spans="1:4" x14ac:dyDescent="0.25">
      <c r="A14" s="457"/>
      <c r="C14" s="438"/>
      <c r="D14" s="8" t="s">
        <v>8</v>
      </c>
    </row>
    <row r="15" spans="1:4" ht="14.4" x14ac:dyDescent="0.3">
      <c r="A15" s="457" t="s">
        <v>18</v>
      </c>
      <c r="B15" s="258" t="s">
        <v>19</v>
      </c>
      <c r="C15" s="292" t="s">
        <v>20</v>
      </c>
      <c r="D15" s="8" t="s">
        <v>8</v>
      </c>
    </row>
    <row r="16" spans="1:4" ht="14.4" x14ac:dyDescent="0.3">
      <c r="A16" s="457"/>
      <c r="B16" s="424" t="s">
        <v>21</v>
      </c>
      <c r="C16" s="292" t="s">
        <v>22</v>
      </c>
      <c r="D16" s="8" t="s">
        <v>8</v>
      </c>
    </row>
    <row r="17" spans="1:4" ht="14.4" x14ac:dyDescent="0.3">
      <c r="A17" s="457"/>
      <c r="B17" s="258" t="s">
        <v>23</v>
      </c>
      <c r="C17" s="310" t="s">
        <v>24</v>
      </c>
      <c r="D17" s="8" t="s">
        <v>8</v>
      </c>
    </row>
    <row r="18" spans="1:4" ht="14.4" x14ac:dyDescent="0.3">
      <c r="A18" s="457"/>
      <c r="B18" s="424" t="s">
        <v>25</v>
      </c>
      <c r="C18" s="292" t="s">
        <v>26</v>
      </c>
      <c r="D18" s="8" t="s">
        <v>8</v>
      </c>
    </row>
    <row r="19" spans="1:4" ht="14.4" x14ac:dyDescent="0.3">
      <c r="A19" s="457"/>
      <c r="B19" s="424" t="s">
        <v>27</v>
      </c>
      <c r="C19" s="292" t="s">
        <v>28</v>
      </c>
      <c r="D19" s="8" t="s">
        <v>8</v>
      </c>
    </row>
    <row r="20" spans="1:4" ht="28.2" customHeight="1" x14ac:dyDescent="0.25">
      <c r="A20" s="457"/>
      <c r="B20" s="309" t="s">
        <v>29</v>
      </c>
      <c r="C20" s="311" t="s">
        <v>30</v>
      </c>
      <c r="D20" s="8" t="s">
        <v>8</v>
      </c>
    </row>
    <row r="21" spans="1:4" ht="14.4" x14ac:dyDescent="0.3">
      <c r="A21" s="426"/>
      <c r="B21" s="424"/>
      <c r="C21" s="292"/>
    </row>
    <row r="22" spans="1:4" ht="18.600000000000001" customHeight="1" x14ac:dyDescent="0.25">
      <c r="A22" s="454" t="s">
        <v>31</v>
      </c>
      <c r="B22" s="454"/>
      <c r="C22" s="454"/>
    </row>
    <row r="23" spans="1:4" x14ac:dyDescent="0.25">
      <c r="C23" s="430"/>
    </row>
    <row r="24" spans="1:4" x14ac:dyDescent="0.25">
      <c r="C24" s="430"/>
    </row>
    <row r="25" spans="1:4" x14ac:dyDescent="0.25">
      <c r="C25" s="430"/>
    </row>
    <row r="26" spans="1:4" x14ac:dyDescent="0.25">
      <c r="C26" s="430"/>
    </row>
    <row r="27" spans="1:4" x14ac:dyDescent="0.25">
      <c r="C27" s="430"/>
    </row>
    <row r="28" spans="1:4" x14ac:dyDescent="0.25">
      <c r="C28" s="430"/>
    </row>
    <row r="29" spans="1:4" x14ac:dyDescent="0.25">
      <c r="C29" s="430"/>
    </row>
    <row r="30" spans="1:4" x14ac:dyDescent="0.25">
      <c r="C30" s="430"/>
    </row>
    <row r="31" spans="1:4" x14ac:dyDescent="0.25">
      <c r="C31" s="430"/>
    </row>
    <row r="32" spans="1:4" x14ac:dyDescent="0.25">
      <c r="C32" s="430"/>
    </row>
    <row r="33" spans="1:8" x14ac:dyDescent="0.25">
      <c r="C33" s="430"/>
    </row>
    <row r="34" spans="1:8" x14ac:dyDescent="0.25">
      <c r="C34" s="430"/>
    </row>
    <row r="35" spans="1:8" ht="19.2" customHeight="1" x14ac:dyDescent="0.25">
      <c r="A35" s="454" t="s">
        <v>32</v>
      </c>
      <c r="B35" s="454"/>
      <c r="C35" s="454"/>
    </row>
    <row r="36" spans="1:8" ht="105.6" customHeight="1" x14ac:dyDescent="0.25">
      <c r="A36" s="447" t="s">
        <v>33</v>
      </c>
      <c r="B36" s="456" t="s">
        <v>34</v>
      </c>
      <c r="C36" s="456"/>
      <c r="E36" s="12"/>
      <c r="F36" s="447"/>
      <c r="G36" s="447"/>
      <c r="H36" s="447"/>
    </row>
    <row r="37" spans="1:8" x14ac:dyDescent="0.25">
      <c r="A37" s="11"/>
      <c r="B37" s="12"/>
      <c r="C37" s="12"/>
      <c r="E37" s="12"/>
      <c r="F37" s="32"/>
      <c r="G37" s="32"/>
      <c r="H37" s="32"/>
    </row>
    <row r="38" spans="1:8" x14ac:dyDescent="0.25">
      <c r="A38" s="11"/>
      <c r="B38" s="12"/>
      <c r="C38" s="12"/>
    </row>
    <row r="39" spans="1:8" ht="14.4" x14ac:dyDescent="0.3">
      <c r="A39" s="11"/>
      <c r="B39" s="12"/>
      <c r="C39" s="12"/>
      <c r="E39"/>
    </row>
    <row r="51" spans="4:4" ht="14.4" x14ac:dyDescent="0.3">
      <c r="D51"/>
    </row>
  </sheetData>
  <mergeCells count="8">
    <mergeCell ref="A1:C1"/>
    <mergeCell ref="A2:A5"/>
    <mergeCell ref="A6:A8"/>
    <mergeCell ref="B36:C36"/>
    <mergeCell ref="A35:C35"/>
    <mergeCell ref="A22:C22"/>
    <mergeCell ref="A9:A14"/>
    <mergeCell ref="A15:A20"/>
  </mergeCells>
  <phoneticPr fontId="5" type="noConversion"/>
  <hyperlinks>
    <hyperlink ref="C6" r:id="rId1" xr:uid="{BE11EEF8-3AF7-48F0-A38B-7309CE5A9491}"/>
    <hyperlink ref="C7" r:id="rId2" xr:uid="{0DEB00BB-3A26-4527-9ED4-40D17F93A579}"/>
    <hyperlink ref="C13" r:id="rId3" xr:uid="{503F163B-AFBD-427F-ADC4-A1AE50657669}"/>
    <hyperlink ref="C15" r:id="rId4" xr:uid="{E864610B-B6CB-4D7D-8E7A-ADEB74F9D08F}"/>
    <hyperlink ref="C16" r:id="rId5" xr:uid="{C7B98ED6-F285-456B-8617-9DFBA59B4488}"/>
    <hyperlink ref="C18" r:id="rId6" display="\\carcgl.com\amer\nor\Prj_SUS\2023\S23668 SCE CA Prototypes Development\Technical\NR\0_Input data\Lighting\PNNL-20405.pdf" xr:uid="{3EF0991A-66B7-47EA-BC76-6D88C135361A}"/>
    <hyperlink ref="C19" r:id="rId7" display="https://2050partners.sharepoint.com/:w:/r/sites/CalBEMCollaborativeEfforts/_layouts/15/Doc.aspx?sourcedoc=%7B3BEF8F74-7FAC-44F2-A70C-D76617660066%7D&amp;file=Infiltration_rate_report_14May2025-Short-Version.docx&amp;wdLOR=c494C5A60-5F8A-438B-874B-578DCB850072&amp;action=default&amp;mobileredirect=true" xr:uid="{FB28D0AE-707B-4359-BA85-99739BDF78DE}"/>
    <hyperlink ref="C17" r:id="rId8" xr:uid="{AC8A87CD-B523-4A49-AE6F-94E4A4371B42}"/>
    <hyperlink ref="C20" r:id="rId9" xr:uid="{A1B7E239-766B-437A-9E6F-1CC39586B0AC}"/>
  </hyperlinks>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36"/>
  <sheetViews>
    <sheetView zoomScaleNormal="100" workbookViewId="0">
      <selection sqref="A1:C1"/>
    </sheetView>
  </sheetViews>
  <sheetFormatPr defaultColWidth="9.33203125" defaultRowHeight="13.8" x14ac:dyDescent="0.25"/>
  <cols>
    <col min="1" max="1" width="25" style="6" customWidth="1"/>
    <col min="2" max="2" width="51.33203125" style="6" customWidth="1"/>
    <col min="3" max="3" width="49.6640625" style="6" customWidth="1"/>
    <col min="4" max="9" width="8.6640625" style="6" customWidth="1"/>
    <col min="10" max="16384" width="9.33203125" style="6"/>
  </cols>
  <sheetData>
    <row r="1" spans="1:9" ht="17.399999999999999" x14ac:dyDescent="0.25">
      <c r="A1" s="459" t="s">
        <v>35</v>
      </c>
      <c r="B1" s="459"/>
      <c r="C1" s="459"/>
      <c r="D1" s="15"/>
      <c r="E1" s="15"/>
      <c r="F1" s="15"/>
    </row>
    <row r="2" spans="1:9" ht="25.2" customHeight="1" x14ac:dyDescent="0.25">
      <c r="A2" s="460" t="s">
        <v>36</v>
      </c>
      <c r="B2" s="460"/>
      <c r="C2" s="460"/>
      <c r="D2" s="15"/>
      <c r="E2" s="15"/>
      <c r="F2" s="15"/>
    </row>
    <row r="3" spans="1:9" ht="20.399999999999999" customHeight="1" x14ac:dyDescent="0.25">
      <c r="A3" s="285" t="s">
        <v>37</v>
      </c>
      <c r="B3" s="439" t="s">
        <v>38</v>
      </c>
      <c r="C3" s="286" t="s">
        <v>0</v>
      </c>
    </row>
    <row r="4" spans="1:9" ht="16.2" customHeight="1" x14ac:dyDescent="0.25">
      <c r="A4" s="18" t="s">
        <v>39</v>
      </c>
      <c r="B4" s="427" t="s">
        <v>36</v>
      </c>
      <c r="C4" s="18"/>
    </row>
    <row r="5" spans="1:9" ht="16.2" customHeight="1" x14ac:dyDescent="0.25">
      <c r="A5" s="18" t="s">
        <v>40</v>
      </c>
      <c r="B5" s="427" t="s">
        <v>41</v>
      </c>
      <c r="C5" s="18"/>
    </row>
    <row r="6" spans="1:9" ht="28.95" customHeight="1" x14ac:dyDescent="0.25">
      <c r="A6" s="18" t="s">
        <v>42</v>
      </c>
      <c r="B6" s="428" t="s">
        <v>43</v>
      </c>
      <c r="C6" s="19" t="s">
        <v>44</v>
      </c>
      <c r="D6" s="73" t="s">
        <v>45</v>
      </c>
    </row>
    <row r="7" spans="1:9" ht="97.2" customHeight="1" x14ac:dyDescent="0.3">
      <c r="A7" s="18" t="s">
        <v>46</v>
      </c>
      <c r="B7" s="427" t="e" vm="1">
        <v>#VALUE!</v>
      </c>
      <c r="C7" s="19" t="s">
        <v>47</v>
      </c>
      <c r="D7"/>
      <c r="I7" s="7"/>
    </row>
    <row r="8" spans="1:9" ht="16.2" customHeight="1" x14ac:dyDescent="0.25">
      <c r="A8" s="260" t="s">
        <v>48</v>
      </c>
      <c r="B8" s="16">
        <v>53633</v>
      </c>
      <c r="C8" s="18" t="s">
        <v>49</v>
      </c>
    </row>
    <row r="9" spans="1:9" ht="40.200000000000003" customHeight="1" x14ac:dyDescent="0.25">
      <c r="A9" s="260" t="s">
        <v>50</v>
      </c>
      <c r="B9" s="72">
        <v>1.5</v>
      </c>
      <c r="C9" s="18" t="s">
        <v>49</v>
      </c>
    </row>
    <row r="10" spans="1:9" ht="18.600000000000001" customHeight="1" x14ac:dyDescent="0.25">
      <c r="A10" s="287" t="s">
        <v>51</v>
      </c>
      <c r="B10" s="428">
        <v>3</v>
      </c>
      <c r="C10" s="18" t="s">
        <v>49</v>
      </c>
    </row>
    <row r="11" spans="1:9" ht="17.399999999999999" customHeight="1" x14ac:dyDescent="0.25">
      <c r="A11" s="287" t="s">
        <v>52</v>
      </c>
      <c r="B11" s="427" t="s">
        <v>53</v>
      </c>
      <c r="C11" s="18" t="s">
        <v>49</v>
      </c>
    </row>
    <row r="12" spans="1:9" ht="19.95" customHeight="1" x14ac:dyDescent="0.25">
      <c r="A12" s="287" t="s">
        <v>54</v>
      </c>
      <c r="B12" s="259" t="s">
        <v>55</v>
      </c>
      <c r="C12" s="18" t="s">
        <v>49</v>
      </c>
    </row>
    <row r="13" spans="1:9" ht="22.2" customHeight="1" x14ac:dyDescent="0.25">
      <c r="A13" s="260" t="s">
        <v>56</v>
      </c>
      <c r="B13" s="17" t="s">
        <v>57</v>
      </c>
      <c r="C13" s="18" t="s">
        <v>49</v>
      </c>
    </row>
    <row r="14" spans="1:9" ht="33.6" customHeight="1" x14ac:dyDescent="0.25">
      <c r="A14" s="260" t="s">
        <v>58</v>
      </c>
      <c r="B14" s="428">
        <v>13</v>
      </c>
      <c r="C14" s="18" t="s">
        <v>49</v>
      </c>
    </row>
    <row r="15" spans="1:9" ht="16.2" customHeight="1" x14ac:dyDescent="0.25">
      <c r="A15" s="260" t="s">
        <v>59</v>
      </c>
      <c r="B15" s="427" t="s">
        <v>60</v>
      </c>
      <c r="C15" s="18" t="s">
        <v>49</v>
      </c>
    </row>
    <row r="16" spans="1:9" ht="26.4" x14ac:dyDescent="0.25">
      <c r="A16" s="260" t="s">
        <v>61</v>
      </c>
      <c r="B16" s="428" t="s">
        <v>62</v>
      </c>
      <c r="C16" s="18" t="s">
        <v>49</v>
      </c>
    </row>
    <row r="17" spans="1:8" x14ac:dyDescent="0.25">
      <c r="A17" s="151"/>
      <c r="B17" s="11"/>
      <c r="C17" s="10"/>
    </row>
    <row r="18" spans="1:8" x14ac:dyDescent="0.25">
      <c r="A18" s="151"/>
      <c r="B18" s="11"/>
      <c r="C18" s="10"/>
    </row>
    <row r="20" spans="1:8" x14ac:dyDescent="0.25">
      <c r="A20" s="152" t="s">
        <v>63</v>
      </c>
      <c r="B20" s="153">
        <v>21287.462713814315</v>
      </c>
      <c r="C20" s="10"/>
    </row>
    <row r="21" spans="1:8" x14ac:dyDescent="0.25">
      <c r="A21" s="152" t="s">
        <v>64</v>
      </c>
      <c r="B21" s="153">
        <v>21287.462713814315</v>
      </c>
      <c r="C21" s="10"/>
    </row>
    <row r="22" spans="1:8" x14ac:dyDescent="0.25">
      <c r="A22" s="152" t="s">
        <v>65</v>
      </c>
      <c r="B22" s="153">
        <v>17875.948946342338</v>
      </c>
      <c r="C22" s="10"/>
    </row>
    <row r="23" spans="1:8" ht="26.4" x14ac:dyDescent="0.25">
      <c r="A23" s="152" t="s">
        <v>66</v>
      </c>
      <c r="B23" s="153">
        <v>0</v>
      </c>
      <c r="C23" s="10"/>
    </row>
    <row r="24" spans="1:8" x14ac:dyDescent="0.25">
      <c r="A24" s="151"/>
      <c r="B24" s="11"/>
      <c r="C24" s="10"/>
    </row>
    <row r="27" spans="1:8" ht="14.7" customHeight="1" x14ac:dyDescent="0.25"/>
    <row r="28" spans="1:8" ht="14.7" customHeight="1" x14ac:dyDescent="0.25">
      <c r="A28" s="137" t="s">
        <v>67</v>
      </c>
      <c r="B28" s="138"/>
      <c r="C28" s="138"/>
    </row>
    <row r="29" spans="1:8" ht="22.2" customHeight="1" x14ac:dyDescent="0.25">
      <c r="A29" s="461" t="s">
        <v>68</v>
      </c>
      <c r="B29" s="462"/>
      <c r="C29" s="308" t="s">
        <v>69</v>
      </c>
      <c r="D29" s="465" t="s">
        <v>70</v>
      </c>
      <c r="E29" s="465"/>
      <c r="F29" s="465"/>
      <c r="G29" s="465"/>
      <c r="H29" s="465"/>
    </row>
    <row r="30" spans="1:8" ht="169.95" customHeight="1" x14ac:dyDescent="0.25">
      <c r="A30" s="463" t="e" vm="2">
        <v>#VALUE!</v>
      </c>
      <c r="B30" s="464"/>
      <c r="C30" s="123" t="s">
        <v>71</v>
      </c>
      <c r="D30" s="466" t="e" vm="1">
        <v>#VALUE!</v>
      </c>
      <c r="E30" s="466"/>
      <c r="F30" s="466"/>
      <c r="G30" s="466"/>
      <c r="H30" s="466"/>
    </row>
    <row r="31" spans="1:8" ht="14.7" customHeight="1" x14ac:dyDescent="0.25">
      <c r="A31" s="260" t="s">
        <v>48</v>
      </c>
      <c r="B31" s="261"/>
      <c r="C31" s="261">
        <v>0</v>
      </c>
      <c r="D31" s="458">
        <v>53633</v>
      </c>
      <c r="E31" s="458"/>
      <c r="F31" s="458"/>
      <c r="G31" s="458"/>
      <c r="H31" s="458"/>
    </row>
    <row r="32" spans="1:8" ht="14.7" customHeight="1" x14ac:dyDescent="0.25"/>
    <row r="35" ht="14.7" customHeight="1" x14ac:dyDescent="0.25"/>
    <row r="36" ht="14.7" customHeight="1" x14ac:dyDescent="0.25"/>
  </sheetData>
  <mergeCells count="7">
    <mergeCell ref="D31:H31"/>
    <mergeCell ref="A1:C1"/>
    <mergeCell ref="A2:C2"/>
    <mergeCell ref="A29:B29"/>
    <mergeCell ref="A30:B30"/>
    <mergeCell ref="D29:H29"/>
    <mergeCell ref="D30:H30"/>
  </mergeCells>
  <hyperlinks>
    <hyperlink ref="D6" r:id="rId1" display="https://2050partners.sharepoint.com/:w:/r/sites/CalBEMCollaborativeEfforts/Shared Documents/Working Group 1 - Streamlined Process/D - Complexity of Compliance/Prototype Unification/Project Development/Phase 2 (Collect Inputs) Development/NonRes-Vintage bins-Draft Report-30Nov2023-Final.docx?d=w8560be34ea9744e086bccf7767b0a3cf&amp;csf=1&amp;web=1&amp;e=tpxacv" xr:uid="{9B264631-F0F0-4192-B5C5-F574CB46B1DA}"/>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P36"/>
  <sheetViews>
    <sheetView zoomScale="80" zoomScaleNormal="80" workbookViewId="0">
      <pane xSplit="1" topLeftCell="B1" activePane="topRight" state="frozen"/>
      <selection pane="topRight" sqref="A1:K1"/>
    </sheetView>
  </sheetViews>
  <sheetFormatPr defaultColWidth="8.6640625" defaultRowHeight="12.75" customHeight="1" x14ac:dyDescent="0.25"/>
  <cols>
    <col min="1" max="1" width="28.6640625" style="8" customWidth="1"/>
    <col min="2" max="2" width="36.6640625" style="8" customWidth="1"/>
    <col min="3" max="4" width="15.109375" style="8" customWidth="1"/>
    <col min="5" max="5" width="19" style="8" customWidth="1"/>
    <col min="6" max="6" width="14.6640625" style="8" customWidth="1"/>
    <col min="7" max="7" width="12.6640625" style="8" customWidth="1"/>
    <col min="8" max="8" width="12" style="8" bestFit="1" customWidth="1"/>
    <col min="9" max="10" width="11.33203125" style="8" customWidth="1"/>
    <col min="11" max="11" width="32.5546875" style="8" customWidth="1"/>
    <col min="12" max="12" width="24.44140625" style="8" customWidth="1"/>
    <col min="13" max="13" width="12.6640625" style="8" customWidth="1"/>
    <col min="14" max="14" width="25.33203125" style="8" customWidth="1"/>
    <col min="15" max="15" width="22.33203125" style="8" bestFit="1" customWidth="1"/>
    <col min="16" max="16" width="18.33203125" style="8" customWidth="1"/>
    <col min="17" max="17" width="25.6640625" style="8" customWidth="1"/>
    <col min="18" max="18" width="22.6640625" style="8" customWidth="1"/>
    <col min="19" max="19" width="16.33203125" style="8" customWidth="1"/>
    <col min="20" max="20" width="6.6640625" style="8" bestFit="1" customWidth="1"/>
    <col min="21" max="25" width="17.33203125" style="8" customWidth="1"/>
    <col min="26" max="16384" width="8.6640625" style="8"/>
  </cols>
  <sheetData>
    <row r="1" spans="1:16" ht="25.95" customHeight="1" x14ac:dyDescent="0.25">
      <c r="A1" s="467" t="str">
        <f>"Proposed Layout - "&amp;Prototype!B4</f>
        <v>Proposed Layout - Laboratory</v>
      </c>
      <c r="B1" s="468"/>
      <c r="C1" s="468"/>
      <c r="D1" s="468"/>
      <c r="E1" s="468"/>
      <c r="F1" s="468"/>
      <c r="G1" s="468"/>
      <c r="H1" s="468"/>
      <c r="I1" s="468"/>
      <c r="J1" s="468"/>
      <c r="K1" s="469"/>
    </row>
    <row r="2" spans="1:16" ht="53.4" customHeight="1" x14ac:dyDescent="0.3">
      <c r="A2" s="139" t="s">
        <v>72</v>
      </c>
      <c r="B2" s="139" t="s">
        <v>73</v>
      </c>
      <c r="C2" s="444" t="s">
        <v>74</v>
      </c>
      <c r="D2" s="86" t="s">
        <v>75</v>
      </c>
      <c r="E2" s="30" t="s">
        <v>76</v>
      </c>
      <c r="F2" s="31" t="s">
        <v>77</v>
      </c>
      <c r="G2" s="31" t="s">
        <v>78</v>
      </c>
      <c r="H2" s="30" t="s">
        <v>79</v>
      </c>
      <c r="I2" s="30" t="s">
        <v>80</v>
      </c>
      <c r="J2" s="226" t="s">
        <v>81</v>
      </c>
      <c r="K2" s="30" t="s">
        <v>82</v>
      </c>
      <c r="L2"/>
      <c r="M2" s="470"/>
      <c r="N2" s="471"/>
      <c r="O2" s="471"/>
      <c r="P2" s="472"/>
    </row>
    <row r="3" spans="1:16" ht="17.7" customHeight="1" x14ac:dyDescent="0.3">
      <c r="A3" s="78" t="s">
        <v>83</v>
      </c>
      <c r="B3" s="78" t="s">
        <v>84</v>
      </c>
      <c r="C3" s="78" t="s">
        <v>85</v>
      </c>
      <c r="D3" s="78" t="s">
        <v>86</v>
      </c>
      <c r="E3" s="312" t="s">
        <v>87</v>
      </c>
      <c r="F3" s="106">
        <f t="shared" ref="F3:F20" si="0">G3/$G$21</f>
        <v>0.19741077514905001</v>
      </c>
      <c r="G3" s="79">
        <v>10587.74</v>
      </c>
      <c r="H3" s="20">
        <v>95294.29</v>
      </c>
      <c r="I3" s="20">
        <v>1</v>
      </c>
      <c r="J3" s="20">
        <f>K3*G3/1000</f>
        <v>264.69349999999997</v>
      </c>
      <c r="K3" s="227">
        <v>25</v>
      </c>
      <c r="L3"/>
      <c r="M3" s="473"/>
      <c r="N3" s="474"/>
      <c r="O3" s="474"/>
      <c r="P3" s="475"/>
    </row>
    <row r="4" spans="1:16" ht="17.7" customHeight="1" x14ac:dyDescent="0.3">
      <c r="A4" s="78" t="s">
        <v>83</v>
      </c>
      <c r="B4" s="78" t="s">
        <v>88</v>
      </c>
      <c r="C4" s="78" t="s">
        <v>89</v>
      </c>
      <c r="D4" s="78" t="s">
        <v>86</v>
      </c>
      <c r="E4" s="312" t="s">
        <v>87</v>
      </c>
      <c r="F4" s="106">
        <f t="shared" si="0"/>
        <v>0.19741077514905001</v>
      </c>
      <c r="G4" s="79">
        <v>10587.74</v>
      </c>
      <c r="H4" s="20">
        <v>95294.29</v>
      </c>
      <c r="I4" s="20">
        <v>1</v>
      </c>
      <c r="J4" s="20">
        <f t="shared" ref="J4:J20" si="1">K4*G4/1000</f>
        <v>264.69349999999997</v>
      </c>
      <c r="K4" s="227">
        <v>25</v>
      </c>
      <c r="L4"/>
      <c r="M4" s="473"/>
      <c r="N4" s="474"/>
      <c r="O4" s="474"/>
      <c r="P4" s="475"/>
    </row>
    <row r="5" spans="1:16" ht="17.7" customHeight="1" x14ac:dyDescent="0.3">
      <c r="A5" s="78" t="s">
        <v>83</v>
      </c>
      <c r="B5" s="78" t="s">
        <v>90</v>
      </c>
      <c r="C5" s="78" t="s">
        <v>91</v>
      </c>
      <c r="D5" s="78" t="s">
        <v>86</v>
      </c>
      <c r="E5" s="312" t="s">
        <v>87</v>
      </c>
      <c r="F5" s="106">
        <f t="shared" si="0"/>
        <v>0.19741077514905001</v>
      </c>
      <c r="G5" s="79">
        <v>10587.74</v>
      </c>
      <c r="H5" s="20">
        <v>95294.29</v>
      </c>
      <c r="I5" s="20">
        <v>1</v>
      </c>
      <c r="J5" s="20">
        <f t="shared" si="1"/>
        <v>264.69349999999997</v>
      </c>
      <c r="K5" s="227">
        <v>25</v>
      </c>
      <c r="L5"/>
      <c r="M5" s="473"/>
      <c r="N5" s="474"/>
      <c r="O5" s="474"/>
      <c r="P5" s="475"/>
    </row>
    <row r="6" spans="1:16" ht="17.7" customHeight="1" x14ac:dyDescent="0.3">
      <c r="A6" s="78" t="s">
        <v>92</v>
      </c>
      <c r="B6" s="78" t="s">
        <v>93</v>
      </c>
      <c r="C6" s="78" t="s">
        <v>71</v>
      </c>
      <c r="D6" s="78" t="s">
        <v>71</v>
      </c>
      <c r="E6" s="312" t="s">
        <v>94</v>
      </c>
      <c r="F6" s="106">
        <f t="shared" si="0"/>
        <v>0.33333333333333354</v>
      </c>
      <c r="G6" s="79">
        <v>17877.68</v>
      </c>
      <c r="H6" s="20">
        <v>71514.2</v>
      </c>
      <c r="I6" s="20">
        <v>1</v>
      </c>
      <c r="J6" s="20">
        <f t="shared" si="1"/>
        <v>0</v>
      </c>
      <c r="K6" s="227">
        <v>0</v>
      </c>
      <c r="L6"/>
      <c r="M6" s="473"/>
      <c r="N6" s="474"/>
      <c r="O6" s="474"/>
      <c r="P6" s="475"/>
    </row>
    <row r="7" spans="1:16" ht="17.7" customHeight="1" x14ac:dyDescent="0.3">
      <c r="A7" s="78" t="s">
        <v>92</v>
      </c>
      <c r="B7" s="78" t="s">
        <v>95</v>
      </c>
      <c r="C7" s="78" t="s">
        <v>71</v>
      </c>
      <c r="D7" s="78" t="s">
        <v>71</v>
      </c>
      <c r="E7" s="312" t="s">
        <v>94</v>
      </c>
      <c r="F7" s="106">
        <f t="shared" si="0"/>
        <v>0.33333333333333354</v>
      </c>
      <c r="G7" s="79">
        <v>17877.68</v>
      </c>
      <c r="H7" s="20">
        <v>71514.2</v>
      </c>
      <c r="I7" s="20">
        <v>1</v>
      </c>
      <c r="J7" s="20">
        <f t="shared" si="1"/>
        <v>0</v>
      </c>
      <c r="K7" s="227">
        <v>0</v>
      </c>
      <c r="L7"/>
      <c r="M7" s="473"/>
      <c r="N7" s="474"/>
      <c r="O7" s="474"/>
      <c r="P7" s="475"/>
    </row>
    <row r="8" spans="1:16" ht="17.7" customHeight="1" x14ac:dyDescent="0.3">
      <c r="A8" s="78" t="s">
        <v>96</v>
      </c>
      <c r="B8" s="78" t="s">
        <v>97</v>
      </c>
      <c r="C8" s="78" t="s">
        <v>85</v>
      </c>
      <c r="D8" s="78" t="s">
        <v>98</v>
      </c>
      <c r="E8" s="312" t="s">
        <v>87</v>
      </c>
      <c r="F8" s="106">
        <f t="shared" si="0"/>
        <v>4.1615765207416944E-2</v>
      </c>
      <c r="G8" s="79">
        <v>2231.98</v>
      </c>
      <c r="H8" s="20">
        <v>20088.810000000001</v>
      </c>
      <c r="I8" s="20">
        <v>1</v>
      </c>
      <c r="J8" s="20">
        <f t="shared" si="1"/>
        <v>11.1599</v>
      </c>
      <c r="K8" s="227">
        <v>5</v>
      </c>
      <c r="L8"/>
      <c r="M8" s="473"/>
      <c r="N8" s="474"/>
      <c r="O8" s="474"/>
      <c r="P8" s="475"/>
    </row>
    <row r="9" spans="1:16" ht="17.7" customHeight="1" x14ac:dyDescent="0.3">
      <c r="A9" s="78" t="s">
        <v>96</v>
      </c>
      <c r="B9" s="78" t="s">
        <v>99</v>
      </c>
      <c r="C9" s="78" t="s">
        <v>85</v>
      </c>
      <c r="D9" s="78" t="s">
        <v>98</v>
      </c>
      <c r="E9" s="312" t="s">
        <v>87</v>
      </c>
      <c r="F9" s="106">
        <f t="shared" si="0"/>
        <v>2.6346446145883221E-2</v>
      </c>
      <c r="G9" s="79">
        <v>1413.04</v>
      </c>
      <c r="H9" s="20">
        <v>12717.98</v>
      </c>
      <c r="I9" s="20">
        <v>1</v>
      </c>
      <c r="J9" s="20">
        <f t="shared" si="1"/>
        <v>7.0651999999999999</v>
      </c>
      <c r="K9" s="227">
        <v>5</v>
      </c>
      <c r="L9"/>
      <c r="M9" s="473"/>
      <c r="N9" s="474"/>
      <c r="O9" s="474"/>
      <c r="P9" s="475"/>
    </row>
    <row r="10" spans="1:16" ht="17.7" customHeight="1" x14ac:dyDescent="0.3">
      <c r="A10" s="78" t="s">
        <v>96</v>
      </c>
      <c r="B10" s="78" t="s">
        <v>100</v>
      </c>
      <c r="C10" s="78" t="s">
        <v>85</v>
      </c>
      <c r="D10" s="78" t="s">
        <v>98</v>
      </c>
      <c r="E10" s="312" t="s">
        <v>87</v>
      </c>
      <c r="F10" s="106">
        <f t="shared" si="0"/>
        <v>4.1615765207416944E-2</v>
      </c>
      <c r="G10" s="79">
        <v>2231.98</v>
      </c>
      <c r="H10" s="20">
        <v>20088.810000000001</v>
      </c>
      <c r="I10" s="20">
        <v>1</v>
      </c>
      <c r="J10" s="20">
        <f t="shared" si="1"/>
        <v>11.1599</v>
      </c>
      <c r="K10" s="227">
        <v>5</v>
      </c>
      <c r="L10"/>
      <c r="M10" s="473"/>
      <c r="N10" s="474"/>
      <c r="O10" s="474"/>
      <c r="P10" s="475"/>
    </row>
    <row r="11" spans="1:16" ht="17.7" customHeight="1" x14ac:dyDescent="0.3">
      <c r="A11" s="78" t="s">
        <v>96</v>
      </c>
      <c r="B11" s="78" t="s">
        <v>101</v>
      </c>
      <c r="C11" s="78" t="s">
        <v>85</v>
      </c>
      <c r="D11" s="78" t="s">
        <v>98</v>
      </c>
      <c r="E11" s="312" t="s">
        <v>87</v>
      </c>
      <c r="F11" s="106">
        <f t="shared" si="0"/>
        <v>2.6344581623566385E-2</v>
      </c>
      <c r="G11" s="79">
        <v>1412.94</v>
      </c>
      <c r="H11" s="20">
        <v>12717.05</v>
      </c>
      <c r="I11" s="20">
        <v>1</v>
      </c>
      <c r="J11" s="20">
        <f t="shared" si="1"/>
        <v>7.0647000000000011</v>
      </c>
      <c r="K11" s="227">
        <v>5</v>
      </c>
      <c r="L11"/>
      <c r="M11" s="473"/>
      <c r="N11" s="474"/>
      <c r="O11" s="474"/>
      <c r="P11" s="475"/>
    </row>
    <row r="12" spans="1:16" ht="17.7" customHeight="1" x14ac:dyDescent="0.3">
      <c r="A12" s="78" t="s">
        <v>83</v>
      </c>
      <c r="B12" s="78" t="s">
        <v>102</v>
      </c>
      <c r="C12" s="78" t="s">
        <v>89</v>
      </c>
      <c r="D12" s="78" t="s">
        <v>86</v>
      </c>
      <c r="E12" s="312" t="s">
        <v>87</v>
      </c>
      <c r="F12" s="106">
        <f t="shared" si="0"/>
        <v>4.1615765207416944E-2</v>
      </c>
      <c r="G12" s="79">
        <v>2231.98</v>
      </c>
      <c r="H12" s="20">
        <v>20088.810000000001</v>
      </c>
      <c r="I12" s="20">
        <v>1</v>
      </c>
      <c r="J12" s="20">
        <f t="shared" si="1"/>
        <v>55.799500000000002</v>
      </c>
      <c r="K12" s="227">
        <v>25</v>
      </c>
      <c r="L12"/>
      <c r="M12" s="473"/>
      <c r="N12" s="474"/>
      <c r="O12" s="474"/>
      <c r="P12" s="475"/>
    </row>
    <row r="13" spans="1:16" ht="17.7" customHeight="1" x14ac:dyDescent="0.3">
      <c r="A13" s="78" t="s">
        <v>83</v>
      </c>
      <c r="B13" s="78" t="s">
        <v>103</v>
      </c>
      <c r="C13" s="78" t="s">
        <v>89</v>
      </c>
      <c r="D13" s="78" t="s">
        <v>86</v>
      </c>
      <c r="E13" s="312" t="s">
        <v>87</v>
      </c>
      <c r="F13" s="106">
        <f t="shared" si="0"/>
        <v>2.6346446145883221E-2</v>
      </c>
      <c r="G13" s="79">
        <v>1413.04</v>
      </c>
      <c r="H13" s="20">
        <v>12717.98</v>
      </c>
      <c r="I13" s="20">
        <v>1</v>
      </c>
      <c r="J13" s="20">
        <f t="shared" si="1"/>
        <v>35.326000000000001</v>
      </c>
      <c r="K13" s="227">
        <v>25</v>
      </c>
      <c r="L13"/>
      <c r="M13" s="473"/>
      <c r="N13" s="474"/>
      <c r="O13" s="474"/>
      <c r="P13" s="475"/>
    </row>
    <row r="14" spans="1:16" ht="17.7" customHeight="1" x14ac:dyDescent="0.3">
      <c r="A14" s="78" t="s">
        <v>83</v>
      </c>
      <c r="B14" s="78" t="s">
        <v>104</v>
      </c>
      <c r="C14" s="78" t="s">
        <v>89</v>
      </c>
      <c r="D14" s="78" t="s">
        <v>86</v>
      </c>
      <c r="E14" s="312" t="s">
        <v>87</v>
      </c>
      <c r="F14" s="106">
        <f t="shared" si="0"/>
        <v>4.1615765207416944E-2</v>
      </c>
      <c r="G14" s="79">
        <v>2231.98</v>
      </c>
      <c r="H14" s="20">
        <v>20088.810000000001</v>
      </c>
      <c r="I14" s="20">
        <v>1</v>
      </c>
      <c r="J14" s="20">
        <f t="shared" si="1"/>
        <v>55.799500000000002</v>
      </c>
      <c r="K14" s="227">
        <v>25</v>
      </c>
      <c r="L14"/>
      <c r="M14" s="473"/>
      <c r="N14" s="474"/>
      <c r="O14" s="474"/>
      <c r="P14" s="475"/>
    </row>
    <row r="15" spans="1:16" ht="17.7" customHeight="1" x14ac:dyDescent="0.3">
      <c r="A15" s="78" t="s">
        <v>83</v>
      </c>
      <c r="B15" s="78" t="s">
        <v>105</v>
      </c>
      <c r="C15" s="78" t="s">
        <v>89</v>
      </c>
      <c r="D15" s="78" t="s">
        <v>86</v>
      </c>
      <c r="E15" s="312" t="s">
        <v>87</v>
      </c>
      <c r="F15" s="106">
        <f t="shared" si="0"/>
        <v>2.6344581623566385E-2</v>
      </c>
      <c r="G15" s="79">
        <v>1412.94</v>
      </c>
      <c r="H15" s="20">
        <v>12717.05</v>
      </c>
      <c r="I15" s="20">
        <v>1</v>
      </c>
      <c r="J15" s="20">
        <f t="shared" si="1"/>
        <v>35.323500000000003</v>
      </c>
      <c r="K15" s="227">
        <v>25</v>
      </c>
      <c r="L15"/>
      <c r="M15" s="473"/>
      <c r="N15" s="474"/>
      <c r="O15" s="474"/>
      <c r="P15" s="475"/>
    </row>
    <row r="16" spans="1:16" ht="17.7" customHeight="1" x14ac:dyDescent="0.3">
      <c r="A16" s="78" t="s">
        <v>96</v>
      </c>
      <c r="B16" s="78" t="s">
        <v>106</v>
      </c>
      <c r="C16" s="78" t="s">
        <v>91</v>
      </c>
      <c r="D16" s="78" t="s">
        <v>98</v>
      </c>
      <c r="E16" s="312" t="s">
        <v>87</v>
      </c>
      <c r="F16" s="106">
        <f t="shared" si="0"/>
        <v>4.1615765207416944E-2</v>
      </c>
      <c r="G16" s="79">
        <v>2231.98</v>
      </c>
      <c r="H16" s="20">
        <v>20088.810000000001</v>
      </c>
      <c r="I16" s="20">
        <v>1</v>
      </c>
      <c r="J16" s="20">
        <f t="shared" si="1"/>
        <v>11.1599</v>
      </c>
      <c r="K16" s="227">
        <v>5</v>
      </c>
      <c r="L16"/>
      <c r="M16" s="473"/>
      <c r="N16" s="474"/>
      <c r="O16" s="474"/>
      <c r="P16" s="475"/>
    </row>
    <row r="17" spans="1:16" ht="17.7" customHeight="1" x14ac:dyDescent="0.3">
      <c r="A17" s="78" t="s">
        <v>96</v>
      </c>
      <c r="B17" s="78" t="s">
        <v>107</v>
      </c>
      <c r="C17" s="78" t="s">
        <v>91</v>
      </c>
      <c r="D17" s="78" t="s">
        <v>98</v>
      </c>
      <c r="E17" s="312" t="s">
        <v>87</v>
      </c>
      <c r="F17" s="106">
        <f t="shared" si="0"/>
        <v>2.6346446145883221E-2</v>
      </c>
      <c r="G17" s="79">
        <v>1413.04</v>
      </c>
      <c r="H17" s="20">
        <v>12717.98</v>
      </c>
      <c r="I17" s="20">
        <v>1</v>
      </c>
      <c r="J17" s="20">
        <f t="shared" si="1"/>
        <v>7.0651999999999999</v>
      </c>
      <c r="K17" s="227">
        <v>5</v>
      </c>
      <c r="L17"/>
      <c r="M17" s="473"/>
      <c r="N17" s="474"/>
      <c r="O17" s="474"/>
      <c r="P17" s="475"/>
    </row>
    <row r="18" spans="1:16" ht="17.7" customHeight="1" x14ac:dyDescent="0.3">
      <c r="A18" s="78" t="s">
        <v>96</v>
      </c>
      <c r="B18" s="78" t="s">
        <v>108</v>
      </c>
      <c r="C18" s="78" t="s">
        <v>91</v>
      </c>
      <c r="D18" s="78" t="s">
        <v>98</v>
      </c>
      <c r="E18" s="312" t="s">
        <v>87</v>
      </c>
      <c r="F18" s="106">
        <f t="shared" si="0"/>
        <v>4.1615765207416944E-2</v>
      </c>
      <c r="G18" s="79">
        <v>2231.98</v>
      </c>
      <c r="H18" s="20">
        <v>20088.810000000001</v>
      </c>
      <c r="I18" s="20">
        <v>1</v>
      </c>
      <c r="J18" s="20">
        <f t="shared" si="1"/>
        <v>11.1599</v>
      </c>
      <c r="K18" s="227">
        <v>5</v>
      </c>
      <c r="L18"/>
      <c r="M18" s="473"/>
      <c r="N18" s="474"/>
      <c r="O18" s="474"/>
      <c r="P18" s="475"/>
    </row>
    <row r="19" spans="1:16" ht="17.7" customHeight="1" x14ac:dyDescent="0.3">
      <c r="A19" s="78" t="s">
        <v>96</v>
      </c>
      <c r="B19" s="78" t="s">
        <v>109</v>
      </c>
      <c r="C19" s="78" t="s">
        <v>91</v>
      </c>
      <c r="D19" s="78" t="s">
        <v>98</v>
      </c>
      <c r="E19" s="312" t="s">
        <v>87</v>
      </c>
      <c r="F19" s="106">
        <f t="shared" si="0"/>
        <v>2.6344581623566385E-2</v>
      </c>
      <c r="G19" s="79">
        <v>1412.94</v>
      </c>
      <c r="H19" s="20">
        <v>12717.05</v>
      </c>
      <c r="I19" s="20">
        <v>1</v>
      </c>
      <c r="J19" s="20">
        <f t="shared" si="1"/>
        <v>7.0647000000000011</v>
      </c>
      <c r="K19" s="227">
        <v>5</v>
      </c>
      <c r="L19"/>
      <c r="M19" s="473"/>
      <c r="N19" s="474"/>
      <c r="O19" s="474"/>
      <c r="P19" s="475"/>
    </row>
    <row r="20" spans="1:16" ht="17.7" customHeight="1" x14ac:dyDescent="0.3">
      <c r="A20" s="78" t="s">
        <v>92</v>
      </c>
      <c r="B20" s="78" t="s">
        <v>110</v>
      </c>
      <c r="C20" s="78" t="s">
        <v>71</v>
      </c>
      <c r="D20" s="78" t="s">
        <v>71</v>
      </c>
      <c r="E20" s="312" t="s">
        <v>94</v>
      </c>
      <c r="F20" s="106">
        <f t="shared" si="0"/>
        <v>0.33333333333333354</v>
      </c>
      <c r="G20" s="79">
        <v>17877.68</v>
      </c>
      <c r="H20" s="20">
        <v>71514.2</v>
      </c>
      <c r="I20" s="20">
        <v>1</v>
      </c>
      <c r="J20" s="20">
        <f t="shared" si="1"/>
        <v>0</v>
      </c>
      <c r="K20" s="227">
        <v>0</v>
      </c>
      <c r="L20"/>
      <c r="M20" s="473"/>
      <c r="N20" s="474"/>
      <c r="O20" s="474"/>
      <c r="P20" s="475"/>
    </row>
    <row r="21" spans="1:16" ht="39.6" customHeight="1" x14ac:dyDescent="0.3">
      <c r="A21" s="228" t="s">
        <v>111</v>
      </c>
      <c r="B21" s="228" t="s">
        <v>112</v>
      </c>
      <c r="C21" s="228" t="s">
        <v>113</v>
      </c>
      <c r="D21" s="313"/>
      <c r="E21" s="229" t="s">
        <v>114</v>
      </c>
      <c r="F21" s="230"/>
      <c r="G21" s="231">
        <f>SUM(G3:G20)-G6-G7-G20</f>
        <v>53633.039999999972</v>
      </c>
      <c r="H21" s="20"/>
      <c r="I21" s="20"/>
      <c r="J21" s="20">
        <f>SUM(J3:J20)</f>
        <v>1049.2283999999997</v>
      </c>
      <c r="K21" s="227"/>
      <c r="L21"/>
      <c r="M21" s="476"/>
      <c r="N21" s="477"/>
      <c r="O21" s="477"/>
      <c r="P21" s="478"/>
    </row>
    <row r="22" spans="1:16" ht="14.4" x14ac:dyDescent="0.3">
      <c r="G22" s="22"/>
      <c r="H22" s="22"/>
      <c r="I22" s="22"/>
      <c r="J22" s="22"/>
      <c r="K22" s="23"/>
      <c r="L22"/>
    </row>
    <row r="23" spans="1:16" ht="14.4" x14ac:dyDescent="0.3">
      <c r="A23" s="9"/>
      <c r="B23" s="9"/>
      <c r="C23" s="9"/>
      <c r="D23" s="9"/>
      <c r="E23" s="9"/>
      <c r="F23" s="9"/>
      <c r="G23" s="24"/>
      <c r="I23" s="22"/>
      <c r="J23" s="22"/>
      <c r="K23" s="22"/>
      <c r="L23"/>
    </row>
    <row r="24" spans="1:16" ht="14.7" customHeight="1" x14ac:dyDescent="0.3">
      <c r="A24" s="13"/>
      <c r="B24" s="13"/>
      <c r="C24" s="13"/>
      <c r="D24" s="13"/>
      <c r="E24" s="13"/>
      <c r="G24" s="22"/>
      <c r="H24" s="22"/>
      <c r="I24" s="22"/>
      <c r="J24" s="22"/>
      <c r="K24" s="22"/>
      <c r="L24"/>
    </row>
    <row r="25" spans="1:16" ht="14.4" x14ac:dyDescent="0.3">
      <c r="A25" s="25"/>
      <c r="B25" s="25"/>
      <c r="C25" s="25"/>
      <c r="D25" s="25"/>
      <c r="E25" s="25"/>
      <c r="G25" s="22"/>
      <c r="H25" s="22"/>
      <c r="I25" s="22"/>
      <c r="J25" s="22"/>
      <c r="K25" s="22"/>
      <c r="L25"/>
    </row>
    <row r="26" spans="1:16" ht="14.4" x14ac:dyDescent="0.3">
      <c r="A26" s="22"/>
      <c r="B26" s="22"/>
      <c r="C26" s="22"/>
      <c r="D26" s="22"/>
      <c r="E26" s="22"/>
      <c r="G26" s="22"/>
      <c r="H26" s="22"/>
      <c r="I26" s="22"/>
      <c r="J26" s="22"/>
      <c r="K26" s="22"/>
      <c r="L26"/>
    </row>
    <row r="27" spans="1:16" ht="14.4" x14ac:dyDescent="0.3">
      <c r="A27" s="22"/>
      <c r="B27" s="22"/>
      <c r="C27" s="22"/>
      <c r="D27" s="22"/>
      <c r="E27" s="22"/>
      <c r="G27" s="22"/>
      <c r="H27" s="22"/>
      <c r="I27" s="22"/>
      <c r="J27" s="22"/>
      <c r="K27" s="22"/>
      <c r="L27"/>
    </row>
    <row r="28" spans="1:16" ht="14.4" x14ac:dyDescent="0.3">
      <c r="G28" s="22"/>
      <c r="H28" s="22"/>
      <c r="I28" s="22"/>
      <c r="J28" s="22"/>
      <c r="K28" s="22"/>
      <c r="L28"/>
    </row>
    <row r="29" spans="1:16" ht="14.4" x14ac:dyDescent="0.3">
      <c r="G29" s="22"/>
      <c r="H29" s="22"/>
      <c r="I29" s="22"/>
      <c r="J29" s="22"/>
      <c r="K29" s="22"/>
      <c r="L29"/>
    </row>
    <row r="30" spans="1:16" ht="14.4" x14ac:dyDescent="0.3">
      <c r="G30" s="22"/>
      <c r="H30" s="22"/>
      <c r="I30" s="22"/>
      <c r="J30" s="22"/>
      <c r="K30" s="22"/>
      <c r="L30"/>
    </row>
    <row r="31" spans="1:16" ht="14.4" x14ac:dyDescent="0.3">
      <c r="G31" s="22"/>
      <c r="H31" s="22"/>
      <c r="I31" s="22"/>
      <c r="J31" s="22"/>
      <c r="K31" s="22"/>
      <c r="L31"/>
    </row>
    <row r="32" spans="1:16" ht="14.4" x14ac:dyDescent="0.3">
      <c r="G32" s="22"/>
      <c r="H32" s="22"/>
      <c r="I32" s="22"/>
      <c r="J32" s="22"/>
      <c r="K32" s="22"/>
      <c r="L32"/>
    </row>
    <row r="33" spans="1:12" s="26" customFormat="1" ht="14.4" hidden="1" x14ac:dyDescent="0.3">
      <c r="A33" s="26" t="s">
        <v>115</v>
      </c>
      <c r="G33" s="27"/>
      <c r="H33" s="29"/>
      <c r="L33" s="154"/>
    </row>
    <row r="34" spans="1:12" ht="14.4" x14ac:dyDescent="0.3">
      <c r="A34" s="21"/>
      <c r="B34" s="21"/>
      <c r="C34" s="21"/>
      <c r="D34" s="21"/>
      <c r="E34" s="21"/>
      <c r="F34" s="21"/>
      <c r="L34"/>
    </row>
    <row r="35" spans="1:12" ht="14.4" x14ac:dyDescent="0.3">
      <c r="L35"/>
    </row>
    <row r="36" spans="1:12" ht="14.4" x14ac:dyDescent="0.3">
      <c r="L36"/>
    </row>
  </sheetData>
  <autoFilter ref="A2:K21" xr:uid="{2E9DC9C1-ABE9-4C74-8C0A-F769CBEC5074}"/>
  <mergeCells count="2">
    <mergeCell ref="A1:K1"/>
    <mergeCell ref="M2:P2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8F38134-4F2A-42C0-B8AA-82A45FA22489}">
          <x14:formula1>
            <xm:f>Data!$A$2:$A$200</xm:f>
          </x14:formula1>
          <xm:sqref>A3:A20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AX33"/>
  <sheetViews>
    <sheetView zoomScale="85" zoomScaleNormal="85" workbookViewId="0">
      <selection sqref="A1:X1"/>
    </sheetView>
  </sheetViews>
  <sheetFormatPr defaultColWidth="9.33203125" defaultRowHeight="13.8" x14ac:dyDescent="0.25"/>
  <cols>
    <col min="1" max="1" width="15.44140625" style="68" customWidth="1"/>
    <col min="2" max="2" width="13.5546875" style="70" customWidth="1"/>
    <col min="3" max="3" width="21.5546875" style="68" customWidth="1"/>
    <col min="4" max="4" width="41.44140625" style="68" bestFit="1" customWidth="1"/>
    <col min="5" max="5" width="15.44140625" style="68" customWidth="1"/>
    <col min="6" max="6" width="20" style="68" customWidth="1"/>
    <col min="7" max="7" width="20.5546875" style="71" customWidth="1"/>
    <col min="8" max="8" width="59.5546875" style="68" customWidth="1"/>
    <col min="9" max="9" width="6.88671875" style="68" customWidth="1"/>
    <col min="10" max="12" width="7" style="68" customWidth="1"/>
    <col min="13" max="13" width="7.88671875" style="68" customWidth="1"/>
    <col min="14" max="14" width="8.6640625" style="68" customWidth="1"/>
    <col min="15" max="15" width="7" style="68" customWidth="1"/>
    <col min="16" max="16" width="7.109375" style="68" customWidth="1"/>
    <col min="17" max="17" width="7.5546875" style="68" customWidth="1"/>
    <col min="18" max="21" width="7" style="68" customWidth="1"/>
    <col min="22" max="22" width="7.6640625" style="68" customWidth="1"/>
    <col min="23" max="24" width="7" style="68" customWidth="1"/>
    <col min="25" max="26" width="9.33203125" style="68"/>
    <col min="27" max="30" width="7.6640625" style="68" customWidth="1"/>
    <col min="31" max="31" width="9.6640625" style="68" customWidth="1"/>
    <col min="32" max="32" width="7.5546875" style="68" customWidth="1"/>
    <col min="33" max="33" width="11.44140625" style="68" customWidth="1"/>
    <col min="34" max="42" width="7.6640625" style="68" customWidth="1"/>
    <col min="43" max="46" width="10.44140625" style="68" customWidth="1"/>
    <col min="47" max="47" width="9.88671875" style="68" customWidth="1"/>
    <col min="48" max="48" width="10.44140625" style="68" customWidth="1"/>
    <col min="49" max="49" width="21.6640625" style="68" customWidth="1"/>
    <col min="50" max="50" width="10.44140625" style="68" customWidth="1"/>
    <col min="51" max="53" width="7.44140625" style="68" customWidth="1"/>
    <col min="54" max="54" width="7.6640625" style="68" customWidth="1"/>
    <col min="55" max="55" width="7.44140625" style="68" customWidth="1"/>
    <col min="56" max="56" width="13.6640625" style="68" customWidth="1"/>
    <col min="57" max="60" width="7.44140625" style="68" customWidth="1"/>
    <col min="61" max="62" width="9.6640625" style="68" bestFit="1" customWidth="1"/>
    <col min="63" max="16384" width="9.33203125" style="68"/>
  </cols>
  <sheetData>
    <row r="1" spans="1:25" ht="31.95" customHeight="1" x14ac:dyDescent="0.25">
      <c r="A1" s="483" t="str">
        <f>"Envelope - "&amp;Prototype!B4</f>
        <v>Envelope - Laboratory</v>
      </c>
      <c r="B1" s="483"/>
      <c r="C1" s="483"/>
      <c r="D1" s="483"/>
      <c r="E1" s="483"/>
      <c r="F1" s="483"/>
      <c r="G1" s="483"/>
      <c r="H1" s="483"/>
      <c r="I1" s="483"/>
      <c r="J1" s="483"/>
      <c r="K1" s="483"/>
      <c r="L1" s="483"/>
      <c r="M1" s="483"/>
      <c r="N1" s="483"/>
      <c r="O1" s="483"/>
      <c r="P1" s="483"/>
      <c r="Q1" s="483"/>
      <c r="R1" s="483"/>
      <c r="S1" s="483"/>
      <c r="T1" s="483"/>
      <c r="U1" s="483"/>
      <c r="V1" s="483"/>
      <c r="W1" s="483"/>
      <c r="X1" s="483"/>
      <c r="Y1" s="6"/>
    </row>
    <row r="2" spans="1:25" ht="28.2" customHeight="1" x14ac:dyDescent="0.25">
      <c r="A2" s="439" t="s">
        <v>116</v>
      </c>
      <c r="B2" s="439" t="s">
        <v>5</v>
      </c>
      <c r="C2" s="439" t="s">
        <v>117</v>
      </c>
      <c r="D2" s="439" t="s">
        <v>118</v>
      </c>
      <c r="E2" s="431" t="s">
        <v>119</v>
      </c>
      <c r="F2" s="439" t="s">
        <v>120</v>
      </c>
      <c r="G2" s="431" t="s">
        <v>121</v>
      </c>
      <c r="H2" s="439" t="s">
        <v>122</v>
      </c>
      <c r="I2" s="439" t="s">
        <v>123</v>
      </c>
      <c r="J2" s="439" t="s">
        <v>124</v>
      </c>
      <c r="K2" s="439" t="s">
        <v>125</v>
      </c>
      <c r="L2" s="439" t="s">
        <v>126</v>
      </c>
      <c r="M2" s="439" t="s">
        <v>127</v>
      </c>
      <c r="N2" s="439" t="s">
        <v>128</v>
      </c>
      <c r="O2" s="439" t="s">
        <v>129</v>
      </c>
      <c r="P2" s="439" t="s">
        <v>130</v>
      </c>
      <c r="Q2" s="439" t="s">
        <v>131</v>
      </c>
      <c r="R2" s="439" t="s">
        <v>132</v>
      </c>
      <c r="S2" s="439" t="s">
        <v>133</v>
      </c>
      <c r="T2" s="439" t="s">
        <v>134</v>
      </c>
      <c r="U2" s="439" t="s">
        <v>135</v>
      </c>
      <c r="V2" s="439" t="s">
        <v>136</v>
      </c>
      <c r="W2" s="439" t="s">
        <v>137</v>
      </c>
      <c r="X2" s="439" t="s">
        <v>138</v>
      </c>
      <c r="Y2" s="6"/>
    </row>
    <row r="3" spans="1:25" x14ac:dyDescent="0.25">
      <c r="A3" s="479" t="s">
        <v>139</v>
      </c>
      <c r="B3" s="480" t="str">
        <f>Prototype!A2</f>
        <v>Laboratory</v>
      </c>
      <c r="C3" s="480" t="s">
        <v>140</v>
      </c>
      <c r="D3" s="480" t="s">
        <v>141</v>
      </c>
      <c r="E3" s="479" t="s">
        <v>142</v>
      </c>
      <c r="F3" s="427" t="s">
        <v>143</v>
      </c>
      <c r="G3" s="427" t="s">
        <v>144</v>
      </c>
      <c r="H3" s="263" t="s">
        <v>145</v>
      </c>
      <c r="I3" s="263">
        <v>0.35199999999999998</v>
      </c>
      <c r="J3" s="263">
        <v>0.35199999999999998</v>
      </c>
      <c r="K3" s="263">
        <v>0.35199999999999998</v>
      </c>
      <c r="L3" s="263">
        <v>0.35199999999999998</v>
      </c>
      <c r="M3" s="263">
        <v>0.35199999999999998</v>
      </c>
      <c r="N3" s="263">
        <v>0.35199999999999998</v>
      </c>
      <c r="O3" s="263">
        <v>0.35199999999999998</v>
      </c>
      <c r="P3" s="263">
        <v>0.35199999999999998</v>
      </c>
      <c r="Q3" s="263">
        <v>0.35199999999999998</v>
      </c>
      <c r="R3" s="263">
        <v>0.35199999999999998</v>
      </c>
      <c r="S3" s="263">
        <v>0.35199999999999998</v>
      </c>
      <c r="T3" s="263">
        <v>0.35199999999999998</v>
      </c>
      <c r="U3" s="263">
        <v>0.35199999999999998</v>
      </c>
      <c r="V3" s="263">
        <v>0.35199999999999998</v>
      </c>
      <c r="W3" s="263">
        <v>0.35199999999999998</v>
      </c>
      <c r="X3" s="263">
        <v>0.35199999999999998</v>
      </c>
      <c r="Y3" s="6"/>
    </row>
    <row r="4" spans="1:25" ht="26.4" x14ac:dyDescent="0.25">
      <c r="A4" s="479"/>
      <c r="B4" s="480"/>
      <c r="C4" s="480"/>
      <c r="D4" s="480"/>
      <c r="E4" s="479"/>
      <c r="F4" s="203" t="s">
        <v>146</v>
      </c>
      <c r="G4" s="203">
        <v>1986</v>
      </c>
      <c r="H4" s="262" t="s">
        <v>147</v>
      </c>
      <c r="I4" s="140">
        <v>0.21276595744680851</v>
      </c>
      <c r="J4" s="140">
        <v>0.22727272727272727</v>
      </c>
      <c r="K4" s="140">
        <v>0.22727272727272727</v>
      </c>
      <c r="L4" s="140">
        <v>0.21739130434782611</v>
      </c>
      <c r="M4" s="140">
        <v>0.25641025641025644</v>
      </c>
      <c r="N4" s="140">
        <v>0.25641025641025644</v>
      </c>
      <c r="O4" s="140">
        <v>0.25641025641025644</v>
      </c>
      <c r="P4" s="140">
        <v>0.25641025641025644</v>
      </c>
      <c r="Q4" s="140">
        <v>0.25641025641025644</v>
      </c>
      <c r="R4" s="140">
        <v>0.25641025641025644</v>
      </c>
      <c r="S4" s="140">
        <v>0.23809523809523808</v>
      </c>
      <c r="T4" s="140">
        <v>0.23809523809523808</v>
      </c>
      <c r="U4" s="140">
        <v>0.23809523809523808</v>
      </c>
      <c r="V4" s="140">
        <v>0.20833333333333334</v>
      </c>
      <c r="W4" s="140">
        <v>0.20833333333333334</v>
      </c>
      <c r="X4" s="140">
        <v>0.21276595744680851</v>
      </c>
      <c r="Y4" s="6"/>
    </row>
    <row r="5" spans="1:25" x14ac:dyDescent="0.25">
      <c r="A5" s="479"/>
      <c r="B5" s="480"/>
      <c r="C5" s="480"/>
      <c r="D5" s="480"/>
      <c r="E5" s="479"/>
      <c r="F5" s="204" t="s">
        <v>148</v>
      </c>
      <c r="G5" s="204">
        <v>2001</v>
      </c>
      <c r="H5" s="204" t="s">
        <v>149</v>
      </c>
      <c r="I5" s="204">
        <v>0.182</v>
      </c>
      <c r="J5" s="204">
        <v>0.182</v>
      </c>
      <c r="K5" s="204">
        <v>0.189</v>
      </c>
      <c r="L5" s="204">
        <v>0.189</v>
      </c>
      <c r="M5" s="204">
        <v>0.189</v>
      </c>
      <c r="N5" s="204">
        <v>0.189</v>
      </c>
      <c r="O5" s="204">
        <v>0.189</v>
      </c>
      <c r="P5" s="204">
        <v>0.189</v>
      </c>
      <c r="Q5" s="204">
        <v>0.189</v>
      </c>
      <c r="R5" s="204">
        <v>0.182</v>
      </c>
      <c r="S5" s="204">
        <v>0.182</v>
      </c>
      <c r="T5" s="204">
        <v>0.182</v>
      </c>
      <c r="U5" s="204">
        <v>0.182</v>
      </c>
      <c r="V5" s="204">
        <v>0.182</v>
      </c>
      <c r="W5" s="205">
        <v>0.182</v>
      </c>
      <c r="X5" s="205">
        <v>0.182</v>
      </c>
      <c r="Y5" s="6"/>
    </row>
    <row r="6" spans="1:25" x14ac:dyDescent="0.25">
      <c r="A6" s="479"/>
      <c r="B6" s="480"/>
      <c r="C6" s="480"/>
      <c r="D6" s="480"/>
      <c r="E6" s="479"/>
      <c r="F6" s="206" t="s">
        <v>150</v>
      </c>
      <c r="G6" s="206">
        <v>2013</v>
      </c>
      <c r="H6" s="206" t="s">
        <v>151</v>
      </c>
      <c r="I6" s="206">
        <v>9.8000000000000004E-2</v>
      </c>
      <c r="J6" s="206">
        <v>6.2E-2</v>
      </c>
      <c r="K6" s="206">
        <v>8.2000000000000003E-2</v>
      </c>
      <c r="L6" s="206">
        <v>6.2E-2</v>
      </c>
      <c r="M6" s="206">
        <v>6.2E-2</v>
      </c>
      <c r="N6" s="206">
        <v>9.8000000000000004E-2</v>
      </c>
      <c r="O6" s="206">
        <v>9.8000000000000004E-2</v>
      </c>
      <c r="P6" s="206">
        <v>6.2E-2</v>
      </c>
      <c r="Q6" s="206">
        <v>6.2E-2</v>
      </c>
      <c r="R6" s="206">
        <v>6.2E-2</v>
      </c>
      <c r="S6" s="206">
        <v>6.2E-2</v>
      </c>
      <c r="T6" s="206">
        <v>6.2E-2</v>
      </c>
      <c r="U6" s="206">
        <v>6.2E-2</v>
      </c>
      <c r="V6" s="206">
        <v>6.2E-2</v>
      </c>
      <c r="W6" s="207">
        <v>6.2E-2</v>
      </c>
      <c r="X6" s="207">
        <v>6.2E-2</v>
      </c>
      <c r="Y6" s="6"/>
    </row>
    <row r="7" spans="1:25" x14ac:dyDescent="0.25">
      <c r="A7" s="479"/>
      <c r="B7" s="480"/>
      <c r="C7" s="480"/>
      <c r="D7" s="480"/>
      <c r="E7" s="479"/>
      <c r="F7" s="264" t="s">
        <v>152</v>
      </c>
      <c r="G7" s="265">
        <v>2025</v>
      </c>
      <c r="H7" s="265" t="s">
        <v>151</v>
      </c>
      <c r="I7" s="266">
        <v>0.06</v>
      </c>
      <c r="J7" s="265">
        <v>5.5E-2</v>
      </c>
      <c r="K7" s="265">
        <v>7.0999999999999994E-2</v>
      </c>
      <c r="L7" s="265">
        <v>5.5E-2</v>
      </c>
      <c r="M7" s="265">
        <v>5.5E-2</v>
      </c>
      <c r="N7" s="265">
        <v>0.06</v>
      </c>
      <c r="O7" s="265">
        <v>0.06</v>
      </c>
      <c r="P7" s="265">
        <v>5.5E-2</v>
      </c>
      <c r="Q7" s="265">
        <v>5.5E-2</v>
      </c>
      <c r="R7" s="265">
        <v>5.5E-2</v>
      </c>
      <c r="S7" s="265">
        <v>5.5E-2</v>
      </c>
      <c r="T7" s="265">
        <v>5.5E-2</v>
      </c>
      <c r="U7" s="265">
        <v>5.5E-2</v>
      </c>
      <c r="V7" s="265">
        <v>5.5E-2</v>
      </c>
      <c r="W7" s="267">
        <v>5.5E-2</v>
      </c>
      <c r="X7" s="267">
        <v>5.5E-2</v>
      </c>
      <c r="Y7" s="6"/>
    </row>
    <row r="8" spans="1:25" x14ac:dyDescent="0.25">
      <c r="A8" s="479" t="s">
        <v>153</v>
      </c>
      <c r="B8" s="480" t="str">
        <f t="shared" ref="B8" si="0">$B$3</f>
        <v>Laboratory</v>
      </c>
      <c r="C8" s="480" t="s">
        <v>154</v>
      </c>
      <c r="D8" s="481" t="s">
        <v>155</v>
      </c>
      <c r="E8" s="479" t="s">
        <v>142</v>
      </c>
      <c r="F8" s="427" t="s">
        <v>143</v>
      </c>
      <c r="G8" s="427" t="s">
        <v>144</v>
      </c>
      <c r="H8" s="480" t="s">
        <v>156</v>
      </c>
      <c r="I8" s="427">
        <v>5.7000000000000002E-2</v>
      </c>
      <c r="J8" s="427">
        <v>5.7000000000000002E-2</v>
      </c>
      <c r="K8" s="427">
        <v>5.7000000000000002E-2</v>
      </c>
      <c r="L8" s="427">
        <v>5.7000000000000002E-2</v>
      </c>
      <c r="M8" s="427">
        <v>5.7000000000000002E-2</v>
      </c>
      <c r="N8" s="427">
        <v>7.8E-2</v>
      </c>
      <c r="O8" s="427">
        <v>7.8E-2</v>
      </c>
      <c r="P8" s="427">
        <v>7.8E-2</v>
      </c>
      <c r="Q8" s="427">
        <v>7.8E-2</v>
      </c>
      <c r="R8" s="427">
        <v>7.8E-2</v>
      </c>
      <c r="S8" s="427">
        <v>5.7000000000000002E-2</v>
      </c>
      <c r="T8" s="427">
        <v>5.7000000000000002E-2</v>
      </c>
      <c r="U8" s="427">
        <v>5.7000000000000002E-2</v>
      </c>
      <c r="V8" s="427">
        <v>5.7000000000000002E-2</v>
      </c>
      <c r="W8" s="427">
        <v>5.7000000000000002E-2</v>
      </c>
      <c r="X8" s="427">
        <v>5.7000000000000002E-2</v>
      </c>
      <c r="Y8" s="208"/>
    </row>
    <row r="9" spans="1:25" x14ac:dyDescent="0.25">
      <c r="A9" s="479"/>
      <c r="B9" s="480"/>
      <c r="C9" s="479"/>
      <c r="D9" s="481"/>
      <c r="E9" s="479"/>
      <c r="F9" s="203" t="s">
        <v>146</v>
      </c>
      <c r="G9" s="203">
        <v>1992</v>
      </c>
      <c r="H9" s="480"/>
      <c r="I9" s="203">
        <v>5.7000000000000002E-2</v>
      </c>
      <c r="J9" s="203">
        <v>5.7000000000000002E-2</v>
      </c>
      <c r="K9" s="203">
        <v>5.7000000000000002E-2</v>
      </c>
      <c r="L9" s="203">
        <v>5.7000000000000002E-2</v>
      </c>
      <c r="M9" s="203">
        <v>5.7000000000000002E-2</v>
      </c>
      <c r="N9" s="203">
        <v>7.8E-2</v>
      </c>
      <c r="O9" s="203">
        <v>7.8E-2</v>
      </c>
      <c r="P9" s="203">
        <v>7.8E-2</v>
      </c>
      <c r="Q9" s="203">
        <v>7.8E-2</v>
      </c>
      <c r="R9" s="203">
        <v>7.8E-2</v>
      </c>
      <c r="S9" s="203">
        <v>5.7000000000000002E-2</v>
      </c>
      <c r="T9" s="203">
        <v>5.7000000000000002E-2</v>
      </c>
      <c r="U9" s="203">
        <v>5.7000000000000002E-2</v>
      </c>
      <c r="V9" s="203">
        <v>5.7000000000000002E-2</v>
      </c>
      <c r="W9" s="203">
        <v>5.7000000000000002E-2</v>
      </c>
      <c r="X9" s="203">
        <v>5.7000000000000002E-2</v>
      </c>
      <c r="Y9" s="208"/>
    </row>
    <row r="10" spans="1:25" x14ac:dyDescent="0.25">
      <c r="A10" s="479"/>
      <c r="B10" s="480"/>
      <c r="C10" s="479"/>
      <c r="D10" s="481"/>
      <c r="E10" s="479"/>
      <c r="F10" s="204" t="s">
        <v>148</v>
      </c>
      <c r="G10" s="204">
        <v>2001</v>
      </c>
      <c r="H10" s="204" t="s">
        <v>149</v>
      </c>
      <c r="I10" s="204">
        <v>5.7000000000000002E-2</v>
      </c>
      <c r="J10" s="204">
        <v>5.7000000000000002E-2</v>
      </c>
      <c r="K10" s="204">
        <v>5.7000000000000002E-2</v>
      </c>
      <c r="L10" s="204">
        <v>5.7000000000000002E-2</v>
      </c>
      <c r="M10" s="204">
        <v>5.7000000000000002E-2</v>
      </c>
      <c r="N10" s="204">
        <v>7.8E-2</v>
      </c>
      <c r="O10" s="204">
        <v>7.8E-2</v>
      </c>
      <c r="P10" s="204">
        <v>7.8E-2</v>
      </c>
      <c r="Q10" s="204">
        <v>7.8E-2</v>
      </c>
      <c r="R10" s="204">
        <v>5.7000000000000002E-2</v>
      </c>
      <c r="S10" s="204">
        <v>5.7000000000000002E-2</v>
      </c>
      <c r="T10" s="204">
        <v>5.7000000000000002E-2</v>
      </c>
      <c r="U10" s="204">
        <v>5.7000000000000002E-2</v>
      </c>
      <c r="V10" s="204">
        <v>5.7000000000000002E-2</v>
      </c>
      <c r="W10" s="204">
        <v>5.7000000000000002E-2</v>
      </c>
      <c r="X10" s="204">
        <v>5.7000000000000002E-2</v>
      </c>
      <c r="Y10" s="208"/>
    </row>
    <row r="11" spans="1:25" x14ac:dyDescent="0.25">
      <c r="A11" s="479"/>
      <c r="B11" s="480"/>
      <c r="C11" s="479"/>
      <c r="D11" s="481"/>
      <c r="E11" s="479"/>
      <c r="F11" s="206" t="s">
        <v>150</v>
      </c>
      <c r="G11" s="206">
        <v>2013</v>
      </c>
      <c r="H11" s="206" t="s">
        <v>151</v>
      </c>
      <c r="I11" s="206">
        <v>4.9000000000000002E-2</v>
      </c>
      <c r="J11" s="206">
        <v>3.9E-2</v>
      </c>
      <c r="K11" s="206">
        <v>3.9E-2</v>
      </c>
      <c r="L11" s="206">
        <v>3.9E-2</v>
      </c>
      <c r="M11" s="206">
        <v>4.9000000000000002E-2</v>
      </c>
      <c r="N11" s="206">
        <v>7.4999999999999997E-2</v>
      </c>
      <c r="O11" s="206">
        <v>6.7000000000000004E-2</v>
      </c>
      <c r="P11" s="206">
        <v>6.7000000000000004E-2</v>
      </c>
      <c r="Q11" s="206">
        <v>3.9E-2</v>
      </c>
      <c r="R11" s="206">
        <v>3.9E-2</v>
      </c>
      <c r="S11" s="206">
        <v>3.9E-2</v>
      </c>
      <c r="T11" s="206">
        <v>3.9E-2</v>
      </c>
      <c r="U11" s="206">
        <v>3.9E-2</v>
      </c>
      <c r="V11" s="206">
        <v>3.9E-2</v>
      </c>
      <c r="W11" s="206">
        <v>3.9E-2</v>
      </c>
      <c r="X11" s="206">
        <v>3.9E-2</v>
      </c>
      <c r="Y11" s="208"/>
    </row>
    <row r="12" spans="1:25" x14ac:dyDescent="0.25">
      <c r="A12" s="479"/>
      <c r="B12" s="480"/>
      <c r="C12" s="479"/>
      <c r="D12" s="481"/>
      <c r="E12" s="479"/>
      <c r="F12" s="264" t="s">
        <v>152</v>
      </c>
      <c r="G12" s="265">
        <v>2025</v>
      </c>
      <c r="H12" s="265" t="s">
        <v>151</v>
      </c>
      <c r="I12" s="265">
        <v>3.7999999999999999E-2</v>
      </c>
      <c r="J12" s="265">
        <v>3.7999999999999999E-2</v>
      </c>
      <c r="K12" s="265">
        <v>3.7999999999999999E-2</v>
      </c>
      <c r="L12" s="265">
        <v>3.7999999999999999E-2</v>
      </c>
      <c r="M12" s="265">
        <v>3.7999999999999999E-2</v>
      </c>
      <c r="N12" s="265">
        <v>3.7999999999999999E-2</v>
      </c>
      <c r="O12" s="265">
        <v>3.7999999999999999E-2</v>
      </c>
      <c r="P12" s="265">
        <v>3.7999999999999999E-2</v>
      </c>
      <c r="Q12" s="265">
        <v>3.7999999999999999E-2</v>
      </c>
      <c r="R12" s="265">
        <v>3.7999999999999999E-2</v>
      </c>
      <c r="S12" s="265">
        <v>3.7999999999999999E-2</v>
      </c>
      <c r="T12" s="265">
        <v>3.7999999999999999E-2</v>
      </c>
      <c r="U12" s="265">
        <v>3.7999999999999999E-2</v>
      </c>
      <c r="V12" s="265">
        <v>3.7999999999999999E-2</v>
      </c>
      <c r="W12" s="265">
        <v>3.7999999999999999E-2</v>
      </c>
      <c r="X12" s="265">
        <v>3.7999999999999999E-2</v>
      </c>
      <c r="Y12" s="208"/>
    </row>
    <row r="13" spans="1:25" x14ac:dyDescent="0.25">
      <c r="A13" s="479" t="s">
        <v>157</v>
      </c>
      <c r="B13" s="480" t="str">
        <f t="shared" ref="B13" si="1">$B$3</f>
        <v>Laboratory</v>
      </c>
      <c r="C13" s="480" t="s">
        <v>158</v>
      </c>
      <c r="D13" s="480" t="s">
        <v>159</v>
      </c>
      <c r="E13" s="479" t="s">
        <v>142</v>
      </c>
      <c r="F13" s="427" t="s">
        <v>143</v>
      </c>
      <c r="G13" s="427" t="s">
        <v>144</v>
      </c>
      <c r="H13" s="480" t="s">
        <v>160</v>
      </c>
      <c r="I13" s="268">
        <f>0.33*1.12+0.67*0.36</f>
        <v>0.61080000000000001</v>
      </c>
      <c r="J13" s="268">
        <f t="shared" ref="J13:X14" si="2">0.33*1.12+0.67*0.36</f>
        <v>0.61080000000000001</v>
      </c>
      <c r="K13" s="268">
        <f t="shared" si="2"/>
        <v>0.61080000000000001</v>
      </c>
      <c r="L13" s="268">
        <f t="shared" si="2"/>
        <v>0.61080000000000001</v>
      </c>
      <c r="M13" s="268">
        <f t="shared" si="2"/>
        <v>0.61080000000000001</v>
      </c>
      <c r="N13" s="268">
        <f t="shared" si="2"/>
        <v>0.61080000000000001</v>
      </c>
      <c r="O13" s="268">
        <f t="shared" si="2"/>
        <v>0.61080000000000001</v>
      </c>
      <c r="P13" s="268">
        <f t="shared" si="2"/>
        <v>0.61080000000000001</v>
      </c>
      <c r="Q13" s="268">
        <f t="shared" si="2"/>
        <v>0.61080000000000001</v>
      </c>
      <c r="R13" s="268">
        <f t="shared" si="2"/>
        <v>0.61080000000000001</v>
      </c>
      <c r="S13" s="268">
        <f t="shared" si="2"/>
        <v>0.61080000000000001</v>
      </c>
      <c r="T13" s="268">
        <f t="shared" si="2"/>
        <v>0.61080000000000001</v>
      </c>
      <c r="U13" s="268">
        <f t="shared" si="2"/>
        <v>0.61080000000000001</v>
      </c>
      <c r="V13" s="268">
        <f t="shared" si="2"/>
        <v>0.61080000000000001</v>
      </c>
      <c r="W13" s="268">
        <f t="shared" si="2"/>
        <v>0.61080000000000001</v>
      </c>
      <c r="X13" s="268">
        <f t="shared" si="2"/>
        <v>0.61080000000000001</v>
      </c>
      <c r="Y13" s="208"/>
    </row>
    <row r="14" spans="1:25" x14ac:dyDescent="0.25">
      <c r="A14" s="479"/>
      <c r="B14" s="480"/>
      <c r="C14" s="480"/>
      <c r="D14" s="480"/>
      <c r="E14" s="479"/>
      <c r="F14" s="203" t="s">
        <v>146</v>
      </c>
      <c r="G14" s="203" t="s">
        <v>144</v>
      </c>
      <c r="H14" s="480"/>
      <c r="I14" s="269">
        <f>0.33*1.12+0.67*0.36</f>
        <v>0.61080000000000001</v>
      </c>
      <c r="J14" s="269">
        <f t="shared" si="2"/>
        <v>0.61080000000000001</v>
      </c>
      <c r="K14" s="269">
        <f t="shared" si="2"/>
        <v>0.61080000000000001</v>
      </c>
      <c r="L14" s="269">
        <f t="shared" si="2"/>
        <v>0.61080000000000001</v>
      </c>
      <c r="M14" s="269">
        <f t="shared" si="2"/>
        <v>0.61080000000000001</v>
      </c>
      <c r="N14" s="269">
        <f t="shared" si="2"/>
        <v>0.61080000000000001</v>
      </c>
      <c r="O14" s="269">
        <f t="shared" si="2"/>
        <v>0.61080000000000001</v>
      </c>
      <c r="P14" s="269">
        <f t="shared" si="2"/>
        <v>0.61080000000000001</v>
      </c>
      <c r="Q14" s="269">
        <f t="shared" si="2"/>
        <v>0.61080000000000001</v>
      </c>
      <c r="R14" s="269">
        <f t="shared" si="2"/>
        <v>0.61080000000000001</v>
      </c>
      <c r="S14" s="269">
        <f t="shared" si="2"/>
        <v>0.61080000000000001</v>
      </c>
      <c r="T14" s="269">
        <f t="shared" si="2"/>
        <v>0.61080000000000001</v>
      </c>
      <c r="U14" s="269">
        <f t="shared" si="2"/>
        <v>0.61080000000000001</v>
      </c>
      <c r="V14" s="269">
        <f t="shared" si="2"/>
        <v>0.61080000000000001</v>
      </c>
      <c r="W14" s="269">
        <f t="shared" si="2"/>
        <v>0.61080000000000001</v>
      </c>
      <c r="X14" s="269">
        <f t="shared" si="2"/>
        <v>0.61080000000000001</v>
      </c>
      <c r="Y14" s="208"/>
    </row>
    <row r="15" spans="1:25" x14ac:dyDescent="0.25">
      <c r="A15" s="479"/>
      <c r="B15" s="480"/>
      <c r="C15" s="480"/>
      <c r="D15" s="479" t="s">
        <v>161</v>
      </c>
      <c r="E15" s="479"/>
      <c r="F15" s="204" t="s">
        <v>148</v>
      </c>
      <c r="G15" s="204">
        <v>2001</v>
      </c>
      <c r="H15" s="204" t="s">
        <v>149</v>
      </c>
      <c r="I15" s="204">
        <v>0.49</v>
      </c>
      <c r="J15" s="204">
        <v>0.49</v>
      </c>
      <c r="K15" s="204">
        <v>0.81</v>
      </c>
      <c r="L15" s="204">
        <v>0.81</v>
      </c>
      <c r="M15" s="204">
        <v>0.81</v>
      </c>
      <c r="N15" s="204">
        <v>0.81</v>
      </c>
      <c r="O15" s="204">
        <v>0.81</v>
      </c>
      <c r="P15" s="204">
        <v>0.81</v>
      </c>
      <c r="Q15" s="204">
        <v>0.81</v>
      </c>
      <c r="R15" s="204">
        <v>0.49</v>
      </c>
      <c r="S15" s="204">
        <v>0.49</v>
      </c>
      <c r="T15" s="204">
        <v>0.49</v>
      </c>
      <c r="U15" s="204">
        <v>0.49</v>
      </c>
      <c r="V15" s="204">
        <v>0.49</v>
      </c>
      <c r="W15" s="204">
        <v>0.49</v>
      </c>
      <c r="X15" s="204">
        <v>0.49</v>
      </c>
      <c r="Y15" s="208"/>
    </row>
    <row r="16" spans="1:25" x14ac:dyDescent="0.25">
      <c r="A16" s="479"/>
      <c r="B16" s="480"/>
      <c r="C16" s="480"/>
      <c r="D16" s="479"/>
      <c r="E16" s="479"/>
      <c r="F16" s="206" t="s">
        <v>150</v>
      </c>
      <c r="G16" s="206">
        <v>2013</v>
      </c>
      <c r="H16" s="206" t="s">
        <v>151</v>
      </c>
      <c r="I16" s="206">
        <v>0.36</v>
      </c>
      <c r="J16" s="206">
        <v>0.36</v>
      </c>
      <c r="K16" s="206">
        <v>0.36</v>
      </c>
      <c r="L16" s="206">
        <v>0.36</v>
      </c>
      <c r="M16" s="206">
        <v>0.36</v>
      </c>
      <c r="N16" s="206">
        <v>0.36</v>
      </c>
      <c r="O16" s="206">
        <v>0.36</v>
      </c>
      <c r="P16" s="206">
        <v>0.36</v>
      </c>
      <c r="Q16" s="206">
        <v>0.36</v>
      </c>
      <c r="R16" s="206">
        <v>0.36</v>
      </c>
      <c r="S16" s="206">
        <v>0.36</v>
      </c>
      <c r="T16" s="206">
        <v>0.36</v>
      </c>
      <c r="U16" s="206">
        <v>0.36</v>
      </c>
      <c r="V16" s="206">
        <v>0.36</v>
      </c>
      <c r="W16" s="206">
        <v>0.36</v>
      </c>
      <c r="X16" s="206">
        <v>0.36</v>
      </c>
      <c r="Y16" s="208"/>
    </row>
    <row r="17" spans="1:50" x14ac:dyDescent="0.25">
      <c r="A17" s="479"/>
      <c r="B17" s="480"/>
      <c r="C17" s="480"/>
      <c r="D17" s="479"/>
      <c r="E17" s="479"/>
      <c r="F17" s="264" t="s">
        <v>152</v>
      </c>
      <c r="G17" s="265">
        <v>2025</v>
      </c>
      <c r="H17" s="265" t="s">
        <v>151</v>
      </c>
      <c r="I17" s="265">
        <v>0.36</v>
      </c>
      <c r="J17" s="265">
        <v>0.36</v>
      </c>
      <c r="K17" s="265">
        <v>0.36</v>
      </c>
      <c r="L17" s="265">
        <v>0.36</v>
      </c>
      <c r="M17" s="265">
        <v>0.36</v>
      </c>
      <c r="N17" s="265">
        <v>0.36</v>
      </c>
      <c r="O17" s="265">
        <v>0.36</v>
      </c>
      <c r="P17" s="265">
        <v>0.36</v>
      </c>
      <c r="Q17" s="265">
        <v>0.34</v>
      </c>
      <c r="R17" s="265">
        <v>0.36</v>
      </c>
      <c r="S17" s="265">
        <v>0.34</v>
      </c>
      <c r="T17" s="265">
        <v>0.34</v>
      </c>
      <c r="U17" s="265">
        <v>0.34</v>
      </c>
      <c r="V17" s="265">
        <v>0.34</v>
      </c>
      <c r="W17" s="265">
        <v>0.34</v>
      </c>
      <c r="X17" s="265">
        <v>0.36</v>
      </c>
      <c r="Y17" s="208"/>
      <c r="Z17" s="6"/>
      <c r="AA17" s="6"/>
      <c r="AB17" s="6"/>
      <c r="AC17" s="6"/>
      <c r="AD17" s="6"/>
      <c r="AE17" s="6"/>
      <c r="AF17" s="6"/>
      <c r="AG17" s="6"/>
      <c r="AH17" s="6"/>
      <c r="AI17" s="6"/>
      <c r="AJ17" s="6"/>
      <c r="AK17" s="6"/>
      <c r="AL17" s="6"/>
      <c r="AM17" s="6"/>
      <c r="AN17" s="6"/>
      <c r="AO17" s="6"/>
      <c r="AP17" s="6"/>
      <c r="AQ17" s="6"/>
      <c r="AR17" s="6"/>
      <c r="AS17" s="6"/>
      <c r="AT17" s="6"/>
      <c r="AU17" s="6"/>
      <c r="AV17" s="6"/>
      <c r="AW17" s="6"/>
      <c r="AX17" s="6"/>
    </row>
    <row r="18" spans="1:50" x14ac:dyDescent="0.25">
      <c r="A18" s="479"/>
      <c r="B18" s="480" t="str">
        <f t="shared" ref="B18" si="3">$B$3</f>
        <v>Laboratory</v>
      </c>
      <c r="C18" s="480" t="s">
        <v>158</v>
      </c>
      <c r="D18" s="480" t="s">
        <v>159</v>
      </c>
      <c r="E18" s="479" t="s">
        <v>162</v>
      </c>
      <c r="F18" s="427" t="s">
        <v>143</v>
      </c>
      <c r="G18" s="427" t="s">
        <v>144</v>
      </c>
      <c r="H18" s="480" t="s">
        <v>163</v>
      </c>
      <c r="I18" s="268">
        <f>0.79*0.33+0.67*I21</f>
        <v>0.42820000000000003</v>
      </c>
      <c r="J18" s="268">
        <f t="shared" ref="J18:X18" si="4">0.79*0.33+0.67*J21</f>
        <v>0.42820000000000003</v>
      </c>
      <c r="K18" s="268">
        <f t="shared" si="4"/>
        <v>0.42820000000000003</v>
      </c>
      <c r="L18" s="268">
        <f t="shared" si="4"/>
        <v>0.42820000000000003</v>
      </c>
      <c r="M18" s="268">
        <f t="shared" si="4"/>
        <v>0.42820000000000003</v>
      </c>
      <c r="N18" s="268">
        <f t="shared" si="4"/>
        <v>0.42820000000000003</v>
      </c>
      <c r="O18" s="268">
        <f t="shared" si="4"/>
        <v>0.42820000000000003</v>
      </c>
      <c r="P18" s="268">
        <f t="shared" si="4"/>
        <v>0.42820000000000003</v>
      </c>
      <c r="Q18" s="268">
        <f t="shared" si="4"/>
        <v>0.42820000000000003</v>
      </c>
      <c r="R18" s="268">
        <f t="shared" si="4"/>
        <v>0.42820000000000003</v>
      </c>
      <c r="S18" s="268">
        <f t="shared" si="4"/>
        <v>0.42820000000000003</v>
      </c>
      <c r="T18" s="268">
        <f t="shared" si="4"/>
        <v>0.42820000000000003</v>
      </c>
      <c r="U18" s="268">
        <f t="shared" si="4"/>
        <v>0.42820000000000003</v>
      </c>
      <c r="V18" s="268">
        <f t="shared" si="4"/>
        <v>0.42820000000000003</v>
      </c>
      <c r="W18" s="268">
        <f t="shared" si="4"/>
        <v>0.42820000000000003</v>
      </c>
      <c r="X18" s="268">
        <f t="shared" si="4"/>
        <v>0.42820000000000003</v>
      </c>
      <c r="Y18" s="208"/>
      <c r="Z18" s="6"/>
      <c r="AA18" s="6"/>
      <c r="AB18" s="6"/>
      <c r="AC18" s="6"/>
      <c r="AD18" s="6"/>
      <c r="AE18" s="6"/>
      <c r="AF18" s="6"/>
      <c r="AG18" s="6"/>
      <c r="AH18" s="6"/>
      <c r="AI18" s="6"/>
      <c r="AJ18" s="6"/>
      <c r="AK18" s="6"/>
      <c r="AL18" s="6"/>
      <c r="AM18" s="6"/>
      <c r="AN18" s="6"/>
      <c r="AO18" s="6"/>
      <c r="AP18" s="6"/>
      <c r="AQ18" s="6"/>
      <c r="AR18" s="6"/>
      <c r="AS18" s="6"/>
      <c r="AT18" s="6"/>
      <c r="AU18" s="6"/>
      <c r="AV18" s="6"/>
      <c r="AW18" s="6"/>
      <c r="AX18" s="6"/>
    </row>
    <row r="19" spans="1:50" x14ac:dyDescent="0.25">
      <c r="A19" s="479"/>
      <c r="B19" s="480"/>
      <c r="C19" s="480"/>
      <c r="D19" s="480"/>
      <c r="E19" s="479"/>
      <c r="F19" s="203" t="s">
        <v>146</v>
      </c>
      <c r="G19" s="203" t="s">
        <v>144</v>
      </c>
      <c r="H19" s="480"/>
      <c r="I19" s="269">
        <f>0.79*0.33+0.67*I21</f>
        <v>0.42820000000000003</v>
      </c>
      <c r="J19" s="269">
        <f t="shared" ref="J19:X19" si="5">0.79*0.33+0.67*J21</f>
        <v>0.42820000000000003</v>
      </c>
      <c r="K19" s="269">
        <f t="shared" si="5"/>
        <v>0.42820000000000003</v>
      </c>
      <c r="L19" s="269">
        <f t="shared" si="5"/>
        <v>0.42820000000000003</v>
      </c>
      <c r="M19" s="269">
        <f t="shared" si="5"/>
        <v>0.42820000000000003</v>
      </c>
      <c r="N19" s="269">
        <f t="shared" si="5"/>
        <v>0.42820000000000003</v>
      </c>
      <c r="O19" s="269">
        <f t="shared" si="5"/>
        <v>0.42820000000000003</v>
      </c>
      <c r="P19" s="269">
        <f t="shared" si="5"/>
        <v>0.42820000000000003</v>
      </c>
      <c r="Q19" s="269">
        <f t="shared" si="5"/>
        <v>0.42820000000000003</v>
      </c>
      <c r="R19" s="269">
        <f t="shared" si="5"/>
        <v>0.42820000000000003</v>
      </c>
      <c r="S19" s="269">
        <f t="shared" si="5"/>
        <v>0.42820000000000003</v>
      </c>
      <c r="T19" s="269">
        <f t="shared" si="5"/>
        <v>0.42820000000000003</v>
      </c>
      <c r="U19" s="269">
        <f t="shared" si="5"/>
        <v>0.42820000000000003</v>
      </c>
      <c r="V19" s="269">
        <f t="shared" si="5"/>
        <v>0.42820000000000003</v>
      </c>
      <c r="W19" s="269">
        <f t="shared" si="5"/>
        <v>0.42820000000000003</v>
      </c>
      <c r="X19" s="269">
        <f t="shared" si="5"/>
        <v>0.42820000000000003</v>
      </c>
      <c r="Y19" s="208"/>
      <c r="Z19" s="6"/>
      <c r="AA19" s="6"/>
      <c r="AB19" s="6"/>
      <c r="AC19" s="6"/>
      <c r="AD19" s="6"/>
      <c r="AE19" s="6"/>
      <c r="AF19" s="6"/>
      <c r="AG19" s="6"/>
      <c r="AH19" s="6"/>
      <c r="AI19" s="6"/>
      <c r="AJ19" s="6"/>
      <c r="AK19" s="6"/>
      <c r="AL19" s="6"/>
      <c r="AM19" s="6"/>
      <c r="AN19" s="6"/>
      <c r="AO19" s="6"/>
      <c r="AP19" s="6"/>
      <c r="AQ19" s="6"/>
      <c r="AR19" s="6"/>
      <c r="AS19" s="6"/>
      <c r="AT19" s="6"/>
      <c r="AU19" s="6"/>
      <c r="AV19" s="6"/>
      <c r="AW19" s="6"/>
      <c r="AX19" s="6"/>
    </row>
    <row r="20" spans="1:50" x14ac:dyDescent="0.25">
      <c r="A20" s="479"/>
      <c r="B20" s="480"/>
      <c r="C20" s="480"/>
      <c r="D20" s="479" t="s">
        <v>161</v>
      </c>
      <c r="E20" s="479"/>
      <c r="F20" s="204" t="s">
        <v>148</v>
      </c>
      <c r="G20" s="204">
        <v>2001</v>
      </c>
      <c r="H20" s="270" t="s">
        <v>164</v>
      </c>
      <c r="I20" s="204">
        <v>0.43</v>
      </c>
      <c r="J20" s="204">
        <v>0.36</v>
      </c>
      <c r="K20" s="204">
        <v>0.41</v>
      </c>
      <c r="L20" s="204">
        <v>0.41</v>
      </c>
      <c r="M20" s="204">
        <v>0.41</v>
      </c>
      <c r="N20" s="204">
        <v>0.34</v>
      </c>
      <c r="O20" s="204">
        <v>0.34</v>
      </c>
      <c r="P20" s="204">
        <v>0.34</v>
      </c>
      <c r="Q20" s="204">
        <v>0.34</v>
      </c>
      <c r="R20" s="204">
        <v>0.31</v>
      </c>
      <c r="S20" s="204">
        <v>0.31</v>
      </c>
      <c r="T20" s="204">
        <v>0.31</v>
      </c>
      <c r="U20" s="204">
        <v>0.31</v>
      </c>
      <c r="V20" s="204">
        <v>0.31</v>
      </c>
      <c r="W20" s="204">
        <v>0.31</v>
      </c>
      <c r="X20" s="204">
        <v>0.43</v>
      </c>
      <c r="Y20" s="208"/>
      <c r="Z20" s="6"/>
      <c r="AA20" s="6"/>
      <c r="AB20" s="6"/>
      <c r="AC20" s="6"/>
      <c r="AD20" s="6"/>
      <c r="AE20" s="6"/>
      <c r="AF20" s="6"/>
      <c r="AG20" s="6"/>
      <c r="AH20" s="6"/>
      <c r="AI20" s="6"/>
      <c r="AJ20" s="6"/>
      <c r="AK20" s="6"/>
      <c r="AL20" s="6"/>
      <c r="AM20" s="6"/>
      <c r="AN20" s="6"/>
      <c r="AO20" s="6"/>
      <c r="AP20" s="6"/>
      <c r="AQ20" s="6"/>
      <c r="AR20" s="6"/>
      <c r="AS20" s="6"/>
      <c r="AT20" s="6"/>
      <c r="AU20" s="6"/>
      <c r="AV20" s="6"/>
      <c r="AW20" s="6"/>
      <c r="AX20" s="6"/>
    </row>
    <row r="21" spans="1:50" x14ac:dyDescent="0.25">
      <c r="A21" s="479"/>
      <c r="B21" s="480"/>
      <c r="C21" s="480"/>
      <c r="D21" s="479"/>
      <c r="E21" s="479"/>
      <c r="F21" s="206" t="s">
        <v>150</v>
      </c>
      <c r="G21" s="206">
        <v>2013</v>
      </c>
      <c r="H21" s="206" t="s">
        <v>151</v>
      </c>
      <c r="I21" s="206">
        <v>0.25</v>
      </c>
      <c r="J21" s="206">
        <v>0.25</v>
      </c>
      <c r="K21" s="206">
        <v>0.25</v>
      </c>
      <c r="L21" s="206">
        <v>0.25</v>
      </c>
      <c r="M21" s="206">
        <v>0.25</v>
      </c>
      <c r="N21" s="206">
        <v>0.25</v>
      </c>
      <c r="O21" s="206">
        <v>0.25</v>
      </c>
      <c r="P21" s="206">
        <v>0.25</v>
      </c>
      <c r="Q21" s="206">
        <v>0.25</v>
      </c>
      <c r="R21" s="206">
        <v>0.25</v>
      </c>
      <c r="S21" s="206">
        <v>0.25</v>
      </c>
      <c r="T21" s="206">
        <v>0.25</v>
      </c>
      <c r="U21" s="206">
        <v>0.25</v>
      </c>
      <c r="V21" s="206">
        <v>0.25</v>
      </c>
      <c r="W21" s="206">
        <v>0.25</v>
      </c>
      <c r="X21" s="206">
        <v>0.25</v>
      </c>
      <c r="Y21" s="208"/>
      <c r="Z21" s="6"/>
      <c r="AA21" s="6"/>
      <c r="AB21" s="6"/>
      <c r="AC21" s="6"/>
      <c r="AD21" s="6"/>
      <c r="AE21" s="6"/>
      <c r="AF21" s="6"/>
      <c r="AG21" s="6"/>
      <c r="AH21" s="6"/>
      <c r="AI21" s="6"/>
      <c r="AJ21" s="6"/>
      <c r="AK21" s="6"/>
      <c r="AL21" s="6"/>
      <c r="AM21" s="6"/>
      <c r="AN21" s="6"/>
      <c r="AO21" s="6"/>
      <c r="AP21" s="6"/>
      <c r="AQ21" s="6"/>
      <c r="AR21" s="6"/>
      <c r="AS21" s="6"/>
      <c r="AT21" s="6"/>
      <c r="AU21" s="6"/>
      <c r="AV21" s="6"/>
      <c r="AW21" s="6"/>
      <c r="AX21" s="6"/>
    </row>
    <row r="22" spans="1:50" x14ac:dyDescent="0.25">
      <c r="A22" s="479"/>
      <c r="B22" s="480"/>
      <c r="C22" s="480"/>
      <c r="D22" s="479"/>
      <c r="E22" s="479"/>
      <c r="F22" s="264" t="s">
        <v>152</v>
      </c>
      <c r="G22" s="265">
        <v>2025</v>
      </c>
      <c r="H22" s="264" t="s">
        <v>151</v>
      </c>
      <c r="I22" s="265">
        <v>0.25</v>
      </c>
      <c r="J22" s="265">
        <v>0.25</v>
      </c>
      <c r="K22" s="265">
        <v>0.25</v>
      </c>
      <c r="L22" s="265">
        <v>0.25</v>
      </c>
      <c r="M22" s="265">
        <v>0.25</v>
      </c>
      <c r="N22" s="265">
        <v>0.25</v>
      </c>
      <c r="O22" s="265">
        <v>0.25</v>
      </c>
      <c r="P22" s="265">
        <v>0.25</v>
      </c>
      <c r="Q22" s="265">
        <v>0.22</v>
      </c>
      <c r="R22" s="265">
        <v>0.25</v>
      </c>
      <c r="S22" s="265">
        <v>0.22</v>
      </c>
      <c r="T22" s="265">
        <v>0.22</v>
      </c>
      <c r="U22" s="265">
        <v>0.22</v>
      </c>
      <c r="V22" s="265">
        <v>0.22</v>
      </c>
      <c r="W22" s="265">
        <v>0.22</v>
      </c>
      <c r="X22" s="265">
        <v>0.25</v>
      </c>
      <c r="Y22" s="208"/>
      <c r="Z22" s="6"/>
      <c r="AA22" s="6"/>
      <c r="AB22" s="6"/>
      <c r="AC22" s="6"/>
      <c r="AD22" s="6"/>
      <c r="AE22" s="6"/>
      <c r="AF22" s="6"/>
      <c r="AG22" s="6"/>
      <c r="AH22" s="6"/>
      <c r="AI22" s="6"/>
      <c r="AJ22" s="6"/>
      <c r="AK22" s="6"/>
      <c r="AL22" s="6"/>
      <c r="AM22" s="6"/>
      <c r="AN22" s="6"/>
      <c r="AO22" s="6"/>
      <c r="AP22" s="6"/>
      <c r="AQ22" s="6"/>
      <c r="AR22" s="6"/>
      <c r="AS22" s="6"/>
      <c r="AT22" s="6"/>
      <c r="AU22" s="6"/>
      <c r="AV22" s="6"/>
      <c r="AW22" s="6"/>
      <c r="AX22" s="6"/>
    </row>
    <row r="23" spans="1:50" ht="15" customHeight="1" x14ac:dyDescent="0.25">
      <c r="A23" s="8"/>
      <c r="B23" s="14"/>
      <c r="C23" s="8"/>
      <c r="D23" s="8"/>
      <c r="E23" s="209"/>
      <c r="F23" s="209"/>
      <c r="G23" s="210"/>
      <c r="H23" s="209"/>
      <c r="I23" s="209"/>
      <c r="J23" s="209"/>
      <c r="K23" s="209"/>
      <c r="L23" s="209"/>
      <c r="M23" s="209"/>
      <c r="N23" s="209"/>
      <c r="O23" s="209"/>
      <c r="P23" s="209"/>
      <c r="Q23" s="209"/>
      <c r="R23" s="209"/>
      <c r="S23" s="209"/>
      <c r="T23" s="209"/>
      <c r="U23" s="209"/>
      <c r="V23" s="209"/>
      <c r="W23" s="209"/>
      <c r="X23" s="209"/>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row>
    <row r="24" spans="1:50" ht="25.95" customHeight="1" x14ac:dyDescent="0.25">
      <c r="A24" s="8"/>
      <c r="B24" s="14"/>
      <c r="C24" s="8"/>
      <c r="D24" s="8"/>
      <c r="E24" s="89"/>
      <c r="F24" s="89"/>
      <c r="G24" s="89"/>
      <c r="H24" s="89"/>
      <c r="I24" s="89"/>
      <c r="J24" s="89"/>
      <c r="K24" s="89"/>
      <c r="L24" s="89"/>
      <c r="M24" s="90"/>
      <c r="N24" s="90"/>
      <c r="O24" s="90"/>
      <c r="P24" s="90"/>
      <c r="Q24" s="90"/>
      <c r="R24" s="90"/>
      <c r="S24" s="90"/>
      <c r="T24" s="90"/>
      <c r="U24" s="90"/>
      <c r="V24" s="90"/>
      <c r="W24" s="90"/>
      <c r="X24" s="90"/>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row>
    <row r="25" spans="1:50" ht="44.4" customHeight="1" x14ac:dyDescent="0.25">
      <c r="A25" s="6"/>
      <c r="B25" s="288"/>
      <c r="C25" s="6"/>
      <c r="D25" s="6"/>
      <c r="E25" s="484" t="s">
        <v>165</v>
      </c>
      <c r="F25" s="484"/>
      <c r="G25" s="484"/>
      <c r="H25" s="484"/>
      <c r="I25" s="484"/>
      <c r="J25" s="484"/>
      <c r="K25" s="484"/>
      <c r="L25" s="484"/>
      <c r="M25" s="484"/>
      <c r="N25" s="484"/>
      <c r="O25" s="484"/>
      <c r="P25" s="484"/>
      <c r="Q25" s="484"/>
      <c r="R25" s="484"/>
      <c r="S25" s="484"/>
      <c r="T25" s="484"/>
      <c r="U25" s="484"/>
      <c r="V25" s="484"/>
      <c r="W25" s="484"/>
      <c r="X25" s="484"/>
      <c r="Y25" s="89"/>
      <c r="Z25" s="89"/>
      <c r="AA25" s="6"/>
      <c r="AB25" s="6"/>
      <c r="AC25" s="6"/>
      <c r="AD25" s="6"/>
      <c r="AE25" s="6"/>
      <c r="AF25" s="6"/>
      <c r="AG25" s="6"/>
      <c r="AH25" s="6"/>
      <c r="AI25" s="6"/>
      <c r="AJ25" s="6"/>
      <c r="AK25" s="6"/>
      <c r="AL25" s="6"/>
      <c r="AM25" s="6"/>
      <c r="AN25" s="6"/>
      <c r="AO25" s="6"/>
      <c r="AP25" s="6"/>
      <c r="AQ25" s="6"/>
      <c r="AR25" s="6"/>
      <c r="AS25" s="6"/>
      <c r="AT25" s="6"/>
      <c r="AU25" s="6"/>
      <c r="AV25" s="6"/>
      <c r="AW25" s="6"/>
      <c r="AX25" s="6"/>
    </row>
    <row r="26" spans="1:50" ht="52.8" x14ac:dyDescent="0.25">
      <c r="A26" s="6"/>
      <c r="B26" s="288"/>
      <c r="C26" s="6"/>
      <c r="D26" s="6"/>
      <c r="E26" s="431"/>
      <c r="F26" s="439" t="s">
        <v>120</v>
      </c>
      <c r="G26" s="431" t="s">
        <v>537</v>
      </c>
      <c r="H26" s="431" t="s">
        <v>122</v>
      </c>
      <c r="I26" s="485" t="s">
        <v>538</v>
      </c>
      <c r="J26" s="485"/>
      <c r="K26" s="485"/>
      <c r="L26" s="485"/>
      <c r="M26" s="485"/>
      <c r="N26" s="485"/>
      <c r="O26" s="485"/>
      <c r="P26" s="485"/>
      <c r="Q26" s="485"/>
      <c r="R26" s="485"/>
      <c r="S26" s="485"/>
      <c r="T26" s="485"/>
      <c r="U26" s="485"/>
      <c r="V26" s="485"/>
      <c r="W26" s="485"/>
      <c r="X26" s="485"/>
      <c r="Y26" s="271"/>
      <c r="Z26" s="6"/>
      <c r="AA26" s="6"/>
      <c r="AB26" s="6"/>
      <c r="AC26" s="6"/>
      <c r="AD26" s="6"/>
      <c r="AE26" s="6"/>
      <c r="AF26" s="6"/>
      <c r="AG26" s="6"/>
      <c r="AH26" s="6"/>
      <c r="AI26" s="6"/>
      <c r="AJ26" s="6"/>
      <c r="AK26" s="6"/>
      <c r="AL26" s="6"/>
      <c r="AM26" s="6"/>
      <c r="AN26" s="6"/>
      <c r="AO26" s="6"/>
      <c r="AP26" s="6"/>
      <c r="AQ26" s="6"/>
      <c r="AR26" s="6"/>
      <c r="AS26" s="6"/>
      <c r="AT26" s="6"/>
      <c r="AU26" s="6"/>
      <c r="AV26" s="6"/>
      <c r="AW26" s="6"/>
      <c r="AX26" s="6"/>
    </row>
    <row r="27" spans="1:50" ht="25.2" customHeight="1" x14ac:dyDescent="0.25">
      <c r="A27" s="6"/>
      <c r="B27" s="288"/>
      <c r="C27" s="6"/>
      <c r="D27" s="6"/>
      <c r="E27" s="486" t="s">
        <v>165</v>
      </c>
      <c r="F27" s="427" t="s">
        <v>143</v>
      </c>
      <c r="G27" s="428">
        <v>1.1000000000000001</v>
      </c>
      <c r="H27" s="252" t="s">
        <v>166</v>
      </c>
      <c r="I27" s="480">
        <v>0.3301</v>
      </c>
      <c r="J27" s="480"/>
      <c r="K27" s="480"/>
      <c r="L27" s="480"/>
      <c r="M27" s="480"/>
      <c r="N27" s="480"/>
      <c r="O27" s="480"/>
      <c r="P27" s="480"/>
      <c r="Q27" s="480"/>
      <c r="R27" s="480"/>
      <c r="S27" s="480"/>
      <c r="T27" s="480"/>
      <c r="U27" s="480"/>
      <c r="V27" s="480"/>
      <c r="W27" s="480"/>
      <c r="X27" s="480"/>
      <c r="Y27" s="12"/>
      <c r="Z27" s="6"/>
      <c r="AA27" s="482"/>
      <c r="AB27" s="482"/>
      <c r="AC27" s="482"/>
      <c r="AD27" s="482"/>
      <c r="AE27" s="482"/>
      <c r="AF27" s="482"/>
      <c r="AG27" s="482"/>
      <c r="AH27" s="482"/>
      <c r="AI27" s="482"/>
      <c r="AJ27" s="482"/>
      <c r="AK27" s="482"/>
      <c r="AL27" s="482"/>
      <c r="AM27" s="482"/>
      <c r="AN27" s="482"/>
      <c r="AO27" s="482"/>
      <c r="AP27" s="482"/>
      <c r="AQ27" s="482"/>
      <c r="AR27" s="482"/>
      <c r="AS27" s="482"/>
      <c r="AT27" s="482"/>
      <c r="AU27" s="482"/>
      <c r="AV27" s="482"/>
      <c r="AW27" s="482"/>
      <c r="AX27" s="6"/>
    </row>
    <row r="28" spans="1:50" ht="25.2" customHeight="1" x14ac:dyDescent="0.25">
      <c r="A28" s="6"/>
      <c r="B28" s="288"/>
      <c r="C28" s="6"/>
      <c r="D28" s="6"/>
      <c r="E28" s="486"/>
      <c r="F28" s="427" t="s">
        <v>146</v>
      </c>
      <c r="G28" s="428">
        <v>1.1000000000000001</v>
      </c>
      <c r="H28" s="252" t="s">
        <v>166</v>
      </c>
      <c r="I28" s="480">
        <v>0.3301</v>
      </c>
      <c r="J28" s="480"/>
      <c r="K28" s="480"/>
      <c r="L28" s="480"/>
      <c r="M28" s="480"/>
      <c r="N28" s="480"/>
      <c r="O28" s="480"/>
      <c r="P28" s="480"/>
      <c r="Q28" s="480"/>
      <c r="R28" s="480"/>
      <c r="S28" s="480"/>
      <c r="T28" s="480"/>
      <c r="U28" s="480"/>
      <c r="V28" s="480"/>
      <c r="W28" s="480"/>
      <c r="X28" s="480"/>
      <c r="Y28" s="12"/>
      <c r="Z28" s="6"/>
      <c r="AA28" s="6"/>
      <c r="AB28" s="6"/>
      <c r="AC28" s="6"/>
      <c r="AD28" s="6"/>
      <c r="AE28" s="6"/>
      <c r="AF28" s="6"/>
      <c r="AG28" s="6"/>
      <c r="AH28" s="6"/>
      <c r="AI28" s="6"/>
      <c r="AJ28" s="6"/>
      <c r="AK28" s="6"/>
      <c r="AL28" s="6"/>
      <c r="AM28" s="6"/>
      <c r="AN28" s="6"/>
      <c r="AO28" s="6"/>
      <c r="AP28" s="6"/>
      <c r="AQ28" s="6"/>
      <c r="AR28" s="6"/>
      <c r="AS28" s="6"/>
      <c r="AT28" s="6"/>
      <c r="AU28" s="6"/>
      <c r="AV28" s="6"/>
      <c r="AW28" s="6"/>
      <c r="AX28" s="6"/>
    </row>
    <row r="29" spans="1:50" ht="25.2" customHeight="1" x14ac:dyDescent="0.25">
      <c r="A29" s="6"/>
      <c r="B29" s="288"/>
      <c r="C29" s="6"/>
      <c r="D29" s="6"/>
      <c r="E29" s="486"/>
      <c r="F29" s="427" t="s">
        <v>148</v>
      </c>
      <c r="G29" s="428">
        <v>1.1000000000000001</v>
      </c>
      <c r="H29" s="252" t="s">
        <v>166</v>
      </c>
      <c r="I29" s="480">
        <v>0.3301</v>
      </c>
      <c r="J29" s="480"/>
      <c r="K29" s="480"/>
      <c r="L29" s="480"/>
      <c r="M29" s="480"/>
      <c r="N29" s="480"/>
      <c r="O29" s="480"/>
      <c r="P29" s="480"/>
      <c r="Q29" s="480"/>
      <c r="R29" s="480"/>
      <c r="S29" s="480"/>
      <c r="T29" s="480"/>
      <c r="U29" s="480"/>
      <c r="V29" s="480"/>
      <c r="W29" s="480"/>
      <c r="X29" s="480"/>
      <c r="Y29" s="12"/>
      <c r="Z29" s="6"/>
      <c r="AA29" s="6"/>
      <c r="AB29" s="6"/>
      <c r="AC29" s="6"/>
      <c r="AD29" s="6"/>
      <c r="AE29" s="6"/>
      <c r="AF29" s="6"/>
      <c r="AG29" s="6"/>
      <c r="AH29" s="6"/>
      <c r="AI29" s="6"/>
      <c r="AJ29" s="6"/>
      <c r="AK29" s="6"/>
      <c r="AL29" s="6"/>
      <c r="AM29" s="6"/>
      <c r="AN29" s="6"/>
      <c r="AO29" s="6"/>
      <c r="AP29" s="6"/>
      <c r="AQ29" s="6"/>
      <c r="AR29" s="6"/>
      <c r="AS29" s="6"/>
      <c r="AT29" s="6"/>
      <c r="AU29" s="6"/>
      <c r="AV29" s="6"/>
      <c r="AW29" s="6"/>
      <c r="AX29" s="6"/>
    </row>
    <row r="30" spans="1:50" ht="46.95" customHeight="1" x14ac:dyDescent="0.25">
      <c r="A30" s="6"/>
      <c r="B30" s="288"/>
      <c r="C30" s="6"/>
      <c r="D30" s="6"/>
      <c r="E30" s="486"/>
      <c r="F30" s="427" t="s">
        <v>150</v>
      </c>
      <c r="G30" s="428">
        <v>1</v>
      </c>
      <c r="H30" s="428" t="s">
        <v>539</v>
      </c>
      <c r="I30" s="480">
        <v>0.30209999999999998</v>
      </c>
      <c r="J30" s="480"/>
      <c r="K30" s="480"/>
      <c r="L30" s="480"/>
      <c r="M30" s="480"/>
      <c r="N30" s="480"/>
      <c r="O30" s="480"/>
      <c r="P30" s="480"/>
      <c r="Q30" s="480"/>
      <c r="R30" s="480"/>
      <c r="S30" s="480"/>
      <c r="T30" s="480"/>
      <c r="U30" s="480"/>
      <c r="V30" s="480"/>
      <c r="W30" s="480"/>
      <c r="X30" s="480"/>
      <c r="Y30" s="12"/>
      <c r="Z30" s="6"/>
      <c r="AA30" s="6"/>
      <c r="AB30" s="6"/>
      <c r="AC30" s="6"/>
      <c r="AD30" s="6"/>
      <c r="AE30" s="6"/>
      <c r="AF30" s="6"/>
      <c r="AG30" s="6"/>
      <c r="AH30" s="6"/>
      <c r="AI30" s="6"/>
      <c r="AJ30" s="6"/>
      <c r="AK30" s="6"/>
      <c r="AL30" s="6"/>
      <c r="AM30" s="6"/>
      <c r="AN30" s="6"/>
      <c r="AO30" s="6"/>
      <c r="AP30" s="6"/>
      <c r="AQ30" s="6"/>
      <c r="AR30" s="6"/>
      <c r="AS30" s="6"/>
      <c r="AT30" s="6"/>
      <c r="AU30" s="6"/>
      <c r="AV30" s="6"/>
      <c r="AW30" s="6"/>
      <c r="AX30" s="6"/>
    </row>
    <row r="31" spans="1:50" ht="44.4" customHeight="1" x14ac:dyDescent="0.25">
      <c r="A31" s="6"/>
      <c r="B31" s="288"/>
      <c r="C31" s="6"/>
      <c r="D31" s="6"/>
      <c r="E31" s="486"/>
      <c r="F31" s="427" t="s">
        <v>152</v>
      </c>
      <c r="G31" s="428">
        <v>0.6</v>
      </c>
      <c r="H31" s="428" t="s">
        <v>540</v>
      </c>
      <c r="I31" s="480">
        <v>0.18010000000000001</v>
      </c>
      <c r="J31" s="480"/>
      <c r="K31" s="480"/>
      <c r="L31" s="480"/>
      <c r="M31" s="480"/>
      <c r="N31" s="480"/>
      <c r="O31" s="480"/>
      <c r="P31" s="480"/>
      <c r="Q31" s="480"/>
      <c r="R31" s="480"/>
      <c r="S31" s="480"/>
      <c r="T31" s="480"/>
      <c r="U31" s="480"/>
      <c r="V31" s="480"/>
      <c r="W31" s="480"/>
      <c r="X31" s="480"/>
      <c r="Y31" s="12"/>
      <c r="Z31" s="6"/>
      <c r="AA31" s="6"/>
      <c r="AB31" s="6"/>
      <c r="AC31" s="6"/>
      <c r="AD31" s="6"/>
      <c r="AE31" s="6"/>
      <c r="AF31" s="6"/>
      <c r="AG31" s="6"/>
      <c r="AH31" s="6"/>
      <c r="AI31" s="6"/>
      <c r="AJ31" s="6"/>
      <c r="AK31" s="6"/>
      <c r="AL31" s="6"/>
      <c r="AM31" s="6"/>
      <c r="AN31" s="6"/>
      <c r="AO31" s="6"/>
      <c r="AP31" s="6"/>
      <c r="AQ31" s="6"/>
      <c r="AR31" s="6"/>
      <c r="AS31" s="6"/>
      <c r="AT31" s="6"/>
      <c r="AU31" s="6"/>
      <c r="AV31" s="6"/>
      <c r="AW31" s="6"/>
      <c r="AX31" s="6"/>
    </row>
    <row r="32" spans="1:50" x14ac:dyDescent="0.25">
      <c r="A32" s="6"/>
      <c r="B32" s="288"/>
      <c r="C32" s="6"/>
      <c r="D32" s="6"/>
      <c r="E32" s="8" t="s">
        <v>167</v>
      </c>
      <c r="F32" s="6"/>
      <c r="G32" s="91"/>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row>
    <row r="33" spans="5:22" ht="14.4" x14ac:dyDescent="0.3">
      <c r="E33" s="8" t="s">
        <v>541</v>
      </c>
      <c r="F33" s="6"/>
      <c r="G33" s="3" t="s">
        <v>28</v>
      </c>
      <c r="H33" s="6"/>
      <c r="I33" s="6"/>
      <c r="J33" s="6"/>
      <c r="K33" s="6"/>
      <c r="L33" s="6"/>
      <c r="M33" s="6"/>
      <c r="N33" s="6"/>
      <c r="O33" s="6"/>
      <c r="P33" s="6"/>
      <c r="Q33" s="6"/>
      <c r="R33" s="6"/>
      <c r="S33" s="6"/>
      <c r="T33" s="6"/>
      <c r="U33" s="6"/>
      <c r="V33" s="6"/>
    </row>
  </sheetData>
  <mergeCells count="38">
    <mergeCell ref="E25:X25"/>
    <mergeCell ref="I26:X26"/>
    <mergeCell ref="I27:X27"/>
    <mergeCell ref="I28:X28"/>
    <mergeCell ref="I29:X29"/>
    <mergeCell ref="E27:E31"/>
    <mergeCell ref="I30:X30"/>
    <mergeCell ref="I31:X31"/>
    <mergeCell ref="A1:X1"/>
    <mergeCell ref="D18:D19"/>
    <mergeCell ref="C18:C22"/>
    <mergeCell ref="E18:E22"/>
    <mergeCell ref="A13:A22"/>
    <mergeCell ref="B18:B22"/>
    <mergeCell ref="B13:B17"/>
    <mergeCell ref="D3:D7"/>
    <mergeCell ref="B3:B7"/>
    <mergeCell ref="A3:A7"/>
    <mergeCell ref="C3:C7"/>
    <mergeCell ref="C8:C12"/>
    <mergeCell ref="H8:H9"/>
    <mergeCell ref="H13:H14"/>
    <mergeCell ref="H18:H19"/>
    <mergeCell ref="A8:A12"/>
    <mergeCell ref="AP27:AS27"/>
    <mergeCell ref="AT27:AW27"/>
    <mergeCell ref="AF27:AJ27"/>
    <mergeCell ref="AA27:AE27"/>
    <mergeCell ref="AK27:AO27"/>
    <mergeCell ref="D20:D22"/>
    <mergeCell ref="E3:E7"/>
    <mergeCell ref="C13:C17"/>
    <mergeCell ref="B8:B12"/>
    <mergeCell ref="E8:E12"/>
    <mergeCell ref="E13:E17"/>
    <mergeCell ref="D8:D12"/>
    <mergeCell ref="D15:D17"/>
    <mergeCell ref="D13:D14"/>
  </mergeCells>
  <phoneticPr fontId="5" type="noConversion"/>
  <hyperlinks>
    <hyperlink ref="G33"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A1521E0-F8A0-4820-95C1-4CD6F43904D6}"/>
    <hyperlink ref="H27" r:id="rId2" xr:uid="{41AD9FFF-609E-4AE3-98F2-52C38EDBABB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66"/>
  <sheetViews>
    <sheetView topLeftCell="B1" zoomScale="70" zoomScaleNormal="70" zoomScaleSheetLayoutView="40" workbookViewId="0">
      <selection sqref="A1:G1"/>
    </sheetView>
  </sheetViews>
  <sheetFormatPr defaultColWidth="8.6640625" defaultRowHeight="13.2" x14ac:dyDescent="0.25"/>
  <cols>
    <col min="1" max="1" width="39" style="8" customWidth="1"/>
    <col min="2" max="2" width="34.6640625" style="8" customWidth="1"/>
    <col min="3" max="3" width="29.109375" style="8" customWidth="1"/>
    <col min="4" max="4" width="29.44140625" style="8" customWidth="1"/>
    <col min="5" max="5" width="49.5546875" style="8" customWidth="1"/>
    <col min="6" max="6" width="48.33203125" style="8" bestFit="1" customWidth="1"/>
    <col min="7" max="7" width="34" style="8" customWidth="1"/>
    <col min="8" max="8" width="25.109375" style="8" bestFit="1" customWidth="1"/>
    <col min="9" max="11" width="12.6640625" style="8" customWidth="1"/>
    <col min="12" max="19" width="15.33203125" style="8" customWidth="1"/>
    <col min="20" max="20" width="14.6640625" style="8" customWidth="1"/>
    <col min="21" max="21" width="13.5546875" style="8" customWidth="1"/>
    <col min="22" max="22" width="15.6640625" style="8" customWidth="1"/>
    <col min="23" max="29" width="11" style="8" customWidth="1"/>
    <col min="30" max="38" width="6.5546875" style="8" customWidth="1"/>
    <col min="39" max="39" width="8.6640625" style="8" customWidth="1"/>
    <col min="40" max="16384" width="8.6640625" style="8"/>
  </cols>
  <sheetData>
    <row r="1" spans="1:9" ht="27" customHeight="1" x14ac:dyDescent="0.25">
      <c r="A1" s="496" t="str">
        <f>"HVAC system - "&amp;Prototype!B4</f>
        <v>HVAC system - Laboratory</v>
      </c>
      <c r="B1" s="497"/>
      <c r="C1" s="497"/>
      <c r="D1" s="497"/>
      <c r="E1" s="497"/>
      <c r="F1" s="497"/>
      <c r="G1" s="498"/>
    </row>
    <row r="2" spans="1:9" ht="19.2" customHeight="1" x14ac:dyDescent="0.25">
      <c r="A2" s="251" t="s">
        <v>120</v>
      </c>
      <c r="B2" s="86" t="s">
        <v>168</v>
      </c>
      <c r="C2" s="86" t="s">
        <v>169</v>
      </c>
      <c r="D2" s="86" t="s">
        <v>170</v>
      </c>
      <c r="E2" s="86" t="s">
        <v>171</v>
      </c>
      <c r="F2" s="86" t="s">
        <v>172</v>
      </c>
      <c r="G2" s="86" t="s">
        <v>122</v>
      </c>
    </row>
    <row r="3" spans="1:9" ht="42" customHeight="1" x14ac:dyDescent="0.25">
      <c r="A3" s="428" t="s">
        <v>173</v>
      </c>
      <c r="B3" s="428" t="s">
        <v>174</v>
      </c>
      <c r="C3" s="113" t="s">
        <v>175</v>
      </c>
      <c r="D3" s="429" t="s">
        <v>176</v>
      </c>
      <c r="E3" s="427" t="s">
        <v>177</v>
      </c>
      <c r="F3" s="427" t="s">
        <v>178</v>
      </c>
      <c r="G3" s="428" t="s">
        <v>179</v>
      </c>
      <c r="H3" s="425"/>
      <c r="I3" s="425"/>
    </row>
    <row r="4" spans="1:9" ht="56.4" customHeight="1" x14ac:dyDescent="0.25">
      <c r="A4" s="427" t="s">
        <v>180</v>
      </c>
      <c r="B4" s="428" t="s">
        <v>174</v>
      </c>
      <c r="C4" s="113" t="s">
        <v>181</v>
      </c>
      <c r="D4" s="429" t="s">
        <v>182</v>
      </c>
      <c r="E4" s="428" t="s">
        <v>183</v>
      </c>
      <c r="F4" s="428" t="s">
        <v>184</v>
      </c>
      <c r="G4" s="428" t="s">
        <v>185</v>
      </c>
      <c r="H4" s="77"/>
      <c r="I4" s="77"/>
    </row>
    <row r="5" spans="1:9" ht="25.95" customHeight="1" x14ac:dyDescent="0.25">
      <c r="A5" s="12"/>
      <c r="B5" s="12"/>
      <c r="C5" s="447"/>
      <c r="D5" s="447"/>
      <c r="E5" s="447"/>
      <c r="F5" s="77"/>
      <c r="G5" s="77"/>
      <c r="H5" s="77"/>
      <c r="I5" s="77"/>
    </row>
    <row r="6" spans="1:9" ht="15.6" customHeight="1" x14ac:dyDescent="0.25">
      <c r="A6" s="447"/>
      <c r="B6" s="447"/>
      <c r="C6" s="447"/>
      <c r="D6" s="447"/>
      <c r="E6" s="447"/>
    </row>
    <row r="7" spans="1:9" x14ac:dyDescent="0.25">
      <c r="A7" s="425"/>
      <c r="B7" s="447"/>
      <c r="C7" s="447"/>
      <c r="D7" s="447"/>
      <c r="E7" s="447"/>
    </row>
    <row r="8" spans="1:9" x14ac:dyDescent="0.25">
      <c r="A8" s="447"/>
      <c r="B8" s="447"/>
      <c r="C8" s="447"/>
      <c r="D8" s="447"/>
      <c r="E8" s="447"/>
    </row>
    <row r="9" spans="1:9" ht="25.95" customHeight="1" x14ac:dyDescent="0.25">
      <c r="A9" s="499" t="s">
        <v>186</v>
      </c>
      <c r="B9" s="500"/>
      <c r="C9" s="500"/>
      <c r="D9" s="500"/>
      <c r="E9" s="500"/>
      <c r="F9" s="500"/>
      <c r="G9" s="500"/>
      <c r="H9" s="155"/>
    </row>
    <row r="10" spans="1:9" ht="43.95" customHeight="1" x14ac:dyDescent="0.25">
      <c r="A10" s="232" t="s">
        <v>120</v>
      </c>
      <c r="B10" s="233" t="s">
        <v>187</v>
      </c>
      <c r="C10" s="234" t="s">
        <v>188</v>
      </c>
      <c r="D10" s="444" t="s">
        <v>175</v>
      </c>
      <c r="E10" s="444" t="s">
        <v>189</v>
      </c>
      <c r="F10" s="86" t="s">
        <v>190</v>
      </c>
      <c r="G10" s="235" t="s">
        <v>122</v>
      </c>
    </row>
    <row r="11" spans="1:9" ht="22.2" customHeight="1" x14ac:dyDescent="0.25">
      <c r="A11" s="236" t="s">
        <v>143</v>
      </c>
      <c r="B11" s="505">
        <v>2008</v>
      </c>
      <c r="C11" s="501" t="s">
        <v>191</v>
      </c>
      <c r="D11" s="508" t="s">
        <v>192</v>
      </c>
      <c r="E11" s="504" t="s">
        <v>71</v>
      </c>
      <c r="F11" s="490" t="s">
        <v>193</v>
      </c>
      <c r="G11" s="493"/>
    </row>
    <row r="12" spans="1:9" ht="20.399999999999999" customHeight="1" x14ac:dyDescent="0.25">
      <c r="A12" s="236" t="s">
        <v>146</v>
      </c>
      <c r="B12" s="506"/>
      <c r="C12" s="502"/>
      <c r="D12" s="502"/>
      <c r="E12" s="502"/>
      <c r="F12" s="491"/>
      <c r="G12" s="494"/>
    </row>
    <row r="13" spans="1:9" ht="21" customHeight="1" x14ac:dyDescent="0.25">
      <c r="A13" s="236" t="s">
        <v>148</v>
      </c>
      <c r="B13" s="507"/>
      <c r="C13" s="503"/>
      <c r="D13" s="503"/>
      <c r="E13" s="503"/>
      <c r="F13" s="492"/>
      <c r="G13" s="495"/>
    </row>
    <row r="14" spans="1:9" ht="57.6" customHeight="1" x14ac:dyDescent="0.25">
      <c r="A14" s="236" t="s">
        <v>150</v>
      </c>
      <c r="B14" s="87">
        <v>2013</v>
      </c>
      <c r="C14" s="224" t="s">
        <v>194</v>
      </c>
      <c r="D14" s="224" t="s">
        <v>192</v>
      </c>
      <c r="E14" s="223" t="s">
        <v>71</v>
      </c>
      <c r="F14" s="88" t="s">
        <v>195</v>
      </c>
      <c r="G14" s="237"/>
    </row>
    <row r="15" spans="1:9" ht="52.8" x14ac:dyDescent="0.25">
      <c r="A15" s="238" t="s">
        <v>180</v>
      </c>
      <c r="B15" s="239">
        <v>2025</v>
      </c>
      <c r="C15" s="240" t="s">
        <v>196</v>
      </c>
      <c r="D15" s="240" t="s">
        <v>71</v>
      </c>
      <c r="E15" s="240" t="s">
        <v>197</v>
      </c>
      <c r="F15" s="241" t="s">
        <v>198</v>
      </c>
      <c r="G15" s="242"/>
    </row>
    <row r="16" spans="1:9" x14ac:dyDescent="0.25">
      <c r="B16" s="10"/>
      <c r="C16" s="10"/>
      <c r="D16" s="39"/>
      <c r="E16" s="10"/>
    </row>
    <row r="17" spans="1:40" x14ac:dyDescent="0.25">
      <c r="A17" s="40"/>
      <c r="B17" s="10"/>
      <c r="C17" s="10" t="s">
        <v>199</v>
      </c>
      <c r="D17" s="10" t="s">
        <v>200</v>
      </c>
      <c r="E17" s="10"/>
    </row>
    <row r="18" spans="1:40" ht="13.8" thickBot="1" x14ac:dyDescent="0.3">
      <c r="A18" s="424"/>
      <c r="B18" s="424"/>
      <c r="C18" s="424"/>
      <c r="D18" s="424"/>
      <c r="E18" s="424"/>
    </row>
    <row r="19" spans="1:40" ht="15.6" x14ac:dyDescent="0.25">
      <c r="A19" s="487" t="s">
        <v>201</v>
      </c>
      <c r="B19" s="488"/>
      <c r="C19" s="488"/>
      <c r="D19" s="488"/>
      <c r="E19" s="488"/>
      <c r="F19" s="488"/>
      <c r="G19" s="488"/>
      <c r="H19" s="488"/>
      <c r="I19" s="489"/>
    </row>
    <row r="20" spans="1:40" ht="39.6" x14ac:dyDescent="0.25">
      <c r="A20" s="144" t="s">
        <v>120</v>
      </c>
      <c r="B20" s="144" t="s">
        <v>202</v>
      </c>
      <c r="C20" s="144" t="s">
        <v>203</v>
      </c>
      <c r="D20" s="156" t="s">
        <v>204</v>
      </c>
      <c r="E20" s="156" t="s">
        <v>205</v>
      </c>
      <c r="F20" s="290" t="s">
        <v>206</v>
      </c>
      <c r="G20" s="290" t="s">
        <v>207</v>
      </c>
      <c r="H20" s="144" t="s">
        <v>208</v>
      </c>
      <c r="I20" s="144" t="s">
        <v>122</v>
      </c>
    </row>
    <row r="21" spans="1:40" ht="27" customHeight="1" x14ac:dyDescent="0.25">
      <c r="A21" s="157" t="s">
        <v>209</v>
      </c>
      <c r="B21" s="157" t="s">
        <v>210</v>
      </c>
      <c r="C21" s="157" t="s">
        <v>211</v>
      </c>
      <c r="D21" s="158">
        <v>5.58</v>
      </c>
      <c r="E21" s="158">
        <v>0.65</v>
      </c>
      <c r="F21" s="158">
        <v>0.9</v>
      </c>
      <c r="G21" s="202"/>
      <c r="H21" s="222" t="s">
        <v>212</v>
      </c>
      <c r="I21" s="243"/>
    </row>
    <row r="22" spans="1:40" x14ac:dyDescent="0.25">
      <c r="A22" s="244" t="s">
        <v>213</v>
      </c>
      <c r="B22" s="159"/>
      <c r="C22" s="159"/>
      <c r="D22" s="159"/>
      <c r="E22" s="159"/>
      <c r="F22" s="159"/>
      <c r="G22" s="159"/>
      <c r="H22" s="245"/>
      <c r="I22" s="246"/>
    </row>
    <row r="23" spans="1:40" x14ac:dyDescent="0.25">
      <c r="A23" s="247" t="s">
        <v>214</v>
      </c>
      <c r="B23" s="160"/>
      <c r="C23" s="160"/>
      <c r="D23" s="160"/>
      <c r="E23" s="160"/>
      <c r="F23" s="160"/>
      <c r="G23" s="160"/>
      <c r="H23" s="160"/>
      <c r="I23" s="248"/>
    </row>
    <row r="24" spans="1:40" ht="26.4" x14ac:dyDescent="0.25">
      <c r="A24" s="123" t="s">
        <v>180</v>
      </c>
      <c r="B24" s="123" t="s">
        <v>215</v>
      </c>
      <c r="C24" s="249" t="s">
        <v>216</v>
      </c>
      <c r="D24" s="250">
        <f>G24*E24*F24/746*6356</f>
        <v>5.0490581501340488</v>
      </c>
      <c r="E24" s="123">
        <v>0.65</v>
      </c>
      <c r="F24" s="427">
        <v>0.9</v>
      </c>
      <c r="G24" s="249">
        <v>1.0129999999999999</v>
      </c>
      <c r="H24" s="123" t="s">
        <v>217</v>
      </c>
      <c r="I24" s="149"/>
    </row>
    <row r="25" spans="1:40" x14ac:dyDescent="0.25">
      <c r="A25" s="135"/>
      <c r="B25" s="135"/>
      <c r="C25" s="161"/>
      <c r="D25" s="161"/>
      <c r="E25" s="136"/>
      <c r="F25" s="135" t="s">
        <v>218</v>
      </c>
      <c r="G25" s="161"/>
      <c r="H25" s="136"/>
    </row>
    <row r="26" spans="1:40" x14ac:dyDescent="0.25">
      <c r="A26" s="424" t="s">
        <v>219</v>
      </c>
      <c r="B26" s="424"/>
      <c r="C26" s="424"/>
      <c r="D26" s="424"/>
      <c r="E26" s="424"/>
      <c r="F26" s="424"/>
      <c r="G26" s="424"/>
      <c r="H26" s="424"/>
      <c r="I26" s="424"/>
      <c r="J26" s="424"/>
      <c r="K26" s="424"/>
      <c r="L26" s="424"/>
      <c r="M26" s="424"/>
      <c r="N26" s="424"/>
      <c r="O26" s="424"/>
      <c r="P26" s="424"/>
      <c r="Q26" s="424"/>
      <c r="R26" s="424"/>
      <c r="S26" s="424"/>
      <c r="T26" s="424"/>
      <c r="U26" s="424"/>
      <c r="V26" s="424"/>
      <c r="W26" s="424"/>
      <c r="X26" s="424"/>
      <c r="Y26" s="424"/>
      <c r="Z26" s="424"/>
      <c r="AA26" s="424"/>
      <c r="AB26" s="424"/>
      <c r="AC26" s="424"/>
      <c r="AD26" s="424"/>
      <c r="AE26" s="509"/>
      <c r="AF26" s="509"/>
      <c r="AG26" s="509"/>
      <c r="AH26" s="509"/>
      <c r="AI26" s="509"/>
      <c r="AJ26" s="509"/>
      <c r="AK26" s="509"/>
      <c r="AL26" s="509"/>
      <c r="AM26" s="509"/>
      <c r="AN26" s="509"/>
    </row>
    <row r="27" spans="1:40" x14ac:dyDescent="0.25">
      <c r="A27" s="135" t="s">
        <v>220</v>
      </c>
      <c r="B27" s="424"/>
      <c r="C27" s="424"/>
      <c r="D27" s="424"/>
      <c r="E27" s="424"/>
      <c r="F27" s="424"/>
      <c r="G27" s="424"/>
      <c r="H27" s="424"/>
      <c r="I27" s="424"/>
      <c r="J27" s="424"/>
      <c r="K27" s="424"/>
      <c r="L27" s="424"/>
      <c r="M27" s="424"/>
      <c r="N27" s="424"/>
      <c r="O27" s="424"/>
      <c r="P27" s="424"/>
      <c r="Q27" s="424"/>
      <c r="R27" s="424"/>
      <c r="S27" s="424"/>
      <c r="T27" s="424"/>
      <c r="U27" s="424"/>
      <c r="V27" s="424"/>
      <c r="W27" s="424"/>
      <c r="X27" s="424"/>
      <c r="Y27" s="424"/>
      <c r="Z27" s="424"/>
      <c r="AA27" s="424"/>
      <c r="AB27" s="424"/>
      <c r="AC27" s="424"/>
      <c r="AD27" s="424"/>
      <c r="AE27" s="509"/>
      <c r="AF27" s="509"/>
      <c r="AG27" s="509"/>
      <c r="AH27" s="509"/>
      <c r="AI27" s="509"/>
      <c r="AJ27" s="509"/>
      <c r="AK27" s="509"/>
      <c r="AL27" s="509"/>
      <c r="AM27" s="509"/>
      <c r="AN27" s="509"/>
    </row>
    <row r="28" spans="1:40" x14ac:dyDescent="0.25">
      <c r="A28" s="135" t="s">
        <v>221</v>
      </c>
      <c r="B28" s="272"/>
      <c r="C28" s="424"/>
      <c r="D28" s="424"/>
      <c r="E28" s="424"/>
      <c r="F28" s="424"/>
      <c r="G28" s="424"/>
      <c r="H28" s="424"/>
      <c r="I28" s="424"/>
      <c r="J28" s="424"/>
      <c r="K28" s="424"/>
      <c r="L28" s="424"/>
      <c r="M28" s="424"/>
      <c r="N28" s="424"/>
      <c r="O28" s="424"/>
      <c r="P28" s="424"/>
      <c r="Q28" s="424"/>
      <c r="R28" s="424"/>
      <c r="S28" s="424"/>
      <c r="T28" s="424"/>
      <c r="U28" s="424"/>
      <c r="V28" s="424"/>
      <c r="W28" s="424"/>
      <c r="X28" s="424"/>
      <c r="Y28" s="424"/>
      <c r="Z28" s="424"/>
      <c r="AA28" s="424"/>
      <c r="AB28" s="424"/>
      <c r="AC28" s="424"/>
      <c r="AD28" s="424"/>
      <c r="AE28" s="509"/>
      <c r="AF28" s="509"/>
      <c r="AG28" s="509"/>
      <c r="AH28" s="509"/>
      <c r="AI28" s="509"/>
      <c r="AJ28" s="509"/>
      <c r="AK28" s="509"/>
      <c r="AL28" s="509"/>
      <c r="AM28" s="509"/>
      <c r="AN28" s="509"/>
    </row>
    <row r="29" spans="1:40" x14ac:dyDescent="0.25">
      <c r="A29" s="10"/>
      <c r="B29" s="10"/>
      <c r="C29" s="10"/>
      <c r="D29" s="10"/>
    </row>
    <row r="30" spans="1:40" x14ac:dyDescent="0.25">
      <c r="D30" s="36"/>
    </row>
    <row r="31" spans="1:40" ht="13.95" customHeight="1" x14ac:dyDescent="0.25">
      <c r="A31" s="141"/>
      <c r="B31" s="135"/>
      <c r="C31" s="73"/>
      <c r="D31" s="135"/>
      <c r="E31" s="135"/>
    </row>
    <row r="32" spans="1:40" s="26" customFormat="1" hidden="1" x14ac:dyDescent="0.25">
      <c r="A32" s="26" t="s">
        <v>115</v>
      </c>
    </row>
    <row r="33" spans="21:38" x14ac:dyDescent="0.25">
      <c r="U33" s="35"/>
      <c r="V33" s="58"/>
      <c r="W33" s="59"/>
      <c r="X33" s="59"/>
      <c r="Y33" s="59"/>
      <c r="Z33" s="59"/>
      <c r="AA33" s="59"/>
      <c r="AB33" s="59"/>
      <c r="AC33" s="59"/>
      <c r="AD33" s="59"/>
      <c r="AE33" s="59"/>
      <c r="AF33" s="59"/>
      <c r="AG33" s="59"/>
      <c r="AH33" s="59"/>
      <c r="AI33" s="59"/>
      <c r="AJ33" s="59"/>
      <c r="AK33" s="59"/>
      <c r="AL33" s="59"/>
    </row>
    <row r="34" spans="21:38" x14ac:dyDescent="0.25">
      <c r="U34" s="35"/>
      <c r="V34" s="58"/>
      <c r="W34" s="59"/>
      <c r="X34" s="59"/>
      <c r="Y34" s="59"/>
      <c r="Z34" s="59"/>
      <c r="AA34" s="59"/>
      <c r="AB34" s="59"/>
      <c r="AC34" s="59"/>
      <c r="AD34" s="59"/>
      <c r="AE34" s="59"/>
      <c r="AF34" s="59"/>
      <c r="AG34" s="59"/>
      <c r="AH34" s="59"/>
      <c r="AI34" s="59"/>
      <c r="AJ34" s="59"/>
      <c r="AK34" s="59"/>
      <c r="AL34" s="59"/>
    </row>
    <row r="35" spans="21:38" x14ac:dyDescent="0.25">
      <c r="U35" s="35"/>
      <c r="V35" s="58"/>
      <c r="W35" s="59"/>
      <c r="X35" s="59"/>
      <c r="Y35" s="59"/>
      <c r="Z35" s="59"/>
      <c r="AA35" s="59"/>
      <c r="AB35" s="59"/>
      <c r="AC35" s="59"/>
      <c r="AD35" s="59"/>
      <c r="AE35" s="59"/>
      <c r="AF35" s="59"/>
      <c r="AG35" s="59"/>
      <c r="AH35" s="59"/>
      <c r="AI35" s="59"/>
      <c r="AJ35" s="59"/>
      <c r="AK35" s="59"/>
      <c r="AL35" s="59"/>
    </row>
    <row r="36" spans="21:38" x14ac:dyDescent="0.25">
      <c r="U36" s="35"/>
      <c r="V36" s="58"/>
      <c r="W36" s="59"/>
      <c r="X36" s="59"/>
      <c r="Y36" s="59"/>
      <c r="Z36" s="59"/>
      <c r="AA36" s="59"/>
      <c r="AB36" s="59"/>
      <c r="AC36" s="59"/>
      <c r="AD36" s="59"/>
      <c r="AE36" s="59"/>
      <c r="AF36" s="59"/>
      <c r="AG36" s="59"/>
      <c r="AH36" s="59"/>
      <c r="AI36" s="59"/>
      <c r="AJ36" s="59"/>
      <c r="AK36" s="59"/>
      <c r="AL36" s="59"/>
    </row>
    <row r="37" spans="21:38" x14ac:dyDescent="0.25">
      <c r="U37" s="35"/>
      <c r="V37" s="58"/>
      <c r="W37" s="59"/>
      <c r="X37" s="59"/>
      <c r="Y37" s="59"/>
      <c r="Z37" s="59"/>
      <c r="AA37" s="59"/>
      <c r="AB37" s="59"/>
      <c r="AC37" s="59"/>
      <c r="AD37" s="59"/>
      <c r="AE37" s="59"/>
      <c r="AF37" s="59"/>
      <c r="AG37" s="59"/>
      <c r="AH37" s="59"/>
      <c r="AI37" s="59"/>
      <c r="AJ37" s="59"/>
      <c r="AK37" s="59"/>
      <c r="AL37" s="59"/>
    </row>
    <row r="38" spans="21:38" x14ac:dyDescent="0.25">
      <c r="U38" s="35"/>
      <c r="W38" s="34"/>
      <c r="X38" s="34"/>
      <c r="Y38" s="34"/>
      <c r="Z38" s="34"/>
      <c r="AA38" s="34"/>
      <c r="AB38" s="34"/>
      <c r="AC38" s="34"/>
      <c r="AD38" s="34"/>
      <c r="AE38" s="34"/>
      <c r="AF38" s="34"/>
      <c r="AG38" s="34"/>
      <c r="AH38" s="34"/>
      <c r="AI38" s="34"/>
      <c r="AJ38" s="34"/>
      <c r="AK38" s="34"/>
      <c r="AL38" s="34"/>
    </row>
    <row r="39" spans="21:38" x14ac:dyDescent="0.25">
      <c r="U39" s="37"/>
      <c r="W39" s="35"/>
      <c r="X39" s="35"/>
      <c r="Y39" s="35"/>
      <c r="Z39" s="35"/>
      <c r="AA39" s="35"/>
      <c r="AB39" s="35"/>
      <c r="AC39" s="35"/>
      <c r="AD39" s="35"/>
      <c r="AE39" s="35"/>
      <c r="AF39" s="35"/>
      <c r="AG39" s="35"/>
      <c r="AH39" s="35"/>
      <c r="AI39" s="35"/>
      <c r="AJ39" s="35"/>
      <c r="AK39" s="35"/>
      <c r="AL39" s="35"/>
    </row>
    <row r="40" spans="21:38" x14ac:dyDescent="0.25">
      <c r="U40" s="35"/>
    </row>
    <row r="43" spans="21:38" x14ac:dyDescent="0.25">
      <c r="U43" s="33"/>
      <c r="V43" s="33"/>
      <c r="W43" s="57"/>
      <c r="X43" s="57"/>
      <c r="Y43" s="57"/>
      <c r="Z43" s="57"/>
      <c r="AA43" s="57"/>
      <c r="AB43" s="57"/>
      <c r="AC43" s="57"/>
      <c r="AD43" s="57"/>
      <c r="AE43" s="57"/>
      <c r="AF43" s="57"/>
      <c r="AG43" s="57"/>
      <c r="AH43" s="57"/>
      <c r="AI43" s="57"/>
      <c r="AJ43" s="57"/>
      <c r="AK43" s="57"/>
      <c r="AL43" s="57"/>
    </row>
    <row r="44" spans="21:38" x14ac:dyDescent="0.25">
      <c r="V44" s="38"/>
    </row>
    <row r="45" spans="21:38" x14ac:dyDescent="0.25">
      <c r="U45" s="35"/>
      <c r="V45" s="38"/>
    </row>
    <row r="46" spans="21:38" x14ac:dyDescent="0.25">
      <c r="U46" s="35"/>
      <c r="V46" s="38"/>
    </row>
    <row r="47" spans="21:38" x14ac:dyDescent="0.25">
      <c r="U47" s="35"/>
      <c r="V47" s="38"/>
    </row>
    <row r="48" spans="21:38" x14ac:dyDescent="0.25">
      <c r="U48" s="35"/>
      <c r="V48" s="38"/>
    </row>
    <row r="49" spans="21:22" x14ac:dyDescent="0.25">
      <c r="U49" s="35"/>
      <c r="V49" s="38"/>
    </row>
    <row r="50" spans="21:22" x14ac:dyDescent="0.25">
      <c r="U50" s="35"/>
      <c r="V50" s="38"/>
    </row>
    <row r="51" spans="21:22" x14ac:dyDescent="0.25">
      <c r="U51" s="35"/>
      <c r="V51" s="38"/>
    </row>
    <row r="52" spans="21:22" x14ac:dyDescent="0.25">
      <c r="U52" s="35"/>
      <c r="V52" s="38"/>
    </row>
    <row r="53" spans="21:22" x14ac:dyDescent="0.25">
      <c r="U53" s="35"/>
      <c r="V53" s="38"/>
    </row>
    <row r="54" spans="21:22" x14ac:dyDescent="0.25">
      <c r="U54" s="35"/>
      <c r="V54" s="38"/>
    </row>
    <row r="55" spans="21:22" x14ac:dyDescent="0.25">
      <c r="U55" s="35"/>
      <c r="V55" s="38"/>
    </row>
    <row r="56" spans="21:22" x14ac:dyDescent="0.25">
      <c r="U56" s="35"/>
      <c r="V56" s="38"/>
    </row>
    <row r="57" spans="21:22" x14ac:dyDescent="0.25">
      <c r="U57" s="35"/>
      <c r="V57" s="38"/>
    </row>
    <row r="58" spans="21:22" x14ac:dyDescent="0.25">
      <c r="U58" s="35"/>
      <c r="V58" s="38"/>
    </row>
    <row r="59" spans="21:22" x14ac:dyDescent="0.25">
      <c r="U59" s="35"/>
      <c r="V59" s="38"/>
    </row>
    <row r="60" spans="21:22" x14ac:dyDescent="0.25">
      <c r="U60" s="35"/>
      <c r="V60" s="38"/>
    </row>
    <row r="61" spans="21:22" x14ac:dyDescent="0.25">
      <c r="U61" s="35"/>
      <c r="V61" s="38"/>
    </row>
    <row r="62" spans="21:22" x14ac:dyDescent="0.25">
      <c r="U62" s="35"/>
      <c r="V62" s="38"/>
    </row>
    <row r="63" spans="21:22" x14ac:dyDescent="0.25">
      <c r="U63" s="35"/>
      <c r="V63" s="38"/>
    </row>
    <row r="64" spans="21:22" x14ac:dyDescent="0.25">
      <c r="U64" s="35"/>
      <c r="V64" s="38"/>
    </row>
    <row r="65" spans="21:38" x14ac:dyDescent="0.25">
      <c r="U65" s="35"/>
      <c r="W65" s="34"/>
      <c r="X65" s="34"/>
      <c r="Y65" s="34"/>
      <c r="Z65" s="34"/>
      <c r="AA65" s="34"/>
      <c r="AB65" s="34"/>
      <c r="AC65" s="34"/>
      <c r="AD65" s="34"/>
      <c r="AE65" s="34"/>
      <c r="AF65" s="34"/>
      <c r="AG65" s="34"/>
      <c r="AH65" s="34"/>
      <c r="AI65" s="34"/>
      <c r="AJ65" s="34"/>
      <c r="AK65" s="34"/>
      <c r="AL65" s="34"/>
    </row>
    <row r="66" spans="21:38" x14ac:dyDescent="0.25">
      <c r="U66" s="37"/>
      <c r="W66" s="35"/>
      <c r="X66" s="35"/>
      <c r="Y66" s="35"/>
      <c r="Z66" s="35"/>
      <c r="AA66" s="35"/>
      <c r="AB66" s="35"/>
      <c r="AC66" s="35"/>
      <c r="AD66" s="35"/>
      <c r="AE66" s="35"/>
      <c r="AF66" s="35"/>
      <c r="AG66" s="35"/>
      <c r="AH66" s="35"/>
      <c r="AI66" s="35"/>
      <c r="AJ66" s="35"/>
      <c r="AK66" s="35"/>
      <c r="AL66" s="35"/>
    </row>
  </sheetData>
  <mergeCells count="24">
    <mergeCell ref="AE28:AF28"/>
    <mergeCell ref="AG28:AH28"/>
    <mergeCell ref="AI28:AJ28"/>
    <mergeCell ref="AK28:AL28"/>
    <mergeCell ref="AM28:AN28"/>
    <mergeCell ref="AE27:AF27"/>
    <mergeCell ref="AG27:AH27"/>
    <mergeCell ref="AI27:AJ27"/>
    <mergeCell ref="AK27:AL27"/>
    <mergeCell ref="AM27:AN27"/>
    <mergeCell ref="AE26:AF26"/>
    <mergeCell ref="AG26:AH26"/>
    <mergeCell ref="AI26:AJ26"/>
    <mergeCell ref="AK26:AL26"/>
    <mergeCell ref="AM26:AN26"/>
    <mergeCell ref="A19:I19"/>
    <mergeCell ref="F11:F13"/>
    <mergeCell ref="G11:G13"/>
    <mergeCell ref="A1:G1"/>
    <mergeCell ref="A9:G9"/>
    <mergeCell ref="C11:C13"/>
    <mergeCell ref="E11:E13"/>
    <mergeCell ref="B11:B13"/>
    <mergeCell ref="D11:D13"/>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dimension ref="A1:R41"/>
  <sheetViews>
    <sheetView zoomScale="80" zoomScaleNormal="80" workbookViewId="0">
      <selection sqref="A1:R1"/>
    </sheetView>
  </sheetViews>
  <sheetFormatPr defaultRowHeight="14.4" x14ac:dyDescent="0.3"/>
  <cols>
    <col min="1" max="1" width="57.88671875" customWidth="1"/>
    <col min="18" max="18" width="17.6640625" customWidth="1"/>
  </cols>
  <sheetData>
    <row r="1" spans="1:18" ht="24" customHeight="1" x14ac:dyDescent="0.3">
      <c r="A1" s="483" t="str">
        <f>"Thermostat Setpoints - "&amp;Prototype!A2</f>
        <v>Thermostat Setpoints - Laboratory</v>
      </c>
      <c r="B1" s="483"/>
      <c r="C1" s="483"/>
      <c r="D1" s="483"/>
      <c r="E1" s="483"/>
      <c r="F1" s="483"/>
      <c r="G1" s="483"/>
      <c r="H1" s="483"/>
      <c r="I1" s="483"/>
      <c r="J1" s="483"/>
      <c r="K1" s="483"/>
      <c r="L1" s="483"/>
      <c r="M1" s="483"/>
      <c r="N1" s="483"/>
      <c r="O1" s="483"/>
      <c r="P1" s="483"/>
      <c r="Q1" s="483"/>
      <c r="R1" s="483"/>
    </row>
    <row r="2" spans="1:18" ht="21.6" customHeight="1" x14ac:dyDescent="0.3">
      <c r="A2" s="444" t="s">
        <v>222</v>
      </c>
      <c r="B2" s="439" t="s">
        <v>123</v>
      </c>
      <c r="C2" s="439" t="s">
        <v>124</v>
      </c>
      <c r="D2" s="439" t="s">
        <v>125</v>
      </c>
      <c r="E2" s="439" t="s">
        <v>126</v>
      </c>
      <c r="F2" s="439" t="s">
        <v>127</v>
      </c>
      <c r="G2" s="439" t="s">
        <v>128</v>
      </c>
      <c r="H2" s="439" t="s">
        <v>129</v>
      </c>
      <c r="I2" s="439" t="s">
        <v>130</v>
      </c>
      <c r="J2" s="439" t="s">
        <v>131</v>
      </c>
      <c r="K2" s="439" t="s">
        <v>132</v>
      </c>
      <c r="L2" s="439" t="s">
        <v>133</v>
      </c>
      <c r="M2" s="439" t="s">
        <v>134</v>
      </c>
      <c r="N2" s="439" t="s">
        <v>135</v>
      </c>
      <c r="O2" s="439" t="s">
        <v>136</v>
      </c>
      <c r="P2" s="439" t="s">
        <v>137</v>
      </c>
      <c r="Q2" s="439" t="s">
        <v>138</v>
      </c>
      <c r="R2" s="144" t="s">
        <v>172</v>
      </c>
    </row>
    <row r="3" spans="1:18" ht="26.4" customHeight="1" x14ac:dyDescent="0.3">
      <c r="A3" s="432" t="s">
        <v>223</v>
      </c>
      <c r="B3" s="427">
        <v>70</v>
      </c>
      <c r="C3" s="427">
        <v>70</v>
      </c>
      <c r="D3" s="427">
        <v>70</v>
      </c>
      <c r="E3" s="427">
        <v>70</v>
      </c>
      <c r="F3" s="427">
        <v>70</v>
      </c>
      <c r="G3" s="427">
        <v>70</v>
      </c>
      <c r="H3" s="427">
        <v>70</v>
      </c>
      <c r="I3" s="427">
        <v>70</v>
      </c>
      <c r="J3" s="427">
        <v>70</v>
      </c>
      <c r="K3" s="427">
        <v>70</v>
      </c>
      <c r="L3" s="427">
        <v>70</v>
      </c>
      <c r="M3" s="427">
        <v>70</v>
      </c>
      <c r="N3" s="427">
        <v>70</v>
      </c>
      <c r="O3" s="427">
        <v>70</v>
      </c>
      <c r="P3" s="427">
        <v>70</v>
      </c>
      <c r="Q3" s="427">
        <v>70</v>
      </c>
      <c r="R3" s="510" t="s">
        <v>224</v>
      </c>
    </row>
    <row r="4" spans="1:18" ht="26.4" customHeight="1" x14ac:dyDescent="0.3">
      <c r="A4" s="432" t="s">
        <v>225</v>
      </c>
      <c r="B4" s="427">
        <v>70</v>
      </c>
      <c r="C4" s="427">
        <v>70</v>
      </c>
      <c r="D4" s="427">
        <v>70</v>
      </c>
      <c r="E4" s="427">
        <v>70</v>
      </c>
      <c r="F4" s="427">
        <v>70</v>
      </c>
      <c r="G4" s="427">
        <v>70</v>
      </c>
      <c r="H4" s="427">
        <v>70</v>
      </c>
      <c r="I4" s="427">
        <v>70</v>
      </c>
      <c r="J4" s="427">
        <v>70</v>
      </c>
      <c r="K4" s="427">
        <v>70</v>
      </c>
      <c r="L4" s="427">
        <v>70</v>
      </c>
      <c r="M4" s="427">
        <v>70</v>
      </c>
      <c r="N4" s="427">
        <v>70</v>
      </c>
      <c r="O4" s="427">
        <v>70</v>
      </c>
      <c r="P4" s="427">
        <v>70</v>
      </c>
      <c r="Q4" s="427">
        <v>70</v>
      </c>
      <c r="R4" s="510"/>
    </row>
    <row r="5" spans="1:18" ht="26.4" customHeight="1" x14ac:dyDescent="0.3">
      <c r="A5" s="432" t="s">
        <v>226</v>
      </c>
      <c r="B5" s="427">
        <v>75</v>
      </c>
      <c r="C5" s="427">
        <v>75</v>
      </c>
      <c r="D5" s="427">
        <v>75</v>
      </c>
      <c r="E5" s="427">
        <v>75</v>
      </c>
      <c r="F5" s="427">
        <v>75</v>
      </c>
      <c r="G5" s="427">
        <v>75</v>
      </c>
      <c r="H5" s="427">
        <v>75</v>
      </c>
      <c r="I5" s="427">
        <v>75</v>
      </c>
      <c r="J5" s="427">
        <v>75</v>
      </c>
      <c r="K5" s="427">
        <v>75</v>
      </c>
      <c r="L5" s="427">
        <v>75</v>
      </c>
      <c r="M5" s="427">
        <v>75</v>
      </c>
      <c r="N5" s="427">
        <v>75</v>
      </c>
      <c r="O5" s="427">
        <v>75</v>
      </c>
      <c r="P5" s="427">
        <v>75</v>
      </c>
      <c r="Q5" s="427">
        <v>75</v>
      </c>
      <c r="R5" s="510"/>
    </row>
    <row r="6" spans="1:18" ht="23.4" customHeight="1" x14ac:dyDescent="0.3">
      <c r="A6" s="432" t="s">
        <v>227</v>
      </c>
      <c r="B6" s="427">
        <v>75</v>
      </c>
      <c r="C6" s="427">
        <v>75</v>
      </c>
      <c r="D6" s="427">
        <v>75</v>
      </c>
      <c r="E6" s="427">
        <v>75</v>
      </c>
      <c r="F6" s="427">
        <v>75</v>
      </c>
      <c r="G6" s="427">
        <v>75</v>
      </c>
      <c r="H6" s="427">
        <v>75</v>
      </c>
      <c r="I6" s="427">
        <v>75</v>
      </c>
      <c r="J6" s="427">
        <v>75</v>
      </c>
      <c r="K6" s="427">
        <v>75</v>
      </c>
      <c r="L6" s="427">
        <v>75</v>
      </c>
      <c r="M6" s="427">
        <v>75</v>
      </c>
      <c r="N6" s="427">
        <v>75</v>
      </c>
      <c r="O6" s="427">
        <v>75</v>
      </c>
      <c r="P6" s="427">
        <v>75</v>
      </c>
      <c r="Q6" s="427">
        <v>75</v>
      </c>
      <c r="R6" s="510"/>
    </row>
    <row r="7" spans="1:18" ht="22.95" customHeight="1" x14ac:dyDescent="0.3">
      <c r="A7" s="125" t="s">
        <v>228</v>
      </c>
      <c r="B7" s="123">
        <v>70</v>
      </c>
      <c r="C7" s="123">
        <v>70</v>
      </c>
      <c r="D7" s="123">
        <v>70</v>
      </c>
      <c r="E7" s="123">
        <v>70</v>
      </c>
      <c r="F7" s="123">
        <v>70</v>
      </c>
      <c r="G7" s="123">
        <v>70</v>
      </c>
      <c r="H7" s="123">
        <v>70</v>
      </c>
      <c r="I7" s="123">
        <v>70</v>
      </c>
      <c r="J7" s="123">
        <v>70</v>
      </c>
      <c r="K7" s="123">
        <v>70</v>
      </c>
      <c r="L7" s="123">
        <v>70</v>
      </c>
      <c r="M7" s="123">
        <v>70</v>
      </c>
      <c r="N7" s="123">
        <v>70</v>
      </c>
      <c r="O7" s="123">
        <v>70</v>
      </c>
      <c r="P7" s="123">
        <v>70</v>
      </c>
      <c r="Q7" s="123">
        <v>70</v>
      </c>
      <c r="R7" s="510"/>
    </row>
    <row r="8" spans="1:18" ht="22.95" customHeight="1" x14ac:dyDescent="0.3">
      <c r="A8" s="125" t="s">
        <v>229</v>
      </c>
      <c r="B8" s="123">
        <v>60</v>
      </c>
      <c r="C8" s="123">
        <v>60</v>
      </c>
      <c r="D8" s="123">
        <v>60</v>
      </c>
      <c r="E8" s="123">
        <v>60</v>
      </c>
      <c r="F8" s="123">
        <v>60</v>
      </c>
      <c r="G8" s="123">
        <v>60</v>
      </c>
      <c r="H8" s="123">
        <v>60</v>
      </c>
      <c r="I8" s="123">
        <v>60</v>
      </c>
      <c r="J8" s="123">
        <v>60</v>
      </c>
      <c r="K8" s="123">
        <v>60</v>
      </c>
      <c r="L8" s="123">
        <v>60</v>
      </c>
      <c r="M8" s="123">
        <v>60</v>
      </c>
      <c r="N8" s="123">
        <v>60</v>
      </c>
      <c r="O8" s="123">
        <v>60</v>
      </c>
      <c r="P8" s="123">
        <v>60</v>
      </c>
      <c r="Q8" s="123">
        <v>60</v>
      </c>
      <c r="R8" s="510"/>
    </row>
    <row r="9" spans="1:18" ht="22.95" customHeight="1" x14ac:dyDescent="0.3">
      <c r="A9" s="125" t="s">
        <v>230</v>
      </c>
      <c r="B9" s="123">
        <v>75</v>
      </c>
      <c r="C9" s="123">
        <v>75</v>
      </c>
      <c r="D9" s="123">
        <v>75</v>
      </c>
      <c r="E9" s="123">
        <v>75</v>
      </c>
      <c r="F9" s="123">
        <v>75</v>
      </c>
      <c r="G9" s="123">
        <v>75</v>
      </c>
      <c r="H9" s="123">
        <v>75</v>
      </c>
      <c r="I9" s="123">
        <v>75</v>
      </c>
      <c r="J9" s="123">
        <v>75</v>
      </c>
      <c r="K9" s="123">
        <v>75</v>
      </c>
      <c r="L9" s="123">
        <v>75</v>
      </c>
      <c r="M9" s="123">
        <v>75</v>
      </c>
      <c r="N9" s="123">
        <v>75</v>
      </c>
      <c r="O9" s="123">
        <v>75</v>
      </c>
      <c r="P9" s="123">
        <v>75</v>
      </c>
      <c r="Q9" s="123">
        <v>75</v>
      </c>
      <c r="R9" s="510"/>
    </row>
    <row r="10" spans="1:18" ht="22.95" customHeight="1" x14ac:dyDescent="0.3">
      <c r="A10" s="125" t="s">
        <v>231</v>
      </c>
      <c r="B10" s="123">
        <v>85</v>
      </c>
      <c r="C10" s="123">
        <v>85</v>
      </c>
      <c r="D10" s="123">
        <v>85</v>
      </c>
      <c r="E10" s="123">
        <v>85</v>
      </c>
      <c r="F10" s="123">
        <v>85</v>
      </c>
      <c r="G10" s="123">
        <v>85</v>
      </c>
      <c r="H10" s="123">
        <v>85</v>
      </c>
      <c r="I10" s="123">
        <v>85</v>
      </c>
      <c r="J10" s="123">
        <v>85</v>
      </c>
      <c r="K10" s="123">
        <v>85</v>
      </c>
      <c r="L10" s="123">
        <v>85</v>
      </c>
      <c r="M10" s="123">
        <v>85</v>
      </c>
      <c r="N10" s="123">
        <v>85</v>
      </c>
      <c r="O10" s="123">
        <v>85</v>
      </c>
      <c r="P10" s="123">
        <v>85</v>
      </c>
      <c r="Q10" s="123">
        <v>85</v>
      </c>
      <c r="R10" s="510"/>
    </row>
    <row r="11" spans="1:18" ht="22.95" customHeight="1" x14ac:dyDescent="0.3">
      <c r="A11" s="426"/>
      <c r="B11" s="127"/>
      <c r="C11" s="127"/>
      <c r="D11" s="127"/>
      <c r="E11" s="127"/>
      <c r="F11" s="127"/>
      <c r="G11" s="127"/>
      <c r="H11" s="127"/>
      <c r="I11" s="127"/>
      <c r="J11" s="128"/>
      <c r="K11" s="128"/>
      <c r="L11" s="128"/>
      <c r="M11" s="128"/>
      <c r="N11" s="128"/>
      <c r="O11" s="128"/>
      <c r="P11" s="128"/>
      <c r="Q11" s="128"/>
    </row>
    <row r="12" spans="1:18" ht="22.95" customHeight="1" x14ac:dyDescent="0.3">
      <c r="A12" s="426"/>
      <c r="B12" s="127"/>
      <c r="C12" s="127"/>
      <c r="D12" s="127"/>
      <c r="E12" s="127"/>
      <c r="F12" s="127"/>
      <c r="G12" s="127"/>
      <c r="H12" s="127"/>
      <c r="I12" s="127"/>
      <c r="J12" s="128"/>
      <c r="K12" s="128"/>
      <c r="L12" s="128"/>
      <c r="M12" s="128"/>
      <c r="N12" s="128"/>
      <c r="O12" s="128"/>
      <c r="P12" s="128"/>
      <c r="Q12" s="128"/>
    </row>
    <row r="13" spans="1:18" s="64" customFormat="1" ht="22.95" hidden="1" customHeight="1" x14ac:dyDescent="0.3">
      <c r="A13" s="513"/>
      <c r="B13" s="513"/>
      <c r="C13" s="513"/>
      <c r="D13" s="513"/>
      <c r="E13" s="513"/>
      <c r="F13" s="434"/>
      <c r="G13" s="434"/>
      <c r="H13" s="434"/>
      <c r="I13" s="434"/>
    </row>
    <row r="14" spans="1:18" ht="22.95" customHeight="1" x14ac:dyDescent="0.3">
      <c r="A14" s="289"/>
      <c r="H14" s="289"/>
      <c r="I14" s="289"/>
    </row>
    <row r="15" spans="1:18" ht="22.95" customHeight="1" x14ac:dyDescent="0.3">
      <c r="A15" s="289"/>
      <c r="B15" s="289"/>
      <c r="C15" s="289"/>
      <c r="D15" s="289"/>
      <c r="E15" s="289"/>
      <c r="F15" s="289"/>
      <c r="G15" s="289"/>
      <c r="H15" s="289"/>
      <c r="I15" s="289"/>
    </row>
    <row r="16" spans="1:18" ht="22.95" customHeight="1" x14ac:dyDescent="0.3">
      <c r="A16" s="1"/>
      <c r="B16" s="289"/>
      <c r="C16" s="289"/>
      <c r="D16" s="289"/>
      <c r="E16" s="289"/>
      <c r="F16" s="289"/>
      <c r="G16" s="289"/>
      <c r="H16" s="289"/>
      <c r="I16" s="289"/>
    </row>
    <row r="17" spans="1:9" ht="22.95" customHeight="1" x14ac:dyDescent="0.3">
      <c r="A17" s="1"/>
      <c r="B17" s="289"/>
      <c r="C17" s="289"/>
      <c r="D17" s="289"/>
      <c r="E17" s="289"/>
      <c r="F17" s="289"/>
      <c r="G17" s="289"/>
      <c r="H17" s="289"/>
      <c r="I17" s="289"/>
    </row>
    <row r="18" spans="1:9" ht="22.95" customHeight="1" x14ac:dyDescent="0.3">
      <c r="A18" s="1"/>
      <c r="B18" s="126"/>
      <c r="C18" s="289"/>
      <c r="D18" s="289"/>
      <c r="E18" s="126"/>
      <c r="F18" s="289"/>
      <c r="G18" s="289"/>
      <c r="H18" s="289"/>
      <c r="I18" s="289"/>
    </row>
    <row r="19" spans="1:9" ht="22.95" customHeight="1" x14ac:dyDescent="0.3">
      <c r="A19" s="1"/>
      <c r="B19" s="289"/>
      <c r="C19" s="289"/>
      <c r="D19" s="289"/>
      <c r="E19" s="289"/>
      <c r="F19" s="289"/>
      <c r="G19" s="289"/>
      <c r="H19" s="289"/>
      <c r="I19" s="289"/>
    </row>
    <row r="20" spans="1:9" ht="22.95" customHeight="1" x14ac:dyDescent="0.3">
      <c r="A20" s="289"/>
      <c r="B20" s="289"/>
      <c r="C20" s="289"/>
      <c r="D20" s="289"/>
      <c r="E20" s="289"/>
      <c r="F20" s="289"/>
      <c r="G20" s="289"/>
      <c r="H20" s="289"/>
      <c r="I20" s="289"/>
    </row>
    <row r="21" spans="1:9" ht="22.95" customHeight="1" x14ac:dyDescent="0.3">
      <c r="A21" s="289"/>
      <c r="B21" s="289"/>
      <c r="C21" s="289"/>
      <c r="D21" s="289"/>
      <c r="E21" s="289"/>
      <c r="F21" s="289"/>
      <c r="G21" s="289"/>
      <c r="H21" s="289"/>
      <c r="I21" s="289"/>
    </row>
    <row r="22" spans="1:9" ht="22.95" customHeight="1" x14ac:dyDescent="0.3">
      <c r="A22" s="293"/>
      <c r="B22" s="293"/>
      <c r="C22" s="293"/>
      <c r="D22" s="293"/>
      <c r="E22" s="293"/>
      <c r="F22" s="293"/>
      <c r="G22" s="293"/>
      <c r="H22" s="293"/>
      <c r="I22" s="293"/>
    </row>
    <row r="23" spans="1:9" ht="22.95" customHeight="1" x14ac:dyDescent="0.3">
      <c r="A23" s="289"/>
      <c r="B23" s="289"/>
      <c r="C23" s="289"/>
      <c r="D23" s="289"/>
      <c r="E23" s="289"/>
      <c r="F23" s="289"/>
      <c r="G23" s="289"/>
      <c r="H23" s="289"/>
      <c r="I23" s="289"/>
    </row>
    <row r="24" spans="1:9" ht="22.95" customHeight="1" x14ac:dyDescent="0.3">
      <c r="A24" s="289"/>
      <c r="B24" s="289"/>
      <c r="C24" s="289"/>
      <c r="D24" s="289"/>
      <c r="E24" s="289"/>
      <c r="F24" s="289"/>
      <c r="G24" s="289"/>
      <c r="H24" s="289"/>
      <c r="I24" s="289"/>
    </row>
    <row r="25" spans="1:9" ht="22.95" customHeight="1" x14ac:dyDescent="0.3">
      <c r="A25" s="289"/>
      <c r="B25" s="289"/>
      <c r="C25" s="289"/>
      <c r="D25" s="289"/>
      <c r="E25" s="289"/>
      <c r="F25" s="289"/>
      <c r="G25" s="289"/>
      <c r="H25" s="289"/>
      <c r="I25" s="289"/>
    </row>
    <row r="26" spans="1:9" ht="22.95" customHeight="1" x14ac:dyDescent="0.3">
      <c r="A26" s="289"/>
      <c r="B26" s="289"/>
      <c r="C26" s="289"/>
      <c r="D26" s="289"/>
      <c r="E26" s="289"/>
      <c r="F26" s="289"/>
      <c r="G26" s="289"/>
      <c r="H26" s="289"/>
      <c r="I26" s="289"/>
    </row>
    <row r="27" spans="1:9" ht="22.95" customHeight="1" x14ac:dyDescent="0.3">
      <c r="A27" s="289"/>
      <c r="B27" s="289"/>
      <c r="C27" s="289"/>
      <c r="D27" s="289"/>
      <c r="E27" s="289"/>
      <c r="F27" s="289"/>
      <c r="G27" s="289"/>
      <c r="H27" s="289"/>
      <c r="I27" s="289"/>
    </row>
    <row r="28" spans="1:9" ht="22.95" customHeight="1" x14ac:dyDescent="0.3">
      <c r="A28" s="289"/>
      <c r="B28" s="289"/>
      <c r="C28" s="289"/>
      <c r="D28" s="289"/>
      <c r="E28" s="289"/>
      <c r="F28" s="289"/>
      <c r="G28" s="289"/>
      <c r="H28" s="289"/>
      <c r="I28" s="289"/>
    </row>
    <row r="29" spans="1:9" ht="22.95" customHeight="1" x14ac:dyDescent="0.3">
      <c r="A29" s="289"/>
      <c r="B29" s="289"/>
      <c r="C29" s="289"/>
      <c r="D29" s="289"/>
      <c r="E29" s="289"/>
      <c r="F29" s="289"/>
      <c r="G29" s="289"/>
      <c r="H29" s="289"/>
      <c r="I29" s="289"/>
    </row>
    <row r="30" spans="1:9" ht="22.95" customHeight="1" x14ac:dyDescent="0.3">
      <c r="A30" s="289"/>
      <c r="B30" s="289"/>
      <c r="C30" s="289"/>
      <c r="D30" s="289"/>
      <c r="E30" s="289"/>
      <c r="F30" s="289"/>
      <c r="G30" s="289"/>
      <c r="H30" s="289"/>
      <c r="I30" s="289"/>
    </row>
    <row r="31" spans="1:9" ht="22.95" customHeight="1" x14ac:dyDescent="0.3">
      <c r="A31" s="289"/>
      <c r="B31" s="289"/>
      <c r="C31" s="289"/>
      <c r="D31" s="289"/>
      <c r="E31" s="289"/>
      <c r="F31" s="289"/>
      <c r="G31" s="289"/>
      <c r="H31" s="289"/>
      <c r="I31" s="289"/>
    </row>
    <row r="32" spans="1:9" ht="22.95" customHeight="1" x14ac:dyDescent="0.3">
      <c r="A32" s="289"/>
      <c r="B32" s="289"/>
      <c r="C32" s="289"/>
      <c r="D32" s="289"/>
      <c r="E32" s="289"/>
      <c r="F32" s="289"/>
      <c r="G32" s="289"/>
      <c r="H32" s="289"/>
      <c r="I32" s="289"/>
    </row>
    <row r="33" spans="1:17" ht="22.95" customHeight="1" x14ac:dyDescent="0.3">
      <c r="A33" s="289"/>
      <c r="B33" s="289"/>
      <c r="C33" s="289"/>
      <c r="D33" s="289"/>
      <c r="E33" s="289"/>
      <c r="F33" s="289"/>
      <c r="G33" s="289"/>
      <c r="H33" s="289"/>
      <c r="I33" s="289"/>
    </row>
    <row r="34" spans="1:17" ht="22.95" customHeight="1" x14ac:dyDescent="0.3">
      <c r="A34" s="289"/>
      <c r="B34" s="289"/>
      <c r="C34" s="289"/>
      <c r="D34" s="289"/>
      <c r="E34" s="289"/>
      <c r="F34" s="289"/>
      <c r="G34" s="289"/>
      <c r="H34" s="289"/>
      <c r="I34" s="289"/>
    </row>
    <row r="35" spans="1:17" ht="22.95" customHeight="1" x14ac:dyDescent="0.3">
      <c r="A35" s="289"/>
      <c r="B35" s="289"/>
      <c r="C35" s="289"/>
      <c r="D35" s="289"/>
      <c r="E35" s="289"/>
      <c r="F35" s="289"/>
      <c r="G35" s="289"/>
      <c r="H35" s="289"/>
      <c r="I35" s="289"/>
    </row>
    <row r="36" spans="1:17" ht="22.95" customHeight="1" x14ac:dyDescent="0.3">
      <c r="A36" s="289"/>
      <c r="B36" s="289"/>
      <c r="C36" s="289"/>
      <c r="D36" s="289"/>
      <c r="E36" s="289"/>
      <c r="F36" s="289"/>
      <c r="G36" s="289"/>
      <c r="H36" s="289"/>
      <c r="I36" s="289"/>
    </row>
    <row r="37" spans="1:17" ht="22.95" customHeight="1" x14ac:dyDescent="0.3">
      <c r="A37" s="289"/>
      <c r="B37" s="289"/>
      <c r="C37" s="289"/>
      <c r="D37" s="289"/>
      <c r="E37" s="289"/>
      <c r="F37" s="289"/>
      <c r="G37" s="289"/>
      <c r="H37" s="289"/>
      <c r="I37" s="289"/>
    </row>
    <row r="38" spans="1:17" ht="22.95" customHeight="1" x14ac:dyDescent="0.3">
      <c r="A38" s="125" t="s">
        <v>232</v>
      </c>
      <c r="B38" s="124">
        <v>85</v>
      </c>
      <c r="C38" s="124">
        <v>85</v>
      </c>
      <c r="D38" s="124">
        <v>85</v>
      </c>
      <c r="E38" s="124">
        <v>85</v>
      </c>
      <c r="F38" s="124">
        <v>85</v>
      </c>
      <c r="G38" s="124">
        <v>85</v>
      </c>
      <c r="H38" s="124">
        <v>85</v>
      </c>
      <c r="I38" s="124">
        <v>85</v>
      </c>
      <c r="J38" s="124">
        <v>85</v>
      </c>
      <c r="K38" s="124">
        <v>85</v>
      </c>
      <c r="L38" s="124">
        <v>85</v>
      </c>
      <c r="M38" s="124">
        <v>85</v>
      </c>
      <c r="N38" s="124">
        <v>85</v>
      </c>
      <c r="O38" s="124">
        <v>85</v>
      </c>
      <c r="P38" s="124">
        <v>85</v>
      </c>
      <c r="Q38" s="124">
        <v>85</v>
      </c>
    </row>
    <row r="40" spans="1:17" ht="22.95" customHeight="1" x14ac:dyDescent="0.3">
      <c r="A40" s="457" t="s">
        <v>233</v>
      </c>
      <c r="B40" s="457"/>
      <c r="C40" s="457"/>
      <c r="D40" s="457"/>
      <c r="E40" s="457"/>
      <c r="F40" s="457"/>
      <c r="G40" s="457"/>
      <c r="H40" s="457"/>
      <c r="I40" s="457"/>
      <c r="J40" s="457"/>
      <c r="K40" s="457"/>
      <c r="L40" s="457"/>
      <c r="M40" s="457"/>
      <c r="N40" s="457"/>
      <c r="O40" s="457"/>
      <c r="P40" s="457"/>
      <c r="Q40" s="457"/>
    </row>
    <row r="41" spans="1:17" ht="14.4" customHeight="1" x14ac:dyDescent="0.3">
      <c r="A41" s="511" t="s">
        <v>234</v>
      </c>
      <c r="B41" s="512"/>
      <c r="C41" s="512"/>
      <c r="D41" s="512"/>
      <c r="E41" s="512"/>
      <c r="F41" s="512"/>
      <c r="G41" s="512"/>
      <c r="H41" s="512"/>
      <c r="I41" s="512"/>
      <c r="J41" s="512"/>
      <c r="K41" s="512"/>
      <c r="L41" s="512"/>
      <c r="M41" s="512"/>
      <c r="N41" s="512"/>
      <c r="O41" s="12"/>
      <c r="P41" s="12"/>
      <c r="Q41" s="12"/>
    </row>
  </sheetData>
  <mergeCells count="5">
    <mergeCell ref="R3:R10"/>
    <mergeCell ref="A1:R1"/>
    <mergeCell ref="A41:N41"/>
    <mergeCell ref="A40:Q40"/>
    <mergeCell ref="A13:E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V62"/>
  <sheetViews>
    <sheetView zoomScale="70" zoomScaleNormal="70" workbookViewId="0">
      <pane xSplit="1" topLeftCell="B1" activePane="topRight" state="frozen"/>
      <selection pane="topRight" activeCell="A6" sqref="A6"/>
    </sheetView>
  </sheetViews>
  <sheetFormatPr defaultColWidth="9.33203125" defaultRowHeight="13.8" x14ac:dyDescent="0.25"/>
  <cols>
    <col min="1" max="1" width="30" style="68" customWidth="1"/>
    <col min="2" max="2" width="34.88671875" style="68" bestFit="1" customWidth="1"/>
    <col min="3" max="5" width="20.33203125" style="68" customWidth="1"/>
    <col min="6" max="6" width="25.33203125" style="68" bestFit="1" customWidth="1"/>
    <col min="7" max="7" width="28.6640625" style="68" customWidth="1"/>
    <col min="8" max="8" width="23.6640625" style="68" customWidth="1"/>
    <col min="9" max="9" width="13.6640625" style="68" customWidth="1"/>
    <col min="10" max="10" width="11.6640625" style="68" customWidth="1"/>
    <col min="11" max="11" width="13.6640625" style="68" customWidth="1"/>
    <col min="12" max="12" width="21.6640625" style="68" customWidth="1"/>
    <col min="13" max="13" width="12.33203125" style="68" customWidth="1"/>
    <col min="14" max="14" width="13.6640625" style="68" customWidth="1"/>
    <col min="15" max="15" width="12.33203125" style="68" customWidth="1"/>
    <col min="16" max="16" width="18.109375" style="68" customWidth="1"/>
    <col min="17" max="17" width="17.109375" style="68" customWidth="1"/>
    <col min="18" max="18" width="22.44140625" style="68" customWidth="1"/>
    <col min="19" max="19" width="21.6640625" style="68" customWidth="1"/>
    <col min="20" max="20" width="9.33203125" style="68" customWidth="1"/>
    <col min="21" max="21" width="23.33203125" style="68" customWidth="1"/>
    <col min="22" max="25" width="11.33203125" style="68" customWidth="1"/>
    <col min="26" max="16384" width="9.33203125" style="68"/>
  </cols>
  <sheetData>
    <row r="1" spans="1:22" ht="24.6" customHeight="1" x14ac:dyDescent="0.25">
      <c r="A1" s="487" t="str">
        <f>"Outdoor Airflow Rate - "&amp;Prototype!A2</f>
        <v>Outdoor Airflow Rate - Laboratory</v>
      </c>
      <c r="B1" s="488"/>
      <c r="C1" s="488"/>
      <c r="D1" s="488"/>
      <c r="E1" s="488"/>
      <c r="F1" s="488"/>
      <c r="G1" s="488"/>
      <c r="H1" s="488"/>
      <c r="I1" s="488"/>
      <c r="J1" s="488"/>
      <c r="K1" s="488"/>
      <c r="L1" s="162"/>
      <c r="M1" s="6"/>
      <c r="N1" s="6"/>
      <c r="O1" s="6"/>
      <c r="P1" s="6"/>
      <c r="Q1" s="6"/>
      <c r="R1" s="6"/>
      <c r="S1" s="6"/>
      <c r="T1" s="6"/>
      <c r="U1" s="6"/>
      <c r="V1" s="6"/>
    </row>
    <row r="2" spans="1:22" ht="60.6" customHeight="1" x14ac:dyDescent="0.25">
      <c r="A2" s="294" t="s">
        <v>72</v>
      </c>
      <c r="B2" s="295" t="s">
        <v>73</v>
      </c>
      <c r="C2" s="295" t="s">
        <v>81</v>
      </c>
      <c r="D2" s="296" t="s">
        <v>235</v>
      </c>
      <c r="E2" s="297" t="s">
        <v>236</v>
      </c>
      <c r="F2" s="297" t="s">
        <v>237</v>
      </c>
      <c r="G2" s="297" t="s">
        <v>238</v>
      </c>
      <c r="H2" s="297" t="s">
        <v>239</v>
      </c>
      <c r="I2" s="297" t="s">
        <v>240</v>
      </c>
      <c r="J2" s="297" t="s">
        <v>241</v>
      </c>
      <c r="K2" s="298" t="s">
        <v>242</v>
      </c>
      <c r="L2" s="299" t="s">
        <v>32</v>
      </c>
      <c r="M2" s="6"/>
      <c r="N2" s="6"/>
      <c r="O2" s="6"/>
      <c r="P2" s="6"/>
      <c r="Q2" s="6"/>
      <c r="R2" s="6"/>
      <c r="S2" s="6"/>
      <c r="T2" s="6"/>
      <c r="U2" s="6"/>
      <c r="V2" s="6"/>
    </row>
    <row r="3" spans="1:22" ht="21" customHeight="1" x14ac:dyDescent="0.25">
      <c r="A3" s="300" t="str">
        <f>Zones!A3</f>
        <v>Laboratory, Scientific</v>
      </c>
      <c r="B3" s="211" t="str">
        <f>Zones!B3</f>
        <v>Core_bottom</v>
      </c>
      <c r="C3" s="212">
        <f>Zones!J3</f>
        <v>264.69349999999997</v>
      </c>
      <c r="D3" s="212">
        <f>Zones!G3</f>
        <v>10587.74</v>
      </c>
      <c r="E3" s="211">
        <v>15</v>
      </c>
      <c r="F3" s="211">
        <f>VLOOKUP(A3,A$55:E$58,5, FALSE)</f>
        <v>0.15</v>
      </c>
      <c r="G3" s="213">
        <f>F56</f>
        <v>1</v>
      </c>
      <c r="H3" s="142">
        <f t="shared" ref="H3:H20" si="0">C3*E3</f>
        <v>3970.4024999999997</v>
      </c>
      <c r="I3" s="143">
        <f t="shared" ref="I3:I20" si="1">D3*F3</f>
        <v>1588.1609999999998</v>
      </c>
      <c r="J3" s="143">
        <f>G3*D3</f>
        <v>10587.74</v>
      </c>
      <c r="K3" s="163">
        <f>MAX(H3,I3,J3)</f>
        <v>10587.74</v>
      </c>
      <c r="L3" s="301"/>
      <c r="M3" s="6"/>
      <c r="N3" s="6"/>
      <c r="O3" s="6"/>
      <c r="P3" s="6"/>
      <c r="Q3" s="6"/>
      <c r="R3" s="6"/>
      <c r="S3" s="6"/>
      <c r="T3" s="6"/>
      <c r="U3" s="6"/>
      <c r="V3" s="214"/>
    </row>
    <row r="4" spans="1:22" ht="21" customHeight="1" x14ac:dyDescent="0.25">
      <c r="A4" s="300" t="str">
        <f>Zones!A4</f>
        <v>Laboratory, Scientific</v>
      </c>
      <c r="B4" s="211" t="str">
        <f>Zones!B4</f>
        <v>Core_mid</v>
      </c>
      <c r="C4" s="212">
        <f>Zones!J4</f>
        <v>264.69349999999997</v>
      </c>
      <c r="D4" s="212">
        <f>Zones!G4</f>
        <v>10587.74</v>
      </c>
      <c r="E4" s="211">
        <v>15</v>
      </c>
      <c r="F4" s="211">
        <f>VLOOKUP(A4,A$55:E$58,5, FALSE)</f>
        <v>0.15</v>
      </c>
      <c r="G4" s="213">
        <f>F56</f>
        <v>1</v>
      </c>
      <c r="H4" s="142">
        <f t="shared" si="0"/>
        <v>3970.4024999999997</v>
      </c>
      <c r="I4" s="143">
        <f t="shared" si="1"/>
        <v>1588.1609999999998</v>
      </c>
      <c r="J4" s="143">
        <f t="shared" ref="J4:J20" si="2">G4*D4</f>
        <v>10587.74</v>
      </c>
      <c r="K4" s="163">
        <f t="shared" ref="K4:K20" si="3">MAX(H4,I4,J4)</f>
        <v>10587.74</v>
      </c>
      <c r="L4" s="301"/>
      <c r="M4" s="6"/>
      <c r="N4" s="6"/>
      <c r="O4" s="6"/>
      <c r="P4" s="6"/>
      <c r="Q4" s="6"/>
      <c r="R4" s="6"/>
      <c r="S4" s="6"/>
      <c r="T4" s="6"/>
      <c r="U4" s="6"/>
      <c r="V4" s="6"/>
    </row>
    <row r="5" spans="1:22" ht="21" customHeight="1" x14ac:dyDescent="0.25">
      <c r="A5" s="300" t="str">
        <f>Zones!A5</f>
        <v>Laboratory, Scientific</v>
      </c>
      <c r="B5" s="211" t="str">
        <f>Zones!B5</f>
        <v xml:space="preserve">Core_top </v>
      </c>
      <c r="C5" s="212">
        <f>Zones!J5</f>
        <v>264.69349999999997</v>
      </c>
      <c r="D5" s="212">
        <f>Zones!G5</f>
        <v>10587.74</v>
      </c>
      <c r="E5" s="211">
        <v>15</v>
      </c>
      <c r="F5" s="211">
        <f>VLOOKUP(A5,A$55:E$58,5, FALSE)</f>
        <v>0.15</v>
      </c>
      <c r="G5" s="213">
        <f>F56</f>
        <v>1</v>
      </c>
      <c r="H5" s="142">
        <f t="shared" si="0"/>
        <v>3970.4024999999997</v>
      </c>
      <c r="I5" s="143">
        <f t="shared" si="1"/>
        <v>1588.1609999999998</v>
      </c>
      <c r="J5" s="143">
        <f t="shared" si="2"/>
        <v>10587.74</v>
      </c>
      <c r="K5" s="163">
        <f t="shared" si="3"/>
        <v>10587.74</v>
      </c>
      <c r="L5" s="301"/>
      <c r="M5" s="6"/>
      <c r="N5" s="6"/>
      <c r="O5" s="6"/>
      <c r="P5" s="6"/>
      <c r="Q5" s="6"/>
      <c r="R5" s="6"/>
      <c r="S5" s="6"/>
      <c r="T5" s="6"/>
      <c r="U5" s="6"/>
      <c r="V5" s="6"/>
    </row>
    <row r="6" spans="1:22" ht="21" customHeight="1" x14ac:dyDescent="0.25">
      <c r="A6" s="300" t="str">
        <f>Zones!A6</f>
        <v>Plenum</v>
      </c>
      <c r="B6" s="211" t="str">
        <f>Zones!B6</f>
        <v xml:space="preserve">Firstfloor_plenum </v>
      </c>
      <c r="C6" s="212">
        <f>Zones!J6</f>
        <v>0</v>
      </c>
      <c r="D6" s="212">
        <f>Zones!G6</f>
        <v>17877.68</v>
      </c>
      <c r="E6" s="211">
        <v>0</v>
      </c>
      <c r="F6" s="211">
        <v>0</v>
      </c>
      <c r="G6" s="213">
        <f t="shared" ref="G6:G20" si="4">S6</f>
        <v>0</v>
      </c>
      <c r="H6" s="142">
        <f t="shared" si="0"/>
        <v>0</v>
      </c>
      <c r="I6" s="143">
        <f t="shared" si="1"/>
        <v>0</v>
      </c>
      <c r="J6" s="143">
        <f t="shared" si="2"/>
        <v>0</v>
      </c>
      <c r="K6" s="163">
        <f t="shared" si="3"/>
        <v>0</v>
      </c>
      <c r="L6" s="301"/>
      <c r="M6" s="6"/>
      <c r="N6" s="6"/>
      <c r="O6" s="6"/>
      <c r="P6" s="6"/>
      <c r="Q6" s="6"/>
      <c r="R6" s="6"/>
      <c r="S6" s="6"/>
      <c r="T6" s="6"/>
      <c r="U6" s="6"/>
      <c r="V6" s="6"/>
    </row>
    <row r="7" spans="1:22" ht="21" customHeight="1" x14ac:dyDescent="0.25">
      <c r="A7" s="300" t="str">
        <f>Zones!A7</f>
        <v>Plenum</v>
      </c>
      <c r="B7" s="211" t="str">
        <f>Zones!B7</f>
        <v>Midfloor_plenum</v>
      </c>
      <c r="C7" s="212">
        <f>Zones!J7</f>
        <v>0</v>
      </c>
      <c r="D7" s="212">
        <f>Zones!G7</f>
        <v>17877.68</v>
      </c>
      <c r="E7" s="211">
        <v>0</v>
      </c>
      <c r="F7" s="211">
        <v>0</v>
      </c>
      <c r="G7" s="213">
        <f t="shared" si="4"/>
        <v>0</v>
      </c>
      <c r="H7" s="142">
        <f t="shared" si="0"/>
        <v>0</v>
      </c>
      <c r="I7" s="143">
        <f t="shared" si="1"/>
        <v>0</v>
      </c>
      <c r="J7" s="143">
        <f t="shared" si="2"/>
        <v>0</v>
      </c>
      <c r="K7" s="163">
        <f t="shared" si="3"/>
        <v>0</v>
      </c>
      <c r="L7" s="301"/>
      <c r="M7" s="6"/>
      <c r="N7" s="6"/>
      <c r="O7" s="6"/>
      <c r="P7" s="6"/>
      <c r="Q7" s="6"/>
      <c r="R7" s="6"/>
      <c r="S7" s="6"/>
      <c r="T7" s="6"/>
      <c r="U7" s="6"/>
      <c r="V7" s="6"/>
    </row>
    <row r="8" spans="1:22" ht="21" customHeight="1" x14ac:dyDescent="0.25">
      <c r="A8" s="300" t="str">
        <f>Zones!A8</f>
        <v>Office Area (&gt;250 square feet)</v>
      </c>
      <c r="B8" s="211" t="str">
        <f>Zones!B8</f>
        <v xml:space="preserve">Perimeter_bot_zn_1 </v>
      </c>
      <c r="C8" s="212">
        <f>Zones!J8</f>
        <v>11.1599</v>
      </c>
      <c r="D8" s="212">
        <f>Zones!G8</f>
        <v>2231.98</v>
      </c>
      <c r="E8" s="211">
        <v>15</v>
      </c>
      <c r="F8" s="211">
        <f t="shared" ref="F8:F19" si="5">VLOOKUP(A8,A$55:E$58,5, FALSE)</f>
        <v>0.15</v>
      </c>
      <c r="G8" s="213">
        <f t="shared" si="4"/>
        <v>0</v>
      </c>
      <c r="H8" s="142">
        <f t="shared" si="0"/>
        <v>167.39850000000001</v>
      </c>
      <c r="I8" s="143">
        <f t="shared" si="1"/>
        <v>334.79699999999997</v>
      </c>
      <c r="J8" s="143">
        <f t="shared" si="2"/>
        <v>0</v>
      </c>
      <c r="K8" s="163">
        <f t="shared" si="3"/>
        <v>334.79699999999997</v>
      </c>
      <c r="L8" s="301"/>
      <c r="M8" s="6"/>
      <c r="N8" s="6"/>
      <c r="O8" s="6"/>
      <c r="P8" s="6"/>
      <c r="Q8" s="6"/>
      <c r="R8" s="6"/>
      <c r="S8" s="6"/>
      <c r="T8" s="6"/>
      <c r="U8" s="6"/>
      <c r="V8" s="6"/>
    </row>
    <row r="9" spans="1:22" ht="21" customHeight="1" x14ac:dyDescent="0.25">
      <c r="A9" s="300" t="str">
        <f>Zones!A9</f>
        <v>Office Area (&gt;250 square feet)</v>
      </c>
      <c r="B9" s="211" t="str">
        <f>Zones!B9</f>
        <v xml:space="preserve">Perimeter_bot_zn_2 </v>
      </c>
      <c r="C9" s="212">
        <f>Zones!J9</f>
        <v>7.0651999999999999</v>
      </c>
      <c r="D9" s="212">
        <f>Zones!G9</f>
        <v>1413.04</v>
      </c>
      <c r="E9" s="211">
        <v>15</v>
      </c>
      <c r="F9" s="211">
        <f t="shared" si="5"/>
        <v>0.15</v>
      </c>
      <c r="G9" s="213">
        <f t="shared" si="4"/>
        <v>0</v>
      </c>
      <c r="H9" s="142">
        <f t="shared" si="0"/>
        <v>105.97799999999999</v>
      </c>
      <c r="I9" s="143">
        <f t="shared" si="1"/>
        <v>211.95599999999999</v>
      </c>
      <c r="J9" s="143">
        <f t="shared" si="2"/>
        <v>0</v>
      </c>
      <c r="K9" s="163">
        <f t="shared" si="3"/>
        <v>211.95599999999999</v>
      </c>
      <c r="L9" s="301"/>
      <c r="M9" s="6"/>
      <c r="N9" s="6"/>
      <c r="O9" s="6"/>
      <c r="P9" s="6"/>
      <c r="Q9" s="6"/>
      <c r="R9" s="6"/>
      <c r="S9" s="6"/>
      <c r="T9" s="6"/>
      <c r="U9" s="6"/>
      <c r="V9" s="6"/>
    </row>
    <row r="10" spans="1:22" ht="21" customHeight="1" x14ac:dyDescent="0.25">
      <c r="A10" s="300" t="str">
        <f>Zones!A10</f>
        <v>Office Area (&gt;250 square feet)</v>
      </c>
      <c r="B10" s="211" t="str">
        <f>Zones!B10</f>
        <v xml:space="preserve">Perimeter_bot_zn_3 </v>
      </c>
      <c r="C10" s="212">
        <f>Zones!J10</f>
        <v>11.1599</v>
      </c>
      <c r="D10" s="212">
        <f>Zones!G10</f>
        <v>2231.98</v>
      </c>
      <c r="E10" s="211">
        <v>15</v>
      </c>
      <c r="F10" s="211">
        <f t="shared" si="5"/>
        <v>0.15</v>
      </c>
      <c r="G10" s="213">
        <f t="shared" si="4"/>
        <v>0</v>
      </c>
      <c r="H10" s="142">
        <f t="shared" si="0"/>
        <v>167.39850000000001</v>
      </c>
      <c r="I10" s="143">
        <f t="shared" si="1"/>
        <v>334.79699999999997</v>
      </c>
      <c r="J10" s="143">
        <f t="shared" si="2"/>
        <v>0</v>
      </c>
      <c r="K10" s="163">
        <f t="shared" si="3"/>
        <v>334.79699999999997</v>
      </c>
      <c r="L10" s="301"/>
      <c r="M10" s="6"/>
      <c r="N10" s="6"/>
      <c r="O10" s="6"/>
      <c r="P10" s="6"/>
      <c r="Q10" s="6"/>
      <c r="R10" s="6"/>
      <c r="S10" s="6"/>
      <c r="T10" s="6"/>
      <c r="U10" s="6"/>
      <c r="V10" s="6"/>
    </row>
    <row r="11" spans="1:22" ht="21" customHeight="1" x14ac:dyDescent="0.25">
      <c r="A11" s="300" t="str">
        <f>Zones!A11</f>
        <v>Office Area (&gt;250 square feet)</v>
      </c>
      <c r="B11" s="211" t="str">
        <f>Zones!B11</f>
        <v xml:space="preserve">Perimeter_bot_zn_4 </v>
      </c>
      <c r="C11" s="212">
        <f>Zones!J11</f>
        <v>7.0647000000000011</v>
      </c>
      <c r="D11" s="212">
        <f>Zones!G11</f>
        <v>1412.94</v>
      </c>
      <c r="E11" s="211">
        <v>15</v>
      </c>
      <c r="F11" s="211">
        <f t="shared" si="5"/>
        <v>0.15</v>
      </c>
      <c r="G11" s="213">
        <f t="shared" si="4"/>
        <v>0</v>
      </c>
      <c r="H11" s="142">
        <f t="shared" si="0"/>
        <v>105.97050000000002</v>
      </c>
      <c r="I11" s="143">
        <f t="shared" si="1"/>
        <v>211.941</v>
      </c>
      <c r="J11" s="143">
        <f t="shared" si="2"/>
        <v>0</v>
      </c>
      <c r="K11" s="163">
        <f t="shared" si="3"/>
        <v>211.941</v>
      </c>
      <c r="L11" s="301"/>
      <c r="M11" s="6"/>
      <c r="N11" s="6"/>
      <c r="O11" s="6"/>
      <c r="P11" s="6"/>
      <c r="Q11" s="6"/>
      <c r="R11" s="6"/>
      <c r="S11" s="6"/>
      <c r="T11" s="6"/>
      <c r="U11" s="6"/>
      <c r="V11" s="6"/>
    </row>
    <row r="12" spans="1:22" ht="21" customHeight="1" x14ac:dyDescent="0.25">
      <c r="A12" s="300" t="str">
        <f>Zones!A12</f>
        <v>Laboratory, Scientific</v>
      </c>
      <c r="B12" s="211" t="str">
        <f>Zones!B12</f>
        <v xml:space="preserve">Perimeter_mid_zn_1 </v>
      </c>
      <c r="C12" s="212">
        <f>Zones!J12</f>
        <v>55.799500000000002</v>
      </c>
      <c r="D12" s="212">
        <f>Zones!G12</f>
        <v>2231.98</v>
      </c>
      <c r="E12" s="211">
        <v>15</v>
      </c>
      <c r="F12" s="211">
        <f t="shared" si="5"/>
        <v>0.15</v>
      </c>
      <c r="G12" s="213">
        <f>F56</f>
        <v>1</v>
      </c>
      <c r="H12" s="142">
        <f t="shared" si="0"/>
        <v>836.99250000000006</v>
      </c>
      <c r="I12" s="143">
        <f t="shared" si="1"/>
        <v>334.79699999999997</v>
      </c>
      <c r="J12" s="143">
        <f t="shared" si="2"/>
        <v>2231.98</v>
      </c>
      <c r="K12" s="163">
        <f t="shared" si="3"/>
        <v>2231.98</v>
      </c>
      <c r="L12" s="301"/>
      <c r="M12" s="6"/>
      <c r="N12" s="6"/>
      <c r="O12" s="6"/>
      <c r="P12" s="6"/>
      <c r="Q12" s="6"/>
      <c r="R12" s="6"/>
      <c r="S12" s="6"/>
      <c r="T12" s="6"/>
      <c r="U12" s="6"/>
      <c r="V12" s="6"/>
    </row>
    <row r="13" spans="1:22" ht="21" customHeight="1" x14ac:dyDescent="0.25">
      <c r="A13" s="300" t="str">
        <f>Zones!A13</f>
        <v>Laboratory, Scientific</v>
      </c>
      <c r="B13" s="211" t="str">
        <f>Zones!B13</f>
        <v xml:space="preserve">Perimeter_mid_zn_2 </v>
      </c>
      <c r="C13" s="212">
        <f>Zones!J13</f>
        <v>35.326000000000001</v>
      </c>
      <c r="D13" s="212">
        <f>Zones!G13</f>
        <v>1413.04</v>
      </c>
      <c r="E13" s="211">
        <v>15</v>
      </c>
      <c r="F13" s="211">
        <f t="shared" si="5"/>
        <v>0.15</v>
      </c>
      <c r="G13" s="213">
        <f>F56</f>
        <v>1</v>
      </c>
      <c r="H13" s="142">
        <f t="shared" si="0"/>
        <v>529.89</v>
      </c>
      <c r="I13" s="143">
        <f t="shared" si="1"/>
        <v>211.95599999999999</v>
      </c>
      <c r="J13" s="143">
        <f t="shared" si="2"/>
        <v>1413.04</v>
      </c>
      <c r="K13" s="163">
        <f t="shared" si="3"/>
        <v>1413.04</v>
      </c>
      <c r="L13" s="301"/>
      <c r="M13" s="6"/>
      <c r="N13" s="6"/>
      <c r="O13" s="6"/>
      <c r="P13" s="6"/>
      <c r="Q13" s="6"/>
      <c r="R13" s="6"/>
      <c r="S13" s="6"/>
      <c r="T13" s="6"/>
      <c r="U13" s="6"/>
      <c r="V13" s="6"/>
    </row>
    <row r="14" spans="1:22" ht="21" customHeight="1" x14ac:dyDescent="0.25">
      <c r="A14" s="300" t="str">
        <f>Zones!A14</f>
        <v>Laboratory, Scientific</v>
      </c>
      <c r="B14" s="211" t="str">
        <f>Zones!B14</f>
        <v xml:space="preserve">Perimeter_mid_zn_3 </v>
      </c>
      <c r="C14" s="212">
        <f>Zones!J14</f>
        <v>55.799500000000002</v>
      </c>
      <c r="D14" s="212">
        <f>Zones!G14</f>
        <v>2231.98</v>
      </c>
      <c r="E14" s="211">
        <v>15</v>
      </c>
      <c r="F14" s="211">
        <f t="shared" si="5"/>
        <v>0.15</v>
      </c>
      <c r="G14" s="213">
        <f>F56</f>
        <v>1</v>
      </c>
      <c r="H14" s="142">
        <f t="shared" si="0"/>
        <v>836.99250000000006</v>
      </c>
      <c r="I14" s="143">
        <f t="shared" si="1"/>
        <v>334.79699999999997</v>
      </c>
      <c r="J14" s="143">
        <f t="shared" si="2"/>
        <v>2231.98</v>
      </c>
      <c r="K14" s="163">
        <f t="shared" si="3"/>
        <v>2231.98</v>
      </c>
      <c r="L14" s="301"/>
      <c r="M14" s="6"/>
      <c r="N14" s="6"/>
      <c r="O14" s="6"/>
      <c r="P14" s="6"/>
      <c r="Q14" s="6"/>
      <c r="R14" s="6"/>
      <c r="S14" s="6"/>
      <c r="T14" s="6"/>
      <c r="U14" s="6"/>
      <c r="V14" s="6"/>
    </row>
    <row r="15" spans="1:22" ht="21" customHeight="1" x14ac:dyDescent="0.25">
      <c r="A15" s="300" t="str">
        <f>Zones!A15</f>
        <v>Laboratory, Scientific</v>
      </c>
      <c r="B15" s="211" t="str">
        <f>Zones!B15</f>
        <v>Perimeter_mid_zn_4</v>
      </c>
      <c r="C15" s="212">
        <f>Zones!J15</f>
        <v>35.323500000000003</v>
      </c>
      <c r="D15" s="212">
        <f>Zones!G15</f>
        <v>1412.94</v>
      </c>
      <c r="E15" s="211">
        <v>15</v>
      </c>
      <c r="F15" s="211">
        <f t="shared" si="5"/>
        <v>0.15</v>
      </c>
      <c r="G15" s="213">
        <f>F56</f>
        <v>1</v>
      </c>
      <c r="H15" s="142">
        <f t="shared" si="0"/>
        <v>529.85250000000008</v>
      </c>
      <c r="I15" s="143">
        <f t="shared" si="1"/>
        <v>211.941</v>
      </c>
      <c r="J15" s="143">
        <f t="shared" si="2"/>
        <v>1412.94</v>
      </c>
      <c r="K15" s="163">
        <f t="shared" si="3"/>
        <v>1412.94</v>
      </c>
      <c r="L15" s="301"/>
      <c r="M15" s="6"/>
      <c r="N15" s="6"/>
      <c r="O15" s="6"/>
      <c r="P15" s="6"/>
      <c r="Q15" s="6"/>
      <c r="R15" s="6"/>
      <c r="S15" s="6"/>
      <c r="T15" s="6"/>
      <c r="U15" s="6"/>
      <c r="V15" s="6"/>
    </row>
    <row r="16" spans="1:22" ht="21" customHeight="1" x14ac:dyDescent="0.25">
      <c r="A16" s="300" t="str">
        <f>Zones!A16</f>
        <v>Office Area (&gt;250 square feet)</v>
      </c>
      <c r="B16" s="211" t="str">
        <f>Zones!B16</f>
        <v xml:space="preserve">Perimeter_top_zn_1 </v>
      </c>
      <c r="C16" s="212">
        <f>Zones!J16</f>
        <v>11.1599</v>
      </c>
      <c r="D16" s="212">
        <f>Zones!G16</f>
        <v>2231.98</v>
      </c>
      <c r="E16" s="211">
        <v>15</v>
      </c>
      <c r="F16" s="211">
        <f t="shared" si="5"/>
        <v>0.15</v>
      </c>
      <c r="G16" s="213">
        <f t="shared" si="4"/>
        <v>0</v>
      </c>
      <c r="H16" s="142">
        <f t="shared" si="0"/>
        <v>167.39850000000001</v>
      </c>
      <c r="I16" s="143">
        <f t="shared" si="1"/>
        <v>334.79699999999997</v>
      </c>
      <c r="J16" s="143">
        <f t="shared" si="2"/>
        <v>0</v>
      </c>
      <c r="K16" s="163">
        <f t="shared" si="3"/>
        <v>334.79699999999997</v>
      </c>
      <c r="L16" s="301"/>
      <c r="M16" s="6"/>
      <c r="N16" s="6"/>
      <c r="O16" s="6"/>
      <c r="P16" s="6"/>
      <c r="Q16" s="6"/>
      <c r="R16" s="6"/>
      <c r="S16" s="6"/>
      <c r="T16" s="6"/>
      <c r="U16" s="6"/>
      <c r="V16" s="6"/>
    </row>
    <row r="17" spans="1:12" ht="21" customHeight="1" x14ac:dyDescent="0.25">
      <c r="A17" s="300" t="str">
        <f>Zones!A17</f>
        <v>Office Area (&gt;250 square feet)</v>
      </c>
      <c r="B17" s="211" t="str">
        <f>Zones!B17</f>
        <v xml:space="preserve">Perimeter_top_zn_2 </v>
      </c>
      <c r="C17" s="212">
        <f>Zones!J17</f>
        <v>7.0651999999999999</v>
      </c>
      <c r="D17" s="212">
        <f>Zones!G17</f>
        <v>1413.04</v>
      </c>
      <c r="E17" s="211">
        <v>15</v>
      </c>
      <c r="F17" s="211">
        <f t="shared" si="5"/>
        <v>0.15</v>
      </c>
      <c r="G17" s="213">
        <f t="shared" si="4"/>
        <v>0</v>
      </c>
      <c r="H17" s="142">
        <f t="shared" si="0"/>
        <v>105.97799999999999</v>
      </c>
      <c r="I17" s="143">
        <f t="shared" si="1"/>
        <v>211.95599999999999</v>
      </c>
      <c r="J17" s="143">
        <f t="shared" si="2"/>
        <v>0</v>
      </c>
      <c r="K17" s="163">
        <f t="shared" si="3"/>
        <v>211.95599999999999</v>
      </c>
      <c r="L17" s="301"/>
    </row>
    <row r="18" spans="1:12" ht="21" customHeight="1" x14ac:dyDescent="0.25">
      <c r="A18" s="300" t="str">
        <f>Zones!A18</f>
        <v>Office Area (&gt;250 square feet)</v>
      </c>
      <c r="B18" s="211" t="str">
        <f>Zones!B18</f>
        <v xml:space="preserve">Perimeter_top_zn_3 </v>
      </c>
      <c r="C18" s="212">
        <f>Zones!J18</f>
        <v>11.1599</v>
      </c>
      <c r="D18" s="212">
        <f>Zones!G18</f>
        <v>2231.98</v>
      </c>
      <c r="E18" s="211">
        <v>15</v>
      </c>
      <c r="F18" s="211">
        <f t="shared" si="5"/>
        <v>0.15</v>
      </c>
      <c r="G18" s="213">
        <f t="shared" si="4"/>
        <v>0</v>
      </c>
      <c r="H18" s="142">
        <f t="shared" si="0"/>
        <v>167.39850000000001</v>
      </c>
      <c r="I18" s="143">
        <f t="shared" si="1"/>
        <v>334.79699999999997</v>
      </c>
      <c r="J18" s="143">
        <f t="shared" si="2"/>
        <v>0</v>
      </c>
      <c r="K18" s="163">
        <f t="shared" si="3"/>
        <v>334.79699999999997</v>
      </c>
      <c r="L18" s="301"/>
    </row>
    <row r="19" spans="1:12" ht="21" customHeight="1" x14ac:dyDescent="0.25">
      <c r="A19" s="300" t="str">
        <f>Zones!A19</f>
        <v>Office Area (&gt;250 square feet)</v>
      </c>
      <c r="B19" s="211" t="str">
        <f>Zones!B19</f>
        <v xml:space="preserve">Perimeter_top_zn_4 </v>
      </c>
      <c r="C19" s="212">
        <f>Zones!J19</f>
        <v>7.0647000000000011</v>
      </c>
      <c r="D19" s="212">
        <f>Zones!G19</f>
        <v>1412.94</v>
      </c>
      <c r="E19" s="211">
        <v>15</v>
      </c>
      <c r="F19" s="211">
        <f t="shared" si="5"/>
        <v>0.15</v>
      </c>
      <c r="G19" s="213">
        <f t="shared" si="4"/>
        <v>0</v>
      </c>
      <c r="H19" s="142">
        <f t="shared" si="0"/>
        <v>105.97050000000002</v>
      </c>
      <c r="I19" s="143">
        <f t="shared" si="1"/>
        <v>211.941</v>
      </c>
      <c r="J19" s="143">
        <f t="shared" si="2"/>
        <v>0</v>
      </c>
      <c r="K19" s="163">
        <f t="shared" si="3"/>
        <v>211.941</v>
      </c>
      <c r="L19" s="301"/>
    </row>
    <row r="20" spans="1:12" ht="21" customHeight="1" x14ac:dyDescent="0.25">
      <c r="A20" s="300" t="str">
        <f>Zones!A20</f>
        <v>Plenum</v>
      </c>
      <c r="B20" s="211" t="str">
        <f>Zones!B20</f>
        <v xml:space="preserve">Topfloor_plenum </v>
      </c>
      <c r="C20" s="212">
        <f>Zones!J20</f>
        <v>0</v>
      </c>
      <c r="D20" s="212">
        <f>Zones!G20</f>
        <v>17877.68</v>
      </c>
      <c r="E20" s="211">
        <v>0</v>
      </c>
      <c r="F20" s="211">
        <v>0</v>
      </c>
      <c r="G20" s="213">
        <f t="shared" si="4"/>
        <v>0</v>
      </c>
      <c r="H20" s="142">
        <f t="shared" si="0"/>
        <v>0</v>
      </c>
      <c r="I20" s="143">
        <f t="shared" si="1"/>
        <v>0</v>
      </c>
      <c r="J20" s="143">
        <f t="shared" si="2"/>
        <v>0</v>
      </c>
      <c r="K20" s="163">
        <f t="shared" si="3"/>
        <v>0</v>
      </c>
      <c r="L20" s="301"/>
    </row>
    <row r="21" spans="1:12" ht="21" customHeight="1" x14ac:dyDescent="0.25">
      <c r="A21" s="302" t="str">
        <f>Zones!A21</f>
        <v>Total (2 Space types)</v>
      </c>
      <c r="B21" s="303" t="str">
        <f>Zones!B21</f>
        <v>Total ( 18 spaces)</v>
      </c>
      <c r="C21" s="304">
        <f>Zones!J21</f>
        <v>1049.2283999999997</v>
      </c>
      <c r="D21" s="304">
        <f>Zones!G21</f>
        <v>53633.039999999972</v>
      </c>
      <c r="E21" s="303"/>
      <c r="F21" s="303"/>
      <c r="G21" s="303"/>
      <c r="H21" s="303"/>
      <c r="I21" s="303"/>
      <c r="J21" s="305">
        <f>SUM(J3:J20)</f>
        <v>39053.160000000011</v>
      </c>
      <c r="K21" s="306">
        <f>SUM(K3:K20)</f>
        <v>41240.142</v>
      </c>
      <c r="L21" s="307"/>
    </row>
    <row r="27" spans="1:12" ht="14.4" x14ac:dyDescent="0.3">
      <c r="A27" s="145"/>
      <c r="B27" s="138"/>
      <c r="C27" s="138"/>
      <c r="D27" s="138"/>
      <c r="E27" s="138"/>
      <c r="F27" s="146"/>
      <c r="G27" s="146"/>
      <c r="H27" s="6"/>
      <c r="I27" s="6"/>
      <c r="J27" s="6"/>
      <c r="K27" s="6"/>
      <c r="L27" s="6"/>
    </row>
    <row r="28" spans="1:12" ht="15.6" customHeight="1" x14ac:dyDescent="0.25">
      <c r="A28" s="518" t="s">
        <v>243</v>
      </c>
      <c r="B28" s="518"/>
      <c r="C28" s="518"/>
      <c r="D28" s="518"/>
      <c r="E28" s="518"/>
      <c r="F28" s="518"/>
      <c r="G28" s="518"/>
      <c r="H28" s="6"/>
      <c r="I28" s="6"/>
      <c r="J28" s="6"/>
      <c r="K28" s="6"/>
      <c r="L28" s="6"/>
    </row>
    <row r="29" spans="1:12" ht="64.95" customHeight="1" x14ac:dyDescent="0.25">
      <c r="A29" s="148" t="s">
        <v>244</v>
      </c>
      <c r="B29" s="148" t="s">
        <v>245</v>
      </c>
      <c r="C29" s="156" t="s">
        <v>246</v>
      </c>
      <c r="D29" s="144" t="s">
        <v>247</v>
      </c>
      <c r="E29" s="156" t="s">
        <v>248</v>
      </c>
      <c r="F29" s="144" t="s">
        <v>122</v>
      </c>
      <c r="G29" s="144" t="s">
        <v>172</v>
      </c>
      <c r="H29" s="6"/>
      <c r="I29" s="6"/>
      <c r="J29" s="6"/>
      <c r="K29" s="6"/>
      <c r="L29" s="6"/>
    </row>
    <row r="30" spans="1:12" ht="24" customHeight="1" x14ac:dyDescent="0.25">
      <c r="A30" s="147" t="s">
        <v>249</v>
      </c>
      <c r="B30" s="147" t="str">
        <f>B3</f>
        <v>Core_bottom</v>
      </c>
      <c r="C30" s="249">
        <v>250</v>
      </c>
      <c r="D30" s="256">
        <f>D3/1000</f>
        <v>10.58774</v>
      </c>
      <c r="E30" s="143">
        <f>C30*D30</f>
        <v>2646.9349999999999</v>
      </c>
      <c r="F30" s="519" t="s">
        <v>250</v>
      </c>
      <c r="G30" s="519" t="s">
        <v>23</v>
      </c>
      <c r="H30" s="6"/>
      <c r="I30" s="6"/>
      <c r="J30" s="6"/>
      <c r="K30" s="6"/>
      <c r="L30" s="6"/>
    </row>
    <row r="31" spans="1:12" ht="24" customHeight="1" x14ac:dyDescent="0.25">
      <c r="A31" s="147" t="s">
        <v>249</v>
      </c>
      <c r="B31" s="147" t="str">
        <f>B4</f>
        <v>Core_mid</v>
      </c>
      <c r="C31" s="249">
        <v>250</v>
      </c>
      <c r="D31" s="256">
        <f>D4/1000</f>
        <v>10.58774</v>
      </c>
      <c r="E31" s="143">
        <f>C31*D31</f>
        <v>2646.9349999999999</v>
      </c>
      <c r="F31" s="520"/>
      <c r="G31" s="520"/>
      <c r="H31" s="6"/>
      <c r="I31" s="6"/>
      <c r="J31" s="6"/>
      <c r="K31" s="6"/>
      <c r="L31" s="6"/>
    </row>
    <row r="32" spans="1:12" ht="24" customHeight="1" x14ac:dyDescent="0.25">
      <c r="A32" s="147" t="s">
        <v>249</v>
      </c>
      <c r="B32" s="215" t="str">
        <f>B5</f>
        <v xml:space="preserve">Core_top </v>
      </c>
      <c r="C32" s="249">
        <v>250</v>
      </c>
      <c r="D32" s="256">
        <f>D5/1000</f>
        <v>10.58774</v>
      </c>
      <c r="E32" s="143">
        <f t="shared" ref="E32:E36" si="6">C32*D32</f>
        <v>2646.9349999999999</v>
      </c>
      <c r="F32" s="520"/>
      <c r="G32" s="520"/>
      <c r="H32" s="6"/>
      <c r="I32" s="6"/>
      <c r="J32" s="6"/>
      <c r="K32" s="6"/>
      <c r="L32" s="6"/>
    </row>
    <row r="33" spans="1:7" ht="24" customHeight="1" x14ac:dyDescent="0.25">
      <c r="A33" s="147" t="s">
        <v>249</v>
      </c>
      <c r="B33" s="215" t="str">
        <f>B12</f>
        <v xml:space="preserve">Perimeter_mid_zn_1 </v>
      </c>
      <c r="C33" s="249">
        <v>250</v>
      </c>
      <c r="D33" s="256">
        <f>D12/1000</f>
        <v>2.2319800000000001</v>
      </c>
      <c r="E33" s="143">
        <f t="shared" si="6"/>
        <v>557.995</v>
      </c>
      <c r="F33" s="520"/>
      <c r="G33" s="520"/>
    </row>
    <row r="34" spans="1:7" ht="24" customHeight="1" x14ac:dyDescent="0.25">
      <c r="A34" s="147" t="s">
        <v>249</v>
      </c>
      <c r="B34" s="215" t="str">
        <f>B13</f>
        <v xml:space="preserve">Perimeter_mid_zn_2 </v>
      </c>
      <c r="C34" s="249">
        <v>250</v>
      </c>
      <c r="D34" s="256">
        <f t="shared" ref="D34:D36" si="7">D13/1000</f>
        <v>1.4130400000000001</v>
      </c>
      <c r="E34" s="143">
        <f t="shared" si="6"/>
        <v>353.26</v>
      </c>
      <c r="F34" s="520"/>
      <c r="G34" s="520"/>
    </row>
    <row r="35" spans="1:7" ht="24" customHeight="1" x14ac:dyDescent="0.25">
      <c r="A35" s="147" t="s">
        <v>249</v>
      </c>
      <c r="B35" s="215" t="str">
        <f t="shared" ref="B35:B36" si="8">B14</f>
        <v xml:space="preserve">Perimeter_mid_zn_3 </v>
      </c>
      <c r="C35" s="249">
        <v>250</v>
      </c>
      <c r="D35" s="256">
        <f t="shared" si="7"/>
        <v>2.2319800000000001</v>
      </c>
      <c r="E35" s="143">
        <f t="shared" si="6"/>
        <v>557.995</v>
      </c>
      <c r="F35" s="520"/>
      <c r="G35" s="520"/>
    </row>
    <row r="36" spans="1:7" ht="24" customHeight="1" x14ac:dyDescent="0.25">
      <c r="A36" s="147" t="s">
        <v>249</v>
      </c>
      <c r="B36" s="215" t="str">
        <f t="shared" si="8"/>
        <v>Perimeter_mid_zn_4</v>
      </c>
      <c r="C36" s="249">
        <v>250</v>
      </c>
      <c r="D36" s="256">
        <f t="shared" si="7"/>
        <v>1.4129400000000001</v>
      </c>
      <c r="E36" s="143">
        <f t="shared" si="6"/>
        <v>353.23500000000001</v>
      </c>
      <c r="F36" s="521"/>
      <c r="G36" s="521"/>
    </row>
    <row r="37" spans="1:7" x14ac:dyDescent="0.25">
      <c r="A37" s="6"/>
      <c r="B37" s="6"/>
      <c r="C37" s="6"/>
      <c r="D37" s="6"/>
      <c r="E37" s="6"/>
      <c r="F37" s="6"/>
      <c r="G37" s="6"/>
    </row>
    <row r="38" spans="1:7" x14ac:dyDescent="0.25">
      <c r="A38" s="6"/>
      <c r="B38" s="6"/>
      <c r="C38" s="6"/>
      <c r="D38" s="6"/>
      <c r="E38" s="216"/>
      <c r="F38" s="6"/>
      <c r="G38" s="6"/>
    </row>
    <row r="39" spans="1:7" x14ac:dyDescent="0.25">
      <c r="A39" s="6"/>
      <c r="B39" s="6"/>
      <c r="C39" s="6"/>
      <c r="D39" s="6"/>
      <c r="E39" s="6"/>
      <c r="F39" s="6"/>
      <c r="G39" s="6"/>
    </row>
    <row r="40" spans="1:7" x14ac:dyDescent="0.25">
      <c r="A40" s="6" t="s">
        <v>251</v>
      </c>
      <c r="B40" s="6"/>
      <c r="C40" s="6"/>
      <c r="D40" s="6"/>
      <c r="E40" s="6"/>
      <c r="F40" s="6"/>
      <c r="G40" s="6"/>
    </row>
    <row r="41" spans="1:7" x14ac:dyDescent="0.25">
      <c r="A41" s="6" t="s">
        <v>252</v>
      </c>
      <c r="B41" s="6"/>
      <c r="C41" s="6"/>
      <c r="D41" s="6"/>
      <c r="E41" s="6"/>
      <c r="F41" s="6"/>
      <c r="G41" s="6"/>
    </row>
    <row r="42" spans="1:7" x14ac:dyDescent="0.25">
      <c r="A42" s="6"/>
      <c r="B42" s="6"/>
      <c r="C42" s="6"/>
      <c r="D42" s="6"/>
      <c r="E42" s="6"/>
      <c r="F42" s="6"/>
      <c r="G42" s="6"/>
    </row>
    <row r="43" spans="1:7" x14ac:dyDescent="0.25">
      <c r="A43" s="6"/>
      <c r="B43" s="6"/>
      <c r="C43" s="6"/>
      <c r="D43" s="6"/>
      <c r="E43" s="6"/>
      <c r="F43" s="6"/>
      <c r="G43" s="6"/>
    </row>
    <row r="44" spans="1:7" s="69" customFormat="1" ht="17.399999999999999" hidden="1" x14ac:dyDescent="0.3">
      <c r="A44" s="26" t="s">
        <v>115</v>
      </c>
      <c r="B44" s="217"/>
      <c r="C44" s="217"/>
      <c r="D44" s="217"/>
      <c r="E44" s="218"/>
      <c r="F44" s="219"/>
      <c r="G44" s="220"/>
    </row>
    <row r="45" spans="1:7" hidden="1" x14ac:dyDescent="0.25">
      <c r="A45" s="6"/>
      <c r="B45" s="6"/>
      <c r="C45" s="6"/>
      <c r="D45" s="6"/>
      <c r="E45" s="6"/>
      <c r="F45" s="6"/>
      <c r="G45" s="6"/>
    </row>
    <row r="46" spans="1:7" hidden="1" x14ac:dyDescent="0.25">
      <c r="A46" s="6"/>
      <c r="B46" s="6"/>
      <c r="C46" s="6"/>
      <c r="D46" s="6"/>
      <c r="E46" s="6"/>
      <c r="F46" s="6"/>
      <c r="G46" s="6"/>
    </row>
    <row r="47" spans="1:7" ht="14.4" hidden="1" x14ac:dyDescent="0.25">
      <c r="A47" s="132" t="s">
        <v>253</v>
      </c>
      <c r="B47" s="132" t="s">
        <v>254</v>
      </c>
      <c r="C47" s="132" t="s">
        <v>255</v>
      </c>
      <c r="D47" s="132" t="s">
        <v>256</v>
      </c>
      <c r="E47" s="6"/>
      <c r="F47" s="6"/>
      <c r="G47" s="6"/>
    </row>
    <row r="48" spans="1:7" ht="28.8" hidden="1" x14ac:dyDescent="0.3">
      <c r="A48" s="133" t="s">
        <v>257</v>
      </c>
      <c r="B48" s="134" t="s">
        <v>258</v>
      </c>
      <c r="C48" s="133" t="s">
        <v>259</v>
      </c>
      <c r="D48" s="134" t="s">
        <v>260</v>
      </c>
      <c r="E48" s="6"/>
      <c r="F48"/>
      <c r="G48" s="6"/>
    </row>
    <row r="49" spans="1:8" ht="28.8" hidden="1" x14ac:dyDescent="0.25">
      <c r="A49" s="133" t="s">
        <v>261</v>
      </c>
      <c r="B49" s="134" t="s">
        <v>262</v>
      </c>
      <c r="C49" s="133" t="s">
        <v>263</v>
      </c>
      <c r="D49" s="134" t="s">
        <v>264</v>
      </c>
      <c r="E49" s="6"/>
      <c r="F49" s="6"/>
      <c r="G49" s="6"/>
      <c r="H49" s="6"/>
    </row>
    <row r="50" spans="1:8" ht="43.2" hidden="1" x14ac:dyDescent="0.25">
      <c r="A50" s="133" t="s">
        <v>265</v>
      </c>
      <c r="B50" s="134" t="s">
        <v>266</v>
      </c>
      <c r="C50" s="133" t="s">
        <v>267</v>
      </c>
      <c r="D50" s="134" t="s">
        <v>268</v>
      </c>
      <c r="E50" s="6"/>
      <c r="F50" s="6"/>
      <c r="G50" s="6"/>
      <c r="H50" s="6"/>
    </row>
    <row r="51" spans="1:8" ht="28.8" hidden="1" x14ac:dyDescent="0.25">
      <c r="A51" s="133" t="s">
        <v>269</v>
      </c>
      <c r="B51" s="134" t="s">
        <v>270</v>
      </c>
      <c r="C51" s="133" t="s">
        <v>271</v>
      </c>
      <c r="D51" s="134" t="s">
        <v>272</v>
      </c>
      <c r="E51" s="6"/>
      <c r="F51" s="6"/>
      <c r="G51" s="6"/>
      <c r="H51" s="6"/>
    </row>
    <row r="52" spans="1:8" ht="43.2" hidden="1" x14ac:dyDescent="0.25">
      <c r="A52" s="133" t="s">
        <v>273</v>
      </c>
      <c r="B52" s="134" t="s">
        <v>274</v>
      </c>
      <c r="C52" s="133" t="s">
        <v>275</v>
      </c>
      <c r="D52" s="134" t="s">
        <v>276</v>
      </c>
      <c r="E52" s="6"/>
      <c r="F52" s="6"/>
      <c r="G52" s="6"/>
      <c r="H52" s="6"/>
    </row>
    <row r="53" spans="1:8" hidden="1" x14ac:dyDescent="0.25">
      <c r="A53" s="6"/>
      <c r="B53" s="6"/>
      <c r="C53" s="6"/>
      <c r="D53" s="6"/>
      <c r="E53" s="6"/>
      <c r="F53" s="6"/>
      <c r="G53" s="6"/>
      <c r="H53" s="6"/>
    </row>
    <row r="54" spans="1:8" ht="15.6" hidden="1" x14ac:dyDescent="0.25">
      <c r="A54" s="514" t="str">
        <f>"Outdoor Airflow Rate - "&amp;Prototype!B4</f>
        <v>Outdoor Airflow Rate - Laboratory</v>
      </c>
      <c r="B54" s="514"/>
      <c r="C54" s="514"/>
      <c r="D54" s="514"/>
      <c r="E54" s="514"/>
      <c r="F54" s="514"/>
      <c r="G54" s="514"/>
      <c r="H54" s="514"/>
    </row>
    <row r="55" spans="1:8" ht="40.200000000000003" hidden="1" thickBot="1" x14ac:dyDescent="0.3">
      <c r="A55" s="80" t="s">
        <v>72</v>
      </c>
      <c r="B55" s="80" t="s">
        <v>277</v>
      </c>
      <c r="C55" s="81" t="s">
        <v>278</v>
      </c>
      <c r="D55" s="81" t="s">
        <v>279</v>
      </c>
      <c r="E55" s="81" t="s">
        <v>280</v>
      </c>
      <c r="F55" s="81" t="s">
        <v>281</v>
      </c>
      <c r="G55" s="80" t="s">
        <v>282</v>
      </c>
      <c r="H55" s="80" t="s">
        <v>172</v>
      </c>
    </row>
    <row r="56" spans="1:8" hidden="1" x14ac:dyDescent="0.25">
      <c r="A56" s="107" t="str">
        <f>Zones!A3</f>
        <v>Laboratory, Scientific</v>
      </c>
      <c r="B56" s="114">
        <f>SUMIF(Zones!A$3:A$20, "*Science laboratories*", Zones!G3:G20)</f>
        <v>0</v>
      </c>
      <c r="C56" s="115">
        <f>Zones!K3</f>
        <v>25</v>
      </c>
      <c r="D56" s="115">
        <f>(B56/1000)*C56</f>
        <v>0</v>
      </c>
      <c r="E56" s="116">
        <v>0.15</v>
      </c>
      <c r="F56" s="117">
        <v>1</v>
      </c>
      <c r="G56" s="118">
        <f>MAX(E56*B56,D56*15,F56*B56)</f>
        <v>0</v>
      </c>
      <c r="H56" s="515" t="s">
        <v>283</v>
      </c>
    </row>
    <row r="57" spans="1:8" hidden="1" x14ac:dyDescent="0.25">
      <c r="A57" s="109" t="str">
        <f>Zones!A8</f>
        <v>Office Area (&gt;250 square feet)</v>
      </c>
      <c r="B57" s="82">
        <f>SUMIF(Zones!A$3:A$20, "*Office Area (&gt;250 square feet)*", Zones!G$3:G$20)</f>
        <v>14579.88</v>
      </c>
      <c r="C57" s="83">
        <f>Zones!K8</f>
        <v>5</v>
      </c>
      <c r="D57" s="83">
        <f t="shared" ref="D57" si="9">(B57/1000)*C57</f>
        <v>72.8994</v>
      </c>
      <c r="E57" s="84">
        <v>0.15</v>
      </c>
      <c r="F57" s="445"/>
      <c r="G57" s="131">
        <f>MAX(E57*B57,D57*15,F57*B57)</f>
        <v>2186.982</v>
      </c>
      <c r="H57" s="516"/>
    </row>
    <row r="58" spans="1:8" ht="14.4" hidden="1" thickBot="1" x14ac:dyDescent="0.3">
      <c r="A58" s="100" t="s">
        <v>284</v>
      </c>
      <c r="B58" s="119">
        <f>SUM(B56:B57)</f>
        <v>14579.88</v>
      </c>
      <c r="C58" s="120"/>
      <c r="D58" s="121">
        <f>SUM(D56:D57)</f>
        <v>72.8994</v>
      </c>
      <c r="E58" s="120"/>
      <c r="F58" s="120"/>
      <c r="G58" s="122">
        <f>SUM(G56:G57)</f>
        <v>2186.982</v>
      </c>
      <c r="H58" s="517"/>
    </row>
    <row r="59" spans="1:8" hidden="1" x14ac:dyDescent="0.25">
      <c r="A59" s="6"/>
      <c r="B59" s="6"/>
      <c r="C59" s="6"/>
      <c r="D59" s="6"/>
      <c r="E59" s="6"/>
      <c r="F59" s="6"/>
      <c r="G59" s="6"/>
      <c r="H59" s="6"/>
    </row>
    <row r="60" spans="1:8" hidden="1" x14ac:dyDescent="0.25">
      <c r="A60" s="6"/>
      <c r="B60" s="6"/>
      <c r="C60" s="6"/>
      <c r="D60" s="6"/>
      <c r="E60" s="6"/>
      <c r="F60" s="6"/>
      <c r="G60" s="6"/>
      <c r="H60" s="6"/>
    </row>
    <row r="61" spans="1:8" hidden="1" x14ac:dyDescent="0.25">
      <c r="A61" s="6"/>
      <c r="B61" s="6"/>
      <c r="C61" s="6"/>
      <c r="D61" s="6"/>
      <c r="E61" s="6"/>
      <c r="F61" s="6"/>
      <c r="G61" s="6"/>
      <c r="H61" s="6"/>
    </row>
    <row r="62" spans="1:8" hidden="1" x14ac:dyDescent="0.25">
      <c r="A62" s="6"/>
      <c r="B62" s="6"/>
      <c r="C62" s="6"/>
      <c r="D62" s="6"/>
      <c r="E62" s="6"/>
      <c r="F62" s="6"/>
      <c r="G62" s="6"/>
      <c r="H62" s="6"/>
    </row>
  </sheetData>
  <mergeCells count="6">
    <mergeCell ref="A54:H54"/>
    <mergeCell ref="H56:H58"/>
    <mergeCell ref="A1:K1"/>
    <mergeCell ref="A28:G28"/>
    <mergeCell ref="F30:F36"/>
    <mergeCell ref="G30:G36"/>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AM100"/>
  <sheetViews>
    <sheetView zoomScaleNormal="100" workbookViewId="0">
      <selection sqref="A1:G1"/>
    </sheetView>
  </sheetViews>
  <sheetFormatPr defaultColWidth="8.6640625" defaultRowHeight="12.75" customHeight="1" x14ac:dyDescent="0.25"/>
  <cols>
    <col min="1" max="1" width="49.5546875" style="8" bestFit="1" customWidth="1"/>
    <col min="2" max="3" width="22.5546875" style="8" customWidth="1"/>
    <col min="4" max="4" width="20.88671875" style="8" customWidth="1"/>
    <col min="5" max="5" width="21.44140625" style="8" customWidth="1"/>
    <col min="6" max="6" width="20.5546875" style="8" customWidth="1"/>
    <col min="7" max="7" width="33.5546875" style="8" customWidth="1"/>
    <col min="8" max="8" width="9.44140625" style="8" bestFit="1" customWidth="1"/>
    <col min="9" max="9" width="18" style="8" customWidth="1"/>
    <col min="10" max="10" width="24.88671875" style="8" bestFit="1" customWidth="1"/>
    <col min="11" max="13" width="15.33203125" style="8" customWidth="1"/>
    <col min="14" max="14" width="12.33203125" style="8" customWidth="1"/>
    <col min="15" max="15" width="13.33203125" style="8" customWidth="1"/>
    <col min="16" max="16" width="15.33203125" style="8" customWidth="1"/>
    <col min="17" max="17" width="11" style="8" customWidth="1"/>
    <col min="18" max="21" width="15.33203125" style="8" customWidth="1"/>
    <col min="22" max="22" width="7.6640625" style="8" hidden="1" customWidth="1"/>
    <col min="23" max="23" width="12.44140625" style="8" hidden="1" customWidth="1"/>
    <col min="24" max="39" width="6.5546875" style="8" hidden="1" customWidth="1"/>
    <col min="40" max="40" width="15.33203125" style="8" customWidth="1"/>
    <col min="41" max="41" width="11.33203125" style="8" customWidth="1"/>
    <col min="42" max="42" width="6.33203125" style="8" customWidth="1"/>
    <col min="43" max="46" width="4.6640625" style="8" customWidth="1"/>
    <col min="47" max="47" width="6.33203125" style="8" customWidth="1"/>
    <col min="48" max="62" width="4.6640625" style="8" customWidth="1"/>
    <col min="63" max="16384" width="8.6640625" style="8"/>
  </cols>
  <sheetData>
    <row r="1" spans="1:9" ht="24" customHeight="1" x14ac:dyDescent="0.25">
      <c r="A1" s="483" t="s">
        <v>285</v>
      </c>
      <c r="B1" s="483"/>
      <c r="C1" s="483"/>
      <c r="D1" s="483"/>
      <c r="E1" s="483"/>
      <c r="F1" s="483"/>
      <c r="G1" s="483"/>
    </row>
    <row r="2" spans="1:9" ht="22.2" customHeight="1" x14ac:dyDescent="0.25">
      <c r="A2" s="444" t="s">
        <v>120</v>
      </c>
      <c r="B2" s="444" t="s">
        <v>286</v>
      </c>
      <c r="C2" s="444" t="s">
        <v>287</v>
      </c>
      <c r="D2" s="444" t="s">
        <v>288</v>
      </c>
      <c r="E2" s="444" t="s">
        <v>289</v>
      </c>
      <c r="F2" s="444" t="s">
        <v>290</v>
      </c>
      <c r="G2" s="444" t="s">
        <v>122</v>
      </c>
    </row>
    <row r="3" spans="1:9" ht="31.2" customHeight="1" x14ac:dyDescent="0.25">
      <c r="A3" s="428" t="s">
        <v>291</v>
      </c>
      <c r="B3" s="428" t="s">
        <v>292</v>
      </c>
      <c r="C3" s="428">
        <v>0.8</v>
      </c>
      <c r="D3" s="273">
        <f>F33</f>
        <v>75.544444799999994</v>
      </c>
      <c r="E3" s="273">
        <f>G37</f>
        <v>1073.4711984815829</v>
      </c>
      <c r="F3" s="428" t="s">
        <v>293</v>
      </c>
      <c r="G3" s="149"/>
    </row>
    <row r="4" spans="1:9" ht="21" customHeight="1" x14ac:dyDescent="0.25">
      <c r="A4" s="428" t="s">
        <v>180</v>
      </c>
      <c r="B4" s="428" t="s">
        <v>292</v>
      </c>
      <c r="C4" s="428">
        <v>0.8</v>
      </c>
      <c r="D4" s="273">
        <f>F33</f>
        <v>75.544444799999994</v>
      </c>
      <c r="E4" s="273">
        <f>G33</f>
        <v>1073.4711984815829</v>
      </c>
      <c r="F4" s="428" t="s">
        <v>293</v>
      </c>
      <c r="G4" s="149"/>
    </row>
    <row r="5" spans="1:9" ht="14.7" customHeight="1" x14ac:dyDescent="0.25">
      <c r="F5" s="14"/>
    </row>
    <row r="6" spans="1:9" ht="13.95" customHeight="1" x14ac:dyDescent="0.25">
      <c r="F6" s="14"/>
    </row>
    <row r="7" spans="1:9" ht="16.2" customHeight="1" x14ac:dyDescent="0.25">
      <c r="A7" s="483" t="s">
        <v>294</v>
      </c>
      <c r="B7" s="483"/>
      <c r="C7" s="483"/>
      <c r="D7" s="483"/>
      <c r="E7" s="483"/>
      <c r="F7" s="483"/>
      <c r="G7" s="483"/>
      <c r="H7" s="155"/>
      <c r="I7" s="155"/>
    </row>
    <row r="8" spans="1:9" ht="87.6" customHeight="1" x14ac:dyDescent="0.25">
      <c r="A8" s="444" t="s">
        <v>295</v>
      </c>
      <c r="B8" s="444" t="s">
        <v>296</v>
      </c>
      <c r="C8" s="444" t="s">
        <v>297</v>
      </c>
      <c r="D8" s="444" t="s">
        <v>81</v>
      </c>
      <c r="E8" s="444" t="s">
        <v>298</v>
      </c>
      <c r="F8" s="444" t="s">
        <v>299</v>
      </c>
      <c r="G8" s="444" t="s">
        <v>300</v>
      </c>
    </row>
    <row r="9" spans="1:9" ht="22.2" customHeight="1" x14ac:dyDescent="0.25">
      <c r="A9" s="253" t="str">
        <f>Zones!B3</f>
        <v>Core_bottom</v>
      </c>
      <c r="B9" s="149" t="s">
        <v>292</v>
      </c>
      <c r="C9" s="94">
        <f>[2]Zones!F3</f>
        <v>10587.74</v>
      </c>
      <c r="D9" s="95">
        <f>[2]Zones!I3</f>
        <v>264.69349999999997</v>
      </c>
      <c r="E9" s="104">
        <v>0.18</v>
      </c>
      <c r="F9" s="105">
        <f>E9*D9</f>
        <v>47.644829999999992</v>
      </c>
      <c r="G9" s="274">
        <f t="shared" ref="G9:G26" si="0">F9/60</f>
        <v>0.79408049999999986</v>
      </c>
    </row>
    <row r="10" spans="1:9" ht="22.2" customHeight="1" x14ac:dyDescent="0.25">
      <c r="A10" s="253" t="str">
        <f>Zones!B4</f>
        <v>Core_mid</v>
      </c>
      <c r="B10" s="149" t="s">
        <v>292</v>
      </c>
      <c r="C10" s="94">
        <f>[2]Zones!F4</f>
        <v>10587.74</v>
      </c>
      <c r="D10" s="95">
        <f>[2]Zones!I4</f>
        <v>264.69349999999997</v>
      </c>
      <c r="E10" s="104">
        <v>0.18</v>
      </c>
      <c r="F10" s="105">
        <f t="shared" ref="F10:F26" si="1">E10*D10</f>
        <v>47.644829999999992</v>
      </c>
      <c r="G10" s="274">
        <f t="shared" si="0"/>
        <v>0.79408049999999986</v>
      </c>
    </row>
    <row r="11" spans="1:9" ht="22.2" customHeight="1" x14ac:dyDescent="0.25">
      <c r="A11" s="253" t="str">
        <f>Zones!B5</f>
        <v xml:space="preserve">Core_top </v>
      </c>
      <c r="B11" s="149" t="s">
        <v>292</v>
      </c>
      <c r="C11" s="94">
        <f>[2]Zones!F5</f>
        <v>10587.74</v>
      </c>
      <c r="D11" s="95">
        <f>[2]Zones!I5</f>
        <v>264.69349999999997</v>
      </c>
      <c r="E11" s="104">
        <v>0.18</v>
      </c>
      <c r="F11" s="105">
        <f t="shared" si="1"/>
        <v>47.644829999999992</v>
      </c>
      <c r="G11" s="274">
        <f t="shared" si="0"/>
        <v>0.79408049999999986</v>
      </c>
    </row>
    <row r="12" spans="1:9" ht="22.2" customHeight="1" x14ac:dyDescent="0.25">
      <c r="A12" s="253" t="str">
        <f>Zones!B6</f>
        <v xml:space="preserve">Firstfloor_plenum </v>
      </c>
      <c r="B12" s="149" t="s">
        <v>292</v>
      </c>
      <c r="C12" s="94">
        <f>[2]Zones!F6</f>
        <v>17877.68</v>
      </c>
      <c r="D12" s="95">
        <f>[2]Zones!I6</f>
        <v>0</v>
      </c>
      <c r="E12" s="104">
        <v>0</v>
      </c>
      <c r="F12" s="105">
        <f t="shared" si="1"/>
        <v>0</v>
      </c>
      <c r="G12" s="274">
        <f t="shared" si="0"/>
        <v>0</v>
      </c>
    </row>
    <row r="13" spans="1:9" ht="22.2" customHeight="1" x14ac:dyDescent="0.25">
      <c r="A13" s="253" t="str">
        <f>Zones!B7</f>
        <v>Midfloor_plenum</v>
      </c>
      <c r="B13" s="149" t="s">
        <v>292</v>
      </c>
      <c r="C13" s="94">
        <f>[2]Zones!F7</f>
        <v>17877.68</v>
      </c>
      <c r="D13" s="95">
        <f>[2]Zones!I7</f>
        <v>0</v>
      </c>
      <c r="E13" s="104">
        <v>0</v>
      </c>
      <c r="F13" s="105">
        <f t="shared" si="1"/>
        <v>0</v>
      </c>
      <c r="G13" s="274">
        <f t="shared" si="0"/>
        <v>0</v>
      </c>
    </row>
    <row r="14" spans="1:9" ht="22.2" customHeight="1" x14ac:dyDescent="0.25">
      <c r="A14" s="253" t="str">
        <f>Zones!B8</f>
        <v xml:space="preserve">Perimeter_bot_zn_1 </v>
      </c>
      <c r="B14" s="149" t="s">
        <v>292</v>
      </c>
      <c r="C14" s="94">
        <f>[2]Zones!F8</f>
        <v>2231.98</v>
      </c>
      <c r="D14" s="95">
        <f>[2]Zones!I8</f>
        <v>11.1599</v>
      </c>
      <c r="E14" s="104">
        <v>0.18</v>
      </c>
      <c r="F14" s="105">
        <f t="shared" si="1"/>
        <v>2.0087820000000001</v>
      </c>
      <c r="G14" s="274">
        <f t="shared" si="0"/>
        <v>3.3479700000000001E-2</v>
      </c>
    </row>
    <row r="15" spans="1:9" ht="22.2" customHeight="1" x14ac:dyDescent="0.25">
      <c r="A15" s="253" t="str">
        <f>Zones!B9</f>
        <v xml:space="preserve">Perimeter_bot_zn_2 </v>
      </c>
      <c r="B15" s="149" t="s">
        <v>292</v>
      </c>
      <c r="C15" s="94">
        <f>[2]Zones!F9</f>
        <v>1413.04</v>
      </c>
      <c r="D15" s="95">
        <f>[2]Zones!I9</f>
        <v>7.0651999999999999</v>
      </c>
      <c r="E15" s="104">
        <v>0.18</v>
      </c>
      <c r="F15" s="105">
        <f t="shared" si="1"/>
        <v>1.271736</v>
      </c>
      <c r="G15" s="274">
        <f t="shared" si="0"/>
        <v>2.1195599999999998E-2</v>
      </c>
    </row>
    <row r="16" spans="1:9" ht="22.2" customHeight="1" x14ac:dyDescent="0.25">
      <c r="A16" s="253" t="str">
        <f>Zones!B10</f>
        <v xml:space="preserve">Perimeter_bot_zn_3 </v>
      </c>
      <c r="B16" s="149" t="s">
        <v>292</v>
      </c>
      <c r="C16" s="94">
        <f>[2]Zones!F10</f>
        <v>2231.98</v>
      </c>
      <c r="D16" s="95">
        <f>[2]Zones!I10</f>
        <v>11.1599</v>
      </c>
      <c r="E16" s="104">
        <v>0.18</v>
      </c>
      <c r="F16" s="105">
        <f t="shared" si="1"/>
        <v>2.0087820000000001</v>
      </c>
      <c r="G16" s="274">
        <f t="shared" si="0"/>
        <v>3.3479700000000001E-2</v>
      </c>
    </row>
    <row r="17" spans="1:10" ht="22.2" customHeight="1" x14ac:dyDescent="0.25">
      <c r="A17" s="253" t="str">
        <f>Zones!B11</f>
        <v xml:space="preserve">Perimeter_bot_zn_4 </v>
      </c>
      <c r="B17" s="149" t="s">
        <v>292</v>
      </c>
      <c r="C17" s="94">
        <f>[2]Zones!F11</f>
        <v>1412.94</v>
      </c>
      <c r="D17" s="95">
        <f>[2]Zones!I11</f>
        <v>7.0647000000000011</v>
      </c>
      <c r="E17" s="104">
        <v>0.18</v>
      </c>
      <c r="F17" s="105">
        <f t="shared" si="1"/>
        <v>1.2716460000000001</v>
      </c>
      <c r="G17" s="274">
        <f t="shared" si="0"/>
        <v>2.11941E-2</v>
      </c>
    </row>
    <row r="18" spans="1:10" ht="22.2" customHeight="1" x14ac:dyDescent="0.25">
      <c r="A18" s="253" t="str">
        <f>Zones!B12</f>
        <v xml:space="preserve">Perimeter_mid_zn_1 </v>
      </c>
      <c r="B18" s="149" t="s">
        <v>292</v>
      </c>
      <c r="C18" s="94">
        <f>[2]Zones!F12</f>
        <v>2231.98</v>
      </c>
      <c r="D18" s="95">
        <f>[2]Zones!I12</f>
        <v>55.799500000000002</v>
      </c>
      <c r="E18" s="104">
        <v>0.18</v>
      </c>
      <c r="F18" s="105">
        <f t="shared" si="1"/>
        <v>10.04391</v>
      </c>
      <c r="G18" s="274">
        <f t="shared" si="0"/>
        <v>0.16739850000000001</v>
      </c>
    </row>
    <row r="19" spans="1:10" ht="22.2" customHeight="1" x14ac:dyDescent="0.25">
      <c r="A19" s="253" t="str">
        <f>Zones!B13</f>
        <v xml:space="preserve">Perimeter_mid_zn_2 </v>
      </c>
      <c r="B19" s="149" t="s">
        <v>292</v>
      </c>
      <c r="C19" s="94">
        <f>[2]Zones!F13</f>
        <v>1413.04</v>
      </c>
      <c r="D19" s="95">
        <f>[2]Zones!I13</f>
        <v>35.326000000000001</v>
      </c>
      <c r="E19" s="104">
        <v>0.18</v>
      </c>
      <c r="F19" s="105">
        <f t="shared" si="1"/>
        <v>6.3586799999999997</v>
      </c>
      <c r="G19" s="274">
        <f t="shared" si="0"/>
        <v>0.10597799999999999</v>
      </c>
    </row>
    <row r="20" spans="1:10" ht="22.2" customHeight="1" x14ac:dyDescent="0.25">
      <c r="A20" s="253" t="str">
        <f>Zones!B14</f>
        <v xml:space="preserve">Perimeter_mid_zn_3 </v>
      </c>
      <c r="B20" s="149" t="s">
        <v>292</v>
      </c>
      <c r="C20" s="94">
        <f>[2]Zones!F14</f>
        <v>2231.98</v>
      </c>
      <c r="D20" s="95">
        <f>[2]Zones!I14</f>
        <v>55.799500000000002</v>
      </c>
      <c r="E20" s="104">
        <v>0.18</v>
      </c>
      <c r="F20" s="105">
        <f t="shared" si="1"/>
        <v>10.04391</v>
      </c>
      <c r="G20" s="274">
        <f t="shared" si="0"/>
        <v>0.16739850000000001</v>
      </c>
    </row>
    <row r="21" spans="1:10" ht="22.2" customHeight="1" x14ac:dyDescent="0.25">
      <c r="A21" s="253" t="str">
        <f>Zones!B15</f>
        <v>Perimeter_mid_zn_4</v>
      </c>
      <c r="B21" s="149" t="s">
        <v>292</v>
      </c>
      <c r="C21" s="94">
        <f>[2]Zones!F15</f>
        <v>1412.94</v>
      </c>
      <c r="D21" s="95">
        <f>[2]Zones!I15</f>
        <v>35.323500000000003</v>
      </c>
      <c r="E21" s="104">
        <v>0.18</v>
      </c>
      <c r="F21" s="105">
        <f t="shared" si="1"/>
        <v>6.3582299999999998</v>
      </c>
      <c r="G21" s="274">
        <f t="shared" si="0"/>
        <v>0.1059705</v>
      </c>
    </row>
    <row r="22" spans="1:10" ht="22.2" customHeight="1" x14ac:dyDescent="0.25">
      <c r="A22" s="253" t="str">
        <f>Zones!B16</f>
        <v xml:space="preserve">Perimeter_top_zn_1 </v>
      </c>
      <c r="B22" s="149" t="s">
        <v>292</v>
      </c>
      <c r="C22" s="94">
        <f>[2]Zones!F16</f>
        <v>2231.98</v>
      </c>
      <c r="D22" s="95">
        <f>[2]Zones!I16</f>
        <v>11.1599</v>
      </c>
      <c r="E22" s="104">
        <v>0.18</v>
      </c>
      <c r="F22" s="105">
        <f t="shared" si="1"/>
        <v>2.0087820000000001</v>
      </c>
      <c r="G22" s="274">
        <f t="shared" si="0"/>
        <v>3.3479700000000001E-2</v>
      </c>
    </row>
    <row r="23" spans="1:10" ht="22.2" customHeight="1" x14ac:dyDescent="0.25">
      <c r="A23" s="253" t="str">
        <f>Zones!B17</f>
        <v xml:space="preserve">Perimeter_top_zn_2 </v>
      </c>
      <c r="B23" s="149" t="s">
        <v>292</v>
      </c>
      <c r="C23" s="94">
        <f>[2]Zones!F17</f>
        <v>1413.04</v>
      </c>
      <c r="D23" s="95">
        <f>[2]Zones!I17</f>
        <v>7.0651999999999999</v>
      </c>
      <c r="E23" s="104">
        <v>0.18</v>
      </c>
      <c r="F23" s="105">
        <f t="shared" si="1"/>
        <v>1.271736</v>
      </c>
      <c r="G23" s="274">
        <f t="shared" si="0"/>
        <v>2.1195599999999998E-2</v>
      </c>
    </row>
    <row r="24" spans="1:10" ht="22.2" customHeight="1" x14ac:dyDescent="0.25">
      <c r="A24" s="253" t="str">
        <f>Zones!B18</f>
        <v xml:space="preserve">Perimeter_top_zn_3 </v>
      </c>
      <c r="B24" s="149" t="s">
        <v>292</v>
      </c>
      <c r="C24" s="94">
        <f>[2]Zones!F18</f>
        <v>2231.98</v>
      </c>
      <c r="D24" s="95">
        <f>[2]Zones!I18</f>
        <v>11.1599</v>
      </c>
      <c r="E24" s="104">
        <v>0.18</v>
      </c>
      <c r="F24" s="105">
        <f t="shared" si="1"/>
        <v>2.0087820000000001</v>
      </c>
      <c r="G24" s="274">
        <f t="shared" si="0"/>
        <v>3.3479700000000001E-2</v>
      </c>
    </row>
    <row r="25" spans="1:10" ht="22.2" customHeight="1" x14ac:dyDescent="0.25">
      <c r="A25" s="253" t="str">
        <f>Zones!B19</f>
        <v xml:space="preserve">Perimeter_top_zn_4 </v>
      </c>
      <c r="B25" s="149" t="s">
        <v>292</v>
      </c>
      <c r="C25" s="94">
        <f>[2]Zones!F19</f>
        <v>1412.94</v>
      </c>
      <c r="D25" s="95">
        <f>[2]Zones!I19</f>
        <v>7.0647000000000011</v>
      </c>
      <c r="E25" s="104">
        <v>0.18</v>
      </c>
      <c r="F25" s="105">
        <f t="shared" si="1"/>
        <v>1.2716460000000001</v>
      </c>
      <c r="G25" s="274">
        <f t="shared" si="0"/>
        <v>2.11941E-2</v>
      </c>
    </row>
    <row r="26" spans="1:10" ht="22.2" customHeight="1" x14ac:dyDescent="0.25">
      <c r="A26" s="253" t="str">
        <f>Zones!B20</f>
        <v xml:space="preserve">Topfloor_plenum </v>
      </c>
      <c r="B26" s="149" t="s">
        <v>292</v>
      </c>
      <c r="C26" s="94">
        <f>[2]Zones!F20</f>
        <v>17877.68</v>
      </c>
      <c r="D26" s="95">
        <f>[2]Zones!I20</f>
        <v>0</v>
      </c>
      <c r="E26" s="104">
        <v>0</v>
      </c>
      <c r="F26" s="105">
        <f t="shared" si="1"/>
        <v>0</v>
      </c>
      <c r="G26" s="274">
        <f t="shared" si="0"/>
        <v>0</v>
      </c>
    </row>
    <row r="27" spans="1:10" ht="33" customHeight="1" x14ac:dyDescent="0.25">
      <c r="A27" s="275" t="s">
        <v>284</v>
      </c>
      <c r="B27" s="275"/>
      <c r="C27" s="276">
        <f>SUM(C9:C26)</f>
        <v>107266.07999999996</v>
      </c>
      <c r="D27" s="276">
        <f>SUM(D9:D26)</f>
        <v>1049.2283999999997</v>
      </c>
      <c r="E27" s="276"/>
      <c r="F27" s="277">
        <f>SUM(F9:F26)</f>
        <v>188.86111199999999</v>
      </c>
      <c r="G27" s="274">
        <f>F27/60</f>
        <v>3.1476851999999997</v>
      </c>
      <c r="H27" s="96"/>
      <c r="I27" s="96"/>
    </row>
    <row r="28" spans="1:10" ht="13.2" x14ac:dyDescent="0.25">
      <c r="A28" s="97"/>
      <c r="E28" s="98"/>
    </row>
    <row r="29" spans="1:10" ht="13.2" x14ac:dyDescent="0.25">
      <c r="A29" s="97"/>
      <c r="E29" s="98"/>
    </row>
    <row r="30" spans="1:10" ht="13.2" x14ac:dyDescent="0.25">
      <c r="A30" s="97"/>
      <c r="E30" s="98"/>
    </row>
    <row r="31" spans="1:10" ht="15.6" x14ac:dyDescent="0.25">
      <c r="A31" s="518" t="s">
        <v>301</v>
      </c>
      <c r="B31" s="518"/>
      <c r="C31" s="518"/>
      <c r="D31" s="518"/>
      <c r="E31" s="518"/>
      <c r="F31" s="518"/>
      <c r="G31" s="518"/>
      <c r="H31" s="518"/>
      <c r="I31" s="518"/>
      <c r="J31" s="518"/>
    </row>
    <row r="32" spans="1:10" ht="70.2" customHeight="1" x14ac:dyDescent="0.25">
      <c r="A32" s="444" t="s">
        <v>286</v>
      </c>
      <c r="B32" s="444" t="s">
        <v>299</v>
      </c>
      <c r="C32" s="444" t="s">
        <v>302</v>
      </c>
      <c r="D32" s="444" t="s">
        <v>303</v>
      </c>
      <c r="E32" s="444" t="s">
        <v>304</v>
      </c>
      <c r="F32" s="444" t="s">
        <v>305</v>
      </c>
      <c r="G32" s="444" t="s">
        <v>306</v>
      </c>
      <c r="H32" s="444" t="s">
        <v>290</v>
      </c>
      <c r="I32" s="444" t="s">
        <v>307</v>
      </c>
      <c r="J32" s="444" t="s">
        <v>172</v>
      </c>
    </row>
    <row r="33" spans="1:10" ht="13.2" x14ac:dyDescent="0.25">
      <c r="A33" s="278" t="s">
        <v>308</v>
      </c>
      <c r="B33" s="99">
        <f>SUMIF(B9:B26, "*Gas*", F9:F26)</f>
        <v>188.86111199999999</v>
      </c>
      <c r="C33" s="99">
        <f>B33*(135-55)*8.2877*1</f>
        <v>125217.93903379199</v>
      </c>
      <c r="D33" s="99">
        <f>C33*0.6</f>
        <v>75130.763420275194</v>
      </c>
      <c r="E33" s="95">
        <f>D33/0.8</f>
        <v>93913.454275343989</v>
      </c>
      <c r="F33" s="99">
        <f>(B33*F35)/B35</f>
        <v>75.544444799999994</v>
      </c>
      <c r="G33" s="99">
        <f>(E33/800)+110*SQRT(F33)</f>
        <v>1073.4711984815829</v>
      </c>
      <c r="H33" s="279" t="s">
        <v>309</v>
      </c>
      <c r="I33" s="280">
        <f>G33/B44</f>
        <v>16.021958186292281</v>
      </c>
      <c r="J33" s="480" t="s">
        <v>310</v>
      </c>
    </row>
    <row r="34" spans="1:10" ht="13.2" x14ac:dyDescent="0.25">
      <c r="A34" s="278" t="s">
        <v>311</v>
      </c>
      <c r="B34" s="99">
        <f>SUMIF(B9:B23, "*Electric*", F9:F23)</f>
        <v>0</v>
      </c>
      <c r="C34" s="99">
        <f>B34*(135-55)*8.2877*1</f>
        <v>0</v>
      </c>
      <c r="D34" s="99">
        <f>C34*0.85</f>
        <v>0</v>
      </c>
      <c r="E34" s="95">
        <f>D34/1</f>
        <v>0</v>
      </c>
      <c r="F34" s="99">
        <f>(B34*F35)/B35</f>
        <v>0</v>
      </c>
      <c r="G34" s="99"/>
      <c r="H34" s="149" t="s">
        <v>312</v>
      </c>
      <c r="I34" s="281">
        <f>0.0834*G34*F34</f>
        <v>0</v>
      </c>
      <c r="J34" s="479"/>
    </row>
    <row r="35" spans="1:10" ht="13.2" x14ac:dyDescent="0.25">
      <c r="A35" s="275" t="s">
        <v>284</v>
      </c>
      <c r="B35" s="99">
        <f>B33+B34</f>
        <v>188.86111199999999</v>
      </c>
      <c r="C35" s="99">
        <f>B35*(135-55)*8.2877*1</f>
        <v>125217.93903379199</v>
      </c>
      <c r="D35" s="99">
        <f>C35*0.6</f>
        <v>75130.763420275194</v>
      </c>
      <c r="E35" s="95">
        <f>D35/0.8</f>
        <v>93913.454275343989</v>
      </c>
      <c r="F35" s="99">
        <f>B35*1*0.4</f>
        <v>75.544444799999994</v>
      </c>
      <c r="G35" s="149"/>
      <c r="H35" s="149"/>
      <c r="I35" s="149"/>
      <c r="J35" s="479"/>
    </row>
    <row r="36" spans="1:10" ht="13.2" x14ac:dyDescent="0.25">
      <c r="A36" s="97"/>
      <c r="B36" s="165"/>
      <c r="D36" s="165"/>
      <c r="E36" s="98"/>
      <c r="F36" s="165"/>
    </row>
    <row r="37" spans="1:10" ht="13.2" x14ac:dyDescent="0.25">
      <c r="A37" s="424" t="s">
        <v>313</v>
      </c>
      <c r="B37" s="435">
        <v>135</v>
      </c>
      <c r="C37" s="424" t="s">
        <v>314</v>
      </c>
      <c r="D37" s="424"/>
      <c r="E37" s="424"/>
      <c r="F37" s="166" t="s">
        <v>315</v>
      </c>
      <c r="G37" s="167">
        <f>(E35/800)+110*SQRT(F35)</f>
        <v>1073.4711984815829</v>
      </c>
      <c r="H37" s="168" t="s">
        <v>309</v>
      </c>
      <c r="I37" s="221">
        <f>G37/B44</f>
        <v>16.021958186292281</v>
      </c>
      <c r="J37" s="424"/>
    </row>
    <row r="38" spans="1:10" ht="13.2" x14ac:dyDescent="0.25">
      <c r="A38" s="424" t="s">
        <v>316</v>
      </c>
      <c r="B38" s="435">
        <v>55</v>
      </c>
      <c r="C38" s="424" t="s">
        <v>317</v>
      </c>
      <c r="D38" s="424"/>
      <c r="E38" s="424"/>
      <c r="F38" s="424"/>
      <c r="G38" s="424"/>
      <c r="H38" s="424"/>
      <c r="I38" s="424"/>
      <c r="J38" s="424"/>
    </row>
    <row r="39" spans="1:10" ht="14.4" x14ac:dyDescent="0.3">
      <c r="A39" s="169" t="s">
        <v>318</v>
      </c>
      <c r="B39" s="435">
        <v>0.6</v>
      </c>
      <c r="C39" s="424" t="s">
        <v>317</v>
      </c>
      <c r="D39" s="424"/>
      <c r="E39" s="424"/>
      <c r="F39" s="424"/>
      <c r="G39" s="424"/>
      <c r="H39" s="424"/>
      <c r="I39" s="424"/>
      <c r="J39" s="424"/>
    </row>
    <row r="40" spans="1:10" ht="13.2" x14ac:dyDescent="0.25">
      <c r="A40" s="424" t="s">
        <v>319</v>
      </c>
      <c r="B40" s="435">
        <v>0.4</v>
      </c>
      <c r="C40" s="424"/>
      <c r="D40" s="424"/>
      <c r="E40" s="424"/>
      <c r="F40" s="424"/>
      <c r="G40" s="424"/>
      <c r="H40" s="424"/>
      <c r="I40" s="424"/>
      <c r="J40" s="424"/>
    </row>
    <row r="41" spans="1:10" ht="13.2" x14ac:dyDescent="0.25">
      <c r="A41" s="522" t="s">
        <v>320</v>
      </c>
      <c r="B41" s="522"/>
      <c r="C41" s="522"/>
      <c r="D41" s="522"/>
      <c r="E41" s="522"/>
      <c r="F41" s="522"/>
      <c r="G41" s="522"/>
      <c r="H41" s="522"/>
      <c r="I41" s="522"/>
      <c r="J41" s="522"/>
    </row>
    <row r="42" spans="1:10" ht="14.4" x14ac:dyDescent="0.3">
      <c r="A42" t="s">
        <v>321</v>
      </c>
      <c r="E42" s="98"/>
    </row>
    <row r="43" spans="1:10" ht="14.4" x14ac:dyDescent="0.3">
      <c r="A43" t="s">
        <v>322</v>
      </c>
      <c r="B43" s="34">
        <v>68</v>
      </c>
    </row>
    <row r="44" spans="1:10" ht="14.4" x14ac:dyDescent="0.3">
      <c r="A44" t="s">
        <v>323</v>
      </c>
      <c r="B44" s="34">
        <f>B37-B43</f>
        <v>67</v>
      </c>
    </row>
    <row r="45" spans="1:10" ht="14.4" x14ac:dyDescent="0.3">
      <c r="A45" t="s">
        <v>324</v>
      </c>
      <c r="B45" s="34"/>
    </row>
    <row r="46" spans="1:10" ht="14.4" x14ac:dyDescent="0.3">
      <c r="A46"/>
      <c r="B46" s="34"/>
    </row>
    <row r="47" spans="1:10" s="150" customFormat="1" ht="21" customHeight="1" x14ac:dyDescent="0.3">
      <c r="A47" s="150" t="s">
        <v>115</v>
      </c>
    </row>
    <row r="48" spans="1:10" ht="14.4" x14ac:dyDescent="0.25">
      <c r="A48" s="102"/>
    </row>
    <row r="49" spans="1:1" ht="14.4" x14ac:dyDescent="0.25">
      <c r="A49" s="101"/>
    </row>
    <row r="50" spans="1:1" ht="14.4" x14ac:dyDescent="0.25">
      <c r="A50" s="102"/>
    </row>
    <row r="51" spans="1:1" ht="14.4" x14ac:dyDescent="0.25">
      <c r="A51" s="103"/>
    </row>
    <row r="52" spans="1:1" ht="14.4" x14ac:dyDescent="0.25">
      <c r="A52" s="102"/>
    </row>
    <row r="53" spans="1:1" ht="14.4" x14ac:dyDescent="0.25">
      <c r="A53" s="103"/>
    </row>
    <row r="54" spans="1:1" ht="14.4" x14ac:dyDescent="0.25">
      <c r="A54" s="102"/>
    </row>
    <row r="55" spans="1:1" ht="14.4" x14ac:dyDescent="0.25">
      <c r="A55" s="103"/>
    </row>
    <row r="56" spans="1:1" ht="14.4" x14ac:dyDescent="0.25">
      <c r="A56" s="102"/>
    </row>
    <row r="57" spans="1:1" ht="14.4" x14ac:dyDescent="0.25">
      <c r="A57" s="101"/>
    </row>
    <row r="58" spans="1:1" ht="14.4" x14ac:dyDescent="0.25">
      <c r="A58" s="102"/>
    </row>
    <row r="59" spans="1:1" ht="14.4" x14ac:dyDescent="0.25">
      <c r="A59" s="101"/>
    </row>
    <row r="60" spans="1:1" ht="14.4" x14ac:dyDescent="0.25">
      <c r="A60" s="101"/>
    </row>
    <row r="61" spans="1:1" ht="14.4" x14ac:dyDescent="0.25">
      <c r="A61" s="103"/>
    </row>
    <row r="62" spans="1:1" ht="14.4" x14ac:dyDescent="0.25">
      <c r="A62" s="103"/>
    </row>
    <row r="63" spans="1:1" ht="14.4" x14ac:dyDescent="0.25">
      <c r="A63" s="103"/>
    </row>
    <row r="64" spans="1:1" ht="14.4" x14ac:dyDescent="0.25">
      <c r="A64" s="103"/>
    </row>
    <row r="65" spans="1:1" ht="14.4" x14ac:dyDescent="0.25">
      <c r="A65" s="103"/>
    </row>
    <row r="66" spans="1:1" ht="14.4" x14ac:dyDescent="0.25">
      <c r="A66" s="103"/>
    </row>
    <row r="67" spans="1:1" ht="14.4" x14ac:dyDescent="0.25">
      <c r="A67" s="101"/>
    </row>
    <row r="68" spans="1:1" ht="14.4" x14ac:dyDescent="0.25">
      <c r="A68" s="102"/>
    </row>
    <row r="69" spans="1:1" ht="14.4" x14ac:dyDescent="0.25">
      <c r="A69" s="101"/>
    </row>
    <row r="70" spans="1:1" ht="14.4" x14ac:dyDescent="0.25">
      <c r="A70" s="101"/>
    </row>
    <row r="71" spans="1:1" ht="14.4" x14ac:dyDescent="0.25">
      <c r="A71" s="103"/>
    </row>
    <row r="72" spans="1:1" ht="14.4" x14ac:dyDescent="0.25">
      <c r="A72" s="103"/>
    </row>
    <row r="73" spans="1:1" ht="14.4" x14ac:dyDescent="0.25">
      <c r="A73" s="101"/>
    </row>
    <row r="74" spans="1:1" ht="14.4" x14ac:dyDescent="0.25">
      <c r="A74" s="102"/>
    </row>
    <row r="75" spans="1:1" ht="14.4" x14ac:dyDescent="0.25">
      <c r="A75" s="101"/>
    </row>
    <row r="76" spans="1:1" ht="14.4" x14ac:dyDescent="0.25">
      <c r="A76" s="101"/>
    </row>
    <row r="77" spans="1:1" ht="14.4" x14ac:dyDescent="0.25">
      <c r="A77" s="103"/>
    </row>
    <row r="78" spans="1:1" ht="14.4" x14ac:dyDescent="0.25">
      <c r="A78" s="103"/>
    </row>
    <row r="79" spans="1:1" ht="14.4" x14ac:dyDescent="0.25">
      <c r="A79" s="103"/>
    </row>
    <row r="80" spans="1:1" ht="14.4" x14ac:dyDescent="0.25">
      <c r="A80" s="103"/>
    </row>
    <row r="81" spans="1:1" ht="14.4" x14ac:dyDescent="0.25">
      <c r="A81" s="103"/>
    </row>
    <row r="82" spans="1:1" ht="14.4" x14ac:dyDescent="0.25">
      <c r="A82" s="103"/>
    </row>
    <row r="83" spans="1:1" ht="14.4" x14ac:dyDescent="0.25">
      <c r="A83" s="103"/>
    </row>
    <row r="84" spans="1:1" ht="14.4" x14ac:dyDescent="0.25">
      <c r="A84" s="103"/>
    </row>
    <row r="85" spans="1:1" ht="14.4" x14ac:dyDescent="0.25">
      <c r="A85" s="101"/>
    </row>
    <row r="86" spans="1:1" ht="14.4" x14ac:dyDescent="0.25">
      <c r="A86" s="102"/>
    </row>
    <row r="87" spans="1:1" ht="14.4" x14ac:dyDescent="0.25">
      <c r="A87" s="101"/>
    </row>
    <row r="88" spans="1:1" ht="14.4" x14ac:dyDescent="0.25">
      <c r="A88" s="101"/>
    </row>
    <row r="89" spans="1:1" ht="14.4" x14ac:dyDescent="0.25">
      <c r="A89" s="103"/>
    </row>
    <row r="90" spans="1:1" ht="14.4" x14ac:dyDescent="0.25">
      <c r="A90" s="103"/>
    </row>
    <row r="91" spans="1:1" ht="14.4" x14ac:dyDescent="0.25">
      <c r="A91" s="103"/>
    </row>
    <row r="92" spans="1:1" ht="14.4" x14ac:dyDescent="0.25">
      <c r="A92" s="103"/>
    </row>
    <row r="93" spans="1:1" ht="14.4" x14ac:dyDescent="0.3">
      <c r="A93"/>
    </row>
    <row r="94" spans="1:1" ht="14.4" x14ac:dyDescent="0.3">
      <c r="A94"/>
    </row>
    <row r="95" spans="1:1" ht="14.4" x14ac:dyDescent="0.3">
      <c r="A95"/>
    </row>
    <row r="96" spans="1:1" ht="14.4" x14ac:dyDescent="0.3">
      <c r="A96" s="4"/>
    </row>
    <row r="97" spans="1:1" ht="14.4" x14ac:dyDescent="0.25">
      <c r="A97" s="101"/>
    </row>
    <row r="98" spans="1:1" ht="14.4" x14ac:dyDescent="0.25">
      <c r="A98" s="102"/>
    </row>
    <row r="99" spans="1:1" ht="14.4" x14ac:dyDescent="0.25">
      <c r="A99" s="101"/>
    </row>
    <row r="100" spans="1:1" ht="14.4" x14ac:dyDescent="0.25">
      <c r="A100" s="101"/>
    </row>
  </sheetData>
  <mergeCells count="5">
    <mergeCell ref="A1:G1"/>
    <mergeCell ref="A31:J31"/>
    <mergeCell ref="A41:J41"/>
    <mergeCell ref="J33:J35"/>
    <mergeCell ref="A7:G7"/>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9"/>
  <sheetViews>
    <sheetView zoomScaleNormal="100" workbookViewId="0">
      <selection sqref="A1:D1"/>
    </sheetView>
  </sheetViews>
  <sheetFormatPr defaultColWidth="8.6640625" defaultRowHeight="13.2" x14ac:dyDescent="0.25"/>
  <cols>
    <col min="1" max="1" width="32" style="8" customWidth="1"/>
    <col min="2" max="2" width="30.33203125" style="8" customWidth="1"/>
    <col min="3" max="3" width="21.33203125" style="8" customWidth="1"/>
    <col min="4" max="4" width="36.33203125" style="8" customWidth="1"/>
    <col min="5" max="5" width="38.88671875" style="8" customWidth="1"/>
    <col min="6" max="6" width="17.109375" style="8" customWidth="1"/>
    <col min="7" max="7" width="17.5546875" style="8" customWidth="1"/>
    <col min="8" max="8" width="15.5546875" style="8" customWidth="1"/>
    <col min="9" max="9" width="13.33203125" style="8" customWidth="1"/>
    <col min="10" max="16384" width="8.6640625" style="8"/>
  </cols>
  <sheetData>
    <row r="1" spans="1:7" ht="25.2" customHeight="1" x14ac:dyDescent="0.25">
      <c r="A1" s="523" t="str">
        <f>"Exterior Lighting - "&amp;Prototype!B4</f>
        <v>Exterior Lighting - Laboratory</v>
      </c>
      <c r="B1" s="523"/>
      <c r="C1" s="523"/>
      <c r="D1" s="523"/>
    </row>
    <row r="2" spans="1:7" ht="37.200000000000003" customHeight="1" x14ac:dyDescent="0.25">
      <c r="A2" s="436" t="s">
        <v>325</v>
      </c>
      <c r="B2" s="436" t="s">
        <v>326</v>
      </c>
      <c r="C2" s="436" t="s">
        <v>327</v>
      </c>
      <c r="D2" s="436" t="s">
        <v>172</v>
      </c>
    </row>
    <row r="3" spans="1:7" ht="45.6" customHeight="1" x14ac:dyDescent="0.25">
      <c r="A3" s="44">
        <f>G15</f>
        <v>1719.8359999999998</v>
      </c>
      <c r="B3" s="44">
        <f>G16</f>
        <v>856.54100000000005</v>
      </c>
      <c r="C3" s="44">
        <f>A3+B3</f>
        <v>2576.377</v>
      </c>
      <c r="D3" s="428" t="s">
        <v>328</v>
      </c>
      <c r="E3" s="112"/>
    </row>
    <row r="4" spans="1:7" ht="22.2" customHeight="1" x14ac:dyDescent="0.25">
      <c r="A4" s="60"/>
      <c r="B4" s="60"/>
      <c r="C4" s="60"/>
    </row>
    <row r="5" spans="1:7" ht="14.4" x14ac:dyDescent="0.3">
      <c r="A5"/>
      <c r="C5" s="173"/>
      <c r="E5" s="174"/>
    </row>
    <row r="6" spans="1:7" ht="14.4" x14ac:dyDescent="0.3">
      <c r="A6"/>
      <c r="C6" s="173"/>
      <c r="E6" s="174"/>
    </row>
    <row r="7" spans="1:7" ht="15.6" x14ac:dyDescent="0.25">
      <c r="A7" s="523" t="str">
        <f>"Exterior Lighting"</f>
        <v>Exterior Lighting</v>
      </c>
      <c r="B7" s="523"/>
      <c r="C7" s="523"/>
      <c r="D7" s="523"/>
      <c r="E7" s="523"/>
      <c r="F7" s="523"/>
      <c r="G7" s="523"/>
    </row>
    <row r="8" spans="1:7" ht="51.6" customHeight="1" x14ac:dyDescent="0.25">
      <c r="A8" s="282" t="s">
        <v>329</v>
      </c>
      <c r="B8" s="524" t="s">
        <v>330</v>
      </c>
      <c r="C8" s="524"/>
      <c r="D8" s="436" t="s">
        <v>290</v>
      </c>
      <c r="E8" s="436" t="s">
        <v>331</v>
      </c>
      <c r="F8" s="436" t="s">
        <v>290</v>
      </c>
      <c r="G8" s="436" t="s">
        <v>332</v>
      </c>
    </row>
    <row r="9" spans="1:7" ht="21" customHeight="1" x14ac:dyDescent="0.25">
      <c r="A9" s="18" t="s">
        <v>333</v>
      </c>
      <c r="B9" s="18"/>
      <c r="C9" s="175"/>
      <c r="D9" s="427"/>
      <c r="E9" s="427">
        <v>200</v>
      </c>
      <c r="F9" s="123" t="s">
        <v>334</v>
      </c>
      <c r="G9" s="283">
        <f>$E9</f>
        <v>200</v>
      </c>
    </row>
    <row r="10" spans="1:7" ht="39.6" x14ac:dyDescent="0.25">
      <c r="A10" s="18" t="s">
        <v>335</v>
      </c>
      <c r="B10" s="19" t="s">
        <v>336</v>
      </c>
      <c r="C10" s="176">
        <f>B21/250*400</f>
        <v>85812.800000000003</v>
      </c>
      <c r="D10" s="427" t="s">
        <v>337</v>
      </c>
      <c r="E10" s="427">
        <v>1.9E-2</v>
      </c>
      <c r="F10" s="123" t="s">
        <v>338</v>
      </c>
      <c r="G10" s="283">
        <f>$E10*65520</f>
        <v>1244.8799999999999</v>
      </c>
    </row>
    <row r="11" spans="1:7" ht="24" customHeight="1" x14ac:dyDescent="0.25">
      <c r="A11" s="18" t="s">
        <v>339</v>
      </c>
      <c r="B11" s="18" t="s">
        <v>340</v>
      </c>
      <c r="C11" s="175">
        <v>2</v>
      </c>
      <c r="D11" s="427" t="s">
        <v>341</v>
      </c>
      <c r="E11" s="427">
        <v>15</v>
      </c>
      <c r="F11" s="123" t="s">
        <v>342</v>
      </c>
      <c r="G11" s="283">
        <f>E11*C11</f>
        <v>30</v>
      </c>
    </row>
    <row r="12" spans="1:7" ht="39.6" customHeight="1" x14ac:dyDescent="0.25">
      <c r="A12" s="18" t="s">
        <v>343</v>
      </c>
      <c r="B12" s="19" t="s">
        <v>344</v>
      </c>
      <c r="C12" s="180">
        <v>5363</v>
      </c>
      <c r="D12" s="427" t="s">
        <v>337</v>
      </c>
      <c r="E12" s="427">
        <v>7.0000000000000001E-3</v>
      </c>
      <c r="F12" s="123" t="s">
        <v>338</v>
      </c>
      <c r="G12" s="284">
        <f>E12*C12</f>
        <v>37.541000000000004</v>
      </c>
    </row>
    <row r="13" spans="1:7" ht="118.8" x14ac:dyDescent="0.25">
      <c r="A13" s="18" t="s">
        <v>345</v>
      </c>
      <c r="B13" s="19" t="s">
        <v>346</v>
      </c>
      <c r="C13" s="177">
        <f>B22*0.5*30</f>
        <v>8190</v>
      </c>
      <c r="D13" s="427" t="s">
        <v>337</v>
      </c>
      <c r="E13" s="427">
        <v>0.1</v>
      </c>
      <c r="F13" s="123" t="s">
        <v>338</v>
      </c>
      <c r="G13" s="284">
        <f>E13*C13</f>
        <v>819</v>
      </c>
    </row>
    <row r="14" spans="1:7" x14ac:dyDescent="0.25">
      <c r="A14" s="18" t="s">
        <v>347</v>
      </c>
      <c r="B14" s="18"/>
      <c r="C14" s="180">
        <v>1788</v>
      </c>
      <c r="D14" s="427" t="s">
        <v>337</v>
      </c>
      <c r="E14" s="427">
        <v>0.13700000000000001</v>
      </c>
      <c r="F14" s="123" t="s">
        <v>338</v>
      </c>
      <c r="G14" s="284">
        <f>E14*C14</f>
        <v>244.95600000000002</v>
      </c>
    </row>
    <row r="15" spans="1:7" x14ac:dyDescent="0.25">
      <c r="A15" s="18" t="s">
        <v>325</v>
      </c>
      <c r="B15" s="18"/>
      <c r="C15" s="175"/>
      <c r="D15" s="427"/>
      <c r="E15" s="427"/>
      <c r="F15" s="427"/>
      <c r="G15" s="284">
        <f>G10+G9+G14+G11</f>
        <v>1719.8359999999998</v>
      </c>
    </row>
    <row r="16" spans="1:7" x14ac:dyDescent="0.25">
      <c r="A16" s="18" t="s">
        <v>348</v>
      </c>
      <c r="B16" s="18"/>
      <c r="C16" s="175"/>
      <c r="D16" s="427"/>
      <c r="E16" s="427"/>
      <c r="F16" s="427"/>
      <c r="G16" s="284">
        <f>G12+G13</f>
        <v>856.54100000000005</v>
      </c>
    </row>
    <row r="17" spans="1:7" x14ac:dyDescent="0.25">
      <c r="A17" s="18" t="s">
        <v>284</v>
      </c>
      <c r="B17" s="18"/>
      <c r="C17" s="175"/>
      <c r="D17" s="427"/>
      <c r="E17" s="427"/>
      <c r="F17" s="427"/>
      <c r="G17" s="284">
        <f>G15+G16</f>
        <v>2576.377</v>
      </c>
    </row>
    <row r="21" spans="1:7" x14ac:dyDescent="0.25">
      <c r="A21" s="8" t="s">
        <v>349</v>
      </c>
      <c r="B21" s="178">
        <f>Prototype!B8</f>
        <v>53633</v>
      </c>
    </row>
    <row r="22" spans="1:7" x14ac:dyDescent="0.25">
      <c r="A22" s="8" t="s">
        <v>350</v>
      </c>
      <c r="B22" s="179">
        <v>546</v>
      </c>
    </row>
    <row r="23" spans="1:7" x14ac:dyDescent="0.25">
      <c r="A23" s="8" t="s">
        <v>351</v>
      </c>
      <c r="B23" s="8">
        <v>3</v>
      </c>
    </row>
    <row r="24" spans="1:7" ht="14.4" x14ac:dyDescent="0.3">
      <c r="A24"/>
      <c r="C24" s="173"/>
      <c r="E24" s="174"/>
    </row>
    <row r="25" spans="1:7" ht="14.4" x14ac:dyDescent="0.3">
      <c r="A25"/>
      <c r="C25" s="173"/>
      <c r="E25" s="174"/>
    </row>
    <row r="29" spans="1:7" s="26" customFormat="1" ht="13.2" hidden="1" customHeight="1" x14ac:dyDescent="0.25">
      <c r="A29" s="26" t="s">
        <v>115</v>
      </c>
      <c r="E29" s="27"/>
      <c r="F29" s="28"/>
      <c r="G29" s="29"/>
    </row>
  </sheetData>
  <mergeCells count="3">
    <mergeCell ref="A7:G7"/>
    <mergeCell ref="B8:C8"/>
    <mergeCell ref="A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dimension ref="A1:I52"/>
  <sheetViews>
    <sheetView zoomScale="90" zoomScaleNormal="90" workbookViewId="0">
      <selection sqref="A1:F1"/>
    </sheetView>
  </sheetViews>
  <sheetFormatPr defaultColWidth="8.6640625" defaultRowHeight="13.2" x14ac:dyDescent="0.25"/>
  <cols>
    <col min="1" max="1" width="41.5546875" style="8" customWidth="1"/>
    <col min="2" max="2" width="28.44140625" style="8" bestFit="1" customWidth="1"/>
    <col min="3" max="3" width="18.44140625" style="8" bestFit="1" customWidth="1"/>
    <col min="4" max="4" width="23.33203125" style="8" customWidth="1"/>
    <col min="5" max="5" width="31.6640625" style="8" customWidth="1"/>
    <col min="6" max="6" width="69.6640625" style="8" customWidth="1"/>
    <col min="7" max="7" width="18.33203125" style="8" customWidth="1"/>
    <col min="8" max="8" width="21.44140625" style="8" customWidth="1"/>
    <col min="9" max="9" width="33.88671875" style="8" bestFit="1" customWidth="1"/>
    <col min="10" max="10" width="10.6640625" style="8" bestFit="1" customWidth="1"/>
    <col min="11" max="11" width="10.5546875" style="8" bestFit="1" customWidth="1"/>
    <col min="12" max="16384" width="8.6640625" style="8"/>
  </cols>
  <sheetData>
    <row r="1" spans="1:9" ht="23.4" customHeight="1" thickBot="1" x14ac:dyDescent="0.3">
      <c r="A1" s="525" t="str">
        <f>"Equipment - "&amp;Prototype!B4</f>
        <v>Equipment - Laboratory</v>
      </c>
      <c r="B1" s="526"/>
      <c r="C1" s="526"/>
      <c r="D1" s="526"/>
      <c r="E1" s="526"/>
      <c r="F1" s="527"/>
    </row>
    <row r="2" spans="1:9" ht="54.6" customHeight="1" x14ac:dyDescent="0.25">
      <c r="A2" s="346" t="s">
        <v>352</v>
      </c>
      <c r="B2" s="346" t="s">
        <v>353</v>
      </c>
      <c r="C2" s="85" t="s">
        <v>354</v>
      </c>
      <c r="D2" s="85" t="s">
        <v>355</v>
      </c>
      <c r="E2" s="346" t="s">
        <v>172</v>
      </c>
      <c r="F2" s="346" t="s">
        <v>122</v>
      </c>
    </row>
    <row r="3" spans="1:9" ht="34.200000000000003" customHeight="1" x14ac:dyDescent="0.25">
      <c r="A3" s="343" t="str">
        <f>Ventilation!A56</f>
        <v>Laboratory, Scientific</v>
      </c>
      <c r="B3" s="344">
        <v>2</v>
      </c>
      <c r="C3" s="344">
        <v>13</v>
      </c>
      <c r="D3" s="344">
        <v>0.28000000000000003</v>
      </c>
      <c r="E3" s="529" t="s">
        <v>356</v>
      </c>
      <c r="F3" s="336" t="s">
        <v>357</v>
      </c>
    </row>
    <row r="4" spans="1:9" ht="26.4" customHeight="1" x14ac:dyDescent="0.25">
      <c r="A4" s="343" t="str">
        <f>Ventilation!A57</f>
        <v>Office Area (&gt;250 square feet)</v>
      </c>
      <c r="B4" s="344">
        <v>0.7</v>
      </c>
      <c r="C4" s="344"/>
      <c r="D4" s="344"/>
      <c r="E4" s="530"/>
      <c r="F4" s="336" t="s">
        <v>358</v>
      </c>
      <c r="G4" s="66"/>
    </row>
    <row r="5" spans="1:9" ht="18" customHeight="1" x14ac:dyDescent="0.25">
      <c r="A5" s="343" t="str">
        <f>Zones!A6</f>
        <v>Plenum</v>
      </c>
      <c r="B5" s="344">
        <v>0</v>
      </c>
      <c r="C5" s="342"/>
      <c r="D5" s="345"/>
      <c r="E5" s="531"/>
      <c r="F5" s="340"/>
    </row>
    <row r="7" spans="1:9" ht="15" customHeight="1" x14ac:dyDescent="0.25"/>
    <row r="8" spans="1:9" ht="15" customHeight="1" x14ac:dyDescent="0.25"/>
    <row r="9" spans="1:9" ht="24.6" customHeight="1" x14ac:dyDescent="0.25">
      <c r="A9" s="483" t="s">
        <v>359</v>
      </c>
      <c r="B9" s="483"/>
      <c r="C9" s="483"/>
      <c r="D9" s="483"/>
      <c r="E9" s="483"/>
      <c r="F9" s="483"/>
      <c r="G9" s="483"/>
      <c r="H9" s="483"/>
      <c r="I9" s="483"/>
    </row>
    <row r="10" spans="1:9" ht="40.950000000000003" customHeight="1" x14ac:dyDescent="0.25">
      <c r="A10" s="440" t="s">
        <v>120</v>
      </c>
      <c r="B10" s="440" t="s">
        <v>360</v>
      </c>
      <c r="C10" s="86" t="s">
        <v>361</v>
      </c>
      <c r="D10" s="86" t="s">
        <v>362</v>
      </c>
      <c r="E10" s="86" t="s">
        <v>363</v>
      </c>
      <c r="F10" s="86" t="s">
        <v>364</v>
      </c>
      <c r="G10" s="86" t="s">
        <v>365</v>
      </c>
      <c r="H10" s="86" t="s">
        <v>366</v>
      </c>
      <c r="I10" s="86" t="s">
        <v>122</v>
      </c>
    </row>
    <row r="11" spans="1:9" ht="29.4" customHeight="1" x14ac:dyDescent="0.25">
      <c r="A11" s="253" t="s">
        <v>209</v>
      </c>
      <c r="B11" s="181">
        <f>C19</f>
        <v>3</v>
      </c>
      <c r="C11" s="428">
        <v>1.65</v>
      </c>
      <c r="D11" s="428" t="s">
        <v>71</v>
      </c>
      <c r="E11" s="428" t="s">
        <v>71</v>
      </c>
      <c r="F11" s="428" t="s">
        <v>71</v>
      </c>
      <c r="G11" s="428" t="s">
        <v>71</v>
      </c>
      <c r="H11" s="164">
        <f>D29</f>
        <v>16488.22</v>
      </c>
      <c r="I11" s="428" t="s">
        <v>367</v>
      </c>
    </row>
    <row r="12" spans="1:9" ht="85.95" customHeight="1" x14ac:dyDescent="0.25">
      <c r="A12" s="253" t="s">
        <v>180</v>
      </c>
      <c r="B12" s="181">
        <f>C19</f>
        <v>3</v>
      </c>
      <c r="C12" s="433" t="s">
        <v>368</v>
      </c>
      <c r="D12" s="254" t="s">
        <v>369</v>
      </c>
      <c r="E12" s="255" t="s">
        <v>370</v>
      </c>
      <c r="F12" s="433">
        <v>0.33</v>
      </c>
      <c r="G12" s="428" t="s">
        <v>71</v>
      </c>
      <c r="H12" s="164">
        <f>B29</f>
        <v>8623.1299999999992</v>
      </c>
      <c r="I12" s="433" t="s">
        <v>371</v>
      </c>
    </row>
    <row r="13" spans="1:9" ht="16.95" customHeight="1" x14ac:dyDescent="0.25">
      <c r="A13" s="182"/>
      <c r="B13" s="183"/>
      <c r="C13" s="184"/>
      <c r="D13" s="185"/>
      <c r="E13" s="186"/>
      <c r="F13" s="185"/>
      <c r="G13" s="11"/>
      <c r="H13" s="187"/>
      <c r="I13" s="184"/>
    </row>
    <row r="14" spans="1:9" ht="16.95" customHeight="1" x14ac:dyDescent="0.25">
      <c r="A14" s="182"/>
      <c r="B14" s="183"/>
      <c r="C14" s="184"/>
      <c r="D14" s="185"/>
      <c r="E14" s="186"/>
      <c r="F14" s="185"/>
      <c r="G14" s="11"/>
      <c r="H14" s="187"/>
      <c r="I14" s="184"/>
    </row>
    <row r="15" spans="1:9" ht="16.95" customHeight="1" x14ac:dyDescent="0.25">
      <c r="A15" s="528" t="s">
        <v>372</v>
      </c>
      <c r="B15" s="528"/>
      <c r="C15" s="528"/>
      <c r="D15" s="528"/>
      <c r="E15" s="528"/>
      <c r="F15" s="185"/>
      <c r="G15" s="11"/>
      <c r="H15" s="187"/>
      <c r="I15" s="184"/>
    </row>
    <row r="16" spans="1:9" ht="16.95" customHeight="1" x14ac:dyDescent="0.25">
      <c r="A16" s="456" t="s">
        <v>373</v>
      </c>
      <c r="B16" s="456"/>
      <c r="C16" s="456"/>
      <c r="D16" s="456"/>
      <c r="E16" s="456"/>
      <c r="F16" s="185"/>
      <c r="G16" s="11"/>
      <c r="H16" s="187"/>
      <c r="I16" s="184"/>
    </row>
    <row r="17" spans="1:9" ht="16.95" customHeight="1" x14ac:dyDescent="0.25">
      <c r="A17" s="456" t="s">
        <v>374</v>
      </c>
      <c r="B17" s="456"/>
      <c r="C17" s="456"/>
      <c r="D17" s="456"/>
      <c r="E17" s="456"/>
      <c r="F17" s="185"/>
      <c r="G17" s="11"/>
      <c r="H17" s="187"/>
      <c r="I17" s="184"/>
    </row>
    <row r="18" spans="1:9" ht="16.95" customHeight="1" x14ac:dyDescent="0.25">
      <c r="A18" s="455" t="s">
        <v>375</v>
      </c>
      <c r="B18" s="455"/>
      <c r="C18" s="455"/>
      <c r="D18" s="455"/>
      <c r="E18" s="455"/>
      <c r="F18" s="185"/>
      <c r="G18" s="11"/>
      <c r="H18" s="187"/>
      <c r="I18" s="184"/>
    </row>
    <row r="19" spans="1:9" ht="17.399999999999999" customHeight="1" x14ac:dyDescent="0.25">
      <c r="A19" s="455" t="s">
        <v>376</v>
      </c>
      <c r="B19" s="455"/>
      <c r="C19" s="447">
        <f>ROUND((Prototype!B8*0.7/50000)+ROUND(3/2,0),0)</f>
        <v>3</v>
      </c>
      <c r="D19" s="456" t="s">
        <v>377</v>
      </c>
      <c r="E19" s="456"/>
      <c r="F19" s="185"/>
      <c r="G19" s="11"/>
      <c r="H19" s="187"/>
      <c r="I19" s="184"/>
    </row>
    <row r="20" spans="1:9" ht="14.4" x14ac:dyDescent="0.25">
      <c r="A20" s="455" t="s">
        <v>378</v>
      </c>
      <c r="B20" s="455"/>
      <c r="C20" s="447">
        <f>C19*C21</f>
        <v>30</v>
      </c>
      <c r="D20" s="456"/>
      <c r="E20" s="456"/>
      <c r="F20" s="185"/>
      <c r="G20" s="11"/>
      <c r="H20" s="187"/>
      <c r="I20" s="184"/>
    </row>
    <row r="21" spans="1:9" ht="17.399999999999999" customHeight="1" x14ac:dyDescent="0.25">
      <c r="A21" s="455" t="s">
        <v>379</v>
      </c>
      <c r="B21" s="455"/>
      <c r="C21" s="447">
        <v>10</v>
      </c>
      <c r="D21" s="456"/>
      <c r="E21" s="456"/>
      <c r="F21" s="185"/>
      <c r="G21" s="11"/>
      <c r="H21" s="187"/>
      <c r="I21" s="184"/>
    </row>
    <row r="22" spans="1:9" ht="17.399999999999999" customHeight="1" x14ac:dyDescent="0.25">
      <c r="A22" s="532" t="s">
        <v>380</v>
      </c>
      <c r="B22" s="532"/>
      <c r="C22" s="532"/>
      <c r="D22" s="532"/>
      <c r="E22" s="532"/>
      <c r="F22" s="185"/>
      <c r="G22" s="11"/>
      <c r="H22" s="187"/>
      <c r="I22" s="184"/>
    </row>
    <row r="23" spans="1:9" ht="17.399999999999999" customHeight="1" thickBot="1" x14ac:dyDescent="0.3">
      <c r="F23" s="185"/>
      <c r="G23" s="11"/>
      <c r="H23" s="187"/>
      <c r="I23" s="184"/>
    </row>
    <row r="24" spans="1:9" ht="17.399999999999999" customHeight="1" x14ac:dyDescent="0.25">
      <c r="A24" s="188" t="s">
        <v>381</v>
      </c>
      <c r="B24" s="108">
        <v>2022</v>
      </c>
      <c r="C24" s="108">
        <v>2019</v>
      </c>
      <c r="D24" s="92">
        <v>2013</v>
      </c>
      <c r="F24" s="185"/>
      <c r="G24" s="11"/>
      <c r="H24" s="187"/>
      <c r="I24" s="184"/>
    </row>
    <row r="25" spans="1:9" ht="15" customHeight="1" x14ac:dyDescent="0.25">
      <c r="A25" s="189" t="s">
        <v>382</v>
      </c>
      <c r="B25" s="190">
        <v>8517.82</v>
      </c>
      <c r="C25" s="190">
        <v>16363.22</v>
      </c>
      <c r="D25" s="191">
        <v>16363.22</v>
      </c>
    </row>
    <row r="26" spans="1:9" ht="15" customHeight="1" x14ac:dyDescent="0.25">
      <c r="A26" s="189" t="s">
        <v>383</v>
      </c>
      <c r="B26" s="190">
        <v>105.31</v>
      </c>
      <c r="C26" s="192">
        <v>125</v>
      </c>
      <c r="D26" s="191">
        <v>125</v>
      </c>
    </row>
    <row r="27" spans="1:9" ht="15" customHeight="1" x14ac:dyDescent="0.25">
      <c r="A27" s="189" t="s">
        <v>384</v>
      </c>
      <c r="B27" s="149" t="s">
        <v>385</v>
      </c>
      <c r="C27" s="149" t="s">
        <v>386</v>
      </c>
      <c r="D27" s="93" t="s">
        <v>387</v>
      </c>
    </row>
    <row r="28" spans="1:9" ht="12.6" customHeight="1" x14ac:dyDescent="0.25">
      <c r="A28" s="189"/>
      <c r="B28" s="149"/>
      <c r="C28" s="149"/>
      <c r="D28" s="93"/>
    </row>
    <row r="29" spans="1:9" ht="13.95" customHeight="1" thickBot="1" x14ac:dyDescent="0.3">
      <c r="A29" s="193" t="s">
        <v>388</v>
      </c>
      <c r="B29" s="194">
        <f>B25+B26</f>
        <v>8623.1299999999992</v>
      </c>
      <c r="C29" s="194">
        <f t="shared" ref="C29" si="0">C25+C26</f>
        <v>16488.22</v>
      </c>
      <c r="D29" s="195">
        <f>D25+D26</f>
        <v>16488.22</v>
      </c>
    </row>
    <row r="30" spans="1:9" ht="13.95" customHeight="1" x14ac:dyDescent="0.25"/>
    <row r="31" spans="1:9" s="26" customFormat="1" hidden="1" x14ac:dyDescent="0.25">
      <c r="A31" s="26" t="s">
        <v>115</v>
      </c>
      <c r="D31" s="28"/>
      <c r="E31" s="29"/>
    </row>
    <row r="32" spans="1:9" hidden="1" x14ac:dyDescent="0.25"/>
    <row r="33" spans="1:1" hidden="1" x14ac:dyDescent="0.25"/>
    <row r="34" spans="1:1" hidden="1" x14ac:dyDescent="0.25"/>
    <row r="35" spans="1:1" ht="14.4" hidden="1" x14ac:dyDescent="0.3">
      <c r="A35"/>
    </row>
    <row r="36" spans="1:1" hidden="1" x14ac:dyDescent="0.25"/>
    <row r="37" spans="1:1" hidden="1" x14ac:dyDescent="0.25"/>
    <row r="38" spans="1:1" hidden="1" x14ac:dyDescent="0.25"/>
    <row r="39" spans="1:1" hidden="1" x14ac:dyDescent="0.25"/>
    <row r="40" spans="1:1" hidden="1" x14ac:dyDescent="0.25"/>
    <row r="41" spans="1:1" hidden="1" x14ac:dyDescent="0.25"/>
    <row r="42" spans="1:1" hidden="1" x14ac:dyDescent="0.25"/>
    <row r="43" spans="1:1" hidden="1" x14ac:dyDescent="0.25"/>
    <row r="44" spans="1:1" hidden="1" x14ac:dyDescent="0.25"/>
    <row r="45" spans="1:1" hidden="1" x14ac:dyDescent="0.25"/>
    <row r="46" spans="1:1" hidden="1" x14ac:dyDescent="0.25"/>
    <row r="47" spans="1:1" hidden="1" x14ac:dyDescent="0.25"/>
    <row r="48" spans="1:1" hidden="1" x14ac:dyDescent="0.25"/>
    <row r="49" hidden="1" x14ac:dyDescent="0.25"/>
    <row r="50" hidden="1" x14ac:dyDescent="0.25"/>
    <row r="51" hidden="1" x14ac:dyDescent="0.25"/>
    <row r="52" hidden="1" x14ac:dyDescent="0.25"/>
  </sheetData>
  <mergeCells count="14">
    <mergeCell ref="A21:B21"/>
    <mergeCell ref="D21:E21"/>
    <mergeCell ref="A22:E22"/>
    <mergeCell ref="A17:E17"/>
    <mergeCell ref="A18:E18"/>
    <mergeCell ref="A19:B19"/>
    <mergeCell ref="D19:E19"/>
    <mergeCell ref="A20:B20"/>
    <mergeCell ref="D20:E20"/>
    <mergeCell ref="A1:F1"/>
    <mergeCell ref="A9:I9"/>
    <mergeCell ref="A15:E15"/>
    <mergeCell ref="A16:E16"/>
    <mergeCell ref="E3:E5"/>
  </mergeCells>
  <phoneticPr fontId="5"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G11"/>
  <sheetViews>
    <sheetView zoomScale="90" zoomScaleNormal="90" workbookViewId="0">
      <selection sqref="A1:G1"/>
    </sheetView>
  </sheetViews>
  <sheetFormatPr defaultColWidth="8.6640625" defaultRowHeight="13.2" x14ac:dyDescent="0.25"/>
  <cols>
    <col min="1" max="1" width="49.6640625" style="8" bestFit="1" customWidth="1"/>
    <col min="2" max="2" width="21.44140625" style="8" bestFit="1" customWidth="1"/>
    <col min="3" max="3" width="26.5546875" style="8" customWidth="1"/>
    <col min="4" max="4" width="30.109375" style="8" customWidth="1"/>
    <col min="5" max="5" width="18.33203125" style="8" customWidth="1"/>
    <col min="6" max="6" width="28.44140625" style="8" customWidth="1"/>
    <col min="7" max="7" width="30" style="8" customWidth="1"/>
    <col min="8" max="8" width="24" style="8" customWidth="1"/>
    <col min="9" max="9" width="10.5546875" style="8" customWidth="1"/>
    <col min="10" max="10" width="11.44140625" style="8" customWidth="1"/>
    <col min="11" max="11" width="10.5546875" style="8" customWidth="1"/>
    <col min="12" max="12" width="13.33203125" style="8" customWidth="1"/>
    <col min="13" max="13" width="9.6640625" style="8" customWidth="1"/>
    <col min="14" max="14" width="9.44140625" style="8" customWidth="1"/>
    <col min="15" max="15" width="12.6640625" style="8" customWidth="1"/>
    <col min="16" max="16" width="14.6640625" style="8" customWidth="1"/>
    <col min="17" max="17" width="20.6640625" style="8" customWidth="1"/>
    <col min="18" max="18" width="19.6640625" style="8" customWidth="1"/>
    <col min="19" max="24" width="8.6640625" style="8"/>
    <col min="25" max="25" width="13.6640625" style="8" bestFit="1" customWidth="1"/>
    <col min="26" max="16384" width="8.6640625" style="8"/>
  </cols>
  <sheetData>
    <row r="1" spans="1:7" ht="25.95" customHeight="1" x14ac:dyDescent="0.25">
      <c r="A1" s="483" t="str">
        <f>"Interior Lighting - "&amp;Prototype!B4</f>
        <v>Interior Lighting - Laboratory</v>
      </c>
      <c r="B1" s="483"/>
      <c r="C1" s="483"/>
      <c r="D1" s="483"/>
      <c r="E1" s="483"/>
      <c r="F1" s="483"/>
      <c r="G1" s="483"/>
    </row>
    <row r="2" spans="1:7" ht="25.95" customHeight="1" x14ac:dyDescent="0.25">
      <c r="A2" s="533" t="s">
        <v>72</v>
      </c>
      <c r="B2" s="485" t="s">
        <v>389</v>
      </c>
      <c r="C2" s="485"/>
      <c r="D2" s="485"/>
      <c r="E2" s="485" t="s">
        <v>209</v>
      </c>
      <c r="F2" s="485"/>
      <c r="G2" s="485"/>
    </row>
    <row r="3" spans="1:7" ht="43.2" customHeight="1" x14ac:dyDescent="0.25">
      <c r="A3" s="534"/>
      <c r="B3" s="341" t="s">
        <v>390</v>
      </c>
      <c r="C3" s="341" t="s">
        <v>391</v>
      </c>
      <c r="D3" s="440" t="s">
        <v>172</v>
      </c>
      <c r="E3" s="341" t="s">
        <v>392</v>
      </c>
      <c r="F3" s="341" t="s">
        <v>393</v>
      </c>
      <c r="G3" s="341" t="s">
        <v>172</v>
      </c>
    </row>
    <row r="4" spans="1:7" ht="27" customHeight="1" x14ac:dyDescent="0.25">
      <c r="A4" s="336" t="str">
        <f>Zones!A3</f>
        <v>Laboratory, Scientific</v>
      </c>
      <c r="B4" s="337">
        <v>0.9</v>
      </c>
      <c r="C4" s="338"/>
      <c r="D4" s="529" t="s">
        <v>394</v>
      </c>
      <c r="E4" s="337">
        <v>1.4</v>
      </c>
      <c r="F4" s="338"/>
      <c r="G4" s="529" t="s">
        <v>395</v>
      </c>
    </row>
    <row r="5" spans="1:7" ht="24" customHeight="1" x14ac:dyDescent="0.25">
      <c r="A5" s="336" t="str">
        <f>Ventilation!A57</f>
        <v>Office Area (&gt;250 square feet)</v>
      </c>
      <c r="B5" s="337">
        <v>0.6</v>
      </c>
      <c r="C5" s="338"/>
      <c r="D5" s="530"/>
      <c r="E5" s="337">
        <v>0.75</v>
      </c>
      <c r="F5" s="338"/>
      <c r="G5" s="530"/>
    </row>
    <row r="6" spans="1:7" ht="14.4" customHeight="1" x14ac:dyDescent="0.25">
      <c r="A6" s="336" t="str">
        <f>Zones!A6</f>
        <v>Plenum</v>
      </c>
      <c r="B6" s="337">
        <v>0</v>
      </c>
      <c r="C6" s="338"/>
      <c r="D6" s="531"/>
      <c r="E6" s="337">
        <v>0</v>
      </c>
      <c r="F6" s="339"/>
      <c r="G6" s="531"/>
    </row>
    <row r="7" spans="1:7" ht="21" customHeight="1" x14ac:dyDescent="0.25">
      <c r="A7" s="170"/>
      <c r="B7" s="171"/>
      <c r="C7" s="172"/>
      <c r="D7" s="335"/>
      <c r="E7" s="41"/>
      <c r="F7" s="41"/>
    </row>
    <row r="8" spans="1:7" ht="13.2" customHeight="1" x14ac:dyDescent="0.25">
      <c r="A8" s="110"/>
      <c r="B8" s="11"/>
      <c r="C8" s="111"/>
      <c r="D8" s="11"/>
    </row>
    <row r="9" spans="1:7" ht="13.2" customHeight="1" x14ac:dyDescent="0.25">
      <c r="A9" s="110"/>
      <c r="B9" s="11"/>
      <c r="C9" s="111"/>
      <c r="D9" s="11"/>
    </row>
    <row r="10" spans="1:7" s="26" customFormat="1" hidden="1" x14ac:dyDescent="0.25">
      <c r="C10" s="27"/>
      <c r="D10" s="29"/>
    </row>
    <row r="11" spans="1:7" ht="17.7" customHeight="1" x14ac:dyDescent="0.25"/>
  </sheetData>
  <mergeCells count="6">
    <mergeCell ref="A1:G1"/>
    <mergeCell ref="A2:A3"/>
    <mergeCell ref="B2:D2"/>
    <mergeCell ref="E2:G2"/>
    <mergeCell ref="D4:D6"/>
    <mergeCell ref="G4:G6"/>
  </mergeCells>
  <phoneticPr fontId="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dimension ref="A1:BW83"/>
  <sheetViews>
    <sheetView zoomScale="70" zoomScaleNormal="70" workbookViewId="0">
      <selection sqref="A1:AC1"/>
    </sheetView>
  </sheetViews>
  <sheetFormatPr defaultColWidth="9.33203125" defaultRowHeight="11.4" x14ac:dyDescent="0.3"/>
  <cols>
    <col min="1" max="1" width="20.5546875" style="45" customWidth="1"/>
    <col min="2" max="2" width="23.33203125" style="45" customWidth="1"/>
    <col min="3" max="3" width="15.33203125" style="45" customWidth="1"/>
    <col min="4" max="4" width="15.44140625" style="45" customWidth="1"/>
    <col min="5" max="5" width="9.33203125" style="45"/>
    <col min="6" max="29" width="5.6640625" style="45" customWidth="1"/>
    <col min="30" max="16384" width="9.33203125" style="45"/>
  </cols>
  <sheetData>
    <row r="1" spans="1:39" ht="24" customHeight="1" x14ac:dyDescent="0.3">
      <c r="A1" s="575" t="str">
        <f>"Schedules - "&amp;Prototype!B4</f>
        <v>Schedules - Laboratory</v>
      </c>
      <c r="B1" s="575"/>
      <c r="C1" s="575"/>
      <c r="D1" s="575"/>
      <c r="E1" s="575"/>
      <c r="F1" s="575"/>
      <c r="G1" s="575"/>
      <c r="H1" s="575"/>
      <c r="I1" s="575"/>
      <c r="J1" s="575"/>
      <c r="K1" s="575"/>
      <c r="L1" s="575"/>
      <c r="M1" s="575"/>
      <c r="N1" s="575"/>
      <c r="O1" s="575"/>
      <c r="P1" s="575"/>
      <c r="Q1" s="575"/>
      <c r="R1" s="575"/>
      <c r="S1" s="575"/>
      <c r="T1" s="575"/>
      <c r="U1" s="575"/>
      <c r="V1" s="575"/>
      <c r="W1" s="575"/>
      <c r="X1" s="575"/>
      <c r="Y1" s="575"/>
      <c r="Z1" s="575"/>
      <c r="AA1" s="575"/>
      <c r="AB1" s="575"/>
      <c r="AC1" s="576"/>
      <c r="AD1" s="49"/>
      <c r="AE1" s="49"/>
      <c r="AF1" s="49"/>
      <c r="AG1" s="49"/>
      <c r="AH1" s="49"/>
      <c r="AI1" s="50"/>
      <c r="AJ1" s="50"/>
      <c r="AK1" s="50"/>
    </row>
    <row r="2" spans="1:39" ht="24" customHeight="1" x14ac:dyDescent="0.3">
      <c r="A2" s="533" t="s">
        <v>396</v>
      </c>
      <c r="B2" s="533" t="s">
        <v>397</v>
      </c>
      <c r="C2" s="533" t="s">
        <v>172</v>
      </c>
      <c r="D2" s="533" t="s">
        <v>396</v>
      </c>
      <c r="E2" s="533" t="s">
        <v>398</v>
      </c>
      <c r="F2" s="542" t="s">
        <v>399</v>
      </c>
      <c r="G2" s="542"/>
      <c r="H2" s="542"/>
      <c r="I2" s="542"/>
      <c r="J2" s="542"/>
      <c r="K2" s="542"/>
      <c r="L2" s="542"/>
      <c r="M2" s="542"/>
      <c r="N2" s="542"/>
      <c r="O2" s="542"/>
      <c r="P2" s="542"/>
      <c r="Q2" s="542"/>
      <c r="R2" s="542"/>
      <c r="S2" s="542"/>
      <c r="T2" s="542"/>
      <c r="U2" s="542"/>
      <c r="V2" s="542"/>
      <c r="W2" s="542"/>
      <c r="X2" s="542"/>
      <c r="Y2" s="542"/>
      <c r="Z2" s="542"/>
      <c r="AA2" s="542"/>
      <c r="AB2" s="542"/>
      <c r="AC2" s="542"/>
      <c r="AD2" s="49"/>
      <c r="AE2" s="49"/>
      <c r="AF2" s="49"/>
      <c r="AG2" s="49"/>
      <c r="AH2" s="49"/>
      <c r="AI2" s="50"/>
      <c r="AJ2" s="50"/>
      <c r="AK2" s="50"/>
    </row>
    <row r="3" spans="1:39" ht="25.2" customHeight="1" x14ac:dyDescent="0.3">
      <c r="A3" s="534"/>
      <c r="B3" s="534"/>
      <c r="C3" s="534"/>
      <c r="D3" s="534"/>
      <c r="E3" s="534"/>
      <c r="F3" s="440">
        <v>1</v>
      </c>
      <c r="G3" s="440">
        <v>2</v>
      </c>
      <c r="H3" s="440">
        <v>3</v>
      </c>
      <c r="I3" s="440">
        <v>4</v>
      </c>
      <c r="J3" s="440">
        <v>5</v>
      </c>
      <c r="K3" s="440">
        <v>6</v>
      </c>
      <c r="L3" s="440">
        <v>7</v>
      </c>
      <c r="M3" s="440">
        <v>8</v>
      </c>
      <c r="N3" s="440">
        <v>9</v>
      </c>
      <c r="O3" s="440">
        <v>10</v>
      </c>
      <c r="P3" s="440">
        <v>11</v>
      </c>
      <c r="Q3" s="440">
        <v>12</v>
      </c>
      <c r="R3" s="440">
        <v>13</v>
      </c>
      <c r="S3" s="440">
        <v>14</v>
      </c>
      <c r="T3" s="440">
        <v>15</v>
      </c>
      <c r="U3" s="440">
        <v>16</v>
      </c>
      <c r="V3" s="440">
        <v>17</v>
      </c>
      <c r="W3" s="440">
        <v>18</v>
      </c>
      <c r="X3" s="440">
        <v>19</v>
      </c>
      <c r="Y3" s="440">
        <v>20</v>
      </c>
      <c r="Z3" s="440">
        <v>21</v>
      </c>
      <c r="AA3" s="440">
        <v>22</v>
      </c>
      <c r="AB3" s="440">
        <v>23</v>
      </c>
      <c r="AC3" s="440">
        <v>24</v>
      </c>
      <c r="AD3" s="50"/>
      <c r="AE3" s="50"/>
      <c r="AF3" s="50"/>
      <c r="AG3" s="50"/>
      <c r="AH3" s="50"/>
      <c r="AI3" s="50"/>
      <c r="AJ3" s="50"/>
      <c r="AK3" s="50"/>
    </row>
    <row r="4" spans="1:39" ht="25.2" customHeight="1" x14ac:dyDescent="0.3">
      <c r="A4" s="551" t="s">
        <v>400</v>
      </c>
      <c r="B4" s="535" t="s">
        <v>86</v>
      </c>
      <c r="C4" s="546" t="s">
        <v>401</v>
      </c>
      <c r="D4" s="543" t="s">
        <v>402</v>
      </c>
      <c r="E4" s="348" t="s">
        <v>403</v>
      </c>
      <c r="F4" s="441">
        <v>0.05</v>
      </c>
      <c r="G4" s="441">
        <v>0.05</v>
      </c>
      <c r="H4" s="441">
        <v>0.05</v>
      </c>
      <c r="I4" s="441">
        <v>0.05</v>
      </c>
      <c r="J4" s="441">
        <v>0.05</v>
      </c>
      <c r="K4" s="441">
        <v>0.05</v>
      </c>
      <c r="L4" s="441">
        <v>0.05</v>
      </c>
      <c r="M4" s="441">
        <v>0.1</v>
      </c>
      <c r="N4" s="441">
        <v>0.2</v>
      </c>
      <c r="O4" s="441">
        <v>0.9</v>
      </c>
      <c r="P4" s="441">
        <v>0.9</v>
      </c>
      <c r="Q4" s="441">
        <v>0.45</v>
      </c>
      <c r="R4" s="441">
        <v>0.45</v>
      </c>
      <c r="S4" s="441">
        <v>0.9</v>
      </c>
      <c r="T4" s="441">
        <v>0.9</v>
      </c>
      <c r="U4" s="441">
        <v>0.9</v>
      </c>
      <c r="V4" s="441">
        <v>0.9</v>
      </c>
      <c r="W4" s="441">
        <v>0.9</v>
      </c>
      <c r="X4" s="441">
        <v>0.3</v>
      </c>
      <c r="Y4" s="441">
        <v>0.1</v>
      </c>
      <c r="Z4" s="441">
        <v>0.1</v>
      </c>
      <c r="AA4" s="441">
        <v>0.1</v>
      </c>
      <c r="AB4" s="441">
        <v>0.05</v>
      </c>
      <c r="AC4" s="349">
        <v>0.05</v>
      </c>
      <c r="AD4" s="50"/>
      <c r="AE4" s="50"/>
      <c r="AF4" s="50"/>
      <c r="AG4" s="50"/>
      <c r="AH4" s="50"/>
      <c r="AI4" s="50"/>
      <c r="AJ4" s="50"/>
      <c r="AK4" s="50"/>
    </row>
    <row r="5" spans="1:39" ht="33" customHeight="1" x14ac:dyDescent="0.3">
      <c r="A5" s="552"/>
      <c r="B5" s="536"/>
      <c r="C5" s="540"/>
      <c r="D5" s="544"/>
      <c r="E5" s="321" t="s">
        <v>404</v>
      </c>
      <c r="F5" s="442">
        <v>0.05</v>
      </c>
      <c r="G5" s="442">
        <v>0.05</v>
      </c>
      <c r="H5" s="442">
        <v>0.05</v>
      </c>
      <c r="I5" s="442">
        <v>0.05</v>
      </c>
      <c r="J5" s="442">
        <v>0.05</v>
      </c>
      <c r="K5" s="442">
        <v>0.05</v>
      </c>
      <c r="L5" s="442">
        <v>0.05</v>
      </c>
      <c r="M5" s="442">
        <v>0.1</v>
      </c>
      <c r="N5" s="442">
        <v>0.1</v>
      </c>
      <c r="O5" s="442">
        <v>0.3</v>
      </c>
      <c r="P5" s="442">
        <v>0.3</v>
      </c>
      <c r="Q5" s="442">
        <v>0.3</v>
      </c>
      <c r="R5" s="442">
        <v>0.3</v>
      </c>
      <c r="S5" s="442">
        <v>0.1</v>
      </c>
      <c r="T5" s="442">
        <v>0.1</v>
      </c>
      <c r="U5" s="442">
        <v>0.1</v>
      </c>
      <c r="V5" s="442">
        <v>0.1</v>
      </c>
      <c r="W5" s="442">
        <v>0.1</v>
      </c>
      <c r="X5" s="442">
        <v>0.05</v>
      </c>
      <c r="Y5" s="442">
        <v>0.05</v>
      </c>
      <c r="Z5" s="442">
        <v>0.05</v>
      </c>
      <c r="AA5" s="442">
        <v>0.05</v>
      </c>
      <c r="AB5" s="442">
        <v>0.05</v>
      </c>
      <c r="AC5" s="350">
        <v>0.05</v>
      </c>
      <c r="AD5" s="50"/>
      <c r="AE5" s="50"/>
      <c r="AF5" s="50"/>
      <c r="AG5" s="50"/>
      <c r="AH5" s="50"/>
      <c r="AI5" s="50"/>
      <c r="AJ5" s="50"/>
      <c r="AK5" s="50"/>
    </row>
    <row r="6" spans="1:39" ht="33" customHeight="1" x14ac:dyDescent="0.3">
      <c r="A6" s="553"/>
      <c r="B6" s="537"/>
      <c r="C6" s="541"/>
      <c r="D6" s="545"/>
      <c r="E6" s="322" t="s">
        <v>405</v>
      </c>
      <c r="F6" s="443">
        <v>0.05</v>
      </c>
      <c r="G6" s="443">
        <v>0.05</v>
      </c>
      <c r="H6" s="443">
        <v>0.05</v>
      </c>
      <c r="I6" s="443">
        <v>0.05</v>
      </c>
      <c r="J6" s="443">
        <v>0.05</v>
      </c>
      <c r="K6" s="443">
        <v>0.05</v>
      </c>
      <c r="L6" s="443">
        <v>0.05</v>
      </c>
      <c r="M6" s="443">
        <v>0.1</v>
      </c>
      <c r="N6" s="443">
        <v>0.1</v>
      </c>
      <c r="O6" s="443">
        <v>0.3</v>
      </c>
      <c r="P6" s="443">
        <v>0.3</v>
      </c>
      <c r="Q6" s="443">
        <v>0.3</v>
      </c>
      <c r="R6" s="443">
        <v>0.3</v>
      </c>
      <c r="S6" s="443">
        <v>0.1</v>
      </c>
      <c r="T6" s="443">
        <v>0.1</v>
      </c>
      <c r="U6" s="443">
        <v>0.1</v>
      </c>
      <c r="V6" s="443">
        <v>0.1</v>
      </c>
      <c r="W6" s="443">
        <v>0.1</v>
      </c>
      <c r="X6" s="443">
        <v>0.05</v>
      </c>
      <c r="Y6" s="443">
        <v>0.05</v>
      </c>
      <c r="Z6" s="443">
        <v>0.05</v>
      </c>
      <c r="AA6" s="443">
        <v>0.05</v>
      </c>
      <c r="AB6" s="443">
        <v>0.05</v>
      </c>
      <c r="AC6" s="351">
        <v>0.05</v>
      </c>
      <c r="AD6" s="50"/>
      <c r="AE6" s="50"/>
      <c r="AF6" s="50"/>
      <c r="AG6" s="50"/>
      <c r="AH6" s="50"/>
      <c r="AI6" s="50"/>
      <c r="AJ6" s="50"/>
      <c r="AK6" s="50"/>
    </row>
    <row r="7" spans="1:39" ht="38.700000000000003" customHeight="1" x14ac:dyDescent="0.3">
      <c r="A7" s="554" t="s">
        <v>400</v>
      </c>
      <c r="B7" s="538" t="s">
        <v>86</v>
      </c>
      <c r="C7" s="539" t="s">
        <v>406</v>
      </c>
      <c r="D7" s="547" t="s">
        <v>402</v>
      </c>
      <c r="E7" s="323" t="s">
        <v>403</v>
      </c>
      <c r="F7" s="47">
        <v>0.2</v>
      </c>
      <c r="G7" s="47">
        <v>0.2</v>
      </c>
      <c r="H7" s="47">
        <v>0.2</v>
      </c>
      <c r="I7" s="47">
        <v>0.2</v>
      </c>
      <c r="J7" s="47">
        <v>0.2</v>
      </c>
      <c r="K7" s="47">
        <v>0.2</v>
      </c>
      <c r="L7" s="47">
        <v>0.3</v>
      </c>
      <c r="M7" s="47">
        <v>0.5</v>
      </c>
      <c r="N7" s="47">
        <v>0.9</v>
      </c>
      <c r="O7" s="47">
        <v>0.9</v>
      </c>
      <c r="P7" s="47">
        <v>0.9</v>
      </c>
      <c r="Q7" s="47">
        <v>0.9</v>
      </c>
      <c r="R7" s="47">
        <v>0.8</v>
      </c>
      <c r="S7" s="47">
        <v>0.9</v>
      </c>
      <c r="T7" s="47">
        <v>0.9</v>
      </c>
      <c r="U7" s="47">
        <v>0.9</v>
      </c>
      <c r="V7" s="47">
        <v>0.9</v>
      </c>
      <c r="W7" s="47">
        <v>0.9</v>
      </c>
      <c r="X7" s="47">
        <v>0.5</v>
      </c>
      <c r="Y7" s="47">
        <v>0.5</v>
      </c>
      <c r="Z7" s="47">
        <v>0.3</v>
      </c>
      <c r="AA7" s="47">
        <v>0.3</v>
      </c>
      <c r="AB7" s="47">
        <v>0.2</v>
      </c>
      <c r="AC7" s="352">
        <v>0.2</v>
      </c>
      <c r="AD7" s="50"/>
      <c r="AE7" s="50"/>
      <c r="AF7" s="50"/>
      <c r="AG7" s="50"/>
      <c r="AH7" s="50"/>
      <c r="AI7" s="50"/>
      <c r="AJ7" s="50"/>
      <c r="AK7" s="50"/>
      <c r="AM7" s="65"/>
    </row>
    <row r="8" spans="1:39" ht="38.700000000000003" customHeight="1" x14ac:dyDescent="0.3">
      <c r="A8" s="552"/>
      <c r="B8" s="536"/>
      <c r="C8" s="540"/>
      <c r="D8" s="544"/>
      <c r="E8" s="324" t="s">
        <v>404</v>
      </c>
      <c r="F8" s="46">
        <v>0.1</v>
      </c>
      <c r="G8" s="46">
        <v>0.1</v>
      </c>
      <c r="H8" s="46">
        <v>0.1</v>
      </c>
      <c r="I8" s="46">
        <v>0.1</v>
      </c>
      <c r="J8" s="46">
        <v>0.1</v>
      </c>
      <c r="K8" s="46">
        <v>0.1</v>
      </c>
      <c r="L8" s="46">
        <v>0.1</v>
      </c>
      <c r="M8" s="46">
        <v>0.1</v>
      </c>
      <c r="N8" s="46">
        <v>0.4</v>
      </c>
      <c r="O8" s="46">
        <v>0.4</v>
      </c>
      <c r="P8" s="46">
        <v>0.4</v>
      </c>
      <c r="Q8" s="46">
        <v>0.4</v>
      </c>
      <c r="R8" s="46">
        <v>0.2</v>
      </c>
      <c r="S8" s="46">
        <v>0.2</v>
      </c>
      <c r="T8" s="46">
        <v>0.2</v>
      </c>
      <c r="U8" s="46">
        <v>0.2</v>
      </c>
      <c r="V8" s="46">
        <v>0.2</v>
      </c>
      <c r="W8" s="46">
        <v>0.1</v>
      </c>
      <c r="X8" s="46">
        <v>0.1</v>
      </c>
      <c r="Y8" s="46">
        <v>0.1</v>
      </c>
      <c r="Z8" s="46">
        <v>0.1</v>
      </c>
      <c r="AA8" s="46">
        <v>0.1</v>
      </c>
      <c r="AB8" s="46">
        <v>0.1</v>
      </c>
      <c r="AC8" s="353">
        <v>0.1</v>
      </c>
      <c r="AD8" s="50"/>
      <c r="AE8" s="50"/>
      <c r="AF8" s="50"/>
      <c r="AG8" s="50"/>
      <c r="AH8" s="50"/>
      <c r="AI8" s="50"/>
      <c r="AJ8" s="50"/>
      <c r="AK8" s="50"/>
      <c r="AM8" s="65"/>
    </row>
    <row r="9" spans="1:39" ht="38.700000000000003" customHeight="1" x14ac:dyDescent="0.3">
      <c r="A9" s="553"/>
      <c r="B9" s="537"/>
      <c r="C9" s="541"/>
      <c r="D9" s="545"/>
      <c r="E9" s="325" t="s">
        <v>405</v>
      </c>
      <c r="F9" s="48">
        <v>0.1</v>
      </c>
      <c r="G9" s="48">
        <v>0.1</v>
      </c>
      <c r="H9" s="48">
        <v>0.1</v>
      </c>
      <c r="I9" s="48">
        <v>0.1</v>
      </c>
      <c r="J9" s="48">
        <v>0.1</v>
      </c>
      <c r="K9" s="48">
        <v>0.1</v>
      </c>
      <c r="L9" s="48">
        <v>0.1</v>
      </c>
      <c r="M9" s="48">
        <v>0.1</v>
      </c>
      <c r="N9" s="48">
        <v>0.4</v>
      </c>
      <c r="O9" s="48">
        <v>0.4</v>
      </c>
      <c r="P9" s="48">
        <v>0.4</v>
      </c>
      <c r="Q9" s="48">
        <v>0.4</v>
      </c>
      <c r="R9" s="48">
        <v>0.2</v>
      </c>
      <c r="S9" s="48">
        <v>0.2</v>
      </c>
      <c r="T9" s="48">
        <v>0.2</v>
      </c>
      <c r="U9" s="48">
        <v>0.2</v>
      </c>
      <c r="V9" s="48">
        <v>0.2</v>
      </c>
      <c r="W9" s="48">
        <v>0.1</v>
      </c>
      <c r="X9" s="48">
        <v>0.1</v>
      </c>
      <c r="Y9" s="48">
        <v>0.1</v>
      </c>
      <c r="Z9" s="48">
        <v>0.1</v>
      </c>
      <c r="AA9" s="48">
        <v>0.1</v>
      </c>
      <c r="AB9" s="48">
        <v>0.1</v>
      </c>
      <c r="AC9" s="354">
        <v>0.1</v>
      </c>
      <c r="AD9" s="50"/>
      <c r="AE9" s="50"/>
      <c r="AF9" s="50"/>
      <c r="AG9" s="50"/>
      <c r="AH9" s="50"/>
      <c r="AI9" s="50"/>
      <c r="AJ9" s="50"/>
      <c r="AK9" s="50"/>
      <c r="AM9" s="65"/>
    </row>
    <row r="10" spans="1:39" ht="36" customHeight="1" x14ac:dyDescent="0.3">
      <c r="A10" s="554" t="s">
        <v>400</v>
      </c>
      <c r="B10" s="538" t="s">
        <v>86</v>
      </c>
      <c r="C10" s="539" t="s">
        <v>407</v>
      </c>
      <c r="D10" s="547" t="s">
        <v>402</v>
      </c>
      <c r="E10" s="326" t="s">
        <v>403</v>
      </c>
      <c r="F10" s="62">
        <v>0.2</v>
      </c>
      <c r="G10" s="62">
        <v>0.2</v>
      </c>
      <c r="H10" s="62">
        <v>0.2</v>
      </c>
      <c r="I10" s="62">
        <v>0.2</v>
      </c>
      <c r="J10" s="62">
        <v>0.2</v>
      </c>
      <c r="K10" s="62">
        <v>0.2</v>
      </c>
      <c r="L10" s="62">
        <v>0.3</v>
      </c>
      <c r="M10" s="62">
        <v>0.4</v>
      </c>
      <c r="N10" s="62">
        <v>0.5</v>
      </c>
      <c r="O10" s="62">
        <v>0.7</v>
      </c>
      <c r="P10" s="62">
        <v>0.8</v>
      </c>
      <c r="Q10" s="62">
        <v>0.5</v>
      </c>
      <c r="R10" s="62">
        <v>0.6</v>
      </c>
      <c r="S10" s="62">
        <v>0.7</v>
      </c>
      <c r="T10" s="62">
        <v>0.9</v>
      </c>
      <c r="U10" s="62">
        <v>0.8</v>
      </c>
      <c r="V10" s="62">
        <v>0.5</v>
      </c>
      <c r="W10" s="62">
        <v>0.4</v>
      </c>
      <c r="X10" s="62">
        <v>0.3</v>
      </c>
      <c r="Y10" s="62">
        <v>0.2</v>
      </c>
      <c r="Z10" s="62">
        <v>0.2</v>
      </c>
      <c r="AA10" s="62">
        <v>0.2</v>
      </c>
      <c r="AB10" s="62">
        <v>0.2</v>
      </c>
      <c r="AC10" s="355">
        <v>0.2</v>
      </c>
      <c r="AD10" s="51"/>
      <c r="AE10" s="50"/>
      <c r="AF10" s="50"/>
      <c r="AG10" s="50"/>
      <c r="AH10" s="50"/>
      <c r="AI10" s="50"/>
      <c r="AJ10" s="50"/>
      <c r="AK10" s="50"/>
      <c r="AM10" s="65"/>
    </row>
    <row r="11" spans="1:39" ht="36" customHeight="1" x14ac:dyDescent="0.3">
      <c r="A11" s="552"/>
      <c r="B11" s="536"/>
      <c r="C11" s="540"/>
      <c r="D11" s="544"/>
      <c r="E11" s="324" t="s">
        <v>404</v>
      </c>
      <c r="F11" s="61">
        <v>0</v>
      </c>
      <c r="G11" s="61">
        <v>0</v>
      </c>
      <c r="H11" s="61">
        <v>0</v>
      </c>
      <c r="I11" s="61">
        <v>0</v>
      </c>
      <c r="J11" s="61">
        <v>0</v>
      </c>
      <c r="K11" s="61">
        <v>0</v>
      </c>
      <c r="L11" s="61">
        <v>0</v>
      </c>
      <c r="M11" s="61">
        <v>0</v>
      </c>
      <c r="N11" s="61">
        <v>0</v>
      </c>
      <c r="O11" s="61">
        <v>0</v>
      </c>
      <c r="P11" s="61">
        <v>0</v>
      </c>
      <c r="Q11" s="61">
        <v>0</v>
      </c>
      <c r="R11" s="61">
        <v>0</v>
      </c>
      <c r="S11" s="61">
        <v>0</v>
      </c>
      <c r="T11" s="61">
        <v>0</v>
      </c>
      <c r="U11" s="61">
        <v>0</v>
      </c>
      <c r="V11" s="61">
        <v>0</v>
      </c>
      <c r="W11" s="61">
        <v>0</v>
      </c>
      <c r="X11" s="61">
        <v>0</v>
      </c>
      <c r="Y11" s="61">
        <v>0</v>
      </c>
      <c r="Z11" s="61">
        <v>0</v>
      </c>
      <c r="AA11" s="61">
        <v>0</v>
      </c>
      <c r="AB11" s="61">
        <v>0</v>
      </c>
      <c r="AC11" s="356">
        <v>0</v>
      </c>
      <c r="AD11" s="51"/>
      <c r="AE11" s="50"/>
      <c r="AF11" s="50"/>
      <c r="AG11" s="50"/>
      <c r="AH11" s="50"/>
      <c r="AI11" s="50"/>
      <c r="AJ11" s="50"/>
      <c r="AK11" s="50"/>
      <c r="AM11" s="65"/>
    </row>
    <row r="12" spans="1:39" ht="36" customHeight="1" x14ac:dyDescent="0.3">
      <c r="A12" s="553"/>
      <c r="B12" s="537"/>
      <c r="C12" s="541"/>
      <c r="D12" s="545"/>
      <c r="E12" s="325" t="s">
        <v>405</v>
      </c>
      <c r="F12" s="63">
        <v>0</v>
      </c>
      <c r="G12" s="63">
        <v>0</v>
      </c>
      <c r="H12" s="63">
        <v>0</v>
      </c>
      <c r="I12" s="63">
        <v>0</v>
      </c>
      <c r="J12" s="63">
        <v>0</v>
      </c>
      <c r="K12" s="63">
        <v>0</v>
      </c>
      <c r="L12" s="63">
        <v>0</v>
      </c>
      <c r="M12" s="63">
        <v>0</v>
      </c>
      <c r="N12" s="63">
        <v>0</v>
      </c>
      <c r="O12" s="63">
        <v>0</v>
      </c>
      <c r="P12" s="63">
        <v>0</v>
      </c>
      <c r="Q12" s="63">
        <v>0</v>
      </c>
      <c r="R12" s="63">
        <v>0</v>
      </c>
      <c r="S12" s="63">
        <v>0</v>
      </c>
      <c r="T12" s="63">
        <v>0</v>
      </c>
      <c r="U12" s="63">
        <v>0</v>
      </c>
      <c r="V12" s="63">
        <v>0</v>
      </c>
      <c r="W12" s="63">
        <v>0</v>
      </c>
      <c r="X12" s="63">
        <v>0</v>
      </c>
      <c r="Y12" s="63">
        <v>0</v>
      </c>
      <c r="Z12" s="63">
        <v>0</v>
      </c>
      <c r="AA12" s="63">
        <v>0</v>
      </c>
      <c r="AB12" s="63">
        <v>0</v>
      </c>
      <c r="AC12" s="357">
        <v>0</v>
      </c>
      <c r="AD12" s="51"/>
      <c r="AE12" s="50"/>
      <c r="AF12" s="50"/>
      <c r="AG12" s="50"/>
      <c r="AH12" s="50"/>
      <c r="AI12" s="50"/>
      <c r="AJ12" s="50"/>
      <c r="AK12" s="50"/>
      <c r="AM12" s="65"/>
    </row>
    <row r="13" spans="1:39" ht="36" customHeight="1" x14ac:dyDescent="0.3">
      <c r="A13" s="554" t="s">
        <v>400</v>
      </c>
      <c r="B13" s="538" t="s">
        <v>86</v>
      </c>
      <c r="C13" s="539" t="s">
        <v>408</v>
      </c>
      <c r="D13" s="547" t="s">
        <v>402</v>
      </c>
      <c r="E13" s="320" t="s">
        <v>403</v>
      </c>
      <c r="F13" s="449">
        <v>0</v>
      </c>
      <c r="G13" s="449">
        <v>0</v>
      </c>
      <c r="H13" s="449">
        <v>0</v>
      </c>
      <c r="I13" s="449">
        <v>0</v>
      </c>
      <c r="J13" s="449">
        <v>0</v>
      </c>
      <c r="K13" s="449">
        <v>0</v>
      </c>
      <c r="L13" s="449">
        <v>0</v>
      </c>
      <c r="M13" s="449">
        <v>0</v>
      </c>
      <c r="N13" s="449">
        <v>0</v>
      </c>
      <c r="O13" s="449">
        <v>0</v>
      </c>
      <c r="P13" s="449">
        <v>0</v>
      </c>
      <c r="Q13" s="449">
        <v>0</v>
      </c>
      <c r="R13" s="449">
        <v>0</v>
      </c>
      <c r="S13" s="449">
        <v>0</v>
      </c>
      <c r="T13" s="449">
        <v>0</v>
      </c>
      <c r="U13" s="449">
        <v>0</v>
      </c>
      <c r="V13" s="449">
        <v>0</v>
      </c>
      <c r="W13" s="449">
        <v>0</v>
      </c>
      <c r="X13" s="449">
        <v>0</v>
      </c>
      <c r="Y13" s="449">
        <v>0</v>
      </c>
      <c r="Z13" s="449">
        <v>0</v>
      </c>
      <c r="AA13" s="449">
        <v>0</v>
      </c>
      <c r="AB13" s="449">
        <v>0</v>
      </c>
      <c r="AC13" s="453">
        <v>0</v>
      </c>
      <c r="AD13" s="50"/>
      <c r="AE13" s="50"/>
      <c r="AF13" s="50"/>
      <c r="AG13" s="50"/>
      <c r="AH13" s="50"/>
      <c r="AI13" s="50"/>
      <c r="AJ13" s="50"/>
      <c r="AK13" s="50"/>
      <c r="AM13" s="65"/>
    </row>
    <row r="14" spans="1:39" ht="36" customHeight="1" x14ac:dyDescent="0.3">
      <c r="A14" s="552"/>
      <c r="B14" s="536"/>
      <c r="C14" s="540"/>
      <c r="D14" s="544"/>
      <c r="E14" s="321" t="s">
        <v>404</v>
      </c>
      <c r="F14" s="442">
        <v>0</v>
      </c>
      <c r="G14" s="442">
        <v>0</v>
      </c>
      <c r="H14" s="442">
        <v>0</v>
      </c>
      <c r="I14" s="442">
        <v>0</v>
      </c>
      <c r="J14" s="442">
        <v>0</v>
      </c>
      <c r="K14" s="442">
        <v>0</v>
      </c>
      <c r="L14" s="442">
        <v>0</v>
      </c>
      <c r="M14" s="442">
        <v>0</v>
      </c>
      <c r="N14" s="442">
        <v>0</v>
      </c>
      <c r="O14" s="442">
        <v>0</v>
      </c>
      <c r="P14" s="442">
        <v>0</v>
      </c>
      <c r="Q14" s="442">
        <v>0</v>
      </c>
      <c r="R14" s="442">
        <v>0</v>
      </c>
      <c r="S14" s="442">
        <v>0</v>
      </c>
      <c r="T14" s="442">
        <v>0</v>
      </c>
      <c r="U14" s="442">
        <v>0</v>
      </c>
      <c r="V14" s="442">
        <v>0</v>
      </c>
      <c r="W14" s="442">
        <v>0</v>
      </c>
      <c r="X14" s="442">
        <v>0</v>
      </c>
      <c r="Y14" s="442">
        <v>0</v>
      </c>
      <c r="Z14" s="442">
        <v>0</v>
      </c>
      <c r="AA14" s="442">
        <v>0</v>
      </c>
      <c r="AB14" s="442">
        <v>0</v>
      </c>
      <c r="AC14" s="350">
        <v>0</v>
      </c>
      <c r="AD14" s="50"/>
      <c r="AE14" s="50"/>
      <c r="AF14" s="50"/>
      <c r="AG14" s="50"/>
      <c r="AH14" s="50"/>
      <c r="AI14" s="50"/>
      <c r="AJ14" s="50"/>
      <c r="AK14" s="50"/>
      <c r="AM14" s="65"/>
    </row>
    <row r="15" spans="1:39" ht="36" customHeight="1" x14ac:dyDescent="0.3">
      <c r="A15" s="553"/>
      <c r="B15" s="537"/>
      <c r="C15" s="541"/>
      <c r="D15" s="545"/>
      <c r="E15" s="322" t="s">
        <v>405</v>
      </c>
      <c r="F15" s="443">
        <v>0</v>
      </c>
      <c r="G15" s="443">
        <v>0</v>
      </c>
      <c r="H15" s="443">
        <v>0</v>
      </c>
      <c r="I15" s="443">
        <v>0</v>
      </c>
      <c r="J15" s="443">
        <v>0</v>
      </c>
      <c r="K15" s="443">
        <v>0</v>
      </c>
      <c r="L15" s="443">
        <v>0</v>
      </c>
      <c r="M15" s="443">
        <v>0</v>
      </c>
      <c r="N15" s="443">
        <v>0</v>
      </c>
      <c r="O15" s="443">
        <v>0</v>
      </c>
      <c r="P15" s="443">
        <v>0</v>
      </c>
      <c r="Q15" s="443">
        <v>0</v>
      </c>
      <c r="R15" s="443">
        <v>0</v>
      </c>
      <c r="S15" s="443">
        <v>0</v>
      </c>
      <c r="T15" s="443">
        <v>0</v>
      </c>
      <c r="U15" s="443">
        <v>0</v>
      </c>
      <c r="V15" s="443">
        <v>0</v>
      </c>
      <c r="W15" s="443">
        <v>0</v>
      </c>
      <c r="X15" s="443">
        <v>0</v>
      </c>
      <c r="Y15" s="443">
        <v>0</v>
      </c>
      <c r="Z15" s="443">
        <v>0</v>
      </c>
      <c r="AA15" s="443">
        <v>0</v>
      </c>
      <c r="AB15" s="443">
        <v>0</v>
      </c>
      <c r="AC15" s="351">
        <v>0</v>
      </c>
      <c r="AD15" s="50"/>
      <c r="AE15" s="50"/>
      <c r="AF15" s="50"/>
      <c r="AG15" s="50"/>
      <c r="AH15" s="50"/>
      <c r="AI15" s="50"/>
      <c r="AJ15" s="50"/>
      <c r="AK15" s="50"/>
      <c r="AM15" s="65"/>
    </row>
    <row r="16" spans="1:39" ht="36" customHeight="1" x14ac:dyDescent="0.3">
      <c r="A16" s="554" t="s">
        <v>400</v>
      </c>
      <c r="B16" s="538" t="s">
        <v>86</v>
      </c>
      <c r="C16" s="548" t="s">
        <v>409</v>
      </c>
      <c r="D16" s="547" t="s">
        <v>402</v>
      </c>
      <c r="E16" s="326" t="s">
        <v>403</v>
      </c>
      <c r="F16" s="62">
        <v>0</v>
      </c>
      <c r="G16" s="62">
        <v>0</v>
      </c>
      <c r="H16" s="62">
        <v>0</v>
      </c>
      <c r="I16" s="62">
        <v>0</v>
      </c>
      <c r="J16" s="62">
        <v>0</v>
      </c>
      <c r="K16" s="62">
        <v>0</v>
      </c>
      <c r="L16" s="62">
        <v>0</v>
      </c>
      <c r="M16" s="62">
        <v>0.1</v>
      </c>
      <c r="N16" s="62">
        <v>0.2</v>
      </c>
      <c r="O16" s="62">
        <v>0.9</v>
      </c>
      <c r="P16" s="62">
        <v>0.9</v>
      </c>
      <c r="Q16" s="62">
        <v>0.45</v>
      </c>
      <c r="R16" s="62">
        <v>0.45</v>
      </c>
      <c r="S16" s="62">
        <v>0.9</v>
      </c>
      <c r="T16" s="62">
        <v>0.9</v>
      </c>
      <c r="U16" s="62">
        <v>0.9</v>
      </c>
      <c r="V16" s="62">
        <v>0.9</v>
      </c>
      <c r="W16" s="62">
        <v>0.9</v>
      </c>
      <c r="X16" s="62">
        <v>0.1</v>
      </c>
      <c r="Y16" s="62">
        <v>0.1</v>
      </c>
      <c r="Z16" s="62">
        <v>0</v>
      </c>
      <c r="AA16" s="62">
        <v>0</v>
      </c>
      <c r="AB16" s="62">
        <v>0</v>
      </c>
      <c r="AC16" s="355">
        <v>0</v>
      </c>
      <c r="AD16" s="51"/>
      <c r="AE16" s="50"/>
      <c r="AF16" s="50"/>
      <c r="AG16" s="50"/>
      <c r="AH16" s="50"/>
      <c r="AI16" s="50"/>
      <c r="AJ16" s="50"/>
      <c r="AK16" s="50"/>
      <c r="AM16" s="65"/>
    </row>
    <row r="17" spans="1:39" ht="36" customHeight="1" x14ac:dyDescent="0.3">
      <c r="A17" s="552"/>
      <c r="B17" s="536"/>
      <c r="C17" s="549"/>
      <c r="D17" s="544"/>
      <c r="E17" s="324" t="s">
        <v>404</v>
      </c>
      <c r="F17" s="61">
        <v>0</v>
      </c>
      <c r="G17" s="61">
        <v>0</v>
      </c>
      <c r="H17" s="61">
        <v>0</v>
      </c>
      <c r="I17" s="61">
        <v>0</v>
      </c>
      <c r="J17" s="61">
        <v>0</v>
      </c>
      <c r="K17" s="61">
        <v>0</v>
      </c>
      <c r="L17" s="61">
        <v>0</v>
      </c>
      <c r="M17" s="61">
        <v>0.1</v>
      </c>
      <c r="N17" s="61">
        <v>0.1</v>
      </c>
      <c r="O17" s="61">
        <v>0.3</v>
      </c>
      <c r="P17" s="61">
        <v>0.3</v>
      </c>
      <c r="Q17" s="61">
        <v>0.3</v>
      </c>
      <c r="R17" s="61">
        <v>0.3</v>
      </c>
      <c r="S17" s="61">
        <v>0.1</v>
      </c>
      <c r="T17" s="61">
        <v>0.1</v>
      </c>
      <c r="U17" s="61">
        <v>0.1</v>
      </c>
      <c r="V17" s="61">
        <v>0.1</v>
      </c>
      <c r="W17" s="61">
        <v>0.1</v>
      </c>
      <c r="X17" s="61">
        <v>0</v>
      </c>
      <c r="Y17" s="61">
        <v>0</v>
      </c>
      <c r="Z17" s="61">
        <v>0</v>
      </c>
      <c r="AA17" s="61">
        <v>0</v>
      </c>
      <c r="AB17" s="61">
        <v>0</v>
      </c>
      <c r="AC17" s="356">
        <v>0</v>
      </c>
      <c r="AD17" s="51"/>
      <c r="AE17" s="50"/>
      <c r="AF17" s="50"/>
      <c r="AG17" s="50"/>
      <c r="AH17" s="50"/>
      <c r="AI17" s="50"/>
      <c r="AJ17" s="50"/>
      <c r="AK17" s="50"/>
      <c r="AM17" s="65"/>
    </row>
    <row r="18" spans="1:39" ht="36" customHeight="1" x14ac:dyDescent="0.3">
      <c r="A18" s="553"/>
      <c r="B18" s="537"/>
      <c r="C18" s="550"/>
      <c r="D18" s="545"/>
      <c r="E18" s="325" t="s">
        <v>405</v>
      </c>
      <c r="F18" s="63">
        <v>0</v>
      </c>
      <c r="G18" s="63">
        <v>0</v>
      </c>
      <c r="H18" s="63">
        <v>0</v>
      </c>
      <c r="I18" s="63">
        <v>0</v>
      </c>
      <c r="J18" s="63">
        <v>0</v>
      </c>
      <c r="K18" s="63">
        <v>0</v>
      </c>
      <c r="L18" s="63">
        <v>0</v>
      </c>
      <c r="M18" s="63">
        <v>0.1</v>
      </c>
      <c r="N18" s="63">
        <v>0.1</v>
      </c>
      <c r="O18" s="63">
        <v>0.3</v>
      </c>
      <c r="P18" s="63">
        <v>0.3</v>
      </c>
      <c r="Q18" s="63">
        <v>0.3</v>
      </c>
      <c r="R18" s="63">
        <v>0.3</v>
      </c>
      <c r="S18" s="63">
        <v>0.1</v>
      </c>
      <c r="T18" s="63">
        <v>0.1</v>
      </c>
      <c r="U18" s="63">
        <v>0.1</v>
      </c>
      <c r="V18" s="63">
        <v>0.1</v>
      </c>
      <c r="W18" s="63">
        <v>0.1</v>
      </c>
      <c r="X18" s="63">
        <v>0</v>
      </c>
      <c r="Y18" s="63">
        <v>0</v>
      </c>
      <c r="Z18" s="63">
        <v>0</v>
      </c>
      <c r="AA18" s="63">
        <v>0</v>
      </c>
      <c r="AB18" s="63">
        <v>0</v>
      </c>
      <c r="AC18" s="357">
        <v>0</v>
      </c>
      <c r="AD18" s="51"/>
      <c r="AE18" s="50"/>
      <c r="AF18" s="50"/>
      <c r="AG18" s="50"/>
      <c r="AH18" s="50"/>
      <c r="AI18" s="50"/>
      <c r="AJ18" s="50"/>
      <c r="AK18" s="50"/>
      <c r="AM18" s="65"/>
    </row>
    <row r="19" spans="1:39" ht="36" customHeight="1" x14ac:dyDescent="0.3">
      <c r="A19" s="554" t="s">
        <v>400</v>
      </c>
      <c r="B19" s="538" t="s">
        <v>86</v>
      </c>
      <c r="C19" s="548" t="s">
        <v>410</v>
      </c>
      <c r="D19" s="547" t="s">
        <v>402</v>
      </c>
      <c r="E19" s="326" t="s">
        <v>403</v>
      </c>
      <c r="F19" s="62">
        <v>0.9</v>
      </c>
      <c r="G19" s="62">
        <v>0.9</v>
      </c>
      <c r="H19" s="62">
        <v>0.9</v>
      </c>
      <c r="I19" s="62">
        <v>0.9</v>
      </c>
      <c r="J19" s="62">
        <v>0.9</v>
      </c>
      <c r="K19" s="62">
        <v>0.9</v>
      </c>
      <c r="L19" s="62">
        <v>0.9</v>
      </c>
      <c r="M19" s="62">
        <v>0.9</v>
      </c>
      <c r="N19" s="62">
        <v>0.9</v>
      </c>
      <c r="O19" s="62">
        <v>0.9</v>
      </c>
      <c r="P19" s="62">
        <v>0.9</v>
      </c>
      <c r="Q19" s="62">
        <v>0.9</v>
      </c>
      <c r="R19" s="62">
        <v>0.9</v>
      </c>
      <c r="S19" s="62">
        <v>0.9</v>
      </c>
      <c r="T19" s="62">
        <v>0.9</v>
      </c>
      <c r="U19" s="62">
        <v>0.9</v>
      </c>
      <c r="V19" s="62">
        <v>0.9</v>
      </c>
      <c r="W19" s="62">
        <v>0.9</v>
      </c>
      <c r="X19" s="62">
        <v>0.9</v>
      </c>
      <c r="Y19" s="62">
        <v>0.9</v>
      </c>
      <c r="Z19" s="62">
        <v>0.9</v>
      </c>
      <c r="AA19" s="62">
        <v>0.9</v>
      </c>
      <c r="AB19" s="62">
        <v>0.9</v>
      </c>
      <c r="AC19" s="355">
        <v>0.9</v>
      </c>
      <c r="AD19" s="51"/>
      <c r="AE19" s="50"/>
      <c r="AF19" s="50"/>
      <c r="AG19" s="50"/>
      <c r="AH19" s="50"/>
      <c r="AI19" s="50"/>
      <c r="AJ19" s="50"/>
      <c r="AK19" s="50"/>
      <c r="AM19" s="65"/>
    </row>
    <row r="20" spans="1:39" ht="36" customHeight="1" x14ac:dyDescent="0.3">
      <c r="A20" s="552"/>
      <c r="B20" s="536"/>
      <c r="C20" s="549"/>
      <c r="D20" s="544"/>
      <c r="E20" s="324" t="s">
        <v>404</v>
      </c>
      <c r="F20" s="61">
        <v>0.9</v>
      </c>
      <c r="G20" s="61">
        <v>0.9</v>
      </c>
      <c r="H20" s="61">
        <v>0.9</v>
      </c>
      <c r="I20" s="61">
        <v>0.9</v>
      </c>
      <c r="J20" s="61">
        <v>0.9</v>
      </c>
      <c r="K20" s="61">
        <v>0.9</v>
      </c>
      <c r="L20" s="61">
        <v>0.9</v>
      </c>
      <c r="M20" s="61">
        <v>0.9</v>
      </c>
      <c r="N20" s="61">
        <v>0.9</v>
      </c>
      <c r="O20" s="61">
        <v>0.9</v>
      </c>
      <c r="P20" s="61">
        <v>0.9</v>
      </c>
      <c r="Q20" s="61">
        <v>0.9</v>
      </c>
      <c r="R20" s="61">
        <v>0.9</v>
      </c>
      <c r="S20" s="61">
        <v>0.9</v>
      </c>
      <c r="T20" s="61">
        <v>0.9</v>
      </c>
      <c r="U20" s="61">
        <v>0.9</v>
      </c>
      <c r="V20" s="61">
        <v>0.9</v>
      </c>
      <c r="W20" s="61">
        <v>0.9</v>
      </c>
      <c r="X20" s="61">
        <v>0.9</v>
      </c>
      <c r="Y20" s="61">
        <v>0.9</v>
      </c>
      <c r="Z20" s="61">
        <v>0.9</v>
      </c>
      <c r="AA20" s="61">
        <v>0.9</v>
      </c>
      <c r="AB20" s="61">
        <v>0.9</v>
      </c>
      <c r="AC20" s="356">
        <v>0.9</v>
      </c>
      <c r="AD20" s="51"/>
      <c r="AE20" s="50"/>
      <c r="AF20" s="50"/>
      <c r="AG20" s="50"/>
      <c r="AH20" s="50"/>
      <c r="AI20" s="50"/>
      <c r="AJ20" s="50"/>
      <c r="AK20" s="50"/>
      <c r="AM20" s="65"/>
    </row>
    <row r="21" spans="1:39" ht="36" customHeight="1" x14ac:dyDescent="0.3">
      <c r="A21" s="553"/>
      <c r="B21" s="537"/>
      <c r="C21" s="565"/>
      <c r="D21" s="545"/>
      <c r="E21" s="327" t="s">
        <v>405</v>
      </c>
      <c r="F21" s="314">
        <v>0.9</v>
      </c>
      <c r="G21" s="314">
        <v>0.9</v>
      </c>
      <c r="H21" s="314">
        <v>0.9</v>
      </c>
      <c r="I21" s="314">
        <v>0.9</v>
      </c>
      <c r="J21" s="314">
        <v>0.9</v>
      </c>
      <c r="K21" s="314">
        <v>0.9</v>
      </c>
      <c r="L21" s="314">
        <v>0.9</v>
      </c>
      <c r="M21" s="314">
        <v>0.9</v>
      </c>
      <c r="N21" s="314">
        <v>0.9</v>
      </c>
      <c r="O21" s="314">
        <v>0.9</v>
      </c>
      <c r="P21" s="314">
        <v>0.9</v>
      </c>
      <c r="Q21" s="314">
        <v>0.9</v>
      </c>
      <c r="R21" s="314">
        <v>0.9</v>
      </c>
      <c r="S21" s="314">
        <v>0.9</v>
      </c>
      <c r="T21" s="314">
        <v>0.9</v>
      </c>
      <c r="U21" s="314">
        <v>0.9</v>
      </c>
      <c r="V21" s="314">
        <v>0.9</v>
      </c>
      <c r="W21" s="314">
        <v>0.9</v>
      </c>
      <c r="X21" s="314">
        <v>0.9</v>
      </c>
      <c r="Y21" s="314">
        <v>0.9</v>
      </c>
      <c r="Z21" s="314">
        <v>0.9</v>
      </c>
      <c r="AA21" s="314">
        <v>0.9</v>
      </c>
      <c r="AB21" s="314">
        <v>0.9</v>
      </c>
      <c r="AC21" s="359">
        <v>0.9</v>
      </c>
      <c r="AD21" s="51"/>
      <c r="AE21" s="50"/>
      <c r="AF21" s="50"/>
      <c r="AG21" s="50"/>
      <c r="AH21" s="50"/>
      <c r="AI21" s="50"/>
      <c r="AJ21" s="50"/>
      <c r="AK21" s="50"/>
      <c r="AM21" s="65"/>
    </row>
    <row r="22" spans="1:39" ht="36" customHeight="1" x14ac:dyDescent="0.3">
      <c r="A22" s="554" t="s">
        <v>400</v>
      </c>
      <c r="B22" s="538" t="s">
        <v>86</v>
      </c>
      <c r="C22" s="548" t="s">
        <v>165</v>
      </c>
      <c r="D22" s="547" t="s">
        <v>402</v>
      </c>
      <c r="E22" s="364" t="s">
        <v>403</v>
      </c>
      <c r="F22" s="365">
        <v>0.25</v>
      </c>
      <c r="G22" s="365">
        <v>0.25</v>
      </c>
      <c r="H22" s="365">
        <v>0.25</v>
      </c>
      <c r="I22" s="365">
        <v>0.25</v>
      </c>
      <c r="J22" s="365">
        <v>0.25</v>
      </c>
      <c r="K22" s="365">
        <v>0.25</v>
      </c>
      <c r="L22" s="365">
        <v>0.25</v>
      </c>
      <c r="M22" s="365">
        <v>0.25</v>
      </c>
      <c r="N22" s="365">
        <v>0.25</v>
      </c>
      <c r="O22" s="365">
        <v>0.25</v>
      </c>
      <c r="P22" s="365">
        <v>0.25</v>
      </c>
      <c r="Q22" s="365">
        <v>0.25</v>
      </c>
      <c r="R22" s="365">
        <v>0.25</v>
      </c>
      <c r="S22" s="365">
        <v>0.25</v>
      </c>
      <c r="T22" s="365">
        <v>0.25</v>
      </c>
      <c r="U22" s="365">
        <v>0.25</v>
      </c>
      <c r="V22" s="365">
        <v>0.25</v>
      </c>
      <c r="W22" s="365">
        <v>0.25</v>
      </c>
      <c r="X22" s="365">
        <v>0.25</v>
      </c>
      <c r="Y22" s="365">
        <v>0.25</v>
      </c>
      <c r="Z22" s="365">
        <v>0.25</v>
      </c>
      <c r="AA22" s="365">
        <v>0.25</v>
      </c>
      <c r="AB22" s="365">
        <v>0.25</v>
      </c>
      <c r="AC22" s="366">
        <v>0.25</v>
      </c>
      <c r="AD22" s="51"/>
      <c r="AE22" s="50"/>
      <c r="AF22" s="50"/>
      <c r="AG22" s="50"/>
      <c r="AH22" s="50"/>
      <c r="AI22" s="50"/>
      <c r="AJ22" s="50"/>
      <c r="AK22" s="50"/>
      <c r="AM22" s="65"/>
    </row>
    <row r="23" spans="1:39" ht="36" customHeight="1" x14ac:dyDescent="0.3">
      <c r="A23" s="552"/>
      <c r="B23" s="536"/>
      <c r="C23" s="549"/>
      <c r="D23" s="544"/>
      <c r="E23" s="367" t="s">
        <v>404</v>
      </c>
      <c r="F23" s="347">
        <v>0.25</v>
      </c>
      <c r="G23" s="347">
        <v>0.25</v>
      </c>
      <c r="H23" s="347">
        <v>0.25</v>
      </c>
      <c r="I23" s="347">
        <v>0.25</v>
      </c>
      <c r="J23" s="347">
        <v>0.25</v>
      </c>
      <c r="K23" s="347">
        <v>0.25</v>
      </c>
      <c r="L23" s="347">
        <v>0.25</v>
      </c>
      <c r="M23" s="347">
        <v>0.25</v>
      </c>
      <c r="N23" s="347">
        <v>0.25</v>
      </c>
      <c r="O23" s="347">
        <v>0.25</v>
      </c>
      <c r="P23" s="347">
        <v>0.25</v>
      </c>
      <c r="Q23" s="347">
        <v>0.25</v>
      </c>
      <c r="R23" s="347">
        <v>0.25</v>
      </c>
      <c r="S23" s="347">
        <v>0.25</v>
      </c>
      <c r="T23" s="347">
        <v>0.25</v>
      </c>
      <c r="U23" s="347">
        <v>0.25</v>
      </c>
      <c r="V23" s="347">
        <v>0.25</v>
      </c>
      <c r="W23" s="347">
        <v>0.25</v>
      </c>
      <c r="X23" s="347">
        <v>0.25</v>
      </c>
      <c r="Y23" s="347">
        <v>0.25</v>
      </c>
      <c r="Z23" s="347">
        <v>0.25</v>
      </c>
      <c r="AA23" s="347">
        <v>0.25</v>
      </c>
      <c r="AB23" s="347">
        <v>0.25</v>
      </c>
      <c r="AC23" s="358">
        <v>0.25</v>
      </c>
      <c r="AD23" s="51"/>
      <c r="AE23" s="50"/>
      <c r="AF23" s="50"/>
      <c r="AG23" s="50"/>
      <c r="AH23" s="50"/>
      <c r="AI23" s="50"/>
      <c r="AJ23" s="50"/>
      <c r="AK23" s="50"/>
      <c r="AM23" s="65"/>
    </row>
    <row r="24" spans="1:39" ht="36" customHeight="1" x14ac:dyDescent="0.3">
      <c r="A24" s="553"/>
      <c r="B24" s="537"/>
      <c r="C24" s="565"/>
      <c r="D24" s="545"/>
      <c r="E24" s="368" t="s">
        <v>405</v>
      </c>
      <c r="F24" s="369">
        <v>0.25</v>
      </c>
      <c r="G24" s="369">
        <v>0.25</v>
      </c>
      <c r="H24" s="369">
        <v>0.25</v>
      </c>
      <c r="I24" s="369">
        <v>0.25</v>
      </c>
      <c r="J24" s="369">
        <v>0.25</v>
      </c>
      <c r="K24" s="369">
        <v>0.25</v>
      </c>
      <c r="L24" s="369">
        <v>0.25</v>
      </c>
      <c r="M24" s="369">
        <v>0.25</v>
      </c>
      <c r="N24" s="369">
        <v>0.25</v>
      </c>
      <c r="O24" s="369">
        <v>0.25</v>
      </c>
      <c r="P24" s="369">
        <v>0.25</v>
      </c>
      <c r="Q24" s="369">
        <v>0.25</v>
      </c>
      <c r="R24" s="369">
        <v>0.25</v>
      </c>
      <c r="S24" s="369">
        <v>0.25</v>
      </c>
      <c r="T24" s="369">
        <v>0.25</v>
      </c>
      <c r="U24" s="369">
        <v>0.25</v>
      </c>
      <c r="V24" s="369">
        <v>0.25</v>
      </c>
      <c r="W24" s="369">
        <v>0.25</v>
      </c>
      <c r="X24" s="369">
        <v>0.25</v>
      </c>
      <c r="Y24" s="369">
        <v>0.25</v>
      </c>
      <c r="Z24" s="369">
        <v>0.25</v>
      </c>
      <c r="AA24" s="369">
        <v>0.25</v>
      </c>
      <c r="AB24" s="369">
        <v>0.25</v>
      </c>
      <c r="AC24" s="370">
        <v>0.25</v>
      </c>
      <c r="AD24" s="51"/>
      <c r="AE24" s="50"/>
      <c r="AF24" s="50"/>
      <c r="AG24" s="50"/>
      <c r="AH24" s="50"/>
      <c r="AI24" s="50"/>
      <c r="AJ24" s="50"/>
      <c r="AK24" s="50"/>
      <c r="AM24" s="65"/>
    </row>
    <row r="25" spans="1:39" ht="36" customHeight="1" x14ac:dyDescent="0.3">
      <c r="A25" s="554" t="s">
        <v>400</v>
      </c>
      <c r="B25" s="538" t="s">
        <v>86</v>
      </c>
      <c r="C25" s="548" t="s">
        <v>411</v>
      </c>
      <c r="D25" s="547" t="s">
        <v>402</v>
      </c>
      <c r="E25" s="323" t="s">
        <v>403</v>
      </c>
      <c r="F25" s="371">
        <v>1</v>
      </c>
      <c r="G25" s="371">
        <v>1</v>
      </c>
      <c r="H25" s="371">
        <v>1</v>
      </c>
      <c r="I25" s="371">
        <v>1</v>
      </c>
      <c r="J25" s="371">
        <v>1</v>
      </c>
      <c r="K25" s="371">
        <v>1</v>
      </c>
      <c r="L25" s="371">
        <v>1</v>
      </c>
      <c r="M25" s="371">
        <v>1</v>
      </c>
      <c r="N25" s="371">
        <v>1</v>
      </c>
      <c r="O25" s="371">
        <v>1</v>
      </c>
      <c r="P25" s="371">
        <v>1</v>
      </c>
      <c r="Q25" s="371">
        <v>1</v>
      </c>
      <c r="R25" s="371">
        <v>1</v>
      </c>
      <c r="S25" s="371">
        <v>1</v>
      </c>
      <c r="T25" s="371">
        <v>1</v>
      </c>
      <c r="U25" s="371">
        <v>1</v>
      </c>
      <c r="V25" s="371">
        <v>1</v>
      </c>
      <c r="W25" s="371">
        <v>1</v>
      </c>
      <c r="X25" s="371">
        <v>1</v>
      </c>
      <c r="Y25" s="371">
        <v>1</v>
      </c>
      <c r="Z25" s="371">
        <v>1</v>
      </c>
      <c r="AA25" s="371">
        <v>1</v>
      </c>
      <c r="AB25" s="371">
        <v>1</v>
      </c>
      <c r="AC25" s="372">
        <v>1</v>
      </c>
      <c r="AD25" s="51"/>
      <c r="AE25" s="50"/>
      <c r="AF25" s="50"/>
      <c r="AG25" s="50"/>
      <c r="AH25" s="50"/>
      <c r="AI25" s="50"/>
      <c r="AJ25" s="50"/>
      <c r="AK25" s="50"/>
      <c r="AM25" s="65"/>
    </row>
    <row r="26" spans="1:39" ht="36" customHeight="1" x14ac:dyDescent="0.3">
      <c r="A26" s="552"/>
      <c r="B26" s="536"/>
      <c r="C26" s="549"/>
      <c r="D26" s="544"/>
      <c r="E26" s="324" t="s">
        <v>404</v>
      </c>
      <c r="F26" s="61">
        <v>1</v>
      </c>
      <c r="G26" s="61">
        <v>1</v>
      </c>
      <c r="H26" s="61">
        <v>1</v>
      </c>
      <c r="I26" s="61">
        <v>1</v>
      </c>
      <c r="J26" s="61">
        <v>1</v>
      </c>
      <c r="K26" s="61">
        <v>1</v>
      </c>
      <c r="L26" s="61">
        <v>1</v>
      </c>
      <c r="M26" s="61">
        <v>1</v>
      </c>
      <c r="N26" s="61">
        <v>1</v>
      </c>
      <c r="O26" s="61">
        <v>1</v>
      </c>
      <c r="P26" s="61">
        <v>1</v>
      </c>
      <c r="Q26" s="61">
        <v>1</v>
      </c>
      <c r="R26" s="61">
        <v>1</v>
      </c>
      <c r="S26" s="61">
        <v>1</v>
      </c>
      <c r="T26" s="61">
        <v>1</v>
      </c>
      <c r="U26" s="61">
        <v>1</v>
      </c>
      <c r="V26" s="61">
        <v>1</v>
      </c>
      <c r="W26" s="61">
        <v>1</v>
      </c>
      <c r="X26" s="61">
        <v>1</v>
      </c>
      <c r="Y26" s="61">
        <v>1</v>
      </c>
      <c r="Z26" s="61">
        <v>1</v>
      </c>
      <c r="AA26" s="61">
        <v>1</v>
      </c>
      <c r="AB26" s="61">
        <v>1</v>
      </c>
      <c r="AC26" s="356">
        <v>1</v>
      </c>
      <c r="AD26" s="51"/>
      <c r="AE26" s="50"/>
      <c r="AF26" s="50"/>
      <c r="AG26" s="50"/>
      <c r="AH26" s="50"/>
      <c r="AI26" s="50"/>
      <c r="AJ26" s="50"/>
      <c r="AK26" s="50"/>
      <c r="AM26" s="65"/>
    </row>
    <row r="27" spans="1:39" ht="36" customHeight="1" x14ac:dyDescent="0.3">
      <c r="A27" s="553"/>
      <c r="B27" s="537"/>
      <c r="C27" s="565"/>
      <c r="D27" s="545"/>
      <c r="E27" s="325" t="s">
        <v>405</v>
      </c>
      <c r="F27" s="63">
        <v>1</v>
      </c>
      <c r="G27" s="63">
        <v>1</v>
      </c>
      <c r="H27" s="63">
        <v>1</v>
      </c>
      <c r="I27" s="63">
        <v>1</v>
      </c>
      <c r="J27" s="63">
        <v>1</v>
      </c>
      <c r="K27" s="63">
        <v>1</v>
      </c>
      <c r="L27" s="63">
        <v>1</v>
      </c>
      <c r="M27" s="63">
        <v>1</v>
      </c>
      <c r="N27" s="63">
        <v>1</v>
      </c>
      <c r="O27" s="63">
        <v>1</v>
      </c>
      <c r="P27" s="63">
        <v>1</v>
      </c>
      <c r="Q27" s="63">
        <v>1</v>
      </c>
      <c r="R27" s="63">
        <v>1</v>
      </c>
      <c r="S27" s="63">
        <v>1</v>
      </c>
      <c r="T27" s="63">
        <v>1</v>
      </c>
      <c r="U27" s="63">
        <v>1</v>
      </c>
      <c r="V27" s="63">
        <v>1</v>
      </c>
      <c r="W27" s="63">
        <v>1</v>
      </c>
      <c r="X27" s="63">
        <v>1</v>
      </c>
      <c r="Y27" s="63">
        <v>1</v>
      </c>
      <c r="Z27" s="63">
        <v>1</v>
      </c>
      <c r="AA27" s="63">
        <v>1</v>
      </c>
      <c r="AB27" s="63">
        <v>1</v>
      </c>
      <c r="AC27" s="357">
        <v>1</v>
      </c>
      <c r="AD27" s="51"/>
      <c r="AE27" s="50"/>
      <c r="AF27" s="50"/>
      <c r="AG27" s="50"/>
      <c r="AH27" s="50"/>
      <c r="AI27" s="50"/>
      <c r="AJ27" s="50"/>
      <c r="AK27" s="50"/>
      <c r="AM27" s="65"/>
    </row>
    <row r="28" spans="1:39" ht="36" customHeight="1" x14ac:dyDescent="0.3">
      <c r="A28" s="554" t="s">
        <v>400</v>
      </c>
      <c r="B28" s="538" t="s">
        <v>86</v>
      </c>
      <c r="C28" s="594" t="s">
        <v>412</v>
      </c>
      <c r="D28" s="547" t="s">
        <v>402</v>
      </c>
      <c r="E28" s="326" t="s">
        <v>403</v>
      </c>
      <c r="F28" s="62">
        <v>0.9</v>
      </c>
      <c r="G28" s="62">
        <v>0.9</v>
      </c>
      <c r="H28" s="62">
        <v>0.9</v>
      </c>
      <c r="I28" s="62">
        <v>0.9</v>
      </c>
      <c r="J28" s="62">
        <v>0.9</v>
      </c>
      <c r="K28" s="62">
        <v>0.9</v>
      </c>
      <c r="L28" s="62">
        <v>0.9</v>
      </c>
      <c r="M28" s="62">
        <v>0.9</v>
      </c>
      <c r="N28" s="62">
        <v>0.9</v>
      </c>
      <c r="O28" s="62">
        <v>0.9</v>
      </c>
      <c r="P28" s="62">
        <v>0.9</v>
      </c>
      <c r="Q28" s="62">
        <v>0.9</v>
      </c>
      <c r="R28" s="62">
        <v>0.9</v>
      </c>
      <c r="S28" s="62">
        <v>0.9</v>
      </c>
      <c r="T28" s="62">
        <v>0.9</v>
      </c>
      <c r="U28" s="62">
        <v>0.9</v>
      </c>
      <c r="V28" s="62">
        <v>0.9</v>
      </c>
      <c r="W28" s="62">
        <v>0.9</v>
      </c>
      <c r="X28" s="62">
        <v>0.9</v>
      </c>
      <c r="Y28" s="62">
        <v>0.9</v>
      </c>
      <c r="Z28" s="62">
        <v>0.9</v>
      </c>
      <c r="AA28" s="62">
        <v>0.9</v>
      </c>
      <c r="AB28" s="62">
        <v>0.9</v>
      </c>
      <c r="AC28" s="355">
        <v>0.9</v>
      </c>
      <c r="AD28" s="51"/>
      <c r="AE28" s="50"/>
      <c r="AF28" s="50"/>
      <c r="AG28" s="50"/>
      <c r="AH28" s="50"/>
      <c r="AI28" s="50"/>
      <c r="AJ28" s="50"/>
      <c r="AK28" s="50"/>
      <c r="AM28" s="65"/>
    </row>
    <row r="29" spans="1:39" ht="36" customHeight="1" x14ac:dyDescent="0.3">
      <c r="A29" s="552"/>
      <c r="B29" s="536"/>
      <c r="C29" s="578"/>
      <c r="D29" s="544"/>
      <c r="E29" s="324" t="s">
        <v>404</v>
      </c>
      <c r="F29" s="61">
        <v>0.9</v>
      </c>
      <c r="G29" s="61">
        <v>0.9</v>
      </c>
      <c r="H29" s="61">
        <v>0.9</v>
      </c>
      <c r="I29" s="61">
        <v>0.9</v>
      </c>
      <c r="J29" s="61">
        <v>0.9</v>
      </c>
      <c r="K29" s="61">
        <v>0.9</v>
      </c>
      <c r="L29" s="61">
        <v>0.9</v>
      </c>
      <c r="M29" s="61">
        <v>0.9</v>
      </c>
      <c r="N29" s="61">
        <v>0.9</v>
      </c>
      <c r="O29" s="61">
        <v>0.9</v>
      </c>
      <c r="P29" s="61">
        <v>0.9</v>
      </c>
      <c r="Q29" s="61">
        <v>0.9</v>
      </c>
      <c r="R29" s="61">
        <v>0.9</v>
      </c>
      <c r="S29" s="61">
        <v>0.9</v>
      </c>
      <c r="T29" s="61">
        <v>0.9</v>
      </c>
      <c r="U29" s="61">
        <v>0.9</v>
      </c>
      <c r="V29" s="61">
        <v>0.9</v>
      </c>
      <c r="W29" s="61">
        <v>0.9</v>
      </c>
      <c r="X29" s="61">
        <v>0.9</v>
      </c>
      <c r="Y29" s="61">
        <v>0.9</v>
      </c>
      <c r="Z29" s="61">
        <v>0.9</v>
      </c>
      <c r="AA29" s="61">
        <v>0.9</v>
      </c>
      <c r="AB29" s="61">
        <v>0.9</v>
      </c>
      <c r="AC29" s="356">
        <v>0.9</v>
      </c>
      <c r="AD29" s="51"/>
      <c r="AE29" s="50"/>
      <c r="AF29" s="50"/>
      <c r="AG29" s="50"/>
      <c r="AH29" s="50"/>
      <c r="AI29" s="50"/>
      <c r="AJ29" s="50"/>
      <c r="AK29" s="50"/>
      <c r="AM29" s="65"/>
    </row>
    <row r="30" spans="1:39" ht="36" customHeight="1" x14ac:dyDescent="0.3">
      <c r="A30" s="553"/>
      <c r="B30" s="537"/>
      <c r="C30" s="579"/>
      <c r="D30" s="545"/>
      <c r="E30" s="325" t="s">
        <v>405</v>
      </c>
      <c r="F30" s="63">
        <v>0.9</v>
      </c>
      <c r="G30" s="63">
        <v>0.9</v>
      </c>
      <c r="H30" s="63">
        <v>0.9</v>
      </c>
      <c r="I30" s="63">
        <v>0.9</v>
      </c>
      <c r="J30" s="63">
        <v>0.9</v>
      </c>
      <c r="K30" s="63">
        <v>0.9</v>
      </c>
      <c r="L30" s="63">
        <v>0.9</v>
      </c>
      <c r="M30" s="63">
        <v>0.9</v>
      </c>
      <c r="N30" s="63">
        <v>0.9</v>
      </c>
      <c r="O30" s="63">
        <v>0.9</v>
      </c>
      <c r="P30" s="63">
        <v>0.9</v>
      </c>
      <c r="Q30" s="63">
        <v>0.9</v>
      </c>
      <c r="R30" s="63">
        <v>0.9</v>
      </c>
      <c r="S30" s="63">
        <v>0.9</v>
      </c>
      <c r="T30" s="63">
        <v>0.9</v>
      </c>
      <c r="U30" s="63">
        <v>0.9</v>
      </c>
      <c r="V30" s="63">
        <v>0.9</v>
      </c>
      <c r="W30" s="63">
        <v>0.9</v>
      </c>
      <c r="X30" s="63">
        <v>0.9</v>
      </c>
      <c r="Y30" s="63">
        <v>0.9</v>
      </c>
      <c r="Z30" s="63">
        <v>0.9</v>
      </c>
      <c r="AA30" s="63">
        <v>0.9</v>
      </c>
      <c r="AB30" s="63">
        <v>0.9</v>
      </c>
      <c r="AC30" s="357">
        <v>0.9</v>
      </c>
      <c r="AD30" s="51"/>
      <c r="AE30" s="50"/>
      <c r="AF30" s="50"/>
      <c r="AG30" s="50"/>
      <c r="AH30" s="50"/>
      <c r="AI30" s="50"/>
      <c r="AJ30" s="50"/>
      <c r="AK30" s="50"/>
      <c r="AM30" s="65"/>
    </row>
    <row r="31" spans="1:39" ht="36" customHeight="1" x14ac:dyDescent="0.3">
      <c r="A31" s="554" t="s">
        <v>400</v>
      </c>
      <c r="B31" s="538" t="s">
        <v>86</v>
      </c>
      <c r="C31" s="555" t="s">
        <v>413</v>
      </c>
      <c r="D31" s="547" t="s">
        <v>402</v>
      </c>
      <c r="E31" s="326" t="s">
        <v>403</v>
      </c>
      <c r="F31" s="62">
        <v>0.5</v>
      </c>
      <c r="G31" s="62">
        <v>0.5</v>
      </c>
      <c r="H31" s="62">
        <v>0.5</v>
      </c>
      <c r="I31" s="62">
        <v>0.5</v>
      </c>
      <c r="J31" s="62">
        <v>0.5</v>
      </c>
      <c r="K31" s="62">
        <v>0.5</v>
      </c>
      <c r="L31" s="62">
        <v>0.5</v>
      </c>
      <c r="M31" s="62">
        <v>0.5</v>
      </c>
      <c r="N31" s="62">
        <v>0.51</v>
      </c>
      <c r="O31" s="62">
        <v>0.56000000000000005</v>
      </c>
      <c r="P31" s="62">
        <v>0.56000000000000005</v>
      </c>
      <c r="Q31" s="62">
        <v>0.53</v>
      </c>
      <c r="R31" s="62">
        <v>0.53</v>
      </c>
      <c r="S31" s="62">
        <v>0.56000000000000005</v>
      </c>
      <c r="T31" s="62">
        <v>0.56000000000000005</v>
      </c>
      <c r="U31" s="62">
        <v>0.56000000000000005</v>
      </c>
      <c r="V31" s="62">
        <v>0.56000000000000005</v>
      </c>
      <c r="W31" s="62">
        <v>0.56000000000000005</v>
      </c>
      <c r="X31" s="62">
        <v>0.52</v>
      </c>
      <c r="Y31" s="62">
        <v>0.5</v>
      </c>
      <c r="Z31" s="62">
        <v>0.5</v>
      </c>
      <c r="AA31" s="62">
        <v>0.5</v>
      </c>
      <c r="AB31" s="62">
        <v>0.5</v>
      </c>
      <c r="AC31" s="355">
        <v>0.5</v>
      </c>
      <c r="AD31" s="51"/>
      <c r="AE31" s="50"/>
      <c r="AF31" s="50"/>
      <c r="AG31" s="50"/>
      <c r="AH31" s="50"/>
      <c r="AI31" s="50"/>
      <c r="AJ31" s="50"/>
      <c r="AK31" s="50"/>
      <c r="AM31" s="65"/>
    </row>
    <row r="32" spans="1:39" ht="36" customHeight="1" x14ac:dyDescent="0.3">
      <c r="A32" s="552"/>
      <c r="B32" s="536"/>
      <c r="C32" s="556"/>
      <c r="D32" s="544"/>
      <c r="E32" s="324" t="s">
        <v>404</v>
      </c>
      <c r="F32" s="61">
        <v>0.5</v>
      </c>
      <c r="G32" s="61">
        <v>0.5</v>
      </c>
      <c r="H32" s="61">
        <v>0.5</v>
      </c>
      <c r="I32" s="61">
        <v>0.5</v>
      </c>
      <c r="J32" s="61">
        <v>0.5</v>
      </c>
      <c r="K32" s="61">
        <v>0.5</v>
      </c>
      <c r="L32" s="61">
        <v>0.5</v>
      </c>
      <c r="M32" s="61">
        <v>0.5</v>
      </c>
      <c r="N32" s="61">
        <v>0.5</v>
      </c>
      <c r="O32" s="61">
        <v>0.52</v>
      </c>
      <c r="P32" s="61">
        <v>0.52</v>
      </c>
      <c r="Q32" s="61">
        <v>0.52</v>
      </c>
      <c r="R32" s="61">
        <v>0.52</v>
      </c>
      <c r="S32" s="61">
        <v>0.5</v>
      </c>
      <c r="T32" s="61">
        <v>0.5</v>
      </c>
      <c r="U32" s="61">
        <v>0.5</v>
      </c>
      <c r="V32" s="61">
        <v>0.5</v>
      </c>
      <c r="W32" s="61">
        <v>0.5</v>
      </c>
      <c r="X32" s="61">
        <v>0.5</v>
      </c>
      <c r="Y32" s="61">
        <v>0.5</v>
      </c>
      <c r="Z32" s="61">
        <v>0.5</v>
      </c>
      <c r="AA32" s="61">
        <v>0.5</v>
      </c>
      <c r="AB32" s="61">
        <v>0.5</v>
      </c>
      <c r="AC32" s="356">
        <v>0.5</v>
      </c>
      <c r="AD32" s="51"/>
      <c r="AE32" s="50"/>
      <c r="AF32" s="50"/>
      <c r="AG32" s="50"/>
      <c r="AH32" s="50"/>
      <c r="AI32" s="50"/>
      <c r="AJ32" s="50"/>
      <c r="AK32" s="50"/>
      <c r="AM32" s="65"/>
    </row>
    <row r="33" spans="1:75" ht="36" customHeight="1" x14ac:dyDescent="0.3">
      <c r="A33" s="553"/>
      <c r="B33" s="537"/>
      <c r="C33" s="557"/>
      <c r="D33" s="545"/>
      <c r="E33" s="325" t="s">
        <v>405</v>
      </c>
      <c r="F33" s="63">
        <v>0.5</v>
      </c>
      <c r="G33" s="63">
        <v>0.5</v>
      </c>
      <c r="H33" s="63">
        <v>0.5</v>
      </c>
      <c r="I33" s="63">
        <v>0.5</v>
      </c>
      <c r="J33" s="63">
        <v>0.5</v>
      </c>
      <c r="K33" s="63">
        <v>0.5</v>
      </c>
      <c r="L33" s="63">
        <v>0.5</v>
      </c>
      <c r="M33" s="63">
        <v>0.5</v>
      </c>
      <c r="N33" s="63">
        <v>0.5</v>
      </c>
      <c r="O33" s="63">
        <v>0.52</v>
      </c>
      <c r="P33" s="63">
        <v>0.52</v>
      </c>
      <c r="Q33" s="63">
        <v>0.52</v>
      </c>
      <c r="R33" s="63">
        <v>0.52</v>
      </c>
      <c r="S33" s="63">
        <v>0.5</v>
      </c>
      <c r="T33" s="63">
        <v>0.5</v>
      </c>
      <c r="U33" s="63">
        <v>0.5</v>
      </c>
      <c r="V33" s="63">
        <v>0.5</v>
      </c>
      <c r="W33" s="63">
        <v>0.5</v>
      </c>
      <c r="X33" s="63">
        <v>0.5</v>
      </c>
      <c r="Y33" s="63">
        <v>0.5</v>
      </c>
      <c r="Z33" s="63">
        <v>0.5</v>
      </c>
      <c r="AA33" s="63">
        <v>0.5</v>
      </c>
      <c r="AB33" s="63">
        <v>0.5</v>
      </c>
      <c r="AC33" s="357">
        <v>0.5</v>
      </c>
      <c r="AD33" s="51"/>
      <c r="AE33" s="50"/>
      <c r="AF33" s="50"/>
      <c r="AG33" s="50"/>
      <c r="AH33" s="50"/>
      <c r="AI33" s="50"/>
      <c r="AJ33" s="50"/>
      <c r="AK33" s="50"/>
      <c r="AM33" s="65"/>
    </row>
    <row r="34" spans="1:75" ht="36" customHeight="1" x14ac:dyDescent="0.3">
      <c r="A34" s="554" t="s">
        <v>400</v>
      </c>
      <c r="B34" s="538" t="s">
        <v>86</v>
      </c>
      <c r="C34" s="555" t="s">
        <v>414</v>
      </c>
      <c r="D34" s="547" t="s">
        <v>402</v>
      </c>
      <c r="E34" s="326" t="s">
        <v>403</v>
      </c>
      <c r="F34" s="62">
        <v>0.2</v>
      </c>
      <c r="G34" s="62">
        <v>0.2</v>
      </c>
      <c r="H34" s="62">
        <v>0.2</v>
      </c>
      <c r="I34" s="62">
        <v>0.2</v>
      </c>
      <c r="J34" s="62">
        <v>0.2</v>
      </c>
      <c r="K34" s="62">
        <v>0.2</v>
      </c>
      <c r="L34" s="62">
        <v>0.2</v>
      </c>
      <c r="M34" s="62">
        <v>0.21</v>
      </c>
      <c r="N34" s="62">
        <v>0.22</v>
      </c>
      <c r="O34" s="62">
        <v>0.33</v>
      </c>
      <c r="P34" s="62">
        <v>0.33</v>
      </c>
      <c r="Q34" s="62">
        <v>0.26</v>
      </c>
      <c r="R34" s="62">
        <v>0.26</v>
      </c>
      <c r="S34" s="62">
        <v>0.33</v>
      </c>
      <c r="T34" s="62">
        <v>0.33</v>
      </c>
      <c r="U34" s="62">
        <v>0.33</v>
      </c>
      <c r="V34" s="62">
        <v>0.33</v>
      </c>
      <c r="W34" s="62">
        <v>0.33</v>
      </c>
      <c r="X34" s="62">
        <v>0.24</v>
      </c>
      <c r="Y34" s="62">
        <v>0.21</v>
      </c>
      <c r="Z34" s="62">
        <v>0.21</v>
      </c>
      <c r="AA34" s="62">
        <v>0.21</v>
      </c>
      <c r="AB34" s="62">
        <v>0.2</v>
      </c>
      <c r="AC34" s="355">
        <v>0.2</v>
      </c>
      <c r="AD34" s="51"/>
      <c r="AE34" s="50"/>
      <c r="AF34" s="50"/>
      <c r="AG34" s="50"/>
      <c r="AH34" s="50"/>
      <c r="AI34" s="50"/>
      <c r="AJ34" s="50"/>
      <c r="AK34" s="50"/>
      <c r="AM34" s="65"/>
    </row>
    <row r="35" spans="1:75" ht="36" customHeight="1" x14ac:dyDescent="0.3">
      <c r="A35" s="552"/>
      <c r="B35" s="536"/>
      <c r="C35" s="556"/>
      <c r="D35" s="544"/>
      <c r="E35" s="324" t="s">
        <v>404</v>
      </c>
      <c r="F35" s="61">
        <v>0.2</v>
      </c>
      <c r="G35" s="61">
        <v>0.2</v>
      </c>
      <c r="H35" s="61">
        <v>0.2</v>
      </c>
      <c r="I35" s="61">
        <v>0.2</v>
      </c>
      <c r="J35" s="61">
        <v>0.2</v>
      </c>
      <c r="K35" s="61">
        <v>0.2</v>
      </c>
      <c r="L35" s="61">
        <v>0.2</v>
      </c>
      <c r="M35" s="61">
        <v>0.21</v>
      </c>
      <c r="N35" s="61">
        <v>0.21</v>
      </c>
      <c r="O35" s="61">
        <v>0.24</v>
      </c>
      <c r="P35" s="61">
        <v>0.24</v>
      </c>
      <c r="Q35" s="61">
        <v>0.24</v>
      </c>
      <c r="R35" s="61">
        <v>0.24</v>
      </c>
      <c r="S35" s="61">
        <v>0.21</v>
      </c>
      <c r="T35" s="61">
        <v>0.21</v>
      </c>
      <c r="U35" s="61">
        <v>0.21</v>
      </c>
      <c r="V35" s="61">
        <v>0.21</v>
      </c>
      <c r="W35" s="61">
        <v>0.21</v>
      </c>
      <c r="X35" s="61">
        <v>0.2</v>
      </c>
      <c r="Y35" s="61">
        <v>0.2</v>
      </c>
      <c r="Z35" s="61">
        <v>0.2</v>
      </c>
      <c r="AA35" s="61">
        <v>0.2</v>
      </c>
      <c r="AB35" s="61">
        <v>0.2</v>
      </c>
      <c r="AC35" s="356">
        <v>0.2</v>
      </c>
      <c r="AD35" s="51"/>
      <c r="AE35" s="50"/>
      <c r="AF35" s="50"/>
      <c r="AG35" s="50"/>
      <c r="AH35" s="50"/>
      <c r="AI35" s="50"/>
      <c r="AJ35" s="50"/>
      <c r="AK35" s="50"/>
      <c r="AM35" s="65"/>
    </row>
    <row r="36" spans="1:75" ht="36" customHeight="1" x14ac:dyDescent="0.3">
      <c r="A36" s="553"/>
      <c r="B36" s="537"/>
      <c r="C36" s="557"/>
      <c r="D36" s="545"/>
      <c r="E36" s="327" t="s">
        <v>405</v>
      </c>
      <c r="F36" s="314">
        <v>0.2</v>
      </c>
      <c r="G36" s="314">
        <v>0.2</v>
      </c>
      <c r="H36" s="314">
        <v>0.2</v>
      </c>
      <c r="I36" s="314">
        <v>0.2</v>
      </c>
      <c r="J36" s="314">
        <v>0.2</v>
      </c>
      <c r="K36" s="314">
        <v>0.2</v>
      </c>
      <c r="L36" s="314">
        <v>0.2</v>
      </c>
      <c r="M36" s="314">
        <v>0.21</v>
      </c>
      <c r="N36" s="314">
        <v>0.21</v>
      </c>
      <c r="O36" s="314">
        <v>0.24</v>
      </c>
      <c r="P36" s="314">
        <v>0.24</v>
      </c>
      <c r="Q36" s="314">
        <v>0.24</v>
      </c>
      <c r="R36" s="314">
        <v>0.24</v>
      </c>
      <c r="S36" s="314">
        <v>0.21</v>
      </c>
      <c r="T36" s="314">
        <v>0.21</v>
      </c>
      <c r="U36" s="314">
        <v>0.21</v>
      </c>
      <c r="V36" s="314">
        <v>0.21</v>
      </c>
      <c r="W36" s="314">
        <v>0.21</v>
      </c>
      <c r="X36" s="314">
        <v>0.2</v>
      </c>
      <c r="Y36" s="314">
        <v>0.2</v>
      </c>
      <c r="Z36" s="314">
        <v>0.2</v>
      </c>
      <c r="AA36" s="314">
        <v>0.2</v>
      </c>
      <c r="AB36" s="314">
        <v>0.2</v>
      </c>
      <c r="AC36" s="359">
        <v>0.2</v>
      </c>
      <c r="AD36" s="51"/>
      <c r="AE36" s="50"/>
      <c r="AF36" s="50"/>
      <c r="AG36" s="50"/>
      <c r="AH36" s="50"/>
      <c r="AI36" s="50"/>
      <c r="AJ36" s="50"/>
      <c r="AK36" s="50"/>
      <c r="AM36" s="65"/>
    </row>
    <row r="37" spans="1:75" ht="36" customHeight="1" x14ac:dyDescent="0.3">
      <c r="A37" s="580" t="s">
        <v>415</v>
      </c>
      <c r="B37" s="538" t="s">
        <v>86</v>
      </c>
      <c r="C37" s="555" t="s">
        <v>416</v>
      </c>
      <c r="D37" s="588" t="s">
        <v>417</v>
      </c>
      <c r="E37" s="315" t="s">
        <v>403</v>
      </c>
      <c r="F37" s="196">
        <f>IF(F25=1,Thermostat!$B$3,Thermostat!$B$4)</f>
        <v>70</v>
      </c>
      <c r="G37" s="196">
        <f>IF(G25=1,Thermostat!$B$3,Thermostat!$B$4)</f>
        <v>70</v>
      </c>
      <c r="H37" s="196">
        <f>IF(H25=1,Thermostat!$B$3,Thermostat!$B$4)</f>
        <v>70</v>
      </c>
      <c r="I37" s="196">
        <f>IF(I25=1,Thermostat!$B$3,Thermostat!$B$4)</f>
        <v>70</v>
      </c>
      <c r="J37" s="196">
        <f>IF(J25=1,Thermostat!$B$3,Thermostat!$B$4)</f>
        <v>70</v>
      </c>
      <c r="K37" s="196">
        <f>IF(K25=1,Thermostat!$B$3,Thermostat!$B$4)</f>
        <v>70</v>
      </c>
      <c r="L37" s="196">
        <f>IF(L25=1,Thermostat!$B$3,Thermostat!$B$4)</f>
        <v>70</v>
      </c>
      <c r="M37" s="196">
        <f>IF(M25=1,Thermostat!$B$3,Thermostat!$B$4)</f>
        <v>70</v>
      </c>
      <c r="N37" s="196">
        <f>IF(N25=1,Thermostat!$B$3,Thermostat!$B$4)</f>
        <v>70</v>
      </c>
      <c r="O37" s="196">
        <f>IF(O25=1,Thermostat!$B$3,Thermostat!$B$4)</f>
        <v>70</v>
      </c>
      <c r="P37" s="196">
        <f>IF(P25=1,Thermostat!$B$3,Thermostat!$B$4)</f>
        <v>70</v>
      </c>
      <c r="Q37" s="196">
        <f>IF(Q25=1,Thermostat!$B$3,Thermostat!$B$4)</f>
        <v>70</v>
      </c>
      <c r="R37" s="196">
        <f>IF(R25=1,Thermostat!$B$3,Thermostat!$B$4)</f>
        <v>70</v>
      </c>
      <c r="S37" s="196">
        <f>IF(S25=1,Thermostat!$B$3,Thermostat!$B$4)</f>
        <v>70</v>
      </c>
      <c r="T37" s="196">
        <f>IF(T25=1,Thermostat!$B$3,Thermostat!$B$4)</f>
        <v>70</v>
      </c>
      <c r="U37" s="196">
        <f>IF(U25=1,Thermostat!$B$3,Thermostat!$B$4)</f>
        <v>70</v>
      </c>
      <c r="V37" s="196">
        <f>IF(V25=1,Thermostat!$B$3,Thermostat!$B$4)</f>
        <v>70</v>
      </c>
      <c r="W37" s="196">
        <f>IF(W25=1,Thermostat!$B$3,Thermostat!$B$4)</f>
        <v>70</v>
      </c>
      <c r="X37" s="196">
        <f>IF(X25=1,Thermostat!$B$3,Thermostat!$B$4)</f>
        <v>70</v>
      </c>
      <c r="Y37" s="196">
        <f>IF(Y25=1,Thermostat!$B$3,Thermostat!$B$4)</f>
        <v>70</v>
      </c>
      <c r="Z37" s="196">
        <f>IF(Z25=1,Thermostat!$B$3,Thermostat!$B$4)</f>
        <v>70</v>
      </c>
      <c r="AA37" s="196">
        <f>IF(AA25=1,Thermostat!$B$3,Thermostat!$B$4)</f>
        <v>70</v>
      </c>
      <c r="AB37" s="196">
        <f>IF(AB25=1,Thermostat!$B$3,Thermostat!$B$4)</f>
        <v>70</v>
      </c>
      <c r="AC37" s="360">
        <f>IF(AC25=1,Thermostat!$B$3,Thermostat!$B$4)</f>
        <v>70</v>
      </c>
      <c r="AD37" s="51"/>
      <c r="AE37" s="50"/>
      <c r="AF37" s="50"/>
      <c r="AG37" s="50"/>
      <c r="AH37" s="50"/>
      <c r="AI37" s="50"/>
      <c r="AJ37" s="50"/>
      <c r="AK37" s="50"/>
      <c r="AM37" s="65"/>
    </row>
    <row r="38" spans="1:75" ht="36" customHeight="1" x14ac:dyDescent="0.3">
      <c r="A38" s="581"/>
      <c r="B38" s="536"/>
      <c r="C38" s="556"/>
      <c r="D38" s="589"/>
      <c r="E38" s="316" t="s">
        <v>404</v>
      </c>
      <c r="F38" s="198">
        <f>IF(F26=1,Thermostat!$B$3,Thermostat!$B$4)</f>
        <v>70</v>
      </c>
      <c r="G38" s="198">
        <f>IF(G26=1,Thermostat!$B$3,Thermostat!$B$4)</f>
        <v>70</v>
      </c>
      <c r="H38" s="198">
        <f>IF(H26=1,Thermostat!$B$3,Thermostat!$B$4)</f>
        <v>70</v>
      </c>
      <c r="I38" s="198">
        <f>IF(I26=1,Thermostat!$B$3,Thermostat!$B$4)</f>
        <v>70</v>
      </c>
      <c r="J38" s="198">
        <f>IF(J26=1,Thermostat!$B$3,Thermostat!$B$4)</f>
        <v>70</v>
      </c>
      <c r="K38" s="198">
        <f>IF(K26=1,Thermostat!$B$3,Thermostat!$B$4)</f>
        <v>70</v>
      </c>
      <c r="L38" s="198">
        <f>IF(L26=1,Thermostat!$B$3,Thermostat!$B$4)</f>
        <v>70</v>
      </c>
      <c r="M38" s="198">
        <f>IF(M26=1,Thermostat!$B$3,Thermostat!$B$4)</f>
        <v>70</v>
      </c>
      <c r="N38" s="198">
        <f>IF(N26=1,Thermostat!$B$3,Thermostat!$B$4)</f>
        <v>70</v>
      </c>
      <c r="O38" s="198">
        <f>IF(O26=1,Thermostat!$B$3,Thermostat!$B$4)</f>
        <v>70</v>
      </c>
      <c r="P38" s="198">
        <f>IF(P26=1,Thermostat!$B$3,Thermostat!$B$4)</f>
        <v>70</v>
      </c>
      <c r="Q38" s="198">
        <f>IF(Q26=1,Thermostat!$B$3,Thermostat!$B$4)</f>
        <v>70</v>
      </c>
      <c r="R38" s="198">
        <f>IF(R26=1,Thermostat!$B$3,Thermostat!$B$4)</f>
        <v>70</v>
      </c>
      <c r="S38" s="198">
        <f>IF(S26=1,Thermostat!$B$3,Thermostat!$B$4)</f>
        <v>70</v>
      </c>
      <c r="T38" s="198">
        <f>IF(T26=1,Thermostat!$B$3,Thermostat!$B$4)</f>
        <v>70</v>
      </c>
      <c r="U38" s="198">
        <f>IF(U26=1,Thermostat!$B$3,Thermostat!$B$4)</f>
        <v>70</v>
      </c>
      <c r="V38" s="198">
        <f>IF(V26=1,Thermostat!$B$3,Thermostat!$B$4)</f>
        <v>70</v>
      </c>
      <c r="W38" s="198">
        <f>IF(W26=1,Thermostat!$B$3,Thermostat!$B$4)</f>
        <v>70</v>
      </c>
      <c r="X38" s="198">
        <f>IF(X26=1,Thermostat!$B$3,Thermostat!$B$4)</f>
        <v>70</v>
      </c>
      <c r="Y38" s="198">
        <f>IF(Y26=1,Thermostat!$B$3,Thermostat!$B$4)</f>
        <v>70</v>
      </c>
      <c r="Z38" s="198">
        <f>IF(Z26=1,Thermostat!$B$3,Thermostat!$B$4)</f>
        <v>70</v>
      </c>
      <c r="AA38" s="198">
        <f>IF(AA26=1,Thermostat!$B$3,Thermostat!$B$4)</f>
        <v>70</v>
      </c>
      <c r="AB38" s="198">
        <f>IF(AB26=1,Thermostat!$B$3,Thermostat!$B$4)</f>
        <v>70</v>
      </c>
      <c r="AC38" s="361">
        <f>IF(AC26=1,Thermostat!$B$3,Thermostat!$B$4)</f>
        <v>70</v>
      </c>
      <c r="AD38" s="51"/>
      <c r="AE38" s="50"/>
      <c r="AF38" s="50"/>
      <c r="AG38" s="50"/>
      <c r="AH38" s="50"/>
      <c r="AI38" s="50"/>
      <c r="AJ38" s="50"/>
      <c r="AK38" s="50"/>
      <c r="AM38" s="65"/>
    </row>
    <row r="39" spans="1:75" ht="36" customHeight="1" x14ac:dyDescent="0.3">
      <c r="A39" s="584"/>
      <c r="B39" s="537"/>
      <c r="C39" s="557"/>
      <c r="D39" s="590"/>
      <c r="E39" s="317" t="s">
        <v>405</v>
      </c>
      <c r="F39" s="199">
        <f>IF(F27=1,Thermostat!$B$3,Thermostat!$B$4)</f>
        <v>70</v>
      </c>
      <c r="G39" s="199">
        <f>IF(G27=1,Thermostat!$B$3,Thermostat!$B$4)</f>
        <v>70</v>
      </c>
      <c r="H39" s="199">
        <f>IF(H27=1,Thermostat!$B$3,Thermostat!$B$4)</f>
        <v>70</v>
      </c>
      <c r="I39" s="199">
        <f>IF(I27=1,Thermostat!$B$3,Thermostat!$B$4)</f>
        <v>70</v>
      </c>
      <c r="J39" s="199">
        <f>IF(J27=1,Thermostat!$B$3,Thermostat!$B$4)</f>
        <v>70</v>
      </c>
      <c r="K39" s="199">
        <f>IF(K27=1,Thermostat!$B$3,Thermostat!$B$4)</f>
        <v>70</v>
      </c>
      <c r="L39" s="199">
        <f>IF(L27=1,Thermostat!$B$3,Thermostat!$B$4)</f>
        <v>70</v>
      </c>
      <c r="M39" s="199">
        <f>IF(M27=1,Thermostat!$B$3,Thermostat!$B$4)</f>
        <v>70</v>
      </c>
      <c r="N39" s="199">
        <f>IF(N27=1,Thermostat!$B$3,Thermostat!$B$4)</f>
        <v>70</v>
      </c>
      <c r="O39" s="199">
        <f>IF(O27=1,Thermostat!$B$3,Thermostat!$B$4)</f>
        <v>70</v>
      </c>
      <c r="P39" s="199">
        <f>IF(P27=1,Thermostat!$B$3,Thermostat!$B$4)</f>
        <v>70</v>
      </c>
      <c r="Q39" s="199">
        <f>IF(Q27=1,Thermostat!$B$3,Thermostat!$B$4)</f>
        <v>70</v>
      </c>
      <c r="R39" s="199">
        <f>IF(R27=1,Thermostat!$B$3,Thermostat!$B$4)</f>
        <v>70</v>
      </c>
      <c r="S39" s="199">
        <f>IF(S27=1,Thermostat!$B$3,Thermostat!$B$4)</f>
        <v>70</v>
      </c>
      <c r="T39" s="199">
        <f>IF(T27=1,Thermostat!$B$3,Thermostat!$B$4)</f>
        <v>70</v>
      </c>
      <c r="U39" s="199">
        <f>IF(U27=1,Thermostat!$B$3,Thermostat!$B$4)</f>
        <v>70</v>
      </c>
      <c r="V39" s="199">
        <f>IF(V27=1,Thermostat!$B$3,Thermostat!$B$4)</f>
        <v>70</v>
      </c>
      <c r="W39" s="199">
        <f>IF(W27=1,Thermostat!$B$3,Thermostat!$B$4)</f>
        <v>70</v>
      </c>
      <c r="X39" s="199">
        <f>IF(X27=1,Thermostat!$B$3,Thermostat!$B$4)</f>
        <v>70</v>
      </c>
      <c r="Y39" s="199">
        <f>IF(Y27=1,Thermostat!$B$3,Thermostat!$B$4)</f>
        <v>70</v>
      </c>
      <c r="Z39" s="199">
        <f>IF(Z27=1,Thermostat!$B$3,Thermostat!$B$4)</f>
        <v>70</v>
      </c>
      <c r="AA39" s="199">
        <f>IF(AA27=1,Thermostat!$B$3,Thermostat!$B$4)</f>
        <v>70</v>
      </c>
      <c r="AB39" s="199">
        <f>IF(AB27=1,Thermostat!$B$3,Thermostat!$B$4)</f>
        <v>70</v>
      </c>
      <c r="AC39" s="362">
        <f>IF(AC27=1,Thermostat!$B$3,Thermostat!$B$4)</f>
        <v>70</v>
      </c>
      <c r="AD39" s="51"/>
      <c r="AE39" s="50"/>
      <c r="AF39" s="50"/>
      <c r="AG39" s="50"/>
      <c r="AH39" s="50"/>
      <c r="AI39" s="50"/>
      <c r="AJ39" s="50"/>
      <c r="AK39" s="50"/>
      <c r="AM39" s="65"/>
    </row>
    <row r="40" spans="1:75" ht="36" customHeight="1" x14ac:dyDescent="0.3">
      <c r="A40" s="580" t="s">
        <v>415</v>
      </c>
      <c r="B40" s="538" t="s">
        <v>86</v>
      </c>
      <c r="C40" s="556" t="s">
        <v>418</v>
      </c>
      <c r="D40" s="589" t="s">
        <v>417</v>
      </c>
      <c r="E40" s="328" t="s">
        <v>403</v>
      </c>
      <c r="F40" s="329">
        <f>IF(F25=1,Thermostat!$B$5,Thermostat!$B$6)</f>
        <v>75</v>
      </c>
      <c r="G40" s="329">
        <f>IF(G25=1,Thermostat!$B$5,Thermostat!$B$6)</f>
        <v>75</v>
      </c>
      <c r="H40" s="329">
        <f>IF(H25=1,Thermostat!$B$5,Thermostat!$B$6)</f>
        <v>75</v>
      </c>
      <c r="I40" s="329">
        <f>IF(I25=1,Thermostat!$B$5,Thermostat!$B$6)</f>
        <v>75</v>
      </c>
      <c r="J40" s="329">
        <f>IF(J25=1,Thermostat!$B$5,Thermostat!$B$6)</f>
        <v>75</v>
      </c>
      <c r="K40" s="329">
        <f>IF(K25=1,Thermostat!$B$5,Thermostat!$B$6)</f>
        <v>75</v>
      </c>
      <c r="L40" s="329">
        <f>IF(L25=1,Thermostat!$B$5,Thermostat!$B$6)</f>
        <v>75</v>
      </c>
      <c r="M40" s="329">
        <f>IF(M25=1,Thermostat!$B$5,Thermostat!$B$6)</f>
        <v>75</v>
      </c>
      <c r="N40" s="329">
        <f>IF(N25=1,Thermostat!$B$5,Thermostat!$B$6)</f>
        <v>75</v>
      </c>
      <c r="O40" s="329">
        <f>IF(O25=1,Thermostat!$B$5,Thermostat!$B$6)</f>
        <v>75</v>
      </c>
      <c r="P40" s="329">
        <f>IF(P25=1,Thermostat!$B$5,Thermostat!$B$6)</f>
        <v>75</v>
      </c>
      <c r="Q40" s="329">
        <f>IF(Q25=1,Thermostat!$B$5,Thermostat!$B$6)</f>
        <v>75</v>
      </c>
      <c r="R40" s="329">
        <f>IF(R25=1,Thermostat!$B$5,Thermostat!$B$6)</f>
        <v>75</v>
      </c>
      <c r="S40" s="329">
        <f>IF(S25=1,Thermostat!$B$5,Thermostat!$B$6)</f>
        <v>75</v>
      </c>
      <c r="T40" s="329">
        <f>IF(T25=1,Thermostat!$B$5,Thermostat!$B$6)</f>
        <v>75</v>
      </c>
      <c r="U40" s="329">
        <f>IF(U25=1,Thermostat!$B$5,Thermostat!$B$6)</f>
        <v>75</v>
      </c>
      <c r="V40" s="329">
        <f>IF(V25=1,Thermostat!$B$5,Thermostat!$B$6)</f>
        <v>75</v>
      </c>
      <c r="W40" s="329">
        <f>IF(W25=1,Thermostat!$B$5,Thermostat!$B$6)</f>
        <v>75</v>
      </c>
      <c r="X40" s="329">
        <f>IF(X25=1,Thermostat!$B$5,Thermostat!$B$6)</f>
        <v>75</v>
      </c>
      <c r="Y40" s="329">
        <f>IF(Y25=1,Thermostat!$B$5,Thermostat!$B$6)</f>
        <v>75</v>
      </c>
      <c r="Z40" s="329">
        <f>IF(Z25=1,Thermostat!$B$5,Thermostat!$B$6)</f>
        <v>75</v>
      </c>
      <c r="AA40" s="329">
        <f>IF(AA25=1,Thermostat!$B$5,Thermostat!$B$6)</f>
        <v>75</v>
      </c>
      <c r="AB40" s="329">
        <f>IF(AB25=1,Thermostat!$B$5,Thermostat!$B$6)</f>
        <v>75</v>
      </c>
      <c r="AC40" s="363">
        <f>IF(AC25=1,Thermostat!$B$5,Thermostat!$B$6)</f>
        <v>75</v>
      </c>
      <c r="AD40" s="51"/>
      <c r="AE40" s="50"/>
      <c r="AF40" s="50"/>
      <c r="AG40" s="50"/>
      <c r="AH40" s="50"/>
      <c r="AI40" s="50"/>
      <c r="AJ40" s="50"/>
      <c r="AK40" s="50"/>
      <c r="AM40" s="65"/>
    </row>
    <row r="41" spans="1:75" ht="36" customHeight="1" x14ac:dyDescent="0.3">
      <c r="A41" s="581"/>
      <c r="B41" s="536"/>
      <c r="C41" s="556"/>
      <c r="D41" s="589"/>
      <c r="E41" s="318" t="s">
        <v>404</v>
      </c>
      <c r="F41" s="198">
        <f>IF(F26=1,Thermostat!$B$5,Thermostat!$B$6)</f>
        <v>75</v>
      </c>
      <c r="G41" s="198">
        <f>IF(G26=1,Thermostat!$B$5,Thermostat!$B$6)</f>
        <v>75</v>
      </c>
      <c r="H41" s="198">
        <f>IF(H26=1,Thermostat!$B$5,Thermostat!$B$6)</f>
        <v>75</v>
      </c>
      <c r="I41" s="198">
        <f>IF(I26=1,Thermostat!$B$5,Thermostat!$B$6)</f>
        <v>75</v>
      </c>
      <c r="J41" s="198">
        <f>IF(J26=1,Thermostat!$B$5,Thermostat!$B$6)</f>
        <v>75</v>
      </c>
      <c r="K41" s="198">
        <f>IF(K26=1,Thermostat!$B$5,Thermostat!$B$6)</f>
        <v>75</v>
      </c>
      <c r="L41" s="198">
        <f>IF(L26=1,Thermostat!$B$5,Thermostat!$B$6)</f>
        <v>75</v>
      </c>
      <c r="M41" s="198">
        <f>IF(M26=1,Thermostat!$B$5,Thermostat!$B$6)</f>
        <v>75</v>
      </c>
      <c r="N41" s="198">
        <f>IF(N26=1,Thermostat!$B$5,Thermostat!$B$6)</f>
        <v>75</v>
      </c>
      <c r="O41" s="198">
        <f>IF(O26=1,Thermostat!$B$5,Thermostat!$B$6)</f>
        <v>75</v>
      </c>
      <c r="P41" s="198">
        <f>IF(P26=1,Thermostat!$B$5,Thermostat!$B$6)</f>
        <v>75</v>
      </c>
      <c r="Q41" s="198">
        <f>IF(Q26=1,Thermostat!$B$5,Thermostat!$B$6)</f>
        <v>75</v>
      </c>
      <c r="R41" s="198">
        <f>IF(R26=1,Thermostat!$B$5,Thermostat!$B$6)</f>
        <v>75</v>
      </c>
      <c r="S41" s="198">
        <f>IF(S26=1,Thermostat!$B$5,Thermostat!$B$6)</f>
        <v>75</v>
      </c>
      <c r="T41" s="198">
        <f>IF(T26=1,Thermostat!$B$5,Thermostat!$B$6)</f>
        <v>75</v>
      </c>
      <c r="U41" s="198">
        <f>IF(U26=1,Thermostat!$B$5,Thermostat!$B$6)</f>
        <v>75</v>
      </c>
      <c r="V41" s="198">
        <f>IF(V26=1,Thermostat!$B$5,Thermostat!$B$6)</f>
        <v>75</v>
      </c>
      <c r="W41" s="198">
        <f>IF(W26=1,Thermostat!$B$5,Thermostat!$B$6)</f>
        <v>75</v>
      </c>
      <c r="X41" s="198">
        <f>IF(X26=1,Thermostat!$B$5,Thermostat!$B$6)</f>
        <v>75</v>
      </c>
      <c r="Y41" s="198">
        <f>IF(Y26=1,Thermostat!$B$5,Thermostat!$B$6)</f>
        <v>75</v>
      </c>
      <c r="Z41" s="198">
        <f>IF(Z26=1,Thermostat!$B$5,Thermostat!$B$6)</f>
        <v>75</v>
      </c>
      <c r="AA41" s="198">
        <f>IF(AA26=1,Thermostat!$B$5,Thermostat!$B$6)</f>
        <v>75</v>
      </c>
      <c r="AB41" s="198">
        <f>IF(AB26=1,Thermostat!$B$5,Thermostat!$B$6)</f>
        <v>75</v>
      </c>
      <c r="AC41" s="361">
        <f>IF(AC26=1,Thermostat!$B$5,Thermostat!$B$6)</f>
        <v>75</v>
      </c>
      <c r="AD41" s="51"/>
      <c r="AE41" s="50"/>
      <c r="AF41" s="50"/>
      <c r="AG41" s="50"/>
      <c r="AH41" s="50"/>
      <c r="AI41" s="50"/>
      <c r="AJ41" s="50"/>
      <c r="AK41" s="50"/>
      <c r="AM41" s="65"/>
    </row>
    <row r="42" spans="1:75" ht="36" customHeight="1" x14ac:dyDescent="0.3">
      <c r="A42" s="584"/>
      <c r="B42" s="537"/>
      <c r="C42" s="557"/>
      <c r="D42" s="590"/>
      <c r="E42" s="319" t="s">
        <v>405</v>
      </c>
      <c r="F42" s="199">
        <f>IF(F27=1,Thermostat!$B$5,Thermostat!$B$6)</f>
        <v>75</v>
      </c>
      <c r="G42" s="199">
        <f>IF(G27=1,Thermostat!$B$5,Thermostat!$B$6)</f>
        <v>75</v>
      </c>
      <c r="H42" s="199">
        <f>IF(H27=1,Thermostat!$B$5,Thermostat!$B$6)</f>
        <v>75</v>
      </c>
      <c r="I42" s="199">
        <f>IF(I27=1,Thermostat!$B$5,Thermostat!$B$6)</f>
        <v>75</v>
      </c>
      <c r="J42" s="199">
        <f>IF(J27=1,Thermostat!$B$5,Thermostat!$B$6)</f>
        <v>75</v>
      </c>
      <c r="K42" s="199">
        <f>IF(K27=1,Thermostat!$B$5,Thermostat!$B$6)</f>
        <v>75</v>
      </c>
      <c r="L42" s="199">
        <f>IF(L27=1,Thermostat!$B$5,Thermostat!$B$6)</f>
        <v>75</v>
      </c>
      <c r="M42" s="199">
        <f>IF(M27=1,Thermostat!$B$5,Thermostat!$B$6)</f>
        <v>75</v>
      </c>
      <c r="N42" s="199">
        <f>IF(N27=1,Thermostat!$B$5,Thermostat!$B$6)</f>
        <v>75</v>
      </c>
      <c r="O42" s="199">
        <f>IF(O27=1,Thermostat!$B$5,Thermostat!$B$6)</f>
        <v>75</v>
      </c>
      <c r="P42" s="199">
        <f>IF(P27=1,Thermostat!$B$5,Thermostat!$B$6)</f>
        <v>75</v>
      </c>
      <c r="Q42" s="199">
        <f>IF(Q27=1,Thermostat!$B$5,Thermostat!$B$6)</f>
        <v>75</v>
      </c>
      <c r="R42" s="199">
        <f>IF(R27=1,Thermostat!$B$5,Thermostat!$B$6)</f>
        <v>75</v>
      </c>
      <c r="S42" s="199">
        <f>IF(S27=1,Thermostat!$B$5,Thermostat!$B$6)</f>
        <v>75</v>
      </c>
      <c r="T42" s="199">
        <f>IF(T27=1,Thermostat!$B$5,Thermostat!$B$6)</f>
        <v>75</v>
      </c>
      <c r="U42" s="199">
        <f>IF(U27=1,Thermostat!$B$5,Thermostat!$B$6)</f>
        <v>75</v>
      </c>
      <c r="V42" s="199">
        <f>IF(V27=1,Thermostat!$B$5,Thermostat!$B$6)</f>
        <v>75</v>
      </c>
      <c r="W42" s="199">
        <f>IF(W27=1,Thermostat!$B$5,Thermostat!$B$6)</f>
        <v>75</v>
      </c>
      <c r="X42" s="199">
        <f>IF(X27=1,Thermostat!$B$5,Thermostat!$B$6)</f>
        <v>75</v>
      </c>
      <c r="Y42" s="199">
        <f>IF(Y27=1,Thermostat!$B$5,Thermostat!$B$6)</f>
        <v>75</v>
      </c>
      <c r="Z42" s="199">
        <f>IF(Z27=1,Thermostat!$B$5,Thermostat!$B$6)</f>
        <v>75</v>
      </c>
      <c r="AA42" s="199">
        <f>IF(AA27=1,Thermostat!$B$5,Thermostat!$B$6)</f>
        <v>75</v>
      </c>
      <c r="AB42" s="199">
        <f>IF(AB27=1,Thermostat!$B$5,Thermostat!$B$6)</f>
        <v>75</v>
      </c>
      <c r="AC42" s="362">
        <f>IF(AC27=1,Thermostat!$B$5,Thermostat!$B$6)</f>
        <v>75</v>
      </c>
      <c r="AD42" s="51"/>
      <c r="AE42" s="50"/>
      <c r="AF42" s="50"/>
      <c r="AG42" s="50"/>
      <c r="AH42" s="50"/>
      <c r="AI42" s="50"/>
      <c r="AJ42" s="50"/>
      <c r="AK42" s="50"/>
      <c r="AM42" s="65"/>
    </row>
    <row r="43" spans="1:75" ht="36" customHeight="1" thickBot="1" x14ac:dyDescent="0.35">
      <c r="A43" s="585" t="s">
        <v>98</v>
      </c>
      <c r="B43" s="570"/>
      <c r="C43" s="570"/>
      <c r="D43" s="570"/>
      <c r="E43" s="586"/>
      <c r="F43" s="586"/>
      <c r="G43" s="586"/>
      <c r="H43" s="586"/>
      <c r="I43" s="586"/>
      <c r="J43" s="586"/>
      <c r="K43" s="586"/>
      <c r="L43" s="586"/>
      <c r="M43" s="586"/>
      <c r="N43" s="586"/>
      <c r="O43" s="586"/>
      <c r="P43" s="586"/>
      <c r="Q43" s="586"/>
      <c r="R43" s="586"/>
      <c r="S43" s="586"/>
      <c r="T43" s="586"/>
      <c r="U43" s="586"/>
      <c r="V43" s="586"/>
      <c r="W43" s="586"/>
      <c r="X43" s="586"/>
      <c r="Y43" s="586"/>
      <c r="Z43" s="586"/>
      <c r="AA43" s="586"/>
      <c r="AB43" s="586"/>
      <c r="AC43" s="587"/>
      <c r="AD43" s="51"/>
      <c r="AE43" s="50"/>
      <c r="AF43" s="50"/>
      <c r="AG43" s="50"/>
      <c r="AH43" s="50"/>
      <c r="AI43" s="50"/>
      <c r="AJ43" s="50"/>
      <c r="AK43" s="50"/>
      <c r="AM43" s="65"/>
    </row>
    <row r="44" spans="1:75" ht="36" customHeight="1" x14ac:dyDescent="0.3">
      <c r="A44" s="580" t="s">
        <v>415</v>
      </c>
      <c r="B44" s="561" t="s">
        <v>419</v>
      </c>
      <c r="C44" s="555" t="s">
        <v>401</v>
      </c>
      <c r="D44" s="547" t="s">
        <v>420</v>
      </c>
      <c r="E44" s="320" t="s">
        <v>403</v>
      </c>
      <c r="F44" s="375">
        <v>0</v>
      </c>
      <c r="G44" s="375">
        <v>0</v>
      </c>
      <c r="H44" s="375">
        <v>0</v>
      </c>
      <c r="I44" s="375">
        <v>0</v>
      </c>
      <c r="J44" s="375">
        <v>0</v>
      </c>
      <c r="K44" s="375">
        <v>0</v>
      </c>
      <c r="L44" s="375">
        <v>0.1</v>
      </c>
      <c r="M44" s="375">
        <v>0.2</v>
      </c>
      <c r="N44" s="375">
        <v>0.95</v>
      </c>
      <c r="O44" s="375">
        <v>0.95</v>
      </c>
      <c r="P44" s="375">
        <v>0.95</v>
      </c>
      <c r="Q44" s="375">
        <v>0.95</v>
      </c>
      <c r="R44" s="375">
        <v>0.5</v>
      </c>
      <c r="S44" s="375">
        <v>0.95</v>
      </c>
      <c r="T44" s="375">
        <v>0.95</v>
      </c>
      <c r="U44" s="375">
        <v>0.95</v>
      </c>
      <c r="V44" s="375">
        <v>0.95</v>
      </c>
      <c r="W44" s="375">
        <v>0.3</v>
      </c>
      <c r="X44" s="375">
        <v>0.1</v>
      </c>
      <c r="Y44" s="375">
        <v>0.1</v>
      </c>
      <c r="Z44" s="375">
        <v>0.1</v>
      </c>
      <c r="AA44" s="375">
        <v>0.1</v>
      </c>
      <c r="AB44" s="375">
        <v>0.05</v>
      </c>
      <c r="AC44" s="376">
        <v>0.05</v>
      </c>
      <c r="AD44" s="197"/>
      <c r="AE44" s="197"/>
      <c r="AF44" s="197"/>
      <c r="AG44" s="197"/>
      <c r="AH44" s="197"/>
      <c r="AI44" s="197"/>
      <c r="AJ44" s="197"/>
      <c r="AK44" s="197"/>
      <c r="AL44" s="129"/>
      <c r="AM44" s="129"/>
      <c r="AN44" s="129"/>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51"/>
      <c r="BO44" s="50"/>
      <c r="BP44" s="50"/>
      <c r="BQ44" s="50"/>
      <c r="BR44" s="50"/>
      <c r="BS44" s="50"/>
      <c r="BT44" s="50"/>
      <c r="BU44" s="50"/>
      <c r="BW44" s="65"/>
    </row>
    <row r="45" spans="1:75" ht="36" customHeight="1" x14ac:dyDescent="0.3">
      <c r="A45" s="581"/>
      <c r="B45" s="562"/>
      <c r="C45" s="556"/>
      <c r="D45" s="544"/>
      <c r="E45" s="321" t="s">
        <v>404</v>
      </c>
      <c r="F45" s="331">
        <v>0</v>
      </c>
      <c r="G45" s="331">
        <v>0</v>
      </c>
      <c r="H45" s="331">
        <v>0</v>
      </c>
      <c r="I45" s="331">
        <v>0</v>
      </c>
      <c r="J45" s="331">
        <v>0</v>
      </c>
      <c r="K45" s="331">
        <v>0</v>
      </c>
      <c r="L45" s="377">
        <v>0.05</v>
      </c>
      <c r="M45" s="377">
        <v>0.05</v>
      </c>
      <c r="N45" s="377">
        <v>0.05</v>
      </c>
      <c r="O45" s="377">
        <v>0.05</v>
      </c>
      <c r="P45" s="377">
        <v>0.05</v>
      </c>
      <c r="Q45" s="377">
        <v>0.05</v>
      </c>
      <c r="R45" s="377">
        <v>0.05</v>
      </c>
      <c r="S45" s="377">
        <v>0.05</v>
      </c>
      <c r="T45" s="377">
        <v>0.05</v>
      </c>
      <c r="U45" s="377">
        <v>0.05</v>
      </c>
      <c r="V45" s="377">
        <v>0.05</v>
      </c>
      <c r="W45" s="377">
        <v>0.05</v>
      </c>
      <c r="X45" s="378">
        <v>0</v>
      </c>
      <c r="Y45" s="331">
        <v>0</v>
      </c>
      <c r="Z45" s="331">
        <v>0</v>
      </c>
      <c r="AA45" s="331">
        <v>0</v>
      </c>
      <c r="AB45" s="331">
        <v>0</v>
      </c>
      <c r="AC45" s="379">
        <v>0</v>
      </c>
      <c r="AD45" s="197"/>
      <c r="AE45" s="197"/>
      <c r="AF45" s="197"/>
      <c r="AG45" s="197"/>
      <c r="AH45" s="197"/>
      <c r="AI45" s="197"/>
      <c r="AJ45" s="197"/>
      <c r="AK45" s="197"/>
      <c r="AL45" s="129"/>
      <c r="AM45" s="129"/>
      <c r="AN45" s="129"/>
      <c r="AP45" s="130"/>
      <c r="AQ45" s="130"/>
      <c r="AR45" s="130"/>
      <c r="AS45" s="130"/>
      <c r="AT45" s="130"/>
      <c r="AU45" s="130"/>
      <c r="AV45" s="130"/>
      <c r="AW45" s="130"/>
      <c r="AX45" s="130"/>
      <c r="AY45" s="130"/>
      <c r="AZ45" s="130"/>
      <c r="BA45" s="130"/>
      <c r="BB45" s="130"/>
      <c r="BC45" s="130"/>
      <c r="BD45" s="130"/>
      <c r="BE45" s="130"/>
      <c r="BF45" s="130"/>
      <c r="BG45" s="130"/>
      <c r="BH45" s="130"/>
      <c r="BI45" s="130"/>
      <c r="BJ45" s="130"/>
      <c r="BK45" s="130"/>
      <c r="BL45" s="130"/>
      <c r="BM45" s="130"/>
      <c r="BN45" s="51"/>
      <c r="BO45" s="50"/>
      <c r="BP45" s="50"/>
      <c r="BQ45" s="50"/>
      <c r="BR45" s="50"/>
      <c r="BS45" s="50"/>
      <c r="BT45" s="50"/>
      <c r="BU45" s="50"/>
      <c r="BW45" s="65"/>
    </row>
    <row r="46" spans="1:75" ht="36" customHeight="1" thickBot="1" x14ac:dyDescent="0.35">
      <c r="A46" s="584"/>
      <c r="B46" s="563"/>
      <c r="C46" s="557"/>
      <c r="D46" s="545"/>
      <c r="E46" s="380" t="s">
        <v>405</v>
      </c>
      <c r="F46" s="381">
        <v>0</v>
      </c>
      <c r="G46" s="381">
        <v>0</v>
      </c>
      <c r="H46" s="381">
        <v>0</v>
      </c>
      <c r="I46" s="381">
        <v>0</v>
      </c>
      <c r="J46" s="381">
        <v>0</v>
      </c>
      <c r="K46" s="381">
        <v>0</v>
      </c>
      <c r="L46" s="381">
        <v>0.05</v>
      </c>
      <c r="M46" s="381">
        <v>0.05</v>
      </c>
      <c r="N46" s="381">
        <v>0.05</v>
      </c>
      <c r="O46" s="381">
        <v>0.05</v>
      </c>
      <c r="P46" s="381">
        <v>0.05</v>
      </c>
      <c r="Q46" s="381">
        <v>0.05</v>
      </c>
      <c r="R46" s="381">
        <v>0.05</v>
      </c>
      <c r="S46" s="381">
        <v>0.05</v>
      </c>
      <c r="T46" s="381">
        <v>0.05</v>
      </c>
      <c r="U46" s="381">
        <v>0.05</v>
      </c>
      <c r="V46" s="381">
        <v>0.05</v>
      </c>
      <c r="W46" s="381">
        <v>0.05</v>
      </c>
      <c r="X46" s="381">
        <v>0</v>
      </c>
      <c r="Y46" s="381">
        <v>0</v>
      </c>
      <c r="Z46" s="381">
        <v>0</v>
      </c>
      <c r="AA46" s="381">
        <v>0</v>
      </c>
      <c r="AB46" s="381">
        <v>0</v>
      </c>
      <c r="AC46" s="382">
        <v>0</v>
      </c>
      <c r="AD46" s="197"/>
      <c r="AE46" s="197"/>
      <c r="AF46" s="197"/>
      <c r="AG46" s="197"/>
      <c r="AH46" s="197"/>
      <c r="AI46" s="197"/>
      <c r="AJ46" s="197"/>
      <c r="AK46" s="197"/>
      <c r="AL46" s="129"/>
      <c r="AM46" s="129"/>
      <c r="AN46" s="129"/>
      <c r="AP46" s="130"/>
      <c r="AQ46" s="130"/>
      <c r="AR46" s="130"/>
      <c r="AS46" s="130"/>
      <c r="AT46" s="130"/>
      <c r="AU46" s="130"/>
      <c r="AV46" s="130"/>
      <c r="AW46" s="130"/>
      <c r="AX46" s="130"/>
      <c r="AY46" s="130"/>
      <c r="AZ46" s="130"/>
      <c r="BA46" s="130"/>
      <c r="BB46" s="130"/>
      <c r="BC46" s="130"/>
      <c r="BD46" s="130"/>
      <c r="BE46" s="130"/>
      <c r="BF46" s="130"/>
      <c r="BG46" s="130"/>
      <c r="BH46" s="130"/>
      <c r="BI46" s="130"/>
      <c r="BJ46" s="130"/>
      <c r="BK46" s="130"/>
      <c r="BL46" s="130"/>
      <c r="BM46" s="130"/>
      <c r="BN46" s="51"/>
      <c r="BO46" s="50"/>
      <c r="BP46" s="50"/>
      <c r="BQ46" s="50"/>
      <c r="BR46" s="50"/>
      <c r="BS46" s="50"/>
      <c r="BT46" s="50"/>
      <c r="BU46" s="50"/>
      <c r="BW46" s="65"/>
    </row>
    <row r="47" spans="1:75" ht="31.2" customHeight="1" x14ac:dyDescent="0.3">
      <c r="A47" s="580" t="s">
        <v>415</v>
      </c>
      <c r="B47" s="561" t="s">
        <v>98</v>
      </c>
      <c r="C47" s="555" t="s">
        <v>406</v>
      </c>
      <c r="D47" s="547" t="s">
        <v>417</v>
      </c>
      <c r="E47" s="383" t="s">
        <v>403</v>
      </c>
      <c r="F47" s="375">
        <v>0.05</v>
      </c>
      <c r="G47" s="375">
        <v>0.05</v>
      </c>
      <c r="H47" s="375">
        <v>0.05</v>
      </c>
      <c r="I47" s="375">
        <v>0.05</v>
      </c>
      <c r="J47" s="375">
        <v>0.05</v>
      </c>
      <c r="K47" s="384">
        <v>0.1</v>
      </c>
      <c r="L47" s="384">
        <v>0.1</v>
      </c>
      <c r="M47" s="384">
        <v>0.3</v>
      </c>
      <c r="N47" s="384">
        <v>0.65</v>
      </c>
      <c r="O47" s="384">
        <v>0.65</v>
      </c>
      <c r="P47" s="384">
        <v>0.65</v>
      </c>
      <c r="Q47" s="384">
        <v>0.65</v>
      </c>
      <c r="R47" s="384">
        <v>0.65</v>
      </c>
      <c r="S47" s="384">
        <v>0.65</v>
      </c>
      <c r="T47" s="384">
        <v>0.65</v>
      </c>
      <c r="U47" s="384">
        <v>0.65</v>
      </c>
      <c r="V47" s="384">
        <v>0.65</v>
      </c>
      <c r="W47" s="384">
        <v>0.35</v>
      </c>
      <c r="X47" s="384">
        <v>0.3</v>
      </c>
      <c r="Y47" s="384">
        <v>0.3</v>
      </c>
      <c r="Z47" s="375">
        <v>0.2</v>
      </c>
      <c r="AA47" s="375">
        <v>0.2</v>
      </c>
      <c r="AB47" s="375">
        <v>0.1</v>
      </c>
      <c r="AC47" s="376">
        <v>0.05</v>
      </c>
      <c r="AD47" s="200"/>
      <c r="AE47" s="200"/>
      <c r="AF47" s="200"/>
      <c r="AG47" s="200"/>
      <c r="AH47" s="200"/>
      <c r="AI47" s="200"/>
      <c r="AJ47" s="200"/>
      <c r="AK47" s="200"/>
    </row>
    <row r="48" spans="1:75" ht="31.2" customHeight="1" x14ac:dyDescent="0.3">
      <c r="A48" s="581"/>
      <c r="B48" s="562"/>
      <c r="C48" s="556"/>
      <c r="D48" s="544"/>
      <c r="E48" s="333" t="s">
        <v>404</v>
      </c>
      <c r="F48" s="331">
        <v>0.05</v>
      </c>
      <c r="G48" s="331">
        <v>0.05</v>
      </c>
      <c r="H48" s="331">
        <v>0.05</v>
      </c>
      <c r="I48" s="331">
        <v>0.05</v>
      </c>
      <c r="J48" s="331">
        <v>0.05</v>
      </c>
      <c r="K48" s="378">
        <v>0.05</v>
      </c>
      <c r="L48" s="378">
        <v>0.05</v>
      </c>
      <c r="M48" s="378">
        <v>0.05</v>
      </c>
      <c r="N48" s="378">
        <v>0.05</v>
      </c>
      <c r="O48" s="378">
        <v>0.05</v>
      </c>
      <c r="P48" s="378">
        <v>0.05</v>
      </c>
      <c r="Q48" s="378">
        <v>0.05</v>
      </c>
      <c r="R48" s="378">
        <v>0.05</v>
      </c>
      <c r="S48" s="378">
        <v>0.05</v>
      </c>
      <c r="T48" s="378">
        <v>0.05</v>
      </c>
      <c r="U48" s="378">
        <v>0.05</v>
      </c>
      <c r="V48" s="378">
        <v>0.05</v>
      </c>
      <c r="W48" s="331">
        <v>0.05</v>
      </c>
      <c r="X48" s="331">
        <v>0.05</v>
      </c>
      <c r="Y48" s="331">
        <v>0.05</v>
      </c>
      <c r="Z48" s="331">
        <v>0.05</v>
      </c>
      <c r="AA48" s="331">
        <v>0.05</v>
      </c>
      <c r="AB48" s="331">
        <v>0.05</v>
      </c>
      <c r="AC48" s="379">
        <v>0.05</v>
      </c>
      <c r="AD48" s="197"/>
      <c r="AE48" s="197"/>
      <c r="AF48" s="197"/>
      <c r="AG48" s="197"/>
      <c r="AH48" s="197"/>
      <c r="AI48" s="197"/>
      <c r="AJ48" s="197"/>
      <c r="AK48" s="197"/>
    </row>
    <row r="49" spans="1:42" ht="33" customHeight="1" thickBot="1" x14ac:dyDescent="0.35">
      <c r="A49" s="584"/>
      <c r="B49" s="563"/>
      <c r="C49" s="557"/>
      <c r="D49" s="564"/>
      <c r="E49" s="385" t="s">
        <v>405</v>
      </c>
      <c r="F49" s="386">
        <v>0.05</v>
      </c>
      <c r="G49" s="386">
        <v>0.05</v>
      </c>
      <c r="H49" s="386">
        <v>0.05</v>
      </c>
      <c r="I49" s="386">
        <v>0.05</v>
      </c>
      <c r="J49" s="386">
        <v>0.05</v>
      </c>
      <c r="K49" s="386">
        <v>0.05</v>
      </c>
      <c r="L49" s="386">
        <v>0.05</v>
      </c>
      <c r="M49" s="386">
        <v>0.05</v>
      </c>
      <c r="N49" s="386">
        <v>0.05</v>
      </c>
      <c r="O49" s="386">
        <v>0.05</v>
      </c>
      <c r="P49" s="386">
        <v>0.05</v>
      </c>
      <c r="Q49" s="386">
        <v>0.05</v>
      </c>
      <c r="R49" s="386">
        <v>0.05</v>
      </c>
      <c r="S49" s="386">
        <v>0.05</v>
      </c>
      <c r="T49" s="386">
        <v>0.05</v>
      </c>
      <c r="U49" s="386">
        <v>0.05</v>
      </c>
      <c r="V49" s="386">
        <v>0.05</v>
      </c>
      <c r="W49" s="386">
        <v>0.05</v>
      </c>
      <c r="X49" s="386">
        <v>0.05</v>
      </c>
      <c r="Y49" s="386">
        <v>0.05</v>
      </c>
      <c r="Z49" s="386">
        <v>0.05</v>
      </c>
      <c r="AA49" s="386">
        <v>0.05</v>
      </c>
      <c r="AB49" s="386">
        <v>0.05</v>
      </c>
      <c r="AC49" s="387">
        <v>0.05</v>
      </c>
      <c r="AD49" s="197"/>
      <c r="AE49" s="197"/>
      <c r="AF49" s="197"/>
      <c r="AG49" s="197"/>
      <c r="AH49" s="197"/>
      <c r="AI49" s="197"/>
      <c r="AJ49" s="197"/>
      <c r="AK49" s="197"/>
    </row>
    <row r="50" spans="1:42" ht="44.4" customHeight="1" x14ac:dyDescent="0.3">
      <c r="A50" s="580" t="s">
        <v>415</v>
      </c>
      <c r="B50" s="555" t="s">
        <v>98</v>
      </c>
      <c r="C50" s="555" t="s">
        <v>421</v>
      </c>
      <c r="D50" s="558" t="s">
        <v>422</v>
      </c>
      <c r="E50" s="383" t="s">
        <v>403</v>
      </c>
      <c r="F50" s="388">
        <v>0.45</v>
      </c>
      <c r="G50" s="388">
        <v>0.45</v>
      </c>
      <c r="H50" s="388">
        <v>0.45</v>
      </c>
      <c r="I50" s="388">
        <v>0.45</v>
      </c>
      <c r="J50" s="388">
        <v>0.45</v>
      </c>
      <c r="K50" s="388">
        <v>0.45</v>
      </c>
      <c r="L50" s="388">
        <v>0.45</v>
      </c>
      <c r="M50" s="388">
        <v>0.74</v>
      </c>
      <c r="N50" s="388">
        <v>0.87</v>
      </c>
      <c r="O50" s="388">
        <v>0.9</v>
      </c>
      <c r="P50" s="388">
        <v>0.9</v>
      </c>
      <c r="Q50" s="388">
        <v>0.9</v>
      </c>
      <c r="R50" s="388">
        <v>0.9</v>
      </c>
      <c r="S50" s="388">
        <v>0.9</v>
      </c>
      <c r="T50" s="388">
        <v>0.9</v>
      </c>
      <c r="U50" s="388">
        <v>0.9</v>
      </c>
      <c r="V50" s="388">
        <v>0.9</v>
      </c>
      <c r="W50" s="388">
        <v>0.7</v>
      </c>
      <c r="X50" s="388">
        <v>0.5</v>
      </c>
      <c r="Y50" s="388">
        <v>0.5</v>
      </c>
      <c r="Z50" s="388">
        <v>0.5</v>
      </c>
      <c r="AA50" s="388">
        <v>0.45</v>
      </c>
      <c r="AB50" s="388">
        <v>0.45</v>
      </c>
      <c r="AC50" s="389">
        <v>0.45</v>
      </c>
      <c r="AD50" s="197"/>
      <c r="AE50" s="197"/>
      <c r="AF50" s="197"/>
      <c r="AG50" s="197"/>
      <c r="AH50" s="197"/>
      <c r="AI50" s="197"/>
      <c r="AJ50" s="197"/>
      <c r="AK50" s="197"/>
    </row>
    <row r="51" spans="1:42" ht="34.200000000000003" customHeight="1" x14ac:dyDescent="0.3">
      <c r="A51" s="581"/>
      <c r="B51" s="556"/>
      <c r="C51" s="556"/>
      <c r="D51" s="559"/>
      <c r="E51" s="333" t="s">
        <v>404</v>
      </c>
      <c r="F51" s="390">
        <v>0.43</v>
      </c>
      <c r="G51" s="390">
        <v>0.43</v>
      </c>
      <c r="H51" s="390">
        <v>0.43</v>
      </c>
      <c r="I51" s="390">
        <v>0.43</v>
      </c>
      <c r="J51" s="390">
        <v>0.43</v>
      </c>
      <c r="K51" s="390">
        <v>0.43</v>
      </c>
      <c r="L51" s="390">
        <v>0.43</v>
      </c>
      <c r="M51" s="390">
        <v>0.43</v>
      </c>
      <c r="N51" s="390">
        <v>0.43</v>
      </c>
      <c r="O51" s="390">
        <v>0.43</v>
      </c>
      <c r="P51" s="390">
        <v>0.43</v>
      </c>
      <c r="Q51" s="390">
        <v>0.43</v>
      </c>
      <c r="R51" s="390">
        <v>0.43</v>
      </c>
      <c r="S51" s="390">
        <v>0.43</v>
      </c>
      <c r="T51" s="390">
        <v>0.43</v>
      </c>
      <c r="U51" s="390">
        <v>0.43</v>
      </c>
      <c r="V51" s="390">
        <v>0.43</v>
      </c>
      <c r="W51" s="390">
        <v>0.43</v>
      </c>
      <c r="X51" s="390">
        <v>0.43</v>
      </c>
      <c r="Y51" s="390">
        <v>0.43</v>
      </c>
      <c r="Z51" s="390">
        <v>0.43</v>
      </c>
      <c r="AA51" s="390">
        <v>0.43</v>
      </c>
      <c r="AB51" s="390">
        <v>0.43</v>
      </c>
      <c r="AC51" s="391">
        <v>0.43</v>
      </c>
      <c r="AD51" s="197"/>
      <c r="AE51" s="197"/>
      <c r="AF51" s="197"/>
      <c r="AG51" s="197"/>
      <c r="AH51" s="197"/>
      <c r="AI51" s="197"/>
      <c r="AJ51" s="197"/>
      <c r="AK51" s="197"/>
    </row>
    <row r="52" spans="1:42" s="201" customFormat="1" ht="37.200000000000003" customHeight="1" thickBot="1" x14ac:dyDescent="0.35">
      <c r="A52" s="584"/>
      <c r="B52" s="557"/>
      <c r="C52" s="557"/>
      <c r="D52" s="560"/>
      <c r="E52" s="392" t="s">
        <v>405</v>
      </c>
      <c r="F52" s="393">
        <v>0.43</v>
      </c>
      <c r="G52" s="393">
        <v>0.43</v>
      </c>
      <c r="H52" s="393">
        <v>0.43</v>
      </c>
      <c r="I52" s="393">
        <v>0.43</v>
      </c>
      <c r="J52" s="393">
        <v>0.43</v>
      </c>
      <c r="K52" s="393">
        <v>0.43</v>
      </c>
      <c r="L52" s="393">
        <v>0.43</v>
      </c>
      <c r="M52" s="393">
        <v>0.43</v>
      </c>
      <c r="N52" s="393">
        <v>0.43</v>
      </c>
      <c r="O52" s="393">
        <v>0.43</v>
      </c>
      <c r="P52" s="393">
        <v>0.43</v>
      </c>
      <c r="Q52" s="393">
        <v>0.43</v>
      </c>
      <c r="R52" s="393">
        <v>0.43</v>
      </c>
      <c r="S52" s="393">
        <v>0.43</v>
      </c>
      <c r="T52" s="393">
        <v>0.43</v>
      </c>
      <c r="U52" s="393">
        <v>0.43</v>
      </c>
      <c r="V52" s="393">
        <v>0.43</v>
      </c>
      <c r="W52" s="393">
        <v>0.43</v>
      </c>
      <c r="X52" s="393">
        <v>0.43</v>
      </c>
      <c r="Y52" s="393">
        <v>0.43</v>
      </c>
      <c r="Z52" s="393">
        <v>0.43</v>
      </c>
      <c r="AA52" s="393">
        <v>0.43</v>
      </c>
      <c r="AB52" s="393">
        <v>0.43</v>
      </c>
      <c r="AC52" s="394">
        <v>0.43</v>
      </c>
      <c r="AD52" s="200"/>
      <c r="AE52" s="200"/>
      <c r="AF52" s="200"/>
      <c r="AG52" s="200"/>
      <c r="AH52" s="200"/>
      <c r="AI52" s="200"/>
      <c r="AJ52" s="200"/>
      <c r="AK52" s="200"/>
      <c r="AL52" s="528"/>
      <c r="AM52" s="528"/>
      <c r="AN52" s="528"/>
      <c r="AO52" s="528"/>
      <c r="AP52" s="528"/>
    </row>
    <row r="53" spans="1:42" s="201" customFormat="1" ht="37.200000000000003" customHeight="1" x14ac:dyDescent="0.3">
      <c r="A53" s="580" t="s">
        <v>415</v>
      </c>
      <c r="B53" s="555" t="s">
        <v>98</v>
      </c>
      <c r="C53" s="555" t="s">
        <v>411</v>
      </c>
      <c r="D53" s="547" t="s">
        <v>423</v>
      </c>
      <c r="E53" s="395" t="s">
        <v>403</v>
      </c>
      <c r="F53" s="330">
        <v>0</v>
      </c>
      <c r="G53" s="330">
        <v>0</v>
      </c>
      <c r="H53" s="330">
        <v>0</v>
      </c>
      <c r="I53" s="330">
        <v>0</v>
      </c>
      <c r="J53" s="330">
        <v>0</v>
      </c>
      <c r="K53" s="330">
        <v>1</v>
      </c>
      <c r="L53" s="330">
        <v>1</v>
      </c>
      <c r="M53" s="330">
        <v>1</v>
      </c>
      <c r="N53" s="330">
        <v>1</v>
      </c>
      <c r="O53" s="330">
        <v>1</v>
      </c>
      <c r="P53" s="330">
        <v>1</v>
      </c>
      <c r="Q53" s="330">
        <v>1</v>
      </c>
      <c r="R53" s="330">
        <v>1</v>
      </c>
      <c r="S53" s="330">
        <v>1</v>
      </c>
      <c r="T53" s="330">
        <v>1</v>
      </c>
      <c r="U53" s="330">
        <v>1</v>
      </c>
      <c r="V53" s="330">
        <v>1</v>
      </c>
      <c r="W53" s="330">
        <v>1</v>
      </c>
      <c r="X53" s="330">
        <v>1</v>
      </c>
      <c r="Y53" s="330">
        <v>1</v>
      </c>
      <c r="Z53" s="330">
        <v>1</v>
      </c>
      <c r="AA53" s="330">
        <v>1</v>
      </c>
      <c r="AB53" s="330">
        <v>1</v>
      </c>
      <c r="AC53" s="396">
        <v>1</v>
      </c>
      <c r="AD53" s="200"/>
      <c r="AE53" s="200"/>
      <c r="AF53" s="200"/>
      <c r="AG53" s="200"/>
      <c r="AH53" s="200"/>
      <c r="AI53" s="200"/>
      <c r="AJ53" s="200"/>
      <c r="AK53" s="200"/>
      <c r="AL53" s="437"/>
      <c r="AM53" s="437"/>
      <c r="AN53" s="437"/>
      <c r="AO53" s="437"/>
      <c r="AP53" s="437"/>
    </row>
    <row r="54" spans="1:42" s="201" customFormat="1" ht="37.200000000000003" customHeight="1" x14ac:dyDescent="0.3">
      <c r="A54" s="581"/>
      <c r="B54" s="556"/>
      <c r="C54" s="556"/>
      <c r="D54" s="544"/>
      <c r="E54" s="333" t="s">
        <v>404</v>
      </c>
      <c r="F54" s="331">
        <v>0</v>
      </c>
      <c r="G54" s="331">
        <v>0</v>
      </c>
      <c r="H54" s="331">
        <v>0</v>
      </c>
      <c r="I54" s="331">
        <v>0</v>
      </c>
      <c r="J54" s="331">
        <v>0</v>
      </c>
      <c r="K54" s="378">
        <v>0</v>
      </c>
      <c r="L54" s="378">
        <v>0</v>
      </c>
      <c r="M54" s="378">
        <v>0</v>
      </c>
      <c r="N54" s="378">
        <v>0</v>
      </c>
      <c r="O54" s="378">
        <v>0</v>
      </c>
      <c r="P54" s="378">
        <v>0</v>
      </c>
      <c r="Q54" s="378">
        <v>0</v>
      </c>
      <c r="R54" s="378">
        <v>0</v>
      </c>
      <c r="S54" s="378">
        <v>0</v>
      </c>
      <c r="T54" s="378">
        <v>0</v>
      </c>
      <c r="U54" s="378">
        <v>0</v>
      </c>
      <c r="V54" s="378">
        <v>0</v>
      </c>
      <c r="W54" s="378">
        <v>0</v>
      </c>
      <c r="X54" s="378">
        <v>0</v>
      </c>
      <c r="Y54" s="331">
        <v>0</v>
      </c>
      <c r="Z54" s="331">
        <v>0</v>
      </c>
      <c r="AA54" s="331">
        <v>0</v>
      </c>
      <c r="AB54" s="331">
        <v>0</v>
      </c>
      <c r="AC54" s="379">
        <v>0</v>
      </c>
      <c r="AD54" s="200"/>
      <c r="AE54" s="200"/>
      <c r="AF54" s="200"/>
      <c r="AG54" s="200"/>
      <c r="AH54" s="200"/>
      <c r="AI54" s="200"/>
      <c r="AJ54" s="200"/>
      <c r="AK54" s="200"/>
      <c r="AL54" s="437"/>
      <c r="AM54" s="437"/>
      <c r="AN54" s="437"/>
      <c r="AO54" s="437"/>
      <c r="AP54" s="437"/>
    </row>
    <row r="55" spans="1:42" s="201" customFormat="1" ht="37.200000000000003" customHeight="1" thickBot="1" x14ac:dyDescent="0.35">
      <c r="A55" s="582"/>
      <c r="B55" s="574"/>
      <c r="C55" s="574"/>
      <c r="D55" s="545"/>
      <c r="E55" s="392" t="s">
        <v>405</v>
      </c>
      <c r="F55" s="386">
        <v>0</v>
      </c>
      <c r="G55" s="386">
        <v>0</v>
      </c>
      <c r="H55" s="386">
        <v>0</v>
      </c>
      <c r="I55" s="386">
        <v>0</v>
      </c>
      <c r="J55" s="386">
        <v>0</v>
      </c>
      <c r="K55" s="386">
        <v>0</v>
      </c>
      <c r="L55" s="386">
        <v>0</v>
      </c>
      <c r="M55" s="386">
        <v>0</v>
      </c>
      <c r="N55" s="386">
        <v>0</v>
      </c>
      <c r="O55" s="386">
        <v>0</v>
      </c>
      <c r="P55" s="386">
        <v>0</v>
      </c>
      <c r="Q55" s="386">
        <v>0</v>
      </c>
      <c r="R55" s="386">
        <v>0</v>
      </c>
      <c r="S55" s="386">
        <v>0</v>
      </c>
      <c r="T55" s="386">
        <v>0</v>
      </c>
      <c r="U55" s="386">
        <v>0</v>
      </c>
      <c r="V55" s="386">
        <v>0</v>
      </c>
      <c r="W55" s="386">
        <v>0</v>
      </c>
      <c r="X55" s="386">
        <v>0</v>
      </c>
      <c r="Y55" s="386">
        <v>0</v>
      </c>
      <c r="Z55" s="386">
        <v>0</v>
      </c>
      <c r="AA55" s="386">
        <v>0</v>
      </c>
      <c r="AB55" s="386">
        <v>0</v>
      </c>
      <c r="AC55" s="387">
        <v>0</v>
      </c>
      <c r="AD55" s="200"/>
      <c r="AE55" s="200"/>
      <c r="AF55" s="200"/>
      <c r="AG55" s="200"/>
      <c r="AH55" s="200"/>
      <c r="AI55" s="200"/>
      <c r="AJ55" s="200"/>
      <c r="AK55" s="200"/>
      <c r="AL55" s="437"/>
      <c r="AM55" s="437"/>
      <c r="AN55" s="437"/>
      <c r="AO55" s="437"/>
      <c r="AP55" s="437"/>
    </row>
    <row r="56" spans="1:42" s="201" customFormat="1" ht="37.200000000000003" customHeight="1" x14ac:dyDescent="0.3">
      <c r="A56" s="580" t="s">
        <v>415</v>
      </c>
      <c r="B56" s="555" t="s">
        <v>98</v>
      </c>
      <c r="C56" s="555" t="s">
        <v>408</v>
      </c>
      <c r="D56" s="547" t="s">
        <v>417</v>
      </c>
      <c r="E56" s="395" t="s">
        <v>403</v>
      </c>
      <c r="F56" s="397">
        <v>0.05</v>
      </c>
      <c r="G56" s="397">
        <v>0.05</v>
      </c>
      <c r="H56" s="397">
        <v>0.05</v>
      </c>
      <c r="I56" s="397">
        <v>0.05</v>
      </c>
      <c r="J56" s="397">
        <v>0.05</v>
      </c>
      <c r="K56" s="397">
        <v>0.08</v>
      </c>
      <c r="L56" s="397">
        <v>7.0000000000000007E-2</v>
      </c>
      <c r="M56" s="397">
        <v>0.19</v>
      </c>
      <c r="N56" s="397">
        <v>0.35</v>
      </c>
      <c r="O56" s="397">
        <v>0.38</v>
      </c>
      <c r="P56" s="397">
        <v>0.39</v>
      </c>
      <c r="Q56" s="397">
        <v>0.47</v>
      </c>
      <c r="R56" s="397">
        <v>0.56999999999999995</v>
      </c>
      <c r="S56" s="397">
        <v>0.54</v>
      </c>
      <c r="T56" s="397">
        <v>0.34</v>
      </c>
      <c r="U56" s="397">
        <v>0.33</v>
      </c>
      <c r="V56" s="397">
        <v>0.44</v>
      </c>
      <c r="W56" s="397">
        <v>0.26</v>
      </c>
      <c r="X56" s="397">
        <v>0.21</v>
      </c>
      <c r="Y56" s="397">
        <v>0.15</v>
      </c>
      <c r="Z56" s="397">
        <v>0.17</v>
      </c>
      <c r="AA56" s="397">
        <v>0.08</v>
      </c>
      <c r="AB56" s="397">
        <v>0.05</v>
      </c>
      <c r="AC56" s="398">
        <v>0.05</v>
      </c>
      <c r="AD56" s="200"/>
      <c r="AE56" s="200"/>
      <c r="AF56" s="200"/>
      <c r="AG56" s="200"/>
      <c r="AH56" s="200"/>
      <c r="AI56" s="200"/>
      <c r="AJ56" s="200"/>
      <c r="AK56" s="200"/>
      <c r="AL56" s="437"/>
      <c r="AM56" s="437"/>
      <c r="AN56" s="437"/>
      <c r="AO56" s="437"/>
      <c r="AP56" s="437"/>
    </row>
    <row r="57" spans="1:42" s="201" customFormat="1" ht="37.200000000000003" customHeight="1" x14ac:dyDescent="0.3">
      <c r="A57" s="581"/>
      <c r="B57" s="556"/>
      <c r="C57" s="556"/>
      <c r="D57" s="544"/>
      <c r="E57" s="333" t="s">
        <v>404</v>
      </c>
      <c r="F57" s="399">
        <v>0.05</v>
      </c>
      <c r="G57" s="399">
        <v>0.05</v>
      </c>
      <c r="H57" s="399">
        <v>0.05</v>
      </c>
      <c r="I57" s="399">
        <v>0.05</v>
      </c>
      <c r="J57" s="399">
        <v>0.05</v>
      </c>
      <c r="K57" s="399">
        <v>0.08</v>
      </c>
      <c r="L57" s="399">
        <v>7.0000000000000007E-2</v>
      </c>
      <c r="M57" s="399">
        <v>0.11</v>
      </c>
      <c r="N57" s="399">
        <v>0.15</v>
      </c>
      <c r="O57" s="399">
        <v>0.21</v>
      </c>
      <c r="P57" s="399">
        <v>0.19</v>
      </c>
      <c r="Q57" s="399">
        <v>0.23</v>
      </c>
      <c r="R57" s="399">
        <v>0.2</v>
      </c>
      <c r="S57" s="399">
        <v>0.19</v>
      </c>
      <c r="T57" s="399">
        <v>0.15</v>
      </c>
      <c r="U57" s="399">
        <v>0.12</v>
      </c>
      <c r="V57" s="399">
        <v>0.14000000000000001</v>
      </c>
      <c r="W57" s="399">
        <v>7.0000000000000007E-2</v>
      </c>
      <c r="X57" s="399">
        <v>7.0000000000000007E-2</v>
      </c>
      <c r="Y57" s="399">
        <v>7.0000000000000007E-2</v>
      </c>
      <c r="Z57" s="399">
        <v>7.0000000000000007E-2</v>
      </c>
      <c r="AA57" s="399">
        <v>0.09</v>
      </c>
      <c r="AB57" s="399">
        <v>0.05</v>
      </c>
      <c r="AC57" s="400">
        <v>0.05</v>
      </c>
      <c r="AD57" s="200"/>
      <c r="AE57" s="200"/>
      <c r="AF57" s="200"/>
      <c r="AG57" s="200"/>
      <c r="AH57" s="200"/>
      <c r="AI57" s="200"/>
      <c r="AJ57" s="200"/>
      <c r="AK57" s="200"/>
      <c r="AL57" s="437"/>
      <c r="AM57" s="437"/>
      <c r="AN57" s="437"/>
      <c r="AO57" s="437"/>
      <c r="AP57" s="437"/>
    </row>
    <row r="58" spans="1:42" s="201" customFormat="1" ht="37.200000000000003" customHeight="1" thickBot="1" x14ac:dyDescent="0.35">
      <c r="A58" s="581"/>
      <c r="B58" s="556"/>
      <c r="C58" s="556"/>
      <c r="D58" s="544"/>
      <c r="E58" s="385" t="s">
        <v>405</v>
      </c>
      <c r="F58" s="401">
        <v>0.04</v>
      </c>
      <c r="G58" s="401">
        <v>0.04</v>
      </c>
      <c r="H58" s="401">
        <v>0.04</v>
      </c>
      <c r="I58" s="401">
        <v>0.04</v>
      </c>
      <c r="J58" s="401">
        <v>0.04</v>
      </c>
      <c r="K58" s="401">
        <v>7.0000000000000007E-2</v>
      </c>
      <c r="L58" s="401">
        <v>0.04</v>
      </c>
      <c r="M58" s="401">
        <v>0.04</v>
      </c>
      <c r="N58" s="401">
        <v>0.04</v>
      </c>
      <c r="O58" s="401">
        <v>0.04</v>
      </c>
      <c r="P58" s="401">
        <v>0.04</v>
      </c>
      <c r="Q58" s="401">
        <v>0.06</v>
      </c>
      <c r="R58" s="401">
        <v>0.06</v>
      </c>
      <c r="S58" s="401">
        <v>0.09</v>
      </c>
      <c r="T58" s="401">
        <v>0.06</v>
      </c>
      <c r="U58" s="401">
        <v>0.04</v>
      </c>
      <c r="V58" s="401">
        <v>0.04</v>
      </c>
      <c r="W58" s="401">
        <v>0.04</v>
      </c>
      <c r="X58" s="401">
        <v>0.04</v>
      </c>
      <c r="Y58" s="401">
        <v>0.04</v>
      </c>
      <c r="Z58" s="401">
        <v>0.04</v>
      </c>
      <c r="AA58" s="401">
        <v>7.0000000000000007E-2</v>
      </c>
      <c r="AB58" s="401">
        <v>0.04</v>
      </c>
      <c r="AC58" s="402">
        <v>0.04</v>
      </c>
      <c r="AD58" s="200"/>
      <c r="AE58" s="200"/>
      <c r="AF58" s="200"/>
      <c r="AG58" s="200"/>
      <c r="AH58" s="200"/>
      <c r="AI58" s="200"/>
      <c r="AJ58" s="200"/>
      <c r="AK58" s="200"/>
      <c r="AL58" s="437"/>
      <c r="AM58" s="437"/>
      <c r="AN58" s="437"/>
      <c r="AO58" s="437"/>
      <c r="AP58" s="437"/>
    </row>
    <row r="59" spans="1:42" s="201" customFormat="1" ht="37.200000000000003" customHeight="1" x14ac:dyDescent="0.3">
      <c r="A59" s="591" t="s">
        <v>415</v>
      </c>
      <c r="B59" s="555" t="s">
        <v>98</v>
      </c>
      <c r="C59" s="555" t="s">
        <v>165</v>
      </c>
      <c r="D59" s="547" t="s">
        <v>423</v>
      </c>
      <c r="E59" s="332" t="s">
        <v>403</v>
      </c>
      <c r="F59" s="375">
        <v>1</v>
      </c>
      <c r="G59" s="375">
        <v>1</v>
      </c>
      <c r="H59" s="375">
        <v>1</v>
      </c>
      <c r="I59" s="375">
        <v>1</v>
      </c>
      <c r="J59" s="375">
        <v>1</v>
      </c>
      <c r="K59" s="375">
        <v>0.25</v>
      </c>
      <c r="L59" s="375">
        <v>0.25</v>
      </c>
      <c r="M59" s="375">
        <v>0.25</v>
      </c>
      <c r="N59" s="375">
        <v>0.25</v>
      </c>
      <c r="O59" s="375">
        <v>0.25</v>
      </c>
      <c r="P59" s="375">
        <v>0.25</v>
      </c>
      <c r="Q59" s="375">
        <v>0.25</v>
      </c>
      <c r="R59" s="375">
        <v>0.25</v>
      </c>
      <c r="S59" s="375">
        <v>0.25</v>
      </c>
      <c r="T59" s="375">
        <v>0.25</v>
      </c>
      <c r="U59" s="375">
        <v>0.25</v>
      </c>
      <c r="V59" s="375">
        <v>0.25</v>
      </c>
      <c r="W59" s="375">
        <v>0.25</v>
      </c>
      <c r="X59" s="375">
        <v>0.25</v>
      </c>
      <c r="Y59" s="375">
        <v>0.25</v>
      </c>
      <c r="Z59" s="375">
        <v>0.25</v>
      </c>
      <c r="AA59" s="375">
        <v>0.25</v>
      </c>
      <c r="AB59" s="375">
        <v>0.25</v>
      </c>
      <c r="AC59" s="376">
        <v>0.25</v>
      </c>
      <c r="AD59" s="200"/>
      <c r="AE59" s="200"/>
      <c r="AF59" s="200"/>
      <c r="AG59" s="200"/>
      <c r="AH59" s="200"/>
      <c r="AI59" s="200"/>
      <c r="AJ59" s="200"/>
      <c r="AK59" s="200"/>
      <c r="AL59" s="437"/>
      <c r="AM59" s="437"/>
      <c r="AN59" s="437"/>
      <c r="AO59" s="437"/>
      <c r="AP59" s="437"/>
    </row>
    <row r="60" spans="1:42" s="201" customFormat="1" ht="37.200000000000003" customHeight="1" x14ac:dyDescent="0.3">
      <c r="A60" s="592"/>
      <c r="B60" s="556"/>
      <c r="C60" s="556"/>
      <c r="D60" s="544"/>
      <c r="E60" s="333" t="s">
        <v>404</v>
      </c>
      <c r="F60" s="331">
        <v>1</v>
      </c>
      <c r="G60" s="331">
        <v>1</v>
      </c>
      <c r="H60" s="331">
        <v>1</v>
      </c>
      <c r="I60" s="331">
        <v>1</v>
      </c>
      <c r="J60" s="331">
        <v>1</v>
      </c>
      <c r="K60" s="378">
        <v>1</v>
      </c>
      <c r="L60" s="378">
        <v>1</v>
      </c>
      <c r="M60" s="378">
        <v>1</v>
      </c>
      <c r="N60" s="378">
        <v>1</v>
      </c>
      <c r="O60" s="378">
        <v>1</v>
      </c>
      <c r="P60" s="378">
        <v>1</v>
      </c>
      <c r="Q60" s="378">
        <v>1</v>
      </c>
      <c r="R60" s="378">
        <v>1</v>
      </c>
      <c r="S60" s="378">
        <v>1</v>
      </c>
      <c r="T60" s="378">
        <v>1</v>
      </c>
      <c r="U60" s="378">
        <v>1</v>
      </c>
      <c r="V60" s="378">
        <v>1</v>
      </c>
      <c r="W60" s="378">
        <v>1</v>
      </c>
      <c r="X60" s="378">
        <v>1</v>
      </c>
      <c r="Y60" s="331">
        <v>1</v>
      </c>
      <c r="Z60" s="331">
        <v>1</v>
      </c>
      <c r="AA60" s="331">
        <v>1</v>
      </c>
      <c r="AB60" s="331">
        <v>1</v>
      </c>
      <c r="AC60" s="379">
        <v>1</v>
      </c>
      <c r="AD60" s="200"/>
      <c r="AE60" s="200"/>
      <c r="AF60" s="200"/>
      <c r="AG60" s="200"/>
      <c r="AH60" s="200"/>
      <c r="AI60" s="200"/>
      <c r="AJ60" s="200"/>
      <c r="AK60" s="200"/>
      <c r="AL60" s="437"/>
      <c r="AM60" s="437"/>
      <c r="AN60" s="437"/>
      <c r="AO60" s="437"/>
      <c r="AP60" s="437"/>
    </row>
    <row r="61" spans="1:42" s="201" customFormat="1" ht="37.200000000000003" customHeight="1" thickBot="1" x14ac:dyDescent="0.35">
      <c r="A61" s="593"/>
      <c r="B61" s="557"/>
      <c r="C61" s="557"/>
      <c r="D61" s="545"/>
      <c r="E61" s="334" t="s">
        <v>405</v>
      </c>
      <c r="F61" s="386">
        <v>1</v>
      </c>
      <c r="G61" s="386">
        <v>1</v>
      </c>
      <c r="H61" s="386">
        <v>1</v>
      </c>
      <c r="I61" s="386">
        <v>1</v>
      </c>
      <c r="J61" s="386">
        <v>1</v>
      </c>
      <c r="K61" s="386">
        <v>1</v>
      </c>
      <c r="L61" s="386">
        <v>1</v>
      </c>
      <c r="M61" s="386">
        <v>1</v>
      </c>
      <c r="N61" s="386">
        <v>1</v>
      </c>
      <c r="O61" s="386">
        <v>1</v>
      </c>
      <c r="P61" s="386">
        <v>1</v>
      </c>
      <c r="Q61" s="386">
        <v>1</v>
      </c>
      <c r="R61" s="386">
        <v>1</v>
      </c>
      <c r="S61" s="386">
        <v>1</v>
      </c>
      <c r="T61" s="386">
        <v>1</v>
      </c>
      <c r="U61" s="386">
        <v>1</v>
      </c>
      <c r="V61" s="386">
        <v>1</v>
      </c>
      <c r="W61" s="386">
        <v>1</v>
      </c>
      <c r="X61" s="386">
        <v>1</v>
      </c>
      <c r="Y61" s="386">
        <v>1</v>
      </c>
      <c r="Z61" s="386">
        <v>1</v>
      </c>
      <c r="AA61" s="386">
        <v>1</v>
      </c>
      <c r="AB61" s="386">
        <v>1</v>
      </c>
      <c r="AC61" s="387">
        <v>1</v>
      </c>
      <c r="AD61" s="200"/>
      <c r="AE61" s="200"/>
      <c r="AF61" s="200"/>
      <c r="AG61" s="200"/>
      <c r="AH61" s="200"/>
      <c r="AI61" s="200"/>
      <c r="AJ61" s="200"/>
      <c r="AK61" s="200"/>
      <c r="AL61" s="437"/>
      <c r="AM61" s="437"/>
      <c r="AN61" s="437"/>
      <c r="AO61" s="437"/>
      <c r="AP61" s="437"/>
    </row>
    <row r="62" spans="1:42" s="201" customFormat="1" ht="37.200000000000003" customHeight="1" x14ac:dyDescent="0.3">
      <c r="A62" s="556" t="s">
        <v>415</v>
      </c>
      <c r="B62" s="562" t="s">
        <v>419</v>
      </c>
      <c r="C62" s="556" t="s">
        <v>416</v>
      </c>
      <c r="D62" s="572" t="s">
        <v>417</v>
      </c>
      <c r="E62" s="373" t="s">
        <v>403</v>
      </c>
      <c r="F62" s="329">
        <f>IF(F53=1,Thermostat!$B$7,Thermostat!$B$8)</f>
        <v>60</v>
      </c>
      <c r="G62" s="329">
        <f>IF(G53=1,Thermostat!$B$7,Thermostat!$B$8)</f>
        <v>60</v>
      </c>
      <c r="H62" s="329">
        <f>IF(H53=1,Thermostat!$B$7,Thermostat!$B$8)</f>
        <v>60</v>
      </c>
      <c r="I62" s="329">
        <f>IF(I53=1,Thermostat!$B$7,Thermostat!$B$8)</f>
        <v>60</v>
      </c>
      <c r="J62" s="329">
        <f>IF(J53=1,Thermostat!$B$7,Thermostat!$B$8)</f>
        <v>60</v>
      </c>
      <c r="K62" s="329">
        <f>IF(K53=1,Thermostat!$B$7,Thermostat!$B$8)</f>
        <v>70</v>
      </c>
      <c r="L62" s="329">
        <f>IF(L53=1,Thermostat!$B$7,Thermostat!$B$8)</f>
        <v>70</v>
      </c>
      <c r="M62" s="329">
        <f>IF(M53=1,Thermostat!$B$7,Thermostat!$B$8)</f>
        <v>70</v>
      </c>
      <c r="N62" s="329">
        <f>IF(N53=1,Thermostat!$B$7,Thermostat!$B$8)</f>
        <v>70</v>
      </c>
      <c r="O62" s="329">
        <f>IF(O53=1,Thermostat!$B$7,Thermostat!$B$8)</f>
        <v>70</v>
      </c>
      <c r="P62" s="329">
        <f>IF(P53=1,Thermostat!$B$7,Thermostat!$B$8)</f>
        <v>70</v>
      </c>
      <c r="Q62" s="329">
        <f>IF(Q53=1,Thermostat!$B$7,Thermostat!$B$8)</f>
        <v>70</v>
      </c>
      <c r="R62" s="329">
        <f>IF(R53=1,Thermostat!$B$7,Thermostat!$B$8)</f>
        <v>70</v>
      </c>
      <c r="S62" s="329">
        <f>IF(S53=1,Thermostat!$B$7,Thermostat!$B$8)</f>
        <v>70</v>
      </c>
      <c r="T62" s="329">
        <f>IF(T53=1,Thermostat!$B$7,Thermostat!$B$8)</f>
        <v>70</v>
      </c>
      <c r="U62" s="329">
        <f>IF(U53=1,Thermostat!$B$7,Thermostat!$B$8)</f>
        <v>70</v>
      </c>
      <c r="V62" s="329">
        <f>IF(V53=1,Thermostat!$B$7,Thermostat!$B$8)</f>
        <v>70</v>
      </c>
      <c r="W62" s="329">
        <f>IF(W53=1,Thermostat!$B$7,Thermostat!$B$8)</f>
        <v>70</v>
      </c>
      <c r="X62" s="329">
        <f>IF(X53=1,Thermostat!$B$7,Thermostat!$B$8)</f>
        <v>70</v>
      </c>
      <c r="Y62" s="329">
        <f>IF(Y53=1,Thermostat!$B$7,Thermostat!$B$8)</f>
        <v>70</v>
      </c>
      <c r="Z62" s="329">
        <f>IF(Z53=1,Thermostat!$B$7,Thermostat!$B$8)</f>
        <v>70</v>
      </c>
      <c r="AA62" s="329">
        <f>IF(AA53=1,Thermostat!$B$7,Thermostat!$B$8)</f>
        <v>70</v>
      </c>
      <c r="AB62" s="329">
        <f>IF(AB53=1,Thermostat!$B$7,Thermostat!$B$8)</f>
        <v>70</v>
      </c>
      <c r="AC62" s="363">
        <f>IF(AC53=1,Thermostat!$B$7,Thermostat!$B$8)</f>
        <v>70</v>
      </c>
      <c r="AD62" s="200"/>
      <c r="AE62" s="200"/>
      <c r="AF62" s="200"/>
      <c r="AG62" s="200"/>
      <c r="AH62" s="200"/>
      <c r="AI62" s="200"/>
      <c r="AJ62" s="200"/>
      <c r="AK62" s="200"/>
      <c r="AL62" s="437"/>
      <c r="AM62" s="437"/>
      <c r="AN62" s="437"/>
      <c r="AO62" s="437"/>
      <c r="AP62" s="437"/>
    </row>
    <row r="63" spans="1:42" s="201" customFormat="1" ht="37.200000000000003" customHeight="1" x14ac:dyDescent="0.3">
      <c r="A63" s="556"/>
      <c r="B63" s="562"/>
      <c r="C63" s="556"/>
      <c r="D63" s="572"/>
      <c r="E63" s="374" t="s">
        <v>404</v>
      </c>
      <c r="F63" s="198">
        <f>IF(F54=1,Thermostat!$B$7,Thermostat!$B$8)</f>
        <v>60</v>
      </c>
      <c r="G63" s="198">
        <f>IF(G54=1,Thermostat!$B$7,Thermostat!$B$8)</f>
        <v>60</v>
      </c>
      <c r="H63" s="198">
        <f>IF(H54=1,Thermostat!$B$7,Thermostat!$B$8)</f>
        <v>60</v>
      </c>
      <c r="I63" s="198">
        <f>IF(I54=1,Thermostat!$B$7,Thermostat!$B$8)</f>
        <v>60</v>
      </c>
      <c r="J63" s="198">
        <f>IF(J54=1,Thermostat!$B$7,Thermostat!$B$8)</f>
        <v>60</v>
      </c>
      <c r="K63" s="198">
        <f>IF(K54=1,Thermostat!$B$7,Thermostat!$B$8)</f>
        <v>60</v>
      </c>
      <c r="L63" s="198">
        <f>IF(L54=1,Thermostat!$B$7,Thermostat!$B$8)</f>
        <v>60</v>
      </c>
      <c r="M63" s="198">
        <f>IF(M54=1,Thermostat!$B$7,Thermostat!$B$8)</f>
        <v>60</v>
      </c>
      <c r="N63" s="198">
        <f>IF(N54=1,Thermostat!$B$7,Thermostat!$B$8)</f>
        <v>60</v>
      </c>
      <c r="O63" s="198">
        <f>IF(O54=1,Thermostat!$B$7,Thermostat!$B$8)</f>
        <v>60</v>
      </c>
      <c r="P63" s="198">
        <f>IF(P54=1,Thermostat!$B$7,Thermostat!$B$8)</f>
        <v>60</v>
      </c>
      <c r="Q63" s="198">
        <f>IF(Q54=1,Thermostat!$B$7,Thermostat!$B$8)</f>
        <v>60</v>
      </c>
      <c r="R63" s="198">
        <f>IF(R54=1,Thermostat!$B$7,Thermostat!$B$8)</f>
        <v>60</v>
      </c>
      <c r="S63" s="198">
        <f>IF(S54=1,Thermostat!$B$7,Thermostat!$B$8)</f>
        <v>60</v>
      </c>
      <c r="T63" s="198">
        <f>IF(T54=1,Thermostat!$B$7,Thermostat!$B$8)</f>
        <v>60</v>
      </c>
      <c r="U63" s="198">
        <f>IF(U54=1,Thermostat!$B$7,Thermostat!$B$8)</f>
        <v>60</v>
      </c>
      <c r="V63" s="198">
        <f>IF(V54=1,Thermostat!$B$7,Thermostat!$B$8)</f>
        <v>60</v>
      </c>
      <c r="W63" s="198">
        <f>IF(W54=1,Thermostat!$B$7,Thermostat!$B$8)</f>
        <v>60</v>
      </c>
      <c r="X63" s="198">
        <f>IF(X54=1,Thermostat!$B$7,Thermostat!$B$8)</f>
        <v>60</v>
      </c>
      <c r="Y63" s="198">
        <f>IF(Y54=1,Thermostat!$B$7,Thermostat!$B$8)</f>
        <v>60</v>
      </c>
      <c r="Z63" s="198">
        <f>IF(Z54=1,Thermostat!$B$7,Thermostat!$B$8)</f>
        <v>60</v>
      </c>
      <c r="AA63" s="198">
        <f>IF(AA54=1,Thermostat!$B$7,Thermostat!$B$8)</f>
        <v>60</v>
      </c>
      <c r="AB63" s="198">
        <f>IF(AB54=1,Thermostat!$B$7,Thermostat!$B$8)</f>
        <v>60</v>
      </c>
      <c r="AC63" s="361">
        <f>IF(AC54=1,Thermostat!$B$7,Thermostat!$B$8)</f>
        <v>60</v>
      </c>
      <c r="AD63" s="200"/>
      <c r="AE63" s="200"/>
      <c r="AF63" s="200"/>
      <c r="AG63" s="200"/>
      <c r="AH63" s="200"/>
      <c r="AI63" s="200"/>
      <c r="AJ63" s="200"/>
      <c r="AK63" s="200"/>
      <c r="AL63" s="437"/>
      <c r="AM63" s="437"/>
      <c r="AN63" s="437"/>
      <c r="AO63" s="437"/>
      <c r="AP63" s="437"/>
    </row>
    <row r="64" spans="1:42" s="201" customFormat="1" ht="37.200000000000003" customHeight="1" x14ac:dyDescent="0.3">
      <c r="A64" s="557"/>
      <c r="B64" s="563"/>
      <c r="C64" s="557"/>
      <c r="D64" s="573"/>
      <c r="E64" s="404" t="s">
        <v>405</v>
      </c>
      <c r="F64" s="405">
        <f>IF(F55=1,Thermostat!$B$7,Thermostat!$B$8)</f>
        <v>60</v>
      </c>
      <c r="G64" s="405">
        <f>IF(G55=1,Thermostat!$B$7,Thermostat!$B$8)</f>
        <v>60</v>
      </c>
      <c r="H64" s="405">
        <f>IF(H55=1,Thermostat!$B$7,Thermostat!$B$8)</f>
        <v>60</v>
      </c>
      <c r="I64" s="405">
        <f>IF(I55=1,Thermostat!$B$7,Thermostat!$B$8)</f>
        <v>60</v>
      </c>
      <c r="J64" s="405">
        <f>IF(J55=1,Thermostat!$B$7,Thermostat!$B$8)</f>
        <v>60</v>
      </c>
      <c r="K64" s="405">
        <f>IF(K55=1,Thermostat!$B$7,Thermostat!$B$8)</f>
        <v>60</v>
      </c>
      <c r="L64" s="405">
        <f>IF(L55=1,Thermostat!$B$7,Thermostat!$B$8)</f>
        <v>60</v>
      </c>
      <c r="M64" s="405">
        <f>IF(M55=1,Thermostat!$B$7,Thermostat!$B$8)</f>
        <v>60</v>
      </c>
      <c r="N64" s="405">
        <f>IF(N55=1,Thermostat!$B$7,Thermostat!$B$8)</f>
        <v>60</v>
      </c>
      <c r="O64" s="405">
        <f>IF(O55=1,Thermostat!$B$7,Thermostat!$B$8)</f>
        <v>60</v>
      </c>
      <c r="P64" s="405">
        <f>IF(P55=1,Thermostat!$B$7,Thermostat!$B$8)</f>
        <v>60</v>
      </c>
      <c r="Q64" s="405">
        <f>IF(Q55=1,Thermostat!$B$7,Thermostat!$B$8)</f>
        <v>60</v>
      </c>
      <c r="R64" s="405">
        <f>IF(R55=1,Thermostat!$B$7,Thermostat!$B$8)</f>
        <v>60</v>
      </c>
      <c r="S64" s="405">
        <f>IF(S55=1,Thermostat!$B$7,Thermostat!$B$8)</f>
        <v>60</v>
      </c>
      <c r="T64" s="405">
        <f>IF(T55=1,Thermostat!$B$7,Thermostat!$B$8)</f>
        <v>60</v>
      </c>
      <c r="U64" s="405">
        <f>IF(U55=1,Thermostat!$B$7,Thermostat!$B$8)</f>
        <v>60</v>
      </c>
      <c r="V64" s="405">
        <f>IF(V55=1,Thermostat!$B$7,Thermostat!$B$8)</f>
        <v>60</v>
      </c>
      <c r="W64" s="405">
        <f>IF(W55=1,Thermostat!$B$7,Thermostat!$B$8)</f>
        <v>60</v>
      </c>
      <c r="X64" s="405">
        <f>IF(X55=1,Thermostat!$B$7,Thermostat!$B$8)</f>
        <v>60</v>
      </c>
      <c r="Y64" s="405">
        <f>IF(Y55=1,Thermostat!$B$7,Thermostat!$B$8)</f>
        <v>60</v>
      </c>
      <c r="Z64" s="405">
        <f>IF(Z55=1,Thermostat!$B$7,Thermostat!$B$8)</f>
        <v>60</v>
      </c>
      <c r="AA64" s="405">
        <f>IF(AA55=1,Thermostat!$B$7,Thermostat!$B$8)</f>
        <v>60</v>
      </c>
      <c r="AB64" s="405">
        <f>IF(AB55=1,Thermostat!$B$7,Thermostat!$B$8)</f>
        <v>60</v>
      </c>
      <c r="AC64" s="406">
        <f>IF(AC55=1,Thermostat!$B$7,Thermostat!$B$8)</f>
        <v>60</v>
      </c>
      <c r="AD64" s="200"/>
      <c r="AE64" s="200"/>
      <c r="AF64" s="200"/>
      <c r="AG64" s="200"/>
      <c r="AH64" s="200"/>
      <c r="AI64" s="200"/>
      <c r="AJ64" s="200"/>
      <c r="AK64" s="200"/>
      <c r="AL64" s="437"/>
      <c r="AM64" s="437"/>
      <c r="AN64" s="437"/>
      <c r="AO64" s="437"/>
      <c r="AP64" s="437"/>
    </row>
    <row r="65" spans="1:42" s="201" customFormat="1" ht="37.200000000000003" customHeight="1" x14ac:dyDescent="0.3">
      <c r="A65" s="555" t="s">
        <v>415</v>
      </c>
      <c r="B65" s="561" t="s">
        <v>98</v>
      </c>
      <c r="C65" s="556" t="s">
        <v>418</v>
      </c>
      <c r="D65" s="572" t="s">
        <v>417</v>
      </c>
      <c r="E65" s="407" t="s">
        <v>403</v>
      </c>
      <c r="F65" s="408">
        <f>IF(F53=1,Thermostat!$B$9,Thermostat!$B$10)</f>
        <v>85</v>
      </c>
      <c r="G65" s="408">
        <f>IF(G53=1,Thermostat!$B$9,Thermostat!$B$10)</f>
        <v>85</v>
      </c>
      <c r="H65" s="408">
        <f>IF(H53=1,Thermostat!$B$9,Thermostat!$B$10)</f>
        <v>85</v>
      </c>
      <c r="I65" s="408">
        <f>IF(I53=1,Thermostat!$B$9,Thermostat!$B$10)</f>
        <v>85</v>
      </c>
      <c r="J65" s="408">
        <f>IF(J53=1,Thermostat!$B$9,Thermostat!$B$10)</f>
        <v>85</v>
      </c>
      <c r="K65" s="408">
        <f>IF(K53=1,Thermostat!$B$9,Thermostat!$B$10)</f>
        <v>75</v>
      </c>
      <c r="L65" s="408">
        <f>IF(L53=1,Thermostat!$B$9,Thermostat!$B$10)</f>
        <v>75</v>
      </c>
      <c r="M65" s="408">
        <f>IF(M53=1,Thermostat!$B$9,Thermostat!$B$10)</f>
        <v>75</v>
      </c>
      <c r="N65" s="408">
        <f>IF(N53=1,Thermostat!$B$9,Thermostat!$B$10)</f>
        <v>75</v>
      </c>
      <c r="O65" s="408">
        <f>IF(O53=1,Thermostat!$B$9,Thermostat!$B$10)</f>
        <v>75</v>
      </c>
      <c r="P65" s="408">
        <f>IF(P53=1,Thermostat!$B$9,Thermostat!$B$10)</f>
        <v>75</v>
      </c>
      <c r="Q65" s="408">
        <f>IF(Q53=1,Thermostat!$B$9,Thermostat!$B$10)</f>
        <v>75</v>
      </c>
      <c r="R65" s="408">
        <f>IF(R53=1,Thermostat!$B$9,Thermostat!$B$10)</f>
        <v>75</v>
      </c>
      <c r="S65" s="408">
        <f>IF(S53=1,Thermostat!$B$9,Thermostat!$B$10)</f>
        <v>75</v>
      </c>
      <c r="T65" s="408">
        <f>IF(T53=1,Thermostat!$B$9,Thermostat!$B$10)</f>
        <v>75</v>
      </c>
      <c r="U65" s="408">
        <f>IF(U53=1,Thermostat!$B$9,Thermostat!$B$10)</f>
        <v>75</v>
      </c>
      <c r="V65" s="408">
        <f>IF(V53=1,Thermostat!$B$9,Thermostat!$B$10)</f>
        <v>75</v>
      </c>
      <c r="W65" s="408">
        <f>IF(W53=1,Thermostat!$B$9,Thermostat!$B$10)</f>
        <v>75</v>
      </c>
      <c r="X65" s="408">
        <f>IF(X53=1,Thermostat!$B$9,Thermostat!$B$10)</f>
        <v>75</v>
      </c>
      <c r="Y65" s="408">
        <f>IF(Y53=1,Thermostat!$B$9,Thermostat!$B$10)</f>
        <v>75</v>
      </c>
      <c r="Z65" s="408">
        <f>IF(Z53=1,Thermostat!$B$9,Thermostat!$B$10)</f>
        <v>75</v>
      </c>
      <c r="AA65" s="408">
        <f>IF(AA53=1,Thermostat!$B$9,Thermostat!$B$10)</f>
        <v>75</v>
      </c>
      <c r="AB65" s="408">
        <f>IF(AB53=1,Thermostat!$B$9,Thermostat!$B$10)</f>
        <v>75</v>
      </c>
      <c r="AC65" s="409">
        <f>IF(AC53=1,Thermostat!$B$9,Thermostat!$B$10)</f>
        <v>75</v>
      </c>
      <c r="AD65" s="200"/>
      <c r="AE65" s="200"/>
      <c r="AF65" s="200"/>
      <c r="AG65" s="200"/>
      <c r="AH65" s="200"/>
      <c r="AI65" s="200"/>
      <c r="AJ65" s="200"/>
      <c r="AK65" s="200"/>
      <c r="AL65" s="437"/>
      <c r="AM65" s="437"/>
      <c r="AN65" s="437"/>
      <c r="AO65" s="437"/>
      <c r="AP65" s="437"/>
    </row>
    <row r="66" spans="1:42" s="201" customFormat="1" ht="37.200000000000003" customHeight="1" x14ac:dyDescent="0.3">
      <c r="A66" s="556"/>
      <c r="B66" s="562"/>
      <c r="C66" s="556"/>
      <c r="D66" s="572"/>
      <c r="E66" s="410" t="s">
        <v>404</v>
      </c>
      <c r="F66" s="403">
        <f>IF(F54=1,Thermostat!$B$9,Thermostat!$B$10)</f>
        <v>85</v>
      </c>
      <c r="G66" s="403">
        <f>IF(G54=1,Thermostat!$B$9,Thermostat!$B$10)</f>
        <v>85</v>
      </c>
      <c r="H66" s="403">
        <f>IF(H54=1,Thermostat!$B$9,Thermostat!$B$10)</f>
        <v>85</v>
      </c>
      <c r="I66" s="403">
        <f>IF(I54=1,Thermostat!$B$9,Thermostat!$B$10)</f>
        <v>85</v>
      </c>
      <c r="J66" s="403">
        <f>IF(J54=1,Thermostat!$B$9,Thermostat!$B$10)</f>
        <v>85</v>
      </c>
      <c r="K66" s="403">
        <f>IF(K54=1,Thermostat!$B$9,Thermostat!$B$10)</f>
        <v>85</v>
      </c>
      <c r="L66" s="403">
        <f>IF(L54=1,Thermostat!$B$9,Thermostat!$B$10)</f>
        <v>85</v>
      </c>
      <c r="M66" s="403">
        <f>IF(M54=1,Thermostat!$B$9,Thermostat!$B$10)</f>
        <v>85</v>
      </c>
      <c r="N66" s="403">
        <f>IF(N54=1,Thermostat!$B$9,Thermostat!$B$10)</f>
        <v>85</v>
      </c>
      <c r="O66" s="403">
        <f>IF(O54=1,Thermostat!$B$9,Thermostat!$B$10)</f>
        <v>85</v>
      </c>
      <c r="P66" s="403">
        <f>IF(P54=1,Thermostat!$B$9,Thermostat!$B$10)</f>
        <v>85</v>
      </c>
      <c r="Q66" s="403">
        <f>IF(Q54=1,Thermostat!$B$9,Thermostat!$B$10)</f>
        <v>85</v>
      </c>
      <c r="R66" s="403">
        <f>IF(R54=1,Thermostat!$B$9,Thermostat!$B$10)</f>
        <v>85</v>
      </c>
      <c r="S66" s="403">
        <f>IF(S54=1,Thermostat!$B$9,Thermostat!$B$10)</f>
        <v>85</v>
      </c>
      <c r="T66" s="403">
        <f>IF(T54=1,Thermostat!$B$9,Thermostat!$B$10)</f>
        <v>85</v>
      </c>
      <c r="U66" s="403">
        <f>IF(U54=1,Thermostat!$B$9,Thermostat!$B$10)</f>
        <v>85</v>
      </c>
      <c r="V66" s="403">
        <f>IF(V54=1,Thermostat!$B$9,Thermostat!$B$10)</f>
        <v>85</v>
      </c>
      <c r="W66" s="403">
        <f>IF(W54=1,Thermostat!$B$9,Thermostat!$B$10)</f>
        <v>85</v>
      </c>
      <c r="X66" s="403">
        <f>IF(X54=1,Thermostat!$B$9,Thermostat!$B$10)</f>
        <v>85</v>
      </c>
      <c r="Y66" s="403">
        <f>IF(Y54=1,Thermostat!$B$9,Thermostat!$B$10)</f>
        <v>85</v>
      </c>
      <c r="Z66" s="403">
        <f>IF(Z54=1,Thermostat!$B$9,Thermostat!$B$10)</f>
        <v>85</v>
      </c>
      <c r="AA66" s="403">
        <f>IF(AA54=1,Thermostat!$B$9,Thermostat!$B$10)</f>
        <v>85</v>
      </c>
      <c r="AB66" s="403">
        <f>IF(AB54=1,Thermostat!$B$9,Thermostat!$B$10)</f>
        <v>85</v>
      </c>
      <c r="AC66" s="411">
        <f>IF(AC54=1,Thermostat!$B$9,Thermostat!$B$10)</f>
        <v>85</v>
      </c>
      <c r="AD66" s="200"/>
      <c r="AE66" s="200"/>
      <c r="AF66" s="200"/>
      <c r="AG66" s="200"/>
      <c r="AH66" s="200"/>
      <c r="AI66" s="200"/>
      <c r="AJ66" s="200"/>
      <c r="AK66" s="200"/>
      <c r="AL66" s="437"/>
      <c r="AM66" s="437"/>
      <c r="AN66" s="437"/>
      <c r="AO66" s="437"/>
      <c r="AP66" s="437"/>
    </row>
    <row r="67" spans="1:42" s="201" customFormat="1" ht="37.200000000000003" customHeight="1" x14ac:dyDescent="0.3">
      <c r="A67" s="557"/>
      <c r="B67" s="563"/>
      <c r="C67" s="557"/>
      <c r="D67" s="573"/>
      <c r="E67" s="412" t="s">
        <v>405</v>
      </c>
      <c r="F67" s="413">
        <f>IF(F55=1,Thermostat!$B$9,Thermostat!$B$10)</f>
        <v>85</v>
      </c>
      <c r="G67" s="413">
        <f>IF(G55=1,Thermostat!$B$9,Thermostat!$B$10)</f>
        <v>85</v>
      </c>
      <c r="H67" s="413">
        <f>IF(H55=1,Thermostat!$B$9,Thermostat!$B$10)</f>
        <v>85</v>
      </c>
      <c r="I67" s="413">
        <f>IF(I55=1,Thermostat!$B$9,Thermostat!$B$10)</f>
        <v>85</v>
      </c>
      <c r="J67" s="413">
        <f>IF(J55=1,Thermostat!$B$9,Thermostat!$B$10)</f>
        <v>85</v>
      </c>
      <c r="K67" s="413">
        <f>IF(K55=1,Thermostat!$B$9,Thermostat!$B$10)</f>
        <v>85</v>
      </c>
      <c r="L67" s="413">
        <f>IF(L55=1,Thermostat!$B$9,Thermostat!$B$10)</f>
        <v>85</v>
      </c>
      <c r="M67" s="413">
        <f>IF(M55=1,Thermostat!$B$9,Thermostat!$B$10)</f>
        <v>85</v>
      </c>
      <c r="N67" s="413">
        <f>IF(N55=1,Thermostat!$B$9,Thermostat!$B$10)</f>
        <v>85</v>
      </c>
      <c r="O67" s="413">
        <f>IF(O55=1,Thermostat!$B$9,Thermostat!$B$10)</f>
        <v>85</v>
      </c>
      <c r="P67" s="413">
        <f>IF(P55=1,Thermostat!$B$9,Thermostat!$B$10)</f>
        <v>85</v>
      </c>
      <c r="Q67" s="413">
        <f>IF(Q55=1,Thermostat!$B$9,Thermostat!$B$10)</f>
        <v>85</v>
      </c>
      <c r="R67" s="413">
        <f>IF(R55=1,Thermostat!$B$9,Thermostat!$B$10)</f>
        <v>85</v>
      </c>
      <c r="S67" s="413">
        <f>IF(S55=1,Thermostat!$B$9,Thermostat!$B$10)</f>
        <v>85</v>
      </c>
      <c r="T67" s="413">
        <f>IF(T55=1,Thermostat!$B$9,Thermostat!$B$10)</f>
        <v>85</v>
      </c>
      <c r="U67" s="413">
        <f>IF(U55=1,Thermostat!$B$9,Thermostat!$B$10)</f>
        <v>85</v>
      </c>
      <c r="V67" s="413">
        <f>IF(V55=1,Thermostat!$B$9,Thermostat!$B$10)</f>
        <v>85</v>
      </c>
      <c r="W67" s="413">
        <f>IF(W55=1,Thermostat!$B$9,Thermostat!$B$10)</f>
        <v>85</v>
      </c>
      <c r="X67" s="413">
        <f>IF(X55=1,Thermostat!$B$9,Thermostat!$B$10)</f>
        <v>85</v>
      </c>
      <c r="Y67" s="413">
        <f>IF(Y55=1,Thermostat!$B$9,Thermostat!$B$10)</f>
        <v>85</v>
      </c>
      <c r="Z67" s="413">
        <f>IF(Z55=1,Thermostat!$B$9,Thermostat!$B$10)</f>
        <v>85</v>
      </c>
      <c r="AA67" s="413">
        <f>IF(AA55=1,Thermostat!$B$9,Thermostat!$B$10)</f>
        <v>85</v>
      </c>
      <c r="AB67" s="413">
        <f>IF(AB55=1,Thermostat!$B$9,Thermostat!$B$10)</f>
        <v>85</v>
      </c>
      <c r="AC67" s="414">
        <f>IF(AC55=1,Thermostat!$B$9,Thermostat!$B$10)</f>
        <v>85</v>
      </c>
      <c r="AD67" s="200"/>
      <c r="AE67" s="200"/>
      <c r="AF67" s="200"/>
      <c r="AG67" s="200"/>
      <c r="AH67" s="200"/>
      <c r="AI67" s="200"/>
      <c r="AJ67" s="200"/>
      <c r="AK67" s="200"/>
      <c r="AL67" s="437"/>
      <c r="AM67" s="437"/>
      <c r="AN67" s="437"/>
      <c r="AO67" s="437"/>
      <c r="AP67" s="437"/>
    </row>
    <row r="68" spans="1:42" ht="28.95" customHeight="1" x14ac:dyDescent="0.3">
      <c r="A68" s="569" t="s">
        <v>18</v>
      </c>
      <c r="B68" s="570"/>
      <c r="C68" s="570"/>
      <c r="D68" s="570"/>
      <c r="E68" s="571"/>
      <c r="F68" s="571"/>
      <c r="G68" s="571"/>
      <c r="H68" s="571"/>
      <c r="I68" s="571"/>
      <c r="J68" s="571"/>
      <c r="K68" s="571"/>
      <c r="L68" s="571"/>
      <c r="M68" s="571"/>
      <c r="N68" s="571"/>
      <c r="O68" s="571"/>
      <c r="P68" s="571"/>
      <c r="Q68" s="571"/>
      <c r="R68" s="571"/>
      <c r="S68" s="571"/>
      <c r="T68" s="571"/>
      <c r="U68" s="571"/>
      <c r="V68" s="571"/>
      <c r="W68" s="571"/>
      <c r="X68" s="571"/>
      <c r="Y68" s="571"/>
      <c r="Z68" s="571"/>
      <c r="AA68" s="571"/>
      <c r="AB68" s="571"/>
      <c r="AC68" s="571"/>
    </row>
    <row r="69" spans="1:42" ht="36" customHeight="1" x14ac:dyDescent="0.3">
      <c r="A69" s="566"/>
      <c r="B69" s="548" t="s">
        <v>424</v>
      </c>
      <c r="C69" s="548" t="s">
        <v>359</v>
      </c>
      <c r="D69" s="547" t="s">
        <v>402</v>
      </c>
      <c r="E69" s="323" t="s">
        <v>403</v>
      </c>
      <c r="F69" s="624">
        <v>0</v>
      </c>
      <c r="G69" s="624">
        <v>0</v>
      </c>
      <c r="H69" s="624">
        <v>0</v>
      </c>
      <c r="I69" s="624">
        <v>0</v>
      </c>
      <c r="J69" s="624">
        <v>0</v>
      </c>
      <c r="K69" s="624">
        <v>0</v>
      </c>
      <c r="L69" s="624">
        <v>0</v>
      </c>
      <c r="M69" s="624">
        <v>0</v>
      </c>
      <c r="N69" s="624">
        <v>0</v>
      </c>
      <c r="O69" s="624">
        <v>0</v>
      </c>
      <c r="P69" s="624">
        <v>0</v>
      </c>
      <c r="Q69" s="624">
        <v>0</v>
      </c>
      <c r="R69" s="624">
        <v>0</v>
      </c>
      <c r="S69" s="624">
        <v>0</v>
      </c>
      <c r="T69" s="624">
        <v>0</v>
      </c>
      <c r="U69" s="624">
        <v>0</v>
      </c>
      <c r="V69" s="624">
        <v>0</v>
      </c>
      <c r="W69" s="624">
        <v>0</v>
      </c>
      <c r="X69" s="624">
        <v>0</v>
      </c>
      <c r="Y69" s="624">
        <v>0</v>
      </c>
      <c r="Z69" s="624">
        <v>0</v>
      </c>
      <c r="AA69" s="624">
        <v>0</v>
      </c>
      <c r="AB69" s="624">
        <v>0</v>
      </c>
      <c r="AC69" s="625">
        <v>0</v>
      </c>
      <c r="AD69" s="50"/>
      <c r="AE69" s="50"/>
      <c r="AF69" s="50"/>
      <c r="AG69" s="50"/>
      <c r="AH69" s="50"/>
      <c r="AI69" s="50"/>
      <c r="AJ69" s="50"/>
      <c r="AK69" s="50"/>
      <c r="AM69" s="65"/>
    </row>
    <row r="70" spans="1:42" ht="36" customHeight="1" x14ac:dyDescent="0.3">
      <c r="A70" s="567"/>
      <c r="B70" s="549"/>
      <c r="C70" s="549"/>
      <c r="D70" s="544"/>
      <c r="E70" s="324" t="s">
        <v>404</v>
      </c>
      <c r="F70" s="626">
        <v>0</v>
      </c>
      <c r="G70" s="626">
        <v>0</v>
      </c>
      <c r="H70" s="626">
        <v>0</v>
      </c>
      <c r="I70" s="626">
        <v>0</v>
      </c>
      <c r="J70" s="626">
        <v>0</v>
      </c>
      <c r="K70" s="626">
        <v>0</v>
      </c>
      <c r="L70" s="626">
        <v>0</v>
      </c>
      <c r="M70" s="626">
        <v>0</v>
      </c>
      <c r="N70" s="626">
        <v>0</v>
      </c>
      <c r="O70" s="626">
        <v>0</v>
      </c>
      <c r="P70" s="626">
        <v>0</v>
      </c>
      <c r="Q70" s="626">
        <v>0</v>
      </c>
      <c r="R70" s="626">
        <v>0</v>
      </c>
      <c r="S70" s="626">
        <v>0</v>
      </c>
      <c r="T70" s="626">
        <v>0</v>
      </c>
      <c r="U70" s="626">
        <v>0</v>
      </c>
      <c r="V70" s="626">
        <v>0</v>
      </c>
      <c r="W70" s="626">
        <v>0</v>
      </c>
      <c r="X70" s="626">
        <v>0</v>
      </c>
      <c r="Y70" s="626">
        <v>0</v>
      </c>
      <c r="Z70" s="626">
        <v>0</v>
      </c>
      <c r="AA70" s="626">
        <v>0</v>
      </c>
      <c r="AB70" s="626">
        <v>0</v>
      </c>
      <c r="AC70" s="627">
        <v>0</v>
      </c>
      <c r="AD70" s="50"/>
      <c r="AE70" s="50"/>
      <c r="AF70" s="50"/>
      <c r="AG70" s="50"/>
      <c r="AH70" s="50"/>
      <c r="AI70" s="50"/>
      <c r="AJ70" s="50"/>
      <c r="AK70" s="50"/>
      <c r="AM70" s="65"/>
    </row>
    <row r="71" spans="1:42" ht="36" customHeight="1" thickBot="1" x14ac:dyDescent="0.35">
      <c r="A71" s="568"/>
      <c r="B71" s="565"/>
      <c r="C71" s="565"/>
      <c r="D71" s="545"/>
      <c r="E71" s="325" t="s">
        <v>405</v>
      </c>
      <c r="F71" s="628">
        <v>0</v>
      </c>
      <c r="G71" s="628">
        <v>0</v>
      </c>
      <c r="H71" s="628">
        <v>0</v>
      </c>
      <c r="I71" s="628">
        <v>0</v>
      </c>
      <c r="J71" s="628">
        <v>0</v>
      </c>
      <c r="K71" s="628">
        <v>0</v>
      </c>
      <c r="L71" s="628">
        <v>0</v>
      </c>
      <c r="M71" s="628">
        <v>0</v>
      </c>
      <c r="N71" s="628">
        <v>0</v>
      </c>
      <c r="O71" s="628">
        <v>0</v>
      </c>
      <c r="P71" s="628">
        <v>0</v>
      </c>
      <c r="Q71" s="628">
        <v>0</v>
      </c>
      <c r="R71" s="628">
        <v>0</v>
      </c>
      <c r="S71" s="628">
        <v>0</v>
      </c>
      <c r="T71" s="628">
        <v>0</v>
      </c>
      <c r="U71" s="628">
        <v>0</v>
      </c>
      <c r="V71" s="628">
        <v>0</v>
      </c>
      <c r="W71" s="628">
        <v>0</v>
      </c>
      <c r="X71" s="628">
        <v>0</v>
      </c>
      <c r="Y71" s="628">
        <v>0</v>
      </c>
      <c r="Z71" s="628">
        <v>0</v>
      </c>
      <c r="AA71" s="628">
        <v>0</v>
      </c>
      <c r="AB71" s="628">
        <v>0</v>
      </c>
      <c r="AC71" s="629">
        <v>0</v>
      </c>
      <c r="AD71" s="50"/>
      <c r="AE71" s="50"/>
      <c r="AF71" s="50"/>
      <c r="AG71" s="50"/>
      <c r="AH71" s="50"/>
      <c r="AI71" s="50"/>
      <c r="AJ71" s="50"/>
      <c r="AK71" s="50"/>
      <c r="AM71" s="65"/>
    </row>
    <row r="72" spans="1:42" ht="29.4" customHeight="1" x14ac:dyDescent="0.3">
      <c r="A72" s="548"/>
      <c r="B72" s="583" t="s">
        <v>424</v>
      </c>
      <c r="C72" s="610" t="s">
        <v>425</v>
      </c>
      <c r="D72" s="588"/>
      <c r="E72" s="611" t="s">
        <v>403</v>
      </c>
      <c r="F72" s="612">
        <v>1</v>
      </c>
      <c r="G72" s="612">
        <v>1</v>
      </c>
      <c r="H72" s="612">
        <v>1</v>
      </c>
      <c r="I72" s="612">
        <v>1</v>
      </c>
      <c r="J72" s="612">
        <v>1</v>
      </c>
      <c r="K72" s="612">
        <v>1</v>
      </c>
      <c r="L72" s="612">
        <v>1</v>
      </c>
      <c r="M72" s="612">
        <v>1</v>
      </c>
      <c r="N72" s="612">
        <v>1</v>
      </c>
      <c r="O72" s="612">
        <v>1</v>
      </c>
      <c r="P72" s="612">
        <v>1</v>
      </c>
      <c r="Q72" s="612">
        <v>1</v>
      </c>
      <c r="R72" s="612">
        <v>1</v>
      </c>
      <c r="S72" s="612">
        <v>1</v>
      </c>
      <c r="T72" s="612">
        <v>1</v>
      </c>
      <c r="U72" s="612">
        <v>1</v>
      </c>
      <c r="V72" s="612">
        <v>1</v>
      </c>
      <c r="W72" s="612">
        <v>1</v>
      </c>
      <c r="X72" s="612">
        <v>1</v>
      </c>
      <c r="Y72" s="612">
        <v>1</v>
      </c>
      <c r="Z72" s="612">
        <v>1</v>
      </c>
      <c r="AA72" s="612">
        <v>1</v>
      </c>
      <c r="AB72" s="612">
        <v>1</v>
      </c>
      <c r="AC72" s="613">
        <v>1</v>
      </c>
    </row>
    <row r="73" spans="1:42" ht="29.4" customHeight="1" x14ac:dyDescent="0.3">
      <c r="A73" s="549"/>
      <c r="B73" s="578"/>
      <c r="C73" s="556"/>
      <c r="D73" s="589"/>
      <c r="E73" s="614" t="s">
        <v>404</v>
      </c>
      <c r="F73" s="615">
        <v>1</v>
      </c>
      <c r="G73" s="615">
        <v>1</v>
      </c>
      <c r="H73" s="615">
        <v>1</v>
      </c>
      <c r="I73" s="615">
        <v>1</v>
      </c>
      <c r="J73" s="615">
        <v>1</v>
      </c>
      <c r="K73" s="615">
        <v>1</v>
      </c>
      <c r="L73" s="615">
        <v>1</v>
      </c>
      <c r="M73" s="615">
        <v>1</v>
      </c>
      <c r="N73" s="615">
        <v>1</v>
      </c>
      <c r="O73" s="615">
        <v>1</v>
      </c>
      <c r="P73" s="615">
        <v>1</v>
      </c>
      <c r="Q73" s="615">
        <v>1</v>
      </c>
      <c r="R73" s="615">
        <v>1</v>
      </c>
      <c r="S73" s="615">
        <v>1</v>
      </c>
      <c r="T73" s="615">
        <v>1</v>
      </c>
      <c r="U73" s="615">
        <v>1</v>
      </c>
      <c r="V73" s="615">
        <v>1</v>
      </c>
      <c r="W73" s="615">
        <v>1</v>
      </c>
      <c r="X73" s="615">
        <v>1</v>
      </c>
      <c r="Y73" s="615">
        <v>1</v>
      </c>
      <c r="Z73" s="615">
        <v>1</v>
      </c>
      <c r="AA73" s="615">
        <v>1</v>
      </c>
      <c r="AB73" s="615">
        <v>1</v>
      </c>
      <c r="AC73" s="616">
        <v>1</v>
      </c>
    </row>
    <row r="74" spans="1:42" ht="29.4" customHeight="1" thickBot="1" x14ac:dyDescent="0.35">
      <c r="A74" s="565"/>
      <c r="B74" s="579"/>
      <c r="C74" s="557"/>
      <c r="D74" s="590"/>
      <c r="E74" s="617" t="s">
        <v>405</v>
      </c>
      <c r="F74" s="618">
        <v>1</v>
      </c>
      <c r="G74" s="618">
        <v>1</v>
      </c>
      <c r="H74" s="618">
        <v>1</v>
      </c>
      <c r="I74" s="618">
        <v>1</v>
      </c>
      <c r="J74" s="618">
        <v>1</v>
      </c>
      <c r="K74" s="618">
        <v>1</v>
      </c>
      <c r="L74" s="618">
        <v>1</v>
      </c>
      <c r="M74" s="618">
        <v>1</v>
      </c>
      <c r="N74" s="618">
        <v>1</v>
      </c>
      <c r="O74" s="618">
        <v>1</v>
      </c>
      <c r="P74" s="618">
        <v>1</v>
      </c>
      <c r="Q74" s="618">
        <v>1</v>
      </c>
      <c r="R74" s="618">
        <v>1</v>
      </c>
      <c r="S74" s="618">
        <v>1</v>
      </c>
      <c r="T74" s="618">
        <v>1</v>
      </c>
      <c r="U74" s="618">
        <v>1</v>
      </c>
      <c r="V74" s="618">
        <v>1</v>
      </c>
      <c r="W74" s="618">
        <v>1</v>
      </c>
      <c r="X74" s="618">
        <v>1</v>
      </c>
      <c r="Y74" s="618">
        <v>1</v>
      </c>
      <c r="Z74" s="618">
        <v>1</v>
      </c>
      <c r="AA74" s="618">
        <v>1</v>
      </c>
      <c r="AB74" s="618">
        <v>1</v>
      </c>
      <c r="AC74" s="619">
        <v>1</v>
      </c>
    </row>
    <row r="75" spans="1:42" ht="29.4" customHeight="1" x14ac:dyDescent="0.3">
      <c r="A75" s="548"/>
      <c r="B75" s="577" t="s">
        <v>424</v>
      </c>
      <c r="C75" s="620" t="s">
        <v>426</v>
      </c>
      <c r="D75" s="589"/>
      <c r="E75" s="621" t="s">
        <v>403</v>
      </c>
      <c r="F75" s="612">
        <v>0</v>
      </c>
      <c r="G75" s="612">
        <v>0</v>
      </c>
      <c r="H75" s="612">
        <v>0</v>
      </c>
      <c r="I75" s="612">
        <v>0</v>
      </c>
      <c r="J75" s="612">
        <v>0</v>
      </c>
      <c r="K75" s="612">
        <v>1</v>
      </c>
      <c r="L75" s="612">
        <v>1</v>
      </c>
      <c r="M75" s="612">
        <v>1</v>
      </c>
      <c r="N75" s="612">
        <v>1</v>
      </c>
      <c r="O75" s="612">
        <v>1</v>
      </c>
      <c r="P75" s="612">
        <v>1</v>
      </c>
      <c r="Q75" s="612">
        <v>1</v>
      </c>
      <c r="R75" s="612">
        <v>1</v>
      </c>
      <c r="S75" s="612">
        <v>1</v>
      </c>
      <c r="T75" s="612">
        <v>1</v>
      </c>
      <c r="U75" s="612">
        <v>1</v>
      </c>
      <c r="V75" s="612">
        <v>1</v>
      </c>
      <c r="W75" s="612">
        <v>1</v>
      </c>
      <c r="X75" s="612">
        <v>1</v>
      </c>
      <c r="Y75" s="612">
        <v>1</v>
      </c>
      <c r="Z75" s="612">
        <v>0</v>
      </c>
      <c r="AA75" s="612">
        <v>0</v>
      </c>
      <c r="AB75" s="612">
        <v>0</v>
      </c>
      <c r="AC75" s="613">
        <v>0</v>
      </c>
    </row>
    <row r="76" spans="1:42" ht="29.4" customHeight="1" x14ac:dyDescent="0.3">
      <c r="A76" s="549"/>
      <c r="B76" s="578"/>
      <c r="C76" s="556"/>
      <c r="D76" s="589"/>
      <c r="E76" s="622" t="s">
        <v>404</v>
      </c>
      <c r="F76" s="615">
        <v>0</v>
      </c>
      <c r="G76" s="615">
        <v>0</v>
      </c>
      <c r="H76" s="615">
        <v>0</v>
      </c>
      <c r="I76" s="615">
        <v>0</v>
      </c>
      <c r="J76" s="615">
        <v>0</v>
      </c>
      <c r="K76" s="615">
        <v>1</v>
      </c>
      <c r="L76" s="615">
        <v>1</v>
      </c>
      <c r="M76" s="615">
        <v>1</v>
      </c>
      <c r="N76" s="615">
        <v>1</v>
      </c>
      <c r="O76" s="615">
        <v>1</v>
      </c>
      <c r="P76" s="615">
        <v>1</v>
      </c>
      <c r="Q76" s="615">
        <v>1</v>
      </c>
      <c r="R76" s="615">
        <v>1</v>
      </c>
      <c r="S76" s="615">
        <v>1</v>
      </c>
      <c r="T76" s="615">
        <v>1</v>
      </c>
      <c r="U76" s="615">
        <v>1</v>
      </c>
      <c r="V76" s="615">
        <v>1</v>
      </c>
      <c r="W76" s="615">
        <v>1</v>
      </c>
      <c r="X76" s="615">
        <v>1</v>
      </c>
      <c r="Y76" s="615">
        <v>1</v>
      </c>
      <c r="Z76" s="615">
        <v>0</v>
      </c>
      <c r="AA76" s="615">
        <v>0</v>
      </c>
      <c r="AB76" s="615">
        <v>0</v>
      </c>
      <c r="AC76" s="616">
        <v>0</v>
      </c>
    </row>
    <row r="77" spans="1:42" ht="29.4" customHeight="1" thickBot="1" x14ac:dyDescent="0.35">
      <c r="A77" s="565"/>
      <c r="B77" s="579"/>
      <c r="C77" s="557"/>
      <c r="D77" s="590"/>
      <c r="E77" s="623" t="s">
        <v>405</v>
      </c>
      <c r="F77" s="618">
        <v>0</v>
      </c>
      <c r="G77" s="618">
        <v>0</v>
      </c>
      <c r="H77" s="618">
        <v>0</v>
      </c>
      <c r="I77" s="618">
        <v>0</v>
      </c>
      <c r="J77" s="618">
        <v>0</v>
      </c>
      <c r="K77" s="618">
        <v>1</v>
      </c>
      <c r="L77" s="618">
        <v>1</v>
      </c>
      <c r="M77" s="618">
        <v>1</v>
      </c>
      <c r="N77" s="618">
        <v>1</v>
      </c>
      <c r="O77" s="618">
        <v>1</v>
      </c>
      <c r="P77" s="618">
        <v>1</v>
      </c>
      <c r="Q77" s="618">
        <v>1</v>
      </c>
      <c r="R77" s="618">
        <v>1</v>
      </c>
      <c r="S77" s="618">
        <v>1</v>
      </c>
      <c r="T77" s="618">
        <v>1</v>
      </c>
      <c r="U77" s="618">
        <v>1</v>
      </c>
      <c r="V77" s="618">
        <v>1</v>
      </c>
      <c r="W77" s="618">
        <v>1</v>
      </c>
      <c r="X77" s="618">
        <v>1</v>
      </c>
      <c r="Y77" s="618">
        <v>1</v>
      </c>
      <c r="Z77" s="618">
        <v>0</v>
      </c>
      <c r="AA77" s="618">
        <v>0</v>
      </c>
      <c r="AB77" s="618">
        <v>0</v>
      </c>
      <c r="AC77" s="619">
        <v>0</v>
      </c>
    </row>
    <row r="83" spans="1:7" s="64" customFormat="1" ht="21.6" customHeight="1" x14ac:dyDescent="0.3">
      <c r="A83" s="434" t="s">
        <v>115</v>
      </c>
      <c r="C83" s="150"/>
      <c r="D83" s="150"/>
      <c r="E83" s="150"/>
      <c r="F83" s="150"/>
      <c r="G83" s="150"/>
    </row>
  </sheetData>
  <mergeCells count="106">
    <mergeCell ref="A56:A58"/>
    <mergeCell ref="B56:B58"/>
    <mergeCell ref="C56:C58"/>
    <mergeCell ref="D56:D58"/>
    <mergeCell ref="A22:A24"/>
    <mergeCell ref="B22:B24"/>
    <mergeCell ref="C22:C24"/>
    <mergeCell ref="D22:D24"/>
    <mergeCell ref="A59:A61"/>
    <mergeCell ref="B59:B61"/>
    <mergeCell ref="C59:C61"/>
    <mergeCell ref="D59:D61"/>
    <mergeCell ref="D40:D42"/>
    <mergeCell ref="C28:C30"/>
    <mergeCell ref="D28:D30"/>
    <mergeCell ref="B31:B33"/>
    <mergeCell ref="C31:C33"/>
    <mergeCell ref="D31:D33"/>
    <mergeCell ref="A1:AC1"/>
    <mergeCell ref="B75:B77"/>
    <mergeCell ref="C75:C77"/>
    <mergeCell ref="D75:D77"/>
    <mergeCell ref="A72:A74"/>
    <mergeCell ref="A75:A77"/>
    <mergeCell ref="A53:A55"/>
    <mergeCell ref="C53:C55"/>
    <mergeCell ref="B72:B74"/>
    <mergeCell ref="C72:C74"/>
    <mergeCell ref="D72:D74"/>
    <mergeCell ref="A31:A33"/>
    <mergeCell ref="A34:A36"/>
    <mergeCell ref="A44:A46"/>
    <mergeCell ref="A47:A49"/>
    <mergeCell ref="A50:A52"/>
    <mergeCell ref="A43:AC43"/>
    <mergeCell ref="A37:A39"/>
    <mergeCell ref="B37:B39"/>
    <mergeCell ref="C37:C39"/>
    <mergeCell ref="D37:D39"/>
    <mergeCell ref="A40:A42"/>
    <mergeCell ref="B40:B42"/>
    <mergeCell ref="C40:C42"/>
    <mergeCell ref="A69:A71"/>
    <mergeCell ref="A16:A18"/>
    <mergeCell ref="A19:A21"/>
    <mergeCell ref="A25:A27"/>
    <mergeCell ref="A28:A30"/>
    <mergeCell ref="A68:AC68"/>
    <mergeCell ref="A62:A64"/>
    <mergeCell ref="B62:B64"/>
    <mergeCell ref="C62:C64"/>
    <mergeCell ref="D62:D64"/>
    <mergeCell ref="A65:A67"/>
    <mergeCell ref="B65:B67"/>
    <mergeCell ref="C65:C67"/>
    <mergeCell ref="D65:D67"/>
    <mergeCell ref="D53:D55"/>
    <mergeCell ref="B53:B55"/>
    <mergeCell ref="B69:B71"/>
    <mergeCell ref="C69:C71"/>
    <mergeCell ref="D69:D71"/>
    <mergeCell ref="C19:C21"/>
    <mergeCell ref="D19:D21"/>
    <mergeCell ref="C34:C36"/>
    <mergeCell ref="D34:D36"/>
    <mergeCell ref="B28:B30"/>
    <mergeCell ref="A2:A3"/>
    <mergeCell ref="A4:A6"/>
    <mergeCell ref="A7:A9"/>
    <mergeCell ref="A10:A12"/>
    <mergeCell ref="A13:A15"/>
    <mergeCell ref="B50:B52"/>
    <mergeCell ref="C50:C52"/>
    <mergeCell ref="D50:D52"/>
    <mergeCell ref="B44:B46"/>
    <mergeCell ref="C44:C46"/>
    <mergeCell ref="D44:D46"/>
    <mergeCell ref="B47:B49"/>
    <mergeCell ref="C47:C49"/>
    <mergeCell ref="D47:D49"/>
    <mergeCell ref="B25:B27"/>
    <mergeCell ref="C25:C27"/>
    <mergeCell ref="D25:D27"/>
    <mergeCell ref="D10:D12"/>
    <mergeCell ref="B13:B15"/>
    <mergeCell ref="C13:C15"/>
    <mergeCell ref="D13:D15"/>
    <mergeCell ref="B16:B18"/>
    <mergeCell ref="D16:D18"/>
    <mergeCell ref="B19:B21"/>
    <mergeCell ref="B4:B6"/>
    <mergeCell ref="B7:B9"/>
    <mergeCell ref="B2:B3"/>
    <mergeCell ref="AL52:AP52"/>
    <mergeCell ref="C10:C12"/>
    <mergeCell ref="C7:C9"/>
    <mergeCell ref="F2:AC2"/>
    <mergeCell ref="E2:E3"/>
    <mergeCell ref="D2:D3"/>
    <mergeCell ref="C2:C3"/>
    <mergeCell ref="D4:D6"/>
    <mergeCell ref="C4:C6"/>
    <mergeCell ref="D7:D9"/>
    <mergeCell ref="B10:B12"/>
    <mergeCell ref="C16:C18"/>
    <mergeCell ref="B34:B3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W25"/>
  <sheetViews>
    <sheetView tabSelected="1" zoomScale="80" zoomScaleNormal="80" workbookViewId="0">
      <selection sqref="A1:L1"/>
    </sheetView>
  </sheetViews>
  <sheetFormatPr defaultColWidth="8.6640625" defaultRowHeight="13.2" x14ac:dyDescent="0.25"/>
  <cols>
    <col min="1" max="1" width="14.44140625" style="8" customWidth="1"/>
    <col min="2" max="2" width="15.44140625" style="8" customWidth="1"/>
    <col min="3" max="3" width="19.33203125" style="8" customWidth="1"/>
    <col min="4" max="5" width="18.33203125" style="8" customWidth="1"/>
    <col min="6" max="8" width="20.77734375" style="8" customWidth="1"/>
    <col min="9" max="9" width="9.109375" style="8" bestFit="1" customWidth="1"/>
    <col min="10" max="11" width="11.88671875" style="8" bestFit="1" customWidth="1"/>
    <col min="12" max="12" width="17.33203125" style="8" bestFit="1" customWidth="1"/>
    <col min="13" max="14" width="8.6640625" style="8"/>
    <col min="15" max="15" width="15.88671875" style="8" customWidth="1"/>
    <col min="16" max="16" width="12.44140625" style="8" customWidth="1"/>
    <col min="17" max="17" width="17.33203125" style="8" bestFit="1" customWidth="1"/>
    <col min="18" max="18" width="12.6640625" style="8" bestFit="1" customWidth="1"/>
    <col min="19" max="20" width="10.6640625" style="8" bestFit="1" customWidth="1"/>
    <col min="21" max="22" width="11.88671875" style="8" bestFit="1" customWidth="1"/>
    <col min="23" max="23" width="11.6640625" style="8" bestFit="1" customWidth="1"/>
    <col min="24" max="16384" width="8.6640625" style="8"/>
  </cols>
  <sheetData>
    <row r="1" spans="1:23" ht="27" customHeight="1" x14ac:dyDescent="0.25">
      <c r="A1" s="595" t="s">
        <v>427</v>
      </c>
      <c r="B1" s="595"/>
      <c r="C1" s="595"/>
      <c r="D1" s="595"/>
      <c r="E1" s="595"/>
      <c r="F1" s="595"/>
      <c r="G1" s="595"/>
      <c r="H1" s="595"/>
      <c r="I1" s="595"/>
      <c r="J1" s="595"/>
      <c r="K1" s="595"/>
      <c r="L1" s="595"/>
      <c r="O1" s="596" t="str">
        <f>"Energy Consumption - "&amp;Prototype!A2</f>
        <v>Energy Consumption - Laboratory</v>
      </c>
      <c r="P1" s="484"/>
      <c r="Q1" s="484"/>
      <c r="R1" s="484"/>
      <c r="S1" s="484"/>
      <c r="T1" s="484"/>
      <c r="U1" s="484"/>
      <c r="V1" s="484"/>
      <c r="W1" s="484"/>
    </row>
    <row r="2" spans="1:23" ht="48" customHeight="1" x14ac:dyDescent="0.25">
      <c r="A2" s="444" t="s">
        <v>5</v>
      </c>
      <c r="B2" s="444" t="s">
        <v>428</v>
      </c>
      <c r="C2" s="444" t="s">
        <v>429</v>
      </c>
      <c r="D2" s="444" t="s">
        <v>430</v>
      </c>
      <c r="E2" s="444" t="s">
        <v>431</v>
      </c>
      <c r="F2" s="444" t="s">
        <v>432</v>
      </c>
      <c r="G2" s="444" t="s">
        <v>433</v>
      </c>
      <c r="H2" s="444" t="s">
        <v>434</v>
      </c>
      <c r="I2" s="415" t="s">
        <v>435</v>
      </c>
      <c r="J2" s="415" t="s">
        <v>436</v>
      </c>
      <c r="K2" s="415" t="s">
        <v>437</v>
      </c>
      <c r="L2" s="415" t="s">
        <v>438</v>
      </c>
      <c r="O2" s="448" t="s">
        <v>5</v>
      </c>
      <c r="P2" s="444" t="s">
        <v>428</v>
      </c>
      <c r="Q2" s="444" t="s">
        <v>439</v>
      </c>
      <c r="R2" s="444" t="s">
        <v>440</v>
      </c>
      <c r="S2" s="444" t="s">
        <v>441</v>
      </c>
      <c r="T2" s="416" t="s">
        <v>442</v>
      </c>
      <c r="U2" s="416" t="s">
        <v>443</v>
      </c>
      <c r="V2" s="416" t="s">
        <v>444</v>
      </c>
      <c r="W2" s="416" t="s">
        <v>445</v>
      </c>
    </row>
    <row r="3" spans="1:23" ht="19.2" customHeight="1" x14ac:dyDescent="0.3">
      <c r="A3" s="479" t="s">
        <v>36</v>
      </c>
      <c r="B3" s="123">
        <v>1</v>
      </c>
      <c r="C3" s="417">
        <v>53.857500000000002</v>
      </c>
      <c r="D3" s="417">
        <v>70.197499999999991</v>
      </c>
      <c r="E3" s="417">
        <v>124.05499999999999</v>
      </c>
      <c r="F3" s="417">
        <v>53.56</v>
      </c>
      <c r="G3" s="417">
        <v>23.04</v>
      </c>
      <c r="H3" s="417">
        <v>76.599999999999994</v>
      </c>
      <c r="I3" s="5">
        <v>135.30000000000001</v>
      </c>
      <c r="J3" s="418">
        <f>(I3*1.25)</f>
        <v>169.125</v>
      </c>
      <c r="K3" s="418">
        <f>(I3*0.75)</f>
        <v>101.47500000000001</v>
      </c>
      <c r="L3" s="418">
        <f>J3-K3</f>
        <v>67.649999999999991</v>
      </c>
      <c r="O3" s="479" t="str">
        <f>A3</f>
        <v>Laboratory</v>
      </c>
      <c r="P3" s="419">
        <v>1</v>
      </c>
      <c r="Q3" s="420"/>
      <c r="R3" s="421"/>
      <c r="S3" s="421"/>
      <c r="T3" s="422"/>
      <c r="U3" s="423">
        <f>T3*1.2</f>
        <v>0</v>
      </c>
      <c r="V3" s="423">
        <f>T3*0.8</f>
        <v>0</v>
      </c>
      <c r="W3" s="422">
        <f>U3-V3</f>
        <v>0</v>
      </c>
    </row>
    <row r="4" spans="1:23" ht="19.2" customHeight="1" x14ac:dyDescent="0.3">
      <c r="A4" s="479"/>
      <c r="B4" s="123">
        <v>2</v>
      </c>
      <c r="C4" s="417">
        <v>60.3</v>
      </c>
      <c r="D4" s="417">
        <v>62.894999999999996</v>
      </c>
      <c r="E4" s="417">
        <v>123.19499999999999</v>
      </c>
      <c r="F4" s="417">
        <v>58.43</v>
      </c>
      <c r="G4" s="417">
        <v>22.57</v>
      </c>
      <c r="H4" s="417">
        <v>81</v>
      </c>
      <c r="I4" s="5">
        <v>135.30000000000001</v>
      </c>
      <c r="J4" s="418">
        <f t="shared" ref="J4:J18" si="0">(I4*1.25)</f>
        <v>169.125</v>
      </c>
      <c r="K4" s="418">
        <f t="shared" ref="K4:K18" si="1">(I4*0.75)</f>
        <v>101.47500000000001</v>
      </c>
      <c r="L4" s="418">
        <f t="shared" ref="L4:L18" si="2">J4-K4</f>
        <v>67.649999999999991</v>
      </c>
      <c r="O4" s="479"/>
      <c r="P4" s="419">
        <v>2</v>
      </c>
      <c r="Q4" s="420"/>
      <c r="R4" s="421"/>
      <c r="S4" s="421"/>
      <c r="T4" s="422"/>
      <c r="U4" s="423">
        <f t="shared" ref="U4:U18" si="3">T4*1.2</f>
        <v>0</v>
      </c>
      <c r="V4" s="423">
        <f t="shared" ref="V4:V18" si="4">T4*0.8</f>
        <v>0</v>
      </c>
      <c r="W4" s="422">
        <f t="shared" ref="W4:W18" si="5">U4-V4</f>
        <v>0</v>
      </c>
    </row>
    <row r="5" spans="1:23" ht="19.2" customHeight="1" x14ac:dyDescent="0.3">
      <c r="A5" s="479"/>
      <c r="B5" s="123">
        <v>3</v>
      </c>
      <c r="C5" s="417">
        <v>58.412500000000001</v>
      </c>
      <c r="D5" s="417">
        <v>52.917499999999997</v>
      </c>
      <c r="E5" s="417">
        <v>111.33</v>
      </c>
      <c r="F5" s="417">
        <v>53.43</v>
      </c>
      <c r="G5" s="417">
        <v>22.21</v>
      </c>
      <c r="H5" s="417">
        <v>75.64</v>
      </c>
      <c r="I5" s="5">
        <v>135.30000000000001</v>
      </c>
      <c r="J5" s="418">
        <f t="shared" si="0"/>
        <v>169.125</v>
      </c>
      <c r="K5" s="418">
        <f t="shared" si="1"/>
        <v>101.47500000000001</v>
      </c>
      <c r="L5" s="418">
        <f t="shared" si="2"/>
        <v>67.649999999999991</v>
      </c>
      <c r="O5" s="479"/>
      <c r="P5" s="419">
        <v>3</v>
      </c>
      <c r="Q5" s="420"/>
      <c r="R5" s="421"/>
      <c r="S5" s="421"/>
      <c r="T5" s="422"/>
      <c r="U5" s="423">
        <f t="shared" si="3"/>
        <v>0</v>
      </c>
      <c r="V5" s="423">
        <f t="shared" si="4"/>
        <v>0</v>
      </c>
      <c r="W5" s="422">
        <f t="shared" si="5"/>
        <v>0</v>
      </c>
    </row>
    <row r="6" spans="1:23" ht="19.2" customHeight="1" x14ac:dyDescent="0.3">
      <c r="A6" s="479"/>
      <c r="B6" s="123">
        <v>4</v>
      </c>
      <c r="C6" s="417">
        <v>64.844999999999999</v>
      </c>
      <c r="D6" s="417">
        <v>59.372499999999995</v>
      </c>
      <c r="E6" s="417">
        <v>124.2175</v>
      </c>
      <c r="F6" s="417">
        <v>62.68</v>
      </c>
      <c r="G6" s="417">
        <v>22.39</v>
      </c>
      <c r="H6" s="417">
        <v>85.07</v>
      </c>
      <c r="I6" s="5">
        <v>135.30000000000001</v>
      </c>
      <c r="J6" s="418">
        <f t="shared" si="0"/>
        <v>169.125</v>
      </c>
      <c r="K6" s="418">
        <f t="shared" si="1"/>
        <v>101.47500000000001</v>
      </c>
      <c r="L6" s="418">
        <f t="shared" si="2"/>
        <v>67.649999999999991</v>
      </c>
      <c r="O6" s="479"/>
      <c r="P6" s="419">
        <v>4</v>
      </c>
      <c r="Q6" s="420"/>
      <c r="R6" s="421"/>
      <c r="S6" s="421"/>
      <c r="T6" s="422"/>
      <c r="U6" s="423">
        <f t="shared" si="3"/>
        <v>0</v>
      </c>
      <c r="V6" s="423">
        <f t="shared" si="4"/>
        <v>0</v>
      </c>
      <c r="W6" s="422">
        <f t="shared" si="5"/>
        <v>0</v>
      </c>
    </row>
    <row r="7" spans="1:23" ht="19.2" customHeight="1" x14ac:dyDescent="0.3">
      <c r="A7" s="479"/>
      <c r="B7" s="123">
        <v>5</v>
      </c>
      <c r="C7" s="417">
        <v>58.972500000000004</v>
      </c>
      <c r="D7" s="417">
        <v>55.777499999999996</v>
      </c>
      <c r="E7" s="417">
        <v>114.75</v>
      </c>
      <c r="F7" s="417">
        <v>54.53</v>
      </c>
      <c r="G7" s="417">
        <v>21.88</v>
      </c>
      <c r="H7" s="417">
        <v>76.41</v>
      </c>
      <c r="I7" s="5">
        <v>135.30000000000001</v>
      </c>
      <c r="J7" s="418">
        <f t="shared" si="0"/>
        <v>169.125</v>
      </c>
      <c r="K7" s="418">
        <f t="shared" si="1"/>
        <v>101.47500000000001</v>
      </c>
      <c r="L7" s="418">
        <f t="shared" si="2"/>
        <v>67.649999999999991</v>
      </c>
      <c r="O7" s="479"/>
      <c r="P7" s="419">
        <v>5</v>
      </c>
      <c r="Q7" s="420"/>
      <c r="R7" s="421"/>
      <c r="S7" s="421"/>
      <c r="T7" s="422"/>
      <c r="U7" s="423">
        <f t="shared" si="3"/>
        <v>0</v>
      </c>
      <c r="V7" s="423">
        <f t="shared" si="4"/>
        <v>0</v>
      </c>
      <c r="W7" s="422">
        <f t="shared" si="5"/>
        <v>0</v>
      </c>
    </row>
    <row r="8" spans="1:23" ht="19.2" customHeight="1" x14ac:dyDescent="0.3">
      <c r="A8" s="479"/>
      <c r="B8" s="123">
        <v>6</v>
      </c>
      <c r="C8" s="417">
        <v>64.785000000000011</v>
      </c>
      <c r="D8" s="417">
        <v>39.712499999999999</v>
      </c>
      <c r="E8" s="417">
        <v>104.4975</v>
      </c>
      <c r="F8" s="417">
        <v>55.44</v>
      </c>
      <c r="G8" s="417">
        <v>21.23</v>
      </c>
      <c r="H8" s="417">
        <v>76.67</v>
      </c>
      <c r="I8" s="5">
        <v>135.30000000000001</v>
      </c>
      <c r="J8" s="418">
        <f t="shared" si="0"/>
        <v>169.125</v>
      </c>
      <c r="K8" s="418">
        <f t="shared" si="1"/>
        <v>101.47500000000001</v>
      </c>
      <c r="L8" s="418">
        <f t="shared" si="2"/>
        <v>67.649999999999991</v>
      </c>
      <c r="O8" s="479"/>
      <c r="P8" s="419">
        <v>6</v>
      </c>
      <c r="Q8" s="420"/>
      <c r="R8" s="421"/>
      <c r="S8" s="421"/>
      <c r="T8" s="422"/>
      <c r="U8" s="423">
        <f t="shared" si="3"/>
        <v>0</v>
      </c>
      <c r="V8" s="423">
        <f t="shared" si="4"/>
        <v>0</v>
      </c>
      <c r="W8" s="422">
        <f t="shared" si="5"/>
        <v>0</v>
      </c>
    </row>
    <row r="9" spans="1:23" ht="19.2" customHeight="1" x14ac:dyDescent="0.3">
      <c r="A9" s="479"/>
      <c r="B9" s="123">
        <v>7</v>
      </c>
      <c r="C9" s="417">
        <v>65.29249999999999</v>
      </c>
      <c r="D9" s="417">
        <v>38.767499999999998</v>
      </c>
      <c r="E9" s="417">
        <v>104.05999999999999</v>
      </c>
      <c r="F9" s="417">
        <v>55.62</v>
      </c>
      <c r="G9" s="417">
        <v>21.15</v>
      </c>
      <c r="H9" s="417">
        <v>76.77</v>
      </c>
      <c r="I9" s="5">
        <v>135.30000000000001</v>
      </c>
      <c r="J9" s="418">
        <f t="shared" si="0"/>
        <v>169.125</v>
      </c>
      <c r="K9" s="418">
        <f t="shared" si="1"/>
        <v>101.47500000000001</v>
      </c>
      <c r="L9" s="418">
        <f t="shared" si="2"/>
        <v>67.649999999999991</v>
      </c>
      <c r="O9" s="479"/>
      <c r="P9" s="419">
        <v>7</v>
      </c>
      <c r="Q9" s="420"/>
      <c r="R9" s="421"/>
      <c r="S9" s="421"/>
      <c r="T9" s="422"/>
      <c r="U9" s="423">
        <f t="shared" si="3"/>
        <v>0</v>
      </c>
      <c r="V9" s="423">
        <f t="shared" si="4"/>
        <v>0</v>
      </c>
      <c r="W9" s="422">
        <f t="shared" si="5"/>
        <v>0</v>
      </c>
    </row>
    <row r="10" spans="1:23" ht="19.2" customHeight="1" x14ac:dyDescent="0.3">
      <c r="A10" s="479"/>
      <c r="B10" s="123">
        <v>8</v>
      </c>
      <c r="C10" s="417">
        <v>68.767499999999998</v>
      </c>
      <c r="D10" s="417">
        <v>41.752499999999998</v>
      </c>
      <c r="E10" s="417">
        <v>110.52</v>
      </c>
      <c r="F10" s="417">
        <v>60.21</v>
      </c>
      <c r="G10" s="417">
        <v>21.33</v>
      </c>
      <c r="H10" s="417">
        <v>81.539999999999992</v>
      </c>
      <c r="I10" s="5">
        <v>135.30000000000001</v>
      </c>
      <c r="J10" s="418">
        <f t="shared" si="0"/>
        <v>169.125</v>
      </c>
      <c r="K10" s="418">
        <f t="shared" si="1"/>
        <v>101.47500000000001</v>
      </c>
      <c r="L10" s="418">
        <f t="shared" si="2"/>
        <v>67.649999999999991</v>
      </c>
      <c r="O10" s="479"/>
      <c r="P10" s="419">
        <v>8</v>
      </c>
      <c r="Q10" s="420"/>
      <c r="R10" s="421"/>
      <c r="S10" s="421"/>
      <c r="T10" s="422"/>
      <c r="U10" s="423">
        <f t="shared" si="3"/>
        <v>0</v>
      </c>
      <c r="V10" s="423">
        <f t="shared" si="4"/>
        <v>0</v>
      </c>
      <c r="W10" s="422">
        <f t="shared" si="5"/>
        <v>0</v>
      </c>
    </row>
    <row r="11" spans="1:23" ht="19.2" customHeight="1" x14ac:dyDescent="0.3">
      <c r="A11" s="479"/>
      <c r="B11" s="123">
        <v>9</v>
      </c>
      <c r="C11" s="417">
        <v>68.185000000000002</v>
      </c>
      <c r="D11" s="417">
        <v>43.027500000000003</v>
      </c>
      <c r="E11" s="417">
        <v>111.21250000000001</v>
      </c>
      <c r="F11" s="417">
        <v>60.35</v>
      </c>
      <c r="G11" s="417">
        <v>21.45</v>
      </c>
      <c r="H11" s="417">
        <v>81.8</v>
      </c>
      <c r="I11" s="5">
        <v>135.30000000000001</v>
      </c>
      <c r="J11" s="418">
        <f t="shared" si="0"/>
        <v>169.125</v>
      </c>
      <c r="K11" s="418">
        <f t="shared" si="1"/>
        <v>101.47500000000001</v>
      </c>
      <c r="L11" s="418">
        <f t="shared" si="2"/>
        <v>67.649999999999991</v>
      </c>
      <c r="O11" s="479"/>
      <c r="P11" s="419">
        <v>9</v>
      </c>
      <c r="Q11" s="420"/>
      <c r="R11" s="421"/>
      <c r="S11" s="421"/>
      <c r="T11" s="422"/>
      <c r="U11" s="423">
        <f t="shared" si="3"/>
        <v>0</v>
      </c>
      <c r="V11" s="423">
        <f t="shared" si="4"/>
        <v>0</v>
      </c>
      <c r="W11" s="422">
        <f t="shared" si="5"/>
        <v>0</v>
      </c>
    </row>
    <row r="12" spans="1:23" ht="19.2" customHeight="1" x14ac:dyDescent="0.3">
      <c r="A12" s="479"/>
      <c r="B12" s="123">
        <v>10</v>
      </c>
      <c r="C12" s="417">
        <v>69.592500000000001</v>
      </c>
      <c r="D12" s="417">
        <v>43.5075</v>
      </c>
      <c r="E12" s="417">
        <v>113.1</v>
      </c>
      <c r="F12" s="417">
        <v>62.98</v>
      </c>
      <c r="G12" s="417">
        <v>21.49</v>
      </c>
      <c r="H12" s="417">
        <v>84.47</v>
      </c>
      <c r="I12" s="5">
        <v>135.30000000000001</v>
      </c>
      <c r="J12" s="418">
        <f t="shared" si="0"/>
        <v>169.125</v>
      </c>
      <c r="K12" s="418">
        <f t="shared" si="1"/>
        <v>101.47500000000001</v>
      </c>
      <c r="L12" s="418">
        <f t="shared" si="2"/>
        <v>67.649999999999991</v>
      </c>
      <c r="O12" s="479"/>
      <c r="P12" s="419">
        <v>10</v>
      </c>
      <c r="Q12" s="420"/>
      <c r="R12" s="421"/>
      <c r="S12" s="421"/>
      <c r="T12" s="422"/>
      <c r="U12" s="423">
        <f t="shared" si="3"/>
        <v>0</v>
      </c>
      <c r="V12" s="423">
        <f t="shared" si="4"/>
        <v>0</v>
      </c>
      <c r="W12" s="422">
        <f t="shared" si="5"/>
        <v>0</v>
      </c>
    </row>
    <row r="13" spans="1:23" ht="19.2" customHeight="1" x14ac:dyDescent="0.3">
      <c r="A13" s="479"/>
      <c r="B13" s="123">
        <v>11</v>
      </c>
      <c r="C13" s="417">
        <v>69.56750000000001</v>
      </c>
      <c r="D13" s="417">
        <v>56.075000000000003</v>
      </c>
      <c r="E13" s="417">
        <v>125.64250000000001</v>
      </c>
      <c r="F13" s="417">
        <v>65.31</v>
      </c>
      <c r="G13" s="417">
        <v>22.97</v>
      </c>
      <c r="H13" s="417">
        <v>88.28</v>
      </c>
      <c r="I13" s="5">
        <v>135.30000000000001</v>
      </c>
      <c r="J13" s="418">
        <f t="shared" si="0"/>
        <v>169.125</v>
      </c>
      <c r="K13" s="418">
        <f t="shared" si="1"/>
        <v>101.47500000000001</v>
      </c>
      <c r="L13" s="418">
        <f t="shared" si="2"/>
        <v>67.649999999999991</v>
      </c>
      <c r="O13" s="479"/>
      <c r="P13" s="419">
        <v>11</v>
      </c>
      <c r="Q13" s="420"/>
      <c r="R13" s="421"/>
      <c r="S13" s="421"/>
      <c r="T13" s="422"/>
      <c r="U13" s="423">
        <f t="shared" si="3"/>
        <v>0</v>
      </c>
      <c r="V13" s="423">
        <f t="shared" si="4"/>
        <v>0</v>
      </c>
      <c r="W13" s="422">
        <f t="shared" si="5"/>
        <v>0</v>
      </c>
    </row>
    <row r="14" spans="1:23" ht="19.2" customHeight="1" x14ac:dyDescent="0.3">
      <c r="A14" s="479"/>
      <c r="B14" s="123">
        <v>12</v>
      </c>
      <c r="C14" s="417">
        <v>64.352500000000006</v>
      </c>
      <c r="D14" s="417">
        <v>56.407499999999999</v>
      </c>
      <c r="E14" s="417">
        <v>120.76</v>
      </c>
      <c r="F14" s="417">
        <v>60.78</v>
      </c>
      <c r="G14" s="417">
        <v>22.46</v>
      </c>
      <c r="H14" s="417">
        <v>83.240000000000009</v>
      </c>
      <c r="I14" s="5">
        <v>135.30000000000001</v>
      </c>
      <c r="J14" s="418">
        <f t="shared" si="0"/>
        <v>169.125</v>
      </c>
      <c r="K14" s="418">
        <f t="shared" si="1"/>
        <v>101.47500000000001</v>
      </c>
      <c r="L14" s="418">
        <f t="shared" si="2"/>
        <v>67.649999999999991</v>
      </c>
      <c r="O14" s="479"/>
      <c r="P14" s="419">
        <v>12</v>
      </c>
      <c r="Q14" s="420"/>
      <c r="R14" s="421"/>
      <c r="S14" s="421"/>
      <c r="T14" s="422"/>
      <c r="U14" s="423">
        <f t="shared" si="3"/>
        <v>0</v>
      </c>
      <c r="V14" s="423">
        <f t="shared" si="4"/>
        <v>0</v>
      </c>
      <c r="W14" s="422">
        <f t="shared" si="5"/>
        <v>0</v>
      </c>
    </row>
    <row r="15" spans="1:23" ht="19.2" customHeight="1" x14ac:dyDescent="0.3">
      <c r="A15" s="479"/>
      <c r="B15" s="123">
        <v>13</v>
      </c>
      <c r="C15" s="417">
        <v>70.152500000000003</v>
      </c>
      <c r="D15" s="417">
        <v>50.372500000000002</v>
      </c>
      <c r="E15" s="417">
        <v>120.52500000000001</v>
      </c>
      <c r="F15" s="417">
        <v>65.489999999999995</v>
      </c>
      <c r="G15" s="417">
        <v>22.32</v>
      </c>
      <c r="H15" s="417">
        <v>87.81</v>
      </c>
      <c r="I15" s="5">
        <v>135.30000000000001</v>
      </c>
      <c r="J15" s="418">
        <f t="shared" si="0"/>
        <v>169.125</v>
      </c>
      <c r="K15" s="418">
        <f t="shared" si="1"/>
        <v>101.47500000000001</v>
      </c>
      <c r="L15" s="418">
        <f t="shared" si="2"/>
        <v>67.649999999999991</v>
      </c>
      <c r="O15" s="479"/>
      <c r="P15" s="419">
        <v>13</v>
      </c>
      <c r="Q15" s="420"/>
      <c r="R15" s="421"/>
      <c r="S15" s="421"/>
      <c r="T15" s="422"/>
      <c r="U15" s="423">
        <f t="shared" si="3"/>
        <v>0</v>
      </c>
      <c r="V15" s="423">
        <f t="shared" si="4"/>
        <v>0</v>
      </c>
      <c r="W15" s="422">
        <f t="shared" si="5"/>
        <v>0</v>
      </c>
    </row>
    <row r="16" spans="1:23" ht="19.2" customHeight="1" x14ac:dyDescent="0.3">
      <c r="A16" s="479"/>
      <c r="B16" s="123">
        <v>14</v>
      </c>
      <c r="C16" s="417">
        <v>70.147499999999994</v>
      </c>
      <c r="D16" s="417">
        <v>55.137500000000003</v>
      </c>
      <c r="E16" s="417">
        <v>125.285</v>
      </c>
      <c r="F16" s="417">
        <v>67.95</v>
      </c>
      <c r="G16" s="417">
        <v>22.5</v>
      </c>
      <c r="H16" s="417">
        <v>90.45</v>
      </c>
      <c r="I16" s="5">
        <v>135.30000000000001</v>
      </c>
      <c r="J16" s="418">
        <f t="shared" si="0"/>
        <v>169.125</v>
      </c>
      <c r="K16" s="418">
        <f t="shared" si="1"/>
        <v>101.47500000000001</v>
      </c>
      <c r="L16" s="418">
        <f t="shared" si="2"/>
        <v>67.649999999999991</v>
      </c>
      <c r="O16" s="479"/>
      <c r="P16" s="419">
        <v>14</v>
      </c>
      <c r="Q16" s="420"/>
      <c r="R16" s="421"/>
      <c r="S16" s="421"/>
      <c r="T16" s="422"/>
      <c r="U16" s="423">
        <f t="shared" si="3"/>
        <v>0</v>
      </c>
      <c r="V16" s="423">
        <f t="shared" si="4"/>
        <v>0</v>
      </c>
      <c r="W16" s="422">
        <f t="shared" si="5"/>
        <v>0</v>
      </c>
    </row>
    <row r="17" spans="1:23" ht="19.2" customHeight="1" x14ac:dyDescent="0.3">
      <c r="A17" s="479"/>
      <c r="B17" s="123">
        <v>15</v>
      </c>
      <c r="C17" s="417">
        <v>84.174999999999997</v>
      </c>
      <c r="D17" s="417">
        <v>36.587499999999999</v>
      </c>
      <c r="E17" s="417">
        <v>120.76249999999999</v>
      </c>
      <c r="F17" s="417">
        <v>75.239999999999995</v>
      </c>
      <c r="G17" s="417">
        <v>21.33</v>
      </c>
      <c r="H17" s="417">
        <v>96.57</v>
      </c>
      <c r="I17" s="5">
        <v>135.30000000000001</v>
      </c>
      <c r="J17" s="418">
        <f t="shared" si="0"/>
        <v>169.125</v>
      </c>
      <c r="K17" s="418">
        <f t="shared" si="1"/>
        <v>101.47500000000001</v>
      </c>
      <c r="L17" s="418">
        <f t="shared" si="2"/>
        <v>67.649999999999991</v>
      </c>
      <c r="O17" s="479"/>
      <c r="P17" s="419">
        <v>15</v>
      </c>
      <c r="Q17" s="420"/>
      <c r="R17" s="421"/>
      <c r="S17" s="421"/>
      <c r="T17" s="422"/>
      <c r="U17" s="423">
        <f t="shared" si="3"/>
        <v>0</v>
      </c>
      <c r="V17" s="423">
        <f t="shared" si="4"/>
        <v>0</v>
      </c>
      <c r="W17" s="422">
        <f t="shared" si="5"/>
        <v>0</v>
      </c>
    </row>
    <row r="18" spans="1:23" ht="19.2" customHeight="1" x14ac:dyDescent="0.3">
      <c r="A18" s="479"/>
      <c r="B18" s="123">
        <v>16</v>
      </c>
      <c r="C18" s="417">
        <v>59.162500000000001</v>
      </c>
      <c r="D18" s="417">
        <v>66.802500000000009</v>
      </c>
      <c r="E18" s="417">
        <v>125.965</v>
      </c>
      <c r="F18" s="417">
        <v>67.03</v>
      </c>
      <c r="G18" s="417">
        <v>23.99</v>
      </c>
      <c r="H18" s="417">
        <v>91.02</v>
      </c>
      <c r="I18" s="5">
        <v>135.30000000000001</v>
      </c>
      <c r="J18" s="418">
        <f t="shared" si="0"/>
        <v>169.125</v>
      </c>
      <c r="K18" s="418">
        <f t="shared" si="1"/>
        <v>101.47500000000001</v>
      </c>
      <c r="L18" s="418">
        <f t="shared" si="2"/>
        <v>67.649999999999991</v>
      </c>
      <c r="O18" s="479"/>
      <c r="P18" s="419">
        <v>16</v>
      </c>
      <c r="Q18" s="420"/>
      <c r="R18" s="421"/>
      <c r="S18" s="421"/>
      <c r="T18" s="422"/>
      <c r="U18" s="423">
        <f t="shared" si="3"/>
        <v>0</v>
      </c>
      <c r="V18" s="423">
        <f t="shared" si="4"/>
        <v>0</v>
      </c>
      <c r="W18" s="422">
        <f t="shared" si="5"/>
        <v>0</v>
      </c>
    </row>
    <row r="20" spans="1:23" x14ac:dyDescent="0.25">
      <c r="O20" s="8" t="s">
        <v>446</v>
      </c>
    </row>
    <row r="21" spans="1:23" x14ac:dyDescent="0.25">
      <c r="O21" s="8" t="s">
        <v>447</v>
      </c>
    </row>
    <row r="22" spans="1:23" x14ac:dyDescent="0.25">
      <c r="O22" s="8" t="s">
        <v>448</v>
      </c>
    </row>
    <row r="25" spans="1:23" s="9" customFormat="1" x14ac:dyDescent="0.25">
      <c r="S25" s="450"/>
      <c r="T25" s="451"/>
      <c r="U25" s="452"/>
    </row>
  </sheetData>
  <mergeCells count="4">
    <mergeCell ref="A3:A18"/>
    <mergeCell ref="A1:L1"/>
    <mergeCell ref="O1:W1"/>
    <mergeCell ref="O3:O1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29"/>
  <sheetViews>
    <sheetView zoomScaleNormal="100" workbookViewId="0">
      <selection activeCell="L13" sqref="L13"/>
    </sheetView>
  </sheetViews>
  <sheetFormatPr defaultColWidth="8.6640625" defaultRowHeight="13.2" x14ac:dyDescent="0.25"/>
  <cols>
    <col min="1" max="2" width="12" style="8" customWidth="1"/>
    <col min="3" max="6" width="13.6640625" style="8" customWidth="1"/>
    <col min="7" max="7" width="13.33203125" style="8" customWidth="1"/>
    <col min="8" max="8" width="12.6640625" style="8" bestFit="1" customWidth="1"/>
    <col min="9" max="9" width="8.6640625" style="8"/>
    <col min="10" max="10" width="12" style="8" customWidth="1"/>
    <col min="11" max="11" width="14.109375" style="8" customWidth="1"/>
    <col min="12" max="12" width="10.33203125" style="8" customWidth="1"/>
    <col min="13" max="27" width="5.6640625" style="8" customWidth="1"/>
    <col min="28" max="16384" width="8.6640625" style="8"/>
  </cols>
  <sheetData>
    <row r="1" spans="1:28" ht="28.95" customHeight="1" x14ac:dyDescent="0.25">
      <c r="A1" s="575" t="str">
        <f>"% of Floor Area per CZ and Vintage Bin - "&amp;Prototype!A2</f>
        <v>% of Floor Area per CZ and Vintage Bin - Laboratory</v>
      </c>
      <c r="B1" s="575"/>
      <c r="C1" s="575"/>
      <c r="D1" s="575"/>
      <c r="E1" s="575"/>
      <c r="F1" s="575"/>
      <c r="G1" s="575"/>
      <c r="J1" s="575" t="str">
        <f>"% of Floor Area per CZ and Vintage Bin - "&amp;Prototype!A2</f>
        <v>% of Floor Area per CZ and Vintage Bin - Laboratory</v>
      </c>
      <c r="K1" s="575"/>
      <c r="L1" s="575"/>
      <c r="M1" s="575"/>
      <c r="N1" s="575"/>
      <c r="O1" s="575"/>
      <c r="P1" s="575"/>
      <c r="Q1" s="575"/>
      <c r="R1" s="575"/>
      <c r="S1" s="575"/>
      <c r="T1" s="575"/>
      <c r="U1" s="575"/>
      <c r="V1" s="575"/>
      <c r="W1" s="575"/>
      <c r="X1" s="575"/>
      <c r="Y1" s="575"/>
      <c r="Z1" s="575"/>
      <c r="AA1" s="575"/>
    </row>
    <row r="2" spans="1:28" ht="21" customHeight="1" x14ac:dyDescent="0.25">
      <c r="A2" s="606" t="s">
        <v>5</v>
      </c>
      <c r="B2" s="606" t="s">
        <v>428</v>
      </c>
      <c r="C2" s="602" t="s">
        <v>449</v>
      </c>
      <c r="D2" s="603"/>
      <c r="E2" s="603"/>
      <c r="F2" s="603"/>
      <c r="G2" s="604"/>
      <c r="J2" s="605" t="s">
        <v>5</v>
      </c>
      <c r="K2" s="605" t="s">
        <v>449</v>
      </c>
      <c r="L2" s="605" t="s">
        <v>428</v>
      </c>
      <c r="M2" s="605"/>
      <c r="N2" s="605"/>
      <c r="O2" s="605"/>
      <c r="P2" s="605"/>
      <c r="Q2" s="605"/>
      <c r="R2" s="605"/>
      <c r="S2" s="605"/>
      <c r="T2" s="605"/>
      <c r="U2" s="605"/>
      <c r="V2" s="605"/>
      <c r="W2" s="605"/>
      <c r="X2" s="605"/>
      <c r="Y2" s="605"/>
      <c r="Z2" s="605"/>
      <c r="AA2" s="605"/>
    </row>
    <row r="3" spans="1:28" ht="21" customHeight="1" x14ac:dyDescent="0.25">
      <c r="A3" s="607"/>
      <c r="B3" s="607"/>
      <c r="C3" s="448" t="s">
        <v>450</v>
      </c>
      <c r="D3" s="448" t="s">
        <v>146</v>
      </c>
      <c r="E3" s="448" t="s">
        <v>148</v>
      </c>
      <c r="F3" s="448" t="s">
        <v>150</v>
      </c>
      <c r="G3" s="448" t="s">
        <v>451</v>
      </c>
      <c r="J3" s="605"/>
      <c r="K3" s="605"/>
      <c r="L3" s="448">
        <v>1</v>
      </c>
      <c r="M3" s="448">
        <v>2</v>
      </c>
      <c r="N3" s="448">
        <v>3</v>
      </c>
      <c r="O3" s="448">
        <v>4</v>
      </c>
      <c r="P3" s="448">
        <v>5</v>
      </c>
      <c r="Q3" s="448">
        <v>6</v>
      </c>
      <c r="R3" s="448">
        <v>7</v>
      </c>
      <c r="S3" s="448">
        <v>8</v>
      </c>
      <c r="T3" s="448">
        <v>9</v>
      </c>
      <c r="U3" s="448">
        <v>10</v>
      </c>
      <c r="V3" s="448">
        <v>11</v>
      </c>
      <c r="W3" s="448">
        <v>12</v>
      </c>
      <c r="X3" s="448">
        <v>13</v>
      </c>
      <c r="Y3" s="448">
        <v>14</v>
      </c>
      <c r="Z3" s="448">
        <v>15</v>
      </c>
      <c r="AA3" s="448">
        <v>16</v>
      </c>
    </row>
    <row r="4" spans="1:28" ht="16.95" customHeight="1" x14ac:dyDescent="0.25">
      <c r="A4" s="600" t="str">
        <f>Prototype!B4</f>
        <v>Laboratory</v>
      </c>
      <c r="B4" s="225">
        <v>1</v>
      </c>
      <c r="C4" s="446"/>
      <c r="D4" s="446"/>
      <c r="E4" s="446"/>
      <c r="F4" s="446"/>
      <c r="G4" s="67"/>
      <c r="H4" s="76">
        <f>SUM(C4:G4)</f>
        <v>0</v>
      </c>
      <c r="J4" s="597" t="str">
        <f>Prototype!B4</f>
        <v>Laboratory</v>
      </c>
      <c r="K4" s="43" t="s">
        <v>450</v>
      </c>
      <c r="L4" s="43"/>
      <c r="M4" s="43"/>
      <c r="N4" s="43"/>
      <c r="O4" s="43"/>
      <c r="P4" s="43"/>
      <c r="Q4" s="43"/>
      <c r="R4" s="43"/>
      <c r="S4" s="43"/>
      <c r="T4" s="43"/>
      <c r="U4" s="43"/>
      <c r="V4" s="43"/>
      <c r="W4" s="43"/>
      <c r="X4" s="43"/>
      <c r="Y4" s="43"/>
      <c r="Z4" s="43"/>
      <c r="AA4" s="43"/>
      <c r="AB4" s="76">
        <f>SUM(L4:AA4)</f>
        <v>0</v>
      </c>
    </row>
    <row r="5" spans="1:28" ht="16.95" customHeight="1" x14ac:dyDescent="0.25">
      <c r="A5" s="601"/>
      <c r="B5" s="42">
        <v>2</v>
      </c>
      <c r="C5" s="43"/>
      <c r="D5" s="43"/>
      <c r="E5" s="43"/>
      <c r="F5" s="43"/>
      <c r="G5" s="56"/>
      <c r="H5" s="76">
        <f t="shared" ref="H5:H19" si="0">SUM(C5:G5)</f>
        <v>0</v>
      </c>
      <c r="J5" s="598"/>
      <c r="K5" s="43" t="s">
        <v>146</v>
      </c>
      <c r="L5" s="43"/>
      <c r="M5" s="43"/>
      <c r="N5" s="43"/>
      <c r="O5" s="43"/>
      <c r="P5" s="43"/>
      <c r="Q5" s="43"/>
      <c r="R5" s="43"/>
      <c r="S5" s="43"/>
      <c r="T5" s="43"/>
      <c r="U5" s="43"/>
      <c r="V5" s="43"/>
      <c r="W5" s="43"/>
      <c r="X5" s="43"/>
      <c r="Y5" s="43"/>
      <c r="Z5" s="43"/>
      <c r="AA5" s="43"/>
      <c r="AB5" s="76">
        <f>SUM(L5:AA5)</f>
        <v>0</v>
      </c>
    </row>
    <row r="6" spans="1:28" ht="16.95" customHeight="1" x14ac:dyDescent="0.25">
      <c r="A6" s="601"/>
      <c r="B6" s="42">
        <v>3</v>
      </c>
      <c r="C6" s="43"/>
      <c r="D6" s="43"/>
      <c r="E6" s="43"/>
      <c r="F6" s="43"/>
      <c r="G6" s="56"/>
      <c r="H6" s="76">
        <f t="shared" si="0"/>
        <v>0</v>
      </c>
      <c r="J6" s="598"/>
      <c r="K6" s="43" t="s">
        <v>148</v>
      </c>
      <c r="L6" s="43"/>
      <c r="M6" s="43"/>
      <c r="N6" s="43"/>
      <c r="O6" s="43"/>
      <c r="P6" s="43"/>
      <c r="Q6" s="43"/>
      <c r="R6" s="43"/>
      <c r="S6" s="43"/>
      <c r="T6" s="43"/>
      <c r="U6" s="43"/>
      <c r="V6" s="43"/>
      <c r="W6" s="43"/>
      <c r="X6" s="43"/>
      <c r="Y6" s="43"/>
      <c r="Z6" s="43"/>
      <c r="AA6" s="43"/>
      <c r="AB6" s="76">
        <f>SUM(L6:AA6)</f>
        <v>0</v>
      </c>
    </row>
    <row r="7" spans="1:28" ht="16.95" customHeight="1" x14ac:dyDescent="0.25">
      <c r="A7" s="601"/>
      <c r="B7" s="42">
        <v>4</v>
      </c>
      <c r="C7" s="43"/>
      <c r="D7" s="43"/>
      <c r="E7" s="43"/>
      <c r="F7" s="43"/>
      <c r="G7" s="56"/>
      <c r="H7" s="76">
        <f t="shared" si="0"/>
        <v>0</v>
      </c>
      <c r="J7" s="598"/>
      <c r="K7" s="43" t="s">
        <v>150</v>
      </c>
      <c r="L7" s="43"/>
      <c r="M7" s="43"/>
      <c r="N7" s="43"/>
      <c r="O7" s="43"/>
      <c r="P7" s="43"/>
      <c r="Q7" s="43"/>
      <c r="R7" s="43"/>
      <c r="S7" s="43"/>
      <c r="T7" s="43"/>
      <c r="U7" s="43"/>
      <c r="V7" s="43"/>
      <c r="W7" s="43"/>
      <c r="X7" s="43"/>
      <c r="Y7" s="43"/>
      <c r="Z7" s="43"/>
      <c r="AA7" s="43"/>
      <c r="AB7" s="76">
        <f>SUM(L7:AA7)</f>
        <v>0</v>
      </c>
    </row>
    <row r="8" spans="1:28" ht="16.95" customHeight="1" x14ac:dyDescent="0.25">
      <c r="A8" s="601"/>
      <c r="B8" s="42">
        <v>5</v>
      </c>
      <c r="C8" s="43"/>
      <c r="D8" s="43"/>
      <c r="E8" s="43"/>
      <c r="F8" s="43"/>
      <c r="G8" s="56"/>
      <c r="H8" s="76">
        <f t="shared" si="0"/>
        <v>0</v>
      </c>
      <c r="J8" s="598"/>
      <c r="K8" s="43" t="s">
        <v>451</v>
      </c>
      <c r="L8" s="43"/>
      <c r="M8" s="43"/>
      <c r="N8" s="43"/>
      <c r="O8" s="43"/>
      <c r="P8" s="43"/>
      <c r="Q8" s="43"/>
      <c r="R8" s="43"/>
      <c r="S8" s="43"/>
      <c r="T8" s="43"/>
      <c r="U8" s="43"/>
      <c r="V8" s="43"/>
      <c r="W8" s="43"/>
      <c r="X8" s="43"/>
      <c r="Y8" s="43"/>
      <c r="Z8" s="43"/>
      <c r="AA8" s="43"/>
      <c r="AB8" s="76">
        <f>SUM(L8:AA8)</f>
        <v>0</v>
      </c>
    </row>
    <row r="9" spans="1:28" ht="16.95" customHeight="1" x14ac:dyDescent="0.25">
      <c r="A9" s="601"/>
      <c r="B9" s="42">
        <v>6</v>
      </c>
      <c r="C9" s="43"/>
      <c r="D9" s="43"/>
      <c r="E9" s="43"/>
      <c r="F9" s="43"/>
      <c r="G9" s="56"/>
      <c r="H9" s="76">
        <f t="shared" si="0"/>
        <v>0</v>
      </c>
      <c r="J9" s="599"/>
      <c r="K9" s="43" t="s">
        <v>284</v>
      </c>
      <c r="L9" s="43"/>
      <c r="M9" s="43"/>
      <c r="N9" s="43"/>
      <c r="O9" s="43"/>
      <c r="P9" s="43"/>
      <c r="Q9" s="43"/>
      <c r="R9" s="43"/>
      <c r="S9" s="43"/>
      <c r="T9" s="43"/>
      <c r="U9" s="43"/>
      <c r="V9" s="43"/>
      <c r="W9" s="43"/>
      <c r="X9" s="43"/>
      <c r="Y9" s="43"/>
      <c r="Z9" s="43"/>
      <c r="AA9" s="43"/>
      <c r="AB9" s="36"/>
    </row>
    <row r="10" spans="1:28" ht="16.95" customHeight="1" x14ac:dyDescent="0.25">
      <c r="A10" s="601"/>
      <c r="B10" s="42">
        <v>7</v>
      </c>
      <c r="C10" s="43"/>
      <c r="D10" s="43"/>
      <c r="E10" s="43"/>
      <c r="F10" s="43"/>
      <c r="G10" s="56"/>
      <c r="H10" s="76">
        <f t="shared" si="0"/>
        <v>0</v>
      </c>
      <c r="J10" s="10"/>
      <c r="K10" s="74"/>
      <c r="L10" s="32"/>
      <c r="M10" s="32"/>
      <c r="N10" s="32"/>
      <c r="O10" s="32"/>
      <c r="P10" s="75"/>
    </row>
    <row r="11" spans="1:28" ht="16.95" customHeight="1" x14ac:dyDescent="0.25">
      <c r="A11" s="601"/>
      <c r="B11" s="42">
        <v>8</v>
      </c>
      <c r="C11" s="43"/>
      <c r="D11" s="43"/>
      <c r="E11" s="43"/>
      <c r="F11" s="43"/>
      <c r="G11" s="56"/>
      <c r="H11" s="76">
        <f t="shared" si="0"/>
        <v>0</v>
      </c>
      <c r="J11" s="10"/>
      <c r="K11" s="74"/>
      <c r="L11" s="32"/>
      <c r="M11" s="32"/>
      <c r="N11" s="32"/>
      <c r="O11" s="32"/>
      <c r="P11" s="75"/>
    </row>
    <row r="12" spans="1:28" ht="16.95" customHeight="1" x14ac:dyDescent="0.25">
      <c r="A12" s="601"/>
      <c r="B12" s="42">
        <v>9</v>
      </c>
      <c r="C12" s="43"/>
      <c r="D12" s="43"/>
      <c r="E12" s="43"/>
      <c r="F12" s="43"/>
      <c r="G12" s="56"/>
      <c r="H12" s="76">
        <f t="shared" si="0"/>
        <v>0</v>
      </c>
      <c r="J12" s="10"/>
      <c r="K12" s="74"/>
      <c r="L12" s="32"/>
      <c r="M12" s="32"/>
      <c r="N12" s="32"/>
      <c r="O12" s="32"/>
      <c r="P12" s="75"/>
    </row>
    <row r="13" spans="1:28" ht="16.95" customHeight="1" x14ac:dyDescent="0.25">
      <c r="A13" s="601"/>
      <c r="B13" s="42">
        <v>10</v>
      </c>
      <c r="C13" s="43"/>
      <c r="D13" s="43"/>
      <c r="E13" s="43"/>
      <c r="F13" s="43"/>
      <c r="G13" s="56"/>
      <c r="H13" s="76">
        <f t="shared" si="0"/>
        <v>0</v>
      </c>
      <c r="J13" s="10"/>
      <c r="K13" s="74"/>
      <c r="L13" s="32"/>
      <c r="M13" s="32"/>
      <c r="N13" s="32"/>
      <c r="O13" s="32"/>
      <c r="P13" s="75"/>
    </row>
    <row r="14" spans="1:28" ht="16.95" customHeight="1" x14ac:dyDescent="0.25">
      <c r="A14" s="601"/>
      <c r="B14" s="42">
        <v>11</v>
      </c>
      <c r="C14" s="43"/>
      <c r="D14" s="43"/>
      <c r="E14" s="43"/>
      <c r="F14" s="43"/>
      <c r="G14" s="56"/>
      <c r="H14" s="76">
        <f t="shared" si="0"/>
        <v>0</v>
      </c>
      <c r="J14" s="10"/>
      <c r="K14" s="74"/>
      <c r="L14" s="32"/>
      <c r="M14" s="32"/>
      <c r="N14" s="32"/>
      <c r="O14" s="32"/>
      <c r="P14" s="75"/>
    </row>
    <row r="15" spans="1:28" ht="16.95" customHeight="1" x14ac:dyDescent="0.25">
      <c r="A15" s="601"/>
      <c r="B15" s="42">
        <v>12</v>
      </c>
      <c r="C15" s="43"/>
      <c r="D15" s="43"/>
      <c r="E15" s="43"/>
      <c r="F15" s="43"/>
      <c r="G15" s="56"/>
      <c r="H15" s="76">
        <f t="shared" si="0"/>
        <v>0</v>
      </c>
      <c r="J15" s="10"/>
      <c r="K15" s="74"/>
      <c r="L15" s="32"/>
      <c r="M15" s="32"/>
      <c r="N15" s="32"/>
      <c r="O15" s="32"/>
      <c r="P15" s="75"/>
    </row>
    <row r="16" spans="1:28" ht="16.95" customHeight="1" x14ac:dyDescent="0.25">
      <c r="A16" s="601"/>
      <c r="B16" s="42">
        <v>13</v>
      </c>
      <c r="C16" s="43"/>
      <c r="D16" s="43"/>
      <c r="E16" s="43"/>
      <c r="F16" s="43"/>
      <c r="G16" s="56"/>
      <c r="H16" s="76">
        <f t="shared" si="0"/>
        <v>0</v>
      </c>
      <c r="J16" s="10"/>
      <c r="K16" s="74"/>
      <c r="L16" s="32"/>
      <c r="M16" s="32"/>
      <c r="N16" s="32"/>
      <c r="O16" s="32"/>
      <c r="P16" s="75"/>
    </row>
    <row r="17" spans="1:16" ht="16.95" customHeight="1" x14ac:dyDescent="0.25">
      <c r="A17" s="601"/>
      <c r="B17" s="42">
        <v>14</v>
      </c>
      <c r="C17" s="43"/>
      <c r="D17" s="43"/>
      <c r="E17" s="43"/>
      <c r="F17" s="43"/>
      <c r="G17" s="56"/>
      <c r="H17" s="76">
        <f t="shared" si="0"/>
        <v>0</v>
      </c>
      <c r="J17" s="10"/>
      <c r="K17" s="74"/>
      <c r="L17" s="32"/>
      <c r="M17" s="32"/>
      <c r="N17" s="32"/>
      <c r="O17" s="32"/>
      <c r="P17" s="75"/>
    </row>
    <row r="18" spans="1:16" ht="16.95" customHeight="1" x14ac:dyDescent="0.25">
      <c r="A18" s="601"/>
      <c r="B18" s="42">
        <v>15</v>
      </c>
      <c r="C18" s="43"/>
      <c r="D18" s="43"/>
      <c r="E18" s="43"/>
      <c r="F18" s="43"/>
      <c r="G18" s="56"/>
      <c r="H18" s="76">
        <f t="shared" si="0"/>
        <v>0</v>
      </c>
      <c r="J18" s="10"/>
      <c r="K18" s="74"/>
      <c r="L18" s="32"/>
      <c r="M18" s="32"/>
      <c r="N18" s="32"/>
      <c r="O18" s="32"/>
      <c r="P18" s="75"/>
    </row>
    <row r="19" spans="1:16" ht="16.95" customHeight="1" x14ac:dyDescent="0.25">
      <c r="A19" s="601"/>
      <c r="B19" s="42">
        <v>16</v>
      </c>
      <c r="C19" s="56"/>
      <c r="D19" s="56"/>
      <c r="E19" s="56"/>
      <c r="F19" s="56"/>
      <c r="G19" s="56"/>
      <c r="H19" s="76">
        <f t="shared" si="0"/>
        <v>0</v>
      </c>
      <c r="J19" s="10"/>
      <c r="K19" s="74"/>
      <c r="L19" s="32"/>
      <c r="M19" s="32"/>
      <c r="N19" s="32"/>
      <c r="O19" s="32"/>
      <c r="P19" s="75"/>
    </row>
    <row r="20" spans="1:16" x14ac:dyDescent="0.25">
      <c r="A20" s="601"/>
      <c r="B20" s="56" t="s">
        <v>452</v>
      </c>
      <c r="C20" s="56"/>
      <c r="D20" s="56"/>
      <c r="E20" s="56"/>
      <c r="F20" s="56"/>
      <c r="G20" s="56"/>
    </row>
    <row r="22" spans="1:16" x14ac:dyDescent="0.25">
      <c r="A22" s="8" t="s">
        <v>453</v>
      </c>
    </row>
    <row r="29" spans="1:16" s="26" customFormat="1" x14ac:dyDescent="0.25">
      <c r="A29" s="26" t="s">
        <v>115</v>
      </c>
      <c r="E29" s="27"/>
      <c r="F29" s="28"/>
      <c r="G29" s="29"/>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dimension ref="A1:J2"/>
  <sheetViews>
    <sheetView workbookViewId="0">
      <selection activeCell="W26" sqref="W26"/>
    </sheetView>
  </sheetViews>
  <sheetFormatPr defaultRowHeight="14.4" x14ac:dyDescent="0.3"/>
  <sheetData>
    <row r="1" spans="1:10" ht="21.6" customHeight="1" x14ac:dyDescent="0.3">
      <c r="A1" s="608" t="str">
        <f>"PV - "&amp;Prototype!B4</f>
        <v>PV - Laboratory</v>
      </c>
      <c r="B1" s="608"/>
      <c r="C1" s="608"/>
      <c r="D1" s="608"/>
      <c r="E1" s="608"/>
      <c r="F1" s="608"/>
      <c r="G1" s="608"/>
      <c r="H1" s="608"/>
      <c r="I1" s="608"/>
      <c r="J1" s="608"/>
    </row>
    <row r="2" spans="1:10" x14ac:dyDescent="0.3">
      <c r="A2" t="s">
        <v>454</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activeCell="A11" sqref="A11"/>
    </sheetView>
  </sheetViews>
  <sheetFormatPr defaultColWidth="8.6640625" defaultRowHeight="13.2" x14ac:dyDescent="0.25"/>
  <cols>
    <col min="1" max="1" width="21" style="8" customWidth="1"/>
    <col min="2" max="2" width="14.33203125" style="8" customWidth="1"/>
    <col min="3" max="3" width="14.5546875" style="8" customWidth="1"/>
    <col min="4" max="8" width="8.6640625" style="8"/>
    <col min="9" max="9" width="13.6640625" style="8" customWidth="1"/>
    <col min="10" max="10" width="14.44140625" style="8" customWidth="1"/>
    <col min="11" max="16384" width="8.6640625" style="8"/>
  </cols>
  <sheetData>
    <row r="1" spans="1:8" ht="20.399999999999999" customHeight="1" x14ac:dyDescent="0.25">
      <c r="A1" s="500" t="str">
        <f>"EV Charger - "&amp;Prototype!B4</f>
        <v>EV Charger - Laboratory</v>
      </c>
      <c r="B1" s="500"/>
      <c r="C1" s="500"/>
      <c r="D1" s="500"/>
      <c r="E1" s="500"/>
      <c r="F1" s="500"/>
      <c r="G1" s="500"/>
      <c r="H1" s="500"/>
    </row>
    <row r="2" spans="1:8" ht="14.4" x14ac:dyDescent="0.3">
      <c r="A2" t="s">
        <v>454</v>
      </c>
      <c r="B2" s="52"/>
      <c r="C2" s="53"/>
      <c r="D2" s="54"/>
      <c r="E2" s="54"/>
    </row>
    <row r="3" spans="1:8" x14ac:dyDescent="0.25">
      <c r="A3" s="426"/>
      <c r="B3" s="435"/>
      <c r="C3" s="438"/>
      <c r="D3" s="55"/>
      <c r="E3" s="55"/>
    </row>
    <row r="11" spans="1:8" s="26" customFormat="1" hidden="1" x14ac:dyDescent="0.25">
      <c r="A11" s="26" t="s">
        <v>115</v>
      </c>
      <c r="E11" s="27"/>
      <c r="F11" s="28"/>
      <c r="G11" s="29"/>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5381B-1B44-4671-8B00-90D248609019}">
  <dimension ref="A1:H83"/>
  <sheetViews>
    <sheetView workbookViewId="0">
      <selection activeCell="B83" sqref="B83"/>
    </sheetView>
  </sheetViews>
  <sheetFormatPr defaultRowHeight="14.4" x14ac:dyDescent="0.3"/>
  <cols>
    <col min="1" max="1" width="58.6640625" customWidth="1"/>
    <col min="2" max="2" width="33.6640625" customWidth="1"/>
    <col min="3" max="3" width="30.88671875" customWidth="1"/>
    <col min="4" max="4" width="30.33203125" customWidth="1"/>
  </cols>
  <sheetData>
    <row r="1" spans="1:8" x14ac:dyDescent="0.3">
      <c r="A1" s="2" t="s">
        <v>455</v>
      </c>
      <c r="B1" s="2" t="s">
        <v>456</v>
      </c>
      <c r="C1" t="s">
        <v>457</v>
      </c>
      <c r="D1" t="s">
        <v>457</v>
      </c>
      <c r="E1" s="609" t="s">
        <v>458</v>
      </c>
      <c r="F1" s="609"/>
      <c r="G1" s="609"/>
      <c r="H1" s="609"/>
    </row>
    <row r="2" spans="1:8" x14ac:dyDescent="0.3">
      <c r="A2" s="432" t="s">
        <v>459</v>
      </c>
      <c r="B2" s="432"/>
      <c r="E2">
        <v>2013</v>
      </c>
      <c r="F2">
        <v>2016</v>
      </c>
      <c r="G2">
        <v>2019</v>
      </c>
      <c r="H2">
        <v>2025</v>
      </c>
    </row>
    <row r="3" spans="1:8" x14ac:dyDescent="0.3">
      <c r="A3" s="432" t="s">
        <v>460</v>
      </c>
      <c r="B3" s="432"/>
    </row>
    <row r="4" spans="1:8" x14ac:dyDescent="0.3">
      <c r="A4" s="2" t="s">
        <v>461</v>
      </c>
      <c r="B4" s="2"/>
    </row>
    <row r="5" spans="1:8" x14ac:dyDescent="0.3">
      <c r="A5" s="2" t="s">
        <v>462</v>
      </c>
      <c r="B5" s="2"/>
    </row>
    <row r="6" spans="1:8" x14ac:dyDescent="0.3">
      <c r="A6" s="2" t="s">
        <v>463</v>
      </c>
      <c r="B6" s="2"/>
    </row>
    <row r="7" spans="1:8" x14ac:dyDescent="0.3">
      <c r="A7" s="2" t="s">
        <v>464</v>
      </c>
      <c r="B7" s="2"/>
    </row>
    <row r="8" spans="1:8" x14ac:dyDescent="0.3">
      <c r="A8" s="2" t="s">
        <v>465</v>
      </c>
      <c r="B8" s="2"/>
    </row>
    <row r="9" spans="1:8" x14ac:dyDescent="0.3">
      <c r="A9" s="2" t="s">
        <v>466</v>
      </c>
      <c r="B9" s="2"/>
    </row>
    <row r="10" spans="1:8" x14ac:dyDescent="0.3">
      <c r="A10" s="2" t="s">
        <v>467</v>
      </c>
      <c r="B10" s="2"/>
    </row>
    <row r="11" spans="1:8" x14ac:dyDescent="0.3">
      <c r="A11" s="2" t="s">
        <v>468</v>
      </c>
      <c r="B11" s="2"/>
    </row>
    <row r="12" spans="1:8" x14ac:dyDescent="0.3">
      <c r="A12" s="2" t="s">
        <v>469</v>
      </c>
      <c r="B12" s="2"/>
    </row>
    <row r="13" spans="1:8" x14ac:dyDescent="0.3">
      <c r="A13" s="2" t="s">
        <v>470</v>
      </c>
      <c r="B13" s="2"/>
    </row>
    <row r="14" spans="1:8" x14ac:dyDescent="0.3">
      <c r="A14" s="2" t="s">
        <v>471</v>
      </c>
      <c r="B14" s="2"/>
    </row>
    <row r="15" spans="1:8" x14ac:dyDescent="0.3">
      <c r="A15" s="2" t="s">
        <v>472</v>
      </c>
      <c r="B15" s="2"/>
    </row>
    <row r="16" spans="1:8" x14ac:dyDescent="0.3">
      <c r="A16" s="2" t="s">
        <v>473</v>
      </c>
      <c r="B16" s="2"/>
    </row>
    <row r="17" spans="1:2" x14ac:dyDescent="0.3">
      <c r="A17" s="2" t="s">
        <v>474</v>
      </c>
      <c r="B17" s="2"/>
    </row>
    <row r="18" spans="1:2" x14ac:dyDescent="0.3">
      <c r="A18" s="2" t="s">
        <v>475</v>
      </c>
      <c r="B18" s="2" t="s">
        <v>87</v>
      </c>
    </row>
    <row r="19" spans="1:2" x14ac:dyDescent="0.3">
      <c r="A19" s="2" t="s">
        <v>476</v>
      </c>
      <c r="B19" s="2"/>
    </row>
    <row r="20" spans="1:2" x14ac:dyDescent="0.3">
      <c r="A20" s="2" t="s">
        <v>477</v>
      </c>
      <c r="B20" s="2"/>
    </row>
    <row r="21" spans="1:2" x14ac:dyDescent="0.3">
      <c r="A21" s="2" t="s">
        <v>478</v>
      </c>
      <c r="B21" s="2"/>
    </row>
    <row r="22" spans="1:2" x14ac:dyDescent="0.3">
      <c r="A22" s="2" t="s">
        <v>479</v>
      </c>
      <c r="B22" s="2"/>
    </row>
    <row r="23" spans="1:2" x14ac:dyDescent="0.3">
      <c r="A23" s="2" t="s">
        <v>480</v>
      </c>
      <c r="B23" s="2"/>
    </row>
    <row r="24" spans="1:2" x14ac:dyDescent="0.3">
      <c r="A24" s="2" t="s">
        <v>481</v>
      </c>
      <c r="B24" s="2"/>
    </row>
    <row r="25" spans="1:2" x14ac:dyDescent="0.3">
      <c r="A25" s="2" t="s">
        <v>482</v>
      </c>
      <c r="B25" s="2"/>
    </row>
    <row r="26" spans="1:2" x14ac:dyDescent="0.3">
      <c r="A26" s="2" t="s">
        <v>483</v>
      </c>
      <c r="B26" s="2"/>
    </row>
    <row r="27" spans="1:2" x14ac:dyDescent="0.3">
      <c r="A27" s="2" t="s">
        <v>484</v>
      </c>
      <c r="B27" s="2"/>
    </row>
    <row r="28" spans="1:2" x14ac:dyDescent="0.3">
      <c r="A28" s="2" t="s">
        <v>485</v>
      </c>
      <c r="B28" s="2"/>
    </row>
    <row r="29" spans="1:2" x14ac:dyDescent="0.3">
      <c r="A29" s="2" t="s">
        <v>486</v>
      </c>
      <c r="B29" s="2"/>
    </row>
    <row r="30" spans="1:2" x14ac:dyDescent="0.3">
      <c r="A30" s="2" t="s">
        <v>487</v>
      </c>
      <c r="B30" s="2"/>
    </row>
    <row r="31" spans="1:2" x14ac:dyDescent="0.3">
      <c r="A31" s="2" t="s">
        <v>488</v>
      </c>
      <c r="B31" s="2"/>
    </row>
    <row r="32" spans="1:2" x14ac:dyDescent="0.3">
      <c r="A32" s="2" t="s">
        <v>489</v>
      </c>
      <c r="B32" s="2"/>
    </row>
    <row r="33" spans="1:2" x14ac:dyDescent="0.3">
      <c r="A33" s="2" t="s">
        <v>490</v>
      </c>
      <c r="B33" s="2"/>
    </row>
    <row r="34" spans="1:2" x14ac:dyDescent="0.3">
      <c r="A34" s="2" t="s">
        <v>491</v>
      </c>
      <c r="B34" s="2"/>
    </row>
    <row r="35" spans="1:2" x14ac:dyDescent="0.3">
      <c r="A35" s="2" t="s">
        <v>492</v>
      </c>
      <c r="B35" s="2"/>
    </row>
    <row r="36" spans="1:2" x14ac:dyDescent="0.3">
      <c r="A36" s="2" t="s">
        <v>493</v>
      </c>
      <c r="B36" s="2" t="s">
        <v>87</v>
      </c>
    </row>
    <row r="37" spans="1:2" x14ac:dyDescent="0.3">
      <c r="A37" s="2" t="s">
        <v>494</v>
      </c>
      <c r="B37" s="2" t="s">
        <v>87</v>
      </c>
    </row>
    <row r="38" spans="1:2" x14ac:dyDescent="0.3">
      <c r="A38" s="2" t="s">
        <v>83</v>
      </c>
      <c r="B38" s="2" t="s">
        <v>87</v>
      </c>
    </row>
    <row r="39" spans="1:2" x14ac:dyDescent="0.3">
      <c r="A39" s="2" t="s">
        <v>495</v>
      </c>
      <c r="B39" s="2" t="s">
        <v>87</v>
      </c>
    </row>
    <row r="40" spans="1:2" x14ac:dyDescent="0.3">
      <c r="A40" s="2" t="s">
        <v>496</v>
      </c>
      <c r="B40" s="2"/>
    </row>
    <row r="41" spans="1:2" x14ac:dyDescent="0.3">
      <c r="A41" s="2" t="s">
        <v>497</v>
      </c>
      <c r="B41" s="2"/>
    </row>
    <row r="42" spans="1:2" x14ac:dyDescent="0.3">
      <c r="A42" s="2" t="s">
        <v>498</v>
      </c>
      <c r="B42" s="2"/>
    </row>
    <row r="43" spans="1:2" x14ac:dyDescent="0.3">
      <c r="A43" s="2" t="s">
        <v>499</v>
      </c>
      <c r="B43" s="2" t="s">
        <v>87</v>
      </c>
    </row>
    <row r="44" spans="1:2" x14ac:dyDescent="0.3">
      <c r="A44" s="2" t="s">
        <v>500</v>
      </c>
      <c r="B44" s="2"/>
    </row>
    <row r="45" spans="1:2" x14ac:dyDescent="0.3">
      <c r="A45" s="2" t="s">
        <v>501</v>
      </c>
      <c r="B45" s="2"/>
    </row>
    <row r="46" spans="1:2" x14ac:dyDescent="0.3">
      <c r="A46" s="2" t="s">
        <v>502</v>
      </c>
      <c r="B46" s="2"/>
    </row>
    <row r="47" spans="1:2" x14ac:dyDescent="0.3">
      <c r="A47" s="2" t="s">
        <v>503</v>
      </c>
      <c r="B47" s="2"/>
    </row>
    <row r="48" spans="1:2" x14ac:dyDescent="0.3">
      <c r="A48" s="2" t="s">
        <v>504</v>
      </c>
      <c r="B48" s="2"/>
    </row>
    <row r="49" spans="1:2" x14ac:dyDescent="0.3">
      <c r="A49" s="2" t="s">
        <v>505</v>
      </c>
      <c r="B49" s="2"/>
    </row>
    <row r="50" spans="1:2" x14ac:dyDescent="0.3">
      <c r="A50" s="2" t="s">
        <v>96</v>
      </c>
      <c r="B50" s="2"/>
    </row>
    <row r="51" spans="1:2" x14ac:dyDescent="0.3">
      <c r="A51" s="2" t="s">
        <v>506</v>
      </c>
      <c r="B51" s="2"/>
    </row>
    <row r="52" spans="1:2" x14ac:dyDescent="0.3">
      <c r="A52" s="2" t="s">
        <v>507</v>
      </c>
      <c r="B52" s="2"/>
    </row>
    <row r="53" spans="1:2" x14ac:dyDescent="0.3">
      <c r="A53" s="2" t="s">
        <v>508</v>
      </c>
      <c r="B53" s="2"/>
    </row>
    <row r="54" spans="1:2" x14ac:dyDescent="0.3">
      <c r="A54" s="2" t="s">
        <v>509</v>
      </c>
      <c r="B54" s="2"/>
    </row>
    <row r="55" spans="1:2" x14ac:dyDescent="0.3">
      <c r="A55" s="2" t="s">
        <v>510</v>
      </c>
      <c r="B55" s="2"/>
    </row>
    <row r="56" spans="1:2" x14ac:dyDescent="0.3">
      <c r="A56" s="2" t="s">
        <v>511</v>
      </c>
      <c r="B56" s="2"/>
    </row>
    <row r="57" spans="1:2" x14ac:dyDescent="0.3">
      <c r="A57" s="2" t="s">
        <v>512</v>
      </c>
      <c r="B57" s="2"/>
    </row>
    <row r="58" spans="1:2" x14ac:dyDescent="0.3">
      <c r="A58" s="2" t="s">
        <v>513</v>
      </c>
      <c r="B58" s="2"/>
    </row>
    <row r="59" spans="1:2" x14ac:dyDescent="0.3">
      <c r="A59" s="2" t="s">
        <v>514</v>
      </c>
      <c r="B59" s="2"/>
    </row>
    <row r="60" spans="1:2" x14ac:dyDescent="0.3">
      <c r="A60" s="2" t="s">
        <v>515</v>
      </c>
      <c r="B60" s="2"/>
    </row>
    <row r="61" spans="1:2" x14ac:dyDescent="0.3">
      <c r="A61" s="2" t="s">
        <v>516</v>
      </c>
      <c r="B61" s="2"/>
    </row>
    <row r="62" spans="1:2" x14ac:dyDescent="0.3">
      <c r="A62" s="2" t="s">
        <v>517</v>
      </c>
      <c r="B62" s="2"/>
    </row>
    <row r="63" spans="1:2" x14ac:dyDescent="0.3">
      <c r="A63" s="2" t="s">
        <v>518</v>
      </c>
      <c r="B63" s="2"/>
    </row>
    <row r="64" spans="1:2" x14ac:dyDescent="0.3">
      <c r="A64" s="2" t="s">
        <v>519</v>
      </c>
      <c r="B64" s="2"/>
    </row>
    <row r="65" spans="1:2" x14ac:dyDescent="0.3">
      <c r="A65" s="2" t="s">
        <v>520</v>
      </c>
      <c r="B65" s="2"/>
    </row>
    <row r="66" spans="1:2" x14ac:dyDescent="0.3">
      <c r="A66" s="2" t="s">
        <v>521</v>
      </c>
      <c r="B66" s="2"/>
    </row>
    <row r="67" spans="1:2" x14ac:dyDescent="0.3">
      <c r="A67" s="2" t="s">
        <v>522</v>
      </c>
      <c r="B67" s="2"/>
    </row>
    <row r="68" spans="1:2" x14ac:dyDescent="0.3">
      <c r="A68" s="2" t="s">
        <v>523</v>
      </c>
      <c r="B68" s="2"/>
    </row>
    <row r="69" spans="1:2" x14ac:dyDescent="0.3">
      <c r="A69" s="2" t="s">
        <v>524</v>
      </c>
      <c r="B69" s="2"/>
    </row>
    <row r="70" spans="1:2" x14ac:dyDescent="0.3">
      <c r="A70" s="2" t="s">
        <v>525</v>
      </c>
      <c r="B70" s="2"/>
    </row>
    <row r="71" spans="1:2" x14ac:dyDescent="0.3">
      <c r="A71" s="2" t="s">
        <v>526</v>
      </c>
      <c r="B71" s="2"/>
    </row>
    <row r="72" spans="1:2" x14ac:dyDescent="0.3">
      <c r="A72" s="2" t="s">
        <v>527</v>
      </c>
      <c r="B72" s="2"/>
    </row>
    <row r="73" spans="1:2" x14ac:dyDescent="0.3">
      <c r="A73" s="2" t="s">
        <v>528</v>
      </c>
      <c r="B73" s="2"/>
    </row>
    <row r="74" spans="1:2" x14ac:dyDescent="0.3">
      <c r="A74" s="2" t="s">
        <v>529</v>
      </c>
      <c r="B74" s="2"/>
    </row>
    <row r="75" spans="1:2" x14ac:dyDescent="0.3">
      <c r="A75" s="2" t="s">
        <v>530</v>
      </c>
      <c r="B75" s="2"/>
    </row>
    <row r="76" spans="1:2" x14ac:dyDescent="0.3">
      <c r="A76" s="2" t="s">
        <v>531</v>
      </c>
      <c r="B76" s="2"/>
    </row>
    <row r="77" spans="1:2" x14ac:dyDescent="0.3">
      <c r="A77" s="2" t="s">
        <v>532</v>
      </c>
      <c r="B77" s="2"/>
    </row>
    <row r="78" spans="1:2" x14ac:dyDescent="0.3">
      <c r="A78" s="2" t="s">
        <v>533</v>
      </c>
      <c r="B78" s="2"/>
    </row>
    <row r="79" spans="1:2" x14ac:dyDescent="0.3">
      <c r="A79" s="2" t="s">
        <v>359</v>
      </c>
      <c r="B79" s="2"/>
    </row>
    <row r="80" spans="1:2" x14ac:dyDescent="0.3">
      <c r="A80" s="2" t="s">
        <v>92</v>
      </c>
      <c r="B80" s="2"/>
    </row>
    <row r="81" spans="1:2" x14ac:dyDescent="0.3">
      <c r="A81" s="2" t="s">
        <v>534</v>
      </c>
      <c r="B81" s="2"/>
    </row>
    <row r="82" spans="1:2" x14ac:dyDescent="0.3">
      <c r="A82" s="2" t="s">
        <v>535</v>
      </c>
      <c r="B82" s="2"/>
    </row>
    <row r="83" spans="1:2" x14ac:dyDescent="0.3">
      <c r="A83" s="2" t="s">
        <v>536</v>
      </c>
      <c r="B83" s="2"/>
    </row>
  </sheetData>
  <mergeCells count="1">
    <mergeCell ref="E1:H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CFD1B72A5F084B90FB7B73F4613BEC" ma:contentTypeVersion="6" ma:contentTypeDescription="Create a new document." ma:contentTypeScope="" ma:versionID="2558ad62346f4e4f9cd41e24fac43610">
  <xsd:schema xmlns:xsd="http://www.w3.org/2001/XMLSchema" xmlns:xs="http://www.w3.org/2001/XMLSchema" xmlns:p="http://schemas.microsoft.com/office/2006/metadata/properties" xmlns:ns2="f3a47e91-274c-46a0-ba98-7b939b571e5b" xmlns:ns3="ea1b199f-450f-4d51-8ad4-88f218385cd9" targetNamespace="http://schemas.microsoft.com/office/2006/metadata/properties" ma:root="true" ma:fieldsID="7070cde7c6343b0e2bf1de7a4c91f34e" ns2:_="" ns3:_="">
    <xsd:import namespace="f3a47e91-274c-46a0-ba98-7b939b571e5b"/>
    <xsd:import namespace="ea1b199f-450f-4d51-8ad4-88f218385cd9"/>
    <xsd:element name="properties">
      <xsd:complexType>
        <xsd:sequence>
          <xsd:element name="documentManagement">
            <xsd:complexType>
              <xsd:all>
                <xsd:element ref="ns2:MediaServiceSearchProperties" minOccurs="0"/>
                <xsd:element ref="ns2:MediaServiceObjectDetectorVersions" minOccurs="0"/>
                <xsd:element ref="ns3:SharedWithUsers" minOccurs="0"/>
                <xsd:element ref="ns3:SharedWithDetails"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47e91-274c-46a0-ba98-7b939b571e5b"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b199f-450f-4d51-8ad4-88f218385cd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62425FF-905B-4783-B721-B3BA1EE5B4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47e91-274c-46a0-ba98-7b939b571e5b"/>
    <ds:schemaRef ds:uri="ea1b199f-450f-4d51-8ad4-88f218385c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3.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Ext Lighting</vt:lpstr>
      <vt:lpstr>Equipment</vt:lpstr>
      <vt:lpstr>Interior Lights</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cp:lastModifiedBy>
  <cp:revision/>
  <dcterms:created xsi:type="dcterms:W3CDTF">2024-06-21T17:19:36Z</dcterms:created>
  <dcterms:modified xsi:type="dcterms:W3CDTF">2025-12-24T09:28:19Z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0x01010003CFD1B72A5F084B90FB7B73F4613BEC</vt:lpwstr>
  </property>
  <property fmtid="{D5CDD505-2E9C-101B-9397-08002B2CF9AE}" pid="17" name="MediaServiceImageTags">
    <vt:lpwstr/>
  </property>
</Properties>
</file>