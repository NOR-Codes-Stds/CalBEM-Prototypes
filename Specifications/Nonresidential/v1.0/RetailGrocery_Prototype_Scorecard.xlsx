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2992" documentId="8_{FAC7193A-32D6-44EB-8FB3-3F2B6FC99BC0}" xr6:coauthVersionLast="47" xr6:coauthVersionMax="47" xr10:uidLastSave="{E7B00B7A-09CF-473D-9D78-50B0F7B0BAD6}"/>
  <bookViews>
    <workbookView xWindow="-120" yWindow="-16320" windowWidth="29040" windowHeight="15720" tabRatio="890" firstSheet="1" activeTab="10"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7" r:id="rId8"/>
    <sheet name="Interior Lights" sheetId="25" r:id="rId9"/>
    <sheet name="Equipment" sheetId="29" r:id="rId10"/>
    <sheet name="Schedules" sheetId="28" r:id="rId11"/>
    <sheet name="Ext Lighting" sheetId="9"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nonparticipating_forecastzone_scale_factor" localSheetId="16">#REF!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8" l="1"/>
  <c r="B13" i="18"/>
  <c r="C12" i="18"/>
  <c r="C13" i="18"/>
  <c r="G12" i="18"/>
  <c r="H12" i="18"/>
  <c r="J12" i="18" s="1"/>
  <c r="G13" i="18"/>
  <c r="H13" i="18"/>
  <c r="J13" i="18" s="1"/>
  <c r="A12" i="18"/>
  <c r="A13" i="18"/>
  <c r="S75" i="20"/>
  <c r="N1"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18" i="20"/>
  <c r="S17" i="20"/>
  <c r="S16" i="20"/>
  <c r="S15" i="20"/>
  <c r="S14" i="20"/>
  <c r="S13" i="20"/>
  <c r="S12" i="20"/>
  <c r="S11" i="20"/>
  <c r="S10" i="20"/>
  <c r="S9" i="20"/>
  <c r="S8" i="20"/>
  <c r="S7" i="20"/>
  <c r="S6" i="20"/>
  <c r="S5" i="20"/>
  <c r="S4" i="20"/>
  <c r="S3" i="20"/>
  <c r="A1" i="7"/>
  <c r="L18" i="20" l="1"/>
  <c r="L17" i="20"/>
  <c r="L16" i="20"/>
  <c r="L15" i="20"/>
  <c r="L14" i="20"/>
  <c r="L13" i="20"/>
  <c r="L12" i="20"/>
  <c r="L11" i="20"/>
  <c r="L10" i="20"/>
  <c r="L9" i="20"/>
  <c r="L8" i="20"/>
  <c r="L7" i="20"/>
  <c r="L6" i="20"/>
  <c r="L5" i="20"/>
  <c r="L4" i="20"/>
  <c r="U3" i="20"/>
  <c r="T3" i="20"/>
  <c r="V3" i="20" s="1"/>
  <c r="U4" i="20"/>
  <c r="T4" i="20"/>
  <c r="V4" i="20" s="1"/>
  <c r="U5" i="20"/>
  <c r="T5" i="20"/>
  <c r="V5" i="20" s="1"/>
  <c r="U6" i="20"/>
  <c r="T6" i="20"/>
  <c r="V6" i="20" s="1"/>
  <c r="U7" i="20"/>
  <c r="T7" i="20"/>
  <c r="V7" i="20" s="1"/>
  <c r="U8" i="20"/>
  <c r="T8" i="20"/>
  <c r="V8" i="20" s="1"/>
  <c r="U9" i="20"/>
  <c r="T9" i="20"/>
  <c r="V9" i="20" s="1"/>
  <c r="U10" i="20"/>
  <c r="T10" i="20"/>
  <c r="V10" i="20" s="1"/>
  <c r="U11" i="20"/>
  <c r="T11" i="20"/>
  <c r="V11" i="20" s="1"/>
  <c r="U12" i="20"/>
  <c r="T12" i="20"/>
  <c r="V12" i="20" s="1"/>
  <c r="U13" i="20"/>
  <c r="T13" i="20"/>
  <c r="V13" i="20" s="1"/>
  <c r="U14" i="20"/>
  <c r="T14" i="20"/>
  <c r="V14" i="20" s="1"/>
  <c r="U15" i="20"/>
  <c r="T15" i="20"/>
  <c r="V15" i="20" s="1"/>
  <c r="U16" i="20"/>
  <c r="T16" i="20"/>
  <c r="V16" i="20" s="1"/>
  <c r="U17" i="20"/>
  <c r="T17" i="20"/>
  <c r="V17" i="20" s="1"/>
  <c r="U18" i="20"/>
  <c r="T18" i="20"/>
  <c r="V18" i="20" s="1"/>
  <c r="A13" i="28"/>
  <c r="A16" i="28"/>
  <c r="A19" i="28"/>
  <c r="A28" i="28" s="1"/>
  <c r="C13" i="9"/>
  <c r="B20" i="9"/>
  <c r="D23" i="14"/>
  <c r="G15" i="13"/>
  <c r="J15" i="13"/>
  <c r="H15" i="13"/>
  <c r="F15" i="13"/>
  <c r="F12" i="13"/>
  <c r="F3" i="13"/>
  <c r="A9" i="7"/>
  <c r="A10" i="7"/>
  <c r="E36" i="2"/>
  <c r="F31" i="2" s="1"/>
  <c r="A25" i="28" l="1"/>
  <c r="A22" i="28"/>
  <c r="F34" i="2"/>
  <c r="F33" i="2"/>
  <c r="F32" i="2"/>
  <c r="F30" i="2"/>
  <c r="F35" i="2"/>
  <c r="I29" i="1" l="1"/>
  <c r="I26" i="1"/>
  <c r="I30" i="1"/>
  <c r="I27" i="1"/>
  <c r="I28" i="1"/>
  <c r="F47" i="1"/>
  <c r="F45" i="1"/>
  <c r="F44" i="1"/>
  <c r="A11" i="7" l="1"/>
  <c r="A12" i="7"/>
  <c r="A13" i="7"/>
  <c r="A14" i="7"/>
  <c r="A15" i="7"/>
  <c r="A16" i="7"/>
  <c r="A17" i="7"/>
  <c r="A18" i="7"/>
  <c r="A19" i="7"/>
  <c r="A20" i="7"/>
  <c r="A21" i="7"/>
  <c r="A4" i="18"/>
  <c r="A5" i="18"/>
  <c r="A6" i="18"/>
  <c r="A7" i="18"/>
  <c r="A8" i="18"/>
  <c r="A9" i="18"/>
  <c r="A10" i="18"/>
  <c r="A11" i="18"/>
  <c r="A14" i="18"/>
  <c r="F14" i="13"/>
  <c r="G14" i="13" s="1"/>
  <c r="C14" i="18" s="1"/>
  <c r="H14" i="18" s="1"/>
  <c r="F13" i="13"/>
  <c r="G13" i="13" s="1"/>
  <c r="F11" i="13"/>
  <c r="G11" i="13" s="1"/>
  <c r="C11" i="18" s="1"/>
  <c r="H11" i="18" s="1"/>
  <c r="F10" i="13"/>
  <c r="G10" i="13" s="1"/>
  <c r="F9" i="13"/>
  <c r="G9" i="13" s="1"/>
  <c r="C9" i="18" s="1"/>
  <c r="F8" i="13"/>
  <c r="G8" i="13" s="1"/>
  <c r="C8" i="18" s="1"/>
  <c r="F7" i="13"/>
  <c r="G7" i="13" s="1"/>
  <c r="C7" i="18" s="1"/>
  <c r="F6" i="13"/>
  <c r="G6" i="13" s="1"/>
  <c r="F5" i="13"/>
  <c r="G5" i="13" s="1"/>
  <c r="F4" i="13"/>
  <c r="G4" i="13" s="1"/>
  <c r="C4" i="18" s="1"/>
  <c r="H4" i="18" s="1"/>
  <c r="C5" i="18" l="1"/>
  <c r="H5" i="18" s="1"/>
  <c r="C11" i="7"/>
  <c r="J5" i="13"/>
  <c r="C6" i="18"/>
  <c r="J6" i="13"/>
  <c r="C10" i="18"/>
  <c r="C16" i="7"/>
  <c r="C18" i="7"/>
  <c r="C21" i="7"/>
  <c r="C20" i="7"/>
  <c r="C19" i="7"/>
  <c r="H4" i="13"/>
  <c r="J4" i="13"/>
  <c r="C10" i="7"/>
  <c r="B5" i="18"/>
  <c r="G5" i="18" s="1"/>
  <c r="B4" i="18"/>
  <c r="G4" i="18" s="1"/>
  <c r="J4" i="18" s="1"/>
  <c r="H13" i="13"/>
  <c r="J14" i="13"/>
  <c r="H12" i="13"/>
  <c r="H10" i="13"/>
  <c r="J11" i="13"/>
  <c r="J9" i="13"/>
  <c r="H7" i="13"/>
  <c r="C17" i="7"/>
  <c r="B6" i="18"/>
  <c r="G6" i="18" s="1"/>
  <c r="C15" i="7"/>
  <c r="H14" i="13"/>
  <c r="C14" i="7"/>
  <c r="J13" i="13"/>
  <c r="H11" i="13"/>
  <c r="J12" i="13"/>
  <c r="C13" i="7"/>
  <c r="H9" i="13"/>
  <c r="J10" i="13"/>
  <c r="C12" i="7"/>
  <c r="H8" i="13"/>
  <c r="J8" i="13"/>
  <c r="D14" i="7" s="1"/>
  <c r="F14" i="7" s="1"/>
  <c r="G14" i="7" s="1"/>
  <c r="H6" i="13"/>
  <c r="J7" i="13"/>
  <c r="H5" i="13"/>
  <c r="H6" i="18"/>
  <c r="H7" i="18"/>
  <c r="H8" i="18"/>
  <c r="H9" i="18"/>
  <c r="H10" i="18"/>
  <c r="J5" i="18"/>
  <c r="H41" i="29"/>
  <c r="H42" i="29"/>
  <c r="H43" i="29"/>
  <c r="A1" i="21"/>
  <c r="J1" i="21"/>
  <c r="J6" i="18" l="1"/>
  <c r="D10" i="7"/>
  <c r="F10" i="7" s="1"/>
  <c r="G10" i="7" s="1"/>
  <c r="D12" i="7"/>
  <c r="F12" i="7" s="1"/>
  <c r="G12" i="7" s="1"/>
  <c r="D11" i="7"/>
  <c r="F11" i="7" s="1"/>
  <c r="G11" i="7" s="1"/>
  <c r="D19" i="7"/>
  <c r="F19" i="7" s="1"/>
  <c r="G19" i="7" s="1"/>
  <c r="D16" i="7"/>
  <c r="F16" i="7" s="1"/>
  <c r="G16" i="7" s="1"/>
  <c r="B10" i="18"/>
  <c r="G10" i="18" s="1"/>
  <c r="J10" i="18" s="1"/>
  <c r="D18" i="7"/>
  <c r="F18" i="7" s="1"/>
  <c r="G18" i="7" s="1"/>
  <c r="D21" i="7"/>
  <c r="D15" i="7"/>
  <c r="F15" i="7" s="1"/>
  <c r="G15" i="7" s="1"/>
  <c r="B9" i="18"/>
  <c r="G9" i="18" s="1"/>
  <c r="J9" i="18" s="1"/>
  <c r="D17" i="7"/>
  <c r="F17" i="7" s="1"/>
  <c r="B11" i="18"/>
  <c r="G11" i="18" s="1"/>
  <c r="J11" i="18" s="1"/>
  <c r="D13" i="7"/>
  <c r="F13" i="7" s="1"/>
  <c r="B7" i="18"/>
  <c r="G7" i="18" s="1"/>
  <c r="J7" i="18" s="1"/>
  <c r="B14" i="18"/>
  <c r="G14" i="18" s="1"/>
  <c r="J14" i="18" s="1"/>
  <c r="D20" i="7"/>
  <c r="F20" i="7" s="1"/>
  <c r="G20" i="7" s="1"/>
  <c r="A1" i="30"/>
  <c r="G17" i="7" l="1"/>
  <c r="G13" i="7"/>
  <c r="A1" i="22" l="1"/>
  <c r="A1" i="27"/>
  <c r="A1" i="28"/>
  <c r="A1" i="29"/>
  <c r="A1" i="9"/>
  <c r="A1" i="25"/>
  <c r="A1" i="18"/>
  <c r="A1" i="1"/>
  <c r="A1" i="14"/>
  <c r="A1" i="13"/>
  <c r="C44" i="2" l="1"/>
  <c r="X19" i="1" l="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X13" i="1"/>
  <c r="X14" i="1" s="1"/>
  <c r="W13" i="1"/>
  <c r="W14" i="1" s="1"/>
  <c r="V13" i="1"/>
  <c r="V14" i="1" s="1"/>
  <c r="U13" i="1"/>
  <c r="U14" i="1" s="1"/>
  <c r="T13" i="1"/>
  <c r="T14" i="1" s="1"/>
  <c r="S13" i="1"/>
  <c r="S14" i="1" s="1"/>
  <c r="R13" i="1"/>
  <c r="R14" i="1" s="1"/>
  <c r="Q13" i="1"/>
  <c r="Q14" i="1" s="1"/>
  <c r="P13" i="1"/>
  <c r="P14" i="1" s="1"/>
  <c r="O13" i="1"/>
  <c r="O14" i="1" s="1"/>
  <c r="N13" i="1"/>
  <c r="N14" i="1" s="1"/>
  <c r="M13" i="1"/>
  <c r="M14" i="1" s="1"/>
  <c r="L13" i="1"/>
  <c r="L14" i="1" s="1"/>
  <c r="K13" i="1"/>
  <c r="K14" i="1" s="1"/>
  <c r="J13" i="1"/>
  <c r="J14" i="1" s="1"/>
  <c r="I13" i="1"/>
  <c r="I14" i="1" s="1"/>
  <c r="H20" i="21" l="1"/>
  <c r="AB9" i="21"/>
  <c r="H44" i="29" l="1"/>
  <c r="B8" i="18"/>
  <c r="G8" i="18" s="1"/>
  <c r="J8" i="18" s="1"/>
  <c r="C12" i="9" l="1"/>
  <c r="G10" i="9"/>
  <c r="G8" i="9"/>
  <c r="G12" i="9" l="1"/>
  <c r="A3" i="18" l="1"/>
  <c r="AB4" i="21" l="1"/>
  <c r="AB5" i="21"/>
  <c r="AB6" i="21"/>
  <c r="AB7" i="21"/>
  <c r="AB8" i="21"/>
  <c r="H5" i="21"/>
  <c r="H6" i="21"/>
  <c r="H7" i="21"/>
  <c r="H8" i="21"/>
  <c r="H9" i="21"/>
  <c r="H10" i="21"/>
  <c r="H11" i="21"/>
  <c r="H12" i="21"/>
  <c r="H13" i="21"/>
  <c r="H14" i="21"/>
  <c r="H15" i="21"/>
  <c r="H16" i="21"/>
  <c r="H17" i="21"/>
  <c r="H18" i="21"/>
  <c r="H19" i="21"/>
  <c r="H4" i="21"/>
  <c r="C3" i="18" l="1"/>
  <c r="H3" i="18" s="1"/>
  <c r="C9" i="7"/>
  <c r="H3" i="13"/>
  <c r="J3" i="13"/>
  <c r="B3" i="18" l="1"/>
  <c r="G3" i="18" s="1"/>
  <c r="J3" i="18"/>
  <c r="D9" i="7"/>
  <c r="F9" i="7" s="1"/>
  <c r="F21" i="7" l="1"/>
  <c r="B29" i="7"/>
  <c r="G9" i="7"/>
  <c r="G21" i="7" s="1"/>
  <c r="C11" i="9"/>
  <c r="G11" i="9" s="1"/>
  <c r="G15" i="9" s="1"/>
  <c r="B3" i="9" s="1"/>
  <c r="G13" i="9"/>
  <c r="C9" i="9"/>
  <c r="G9" i="9" s="1"/>
  <c r="C29" i="7" l="1"/>
  <c r="D29" i="7" s="1"/>
  <c r="E29" i="7" s="1"/>
  <c r="F29" i="7"/>
  <c r="G14" i="9"/>
  <c r="G16" i="9"/>
  <c r="A3" i="9"/>
  <c r="C3" i="9" s="1"/>
  <c r="B30" i="7"/>
  <c r="D4" i="7" l="1"/>
  <c r="D3" i="7" s="1"/>
  <c r="F30" i="7"/>
  <c r="G29" i="7" s="1"/>
  <c r="I29" i="7" s="1"/>
  <c r="C30" i="7"/>
  <c r="E30" i="7" l="1"/>
  <c r="D30" i="7"/>
  <c r="G30" i="7"/>
  <c r="E4" i="7"/>
  <c r="E3" i="7" s="1"/>
</calcChain>
</file>

<file path=xl/sharedStrings.xml><?xml version="1.0" encoding="utf-8"?>
<sst xmlns="http://schemas.openxmlformats.org/spreadsheetml/2006/main" count="1240" uniqueCount="749">
  <si>
    <t>Data Sources</t>
  </si>
  <si>
    <t>Dataset</t>
  </si>
  <si>
    <t>Dodge 2023</t>
  </si>
  <si>
    <t>CEUS 2022</t>
  </si>
  <si>
    <t>https://www.energy.ca.gov/publications/2023/2022-california-commercial-end-use-survey-ceus-final-report</t>
  </si>
  <si>
    <t xml:space="preserve"> </t>
  </si>
  <si>
    <t>CBECS 2018</t>
  </si>
  <si>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</si>
  <si>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</si>
  <si>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</si>
  <si>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</si>
  <si>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t>https://bees.noresco.com/software2022.html</t>
  </si>
  <si>
    <t>https://www.energycodes.gov/prototype-building-models#Commercial</t>
  </si>
  <si>
    <t>DEER prototypes (June 2023)</t>
  </si>
  <si>
    <t>https://github.com/sound-data/DEER-Prototypes-EnergyPlus</t>
  </si>
  <si>
    <t>Codes</t>
  </si>
  <si>
    <t>Title 24, part 6, referred to as T24 (1984, 1992, 2001, 2007, 2013, 2022, 2025)</t>
  </si>
  <si>
    <t>ASHRAE 90.1 (2022)</t>
  </si>
  <si>
    <t>CFR Title 10 (2010)</t>
  </si>
  <si>
    <t>https://www.govinfo.gov/content/pkg/FR-2009-03-23/pdf/FR-2009-03-23.pdf</t>
  </si>
  <si>
    <t>CFR Title 10 ( 2024)</t>
  </si>
  <si>
    <t>https://www.govinfo.gov/content/pkg/CFR-2024-title10-vol3/pdf/CFR-2024-title10-vol3-part431-subpartF.pdf</t>
  </si>
  <si>
    <t xml:space="preserve">Title 20 </t>
  </si>
  <si>
    <t>Others</t>
  </si>
  <si>
    <t>ACM (2022)</t>
  </si>
  <si>
    <t>T24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</si>
  <si>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</si>
  <si>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</si>
  <si>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</si>
  <si>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</si>
  <si>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</si>
  <si>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</si>
  <si>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</si>
  <si>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</si>
  <si>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</si>
  <si>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</si>
  <si>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</si>
  <si>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Background Data [To be deleted prior to publication]</t>
  </si>
  <si>
    <t xml:space="preserve">Dodge categories 1, 4, and 101 </t>
  </si>
  <si>
    <t>Store only</t>
  </si>
  <si>
    <t>NORESCO, Updated October 2025</t>
  </si>
  <si>
    <t>RetailGrocery</t>
  </si>
  <si>
    <t>Characteristic</t>
  </si>
  <si>
    <t>Value</t>
  </si>
  <si>
    <t>Building Type</t>
  </si>
  <si>
    <t>Grocery</t>
  </si>
  <si>
    <t>Building Category</t>
  </si>
  <si>
    <t>Nonresidential</t>
  </si>
  <si>
    <t>Vintages</t>
  </si>
  <si>
    <t>4 Vintages: Pre-1978 , 1978-1997 ,1998-2007 , 2008-2018
New Construction (2019+)</t>
  </si>
  <si>
    <t xml:space="preserve">Based on the vintage bin analysis _ Link
</t>
  </si>
  <si>
    <t>NonRes-Vintage bins-Draft Report-30Nov2023-Final.docx</t>
  </si>
  <si>
    <t>Shape</t>
  </si>
  <si>
    <t>PNNL Retail_Standalone</t>
  </si>
  <si>
    <t>Total Floor Area (ft²)</t>
  </si>
  <si>
    <t>50,000  (250 ft x 200 ft)</t>
  </si>
  <si>
    <t>Aspect Ratio</t>
  </si>
  <si>
    <t xml:space="preserve">Proposed Plan Based on Typical Grocery Store </t>
  </si>
  <si>
    <t>Number of Floors</t>
  </si>
  <si>
    <t>Roof type</t>
  </si>
  <si>
    <t>Flat</t>
  </si>
  <si>
    <t>WWR</t>
  </si>
  <si>
    <t>Shading Geometry</t>
  </si>
  <si>
    <t>N/A</t>
  </si>
  <si>
    <t>Floor to floor height (feet)</t>
  </si>
  <si>
    <t>Floor to ceiling height (feet)</t>
  </si>
  <si>
    <t>CPUC (DEER 2023) Grocery prototype</t>
  </si>
  <si>
    <t>Glazing sill height (feet)</t>
  </si>
  <si>
    <t>3 ft (top of the window is 10 ft high with 7 ft high glass)</t>
  </si>
  <si>
    <t>Existing Grocery Prototypes</t>
  </si>
  <si>
    <t>CPUC: Retail_Grocery</t>
  </si>
  <si>
    <t>Geometry/ Floor plan</t>
  </si>
  <si>
    <t>Zones of DEER prototype</t>
  </si>
  <si>
    <t>Floor area</t>
  </si>
  <si>
    <t>Share</t>
  </si>
  <si>
    <t>Total floor area (ft²)</t>
  </si>
  <si>
    <t>IndLoadDock</t>
  </si>
  <si>
    <t>RefWalkInCool</t>
  </si>
  <si>
    <t>RefWalkInFreeze</t>
  </si>
  <si>
    <t>RefFoodPrep</t>
  </si>
  <si>
    <t>Grocery Sale</t>
  </si>
  <si>
    <t>Office</t>
  </si>
  <si>
    <t>Other Existing Retail Prototypes</t>
  </si>
  <si>
    <t>Large size prototype</t>
  </si>
  <si>
    <t>CEC: Retail_Large</t>
  </si>
  <si>
    <t>CPUC: Retail_Multistory Large (Rt3)</t>
  </si>
  <si>
    <t>CPUC: Retail_Single-Story Large (RtL)</t>
  </si>
  <si>
    <t>Geometry</t>
  </si>
  <si>
    <t>Medium size prototype</t>
  </si>
  <si>
    <t xml:space="preserve">CEC: Retail_Medium </t>
  </si>
  <si>
    <t>PNNL : Retail_Standalone</t>
  </si>
  <si>
    <t>PNNL: Retail_Stripmall</t>
  </si>
  <si>
    <t xml:space="preserve">zoning same as PNNL Stand alone with more skylight </t>
  </si>
  <si>
    <t>Small size prototype</t>
  </si>
  <si>
    <t>CEC: Retail_Stripmall (Mixed use)</t>
  </si>
  <si>
    <t xml:space="preserve">CPUC: Retail_Small (RtS) </t>
  </si>
  <si>
    <t>Spaces and Zoning layout  - "Rn" indicates which refrigerated cases are in each zone.</t>
  </si>
  <si>
    <t>Space/Thermal Zone</t>
  </si>
  <si>
    <t>Space Type</t>
  </si>
  <si>
    <t>HVAC System Name/AHU Name</t>
  </si>
  <si>
    <t>Schedule Category</t>
  </si>
  <si>
    <t>Conditioned (Y/N)</t>
  </si>
  <si>
    <t>Area Fraction</t>
  </si>
  <si>
    <t>Area (ft²)</t>
  </si>
  <si>
    <t>Volume (ft³)</t>
  </si>
  <si>
    <t>Multipliers</t>
  </si>
  <si>
    <t>Number of People</t>
  </si>
  <si>
    <t xml:space="preserve">People 
(Persons/1,000 ft²)
[T24, 2025,Table 120.1-A] </t>
  </si>
  <si>
    <t>--- 40 ft ---</t>
  </si>
  <si>
    <t>--- 70ft ---</t>
  </si>
  <si>
    <r>
      <rPr>
        <b/>
        <sz val="10"/>
        <color rgb="FF000000"/>
        <rFont val="Arial"/>
      </rPr>
      <t xml:space="preserve"> N        </t>
    </r>
    <r>
      <rPr>
        <sz val="10"/>
        <color rgb="FF000000"/>
        <rFont val="Arial"/>
      </rPr>
      <t xml:space="preserve">  --- 34 ft ---</t>
    </r>
  </si>
  <si>
    <t>250' North Façade</t>
  </si>
  <si>
    <t>--- 106 ft ---</t>
  </si>
  <si>
    <t>Checkout Area</t>
  </si>
  <si>
    <t>Retail Sales Area (Grocery Sales)</t>
  </si>
  <si>
    <t>SZVAV HP_Checkout Area_NC     PSZAC_Checkout Area_Existing</t>
  </si>
  <si>
    <t>Retail</t>
  </si>
  <si>
    <t>Y</t>
  </si>
  <si>
    <t>Back Office</t>
  </si>
  <si>
    <t>Refr Food Prep</t>
  </si>
  <si>
    <t xml:space="preserve">Walk-in Freezers         </t>
  </si>
  <si>
    <t>Loading Dock - Semi-Conditioned</t>
  </si>
  <si>
    <t>30 ft</t>
  </si>
  <si>
    <t>Produce</t>
  </si>
  <si>
    <t>SZVAV HP_Produce_NC                                       PSZAC_Produce_Existing</t>
  </si>
  <si>
    <t>(1200 sf)</t>
  </si>
  <si>
    <t>2100 sf)</t>
  </si>
  <si>
    <t xml:space="preserve">Walk-in Coolers           </t>
  </si>
  <si>
    <t>(stock area)</t>
  </si>
  <si>
    <t>3200 sf</t>
  </si>
  <si>
    <t>General Merch</t>
  </si>
  <si>
    <t>SZVAV HP_General Merch_NC             PSZAC_General Merch_Existing</t>
  </si>
  <si>
    <t>5000 sf (250'x20')</t>
  </si>
  <si>
    <t>Meat and Dairy</t>
  </si>
  <si>
    <t>R1, R2</t>
  </si>
  <si>
    <t>20'</t>
  </si>
  <si>
    <t>Frozen</t>
  </si>
  <si>
    <t>SZVAV HP_Frozen_NC                                         SPSZAC_Frozen_Existing</t>
  </si>
  <si>
    <t>Beverage</t>
  </si>
  <si>
    <t>SZVAV HP_Beverage_NC                                     PSZAC_Beverage_Existing</t>
  </si>
  <si>
    <t>Grocery - General</t>
  </si>
  <si>
    <t>Grocery - Frozen</t>
  </si>
  <si>
    <t>Bakery and Deli</t>
  </si>
  <si>
    <t>SZVAV HP_Bakery and Deli                                 PSZAC_Bakery and Deli_Existing</t>
  </si>
  <si>
    <t>SZVAV HP_Meat and Dairy                     PSZAC_Meat and Dairy_Existing</t>
  </si>
  <si>
    <t xml:space="preserve">           200' totalEastFacade</t>
  </si>
  <si>
    <t>Lounge, Breakroom, or Waiting Area</t>
  </si>
  <si>
    <t>SZVAV HP_Back Office                                 PSZAC_Back Office_Existing</t>
  </si>
  <si>
    <t>R4, R7</t>
  </si>
  <si>
    <t>R5</t>
  </si>
  <si>
    <t>R6, R9</t>
  </si>
  <si>
    <t>R3,R10</t>
  </si>
  <si>
    <t>Loading Dock EL1</t>
  </si>
  <si>
    <t>Storage, Commercial/Industrial (Warehouse)</t>
  </si>
  <si>
    <t>SZVAV HP_Loading Dock EL1                        PSZAC_Loading Dock EL1_Existing</t>
  </si>
  <si>
    <t>4400 sf</t>
  </si>
  <si>
    <t>7700 sf</t>
  </si>
  <si>
    <t>6600 sf</t>
  </si>
  <si>
    <t>110'</t>
  </si>
  <si>
    <t>RefFoodPRep Core</t>
  </si>
  <si>
    <t>Storage, Commercial/Industrial (Refrigerated)</t>
  </si>
  <si>
    <t>SZVAV HP_RefFoodPRep Core                      PSZAC_RefFoodPRep Core_Existing</t>
  </si>
  <si>
    <t>(40'x110')</t>
  </si>
  <si>
    <t>(70'x110')</t>
  </si>
  <si>
    <t>(60'x110')</t>
  </si>
  <si>
    <t>RefWalkInCool Core</t>
  </si>
  <si>
    <t xml:space="preserve">                                -</t>
  </si>
  <si>
    <t>Always On</t>
  </si>
  <si>
    <t>Ref WalkInFreezer Core</t>
  </si>
  <si>
    <t xml:space="preserve">                                - </t>
  </si>
  <si>
    <t>Total (12 Thermal zones)</t>
  </si>
  <si>
    <t>Total (4 Space Types)</t>
  </si>
  <si>
    <t xml:space="preserve"> Total (12 Conditioned zones)</t>
  </si>
  <si>
    <t>Cashier area and front of the store</t>
  </si>
  <si>
    <t>40'</t>
  </si>
  <si>
    <t xml:space="preserve"> 10,000 sf (250'*40')</t>
  </si>
  <si>
    <t>250' south façade</t>
  </si>
  <si>
    <t>Floorspace-Types-30Oct2024</t>
  </si>
  <si>
    <t>Retail (CEUS 2022, statewide %)</t>
  </si>
  <si>
    <t>Conditioned</t>
  </si>
  <si>
    <t>Unconditioned</t>
  </si>
  <si>
    <t>Ventilated</t>
  </si>
  <si>
    <t>Zoning based on ~50,000 sf prototype total floor area assumption.  If different area desired, scale zone size accordingly.</t>
  </si>
  <si>
    <t>Assumed semi-heated storage</t>
  </si>
  <si>
    <t>Fan Power: References</t>
  </si>
  <si>
    <t>1. Equipment plan schedules for multiple retail / grocery stores. (Target)</t>
  </si>
  <si>
    <t>2. Cross-Reference Summary (AI) Below:</t>
  </si>
  <si>
    <r>
      <t xml:space="preserve">For a </t>
    </r>
    <r>
      <rPr>
        <b/>
        <sz val="11"/>
        <color theme="1"/>
        <rFont val="Calibri"/>
        <family val="2"/>
        <scheme val="minor"/>
      </rPr>
      <t>rooftop heat pump (RTU)</t>
    </r>
    <r>
      <rPr>
        <sz val="11"/>
        <color theme="1"/>
        <rFont val="Calibri"/>
        <family val="2"/>
        <scheme val="minor"/>
      </rPr>
      <t xml:space="preserve"> system serving a </t>
    </r>
    <r>
      <rPr>
        <b/>
        <sz val="11"/>
        <color theme="1"/>
        <rFont val="Calibri"/>
        <family val="2"/>
        <scheme val="minor"/>
      </rPr>
      <t>grocery store</t>
    </r>
    <r>
      <rPr>
        <sz val="11"/>
        <color theme="1"/>
        <rFont val="Calibri"/>
        <family val="2"/>
        <scheme val="minor"/>
      </rPr>
      <t xml:space="preserve">, the </t>
    </r>
    <r>
      <rPr>
        <b/>
        <sz val="11"/>
        <color theme="1"/>
        <rFont val="Calibri"/>
        <family val="2"/>
        <scheme val="minor"/>
      </rPr>
      <t>typical external static pressure (ESP)</t>
    </r>
    <r>
      <rPr>
        <sz val="11"/>
        <color theme="1"/>
        <rFont val="Calibri"/>
        <family val="2"/>
        <scheme val="minor"/>
      </rPr>
      <t xml:space="preserve"> value depends on the ductwork design and the size of the unit. However, here are the standard industry ranges and a good rule of thumb for modeling or specification purposes:</t>
    </r>
  </si>
  <si>
    <t>🧰 Typical External Static Pressure Ranges</t>
  </si>
  <si>
    <t>System Size</t>
  </si>
  <si>
    <t>External Static Pressure (ESP)</t>
  </si>
  <si>
    <t>5–10 tons</t>
  </si>
  <si>
    <t>0.5 to 1.0 inches w.g. (125–250 Pa)</t>
  </si>
  <si>
    <t>10–20 tons</t>
  </si>
  <si>
    <r>
      <t>1.0 to 2.0 inches w.g.</t>
    </r>
    <r>
      <rPr>
        <sz val="11"/>
        <color theme="1"/>
        <rFont val="Calibri"/>
        <family val="2"/>
        <scheme val="minor"/>
      </rPr>
      <t xml:space="preserve"> (250–500 Pa)</t>
    </r>
  </si>
  <si>
    <t>20–50+ tons</t>
  </si>
  <si>
    <t>2.0 to 3.0 inches w.g. (500–750 Pa)</t>
  </si>
  <si>
    <t>✅ Typical for Grocery Store RTUs:</t>
  </si>
  <si>
    <t>A typical value used in grocery store design (especially when using EnergyPlus, Trane Trace, or Carrier HAP) is:</t>
  </si>
  <si>
    <r>
      <t xml:space="preserve">🔹 </t>
    </r>
    <r>
      <rPr>
        <b/>
        <sz val="11"/>
        <color theme="1"/>
        <rFont val="Calibri"/>
        <family val="2"/>
        <scheme val="minor"/>
      </rPr>
      <t>ESP = 2.0 inches w.g.</t>
    </r>
    <r>
      <rPr>
        <sz val="11"/>
        <color theme="1"/>
        <rFont val="Calibri"/>
        <family val="2"/>
        <scheme val="minor"/>
      </rPr>
      <t xml:space="preserve"> (500 Pa)</t>
    </r>
  </si>
  <si>
    <t>This accommodates:</t>
  </si>
  <si>
    <t>Long duct runs</t>
  </si>
  <si>
    <t>Multiple branches/zones (e.g., deli, produce, checkout)</t>
  </si>
  <si>
    <t>Filtration (e.g., MERV 8–13)</t>
  </si>
  <si>
    <t>Return duct static loss</t>
  </si>
  <si>
    <t>📚 References:</t>
  </si>
  <si>
    <t>ASHRAE Handbook — HVAC Applications (Supermarkets)</t>
  </si>
  <si>
    <t>Manufacturer Data (e.g., Carrier WeatherMaker, Trane Voyager, Lennox L Series)</t>
  </si>
  <si>
    <t>ENERGY STAR RTU specifications</t>
  </si>
  <si>
    <t>CEE Commercial HVAC Tier 2 performance criteria</t>
  </si>
  <si>
    <t>R1</t>
  </si>
  <si>
    <t>Open Multideck Dairy Case</t>
  </si>
  <si>
    <t>Dairy Aisle</t>
  </si>
  <si>
    <t>Medium Temp</t>
  </si>
  <si>
    <t>12' x 42" x 84"</t>
  </si>
  <si>
    <t>34–38</t>
  </si>
  <si>
    <t>R2</t>
  </si>
  <si>
    <t>Service Deli Case</t>
  </si>
  <si>
    <t>Deli Counter</t>
  </si>
  <si>
    <t>8' x 36" x 50"</t>
  </si>
  <si>
    <t>36–40</t>
  </si>
  <si>
    <t>R3</t>
  </si>
  <si>
    <t>Meat Self-Service Case</t>
  </si>
  <si>
    <t>Meat Department</t>
  </si>
  <si>
    <t>28–32</t>
  </si>
  <si>
    <t>R4</t>
  </si>
  <si>
    <t>Produce Case (Refrigerated)</t>
  </si>
  <si>
    <t>Produce Aisle</t>
  </si>
  <si>
    <t>8' x 42" x 84"</t>
  </si>
  <si>
    <t>Frozen Food Upright Case</t>
  </si>
  <si>
    <t>Frozen Foods Aisle</t>
  </si>
  <si>
    <t>Low Temp</t>
  </si>
  <si>
    <t>12' x 36" x 84"</t>
  </si>
  <si>
    <t>-5 to 0</t>
  </si>
  <si>
    <t>R6</t>
  </si>
  <si>
    <t>Ice Cream Low-Temp Case</t>
  </si>
  <si>
    <t>6' x 36" x 84"</t>
  </si>
  <si>
    <t>-10 to -20</t>
  </si>
  <si>
    <t>R7</t>
  </si>
  <si>
    <t>Walk-In Cooler (Produce)</t>
  </si>
  <si>
    <t>Back of House</t>
  </si>
  <si>
    <t>10' x 12' x 8'</t>
  </si>
  <si>
    <t>R8</t>
  </si>
  <si>
    <t>Walk-In Freezer</t>
  </si>
  <si>
    <t>10' x 10' x 8'</t>
  </si>
  <si>
    <t>R9</t>
  </si>
  <si>
    <t>Beverage Case</t>
  </si>
  <si>
    <t>Front of Store</t>
  </si>
  <si>
    <t>8' x 36" x 84"</t>
  </si>
  <si>
    <t>R10</t>
  </si>
  <si>
    <t>Grab-n-Go Sandwich Cooler</t>
  </si>
  <si>
    <t>Front Grab-n-Go Area</t>
  </si>
  <si>
    <t>6' x 30" x 60"</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</si>
  <si>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</si>
  <si>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</si>
  <si>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</si>
  <si>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</si>
  <si>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</si>
  <si>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</si>
  <si>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</si>
  <si>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</si>
  <si>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</si>
  <si>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</si>
  <si>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</si>
  <si>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</si>
  <si>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</si>
  <si>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</si>
  <si>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</si>
  <si>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</si>
  <si>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</si>
  <si>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</si>
  <si>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</si>
  <si>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</si>
  <si>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</si>
  <si>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</si>
  <si>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</si>
  <si>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</si>
  <si>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Metal frame Wall</t>
  </si>
  <si>
    <t>Metal frame + insulation + Gypsum board</t>
  </si>
  <si>
    <t>U-factor IP</t>
  </si>
  <si>
    <t>Pre 1978</t>
  </si>
  <si>
    <t>ASHRAE 90.1, 2022, Table A3.3.3.1, 3.5", R-0</t>
  </si>
  <si>
    <t>1978-1997</t>
  </si>
  <si>
    <t>Package A with Heat Capacity 10.0-14.99 (Btu/F-ft²) - Still are lower than the next vintage!</t>
  </si>
  <si>
    <t>1998-2007</t>
  </si>
  <si>
    <t>Table 1-H</t>
  </si>
  <si>
    <t>2008-2018</t>
  </si>
  <si>
    <t>Table 140.3-B</t>
  </si>
  <si>
    <t>2019+</t>
  </si>
  <si>
    <t>Roof</t>
  </si>
  <si>
    <t>Metal decking</t>
  </si>
  <si>
    <t>Built-up roof: 
Roof membrane+ insulation+metal decking</t>
  </si>
  <si>
    <t>Considering 30 years for roof/ insulation replacement.</t>
  </si>
  <si>
    <t>Window</t>
  </si>
  <si>
    <t>Fixed windows</t>
  </si>
  <si>
    <t xml:space="preserve">CBECS 2018 shows that ~ 50 % of retail that were built before 2000 are single pane </t>
  </si>
  <si>
    <t>ASHRAE Handbook of Fundamentals for single pane &amp; T24, 2013  for double pane (50%-50%)</t>
  </si>
  <si>
    <t>Double pane</t>
  </si>
  <si>
    <t xml:space="preserve">Table 140.3-B </t>
  </si>
  <si>
    <t>SHGC</t>
  </si>
  <si>
    <t>ASHRAE Handbook of Fundamentals for single pane &amp; T24, 2013 , for double pane (50%-50%)</t>
  </si>
  <si>
    <t xml:space="preserve"> Table 1-H (Non north 0-10%)</t>
  </si>
  <si>
    <t>Infiltration</t>
  </si>
  <si>
    <t xml:space="preserve">I_75 (cfm/ft²)
6-sdied Infiltration rate @ 75 pa </t>
  </si>
  <si>
    <t xml:space="preserve"> I-design (cfm/ft²) 
(4-sided Infiltration rate at normal pressure) 
(Design flow rate approach and Flow/Exterior Wall Area calculation method) </t>
  </si>
  <si>
    <t>2022 CASE report (Table 38)</t>
  </si>
  <si>
    <t>2022 CASE report (Table 38) &amp;
T24, part 6, 2008-2016 (Table 140.3-B), Dodge 2023 data</t>
  </si>
  <si>
    <t>0.6 (barrier in all CZ)</t>
  </si>
  <si>
    <t>2022 CASE report (Table 38) &amp;  
T24, part 6, 2025 (Table 140.3-B)</t>
  </si>
  <si>
    <t>Source:  T24 air barrier requirements (all editions) , the standardized infiltration rate reported in the 2022 CASE report, and Dodge 2023 data</t>
  </si>
  <si>
    <t>Infiltration_rate_report_14May2025-Short-Version.docx</t>
  </si>
  <si>
    <t>Retail Standalone</t>
  </si>
  <si>
    <t>in.comstock_building_type</t>
  </si>
  <si>
    <t>Sum of calc.weighted.sqft</t>
  </si>
  <si>
    <t>%</t>
  </si>
  <si>
    <t>Mass</t>
  </si>
  <si>
    <t>SteelFramed</t>
  </si>
  <si>
    <t>WoodFramed</t>
  </si>
  <si>
    <t>Grand Total</t>
  </si>
  <si>
    <t>6 sided area</t>
  </si>
  <si>
    <t>4 sided area</t>
  </si>
  <si>
    <t>Side multiplier</t>
  </si>
  <si>
    <t xml:space="preserve">Heating </t>
  </si>
  <si>
    <t>Cooling</t>
  </si>
  <si>
    <t>Air Distribution</t>
  </si>
  <si>
    <t>Source</t>
  </si>
  <si>
    <t xml:space="preserve">Existing  </t>
  </si>
  <si>
    <t>PSZAC (furnace)</t>
  </si>
  <si>
    <t>PSZAC (DX cooling)</t>
  </si>
  <si>
    <t>PSZAC</t>
  </si>
  <si>
    <t>PTAC</t>
  </si>
  <si>
    <t>New Construction</t>
  </si>
  <si>
    <t>SZVAVHP</t>
  </si>
  <si>
    <t>PSZVAVHP</t>
  </si>
  <si>
    <t>Title 24, 2025, Engineering judgement</t>
  </si>
  <si>
    <r>
      <t xml:space="preserve">Efficiency of HVAC system
</t>
    </r>
    <r>
      <rPr>
        <sz val="10"/>
        <color theme="0"/>
        <rFont val="Arial"/>
        <family val="2"/>
      </rPr>
      <t xml:space="preserve"> (Efficiency is capacity-dependent. The following table provides a general estimate of system efficiency based on what we saw in the existing prototype runs, or assuming cooling load base on rule of thumbs)</t>
    </r>
  </si>
  <si>
    <t>Upgrade/Installed year</t>
  </si>
  <si>
    <t>Thermal Efficiency of 80%;</t>
  </si>
  <si>
    <t>EER 9  for &lt;65 kBtu/h
EER 10.3 for  65-135 kBtu/h
EER 9.7 for 135-240 kBtu/h
EER 9.5 for 240-760 kBtu/h</t>
  </si>
  <si>
    <t>2005 Title 20 Appliance Efficiency Regulations, 2005 T24 Standards, Tables 112-A, 112-B</t>
  </si>
  <si>
    <t>SEER 13, EER 11.2 for &lt;65 kBtu/h
EER 11.2 for  65-135 kBtu/h
EER 11 for 135-240 kBtu/h
EER 10 for 240-760 kBtu/h</t>
  </si>
  <si>
    <t>2013 Title 20 Appliance Efficiency Regulations, 2013 T24 Tables 112-A, 112-B</t>
  </si>
  <si>
    <t>SEER 14 for &lt;65 kBtu/h
EER 11, COP fed min for 65-135 kBtu/h
EER 10.6, COP fed min 135-240 kBtu/h
EER 9.5 for &gt;240 kBtu/h</t>
  </si>
  <si>
    <t>EER 11 for &lt;65 kBtu/h
EER 11, COP fed min for 65-135 kBtu/h
EER 10.6, COP fed min 135-240 kBtu/h
EER 9.5 for &gt;240 kBtu/h</t>
  </si>
  <si>
    <t>Title 20 Appliance Efficiency Regulations (Tsble 18) , T24, 2025, Tables 110.2-A, 110.2-B</t>
  </si>
  <si>
    <t>Fan Power</t>
  </si>
  <si>
    <t>Approach</t>
  </si>
  <si>
    <t>System</t>
  </si>
  <si>
    <t xml:space="preserve">Total Static Pressure (TSP)
(in w.c.)
</t>
  </si>
  <si>
    <t>Fan Efficiency
[ACM 2025]</t>
  </si>
  <si>
    <t>Fan Motor and Drive Efficiency 
[ACM 2025, Table 13]</t>
  </si>
  <si>
    <t>W/cfm
[ACM 2025, Table 14 and 15]</t>
  </si>
  <si>
    <t>Data Source</t>
  </si>
  <si>
    <t>Existing</t>
  </si>
  <si>
    <t>PNNL TSP</t>
  </si>
  <si>
    <t>Zones should be sized so that design airflow is 10,000 cfm or less</t>
  </si>
  <si>
    <t>4.00 if VAV&lt; 4,648 cfm                                              5.58 if VAV ≥ 4,648 cfm</t>
  </si>
  <si>
    <t>~0.9 (The full-load efficiency of the motor serving the fan- will be determined based on ACM 2025, Table 13)</t>
  </si>
  <si>
    <t>ACM 2025, PNNL 2010 TSD</t>
  </si>
  <si>
    <t>Brake horse power (bhp)=(Supply cfm*TSP in w.c.)/(6356*Fan efficiency)</t>
  </si>
  <si>
    <t>Fan power (w/cfm) = bhp/motor and drive efficiency *746</t>
  </si>
  <si>
    <t>ACM 2025</t>
  </si>
  <si>
    <t>SZVAVHP System &lt;= 10,000 cfm</t>
  </si>
  <si>
    <t>* 0.9 is an average fan efficiency according to ACM 2025, Table 13</t>
  </si>
  <si>
    <t>Fan total eff (E+ input) = 0.65 x Motor_eff</t>
  </si>
  <si>
    <t>TSP (E+ input) in w.c. = Motor_eff/746 x (6356 x Fan_eff) x W/cfm</t>
  </si>
  <si>
    <t>Fan_eff=0.65</t>
  </si>
  <si>
    <t xml:space="preserve">CEUS 2022 </t>
  </si>
  <si>
    <t xml:space="preserve">Water Heater </t>
  </si>
  <si>
    <t>Floorspace Heated</t>
  </si>
  <si>
    <t>Primary Heating</t>
  </si>
  <si>
    <t>Fuel Type</t>
  </si>
  <si>
    <t>Floorspace Cooled</t>
  </si>
  <si>
    <t>Primary Cooling</t>
  </si>
  <si>
    <t>Primary Air Dis</t>
  </si>
  <si>
    <t>The default is the floorspace method unless otherwise specified</t>
  </si>
  <si>
    <t xml:space="preserve">The default is the floorspace method unless otherwise specified </t>
  </si>
  <si>
    <t>Package System / Heat Pump (80.2%)</t>
  </si>
  <si>
    <t>Gas (58%) Elec ( 41%)</t>
  </si>
  <si>
    <t>Single Duct CAV (92.1%)</t>
  </si>
  <si>
    <t>Elec (51%), Gas (34%)</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</si>
  <si>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</si>
  <si>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</si>
  <si>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</si>
  <si>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</si>
  <si>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</si>
  <si>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</si>
  <si>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</si>
  <si>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</si>
  <si>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Notes</t>
  </si>
  <si>
    <t>25/50 cfm/unit</t>
  </si>
  <si>
    <t xml:space="preserve">_ </t>
  </si>
  <si>
    <t xml:space="preserve">Currently assuming the entry is not actively ventilated due to doors (and connection to core) providing air. </t>
  </si>
  <si>
    <t>Setpoint</t>
  </si>
  <si>
    <t>Produce Heating Setpoint (F)</t>
  </si>
  <si>
    <t>T24 2022 - Appendix 5.4B, [Retail]</t>
  </si>
  <si>
    <t>Produce Heating Setback (F)</t>
  </si>
  <si>
    <t>Produce Cooling Setpoint (F)</t>
  </si>
  <si>
    <t>Produce Cooling Setback (F)</t>
  </si>
  <si>
    <t>Grocery - Frozen Heating Setpoint (F)</t>
  </si>
  <si>
    <t xml:space="preserve"> Grocery - Frozen Heating Setback (F)</t>
  </si>
  <si>
    <t>Grocery - Frozen Cooling Setpoint (F)</t>
  </si>
  <si>
    <t>Grocery - Frozen Cooling Setback (F)</t>
  </si>
  <si>
    <t>Storage Heating Setpoint (F)</t>
  </si>
  <si>
    <t>Storage Heating Setback (F)</t>
  </si>
  <si>
    <t>Storage Cooling Setpoint (F)</t>
  </si>
  <si>
    <t>Storage Cooling Setback (F)</t>
  </si>
  <si>
    <t>WH Type</t>
  </si>
  <si>
    <t xml:space="preserve"> Efficiency</t>
  </si>
  <si>
    <t>Tank Volume (gal)</t>
  </si>
  <si>
    <t>Tank Loss</t>
  </si>
  <si>
    <t>Unit</t>
  </si>
  <si>
    <t xml:space="preserve">Electric </t>
  </si>
  <si>
    <t>% hr</t>
  </si>
  <si>
    <t>Loss per hour, 10 CFR 431.110(a) Table F-4</t>
  </si>
  <si>
    <t>Electric</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</si>
  <si>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</si>
  <si>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</si>
  <si>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</si>
  <si>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</si>
  <si>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</si>
  <si>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</si>
  <si>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</si>
  <si>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Electric resistance WH </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</si>
  <si>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</si>
  <si>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</si>
  <si>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</si>
  <si>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</si>
  <si>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</si>
  <si>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</si>
  <si>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</si>
  <si>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%hr</t>
  </si>
  <si>
    <t>Total</t>
  </si>
  <si>
    <t> </t>
  </si>
  <si>
    <t>Design supply temperature (F)</t>
  </si>
  <si>
    <t>Ref: T24 2022 - Appendix 5.4B</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</si>
  <si>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</si>
  <si>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</si>
  <si>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</si>
  <si>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</si>
  <si>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</si>
  <si>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</si>
  <si>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</si>
  <si>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</si>
  <si>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</si>
  <si>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Fuel should match HVAC decision for new construction. </t>
  </si>
  <si>
    <t xml:space="preserve">New Construction </t>
  </si>
  <si>
    <t>LPD (W/ft²)</t>
  </si>
  <si>
    <t>Additional LPD for Portable Lighting (W/ft²)</t>
  </si>
  <si>
    <t xml:space="preserve">LPD (W/ft²) </t>
  </si>
  <si>
    <t xml:space="preserve">T24, part 6, 2025, Table 140.6-C
(Area category method) </t>
  </si>
  <si>
    <t xml:space="preserve">T24, part 6, 2016, Table 140.6-C
(Area category method)
LPD of "All other spaces" is considered for Back_Space </t>
  </si>
  <si>
    <t>Storage (General)</t>
  </si>
  <si>
    <t>All other area=0.5</t>
  </si>
  <si>
    <t>Commercial and Industrial Storage Areas (conditioned and unconditioned)=0.6</t>
  </si>
  <si>
    <t>Plug Load Power Density (W/ft²)</t>
  </si>
  <si>
    <t>Plug load and schedules project with CEC, 2025
T24 2022 - Appendix 5.4A: Space Use Data-T24N-2022</t>
  </si>
  <si>
    <t>Matches Retail/All Other; 
PNNL prototype =~0.7; T24 Appendix 5.4A =0.2</t>
  </si>
  <si>
    <t>Refrigeration Equipment</t>
  </si>
  <si>
    <t>Tag</t>
  </si>
  <si>
    <t>Equipment Type</t>
  </si>
  <si>
    <t>Location</t>
  </si>
  <si>
    <t>Duty / Type</t>
  </si>
  <si>
    <t>Dimensions (LxDxH)</t>
  </si>
  <si>
    <t>Temp Range (°F)</t>
  </si>
  <si>
    <t>Refrigerant</t>
  </si>
  <si>
    <t>Compressor Type</t>
  </si>
  <si>
    <t>Lighting</t>
  </si>
  <si>
    <t>Defrost Type</t>
  </si>
  <si>
    <t>Rated Power</t>
  </si>
  <si>
    <t>Defrost Power</t>
  </si>
  <si>
    <t>R-448A</t>
  </si>
  <si>
    <t>Remote</t>
  </si>
  <si>
    <t>LED canopy/shelves</t>
  </si>
  <si>
    <t>Off-cycle</t>
  </si>
  <si>
    <t>Glass end panels, night curtain</t>
  </si>
  <si>
    <t>LED top light</t>
  </si>
  <si>
    <t>Dual temp option for meats/cheeses</t>
  </si>
  <si>
    <t>LED lighting</t>
  </si>
  <si>
    <t>Gravity coil, low temp</t>
  </si>
  <si>
    <t>LED canopy light</t>
  </si>
  <si>
    <t>Mist system optional</t>
  </si>
  <si>
    <t>LED door lighting</t>
  </si>
  <si>
    <t>Glass doors, anti-sweat heaters</t>
  </si>
  <si>
    <t>R-448A or CO₂</t>
  </si>
  <si>
    <t>Critical temp holding, tight door seals</t>
  </si>
  <si>
    <t>Remote condensing unit</t>
  </si>
  <si>
    <t>LED ceiling</t>
  </si>
  <si>
    <t>Floorless, strip curtain at door</t>
  </si>
  <si>
    <t>Insulated floor, heated door frame</t>
  </si>
  <si>
    <t>LED shelves</t>
  </si>
  <si>
    <t>Reach-in with glass doors</t>
  </si>
  <si>
    <t>Self-contained</t>
  </si>
  <si>
    <t>LED canopy</t>
  </si>
  <si>
    <t>Plug-in, casters for mobility</t>
  </si>
  <si>
    <t>Condenser and Compressor Rack</t>
  </si>
  <si>
    <t>Service</t>
  </si>
  <si>
    <t>Condensing Temp (deg C)</t>
  </si>
  <si>
    <t>Subcooling Delta (deg C)</t>
  </si>
  <si>
    <t>Fan Power (W/W)</t>
  </si>
  <si>
    <t>C1</t>
  </si>
  <si>
    <t>C2</t>
  </si>
  <si>
    <t>~W PNNL</t>
  </si>
  <si>
    <t>ft²</t>
  </si>
  <si>
    <t>W/ft² PNNL</t>
  </si>
  <si>
    <t>W/ft² CEC</t>
  </si>
  <si>
    <t>BACK_SPACE</t>
  </si>
  <si>
    <t>CORE_RETAIL</t>
  </si>
  <si>
    <t>POINT_OF_SALE</t>
  </si>
  <si>
    <t>FRONT_RETAIL</t>
  </si>
  <si>
    <t>it is reasonable to leave the current 5.0 W/ft² assumption in the NMACM for refrigeration loads in Grocery Sales area</t>
  </si>
  <si>
    <t>Zone</t>
  </si>
  <si>
    <t>Schedule</t>
  </si>
  <si>
    <t>Type</t>
  </si>
  <si>
    <t>Hour</t>
  </si>
  <si>
    <t>All the zones</t>
  </si>
  <si>
    <t>Occupancy</t>
  </si>
  <si>
    <t>T24 2022 - Appendix 5.4B</t>
  </si>
  <si>
    <t>Weekday</t>
  </si>
  <si>
    <t>Saturday</t>
  </si>
  <si>
    <t>Sunday</t>
  </si>
  <si>
    <t>Lights</t>
  </si>
  <si>
    <t>ElecEquipment</t>
  </si>
  <si>
    <t>Plug load and schedules project with CEC, 2025</t>
  </si>
  <si>
    <t>HVACAvail</t>
  </si>
  <si>
    <t>ServiceHotWater</t>
  </si>
  <si>
    <t>Refrigeration</t>
  </si>
  <si>
    <t>HtgSetpt</t>
  </si>
  <si>
    <t>ClgSetpt</t>
  </si>
  <si>
    <t>Zones with Refrigeration systems</t>
  </si>
  <si>
    <t>Defrost</t>
  </si>
  <si>
    <t>Note: The defrost cycle runs for 20 minutes, followed by a roughly 10-minute drip-down period during which the system remains off to allow residual meltwater to drain from the coils into the pan.</t>
  </si>
  <si>
    <t xml:space="preserve">DefrostDripDown </t>
  </si>
  <si>
    <t>`</t>
  </si>
  <si>
    <t xml:space="preserve">CaseRestock </t>
  </si>
  <si>
    <t xml:space="preserve">CaseCredit </t>
  </si>
  <si>
    <t>Other</t>
  </si>
  <si>
    <t>Building</t>
  </si>
  <si>
    <t>ExtLightingNonMotionCtrl</t>
  </si>
  <si>
    <t>ExtLightingMotionCtrl</t>
  </si>
  <si>
    <t>Retails</t>
  </si>
  <si>
    <t>RetailSalePeopleActivityLevel</t>
  </si>
  <si>
    <t xml:space="preserve">Based on Activilty level schedules in  CEC Prototypes </t>
  </si>
  <si>
    <t>CommonAreaPeopleActivityLevel</t>
  </si>
  <si>
    <t>RefFoodPRep Core, RefWalkInCool Core, Ref WalkInFreezer Core</t>
  </si>
  <si>
    <t>RefStoragePeopleActivityLevel</t>
  </si>
  <si>
    <t>SaleStoragePeopleActivityLevel</t>
  </si>
  <si>
    <t>Motion Controlled Luminaires (W)</t>
  </si>
  <si>
    <t>Non-motion Controlled Luminaires (W)</t>
  </si>
  <si>
    <t>Total (W)</t>
  </si>
  <si>
    <t>T24, 2022</t>
  </si>
  <si>
    <t>Exterior Lighting</t>
  </si>
  <si>
    <t>Items (Assume LZ2)</t>
  </si>
  <si>
    <t>Assumptions
[2019 Outdoor Lighting CASE Report &amp; PNNL 90.1-2010 TSD]</t>
  </si>
  <si>
    <t>Lighting Power Allowance 
[T24, 2025, Table 140.7-A &amp; 140.7-B]</t>
  </si>
  <si>
    <t>Exterior lighting power (w)</t>
  </si>
  <si>
    <t>IWA (Initial Wattage Allowance)</t>
  </si>
  <si>
    <t>W</t>
  </si>
  <si>
    <t>Parking area</t>
  </si>
  <si>
    <t xml:space="preserve">400 ft² for every parking space 
1 parking space per 360 ft² of gross building area </t>
  </si>
  <si>
    <t>(ft²)</t>
  </si>
  <si>
    <t>(W/ft²)</t>
  </si>
  <si>
    <t>Building Entrance</t>
  </si>
  <si>
    <t>1 per 10,000sf footprint</t>
  </si>
  <si>
    <t>(count)</t>
  </si>
  <si>
    <t>(W/ea)</t>
  </si>
  <si>
    <t>Hardscape Ornamental Light</t>
  </si>
  <si>
    <t>0.1 ft² per 1 ft² of gross bldg area for hardscape ornamental light</t>
  </si>
  <si>
    <t>Building façade</t>
  </si>
  <si>
    <t>0.1 W per 1 ft² of facade area 
Façade Area = Perimeter × 0.5 × 25 ft
The 0.5 factor assumes that only half of the perimeter walls are lit.
-Formula ia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</si>
  <si>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</si>
  <si>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</si>
  <si>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</si>
  <si>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</si>
  <si>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</si>
  <si>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</si>
  <si>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</si>
  <si>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</si>
  <si>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CalBEM Energy Consumption - RetailGrocery</t>
  </si>
  <si>
    <t>National Average (EnergyStar Portfolio Manager)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</si>
  <si>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</si>
  <si>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</si>
  <si>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</si>
  <si>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</si>
  <si>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</si>
  <si>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</si>
  <si>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</si>
  <si>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</si>
  <si>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eRange (25% Higher)</t>
  </si>
  <si>
    <t>Acceptable Range (25% Lower)</t>
  </si>
  <si>
    <t>National Average Acceptable Range</t>
  </si>
  <si>
    <t>Zip code</t>
  </si>
  <si>
    <t>Total Floorspace (Thousand of ft²)</t>
  </si>
  <si>
    <t>CEUS 2022 Electric Energy Intensity (kWh/ft²)</t>
  </si>
  <si>
    <t>CEUS 2022 Annual Gas Intensity (kWh/ft²)</t>
  </si>
  <si>
    <t>CEUS 2022 Total EUI (kBtu/ft²)</t>
  </si>
  <si>
    <t>Acceptable Range (25% Higher)</t>
  </si>
  <si>
    <t>CEUS 2022 Acceptable Range</t>
  </si>
  <si>
    <t>HotelSmall</t>
  </si>
  <si>
    <r>
      <rPr>
        <b/>
        <sz val="10"/>
        <color rgb="FF000000"/>
        <rFont val="Arial"/>
      </rPr>
      <t xml:space="preserve">Ref: </t>
    </r>
    <r>
      <rPr>
        <sz val="10"/>
        <color rgb="FF000000"/>
        <rFont val="Arial"/>
      </rPr>
      <t xml:space="preserve">CEUS 2022 Report </t>
    </r>
  </si>
  <si>
    <t xml:space="preserve">And converted FZ level data to CZ level </t>
  </si>
  <si>
    <t>CEUS has only one category for all the retails</t>
  </si>
  <si>
    <t>Using Supermarket/Grocery Store use type</t>
  </si>
  <si>
    <t>Alternative One</t>
  </si>
  <si>
    <t>Alternative Two</t>
  </si>
  <si>
    <t>Food Store</t>
  </si>
  <si>
    <t>Electricity Usage (kWh/SqF)</t>
  </si>
  <si>
    <t>Gas Usage (kWh/SqF)</t>
  </si>
  <si>
    <t>CA Climate Zone</t>
  </si>
  <si>
    <t>Climate Character (short)</t>
  </si>
  <si>
    <t>HDD vs CDD Balance</t>
  </si>
  <si>
    <t>HVAC Dominance</t>
  </si>
  <si>
    <t>CZ 1</t>
  </si>
  <si>
    <t>Cool coastal / marine</t>
  </si>
  <si>
    <t>HDD ≫ CDD</t>
  </si>
  <si>
    <t>Heating-dominated</t>
  </si>
  <si>
    <t>CZ 2</t>
  </si>
  <si>
    <t>Coastal, slightly inland</t>
  </si>
  <si>
    <t>HDD &gt; CDD</t>
  </si>
  <si>
    <t>Heating-leaning</t>
  </si>
  <si>
    <t>CZ 3</t>
  </si>
  <si>
    <t>Mild coastal</t>
  </si>
  <si>
    <t>CZ 4</t>
  </si>
  <si>
    <t>Mild coastal / near inland</t>
  </si>
  <si>
    <t>HDD ≈ CDD (low total)</t>
  </si>
  <si>
    <t>Balanced (slight heating)</t>
  </si>
  <si>
    <t>CZ 5</t>
  </si>
  <si>
    <t>Mildest CA climate</t>
  </si>
  <si>
    <t>HDD ≈ CDD (low both)</t>
  </si>
  <si>
    <t>Balanced</t>
  </si>
  <si>
    <t>CZ 6</t>
  </si>
  <si>
    <t>Southern coastal</t>
  </si>
  <si>
    <t>CDD &gt; HDD</t>
  </si>
  <si>
    <t>Cooling-leaning</t>
  </si>
  <si>
    <t>CZ 7</t>
  </si>
  <si>
    <t>Inland SoCal</t>
  </si>
  <si>
    <t>Cooling-dominated</t>
  </si>
  <si>
    <t>CZ 8</t>
  </si>
  <si>
    <t>Inland SoCal (hotter)</t>
  </si>
  <si>
    <t>CDD ≫ HDD</t>
  </si>
  <si>
    <t>CZ 9</t>
  </si>
  <si>
    <t>LA Basin / inland</t>
  </si>
  <si>
    <t>CZ 10</t>
  </si>
  <si>
    <t>Inland valleys</t>
  </si>
  <si>
    <t>CZ 11</t>
  </si>
  <si>
    <t>Inland north / foothills</t>
  </si>
  <si>
    <t>CZ 12</t>
  </si>
  <si>
    <t>Inland north (milder)</t>
  </si>
  <si>
    <t>CZ 13</t>
  </si>
  <si>
    <t>Central Valley</t>
  </si>
  <si>
    <t>HDD ≈ CDD (both high)</t>
  </si>
  <si>
    <t>Mixed (high energy)</t>
  </si>
  <si>
    <t>CZ 14</t>
  </si>
  <si>
    <t>Desert</t>
  </si>
  <si>
    <t>CDD ≫≫ HDD</t>
  </si>
  <si>
    <t>Strongly cooling-dominated</t>
  </si>
  <si>
    <t>CZ 15</t>
  </si>
  <si>
    <t>Hot desert</t>
  </si>
  <si>
    <t>Extremely cooling-dominated</t>
  </si>
  <si>
    <t>CZ 16</t>
  </si>
  <si>
    <t>Extreme desert</t>
  </si>
  <si>
    <t>CDD ≫≫≫ HDD</t>
  </si>
  <si>
    <t>Extreme cooling-dominated</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</si>
  <si>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</si>
  <si>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</si>
  <si>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</si>
  <si>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</si>
  <si>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</si>
  <si>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</si>
  <si>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</si>
  <si>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</si>
  <si>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</si>
  <si>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</si>
  <si>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</si>
  <si>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</si>
  <si>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</si>
  <si>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</si>
  <si>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</si>
  <si>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</si>
  <si>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</si>
  <si>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</si>
  <si>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</si>
  <si>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</si>
  <si>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</si>
  <si>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</si>
  <si>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</si>
  <si>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</si>
  <si>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</si>
  <si>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</si>
  <si>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</si>
  <si>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</si>
  <si>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</si>
  <si>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</si>
  <si>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</si>
  <si>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</si>
  <si>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</si>
  <si>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</si>
  <si>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</si>
  <si>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</si>
  <si>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</si>
  <si>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</si>
  <si>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</si>
  <si>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</si>
  <si>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</si>
  <si>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</si>
  <si>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</si>
  <si>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</si>
  <si>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</si>
  <si>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</si>
  <si>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</si>
  <si>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</si>
  <si>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</si>
  <si>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</si>
  <si>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</si>
  <si>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</si>
  <si>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</si>
  <si>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</si>
  <si>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</si>
  <si>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</si>
  <si>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</si>
  <si>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</si>
  <si>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</si>
  <si>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</si>
  <si>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</si>
  <si>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(Retail Merchandise Sales)</t>
  </si>
  <si>
    <t>Retail Sales Area (Fitting Room)</t>
  </si>
  <si>
    <t>Religious Worship Area</t>
  </si>
  <si>
    <t>Restrooms</t>
  </si>
  <si>
    <t>Stairwell</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</si>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</sst>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
    <numFmt numFmtId="168" formatCode="0.000"/>
    <numFmt numFmtId="169" formatCode="_(* #,##0_);_(* \(#,##0\);_(* &quot;-&quot;??_);_(@_)"/>
    <numFmt numFmtId="170" formatCode="#,##0;\-0;[Color15]0"/>
  </numFmts>
  <fonts count="78">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2"/>
      <color theme="1"/>
      <name val="Arial"/>
      <family val="2"/>
    </font>
    <font>
      <b/>
      <sz val="14"/>
      <color theme="1"/>
      <name val="Arial"/>
      <family val="2"/>
    </font>
    <font>
      <sz val="11"/>
      <color theme="0"/>
      <name val="Arial"/>
      <family val="2"/>
    </font>
    <font>
      <sz val="12"/>
      <color theme="1"/>
      <name val="Arial"/>
      <family val="2"/>
    </font>
    <font>
      <b/>
      <sz val="11"/>
      <color rgb="FF0000CC"/>
      <name val="Arial"/>
      <family val="2"/>
    </font>
    <font>
      <sz val="11"/>
      <color rgb="FFFF0000"/>
      <name val="Arial"/>
      <family val="2"/>
    </font>
    <font>
      <b/>
      <sz val="12"/>
      <color rgb="FFFFFFFF"/>
      <name val="Arial"/>
      <family val="2"/>
    </font>
    <font>
      <sz val="10"/>
      <color rgb="FF0070C0"/>
      <name val="Arial"/>
      <family val="2"/>
    </font>
    <font>
      <b/>
      <sz val="11"/>
      <color theme="1"/>
      <name val="Arial"/>
      <family val="2"/>
    </font>
    <font>
      <b/>
      <sz val="12"/>
      <color rgb="FF0000CC"/>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color theme="0"/>
      <name val="Arial"/>
      <family val="2"/>
    </font>
    <font>
      <b/>
      <sz val="18"/>
      <color theme="3"/>
      <name val="Calibri Light"/>
      <family val="2"/>
      <scheme val="major"/>
    </font>
    <font>
      <sz val="11"/>
      <color rgb="FF9C6500"/>
      <name val="Calibri"/>
      <family val="2"/>
      <scheme val="minor"/>
    </font>
    <font>
      <sz val="11"/>
      <name val="Arial"/>
      <family val="2"/>
    </font>
    <font>
      <sz val="10"/>
      <name val="Aptos Narrow"/>
      <family val="2"/>
    </font>
    <font>
      <b/>
      <sz val="10"/>
      <color rgb="FF000000"/>
      <name val="Aptos Narrow"/>
      <family val="2"/>
    </font>
    <font>
      <b/>
      <sz val="10"/>
      <name val="Aptos Narrow"/>
      <family val="2"/>
    </font>
    <font>
      <sz val="10"/>
      <color rgb="FF000000"/>
      <name val="Aptos Narrow"/>
      <family val="2"/>
    </font>
    <font>
      <sz val="10"/>
      <color rgb="FFFF0000"/>
      <name val="Arial"/>
      <family val="2"/>
    </font>
    <font>
      <sz val="10"/>
      <color theme="1"/>
      <name val="Aptos"/>
      <family val="2"/>
    </font>
    <font>
      <sz val="10"/>
      <color rgb="FF002060"/>
      <name val="Arial"/>
      <family val="2"/>
    </font>
    <font>
      <b/>
      <sz val="18"/>
      <color theme="1"/>
      <name val="Calibri"/>
      <family val="2"/>
      <scheme val="minor"/>
    </font>
    <font>
      <b/>
      <sz val="13.5"/>
      <color theme="1"/>
      <name val="Calibri"/>
      <family val="2"/>
      <scheme val="minor"/>
    </font>
    <font>
      <b/>
      <sz val="10"/>
      <color theme="0"/>
      <name val="Arial"/>
      <family val="2"/>
    </font>
    <font>
      <i/>
      <sz val="10"/>
      <color theme="1"/>
      <name val="Arial"/>
      <family val="2"/>
    </font>
    <font>
      <sz val="11"/>
      <color rgb="FF000000"/>
      <name val="Calibri"/>
      <family val="2"/>
    </font>
    <font>
      <b/>
      <sz val="11"/>
      <color theme="0"/>
      <name val="Arial"/>
      <family val="2"/>
    </font>
    <font>
      <sz val="10"/>
      <color theme="1"/>
      <name val="Arial"/>
    </font>
    <font>
      <sz val="11"/>
      <color theme="1"/>
      <name val="Arial"/>
    </font>
    <font>
      <sz val="10"/>
      <name val="Arial"/>
    </font>
    <font>
      <sz val="11"/>
      <color theme="5" tint="-0.499984740745262"/>
      <name val="Calibri"/>
      <family val="2"/>
      <scheme val="minor"/>
    </font>
    <font>
      <sz val="10"/>
      <color rgb="FF000000"/>
      <name val="Arial"/>
    </font>
    <font>
      <b/>
      <sz val="11"/>
      <color rgb="FF000000"/>
      <name val="Calibri"/>
      <scheme val="minor"/>
    </font>
    <font>
      <b/>
      <sz val="10"/>
      <color rgb="FF000000"/>
      <name val="Arial"/>
    </font>
    <font>
      <b/>
      <sz val="9"/>
      <color rgb="FF000000"/>
      <name val="Arial"/>
    </font>
    <font>
      <b/>
      <sz val="9"/>
      <color rgb="FF000000"/>
      <name val="Arial"/>
      <charset val="1"/>
    </font>
    <font>
      <sz val="9"/>
      <color theme="1"/>
      <name val="Arial"/>
    </font>
    <font>
      <sz val="11"/>
      <color theme="0"/>
      <name val="Calibri"/>
      <family val="2"/>
    </font>
    <font>
      <b/>
      <sz val="14"/>
      <color theme="0"/>
      <name val="Arial"/>
      <family val="2"/>
    </font>
    <font>
      <u/>
      <sz val="11"/>
      <color theme="10"/>
      <name val="Arial"/>
      <family val="2"/>
    </font>
  </fonts>
  <fills count="73">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lightUp"/>
    </fill>
    <fill>
      <patternFill patternType="solid">
        <fgColor rgb="FFFFFFFF"/>
        <bgColor rgb="FF000000"/>
      </patternFill>
    </fill>
    <fill>
      <patternFill patternType="solid">
        <fgColor rgb="FFF7C7AC"/>
        <bgColor rgb="FF000000"/>
      </patternFill>
    </fill>
    <fill>
      <patternFill patternType="solid">
        <fgColor rgb="FFDAE9F8"/>
        <bgColor rgb="FF000000"/>
      </patternFill>
    </fill>
    <fill>
      <patternFill patternType="solid">
        <fgColor rgb="FFC1F0C8"/>
        <bgColor rgb="FF000000"/>
      </patternFill>
    </fill>
    <fill>
      <patternFill patternType="solid">
        <fgColor rgb="FF83CCEB"/>
        <bgColor rgb="FF000000"/>
      </patternFill>
    </fill>
    <fill>
      <patternFill patternType="solid">
        <fgColor theme="0"/>
        <bgColor rgb="FF000000"/>
      </patternFill>
    </fill>
    <fill>
      <patternFill patternType="solid">
        <fgColor theme="7" tint="-0.24994659260841701"/>
        <bgColor indexed="64"/>
      </patternFill>
    </fill>
    <fill>
      <patternFill patternType="solid">
        <fgColor theme="9" tint="0.59996337778862885"/>
        <bgColor indexed="64"/>
      </patternFill>
    </fill>
    <fill>
      <patternFill patternType="solid">
        <fgColor theme="8" tint="0.59996337778862885"/>
        <bgColor indexed="64"/>
      </patternFill>
    </fill>
    <fill>
      <patternFill patternType="solid">
        <fgColor theme="3" tint="0.79998168889431442"/>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0" tint="-0.499984740745262"/>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rgb="FFD9D9D9"/>
        <bgColor rgb="FF000000"/>
      </patternFill>
    </fill>
    <fill>
      <patternFill patternType="solid">
        <fgColor theme="8"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D9E1F2"/>
        <bgColor indexed="64"/>
      </patternFill>
    </fill>
    <fill>
      <patternFill patternType="solid">
        <fgColor rgb="FF203764"/>
        <bgColor indexed="64"/>
      </patternFill>
    </fill>
    <fill>
      <patternFill patternType="solid">
        <fgColor rgb="FFD6DCE4"/>
        <bgColor rgb="FF000000"/>
      </patternFill>
    </fill>
    <fill>
      <patternFill patternType="solid">
        <fgColor theme="7" tint="0.79998168889431442"/>
        <bgColor rgb="FF000000"/>
      </patternFill>
    </fill>
    <fill>
      <patternFill patternType="solid">
        <fgColor rgb="FFFFF2CC"/>
        <bgColor rgb="FF000000"/>
      </patternFill>
    </fill>
  </fills>
  <borders count="19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style="thin">
        <color theme="1"/>
      </left>
      <right style="thin">
        <color theme="1"/>
      </right>
      <top style="thin">
        <color theme="1"/>
      </top>
      <bottom style="thin">
        <color theme="1"/>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right style="thin">
        <color theme="1" tint="4.9989318521683403E-2"/>
      </right>
      <top style="thin">
        <color theme="1" tint="4.9989318521683403E-2"/>
      </top>
      <bottom/>
      <diagonal/>
    </border>
    <border>
      <left style="thin">
        <color theme="1" tint="4.9989318521683403E-2"/>
      </left>
      <right style="thin">
        <color theme="1" tint="4.9989318521683403E-2"/>
      </right>
      <top style="thin">
        <color theme="1" tint="4.9989318521683403E-2"/>
      </top>
      <bottom/>
      <diagonal/>
    </border>
    <border>
      <left/>
      <right style="thin">
        <color theme="1" tint="4.9989318521683403E-2"/>
      </right>
      <top style="thin">
        <color theme="1" tint="4.9989318521683403E-2"/>
      </top>
      <bottom style="thin">
        <color theme="1" tint="4.9989318521683403E-2"/>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dashDot">
        <color indexed="64"/>
      </top>
      <bottom/>
      <diagonal/>
    </border>
    <border>
      <left/>
      <right/>
      <top/>
      <bottom style="dashDot">
        <color indexed="64"/>
      </bottom>
      <diagonal/>
    </border>
    <border>
      <left/>
      <right/>
      <top style="thin">
        <color indexed="64"/>
      </top>
      <bottom style="dashDot">
        <color indexed="64"/>
      </bottom>
      <diagonal/>
    </border>
    <border>
      <left style="dashDot">
        <color indexed="64"/>
      </left>
      <right/>
      <top/>
      <bottom/>
      <diagonal/>
    </border>
    <border>
      <left style="dashDot">
        <color indexed="64"/>
      </left>
      <right/>
      <top style="dashDot">
        <color indexed="64"/>
      </top>
      <bottom/>
      <diagonal/>
    </border>
    <border>
      <left/>
      <right style="dashDot">
        <color indexed="64"/>
      </right>
      <top style="dashDot">
        <color indexed="64"/>
      </top>
      <bottom/>
      <diagonal/>
    </border>
    <border>
      <left/>
      <right style="dashDot">
        <color indexed="64"/>
      </right>
      <top/>
      <bottom/>
      <diagonal/>
    </border>
    <border>
      <left style="dashDot">
        <color indexed="64"/>
      </left>
      <right/>
      <top/>
      <bottom style="dashDot">
        <color indexed="64"/>
      </bottom>
      <diagonal/>
    </border>
    <border>
      <left/>
      <right style="dashDot">
        <color indexed="64"/>
      </right>
      <top/>
      <bottom style="dashDot">
        <color indexed="64"/>
      </bottom>
      <diagonal/>
    </border>
    <border>
      <left style="dashDot">
        <color indexed="64"/>
      </left>
      <right style="dashDot">
        <color indexed="64"/>
      </right>
      <top style="dashDot">
        <color indexed="64"/>
      </top>
      <bottom/>
      <diagonal/>
    </border>
    <border>
      <left style="dashDot">
        <color indexed="64"/>
      </left>
      <right style="dashDot">
        <color indexed="64"/>
      </right>
      <top/>
      <bottom/>
      <diagonal/>
    </border>
    <border>
      <left style="dashDot">
        <color indexed="64"/>
      </left>
      <right style="dashDot">
        <color indexed="64"/>
      </right>
      <top/>
      <bottom style="dashDot">
        <color indexed="64"/>
      </bottom>
      <diagonal/>
    </border>
    <border>
      <left style="thin">
        <color theme="1"/>
      </left>
      <right/>
      <top style="thin">
        <color theme="1"/>
      </top>
      <bottom style="thin">
        <color theme="1"/>
      </bottom>
      <diagonal/>
    </border>
    <border>
      <left style="thin">
        <color indexed="64"/>
      </left>
      <right/>
      <top/>
      <bottom style="dashDot">
        <color indexed="64"/>
      </bottom>
      <diagonal/>
    </border>
    <border>
      <left style="thin">
        <color indexed="64"/>
      </left>
      <right/>
      <top style="thin">
        <color indexed="64"/>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style="thin">
        <color indexed="64"/>
      </right>
      <top style="dashDot">
        <color indexed="64"/>
      </top>
      <bottom/>
      <diagonal/>
    </border>
    <border>
      <left/>
      <right style="thin">
        <color theme="0" tint="-0.499984740745262"/>
      </right>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thin">
        <color theme="1"/>
      </left>
      <right style="thin">
        <color theme="1"/>
      </right>
      <top style="thin">
        <color theme="1"/>
      </top>
      <bottom style="thin">
        <color rgb="FF000000"/>
      </bottom>
      <diagonal/>
    </border>
    <border>
      <left style="thin">
        <color theme="1"/>
      </left>
      <right/>
      <top style="thin">
        <color theme="1"/>
      </top>
      <bottom style="thin">
        <color rgb="FF000000"/>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rgb="FF000000"/>
      </left>
      <right style="thin">
        <color rgb="FF000000"/>
      </right>
      <top style="thin">
        <color rgb="FF000000"/>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medium">
        <color rgb="FF000000"/>
      </left>
      <right style="thin">
        <color theme="1" tint="0.34998626667073579"/>
      </right>
      <top style="thin">
        <color theme="1" tint="0.34998626667073579"/>
      </top>
      <bottom/>
      <diagonal/>
    </border>
    <border>
      <left style="thin">
        <color theme="1" tint="0.34998626667073579"/>
      </left>
      <right style="medium">
        <color indexed="64"/>
      </right>
      <top/>
      <bottom style="thin">
        <color theme="1" tint="0.34998626667073579"/>
      </bottom>
      <diagonal/>
    </border>
    <border>
      <left style="thin">
        <color rgb="FF000000"/>
      </left>
      <right style="thin">
        <color rgb="FF000000"/>
      </right>
      <top/>
      <bottom style="thin">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indexed="64"/>
      </bottom>
      <diagonal/>
    </border>
    <border>
      <left style="thin">
        <color rgb="FF000000"/>
      </left>
      <right style="thin">
        <color rgb="FF000000"/>
      </right>
      <top style="thin">
        <color indexed="64"/>
      </top>
      <bottom style="medium">
        <color rgb="FF000000"/>
      </bottom>
      <diagonal/>
    </border>
    <border>
      <left style="thin">
        <color rgb="FF000000"/>
      </left>
      <right style="medium">
        <color rgb="FF000000"/>
      </right>
      <top style="thin">
        <color rgb="FF000000"/>
      </top>
      <bottom/>
      <diagonal/>
    </border>
    <border>
      <left style="thin">
        <color indexed="64"/>
      </left>
      <right/>
      <top style="medium">
        <color rgb="FF000000"/>
      </top>
      <bottom/>
      <diagonal/>
    </border>
    <border>
      <left/>
      <right/>
      <top/>
      <bottom style="medium">
        <color rgb="FF000000"/>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style="thin">
        <color rgb="FF000000"/>
      </right>
      <top style="medium">
        <color rgb="FF000000"/>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style="medium">
        <color rgb="FF000000"/>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style="thin">
        <color theme="1" tint="0.34998626667073579"/>
      </top>
      <bottom/>
      <diagonal/>
    </border>
    <border>
      <left style="thin">
        <color theme="1" tint="0.34998626667073579"/>
      </left>
      <right/>
      <top style="thin">
        <color theme="1" tint="0.34998626667073579"/>
      </top>
      <bottom style="medium">
        <color rgb="FF000000"/>
      </bottom>
      <diagonal/>
    </border>
    <border>
      <left style="thin">
        <color theme="1" tint="0.34998626667073579"/>
      </left>
      <right/>
      <top style="medium">
        <color rgb="FF000000"/>
      </top>
      <bottom style="thin">
        <color theme="1" tint="0.34998626667073579"/>
      </bottom>
      <diagonal/>
    </border>
    <border>
      <left style="medium">
        <color rgb="FF000000"/>
      </left>
      <right style="thin">
        <color theme="1" tint="0.34998626667073579"/>
      </right>
      <top/>
      <bottom style="thin">
        <color theme="1" tint="0.34998626667073579"/>
      </bottom>
      <diagonal/>
    </border>
    <border>
      <left style="thin">
        <color theme="1" tint="0.34998626667073579"/>
      </left>
      <right style="medium">
        <color rgb="FF000000"/>
      </right>
      <top/>
      <bottom style="thin">
        <color theme="1" tint="0.34998626667073579"/>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indexed="64"/>
      </left>
      <right style="medium">
        <color rgb="FF000000"/>
      </right>
      <top style="medium">
        <color rgb="FF000000"/>
      </top>
      <bottom/>
      <diagonal/>
    </border>
    <border>
      <left style="thin">
        <color indexed="64"/>
      </left>
      <right style="medium">
        <color rgb="FF000000"/>
      </right>
      <top style="thin">
        <color indexed="64"/>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top style="thin">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theme="1" tint="0.34998626667073579"/>
      </left>
      <right style="medium">
        <color rgb="FF000000"/>
      </right>
      <top style="medium">
        <color rgb="FF000000"/>
      </top>
      <bottom/>
      <diagonal/>
    </border>
    <border>
      <left style="thin">
        <color theme="1" tint="0.34998626667073579"/>
      </left>
      <right style="medium">
        <color rgb="FF000000"/>
      </right>
      <top/>
      <bottom style="medium">
        <color rgb="FF000000"/>
      </bottom>
      <diagonal/>
    </border>
    <border>
      <left/>
      <right style="medium">
        <color rgb="FF000000"/>
      </right>
      <top style="thin">
        <color theme="1" tint="0.34998626667073579"/>
      </top>
      <bottom style="thin">
        <color theme="1" tint="0.34998626667073579"/>
      </bottom>
      <diagonal/>
    </border>
    <border>
      <left/>
      <right style="medium">
        <color rgb="FF000000"/>
      </right>
      <top style="thin">
        <color theme="1" tint="0.34998626667073579"/>
      </top>
      <bottom style="medium">
        <color rgb="FF000000"/>
      </bottom>
      <diagonal/>
    </border>
    <border>
      <left style="thin">
        <color theme="1" tint="0.499984740745262"/>
      </left>
      <right style="thin">
        <color theme="1" tint="0.499984740745262"/>
      </right>
      <top style="thin">
        <color theme="1" tint="0.499984740745262"/>
      </top>
      <bottom/>
      <diagonal/>
    </border>
    <border>
      <left/>
      <right style="thin">
        <color theme="1" tint="0.34998626667073579"/>
      </right>
      <top style="medium">
        <color rgb="FF000000"/>
      </top>
      <bottom style="thin">
        <color theme="1" tint="0.34998626667073579"/>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diagonal/>
    </border>
    <border>
      <left style="thin">
        <color theme="1" tint="0.34998626667073579"/>
      </left>
      <right/>
      <top/>
      <bottom style="thin">
        <color theme="1" tint="0.34998626667073579"/>
      </bottom>
      <diagonal/>
    </border>
    <border>
      <left/>
      <right style="medium">
        <color rgb="FF000000"/>
      </right>
      <top/>
      <bottom style="thin">
        <color theme="1" tint="0.34998626667073579"/>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theme="0" tint="-0.499984740745262"/>
      </left>
      <right/>
      <top style="medium">
        <color rgb="FF000000"/>
      </top>
      <bottom/>
      <diagonal/>
    </border>
    <border>
      <left style="thin">
        <color rgb="FF000000"/>
      </left>
      <right style="thin">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top style="medium">
        <color rgb="FF000000"/>
      </top>
      <bottom style="thin">
        <color rgb="FF000000"/>
      </bottom>
      <diagonal/>
    </border>
  </borders>
  <cellStyleXfs count="56">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7" fillId="0" borderId="40" applyNumberFormat="0" applyFill="0" applyAlignment="0" applyProtection="0"/>
    <xf numFmtId="0" fontId="38" fillId="0" borderId="41" applyNumberFormat="0" applyFill="0" applyAlignment="0" applyProtection="0"/>
    <xf numFmtId="0" fontId="39" fillId="0" borderId="42" applyNumberFormat="0" applyFill="0" applyAlignment="0" applyProtection="0"/>
    <xf numFmtId="0" fontId="39" fillId="0" borderId="0" applyNumberFormat="0" applyFill="0" applyBorder="0" applyAlignment="0" applyProtection="0"/>
    <xf numFmtId="0" fontId="40" fillId="17" borderId="0" applyNumberFormat="0" applyBorder="0" applyAlignment="0" applyProtection="0"/>
    <xf numFmtId="0" fontId="41" fillId="18" borderId="0" applyNumberFormat="0" applyBorder="0" applyAlignment="0" applyProtection="0"/>
    <xf numFmtId="0" fontId="42" fillId="20" borderId="43" applyNumberFormat="0" applyAlignment="0" applyProtection="0"/>
    <xf numFmtId="0" fontId="43" fillId="21" borderId="44" applyNumberFormat="0" applyAlignment="0" applyProtection="0"/>
    <xf numFmtId="0" fontId="44" fillId="21" borderId="43" applyNumberFormat="0" applyAlignment="0" applyProtection="0"/>
    <xf numFmtId="0" fontId="45" fillId="0" borderId="45" applyNumberFormat="0" applyFill="0" applyAlignment="0" applyProtection="0"/>
    <xf numFmtId="0" fontId="9" fillId="22" borderId="46" applyNumberFormat="0" applyAlignment="0" applyProtection="0"/>
    <xf numFmtId="0" fontId="46" fillId="0" borderId="0" applyNumberFormat="0" applyFill="0" applyBorder="0" applyAlignment="0" applyProtection="0"/>
    <xf numFmtId="0" fontId="2" fillId="23" borderId="47" applyNumberFormat="0" applyFont="0" applyAlignment="0" applyProtection="0"/>
    <xf numFmtId="0" fontId="47" fillId="0" borderId="0" applyNumberFormat="0" applyFill="0" applyBorder="0" applyAlignment="0" applyProtection="0"/>
    <xf numFmtId="0" fontId="3" fillId="0" borderId="48" applyNumberFormat="0" applyFill="0" applyAlignment="0" applyProtection="0"/>
    <xf numFmtId="0" fontId="11"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1"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1"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1"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1"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1"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49" fillId="0" borderId="0" applyNumberFormat="0" applyFill="0" applyBorder="0" applyAlignment="0" applyProtection="0"/>
    <xf numFmtId="0" fontId="50" fillId="19" borderId="0" applyNumberFormat="0" applyBorder="0" applyAlignment="0" applyProtection="0"/>
    <xf numFmtId="0" fontId="11" fillId="27" borderId="0" applyNumberFormat="0" applyBorder="0" applyAlignment="0" applyProtection="0"/>
    <xf numFmtId="0" fontId="11" fillId="31"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2" fillId="0" borderId="0"/>
    <xf numFmtId="0" fontId="12" fillId="0" borderId="0"/>
  </cellStyleXfs>
  <cellXfs count="719">
    <xf numFmtId="0" fontId="0" fillId="0" borderId="0" xfId="0"/>
    <xf numFmtId="0" fontId="3" fillId="0" borderId="0" xfId="0" applyFont="1"/>
    <xf numFmtId="0" fontId="12" fillId="0" borderId="0" xfId="0" applyFont="1"/>
    <xf numFmtId="0" fontId="6" fillId="0" borderId="0" xfId="0" applyFont="1"/>
    <xf numFmtId="0" fontId="7" fillId="0" borderId="0" xfId="0" applyFont="1"/>
    <xf numFmtId="0" fontId="6" fillId="0" borderId="0" xfId="0" applyFont="1" applyAlignment="1">
      <alignment horizontal="center" vertical="center" wrapText="1"/>
    </xf>
    <xf numFmtId="0" fontId="16" fillId="0" borderId="0" xfId="5" applyFont="1"/>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11" borderId="2" xfId="0" applyFont="1" applyFill="1" applyBorder="1" applyAlignment="1">
      <alignment vertical="center"/>
    </xf>
    <xf numFmtId="0" fontId="19" fillId="11" borderId="2" xfId="0" applyFont="1" applyFill="1" applyBorder="1" applyAlignment="1">
      <alignment horizontal="left" vertical="center"/>
    </xf>
    <xf numFmtId="3" fontId="6" fillId="0" borderId="2" xfId="7" applyNumberFormat="1" applyFont="1" applyBorder="1" applyAlignment="1">
      <alignment horizontal="center" vertical="center"/>
    </xf>
    <xf numFmtId="165" fontId="6" fillId="0" borderId="0" xfId="0" applyNumberFormat="1" applyFont="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11" borderId="2" xfId="0" applyFont="1" applyFill="1" applyBorder="1" applyAlignment="1">
      <alignment horizontal="center" vertical="center" wrapText="1"/>
    </xf>
    <xf numFmtId="0" fontId="19" fillId="11" borderId="2" xfId="0" applyFont="1" applyFill="1" applyBorder="1" applyAlignment="1">
      <alignment horizontal="center" vertical="center"/>
    </xf>
    <xf numFmtId="9" fontId="6" fillId="0" borderId="0" xfId="2" applyFont="1" applyFill="1" applyBorder="1" applyAlignment="1">
      <alignment horizontal="center" vertical="center"/>
    </xf>
    <xf numFmtId="0" fontId="19" fillId="11" borderId="20" xfId="0" applyFont="1" applyFill="1" applyBorder="1" applyAlignment="1">
      <alignment horizontal="center" vertical="center" wrapText="1"/>
    </xf>
    <xf numFmtId="0" fontId="7" fillId="11" borderId="20"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23" fillId="0" borderId="0" xfId="0" applyFont="1" applyAlignment="1">
      <alignment horizontal="left" vertical="center"/>
    </xf>
    <xf numFmtId="0" fontId="6" fillId="0" borderId="20" xfId="4" applyBorder="1" applyAlignment="1">
      <alignment horizontal="center" vertical="center"/>
    </xf>
    <xf numFmtId="0" fontId="24" fillId="11" borderId="9" xfId="0" applyFont="1" applyFill="1" applyBorder="1" applyAlignment="1">
      <alignment horizontal="center" vertical="center" wrapText="1"/>
    </xf>
    <xf numFmtId="9" fontId="6" fillId="0" borderId="20" xfId="2" applyFont="1" applyFill="1" applyBorder="1" applyAlignment="1">
      <alignment horizontal="center" vertical="center"/>
    </xf>
    <xf numFmtId="3" fontId="6" fillId="0" borderId="2" xfId="0" applyNumberFormat="1" applyFont="1" applyBorder="1" applyAlignment="1">
      <alignment horizontal="center" vertical="center"/>
    </xf>
    <xf numFmtId="2" fontId="6" fillId="0" borderId="20" xfId="0" applyNumberFormat="1" applyFont="1" applyBorder="1" applyAlignment="1">
      <alignment horizontal="center" vertical="center"/>
    </xf>
    <xf numFmtId="0" fontId="22" fillId="0" borderId="0" xfId="0" applyFont="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5" fillId="5" borderId="0" xfId="0" applyFont="1" applyFill="1" applyAlignment="1">
      <alignment vertical="center" wrapText="1"/>
    </xf>
    <xf numFmtId="0" fontId="22" fillId="5" borderId="0" xfId="0" applyFont="1" applyFill="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22" fillId="0" borderId="33" xfId="0" applyFont="1" applyBorder="1" applyAlignment="1">
      <alignment horizontal="center" vertical="center"/>
    </xf>
    <xf numFmtId="0" fontId="22" fillId="0" borderId="6" xfId="0" applyFont="1" applyBorder="1" applyAlignment="1">
      <alignment horizontal="center" vertical="center"/>
    </xf>
    <xf numFmtId="0" fontId="23"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0" xfId="0" applyNumberFormat="1" applyFont="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2" fontId="0" fillId="0" borderId="2" xfId="0" applyNumberFormat="1" applyBorder="1" applyAlignment="1">
      <alignment horizontal="center" vertical="center"/>
    </xf>
    <xf numFmtId="2" fontId="0" fillId="0" borderId="1"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2" fontId="0" fillId="0" borderId="33" xfId="0" applyNumberFormat="1" applyBorder="1" applyAlignment="1">
      <alignment horizontal="center" vertical="center"/>
    </xf>
    <xf numFmtId="2" fontId="0" fillId="0" borderId="6" xfId="0" applyNumberFormat="1" applyBorder="1" applyAlignment="1">
      <alignment horizontal="center" vertical="center"/>
    </xf>
    <xf numFmtId="0" fontId="7" fillId="2" borderId="0" xfId="0" applyFont="1" applyFill="1" applyAlignment="1">
      <alignment horizontal="center" vertical="center"/>
    </xf>
    <xf numFmtId="168"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2" xfId="0" applyNumberFormat="1" applyFont="1" applyBorder="1" applyAlignment="1">
      <alignment horizontal="center"/>
    </xf>
    <xf numFmtId="0" fontId="26" fillId="0" borderId="0" xfId="0" applyFont="1"/>
    <xf numFmtId="9" fontId="27" fillId="0" borderId="0" xfId="2" applyFont="1"/>
    <xf numFmtId="0" fontId="28" fillId="2" borderId="0" xfId="0" applyFont="1" applyFill="1"/>
    <xf numFmtId="0" fontId="26" fillId="0" borderId="0" xfId="0" applyFont="1" applyAlignment="1">
      <alignment wrapText="1"/>
    </xf>
    <xf numFmtId="0" fontId="26"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11" borderId="20" xfId="0" applyFont="1" applyFill="1" applyBorder="1" applyAlignment="1">
      <alignment horizontal="center" vertical="center" wrapText="1"/>
    </xf>
    <xf numFmtId="0" fontId="6" fillId="0" borderId="2" xfId="0" applyFont="1" applyBorder="1"/>
    <xf numFmtId="0" fontId="7" fillId="11" borderId="23" xfId="0" applyFont="1" applyFill="1" applyBorder="1" applyAlignment="1">
      <alignment horizontal="center" vertical="center" wrapText="1"/>
    </xf>
    <xf numFmtId="0" fontId="16" fillId="0" borderId="20" xfId="5" applyFont="1" applyBorder="1" applyAlignment="1">
      <alignment horizontal="center" vertical="center"/>
    </xf>
    <xf numFmtId="0" fontId="19" fillId="11" borderId="9" xfId="0" applyFont="1" applyFill="1" applyBorder="1" applyAlignment="1">
      <alignment horizontal="center" vertical="center" wrapText="1"/>
    </xf>
    <xf numFmtId="0" fontId="7" fillId="11" borderId="23" xfId="0" applyFont="1" applyFill="1" applyBorder="1" applyAlignment="1">
      <alignment horizontal="center" vertical="center"/>
    </xf>
    <xf numFmtId="0" fontId="30" fillId="0" borderId="0" xfId="0" applyFont="1"/>
    <xf numFmtId="0" fontId="1" fillId="0" borderId="20" xfId="0" applyFont="1" applyBorder="1" applyAlignment="1">
      <alignment horizontal="center" vertical="center"/>
    </xf>
    <xf numFmtId="0" fontId="24" fillId="11" borderId="9" xfId="0" applyFont="1" applyFill="1" applyBorder="1" applyAlignment="1">
      <alignment horizontal="left" vertical="center" wrapText="1"/>
    </xf>
    <xf numFmtId="169" fontId="6" fillId="0" borderId="0" xfId="6" applyNumberFormat="1" applyFont="1" applyBorder="1" applyAlignment="1">
      <alignment vertical="center" wrapText="1"/>
    </xf>
    <xf numFmtId="2" fontId="6" fillId="0" borderId="0" xfId="0" applyNumberFormat="1" applyFont="1"/>
    <xf numFmtId="168" fontId="6" fillId="12" borderId="22" xfId="0" applyNumberFormat="1" applyFont="1" applyFill="1" applyBorder="1" applyAlignment="1">
      <alignment horizontal="center" vertical="center"/>
    </xf>
    <xf numFmtId="168" fontId="6" fillId="6" borderId="20" xfId="0" applyNumberFormat="1" applyFont="1" applyFill="1" applyBorder="1" applyAlignment="1">
      <alignment horizontal="center" vertical="center"/>
    </xf>
    <xf numFmtId="0" fontId="12" fillId="0" borderId="0" xfId="0" applyFont="1" applyAlignment="1">
      <alignment vertical="center"/>
    </xf>
    <xf numFmtId="168" fontId="6" fillId="3" borderId="20" xfId="0" applyNumberFormat="1" applyFont="1" applyFill="1" applyBorder="1" applyAlignment="1">
      <alignment horizontal="center" vertical="center"/>
    </xf>
    <xf numFmtId="168" fontId="1" fillId="14" borderId="20" xfId="0" applyNumberFormat="1" applyFont="1" applyFill="1" applyBorder="1" applyAlignment="1">
      <alignment horizontal="center" vertical="center"/>
    </xf>
    <xf numFmtId="168" fontId="6" fillId="0" borderId="20" xfId="0" applyNumberFormat="1" applyFont="1" applyBorder="1" applyAlignment="1">
      <alignment horizontal="center" vertical="center"/>
    </xf>
    <xf numFmtId="168" fontId="6" fillId="12" borderId="20" xfId="0" applyNumberFormat="1" applyFont="1" applyFill="1" applyBorder="1" applyAlignment="1">
      <alignment horizontal="center" vertical="center"/>
    </xf>
    <xf numFmtId="2" fontId="6" fillId="12" borderId="22" xfId="0" applyNumberFormat="1" applyFont="1" applyFill="1" applyBorder="1" applyAlignment="1">
      <alignment horizontal="center" vertical="center"/>
    </xf>
    <xf numFmtId="0" fontId="6" fillId="6" borderId="20" xfId="0" applyFont="1" applyFill="1" applyBorder="1" applyAlignment="1">
      <alignment horizontal="center" vertical="center"/>
    </xf>
    <xf numFmtId="0" fontId="6" fillId="3" borderId="20" xfId="0" applyFont="1" applyFill="1" applyBorder="1" applyAlignment="1">
      <alignment horizontal="center" vertical="center"/>
    </xf>
    <xf numFmtId="0" fontId="1" fillId="14" borderId="20" xfId="0" applyFont="1" applyFill="1" applyBorder="1" applyAlignment="1">
      <alignment horizontal="center" vertical="center"/>
    </xf>
    <xf numFmtId="2" fontId="6" fillId="12" borderId="20" xfId="0" applyNumberFormat="1" applyFont="1" applyFill="1" applyBorder="1" applyAlignment="1">
      <alignment horizontal="center" vertical="center"/>
    </xf>
    <xf numFmtId="0" fontId="6" fillId="5" borderId="0" xfId="0" applyFont="1" applyFill="1"/>
    <xf numFmtId="0" fontId="6" fillId="5" borderId="0" xfId="0" applyFont="1" applyFill="1" applyAlignment="1">
      <alignment horizontal="center"/>
    </xf>
    <xf numFmtId="0" fontId="6" fillId="13" borderId="0" xfId="0" applyFont="1" applyFill="1"/>
    <xf numFmtId="0" fontId="12" fillId="0" borderId="0" xfId="0" applyFont="1" applyAlignment="1">
      <alignment wrapText="1"/>
    </xf>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24" fillId="16" borderId="39" xfId="0" applyFont="1" applyFill="1" applyBorder="1" applyAlignment="1">
      <alignment horizontal="center" vertical="center" wrapText="1"/>
    </xf>
    <xf numFmtId="0" fontId="35" fillId="0" borderId="0" xfId="0" applyFont="1"/>
    <xf numFmtId="169" fontId="6" fillId="0" borderId="2" xfId="6" applyNumberFormat="1" applyFont="1" applyBorder="1"/>
    <xf numFmtId="3" fontId="6" fillId="0" borderId="2" xfId="0" applyNumberFormat="1" applyFont="1" applyBorder="1"/>
    <xf numFmtId="0" fontId="12" fillId="5" borderId="0" xfId="0" applyFont="1" applyFill="1"/>
    <xf numFmtId="0" fontId="35" fillId="5" borderId="0" xfId="0" applyFont="1" applyFill="1"/>
    <xf numFmtId="0" fontId="31" fillId="0" borderId="0" xfId="0" applyFont="1" applyAlignment="1">
      <alignment vertical="center"/>
    </xf>
    <xf numFmtId="0" fontId="36" fillId="0" borderId="0" xfId="0" applyFont="1" applyAlignment="1">
      <alignment vertical="center"/>
    </xf>
    <xf numFmtId="0" fontId="6" fillId="0" borderId="2" xfId="0" applyFont="1" applyBorder="1" applyAlignment="1">
      <alignment horizontal="center" vertical="center"/>
    </xf>
    <xf numFmtId="0" fontId="6" fillId="0" borderId="22" xfId="4" applyBorder="1" applyAlignment="1">
      <alignment horizontal="center" vertical="center"/>
    </xf>
    <xf numFmtId="0" fontId="1" fillId="0" borderId="0" xfId="1" applyAlignment="1">
      <alignment vertical="center" wrapText="1"/>
    </xf>
    <xf numFmtId="10" fontId="6" fillId="0" borderId="2" xfId="0" applyNumberFormat="1" applyFont="1" applyBorder="1"/>
    <xf numFmtId="0" fontId="12" fillId="0" borderId="2" xfId="0" applyFont="1" applyBorder="1" applyAlignment="1">
      <alignment vertical="center" wrapText="1"/>
    </xf>
    <xf numFmtId="0" fontId="12" fillId="0" borderId="2" xfId="0" applyFont="1" applyBorder="1" applyAlignment="1">
      <alignment vertical="center"/>
    </xf>
    <xf numFmtId="9" fontId="12" fillId="0" borderId="2" xfId="2" applyFont="1" applyBorder="1" applyAlignment="1">
      <alignment vertical="center"/>
    </xf>
    <xf numFmtId="0" fontId="12" fillId="12" borderId="2" xfId="0" applyFont="1" applyFill="1" applyBorder="1" applyAlignment="1">
      <alignment vertical="center" wrapText="1"/>
    </xf>
    <xf numFmtId="0" fontId="12" fillId="12" borderId="2" xfId="0" applyFont="1" applyFill="1" applyBorder="1" applyAlignment="1">
      <alignment vertical="center"/>
    </xf>
    <xf numFmtId="0" fontId="12" fillId="12" borderId="9" xfId="0" applyFont="1" applyFill="1" applyBorder="1" applyAlignment="1">
      <alignment horizontal="center" vertical="center" wrapText="1"/>
    </xf>
    <xf numFmtId="0" fontId="7" fillId="16" borderId="49" xfId="0" applyFont="1" applyFill="1" applyBorder="1" applyAlignment="1">
      <alignment horizontal="center" vertical="center" wrapText="1"/>
    </xf>
    <xf numFmtId="0" fontId="7" fillId="16" borderId="39" xfId="0" applyFont="1" applyFill="1" applyBorder="1" applyAlignment="1">
      <alignment horizontal="center" vertical="center" wrapText="1"/>
    </xf>
    <xf numFmtId="0" fontId="7" fillId="16" borderId="49" xfId="0" applyFont="1" applyFill="1" applyBorder="1" applyAlignment="1">
      <alignment horizontal="center" vertical="center"/>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34" fillId="5" borderId="53" xfId="0" applyFont="1" applyFill="1" applyBorder="1" applyAlignment="1">
      <alignment horizontal="left" vertical="center"/>
    </xf>
    <xf numFmtId="0" fontId="6" fillId="5" borderId="54" xfId="0" applyFont="1" applyFill="1" applyBorder="1" applyAlignment="1">
      <alignment horizontal="left" vertical="center"/>
    </xf>
    <xf numFmtId="0" fontId="6" fillId="5" borderId="54" xfId="0" applyFont="1" applyFill="1" applyBorder="1" applyAlignment="1">
      <alignment vertical="center"/>
    </xf>
    <xf numFmtId="0" fontId="23" fillId="5" borderId="54" xfId="0" applyFont="1" applyFill="1" applyBorder="1" applyAlignment="1">
      <alignment horizontal="center" vertical="center" wrapText="1"/>
    </xf>
    <xf numFmtId="0" fontId="6" fillId="5" borderId="55" xfId="0" applyFont="1" applyFill="1" applyBorder="1"/>
    <xf numFmtId="0" fontId="34" fillId="5" borderId="56" xfId="0" applyFont="1" applyFill="1" applyBorder="1" applyAlignment="1">
      <alignment horizontal="left" vertical="center"/>
    </xf>
    <xf numFmtId="0" fontId="6" fillId="5" borderId="0" xfId="0" applyFont="1" applyFill="1" applyAlignment="1">
      <alignment vertical="center"/>
    </xf>
    <xf numFmtId="0" fontId="6" fillId="5" borderId="57" xfId="0" applyFont="1" applyFill="1" applyBorder="1"/>
    <xf numFmtId="0" fontId="21" fillId="0" borderId="0" xfId="0" applyFont="1" applyAlignment="1">
      <alignment vertical="center" wrapText="1"/>
    </xf>
    <xf numFmtId="0" fontId="6" fillId="48" borderId="51" xfId="0" quotePrefix="1" applyFont="1" applyFill="1" applyBorder="1" applyAlignment="1">
      <alignment horizontal="center" vertical="center" wrapText="1"/>
    </xf>
    <xf numFmtId="0" fontId="13" fillId="0" borderId="0" xfId="0" applyFont="1" applyAlignment="1">
      <alignment vertical="center" wrapText="1"/>
    </xf>
    <xf numFmtId="9" fontId="6" fillId="0" borderId="20" xfId="0" applyNumberFormat="1" applyFont="1" applyBorder="1" applyAlignment="1">
      <alignment horizontal="center" vertical="center"/>
    </xf>
    <xf numFmtId="9" fontId="6" fillId="0" borderId="0" xfId="0" applyNumberFormat="1" applyFont="1" applyAlignment="1">
      <alignment horizontal="left" vertical="center"/>
    </xf>
    <xf numFmtId="0" fontId="22" fillId="0" borderId="58" xfId="0" applyFont="1" applyBorder="1" applyAlignment="1">
      <alignment horizontal="center" vertical="center"/>
    </xf>
    <xf numFmtId="0" fontId="22" fillId="0" borderId="8" xfId="0" applyFont="1" applyBorder="1" applyAlignment="1">
      <alignment horizontal="center" vertical="center"/>
    </xf>
    <xf numFmtId="0" fontId="22" fillId="0" borderId="59" xfId="0" applyFont="1" applyBorder="1" applyAlignment="1">
      <alignment horizontal="center" vertical="center"/>
    </xf>
    <xf numFmtId="0" fontId="22" fillId="0" borderId="60" xfId="0" applyFont="1" applyBorder="1" applyAlignment="1">
      <alignment horizontal="center" vertical="center"/>
    </xf>
    <xf numFmtId="0" fontId="22" fillId="0" borderId="61" xfId="0" applyFont="1" applyBorder="1" applyAlignment="1">
      <alignment horizontal="center" vertical="center"/>
    </xf>
    <xf numFmtId="0" fontId="22" fillId="0" borderId="62" xfId="0" applyFont="1" applyBorder="1" applyAlignment="1">
      <alignment horizontal="center" vertical="center"/>
    </xf>
    <xf numFmtId="0" fontId="22" fillId="0" borderId="63" xfId="0" applyFont="1" applyBorder="1" applyAlignment="1">
      <alignment horizontal="center" vertical="center"/>
    </xf>
    <xf numFmtId="0" fontId="24" fillId="11" borderId="39" xfId="0" applyFont="1" applyFill="1" applyBorder="1" applyAlignment="1">
      <alignment horizontal="center" vertical="center" wrapText="1"/>
    </xf>
    <xf numFmtId="170" fontId="51" fillId="12" borderId="8" xfId="0" applyNumberFormat="1" applyFont="1" applyFill="1" applyBorder="1" applyAlignment="1">
      <alignment vertical="center"/>
    </xf>
    <xf numFmtId="0" fontId="12" fillId="0" borderId="0" xfId="0" applyFont="1" applyAlignment="1">
      <alignment horizontal="left" vertical="center"/>
    </xf>
    <xf numFmtId="170" fontId="51" fillId="0" borderId="0" xfId="0" applyNumberFormat="1" applyFont="1" applyAlignment="1">
      <alignment vertical="center"/>
    </xf>
    <xf numFmtId="170" fontId="51" fillId="0" borderId="0" xfId="0" applyNumberFormat="1" applyFont="1"/>
    <xf numFmtId="0" fontId="6" fillId="0" borderId="8" xfId="0" applyFont="1" applyBorder="1" applyAlignment="1">
      <alignment vertical="center" wrapText="1"/>
    </xf>
    <xf numFmtId="0" fontId="6" fillId="0" borderId="9" xfId="0" applyFont="1" applyBorder="1" applyAlignment="1">
      <alignment vertical="center"/>
    </xf>
    <xf numFmtId="0" fontId="54" fillId="52" borderId="17" xfId="0" applyFont="1" applyFill="1" applyBorder="1" applyAlignment="1">
      <alignment horizontal="center" vertical="center"/>
    </xf>
    <xf numFmtId="0" fontId="54" fillId="53" borderId="3" xfId="0" applyFont="1" applyFill="1" applyBorder="1" applyAlignment="1">
      <alignment vertical="center"/>
    </xf>
    <xf numFmtId="9" fontId="6" fillId="0" borderId="0" xfId="2" applyFont="1" applyFill="1" applyBorder="1"/>
    <xf numFmtId="164" fontId="6" fillId="0" borderId="0" xfId="0" applyNumberFormat="1" applyFont="1"/>
    <xf numFmtId="0" fontId="55" fillId="52" borderId="9" xfId="0" applyFont="1" applyFill="1" applyBorder="1" applyAlignment="1">
      <alignment horizontal="center" vertical="center" wrapText="1"/>
    </xf>
    <xf numFmtId="0" fontId="55" fillId="50" borderId="13" xfId="0" applyFont="1" applyFill="1" applyBorder="1" applyAlignment="1">
      <alignment horizontal="center" vertical="center" wrapText="1"/>
    </xf>
    <xf numFmtId="0" fontId="55" fillId="51" borderId="13" xfId="0" applyFont="1" applyFill="1" applyBorder="1" applyAlignment="1">
      <alignment horizontal="center" vertical="center" wrapText="1"/>
    </xf>
    <xf numFmtId="0" fontId="55" fillId="52" borderId="13" xfId="0" applyFont="1" applyFill="1" applyBorder="1" applyAlignment="1">
      <alignment horizontal="center" vertical="center" wrapText="1"/>
    </xf>
    <xf numFmtId="0" fontId="1" fillId="54" borderId="2" xfId="0" applyFont="1" applyFill="1" applyBorder="1" applyAlignment="1">
      <alignment horizontal="center" vertical="center"/>
    </xf>
    <xf numFmtId="9" fontId="23" fillId="0" borderId="2" xfId="0" applyNumberFormat="1" applyFont="1" applyBorder="1" applyAlignment="1">
      <alignment horizontal="center" vertical="center" wrapText="1"/>
    </xf>
    <xf numFmtId="0" fontId="55" fillId="0" borderId="2" xfId="0" applyFont="1" applyBorder="1" applyAlignment="1">
      <alignment horizontal="left" vertical="center" wrapText="1"/>
    </xf>
    <xf numFmtId="9" fontId="55" fillId="0" borderId="2" xfId="0" applyNumberFormat="1" applyFont="1" applyBorder="1" applyAlignment="1">
      <alignment horizontal="center" vertical="center" wrapText="1"/>
    </xf>
    <xf numFmtId="9" fontId="6" fillId="0" borderId="0" xfId="2" applyFont="1" applyFill="1" applyBorder="1" applyAlignment="1">
      <alignment horizontal="left"/>
    </xf>
    <xf numFmtId="9" fontId="7" fillId="0" borderId="0" xfId="2" applyFont="1" applyFill="1" applyBorder="1"/>
    <xf numFmtId="0" fontId="8" fillId="0" borderId="0" xfId="5"/>
    <xf numFmtId="0" fontId="12" fillId="0" borderId="0" xfId="0" applyFont="1" applyAlignment="1">
      <alignment horizontal="center" vertical="center"/>
    </xf>
    <xf numFmtId="0" fontId="24" fillId="16" borderId="2" xfId="0" applyFont="1" applyFill="1" applyBorder="1" applyAlignment="1">
      <alignment horizontal="center" vertical="center" wrapText="1"/>
    </xf>
    <xf numFmtId="0" fontId="10" fillId="0" borderId="2" xfId="3" applyFont="1" applyBorder="1" applyAlignment="1">
      <alignment horizontal="center" vertical="center" wrapText="1"/>
    </xf>
    <xf numFmtId="1" fontId="6" fillId="0" borderId="2" xfId="0" applyNumberFormat="1" applyFont="1" applyBorder="1" applyAlignment="1">
      <alignment horizontal="center" vertical="center"/>
    </xf>
    <xf numFmtId="0" fontId="6" fillId="0" borderId="0" xfId="0" applyFont="1" applyAlignment="1">
      <alignment horizontal="left" vertical="center"/>
    </xf>
    <xf numFmtId="0" fontId="8" fillId="0" borderId="0" xfId="5" applyAlignment="1">
      <alignment horizontal="left"/>
    </xf>
    <xf numFmtId="0" fontId="8" fillId="0" borderId="0" xfId="5" applyAlignment="1"/>
    <xf numFmtId="0" fontId="56" fillId="0" borderId="0" xfId="0" applyFont="1"/>
    <xf numFmtId="0" fontId="1" fillId="0" borderId="2" xfId="0" applyFont="1" applyBorder="1" applyAlignment="1">
      <alignment horizontal="center" vertical="center"/>
    </xf>
    <xf numFmtId="3" fontId="6" fillId="0" borderId="2" xfId="7" applyNumberFormat="1" applyFont="1" applyBorder="1" applyAlignment="1">
      <alignment horizontal="left" vertical="center"/>
    </xf>
    <xf numFmtId="3" fontId="6" fillId="0" borderId="8" xfId="7" applyNumberFormat="1" applyFont="1" applyBorder="1" applyAlignment="1">
      <alignment horizontal="left" vertical="center"/>
    </xf>
    <xf numFmtId="3" fontId="6" fillId="0" borderId="0" xfId="0" applyNumberFormat="1" applyFont="1" applyAlignment="1">
      <alignment horizontal="left" vertical="center"/>
    </xf>
    <xf numFmtId="0" fontId="57" fillId="0" borderId="0" xfId="0" applyFont="1" applyAlignment="1">
      <alignment vertical="center" wrapText="1"/>
    </xf>
    <xf numFmtId="0" fontId="59" fillId="0" borderId="0" xfId="0" applyFont="1" applyAlignment="1">
      <alignment vertical="center"/>
    </xf>
    <xf numFmtId="0" fontId="0" fillId="0" borderId="0" xfId="0" applyAlignment="1">
      <alignment vertical="center" wrapText="1"/>
    </xf>
    <xf numFmtId="0" fontId="3" fillId="0" borderId="0" xfId="0" applyFont="1" applyAlignment="1">
      <alignment vertical="center" wrapText="1"/>
    </xf>
    <xf numFmtId="0" fontId="60" fillId="0" borderId="0" xfId="0" applyFont="1" applyAlignment="1">
      <alignment vertical="center"/>
    </xf>
    <xf numFmtId="0" fontId="0" fillId="0" borderId="0" xfId="0" applyAlignment="1">
      <alignment horizontal="left" vertical="center" indent="1"/>
    </xf>
    <xf numFmtId="0" fontId="57" fillId="6" borderId="0" xfId="0" applyFont="1" applyFill="1" applyAlignment="1">
      <alignment vertical="center" wrapText="1"/>
    </xf>
    <xf numFmtId="164" fontId="6" fillId="0" borderId="37" xfId="2" applyNumberFormat="1" applyFont="1" applyBorder="1" applyAlignment="1">
      <alignment horizontal="left" vertical="center"/>
    </xf>
    <xf numFmtId="0" fontId="62" fillId="0" borderId="0" xfId="0" applyFont="1"/>
    <xf numFmtId="0" fontId="27" fillId="5" borderId="36" xfId="0" applyFont="1" applyFill="1" applyBorder="1" applyAlignment="1">
      <alignment horizontal="center" vertical="center"/>
    </xf>
    <xf numFmtId="0" fontId="1" fillId="0" borderId="0" xfId="0" applyFont="1"/>
    <xf numFmtId="0" fontId="6" fillId="6" borderId="2" xfId="0" applyFont="1" applyFill="1" applyBorder="1"/>
    <xf numFmtId="0" fontId="10" fillId="0" borderId="2" xfId="3" applyFont="1" applyFill="1" applyBorder="1" applyAlignment="1">
      <alignment horizontal="left" vertical="center" wrapText="1"/>
    </xf>
    <xf numFmtId="0" fontId="23" fillId="64" borderId="2" xfId="0" applyFont="1" applyFill="1" applyBorder="1"/>
    <xf numFmtId="0" fontId="33" fillId="0" borderId="0" xfId="0" applyFont="1" applyAlignment="1">
      <alignment wrapText="1"/>
    </xf>
    <xf numFmtId="0" fontId="23" fillId="0" borderId="19" xfId="0" applyFont="1" applyBorder="1"/>
    <xf numFmtId="3" fontId="23" fillId="0" borderId="19" xfId="0" applyNumberFormat="1" applyFont="1" applyBorder="1" applyAlignment="1">
      <alignment wrapText="1"/>
    </xf>
    <xf numFmtId="0" fontId="23" fillId="0" borderId="0" xfId="0" applyFont="1" applyAlignment="1">
      <alignment wrapText="1"/>
    </xf>
    <xf numFmtId="0" fontId="23" fillId="0" borderId="66" xfId="0" applyFont="1" applyBorder="1" applyAlignment="1">
      <alignment wrapText="1"/>
    </xf>
    <xf numFmtId="0" fontId="23" fillId="0" borderId="18" xfId="0" applyFont="1" applyBorder="1"/>
    <xf numFmtId="0" fontId="23" fillId="0" borderId="28" xfId="0" applyFont="1" applyBorder="1"/>
    <xf numFmtId="0" fontId="23" fillId="0" borderId="67" xfId="0" applyFont="1" applyBorder="1" applyAlignment="1">
      <alignment wrapText="1"/>
    </xf>
    <xf numFmtId="0" fontId="23" fillId="0" borderId="68" xfId="0" applyFont="1" applyBorder="1"/>
    <xf numFmtId="3" fontId="23" fillId="0" borderId="68" xfId="0" applyNumberFormat="1" applyFont="1" applyBorder="1"/>
    <xf numFmtId="0" fontId="63" fillId="0" borderId="0" xfId="0" applyFont="1"/>
    <xf numFmtId="0" fontId="56" fillId="0" borderId="0" xfId="0" applyFont="1" applyAlignment="1">
      <alignment horizontal="center" vertical="center" wrapText="1"/>
    </xf>
    <xf numFmtId="0" fontId="7" fillId="11" borderId="49" xfId="0" applyFont="1" applyFill="1" applyBorder="1" applyAlignment="1">
      <alignment horizontal="center" vertical="center"/>
    </xf>
    <xf numFmtId="0" fontId="7" fillId="56" borderId="0" xfId="0" applyFont="1" applyFill="1" applyAlignment="1">
      <alignment horizontal="center" vertical="center"/>
    </xf>
    <xf numFmtId="0" fontId="7" fillId="56" borderId="69" xfId="0" applyFont="1" applyFill="1" applyBorder="1" applyAlignment="1">
      <alignment horizontal="center" vertical="center"/>
    </xf>
    <xf numFmtId="0" fontId="7" fillId="57" borderId="71" xfId="0" applyFont="1" applyFill="1" applyBorder="1" applyAlignment="1">
      <alignment horizontal="left" vertical="center"/>
    </xf>
    <xf numFmtId="0" fontId="7" fillId="58" borderId="74" xfId="0" applyFont="1" applyFill="1" applyBorder="1" applyAlignment="1">
      <alignment horizontal="left" vertical="center"/>
    </xf>
    <xf numFmtId="0" fontId="7" fillId="58" borderId="75" xfId="0" applyFont="1" applyFill="1" applyBorder="1" applyAlignment="1">
      <alignment horizontal="left" vertical="center"/>
    </xf>
    <xf numFmtId="0" fontId="7" fillId="58" borderId="77" xfId="0" applyFont="1" applyFill="1" applyBorder="1" applyAlignment="1">
      <alignment horizontal="left" vertical="center"/>
    </xf>
    <xf numFmtId="0" fontId="7" fillId="60" borderId="73" xfId="0" applyFont="1" applyFill="1" applyBorder="1" applyAlignment="1">
      <alignment horizontal="left" vertical="center"/>
    </xf>
    <xf numFmtId="0" fontId="7" fillId="60" borderId="72" xfId="0" applyFont="1" applyFill="1" applyBorder="1" applyAlignment="1">
      <alignment horizontal="left" vertical="center"/>
    </xf>
    <xf numFmtId="0" fontId="7" fillId="60" borderId="76" xfId="0" applyFont="1" applyFill="1" applyBorder="1" applyAlignment="1">
      <alignment horizontal="left" vertical="center"/>
    </xf>
    <xf numFmtId="0" fontId="7" fillId="59" borderId="78" xfId="0" applyFont="1" applyFill="1" applyBorder="1" applyAlignment="1">
      <alignment horizontal="left" vertical="center"/>
    </xf>
    <xf numFmtId="0" fontId="7" fillId="59" borderId="79" xfId="0" applyFont="1" applyFill="1" applyBorder="1" applyAlignment="1">
      <alignment horizontal="left" vertical="center"/>
    </xf>
    <xf numFmtId="0" fontId="7" fillId="59" borderId="80" xfId="0" applyFont="1" applyFill="1" applyBorder="1" applyAlignment="1">
      <alignment horizontal="left" vertical="center"/>
    </xf>
    <xf numFmtId="0" fontId="20" fillId="11" borderId="9" xfId="0" applyFont="1" applyFill="1" applyBorder="1" applyAlignment="1">
      <alignment horizontal="center" vertical="center" wrapText="1"/>
    </xf>
    <xf numFmtId="0" fontId="61" fillId="61" borderId="9" xfId="0" applyFont="1" applyFill="1" applyBorder="1"/>
    <xf numFmtId="0" fontId="7" fillId="57" borderId="70" xfId="0" applyFont="1" applyFill="1" applyBorder="1" applyAlignment="1">
      <alignment horizontal="left" vertical="center"/>
    </xf>
    <xf numFmtId="0" fontId="61" fillId="62" borderId="17" xfId="0" applyFont="1" applyFill="1" applyBorder="1" applyAlignment="1">
      <alignment horizontal="left" vertical="center"/>
    </xf>
    <xf numFmtId="0" fontId="7" fillId="10" borderId="9" xfId="0" applyFont="1" applyFill="1" applyBorder="1" applyAlignment="1">
      <alignment horizontal="left" vertical="center"/>
    </xf>
    <xf numFmtId="0" fontId="7" fillId="10" borderId="16" xfId="0" applyFont="1" applyFill="1" applyBorder="1" applyAlignment="1">
      <alignment horizontal="left" vertical="center"/>
    </xf>
    <xf numFmtId="0" fontId="61" fillId="63" borderId="10" xfId="0" applyFont="1" applyFill="1" applyBorder="1" applyAlignment="1">
      <alignment horizontal="left" vertical="center"/>
    </xf>
    <xf numFmtId="0" fontId="7" fillId="62" borderId="12" xfId="0" applyFont="1" applyFill="1" applyBorder="1" applyAlignment="1">
      <alignment horizontal="center" vertical="center"/>
    </xf>
    <xf numFmtId="0" fontId="9" fillId="62" borderId="19" xfId="0" applyFont="1" applyFill="1" applyBorder="1" applyAlignment="1">
      <alignment horizontal="center" vertical="center"/>
    </xf>
    <xf numFmtId="0" fontId="61" fillId="61" borderId="16" xfId="0" applyFont="1" applyFill="1" applyBorder="1" applyAlignment="1">
      <alignment horizontal="left" vertical="center"/>
    </xf>
    <xf numFmtId="0" fontId="7" fillId="57" borderId="83" xfId="0" applyFont="1" applyFill="1" applyBorder="1" applyAlignment="1">
      <alignment horizontal="left" vertical="center"/>
    </xf>
    <xf numFmtId="0" fontId="7" fillId="57" borderId="84" xfId="0" applyFont="1" applyFill="1" applyBorder="1" applyAlignment="1">
      <alignment horizontal="left" vertical="center"/>
    </xf>
    <xf numFmtId="0" fontId="7" fillId="9" borderId="85" xfId="0" applyFont="1" applyFill="1" applyBorder="1" applyAlignment="1">
      <alignment horizontal="left" vertical="center"/>
    </xf>
    <xf numFmtId="0" fontId="7" fillId="55" borderId="86" xfId="0" applyFont="1" applyFill="1" applyBorder="1" applyAlignment="1">
      <alignment horizontal="left" vertical="center"/>
    </xf>
    <xf numFmtId="0" fontId="7" fillId="9" borderId="14" xfId="0" applyFont="1" applyFill="1" applyBorder="1" applyAlignment="1">
      <alignment horizontal="left" vertical="center"/>
    </xf>
    <xf numFmtId="0" fontId="7" fillId="55" borderId="15" xfId="0" applyFont="1" applyFill="1" applyBorder="1" applyAlignment="1">
      <alignment horizontal="left" vertical="center"/>
    </xf>
    <xf numFmtId="0" fontId="7" fillId="9" borderId="82" xfId="0" applyFont="1" applyFill="1" applyBorder="1" applyAlignment="1">
      <alignment horizontal="left" vertical="center"/>
    </xf>
    <xf numFmtId="0" fontId="7" fillId="55" borderId="84" xfId="0" applyFont="1" applyFill="1" applyBorder="1" applyAlignment="1">
      <alignment horizontal="left" vertical="center"/>
    </xf>
    <xf numFmtId="0" fontId="7" fillId="56" borderId="85" xfId="0" applyFont="1" applyFill="1" applyBorder="1" applyAlignment="1">
      <alignment horizontal="center" vertical="center"/>
    </xf>
    <xf numFmtId="0" fontId="7" fillId="56" borderId="15" xfId="0" applyFont="1" applyFill="1" applyBorder="1" applyAlignment="1">
      <alignment horizontal="center" vertical="center"/>
    </xf>
    <xf numFmtId="0" fontId="7" fillId="56" borderId="14" xfId="0" applyFont="1" applyFill="1" applyBorder="1" applyAlignment="1">
      <alignment horizontal="center" vertical="center"/>
    </xf>
    <xf numFmtId="0" fontId="7" fillId="56" borderId="17" xfId="0" applyFont="1" applyFill="1" applyBorder="1" applyAlignment="1">
      <alignment horizontal="center" vertical="center"/>
    </xf>
    <xf numFmtId="0" fontId="7" fillId="56" borderId="18" xfId="0" applyFont="1" applyFill="1" applyBorder="1" applyAlignment="1">
      <alignment horizontal="center" vertical="center"/>
    </xf>
    <xf numFmtId="0" fontId="7" fillId="56" borderId="19" xfId="0" applyFont="1" applyFill="1" applyBorder="1" applyAlignment="1">
      <alignment horizontal="center" vertical="center"/>
    </xf>
    <xf numFmtId="0" fontId="7" fillId="0" borderId="0" xfId="0" applyFont="1" applyAlignment="1">
      <alignment horizontal="center" vertical="center"/>
    </xf>
    <xf numFmtId="0" fontId="12" fillId="0" borderId="13" xfId="0" applyFont="1" applyBorder="1" applyAlignment="1">
      <alignment vertical="center"/>
    </xf>
    <xf numFmtId="0" fontId="7" fillId="65" borderId="2" xfId="0" applyFont="1" applyFill="1" applyBorder="1" applyAlignment="1">
      <alignment horizontal="center"/>
    </xf>
    <xf numFmtId="0" fontId="7" fillId="65" borderId="2" xfId="0" applyFont="1" applyFill="1" applyBorder="1" applyAlignment="1">
      <alignment horizontal="center" vertical="center"/>
    </xf>
    <xf numFmtId="0" fontId="17" fillId="0" borderId="2" xfId="0" applyFont="1" applyBorder="1" applyAlignment="1">
      <alignment vertical="center"/>
    </xf>
    <xf numFmtId="169" fontId="6" fillId="0" borderId="2" xfId="6" applyNumberFormat="1" applyFont="1" applyFill="1" applyBorder="1"/>
    <xf numFmtId="169" fontId="6" fillId="0" borderId="2" xfId="6" applyNumberFormat="1" applyFont="1" applyFill="1" applyBorder="1" applyAlignment="1">
      <alignment horizontal="center"/>
    </xf>
    <xf numFmtId="0" fontId="6" fillId="0" borderId="2" xfId="3" applyFont="1" applyFill="1" applyBorder="1" applyAlignment="1">
      <alignment horizontal="left" vertical="center" wrapText="1"/>
    </xf>
    <xf numFmtId="0" fontId="6" fillId="0" borderId="2" xfId="3" applyFont="1" applyBorder="1" applyAlignment="1">
      <alignment horizontal="center" vertical="center" wrapText="1"/>
    </xf>
    <xf numFmtId="3" fontId="6" fillId="0" borderId="81" xfId="7" applyNumberFormat="1" applyFont="1" applyBorder="1" applyAlignment="1">
      <alignment horizontal="left" vertical="center"/>
    </xf>
    <xf numFmtId="0" fontId="6" fillId="0" borderId="2" xfId="0" applyFont="1" applyBorder="1" applyAlignment="1">
      <alignment horizontal="left" vertical="center" wrapText="1"/>
    </xf>
    <xf numFmtId="0" fontId="3" fillId="0" borderId="0" xfId="0" applyFont="1" applyAlignment="1">
      <alignment horizontal="center" vertical="center" wrapText="1"/>
    </xf>
    <xf numFmtId="0" fontId="1" fillId="0" borderId="52" xfId="0" applyFont="1" applyBorder="1" applyAlignment="1">
      <alignment horizontal="center" vertical="center" wrapText="1"/>
    </xf>
    <xf numFmtId="0" fontId="1" fillId="0" borderId="2" xfId="0" applyFont="1" applyBorder="1" applyAlignment="1">
      <alignment horizontal="center" vertical="center" wrapText="1"/>
    </xf>
    <xf numFmtId="0" fontId="1" fillId="5" borderId="54" xfId="0" applyFont="1" applyFill="1" applyBorder="1" applyAlignment="1">
      <alignment vertical="center"/>
    </xf>
    <xf numFmtId="0" fontId="1" fillId="5" borderId="0" xfId="0" applyFont="1" applyFill="1"/>
    <xf numFmtId="9" fontId="1" fillId="5" borderId="0" xfId="0" applyNumberFormat="1" applyFont="1" applyFill="1"/>
    <xf numFmtId="0" fontId="19" fillId="11" borderId="49" xfId="0" applyFont="1" applyFill="1" applyBorder="1" applyAlignment="1">
      <alignment horizontal="center" vertical="center" wrapText="1"/>
    </xf>
    <xf numFmtId="10" fontId="1" fillId="0" borderId="2" xfId="2" applyNumberFormat="1" applyFont="1" applyFill="1" applyBorder="1" applyAlignment="1">
      <alignment horizontal="center" vertical="center" wrapText="1"/>
    </xf>
    <xf numFmtId="1" fontId="58" fillId="0" borderId="2" xfId="7" applyNumberFormat="1" applyFont="1" applyBorder="1" applyAlignment="1">
      <alignment horizontal="center" vertical="center"/>
    </xf>
    <xf numFmtId="3" fontId="6" fillId="0" borderId="2" xfId="1" applyNumberFormat="1" applyFont="1" applyBorder="1" applyAlignment="1">
      <alignment horizontal="center" vertical="center" wrapText="1"/>
    </xf>
    <xf numFmtId="0" fontId="6" fillId="0" borderId="2" xfId="1" applyFont="1" applyBorder="1" applyAlignment="1">
      <alignment horizontal="center" vertical="center" wrapText="1"/>
    </xf>
    <xf numFmtId="1" fontId="6" fillId="0" borderId="0" xfId="2" applyNumberFormat="1" applyFont="1" applyFill="1" applyBorder="1" applyAlignment="1">
      <alignment horizontal="left"/>
    </xf>
    <xf numFmtId="0" fontId="35" fillId="0" borderId="27" xfId="0" applyFont="1" applyBorder="1" applyAlignment="1">
      <alignment vertical="center"/>
    </xf>
    <xf numFmtId="1" fontId="7" fillId="0" borderId="27" xfId="2" applyNumberFormat="1" applyFont="1" applyFill="1" applyBorder="1" applyAlignment="1">
      <alignment vertical="center"/>
    </xf>
    <xf numFmtId="0" fontId="6" fillId="0" borderId="27" xfId="0" applyFont="1" applyBorder="1"/>
    <xf numFmtId="0" fontId="6" fillId="0" borderId="27" xfId="0" applyFont="1" applyBorder="1" applyAlignment="1">
      <alignment horizontal="left"/>
    </xf>
    <xf numFmtId="9" fontId="12" fillId="0" borderId="27" xfId="0" applyNumberFormat="1" applyFont="1" applyBorder="1" applyAlignment="1">
      <alignment horizontal="left"/>
    </xf>
    <xf numFmtId="0" fontId="65" fillId="0" borderId="27" xfId="0" applyFont="1" applyBorder="1"/>
    <xf numFmtId="9" fontId="66" fillId="0" borderId="27" xfId="0" applyNumberFormat="1" applyFont="1" applyBorder="1" applyAlignment="1">
      <alignment horizontal="left"/>
    </xf>
    <xf numFmtId="0" fontId="12" fillId="0" borderId="27" xfId="0" applyFont="1" applyBorder="1"/>
    <xf numFmtId="0" fontId="65" fillId="0" borderId="27" xfId="0" applyFont="1" applyBorder="1" applyAlignment="1">
      <alignment horizontal="left"/>
    </xf>
    <xf numFmtId="4" fontId="6" fillId="0" borderId="2" xfId="1" applyNumberFormat="1" applyFont="1" applyBorder="1" applyAlignment="1">
      <alignment horizontal="center" vertical="center" wrapText="1"/>
    </xf>
    <xf numFmtId="0" fontId="6" fillId="0" borderId="7" xfId="0" applyFont="1" applyBorder="1" applyAlignment="1">
      <alignment horizontal="left" vertical="center" wrapText="1"/>
    </xf>
    <xf numFmtId="0" fontId="6" fillId="5" borderId="0" xfId="0" quotePrefix="1" applyFont="1" applyFill="1"/>
    <xf numFmtId="0" fontId="7" fillId="5" borderId="0" xfId="0" applyFont="1" applyFill="1" applyAlignment="1">
      <alignment horizontal="left" vertical="center"/>
    </xf>
    <xf numFmtId="0" fontId="6" fillId="5" borderId="0" xfId="0" applyFont="1" applyFill="1" applyAlignment="1">
      <alignment horizontal="left" vertical="center"/>
    </xf>
    <xf numFmtId="0" fontId="7" fillId="5" borderId="0" xfId="0" applyFont="1" applyFill="1" applyAlignment="1">
      <alignment horizontal="center" vertical="center"/>
    </xf>
    <xf numFmtId="0" fontId="65" fillId="0" borderId="2" xfId="0" applyFont="1" applyBorder="1" applyAlignment="1">
      <alignment horizontal="center" vertical="center"/>
    </xf>
    <xf numFmtId="0" fontId="68" fillId="0" borderId="0" xfId="0" applyFont="1"/>
    <xf numFmtId="2" fontId="1" fillId="0" borderId="2" xfId="2" applyNumberFormat="1" applyFont="1" applyFill="1" applyBorder="1" applyAlignment="1">
      <alignment horizontal="center" vertical="center" wrapText="1"/>
    </xf>
    <xf numFmtId="0" fontId="23" fillId="0" borderId="27" xfId="0" applyFont="1" applyBorder="1" applyAlignment="1">
      <alignment horizontal="center" vertical="center" wrapText="1"/>
    </xf>
    <xf numFmtId="165" fontId="6" fillId="0" borderId="27" xfId="0" applyNumberFormat="1" applyFont="1" applyBorder="1" applyAlignment="1">
      <alignment horizontal="center" vertical="center"/>
    </xf>
    <xf numFmtId="0" fontId="1" fillId="0" borderId="27" xfId="0" applyFont="1" applyBorder="1" applyAlignment="1">
      <alignment horizontal="center" vertical="center" wrapText="1"/>
    </xf>
    <xf numFmtId="1" fontId="65" fillId="0" borderId="2" xfId="7" applyNumberFormat="1" applyFont="1" applyBorder="1" applyAlignment="1">
      <alignment horizontal="center" vertical="center"/>
    </xf>
    <xf numFmtId="0" fontId="7" fillId="0" borderId="2" xfId="0" applyFont="1" applyBorder="1" applyAlignment="1">
      <alignment horizontal="center" vertical="center" wrapText="1"/>
    </xf>
    <xf numFmtId="164" fontId="6" fillId="0" borderId="37" xfId="2" applyNumberFormat="1" applyFont="1" applyFill="1" applyBorder="1" applyAlignment="1">
      <alignment horizontal="left" vertical="center"/>
    </xf>
    <xf numFmtId="0" fontId="6" fillId="5" borderId="0" xfId="0" applyFont="1" applyFill="1" applyAlignment="1">
      <alignment vertical="top"/>
    </xf>
    <xf numFmtId="0" fontId="6" fillId="0" borderId="0" xfId="0" quotePrefix="1" applyFont="1"/>
    <xf numFmtId="0" fontId="6" fillId="0" borderId="0" xfId="0" applyFont="1" applyAlignment="1">
      <alignment vertical="top"/>
    </xf>
    <xf numFmtId="0" fontId="61" fillId="0" borderId="0" xfId="0" applyFont="1"/>
    <xf numFmtId="0" fontId="7" fillId="0" borderId="0" xfId="0" applyFont="1" applyAlignment="1">
      <alignment horizontal="left" vertical="center"/>
    </xf>
    <xf numFmtId="0" fontId="6" fillId="0" borderId="0" xfId="0" applyFont="1" applyAlignment="1">
      <alignment horizontal="left" vertical="center" wrapText="1"/>
    </xf>
    <xf numFmtId="0" fontId="61" fillId="0" borderId="0" xfId="0" applyFont="1" applyAlignment="1">
      <alignment horizontal="left" vertical="center"/>
    </xf>
    <xf numFmtId="0" fontId="9" fillId="0" borderId="0" xfId="0" applyFont="1" applyAlignment="1">
      <alignment horizontal="center" vertical="center"/>
    </xf>
    <xf numFmtId="0" fontId="46" fillId="0" borderId="0" xfId="0" applyFont="1" applyAlignment="1">
      <alignment horizontal="center" vertical="center" wrapText="1"/>
    </xf>
    <xf numFmtId="10" fontId="6" fillId="0" borderId="2" xfId="0" applyNumberFormat="1" applyFont="1" applyBorder="1" applyAlignment="1">
      <alignment horizontal="center" vertical="center" wrapText="1"/>
    </xf>
    <xf numFmtId="0" fontId="19" fillId="11" borderId="9" xfId="0" applyFont="1" applyFill="1" applyBorder="1" applyAlignment="1">
      <alignment horizontal="center" vertical="center"/>
    </xf>
    <xf numFmtId="0" fontId="6" fillId="0" borderId="0" xfId="3" applyFont="1" applyFill="1" applyBorder="1" applyAlignment="1">
      <alignment vertical="center" wrapText="1"/>
    </xf>
    <xf numFmtId="0" fontId="56" fillId="0" borderId="0" xfId="3" applyFont="1" applyFill="1" applyBorder="1" applyAlignment="1">
      <alignment vertical="center" wrapText="1"/>
    </xf>
    <xf numFmtId="3" fontId="6" fillId="0" borderId="0" xfId="3" applyNumberFormat="1" applyFont="1" applyFill="1" applyBorder="1" applyAlignment="1">
      <alignment horizontal="center" vertical="center" wrapText="1"/>
    </xf>
    <xf numFmtId="9" fontId="10" fillId="0" borderId="0" xfId="2" applyFont="1" applyBorder="1" applyAlignment="1">
      <alignment horizontal="center" vertical="center" wrapText="1"/>
    </xf>
    <xf numFmtId="3" fontId="10" fillId="0" borderId="0" xfId="3" applyNumberFormat="1" applyFont="1" applyBorder="1" applyAlignment="1">
      <alignment horizontal="center" vertical="center" wrapText="1"/>
    </xf>
    <xf numFmtId="1" fontId="67" fillId="0" borderId="0" xfId="7" applyNumberFormat="1" applyFont="1" applyAlignment="1">
      <alignment horizontal="center" vertical="center"/>
    </xf>
    <xf numFmtId="0" fontId="6" fillId="0" borderId="88" xfId="0" applyFont="1" applyBorder="1" applyAlignment="1">
      <alignment horizontal="left" vertical="center"/>
    </xf>
    <xf numFmtId="0" fontId="6" fillId="0" borderId="88" xfId="3" applyFont="1" applyFill="1" applyBorder="1" applyAlignment="1">
      <alignment horizontal="left" vertical="center" wrapText="1"/>
    </xf>
    <xf numFmtId="0" fontId="6" fillId="0" borderId="88" xfId="3" applyFont="1" applyBorder="1" applyAlignment="1">
      <alignment horizontal="center" vertical="center" wrapText="1"/>
    </xf>
    <xf numFmtId="164" fontId="6" fillId="0" borderId="90" xfId="2" applyNumberFormat="1" applyFont="1" applyFill="1" applyBorder="1" applyAlignment="1">
      <alignment horizontal="left" vertical="center"/>
    </xf>
    <xf numFmtId="3" fontId="6" fillId="0" borderId="91" xfId="7" applyNumberFormat="1" applyFont="1" applyBorder="1" applyAlignment="1">
      <alignment horizontal="left" vertical="center"/>
    </xf>
    <xf numFmtId="3" fontId="6" fillId="0" borderId="88" xfId="7" applyNumberFormat="1" applyFont="1" applyBorder="1" applyAlignment="1">
      <alignment horizontal="left" vertical="center"/>
    </xf>
    <xf numFmtId="3" fontId="6" fillId="0" borderId="89" xfId="7" applyNumberFormat="1" applyFont="1" applyBorder="1" applyAlignment="1">
      <alignment horizontal="left" vertical="center"/>
    </xf>
    <xf numFmtId="1" fontId="58" fillId="0" borderId="88" xfId="7" applyNumberFormat="1" applyFont="1" applyBorder="1" applyAlignment="1">
      <alignment horizontal="center" vertical="center"/>
    </xf>
    <xf numFmtId="3" fontId="69" fillId="0" borderId="88" xfId="7" applyNumberFormat="1" applyFont="1" applyBorder="1" applyAlignment="1">
      <alignment horizontal="center" vertical="center" wrapText="1"/>
    </xf>
    <xf numFmtId="0" fontId="70" fillId="0" borderId="2" xfId="0" applyFont="1" applyBorder="1" applyAlignment="1">
      <alignment horizontal="center" vertical="center" wrapText="1"/>
    </xf>
    <xf numFmtId="0" fontId="71" fillId="5" borderId="0" xfId="0" applyFont="1" applyFill="1"/>
    <xf numFmtId="0" fontId="6" fillId="0" borderId="38" xfId="0" applyFont="1" applyBorder="1" applyAlignment="1">
      <alignment horizontal="left" vertical="center"/>
    </xf>
    <xf numFmtId="0" fontId="6" fillId="66" borderId="20" xfId="0" applyFont="1" applyFill="1" applyBorder="1" applyAlignment="1">
      <alignment horizontal="center" vertical="center"/>
    </xf>
    <xf numFmtId="168" fontId="6" fillId="67" borderId="20" xfId="0" applyNumberFormat="1" applyFont="1" applyFill="1" applyBorder="1" applyAlignment="1">
      <alignment horizontal="center" vertical="center"/>
    </xf>
    <xf numFmtId="0" fontId="32" fillId="0" borderId="0" xfId="0" applyFont="1" applyAlignment="1">
      <alignment vertical="center"/>
    </xf>
    <xf numFmtId="0" fontId="6" fillId="0" borderId="87" xfId="0" applyFont="1" applyBorder="1" applyAlignment="1">
      <alignment vertical="center" wrapText="1"/>
    </xf>
    <xf numFmtId="0" fontId="56" fillId="0" borderId="0" xfId="0" applyFont="1" applyAlignment="1">
      <alignment horizontal="center" vertical="center"/>
    </xf>
    <xf numFmtId="0" fontId="7" fillId="2" borderId="0" xfId="0" applyFont="1" applyFill="1" applyAlignment="1">
      <alignment horizontal="left" vertical="center"/>
    </xf>
    <xf numFmtId="3" fontId="6" fillId="0" borderId="0" xfId="0" applyNumberFormat="1" applyFont="1" applyAlignment="1">
      <alignment horizontal="left"/>
    </xf>
    <xf numFmtId="0" fontId="69" fillId="0" borderId="0" xfId="0" applyFont="1"/>
    <xf numFmtId="3" fontId="1" fillId="0" borderId="0" xfId="0" applyNumberFormat="1" applyFont="1"/>
    <xf numFmtId="3" fontId="23" fillId="0" borderId="0" xfId="0" applyNumberFormat="1" applyFont="1"/>
    <xf numFmtId="0" fontId="29" fillId="0" borderId="0" xfId="0" quotePrefix="1" applyFont="1"/>
    <xf numFmtId="2" fontId="1" fillId="0" borderId="2" xfId="0" applyNumberFormat="1" applyFont="1" applyBorder="1" applyAlignment="1">
      <alignment horizontal="center" vertical="center" wrapText="1"/>
    </xf>
    <xf numFmtId="0" fontId="71" fillId="0" borderId="0" xfId="0" applyFont="1"/>
    <xf numFmtId="0" fontId="10" fillId="0" borderId="0" xfId="3" applyFont="1" applyBorder="1" applyAlignment="1">
      <alignment horizontal="center" vertical="center" wrapText="1"/>
    </xf>
    <xf numFmtId="1" fontId="6" fillId="0" borderId="0" xfId="0" applyNumberFormat="1" applyFont="1" applyAlignment="1">
      <alignment horizontal="center" vertical="center"/>
    </xf>
    <xf numFmtId="0" fontId="10" fillId="0" borderId="88" xfId="3" applyFont="1" applyBorder="1" applyAlignment="1">
      <alignment horizontal="center" vertical="center" wrapText="1"/>
    </xf>
    <xf numFmtId="3" fontId="6" fillId="0" borderId="88" xfId="0" applyNumberFormat="1" applyFont="1" applyBorder="1" applyAlignment="1">
      <alignment horizontal="center" vertical="center"/>
    </xf>
    <xf numFmtId="0" fontId="6" fillId="0" borderId="88" xfId="0" applyFont="1" applyBorder="1" applyAlignment="1">
      <alignment horizontal="center" vertical="center"/>
    </xf>
    <xf numFmtId="1" fontId="6" fillId="0" borderId="88" xfId="0" applyNumberFormat="1" applyFont="1" applyBorder="1" applyAlignment="1">
      <alignment horizontal="center" vertical="center"/>
    </xf>
    <xf numFmtId="0" fontId="6" fillId="0" borderId="88" xfId="0" applyFont="1" applyBorder="1" applyAlignment="1">
      <alignment vertical="center" wrapText="1"/>
    </xf>
    <xf numFmtId="0" fontId="7" fillId="68" borderId="49" xfId="0" applyFont="1" applyFill="1" applyBorder="1" applyAlignment="1">
      <alignment horizontal="center" vertical="center"/>
    </xf>
    <xf numFmtId="0" fontId="6" fillId="0" borderId="2" xfId="0" applyFont="1" applyBorder="1" applyAlignment="1">
      <alignment horizontal="right" vertical="center"/>
    </xf>
    <xf numFmtId="170" fontId="6" fillId="0" borderId="2" xfId="0" applyNumberFormat="1" applyFont="1" applyBorder="1" applyAlignment="1">
      <alignment vertical="center"/>
    </xf>
    <xf numFmtId="169" fontId="6" fillId="0" borderId="2" xfId="6" applyNumberFormat="1" applyFont="1" applyFill="1" applyBorder="1" applyAlignment="1">
      <alignment horizontal="right" vertical="center" wrapText="1"/>
    </xf>
    <xf numFmtId="0" fontId="6" fillId="0" borderId="8" xfId="0" applyFont="1" applyBorder="1" applyAlignment="1">
      <alignment horizontal="right" vertical="center"/>
    </xf>
    <xf numFmtId="169" fontId="6" fillId="0" borderId="8" xfId="6" applyNumberFormat="1" applyFont="1" applyFill="1" applyBorder="1" applyAlignment="1">
      <alignment horizontal="right" vertical="center"/>
    </xf>
    <xf numFmtId="169" fontId="6" fillId="0" borderId="16" xfId="6" applyNumberFormat="1" applyFont="1" applyFill="1" applyBorder="1" applyAlignment="1">
      <alignment horizontal="right" vertical="center"/>
    </xf>
    <xf numFmtId="0" fontId="6" fillId="0" borderId="13" xfId="0" applyFont="1" applyBorder="1" applyAlignment="1">
      <alignment horizontal="center" vertical="center"/>
    </xf>
    <xf numFmtId="0" fontId="6" fillId="0" borderId="9" xfId="0" applyFont="1" applyBorder="1" applyAlignment="1">
      <alignment horizontal="center" vertical="center"/>
    </xf>
    <xf numFmtId="2" fontId="22" fillId="0" borderId="39" xfId="0" applyNumberFormat="1" applyFont="1" applyBorder="1" applyAlignment="1">
      <alignment horizontal="center" vertical="center"/>
    </xf>
    <xf numFmtId="1" fontId="22" fillId="0" borderId="10" xfId="0" applyNumberFormat="1" applyFont="1" applyBorder="1" applyAlignment="1">
      <alignment horizontal="center" vertical="center"/>
    </xf>
    <xf numFmtId="1" fontId="22" fillId="0" borderId="39" xfId="0" applyNumberFormat="1" applyFont="1" applyBorder="1" applyAlignment="1">
      <alignment horizontal="center" vertical="center"/>
    </xf>
    <xf numFmtId="0" fontId="22" fillId="0" borderId="99" xfId="0" applyFont="1" applyBorder="1" applyAlignment="1">
      <alignment horizontal="center" vertical="center"/>
    </xf>
    <xf numFmtId="0" fontId="22" fillId="0" borderId="65" xfId="0" applyFont="1" applyBorder="1" applyAlignment="1">
      <alignment horizontal="center" vertical="center"/>
    </xf>
    <xf numFmtId="0" fontId="22" fillId="0" borderId="103" xfId="0" applyFont="1" applyBorder="1" applyAlignment="1">
      <alignment horizontal="center" vertical="center"/>
    </xf>
    <xf numFmtId="0" fontId="22" fillId="0" borderId="55" xfId="0" applyFont="1" applyBorder="1" applyAlignment="1">
      <alignment horizontal="center" vertical="center"/>
    </xf>
    <xf numFmtId="1" fontId="22" fillId="0" borderId="94" xfId="0" applyNumberFormat="1" applyFont="1" applyBorder="1" applyAlignment="1">
      <alignment horizontal="center" vertical="center"/>
    </xf>
    <xf numFmtId="1" fontId="22" fillId="0" borderId="95" xfId="0" applyNumberFormat="1" applyFont="1" applyBorder="1" applyAlignment="1">
      <alignment horizontal="center" vertical="center"/>
    </xf>
    <xf numFmtId="1" fontId="22" fillId="0" borderId="96" xfId="0" applyNumberFormat="1" applyFont="1" applyBorder="1" applyAlignment="1">
      <alignment horizontal="center" vertical="center"/>
    </xf>
    <xf numFmtId="1" fontId="22" fillId="0" borderId="49" xfId="0" applyNumberFormat="1" applyFont="1" applyBorder="1" applyAlignment="1">
      <alignment horizontal="center" vertical="center"/>
    </xf>
    <xf numFmtId="1" fontId="22" fillId="0" borderId="93" xfId="0" applyNumberFormat="1" applyFont="1" applyBorder="1" applyAlignment="1">
      <alignment horizontal="center" vertical="center"/>
    </xf>
    <xf numFmtId="1" fontId="22" fillId="0" borderId="120" xfId="0" applyNumberFormat="1" applyFont="1" applyBorder="1" applyAlignment="1">
      <alignment horizontal="center" vertical="center"/>
    </xf>
    <xf numFmtId="1" fontId="22" fillId="0" borderId="0" xfId="0" applyNumberFormat="1" applyFont="1" applyAlignment="1">
      <alignment horizontal="center" vertical="center"/>
    </xf>
    <xf numFmtId="0" fontId="22" fillId="0" borderId="0" xfId="0" applyFont="1" applyAlignment="1">
      <alignment vertical="center" wrapText="1"/>
    </xf>
    <xf numFmtId="0" fontId="23" fillId="0" borderId="130" xfId="0" applyFont="1" applyBorder="1" applyAlignment="1">
      <alignment wrapText="1"/>
    </xf>
    <xf numFmtId="0" fontId="23" fillId="0" borderId="131" xfId="0" applyFont="1" applyBorder="1"/>
    <xf numFmtId="3" fontId="23" fillId="0" borderId="131" xfId="0" applyNumberFormat="1" applyFont="1" applyBorder="1" applyAlignment="1">
      <alignment wrapText="1"/>
    </xf>
    <xf numFmtId="4" fontId="23" fillId="0" borderId="0" xfId="0" applyNumberFormat="1" applyFont="1"/>
    <xf numFmtId="1" fontId="1" fillId="0" borderId="2" xfId="0" applyNumberFormat="1" applyFont="1" applyBorder="1" applyAlignment="1">
      <alignment horizontal="center" vertical="center" wrapText="1"/>
    </xf>
    <xf numFmtId="0" fontId="22" fillId="0" borderId="108" xfId="0" applyFont="1" applyBorder="1" applyAlignment="1">
      <alignment horizontal="center" vertical="center"/>
    </xf>
    <xf numFmtId="1" fontId="22" fillId="0" borderId="109" xfId="0" applyNumberFormat="1" applyFont="1" applyBorder="1" applyAlignment="1">
      <alignment horizontal="center" vertical="center"/>
    </xf>
    <xf numFmtId="1" fontId="22" fillId="0" borderId="110" xfId="0" applyNumberFormat="1" applyFont="1" applyBorder="1" applyAlignment="1">
      <alignment horizontal="center" vertical="center"/>
    </xf>
    <xf numFmtId="0" fontId="22" fillId="0" borderId="111" xfId="0" applyFont="1" applyBorder="1" applyAlignment="1">
      <alignment horizontal="center" vertical="center"/>
    </xf>
    <xf numFmtId="0" fontId="22" fillId="0" borderId="114" xfId="0" applyFont="1" applyBorder="1" applyAlignment="1">
      <alignment horizontal="center" vertical="center"/>
    </xf>
    <xf numFmtId="1" fontId="22" fillId="0" borderId="151" xfId="0" applyNumberFormat="1" applyFont="1" applyBorder="1" applyAlignment="1">
      <alignment horizontal="center" vertical="center"/>
    </xf>
    <xf numFmtId="1" fontId="22" fillId="0" borderId="112" xfId="0" applyNumberFormat="1" applyFont="1" applyBorder="1" applyAlignment="1">
      <alignment horizontal="center" vertical="center"/>
    </xf>
    <xf numFmtId="1" fontId="22" fillId="0" borderId="115" xfId="0" applyNumberFormat="1" applyFont="1" applyBorder="1" applyAlignment="1">
      <alignment horizontal="center" vertical="center"/>
    </xf>
    <xf numFmtId="1" fontId="22" fillId="0" borderId="116" xfId="0" applyNumberFormat="1" applyFont="1" applyBorder="1" applyAlignment="1">
      <alignment horizontal="center" vertical="center"/>
    </xf>
    <xf numFmtId="0" fontId="22" fillId="0" borderId="156" xfId="0" applyFont="1" applyBorder="1" applyAlignment="1">
      <alignment horizontal="center" vertical="center"/>
    </xf>
    <xf numFmtId="2" fontId="22" fillId="0" borderId="109" xfId="0" applyNumberFormat="1" applyFont="1" applyBorder="1" applyAlignment="1">
      <alignment horizontal="center" vertical="center"/>
    </xf>
    <xf numFmtId="2" fontId="22" fillId="0" borderId="110" xfId="0" applyNumberFormat="1" applyFont="1" applyBorder="1" applyAlignment="1">
      <alignment horizontal="center" vertical="center"/>
    </xf>
    <xf numFmtId="0" fontId="22" fillId="0" borderId="157" xfId="0" applyFont="1" applyBorder="1" applyAlignment="1">
      <alignment horizontal="center" vertical="center"/>
    </xf>
    <xf numFmtId="2" fontId="22" fillId="0" borderId="112" xfId="0" applyNumberFormat="1" applyFont="1" applyBorder="1" applyAlignment="1">
      <alignment horizontal="center" vertical="center"/>
    </xf>
    <xf numFmtId="0" fontId="22" fillId="0" borderId="159" xfId="0" applyFont="1" applyBorder="1" applyAlignment="1">
      <alignment horizontal="center" vertical="center"/>
    </xf>
    <xf numFmtId="2" fontId="22" fillId="0" borderId="49" xfId="0" applyNumberFormat="1" applyFont="1" applyBorder="1" applyAlignment="1">
      <alignment horizontal="center" vertical="center"/>
    </xf>
    <xf numFmtId="2" fontId="22" fillId="0" borderId="113" xfId="0" applyNumberFormat="1" applyFont="1" applyBorder="1" applyAlignment="1">
      <alignment horizontal="center" vertical="center"/>
    </xf>
    <xf numFmtId="1" fontId="22" fillId="0" borderId="128" xfId="0" applyNumberFormat="1" applyFont="1" applyBorder="1" applyAlignment="1">
      <alignment horizontal="center" vertical="center"/>
    </xf>
    <xf numFmtId="1" fontId="22" fillId="0" borderId="160" xfId="0" applyNumberFormat="1" applyFont="1" applyBorder="1" applyAlignment="1">
      <alignment horizontal="center" vertical="center"/>
    </xf>
    <xf numFmtId="1" fontId="22" fillId="0" borderId="161" xfId="0" applyNumberFormat="1" applyFont="1" applyBorder="1" applyAlignment="1">
      <alignment horizontal="center" vertical="center"/>
    </xf>
    <xf numFmtId="0" fontId="22" fillId="0" borderId="162" xfId="0" applyFont="1" applyBorder="1" applyAlignment="1">
      <alignment horizontal="center" vertical="center"/>
    </xf>
    <xf numFmtId="0" fontId="22" fillId="0" borderId="163" xfId="0" applyFont="1" applyBorder="1" applyAlignment="1">
      <alignment horizontal="center" vertical="center"/>
    </xf>
    <xf numFmtId="0" fontId="22" fillId="0" borderId="0" xfId="0" applyFont="1" applyAlignment="1">
      <alignment vertical="center"/>
    </xf>
    <xf numFmtId="0" fontId="19" fillId="0" borderId="0" xfId="0" applyFont="1" applyAlignment="1">
      <alignment vertical="center" wrapText="1"/>
    </xf>
    <xf numFmtId="0" fontId="22" fillId="0" borderId="166" xfId="0" applyFont="1" applyBorder="1" applyAlignment="1">
      <alignment horizontal="center" vertical="center"/>
    </xf>
    <xf numFmtId="1" fontId="22" fillId="0" borderId="113" xfId="0" applyNumberFormat="1" applyFont="1" applyBorder="1" applyAlignment="1">
      <alignment horizontal="center" vertical="center"/>
    </xf>
    <xf numFmtId="0" fontId="22" fillId="0" borderId="167" xfId="0" applyFont="1" applyBorder="1" applyAlignment="1">
      <alignment horizontal="center" vertical="center"/>
    </xf>
    <xf numFmtId="0" fontId="22" fillId="0" borderId="168" xfId="0" applyFont="1" applyBorder="1" applyAlignment="1">
      <alignment horizontal="center" vertical="center"/>
    </xf>
    <xf numFmtId="0" fontId="22" fillId="0" borderId="169" xfId="0" applyFont="1" applyBorder="1" applyAlignment="1">
      <alignment horizontal="center" vertical="center"/>
    </xf>
    <xf numFmtId="2" fontId="22" fillId="0" borderId="93" xfId="0" applyNumberFormat="1" applyFont="1" applyBorder="1" applyAlignment="1">
      <alignment horizontal="center" vertical="center"/>
    </xf>
    <xf numFmtId="2" fontId="22" fillId="0" borderId="155" xfId="0" applyNumberFormat="1" applyFont="1" applyBorder="1" applyAlignment="1">
      <alignment horizontal="center" vertical="center"/>
    </xf>
    <xf numFmtId="2" fontId="22" fillId="0" borderId="150" xfId="0" applyNumberFormat="1" applyFont="1" applyBorder="1" applyAlignment="1">
      <alignment horizontal="center" vertical="center"/>
    </xf>
    <xf numFmtId="2" fontId="22" fillId="0" borderId="171" xfId="0" applyNumberFormat="1" applyFont="1" applyBorder="1" applyAlignment="1">
      <alignment horizontal="center" vertical="center"/>
    </xf>
    <xf numFmtId="1" fontId="22" fillId="0" borderId="64" xfId="0" applyNumberFormat="1" applyFont="1" applyBorder="1" applyAlignment="1">
      <alignment horizontal="center" vertical="center"/>
    </xf>
    <xf numFmtId="1" fontId="22" fillId="0" borderId="152" xfId="0" applyNumberFormat="1" applyFont="1" applyBorder="1" applyAlignment="1">
      <alignment horizontal="center" vertical="center"/>
    </xf>
    <xf numFmtId="1" fontId="22" fillId="0" borderId="172" xfId="0" applyNumberFormat="1" applyFont="1" applyBorder="1" applyAlignment="1">
      <alignment horizontal="center" vertical="center"/>
    </xf>
    <xf numFmtId="1" fontId="22" fillId="0" borderId="173" xfId="0" applyNumberFormat="1" applyFont="1" applyBorder="1" applyAlignment="1">
      <alignment horizontal="center" vertical="center"/>
    </xf>
    <xf numFmtId="0" fontId="19" fillId="11" borderId="174" xfId="0" applyFont="1" applyFill="1" applyBorder="1" applyAlignment="1">
      <alignment horizontal="center" vertical="center" wrapText="1"/>
    </xf>
    <xf numFmtId="0" fontId="22" fillId="0" borderId="175" xfId="0" applyFont="1" applyBorder="1" applyAlignment="1">
      <alignment horizontal="center" vertical="center"/>
    </xf>
    <xf numFmtId="0" fontId="22" fillId="0" borderId="176" xfId="0" applyFont="1" applyBorder="1" applyAlignment="1">
      <alignment horizontal="center" vertical="center"/>
    </xf>
    <xf numFmtId="2" fontId="22" fillId="0" borderId="115" xfId="0" applyNumberFormat="1" applyFont="1" applyBorder="1" applyAlignment="1">
      <alignment horizontal="center" vertical="center"/>
    </xf>
    <xf numFmtId="1" fontId="22" fillId="0" borderId="27" xfId="0" applyNumberFormat="1" applyFont="1" applyBorder="1" applyAlignment="1">
      <alignment horizontal="center" vertical="center"/>
    </xf>
    <xf numFmtId="0" fontId="22" fillId="0" borderId="38" xfId="0" applyFont="1" applyBorder="1" applyAlignment="1">
      <alignment horizontal="center" vertical="center"/>
    </xf>
    <xf numFmtId="1" fontId="22" fillId="0" borderId="178" xfId="0" applyNumberFormat="1" applyFont="1" applyBorder="1" applyAlignment="1">
      <alignment horizontal="center" vertical="center"/>
    </xf>
    <xf numFmtId="1" fontId="22" fillId="0" borderId="180" xfId="0" applyNumberFormat="1" applyFont="1" applyBorder="1" applyAlignment="1">
      <alignment horizontal="center" vertical="center"/>
    </xf>
    <xf numFmtId="0" fontId="22" fillId="0" borderId="158" xfId="0" applyFont="1" applyBorder="1" applyAlignment="1">
      <alignment horizontal="center" vertical="center"/>
    </xf>
    <xf numFmtId="1" fontId="74" fillId="0" borderId="107" xfId="0" applyNumberFormat="1" applyFont="1" applyBorder="1" applyAlignment="1">
      <alignment horizontal="center" vertical="center"/>
    </xf>
    <xf numFmtId="1" fontId="22" fillId="0" borderId="179" xfId="0" applyNumberFormat="1" applyFont="1" applyBorder="1" applyAlignment="1">
      <alignment horizontal="center" vertical="center"/>
    </xf>
    <xf numFmtId="1" fontId="22" fillId="0" borderId="165" xfId="0" applyNumberFormat="1" applyFont="1" applyBorder="1" applyAlignment="1">
      <alignment horizontal="center" vertical="center"/>
    </xf>
    <xf numFmtId="2" fontId="22" fillId="0" borderId="180" xfId="0" applyNumberFormat="1" applyFont="1" applyBorder="1" applyAlignment="1">
      <alignment horizontal="center" vertical="center"/>
    </xf>
    <xf numFmtId="2" fontId="74" fillId="0" borderId="180" xfId="0" applyNumberFormat="1" applyFont="1" applyBorder="1" applyAlignment="1">
      <alignment horizontal="center" vertical="center"/>
    </xf>
    <xf numFmtId="2" fontId="74" fillId="0" borderId="122"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74" fillId="0" borderId="27" xfId="0" applyNumberFormat="1" applyFont="1" applyBorder="1" applyAlignment="1">
      <alignment horizontal="center" vertical="center"/>
    </xf>
    <xf numFmtId="2" fontId="74" fillId="0" borderId="123" xfId="0" applyNumberFormat="1" applyFont="1" applyBorder="1" applyAlignment="1">
      <alignment horizontal="center" vertical="center"/>
    </xf>
    <xf numFmtId="2" fontId="74" fillId="0" borderId="107" xfId="0" applyNumberFormat="1" applyFont="1" applyBorder="1" applyAlignment="1">
      <alignment horizontal="center" vertical="center"/>
    </xf>
    <xf numFmtId="2" fontId="74" fillId="0" borderId="127" xfId="0" applyNumberFormat="1" applyFont="1" applyBorder="1" applyAlignment="1">
      <alignment horizontal="center" vertical="center"/>
    </xf>
    <xf numFmtId="2" fontId="22" fillId="0" borderId="165" xfId="0" applyNumberFormat="1" applyFont="1" applyBorder="1" applyAlignment="1">
      <alignment horizontal="center" vertical="center"/>
    </xf>
    <xf numFmtId="2" fontId="74" fillId="0" borderId="165" xfId="0" applyNumberFormat="1" applyFont="1" applyBorder="1" applyAlignment="1">
      <alignment horizontal="center" vertical="center"/>
    </xf>
    <xf numFmtId="2" fontId="74" fillId="0" borderId="124" xfId="0" applyNumberFormat="1" applyFont="1" applyBorder="1" applyAlignment="1">
      <alignment horizontal="center" vertical="center"/>
    </xf>
    <xf numFmtId="0" fontId="6" fillId="0" borderId="27" xfId="4" applyBorder="1" applyAlignment="1">
      <alignment horizontal="center" vertical="center"/>
    </xf>
    <xf numFmtId="3" fontId="23" fillId="0" borderId="27" xfId="0" applyNumberFormat="1" applyFont="1" applyBorder="1" applyAlignment="1">
      <alignment horizontal="center"/>
    </xf>
    <xf numFmtId="0" fontId="23" fillId="0" borderId="27" xfId="0" applyFont="1" applyBorder="1" applyAlignment="1">
      <alignment horizontal="center"/>
    </xf>
    <xf numFmtId="2" fontId="6" fillId="0" borderId="27" xfId="0" applyNumberFormat="1" applyFont="1" applyBorder="1"/>
    <xf numFmtId="0" fontId="23" fillId="0" borderId="27" xfId="0" applyFont="1" applyBorder="1" applyAlignment="1">
      <alignment horizontal="center" vertical="center"/>
    </xf>
    <xf numFmtId="0" fontId="63" fillId="0" borderId="27" xfId="0" applyFont="1" applyBorder="1"/>
    <xf numFmtId="0" fontId="24" fillId="16" borderId="156" xfId="0" applyFont="1" applyFill="1" applyBorder="1" applyAlignment="1">
      <alignment horizontal="center" vertical="center" wrapText="1"/>
    </xf>
    <xf numFmtId="0" fontId="19" fillId="16" borderId="180" xfId="0" applyFont="1" applyFill="1" applyBorder="1" applyAlignment="1">
      <alignment horizontal="center" vertical="center" wrapText="1"/>
    </xf>
    <xf numFmtId="0" fontId="19" fillId="70" borderId="180" xfId="0" applyFont="1" applyFill="1" applyBorder="1" applyAlignment="1">
      <alignment horizontal="center" vertical="center" wrapText="1"/>
    </xf>
    <xf numFmtId="0" fontId="23" fillId="0" borderId="165" xfId="0" applyFont="1" applyBorder="1" applyAlignment="1">
      <alignment horizontal="center" vertical="center"/>
    </xf>
    <xf numFmtId="0" fontId="63" fillId="0" borderId="165" xfId="0" applyFont="1" applyBorder="1"/>
    <xf numFmtId="0" fontId="23" fillId="0" borderId="27" xfId="0" applyFont="1" applyBorder="1"/>
    <xf numFmtId="0" fontId="23" fillId="0" borderId="165" xfId="0" applyFont="1" applyBorder="1"/>
    <xf numFmtId="2" fontId="6" fillId="0" borderId="181" xfId="0" applyNumberFormat="1" applyFont="1" applyBorder="1"/>
    <xf numFmtId="0" fontId="24" fillId="11" borderId="183" xfId="0" applyFont="1" applyFill="1" applyBorder="1" applyAlignment="1">
      <alignment horizontal="center" vertical="center"/>
    </xf>
    <xf numFmtId="0" fontId="19" fillId="11" borderId="184" xfId="0" applyFont="1" applyFill="1" applyBorder="1" applyAlignment="1">
      <alignment horizontal="center" vertical="center" wrapText="1"/>
    </xf>
    <xf numFmtId="0" fontId="19" fillId="11" borderId="185" xfId="0" applyFont="1" applyFill="1" applyBorder="1" applyAlignment="1">
      <alignment horizontal="center" vertical="center" wrapText="1"/>
    </xf>
    <xf numFmtId="0" fontId="7" fillId="68" borderId="186" xfId="0" applyFont="1" applyFill="1" applyBorder="1" applyAlignment="1">
      <alignment horizontal="center" vertical="center" wrapText="1"/>
    </xf>
    <xf numFmtId="0" fontId="7" fillId="11" borderId="135" xfId="0" applyFont="1" applyFill="1" applyBorder="1" applyAlignment="1">
      <alignment horizontal="center" vertical="center" wrapText="1"/>
    </xf>
    <xf numFmtId="2" fontId="6" fillId="0" borderId="123" xfId="0" applyNumberFormat="1" applyFont="1" applyBorder="1"/>
    <xf numFmtId="0" fontId="6" fillId="0" borderId="165" xfId="4" applyBorder="1" applyAlignment="1">
      <alignment horizontal="center" vertical="center"/>
    </xf>
    <xf numFmtId="3" fontId="23" fillId="0" borderId="165" xfId="0" applyNumberFormat="1" applyFont="1" applyBorder="1" applyAlignment="1">
      <alignment horizontal="center"/>
    </xf>
    <xf numFmtId="0" fontId="23" fillId="0" borderId="165" xfId="0" applyFont="1" applyBorder="1" applyAlignment="1">
      <alignment horizontal="center"/>
    </xf>
    <xf numFmtId="2" fontId="6" fillId="0" borderId="165" xfId="0" applyNumberFormat="1" applyFont="1" applyBorder="1"/>
    <xf numFmtId="2" fontId="6" fillId="0" borderId="182" xfId="0" applyNumberFormat="1" applyFont="1" applyBorder="1"/>
    <xf numFmtId="2" fontId="6" fillId="0" borderId="124" xfId="0" applyNumberFormat="1" applyFont="1" applyBorder="1"/>
    <xf numFmtId="165" fontId="63" fillId="0" borderId="181" xfId="0" applyNumberFormat="1" applyFont="1" applyBorder="1"/>
    <xf numFmtId="165" fontId="63" fillId="0" borderId="182" xfId="0" applyNumberFormat="1" applyFont="1" applyBorder="1"/>
    <xf numFmtId="0" fontId="48" fillId="0" borderId="0" xfId="0" applyFont="1"/>
    <xf numFmtId="165" fontId="75" fillId="0" borderId="0" xfId="0" applyNumberFormat="1" applyFont="1"/>
    <xf numFmtId="0" fontId="24" fillId="64" borderId="2" xfId="0" applyFont="1" applyFill="1" applyBorder="1" applyAlignment="1">
      <alignment wrapText="1"/>
    </xf>
    <xf numFmtId="0" fontId="24" fillId="64" borderId="8" xfId="0" applyFont="1" applyFill="1" applyBorder="1" applyAlignment="1">
      <alignment wrapText="1"/>
    </xf>
    <xf numFmtId="0" fontId="63" fillId="72" borderId="0" xfId="0" applyFont="1" applyFill="1"/>
    <xf numFmtId="0" fontId="63" fillId="72" borderId="15" xfId="0" applyFont="1" applyFill="1" applyBorder="1"/>
    <xf numFmtId="0" fontId="63" fillId="72" borderId="18" xfId="0" applyFont="1" applyFill="1" applyBorder="1"/>
    <xf numFmtId="0" fontId="63" fillId="72" borderId="19" xfId="0" applyFont="1" applyFill="1" applyBorder="1"/>
    <xf numFmtId="0" fontId="6" fillId="4" borderId="0" xfId="0" applyFont="1" applyFill="1"/>
    <xf numFmtId="0" fontId="6" fillId="0" borderId="0" xfId="0" applyFont="1" applyAlignment="1">
      <alignment vertical="center" wrapText="1"/>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xf>
    <xf numFmtId="0" fontId="6" fillId="0" borderId="0" xfId="0" applyFont="1" applyAlignment="1">
      <alignment horizontal="center"/>
    </xf>
    <xf numFmtId="0" fontId="6" fillId="0" borderId="23" xfId="0" applyFont="1" applyBorder="1" applyAlignment="1">
      <alignment horizontal="center" vertical="center"/>
    </xf>
    <xf numFmtId="0" fontId="6" fillId="0" borderId="22" xfId="0" applyFont="1" applyBorder="1" applyAlignment="1">
      <alignment horizontal="center" vertical="center"/>
    </xf>
    <xf numFmtId="0" fontId="6" fillId="0" borderId="20" xfId="0" applyFont="1" applyBorder="1" applyAlignment="1">
      <alignment horizontal="center" vertical="center"/>
    </xf>
    <xf numFmtId="0" fontId="6" fillId="0" borderId="20" xfId="0" applyFont="1" applyBorder="1" applyAlignment="1">
      <alignment horizontal="center" vertical="center" wrapText="1"/>
    </xf>
    <xf numFmtId="0" fontId="55" fillId="50" borderId="9" xfId="0" applyFont="1" applyFill="1" applyBorder="1" applyAlignment="1">
      <alignment horizontal="center" vertical="center" wrapText="1"/>
    </xf>
    <xf numFmtId="0" fontId="55" fillId="51" borderId="9" xfId="0" applyFont="1" applyFill="1" applyBorder="1" applyAlignment="1">
      <alignment horizontal="center" vertical="center" wrapText="1"/>
    </xf>
    <xf numFmtId="0" fontId="23" fillId="0" borderId="0" xfId="0" applyFont="1"/>
    <xf numFmtId="0" fontId="23" fillId="0" borderId="16" xfId="0" applyFont="1" applyBorder="1" applyAlignment="1">
      <alignment wrapText="1"/>
    </xf>
    <xf numFmtId="0" fontId="7" fillId="11" borderId="2" xfId="0" applyFont="1" applyFill="1" applyBorder="1" applyAlignment="1">
      <alignment horizontal="center" vertical="center"/>
    </xf>
    <xf numFmtId="0" fontId="7" fillId="11"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9" fillId="11" borderId="2" xfId="0" applyFont="1" applyFill="1" applyBorder="1" applyAlignment="1">
      <alignment horizontal="center" vertical="center" wrapText="1"/>
    </xf>
    <xf numFmtId="0" fontId="7" fillId="11" borderId="9" xfId="0" applyFont="1" applyFill="1" applyBorder="1" applyAlignment="1">
      <alignment horizontal="center" vertical="center"/>
    </xf>
    <xf numFmtId="0" fontId="7" fillId="11" borderId="0" xfId="0" applyFont="1" applyFill="1" applyAlignment="1">
      <alignment horizontal="center" vertical="center"/>
    </xf>
    <xf numFmtId="9" fontId="6" fillId="0" borderId="22" xfId="2" applyFont="1" applyFill="1" applyBorder="1" applyAlignment="1">
      <alignment horizontal="center" vertical="center"/>
    </xf>
    <xf numFmtId="0" fontId="6" fillId="0" borderId="0" xfId="0" applyFont="1" applyAlignment="1">
      <alignment horizontal="center" vertical="center"/>
    </xf>
    <xf numFmtId="0" fontId="24" fillId="11" borderId="2" xfId="0" applyFont="1" applyFill="1" applyBorder="1" applyAlignment="1">
      <alignment horizontal="center" vertical="center"/>
    </xf>
    <xf numFmtId="0" fontId="1" fillId="0" borderId="1" xfId="0" applyFont="1" applyBorder="1" applyAlignment="1">
      <alignment horizontal="center" vertical="center"/>
    </xf>
    <xf numFmtId="0" fontId="1" fillId="0" borderId="33" xfId="0" applyFont="1" applyBorder="1" applyAlignment="1">
      <alignment horizontal="center" vertical="center"/>
    </xf>
    <xf numFmtId="0" fontId="6" fillId="0" borderId="187" xfId="0" applyFont="1" applyBorder="1" applyAlignment="1">
      <alignment horizontal="left" vertical="center"/>
    </xf>
    <xf numFmtId="0" fontId="6" fillId="0" borderId="189" xfId="0" applyFont="1" applyBorder="1" applyAlignment="1">
      <alignment horizontal="left" vertical="center"/>
    </xf>
    <xf numFmtId="0" fontId="6" fillId="0" borderId="191" xfId="0" applyFont="1" applyBorder="1" applyAlignment="1">
      <alignment horizontal="left" vertical="center"/>
    </xf>
    <xf numFmtId="0" fontId="61" fillId="0" borderId="0" xfId="0" applyFont="1" applyFill="1"/>
    <xf numFmtId="165" fontId="75" fillId="0" borderId="0" xfId="0" applyNumberFormat="1" applyFont="1" applyFill="1"/>
    <xf numFmtId="0" fontId="7" fillId="0" borderId="0" xfId="0" applyFont="1" applyFill="1"/>
    <xf numFmtId="0" fontId="7" fillId="0" borderId="0" xfId="0" applyFont="1" applyFill="1" applyAlignment="1">
      <alignment wrapText="1"/>
    </xf>
    <xf numFmtId="0" fontId="7" fillId="0" borderId="0" xfId="0" applyFont="1" applyFill="1" applyAlignment="1">
      <alignment horizontal="left"/>
    </xf>
    <xf numFmtId="0" fontId="7" fillId="0" borderId="0" xfId="0" applyFont="1" applyFill="1" applyAlignment="1">
      <alignment horizontal="center"/>
    </xf>
    <xf numFmtId="0" fontId="6" fillId="0" borderId="0" xfId="0" applyFont="1" applyFill="1" applyAlignment="1">
      <alignment wrapText="1"/>
    </xf>
    <xf numFmtId="0" fontId="6" fillId="0" borderId="0" xfId="0" applyFont="1" applyFill="1"/>
    <xf numFmtId="0" fontId="19" fillId="70" borderId="193" xfId="0" applyFont="1" applyFill="1" applyBorder="1" applyAlignment="1">
      <alignment horizontal="center" vertical="center" wrapText="1"/>
    </xf>
    <xf numFmtId="0" fontId="63" fillId="0" borderId="181" xfId="0" applyFont="1" applyBorder="1"/>
    <xf numFmtId="0" fontId="63" fillId="0" borderId="182" xfId="0" applyFont="1" applyBorder="1"/>
    <xf numFmtId="165" fontId="63" fillId="0" borderId="2" xfId="0" applyNumberFormat="1" applyFont="1" applyBorder="1"/>
    <xf numFmtId="0" fontId="19" fillId="71" borderId="187" xfId="0" applyFont="1" applyFill="1" applyBorder="1" applyAlignment="1">
      <alignment horizontal="center" vertical="center" wrapText="1"/>
    </xf>
    <xf numFmtId="0" fontId="19" fillId="71" borderId="1" xfId="0" applyFont="1" applyFill="1" applyBorder="1" applyAlignment="1">
      <alignment horizontal="center" vertical="center" wrapText="1"/>
    </xf>
    <xf numFmtId="0" fontId="7" fillId="8" borderId="4" xfId="0" applyFont="1" applyFill="1" applyBorder="1" applyAlignment="1">
      <alignment horizontal="center" vertical="center" wrapText="1"/>
    </xf>
    <xf numFmtId="165" fontId="63" fillId="0" borderId="189" xfId="0" applyNumberFormat="1" applyFont="1" applyBorder="1"/>
    <xf numFmtId="165" fontId="6" fillId="0" borderId="5" xfId="0" applyNumberFormat="1" applyFont="1" applyBorder="1"/>
    <xf numFmtId="165" fontId="63" fillId="0" borderId="191" xfId="0" applyNumberFormat="1" applyFont="1" applyBorder="1"/>
    <xf numFmtId="165" fontId="63" fillId="0" borderId="33" xfId="0" applyNumberFormat="1" applyFont="1" applyBorder="1"/>
    <xf numFmtId="0" fontId="6" fillId="0" borderId="33" xfId="0" applyFont="1" applyBorder="1"/>
    <xf numFmtId="165" fontId="6" fillId="0" borderId="6" xfId="0" applyNumberFormat="1" applyFont="1" applyBorder="1"/>
    <xf numFmtId="0" fontId="6" fillId="0" borderId="137" xfId="0" applyFont="1" applyBorder="1"/>
    <xf numFmtId="0" fontId="15" fillId="0" borderId="0" xfId="0" applyFont="1"/>
    <xf numFmtId="0" fontId="19" fillId="68" borderId="157" xfId="0" applyFont="1" applyFill="1" applyBorder="1" applyAlignment="1">
      <alignment horizontal="center" vertical="center" wrapText="1"/>
    </xf>
    <xf numFmtId="0" fontId="19" fillId="68" borderId="27" xfId="0" applyFont="1" applyFill="1" applyBorder="1" applyAlignment="1">
      <alignment horizontal="center" vertical="center" wrapText="1"/>
    </xf>
    <xf numFmtId="0" fontId="19" fillId="68" borderId="123" xfId="0" applyFont="1" applyFill="1" applyBorder="1" applyAlignment="1">
      <alignment horizontal="center" vertical="center" wrapText="1"/>
    </xf>
    <xf numFmtId="0" fontId="19" fillId="0" borderId="0" xfId="0" applyFont="1" applyAlignment="1">
      <alignment horizontal="center" vertical="center" wrapText="1"/>
    </xf>
    <xf numFmtId="0" fontId="6" fillId="0" borderId="164" xfId="0" applyFont="1" applyBorder="1" applyAlignment="1">
      <alignment vertical="center" wrapText="1"/>
    </xf>
    <xf numFmtId="0" fontId="6" fillId="0" borderId="28" xfId="0" applyFont="1" applyBorder="1" applyAlignment="1">
      <alignment vertical="center" wrapText="1"/>
    </xf>
    <xf numFmtId="0" fontId="6" fillId="0" borderId="132" xfId="0" applyFont="1" applyBorder="1" applyAlignment="1">
      <alignment vertical="center" wrapText="1"/>
    </xf>
    <xf numFmtId="0" fontId="6" fillId="0" borderId="157" xfId="0" applyFont="1" applyBorder="1" applyAlignment="1">
      <alignment vertical="center" wrapText="1"/>
    </xf>
    <xf numFmtId="0" fontId="6" fillId="0" borderId="27" xfId="0" applyFont="1" applyBorder="1" applyAlignment="1">
      <alignment vertical="center" wrapText="1"/>
    </xf>
    <xf numFmtId="0" fontId="6" fillId="0" borderId="123" xfId="0" applyFont="1" applyBorder="1" applyAlignment="1">
      <alignment vertical="center" wrapText="1"/>
    </xf>
    <xf numFmtId="0" fontId="6" fillId="0" borderId="158" xfId="0" applyFont="1" applyBorder="1" applyAlignment="1">
      <alignment vertical="center" wrapText="1"/>
    </xf>
    <xf numFmtId="0" fontId="6" fillId="0" borderId="165" xfId="0" applyFont="1" applyBorder="1" applyAlignment="1">
      <alignment vertical="center" wrapText="1"/>
    </xf>
    <xf numFmtId="0" fontId="6" fillId="0" borderId="124" xfId="0" applyFont="1" applyBorder="1" applyAlignment="1">
      <alignment vertical="center" wrapText="1"/>
    </xf>
    <xf numFmtId="0" fontId="76" fillId="0" borderId="136" xfId="0" applyFont="1" applyFill="1" applyBorder="1" applyAlignment="1">
      <alignment vertical="center"/>
    </xf>
    <xf numFmtId="0" fontId="77" fillId="0" borderId="0" xfId="5" applyFont="1"/>
    <xf numFmtId="0" fontId="6" fillId="0" borderId="27" xfId="0" applyFont="1" applyBorder="1" applyAlignment="1">
      <alignment horizontal="center" vertical="center" wrapText="1"/>
    </xf>
    <xf numFmtId="0" fontId="6" fillId="0" borderId="28" xfId="0" applyFont="1" applyBorder="1"/>
    <xf numFmtId="169" fontId="6" fillId="0" borderId="0" xfId="6" applyNumberFormat="1" applyFont="1" applyAlignment="1">
      <alignment horizontal="center"/>
    </xf>
    <xf numFmtId="165" fontId="6" fillId="0" borderId="0" xfId="0" applyNumberFormat="1" applyFont="1"/>
    <xf numFmtId="0" fontId="6" fillId="0" borderId="2" xfId="3" applyFont="1" applyFill="1" applyBorder="1" applyAlignment="1">
      <alignment horizontal="center" vertical="center" wrapText="1"/>
    </xf>
    <xf numFmtId="0" fontId="6" fillId="0" borderId="0" xfId="0" applyFont="1" applyAlignment="1">
      <alignment vertical="center" wrapText="1"/>
    </xf>
    <xf numFmtId="0" fontId="13" fillId="0" borderId="0" xfId="0" applyFont="1" applyAlignment="1">
      <alignment horizontal="center" vertical="center"/>
    </xf>
    <xf numFmtId="0" fontId="56" fillId="0" borderId="0" xfId="0" applyFont="1" applyAlignment="1">
      <alignment horizontal="left"/>
    </xf>
    <xf numFmtId="0" fontId="13" fillId="13"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xf>
    <xf numFmtId="0" fontId="64" fillId="7" borderId="0" xfId="0" applyFont="1" applyFill="1" applyAlignment="1">
      <alignment horizontal="center" vertical="center"/>
    </xf>
    <xf numFmtId="0" fontId="18" fillId="0" borderId="18" xfId="0" applyFont="1" applyBorder="1" applyAlignment="1">
      <alignment horizontal="left" vertical="center"/>
    </xf>
    <xf numFmtId="0" fontId="13" fillId="13" borderId="3" xfId="1" applyFont="1" applyFill="1" applyBorder="1" applyAlignment="1">
      <alignment horizontal="center" vertical="center" wrapText="1"/>
    </xf>
    <xf numFmtId="0" fontId="13" fillId="13" borderId="7" xfId="1" applyFont="1" applyFill="1" applyBorder="1" applyAlignment="1">
      <alignment horizontal="center" vertical="center" wrapText="1"/>
    </xf>
    <xf numFmtId="0" fontId="13" fillId="13" borderId="18" xfId="0" applyFont="1" applyFill="1" applyBorder="1" applyAlignment="1">
      <alignment horizontal="center" vertical="center"/>
    </xf>
    <xf numFmtId="0" fontId="6" fillId="0" borderId="23"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0" xfId="0" applyFont="1" applyBorder="1" applyAlignment="1">
      <alignment horizontal="center" vertical="center"/>
    </xf>
    <xf numFmtId="0" fontId="13" fillId="13" borderId="34" xfId="0" applyFont="1" applyFill="1" applyBorder="1" applyAlignment="1">
      <alignment horizontal="center" vertical="center"/>
    </xf>
    <xf numFmtId="0" fontId="1" fillId="0" borderId="20" xfId="0" applyFont="1" applyBorder="1" applyAlignment="1">
      <alignment horizontal="center" vertical="center" wrapText="1"/>
    </xf>
    <xf numFmtId="0" fontId="6" fillId="0" borderId="20" xfId="0" applyFont="1" applyBorder="1" applyAlignment="1">
      <alignment horizontal="center" vertical="center" wrapText="1"/>
    </xf>
    <xf numFmtId="0" fontId="13" fillId="13" borderId="0" xfId="0" applyFont="1" applyFill="1" applyAlignment="1">
      <alignment horizontal="center" vertical="center" wrapText="1"/>
    </xf>
    <xf numFmtId="0" fontId="6" fillId="0" borderId="23" xfId="0" applyFont="1" applyBorder="1" applyAlignment="1">
      <alignment horizontal="center" vertical="center" wrapText="1"/>
    </xf>
    <xf numFmtId="0" fontId="6" fillId="0" borderId="22" xfId="0" applyFont="1" applyBorder="1" applyAlignment="1">
      <alignment horizontal="center" vertical="center" wrapText="1"/>
    </xf>
    <xf numFmtId="0" fontId="12" fillId="6" borderId="2" xfId="0" applyFont="1" applyFill="1" applyBorder="1" applyAlignment="1">
      <alignment horizontal="center" vertical="center"/>
    </xf>
    <xf numFmtId="0" fontId="7" fillId="11" borderId="24" xfId="0" applyFont="1" applyFill="1" applyBorder="1" applyAlignment="1">
      <alignment horizontal="center" vertical="center" wrapText="1"/>
    </xf>
    <xf numFmtId="0" fontId="7" fillId="11" borderId="25" xfId="0" applyFont="1" applyFill="1" applyBorder="1" applyAlignment="1">
      <alignment horizontal="center" vertical="center" wrapText="1"/>
    </xf>
    <xf numFmtId="0" fontId="7" fillId="11" borderId="26" xfId="0" applyFont="1" applyFill="1" applyBorder="1" applyAlignment="1">
      <alignment horizontal="center" vertical="center" wrapText="1"/>
    </xf>
    <xf numFmtId="0" fontId="6" fillId="0" borderId="0" xfId="0" applyFont="1" applyAlignment="1">
      <alignment horizontal="center"/>
    </xf>
    <xf numFmtId="168" fontId="6" fillId="0" borderId="24" xfId="0" applyNumberFormat="1" applyFont="1" applyBorder="1" applyAlignment="1">
      <alignment horizontal="center" vertical="center" wrapText="1"/>
    </xf>
    <xf numFmtId="168" fontId="6" fillId="0" borderId="25" xfId="0" applyNumberFormat="1" applyFont="1" applyBorder="1" applyAlignment="1">
      <alignment horizontal="center" vertical="center" wrapText="1"/>
    </xf>
    <xf numFmtId="168" fontId="6" fillId="0" borderId="26" xfId="0" applyNumberFormat="1" applyFont="1" applyBorder="1" applyAlignment="1">
      <alignment horizontal="center" vertical="center" wrapText="1"/>
    </xf>
    <xf numFmtId="0" fontId="6" fillId="0" borderId="23"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5" fillId="53" borderId="10" xfId="0" applyFont="1" applyFill="1" applyBorder="1" applyAlignment="1">
      <alignment horizontal="center" vertical="center"/>
    </xf>
    <xf numFmtId="0" fontId="55" fillId="53" borderId="17" xfId="0" applyFont="1" applyFill="1" applyBorder="1" applyAlignment="1">
      <alignment horizontal="center" vertical="center"/>
    </xf>
    <xf numFmtId="0" fontId="52" fillId="49" borderId="9" xfId="0" applyFont="1" applyFill="1" applyBorder="1" applyAlignment="1">
      <alignment horizontal="center" vertical="center" wrapText="1"/>
    </xf>
    <xf numFmtId="0" fontId="52" fillId="49" borderId="13" xfId="0" applyFont="1" applyFill="1" applyBorder="1" applyAlignment="1">
      <alignment horizontal="center" vertical="center" wrapText="1"/>
    </xf>
    <xf numFmtId="0" fontId="52" fillId="49" borderId="16" xfId="0" applyFont="1" applyFill="1" applyBorder="1" applyAlignment="1">
      <alignment horizontal="center" vertical="center" wrapText="1"/>
    </xf>
    <xf numFmtId="0" fontId="53" fillId="50" borderId="2" xfId="0" applyFont="1" applyFill="1" applyBorder="1" applyAlignment="1">
      <alignment horizontal="center" vertical="center"/>
    </xf>
    <xf numFmtId="0" fontId="53" fillId="51" borderId="3" xfId="0" applyFont="1" applyFill="1" applyBorder="1" applyAlignment="1">
      <alignment horizontal="center" vertical="center"/>
    </xf>
    <xf numFmtId="0" fontId="53" fillId="51" borderId="8" xfId="0" applyFont="1" applyFill="1" applyBorder="1" applyAlignment="1">
      <alignment horizontal="center" vertical="center"/>
    </xf>
    <xf numFmtId="0" fontId="55" fillId="50" borderId="9" xfId="0" applyFont="1" applyFill="1" applyBorder="1" applyAlignment="1">
      <alignment horizontal="center" vertical="center" wrapText="1"/>
    </xf>
    <xf numFmtId="0" fontId="55" fillId="50" borderId="16" xfId="0" applyFont="1" applyFill="1" applyBorder="1" applyAlignment="1">
      <alignment horizontal="center" vertical="center" wrapText="1"/>
    </xf>
    <xf numFmtId="0" fontId="55" fillId="51" borderId="9" xfId="0" applyFont="1" applyFill="1" applyBorder="1" applyAlignment="1">
      <alignment horizontal="center" vertical="center" wrapText="1"/>
    </xf>
    <xf numFmtId="0" fontId="55" fillId="51" borderId="16" xfId="0" applyFont="1" applyFill="1" applyBorder="1" applyAlignment="1">
      <alignment horizontal="center" vertical="center" wrapText="1"/>
    </xf>
    <xf numFmtId="0" fontId="33" fillId="15" borderId="0" xfId="0" applyFont="1" applyFill="1" applyAlignment="1">
      <alignment horizontal="center" vertical="center"/>
    </xf>
    <xf numFmtId="0" fontId="13" fillId="13" borderId="18" xfId="0" applyFont="1" applyFill="1" applyBorder="1" applyAlignment="1">
      <alignment horizontal="center" vertical="center" wrapText="1"/>
    </xf>
    <xf numFmtId="0" fontId="6" fillId="0" borderId="35" xfId="0" applyFont="1" applyBorder="1" applyAlignment="1">
      <alignment horizontal="center" vertical="center" wrapText="1"/>
    </xf>
    <xf numFmtId="0" fontId="6" fillId="0" borderId="21" xfId="0" applyFont="1" applyBorder="1" applyAlignment="1">
      <alignment horizontal="center" vertical="center" wrapText="1"/>
    </xf>
    <xf numFmtId="0" fontId="0" fillId="0" borderId="188" xfId="0" applyBorder="1" applyAlignment="1">
      <alignment horizontal="center" vertical="center" wrapText="1"/>
    </xf>
    <xf numFmtId="0" fontId="0" fillId="0" borderId="190" xfId="0" applyBorder="1" applyAlignment="1">
      <alignment horizontal="center" vertical="center" wrapText="1"/>
    </xf>
    <xf numFmtId="0" fontId="0" fillId="0" borderId="192" xfId="0" applyBorder="1" applyAlignment="1">
      <alignment horizontal="center" vertical="center" wrapText="1"/>
    </xf>
    <xf numFmtId="0" fontId="13" fillId="13" borderId="3"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13" fillId="13" borderId="8" xfId="0" applyFont="1" applyFill="1" applyBorder="1" applyAlignment="1">
      <alignment horizontal="center" vertical="center" wrapText="1"/>
    </xf>
    <xf numFmtId="10" fontId="6" fillId="0" borderId="2" xfId="2" applyNumberFormat="1" applyFont="1" applyBorder="1" applyAlignment="1">
      <alignment horizontal="center" vertical="center" wrapText="1"/>
    </xf>
    <xf numFmtId="0" fontId="33" fillId="15" borderId="3" xfId="0" applyFont="1" applyFill="1" applyBorder="1" applyAlignment="1">
      <alignment horizontal="center" wrapText="1"/>
    </xf>
    <xf numFmtId="0" fontId="33" fillId="15" borderId="7" xfId="0" applyFont="1" applyFill="1" applyBorder="1" applyAlignment="1">
      <alignment horizontal="center" wrapText="1"/>
    </xf>
    <xf numFmtId="0" fontId="33" fillId="15" borderId="8" xfId="0" applyFont="1" applyFill="1" applyBorder="1" applyAlignment="1">
      <alignment horizontal="center" wrapText="1"/>
    </xf>
    <xf numFmtId="0" fontId="33" fillId="15" borderId="3" xfId="0" applyFont="1" applyFill="1" applyBorder="1" applyAlignment="1">
      <alignment horizontal="center" vertical="center" wrapText="1"/>
    </xf>
    <xf numFmtId="0" fontId="33" fillId="15" borderId="7" xfId="0" applyFont="1" applyFill="1" applyBorder="1" applyAlignment="1">
      <alignment horizontal="center" vertical="center" wrapText="1"/>
    </xf>
    <xf numFmtId="0" fontId="33" fillId="15" borderId="8" xfId="0" applyFont="1" applyFill="1" applyBorder="1" applyAlignment="1">
      <alignment horizontal="center" vertical="center" wrapText="1"/>
    </xf>
    <xf numFmtId="0" fontId="23" fillId="0" borderId="13" xfId="0" applyFont="1" applyBorder="1" applyAlignment="1">
      <alignment wrapText="1"/>
    </xf>
    <xf numFmtId="0" fontId="23" fillId="0" borderId="16" xfId="0" applyFont="1" applyBorder="1" applyAlignment="1">
      <alignment wrapText="1"/>
    </xf>
    <xf numFmtId="0" fontId="7" fillId="11" borderId="2" xfId="0" applyFont="1" applyFill="1" applyBorder="1" applyAlignment="1">
      <alignment horizontal="center" vertical="center"/>
    </xf>
    <xf numFmtId="0" fontId="7" fillId="11"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3" fillId="13" borderId="17" xfId="0" applyFont="1" applyFill="1" applyBorder="1" applyAlignment="1">
      <alignment horizontal="center" vertical="center" wrapText="1"/>
    </xf>
    <xf numFmtId="0" fontId="13" fillId="69" borderId="17" xfId="0" applyFont="1" applyFill="1" applyBorder="1" applyAlignment="1">
      <alignment horizontal="center" vertical="center"/>
    </xf>
    <xf numFmtId="0" fontId="13" fillId="69" borderId="18" xfId="0" applyFont="1" applyFill="1" applyBorder="1" applyAlignment="1">
      <alignment horizontal="center" vertical="center"/>
    </xf>
    <xf numFmtId="0" fontId="6" fillId="0" borderId="27" xfId="0" applyFont="1" applyBorder="1" applyAlignment="1">
      <alignment horizontal="center" vertical="center" wrapText="1"/>
    </xf>
    <xf numFmtId="0" fontId="13" fillId="69" borderId="133" xfId="0" applyFont="1" applyFill="1" applyBorder="1" applyAlignment="1">
      <alignment horizontal="center" vertical="center"/>
    </xf>
    <xf numFmtId="0" fontId="13" fillId="69" borderId="134" xfId="0" applyFont="1" applyFill="1" applyBorder="1" applyAlignment="1">
      <alignment horizontal="center" vertical="center"/>
    </xf>
    <xf numFmtId="0" fontId="13" fillId="69" borderId="135" xfId="0" applyFont="1" applyFill="1" applyBorder="1" applyAlignment="1">
      <alignment horizontal="center" vertical="center"/>
    </xf>
    <xf numFmtId="0" fontId="33" fillId="69" borderId="38" xfId="0" applyFont="1" applyFill="1" applyBorder="1" applyAlignment="1">
      <alignment horizontal="center" vertical="center" wrapText="1"/>
    </xf>
    <xf numFmtId="0" fontId="22" fillId="0" borderId="0" xfId="0" applyFont="1" applyAlignment="1">
      <alignment horizontal="center" vertical="center" wrapText="1"/>
    </xf>
    <xf numFmtId="0" fontId="22" fillId="0" borderId="154" xfId="0" applyFont="1" applyBorder="1" applyAlignment="1">
      <alignment horizontal="center" vertical="center" wrapText="1"/>
    </xf>
    <xf numFmtId="0" fontId="22" fillId="0" borderId="111" xfId="0" applyFont="1" applyBorder="1" applyAlignment="1">
      <alignment horizontal="center" vertical="center" wrapText="1"/>
    </xf>
    <xf numFmtId="0" fontId="22" fillId="0" borderId="119" xfId="0" applyFont="1" applyBorder="1" applyAlignment="1">
      <alignment horizontal="center" vertical="center" wrapText="1"/>
    </xf>
    <xf numFmtId="0" fontId="22" fillId="0" borderId="121" xfId="0" applyFont="1" applyBorder="1" applyAlignment="1">
      <alignment horizontal="center" vertical="center" wrapText="1"/>
    </xf>
    <xf numFmtId="0" fontId="22" fillId="0" borderId="117" xfId="0" applyFont="1" applyBorder="1" applyAlignment="1">
      <alignment horizontal="center" vertical="center" wrapText="1"/>
    </xf>
    <xf numFmtId="0" fontId="22" fillId="0" borderId="118"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155" xfId="0" applyFont="1" applyBorder="1" applyAlignment="1">
      <alignment horizontal="center" vertical="center" wrapText="1"/>
    </xf>
    <xf numFmtId="0" fontId="22" fillId="0" borderId="112" xfId="0" applyFont="1" applyBorder="1" applyAlignment="1">
      <alignment horizontal="center" vertical="center" wrapText="1"/>
    </xf>
    <xf numFmtId="0" fontId="22" fillId="0" borderId="113" xfId="0" applyFont="1" applyBorder="1" applyAlignment="1">
      <alignment horizontal="center" vertical="center" wrapText="1"/>
    </xf>
    <xf numFmtId="0" fontId="22" fillId="0" borderId="108" xfId="0" applyFont="1" applyBorder="1" applyAlignment="1">
      <alignment horizontal="center" vertical="center" wrapText="1"/>
    </xf>
    <xf numFmtId="0" fontId="22" fillId="0" borderId="114" xfId="0" applyFont="1" applyBorder="1" applyAlignment="1">
      <alignment horizontal="center" vertical="center" wrapText="1"/>
    </xf>
    <xf numFmtId="0" fontId="22" fillId="0" borderId="125" xfId="0" applyFont="1" applyBorder="1" applyAlignment="1">
      <alignment horizontal="center" vertical="center" wrapText="1"/>
    </xf>
    <xf numFmtId="0" fontId="22" fillId="0" borderId="126" xfId="0" applyFont="1" applyBorder="1" applyAlignment="1">
      <alignment horizontal="center" vertical="center" wrapText="1"/>
    </xf>
    <xf numFmtId="0" fontId="22" fillId="0" borderId="109" xfId="0" applyFont="1" applyBorder="1" applyAlignment="1">
      <alignment horizontal="center" vertical="center" wrapText="1"/>
    </xf>
    <xf numFmtId="0" fontId="22" fillId="0" borderId="115"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116" xfId="0" applyFont="1" applyBorder="1" applyAlignment="1">
      <alignment horizontal="center" vertical="center" wrapText="1"/>
    </xf>
    <xf numFmtId="0" fontId="22" fillId="0" borderId="153"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152" xfId="0" applyFont="1" applyBorder="1" applyAlignment="1">
      <alignment horizontal="center" vertical="center" wrapText="1"/>
    </xf>
    <xf numFmtId="0" fontId="22" fillId="0" borderId="140" xfId="0" applyFont="1" applyBorder="1" applyAlignment="1">
      <alignment horizontal="center" vertical="center"/>
    </xf>
    <xf numFmtId="0" fontId="22" fillId="0" borderId="141" xfId="0" applyFont="1" applyBorder="1" applyAlignment="1">
      <alignment horizontal="center" vertical="center"/>
    </xf>
    <xf numFmtId="0" fontId="22" fillId="0" borderId="128" xfId="0" applyFont="1" applyBorder="1" applyAlignment="1">
      <alignment horizontal="center" vertical="center"/>
    </xf>
    <xf numFmtId="0" fontId="22" fillId="0" borderId="14" xfId="0" applyFont="1" applyBorder="1" applyAlignment="1">
      <alignment horizontal="center" vertical="center"/>
    </xf>
    <xf numFmtId="0" fontId="22" fillId="0" borderId="145" xfId="0" applyFont="1" applyBorder="1" applyAlignment="1">
      <alignment horizontal="center" vertical="center" wrapText="1"/>
    </xf>
    <xf numFmtId="0" fontId="22" fillId="0" borderId="146" xfId="0" applyFont="1" applyBorder="1" applyAlignment="1">
      <alignment horizontal="center" vertical="center" wrapText="1"/>
    </xf>
    <xf numFmtId="0" fontId="22" fillId="0" borderId="147" xfId="0" applyFont="1" applyBorder="1" applyAlignment="1">
      <alignment horizontal="center" vertical="center" wrapText="1"/>
    </xf>
    <xf numFmtId="0" fontId="7" fillId="11" borderId="3" xfId="0" applyFont="1" applyFill="1" applyBorder="1" applyAlignment="1">
      <alignment horizontal="center" vertical="center"/>
    </xf>
    <xf numFmtId="0" fontId="7" fillId="11" borderId="10" xfId="0" applyFont="1" applyFill="1" applyBorder="1" applyAlignment="1">
      <alignment horizontal="center" vertical="center"/>
    </xf>
    <xf numFmtId="0" fontId="73" fillId="11" borderId="2" xfId="0" applyFont="1" applyFill="1" applyBorder="1" applyAlignment="1">
      <alignment horizontal="center" vertical="center"/>
    </xf>
    <xf numFmtId="0" fontId="7" fillId="11" borderId="9" xfId="0" applyFont="1" applyFill="1" applyBorder="1" applyAlignment="1">
      <alignment horizontal="center" vertical="center"/>
    </xf>
    <xf numFmtId="0" fontId="22" fillId="0" borderId="142" xfId="0" applyFont="1" applyBorder="1" applyAlignment="1">
      <alignment horizontal="center" vertical="center" wrapText="1"/>
    </xf>
    <xf numFmtId="0" fontId="22" fillId="0" borderId="143" xfId="0" applyFont="1" applyBorder="1" applyAlignment="1">
      <alignment horizontal="center" vertical="center" wrapText="1"/>
    </xf>
    <xf numFmtId="0" fontId="22" fillId="0" borderId="144"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109" xfId="0" applyFont="1" applyBorder="1" applyAlignment="1">
      <alignment horizontal="center" vertical="center"/>
    </xf>
    <xf numFmtId="0" fontId="22" fillId="0" borderId="39" xfId="0" applyFont="1" applyBorder="1" applyAlignment="1">
      <alignment horizontal="center" vertical="center"/>
    </xf>
    <xf numFmtId="0" fontId="22" fillId="0" borderId="115" xfId="0" applyFont="1" applyBorder="1" applyAlignment="1">
      <alignment horizontal="center" vertical="center"/>
    </xf>
    <xf numFmtId="0" fontId="22" fillId="0" borderId="100"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70" xfId="0" applyFont="1" applyBorder="1" applyAlignment="1">
      <alignment horizontal="center" vertical="center" wrapText="1"/>
    </xf>
    <xf numFmtId="0" fontId="22" fillId="0" borderId="177" xfId="0" applyFont="1" applyBorder="1" applyAlignment="1">
      <alignment horizontal="center" vertical="center" wrapText="1"/>
    </xf>
    <xf numFmtId="0" fontId="22" fillId="0" borderId="171" xfId="0" applyFont="1" applyBorder="1" applyAlignment="1">
      <alignment horizontal="center" vertical="center" wrapText="1"/>
    </xf>
    <xf numFmtId="0" fontId="22" fillId="0" borderId="98"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94"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151" xfId="0" applyFont="1" applyBorder="1" applyAlignment="1">
      <alignment horizontal="center" vertical="center" wrapText="1"/>
    </xf>
    <xf numFmtId="0" fontId="7" fillId="11" borderId="8" xfId="0" applyFont="1" applyFill="1" applyBorder="1" applyAlignment="1">
      <alignment horizontal="center" vertical="center"/>
    </xf>
    <xf numFmtId="0" fontId="7" fillId="11" borderId="12" xfId="0" applyFont="1" applyFill="1" applyBorder="1" applyAlignment="1">
      <alignment horizontal="center" vertical="center"/>
    </xf>
    <xf numFmtId="0" fontId="22" fillId="0" borderId="132" xfId="0" applyFont="1" applyBorder="1" applyAlignment="1">
      <alignment horizontal="center" vertical="center" wrapText="1"/>
    </xf>
    <xf numFmtId="0" fontId="22" fillId="0" borderId="123" xfId="0" applyFont="1" applyBorder="1" applyAlignment="1">
      <alignment horizontal="center" vertical="center" wrapText="1"/>
    </xf>
    <xf numFmtId="0" fontId="22" fillId="0" borderId="127"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93" xfId="0" applyFont="1" applyBorder="1" applyAlignment="1">
      <alignment horizontal="center" vertical="center"/>
    </xf>
    <xf numFmtId="0" fontId="22" fillId="0" borderId="49" xfId="0" applyFont="1" applyBorder="1" applyAlignment="1">
      <alignment horizontal="center" vertical="center"/>
    </xf>
    <xf numFmtId="0" fontId="22" fillId="0" borderId="56" xfId="0" applyFont="1" applyBorder="1" applyAlignment="1">
      <alignment horizontal="center" vertical="center" wrapText="1"/>
    </xf>
    <xf numFmtId="0" fontId="22" fillId="0" borderId="106"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97" xfId="0" applyFont="1" applyBorder="1" applyAlignment="1">
      <alignment horizontal="center" vertical="center" wrapText="1"/>
    </xf>
    <xf numFmtId="0" fontId="7" fillId="11" borderId="136" xfId="0" applyFont="1" applyFill="1" applyBorder="1" applyAlignment="1">
      <alignment horizontal="center" vertical="center"/>
    </xf>
    <xf numFmtId="0" fontId="7" fillId="11" borderId="0" xfId="0" applyFont="1" applyFill="1" applyAlignment="1">
      <alignment horizontal="center" vertical="center"/>
    </xf>
    <xf numFmtId="0" fontId="7" fillId="11" borderId="129" xfId="0" applyFont="1" applyFill="1" applyBorder="1" applyAlignment="1">
      <alignment horizontal="center" vertical="center"/>
    </xf>
    <xf numFmtId="0" fontId="7" fillId="11" borderId="138" xfId="0" applyFont="1" applyFill="1" applyBorder="1" applyAlignment="1">
      <alignment horizontal="center" vertical="center"/>
    </xf>
    <xf numFmtId="0" fontId="19" fillId="11" borderId="2" xfId="0" applyFont="1" applyFill="1" applyBorder="1" applyAlignment="1">
      <alignment horizontal="center" vertical="center" wrapText="1"/>
    </xf>
    <xf numFmtId="0" fontId="72" fillId="68" borderId="27" xfId="0" applyFont="1" applyFill="1" applyBorder="1" applyAlignment="1">
      <alignment horizontal="center" vertical="center" wrapText="1"/>
    </xf>
    <xf numFmtId="0" fontId="22" fillId="68" borderId="107" xfId="0" applyFont="1" applyFill="1" applyBorder="1" applyAlignment="1">
      <alignment horizontal="center" vertical="center" wrapText="1"/>
    </xf>
    <xf numFmtId="0" fontId="22" fillId="0" borderId="122" xfId="0" applyFont="1" applyBorder="1" applyAlignment="1">
      <alignment horizontal="center" vertical="center" wrapText="1"/>
    </xf>
    <xf numFmtId="0" fontId="22" fillId="0" borderId="124" xfId="0" applyFont="1" applyBorder="1" applyAlignment="1">
      <alignment horizontal="center" vertical="center" wrapText="1"/>
    </xf>
    <xf numFmtId="0" fontId="22" fillId="0" borderId="139"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horizontal="center" vertical="center"/>
    </xf>
    <xf numFmtId="0" fontId="22" fillId="0" borderId="144" xfId="0" applyFont="1" applyBorder="1" applyAlignment="1">
      <alignment horizontal="center" vertical="center"/>
    </xf>
    <xf numFmtId="0" fontId="22" fillId="0" borderId="148" xfId="0" applyFont="1" applyBorder="1" applyAlignment="1">
      <alignment horizontal="center" vertical="center" wrapText="1"/>
    </xf>
    <xf numFmtId="0" fontId="22" fillId="0" borderId="149" xfId="0" applyFont="1" applyBorder="1" applyAlignment="1">
      <alignment horizontal="center" vertical="center" wrapText="1"/>
    </xf>
    <xf numFmtId="0" fontId="6" fillId="12" borderId="2" xfId="0" applyFont="1" applyFill="1" applyBorder="1" applyAlignment="1">
      <alignment horizontal="left" vertical="center"/>
    </xf>
    <xf numFmtId="0" fontId="24" fillId="11" borderId="64" xfId="0" applyFont="1" applyFill="1" applyBorder="1" applyAlignment="1">
      <alignment horizontal="center" vertical="center" wrapText="1"/>
    </xf>
    <xf numFmtId="0" fontId="24" fillId="11" borderId="65" xfId="0" applyFont="1" applyFill="1" applyBorder="1" applyAlignment="1">
      <alignment horizontal="center" vertical="center" wrapText="1"/>
    </xf>
    <xf numFmtId="0" fontId="6" fillId="0" borderId="157" xfId="0" applyFont="1" applyBorder="1" applyAlignment="1">
      <alignment horizontal="center" vertical="center"/>
    </xf>
    <xf numFmtId="0" fontId="6" fillId="0" borderId="158" xfId="0" applyFont="1" applyBorder="1" applyAlignment="1">
      <alignment horizontal="center" vertical="center"/>
    </xf>
    <xf numFmtId="0" fontId="23" fillId="0" borderId="157" xfId="0" applyFont="1" applyBorder="1" applyAlignment="1">
      <alignment horizontal="center" vertical="center"/>
    </xf>
    <xf numFmtId="0" fontId="23" fillId="0" borderId="158" xfId="0" applyFont="1" applyBorder="1" applyAlignment="1">
      <alignment horizontal="center" vertical="center"/>
    </xf>
    <xf numFmtId="0" fontId="33" fillId="15" borderId="0" xfId="0" applyFont="1" applyFill="1" applyBorder="1" applyAlignment="1">
      <alignment horizontal="center" vertical="center"/>
    </xf>
    <xf numFmtId="0" fontId="33" fillId="15" borderId="129" xfId="0" applyFont="1" applyFill="1" applyBorder="1" applyAlignment="1">
      <alignment horizontal="center" vertical="center"/>
    </xf>
    <xf numFmtId="9" fontId="6" fillId="0" borderId="35" xfId="2" applyFont="1" applyFill="1" applyBorder="1" applyAlignment="1">
      <alignment horizontal="center" vertical="center"/>
    </xf>
    <xf numFmtId="9" fontId="6" fillId="0" borderId="21" xfId="2" applyFont="1" applyFill="1" applyBorder="1" applyAlignment="1">
      <alignment horizontal="center" vertical="center"/>
    </xf>
    <xf numFmtId="9" fontId="6" fillId="0" borderId="22"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38" xfId="0" applyFont="1" applyBorder="1" applyAlignment="1">
      <alignment horizontal="center" vertical="center"/>
    </xf>
    <xf numFmtId="0" fontId="24" fillId="11" borderId="2" xfId="0" applyFont="1" applyFill="1" applyBorder="1" applyAlignment="1">
      <alignment horizontal="center" vertical="center"/>
    </xf>
    <xf numFmtId="0" fontId="0" fillId="0" borderId="0" xfId="0" applyAlignment="1">
      <alignment horizontal="center"/>
    </xf>
    <xf numFmtId="0" fontId="23" fillId="0" borderId="0" xfId="0" applyFont="1" applyAlignment="1"/>
  </cellXfs>
  <cellStyles count="56">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874909A9-6B6C-4ED3-AEEF-7FB802EDD672}"/>
    <cellStyle name="60% - Accent2 2" xfId="49" xr:uid="{551EE961-B200-442F-8E70-43348D80993C}"/>
    <cellStyle name="60% - Accent3 2" xfId="50" xr:uid="{D43732E8-CB5B-4914-8A74-FB6CF190AA60}"/>
    <cellStyle name="60% - Accent4 2" xfId="51" xr:uid="{7CA9A3AF-F1FA-4BCC-98BF-66D8D8016BFE}"/>
    <cellStyle name="60% - Accent5 2" xfId="52" xr:uid="{A7F421C6-D5E5-4280-ADE4-5B119369A8F6}"/>
    <cellStyle name="60% - Accent6 2" xfId="53" xr:uid="{68C62149-6229-4222-A172-EE59CBC8D235}"/>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DDF4F503-C0CF-4195-9257-4F45B68F3098}"/>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E96257D3-C98A-4AC9-A7B2-E6BDC6978BF6}"/>
    <cellStyle name="Normal 3" xfId="7" xr:uid="{1C10DAE4-4F9C-4E19-81E4-5574511A6741}"/>
    <cellStyle name="Normal 4" xfId="11" xr:uid="{43272557-B37F-4996-BC18-AA3EDEAFA379}"/>
    <cellStyle name="Normal 5" xfId="12" xr:uid="{642BE191-BE2F-4847-8420-1C59B95E270E}"/>
    <cellStyle name="Normal 6" xfId="54" xr:uid="{7585D5C8-B005-4741-8680-972F49B8AC32}"/>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5A7D0C32-8F4B-497D-90E5-7131264DDEAA}"/>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D9E1F2"/>
      <color rgb="FF203764"/>
      <color rgb="FF002F8E"/>
      <color rgb="FF0000CC"/>
      <color rgb="FF2DC8FF"/>
      <color rgb="FFFF9900"/>
      <color rgb="FFCCCCFF"/>
      <color rgb="FF8238BA"/>
      <color rgb="FFFFEBCD"/>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a:t>
            </a:r>
            <a:endParaRPr lang="en-US" sz="1000" b="0" i="0" u="none" strike="noStrike" kern="1200" spc="0" baseline="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4138296291730452"/>
          <c:y val="7.10657212771082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0.2</c:v>
                </c:pt>
                <c:pt idx="9">
                  <c:v>0.5</c:v>
                </c:pt>
                <c:pt idx="10">
                  <c:v>0.5</c:v>
                </c:pt>
                <c:pt idx="11">
                  <c:v>0.7</c:v>
                </c:pt>
                <c:pt idx="12">
                  <c:v>0.7</c:v>
                </c:pt>
                <c:pt idx="13">
                  <c:v>0.7</c:v>
                </c:pt>
                <c:pt idx="14">
                  <c:v>0.7</c:v>
                </c:pt>
                <c:pt idx="15">
                  <c:v>0.8</c:v>
                </c:pt>
                <c:pt idx="16">
                  <c:v>0.7</c:v>
                </c:pt>
                <c:pt idx="17">
                  <c:v>0.5</c:v>
                </c:pt>
                <c:pt idx="18">
                  <c:v>0.5</c:v>
                </c:pt>
                <c:pt idx="19">
                  <c:v>0.3</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0.2</c:v>
                </c:pt>
                <c:pt idx="9">
                  <c:v>0.5</c:v>
                </c:pt>
                <c:pt idx="10">
                  <c:v>0.6</c:v>
                </c:pt>
                <c:pt idx="11">
                  <c:v>0.8</c:v>
                </c:pt>
                <c:pt idx="12">
                  <c:v>0.8</c:v>
                </c:pt>
                <c:pt idx="13">
                  <c:v>0.8</c:v>
                </c:pt>
                <c:pt idx="14">
                  <c:v>0.8</c:v>
                </c:pt>
                <c:pt idx="15">
                  <c:v>0.8</c:v>
                </c:pt>
                <c:pt idx="16">
                  <c:v>0.8</c:v>
                </c:pt>
                <c:pt idx="17">
                  <c:v>0.6</c:v>
                </c:pt>
                <c:pt idx="18">
                  <c:v>0.2</c:v>
                </c:pt>
                <c:pt idx="19">
                  <c:v>0.2</c:v>
                </c:pt>
                <c:pt idx="20">
                  <c:v>0.2</c:v>
                </c:pt>
                <c:pt idx="21">
                  <c:v>0.1</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c:v>
                </c:pt>
                <c:pt idx="9">
                  <c:v>0.1</c:v>
                </c:pt>
                <c:pt idx="10">
                  <c:v>0.2</c:v>
                </c:pt>
                <c:pt idx="11">
                  <c:v>0.2</c:v>
                </c:pt>
                <c:pt idx="12">
                  <c:v>0.4</c:v>
                </c:pt>
                <c:pt idx="13">
                  <c:v>0.4</c:v>
                </c:pt>
                <c:pt idx="14">
                  <c:v>0.4</c:v>
                </c:pt>
                <c:pt idx="15">
                  <c:v>0.4</c:v>
                </c:pt>
                <c:pt idx="16">
                  <c:v>0.4</c:v>
                </c:pt>
                <c:pt idx="17">
                  <c:v>0.2</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0.05</c:v>
                </c:pt>
                <c:pt idx="1">
                  <c:v>0.05</c:v>
                </c:pt>
                <c:pt idx="2">
                  <c:v>0.05</c:v>
                </c:pt>
                <c:pt idx="3">
                  <c:v>0.05</c:v>
                </c:pt>
                <c:pt idx="4">
                  <c:v>0.05</c:v>
                </c:pt>
                <c:pt idx="5">
                  <c:v>0.05</c:v>
                </c:pt>
                <c:pt idx="6">
                  <c:v>0.05</c:v>
                </c:pt>
                <c:pt idx="7">
                  <c:v>0.2</c:v>
                </c:pt>
                <c:pt idx="8">
                  <c:v>0.5</c:v>
                </c:pt>
                <c:pt idx="9">
                  <c:v>0.85</c:v>
                </c:pt>
                <c:pt idx="10">
                  <c:v>0.85</c:v>
                </c:pt>
                <c:pt idx="11">
                  <c:v>0.85</c:v>
                </c:pt>
                <c:pt idx="12">
                  <c:v>0.85</c:v>
                </c:pt>
                <c:pt idx="13">
                  <c:v>0.85</c:v>
                </c:pt>
                <c:pt idx="14">
                  <c:v>0.85</c:v>
                </c:pt>
                <c:pt idx="15">
                  <c:v>0.85</c:v>
                </c:pt>
                <c:pt idx="16">
                  <c:v>0.85</c:v>
                </c:pt>
                <c:pt idx="17">
                  <c:v>0.85</c:v>
                </c:pt>
                <c:pt idx="18">
                  <c:v>0.55000000000000004</c:v>
                </c:pt>
                <c:pt idx="19">
                  <c:v>0.55000000000000004</c:v>
                </c:pt>
                <c:pt idx="20">
                  <c:v>0.5</c:v>
                </c:pt>
                <c:pt idx="21">
                  <c:v>0.2</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0.05</c:v>
                </c:pt>
                <c:pt idx="1">
                  <c:v>0.05</c:v>
                </c:pt>
                <c:pt idx="2">
                  <c:v>0.05</c:v>
                </c:pt>
                <c:pt idx="3">
                  <c:v>0.05</c:v>
                </c:pt>
                <c:pt idx="4">
                  <c:v>0.05</c:v>
                </c:pt>
                <c:pt idx="5">
                  <c:v>0.05</c:v>
                </c:pt>
                <c:pt idx="6">
                  <c:v>0.05</c:v>
                </c:pt>
                <c:pt idx="7">
                  <c:v>0.1</c:v>
                </c:pt>
                <c:pt idx="8">
                  <c:v>0.3</c:v>
                </c:pt>
                <c:pt idx="9">
                  <c:v>0.55000000000000004</c:v>
                </c:pt>
                <c:pt idx="10">
                  <c:v>0.85</c:v>
                </c:pt>
                <c:pt idx="11">
                  <c:v>0.85</c:v>
                </c:pt>
                <c:pt idx="12">
                  <c:v>0.85</c:v>
                </c:pt>
                <c:pt idx="13">
                  <c:v>0.85</c:v>
                </c:pt>
                <c:pt idx="14">
                  <c:v>0.85</c:v>
                </c:pt>
                <c:pt idx="15">
                  <c:v>0.85</c:v>
                </c:pt>
                <c:pt idx="16">
                  <c:v>0.85</c:v>
                </c:pt>
                <c:pt idx="17">
                  <c:v>0.85</c:v>
                </c:pt>
                <c:pt idx="18">
                  <c:v>0.5</c:v>
                </c:pt>
                <c:pt idx="19">
                  <c:v>0.3</c:v>
                </c:pt>
                <c:pt idx="20">
                  <c:v>0.3</c:v>
                </c:pt>
                <c:pt idx="21">
                  <c:v>0.1</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0.4</c:v>
                </c:pt>
                <c:pt idx="11">
                  <c:v>0.4</c:v>
                </c:pt>
                <c:pt idx="12">
                  <c:v>0.55000000000000004</c:v>
                </c:pt>
                <c:pt idx="13">
                  <c:v>0.55000000000000004</c:v>
                </c:pt>
                <c:pt idx="14">
                  <c:v>0.55000000000000004</c:v>
                </c:pt>
                <c:pt idx="15">
                  <c:v>0.55000000000000004</c:v>
                </c:pt>
                <c:pt idx="16">
                  <c:v>0.55000000000000004</c:v>
                </c:pt>
                <c:pt idx="17">
                  <c:v>0.4</c:v>
                </c:pt>
                <c:pt idx="18">
                  <c:v>0.2</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0.6</c:v>
                </c:pt>
                <c:pt idx="20">
                  <c:v>0.6</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0.9</c:v>
                </c:pt>
                <c:pt idx="20">
                  <c:v>0.6</c:v>
                </c:pt>
                <c:pt idx="21">
                  <c:v>0.6</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0.9</c:v>
                </c:pt>
                <c:pt idx="12">
                  <c:v>0.9</c:v>
                </c:pt>
                <c:pt idx="13">
                  <c:v>0.9</c:v>
                </c:pt>
                <c:pt idx="14">
                  <c:v>0.9</c:v>
                </c:pt>
                <c:pt idx="15">
                  <c:v>0.9</c:v>
                </c:pt>
                <c:pt idx="16">
                  <c:v>0.9</c:v>
                </c:pt>
                <c:pt idx="17">
                  <c:v>0.6</c:v>
                </c:pt>
                <c:pt idx="18">
                  <c:v>0.6</c:v>
                </c:pt>
                <c:pt idx="19">
                  <c:v>0.4</c:v>
                </c:pt>
                <c:pt idx="20">
                  <c:v>0.4</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Usage'!$U$3:$U$18</c:f>
              <c:numCache>
                <c:formatCode>0.00</c:formatCode>
                <c:ptCount val="16"/>
                <c:pt idx="0">
                  <c:v>36.235439999999997</c:v>
                </c:pt>
                <c:pt idx="1">
                  <c:v>31.091849999999997</c:v>
                </c:pt>
                <c:pt idx="2">
                  <c:v>35.00712</c:v>
                </c:pt>
                <c:pt idx="3">
                  <c:v>35.263020000000004</c:v>
                </c:pt>
                <c:pt idx="4">
                  <c:v>34.751220000000004</c:v>
                </c:pt>
                <c:pt idx="5">
                  <c:v>25.462049999999998</c:v>
                </c:pt>
                <c:pt idx="6">
                  <c:v>28.737570000000002</c:v>
                </c:pt>
                <c:pt idx="7">
                  <c:v>25.103789999999996</c:v>
                </c:pt>
                <c:pt idx="8">
                  <c:v>27.6372</c:v>
                </c:pt>
                <c:pt idx="9">
                  <c:v>27.739560000000001</c:v>
                </c:pt>
                <c:pt idx="10">
                  <c:v>34.085880000000003</c:v>
                </c:pt>
                <c:pt idx="11">
                  <c:v>35.49333</c:v>
                </c:pt>
                <c:pt idx="12">
                  <c:v>38.410589999999999</c:v>
                </c:pt>
                <c:pt idx="13">
                  <c:v>25.282919999999997</c:v>
                </c:pt>
                <c:pt idx="14">
                  <c:v>31.782780000000002</c:v>
                </c:pt>
                <c:pt idx="15">
                  <c:v>28.558439999999997</c:v>
                </c:pt>
              </c:numCache>
            </c:numRef>
          </c:val>
          <c:extLst>
            <c:ext xmlns:c16="http://schemas.microsoft.com/office/drawing/2014/chart" uri="{C3380CC4-5D6E-409C-BE32-E72D297353CC}">
              <c16:uniqueId val="{00000000-D05A-4ED2-900A-3C0BE55F76DE}"/>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24.156959999999998</c:v>
                </c:pt>
                <c:pt idx="1">
                  <c:v>20.727900000000002</c:v>
                </c:pt>
                <c:pt idx="2">
                  <c:v>23.338079999999991</c:v>
                </c:pt>
                <c:pt idx="3">
                  <c:v>23.508679999999998</c:v>
                </c:pt>
                <c:pt idx="4">
                  <c:v>23.167479999999998</c:v>
                </c:pt>
                <c:pt idx="5">
                  <c:v>16.974699999999999</c:v>
                </c:pt>
                <c:pt idx="6">
                  <c:v>19.158379999999998</c:v>
                </c:pt>
                <c:pt idx="7">
                  <c:v>16.735860000000002</c:v>
                </c:pt>
                <c:pt idx="8">
                  <c:v>18.424800000000005</c:v>
                </c:pt>
                <c:pt idx="9">
                  <c:v>18.493040000000004</c:v>
                </c:pt>
                <c:pt idx="10">
                  <c:v>22.723919999999993</c:v>
                </c:pt>
                <c:pt idx="11">
                  <c:v>23.662220000000005</c:v>
                </c:pt>
                <c:pt idx="12">
                  <c:v>25.607060000000004</c:v>
                </c:pt>
                <c:pt idx="13">
                  <c:v>16.855279999999993</c:v>
                </c:pt>
                <c:pt idx="14">
                  <c:v>21.188519999999997</c:v>
                </c:pt>
                <c:pt idx="15">
                  <c:v>19.038960000000003</c:v>
                </c:pt>
              </c:numCache>
            </c:numRef>
          </c:val>
          <c:extLst>
            <c:ext xmlns:c16="http://schemas.microsoft.com/office/drawing/2014/chart" uri="{C3380CC4-5D6E-409C-BE32-E72D297353CC}">
              <c16:uniqueId val="{00000001-D05A-4ED2-900A-3C0BE55F76D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82.5</c:v>
                </c:pt>
                <c:pt idx="1">
                  <c:v>72.2</c:v>
                </c:pt>
                <c:pt idx="2">
                  <c:v>61.7</c:v>
                </c:pt>
                <c:pt idx="3">
                  <c:v>68.099999999999994</c:v>
                </c:pt>
                <c:pt idx="4">
                  <c:v>48.3</c:v>
                </c:pt>
                <c:pt idx="5">
                  <c:v>43.9</c:v>
                </c:pt>
                <c:pt idx="6">
                  <c:v>41.2</c:v>
                </c:pt>
                <c:pt idx="7">
                  <c:v>51.6</c:v>
                </c:pt>
                <c:pt idx="8">
                  <c:v>56</c:v>
                </c:pt>
                <c:pt idx="9">
                  <c:v>56.5</c:v>
                </c:pt>
                <c:pt idx="10">
                  <c:v>79.7</c:v>
                </c:pt>
                <c:pt idx="11">
                  <c:v>71</c:v>
                </c:pt>
                <c:pt idx="12">
                  <c:v>69.599999999999994</c:v>
                </c:pt>
                <c:pt idx="13">
                  <c:v>80</c:v>
                </c:pt>
                <c:pt idx="14">
                  <c:v>69.900000000000006</c:v>
                </c:pt>
                <c:pt idx="15">
                  <c:v>107.7</c:v>
                </c:pt>
              </c:numCache>
            </c:numRef>
          </c:yVal>
          <c:smooth val="0"/>
          <c:extLst>
            <c:ext xmlns:c16="http://schemas.microsoft.com/office/drawing/2014/chart" uri="{C3380CC4-5D6E-409C-BE32-E72D297353CC}">
              <c16:uniqueId val="{00000002-D05A-4ED2-900A-3C0BE55F76D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50.2</c:v>
                </c:pt>
                <c:pt idx="1">
                  <c:v>47.8</c:v>
                </c:pt>
                <c:pt idx="2">
                  <c:v>43.1</c:v>
                </c:pt>
                <c:pt idx="3">
                  <c:v>49.8</c:v>
                </c:pt>
                <c:pt idx="4">
                  <c:v>42.4</c:v>
                </c:pt>
                <c:pt idx="5">
                  <c:v>39.200000000000003</c:v>
                </c:pt>
                <c:pt idx="6">
                  <c:v>38.1</c:v>
                </c:pt>
                <c:pt idx="7">
                  <c:v>45.8</c:v>
                </c:pt>
                <c:pt idx="8">
                  <c:v>46.3</c:v>
                </c:pt>
                <c:pt idx="9">
                  <c:v>48.6</c:v>
                </c:pt>
                <c:pt idx="10">
                  <c:v>57.5</c:v>
                </c:pt>
                <c:pt idx="11">
                  <c:v>51</c:v>
                </c:pt>
                <c:pt idx="12">
                  <c:v>56.8</c:v>
                </c:pt>
                <c:pt idx="13">
                  <c:v>60.8</c:v>
                </c:pt>
                <c:pt idx="14">
                  <c:v>66</c:v>
                </c:pt>
                <c:pt idx="15">
                  <c:v>69.400000000000006</c:v>
                </c:pt>
              </c:numCache>
            </c:numRef>
          </c:yVal>
          <c:smooth val="0"/>
          <c:extLst>
            <c:ext xmlns:c16="http://schemas.microsoft.com/office/drawing/2014/chart" uri="{C3380CC4-5D6E-409C-BE32-E72D297353CC}">
              <c16:uniqueId val="{00000003-D05A-4ED2-900A-3C0BE55F76D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20"/>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General</c:formatCode>
                <c:ptCount val="16"/>
                <c:pt idx="0">
                  <c:v>43.875</c:v>
                </c:pt>
                <c:pt idx="1">
                  <c:v>51.675000000000004</c:v>
                </c:pt>
                <c:pt idx="2">
                  <c:v>47.625</c:v>
                </c:pt>
                <c:pt idx="3">
                  <c:v>53.400000000000006</c:v>
                </c:pt>
                <c:pt idx="4">
                  <c:v>46.349999999999994</c:v>
                </c:pt>
                <c:pt idx="5">
                  <c:v>51.300000000000004</c:v>
                </c:pt>
                <c:pt idx="6">
                  <c:v>51.300000000000004</c:v>
                </c:pt>
                <c:pt idx="7">
                  <c:v>52.050000000000004</c:v>
                </c:pt>
                <c:pt idx="8">
                  <c:v>52.574999999999996</c:v>
                </c:pt>
                <c:pt idx="9">
                  <c:v>52.949999999999996</c:v>
                </c:pt>
                <c:pt idx="10">
                  <c:v>54.375</c:v>
                </c:pt>
                <c:pt idx="11">
                  <c:v>53.699999999999996</c:v>
                </c:pt>
                <c:pt idx="12">
                  <c:v>54.375</c:v>
                </c:pt>
                <c:pt idx="13">
                  <c:v>54.599999999999994</c:v>
                </c:pt>
                <c:pt idx="14">
                  <c:v>52.875</c:v>
                </c:pt>
                <c:pt idx="15">
                  <c:v>53.625</c:v>
                </c:pt>
              </c:numCache>
            </c:numRef>
          </c:val>
          <c:extLst>
            <c:ext xmlns:c16="http://schemas.microsoft.com/office/drawing/2014/chart" uri="{C3380CC4-5D6E-409C-BE32-E72D297353CC}">
              <c16:uniqueId val="{00000000-2692-41FB-9225-B17D3FC7AF8A}"/>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29.25</c:v>
                </c:pt>
                <c:pt idx="1">
                  <c:v>34.449999999999996</c:v>
                </c:pt>
                <c:pt idx="2">
                  <c:v>31.75</c:v>
                </c:pt>
                <c:pt idx="3">
                  <c:v>35.599999999999994</c:v>
                </c:pt>
                <c:pt idx="4">
                  <c:v>30.900000000000006</c:v>
                </c:pt>
                <c:pt idx="5">
                  <c:v>34.199999999999996</c:v>
                </c:pt>
                <c:pt idx="6">
                  <c:v>34.199999999999996</c:v>
                </c:pt>
                <c:pt idx="7">
                  <c:v>34.699999999999996</c:v>
                </c:pt>
                <c:pt idx="8">
                  <c:v>35.050000000000004</c:v>
                </c:pt>
                <c:pt idx="9">
                  <c:v>35.300000000000004</c:v>
                </c:pt>
                <c:pt idx="10">
                  <c:v>36.25</c:v>
                </c:pt>
                <c:pt idx="11">
                  <c:v>35.800000000000004</c:v>
                </c:pt>
                <c:pt idx="12">
                  <c:v>36.25</c:v>
                </c:pt>
                <c:pt idx="13">
                  <c:v>36.400000000000006</c:v>
                </c:pt>
                <c:pt idx="14">
                  <c:v>35.25</c:v>
                </c:pt>
                <c:pt idx="15">
                  <c:v>35.75</c:v>
                </c:pt>
              </c:numCache>
            </c:numRef>
          </c:val>
          <c:extLst>
            <c:ext xmlns:c16="http://schemas.microsoft.com/office/drawing/2014/chart" uri="{C3380CC4-5D6E-409C-BE32-E72D297353CC}">
              <c16:uniqueId val="{00000001-2692-41FB-9225-B17D3FC7AF8A}"/>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82.5</c:v>
                </c:pt>
                <c:pt idx="1">
                  <c:v>72.2</c:v>
                </c:pt>
                <c:pt idx="2">
                  <c:v>61.7</c:v>
                </c:pt>
                <c:pt idx="3">
                  <c:v>68.099999999999994</c:v>
                </c:pt>
                <c:pt idx="4">
                  <c:v>48.3</c:v>
                </c:pt>
                <c:pt idx="5">
                  <c:v>43.9</c:v>
                </c:pt>
                <c:pt idx="6">
                  <c:v>41.2</c:v>
                </c:pt>
                <c:pt idx="7">
                  <c:v>51.6</c:v>
                </c:pt>
                <c:pt idx="8">
                  <c:v>56</c:v>
                </c:pt>
                <c:pt idx="9">
                  <c:v>56.5</c:v>
                </c:pt>
                <c:pt idx="10">
                  <c:v>79.7</c:v>
                </c:pt>
                <c:pt idx="11">
                  <c:v>71</c:v>
                </c:pt>
                <c:pt idx="12">
                  <c:v>69.599999999999994</c:v>
                </c:pt>
                <c:pt idx="13">
                  <c:v>80</c:v>
                </c:pt>
                <c:pt idx="14">
                  <c:v>69.900000000000006</c:v>
                </c:pt>
                <c:pt idx="15">
                  <c:v>107.7</c:v>
                </c:pt>
              </c:numCache>
            </c:numRef>
          </c:yVal>
          <c:smooth val="0"/>
          <c:extLst>
            <c:ext xmlns:c16="http://schemas.microsoft.com/office/drawing/2014/chart" uri="{C3380CC4-5D6E-409C-BE32-E72D297353CC}">
              <c16:uniqueId val="{00000002-2692-41FB-9225-B17D3FC7AF8A}"/>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50.2</c:v>
                </c:pt>
                <c:pt idx="1">
                  <c:v>47.8</c:v>
                </c:pt>
                <c:pt idx="2">
                  <c:v>43.1</c:v>
                </c:pt>
                <c:pt idx="3">
                  <c:v>49.8</c:v>
                </c:pt>
                <c:pt idx="4">
                  <c:v>42.4</c:v>
                </c:pt>
                <c:pt idx="5">
                  <c:v>39.200000000000003</c:v>
                </c:pt>
                <c:pt idx="6">
                  <c:v>38.1</c:v>
                </c:pt>
                <c:pt idx="7">
                  <c:v>45.8</c:v>
                </c:pt>
                <c:pt idx="8">
                  <c:v>46.3</c:v>
                </c:pt>
                <c:pt idx="9">
                  <c:v>48.6</c:v>
                </c:pt>
                <c:pt idx="10">
                  <c:v>57.5</c:v>
                </c:pt>
                <c:pt idx="11">
                  <c:v>51</c:v>
                </c:pt>
                <c:pt idx="12">
                  <c:v>56.8</c:v>
                </c:pt>
                <c:pt idx="13">
                  <c:v>60.8</c:v>
                </c:pt>
                <c:pt idx="14">
                  <c:v>66</c:v>
                </c:pt>
                <c:pt idx="15">
                  <c:v>69.400000000000006</c:v>
                </c:pt>
              </c:numCache>
            </c:numRef>
          </c:yVal>
          <c:smooth val="0"/>
          <c:extLst>
            <c:ext xmlns:c16="http://schemas.microsoft.com/office/drawing/2014/chart" uri="{C3380CC4-5D6E-409C-BE32-E72D297353CC}">
              <c16:uniqueId val="{00000003-2692-41FB-9225-B17D3FC7AF8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5"/>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0</xdr:colOff>
      <xdr:row>43</xdr:row>
      <xdr:rowOff>28576</xdr:rowOff>
    </xdr:from>
    <xdr:to>
      <xdr:col>1</xdr:col>
      <xdr:colOff>2857500</xdr:colOff>
      <xdr:row>56</xdr:row>
      <xdr:rowOff>23034</xdr:rowOff>
    </xdr:to>
    <xdr:pic>
      <xdr:nvPicPr>
        <xdr:cNvPr id="4" name="Picture 3">
          <a:extLst>
            <a:ext uri="{FF2B5EF4-FFF2-40B4-BE49-F238E27FC236}">
              <a16:creationId xmlns:a16="http://schemas.microsoft.com/office/drawing/2014/main" id="{7F0AE380-0207-403A-9BC8-1D2F20ED341B}"/>
            </a:ext>
          </a:extLst>
        </xdr:cNvPr>
        <xdr:cNvPicPr>
          <a:picLocks noChangeAspect="1"/>
        </xdr:cNvPicPr>
      </xdr:nvPicPr>
      <xdr:blipFill>
        <a:blip xmlns:r="http://schemas.openxmlformats.org/officeDocument/2006/relationships" r:embed="rId1"/>
        <a:stretch>
          <a:fillRect/>
        </a:stretch>
      </xdr:blipFill>
      <xdr:spPr>
        <a:xfrm>
          <a:off x="0" y="6686551"/>
          <a:ext cx="3867150" cy="2211878"/>
        </a:xfrm>
        <a:prstGeom prst="rect">
          <a:avLst/>
        </a:prstGeom>
      </xdr:spPr>
    </xdr:pic>
    <xdr:clientData/>
  </xdr:twoCellAnchor>
  <xdr:twoCellAnchor>
    <xdr:from>
      <xdr:col>1</xdr:col>
      <xdr:colOff>3051362</xdr:colOff>
      <xdr:row>43</xdr:row>
      <xdr:rowOff>36196</xdr:rowOff>
    </xdr:from>
    <xdr:to>
      <xdr:col>3</xdr:col>
      <xdr:colOff>0</xdr:colOff>
      <xdr:row>56</xdr:row>
      <xdr:rowOff>20955</xdr:rowOff>
    </xdr:to>
    <xdr:pic>
      <xdr:nvPicPr>
        <xdr:cNvPr id="5" name="Picture 4">
          <a:extLst>
            <a:ext uri="{FF2B5EF4-FFF2-40B4-BE49-F238E27FC236}">
              <a16:creationId xmlns:a16="http://schemas.microsoft.com/office/drawing/2014/main" id="{FDDD33B8-E82D-4B5C-BA37-0C256756E603}"/>
            </a:ext>
          </a:extLst>
        </xdr:cNvPr>
        <xdr:cNvPicPr>
          <a:picLocks noChangeAspect="1"/>
        </xdr:cNvPicPr>
      </xdr:nvPicPr>
      <xdr:blipFill>
        <a:blip xmlns:r="http://schemas.openxmlformats.org/officeDocument/2006/relationships" r:embed="rId2"/>
        <a:stretch>
          <a:fillRect/>
        </a:stretch>
      </xdr:blipFill>
      <xdr:spPr>
        <a:xfrm>
          <a:off x="4061012" y="6694171"/>
          <a:ext cx="3914696" cy="2219324"/>
        </a:xfrm>
        <a:prstGeom prst="rect">
          <a:avLst/>
        </a:prstGeom>
      </xdr:spPr>
    </xdr:pic>
    <xdr:clientData/>
  </xdr:twoCellAnchor>
  <xdr:twoCellAnchor>
    <xdr:from>
      <xdr:col>0</xdr:col>
      <xdr:colOff>0</xdr:colOff>
      <xdr:row>63</xdr:row>
      <xdr:rowOff>0</xdr:rowOff>
    </xdr:from>
    <xdr:to>
      <xdr:col>1</xdr:col>
      <xdr:colOff>2914649</xdr:colOff>
      <xdr:row>74</xdr:row>
      <xdr:rowOff>66</xdr:rowOff>
    </xdr:to>
    <xdr:pic>
      <xdr:nvPicPr>
        <xdr:cNvPr id="6" name="Picture 5">
          <a:extLst>
            <a:ext uri="{FF2B5EF4-FFF2-40B4-BE49-F238E27FC236}">
              <a16:creationId xmlns:a16="http://schemas.microsoft.com/office/drawing/2014/main" id="{A307D6D9-6305-4A4D-80D8-DA35F4B208A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2313"/>
        <a:stretch>
          <a:fillRect/>
        </a:stretch>
      </xdr:blipFill>
      <xdr:spPr bwMode="auto">
        <a:xfrm>
          <a:off x="0" y="9582150"/>
          <a:ext cx="3931919" cy="1886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3095625</xdr:colOff>
      <xdr:row>62</xdr:row>
      <xdr:rowOff>88640</xdr:rowOff>
    </xdr:from>
    <xdr:to>
      <xdr:col>3</xdr:col>
      <xdr:colOff>0</xdr:colOff>
      <xdr:row>74</xdr:row>
      <xdr:rowOff>0</xdr:rowOff>
    </xdr:to>
    <xdr:pic>
      <xdr:nvPicPr>
        <xdr:cNvPr id="7" name="Picture 6">
          <a:extLst>
            <a:ext uri="{FF2B5EF4-FFF2-40B4-BE49-F238E27FC236}">
              <a16:creationId xmlns:a16="http://schemas.microsoft.com/office/drawing/2014/main" id="{05802ED0-4DAB-4010-98D6-C22C6F02B3C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2983"/>
        <a:stretch>
          <a:fillRect/>
        </a:stretch>
      </xdr:blipFill>
      <xdr:spPr bwMode="auto">
        <a:xfrm>
          <a:off x="4105275" y="10013690"/>
          <a:ext cx="3907913" cy="195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52445</xdr:colOff>
      <xdr:row>42</xdr:row>
      <xdr:rowOff>392207</xdr:rowOff>
    </xdr:from>
    <xdr:to>
      <xdr:col>1</xdr:col>
      <xdr:colOff>3447399</xdr:colOff>
      <xdr:row>42</xdr:row>
      <xdr:rowOff>1447464</xdr:rowOff>
    </xdr:to>
    <xdr:pic>
      <xdr:nvPicPr>
        <xdr:cNvPr id="13" name="Picture 12">
          <a:extLst>
            <a:ext uri="{FF2B5EF4-FFF2-40B4-BE49-F238E27FC236}">
              <a16:creationId xmlns:a16="http://schemas.microsoft.com/office/drawing/2014/main" id="{45A43EB6-EA74-7A40-D04D-2373C3F14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945" y="7575178"/>
          <a:ext cx="3408289" cy="10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134913</xdr:colOff>
      <xdr:row>47</xdr:row>
      <xdr:rowOff>309442</xdr:rowOff>
    </xdr:from>
    <xdr:to>
      <xdr:col>4</xdr:col>
      <xdr:colOff>2716549</xdr:colOff>
      <xdr:row>47</xdr:row>
      <xdr:rowOff>1375092</xdr:rowOff>
    </xdr:to>
    <xdr:pic>
      <xdr:nvPicPr>
        <xdr:cNvPr id="15" name="Picture 14">
          <a:extLst>
            <a:ext uri="{FF2B5EF4-FFF2-40B4-BE49-F238E27FC236}">
              <a16:creationId xmlns:a16="http://schemas.microsoft.com/office/drawing/2014/main" id="{4C80B8BB-C8E3-1224-5A61-B26E99153F86}"/>
            </a:ext>
          </a:extLst>
        </xdr:cNvPr>
        <xdr:cNvPicPr>
          <a:picLocks noChangeAspect="1"/>
        </xdr:cNvPicPr>
      </xdr:nvPicPr>
      <xdr:blipFill>
        <a:blip xmlns:r="http://schemas.openxmlformats.org/officeDocument/2006/relationships" r:embed="rId2"/>
        <a:stretch>
          <a:fillRect/>
        </a:stretch>
      </xdr:blipFill>
      <xdr:spPr>
        <a:xfrm>
          <a:off x="11262354" y="7313118"/>
          <a:ext cx="2581636" cy="1065650"/>
        </a:xfrm>
        <a:prstGeom prst="rect">
          <a:avLst/>
        </a:prstGeom>
      </xdr:spPr>
    </xdr:pic>
    <xdr:clientData/>
  </xdr:twoCellAnchor>
  <xdr:twoCellAnchor>
    <xdr:from>
      <xdr:col>5</xdr:col>
      <xdr:colOff>65332</xdr:colOff>
      <xdr:row>47</xdr:row>
      <xdr:rowOff>394159</xdr:rowOff>
    </xdr:from>
    <xdr:to>
      <xdr:col>5</xdr:col>
      <xdr:colOff>3074912</xdr:colOff>
      <xdr:row>47</xdr:row>
      <xdr:rowOff>1456765</xdr:rowOff>
    </xdr:to>
    <xdr:pic>
      <xdr:nvPicPr>
        <xdr:cNvPr id="16" name="Picture 15">
          <a:extLst>
            <a:ext uri="{FF2B5EF4-FFF2-40B4-BE49-F238E27FC236}">
              <a16:creationId xmlns:a16="http://schemas.microsoft.com/office/drawing/2014/main" id="{9E1D8925-688A-4941-ED2C-716B0ECC50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330420" y="7397835"/>
          <a:ext cx="3009580" cy="106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201709</xdr:colOff>
      <xdr:row>28</xdr:row>
      <xdr:rowOff>51539</xdr:rowOff>
    </xdr:from>
    <xdr:to>
      <xdr:col>1</xdr:col>
      <xdr:colOff>3162910</xdr:colOff>
      <xdr:row>28</xdr:row>
      <xdr:rowOff>1226036</xdr:rowOff>
    </xdr:to>
    <xdr:pic>
      <xdr:nvPicPr>
        <xdr:cNvPr id="18" name="Picture 17">
          <a:extLst>
            <a:ext uri="{FF2B5EF4-FFF2-40B4-BE49-F238E27FC236}">
              <a16:creationId xmlns:a16="http://schemas.microsoft.com/office/drawing/2014/main" id="{3AFA9C98-B3B3-F63D-E38E-23943B91C609}"/>
            </a:ext>
          </a:extLst>
        </xdr:cNvPr>
        <xdr:cNvPicPr>
          <a:picLocks noChangeAspect="1"/>
        </xdr:cNvPicPr>
      </xdr:nvPicPr>
      <xdr:blipFill>
        <a:blip xmlns:r="http://schemas.openxmlformats.org/officeDocument/2006/relationships" r:embed="rId4"/>
        <a:stretch>
          <a:fillRect/>
        </a:stretch>
      </xdr:blipFill>
      <xdr:spPr>
        <a:xfrm>
          <a:off x="2084297" y="6976774"/>
          <a:ext cx="2961201" cy="1174497"/>
        </a:xfrm>
        <a:prstGeom prst="rect">
          <a:avLst/>
        </a:prstGeom>
      </xdr:spPr>
    </xdr:pic>
    <xdr:clientData/>
  </xdr:twoCellAnchor>
  <xdr:twoCellAnchor>
    <xdr:from>
      <xdr:col>1</xdr:col>
      <xdr:colOff>241792</xdr:colOff>
      <xdr:row>47</xdr:row>
      <xdr:rowOff>254179</xdr:rowOff>
    </xdr:from>
    <xdr:to>
      <xdr:col>1</xdr:col>
      <xdr:colOff>2870167</xdr:colOff>
      <xdr:row>47</xdr:row>
      <xdr:rowOff>1362745</xdr:rowOff>
    </xdr:to>
    <xdr:pic>
      <xdr:nvPicPr>
        <xdr:cNvPr id="19" name="Picture 18">
          <a:extLst>
            <a:ext uri="{FF2B5EF4-FFF2-40B4-BE49-F238E27FC236}">
              <a16:creationId xmlns:a16="http://schemas.microsoft.com/office/drawing/2014/main" id="{47AF1A39-050B-8441-BE75-39849A3D7339}"/>
            </a:ext>
          </a:extLst>
        </xdr:cNvPr>
        <xdr:cNvPicPr>
          <a:picLocks noChangeAspect="1"/>
        </xdr:cNvPicPr>
      </xdr:nvPicPr>
      <xdr:blipFill>
        <a:blip xmlns:r="http://schemas.openxmlformats.org/officeDocument/2006/relationships" r:embed="rId5"/>
        <a:stretch>
          <a:fillRect/>
        </a:stretch>
      </xdr:blipFill>
      <xdr:spPr>
        <a:xfrm>
          <a:off x="8433292" y="7257855"/>
          <a:ext cx="2628375" cy="1108566"/>
        </a:xfrm>
        <a:prstGeom prst="rect">
          <a:avLst/>
        </a:prstGeom>
      </xdr:spPr>
    </xdr:pic>
    <xdr:clientData/>
  </xdr:twoCellAnchor>
  <xdr:twoCellAnchor>
    <xdr:from>
      <xdr:col>1</xdr:col>
      <xdr:colOff>313765</xdr:colOff>
      <xdr:row>52</xdr:row>
      <xdr:rowOff>252299</xdr:rowOff>
    </xdr:from>
    <xdr:to>
      <xdr:col>1</xdr:col>
      <xdr:colOff>2761056</xdr:colOff>
      <xdr:row>52</xdr:row>
      <xdr:rowOff>1540809</xdr:rowOff>
    </xdr:to>
    <xdr:pic>
      <xdr:nvPicPr>
        <xdr:cNvPr id="20" name="Picture 19">
          <a:extLst>
            <a:ext uri="{FF2B5EF4-FFF2-40B4-BE49-F238E27FC236}">
              <a16:creationId xmlns:a16="http://schemas.microsoft.com/office/drawing/2014/main" id="{367EE4C1-741C-1A7C-A298-0D09B6F94333}"/>
            </a:ext>
          </a:extLst>
        </xdr:cNvPr>
        <xdr:cNvPicPr>
          <a:picLocks noChangeAspect="1"/>
        </xdr:cNvPicPr>
      </xdr:nvPicPr>
      <xdr:blipFill>
        <a:blip xmlns:r="http://schemas.openxmlformats.org/officeDocument/2006/relationships" r:embed="rId6"/>
        <a:stretch>
          <a:fillRect/>
        </a:stretch>
      </xdr:blipFill>
      <xdr:spPr>
        <a:xfrm>
          <a:off x="8964706" y="7435270"/>
          <a:ext cx="2451101" cy="1284700"/>
        </a:xfrm>
        <a:prstGeom prst="rect">
          <a:avLst/>
        </a:prstGeom>
      </xdr:spPr>
    </xdr:pic>
    <xdr:clientData/>
  </xdr:twoCellAnchor>
  <xdr:twoCellAnchor>
    <xdr:from>
      <xdr:col>2</xdr:col>
      <xdr:colOff>114734</xdr:colOff>
      <xdr:row>52</xdr:row>
      <xdr:rowOff>54125</xdr:rowOff>
    </xdr:from>
    <xdr:to>
      <xdr:col>2</xdr:col>
      <xdr:colOff>2454088</xdr:colOff>
      <xdr:row>52</xdr:row>
      <xdr:rowOff>1555991</xdr:rowOff>
    </xdr:to>
    <xdr:pic>
      <xdr:nvPicPr>
        <xdr:cNvPr id="21" name="Picture 20">
          <a:extLst>
            <a:ext uri="{FF2B5EF4-FFF2-40B4-BE49-F238E27FC236}">
              <a16:creationId xmlns:a16="http://schemas.microsoft.com/office/drawing/2014/main" id="{CF6F9B66-C6E0-4EEA-AB60-D8D93953091B}"/>
            </a:ext>
          </a:extLst>
        </xdr:cNvPr>
        <xdr:cNvPicPr>
          <a:picLocks noChangeAspect="1"/>
        </xdr:cNvPicPr>
      </xdr:nvPicPr>
      <xdr:blipFill>
        <a:blip xmlns:r="http://schemas.openxmlformats.org/officeDocument/2006/relationships" r:embed="rId7"/>
        <a:stretch>
          <a:fillRect/>
        </a:stretch>
      </xdr:blipFill>
      <xdr:spPr>
        <a:xfrm>
          <a:off x="23714322" y="7057801"/>
          <a:ext cx="2339354" cy="1501866"/>
        </a:xfrm>
        <a:prstGeom prst="rect">
          <a:avLst/>
        </a:prstGeom>
      </xdr:spPr>
    </xdr:pic>
    <xdr:clientData/>
  </xdr:twoCellAnchor>
  <xdr:twoCellAnchor>
    <xdr:from>
      <xdr:col>2</xdr:col>
      <xdr:colOff>218179</xdr:colOff>
      <xdr:row>42</xdr:row>
      <xdr:rowOff>113554</xdr:rowOff>
    </xdr:from>
    <xdr:to>
      <xdr:col>2</xdr:col>
      <xdr:colOff>2850103</xdr:colOff>
      <xdr:row>42</xdr:row>
      <xdr:rowOff>1668810</xdr:rowOff>
    </xdr:to>
    <xdr:pic>
      <xdr:nvPicPr>
        <xdr:cNvPr id="22" name="Picture 21">
          <a:extLst>
            <a:ext uri="{FF2B5EF4-FFF2-40B4-BE49-F238E27FC236}">
              <a16:creationId xmlns:a16="http://schemas.microsoft.com/office/drawing/2014/main" id="{266977DA-7DCF-FFA2-D686-40D70B90B1E2}"/>
            </a:ext>
          </a:extLst>
        </xdr:cNvPr>
        <xdr:cNvPicPr>
          <a:picLocks noChangeAspect="1"/>
        </xdr:cNvPicPr>
      </xdr:nvPicPr>
      <xdr:blipFill>
        <a:blip xmlns:r="http://schemas.openxmlformats.org/officeDocument/2006/relationships" r:embed="rId8"/>
        <a:stretch>
          <a:fillRect/>
        </a:stretch>
      </xdr:blipFill>
      <xdr:spPr>
        <a:xfrm>
          <a:off x="17396797" y="7117230"/>
          <a:ext cx="2631924" cy="1555256"/>
        </a:xfrm>
        <a:prstGeom prst="rect">
          <a:avLst/>
        </a:prstGeom>
      </xdr:spPr>
    </xdr:pic>
    <xdr:clientData/>
  </xdr:twoCellAnchor>
  <xdr:twoCellAnchor>
    <xdr:from>
      <xdr:col>3</xdr:col>
      <xdr:colOff>97265</xdr:colOff>
      <xdr:row>42</xdr:row>
      <xdr:rowOff>193201</xdr:rowOff>
    </xdr:from>
    <xdr:to>
      <xdr:col>3</xdr:col>
      <xdr:colOff>2859405</xdr:colOff>
      <xdr:row>42</xdr:row>
      <xdr:rowOff>1556600</xdr:rowOff>
    </xdr:to>
    <xdr:pic>
      <xdr:nvPicPr>
        <xdr:cNvPr id="23" name="Picture 22">
          <a:extLst>
            <a:ext uri="{FF2B5EF4-FFF2-40B4-BE49-F238E27FC236}">
              <a16:creationId xmlns:a16="http://schemas.microsoft.com/office/drawing/2014/main" id="{9F973CE7-AED9-6585-B3B6-A3BE1194169B}"/>
            </a:ext>
          </a:extLst>
        </xdr:cNvPr>
        <xdr:cNvPicPr>
          <a:picLocks noChangeAspect="1"/>
        </xdr:cNvPicPr>
      </xdr:nvPicPr>
      <xdr:blipFill>
        <a:blip xmlns:r="http://schemas.openxmlformats.org/officeDocument/2006/relationships" r:embed="rId9"/>
        <a:stretch>
          <a:fillRect/>
        </a:stretch>
      </xdr:blipFill>
      <xdr:spPr>
        <a:xfrm>
          <a:off x="20563591" y="7233418"/>
          <a:ext cx="2762140" cy="1363399"/>
        </a:xfrm>
        <a:prstGeom prst="rect">
          <a:avLst/>
        </a:prstGeom>
      </xdr:spPr>
    </xdr:pic>
    <xdr:clientData/>
  </xdr:twoCellAnchor>
  <xdr:twoCellAnchor editAs="oneCell">
    <xdr:from>
      <xdr:col>2</xdr:col>
      <xdr:colOff>35521</xdr:colOff>
      <xdr:row>25</xdr:row>
      <xdr:rowOff>164971</xdr:rowOff>
    </xdr:from>
    <xdr:to>
      <xdr:col>2</xdr:col>
      <xdr:colOff>2771662</xdr:colOff>
      <xdr:row>33</xdr:row>
      <xdr:rowOff>44561</xdr:rowOff>
    </xdr:to>
    <xdr:pic>
      <xdr:nvPicPr>
        <xdr:cNvPr id="5" name="Picture 2">
          <a:extLst>
            <a:ext uri="{FF2B5EF4-FFF2-40B4-BE49-F238E27FC236}">
              <a16:creationId xmlns:a16="http://schemas.microsoft.com/office/drawing/2014/main" id="{568593F8-B5A5-0B73-F160-F53B67216052}"/>
            </a:ext>
          </a:extLst>
        </xdr:cNvPr>
        <xdr:cNvPicPr>
          <a:picLocks noChangeAspect="1"/>
        </xdr:cNvPicPr>
      </xdr:nvPicPr>
      <xdr:blipFill>
        <a:blip xmlns:r="http://schemas.openxmlformats.org/officeDocument/2006/relationships" r:embed="rId10"/>
        <a:stretch>
          <a:fillRect/>
        </a:stretch>
      </xdr:blipFill>
      <xdr:spPr>
        <a:xfrm>
          <a:off x="5447962" y="6395442"/>
          <a:ext cx="2739951" cy="2613265"/>
        </a:xfrm>
        <a:prstGeom prst="rect">
          <a:avLst/>
        </a:prstGeom>
      </xdr:spPr>
    </xdr:pic>
    <xdr:clientData/>
  </xdr:twoCellAnchor>
  <xdr:twoCellAnchor editAs="oneCell">
    <xdr:from>
      <xdr:col>1</xdr:col>
      <xdr:colOff>228600</xdr:colOff>
      <xdr:row>6</xdr:row>
      <xdr:rowOff>76200</xdr:rowOff>
    </xdr:from>
    <xdr:to>
      <xdr:col>1</xdr:col>
      <xdr:colOff>3209925</xdr:colOff>
      <xdr:row>6</xdr:row>
      <xdr:rowOff>1076325</xdr:rowOff>
    </xdr:to>
    <xdr:pic>
      <xdr:nvPicPr>
        <xdr:cNvPr id="2" name="Picture 1">
          <a:extLst>
            <a:ext uri="{FF2B5EF4-FFF2-40B4-BE49-F238E27FC236}">
              <a16:creationId xmlns:a16="http://schemas.microsoft.com/office/drawing/2014/main" id="{40A3D24E-0592-06CA-9BD7-3A53B1896EEF}"/>
            </a:ext>
            <a:ext uri="{147F2762-F138-4A5C-976F-8EAC2B608ADB}">
              <a16:predDERef xmlns:a16="http://schemas.microsoft.com/office/drawing/2014/main" pred="{568593F8-B5A5-0B73-F160-F53B67216052}"/>
            </a:ext>
          </a:extLst>
        </xdr:cNvPr>
        <xdr:cNvPicPr>
          <a:picLocks noChangeAspect="1"/>
        </xdr:cNvPicPr>
      </xdr:nvPicPr>
      <xdr:blipFill>
        <a:blip xmlns:r="http://schemas.openxmlformats.org/officeDocument/2006/relationships" r:embed="rId11"/>
        <a:stretch>
          <a:fillRect/>
        </a:stretch>
      </xdr:blipFill>
      <xdr:spPr>
        <a:xfrm>
          <a:off x="2066925" y="1638300"/>
          <a:ext cx="2981325"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1325218</xdr:colOff>
      <xdr:row>0</xdr:row>
      <xdr:rowOff>67505</xdr:rowOff>
    </xdr:from>
    <xdr:to>
      <xdr:col>13</xdr:col>
      <xdr:colOff>1565412</xdr:colOff>
      <xdr:row>0</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338530</xdr:colOff>
      <xdr:row>42</xdr:row>
      <xdr:rowOff>149353</xdr:rowOff>
    </xdr:from>
    <xdr:to>
      <xdr:col>2</xdr:col>
      <xdr:colOff>2140324</xdr:colOff>
      <xdr:row>64</xdr:row>
      <xdr:rowOff>80906</xdr:rowOff>
    </xdr:to>
    <xdr:pic>
      <xdr:nvPicPr>
        <xdr:cNvPr id="2" name="Picture 1">
          <a:extLst>
            <a:ext uri="{FF2B5EF4-FFF2-40B4-BE49-F238E27FC236}">
              <a16:creationId xmlns:a16="http://schemas.microsoft.com/office/drawing/2014/main" id="{AF409DF6-607E-580D-1775-C6E78F721F77}"/>
            </a:ext>
          </a:extLst>
        </xdr:cNvPr>
        <xdr:cNvPicPr>
          <a:picLocks noChangeAspect="1"/>
        </xdr:cNvPicPr>
      </xdr:nvPicPr>
      <xdr:blipFill>
        <a:blip xmlns:r="http://schemas.openxmlformats.org/officeDocument/2006/relationships" r:embed="rId1"/>
        <a:stretch>
          <a:fillRect/>
        </a:stretch>
      </xdr:blipFill>
      <xdr:spPr>
        <a:xfrm>
          <a:off x="338530" y="11332824"/>
          <a:ext cx="5667823" cy="36294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53</xdr:row>
      <xdr:rowOff>76200</xdr:rowOff>
    </xdr:from>
    <xdr:to>
      <xdr:col>2</xdr:col>
      <xdr:colOff>1139394</xdr:colOff>
      <xdr:row>80</xdr:row>
      <xdr:rowOff>141483</xdr:rowOff>
    </xdr:to>
    <xdr:pic>
      <xdr:nvPicPr>
        <xdr:cNvPr id="2" name="Picture 2">
          <a:extLst>
            <a:ext uri="{FF2B5EF4-FFF2-40B4-BE49-F238E27FC236}">
              <a16:creationId xmlns:a16="http://schemas.microsoft.com/office/drawing/2014/main" id="{FA3B08BF-53BE-42B9-BE9B-F08C7EDF1C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948940"/>
          <a:ext cx="4423614" cy="45915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15240</xdr:rowOff>
    </xdr:from>
    <xdr:to>
      <xdr:col>5</xdr:col>
      <xdr:colOff>243840</xdr:colOff>
      <xdr:row>27</xdr:row>
      <xdr:rowOff>66344</xdr:rowOff>
    </xdr:to>
    <xdr:pic>
      <xdr:nvPicPr>
        <xdr:cNvPr id="3" name="Picture 1">
          <a:extLst>
            <a:ext uri="{FF2B5EF4-FFF2-40B4-BE49-F238E27FC236}">
              <a16:creationId xmlns:a16="http://schemas.microsoft.com/office/drawing/2014/main" id="{8E4C9FDC-56AE-6406-B3B4-62D1F5570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82540"/>
          <a:ext cx="7178040" cy="1590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37</xdr:row>
      <xdr:rowOff>125729</xdr:rowOff>
    </xdr:from>
    <xdr:to>
      <xdr:col>3</xdr:col>
      <xdr:colOff>629008</xdr:colOff>
      <xdr:row>57</xdr:row>
      <xdr:rowOff>5714</xdr:rowOff>
    </xdr:to>
    <xdr:pic>
      <xdr:nvPicPr>
        <xdr:cNvPr id="2" name="Picture 1">
          <a:extLst>
            <a:ext uri="{FF2B5EF4-FFF2-40B4-BE49-F238E27FC236}">
              <a16:creationId xmlns:a16="http://schemas.microsoft.com/office/drawing/2014/main" id="{D7AFFBF3-95D4-4DEF-A310-E3C99FD31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3907154"/>
          <a:ext cx="5572482" cy="3307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381000</xdr:colOff>
      <xdr:row>2</xdr:row>
      <xdr:rowOff>9525</xdr:rowOff>
    </xdr:from>
    <xdr:to>
      <xdr:col>36</xdr:col>
      <xdr:colOff>200025</xdr:colOff>
      <xdr:row>5</xdr:row>
      <xdr:rowOff>190500</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390525</xdr:colOff>
      <xdr:row>5</xdr:row>
      <xdr:rowOff>238125</xdr:rowOff>
    </xdr:from>
    <xdr:to>
      <xdr:col>36</xdr:col>
      <xdr:colOff>200025</xdr:colOff>
      <xdr:row>9</xdr:row>
      <xdr:rowOff>57150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390525</xdr:colOff>
      <xdr:row>9</xdr:row>
      <xdr:rowOff>114300</xdr:rowOff>
    </xdr:from>
    <xdr:to>
      <xdr:col>36</xdr:col>
      <xdr:colOff>209550</xdr:colOff>
      <xdr:row>12</xdr:row>
      <xdr:rowOff>104775</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23</xdr:col>
      <xdr:colOff>561975</xdr:colOff>
      <xdr:row>0</xdr:row>
      <xdr:rowOff>200025</xdr:rowOff>
    </xdr:from>
    <xdr:to>
      <xdr:col>40</xdr:col>
      <xdr:colOff>289786</xdr:colOff>
      <xdr:row>20</xdr:row>
      <xdr:rowOff>129428</xdr:rowOff>
    </xdr:to>
    <xdr:graphicFrame macro="">
      <xdr:nvGraphicFramePr>
        <xdr:cNvPr id="3" name="Chart 1">
          <a:extLst>
            <a:ext uri="{FF2B5EF4-FFF2-40B4-BE49-F238E27FC236}">
              <a16:creationId xmlns:a16="http://schemas.microsoft.com/office/drawing/2014/main" id="{1ACE68BF-FC81-4B82-A437-E19745D9C281}"/>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133350</xdr:colOff>
      <xdr:row>24</xdr:row>
      <xdr:rowOff>19050</xdr:rowOff>
    </xdr:from>
    <xdr:to>
      <xdr:col>40</xdr:col>
      <xdr:colOff>442186</xdr:colOff>
      <xdr:row>55</xdr:row>
      <xdr:rowOff>110378</xdr:rowOff>
    </xdr:to>
    <xdr:graphicFrame macro="">
      <xdr:nvGraphicFramePr>
        <xdr:cNvPr id="7" name="Chart 3">
          <a:extLst>
            <a:ext uri="{FF2B5EF4-FFF2-40B4-BE49-F238E27FC236}">
              <a16:creationId xmlns:a16="http://schemas.microsoft.com/office/drawing/2014/main" id="{99F95636-831C-42DF-8BCE-29AEDFDA9CA4}"/>
            </a:ext>
            <a:ext uri="{147F2762-F138-4A5C-976F-8EAC2B608ADB}">
              <a16:predDERef xmlns:a16="http://schemas.microsoft.com/office/drawing/2014/main" pred="{1ACE68BF-FC81-4B82-A437-E19745D9C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250627</xdr:colOff>
      <xdr:row>22</xdr:row>
      <xdr:rowOff>168221</xdr:rowOff>
    </xdr:from>
    <xdr:to>
      <xdr:col>9</xdr:col>
      <xdr:colOff>163830</xdr:colOff>
      <xdr:row>32</xdr:row>
      <xdr:rowOff>143847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250627" y="4168721"/>
          <a:ext cx="5399603" cy="1785376"/>
        </a:xfrm>
        <a:prstGeom prst="rect">
          <a:avLst/>
        </a:prstGeom>
      </xdr:spPr>
    </xdr:pic>
    <xdr:clientData/>
  </xdr:twoCellAnchor>
  <xdr:twoCellAnchor>
    <xdr:from>
      <xdr:col>0</xdr:col>
      <xdr:colOff>0</xdr:colOff>
      <xdr:row>14</xdr:row>
      <xdr:rowOff>38100</xdr:rowOff>
    </xdr:from>
    <xdr:to>
      <xdr:col>10</xdr:col>
      <xdr:colOff>104775</xdr:colOff>
      <xdr:row>22</xdr:row>
      <xdr:rowOff>105747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0" y="2590800"/>
          <a:ext cx="6200775" cy="15154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CFR-2024-title10-vol3/pdf/CFR-2024-title10-vol3-part431-subpartF.pdf" TargetMode="External"/><Relationship Id="rId13" Type="http://schemas.openxmlformats.org/officeDocument/2006/relationships/hyperlink" Target="https://title24stakeholders.com/wp-content/uploads/2016/10/T24-2019-CASE-Study-Results-Report-Outdoor-Sources_Final_with-Attachments.pdf"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www.govinfo.gov/content/pkg/FR-2009-03-23/pdf/FR-2009-03-23.pdf" TargetMode="External"/><Relationship Id="rId12"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2" Type="http://schemas.openxmlformats.org/officeDocument/2006/relationships/hyperlink" Target="https://www.energycodes.gov/prototype-building-models" TargetMode="External"/><Relationship Id="rId16" Type="http://schemas.openxmlformats.org/officeDocument/2006/relationships/drawing" Target="../drawings/drawing1.xml"/><Relationship Id="rId1" Type="http://schemas.openxmlformats.org/officeDocument/2006/relationships/hyperlink" Target="https://bees.noresco.com/software2022.html" TargetMode="External"/><Relationship Id="rId6"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1" Type="http://schemas.openxmlformats.org/officeDocument/2006/relationships/hyperlink" Target="https://www.pnnl.gov/main/publications/external/technical_reports/PNNL-20405.pdf" TargetMode="External"/><Relationship Id="rId5" Type="http://schemas.openxmlformats.org/officeDocument/2006/relationships/hyperlink" Target="https://www.eia.gov/consumption/commercial/data/2018/index.php?view=microdata" TargetMode="External"/><Relationship Id="rId15" Type="http://schemas.openxmlformats.org/officeDocument/2006/relationships/printerSettings" Target="../printerSettings/printerSettings1.bin"/><Relationship Id="rId10"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www.energy.ca.gov/publications/2023/2022-california-commercial-end-use-survey-ceus-final-report" TargetMode="External"/><Relationship Id="rId9" Type="http://schemas.openxmlformats.org/officeDocument/2006/relationships/hyperlink" Target="https://www.energy.ca.gov/publications/2022/2022-nonresidential-and-multifamily-alternative-calculation-method-reference" TargetMode="External"/><Relationship Id="rId14" Type="http://schemas.openxmlformats.org/officeDocument/2006/relationships/hyperlink" Target="https://efiling.energy.ca.gov/GetDocument.aspx?tn=265693&amp;DocumentContentId=10254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75"/>
  <sheetViews>
    <sheetView zoomScaleNormal="100" workbookViewId="0">
      <selection sqref="A1:C1"/>
    </sheetView>
  </sheetViews>
  <sheetFormatPr defaultColWidth="9.28515625" defaultRowHeight="13.15"/>
  <cols>
    <col min="1" max="1" width="14.7109375" style="3" customWidth="1"/>
    <col min="2" max="2" width="90.85546875" style="3" customWidth="1"/>
    <col min="3" max="3" width="38.5703125" style="3" customWidth="1"/>
    <col min="4" max="4" width="9.28515625" style="3"/>
    <col min="5" max="5" width="21.7109375" style="3" customWidth="1"/>
    <col min="6" max="6" width="10.7109375" style="3" customWidth="1"/>
    <col min="7" max="7" width="9.7109375" style="3" customWidth="1"/>
    <col min="8" max="8" width="9.7109375" style="3" bestFit="1" customWidth="1"/>
    <col min="9" max="16384" width="9.28515625" style="3"/>
  </cols>
  <sheetData>
    <row r="1" spans="1:4" ht="20.45" customHeight="1">
      <c r="A1" s="547" t="s">
        <v>0</v>
      </c>
      <c r="B1" s="547"/>
      <c r="C1" s="547"/>
    </row>
    <row r="2" spans="1:4">
      <c r="A2" s="548" t="s">
        <v>1</v>
      </c>
      <c r="B2" s="3" t="s">
        <v>2</v>
      </c>
      <c r="C2" s="478"/>
    </row>
    <row r="3" spans="1:4" ht="14.45">
      <c r="A3" s="548"/>
      <c r="B3" s="3" t="s">
        <v>3</v>
      </c>
      <c r="C3" s="182" t="s">
        <v>4</v>
      </c>
      <c r="D3" s="3" t="s">
        <v>5</v>
      </c>
    </row>
    <row r="4" spans="1:4" ht="14.45">
      <c r="A4" s="548"/>
      <c r="B4" s="3" t="s">
        <v>6</v>
      </c>
      <c r="C4" s="182" t="s">
        <v>7</v>
      </c>
      <c r="D4" s="3" t="s">
        <v>5</v>
      </c>
    </row>
    <row r="5" spans="1:4" ht="14.45">
      <c r="A5" s="548"/>
      <c r="B5" s="3" t="s">
        <v>8</v>
      </c>
      <c r="C5" s="182" t="s">
        <v>9</v>
      </c>
      <c r="D5" s="3" t="s">
        <v>5</v>
      </c>
    </row>
    <row r="6" spans="1:4" ht="14.45">
      <c r="A6" s="548" t="s">
        <v>10</v>
      </c>
      <c r="B6" s="184"/>
      <c r="C6" s="182" t="s">
        <v>11</v>
      </c>
      <c r="D6" s="3" t="s">
        <v>5</v>
      </c>
    </row>
    <row r="7" spans="1:4" ht="14.45">
      <c r="A7" s="548"/>
      <c r="B7" s="184"/>
      <c r="C7" s="182" t="s">
        <v>12</v>
      </c>
      <c r="D7" s="3" t="s">
        <v>5</v>
      </c>
    </row>
    <row r="8" spans="1:4" ht="14.45">
      <c r="A8" s="548"/>
      <c r="B8" s="3" t="s">
        <v>13</v>
      </c>
      <c r="C8" s="182" t="s">
        <v>14</v>
      </c>
      <c r="D8" s="3" t="s">
        <v>5</v>
      </c>
    </row>
    <row r="9" spans="1:4" ht="14.45">
      <c r="A9" s="548"/>
      <c r="C9" s="182"/>
      <c r="D9" s="3" t="s">
        <v>5</v>
      </c>
    </row>
    <row r="10" spans="1:4">
      <c r="A10" s="549" t="s">
        <v>15</v>
      </c>
      <c r="B10" s="3" t="s">
        <v>16</v>
      </c>
      <c r="C10" s="478"/>
      <c r="D10" s="3" t="s">
        <v>5</v>
      </c>
    </row>
    <row r="11" spans="1:4">
      <c r="A11" s="549"/>
      <c r="B11" s="3" t="s">
        <v>17</v>
      </c>
      <c r="C11" s="478"/>
    </row>
    <row r="12" spans="1:4" ht="14.45">
      <c r="A12" s="549"/>
      <c r="B12" s="3" t="s">
        <v>18</v>
      </c>
      <c r="C12" s="182" t="s">
        <v>19</v>
      </c>
      <c r="D12" s="485" t="s">
        <v>5</v>
      </c>
    </row>
    <row r="13" spans="1:4" ht="14.45">
      <c r="A13" s="549"/>
      <c r="B13" s="3" t="s">
        <v>20</v>
      </c>
      <c r="C13" s="182" t="s">
        <v>21</v>
      </c>
      <c r="D13" s="485" t="s">
        <v>5</v>
      </c>
    </row>
    <row r="14" spans="1:4">
      <c r="A14" s="549"/>
      <c r="B14" s="3" t="s">
        <v>22</v>
      </c>
      <c r="C14" s="478"/>
      <c r="D14" s="3" t="s">
        <v>5</v>
      </c>
    </row>
    <row r="15" spans="1:4" ht="14.45" customHeight="1">
      <c r="A15" s="548" t="s">
        <v>23</v>
      </c>
      <c r="B15" s="3" t="s">
        <v>24</v>
      </c>
      <c r="C15" s="478"/>
    </row>
    <row r="16" spans="1:4" ht="14.45">
      <c r="A16" s="548"/>
      <c r="B16" s="3" t="s">
        <v>25</v>
      </c>
      <c r="C16" s="182" t="s">
        <v>26</v>
      </c>
      <c r="D16" s="3" t="s">
        <v>5</v>
      </c>
    </row>
    <row r="17" spans="1:4" ht="14.45">
      <c r="A17" s="548"/>
      <c r="B17" s="7" t="s">
        <v>27</v>
      </c>
      <c r="C17" s="182" t="s">
        <v>28</v>
      </c>
      <c r="D17" s="3" t="s">
        <v>5</v>
      </c>
    </row>
    <row r="18" spans="1:4" ht="14.45">
      <c r="A18" s="548"/>
      <c r="B18" s="3" t="s">
        <v>29</v>
      </c>
      <c r="C18" s="182" t="s">
        <v>30</v>
      </c>
      <c r="D18" s="3" t="s">
        <v>5</v>
      </c>
    </row>
    <row r="19" spans="1:4" ht="14.45">
      <c r="A19" s="548"/>
      <c r="B19" s="3" t="s">
        <v>31</v>
      </c>
      <c r="C19" s="182" t="s">
        <v>32</v>
      </c>
      <c r="D19" s="3" t="s">
        <v>5</v>
      </c>
    </row>
    <row r="20" spans="1:4" ht="14.45">
      <c r="A20" s="548"/>
      <c r="B20" s="3" t="s">
        <v>33</v>
      </c>
      <c r="C20" s="183" t="s">
        <v>34</v>
      </c>
      <c r="D20" s="3" t="s">
        <v>5</v>
      </c>
    </row>
    <row r="21" spans="1:4" ht="28.9" customHeight="1">
      <c r="A21" s="548"/>
      <c r="B21" s="7" t="s">
        <v>35</v>
      </c>
      <c r="C21" s="76" t="s">
        <v>36</v>
      </c>
      <c r="D21" s="3" t="s">
        <v>5</v>
      </c>
    </row>
    <row r="22" spans="1:4">
      <c r="C22" s="478"/>
    </row>
    <row r="23" spans="1:4" ht="18.600000000000001" customHeight="1">
      <c r="A23" s="545"/>
      <c r="B23" s="545"/>
      <c r="C23" s="545"/>
    </row>
    <row r="24" spans="1:4">
      <c r="C24" s="478"/>
    </row>
    <row r="25" spans="1:4">
      <c r="C25" s="478"/>
    </row>
    <row r="26" spans="1:4">
      <c r="C26" s="478"/>
    </row>
    <row r="27" spans="1:4">
      <c r="C27" s="478"/>
    </row>
    <row r="28" spans="1:4">
      <c r="C28" s="478"/>
    </row>
    <row r="29" spans="1:4">
      <c r="C29" s="478"/>
    </row>
    <row r="30" spans="1:4">
      <c r="C30" s="478"/>
    </row>
    <row r="31" spans="1:4">
      <c r="C31" s="478"/>
    </row>
    <row r="32" spans="1:4">
      <c r="C32" s="478"/>
    </row>
    <row r="33" spans="1:8">
      <c r="C33" s="478"/>
    </row>
    <row r="34" spans="1:8">
      <c r="C34" s="478"/>
    </row>
    <row r="35" spans="1:8">
      <c r="C35" s="478"/>
    </row>
    <row r="36" spans="1:8" ht="19.149999999999999" customHeight="1">
      <c r="A36" s="545"/>
      <c r="B36" s="545"/>
      <c r="C36" s="545"/>
    </row>
    <row r="37" spans="1:8" ht="14.65" customHeight="1">
      <c r="A37" s="546"/>
      <c r="B37" s="546"/>
      <c r="C37" s="546"/>
      <c r="E37" s="474"/>
      <c r="F37" s="494"/>
      <c r="G37" s="494"/>
      <c r="H37" s="494"/>
    </row>
    <row r="38" spans="1:8" ht="14.65" customHeight="1">
      <c r="A38" s="550"/>
      <c r="B38" s="550"/>
      <c r="C38" s="550"/>
      <c r="E38" s="474"/>
      <c r="F38" s="494"/>
      <c r="G38" s="494"/>
      <c r="H38" s="494"/>
    </row>
    <row r="39" spans="1:8" ht="14.65" customHeight="1">
      <c r="A39" s="550"/>
      <c r="B39" s="550"/>
      <c r="C39" s="550"/>
      <c r="E39" s="474"/>
      <c r="F39" s="494"/>
      <c r="G39" s="494"/>
      <c r="H39" s="494"/>
    </row>
    <row r="40" spans="1:8" ht="14.65" customHeight="1">
      <c r="A40" s="477"/>
      <c r="B40" s="477"/>
      <c r="C40" s="477"/>
      <c r="E40" s="474"/>
      <c r="F40" s="494"/>
      <c r="G40" s="494"/>
      <c r="H40" s="494"/>
    </row>
    <row r="41" spans="1:8">
      <c r="A41" s="5"/>
      <c r="B41" s="474"/>
      <c r="C41" s="474"/>
      <c r="E41" s="474"/>
      <c r="F41" s="27"/>
      <c r="G41" s="27"/>
      <c r="H41" s="27"/>
    </row>
    <row r="42" spans="1:8" s="21" customFormat="1" hidden="1">
      <c r="A42" s="21" t="s">
        <v>37</v>
      </c>
    </row>
    <row r="43" spans="1:8" hidden="1">
      <c r="A43" s="5"/>
      <c r="B43" s="544"/>
      <c r="C43" s="544"/>
    </row>
    <row r="44" spans="1:8" hidden="1"/>
    <row r="45" spans="1:8" hidden="1"/>
    <row r="46" spans="1:8" hidden="1"/>
    <row r="47" spans="1:8" hidden="1"/>
    <row r="48" spans="1:8" hidden="1"/>
    <row r="49" spans="1:1" hidden="1"/>
    <row r="50" spans="1:1" hidden="1"/>
    <row r="51" spans="1:1" hidden="1"/>
    <row r="52" spans="1:1" hidden="1"/>
    <row r="53" spans="1:1" hidden="1"/>
    <row r="54" spans="1:1" hidden="1"/>
    <row r="55" spans="1:1" hidden="1"/>
    <row r="56" spans="1:1" hidden="1"/>
    <row r="57" spans="1:1" ht="13.9" hidden="1">
      <c r="A57" s="2" t="s">
        <v>38</v>
      </c>
    </row>
    <row r="58" spans="1:1" ht="13.9" hidden="1">
      <c r="A58" s="2"/>
    </row>
    <row r="59" spans="1:1" ht="13.9" hidden="1">
      <c r="A59" s="2"/>
    </row>
    <row r="60" spans="1:1" ht="13.9" hidden="1">
      <c r="A60" s="2"/>
    </row>
    <row r="61" spans="1:1" ht="14.45" hidden="1">
      <c r="A61"/>
    </row>
    <row r="62" spans="1:1" ht="13.9" hidden="1">
      <c r="A62" s="2" t="s">
        <v>39</v>
      </c>
    </row>
    <row r="63" spans="1:1" hidden="1"/>
    <row r="64" spans="1:1" hidden="1"/>
    <row r="65" hidden="1"/>
    <row r="66" hidden="1"/>
    <row r="67" hidden="1"/>
    <row r="68" hidden="1"/>
    <row r="69" hidden="1"/>
    <row r="70" hidden="1"/>
    <row r="71" hidden="1"/>
    <row r="72" hidden="1"/>
    <row r="73" hidden="1"/>
    <row r="74" hidden="1"/>
    <row r="75" hidden="1"/>
  </sheetData>
  <mergeCells count="11">
    <mergeCell ref="B43:C43"/>
    <mergeCell ref="A36:C36"/>
    <mergeCell ref="A37:C37"/>
    <mergeCell ref="A1:C1"/>
    <mergeCell ref="A2:A5"/>
    <mergeCell ref="A6:A9"/>
    <mergeCell ref="A10:A14"/>
    <mergeCell ref="A23:C23"/>
    <mergeCell ref="A38:C38"/>
    <mergeCell ref="A39:C39"/>
    <mergeCell ref="A15:A21"/>
  </mergeCells>
  <hyperlinks>
    <hyperlink ref="C6" r:id="rId1" xr:uid="{BE11EEF8-3AF7-48F0-A38B-7309CE5A9491}"/>
    <hyperlink ref="C7" r:id="rId2" location="Commercial" xr:uid="{626A4776-C2FA-489E-88C0-BC9C7C8EA36F}"/>
    <hyperlink ref="C8" r:id="rId3" xr:uid="{0DEB00BB-3A26-4527-9ED4-40D17F93A579}"/>
    <hyperlink ref="C3" r:id="rId4" xr:uid="{7ADAAC21-6BF3-4C55-B602-4E3B84FE2AAA}"/>
    <hyperlink ref="C4" r:id="rId5" xr:uid="{8ADA6228-A7BF-4E82-9D60-E20B0FF95F19}"/>
    <hyperlink ref="C5" r:id="rId6" xr:uid="{19AF5EF3-14A5-44AE-B730-140BF104272A}"/>
    <hyperlink ref="C12" r:id="rId7" xr:uid="{FE849DB3-ED6C-49D1-8118-F2ED33AD63B9}"/>
    <hyperlink ref="C13" r:id="rId8" xr:uid="{A3A3FEFD-D3A5-46F8-8802-C48303DFA2AE}"/>
    <hyperlink ref="C16" r:id="rId9" xr:uid="{966D1FE9-8F3C-4D29-921A-C562DFD37547}"/>
    <hyperlink ref="C17" r:id="rId10" xr:uid="{09FF6D93-0EB0-4F00-A53C-70B27D559697}"/>
    <hyperlink ref="C19" r:id="rId11" xr:uid="{36ECAA37-AD9D-4333-B1AF-B6179117630C}"/>
    <hyperlink ref="C20" r:id="rId12" xr:uid="{CB9194D6-90E5-4386-936C-EF07D8272919}"/>
    <hyperlink ref="C18" r:id="rId13" xr:uid="{C3C0C153-47D3-4B3D-8F63-4BDB1F8259C6}"/>
    <hyperlink ref="C21" r:id="rId14" xr:uid="{F4646DDF-3A90-4E63-93E5-E07619955116}"/>
  </hyperlinks>
  <pageMargins left="0.7" right="0.7" top="0.75" bottom="0.75" header="0.3" footer="0.3"/>
  <pageSetup orientation="portrait"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66"/>
  <sheetViews>
    <sheetView zoomScale="85" zoomScaleNormal="85" workbookViewId="0">
      <selection sqref="A1:C1"/>
    </sheetView>
  </sheetViews>
  <sheetFormatPr defaultColWidth="9.28515625" defaultRowHeight="13.9"/>
  <cols>
    <col min="1" max="1" width="27.5703125" style="2" customWidth="1"/>
    <col min="2" max="2" width="51.28515625" style="2" customWidth="1"/>
    <col min="3" max="3" width="42.85546875" style="2" customWidth="1"/>
    <col min="4" max="4" width="42.7109375" style="2" customWidth="1"/>
    <col min="5" max="5" width="43.7109375" style="2" customWidth="1"/>
    <col min="6" max="6" width="46.140625" style="2" customWidth="1"/>
    <col min="7" max="7" width="44.140625" style="2" customWidth="1"/>
    <col min="8" max="8" width="43.7109375" style="2" customWidth="1"/>
    <col min="9" max="9" width="41.7109375" style="2" customWidth="1"/>
    <col min="10" max="10" width="46.28515625" style="2" customWidth="1"/>
    <col min="11" max="16384" width="9.28515625" style="2"/>
  </cols>
  <sheetData>
    <row r="1" spans="1:4" ht="17.45">
      <c r="A1" s="552" t="s">
        <v>40</v>
      </c>
      <c r="B1" s="552"/>
      <c r="C1" s="552"/>
      <c r="D1" s="8"/>
    </row>
    <row r="2" spans="1:4" ht="25.15" customHeight="1">
      <c r="A2" s="553" t="s">
        <v>41</v>
      </c>
      <c r="B2" s="554"/>
      <c r="C2" s="554"/>
      <c r="D2" s="8"/>
    </row>
    <row r="3" spans="1:4" ht="20.45" customHeight="1">
      <c r="A3" s="13" t="s">
        <v>42</v>
      </c>
      <c r="B3" s="492" t="s">
        <v>43</v>
      </c>
      <c r="C3" s="14" t="s">
        <v>0</v>
      </c>
    </row>
    <row r="4" spans="1:4" ht="16.149999999999999" customHeight="1">
      <c r="A4" s="11" t="s">
        <v>44</v>
      </c>
      <c r="B4" s="120" t="s">
        <v>45</v>
      </c>
      <c r="C4" s="11"/>
    </row>
    <row r="5" spans="1:4" ht="16.149999999999999" customHeight="1">
      <c r="A5" s="11" t="s">
        <v>46</v>
      </c>
      <c r="B5" s="120" t="s">
        <v>47</v>
      </c>
      <c r="C5" s="11"/>
    </row>
    <row r="6" spans="1:4" ht="28.9" customHeight="1">
      <c r="A6" s="11" t="s">
        <v>48</v>
      </c>
      <c r="B6" s="489" t="s">
        <v>49</v>
      </c>
      <c r="C6" s="12" t="s">
        <v>50</v>
      </c>
      <c r="D6" s="76" t="s">
        <v>51</v>
      </c>
    </row>
    <row r="7" spans="1:4" ht="97.15" customHeight="1">
      <c r="A7" s="11" t="s">
        <v>52</v>
      </c>
      <c r="B7" s="307"/>
      <c r="C7" s="12" t="s">
        <v>53</v>
      </c>
    </row>
    <row r="8" spans="1:4" ht="16.149999999999999" customHeight="1">
      <c r="A8" s="9" t="s">
        <v>54</v>
      </c>
      <c r="B8" s="272" t="s">
        <v>55</v>
      </c>
      <c r="C8" s="12" t="s">
        <v>53</v>
      </c>
    </row>
    <row r="9" spans="1:4" ht="16.149999999999999" customHeight="1">
      <c r="A9" s="9" t="s">
        <v>56</v>
      </c>
      <c r="B9" s="284">
        <v>1.25</v>
      </c>
      <c r="C9" s="12" t="s">
        <v>57</v>
      </c>
    </row>
    <row r="10" spans="1:4">
      <c r="A10" s="10" t="s">
        <v>58</v>
      </c>
      <c r="B10" s="120">
        <v>1</v>
      </c>
      <c r="C10" s="12" t="s">
        <v>57</v>
      </c>
    </row>
    <row r="11" spans="1:4">
      <c r="A11" s="10" t="s">
        <v>59</v>
      </c>
      <c r="B11" s="120" t="s">
        <v>60</v>
      </c>
      <c r="C11" s="12" t="s">
        <v>57</v>
      </c>
    </row>
    <row r="12" spans="1:4">
      <c r="A12" s="10" t="s">
        <v>61</v>
      </c>
      <c r="B12" s="308">
        <v>7.7499999999999999E-2</v>
      </c>
      <c r="C12" s="12" t="s">
        <v>57</v>
      </c>
    </row>
    <row r="13" spans="1:4" ht="14.65" customHeight="1">
      <c r="A13" s="9" t="s">
        <v>62</v>
      </c>
      <c r="B13" s="273" t="s">
        <v>63</v>
      </c>
      <c r="C13" s="12" t="s">
        <v>57</v>
      </c>
    </row>
    <row r="14" spans="1:4" ht="14.65" customHeight="1">
      <c r="A14" s="9" t="s">
        <v>64</v>
      </c>
      <c r="B14" s="120" t="s">
        <v>63</v>
      </c>
      <c r="C14" s="12" t="s">
        <v>57</v>
      </c>
    </row>
    <row r="15" spans="1:4" ht="16.149999999999999" customHeight="1">
      <c r="A15" s="9" t="s">
        <v>65</v>
      </c>
      <c r="B15" s="120">
        <v>25</v>
      </c>
      <c r="C15" s="12" t="s">
        <v>66</v>
      </c>
    </row>
    <row r="16" spans="1:4" ht="32.25" customHeight="1">
      <c r="A16" s="9" t="s">
        <v>67</v>
      </c>
      <c r="B16" s="489" t="s">
        <v>68</v>
      </c>
      <c r="C16" s="12" t="s">
        <v>66</v>
      </c>
    </row>
    <row r="17" spans="1:11" ht="10.5" customHeight="1">
      <c r="A17" s="122"/>
      <c r="B17" s="5"/>
      <c r="C17" s="474"/>
    </row>
    <row r="18" spans="1:11">
      <c r="A18" s="122"/>
      <c r="B18" s="5"/>
      <c r="C18" s="474"/>
    </row>
    <row r="19" spans="1:11">
      <c r="A19" s="122"/>
      <c r="B19" s="5"/>
      <c r="C19" s="474"/>
    </row>
    <row r="20" spans="1:11">
      <c r="A20" s="122"/>
      <c r="B20" s="5"/>
      <c r="C20" s="474"/>
    </row>
    <row r="21" spans="1:11">
      <c r="A21" s="122"/>
      <c r="B21" s="5"/>
      <c r="C21" s="474"/>
    </row>
    <row r="22" spans="1:11">
      <c r="A22" s="122"/>
      <c r="B22" s="5"/>
      <c r="C22" s="474"/>
    </row>
    <row r="24" spans="1:11" ht="14.65" customHeight="1"/>
    <row r="25" spans="1:11" s="21" customFormat="1" ht="13.15">
      <c r="A25" s="21" t="s">
        <v>37</v>
      </c>
    </row>
    <row r="26" spans="1:11" s="3" customFormat="1" ht="13.15">
      <c r="G26" s="59"/>
      <c r="H26" s="59"/>
      <c r="I26" s="59"/>
      <c r="J26" s="59"/>
      <c r="K26" s="59"/>
    </row>
    <row r="27" spans="1:11" s="3" customFormat="1" ht="21" customHeight="1">
      <c r="A27" s="119" t="s">
        <v>69</v>
      </c>
      <c r="B27" s="118"/>
      <c r="C27" s="118"/>
      <c r="F27" s="59"/>
      <c r="G27" s="59"/>
      <c r="H27" s="59"/>
      <c r="I27" s="59"/>
      <c r="J27" s="59"/>
    </row>
    <row r="28" spans="1:11" ht="20.45" customHeight="1">
      <c r="A28" s="253"/>
      <c r="B28" s="255" t="s">
        <v>70</v>
      </c>
      <c r="C28" s="3"/>
      <c r="D28" s="3"/>
      <c r="E28" s="3"/>
      <c r="F28" s="59"/>
      <c r="G28" s="3"/>
    </row>
    <row r="29" spans="1:11" ht="103.9" customHeight="1">
      <c r="A29" s="11" t="s">
        <v>71</v>
      </c>
      <c r="B29" s="81"/>
      <c r="D29" s="275" t="s">
        <v>72</v>
      </c>
      <c r="E29" s="275" t="s">
        <v>73</v>
      </c>
      <c r="F29" s="276" t="s">
        <v>74</v>
      </c>
      <c r="G29" s="3"/>
    </row>
    <row r="30" spans="1:11" ht="14.65" customHeight="1">
      <c r="A30" s="11" t="s">
        <v>75</v>
      </c>
      <c r="B30" s="114">
        <v>49997</v>
      </c>
      <c r="D30" s="277" t="s">
        <v>76</v>
      </c>
      <c r="E30" s="278">
        <v>2850.9</v>
      </c>
      <c r="F30" s="279">
        <f t="shared" ref="F30:F35" si="0">E30/$E$36</f>
        <v>5.7021466905187841E-2</v>
      </c>
      <c r="G30" s="3"/>
    </row>
    <row r="31" spans="1:11" ht="14.65" customHeight="1">
      <c r="A31" s="3"/>
      <c r="B31" s="3"/>
      <c r="D31" s="280" t="s">
        <v>77</v>
      </c>
      <c r="E31" s="278">
        <v>1559.65</v>
      </c>
      <c r="F31" s="281">
        <f t="shared" si="0"/>
        <v>3.1194896649716305E-2</v>
      </c>
      <c r="G31" s="3"/>
    </row>
    <row r="32" spans="1:11" ht="14.65" customHeight="1">
      <c r="A32" s="3"/>
      <c r="B32" s="3"/>
      <c r="D32" s="280" t="s">
        <v>78</v>
      </c>
      <c r="E32" s="278">
        <v>812.23</v>
      </c>
      <c r="F32" s="281">
        <f t="shared" si="0"/>
        <v>1.6245587731734089E-2</v>
      </c>
      <c r="G32" s="3"/>
    </row>
    <row r="33" spans="1:8" ht="14.65" customHeight="1">
      <c r="A33" s="3"/>
      <c r="B33" s="3"/>
      <c r="D33" s="277" t="s">
        <v>79</v>
      </c>
      <c r="E33" s="278">
        <v>1267.01</v>
      </c>
      <c r="F33" s="281">
        <f t="shared" si="0"/>
        <v>2.5341740777839294E-2</v>
      </c>
      <c r="G33" s="3"/>
    </row>
    <row r="34" spans="1:8" ht="14.65" customHeight="1">
      <c r="A34" s="3"/>
      <c r="B34" s="3"/>
      <c r="D34" s="277" t="s">
        <v>80</v>
      </c>
      <c r="E34" s="278">
        <v>40007.279999999999</v>
      </c>
      <c r="F34" s="281">
        <f t="shared" si="0"/>
        <v>0.80019425181051007</v>
      </c>
      <c r="G34" s="3"/>
    </row>
    <row r="35" spans="1:8" ht="14.65" customHeight="1">
      <c r="B35" s="3"/>
      <c r="C35" s="3"/>
      <c r="D35" s="282" t="s">
        <v>81</v>
      </c>
      <c r="E35" s="283">
        <v>3499.89</v>
      </c>
      <c r="F35" s="281">
        <f t="shared" si="0"/>
        <v>7.0002056125012396E-2</v>
      </c>
      <c r="G35" s="3"/>
    </row>
    <row r="36" spans="1:8" ht="14.65" customHeight="1">
      <c r="A36" s="119"/>
      <c r="B36" s="3"/>
      <c r="C36" s="3"/>
      <c r="D36" s="3"/>
      <c r="E36" s="477">
        <f>SUM(E30:E35)</f>
        <v>49996.959999999999</v>
      </c>
      <c r="F36" s="274"/>
      <c r="G36" s="3"/>
    </row>
    <row r="37" spans="1:8" ht="14.65" customHeight="1">
      <c r="A37" s="119"/>
      <c r="B37" s="3"/>
      <c r="C37" s="3"/>
      <c r="D37" s="3"/>
      <c r="E37" s="477"/>
      <c r="F37" s="274"/>
      <c r="G37" s="3"/>
    </row>
    <row r="38" spans="1:8" ht="14.65" customHeight="1">
      <c r="A38" s="119"/>
      <c r="B38" s="3"/>
      <c r="C38" s="3"/>
      <c r="D38" s="3"/>
      <c r="E38" s="477"/>
      <c r="F38" s="274"/>
      <c r="G38" s="3"/>
    </row>
    <row r="39" spans="1:8" ht="14.65" customHeight="1">
      <c r="A39" s="119" t="s">
        <v>82</v>
      </c>
      <c r="B39" s="3"/>
      <c r="C39" s="3"/>
      <c r="D39" s="3"/>
      <c r="E39" s="477"/>
      <c r="F39" s="274"/>
      <c r="G39" s="3"/>
    </row>
    <row r="40" spans="1:8" ht="14.65" customHeight="1">
      <c r="B40" s="3"/>
      <c r="C40" s="3"/>
      <c r="D40" s="3"/>
      <c r="E40" s="477"/>
      <c r="F40" s="274"/>
      <c r="G40" s="3"/>
    </row>
    <row r="41" spans="1:8" ht="14.65" customHeight="1">
      <c r="A41" s="551" t="s">
        <v>83</v>
      </c>
      <c r="B41" s="551"/>
      <c r="C41" s="551"/>
      <c r="D41" s="551"/>
      <c r="E41" s="551"/>
      <c r="F41" s="551"/>
      <c r="G41" s="59"/>
      <c r="H41" s="3"/>
    </row>
    <row r="42" spans="1:8" s="113" customFormat="1" ht="19.899999999999999" customHeight="1">
      <c r="B42" s="255" t="s">
        <v>84</v>
      </c>
      <c r="C42" s="255" t="s">
        <v>85</v>
      </c>
      <c r="D42" s="255" t="s">
        <v>86</v>
      </c>
      <c r="F42" s="59"/>
    </row>
    <row r="43" spans="1:8" ht="143.44999999999999" customHeight="1">
      <c r="A43" s="256" t="s">
        <v>87</v>
      </c>
      <c r="B43" s="81"/>
      <c r="C43" s="81"/>
      <c r="D43" s="81"/>
    </row>
    <row r="44" spans="1:8">
      <c r="A44" s="81" t="s">
        <v>75</v>
      </c>
      <c r="B44" s="257">
        <v>240000</v>
      </c>
      <c r="C44" s="257">
        <f>3*40000</f>
        <v>120000</v>
      </c>
      <c r="D44" s="257">
        <v>130502</v>
      </c>
    </row>
    <row r="45" spans="1:8" ht="19.899999999999999" customHeight="1">
      <c r="A45" s="116"/>
      <c r="B45" s="116"/>
      <c r="C45" s="103"/>
      <c r="D45" s="116"/>
      <c r="F45" s="3"/>
    </row>
    <row r="46" spans="1:8" ht="17.45" customHeight="1">
      <c r="A46" s="551" t="s">
        <v>88</v>
      </c>
      <c r="B46" s="551"/>
      <c r="C46" s="551"/>
      <c r="D46" s="551"/>
      <c r="E46" s="551"/>
      <c r="F46" s="551"/>
    </row>
    <row r="47" spans="1:8">
      <c r="A47" s="117"/>
      <c r="B47" s="254" t="s">
        <v>89</v>
      </c>
      <c r="E47" s="254" t="s">
        <v>90</v>
      </c>
      <c r="F47" s="254" t="s">
        <v>91</v>
      </c>
    </row>
    <row r="48" spans="1:8" ht="127.15" customHeight="1">
      <c r="A48" s="256" t="s">
        <v>87</v>
      </c>
      <c r="B48" s="81" t="s">
        <v>92</v>
      </c>
      <c r="E48" s="81"/>
      <c r="F48" s="81"/>
    </row>
    <row r="49" spans="1:6">
      <c r="A49" s="81" t="s">
        <v>75</v>
      </c>
      <c r="B49" s="115">
        <v>24692</v>
      </c>
      <c r="E49" s="115">
        <v>24692</v>
      </c>
      <c r="F49" s="257">
        <v>22500</v>
      </c>
    </row>
    <row r="50" spans="1:6" ht="37.9" customHeight="1">
      <c r="A50" s="116"/>
    </row>
    <row r="51" spans="1:6" ht="17.45" customHeight="1">
      <c r="A51" s="551" t="s">
        <v>93</v>
      </c>
      <c r="B51" s="551"/>
      <c r="C51" s="551"/>
      <c r="D51" s="551"/>
      <c r="E51" s="551"/>
      <c r="F51" s="551"/>
    </row>
    <row r="52" spans="1:6">
      <c r="A52" s="113"/>
      <c r="B52" s="254" t="s">
        <v>94</v>
      </c>
      <c r="C52" s="254" t="s">
        <v>95</v>
      </c>
    </row>
    <row r="53" spans="1:6" ht="123.6" customHeight="1">
      <c r="A53" s="256" t="s">
        <v>87</v>
      </c>
      <c r="B53" s="81"/>
      <c r="C53" s="81"/>
    </row>
    <row r="54" spans="1:6">
      <c r="A54" s="81" t="s">
        <v>75</v>
      </c>
      <c r="B54" s="258">
        <v>9375</v>
      </c>
      <c r="C54" s="258">
        <v>8001</v>
      </c>
    </row>
    <row r="66" spans="3:3" ht="14.45">
      <c r="C66"/>
    </row>
  </sheetData>
  <mergeCells count="5">
    <mergeCell ref="A46:F46"/>
    <mergeCell ref="A41:F41"/>
    <mergeCell ref="A51:F51"/>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Y103"/>
  <sheetViews>
    <sheetView zoomScale="85" zoomScaleNormal="85" workbookViewId="0">
      <selection sqref="A1:K1"/>
    </sheetView>
  </sheetViews>
  <sheetFormatPr defaultColWidth="8.7109375" defaultRowHeight="12.75" customHeight="1"/>
  <cols>
    <col min="1" max="1" width="32.140625" style="3" customWidth="1"/>
    <col min="2" max="2" width="40.7109375" style="3" customWidth="1"/>
    <col min="3" max="3" width="34.42578125" style="3" customWidth="1"/>
    <col min="4" max="4" width="19.85546875" style="3" customWidth="1"/>
    <col min="5" max="5" width="21.5703125" style="3" customWidth="1"/>
    <col min="6" max="6" width="14.7109375" style="3" customWidth="1"/>
    <col min="7" max="7" width="12.7109375" style="3" customWidth="1"/>
    <col min="8" max="8" width="12" style="3" customWidth="1"/>
    <col min="9" max="10" width="11.28515625" style="3" customWidth="1"/>
    <col min="11" max="11" width="32.5703125" style="3" customWidth="1"/>
    <col min="12" max="12" width="10.140625" style="3" customWidth="1"/>
    <col min="13" max="13" width="12.7109375" style="3" customWidth="1"/>
    <col min="14" max="14" width="17.85546875" style="3" customWidth="1"/>
    <col min="15" max="15" width="23.140625" style="3" customWidth="1"/>
    <col min="16" max="16" width="17.28515625" style="3" customWidth="1"/>
    <col min="17" max="17" width="15.85546875" style="3" customWidth="1"/>
    <col min="18" max="18" width="25.7109375" style="3" customWidth="1"/>
    <col min="19" max="19" width="22.7109375" style="3" customWidth="1"/>
    <col min="20" max="20" width="21.5703125" style="3" customWidth="1"/>
    <col min="21" max="21" width="19.42578125" style="3" customWidth="1"/>
    <col min="22" max="22" width="26" style="3" customWidth="1"/>
    <col min="23" max="23" width="17.28515625" style="3" customWidth="1"/>
    <col min="24" max="24" width="15.140625" style="3" customWidth="1"/>
    <col min="25" max="26" width="17.28515625" style="3" customWidth="1"/>
    <col min="27" max="16384" width="8.7109375" style="3"/>
  </cols>
  <sheetData>
    <row r="1" spans="1:25" ht="25.9" customHeight="1">
      <c r="A1" s="555" t="str">
        <f>"Proposed Layout - "&amp;Prototype!A2</f>
        <v>Proposed Layout - RetailGrocery</v>
      </c>
      <c r="B1" s="555"/>
      <c r="C1" s="555"/>
      <c r="D1" s="555"/>
      <c r="E1" s="555"/>
      <c r="F1" s="555"/>
      <c r="G1" s="555"/>
      <c r="H1" s="555"/>
      <c r="I1" s="555"/>
      <c r="J1" s="555"/>
      <c r="K1" s="555"/>
      <c r="O1" s="198" t="s">
        <v>96</v>
      </c>
    </row>
    <row r="2" spans="1:25" ht="39.6">
      <c r="A2" s="13" t="s">
        <v>97</v>
      </c>
      <c r="B2" s="13" t="s">
        <v>98</v>
      </c>
      <c r="C2" s="490" t="s">
        <v>99</v>
      </c>
      <c r="D2" s="309" t="s">
        <v>100</v>
      </c>
      <c r="E2" s="25" t="s">
        <v>101</v>
      </c>
      <c r="F2" s="26" t="s">
        <v>102</v>
      </c>
      <c r="G2" s="490" t="s">
        <v>103</v>
      </c>
      <c r="H2" s="228" t="s">
        <v>104</v>
      </c>
      <c r="I2" s="25" t="s">
        <v>105</v>
      </c>
      <c r="J2" s="112" t="s">
        <v>106</v>
      </c>
      <c r="K2" s="25" t="s">
        <v>107</v>
      </c>
      <c r="L2" s="103"/>
      <c r="M2" s="286" t="s">
        <v>108</v>
      </c>
      <c r="N2" s="286" t="s">
        <v>109</v>
      </c>
      <c r="O2" s="326" t="s">
        <v>110</v>
      </c>
      <c r="P2" s="299" t="s">
        <v>111</v>
      </c>
      <c r="Q2" s="286" t="s">
        <v>112</v>
      </c>
      <c r="R2" s="103"/>
      <c r="T2" s="300"/>
      <c r="U2" s="300"/>
      <c r="V2" s="4"/>
      <c r="W2" s="301"/>
      <c r="X2" s="300"/>
    </row>
    <row r="3" spans="1:25" s="181" customFormat="1" ht="33" customHeight="1">
      <c r="A3" s="262" t="s">
        <v>113</v>
      </c>
      <c r="B3" s="201" t="s">
        <v>114</v>
      </c>
      <c r="C3" s="259" t="s">
        <v>115</v>
      </c>
      <c r="D3" s="260" t="s">
        <v>116</v>
      </c>
      <c r="E3" s="15" t="s">
        <v>117</v>
      </c>
      <c r="F3" s="298">
        <f>10000/50000</f>
        <v>0.2</v>
      </c>
      <c r="G3" s="261">
        <v>10000</v>
      </c>
      <c r="H3" s="186">
        <f>G3*Prototype!$B$15</f>
        <v>250000</v>
      </c>
      <c r="I3" s="187">
        <v>1</v>
      </c>
      <c r="J3" s="186">
        <f>K3*G3/1000</f>
        <v>170</v>
      </c>
      <c r="K3" s="296">
        <v>17</v>
      </c>
      <c r="L3" s="288"/>
      <c r="M3" s="229" t="s">
        <v>118</v>
      </c>
      <c r="N3" s="232" t="s">
        <v>119</v>
      </c>
      <c r="O3" s="285" t="s">
        <v>120</v>
      </c>
      <c r="P3" s="234" t="s">
        <v>121</v>
      </c>
      <c r="Q3" s="235"/>
      <c r="R3" s="103" t="s">
        <v>122</v>
      </c>
      <c r="S3" s="475"/>
      <c r="T3" s="302"/>
      <c r="U3" s="303"/>
      <c r="V3" s="304"/>
      <c r="W3" s="305"/>
      <c r="X3" s="252"/>
      <c r="Y3" s="3"/>
    </row>
    <row r="4" spans="1:25" s="181" customFormat="1" ht="33" customHeight="1">
      <c r="A4" s="262" t="s">
        <v>123</v>
      </c>
      <c r="B4" s="201" t="s">
        <v>114</v>
      </c>
      <c r="C4" s="259" t="s">
        <v>124</v>
      </c>
      <c r="D4" s="260" t="s">
        <v>116</v>
      </c>
      <c r="E4" s="15" t="s">
        <v>117</v>
      </c>
      <c r="F4" s="196">
        <f>4400/50000</f>
        <v>8.7999999999999995E-2</v>
      </c>
      <c r="G4" s="261">
        <f t="shared" ref="G4:G14" si="0">F4*50000</f>
        <v>4400</v>
      </c>
      <c r="H4" s="186">
        <f>G4*Prototype!$B$15</f>
        <v>110000</v>
      </c>
      <c r="I4" s="187">
        <v>1</v>
      </c>
      <c r="J4" s="186">
        <f t="shared" ref="J4:J14" si="1">K4*G4/1000</f>
        <v>74.8</v>
      </c>
      <c r="K4" s="296">
        <v>17</v>
      </c>
      <c r="L4" s="288"/>
      <c r="M4" s="237" t="s">
        <v>125</v>
      </c>
      <c r="N4" s="233" t="s">
        <v>126</v>
      </c>
      <c r="O4" s="285" t="s">
        <v>127</v>
      </c>
      <c r="P4" s="231" t="s">
        <v>128</v>
      </c>
      <c r="Q4" s="236" t="s">
        <v>129</v>
      </c>
      <c r="R4" s="287"/>
      <c r="S4" s="475"/>
      <c r="T4" s="305"/>
      <c r="U4" s="303"/>
      <c r="V4" s="304"/>
      <c r="W4" s="305"/>
      <c r="X4" s="306"/>
      <c r="Y4" s="303"/>
    </row>
    <row r="5" spans="1:25" s="181" customFormat="1" ht="33" customHeight="1">
      <c r="A5" s="262" t="s">
        <v>130</v>
      </c>
      <c r="B5" s="201" t="s">
        <v>114</v>
      </c>
      <c r="C5" s="259" t="s">
        <v>131</v>
      </c>
      <c r="D5" s="260" t="s">
        <v>116</v>
      </c>
      <c r="E5" s="15" t="s">
        <v>117</v>
      </c>
      <c r="F5" s="196">
        <f>7700/50000</f>
        <v>0.154</v>
      </c>
      <c r="G5" s="261">
        <f t="shared" si="0"/>
        <v>7700</v>
      </c>
      <c r="H5" s="186">
        <f>G5*Prototype!$B$15</f>
        <v>192500</v>
      </c>
      <c r="I5" s="187">
        <v>1</v>
      </c>
      <c r="J5" s="186">
        <f t="shared" si="1"/>
        <v>130.9</v>
      </c>
      <c r="K5" s="296">
        <v>17</v>
      </c>
      <c r="L5" s="288"/>
      <c r="M5" s="238"/>
      <c r="N5" s="218" t="s">
        <v>132</v>
      </c>
      <c r="O5" s="230" t="s">
        <v>133</v>
      </c>
      <c r="P5" s="230"/>
      <c r="Q5" s="239" t="s">
        <v>134</v>
      </c>
      <c r="R5" s="288" t="s">
        <v>135</v>
      </c>
      <c r="S5" s="475"/>
      <c r="T5" s="303"/>
      <c r="U5" s="303"/>
      <c r="V5" s="303"/>
      <c r="W5" s="303"/>
      <c r="X5" s="303"/>
      <c r="Y5" s="475"/>
    </row>
    <row r="6" spans="1:25" s="181" customFormat="1" ht="33" customHeight="1">
      <c r="A6" s="262" t="s">
        <v>136</v>
      </c>
      <c r="B6" s="201" t="s">
        <v>114</v>
      </c>
      <c r="C6" s="259" t="s">
        <v>137</v>
      </c>
      <c r="D6" s="260" t="s">
        <v>116</v>
      </c>
      <c r="E6" s="15" t="s">
        <v>117</v>
      </c>
      <c r="F6" s="196">
        <f>6600/50000</f>
        <v>0.13200000000000001</v>
      </c>
      <c r="G6" s="261">
        <f t="shared" si="0"/>
        <v>6600</v>
      </c>
      <c r="H6" s="186">
        <f>G6*Prototype!$B$15</f>
        <v>165000</v>
      </c>
      <c r="I6" s="187">
        <v>1</v>
      </c>
      <c r="J6" s="186">
        <f t="shared" si="1"/>
        <v>112.2</v>
      </c>
      <c r="K6" s="296">
        <v>17</v>
      </c>
      <c r="L6" s="288"/>
      <c r="M6" s="240"/>
      <c r="N6" s="219"/>
      <c r="O6" s="225"/>
      <c r="P6" s="222"/>
      <c r="Q6" s="241"/>
      <c r="R6" s="288"/>
      <c r="S6" s="475"/>
      <c r="T6" s="303"/>
      <c r="U6" s="303"/>
      <c r="V6" s="303"/>
      <c r="W6" s="303"/>
      <c r="X6" s="303"/>
      <c r="Y6" s="475"/>
    </row>
    <row r="7" spans="1:25" s="181" customFormat="1" ht="33" customHeight="1">
      <c r="A7" s="262" t="s">
        <v>138</v>
      </c>
      <c r="B7" s="201" t="s">
        <v>114</v>
      </c>
      <c r="C7" s="259" t="s">
        <v>139</v>
      </c>
      <c r="D7" s="260" t="s">
        <v>116</v>
      </c>
      <c r="E7" s="15" t="s">
        <v>117</v>
      </c>
      <c r="F7" s="196">
        <f t="shared" ref="F7:F8" si="2">4400/50000</f>
        <v>8.7999999999999995E-2</v>
      </c>
      <c r="G7" s="261">
        <f t="shared" si="0"/>
        <v>4400</v>
      </c>
      <c r="H7" s="186">
        <f>G7*Prototype!$B$15</f>
        <v>110000</v>
      </c>
      <c r="I7" s="187">
        <v>1</v>
      </c>
      <c r="J7" s="186">
        <f t="shared" si="1"/>
        <v>74.8</v>
      </c>
      <c r="K7" s="296">
        <v>17</v>
      </c>
      <c r="L7" s="288"/>
      <c r="M7" s="242" t="s">
        <v>123</v>
      </c>
      <c r="N7" s="220" t="s">
        <v>140</v>
      </c>
      <c r="O7" s="226" t="s">
        <v>141</v>
      </c>
      <c r="P7" s="223" t="s">
        <v>138</v>
      </c>
      <c r="Q7" s="243" t="s">
        <v>142</v>
      </c>
      <c r="R7" s="288"/>
      <c r="S7" s="475"/>
      <c r="T7" s="303"/>
      <c r="U7" s="303"/>
      <c r="V7" s="303"/>
      <c r="W7" s="303"/>
      <c r="X7" s="303"/>
      <c r="Y7" s="475"/>
    </row>
    <row r="8" spans="1:25" s="181" customFormat="1" ht="30" customHeight="1">
      <c r="A8" s="475" t="s">
        <v>142</v>
      </c>
      <c r="B8" s="201" t="s">
        <v>114</v>
      </c>
      <c r="C8" s="259" t="s">
        <v>143</v>
      </c>
      <c r="D8" s="260" t="s">
        <v>116</v>
      </c>
      <c r="E8" s="15" t="s">
        <v>117</v>
      </c>
      <c r="F8" s="196">
        <f t="shared" si="2"/>
        <v>8.7999999999999995E-2</v>
      </c>
      <c r="G8" s="261">
        <f t="shared" si="0"/>
        <v>4400</v>
      </c>
      <c r="H8" s="186">
        <f>G8*Prototype!$B$15</f>
        <v>110000</v>
      </c>
      <c r="I8" s="187">
        <v>1</v>
      </c>
      <c r="J8" s="186">
        <f t="shared" si="1"/>
        <v>74.8</v>
      </c>
      <c r="K8" s="296">
        <v>17</v>
      </c>
      <c r="L8" s="288"/>
      <c r="M8" s="242"/>
      <c r="N8" s="220"/>
      <c r="O8" s="226"/>
      <c r="P8" s="223"/>
      <c r="Q8" s="243"/>
      <c r="R8" s="288"/>
      <c r="S8" s="475"/>
      <c r="T8" s="303"/>
      <c r="U8" s="303"/>
      <c r="V8" s="303"/>
      <c r="W8" s="303"/>
      <c r="X8" s="303"/>
      <c r="Y8" s="475"/>
    </row>
    <row r="9" spans="1:25" s="181" customFormat="1" ht="33.75" customHeight="1">
      <c r="A9" s="262" t="s">
        <v>133</v>
      </c>
      <c r="B9" s="201" t="s">
        <v>114</v>
      </c>
      <c r="C9" s="259" t="s">
        <v>144</v>
      </c>
      <c r="D9" s="260" t="s">
        <v>116</v>
      </c>
      <c r="E9" s="15" t="s">
        <v>117</v>
      </c>
      <c r="F9" s="196">
        <f>5000/50000</f>
        <v>0.1</v>
      </c>
      <c r="G9" s="261">
        <f t="shared" si="0"/>
        <v>5000</v>
      </c>
      <c r="H9" s="186">
        <f>G9*Prototype!$B$15</f>
        <v>125000</v>
      </c>
      <c r="I9" s="187">
        <v>1</v>
      </c>
      <c r="J9" s="186">
        <f t="shared" si="1"/>
        <v>85</v>
      </c>
      <c r="K9" s="296">
        <v>17</v>
      </c>
      <c r="L9" s="288"/>
      <c r="M9" s="242"/>
      <c r="N9" s="220"/>
      <c r="O9" s="226"/>
      <c r="P9" s="223"/>
      <c r="Q9" s="243"/>
      <c r="R9" s="288" t="s">
        <v>145</v>
      </c>
      <c r="S9" s="475"/>
      <c r="T9" s="303"/>
      <c r="U9" s="303"/>
      <c r="V9" s="303"/>
      <c r="W9" s="303"/>
      <c r="X9" s="303"/>
      <c r="Y9" s="475"/>
    </row>
    <row r="10" spans="1:25" s="181" customFormat="1" ht="27.75" customHeight="1">
      <c r="A10" s="262" t="s">
        <v>118</v>
      </c>
      <c r="B10" s="201" t="s">
        <v>146</v>
      </c>
      <c r="C10" s="259" t="s">
        <v>147</v>
      </c>
      <c r="D10" s="260" t="s">
        <v>116</v>
      </c>
      <c r="E10" s="15" t="s">
        <v>117</v>
      </c>
      <c r="F10" s="196">
        <f>1200/50000</f>
        <v>2.4E-2</v>
      </c>
      <c r="G10" s="261">
        <f t="shared" si="0"/>
        <v>1200</v>
      </c>
      <c r="H10" s="186">
        <f>G10*Prototype!$B$15</f>
        <v>30000</v>
      </c>
      <c r="I10" s="187">
        <v>1</v>
      </c>
      <c r="J10" s="186">
        <f t="shared" si="1"/>
        <v>6</v>
      </c>
      <c r="K10" s="271">
        <v>5</v>
      </c>
      <c r="L10" s="288"/>
      <c r="M10" s="242" t="s">
        <v>148</v>
      </c>
      <c r="N10" s="220"/>
      <c r="O10" s="226" t="s">
        <v>149</v>
      </c>
      <c r="P10" s="223" t="s">
        <v>150</v>
      </c>
      <c r="Q10" s="243" t="s">
        <v>151</v>
      </c>
      <c r="R10" s="288"/>
      <c r="S10" s="475"/>
      <c r="T10" s="303"/>
      <c r="U10" s="303"/>
      <c r="V10" s="303"/>
      <c r="W10" s="303"/>
      <c r="X10" s="303"/>
      <c r="Y10" s="475"/>
    </row>
    <row r="11" spans="1:25" s="181" customFormat="1" ht="33.75" customHeight="1">
      <c r="A11" s="262" t="s">
        <v>152</v>
      </c>
      <c r="B11" s="201" t="s">
        <v>153</v>
      </c>
      <c r="C11" s="259" t="s">
        <v>154</v>
      </c>
      <c r="D11" s="260" t="s">
        <v>116</v>
      </c>
      <c r="E11" s="15" t="s">
        <v>117</v>
      </c>
      <c r="F11" s="298">
        <f>3200/50000</f>
        <v>6.4000000000000001E-2</v>
      </c>
      <c r="G11" s="261">
        <f t="shared" si="0"/>
        <v>3200</v>
      </c>
      <c r="H11" s="186">
        <f>G11*Prototype!$B$15</f>
        <v>80000</v>
      </c>
      <c r="I11" s="187">
        <v>1</v>
      </c>
      <c r="J11" s="186">
        <f t="shared" si="1"/>
        <v>0</v>
      </c>
      <c r="K11" s="271">
        <v>0</v>
      </c>
      <c r="L11" s="288"/>
      <c r="M11" s="242" t="s">
        <v>155</v>
      </c>
      <c r="N11" s="220" t="s">
        <v>156</v>
      </c>
      <c r="O11" s="226" t="s">
        <v>157</v>
      </c>
      <c r="P11" s="223" t="s">
        <v>155</v>
      </c>
      <c r="Q11" s="243" t="s">
        <v>155</v>
      </c>
      <c r="R11" s="288" t="s">
        <v>158</v>
      </c>
      <c r="S11" s="475"/>
      <c r="T11" s="303"/>
      <c r="U11" s="303"/>
      <c r="V11" s="303"/>
      <c r="W11" s="303"/>
      <c r="X11" s="303"/>
      <c r="Y11" s="475"/>
    </row>
    <row r="12" spans="1:25" s="181" customFormat="1" ht="34.5" customHeight="1">
      <c r="A12" s="262" t="s">
        <v>159</v>
      </c>
      <c r="B12" s="201" t="s">
        <v>160</v>
      </c>
      <c r="C12" s="259" t="s">
        <v>161</v>
      </c>
      <c r="D12" s="260" t="s">
        <v>116</v>
      </c>
      <c r="E12" s="15" t="s">
        <v>117</v>
      </c>
      <c r="F12" s="298">
        <f>2100/50000</f>
        <v>4.2000000000000003E-2</v>
      </c>
      <c r="G12" s="261">
        <v>2100</v>
      </c>
      <c r="H12" s="186">
        <f>G12*Prototype!$B$15</f>
        <v>52500</v>
      </c>
      <c r="I12" s="187">
        <v>1</v>
      </c>
      <c r="J12" s="186">
        <f t="shared" si="1"/>
        <v>0</v>
      </c>
      <c r="K12" s="271">
        <v>0</v>
      </c>
      <c r="L12" s="288"/>
      <c r="M12" s="242" t="s">
        <v>162</v>
      </c>
      <c r="N12" s="220" t="s">
        <v>163</v>
      </c>
      <c r="O12" s="226" t="s">
        <v>164</v>
      </c>
      <c r="P12" s="223" t="s">
        <v>162</v>
      </c>
      <c r="Q12" s="243" t="s">
        <v>162</v>
      </c>
      <c r="R12" s="288"/>
      <c r="S12" s="475"/>
      <c r="T12" s="303"/>
      <c r="U12" s="303"/>
      <c r="V12" s="303"/>
      <c r="W12" s="303"/>
      <c r="X12" s="303"/>
      <c r="Y12" s="475"/>
    </row>
    <row r="13" spans="1:25" s="181" customFormat="1" ht="36.75" customHeight="1">
      <c r="A13" s="262" t="s">
        <v>165</v>
      </c>
      <c r="B13" s="201" t="s">
        <v>160</v>
      </c>
      <c r="C13" s="259" t="s">
        <v>166</v>
      </c>
      <c r="D13" s="543" t="s">
        <v>167</v>
      </c>
      <c r="E13" s="15" t="s">
        <v>117</v>
      </c>
      <c r="F13" s="298">
        <f>500/50000</f>
        <v>0.01</v>
      </c>
      <c r="G13" s="261">
        <f t="shared" si="0"/>
        <v>500</v>
      </c>
      <c r="H13" s="186">
        <f>G13*Prototype!$B$15</f>
        <v>12500</v>
      </c>
      <c r="I13" s="187">
        <v>1</v>
      </c>
      <c r="J13" s="186">
        <f t="shared" si="1"/>
        <v>0</v>
      </c>
      <c r="K13" s="271">
        <v>0</v>
      </c>
      <c r="L13" s="288"/>
      <c r="M13" s="242"/>
      <c r="N13" s="220"/>
      <c r="O13" s="226"/>
      <c r="P13" s="223"/>
      <c r="Q13" s="243"/>
      <c r="R13" s="288"/>
      <c r="S13" s="475"/>
      <c r="T13" s="303"/>
      <c r="U13" s="303"/>
      <c r="V13" s="303"/>
      <c r="W13" s="303"/>
      <c r="X13" s="303"/>
      <c r="Y13" s="475"/>
    </row>
    <row r="14" spans="1:25" s="181" customFormat="1" ht="38.25" customHeight="1">
      <c r="A14" s="262" t="s">
        <v>168</v>
      </c>
      <c r="B14" s="201" t="s">
        <v>160</v>
      </c>
      <c r="C14" s="259" t="s">
        <v>169</v>
      </c>
      <c r="D14" s="543" t="s">
        <v>167</v>
      </c>
      <c r="E14" s="15" t="s">
        <v>117</v>
      </c>
      <c r="F14" s="298">
        <f>500/50000</f>
        <v>0.01</v>
      </c>
      <c r="G14" s="261">
        <f t="shared" si="0"/>
        <v>500</v>
      </c>
      <c r="H14" s="186">
        <f>G14*Prototype!$B$15</f>
        <v>12500</v>
      </c>
      <c r="I14" s="187">
        <v>1</v>
      </c>
      <c r="J14" s="186">
        <f t="shared" si="1"/>
        <v>0</v>
      </c>
      <c r="K14" s="271">
        <v>0</v>
      </c>
      <c r="L14" s="288"/>
      <c r="M14" s="242"/>
      <c r="N14" s="220"/>
      <c r="O14" s="226"/>
      <c r="P14" s="223"/>
      <c r="Q14" s="243"/>
      <c r="R14" s="288"/>
      <c r="S14" s="475"/>
      <c r="T14" s="303"/>
      <c r="U14" s="303"/>
      <c r="V14" s="303"/>
      <c r="W14" s="303"/>
      <c r="X14" s="303"/>
      <c r="Y14" s="475"/>
    </row>
    <row r="15" spans="1:25" s="181" customFormat="1" ht="35.25" customHeight="1">
      <c r="A15" s="316" t="s">
        <v>170</v>
      </c>
      <c r="B15" s="327" t="s">
        <v>171</v>
      </c>
      <c r="C15" s="317"/>
      <c r="D15" s="318"/>
      <c r="E15" s="324" t="s">
        <v>172</v>
      </c>
      <c r="F15" s="319">
        <f>SUM(F3:F14)</f>
        <v>1</v>
      </c>
      <c r="G15" s="320">
        <f>SUM(G3:G14)</f>
        <v>50000</v>
      </c>
      <c r="H15" s="321">
        <f>SUM(H3:H14)</f>
        <v>1250000</v>
      </c>
      <c r="I15" s="322"/>
      <c r="J15" s="321">
        <f>SUM(J3:J14)</f>
        <v>728.5</v>
      </c>
      <c r="K15" s="323"/>
      <c r="L15" s="288"/>
      <c r="M15" s="242"/>
      <c r="N15" s="220"/>
      <c r="O15" s="226"/>
      <c r="P15" s="223"/>
      <c r="Q15" s="243"/>
      <c r="R15" s="288"/>
      <c r="S15" s="475"/>
      <c r="T15" s="303"/>
      <c r="U15" s="303"/>
      <c r="V15" s="303"/>
      <c r="W15" s="303"/>
      <c r="X15" s="303"/>
      <c r="Y15" s="475"/>
    </row>
    <row r="16" spans="1:25" s="181" customFormat="1" ht="15.75" customHeight="1">
      <c r="A16" s="310"/>
      <c r="B16" s="3"/>
      <c r="C16" s="311"/>
      <c r="D16" s="311"/>
      <c r="E16" s="312"/>
      <c r="F16" s="313"/>
      <c r="G16" s="314"/>
      <c r="H16" s="314"/>
      <c r="I16" s="69"/>
      <c r="J16" s="314"/>
      <c r="K16" s="315"/>
      <c r="L16" s="288"/>
      <c r="M16" s="242"/>
      <c r="N16" s="220"/>
      <c r="O16" s="226"/>
      <c r="P16" s="223"/>
      <c r="Q16" s="243"/>
      <c r="R16" s="288"/>
      <c r="S16" s="475"/>
      <c r="T16" s="303"/>
      <c r="U16" s="303"/>
      <c r="V16" s="303"/>
      <c r="W16" s="303"/>
      <c r="X16" s="303"/>
      <c r="Y16" s="475"/>
    </row>
    <row r="17" spans="1:24" s="181" customFormat="1" ht="17.649999999999999" customHeight="1">
      <c r="A17" s="475"/>
      <c r="B17" s="3"/>
      <c r="C17" s="3"/>
      <c r="D17" s="3"/>
      <c r="E17" s="3"/>
      <c r="F17" s="3"/>
      <c r="G17" s="18"/>
      <c r="H17" s="18"/>
      <c r="I17" s="18"/>
      <c r="J17" s="18"/>
      <c r="K17" s="19"/>
      <c r="L17" s="288"/>
      <c r="M17" s="242"/>
      <c r="N17" s="220"/>
      <c r="O17" s="226"/>
      <c r="P17" s="223"/>
      <c r="Q17" s="243"/>
      <c r="R17" s="288"/>
      <c r="S17" s="475"/>
      <c r="T17" s="303"/>
      <c r="U17" s="303"/>
      <c r="V17" s="303"/>
      <c r="W17" s="303"/>
      <c r="X17" s="303"/>
    </row>
    <row r="18" spans="1:24" s="181" customFormat="1" ht="17.649999999999999" customHeight="1">
      <c r="A18" s="475"/>
      <c r="B18" s="199"/>
      <c r="C18" s="4"/>
      <c r="D18" s="4"/>
      <c r="E18" s="4"/>
      <c r="F18" s="4"/>
      <c r="G18" s="20"/>
      <c r="H18" s="3"/>
      <c r="I18" s="18"/>
      <c r="J18" s="18"/>
      <c r="K18" s="18"/>
      <c r="L18" s="288"/>
      <c r="M18" s="242"/>
      <c r="N18" s="220"/>
      <c r="O18" s="226"/>
      <c r="P18" s="223"/>
      <c r="Q18" s="243"/>
      <c r="R18" s="288"/>
      <c r="S18" s="475"/>
      <c r="T18" s="303"/>
      <c r="U18" s="303"/>
      <c r="V18" s="303"/>
      <c r="W18" s="303"/>
      <c r="X18" s="303"/>
    </row>
    <row r="19" spans="1:24" s="181" customFormat="1" ht="17.649999999999999" customHeight="1">
      <c r="A19" s="475"/>
      <c r="B19" s="3"/>
      <c r="C19" s="6"/>
      <c r="D19" s="6"/>
      <c r="E19" s="6"/>
      <c r="F19" s="3"/>
      <c r="G19" s="18"/>
      <c r="H19" s="18"/>
      <c r="I19" s="18"/>
      <c r="J19" s="18"/>
      <c r="K19" s="18"/>
      <c r="L19" s="288"/>
      <c r="M19" s="244"/>
      <c r="N19" s="221"/>
      <c r="O19" s="227"/>
      <c r="P19" s="224"/>
      <c r="Q19" s="245"/>
      <c r="R19" s="288"/>
      <c r="S19" s="475"/>
      <c r="T19" s="303"/>
      <c r="U19" s="303"/>
      <c r="V19" s="303"/>
      <c r="W19" s="303"/>
      <c r="X19" s="303"/>
    </row>
    <row r="20" spans="1:24" s="181" customFormat="1" ht="17.649999999999999" customHeight="1">
      <c r="A20" s="475"/>
      <c r="B20" s="3"/>
      <c r="C20" s="3"/>
      <c r="D20" s="3"/>
      <c r="E20" s="3"/>
      <c r="F20" s="3"/>
      <c r="G20" s="18"/>
      <c r="H20" s="18"/>
      <c r="I20" s="18"/>
      <c r="J20" s="18"/>
      <c r="K20" s="18"/>
      <c r="L20" s="288"/>
      <c r="M20" s="246"/>
      <c r="N20" s="217"/>
      <c r="O20" s="217"/>
      <c r="P20" s="216"/>
      <c r="Q20" s="247"/>
      <c r="R20" s="288"/>
      <c r="S20" s="475"/>
      <c r="T20" s="252"/>
      <c r="U20" s="252"/>
      <c r="V20" s="252"/>
      <c r="W20" s="252"/>
      <c r="X20" s="252"/>
    </row>
    <row r="21" spans="1:24" s="181" customFormat="1" ht="17.649999999999999" customHeight="1">
      <c r="A21" s="475"/>
      <c r="B21" s="3"/>
      <c r="C21" s="3"/>
      <c r="D21" s="3"/>
      <c r="E21" s="3"/>
      <c r="F21" s="3"/>
      <c r="G21" s="18"/>
      <c r="H21" s="18"/>
      <c r="I21" s="18"/>
      <c r="J21" s="18"/>
      <c r="K21" s="18"/>
      <c r="L21" s="288"/>
      <c r="M21" s="248"/>
      <c r="N21" s="216"/>
      <c r="O21" s="216" t="s">
        <v>173</v>
      </c>
      <c r="P21" s="216"/>
      <c r="Q21" s="247"/>
      <c r="R21" s="288" t="s">
        <v>174</v>
      </c>
      <c r="S21" s="475"/>
      <c r="T21" s="252"/>
      <c r="U21" s="252"/>
      <c r="V21" s="252"/>
      <c r="W21" s="252"/>
      <c r="X21" s="252"/>
    </row>
    <row r="22" spans="1:24" s="181" customFormat="1" ht="17.649999999999999" customHeight="1">
      <c r="A22" s="475"/>
      <c r="B22" s="3"/>
      <c r="C22" s="3"/>
      <c r="D22" s="3"/>
      <c r="E22" s="3"/>
      <c r="F22" s="3"/>
      <c r="G22" s="18"/>
      <c r="H22" s="18"/>
      <c r="I22" s="18"/>
      <c r="J22" s="18"/>
      <c r="K22" s="18"/>
      <c r="L22" s="288"/>
      <c r="M22" s="248"/>
      <c r="N22" s="216"/>
      <c r="O22" s="216" t="s">
        <v>175</v>
      </c>
      <c r="P22" s="216"/>
      <c r="Q22" s="247"/>
      <c r="R22" s="288"/>
      <c r="S22" s="475"/>
      <c r="T22" s="252"/>
      <c r="U22" s="252"/>
      <c r="V22" s="252"/>
      <c r="W22" s="252"/>
      <c r="X22" s="252"/>
    </row>
    <row r="23" spans="1:24" s="181" customFormat="1" ht="17.649999999999999" customHeight="1">
      <c r="A23" s="475"/>
      <c r="B23" s="3"/>
      <c r="C23" s="3"/>
      <c r="D23" s="3"/>
      <c r="E23" s="3"/>
      <c r="F23" s="3"/>
      <c r="G23" s="18"/>
      <c r="H23" s="18"/>
      <c r="I23" s="18"/>
      <c r="J23" s="18"/>
      <c r="K23" s="18"/>
      <c r="L23" s="288"/>
      <c r="M23" s="249"/>
      <c r="N23" s="250"/>
      <c r="O23" s="250"/>
      <c r="P23" s="250"/>
      <c r="Q23" s="251"/>
      <c r="R23" s="288"/>
      <c r="S23" s="475"/>
      <c r="T23" s="252"/>
      <c r="U23" s="252"/>
      <c r="V23" s="252"/>
      <c r="W23" s="252"/>
      <c r="X23" s="252"/>
    </row>
    <row r="24" spans="1:24" s="181" customFormat="1" ht="17.649999999999999" customHeight="1">
      <c r="A24" s="475"/>
      <c r="B24" s="3"/>
      <c r="C24" s="3"/>
      <c r="D24" s="3"/>
      <c r="E24" s="3"/>
      <c r="F24" s="3"/>
      <c r="G24" s="18"/>
      <c r="H24" s="18"/>
      <c r="I24" s="18"/>
      <c r="J24" s="18"/>
      <c r="K24" s="18"/>
      <c r="L24" s="288"/>
      <c r="M24" s="289"/>
      <c r="N24" s="289"/>
      <c r="O24" s="103" t="s">
        <v>176</v>
      </c>
      <c r="P24" s="289"/>
      <c r="Q24" s="289"/>
      <c r="R24" s="475"/>
      <c r="S24" s="475"/>
      <c r="T24" s="475"/>
      <c r="U24" s="475"/>
      <c r="V24" s="475"/>
      <c r="W24" s="475"/>
      <c r="X24" s="475"/>
    </row>
    <row r="25" spans="1:24" s="21" customFormat="1" ht="13.15" hidden="1">
      <c r="A25" s="21" t="s">
        <v>37</v>
      </c>
      <c r="E25" s="22"/>
      <c r="F25" s="23"/>
      <c r="G25" s="24"/>
    </row>
    <row r="26" spans="1:24" s="181" customFormat="1" ht="17.649999999999999" hidden="1" customHeight="1">
      <c r="A26" s="3"/>
      <c r="B26" s="17"/>
      <c r="C26" s="17"/>
      <c r="D26" s="17"/>
      <c r="E26" s="17"/>
      <c r="F26" s="3"/>
      <c r="G26" s="3"/>
      <c r="H26" s="3"/>
      <c r="I26" s="3"/>
      <c r="J26" s="3"/>
      <c r="K26" s="475"/>
      <c r="L26" s="252"/>
      <c r="M26" s="252"/>
      <c r="N26" s="252"/>
      <c r="O26" s="252"/>
      <c r="P26" s="252"/>
      <c r="Q26" s="475"/>
      <c r="R26" s="475"/>
      <c r="S26" s="475"/>
      <c r="T26" s="475"/>
      <c r="U26" s="475"/>
      <c r="V26" s="475"/>
      <c r="W26" s="475"/>
      <c r="X26" s="475"/>
    </row>
    <row r="27" spans="1:24" s="181" customFormat="1" ht="17.649999999999999" hidden="1" customHeight="1">
      <c r="A27" s="3" t="s">
        <v>177</v>
      </c>
      <c r="B27" s="3"/>
      <c r="C27" s="3"/>
      <c r="D27" s="3"/>
      <c r="E27" s="3"/>
      <c r="F27" s="3"/>
      <c r="G27" s="3"/>
      <c r="H27" s="3"/>
      <c r="I27" s="3"/>
      <c r="J27" s="3"/>
      <c r="K27" s="3"/>
      <c r="L27" s="475"/>
      <c r="M27" s="3"/>
      <c r="N27" s="3"/>
      <c r="O27" s="3"/>
      <c r="P27" s="3"/>
      <c r="Q27" s="3"/>
      <c r="R27" s="475"/>
      <c r="S27" s="475"/>
      <c r="T27" s="475"/>
      <c r="U27" s="475"/>
      <c r="V27" s="475"/>
      <c r="W27" s="475"/>
      <c r="X27" s="475"/>
    </row>
    <row r="28" spans="1:24" s="181" customFormat="1" ht="17.649999999999999" hidden="1" customHeight="1">
      <c r="A28" s="200" t="s">
        <v>178</v>
      </c>
      <c r="B28" s="202"/>
      <c r="C28" s="200"/>
      <c r="D28" s="200"/>
      <c r="E28" s="200"/>
      <c r="F28" s="3"/>
      <c r="G28" s="3"/>
      <c r="H28" s="3"/>
      <c r="I28" s="3"/>
      <c r="J28" s="3"/>
      <c r="K28" s="3"/>
      <c r="L28" s="475"/>
      <c r="M28" s="3"/>
      <c r="N28" s="3"/>
      <c r="O28" s="3"/>
      <c r="P28" s="3"/>
      <c r="Q28" s="3"/>
      <c r="R28" s="475"/>
      <c r="S28" s="475"/>
      <c r="T28" s="475"/>
      <c r="U28" s="475"/>
      <c r="V28" s="475"/>
      <c r="W28" s="475"/>
      <c r="X28" s="475"/>
    </row>
    <row r="29" spans="1:24" s="181" customFormat="1" ht="17.649999999999999" hidden="1" customHeight="1">
      <c r="A29" s="81" t="s">
        <v>179</v>
      </c>
      <c r="B29" s="81" t="s">
        <v>180</v>
      </c>
      <c r="C29" s="81"/>
      <c r="D29" s="81"/>
      <c r="E29" s="81" t="s">
        <v>181</v>
      </c>
      <c r="F29" s="3"/>
      <c r="G29" s="3"/>
      <c r="H29" s="3"/>
      <c r="I29" s="3"/>
      <c r="J29" s="3"/>
      <c r="K29" s="3"/>
      <c r="L29" s="475"/>
      <c r="M29" s="197" t="s">
        <v>182</v>
      </c>
      <c r="N29" s="3"/>
      <c r="O29" s="3"/>
      <c r="P29" s="3"/>
      <c r="Q29" s="3"/>
      <c r="R29" s="475"/>
      <c r="S29" s="475"/>
      <c r="T29" s="475"/>
      <c r="U29" s="475"/>
      <c r="V29" s="475"/>
      <c r="W29" s="475"/>
      <c r="X29" s="475"/>
    </row>
    <row r="30" spans="1:24" s="181" customFormat="1" ht="17.649999999999999" hidden="1" customHeight="1">
      <c r="A30" s="123">
        <v>0.82620000000000005</v>
      </c>
      <c r="B30" s="123">
        <v>0.17369999999999999</v>
      </c>
      <c r="C30" s="123"/>
      <c r="D30" s="123"/>
      <c r="E30" s="115">
        <v>0.83440000000000003</v>
      </c>
      <c r="F30" s="3"/>
      <c r="G30" s="3"/>
      <c r="H30" s="3"/>
      <c r="I30" s="3"/>
      <c r="J30" s="3"/>
      <c r="K30" s="3"/>
      <c r="L30" s="475"/>
      <c r="M30" s="3"/>
      <c r="N30" s="3"/>
      <c r="O30" s="3"/>
      <c r="P30" s="3"/>
      <c r="Q30" s="3"/>
      <c r="R30" s="475"/>
      <c r="S30" s="475"/>
      <c r="T30" s="475"/>
      <c r="U30" s="475"/>
      <c r="V30" s="475"/>
      <c r="W30" s="475"/>
      <c r="X30" s="475"/>
    </row>
    <row r="31" spans="1:24" s="181" customFormat="1" ht="17.649999999999999" hidden="1" customHeight="1">
      <c r="A31" s="3"/>
      <c r="B31" s="184" t="s">
        <v>183</v>
      </c>
      <c r="C31" s="3"/>
      <c r="D31" s="3"/>
      <c r="E31" s="3"/>
      <c r="F31" s="3"/>
      <c r="G31" s="3"/>
      <c r="H31" s="3"/>
      <c r="I31" s="3"/>
      <c r="J31" s="3"/>
      <c r="K31" s="3"/>
      <c r="L31" s="475"/>
      <c r="M31" s="3"/>
      <c r="N31" s="3"/>
      <c r="O31" s="3"/>
      <c r="P31" s="3"/>
      <c r="Q31" s="3"/>
      <c r="R31" s="475"/>
      <c r="S31" s="475"/>
      <c r="T31" s="475"/>
      <c r="U31" s="475"/>
      <c r="V31" s="475"/>
      <c r="W31" s="475"/>
      <c r="X31" s="475"/>
    </row>
    <row r="32" spans="1:24" s="181" customFormat="1" ht="17.649999999999999" hidden="1" customHeight="1">
      <c r="A32" s="3"/>
      <c r="B32" s="485"/>
      <c r="C32" s="3"/>
      <c r="D32" s="3"/>
      <c r="E32" s="3"/>
      <c r="F32" s="3"/>
      <c r="G32" s="3"/>
      <c r="H32" s="3"/>
      <c r="I32" s="3"/>
      <c r="J32" s="3"/>
      <c r="K32" s="3"/>
      <c r="L32" s="475"/>
      <c r="M32" s="3"/>
      <c r="N32" s="3"/>
      <c r="O32" s="3"/>
      <c r="P32" s="3"/>
      <c r="Q32" s="3"/>
      <c r="R32" s="475"/>
      <c r="S32" s="475"/>
      <c r="T32" s="475"/>
      <c r="U32" s="475"/>
      <c r="V32" s="475"/>
      <c r="W32" s="475"/>
      <c r="X32" s="475"/>
    </row>
    <row r="33" spans="1:17" s="181" customFormat="1" ht="17.649999999999999" hidden="1" customHeight="1">
      <c r="A33" s="3"/>
      <c r="B33" s="3"/>
      <c r="C33" s="3"/>
      <c r="D33" s="3"/>
      <c r="E33" s="3"/>
      <c r="F33" s="3"/>
      <c r="G33" s="3"/>
      <c r="H33" s="3"/>
      <c r="I33" s="3"/>
      <c r="J33" s="3"/>
      <c r="K33" s="475"/>
      <c r="L33" s="3"/>
      <c r="M33" s="3"/>
      <c r="N33" s="3"/>
      <c r="O33" s="3"/>
      <c r="P33" s="3"/>
      <c r="Q33" s="475"/>
    </row>
    <row r="34" spans="1:17" s="181" customFormat="1" ht="17.649999999999999" hidden="1" customHeight="1">
      <c r="A34" s="3"/>
      <c r="B34" s="3"/>
      <c r="C34" s="3"/>
      <c r="D34" s="3"/>
      <c r="E34" s="3"/>
      <c r="F34" s="3"/>
      <c r="G34" s="3"/>
      <c r="H34" s="3"/>
      <c r="I34" s="3"/>
      <c r="J34" s="3"/>
      <c r="K34" s="475"/>
      <c r="L34" s="3"/>
      <c r="M34" s="3"/>
      <c r="N34" s="3"/>
      <c r="O34" s="3"/>
      <c r="P34" s="3"/>
      <c r="Q34" s="475"/>
    </row>
    <row r="35" spans="1:17" s="181" customFormat="1" ht="17.649999999999999" hidden="1" customHeight="1">
      <c r="A35" s="3"/>
      <c r="B35" s="3"/>
      <c r="C35" s="3"/>
      <c r="D35" s="3"/>
      <c r="E35" s="3"/>
      <c r="F35" s="3"/>
      <c r="G35" s="3"/>
      <c r="H35" s="3"/>
      <c r="I35" s="3"/>
      <c r="J35" s="3"/>
      <c r="K35" s="475"/>
      <c r="L35" s="3"/>
      <c r="M35" s="3"/>
      <c r="N35" s="3"/>
      <c r="O35" s="3"/>
      <c r="P35" s="3"/>
      <c r="Q35" s="475"/>
    </row>
    <row r="36" spans="1:17" s="181" customFormat="1" ht="17.45" hidden="1" customHeight="1">
      <c r="A36" s="3"/>
      <c r="B36" s="3"/>
      <c r="C36" s="3"/>
      <c r="D36" s="3"/>
      <c r="E36" s="3"/>
      <c r="F36" s="3"/>
      <c r="G36" s="3"/>
      <c r="H36" s="3"/>
      <c r="I36" s="3"/>
      <c r="J36" s="3"/>
      <c r="K36" s="475"/>
      <c r="L36" s="3"/>
      <c r="M36" s="3"/>
      <c r="N36" s="3"/>
      <c r="O36" s="3"/>
      <c r="P36" s="3"/>
      <c r="Q36" s="475"/>
    </row>
    <row r="37" spans="1:17" s="181" customFormat="1" ht="17.649999999999999" hidden="1" customHeight="1">
      <c r="A37" s="3"/>
      <c r="B37" s="3"/>
      <c r="C37" s="3"/>
      <c r="D37" s="3"/>
      <c r="E37" s="3"/>
      <c r="F37" s="3"/>
      <c r="G37" s="3"/>
      <c r="H37" s="3"/>
      <c r="I37" s="3"/>
      <c r="J37" s="3"/>
      <c r="K37" s="475"/>
      <c r="L37" s="3"/>
      <c r="M37" s="3"/>
      <c r="N37" s="3"/>
      <c r="O37" s="3"/>
      <c r="P37" s="3"/>
      <c r="Q37" s="475"/>
    </row>
    <row r="38" spans="1:17" s="181" customFormat="1" ht="17.649999999999999" hidden="1" customHeight="1">
      <c r="A38" s="4" t="s">
        <v>184</v>
      </c>
      <c r="B38" s="3"/>
      <c r="C38" s="3"/>
      <c r="D38" s="3"/>
      <c r="E38" s="3"/>
      <c r="F38" s="3"/>
      <c r="G38" s="3"/>
      <c r="H38" s="3"/>
      <c r="I38" s="3"/>
      <c r="J38" s="3"/>
      <c r="K38" s="475"/>
      <c r="L38" s="3"/>
      <c r="M38" s="3"/>
      <c r="N38" s="3"/>
      <c r="O38" s="3"/>
      <c r="P38" s="3"/>
      <c r="Q38" s="475"/>
    </row>
    <row r="39" spans="1:17" s="181" customFormat="1" ht="17.649999999999999" hidden="1" customHeight="1">
      <c r="A39" s="3"/>
      <c r="B39" s="3"/>
      <c r="C39" s="3"/>
      <c r="D39" s="3"/>
      <c r="E39" s="3"/>
      <c r="F39" s="3"/>
      <c r="G39" s="3"/>
      <c r="H39" s="3"/>
      <c r="I39" s="3"/>
      <c r="J39" s="3"/>
      <c r="K39" s="475"/>
      <c r="L39" s="3"/>
      <c r="M39" s="3"/>
      <c r="N39" s="3"/>
      <c r="O39" s="3"/>
      <c r="P39" s="3"/>
      <c r="Q39" s="475"/>
    </row>
    <row r="40" spans="1:17" s="181" customFormat="1" ht="17.649999999999999" hidden="1" customHeight="1">
      <c r="A40" s="3" t="s">
        <v>185</v>
      </c>
      <c r="B40" s="3"/>
      <c r="C40" s="3"/>
      <c r="D40" s="3"/>
      <c r="E40" s="3"/>
      <c r="F40" s="3"/>
      <c r="G40" s="3"/>
      <c r="H40" s="3"/>
      <c r="I40" s="3"/>
      <c r="J40" s="3"/>
      <c r="K40" s="475"/>
      <c r="L40" s="3"/>
      <c r="M40" s="3"/>
      <c r="N40" s="3"/>
      <c r="O40" s="3"/>
      <c r="P40" s="3"/>
      <c r="Q40" s="475"/>
    </row>
    <row r="41" spans="1:17" s="181" customFormat="1" ht="17.649999999999999" hidden="1" customHeight="1">
      <c r="A41" s="3"/>
      <c r="B41" s="3"/>
      <c r="C41" s="3"/>
      <c r="D41" s="3"/>
      <c r="E41" s="3"/>
      <c r="F41" s="3"/>
      <c r="G41" s="3"/>
      <c r="H41" s="3"/>
      <c r="I41" s="3"/>
      <c r="J41" s="3"/>
      <c r="K41" s="188"/>
      <c r="L41" s="3"/>
      <c r="M41" s="3"/>
      <c r="N41" s="3"/>
      <c r="O41" s="3"/>
      <c r="P41" s="3"/>
      <c r="Q41" s="475"/>
    </row>
    <row r="42" spans="1:17" s="181" customFormat="1" ht="17.649999999999999" hidden="1" customHeight="1">
      <c r="A42" s="3" t="s">
        <v>186</v>
      </c>
      <c r="B42" s="3"/>
      <c r="C42" s="3"/>
      <c r="D42" s="3"/>
      <c r="E42" s="3"/>
      <c r="F42" s="3"/>
      <c r="G42" s="3"/>
      <c r="H42" s="3"/>
      <c r="I42" s="3"/>
      <c r="J42" s="3"/>
      <c r="K42" s="475"/>
      <c r="L42" s="3"/>
      <c r="M42" s="3"/>
      <c r="N42" s="3"/>
      <c r="O42" s="3"/>
      <c r="P42" s="3"/>
      <c r="Q42" s="475"/>
    </row>
    <row r="43" spans="1:17" s="181" customFormat="1" ht="16.5" hidden="1" customHeight="1">
      <c r="A43" s="3"/>
      <c r="B43" s="3"/>
      <c r="C43" s="3"/>
      <c r="D43" s="3"/>
      <c r="E43" s="3"/>
      <c r="F43" s="3"/>
      <c r="G43" s="3"/>
      <c r="H43" s="3"/>
      <c r="I43" s="3"/>
      <c r="J43" s="3"/>
      <c r="K43" s="475"/>
      <c r="L43" s="3"/>
      <c r="M43" s="3"/>
      <c r="N43" s="3"/>
      <c r="O43" s="3"/>
      <c r="P43" s="3"/>
      <c r="Q43" s="475"/>
    </row>
    <row r="44" spans="1:17" ht="39.6" hidden="1" customHeight="1">
      <c r="A44" t="s">
        <v>187</v>
      </c>
      <c r="B44"/>
      <c r="Q44" s="475"/>
    </row>
    <row r="45" spans="1:17" ht="14.45" hidden="1">
      <c r="A45"/>
      <c r="B45"/>
    </row>
    <row r="46" spans="1:17" ht="14.45" hidden="1">
      <c r="A46"/>
      <c r="B46"/>
    </row>
    <row r="47" spans="1:17" ht="14.65" hidden="1" customHeight="1">
      <c r="A47"/>
      <c r="B47"/>
    </row>
    <row r="48" spans="1:17" ht="23.45" hidden="1">
      <c r="A48" s="190" t="s">
        <v>188</v>
      </c>
      <c r="B48"/>
    </row>
    <row r="49" spans="1:17" ht="14.45" hidden="1">
      <c r="A49"/>
      <c r="B49"/>
    </row>
    <row r="50" spans="1:17" s="4" customFormat="1" ht="13.15" hidden="1" customHeight="1">
      <c r="A50" s="263" t="s">
        <v>189</v>
      </c>
      <c r="B50" s="263" t="s">
        <v>190</v>
      </c>
      <c r="C50" s="3"/>
      <c r="D50" s="3"/>
      <c r="E50" s="3"/>
      <c r="F50" s="3"/>
      <c r="G50" s="3"/>
      <c r="H50" s="3"/>
      <c r="I50" s="3"/>
      <c r="J50" s="3"/>
      <c r="L50" s="3"/>
      <c r="M50" s="3"/>
      <c r="N50" s="3"/>
      <c r="O50" s="3"/>
      <c r="P50" s="3"/>
      <c r="Q50" s="3"/>
    </row>
    <row r="51" spans="1:17" ht="13.15" hidden="1" customHeight="1">
      <c r="A51" s="191" t="s">
        <v>191</v>
      </c>
      <c r="B51" s="191" t="s">
        <v>192</v>
      </c>
    </row>
    <row r="52" spans="1:17" ht="13.15" hidden="1" customHeight="1">
      <c r="A52" s="191" t="s">
        <v>193</v>
      </c>
      <c r="B52" s="192" t="s">
        <v>194</v>
      </c>
    </row>
    <row r="53" spans="1:17" ht="13.15" hidden="1" customHeight="1">
      <c r="A53" s="191" t="s">
        <v>195</v>
      </c>
      <c r="B53" s="191" t="s">
        <v>196</v>
      </c>
    </row>
    <row r="54" spans="1:17" ht="13.15" hidden="1" customHeight="1">
      <c r="A54"/>
      <c r="B54"/>
    </row>
    <row r="55" spans="1:17" ht="13.15" hidden="1" customHeight="1">
      <c r="A55"/>
      <c r="B55"/>
    </row>
    <row r="56" spans="1:17" ht="13.9" hidden="1" customHeight="1">
      <c r="A56" s="193" t="s">
        <v>197</v>
      </c>
      <c r="B56"/>
    </row>
    <row r="57" spans="1:17" ht="14.45" hidden="1">
      <c r="A57"/>
      <c r="B57"/>
    </row>
    <row r="58" spans="1:17" ht="14.45" hidden="1">
      <c r="A58" t="s">
        <v>198</v>
      </c>
      <c r="B58"/>
    </row>
    <row r="59" spans="1:17" ht="14.45" hidden="1">
      <c r="A59" s="194"/>
      <c r="B59"/>
    </row>
    <row r="60" spans="1:17" ht="14.45" hidden="1">
      <c r="A60" s="194" t="s">
        <v>199</v>
      </c>
      <c r="B60"/>
    </row>
    <row r="61" spans="1:17" ht="14.45" hidden="1">
      <c r="A61"/>
      <c r="B61"/>
    </row>
    <row r="62" spans="1:17" ht="14.45" hidden="1">
      <c r="A62" t="s">
        <v>200</v>
      </c>
      <c r="B62"/>
    </row>
    <row r="63" spans="1:17" ht="14.45" hidden="1">
      <c r="A63" s="194"/>
      <c r="B63"/>
    </row>
    <row r="64" spans="1:17" ht="14.45" hidden="1">
      <c r="A64" s="194" t="s">
        <v>201</v>
      </c>
      <c r="B64"/>
    </row>
    <row r="65" spans="1:2" ht="14.45" hidden="1">
      <c r="A65" s="194"/>
      <c r="B65"/>
    </row>
    <row r="66" spans="1:2" ht="14.45" hidden="1">
      <c r="A66" s="194" t="s">
        <v>202</v>
      </c>
      <c r="B66"/>
    </row>
    <row r="67" spans="1:2" ht="14.45" hidden="1">
      <c r="A67" s="194"/>
      <c r="B67"/>
    </row>
    <row r="68" spans="1:2" ht="14.45" hidden="1">
      <c r="A68" s="194" t="s">
        <v>203</v>
      </c>
      <c r="B68"/>
    </row>
    <row r="69" spans="1:2" ht="14.45" hidden="1">
      <c r="A69" s="194"/>
      <c r="B69"/>
    </row>
    <row r="70" spans="1:2" ht="14.45" hidden="1">
      <c r="A70" s="194" t="s">
        <v>204</v>
      </c>
      <c r="B70"/>
    </row>
    <row r="71" spans="1:2" ht="14.45" hidden="1">
      <c r="A71"/>
      <c r="B71"/>
    </row>
    <row r="72" spans="1:2" ht="14.45" hidden="1">
      <c r="A72"/>
      <c r="B72"/>
    </row>
    <row r="73" spans="1:2" ht="14.45" hidden="1">
      <c r="A73"/>
      <c r="B73"/>
    </row>
    <row r="74" spans="1:2" ht="23.45" hidden="1">
      <c r="A74" s="190" t="s">
        <v>205</v>
      </c>
      <c r="B74"/>
    </row>
    <row r="75" spans="1:2" ht="14.45" hidden="1">
      <c r="A75" s="194"/>
      <c r="B75"/>
    </row>
    <row r="76" spans="1:2" ht="14.45" hidden="1">
      <c r="A76" s="194" t="s">
        <v>206</v>
      </c>
      <c r="B76"/>
    </row>
    <row r="77" spans="1:2" ht="14.45" hidden="1">
      <c r="A77" s="194"/>
      <c r="B77"/>
    </row>
    <row r="78" spans="1:2" ht="14.45" hidden="1">
      <c r="A78" s="194" t="s">
        <v>207</v>
      </c>
      <c r="B78"/>
    </row>
    <row r="79" spans="1:2" ht="14.45" hidden="1">
      <c r="A79" s="194"/>
      <c r="B79"/>
    </row>
    <row r="80" spans="1:2" ht="14.45" hidden="1">
      <c r="A80" s="194" t="s">
        <v>208</v>
      </c>
      <c r="B80"/>
    </row>
    <row r="81" spans="1:7" ht="14.45" hidden="1">
      <c r="A81" s="194"/>
      <c r="B81"/>
    </row>
    <row r="82" spans="1:7" ht="14.45" hidden="1">
      <c r="A82" s="194" t="s">
        <v>209</v>
      </c>
      <c r="B82"/>
    </row>
    <row r="83" spans="1:7" ht="12.75" hidden="1" customHeight="1"/>
    <row r="84" spans="1:7" ht="12.75" hidden="1" customHeight="1"/>
    <row r="85" spans="1:7" ht="12.75" hidden="1" customHeight="1"/>
    <row r="86" spans="1:7" ht="12.75" hidden="1" customHeight="1"/>
    <row r="87" spans="1:7" ht="12.75" hidden="1" customHeight="1"/>
    <row r="88" spans="1:7" ht="12.75" hidden="1" customHeight="1"/>
    <row r="89" spans="1:7" ht="12.75" hidden="1" customHeight="1"/>
    <row r="90" spans="1:7" ht="12.75" hidden="1" customHeight="1"/>
    <row r="91" spans="1:7" ht="12.75" hidden="1" customHeight="1"/>
    <row r="92" spans="1:7" ht="13.9" hidden="1">
      <c r="B92" s="189" t="s">
        <v>210</v>
      </c>
      <c r="C92" s="189" t="s">
        <v>211</v>
      </c>
      <c r="D92" s="189" t="s">
        <v>212</v>
      </c>
      <c r="E92" s="189" t="s">
        <v>213</v>
      </c>
      <c r="F92" s="189" t="s">
        <v>214</v>
      </c>
      <c r="G92" s="189" t="s">
        <v>215</v>
      </c>
    </row>
    <row r="93" spans="1:7" ht="13.9" hidden="1">
      <c r="B93" s="189" t="s">
        <v>216</v>
      </c>
      <c r="C93" s="189" t="s">
        <v>217</v>
      </c>
      <c r="D93" s="189" t="s">
        <v>218</v>
      </c>
      <c r="E93" s="189" t="s">
        <v>213</v>
      </c>
      <c r="F93" s="189" t="s">
        <v>219</v>
      </c>
      <c r="G93" s="189" t="s">
        <v>220</v>
      </c>
    </row>
    <row r="94" spans="1:7" ht="13.9" hidden="1">
      <c r="B94" s="189" t="s">
        <v>221</v>
      </c>
      <c r="C94" s="189" t="s">
        <v>222</v>
      </c>
      <c r="D94" s="189" t="s">
        <v>223</v>
      </c>
      <c r="E94" s="189" t="s">
        <v>213</v>
      </c>
      <c r="F94" s="189" t="s">
        <v>214</v>
      </c>
      <c r="G94" s="189" t="s">
        <v>224</v>
      </c>
    </row>
    <row r="95" spans="1:7" ht="13.9" hidden="1">
      <c r="B95" s="189" t="s">
        <v>225</v>
      </c>
      <c r="C95" s="189" t="s">
        <v>226</v>
      </c>
      <c r="D95" s="189" t="s">
        <v>227</v>
      </c>
      <c r="E95" s="189" t="s">
        <v>213</v>
      </c>
      <c r="F95" s="189" t="s">
        <v>228</v>
      </c>
      <c r="G95" s="189" t="s">
        <v>220</v>
      </c>
    </row>
    <row r="96" spans="1:7" ht="13.9" hidden="1">
      <c r="B96" s="189" t="s">
        <v>149</v>
      </c>
      <c r="C96" s="189" t="s">
        <v>229</v>
      </c>
      <c r="D96" s="189" t="s">
        <v>230</v>
      </c>
      <c r="E96" s="189" t="s">
        <v>231</v>
      </c>
      <c r="F96" s="189" t="s">
        <v>232</v>
      </c>
      <c r="G96" s="189" t="s">
        <v>233</v>
      </c>
    </row>
    <row r="97" spans="2:7" ht="13.9" hidden="1">
      <c r="B97" s="189" t="s">
        <v>234</v>
      </c>
      <c r="C97" s="189" t="s">
        <v>235</v>
      </c>
      <c r="D97" s="189" t="s">
        <v>230</v>
      </c>
      <c r="E97" s="189" t="s">
        <v>231</v>
      </c>
      <c r="F97" s="189" t="s">
        <v>236</v>
      </c>
      <c r="G97" s="189" t="s">
        <v>237</v>
      </c>
    </row>
    <row r="98" spans="2:7" ht="13.9" hidden="1">
      <c r="B98" s="195" t="s">
        <v>238</v>
      </c>
      <c r="C98" s="195" t="s">
        <v>239</v>
      </c>
      <c r="D98" s="195" t="s">
        <v>240</v>
      </c>
      <c r="E98" s="195" t="s">
        <v>231</v>
      </c>
      <c r="F98" s="195" t="s">
        <v>241</v>
      </c>
      <c r="G98" s="195" t="s">
        <v>215</v>
      </c>
    </row>
    <row r="99" spans="2:7" ht="13.9" hidden="1">
      <c r="B99" s="195" t="s">
        <v>242</v>
      </c>
      <c r="C99" s="195" t="s">
        <v>243</v>
      </c>
      <c r="D99" s="195" t="s">
        <v>240</v>
      </c>
      <c r="E99" s="195" t="s">
        <v>231</v>
      </c>
      <c r="F99" s="195" t="s">
        <v>244</v>
      </c>
      <c r="G99" s="195" t="s">
        <v>237</v>
      </c>
    </row>
    <row r="100" spans="2:7" ht="13.9" hidden="1">
      <c r="B100" s="189" t="s">
        <v>245</v>
      </c>
      <c r="C100" s="189" t="s">
        <v>246</v>
      </c>
      <c r="D100" s="189" t="s">
        <v>247</v>
      </c>
      <c r="E100" s="189" t="s">
        <v>213</v>
      </c>
      <c r="F100" s="189" t="s">
        <v>248</v>
      </c>
      <c r="G100" s="189" t="s">
        <v>215</v>
      </c>
    </row>
    <row r="101" spans="2:7" ht="13.9" hidden="1">
      <c r="B101" s="189" t="s">
        <v>249</v>
      </c>
      <c r="C101" s="189" t="s">
        <v>250</v>
      </c>
      <c r="D101" s="189" t="s">
        <v>251</v>
      </c>
      <c r="E101" s="189" t="s">
        <v>213</v>
      </c>
      <c r="F101" s="189" t="s">
        <v>252</v>
      </c>
      <c r="G101" s="189" t="s">
        <v>220</v>
      </c>
    </row>
    <row r="102" spans="2:7" ht="12.75" hidden="1" customHeight="1"/>
    <row r="103" spans="2:7" ht="12.75" hidden="1" customHeight="1"/>
  </sheetData>
  <mergeCells count="1">
    <mergeCell ref="A1:K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879DBC2-F1AF-4004-B9D3-883859B7F622}">
          <x14:formula1>
            <xm:f>Data!$A$2:$A$200</xm:f>
          </x14:formula1>
          <xm:sqref>B3:B14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54"/>
  <sheetViews>
    <sheetView topLeftCell="D1" zoomScale="85" zoomScaleNormal="85" workbookViewId="0">
      <selection sqref="A1:X1"/>
    </sheetView>
  </sheetViews>
  <sheetFormatPr defaultColWidth="9.28515625" defaultRowHeight="13.9"/>
  <cols>
    <col min="1" max="1" width="15.42578125" style="71" customWidth="1"/>
    <col min="2" max="2" width="18.28515625" style="74" customWidth="1"/>
    <col min="3" max="3" width="18.5703125" style="71" customWidth="1"/>
    <col min="4" max="4" width="42.5703125" style="71" customWidth="1"/>
    <col min="5" max="5" width="14.5703125" style="71" customWidth="1"/>
    <col min="6" max="6" width="16.140625" style="71" customWidth="1"/>
    <col min="7" max="7" width="20.5703125" style="75" customWidth="1"/>
    <col min="8" max="8" width="46.7109375" style="71" customWidth="1"/>
    <col min="9" max="9" width="6.85546875" style="71" customWidth="1"/>
    <col min="10" max="12" width="7" style="71" customWidth="1"/>
    <col min="13" max="13" width="7.85546875" style="71" customWidth="1"/>
    <col min="14" max="14" width="8.7109375" style="71" customWidth="1"/>
    <col min="15" max="15" width="7" style="71" customWidth="1"/>
    <col min="16" max="16" width="7.140625" style="71" customWidth="1"/>
    <col min="17" max="17" width="7.5703125" style="71" customWidth="1"/>
    <col min="18" max="21" width="7" style="71" customWidth="1"/>
    <col min="22" max="22" width="7.7109375" style="71" customWidth="1"/>
    <col min="23" max="24" width="7" style="71" customWidth="1"/>
    <col min="25" max="26" width="9.28515625" style="71"/>
    <col min="27" max="30" width="7.7109375" style="71" customWidth="1"/>
    <col min="31" max="31" width="9.7109375" style="71" customWidth="1"/>
    <col min="32" max="32" width="7.5703125" style="71" customWidth="1"/>
    <col min="33" max="33" width="11.42578125" style="71" customWidth="1"/>
    <col min="34" max="42" width="7.7109375" style="71" customWidth="1"/>
    <col min="43" max="46" width="10.42578125" style="71" customWidth="1"/>
    <col min="47" max="47" width="9.85546875" style="71" customWidth="1"/>
    <col min="48" max="48" width="10.42578125" style="71" customWidth="1"/>
    <col min="49" max="49" width="21.7109375" style="71" customWidth="1"/>
    <col min="50" max="50" width="10.42578125" style="71" customWidth="1"/>
    <col min="51" max="53" width="7.42578125" style="71" customWidth="1"/>
    <col min="54" max="54" width="7.7109375" style="71" customWidth="1"/>
    <col min="55" max="55" width="7.42578125" style="71" customWidth="1"/>
    <col min="56" max="56" width="13.7109375" style="71" customWidth="1"/>
    <col min="57" max="60" width="7.42578125" style="71" customWidth="1"/>
    <col min="61" max="62" width="9.7109375" style="71" bestFit="1" customWidth="1"/>
    <col min="63" max="16384" width="9.28515625" style="71"/>
  </cols>
  <sheetData>
    <row r="1" spans="1:26" ht="31.9" customHeight="1">
      <c r="A1" s="563" t="str">
        <f>"Envelope - "&amp;Prototype!A2</f>
        <v>Envelope - RetailGrocery</v>
      </c>
      <c r="B1" s="563"/>
      <c r="C1" s="563"/>
      <c r="D1" s="563"/>
      <c r="E1" s="563"/>
      <c r="F1" s="563"/>
      <c r="G1" s="563"/>
      <c r="H1" s="563"/>
      <c r="I1" s="563"/>
      <c r="J1" s="563"/>
      <c r="K1" s="563"/>
      <c r="L1" s="563"/>
      <c r="M1" s="563"/>
      <c r="N1" s="563"/>
      <c r="O1" s="563"/>
      <c r="P1" s="563"/>
      <c r="Q1" s="563"/>
      <c r="R1" s="563"/>
      <c r="S1" s="563"/>
      <c r="T1" s="563"/>
      <c r="U1" s="563"/>
      <c r="V1" s="563"/>
      <c r="W1" s="563"/>
      <c r="X1" s="563"/>
      <c r="Y1" s="2"/>
      <c r="Z1" s="2"/>
    </row>
    <row r="2" spans="1:26" ht="32.450000000000003" customHeight="1">
      <c r="A2" s="29" t="s">
        <v>253</v>
      </c>
      <c r="B2" s="29" t="s">
        <v>10</v>
      </c>
      <c r="C2" s="29" t="s">
        <v>254</v>
      </c>
      <c r="D2" s="29" t="s">
        <v>255</v>
      </c>
      <c r="E2" s="80" t="s">
        <v>256</v>
      </c>
      <c r="F2" s="29" t="s">
        <v>257</v>
      </c>
      <c r="G2" s="80" t="s">
        <v>258</v>
      </c>
      <c r="H2" s="29" t="s">
        <v>259</v>
      </c>
      <c r="I2" s="29" t="s">
        <v>260</v>
      </c>
      <c r="J2" s="29" t="s">
        <v>261</v>
      </c>
      <c r="K2" s="29" t="s">
        <v>262</v>
      </c>
      <c r="L2" s="29" t="s">
        <v>263</v>
      </c>
      <c r="M2" s="29" t="s">
        <v>264</v>
      </c>
      <c r="N2" s="29" t="s">
        <v>265</v>
      </c>
      <c r="O2" s="29" t="s">
        <v>266</v>
      </c>
      <c r="P2" s="29" t="s">
        <v>267</v>
      </c>
      <c r="Q2" s="29" t="s">
        <v>268</v>
      </c>
      <c r="R2" s="29" t="s">
        <v>269</v>
      </c>
      <c r="S2" s="29" t="s">
        <v>270</v>
      </c>
      <c r="T2" s="29" t="s">
        <v>271</v>
      </c>
      <c r="U2" s="29" t="s">
        <v>272</v>
      </c>
      <c r="V2" s="29" t="s">
        <v>273</v>
      </c>
      <c r="W2" s="29" t="s">
        <v>274</v>
      </c>
      <c r="X2" s="29" t="s">
        <v>275</v>
      </c>
      <c r="Y2" s="2"/>
      <c r="Z2" s="2"/>
    </row>
    <row r="3" spans="1:26" s="2" customFormat="1" ht="13.9" customHeight="1">
      <c r="A3" s="559" t="s">
        <v>276</v>
      </c>
      <c r="B3" s="559" t="s">
        <v>41</v>
      </c>
      <c r="C3" s="562" t="s">
        <v>277</v>
      </c>
      <c r="D3" s="561" t="s">
        <v>278</v>
      </c>
      <c r="E3" s="559" t="s">
        <v>279</v>
      </c>
      <c r="F3" s="481" t="s">
        <v>280</v>
      </c>
      <c r="G3" s="481" t="s">
        <v>63</v>
      </c>
      <c r="H3" s="96" t="s">
        <v>281</v>
      </c>
      <c r="I3" s="328">
        <v>0.35199999999999998</v>
      </c>
      <c r="J3" s="328">
        <v>0.35199999999999998</v>
      </c>
      <c r="K3" s="328">
        <v>0.35199999999999998</v>
      </c>
      <c r="L3" s="328">
        <v>0.35199999999999998</v>
      </c>
      <c r="M3" s="328">
        <v>0.35199999999999998</v>
      </c>
      <c r="N3" s="328">
        <v>0.35199999999999998</v>
      </c>
      <c r="O3" s="328">
        <v>0.35199999999999998</v>
      </c>
      <c r="P3" s="328">
        <v>0.35199999999999998</v>
      </c>
      <c r="Q3" s="328">
        <v>0.35199999999999998</v>
      </c>
      <c r="R3" s="328">
        <v>0.35199999999999998</v>
      </c>
      <c r="S3" s="328">
        <v>0.35199999999999998</v>
      </c>
      <c r="T3" s="328">
        <v>0.35199999999999998</v>
      </c>
      <c r="U3" s="328">
        <v>0.35199999999999998</v>
      </c>
      <c r="V3" s="328">
        <v>0.35199999999999998</v>
      </c>
      <c r="W3" s="328">
        <v>0.35199999999999998</v>
      </c>
      <c r="X3" s="328">
        <v>0.35199999999999998</v>
      </c>
    </row>
    <row r="4" spans="1:26" s="2" customFormat="1" ht="31.9" customHeight="1">
      <c r="A4" s="559"/>
      <c r="B4" s="559"/>
      <c r="C4" s="562"/>
      <c r="D4" s="561"/>
      <c r="E4" s="559"/>
      <c r="F4" s="481" t="s">
        <v>282</v>
      </c>
      <c r="G4" s="481">
        <v>1986</v>
      </c>
      <c r="H4" s="482" t="s">
        <v>283</v>
      </c>
      <c r="I4" s="91">
        <v>0.150829562594268</v>
      </c>
      <c r="J4" s="91">
        <v>0.15748031496062992</v>
      </c>
      <c r="K4" s="91">
        <v>0.15748031496062992</v>
      </c>
      <c r="L4" s="91">
        <v>0.14367816091954022</v>
      </c>
      <c r="M4" s="91">
        <v>0.14367816091954022</v>
      </c>
      <c r="N4" s="91">
        <v>0.21645021645021645</v>
      </c>
      <c r="O4" s="91">
        <v>0.21645021645021645</v>
      </c>
      <c r="P4" s="91">
        <v>0.21645021645021645</v>
      </c>
      <c r="Q4" s="91">
        <v>0.21645021645021645</v>
      </c>
      <c r="R4" s="91">
        <v>0.21645021645021645</v>
      </c>
      <c r="S4" s="91">
        <v>0.18621973929236499</v>
      </c>
      <c r="T4" s="91">
        <v>0.18621973929236499</v>
      </c>
      <c r="U4" s="91">
        <v>0.18621973929236499</v>
      </c>
      <c r="V4" s="91">
        <v>0.15873015873015872</v>
      </c>
      <c r="W4" s="91">
        <v>0.15873015873015872</v>
      </c>
      <c r="X4" s="91">
        <v>0.15082956259426847</v>
      </c>
      <c r="Y4" s="330"/>
    </row>
    <row r="5" spans="1:26" s="2" customFormat="1" ht="13.9" customHeight="1">
      <c r="A5" s="559"/>
      <c r="B5" s="559"/>
      <c r="C5" s="562"/>
      <c r="D5" s="561"/>
      <c r="E5" s="559"/>
      <c r="F5" s="481" t="s">
        <v>284</v>
      </c>
      <c r="G5" s="481">
        <v>2001</v>
      </c>
      <c r="H5" s="481" t="s">
        <v>285</v>
      </c>
      <c r="I5" s="329">
        <v>0.182</v>
      </c>
      <c r="J5" s="329">
        <v>0.182</v>
      </c>
      <c r="K5" s="329">
        <v>0.189</v>
      </c>
      <c r="L5" s="329">
        <v>0.189</v>
      </c>
      <c r="M5" s="329">
        <v>0.189</v>
      </c>
      <c r="N5" s="329">
        <v>0.189</v>
      </c>
      <c r="O5" s="329">
        <v>0.189</v>
      </c>
      <c r="P5" s="329">
        <v>0.189</v>
      </c>
      <c r="Q5" s="329">
        <v>0.189</v>
      </c>
      <c r="R5" s="329">
        <v>0.182</v>
      </c>
      <c r="S5" s="329">
        <v>0.182</v>
      </c>
      <c r="T5" s="329">
        <v>0.182</v>
      </c>
      <c r="U5" s="329">
        <v>0.182</v>
      </c>
      <c r="V5" s="329">
        <v>0.182</v>
      </c>
      <c r="W5" s="329">
        <v>0.182</v>
      </c>
      <c r="X5" s="329">
        <v>0.182</v>
      </c>
      <c r="Y5" s="93"/>
    </row>
    <row r="6" spans="1:26" s="2" customFormat="1" ht="13.9" customHeight="1">
      <c r="A6" s="559"/>
      <c r="B6" s="559"/>
      <c r="C6" s="562"/>
      <c r="D6" s="561"/>
      <c r="E6" s="559"/>
      <c r="F6" s="481" t="s">
        <v>286</v>
      </c>
      <c r="G6" s="481">
        <v>2013</v>
      </c>
      <c r="H6" s="481" t="s">
        <v>287</v>
      </c>
      <c r="I6" s="94">
        <v>9.8000000000000004E-2</v>
      </c>
      <c r="J6" s="94">
        <v>6.2E-2</v>
      </c>
      <c r="K6" s="94">
        <v>8.2000000000000003E-2</v>
      </c>
      <c r="L6" s="94">
        <v>6.2E-2</v>
      </c>
      <c r="M6" s="94">
        <v>6.2E-2</v>
      </c>
      <c r="N6" s="94">
        <v>9.8000000000000004E-2</v>
      </c>
      <c r="O6" s="94">
        <v>9.8000000000000004E-2</v>
      </c>
      <c r="P6" s="94">
        <v>6.2E-2</v>
      </c>
      <c r="Q6" s="94">
        <v>6.2E-2</v>
      </c>
      <c r="R6" s="94">
        <v>6.2E-2</v>
      </c>
      <c r="S6" s="94">
        <v>6.2E-2</v>
      </c>
      <c r="T6" s="94">
        <v>6.2E-2</v>
      </c>
      <c r="U6" s="94">
        <v>6.2E-2</v>
      </c>
      <c r="V6" s="94">
        <v>6.2E-2</v>
      </c>
      <c r="W6" s="94">
        <v>6.2E-2</v>
      </c>
      <c r="X6" s="94">
        <v>6.2E-2</v>
      </c>
      <c r="Y6" s="93"/>
    </row>
    <row r="7" spans="1:26" s="2" customFormat="1" ht="13.9" customHeight="1">
      <c r="A7" s="559"/>
      <c r="B7" s="559"/>
      <c r="C7" s="562"/>
      <c r="D7" s="561"/>
      <c r="E7" s="559"/>
      <c r="F7" s="481" t="s">
        <v>288</v>
      </c>
      <c r="G7" s="87">
        <v>2025</v>
      </c>
      <c r="H7" s="87" t="s">
        <v>287</v>
      </c>
      <c r="I7" s="95">
        <v>0.06</v>
      </c>
      <c r="J7" s="95">
        <v>5.5E-2</v>
      </c>
      <c r="K7" s="95">
        <v>7.0999999999999994E-2</v>
      </c>
      <c r="L7" s="95">
        <v>5.5E-2</v>
      </c>
      <c r="M7" s="95">
        <v>5.5E-2</v>
      </c>
      <c r="N7" s="95">
        <v>0.06</v>
      </c>
      <c r="O7" s="95">
        <v>0.06</v>
      </c>
      <c r="P7" s="95">
        <v>5.5E-2</v>
      </c>
      <c r="Q7" s="95">
        <v>5.5E-2</v>
      </c>
      <c r="R7" s="95">
        <v>5.5E-2</v>
      </c>
      <c r="S7" s="95">
        <v>5.5E-2</v>
      </c>
      <c r="T7" s="95">
        <v>5.5E-2</v>
      </c>
      <c r="U7" s="95">
        <v>5.5E-2</v>
      </c>
      <c r="V7" s="95">
        <v>5.5E-2</v>
      </c>
      <c r="W7" s="95">
        <v>5.5E-2</v>
      </c>
      <c r="X7" s="95">
        <v>5.5E-2</v>
      </c>
      <c r="Y7" s="93"/>
    </row>
    <row r="8" spans="1:26" s="2" customFormat="1" ht="13.9" customHeight="1">
      <c r="A8" s="559" t="s">
        <v>289</v>
      </c>
      <c r="B8" s="559" t="s">
        <v>41</v>
      </c>
      <c r="C8" s="559" t="s">
        <v>290</v>
      </c>
      <c r="D8" s="561" t="s">
        <v>291</v>
      </c>
      <c r="E8" s="559" t="s">
        <v>279</v>
      </c>
      <c r="F8" s="481" t="s">
        <v>280</v>
      </c>
      <c r="G8" s="481" t="s">
        <v>63</v>
      </c>
      <c r="H8" s="564" t="s">
        <v>292</v>
      </c>
      <c r="I8" s="96">
        <v>5.7000000000000002E-2</v>
      </c>
      <c r="J8" s="96">
        <v>5.7000000000000002E-2</v>
      </c>
      <c r="K8" s="96">
        <v>5.7000000000000002E-2</v>
      </c>
      <c r="L8" s="96">
        <v>5.7000000000000002E-2</v>
      </c>
      <c r="M8" s="96">
        <v>5.7000000000000002E-2</v>
      </c>
      <c r="N8" s="96">
        <v>7.8E-2</v>
      </c>
      <c r="O8" s="96">
        <v>7.8E-2</v>
      </c>
      <c r="P8" s="96">
        <v>7.8E-2</v>
      </c>
      <c r="Q8" s="96">
        <v>7.8E-2</v>
      </c>
      <c r="R8" s="96">
        <v>7.8E-2</v>
      </c>
      <c r="S8" s="96">
        <v>5.7000000000000002E-2</v>
      </c>
      <c r="T8" s="96">
        <v>5.7000000000000002E-2</v>
      </c>
      <c r="U8" s="96">
        <v>5.7000000000000002E-2</v>
      </c>
      <c r="V8" s="96">
        <v>5.7000000000000002E-2</v>
      </c>
      <c r="W8" s="96">
        <v>5.7000000000000002E-2</v>
      </c>
      <c r="X8" s="96">
        <v>5.7000000000000002E-2</v>
      </c>
      <c r="Y8" s="93"/>
    </row>
    <row r="9" spans="1:26" s="2" customFormat="1" ht="13.9" customHeight="1">
      <c r="A9" s="559"/>
      <c r="B9" s="559"/>
      <c r="C9" s="559"/>
      <c r="D9" s="561"/>
      <c r="E9" s="559"/>
      <c r="F9" s="481" t="s">
        <v>282</v>
      </c>
      <c r="G9" s="481">
        <v>1992</v>
      </c>
      <c r="H9" s="565"/>
      <c r="I9" s="97">
        <v>5.7000000000000002E-2</v>
      </c>
      <c r="J9" s="97">
        <v>5.7000000000000002E-2</v>
      </c>
      <c r="K9" s="97">
        <v>5.7000000000000002E-2</v>
      </c>
      <c r="L9" s="97">
        <v>5.7000000000000002E-2</v>
      </c>
      <c r="M9" s="97">
        <v>5.7000000000000002E-2</v>
      </c>
      <c r="N9" s="97">
        <v>7.8E-2</v>
      </c>
      <c r="O9" s="97">
        <v>7.8E-2</v>
      </c>
      <c r="P9" s="97">
        <v>7.8E-2</v>
      </c>
      <c r="Q9" s="97">
        <v>7.8E-2</v>
      </c>
      <c r="R9" s="97">
        <v>7.8E-2</v>
      </c>
      <c r="S9" s="97">
        <v>5.7000000000000002E-2</v>
      </c>
      <c r="T9" s="97">
        <v>5.7000000000000002E-2</v>
      </c>
      <c r="U9" s="97">
        <v>5.7000000000000002E-2</v>
      </c>
      <c r="V9" s="97">
        <v>5.7000000000000002E-2</v>
      </c>
      <c r="W9" s="97">
        <v>5.7000000000000002E-2</v>
      </c>
      <c r="X9" s="97">
        <v>5.7000000000000002E-2</v>
      </c>
      <c r="Y9" s="93"/>
    </row>
    <row r="10" spans="1:26" s="2" customFormat="1" ht="13.9" customHeight="1">
      <c r="A10" s="559"/>
      <c r="B10" s="559"/>
      <c r="C10" s="559"/>
      <c r="D10" s="561"/>
      <c r="E10" s="559"/>
      <c r="F10" s="481" t="s">
        <v>284</v>
      </c>
      <c r="G10" s="481">
        <v>2001</v>
      </c>
      <c r="H10" s="481" t="s">
        <v>285</v>
      </c>
      <c r="I10" s="92">
        <v>5.7000000000000002E-2</v>
      </c>
      <c r="J10" s="92">
        <v>5.7000000000000002E-2</v>
      </c>
      <c r="K10" s="92">
        <v>5.7000000000000002E-2</v>
      </c>
      <c r="L10" s="92">
        <v>5.7000000000000002E-2</v>
      </c>
      <c r="M10" s="92">
        <v>5.7000000000000002E-2</v>
      </c>
      <c r="N10" s="92">
        <v>7.8E-2</v>
      </c>
      <c r="O10" s="92">
        <v>7.8E-2</v>
      </c>
      <c r="P10" s="92">
        <v>7.8E-2</v>
      </c>
      <c r="Q10" s="92">
        <v>7.8E-2</v>
      </c>
      <c r="R10" s="92">
        <v>5.7000000000000002E-2</v>
      </c>
      <c r="S10" s="92">
        <v>5.7000000000000002E-2</v>
      </c>
      <c r="T10" s="92">
        <v>5.7000000000000002E-2</v>
      </c>
      <c r="U10" s="92">
        <v>5.7000000000000002E-2</v>
      </c>
      <c r="V10" s="92">
        <v>5.7000000000000002E-2</v>
      </c>
      <c r="W10" s="92">
        <v>5.7000000000000002E-2</v>
      </c>
      <c r="X10" s="92">
        <v>5.7000000000000002E-2</v>
      </c>
      <c r="Y10" s="93"/>
    </row>
    <row r="11" spans="1:26" s="2" customFormat="1" ht="13.9" customHeight="1">
      <c r="A11" s="559"/>
      <c r="B11" s="559"/>
      <c r="C11" s="559"/>
      <c r="D11" s="561"/>
      <c r="E11" s="559"/>
      <c r="F11" s="481" t="s">
        <v>286</v>
      </c>
      <c r="G11" s="481">
        <v>2013</v>
      </c>
      <c r="H11" s="481" t="s">
        <v>287</v>
      </c>
      <c r="I11" s="94">
        <v>4.9000000000000002E-2</v>
      </c>
      <c r="J11" s="94">
        <v>3.9E-2</v>
      </c>
      <c r="K11" s="94">
        <v>3.9E-2</v>
      </c>
      <c r="L11" s="94">
        <v>3.9E-2</v>
      </c>
      <c r="M11" s="94">
        <v>4.9000000000000002E-2</v>
      </c>
      <c r="N11" s="94">
        <v>7.4999999999999997E-2</v>
      </c>
      <c r="O11" s="94">
        <v>6.7000000000000004E-2</v>
      </c>
      <c r="P11" s="94">
        <v>6.7000000000000004E-2</v>
      </c>
      <c r="Q11" s="94">
        <v>3.9E-2</v>
      </c>
      <c r="R11" s="94">
        <v>3.9E-2</v>
      </c>
      <c r="S11" s="94">
        <v>3.9E-2</v>
      </c>
      <c r="T11" s="94">
        <v>3.9E-2</v>
      </c>
      <c r="U11" s="94">
        <v>3.9E-2</v>
      </c>
      <c r="V11" s="94">
        <v>3.9E-2</v>
      </c>
      <c r="W11" s="94">
        <v>3.9E-2</v>
      </c>
      <c r="X11" s="94">
        <v>3.9E-2</v>
      </c>
      <c r="Y11" s="93"/>
    </row>
    <row r="12" spans="1:26" s="2" customFormat="1" ht="13.9" customHeight="1">
      <c r="A12" s="559"/>
      <c r="B12" s="559"/>
      <c r="C12" s="559"/>
      <c r="D12" s="561"/>
      <c r="E12" s="559"/>
      <c r="F12" s="481" t="s">
        <v>288</v>
      </c>
      <c r="G12" s="87">
        <v>2025</v>
      </c>
      <c r="H12" s="87" t="s">
        <v>287</v>
      </c>
      <c r="I12" s="95">
        <v>2.8000000000000001E-2</v>
      </c>
      <c r="J12" s="95">
        <v>2.8000000000000001E-2</v>
      </c>
      <c r="K12" s="95">
        <v>2.8000000000000001E-2</v>
      </c>
      <c r="L12" s="95">
        <v>2.8000000000000001E-2</v>
      </c>
      <c r="M12" s="95">
        <v>2.8000000000000001E-2</v>
      </c>
      <c r="N12" s="95">
        <v>4.7E-2</v>
      </c>
      <c r="O12" s="95">
        <v>4.7E-2</v>
      </c>
      <c r="P12" s="95">
        <v>4.7E-2</v>
      </c>
      <c r="Q12" s="95">
        <v>2.8000000000000001E-2</v>
      </c>
      <c r="R12" s="95">
        <v>2.8000000000000001E-2</v>
      </c>
      <c r="S12" s="95">
        <v>2.8000000000000001E-2</v>
      </c>
      <c r="T12" s="95">
        <v>2.8000000000000001E-2</v>
      </c>
      <c r="U12" s="95">
        <v>2.8000000000000001E-2</v>
      </c>
      <c r="V12" s="95">
        <v>2.8000000000000001E-2</v>
      </c>
      <c r="W12" s="95">
        <v>2.8000000000000001E-2</v>
      </c>
      <c r="X12" s="95">
        <v>2.8000000000000001E-2</v>
      </c>
      <c r="Y12" s="93"/>
    </row>
    <row r="13" spans="1:26" s="2" customFormat="1" ht="22.15" customHeight="1">
      <c r="A13" s="559" t="s">
        <v>293</v>
      </c>
      <c r="B13" s="556" t="s">
        <v>41</v>
      </c>
      <c r="C13" s="556" t="s">
        <v>294</v>
      </c>
      <c r="D13" s="562" t="s">
        <v>295</v>
      </c>
      <c r="E13" s="559" t="s">
        <v>279</v>
      </c>
      <c r="F13" s="481" t="s">
        <v>280</v>
      </c>
      <c r="G13" s="481" t="s">
        <v>63</v>
      </c>
      <c r="H13" s="564" t="s">
        <v>296</v>
      </c>
      <c r="I13" s="481">
        <f t="shared" ref="I13:X13" si="0">0.5*1.12+0.5*I16</f>
        <v>0.74</v>
      </c>
      <c r="J13" s="481">
        <f t="shared" si="0"/>
        <v>0.74</v>
      </c>
      <c r="K13" s="481">
        <f t="shared" si="0"/>
        <v>0.74</v>
      </c>
      <c r="L13" s="481">
        <f t="shared" si="0"/>
        <v>0.74</v>
      </c>
      <c r="M13" s="481">
        <f t="shared" si="0"/>
        <v>0.74</v>
      </c>
      <c r="N13" s="481">
        <f t="shared" si="0"/>
        <v>0.74</v>
      </c>
      <c r="O13" s="481">
        <f t="shared" si="0"/>
        <v>0.74</v>
      </c>
      <c r="P13" s="481">
        <f t="shared" si="0"/>
        <v>0.74</v>
      </c>
      <c r="Q13" s="481">
        <f t="shared" si="0"/>
        <v>0.74</v>
      </c>
      <c r="R13" s="481">
        <f t="shared" si="0"/>
        <v>0.74</v>
      </c>
      <c r="S13" s="481">
        <f t="shared" si="0"/>
        <v>0.74</v>
      </c>
      <c r="T13" s="481">
        <f t="shared" si="0"/>
        <v>0.74</v>
      </c>
      <c r="U13" s="481">
        <f t="shared" si="0"/>
        <v>0.74</v>
      </c>
      <c r="V13" s="481">
        <f t="shared" si="0"/>
        <v>0.74</v>
      </c>
      <c r="W13" s="481">
        <f t="shared" si="0"/>
        <v>0.74</v>
      </c>
      <c r="X13" s="481">
        <f t="shared" si="0"/>
        <v>0.74</v>
      </c>
      <c r="Y13" s="93"/>
    </row>
    <row r="14" spans="1:26" s="2" customFormat="1" ht="21" customHeight="1">
      <c r="A14" s="559"/>
      <c r="B14" s="557"/>
      <c r="C14" s="557"/>
      <c r="D14" s="562"/>
      <c r="E14" s="559"/>
      <c r="F14" s="481" t="s">
        <v>282</v>
      </c>
      <c r="G14" s="481" t="s">
        <v>63</v>
      </c>
      <c r="H14" s="565"/>
      <c r="I14" s="98">
        <f>I13</f>
        <v>0.74</v>
      </c>
      <c r="J14" s="98">
        <f t="shared" ref="J14:X14" si="1">J13</f>
        <v>0.74</v>
      </c>
      <c r="K14" s="98">
        <f t="shared" si="1"/>
        <v>0.74</v>
      </c>
      <c r="L14" s="98">
        <f t="shared" si="1"/>
        <v>0.74</v>
      </c>
      <c r="M14" s="98">
        <f t="shared" si="1"/>
        <v>0.74</v>
      </c>
      <c r="N14" s="98">
        <f t="shared" si="1"/>
        <v>0.74</v>
      </c>
      <c r="O14" s="98">
        <f t="shared" si="1"/>
        <v>0.74</v>
      </c>
      <c r="P14" s="98">
        <f t="shared" si="1"/>
        <v>0.74</v>
      </c>
      <c r="Q14" s="98">
        <f t="shared" si="1"/>
        <v>0.74</v>
      </c>
      <c r="R14" s="98">
        <f t="shared" si="1"/>
        <v>0.74</v>
      </c>
      <c r="S14" s="98">
        <f t="shared" si="1"/>
        <v>0.74</v>
      </c>
      <c r="T14" s="98">
        <f t="shared" si="1"/>
        <v>0.74</v>
      </c>
      <c r="U14" s="98">
        <f t="shared" si="1"/>
        <v>0.74</v>
      </c>
      <c r="V14" s="98">
        <f t="shared" si="1"/>
        <v>0.74</v>
      </c>
      <c r="W14" s="98">
        <f t="shared" si="1"/>
        <v>0.74</v>
      </c>
      <c r="X14" s="98">
        <f t="shared" si="1"/>
        <v>0.74</v>
      </c>
      <c r="Y14" s="93"/>
    </row>
    <row r="15" spans="1:26" s="2" customFormat="1" ht="13.9" customHeight="1">
      <c r="A15" s="559"/>
      <c r="B15" s="557"/>
      <c r="C15" s="557"/>
      <c r="D15" s="559" t="s">
        <v>297</v>
      </c>
      <c r="E15" s="559"/>
      <c r="F15" s="481" t="s">
        <v>284</v>
      </c>
      <c r="G15" s="481">
        <v>2001</v>
      </c>
      <c r="H15" s="481" t="s">
        <v>285</v>
      </c>
      <c r="I15" s="99">
        <v>0.49</v>
      </c>
      <c r="J15" s="99">
        <v>0.49</v>
      </c>
      <c r="K15" s="99">
        <v>0.81</v>
      </c>
      <c r="L15" s="99">
        <v>0.81</v>
      </c>
      <c r="M15" s="99">
        <v>0.81</v>
      </c>
      <c r="N15" s="99">
        <v>0.81</v>
      </c>
      <c r="O15" s="99">
        <v>0.81</v>
      </c>
      <c r="P15" s="99">
        <v>0.81</v>
      </c>
      <c r="Q15" s="99">
        <v>0.81</v>
      </c>
      <c r="R15" s="99">
        <v>0.49</v>
      </c>
      <c r="S15" s="99">
        <v>0.49</v>
      </c>
      <c r="T15" s="99">
        <v>0.49</v>
      </c>
      <c r="U15" s="99">
        <v>0.49</v>
      </c>
      <c r="V15" s="99">
        <v>0.49</v>
      </c>
      <c r="W15" s="99">
        <v>0.49</v>
      </c>
      <c r="X15" s="99">
        <v>0.49</v>
      </c>
      <c r="Y15" s="93"/>
    </row>
    <row r="16" spans="1:26" s="2" customFormat="1" ht="13.9" customHeight="1">
      <c r="A16" s="559"/>
      <c r="B16" s="557"/>
      <c r="C16" s="557"/>
      <c r="D16" s="559"/>
      <c r="E16" s="559"/>
      <c r="F16" s="481" t="s">
        <v>286</v>
      </c>
      <c r="G16" s="481">
        <v>2013</v>
      </c>
      <c r="H16" s="481" t="s">
        <v>298</v>
      </c>
      <c r="I16" s="100">
        <v>0.36</v>
      </c>
      <c r="J16" s="100">
        <v>0.36</v>
      </c>
      <c r="K16" s="100">
        <v>0.36</v>
      </c>
      <c r="L16" s="100">
        <v>0.36</v>
      </c>
      <c r="M16" s="100">
        <v>0.36</v>
      </c>
      <c r="N16" s="100">
        <v>0.36</v>
      </c>
      <c r="O16" s="100">
        <v>0.36</v>
      </c>
      <c r="P16" s="100">
        <v>0.36</v>
      </c>
      <c r="Q16" s="100">
        <v>0.36</v>
      </c>
      <c r="R16" s="100">
        <v>0.36</v>
      </c>
      <c r="S16" s="100">
        <v>0.36</v>
      </c>
      <c r="T16" s="100">
        <v>0.36</v>
      </c>
      <c r="U16" s="100">
        <v>0.36</v>
      </c>
      <c r="V16" s="100">
        <v>0.36</v>
      </c>
      <c r="W16" s="100">
        <v>0.36</v>
      </c>
      <c r="X16" s="100">
        <v>0.36</v>
      </c>
      <c r="Y16" s="93"/>
    </row>
    <row r="17" spans="1:62" s="2" customFormat="1" ht="13.9" customHeight="1">
      <c r="A17" s="559"/>
      <c r="B17" s="557"/>
      <c r="C17" s="558"/>
      <c r="D17" s="559"/>
      <c r="E17" s="559"/>
      <c r="F17" s="481" t="s">
        <v>288</v>
      </c>
      <c r="G17" s="87">
        <v>2025</v>
      </c>
      <c r="H17" s="87" t="s">
        <v>298</v>
      </c>
      <c r="I17" s="101">
        <v>0.36</v>
      </c>
      <c r="J17" s="101">
        <v>0.36</v>
      </c>
      <c r="K17" s="101">
        <v>0.36</v>
      </c>
      <c r="L17" s="101">
        <v>0.36</v>
      </c>
      <c r="M17" s="101">
        <v>0.36</v>
      </c>
      <c r="N17" s="101">
        <v>0.36</v>
      </c>
      <c r="O17" s="101">
        <v>0.36</v>
      </c>
      <c r="P17" s="101">
        <v>0.36</v>
      </c>
      <c r="Q17" s="101">
        <v>0.34</v>
      </c>
      <c r="R17" s="101">
        <v>0.36</v>
      </c>
      <c r="S17" s="101">
        <v>0.34</v>
      </c>
      <c r="T17" s="101">
        <v>0.34</v>
      </c>
      <c r="U17" s="101">
        <v>0.34</v>
      </c>
      <c r="V17" s="101">
        <v>0.34</v>
      </c>
      <c r="W17" s="101">
        <v>0.34</v>
      </c>
      <c r="X17" s="101">
        <v>0.36</v>
      </c>
      <c r="Y17" s="93"/>
    </row>
    <row r="18" spans="1:62" s="2" customFormat="1" ht="17.45" customHeight="1">
      <c r="A18" s="559"/>
      <c r="B18" s="557"/>
      <c r="C18" s="556" t="s">
        <v>294</v>
      </c>
      <c r="D18" s="562" t="s">
        <v>295</v>
      </c>
      <c r="E18" s="559" t="s">
        <v>299</v>
      </c>
      <c r="F18" s="481" t="s">
        <v>280</v>
      </c>
      <c r="G18" s="481" t="s">
        <v>63</v>
      </c>
      <c r="H18" s="564" t="s">
        <v>300</v>
      </c>
      <c r="I18" s="37">
        <f t="shared" ref="I18:X19" si="2">0.8*0.5+I21*0.5</f>
        <v>0.52500000000000002</v>
      </c>
      <c r="J18" s="37">
        <f t="shared" si="2"/>
        <v>0.52500000000000002</v>
      </c>
      <c r="K18" s="37">
        <f t="shared" si="2"/>
        <v>0.52500000000000002</v>
      </c>
      <c r="L18" s="37">
        <f t="shared" si="2"/>
        <v>0.52500000000000002</v>
      </c>
      <c r="M18" s="37">
        <f t="shared" si="2"/>
        <v>0.52500000000000002</v>
      </c>
      <c r="N18" s="37">
        <f t="shared" si="2"/>
        <v>0.52500000000000002</v>
      </c>
      <c r="O18" s="37">
        <f t="shared" si="2"/>
        <v>0.52500000000000002</v>
      </c>
      <c r="P18" s="37">
        <f t="shared" si="2"/>
        <v>0.52500000000000002</v>
      </c>
      <c r="Q18" s="37">
        <f t="shared" si="2"/>
        <v>0.52500000000000002</v>
      </c>
      <c r="R18" s="37">
        <f t="shared" si="2"/>
        <v>0.52500000000000002</v>
      </c>
      <c r="S18" s="37">
        <f t="shared" si="2"/>
        <v>0.52500000000000002</v>
      </c>
      <c r="T18" s="37">
        <f t="shared" si="2"/>
        <v>0.52500000000000002</v>
      </c>
      <c r="U18" s="37">
        <f t="shared" si="2"/>
        <v>0.52500000000000002</v>
      </c>
      <c r="V18" s="37">
        <f t="shared" si="2"/>
        <v>0.52500000000000002</v>
      </c>
      <c r="W18" s="37">
        <f t="shared" si="2"/>
        <v>0.52500000000000002</v>
      </c>
      <c r="X18" s="37">
        <f t="shared" si="2"/>
        <v>0.52500000000000002</v>
      </c>
      <c r="Y18" s="93"/>
    </row>
    <row r="19" spans="1:62" s="2" customFormat="1" ht="16.149999999999999" customHeight="1">
      <c r="A19" s="559"/>
      <c r="B19" s="557"/>
      <c r="C19" s="557"/>
      <c r="D19" s="562"/>
      <c r="E19" s="559"/>
      <c r="F19" s="481" t="s">
        <v>282</v>
      </c>
      <c r="G19" s="481" t="s">
        <v>63</v>
      </c>
      <c r="H19" s="565"/>
      <c r="I19" s="102">
        <f t="shared" si="2"/>
        <v>0.52500000000000002</v>
      </c>
      <c r="J19" s="102">
        <f t="shared" si="2"/>
        <v>0.52500000000000002</v>
      </c>
      <c r="K19" s="102">
        <f t="shared" si="2"/>
        <v>0.52500000000000002</v>
      </c>
      <c r="L19" s="102">
        <f t="shared" si="2"/>
        <v>0.52500000000000002</v>
      </c>
      <c r="M19" s="102">
        <f t="shared" si="2"/>
        <v>0.52500000000000002</v>
      </c>
      <c r="N19" s="102">
        <f t="shared" si="2"/>
        <v>0.52500000000000002</v>
      </c>
      <c r="O19" s="102">
        <f t="shared" si="2"/>
        <v>0.52500000000000002</v>
      </c>
      <c r="P19" s="102">
        <f t="shared" si="2"/>
        <v>0.52500000000000002</v>
      </c>
      <c r="Q19" s="102">
        <f t="shared" si="2"/>
        <v>0.51</v>
      </c>
      <c r="R19" s="102">
        <f t="shared" si="2"/>
        <v>0.52500000000000002</v>
      </c>
      <c r="S19" s="102">
        <f t="shared" si="2"/>
        <v>0.51</v>
      </c>
      <c r="T19" s="102">
        <f t="shared" si="2"/>
        <v>0.51</v>
      </c>
      <c r="U19" s="102">
        <f t="shared" si="2"/>
        <v>0.51</v>
      </c>
      <c r="V19" s="102">
        <f t="shared" si="2"/>
        <v>0.51</v>
      </c>
      <c r="W19" s="102">
        <f t="shared" si="2"/>
        <v>0.51</v>
      </c>
      <c r="X19" s="102">
        <f t="shared" si="2"/>
        <v>0.52500000000000002</v>
      </c>
      <c r="Y19" s="93"/>
    </row>
    <row r="20" spans="1:62" s="2" customFormat="1" ht="13.9" customHeight="1">
      <c r="A20" s="559"/>
      <c r="B20" s="557"/>
      <c r="C20" s="557"/>
      <c r="D20" s="559" t="s">
        <v>297</v>
      </c>
      <c r="E20" s="559"/>
      <c r="F20" s="479" t="s">
        <v>284</v>
      </c>
      <c r="G20" s="479">
        <v>2001</v>
      </c>
      <c r="H20" s="481" t="s">
        <v>301</v>
      </c>
      <c r="I20" s="99">
        <v>0.49</v>
      </c>
      <c r="J20" s="99">
        <v>0.47</v>
      </c>
      <c r="K20" s="99">
        <v>0.61</v>
      </c>
      <c r="L20" s="99">
        <v>0.61</v>
      </c>
      <c r="M20" s="99">
        <v>0.61</v>
      </c>
      <c r="N20" s="99">
        <v>0.61</v>
      </c>
      <c r="O20" s="99">
        <v>0.61</v>
      </c>
      <c r="P20" s="99">
        <v>0.61</v>
      </c>
      <c r="Q20" s="99">
        <v>0.61</v>
      </c>
      <c r="R20" s="99">
        <v>0.47</v>
      </c>
      <c r="S20" s="99">
        <v>0.47</v>
      </c>
      <c r="T20" s="99">
        <v>0.47</v>
      </c>
      <c r="U20" s="99">
        <v>0.47</v>
      </c>
      <c r="V20" s="99">
        <v>0.46</v>
      </c>
      <c r="W20" s="99">
        <v>0.46</v>
      </c>
      <c r="X20" s="99">
        <v>0.49</v>
      </c>
      <c r="Y20" s="93"/>
    </row>
    <row r="21" spans="1:62" s="2" customFormat="1" ht="13.9" customHeight="1">
      <c r="A21" s="559"/>
      <c r="B21" s="557"/>
      <c r="C21" s="557"/>
      <c r="D21" s="559"/>
      <c r="E21" s="559"/>
      <c r="F21" s="481" t="s">
        <v>286</v>
      </c>
      <c r="G21" s="481">
        <v>2013</v>
      </c>
      <c r="H21" s="481" t="s">
        <v>298</v>
      </c>
      <c r="I21" s="100">
        <v>0.25</v>
      </c>
      <c r="J21" s="100">
        <v>0.25</v>
      </c>
      <c r="K21" s="100">
        <v>0.25</v>
      </c>
      <c r="L21" s="100">
        <v>0.25</v>
      </c>
      <c r="M21" s="100">
        <v>0.25</v>
      </c>
      <c r="N21" s="100">
        <v>0.25</v>
      </c>
      <c r="O21" s="100">
        <v>0.25</v>
      </c>
      <c r="P21" s="100">
        <v>0.25</v>
      </c>
      <c r="Q21" s="100">
        <v>0.25</v>
      </c>
      <c r="R21" s="100">
        <v>0.25</v>
      </c>
      <c r="S21" s="100">
        <v>0.25</v>
      </c>
      <c r="T21" s="100">
        <v>0.25</v>
      </c>
      <c r="U21" s="100">
        <v>0.25</v>
      </c>
      <c r="V21" s="100">
        <v>0.25</v>
      </c>
      <c r="W21" s="100">
        <v>0.25</v>
      </c>
      <c r="X21" s="100">
        <v>0.25</v>
      </c>
      <c r="Y21" s="93"/>
    </row>
    <row r="22" spans="1:62" s="2" customFormat="1">
      <c r="A22" s="559"/>
      <c r="B22" s="558"/>
      <c r="C22" s="558"/>
      <c r="D22" s="559"/>
      <c r="E22" s="559"/>
      <c r="F22" s="481" t="s">
        <v>288</v>
      </c>
      <c r="G22" s="87">
        <v>2025</v>
      </c>
      <c r="H22" s="87" t="s">
        <v>298</v>
      </c>
      <c r="I22" s="101">
        <v>0.25</v>
      </c>
      <c r="J22" s="101">
        <v>0.25</v>
      </c>
      <c r="K22" s="101">
        <v>0.25</v>
      </c>
      <c r="L22" s="101">
        <v>0.25</v>
      </c>
      <c r="M22" s="101">
        <v>0.25</v>
      </c>
      <c r="N22" s="101">
        <v>0.25</v>
      </c>
      <c r="O22" s="101">
        <v>0.25</v>
      </c>
      <c r="P22" s="101">
        <v>0.25</v>
      </c>
      <c r="Q22" s="101">
        <v>0.22</v>
      </c>
      <c r="R22" s="101">
        <v>0.25</v>
      </c>
      <c r="S22" s="101">
        <v>0.22</v>
      </c>
      <c r="T22" s="101">
        <v>0.22</v>
      </c>
      <c r="U22" s="101">
        <v>0.22</v>
      </c>
      <c r="V22" s="101">
        <v>0.22</v>
      </c>
      <c r="W22" s="101">
        <v>0.22</v>
      </c>
      <c r="X22" s="101">
        <v>0.25</v>
      </c>
      <c r="Y22" s="93"/>
    </row>
    <row r="23" spans="1:62" ht="15" customHeight="1">
      <c r="A23" s="3"/>
      <c r="B23" s="7"/>
      <c r="C23" s="3"/>
      <c r="D23" s="3"/>
      <c r="E23" s="103"/>
      <c r="F23" s="103"/>
      <c r="G23" s="104"/>
      <c r="H23" s="103"/>
      <c r="I23" s="103"/>
      <c r="J23" s="103"/>
      <c r="K23" s="103"/>
      <c r="L23" s="103"/>
      <c r="M23" s="103"/>
      <c r="N23" s="103"/>
      <c r="O23" s="103"/>
      <c r="P23" s="103"/>
      <c r="Q23" s="103"/>
      <c r="R23" s="103"/>
      <c r="S23" s="103"/>
      <c r="T23" s="103"/>
      <c r="U23" s="103"/>
      <c r="V23" s="103"/>
      <c r="W23" s="103"/>
      <c r="X23" s="103"/>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row>
    <row r="24" spans="1:62" ht="25.9" customHeight="1">
      <c r="A24" s="3"/>
      <c r="B24" s="7"/>
      <c r="C24" s="3"/>
      <c r="D24" s="3"/>
      <c r="E24" s="560" t="s">
        <v>302</v>
      </c>
      <c r="F24" s="560"/>
      <c r="G24" s="560"/>
      <c r="H24" s="560"/>
      <c r="I24" s="560"/>
      <c r="J24" s="560"/>
      <c r="K24" s="560"/>
      <c r="L24" s="560"/>
      <c r="M24" s="105"/>
      <c r="N24" s="105"/>
      <c r="O24" s="105"/>
      <c r="P24" s="105"/>
      <c r="Q24" s="105"/>
      <c r="R24" s="105"/>
      <c r="S24" s="105"/>
      <c r="T24" s="105"/>
      <c r="U24" s="105"/>
      <c r="V24" s="105"/>
      <c r="W24" s="105"/>
      <c r="X24" s="105"/>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row>
    <row r="25" spans="1:62" ht="43.15" customHeight="1">
      <c r="A25" s="3"/>
      <c r="B25" s="7"/>
      <c r="C25" s="3"/>
      <c r="D25" s="3"/>
      <c r="E25" s="80"/>
      <c r="F25" s="29" t="s">
        <v>257</v>
      </c>
      <c r="G25" s="82" t="s">
        <v>303</v>
      </c>
      <c r="H25" s="82" t="s">
        <v>259</v>
      </c>
      <c r="I25" s="567" t="s">
        <v>304</v>
      </c>
      <c r="J25" s="568"/>
      <c r="K25" s="568"/>
      <c r="L25" s="568"/>
      <c r="M25" s="568"/>
      <c r="N25" s="568"/>
      <c r="O25" s="568"/>
      <c r="P25" s="568"/>
      <c r="Q25" s="568"/>
      <c r="R25" s="568"/>
      <c r="S25" s="568"/>
      <c r="T25" s="568"/>
      <c r="U25" s="568"/>
      <c r="V25" s="568"/>
      <c r="W25" s="568"/>
      <c r="X25" s="569"/>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row>
    <row r="26" spans="1:62" ht="24.6" customHeight="1">
      <c r="A26" s="3"/>
      <c r="B26" s="474"/>
      <c r="C26" s="474"/>
      <c r="D26" s="331"/>
      <c r="E26" s="574" t="s">
        <v>302</v>
      </c>
      <c r="F26" s="481" t="s">
        <v>280</v>
      </c>
      <c r="G26" s="481">
        <v>1.1000000000000001</v>
      </c>
      <c r="H26" s="83" t="s">
        <v>305</v>
      </c>
      <c r="I26" s="571">
        <f>(G26*0.112)*$F$47</f>
        <v>0.67075555555555566</v>
      </c>
      <c r="J26" s="572"/>
      <c r="K26" s="572"/>
      <c r="L26" s="572"/>
      <c r="M26" s="572"/>
      <c r="N26" s="572"/>
      <c r="O26" s="572"/>
      <c r="P26" s="572"/>
      <c r="Q26" s="572"/>
      <c r="R26" s="572"/>
      <c r="S26" s="572"/>
      <c r="T26" s="572"/>
      <c r="U26" s="572"/>
      <c r="V26" s="572"/>
      <c r="W26" s="572"/>
      <c r="X26" s="573"/>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row>
    <row r="27" spans="1:62" ht="24.6" customHeight="1">
      <c r="A27" s="3"/>
      <c r="B27" s="474"/>
      <c r="C27" s="474"/>
      <c r="D27" s="331"/>
      <c r="E27" s="575"/>
      <c r="F27" s="481" t="s">
        <v>282</v>
      </c>
      <c r="G27" s="481">
        <v>1.1000000000000001</v>
      </c>
      <c r="H27" s="83" t="s">
        <v>305</v>
      </c>
      <c r="I27" s="571">
        <f t="shared" ref="I27:I28" si="3">(G27*0.112)*$F$47</f>
        <v>0.67075555555555566</v>
      </c>
      <c r="J27" s="572"/>
      <c r="K27" s="572"/>
      <c r="L27" s="572"/>
      <c r="M27" s="572"/>
      <c r="N27" s="572"/>
      <c r="O27" s="572"/>
      <c r="P27" s="572"/>
      <c r="Q27" s="572"/>
      <c r="R27" s="572"/>
      <c r="S27" s="572"/>
      <c r="T27" s="572"/>
      <c r="U27" s="572"/>
      <c r="V27" s="572"/>
      <c r="W27" s="572"/>
      <c r="X27" s="573"/>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row>
    <row r="28" spans="1:62" ht="24.6" customHeight="1">
      <c r="A28" s="3"/>
      <c r="B28" s="7"/>
      <c r="C28" s="3"/>
      <c r="D28" s="3"/>
      <c r="E28" s="575"/>
      <c r="F28" s="481" t="s">
        <v>284</v>
      </c>
      <c r="G28" s="481">
        <v>1.1000000000000001</v>
      </c>
      <c r="H28" s="83" t="s">
        <v>305</v>
      </c>
      <c r="I28" s="571">
        <f t="shared" si="3"/>
        <v>0.67075555555555566</v>
      </c>
      <c r="J28" s="572"/>
      <c r="K28" s="572"/>
      <c r="L28" s="572"/>
      <c r="M28" s="572"/>
      <c r="N28" s="572"/>
      <c r="O28" s="572"/>
      <c r="P28" s="572"/>
      <c r="Q28" s="572"/>
      <c r="R28" s="572"/>
      <c r="S28" s="572"/>
      <c r="T28" s="572"/>
      <c r="U28" s="572"/>
      <c r="V28" s="572"/>
      <c r="W28" s="572"/>
      <c r="X28" s="573"/>
      <c r="Y28" s="338"/>
      <c r="Z28" s="2"/>
      <c r="AA28" s="2"/>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2"/>
      <c r="AZ28" s="2"/>
      <c r="BA28" s="2"/>
      <c r="BB28" s="2"/>
      <c r="BC28" s="2"/>
      <c r="BD28" s="2"/>
      <c r="BE28" s="2"/>
      <c r="BF28" s="2"/>
      <c r="BG28" s="2"/>
      <c r="BH28" s="2"/>
      <c r="BI28" s="2"/>
      <c r="BJ28" s="2"/>
    </row>
    <row r="29" spans="1:62" ht="39.6">
      <c r="A29" s="3"/>
      <c r="B29" s="7"/>
      <c r="C29" s="3"/>
      <c r="D29" s="3"/>
      <c r="E29" s="575"/>
      <c r="F29" s="481" t="s">
        <v>286</v>
      </c>
      <c r="G29" s="481">
        <v>1</v>
      </c>
      <c r="H29" s="482" t="s">
        <v>306</v>
      </c>
      <c r="I29" s="571">
        <f>(G29*0.112)*$F$47</f>
        <v>0.60977777777777786</v>
      </c>
      <c r="J29" s="572"/>
      <c r="K29" s="572"/>
      <c r="L29" s="572"/>
      <c r="M29" s="572"/>
      <c r="N29" s="572"/>
      <c r="O29" s="572"/>
      <c r="P29" s="572"/>
      <c r="Q29" s="572"/>
      <c r="R29" s="572"/>
      <c r="S29" s="572"/>
      <c r="T29" s="572"/>
      <c r="U29" s="572"/>
      <c r="V29" s="572"/>
      <c r="W29" s="572"/>
      <c r="X29" s="573"/>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row>
    <row r="30" spans="1:62" ht="30.6" customHeight="1">
      <c r="A30" s="3"/>
      <c r="B30" s="7"/>
      <c r="C30" s="3"/>
      <c r="D30" s="3"/>
      <c r="E30" s="576"/>
      <c r="F30" s="481" t="s">
        <v>288</v>
      </c>
      <c r="G30" s="481" t="s">
        <v>307</v>
      </c>
      <c r="H30" s="482" t="s">
        <v>308</v>
      </c>
      <c r="I30" s="571">
        <f>(0.6*0.112)*$F$47</f>
        <v>0.36586666666666667</v>
      </c>
      <c r="J30" s="572"/>
      <c r="K30" s="572"/>
      <c r="L30" s="572"/>
      <c r="M30" s="572"/>
      <c r="N30" s="572"/>
      <c r="O30" s="572"/>
      <c r="P30" s="572"/>
      <c r="Q30" s="572"/>
      <c r="R30" s="572"/>
      <c r="S30" s="572"/>
      <c r="T30" s="572"/>
      <c r="U30" s="572"/>
      <c r="V30" s="572"/>
      <c r="W30" s="572"/>
      <c r="X30" s="573"/>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row>
    <row r="31" spans="1:62">
      <c r="A31" s="2"/>
      <c r="B31" s="106"/>
      <c r="C31" s="2"/>
      <c r="D31" s="2"/>
      <c r="E31" s="485" t="s">
        <v>309</v>
      </c>
      <c r="F31" s="2"/>
      <c r="G31" s="107"/>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row>
    <row r="32" spans="1:62" ht="14.45">
      <c r="A32" s="2"/>
      <c r="B32" s="106"/>
      <c r="C32" s="2"/>
      <c r="D32" s="2"/>
      <c r="E32" s="176" t="s">
        <v>310</v>
      </c>
      <c r="F32" s="2"/>
      <c r="G32" s="107"/>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row>
    <row r="33" spans="1:62">
      <c r="A33" s="2"/>
      <c r="B33" s="106"/>
      <c r="C33" s="2"/>
      <c r="D33" s="2"/>
      <c r="E33" s="2"/>
      <c r="F33" s="2"/>
      <c r="G33" s="107"/>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5" spans="1:62" s="73" customFormat="1" ht="17.45" hidden="1">
      <c r="A35" s="21" t="s">
        <v>37</v>
      </c>
      <c r="B35" s="108"/>
      <c r="C35" s="108"/>
      <c r="D35" s="108"/>
      <c r="E35" s="109"/>
      <c r="F35" s="110"/>
      <c r="G35" s="111"/>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row>
    <row r="36" spans="1:62" hidden="1">
      <c r="A36" s="2"/>
      <c r="B36" s="106"/>
      <c r="C36" s="2"/>
      <c r="D36" s="2"/>
      <c r="E36" s="2"/>
      <c r="F36" s="2"/>
      <c r="G36" s="107"/>
      <c r="H36" s="107"/>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idden="1">
      <c r="A37" s="2"/>
      <c r="B37" s="106"/>
      <c r="C37" s="2"/>
      <c r="D37" s="2"/>
      <c r="E37" s="2"/>
      <c r="F37" s="2"/>
      <c r="G37" s="107"/>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ht="27.6" hidden="1" customHeight="1">
      <c r="A38" s="566" t="s">
        <v>311</v>
      </c>
      <c r="B38" s="566"/>
      <c r="C38" s="566"/>
      <c r="D38" s="2"/>
      <c r="E38" s="2"/>
      <c r="F38" s="107"/>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row>
    <row r="39" spans="1:62" ht="33" hidden="1" customHeight="1">
      <c r="A39" s="129" t="s">
        <v>312</v>
      </c>
      <c r="B39" s="127" t="s">
        <v>313</v>
      </c>
      <c r="C39" s="128" t="s">
        <v>314</v>
      </c>
      <c r="D39" s="2"/>
      <c r="E39" s="2"/>
      <c r="F39" s="107"/>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hidden="1">
      <c r="A40" s="124" t="s">
        <v>315</v>
      </c>
      <c r="B40" s="125">
        <v>150093118.84930971</v>
      </c>
      <c r="C40" s="126">
        <v>0.30478551720547664</v>
      </c>
      <c r="D40" s="2"/>
      <c r="E40" s="2"/>
      <c r="F40" s="107"/>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idden="1">
      <c r="A41" s="124" t="s">
        <v>316</v>
      </c>
      <c r="B41" s="125">
        <v>200520458.73471507</v>
      </c>
      <c r="C41" s="126">
        <v>0.40718543391118722</v>
      </c>
      <c r="D41" s="2"/>
      <c r="E41" s="2"/>
      <c r="F41" s="107"/>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hidden="1">
      <c r="A42" s="124" t="s">
        <v>317</v>
      </c>
      <c r="B42" s="125">
        <v>141841314.05743647</v>
      </c>
      <c r="C42" s="126">
        <v>0.28802904888333619</v>
      </c>
      <c r="D42" s="2"/>
      <c r="E42" s="2"/>
      <c r="F42" s="107"/>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idden="1">
      <c r="A43" s="124" t="s">
        <v>318</v>
      </c>
      <c r="B43" s="125">
        <v>492454891.64146125</v>
      </c>
      <c r="C43" s="126">
        <v>1</v>
      </c>
      <c r="D43" s="2"/>
      <c r="E43" s="2"/>
      <c r="F43" s="107"/>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c r="A44" s="106"/>
      <c r="B44" s="2"/>
      <c r="C44" s="2"/>
      <c r="D44" s="2"/>
      <c r="E44" s="2" t="s">
        <v>319</v>
      </c>
      <c r="F44" s="541">
        <f>(250+200)*2*25+2*250*200</f>
        <v>122500</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c r="A45" s="2"/>
      <c r="B45" s="106"/>
      <c r="C45" s="2"/>
      <c r="D45" s="2"/>
      <c r="E45" s="2" t="s">
        <v>320</v>
      </c>
      <c r="F45" s="541">
        <f>(250+200)*25*2</f>
        <v>22500</v>
      </c>
      <c r="G45" s="107"/>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c r="A46" s="2"/>
      <c r="B46" s="106"/>
      <c r="C46" s="2"/>
      <c r="D46" s="2"/>
      <c r="E46" s="2"/>
      <c r="F46" s="3"/>
      <c r="G46" s="107"/>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c r="A47" s="2"/>
      <c r="B47" s="106"/>
      <c r="C47" s="2"/>
      <c r="D47" s="2"/>
      <c r="E47" s="3" t="s">
        <v>321</v>
      </c>
      <c r="F47" s="542">
        <f>F44/F45</f>
        <v>5.4444444444444446</v>
      </c>
      <c r="G47" s="107"/>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c r="A48" s="2"/>
      <c r="B48" s="106"/>
      <c r="C48" s="2"/>
      <c r="D48" s="2"/>
      <c r="E48" s="2"/>
      <c r="F48" s="2"/>
      <c r="G48" s="107"/>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c r="A49" s="2"/>
      <c r="B49" s="106"/>
      <c r="C49" s="2"/>
      <c r="D49" s="2"/>
      <c r="E49" s="2"/>
      <c r="F49" s="2"/>
      <c r="G49" s="107"/>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c r="A50" s="2"/>
      <c r="B50" s="106"/>
      <c r="C50" s="2"/>
      <c r="D50" s="2"/>
      <c r="E50" s="2"/>
      <c r="F50" s="2"/>
      <c r="G50" s="107"/>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c r="A51" s="2"/>
      <c r="B51" s="106"/>
      <c r="C51" s="2"/>
      <c r="D51" s="2"/>
      <c r="E51" s="2"/>
      <c r="F51" s="2"/>
      <c r="G51" s="107"/>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c r="A52" s="2"/>
      <c r="B52" s="106"/>
      <c r="C52" s="2"/>
      <c r="D52" s="2"/>
      <c r="E52" s="2"/>
      <c r="F52" s="2"/>
      <c r="G52" s="107"/>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c r="A53" s="2"/>
      <c r="B53" s="106"/>
      <c r="C53" s="2"/>
      <c r="D53" s="2"/>
      <c r="E53" s="2"/>
      <c r="F53" s="2"/>
      <c r="G53" s="107"/>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c r="A54" s="2"/>
      <c r="B54" s="106"/>
      <c r="C54" s="2"/>
      <c r="D54" s="2"/>
      <c r="E54" s="2"/>
      <c r="F54" s="2"/>
      <c r="G54" s="107"/>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sheetData>
  <mergeCells count="38">
    <mergeCell ref="A38:C38"/>
    <mergeCell ref="I25:X25"/>
    <mergeCell ref="AQ28:AT28"/>
    <mergeCell ref="AU28:AX28"/>
    <mergeCell ref="AG28:AK28"/>
    <mergeCell ref="AB28:AF28"/>
    <mergeCell ref="AL28:AP28"/>
    <mergeCell ref="I30:X30"/>
    <mergeCell ref="E26:E30"/>
    <mergeCell ref="I27:X27"/>
    <mergeCell ref="I28:X28"/>
    <mergeCell ref="I29:X29"/>
    <mergeCell ref="I26:X26"/>
    <mergeCell ref="A1:X1"/>
    <mergeCell ref="C18:C22"/>
    <mergeCell ref="E18:E22"/>
    <mergeCell ref="A13:A22"/>
    <mergeCell ref="E3:E7"/>
    <mergeCell ref="B3:B7"/>
    <mergeCell ref="A3:A7"/>
    <mergeCell ref="C8:C12"/>
    <mergeCell ref="H8:H9"/>
    <mergeCell ref="D18:D19"/>
    <mergeCell ref="D3:D7"/>
    <mergeCell ref="C3:C7"/>
    <mergeCell ref="H13:H14"/>
    <mergeCell ref="H18:H19"/>
    <mergeCell ref="D20:D22"/>
    <mergeCell ref="A8:A12"/>
    <mergeCell ref="C13:C17"/>
    <mergeCell ref="B8:B12"/>
    <mergeCell ref="E24:L24"/>
    <mergeCell ref="E8:E12"/>
    <mergeCell ref="E13:E17"/>
    <mergeCell ref="D8:D12"/>
    <mergeCell ref="D15:D17"/>
    <mergeCell ref="D13:D14"/>
    <mergeCell ref="B13:B22"/>
  </mergeCells>
  <phoneticPr fontId="5" type="noConversion"/>
  <hyperlinks>
    <hyperlink ref="H26" r:id="rId1" xr:uid="{9153F47E-FCBB-42B5-A7E2-9AE58445F5C5}"/>
    <hyperlink ref="H27:H28" r:id="rId2" display="2022 CASE report (Table 38)" xr:uid="{AB6FEC5D-A312-48E5-9443-3858096808B6}"/>
    <hyperlink ref="E32" r:id="rId3" display="https://2050partners.sharepoint.com/:w:/r/sites/CalBEMCollaborativeEfforts/_layouts/15/Doc.aspx?sourcedoc=%7B3BEF8F74-7FAC-44F2-A70C-D76617660066%7D&amp;file=Infiltration_rate_report_14May2025-Short-Version.docx&amp;action=default&amp;mobileredirect=true&amp;wdLOR=c37D90580-1DC7-4CAF-9995-F2723497E773" xr:uid="{5E37F7AB-A615-400D-870E-870102B311F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66"/>
  <sheetViews>
    <sheetView zoomScale="85" zoomScaleNormal="85" workbookViewId="0">
      <selection sqref="A1:E1"/>
    </sheetView>
  </sheetViews>
  <sheetFormatPr defaultColWidth="8.7109375" defaultRowHeight="13.15"/>
  <cols>
    <col min="1" max="1" width="26" style="3" customWidth="1"/>
    <col min="2" max="2" width="30.42578125" style="3" customWidth="1"/>
    <col min="3" max="3" width="36" style="3" customWidth="1"/>
    <col min="4" max="4" width="35.28515625" style="3" customWidth="1"/>
    <col min="5" max="5" width="37" style="3" customWidth="1"/>
    <col min="6" max="6" width="28.7109375" style="3" customWidth="1"/>
    <col min="7" max="7" width="25.85546875" style="3" customWidth="1"/>
    <col min="8" max="8" width="19.42578125" style="3" customWidth="1"/>
    <col min="9" max="11" width="12.7109375" style="3" customWidth="1"/>
    <col min="12" max="19" width="15.28515625" style="3" customWidth="1"/>
    <col min="20" max="20" width="14.7109375" style="3" customWidth="1"/>
    <col min="21" max="21" width="13.5703125" style="3" customWidth="1"/>
    <col min="22" max="22" width="15.7109375" style="3" customWidth="1"/>
    <col min="23" max="29" width="11" style="3" customWidth="1"/>
    <col min="30" max="38" width="6.5703125" style="3" customWidth="1"/>
    <col min="39" max="39" width="8.7109375" style="3" customWidth="1"/>
    <col min="40" max="16384" width="8.7109375" style="3"/>
  </cols>
  <sheetData>
    <row r="1" spans="1:9" ht="27" customHeight="1">
      <c r="A1" s="590" t="str">
        <f>"HVAC system - "&amp;Prototype!A2</f>
        <v>HVAC system - RetailGrocery</v>
      </c>
      <c r="B1" s="590"/>
      <c r="C1" s="590"/>
      <c r="D1" s="590"/>
      <c r="E1" s="590"/>
    </row>
    <row r="2" spans="1:9" ht="19.149999999999999" customHeight="1">
      <c r="A2" s="490" t="s">
        <v>257</v>
      </c>
      <c r="B2" s="490" t="s">
        <v>322</v>
      </c>
      <c r="C2" s="490" t="s">
        <v>323</v>
      </c>
      <c r="D2" s="490" t="s">
        <v>324</v>
      </c>
      <c r="E2" s="490" t="s">
        <v>325</v>
      </c>
    </row>
    <row r="3" spans="1:9" ht="27.6" customHeight="1">
      <c r="A3" s="489" t="s">
        <v>326</v>
      </c>
      <c r="B3" s="489" t="s">
        <v>327</v>
      </c>
      <c r="C3" s="489" t="s">
        <v>328</v>
      </c>
      <c r="D3" s="489" t="s">
        <v>329</v>
      </c>
      <c r="E3" s="120" t="s">
        <v>3</v>
      </c>
      <c r="F3" s="475" t="s">
        <v>330</v>
      </c>
      <c r="G3" s="475"/>
      <c r="H3" s="475"/>
      <c r="I3" s="475"/>
    </row>
    <row r="4" spans="1:9" ht="19.899999999999999" customHeight="1">
      <c r="A4" s="489" t="s">
        <v>331</v>
      </c>
      <c r="B4" s="489" t="s">
        <v>332</v>
      </c>
      <c r="C4" s="489" t="s">
        <v>332</v>
      </c>
      <c r="D4" s="120" t="s">
        <v>333</v>
      </c>
      <c r="E4" s="489" t="s">
        <v>334</v>
      </c>
      <c r="F4" s="143"/>
      <c r="G4" s="143"/>
      <c r="H4" s="143"/>
      <c r="I4" s="143"/>
    </row>
    <row r="5" spans="1:9" ht="15.6" customHeight="1">
      <c r="A5" s="494"/>
      <c r="B5" s="494"/>
      <c r="C5" s="494"/>
      <c r="D5" s="475"/>
      <c r="E5" s="494"/>
    </row>
    <row r="6" spans="1:9">
      <c r="A6" s="475"/>
      <c r="B6" s="494"/>
      <c r="C6" s="494"/>
      <c r="D6" s="475"/>
      <c r="E6" s="494"/>
    </row>
    <row r="7" spans="1:9">
      <c r="A7" s="494"/>
      <c r="B7" s="494"/>
      <c r="C7" s="494"/>
      <c r="D7" s="494"/>
      <c r="E7" s="494"/>
    </row>
    <row r="8" spans="1:9" ht="41.45" customHeight="1">
      <c r="A8" s="590" t="s">
        <v>335</v>
      </c>
      <c r="B8" s="590"/>
      <c r="C8" s="590"/>
      <c r="D8" s="590"/>
      <c r="E8" s="563"/>
    </row>
    <row r="9" spans="1:9" ht="16.149999999999999" customHeight="1">
      <c r="A9" s="29" t="s">
        <v>257</v>
      </c>
      <c r="B9" s="80" t="s">
        <v>336</v>
      </c>
      <c r="C9" s="28" t="s">
        <v>322</v>
      </c>
      <c r="D9" s="28" t="s">
        <v>323</v>
      </c>
      <c r="E9" s="490" t="s">
        <v>325</v>
      </c>
    </row>
    <row r="10" spans="1:9" ht="19.149999999999999" customHeight="1">
      <c r="A10" s="481" t="s">
        <v>280</v>
      </c>
      <c r="B10" s="564">
        <v>2008</v>
      </c>
      <c r="C10" s="556" t="s">
        <v>337</v>
      </c>
      <c r="D10" s="564" t="s">
        <v>338</v>
      </c>
      <c r="E10" s="591" t="s">
        <v>339</v>
      </c>
    </row>
    <row r="11" spans="1:9" ht="19.149999999999999" customHeight="1">
      <c r="A11" s="481" t="s">
        <v>282</v>
      </c>
      <c r="B11" s="592"/>
      <c r="C11" s="557"/>
      <c r="D11" s="592"/>
      <c r="E11" s="592"/>
    </row>
    <row r="12" spans="1:9" ht="19.149999999999999" customHeight="1">
      <c r="A12" s="481" t="s">
        <v>284</v>
      </c>
      <c r="B12" s="565"/>
      <c r="C12" s="558"/>
      <c r="D12" s="565"/>
      <c r="E12" s="565"/>
    </row>
    <row r="13" spans="1:9" ht="60.6" customHeight="1">
      <c r="A13" s="481" t="s">
        <v>286</v>
      </c>
      <c r="B13" s="481">
        <v>2013</v>
      </c>
      <c r="C13" s="481" t="s">
        <v>337</v>
      </c>
      <c r="D13" s="482" t="s">
        <v>340</v>
      </c>
      <c r="E13" s="489" t="s">
        <v>341</v>
      </c>
    </row>
    <row r="14" spans="1:9" ht="59.45" customHeight="1">
      <c r="A14" s="480" t="s">
        <v>331</v>
      </c>
      <c r="B14" s="481">
        <v>2025</v>
      </c>
      <c r="C14" s="482" t="s">
        <v>342</v>
      </c>
      <c r="D14" s="482" t="s">
        <v>343</v>
      </c>
      <c r="E14" s="482" t="s">
        <v>344</v>
      </c>
    </row>
    <row r="15" spans="1:9">
      <c r="B15" s="476"/>
      <c r="C15" s="476"/>
      <c r="D15" s="30"/>
      <c r="E15" s="476"/>
    </row>
    <row r="16" spans="1:9">
      <c r="B16" s="476"/>
      <c r="C16" s="476"/>
      <c r="D16" s="30"/>
      <c r="E16" s="476"/>
    </row>
    <row r="17" spans="1:8">
      <c r="A17" s="31"/>
      <c r="B17" s="476"/>
      <c r="C17" s="476"/>
      <c r="D17" s="30"/>
      <c r="E17" s="476"/>
    </row>
    <row r="18" spans="1:8" ht="15.6">
      <c r="A18" s="589" t="s">
        <v>345</v>
      </c>
      <c r="B18" s="589"/>
      <c r="C18" s="589"/>
      <c r="D18" s="589"/>
      <c r="E18" s="589"/>
      <c r="F18" s="589"/>
      <c r="G18" s="589"/>
      <c r="H18" s="589"/>
    </row>
    <row r="19" spans="1:8" ht="39.6">
      <c r="A19" s="491" t="s">
        <v>257</v>
      </c>
      <c r="B19" s="491" t="s">
        <v>346</v>
      </c>
      <c r="C19" s="491" t="s">
        <v>347</v>
      </c>
      <c r="D19" s="130" t="s">
        <v>348</v>
      </c>
      <c r="E19" s="130" t="s">
        <v>349</v>
      </c>
      <c r="F19" s="131" t="s">
        <v>350</v>
      </c>
      <c r="G19" s="131" t="s">
        <v>351</v>
      </c>
      <c r="H19" s="132" t="s">
        <v>352</v>
      </c>
    </row>
    <row r="20" spans="1:8" ht="52.9">
      <c r="A20" s="133" t="s">
        <v>353</v>
      </c>
      <c r="B20" s="134" t="s">
        <v>354</v>
      </c>
      <c r="C20" s="264" t="s">
        <v>355</v>
      </c>
      <c r="D20" s="265" t="s">
        <v>356</v>
      </c>
      <c r="E20" s="489">
        <v>0.65</v>
      </c>
      <c r="F20" s="134" t="s">
        <v>357</v>
      </c>
      <c r="G20" s="144"/>
      <c r="H20" s="134" t="s">
        <v>358</v>
      </c>
    </row>
    <row r="21" spans="1:8">
      <c r="A21" s="135" t="s">
        <v>359</v>
      </c>
      <c r="B21" s="136"/>
      <c r="C21" s="266"/>
      <c r="D21" s="266"/>
      <c r="E21" s="138"/>
      <c r="F21" s="137"/>
      <c r="G21" s="137"/>
      <c r="H21" s="139"/>
    </row>
    <row r="22" spans="1:8">
      <c r="A22" s="140" t="s">
        <v>360</v>
      </c>
      <c r="B22" s="103"/>
      <c r="C22" s="267"/>
      <c r="D22" s="268"/>
      <c r="E22" s="103"/>
      <c r="F22" s="141"/>
      <c r="G22" s="141"/>
      <c r="H22" s="142"/>
    </row>
    <row r="23" spans="1:8" ht="32.25" customHeight="1">
      <c r="A23" s="489" t="s">
        <v>331</v>
      </c>
      <c r="B23" s="489" t="s">
        <v>361</v>
      </c>
      <c r="C23" s="265" t="s">
        <v>362</v>
      </c>
      <c r="D23" s="339">
        <f>G23*E23*F23/746*6356</f>
        <v>3.5886691689008043</v>
      </c>
      <c r="E23" s="120">
        <v>0.65</v>
      </c>
      <c r="F23" s="120">
        <v>0.9</v>
      </c>
      <c r="G23" s="325">
        <v>0.72</v>
      </c>
      <c r="H23" s="489" t="s">
        <v>361</v>
      </c>
    </row>
    <row r="24" spans="1:8">
      <c r="F24" s="476" t="s">
        <v>363</v>
      </c>
    </row>
    <row r="25" spans="1:8">
      <c r="A25" s="3" t="s">
        <v>364</v>
      </c>
    </row>
    <row r="26" spans="1:8">
      <c r="A26" s="476" t="s">
        <v>365</v>
      </c>
    </row>
    <row r="27" spans="1:8">
      <c r="A27" s="476" t="s">
        <v>366</v>
      </c>
    </row>
    <row r="28" spans="1:8">
      <c r="E28" s="7"/>
    </row>
    <row r="34" spans="1:38" s="21" customFormat="1" hidden="1">
      <c r="A34" s="21" t="s">
        <v>37</v>
      </c>
    </row>
    <row r="35" spans="1:38" hidden="1">
      <c r="U35" s="164"/>
      <c r="V35" s="174"/>
      <c r="W35" s="59"/>
      <c r="X35" s="59"/>
      <c r="Y35" s="59"/>
      <c r="Z35" s="59"/>
      <c r="AA35" s="59"/>
      <c r="AB35" s="59"/>
      <c r="AC35" s="59"/>
      <c r="AD35" s="59"/>
      <c r="AE35" s="59"/>
      <c r="AF35" s="59"/>
      <c r="AG35" s="59"/>
      <c r="AH35" s="59"/>
      <c r="AI35" s="59"/>
      <c r="AJ35" s="59"/>
      <c r="AK35" s="59"/>
      <c r="AL35" s="59"/>
    </row>
    <row r="36" spans="1:38" hidden="1">
      <c r="U36" s="175"/>
      <c r="W36" s="164"/>
      <c r="X36" s="164"/>
      <c r="Y36" s="164"/>
      <c r="Z36" s="164"/>
      <c r="AA36" s="164"/>
      <c r="AB36" s="164"/>
      <c r="AC36" s="164"/>
      <c r="AD36" s="164"/>
      <c r="AE36" s="164"/>
      <c r="AF36" s="164"/>
      <c r="AG36" s="164"/>
      <c r="AH36" s="164"/>
      <c r="AI36" s="164"/>
      <c r="AJ36" s="164"/>
      <c r="AK36" s="164"/>
      <c r="AL36" s="164"/>
    </row>
    <row r="37" spans="1:38" hidden="1">
      <c r="U37" s="164"/>
    </row>
    <row r="38" spans="1:38" ht="13.9" hidden="1">
      <c r="A38" s="579" t="s">
        <v>367</v>
      </c>
      <c r="B38" s="582" t="s">
        <v>322</v>
      </c>
      <c r="C38" s="582"/>
      <c r="D38" s="582"/>
      <c r="E38" s="583" t="s">
        <v>323</v>
      </c>
      <c r="F38" s="584"/>
      <c r="G38" s="162" t="s">
        <v>324</v>
      </c>
      <c r="H38" s="163" t="s">
        <v>368</v>
      </c>
      <c r="S38" s="164"/>
      <c r="T38" s="165"/>
    </row>
    <row r="39" spans="1:38" ht="14.45" hidden="1" customHeight="1">
      <c r="A39" s="580"/>
      <c r="B39" s="585" t="s">
        <v>369</v>
      </c>
      <c r="C39" s="483" t="s">
        <v>370</v>
      </c>
      <c r="D39" s="585" t="s">
        <v>371</v>
      </c>
      <c r="E39" s="587" t="s">
        <v>372</v>
      </c>
      <c r="F39" s="484" t="s">
        <v>373</v>
      </c>
      <c r="G39" s="166" t="s">
        <v>374</v>
      </c>
      <c r="H39" s="577" t="s">
        <v>371</v>
      </c>
      <c r="S39" s="164"/>
      <c r="T39" s="165"/>
    </row>
    <row r="40" spans="1:38" ht="46.9" hidden="1" customHeight="1">
      <c r="A40" s="581"/>
      <c r="B40" s="586"/>
      <c r="C40" s="167" t="s">
        <v>375</v>
      </c>
      <c r="D40" s="586"/>
      <c r="E40" s="588"/>
      <c r="F40" s="168" t="s">
        <v>375</v>
      </c>
      <c r="G40" s="169" t="s">
        <v>376</v>
      </c>
      <c r="H40" s="578"/>
      <c r="S40" s="164"/>
      <c r="T40" s="165"/>
    </row>
    <row r="41" spans="1:38" ht="29.45" hidden="1" customHeight="1">
      <c r="A41" s="170" t="s">
        <v>116</v>
      </c>
      <c r="B41" s="171">
        <v>0.79</v>
      </c>
      <c r="C41" s="172" t="s">
        <v>377</v>
      </c>
      <c r="D41" s="173" t="s">
        <v>378</v>
      </c>
      <c r="E41" s="173">
        <v>0.8</v>
      </c>
      <c r="F41" s="172" t="s">
        <v>377</v>
      </c>
      <c r="G41" s="172" t="s">
        <v>379</v>
      </c>
      <c r="H41" s="173" t="s">
        <v>380</v>
      </c>
      <c r="S41" s="164"/>
      <c r="T41" s="165"/>
    </row>
    <row r="42" spans="1:38" hidden="1">
      <c r="U42" s="164"/>
      <c r="V42" s="165"/>
    </row>
    <row r="43" spans="1:38" hidden="1"/>
    <row r="44" spans="1:38" hidden="1">
      <c r="A44" s="4" t="s">
        <v>361</v>
      </c>
      <c r="B44" s="340"/>
    </row>
    <row r="45" spans="1:38" hidden="1"/>
    <row r="46" spans="1:38" hidden="1"/>
    <row r="47" spans="1:38" hidden="1"/>
    <row r="48" spans="1:3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sheetData>
  <mergeCells count="14">
    <mergeCell ref="A18:H18"/>
    <mergeCell ref="A1:E1"/>
    <mergeCell ref="A8:E8"/>
    <mergeCell ref="E10:E12"/>
    <mergeCell ref="C10:C12"/>
    <mergeCell ref="D10:D12"/>
    <mergeCell ref="B10:B12"/>
    <mergeCell ref="H39:H40"/>
    <mergeCell ref="A38:A40"/>
    <mergeCell ref="B38:D38"/>
    <mergeCell ref="E38:F38"/>
    <mergeCell ref="B39:B40"/>
    <mergeCell ref="D39:D40"/>
    <mergeCell ref="E39:E40"/>
  </mergeCells>
  <phoneticPr fontId="5"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23"/>
  <sheetViews>
    <sheetView zoomScaleNormal="100" workbookViewId="0">
      <selection sqref="A1:K1"/>
    </sheetView>
  </sheetViews>
  <sheetFormatPr defaultColWidth="9.28515625" defaultRowHeight="13.9"/>
  <cols>
    <col min="1" max="1" width="21.7109375" style="71" customWidth="1"/>
    <col min="2" max="2" width="25.140625" style="71" bestFit="1" customWidth="1"/>
    <col min="3" max="4" width="23.42578125" style="71" customWidth="1"/>
    <col min="5" max="6" width="24" style="71" customWidth="1"/>
    <col min="7" max="9" width="21.85546875" style="71" customWidth="1"/>
    <col min="10" max="10" width="15.5703125" style="71" customWidth="1"/>
    <col min="11" max="11" width="30.42578125" style="71" customWidth="1"/>
    <col min="12" max="12" width="13.7109375" style="71" customWidth="1"/>
    <col min="13" max="13" width="12.28515625" style="71" customWidth="1"/>
    <col min="14" max="14" width="13.7109375" style="71" customWidth="1"/>
    <col min="15" max="15" width="11.7109375" style="71" customWidth="1"/>
    <col min="16" max="16" width="13.7109375" style="71" customWidth="1"/>
    <col min="17" max="17" width="12.28515625" style="71" customWidth="1"/>
    <col min="18" max="18" width="13.7109375" style="71" customWidth="1"/>
    <col min="19" max="19" width="12.28515625" style="71" customWidth="1"/>
    <col min="20" max="20" width="13.7109375" style="71" customWidth="1"/>
    <col min="21" max="21" width="11.7109375" style="71" customWidth="1"/>
    <col min="22" max="23" width="10.7109375" style="71" customWidth="1"/>
    <col min="24" max="24" width="9.28515625" style="71"/>
    <col min="25" max="29" width="11.28515625" style="71" customWidth="1"/>
    <col min="30" max="16384" width="9.28515625" style="71"/>
  </cols>
  <sheetData>
    <row r="1" spans="1:12" ht="24.6" customHeight="1">
      <c r="A1" s="563" t="str">
        <f>"Outdoor Airflow Rate - "&amp;Prototype!A2</f>
        <v>Outdoor Airflow Rate - RetailGrocery</v>
      </c>
      <c r="B1" s="563"/>
      <c r="C1" s="563"/>
      <c r="D1" s="563"/>
      <c r="E1" s="563"/>
      <c r="F1" s="563"/>
      <c r="G1" s="563"/>
      <c r="H1" s="563"/>
      <c r="I1" s="563"/>
      <c r="J1" s="563"/>
      <c r="K1" s="563"/>
      <c r="L1" s="93"/>
    </row>
    <row r="2" spans="1:12" ht="52.9">
      <c r="A2" s="487" t="s">
        <v>97</v>
      </c>
      <c r="B2" s="178" t="s">
        <v>106</v>
      </c>
      <c r="C2" s="178" t="s">
        <v>381</v>
      </c>
      <c r="D2" s="488" t="s">
        <v>382</v>
      </c>
      <c r="E2" s="488" t="s">
        <v>383</v>
      </c>
      <c r="F2" s="488" t="s">
        <v>384</v>
      </c>
      <c r="G2" s="488" t="s">
        <v>385</v>
      </c>
      <c r="H2" s="488" t="s">
        <v>386</v>
      </c>
      <c r="I2" s="488" t="s">
        <v>387</v>
      </c>
      <c r="J2" s="487" t="s">
        <v>388</v>
      </c>
      <c r="K2" s="487" t="s">
        <v>389</v>
      </c>
      <c r="L2" s="177"/>
    </row>
    <row r="3" spans="1:12" s="3" customFormat="1" ht="20.65" customHeight="1">
      <c r="A3" s="179" t="str">
        <f>Zones!A3</f>
        <v>Checkout Area</v>
      </c>
      <c r="B3" s="36">
        <f>Zones!J3</f>
        <v>170</v>
      </c>
      <c r="C3" s="36">
        <f>Zones!G3</f>
        <v>10000</v>
      </c>
      <c r="D3" s="120">
        <v>15</v>
      </c>
      <c r="E3" s="120">
        <v>0.2</v>
      </c>
      <c r="F3" s="290" t="s">
        <v>390</v>
      </c>
      <c r="G3" s="180">
        <f>D3*B3</f>
        <v>2550</v>
      </c>
      <c r="H3" s="180">
        <f>E3*C3</f>
        <v>2000</v>
      </c>
      <c r="I3" s="120">
        <v>75</v>
      </c>
      <c r="J3" s="180">
        <f t="shared" ref="J3" si="0">MAX(G3:I3)</f>
        <v>2550</v>
      </c>
      <c r="K3" s="12"/>
    </row>
    <row r="4" spans="1:12" s="3" customFormat="1" ht="20.65" customHeight="1">
      <c r="A4" s="179" t="str">
        <f>Zones!A4</f>
        <v>Produce</v>
      </c>
      <c r="B4" s="36">
        <f>Zones!J4</f>
        <v>74.8</v>
      </c>
      <c r="C4" s="36">
        <f>Zones!G4</f>
        <v>4400</v>
      </c>
      <c r="D4" s="120">
        <v>15</v>
      </c>
      <c r="E4" s="120">
        <v>0.2</v>
      </c>
      <c r="F4" s="120" t="s">
        <v>391</v>
      </c>
      <c r="G4" s="180">
        <f t="shared" ref="G4:G14" si="1">D4*B4</f>
        <v>1122</v>
      </c>
      <c r="H4" s="180">
        <f t="shared" ref="H4:H14" si="2">E4*C4</f>
        <v>880</v>
      </c>
      <c r="I4" s="120" t="s">
        <v>391</v>
      </c>
      <c r="J4" s="180">
        <f t="shared" ref="J4:J14" si="3">MAX(G4:I4)</f>
        <v>1122</v>
      </c>
      <c r="K4" s="12"/>
    </row>
    <row r="5" spans="1:12" s="3" customFormat="1" ht="20.65" customHeight="1">
      <c r="A5" s="179" t="str">
        <f>Zones!A5</f>
        <v>General Merch</v>
      </c>
      <c r="B5" s="36">
        <f>Zones!J5</f>
        <v>130.9</v>
      </c>
      <c r="C5" s="36">
        <f>Zones!G5</f>
        <v>7700</v>
      </c>
      <c r="D5" s="120">
        <v>15</v>
      </c>
      <c r="E5" s="120">
        <v>0.2</v>
      </c>
      <c r="F5" s="120" t="s">
        <v>391</v>
      </c>
      <c r="G5" s="180">
        <f t="shared" si="1"/>
        <v>1963.5</v>
      </c>
      <c r="H5" s="180">
        <f t="shared" si="2"/>
        <v>1540</v>
      </c>
      <c r="I5" s="120" t="s">
        <v>391</v>
      </c>
      <c r="J5" s="180">
        <f t="shared" si="3"/>
        <v>1963.5</v>
      </c>
      <c r="K5" s="12"/>
    </row>
    <row r="6" spans="1:12" s="3" customFormat="1" ht="20.65" customHeight="1">
      <c r="A6" s="179" t="str">
        <f>Zones!A6</f>
        <v>Frozen</v>
      </c>
      <c r="B6" s="36">
        <f>Zones!J6</f>
        <v>112.2</v>
      </c>
      <c r="C6" s="36">
        <f>Zones!G6</f>
        <v>6600</v>
      </c>
      <c r="D6" s="120">
        <v>15</v>
      </c>
      <c r="E6" s="120">
        <v>0.2</v>
      </c>
      <c r="F6" s="120" t="s">
        <v>391</v>
      </c>
      <c r="G6" s="180">
        <f t="shared" si="1"/>
        <v>1683</v>
      </c>
      <c r="H6" s="180">
        <f t="shared" si="2"/>
        <v>1320</v>
      </c>
      <c r="I6" s="120" t="s">
        <v>391</v>
      </c>
      <c r="J6" s="180">
        <f t="shared" si="3"/>
        <v>1683</v>
      </c>
      <c r="K6" s="12"/>
    </row>
    <row r="7" spans="1:12" s="3" customFormat="1" ht="20.65" customHeight="1">
      <c r="A7" s="179" t="str">
        <f>Zones!A7</f>
        <v>Beverage</v>
      </c>
      <c r="B7" s="36">
        <f>Zones!J7</f>
        <v>74.8</v>
      </c>
      <c r="C7" s="36">
        <f>Zones!G7</f>
        <v>4400</v>
      </c>
      <c r="D7" s="120">
        <v>15</v>
      </c>
      <c r="E7" s="120">
        <v>0.2</v>
      </c>
      <c r="F7" s="120" t="s">
        <v>391</v>
      </c>
      <c r="G7" s="180">
        <f t="shared" si="1"/>
        <v>1122</v>
      </c>
      <c r="H7" s="180">
        <f t="shared" si="2"/>
        <v>880</v>
      </c>
      <c r="I7" s="120" t="s">
        <v>391</v>
      </c>
      <c r="J7" s="180">
        <f t="shared" si="3"/>
        <v>1122</v>
      </c>
      <c r="K7" s="12"/>
    </row>
    <row r="8" spans="1:12" s="3" customFormat="1" ht="20.65" customHeight="1">
      <c r="A8" s="179" t="str">
        <f>Zones!A8</f>
        <v>Bakery and Deli</v>
      </c>
      <c r="B8" s="36">
        <f>Zones!J8</f>
        <v>74.8</v>
      </c>
      <c r="C8" s="36">
        <f>Zones!G8</f>
        <v>4400</v>
      </c>
      <c r="D8" s="120">
        <v>15</v>
      </c>
      <c r="E8" s="120">
        <v>0.2</v>
      </c>
      <c r="F8" s="120" t="s">
        <v>391</v>
      </c>
      <c r="G8" s="180">
        <f t="shared" si="1"/>
        <v>1122</v>
      </c>
      <c r="H8" s="180">
        <f t="shared" si="2"/>
        <v>880</v>
      </c>
      <c r="I8" s="120" t="s">
        <v>391</v>
      </c>
      <c r="J8" s="180">
        <f t="shared" si="3"/>
        <v>1122</v>
      </c>
      <c r="K8" s="12"/>
    </row>
    <row r="9" spans="1:12" s="3" customFormat="1" ht="20.65" customHeight="1">
      <c r="A9" s="179" t="str">
        <f>Zones!A9</f>
        <v>Meat and Dairy</v>
      </c>
      <c r="B9" s="36">
        <f>Zones!J9</f>
        <v>85</v>
      </c>
      <c r="C9" s="36">
        <f>Zones!G9</f>
        <v>5000</v>
      </c>
      <c r="D9" s="120">
        <v>15</v>
      </c>
      <c r="E9" s="120">
        <v>0.2</v>
      </c>
      <c r="F9" s="120" t="s">
        <v>391</v>
      </c>
      <c r="G9" s="180">
        <f t="shared" si="1"/>
        <v>1275</v>
      </c>
      <c r="H9" s="180">
        <f t="shared" si="2"/>
        <v>1000</v>
      </c>
      <c r="I9" s="120" t="s">
        <v>391</v>
      </c>
      <c r="J9" s="180">
        <f t="shared" si="3"/>
        <v>1275</v>
      </c>
      <c r="K9" s="12"/>
    </row>
    <row r="10" spans="1:12" s="3" customFormat="1" ht="20.65" customHeight="1">
      <c r="A10" s="179" t="str">
        <f>Zones!A10</f>
        <v>Back Office</v>
      </c>
      <c r="B10" s="36">
        <f>Zones!J10</f>
        <v>6</v>
      </c>
      <c r="C10" s="36">
        <f>Zones!G10</f>
        <v>1200</v>
      </c>
      <c r="D10" s="120">
        <v>15</v>
      </c>
      <c r="E10" s="120">
        <v>0.15</v>
      </c>
      <c r="F10" s="120" t="s">
        <v>391</v>
      </c>
      <c r="G10" s="180">
        <f t="shared" si="1"/>
        <v>90</v>
      </c>
      <c r="H10" s="180">
        <f t="shared" si="2"/>
        <v>180</v>
      </c>
      <c r="I10" s="120" t="s">
        <v>391</v>
      </c>
      <c r="J10" s="180">
        <f t="shared" si="3"/>
        <v>180</v>
      </c>
      <c r="K10" s="12"/>
    </row>
    <row r="11" spans="1:12" s="3" customFormat="1" ht="20.65" customHeight="1">
      <c r="A11" s="179" t="str">
        <f>Zones!A11</f>
        <v>Loading Dock EL1</v>
      </c>
      <c r="B11" s="36">
        <f>Zones!J11</f>
        <v>0</v>
      </c>
      <c r="C11" s="36">
        <f>Zones!G11</f>
        <v>3200</v>
      </c>
      <c r="D11" s="120">
        <v>15</v>
      </c>
      <c r="E11" s="120">
        <v>0.15</v>
      </c>
      <c r="F11" s="120" t="s">
        <v>391</v>
      </c>
      <c r="G11" s="180">
        <f t="shared" si="1"/>
        <v>0</v>
      </c>
      <c r="H11" s="180">
        <f t="shared" si="2"/>
        <v>480</v>
      </c>
      <c r="I11" s="120" t="s">
        <v>391</v>
      </c>
      <c r="J11" s="180">
        <f t="shared" si="3"/>
        <v>480</v>
      </c>
      <c r="K11" s="12"/>
    </row>
    <row r="12" spans="1:12" s="3" customFormat="1" ht="20.65" customHeight="1">
      <c r="A12" s="179" t="str">
        <f>Zones!A12</f>
        <v>RefFoodPRep Core</v>
      </c>
      <c r="B12" s="344">
        <f>Zones!J12</f>
        <v>0</v>
      </c>
      <c r="C12" s="344">
        <f>Zones!G12</f>
        <v>2100</v>
      </c>
      <c r="D12" s="120"/>
      <c r="E12" s="120"/>
      <c r="F12" s="120"/>
      <c r="G12" s="346">
        <f t="shared" ref="G12:G13" si="4">D12*B12</f>
        <v>0</v>
      </c>
      <c r="H12" s="346">
        <f t="shared" ref="H12:H13" si="5">E12*C12</f>
        <v>0</v>
      </c>
      <c r="I12" s="120"/>
      <c r="J12" s="346">
        <f t="shared" si="3"/>
        <v>0</v>
      </c>
      <c r="K12" s="12"/>
    </row>
    <row r="13" spans="1:12" s="3" customFormat="1" ht="20.65" customHeight="1">
      <c r="A13" s="179" t="str">
        <f>Zones!A13</f>
        <v>RefWalkInCool Core</v>
      </c>
      <c r="B13" s="344">
        <f>Zones!J13</f>
        <v>0</v>
      </c>
      <c r="C13" s="344">
        <f>Zones!G13</f>
        <v>500</v>
      </c>
      <c r="D13" s="120"/>
      <c r="E13" s="120"/>
      <c r="F13" s="120"/>
      <c r="G13" s="346">
        <f t="shared" si="4"/>
        <v>0</v>
      </c>
      <c r="H13" s="346">
        <f t="shared" si="5"/>
        <v>0</v>
      </c>
      <c r="I13" s="120"/>
      <c r="J13" s="346">
        <f t="shared" si="3"/>
        <v>0</v>
      </c>
      <c r="K13" s="12"/>
    </row>
    <row r="14" spans="1:12" s="3" customFormat="1" ht="20.65" customHeight="1">
      <c r="A14" s="343" t="str">
        <f>Zones!A14</f>
        <v>Ref WalkInFreezer Core</v>
      </c>
      <c r="B14" s="344">
        <f>Zones!J14</f>
        <v>0</v>
      </c>
      <c r="C14" s="344">
        <f>Zones!G14</f>
        <v>500</v>
      </c>
      <c r="D14" s="345"/>
      <c r="E14" s="345">
        <v>0</v>
      </c>
      <c r="F14" s="345" t="s">
        <v>391</v>
      </c>
      <c r="G14" s="346">
        <f t="shared" si="1"/>
        <v>0</v>
      </c>
      <c r="H14" s="346">
        <f t="shared" si="2"/>
        <v>0</v>
      </c>
      <c r="I14" s="345" t="s">
        <v>391</v>
      </c>
      <c r="J14" s="346">
        <f t="shared" si="3"/>
        <v>0</v>
      </c>
      <c r="K14" s="347"/>
    </row>
    <row r="15" spans="1:12" s="3" customFormat="1" ht="29.25" customHeight="1">
      <c r="A15" s="341"/>
      <c r="B15" s="60"/>
      <c r="C15" s="60"/>
      <c r="D15" s="494"/>
      <c r="E15" s="494"/>
      <c r="F15" s="494"/>
      <c r="G15" s="342"/>
      <c r="H15" s="342"/>
      <c r="I15" s="494"/>
      <c r="J15" s="342"/>
      <c r="K15" s="474"/>
    </row>
    <row r="16" spans="1:12" s="3" customFormat="1" ht="13.15"/>
    <row r="19" spans="1:12" ht="15.6">
      <c r="A19" s="2"/>
      <c r="B19" s="2"/>
      <c r="C19" s="2"/>
      <c r="D19" s="2"/>
      <c r="E19" s="2"/>
      <c r="F19" s="2"/>
      <c r="G19" s="2"/>
      <c r="H19" s="2"/>
      <c r="I19" s="2"/>
      <c r="J19" s="2"/>
      <c r="K19" s="72"/>
      <c r="L19" s="2"/>
    </row>
    <row r="20" spans="1:12" s="73" customFormat="1" ht="17.45" hidden="1">
      <c r="A20" s="21" t="s">
        <v>37</v>
      </c>
      <c r="B20" s="21"/>
      <c r="C20" s="108"/>
      <c r="D20" s="108"/>
      <c r="E20" s="108"/>
      <c r="F20" s="108"/>
      <c r="G20" s="108"/>
      <c r="H20" s="108"/>
      <c r="I20" s="108"/>
      <c r="J20" s="108"/>
      <c r="K20" s="109"/>
      <c r="L20" s="110"/>
    </row>
    <row r="21" spans="1:12" hidden="1">
      <c r="A21" s="2"/>
      <c r="B21" s="2"/>
      <c r="C21" s="2"/>
      <c r="D21" s="2"/>
      <c r="E21" s="2"/>
      <c r="F21" s="2"/>
      <c r="G21" s="2"/>
      <c r="H21" s="2"/>
      <c r="I21" s="2"/>
      <c r="J21" s="2"/>
      <c r="K21" s="2"/>
      <c r="L21" s="2"/>
    </row>
    <row r="22" spans="1:12" s="3" customFormat="1" ht="13.15" hidden="1">
      <c r="A22" s="3" t="s">
        <v>392</v>
      </c>
    </row>
    <row r="23" spans="1:12" hidden="1">
      <c r="A23" s="2"/>
      <c r="B23" s="2"/>
      <c r="C23" s="2"/>
      <c r="D23" s="2"/>
      <c r="E23" s="2"/>
      <c r="F23" s="2"/>
      <c r="G23" s="2"/>
      <c r="H23" s="2"/>
      <c r="I23" s="2"/>
      <c r="J23" s="2"/>
      <c r="K23" s="2"/>
      <c r="L23" s="2"/>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18"/>
  <sheetViews>
    <sheetView workbookViewId="0">
      <selection activeCell="Q19" sqref="Q19"/>
    </sheetView>
  </sheetViews>
  <sheetFormatPr defaultRowHeight="14.45"/>
  <cols>
    <col min="1" max="1" width="33.85546875" customWidth="1"/>
    <col min="2" max="2" width="9.7109375" customWidth="1"/>
    <col min="18" max="18" width="22.5703125" customWidth="1"/>
  </cols>
  <sheetData>
    <row r="1" spans="1:18" ht="24" customHeight="1">
      <c r="A1" s="563" t="str">
        <f>"Thermostat Setpoints - "&amp;Prototype!A2</f>
        <v>Thermostat Setpoints - RetailGrocery</v>
      </c>
      <c r="B1" s="563"/>
      <c r="C1" s="563"/>
      <c r="D1" s="563"/>
      <c r="E1" s="563"/>
      <c r="F1" s="563"/>
      <c r="G1" s="563"/>
      <c r="H1" s="563"/>
      <c r="I1" s="563"/>
      <c r="J1" s="563"/>
      <c r="K1" s="563"/>
      <c r="L1" s="563"/>
      <c r="M1" s="563"/>
      <c r="N1" s="563"/>
      <c r="O1" s="563"/>
      <c r="P1" s="563"/>
      <c r="Q1" s="563"/>
      <c r="R1" s="563"/>
    </row>
    <row r="2" spans="1:18" ht="22.15" customHeight="1" thickBot="1">
      <c r="A2" s="84" t="s">
        <v>393</v>
      </c>
      <c r="B2" s="85" t="s">
        <v>260</v>
      </c>
      <c r="C2" s="85" t="s">
        <v>261</v>
      </c>
      <c r="D2" s="85" t="s">
        <v>262</v>
      </c>
      <c r="E2" s="85" t="s">
        <v>263</v>
      </c>
      <c r="F2" s="85" t="s">
        <v>264</v>
      </c>
      <c r="G2" s="85" t="s">
        <v>265</v>
      </c>
      <c r="H2" s="85" t="s">
        <v>266</v>
      </c>
      <c r="I2" s="85" t="s">
        <v>267</v>
      </c>
      <c r="J2" s="85" t="s">
        <v>268</v>
      </c>
      <c r="K2" s="85" t="s">
        <v>269</v>
      </c>
      <c r="L2" s="85" t="s">
        <v>270</v>
      </c>
      <c r="M2" s="85" t="s">
        <v>271</v>
      </c>
      <c r="N2" s="85" t="s">
        <v>272</v>
      </c>
      <c r="O2" s="85" t="s">
        <v>273</v>
      </c>
      <c r="P2" s="85" t="s">
        <v>274</v>
      </c>
      <c r="Q2" s="85" t="s">
        <v>275</v>
      </c>
      <c r="R2" s="85" t="s">
        <v>325</v>
      </c>
    </row>
    <row r="3" spans="1:18">
      <c r="A3" s="498" t="s">
        <v>394</v>
      </c>
      <c r="B3" s="496">
        <v>70</v>
      </c>
      <c r="C3" s="496">
        <v>70</v>
      </c>
      <c r="D3" s="496">
        <v>70</v>
      </c>
      <c r="E3" s="496">
        <v>70</v>
      </c>
      <c r="F3" s="496">
        <v>70</v>
      </c>
      <c r="G3" s="496">
        <v>70</v>
      </c>
      <c r="H3" s="496">
        <v>70</v>
      </c>
      <c r="I3" s="496">
        <v>70</v>
      </c>
      <c r="J3" s="496">
        <v>70</v>
      </c>
      <c r="K3" s="496">
        <v>70</v>
      </c>
      <c r="L3" s="496">
        <v>70</v>
      </c>
      <c r="M3" s="496">
        <v>70</v>
      </c>
      <c r="N3" s="496">
        <v>70</v>
      </c>
      <c r="O3" s="496">
        <v>70</v>
      </c>
      <c r="P3" s="496">
        <v>70</v>
      </c>
      <c r="Q3" s="496">
        <v>70</v>
      </c>
      <c r="R3" s="593" t="s">
        <v>395</v>
      </c>
    </row>
    <row r="4" spans="1:18" ht="21" customHeight="1">
      <c r="A4" s="499" t="s">
        <v>396</v>
      </c>
      <c r="B4" s="185">
        <v>60</v>
      </c>
      <c r="C4" s="185">
        <v>60</v>
      </c>
      <c r="D4" s="185">
        <v>60</v>
      </c>
      <c r="E4" s="185">
        <v>60</v>
      </c>
      <c r="F4" s="185">
        <v>60</v>
      </c>
      <c r="G4" s="185">
        <v>60</v>
      </c>
      <c r="H4" s="185">
        <v>60</v>
      </c>
      <c r="I4" s="185">
        <v>60</v>
      </c>
      <c r="J4" s="185">
        <v>60</v>
      </c>
      <c r="K4" s="185">
        <v>60</v>
      </c>
      <c r="L4" s="185">
        <v>60</v>
      </c>
      <c r="M4" s="185">
        <v>60</v>
      </c>
      <c r="N4" s="185">
        <v>60</v>
      </c>
      <c r="O4" s="185">
        <v>60</v>
      </c>
      <c r="P4" s="185">
        <v>60</v>
      </c>
      <c r="Q4" s="185">
        <v>60</v>
      </c>
      <c r="R4" s="594"/>
    </row>
    <row r="5" spans="1:18" ht="21" customHeight="1">
      <c r="A5" s="499" t="s">
        <v>397</v>
      </c>
      <c r="B5" s="185">
        <v>75</v>
      </c>
      <c r="C5" s="185">
        <v>75</v>
      </c>
      <c r="D5" s="185">
        <v>75</v>
      </c>
      <c r="E5" s="185">
        <v>75</v>
      </c>
      <c r="F5" s="185">
        <v>75</v>
      </c>
      <c r="G5" s="185">
        <v>75</v>
      </c>
      <c r="H5" s="185">
        <v>75</v>
      </c>
      <c r="I5" s="185">
        <v>75</v>
      </c>
      <c r="J5" s="185">
        <v>75</v>
      </c>
      <c r="K5" s="185">
        <v>75</v>
      </c>
      <c r="L5" s="185">
        <v>75</v>
      </c>
      <c r="M5" s="185">
        <v>75</v>
      </c>
      <c r="N5" s="185">
        <v>75</v>
      </c>
      <c r="O5" s="185">
        <v>75</v>
      </c>
      <c r="P5" s="185">
        <v>75</v>
      </c>
      <c r="Q5" s="185">
        <v>75</v>
      </c>
      <c r="R5" s="594"/>
    </row>
    <row r="6" spans="1:18" ht="21" customHeight="1" thickBot="1">
      <c r="A6" s="500" t="s">
        <v>398</v>
      </c>
      <c r="B6" s="497">
        <v>85</v>
      </c>
      <c r="C6" s="497">
        <v>85</v>
      </c>
      <c r="D6" s="497">
        <v>85</v>
      </c>
      <c r="E6" s="497">
        <v>85</v>
      </c>
      <c r="F6" s="497">
        <v>85</v>
      </c>
      <c r="G6" s="497">
        <v>85</v>
      </c>
      <c r="H6" s="497">
        <v>85</v>
      </c>
      <c r="I6" s="497">
        <v>85</v>
      </c>
      <c r="J6" s="497">
        <v>85</v>
      </c>
      <c r="K6" s="497">
        <v>85</v>
      </c>
      <c r="L6" s="497">
        <v>85</v>
      </c>
      <c r="M6" s="497">
        <v>85</v>
      </c>
      <c r="N6" s="497">
        <v>85</v>
      </c>
      <c r="O6" s="497">
        <v>85</v>
      </c>
      <c r="P6" s="497">
        <v>85</v>
      </c>
      <c r="Q6" s="497">
        <v>85</v>
      </c>
      <c r="R6" s="595"/>
    </row>
    <row r="7" spans="1:18" ht="19.899999999999999" customHeight="1">
      <c r="A7" s="498" t="s">
        <v>399</v>
      </c>
      <c r="B7" s="496">
        <v>65</v>
      </c>
      <c r="C7" s="496">
        <v>65</v>
      </c>
      <c r="D7" s="496">
        <v>65</v>
      </c>
      <c r="E7" s="496">
        <v>65</v>
      </c>
      <c r="F7" s="496">
        <v>65</v>
      </c>
      <c r="G7" s="496">
        <v>65</v>
      </c>
      <c r="H7" s="496">
        <v>65</v>
      </c>
      <c r="I7" s="496">
        <v>65</v>
      </c>
      <c r="J7" s="496">
        <v>65</v>
      </c>
      <c r="K7" s="496">
        <v>65</v>
      </c>
      <c r="L7" s="496">
        <v>65</v>
      </c>
      <c r="M7" s="496">
        <v>65</v>
      </c>
      <c r="N7" s="496">
        <v>65</v>
      </c>
      <c r="O7" s="496">
        <v>65</v>
      </c>
      <c r="P7" s="496">
        <v>65</v>
      </c>
      <c r="Q7" s="496">
        <v>65</v>
      </c>
      <c r="R7" s="593" t="s">
        <v>395</v>
      </c>
    </row>
    <row r="8" spans="1:18" ht="19.899999999999999" customHeight="1">
      <c r="A8" s="499" t="s">
        <v>400</v>
      </c>
      <c r="B8" s="185">
        <v>55</v>
      </c>
      <c r="C8" s="185">
        <v>55</v>
      </c>
      <c r="D8" s="185">
        <v>55</v>
      </c>
      <c r="E8" s="185">
        <v>55</v>
      </c>
      <c r="F8" s="185">
        <v>55</v>
      </c>
      <c r="G8" s="185">
        <v>55</v>
      </c>
      <c r="H8" s="185">
        <v>55</v>
      </c>
      <c r="I8" s="185">
        <v>55</v>
      </c>
      <c r="J8" s="185">
        <v>55</v>
      </c>
      <c r="K8" s="185">
        <v>55</v>
      </c>
      <c r="L8" s="185">
        <v>55</v>
      </c>
      <c r="M8" s="185">
        <v>55</v>
      </c>
      <c r="N8" s="185">
        <v>55</v>
      </c>
      <c r="O8" s="185">
        <v>55</v>
      </c>
      <c r="P8" s="185">
        <v>55</v>
      </c>
      <c r="Q8" s="185">
        <v>55</v>
      </c>
      <c r="R8" s="594"/>
    </row>
    <row r="9" spans="1:18" ht="19.899999999999999" customHeight="1">
      <c r="A9" s="499" t="s">
        <v>401</v>
      </c>
      <c r="B9" s="185">
        <v>78</v>
      </c>
      <c r="C9" s="185">
        <v>78</v>
      </c>
      <c r="D9" s="185">
        <v>78</v>
      </c>
      <c r="E9" s="185">
        <v>78</v>
      </c>
      <c r="F9" s="185">
        <v>78</v>
      </c>
      <c r="G9" s="185">
        <v>78</v>
      </c>
      <c r="H9" s="185">
        <v>78</v>
      </c>
      <c r="I9" s="185">
        <v>78</v>
      </c>
      <c r="J9" s="185">
        <v>78</v>
      </c>
      <c r="K9" s="185">
        <v>78</v>
      </c>
      <c r="L9" s="185">
        <v>78</v>
      </c>
      <c r="M9" s="185">
        <v>78</v>
      </c>
      <c r="N9" s="185">
        <v>78</v>
      </c>
      <c r="O9" s="185">
        <v>78</v>
      </c>
      <c r="P9" s="185">
        <v>78</v>
      </c>
      <c r="Q9" s="185">
        <v>78</v>
      </c>
      <c r="R9" s="594"/>
    </row>
    <row r="10" spans="1:18" ht="19.899999999999999" customHeight="1" thickBot="1">
      <c r="A10" s="500" t="s">
        <v>402</v>
      </c>
      <c r="B10" s="497">
        <v>85</v>
      </c>
      <c r="C10" s="497">
        <v>85</v>
      </c>
      <c r="D10" s="497">
        <v>85</v>
      </c>
      <c r="E10" s="497">
        <v>85</v>
      </c>
      <c r="F10" s="497">
        <v>85</v>
      </c>
      <c r="G10" s="497">
        <v>85</v>
      </c>
      <c r="H10" s="497">
        <v>85</v>
      </c>
      <c r="I10" s="497">
        <v>85</v>
      </c>
      <c r="J10" s="497">
        <v>85</v>
      </c>
      <c r="K10" s="497">
        <v>85</v>
      </c>
      <c r="L10" s="497">
        <v>85</v>
      </c>
      <c r="M10" s="497">
        <v>85</v>
      </c>
      <c r="N10" s="497">
        <v>85</v>
      </c>
      <c r="O10" s="497">
        <v>85</v>
      </c>
      <c r="P10" s="497">
        <v>85</v>
      </c>
      <c r="Q10" s="497">
        <v>85</v>
      </c>
      <c r="R10" s="595"/>
    </row>
    <row r="11" spans="1:18" ht="19.899999999999999" customHeight="1">
      <c r="A11" s="498" t="s">
        <v>403</v>
      </c>
      <c r="B11" s="496">
        <v>60</v>
      </c>
      <c r="C11" s="496">
        <v>60</v>
      </c>
      <c r="D11" s="496">
        <v>60</v>
      </c>
      <c r="E11" s="496">
        <v>60</v>
      </c>
      <c r="F11" s="496">
        <v>60</v>
      </c>
      <c r="G11" s="496">
        <v>60</v>
      </c>
      <c r="H11" s="496">
        <v>60</v>
      </c>
      <c r="I11" s="496">
        <v>60</v>
      </c>
      <c r="J11" s="496">
        <v>60</v>
      </c>
      <c r="K11" s="496">
        <v>60</v>
      </c>
      <c r="L11" s="496">
        <v>60</v>
      </c>
      <c r="M11" s="496">
        <v>60</v>
      </c>
      <c r="N11" s="496">
        <v>60</v>
      </c>
      <c r="O11" s="496">
        <v>60</v>
      </c>
      <c r="P11" s="496">
        <v>60</v>
      </c>
      <c r="Q11" s="496">
        <v>60</v>
      </c>
      <c r="R11" s="593" t="s">
        <v>395</v>
      </c>
    </row>
    <row r="12" spans="1:18" ht="19.899999999999999" customHeight="1">
      <c r="A12" s="499" t="s">
        <v>404</v>
      </c>
      <c r="B12" s="185">
        <v>50</v>
      </c>
      <c r="C12" s="185">
        <v>50</v>
      </c>
      <c r="D12" s="185">
        <v>50</v>
      </c>
      <c r="E12" s="185">
        <v>50</v>
      </c>
      <c r="F12" s="185">
        <v>50</v>
      </c>
      <c r="G12" s="185">
        <v>50</v>
      </c>
      <c r="H12" s="185">
        <v>50</v>
      </c>
      <c r="I12" s="185">
        <v>50</v>
      </c>
      <c r="J12" s="185">
        <v>50</v>
      </c>
      <c r="K12" s="185">
        <v>50</v>
      </c>
      <c r="L12" s="185">
        <v>50</v>
      </c>
      <c r="M12" s="185">
        <v>50</v>
      </c>
      <c r="N12" s="185">
        <v>50</v>
      </c>
      <c r="O12" s="185">
        <v>50</v>
      </c>
      <c r="P12" s="185">
        <v>50</v>
      </c>
      <c r="Q12" s="185">
        <v>50</v>
      </c>
      <c r="R12" s="594"/>
    </row>
    <row r="13" spans="1:18" ht="19.899999999999999" customHeight="1">
      <c r="A13" s="499" t="s">
        <v>405</v>
      </c>
      <c r="B13" s="185">
        <v>80</v>
      </c>
      <c r="C13" s="185">
        <v>80</v>
      </c>
      <c r="D13" s="185">
        <v>80</v>
      </c>
      <c r="E13" s="185">
        <v>80</v>
      </c>
      <c r="F13" s="185">
        <v>80</v>
      </c>
      <c r="G13" s="185">
        <v>80</v>
      </c>
      <c r="H13" s="185">
        <v>80</v>
      </c>
      <c r="I13" s="185">
        <v>80</v>
      </c>
      <c r="J13" s="185">
        <v>80</v>
      </c>
      <c r="K13" s="185">
        <v>80</v>
      </c>
      <c r="L13" s="185">
        <v>80</v>
      </c>
      <c r="M13" s="185">
        <v>80</v>
      </c>
      <c r="N13" s="185">
        <v>80</v>
      </c>
      <c r="O13" s="185">
        <v>80</v>
      </c>
      <c r="P13" s="185">
        <v>80</v>
      </c>
      <c r="Q13" s="185">
        <v>80</v>
      </c>
      <c r="R13" s="594"/>
    </row>
    <row r="14" spans="1:18" ht="19.899999999999999" customHeight="1" thickBot="1">
      <c r="A14" s="500" t="s">
        <v>406</v>
      </c>
      <c r="B14" s="497">
        <v>90</v>
      </c>
      <c r="C14" s="497">
        <v>90</v>
      </c>
      <c r="D14" s="497">
        <v>90</v>
      </c>
      <c r="E14" s="497">
        <v>90</v>
      </c>
      <c r="F14" s="497">
        <v>90</v>
      </c>
      <c r="G14" s="497">
        <v>90</v>
      </c>
      <c r="H14" s="497">
        <v>90</v>
      </c>
      <c r="I14" s="497">
        <v>90</v>
      </c>
      <c r="J14" s="497">
        <v>90</v>
      </c>
      <c r="K14" s="497">
        <v>90</v>
      </c>
      <c r="L14" s="497">
        <v>90</v>
      </c>
      <c r="M14" s="497">
        <v>90</v>
      </c>
      <c r="N14" s="497">
        <v>90</v>
      </c>
      <c r="O14" s="497">
        <v>90</v>
      </c>
      <c r="P14" s="497">
        <v>90</v>
      </c>
      <c r="Q14" s="497">
        <v>90</v>
      </c>
      <c r="R14" s="595"/>
    </row>
    <row r="17" spans="1:2">
      <c r="A17" s="332"/>
    </row>
    <row r="18" spans="1:2">
      <c r="B18" s="291"/>
    </row>
  </sheetData>
  <mergeCells count="4">
    <mergeCell ref="R3:R6"/>
    <mergeCell ref="A1:R1"/>
    <mergeCell ref="R7:R10"/>
    <mergeCell ref="R11:R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53"/>
  <sheetViews>
    <sheetView zoomScaleNormal="100" workbookViewId="0">
      <selection sqref="A1:G1"/>
    </sheetView>
  </sheetViews>
  <sheetFormatPr defaultColWidth="8.7109375" defaultRowHeight="13.15"/>
  <cols>
    <col min="1" max="1" width="25.28515625" style="3" customWidth="1"/>
    <col min="2" max="4" width="22.5703125" style="3" customWidth="1"/>
    <col min="5" max="5" width="29.85546875" style="3" customWidth="1"/>
    <col min="6" max="6" width="29.28515625" style="3" customWidth="1"/>
    <col min="7" max="7" width="17.140625" style="3" customWidth="1"/>
    <col min="8" max="8" width="21.42578125" style="3" customWidth="1"/>
    <col min="9" max="9" width="20.140625" style="3" customWidth="1"/>
    <col min="10" max="12" width="15.28515625" style="3" customWidth="1"/>
    <col min="13" max="13" width="12.28515625" style="3" customWidth="1"/>
    <col min="14" max="14" width="13.28515625" style="3" customWidth="1"/>
    <col min="15" max="15" width="15.28515625" style="3" customWidth="1"/>
    <col min="16" max="16" width="11" style="3" customWidth="1"/>
    <col min="17" max="20" width="15.28515625" style="3" customWidth="1"/>
    <col min="21" max="21" width="7.7109375" style="3" hidden="1" customWidth="1"/>
    <col min="22" max="22" width="12.42578125" style="3" hidden="1" customWidth="1"/>
    <col min="23" max="38" width="6.5703125" style="3" hidden="1" customWidth="1"/>
    <col min="39" max="39" width="15.28515625" style="3" customWidth="1"/>
    <col min="40" max="40" width="11.28515625" style="3" customWidth="1"/>
    <col min="41" max="41" width="6.28515625" style="3" customWidth="1"/>
    <col min="42" max="45" width="4.7109375" style="3" customWidth="1"/>
    <col min="46" max="46" width="6.28515625" style="3" customWidth="1"/>
    <col min="47" max="61" width="4.7109375" style="3" customWidth="1"/>
    <col min="62" max="16384" width="8.7109375" style="3"/>
  </cols>
  <sheetData>
    <row r="1" spans="1:21" ht="24" customHeight="1">
      <c r="A1" s="596" t="str">
        <f>"Water Heater Summary - "&amp;Prototype!A2</f>
        <v>Water Heater Summary - RetailGrocery</v>
      </c>
      <c r="B1" s="597"/>
      <c r="C1" s="597"/>
      <c r="D1" s="597"/>
      <c r="E1" s="597"/>
      <c r="F1" s="597"/>
      <c r="G1" s="598"/>
    </row>
    <row r="2" spans="1:21" ht="22.15" customHeight="1">
      <c r="A2" s="490" t="s">
        <v>257</v>
      </c>
      <c r="B2" s="490" t="s">
        <v>407</v>
      </c>
      <c r="C2" s="490" t="s">
        <v>408</v>
      </c>
      <c r="D2" s="490" t="s">
        <v>409</v>
      </c>
      <c r="E2" s="490" t="s">
        <v>410</v>
      </c>
      <c r="F2" s="490" t="s">
        <v>411</v>
      </c>
      <c r="G2" s="490" t="s">
        <v>325</v>
      </c>
    </row>
    <row r="3" spans="1:21" ht="25.15" customHeight="1">
      <c r="A3" s="489" t="s">
        <v>326</v>
      </c>
      <c r="B3" s="489" t="s">
        <v>412</v>
      </c>
      <c r="C3" s="489">
        <v>1</v>
      </c>
      <c r="D3" s="376">
        <f>D4</f>
        <v>52.23599999999999</v>
      </c>
      <c r="E3" s="292">
        <f>E4</f>
        <v>0.81688490696071692</v>
      </c>
      <c r="F3" s="270" t="s">
        <v>413</v>
      </c>
      <c r="G3" s="599" t="s">
        <v>414</v>
      </c>
    </row>
    <row r="4" spans="1:21" ht="24" customHeight="1">
      <c r="A4" s="489" t="s">
        <v>331</v>
      </c>
      <c r="B4" s="489" t="s">
        <v>415</v>
      </c>
      <c r="C4" s="489">
        <v>1</v>
      </c>
      <c r="D4" s="376">
        <f xml:space="preserve"> MAX(50,F29)</f>
        <v>52.23599999999999</v>
      </c>
      <c r="E4" s="292">
        <f>G29</f>
        <v>0.81688490696071692</v>
      </c>
      <c r="F4" s="270" t="s">
        <v>413</v>
      </c>
      <c r="G4" s="599"/>
    </row>
    <row r="5" spans="1:21" ht="35.25" customHeight="1">
      <c r="A5" s="5"/>
      <c r="B5" s="5"/>
      <c r="C5" s="5"/>
      <c r="D5" s="214"/>
    </row>
    <row r="6" spans="1:21" ht="14.65" customHeight="1">
      <c r="A6" s="5"/>
      <c r="B6" s="5"/>
      <c r="C6" s="5"/>
      <c r="D6" s="5"/>
    </row>
    <row r="7" spans="1:21" ht="14.65" customHeight="1">
      <c r="A7" s="600" t="s">
        <v>416</v>
      </c>
      <c r="B7" s="601"/>
      <c r="C7" s="601"/>
      <c r="D7" s="601"/>
      <c r="E7" s="601"/>
      <c r="F7" s="601"/>
      <c r="G7" s="602"/>
      <c r="H7" s="203"/>
      <c r="I7" s="203"/>
      <c r="J7" s="485"/>
      <c r="K7" s="485"/>
      <c r="L7" s="485"/>
      <c r="M7" s="485"/>
      <c r="N7" s="485"/>
      <c r="O7" s="485"/>
      <c r="P7" s="485"/>
      <c r="Q7" s="485"/>
      <c r="R7" s="485"/>
      <c r="S7" s="485"/>
      <c r="T7" s="485"/>
      <c r="U7" s="485"/>
    </row>
    <row r="8" spans="1:21" ht="63.75" customHeight="1">
      <c r="A8" s="414" t="s">
        <v>417</v>
      </c>
      <c r="B8" s="269" t="s">
        <v>418</v>
      </c>
      <c r="C8" s="269" t="s">
        <v>419</v>
      </c>
      <c r="D8" s="269" t="s">
        <v>106</v>
      </c>
      <c r="E8" s="269" t="s">
        <v>420</v>
      </c>
      <c r="F8" s="269" t="s">
        <v>421</v>
      </c>
      <c r="G8" s="269" t="s">
        <v>422</v>
      </c>
      <c r="H8" s="485"/>
      <c r="I8" s="485"/>
      <c r="J8" s="485"/>
      <c r="K8" s="485"/>
      <c r="L8" s="485"/>
      <c r="M8" s="485"/>
      <c r="N8" s="485"/>
      <c r="O8" s="485"/>
      <c r="P8" s="485"/>
      <c r="Q8" s="485"/>
      <c r="R8" s="485"/>
      <c r="S8" s="485"/>
      <c r="T8" s="485"/>
      <c r="U8" s="485"/>
    </row>
    <row r="9" spans="1:21" ht="14.65" customHeight="1">
      <c r="A9" s="486" t="str">
        <f>Zones!A3</f>
        <v>Checkout Area</v>
      </c>
      <c r="B9" s="204" t="s">
        <v>423</v>
      </c>
      <c r="C9" s="205">
        <f>Zones!G3</f>
        <v>10000</v>
      </c>
      <c r="D9" s="205">
        <f>Zones!J3</f>
        <v>170</v>
      </c>
      <c r="E9" s="204">
        <v>0.18</v>
      </c>
      <c r="F9" s="204">
        <f>E9*D9</f>
        <v>30.599999999999998</v>
      </c>
      <c r="G9" s="204">
        <f>F9/60</f>
        <v>0.51</v>
      </c>
      <c r="H9" s="485"/>
      <c r="I9" s="485"/>
      <c r="J9" s="485"/>
      <c r="K9" s="485"/>
      <c r="L9" s="485"/>
      <c r="M9" s="485"/>
      <c r="N9" s="485"/>
      <c r="O9" s="485"/>
      <c r="P9" s="485"/>
      <c r="Q9" s="485"/>
      <c r="R9" s="485"/>
      <c r="S9" s="485"/>
      <c r="T9" s="485"/>
      <c r="U9" s="485"/>
    </row>
    <row r="10" spans="1:21" ht="14.65" customHeight="1">
      <c r="A10" s="486" t="str">
        <f>Zones!A4</f>
        <v>Produce</v>
      </c>
      <c r="B10" s="204" t="s">
        <v>423</v>
      </c>
      <c r="C10" s="205">
        <f>Zones!G4</f>
        <v>4400</v>
      </c>
      <c r="D10" s="205">
        <f>Zones!J4</f>
        <v>74.8</v>
      </c>
      <c r="E10" s="204">
        <v>0.18</v>
      </c>
      <c r="F10" s="204">
        <f t="shared" ref="F10:F20" si="0">E10*D10</f>
        <v>13.463999999999999</v>
      </c>
      <c r="G10" s="204">
        <f t="shared" ref="G10:G20" si="1">F10/60</f>
        <v>0.22439999999999999</v>
      </c>
      <c r="H10" s="485"/>
      <c r="I10" s="485"/>
      <c r="J10" s="485"/>
      <c r="K10" s="485"/>
      <c r="L10" s="485"/>
      <c r="M10" s="485"/>
      <c r="N10" s="485"/>
      <c r="O10" s="485"/>
      <c r="P10" s="485"/>
      <c r="Q10" s="485"/>
      <c r="R10" s="485"/>
      <c r="S10" s="485"/>
      <c r="T10" s="485"/>
      <c r="U10" s="485"/>
    </row>
    <row r="11" spans="1:21" ht="14.65" customHeight="1">
      <c r="A11" s="486" t="str">
        <f>Zones!A5</f>
        <v>General Merch</v>
      </c>
      <c r="B11" s="204" t="s">
        <v>423</v>
      </c>
      <c r="C11" s="205">
        <f>Zones!G5</f>
        <v>7700</v>
      </c>
      <c r="D11" s="205">
        <f>Zones!J5</f>
        <v>130.9</v>
      </c>
      <c r="E11" s="204">
        <v>0.18</v>
      </c>
      <c r="F11" s="204">
        <f t="shared" si="0"/>
        <v>23.562000000000001</v>
      </c>
      <c r="G11" s="204">
        <f t="shared" si="1"/>
        <v>0.39269999999999999</v>
      </c>
      <c r="H11" s="485"/>
      <c r="I11" s="485"/>
      <c r="J11" s="485"/>
      <c r="K11" s="485"/>
      <c r="L11" s="485"/>
      <c r="M11" s="485"/>
      <c r="N11" s="485"/>
      <c r="O11" s="485"/>
      <c r="P11" s="485"/>
      <c r="Q11" s="485"/>
      <c r="R11" s="485"/>
      <c r="S11" s="485"/>
      <c r="T11" s="485"/>
      <c r="U11" s="485"/>
    </row>
    <row r="12" spans="1:21" ht="14.65" customHeight="1">
      <c r="A12" s="486" t="str">
        <f>Zones!A6</f>
        <v>Frozen</v>
      </c>
      <c r="B12" s="204" t="s">
        <v>423</v>
      </c>
      <c r="C12" s="205">
        <f>Zones!G6</f>
        <v>6600</v>
      </c>
      <c r="D12" s="205">
        <f>Zones!J6</f>
        <v>112.2</v>
      </c>
      <c r="E12" s="204">
        <v>0.18</v>
      </c>
      <c r="F12" s="204">
        <f t="shared" si="0"/>
        <v>20.196000000000002</v>
      </c>
      <c r="G12" s="204">
        <f t="shared" si="1"/>
        <v>0.33660000000000001</v>
      </c>
      <c r="H12" s="485"/>
      <c r="I12" s="485"/>
      <c r="J12" s="485"/>
      <c r="K12" s="485"/>
      <c r="L12" s="485"/>
      <c r="M12" s="485"/>
      <c r="N12" s="485"/>
      <c r="O12" s="485"/>
      <c r="P12" s="485"/>
      <c r="Q12" s="485"/>
      <c r="R12" s="485"/>
      <c r="S12" s="485"/>
      <c r="T12" s="485"/>
      <c r="U12" s="485"/>
    </row>
    <row r="13" spans="1:21" ht="14.65" customHeight="1">
      <c r="A13" s="486" t="str">
        <f>Zones!A7</f>
        <v>Beverage</v>
      </c>
      <c r="B13" s="204" t="s">
        <v>423</v>
      </c>
      <c r="C13" s="205">
        <f>Zones!G7</f>
        <v>4400</v>
      </c>
      <c r="D13" s="205">
        <f>Zones!J7</f>
        <v>74.8</v>
      </c>
      <c r="E13" s="204">
        <v>0.18</v>
      </c>
      <c r="F13" s="204">
        <f t="shared" si="0"/>
        <v>13.463999999999999</v>
      </c>
      <c r="G13" s="204">
        <f t="shared" si="1"/>
        <v>0.22439999999999999</v>
      </c>
      <c r="H13" s="485"/>
      <c r="I13" s="485"/>
      <c r="J13" s="485"/>
      <c r="K13" s="485"/>
      <c r="L13" s="485"/>
      <c r="M13" s="485"/>
      <c r="N13" s="485"/>
      <c r="O13" s="485"/>
      <c r="P13" s="485"/>
      <c r="Q13" s="485"/>
      <c r="R13" s="485"/>
      <c r="S13" s="485"/>
      <c r="T13" s="485"/>
      <c r="U13" s="485"/>
    </row>
    <row r="14" spans="1:21" ht="14.65" customHeight="1">
      <c r="A14" s="486" t="str">
        <f>Zones!A8</f>
        <v>Bakery and Deli</v>
      </c>
      <c r="B14" s="204" t="s">
        <v>423</v>
      </c>
      <c r="C14" s="205">
        <f>Zones!G8</f>
        <v>4400</v>
      </c>
      <c r="D14" s="205">
        <f>Zones!J8</f>
        <v>74.8</v>
      </c>
      <c r="E14" s="204">
        <v>0.18</v>
      </c>
      <c r="F14" s="204">
        <f t="shared" si="0"/>
        <v>13.463999999999999</v>
      </c>
      <c r="G14" s="204">
        <f t="shared" si="1"/>
        <v>0.22439999999999999</v>
      </c>
      <c r="H14" s="485"/>
      <c r="I14" s="485"/>
      <c r="J14" s="485"/>
      <c r="K14" s="485"/>
      <c r="L14" s="485"/>
      <c r="M14" s="485"/>
      <c r="N14" s="485"/>
      <c r="O14" s="485"/>
      <c r="P14" s="485"/>
      <c r="Q14" s="485"/>
      <c r="R14" s="485"/>
      <c r="S14" s="485"/>
      <c r="T14" s="485"/>
      <c r="U14" s="485"/>
    </row>
    <row r="15" spans="1:21" ht="14.65" customHeight="1">
      <c r="A15" s="486" t="str">
        <f>Zones!A9</f>
        <v>Meat and Dairy</v>
      </c>
      <c r="B15" s="204" t="s">
        <v>423</v>
      </c>
      <c r="C15" s="205">
        <f>Zones!G9</f>
        <v>5000</v>
      </c>
      <c r="D15" s="205">
        <f>Zones!J9</f>
        <v>85</v>
      </c>
      <c r="E15" s="204">
        <v>0.18</v>
      </c>
      <c r="F15" s="204">
        <f t="shared" si="0"/>
        <v>15.299999999999999</v>
      </c>
      <c r="G15" s="204">
        <f t="shared" si="1"/>
        <v>0.255</v>
      </c>
      <c r="H15" s="485"/>
      <c r="I15" s="485"/>
      <c r="J15" s="485"/>
      <c r="K15" s="485"/>
      <c r="L15" s="485"/>
      <c r="M15" s="485"/>
      <c r="N15" s="485"/>
      <c r="O15" s="485"/>
      <c r="P15" s="485"/>
      <c r="Q15" s="485"/>
      <c r="R15" s="485"/>
      <c r="S15" s="485"/>
      <c r="T15" s="485"/>
      <c r="U15" s="485"/>
    </row>
    <row r="16" spans="1:21" ht="14.65" customHeight="1">
      <c r="A16" s="486" t="str">
        <f>Zones!A10</f>
        <v>Back Office</v>
      </c>
      <c r="B16" s="204" t="s">
        <v>423</v>
      </c>
      <c r="C16" s="205">
        <f>Zones!G10</f>
        <v>1200</v>
      </c>
      <c r="D16" s="205">
        <f>Zones!J10</f>
        <v>6</v>
      </c>
      <c r="E16" s="204">
        <v>0.09</v>
      </c>
      <c r="F16" s="204">
        <f t="shared" si="0"/>
        <v>0.54</v>
      </c>
      <c r="G16" s="204">
        <f t="shared" si="1"/>
        <v>9.0000000000000011E-3</v>
      </c>
      <c r="H16" s="485"/>
      <c r="I16" s="485"/>
      <c r="J16" s="485"/>
      <c r="K16" s="485"/>
      <c r="L16" s="485"/>
      <c r="M16" s="485"/>
      <c r="N16" s="485"/>
      <c r="O16" s="485"/>
      <c r="P16" s="485"/>
      <c r="Q16" s="485"/>
      <c r="R16" s="485"/>
      <c r="S16" s="485"/>
      <c r="T16" s="485"/>
      <c r="U16" s="485"/>
    </row>
    <row r="17" spans="1:21" ht="14.65" customHeight="1">
      <c r="A17" s="486" t="str">
        <f>Zones!A11</f>
        <v>Loading Dock EL1</v>
      </c>
      <c r="B17" s="204" t="s">
        <v>423</v>
      </c>
      <c r="C17" s="205">
        <f>Zones!G11</f>
        <v>3200</v>
      </c>
      <c r="D17" s="205">
        <f>Zones!J11</f>
        <v>0</v>
      </c>
      <c r="E17" s="204">
        <v>0.18</v>
      </c>
      <c r="F17" s="204">
        <f t="shared" si="0"/>
        <v>0</v>
      </c>
      <c r="G17" s="204">
        <f t="shared" si="1"/>
        <v>0</v>
      </c>
      <c r="H17" s="485"/>
      <c r="I17" s="485"/>
      <c r="J17" s="485"/>
      <c r="K17" s="485"/>
      <c r="L17" s="485"/>
      <c r="M17" s="485"/>
      <c r="N17" s="485"/>
      <c r="O17" s="485"/>
      <c r="P17" s="485"/>
      <c r="Q17" s="485"/>
      <c r="R17" s="485"/>
      <c r="S17" s="485"/>
      <c r="T17" s="485"/>
      <c r="U17" s="485"/>
    </row>
    <row r="18" spans="1:21" ht="14.65" customHeight="1">
      <c r="A18" s="486" t="str">
        <f>Zones!A12</f>
        <v>RefFoodPRep Core</v>
      </c>
      <c r="B18" s="204" t="s">
        <v>423</v>
      </c>
      <c r="C18" s="205">
        <f>Zones!G12</f>
        <v>2100</v>
      </c>
      <c r="D18" s="205">
        <f>Zones!J12</f>
        <v>0</v>
      </c>
      <c r="E18" s="204">
        <v>0.18</v>
      </c>
      <c r="F18" s="204">
        <f t="shared" si="0"/>
        <v>0</v>
      </c>
      <c r="G18" s="204">
        <f t="shared" si="1"/>
        <v>0</v>
      </c>
      <c r="H18" s="485"/>
      <c r="I18" s="485"/>
      <c r="J18" s="485"/>
      <c r="K18" s="485"/>
      <c r="L18" s="485"/>
      <c r="M18" s="485"/>
      <c r="N18" s="485"/>
      <c r="O18" s="485"/>
      <c r="P18" s="485"/>
      <c r="Q18" s="485"/>
      <c r="R18" s="485"/>
      <c r="S18" s="485"/>
      <c r="T18" s="485"/>
      <c r="U18" s="485"/>
    </row>
    <row r="19" spans="1:21" ht="14.65" customHeight="1">
      <c r="A19" s="486" t="str">
        <f>Zones!A13</f>
        <v>RefWalkInCool Core</v>
      </c>
      <c r="B19" s="204" t="s">
        <v>423</v>
      </c>
      <c r="C19" s="205">
        <f>Zones!G13</f>
        <v>500</v>
      </c>
      <c r="D19" s="205">
        <f>Zones!J13</f>
        <v>0</v>
      </c>
      <c r="E19" s="204">
        <v>0.18</v>
      </c>
      <c r="F19" s="204">
        <f t="shared" si="0"/>
        <v>0</v>
      </c>
      <c r="G19" s="204">
        <f t="shared" si="1"/>
        <v>0</v>
      </c>
      <c r="H19" s="485"/>
      <c r="I19" s="485"/>
      <c r="J19" s="485"/>
      <c r="K19" s="485"/>
      <c r="L19" s="485"/>
      <c r="M19" s="485"/>
      <c r="N19" s="485"/>
      <c r="O19" s="485"/>
      <c r="P19" s="485"/>
      <c r="Q19" s="485"/>
      <c r="R19" s="485"/>
      <c r="S19" s="485"/>
      <c r="T19" s="485"/>
      <c r="U19" s="485"/>
    </row>
    <row r="20" spans="1:21" ht="14.65" customHeight="1">
      <c r="A20" s="486" t="str">
        <f>Zones!A14</f>
        <v>Ref WalkInFreezer Core</v>
      </c>
      <c r="B20" s="204" t="s">
        <v>423</v>
      </c>
      <c r="C20" s="205">
        <f>Zones!G14</f>
        <v>500</v>
      </c>
      <c r="D20" s="205">
        <f>Zones!J14</f>
        <v>0</v>
      </c>
      <c r="E20" s="204">
        <v>0.18</v>
      </c>
      <c r="F20" s="204">
        <f t="shared" si="0"/>
        <v>0</v>
      </c>
      <c r="G20" s="204">
        <f t="shared" si="1"/>
        <v>0</v>
      </c>
      <c r="H20" s="485"/>
      <c r="I20" s="485"/>
      <c r="J20" s="485"/>
      <c r="K20" s="485"/>
      <c r="L20" s="485"/>
      <c r="M20" s="485"/>
      <c r="N20" s="485"/>
      <c r="O20" s="485"/>
      <c r="P20" s="485"/>
      <c r="Q20" s="485"/>
      <c r="R20" s="485"/>
      <c r="S20" s="485"/>
      <c r="T20" s="485"/>
      <c r="U20" s="485"/>
    </row>
    <row r="21" spans="1:21" ht="14.65" customHeight="1">
      <c r="A21" s="372" t="str">
        <f>Zones!A15</f>
        <v>Total (12 Thermal zones)</v>
      </c>
      <c r="B21" s="373" t="s">
        <v>423</v>
      </c>
      <c r="C21" s="374">
        <f>Zones!G15</f>
        <v>50000</v>
      </c>
      <c r="D21" s="374">
        <f>Zones!J15</f>
        <v>728.5</v>
      </c>
      <c r="E21" s="373">
        <v>0</v>
      </c>
      <c r="F21" s="373">
        <f>SUM(F9:F20)</f>
        <v>130.58999999999997</v>
      </c>
      <c r="G21" s="373">
        <f>SUM(G8:G20)</f>
        <v>2.1764999999999999</v>
      </c>
      <c r="H21" s="485"/>
      <c r="I21" s="485"/>
      <c r="J21" s="485"/>
      <c r="K21" s="485"/>
      <c r="L21" s="485"/>
      <c r="M21" s="485"/>
      <c r="N21" s="485"/>
      <c r="O21" s="485"/>
      <c r="P21" s="485"/>
      <c r="Q21" s="485"/>
      <c r="R21" s="485"/>
      <c r="S21" s="485"/>
      <c r="T21" s="485"/>
      <c r="U21" s="485"/>
    </row>
    <row r="22" spans="1:21" ht="14.65" customHeight="1">
      <c r="A22" s="206"/>
      <c r="B22" s="206"/>
      <c r="C22" s="337"/>
      <c r="D22" s="337"/>
      <c r="E22" s="485"/>
      <c r="F22" s="336"/>
      <c r="G22" s="336"/>
      <c r="H22" s="485"/>
      <c r="I22" s="485"/>
      <c r="J22" s="485"/>
      <c r="K22" s="485"/>
      <c r="L22" s="485"/>
      <c r="M22" s="485"/>
      <c r="N22" s="485"/>
      <c r="O22" s="485"/>
      <c r="P22" s="485"/>
      <c r="Q22" s="485"/>
      <c r="R22" s="485"/>
      <c r="S22" s="485"/>
      <c r="T22" s="485"/>
      <c r="U22" s="485"/>
    </row>
    <row r="23" spans="1:21" ht="14.65" customHeight="1">
      <c r="A23" s="206"/>
      <c r="B23" s="206"/>
      <c r="C23" s="337"/>
      <c r="D23" s="337"/>
      <c r="E23" s="485"/>
      <c r="F23" s="336"/>
      <c r="G23" s="336"/>
      <c r="H23" s="485"/>
      <c r="I23" s="485"/>
      <c r="J23" s="485"/>
      <c r="K23" s="485"/>
      <c r="L23" s="485"/>
      <c r="M23" s="485"/>
      <c r="N23" s="485"/>
      <c r="O23" s="485"/>
      <c r="P23" s="485"/>
      <c r="Q23" s="485"/>
      <c r="R23" s="485"/>
      <c r="S23" s="485"/>
      <c r="T23" s="485"/>
      <c r="U23" s="485"/>
    </row>
    <row r="24" spans="1:21" ht="14.65" customHeight="1">
      <c r="A24" s="206"/>
      <c r="B24" s="485"/>
      <c r="C24" s="485"/>
      <c r="D24" s="485"/>
      <c r="E24" s="485"/>
      <c r="F24" s="485"/>
      <c r="G24" s="485"/>
      <c r="H24" s="485"/>
      <c r="I24" s="485"/>
      <c r="J24" s="485"/>
      <c r="K24" s="485"/>
      <c r="L24" s="485"/>
      <c r="M24" s="485"/>
      <c r="N24" s="485"/>
      <c r="O24" s="485"/>
      <c r="P24" s="485"/>
      <c r="Q24" s="485"/>
      <c r="R24" s="485"/>
      <c r="S24" s="485"/>
      <c r="T24" s="485"/>
      <c r="U24" s="485"/>
    </row>
    <row r="25" spans="1:21" ht="14.65" customHeight="1">
      <c r="F25" s="485"/>
      <c r="G25" s="485"/>
      <c r="H25" s="485"/>
      <c r="I25" s="485"/>
      <c r="J25" s="485"/>
      <c r="K25" s="485"/>
      <c r="L25" s="485"/>
      <c r="M25" s="485"/>
      <c r="N25" s="485"/>
      <c r="O25" s="485"/>
      <c r="P25" s="485"/>
      <c r="Q25" s="485"/>
      <c r="R25" s="485"/>
      <c r="S25" s="485"/>
      <c r="T25" s="485"/>
      <c r="U25" s="485"/>
    </row>
    <row r="26" spans="1:21" ht="14.65" customHeight="1">
      <c r="A26" s="206"/>
      <c r="B26" s="485"/>
      <c r="C26" s="485"/>
      <c r="D26" s="485"/>
      <c r="E26" s="485"/>
      <c r="F26" s="485"/>
      <c r="G26" s="485"/>
      <c r="H26" s="485"/>
      <c r="I26" s="485"/>
      <c r="J26" s="485"/>
      <c r="K26" s="485"/>
      <c r="L26" s="485"/>
      <c r="M26" s="485"/>
      <c r="N26" s="485"/>
      <c r="O26" s="485"/>
      <c r="P26" s="485"/>
      <c r="Q26" s="485"/>
      <c r="R26" s="485"/>
      <c r="S26" s="485"/>
      <c r="T26" s="485"/>
      <c r="U26" s="485"/>
    </row>
    <row r="27" spans="1:21" ht="18" customHeight="1">
      <c r="A27" s="603" t="s">
        <v>424</v>
      </c>
      <c r="B27" s="604"/>
      <c r="C27" s="604"/>
      <c r="D27" s="604"/>
      <c r="E27" s="604"/>
      <c r="F27" s="604"/>
      <c r="G27" s="604"/>
      <c r="H27" s="604"/>
      <c r="I27" s="604"/>
      <c r="J27" s="605"/>
      <c r="K27" s="485"/>
      <c r="L27" s="485"/>
      <c r="M27" s="485"/>
      <c r="N27" s="485"/>
      <c r="O27" s="485"/>
      <c r="P27" s="485"/>
      <c r="Q27" s="485"/>
      <c r="R27" s="485"/>
      <c r="S27" s="485"/>
      <c r="T27" s="485"/>
      <c r="U27" s="485"/>
    </row>
    <row r="28" spans="1:21" ht="52.5" customHeight="1">
      <c r="A28" s="490" t="s">
        <v>407</v>
      </c>
      <c r="B28" s="490" t="s">
        <v>421</v>
      </c>
      <c r="C28" s="490" t="s">
        <v>425</v>
      </c>
      <c r="D28" s="490" t="s">
        <v>426</v>
      </c>
      <c r="E28" s="490" t="s">
        <v>427</v>
      </c>
      <c r="F28" s="490" t="s">
        <v>428</v>
      </c>
      <c r="G28" s="490" t="s">
        <v>429</v>
      </c>
      <c r="H28" s="490" t="s">
        <v>411</v>
      </c>
      <c r="I28" s="490" t="s">
        <v>430</v>
      </c>
      <c r="J28" s="490" t="s">
        <v>325</v>
      </c>
      <c r="K28" s="485"/>
      <c r="L28" s="485"/>
      <c r="M28" s="485"/>
      <c r="N28" s="485"/>
      <c r="O28" s="485"/>
      <c r="P28" s="485"/>
      <c r="Q28" s="485"/>
      <c r="R28" s="485"/>
      <c r="S28" s="485"/>
      <c r="T28" s="485"/>
      <c r="U28" s="485"/>
    </row>
    <row r="29" spans="1:21" ht="14.65" customHeight="1">
      <c r="A29" s="207" t="s">
        <v>423</v>
      </c>
      <c r="B29" s="204">
        <f>MAX(125,SUM(F9:F20))</f>
        <v>130.58999999999997</v>
      </c>
      <c r="C29" s="204">
        <f>B29*(B32-B33)*8.2877*1</f>
        <v>86583.259439999965</v>
      </c>
      <c r="D29" s="204">
        <f>C29*B34</f>
        <v>51949.955663999979</v>
      </c>
      <c r="E29" s="208">
        <f>D29/C3</f>
        <v>51949.955663999979</v>
      </c>
      <c r="F29" s="209">
        <f>B29*0.4*1</f>
        <v>52.23599999999999</v>
      </c>
      <c r="G29" s="204">
        <f>0.3+(27/F30)</f>
        <v>0.81688490696071692</v>
      </c>
      <c r="H29" s="204" t="s">
        <v>431</v>
      </c>
      <c r="I29" s="204">
        <f>0.0834*G29*F29</f>
        <v>3.5587447200000004</v>
      </c>
      <c r="J29" s="606"/>
      <c r="K29" s="485"/>
      <c r="L29" s="485"/>
      <c r="M29" s="485"/>
      <c r="N29" s="485"/>
      <c r="O29" s="485"/>
      <c r="P29" s="485"/>
      <c r="Q29" s="485"/>
      <c r="R29" s="485"/>
      <c r="S29" s="485"/>
      <c r="T29" s="485"/>
      <c r="U29" s="485"/>
    </row>
    <row r="30" spans="1:21" ht="14.65" customHeight="1">
      <c r="A30" s="210" t="s">
        <v>432</v>
      </c>
      <c r="B30" s="212">
        <f t="shared" ref="B30:G30" si="2">B29</f>
        <v>130.58999999999997</v>
      </c>
      <c r="C30" s="212">
        <f t="shared" si="2"/>
        <v>86583.259439999965</v>
      </c>
      <c r="D30" s="212">
        <f t="shared" si="2"/>
        <v>51949.955663999979</v>
      </c>
      <c r="E30" s="212">
        <f t="shared" si="2"/>
        <v>51949.955663999979</v>
      </c>
      <c r="F30" s="211">
        <f t="shared" si="2"/>
        <v>52.23599999999999</v>
      </c>
      <c r="G30" s="211">
        <f t="shared" si="2"/>
        <v>0.81688490696071692</v>
      </c>
      <c r="H30" s="211" t="s">
        <v>433</v>
      </c>
      <c r="I30" s="211" t="s">
        <v>433</v>
      </c>
      <c r="J30" s="607"/>
      <c r="K30" s="485"/>
      <c r="L30" s="485"/>
      <c r="M30" s="485"/>
      <c r="N30" s="485"/>
      <c r="O30" s="485"/>
      <c r="P30" s="485"/>
      <c r="Q30" s="485"/>
      <c r="R30" s="485"/>
      <c r="S30" s="485"/>
      <c r="T30" s="485"/>
      <c r="U30" s="485"/>
    </row>
    <row r="31" spans="1:21" ht="13.9" customHeight="1">
      <c r="A31" s="206"/>
      <c r="B31" s="485"/>
      <c r="C31" s="485"/>
      <c r="D31" s="485"/>
      <c r="E31" s="485"/>
      <c r="F31" s="485"/>
      <c r="G31" s="485"/>
      <c r="H31" s="485"/>
      <c r="I31" s="485"/>
      <c r="J31" s="485"/>
      <c r="K31" s="485"/>
      <c r="L31" s="485"/>
      <c r="M31" s="485"/>
      <c r="N31" s="485"/>
      <c r="O31" s="485"/>
      <c r="P31" s="485"/>
      <c r="Q31" s="485"/>
      <c r="R31" s="485"/>
      <c r="S31" s="485"/>
      <c r="T31" s="485"/>
      <c r="U31" s="485"/>
    </row>
    <row r="32" spans="1:21" ht="16.149999999999999" customHeight="1">
      <c r="A32" s="485" t="s">
        <v>434</v>
      </c>
      <c r="B32" s="485">
        <v>135</v>
      </c>
      <c r="C32" s="485" t="s">
        <v>435</v>
      </c>
      <c r="D32" s="485"/>
      <c r="E32" s="485"/>
      <c r="F32" s="485"/>
      <c r="G32" s="375"/>
      <c r="H32" s="485"/>
      <c r="I32" s="485"/>
      <c r="J32" s="485"/>
      <c r="K32" s="485"/>
      <c r="L32" s="485"/>
      <c r="M32" s="485"/>
      <c r="N32" s="485"/>
      <c r="O32" s="485"/>
      <c r="P32" s="485"/>
      <c r="Q32" s="485"/>
      <c r="R32" s="485"/>
      <c r="S32" s="485"/>
      <c r="T32" s="485"/>
      <c r="U32" s="485"/>
    </row>
    <row r="33" spans="1:21" ht="16.149999999999999" customHeight="1">
      <c r="A33" s="485" t="s">
        <v>436</v>
      </c>
      <c r="B33" s="485">
        <v>55</v>
      </c>
      <c r="C33" s="485" t="s">
        <v>437</v>
      </c>
      <c r="D33" s="485"/>
      <c r="E33" s="485"/>
      <c r="F33" s="485"/>
      <c r="G33" s="485"/>
      <c r="H33" s="485"/>
      <c r="I33" s="485"/>
      <c r="J33" s="485"/>
      <c r="K33" s="485"/>
      <c r="L33" s="485"/>
      <c r="M33" s="485"/>
      <c r="N33" s="485"/>
      <c r="O33" s="485"/>
      <c r="P33" s="485"/>
      <c r="Q33" s="485"/>
      <c r="R33" s="485"/>
      <c r="S33" s="485"/>
      <c r="T33" s="485"/>
      <c r="U33" s="485"/>
    </row>
    <row r="34" spans="1:21" ht="16.149999999999999" customHeight="1">
      <c r="A34" s="213" t="s">
        <v>438</v>
      </c>
      <c r="B34" s="485">
        <v>0.6</v>
      </c>
      <c r="C34" s="485" t="s">
        <v>437</v>
      </c>
      <c r="D34" s="485"/>
      <c r="E34" s="485"/>
      <c r="F34" s="485"/>
      <c r="G34" s="485"/>
      <c r="H34" s="485"/>
      <c r="I34" s="485"/>
      <c r="J34" s="485"/>
      <c r="K34" s="485"/>
      <c r="L34" s="485"/>
      <c r="M34" s="485"/>
      <c r="N34" s="485"/>
      <c r="O34" s="485"/>
      <c r="P34" s="485"/>
      <c r="Q34" s="485"/>
      <c r="R34" s="485"/>
      <c r="S34" s="485"/>
      <c r="T34" s="485"/>
      <c r="U34" s="485"/>
    </row>
    <row r="35" spans="1:21" ht="16.149999999999999" customHeight="1">
      <c r="A35" s="485" t="s">
        <v>439</v>
      </c>
      <c r="B35" s="485">
        <v>0.4</v>
      </c>
      <c r="C35" s="485"/>
      <c r="D35" s="485"/>
      <c r="E35" s="485"/>
      <c r="F35" s="485"/>
      <c r="G35" s="485"/>
      <c r="H35" s="485"/>
      <c r="I35" s="485"/>
      <c r="J35" s="485"/>
      <c r="K35" s="485"/>
      <c r="L35" s="485"/>
      <c r="M35" s="485"/>
      <c r="N35" s="485"/>
      <c r="O35" s="485"/>
      <c r="P35" s="485"/>
      <c r="Q35" s="485"/>
      <c r="R35" s="485"/>
      <c r="S35" s="485"/>
      <c r="T35" s="485"/>
      <c r="U35" s="485"/>
    </row>
    <row r="36" spans="1:21" ht="16.149999999999999" customHeight="1">
      <c r="A36" s="718" t="s">
        <v>440</v>
      </c>
      <c r="B36" s="718"/>
      <c r="C36" s="718"/>
      <c r="D36" s="718"/>
      <c r="E36" s="718"/>
      <c r="F36" s="718"/>
      <c r="G36" s="718"/>
      <c r="H36" s="718"/>
      <c r="I36" s="718"/>
      <c r="J36" s="718"/>
      <c r="K36" s="485"/>
      <c r="L36" s="485"/>
      <c r="M36" s="485"/>
      <c r="N36" s="485"/>
      <c r="O36" s="485"/>
      <c r="P36" s="485"/>
      <c r="Q36" s="485"/>
      <c r="R36" s="485"/>
      <c r="S36" s="485"/>
      <c r="T36" s="485"/>
      <c r="U36" s="485"/>
    </row>
    <row r="37" spans="1:21" ht="16.149999999999999" customHeight="1">
      <c r="A37" s="213" t="s">
        <v>441</v>
      </c>
      <c r="B37" s="485"/>
      <c r="C37" s="485"/>
      <c r="D37" s="485"/>
      <c r="E37" s="485"/>
      <c r="F37" s="485"/>
      <c r="G37" s="485"/>
      <c r="H37" s="485"/>
      <c r="I37" s="485"/>
      <c r="J37" s="485"/>
      <c r="K37" s="485"/>
      <c r="L37" s="485"/>
      <c r="M37" s="485"/>
      <c r="N37" s="485"/>
      <c r="O37" s="485"/>
      <c r="P37" s="485"/>
      <c r="Q37" s="485"/>
      <c r="R37" s="485"/>
      <c r="S37" s="485"/>
      <c r="T37" s="485"/>
      <c r="U37" s="485"/>
    </row>
    <row r="38" spans="1:21" ht="16.149999999999999" customHeight="1">
      <c r="A38" s="213" t="s">
        <v>442</v>
      </c>
      <c r="B38" s="485">
        <v>68</v>
      </c>
      <c r="C38" s="485"/>
      <c r="D38" s="485"/>
      <c r="E38" s="485"/>
      <c r="F38" s="485"/>
      <c r="G38" s="485"/>
      <c r="H38" s="485"/>
      <c r="I38" s="485"/>
      <c r="J38" s="485"/>
      <c r="K38" s="485"/>
      <c r="L38" s="485"/>
      <c r="M38" s="485"/>
      <c r="N38" s="485"/>
      <c r="O38" s="485"/>
      <c r="P38" s="485"/>
      <c r="Q38" s="485"/>
      <c r="R38" s="485"/>
      <c r="S38" s="485"/>
      <c r="T38" s="485"/>
      <c r="U38" s="485"/>
    </row>
    <row r="39" spans="1:21" ht="16.149999999999999" customHeight="1">
      <c r="A39" s="213" t="s">
        <v>443</v>
      </c>
      <c r="B39" s="485">
        <v>67</v>
      </c>
      <c r="C39" s="485"/>
      <c r="D39" s="485"/>
      <c r="E39" s="485"/>
      <c r="F39" s="485"/>
      <c r="G39" s="485"/>
      <c r="H39" s="485"/>
      <c r="I39" s="485"/>
      <c r="J39" s="485"/>
      <c r="K39" s="485"/>
      <c r="L39" s="485"/>
      <c r="M39" s="485"/>
      <c r="N39" s="485"/>
      <c r="O39" s="485"/>
      <c r="P39" s="485"/>
      <c r="Q39" s="485"/>
      <c r="R39" s="485"/>
      <c r="S39" s="485"/>
      <c r="T39" s="485"/>
      <c r="U39" s="485"/>
    </row>
    <row r="40" spans="1:21" ht="16.149999999999999" customHeight="1">
      <c r="A40" s="213" t="s">
        <v>444</v>
      </c>
      <c r="B40" s="213"/>
      <c r="C40" s="485"/>
      <c r="D40" s="485"/>
      <c r="E40" s="485"/>
      <c r="F40" s="485"/>
      <c r="G40" s="485"/>
      <c r="H40" s="485"/>
      <c r="I40" s="485"/>
      <c r="J40" s="485"/>
      <c r="K40" s="485"/>
      <c r="L40" s="485"/>
      <c r="M40" s="485"/>
      <c r="N40" s="485"/>
      <c r="O40" s="485"/>
      <c r="P40" s="485"/>
      <c r="Q40" s="485"/>
      <c r="R40" s="485"/>
      <c r="S40" s="485"/>
      <c r="T40" s="485"/>
      <c r="U40" s="485"/>
    </row>
    <row r="41" spans="1:21" ht="16.149999999999999" customHeight="1">
      <c r="A41" s="213"/>
      <c r="B41" s="485"/>
      <c r="C41" s="485"/>
      <c r="D41" s="485"/>
      <c r="E41" s="485"/>
      <c r="F41" s="485"/>
      <c r="G41" s="485"/>
      <c r="H41" s="485"/>
      <c r="I41" s="485"/>
      <c r="J41" s="485"/>
      <c r="K41" s="485"/>
      <c r="L41" s="485"/>
      <c r="M41" s="485"/>
      <c r="N41" s="485"/>
      <c r="O41" s="485"/>
      <c r="P41" s="485"/>
      <c r="Q41" s="485"/>
      <c r="R41" s="485"/>
      <c r="S41" s="485"/>
      <c r="T41" s="485"/>
      <c r="U41" s="485"/>
    </row>
    <row r="42" spans="1:21" ht="16.149999999999999" customHeight="1">
      <c r="A42" s="213"/>
      <c r="B42" s="485"/>
      <c r="C42" s="485"/>
      <c r="D42" s="485"/>
      <c r="E42" s="485"/>
      <c r="F42" s="485"/>
      <c r="G42" s="485"/>
      <c r="H42" s="485"/>
      <c r="I42" s="485"/>
      <c r="J42" s="485"/>
      <c r="K42" s="485"/>
      <c r="L42" s="485"/>
      <c r="M42" s="485"/>
      <c r="N42" s="485"/>
      <c r="O42" s="485"/>
      <c r="P42" s="485"/>
      <c r="Q42" s="485"/>
      <c r="R42" s="485"/>
      <c r="S42" s="485"/>
      <c r="T42" s="485"/>
      <c r="U42" s="485"/>
    </row>
    <row r="43" spans="1:21" ht="16.149999999999999" customHeight="1">
      <c r="A43" s="213"/>
      <c r="B43" s="485"/>
      <c r="C43" s="485"/>
      <c r="D43" s="485"/>
      <c r="E43" s="485"/>
      <c r="F43" s="485"/>
      <c r="G43" s="485"/>
      <c r="H43" s="485"/>
      <c r="I43" s="485"/>
      <c r="J43" s="485"/>
      <c r="K43" s="485"/>
      <c r="L43" s="485"/>
      <c r="M43" s="485"/>
      <c r="N43" s="485"/>
      <c r="O43" s="485"/>
      <c r="P43" s="485"/>
      <c r="Q43" s="485"/>
      <c r="R43" s="485"/>
      <c r="S43" s="485"/>
      <c r="T43" s="485"/>
      <c r="U43" s="485"/>
    </row>
    <row r="44" spans="1:21" ht="16.149999999999999" customHeight="1"/>
    <row r="45" spans="1:21" ht="16.149999999999999" customHeight="1"/>
    <row r="46" spans="1:21" ht="16.149999999999999" customHeight="1"/>
    <row r="47" spans="1:21" ht="16.149999999999999" customHeight="1"/>
    <row r="48" spans="1:21" ht="16.149999999999999" customHeight="1"/>
    <row r="49" spans="1:7" ht="16.149999999999999" customHeight="1"/>
    <row r="50" spans="1:7" ht="16.149999999999999" customHeight="1">
      <c r="A50" s="474"/>
      <c r="B50" s="474"/>
      <c r="C50" s="474"/>
    </row>
    <row r="51" spans="1:7" s="21" customFormat="1">
      <c r="A51" s="21" t="s">
        <v>37</v>
      </c>
      <c r="E51" s="22"/>
      <c r="F51" s="23"/>
      <c r="G51" s="24"/>
    </row>
    <row r="53" spans="1:7">
      <c r="A53" s="3" t="s">
        <v>445</v>
      </c>
    </row>
  </sheetData>
  <mergeCells count="6">
    <mergeCell ref="A1:G1"/>
    <mergeCell ref="A36:J36"/>
    <mergeCell ref="G3:G4"/>
    <mergeCell ref="A7:G7"/>
    <mergeCell ref="A27:J27"/>
    <mergeCell ref="J29:J3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28"/>
  <sheetViews>
    <sheetView zoomScaleNormal="100" workbookViewId="0">
      <selection sqref="A1:G1"/>
    </sheetView>
  </sheetViews>
  <sheetFormatPr defaultColWidth="8.7109375" defaultRowHeight="13.15"/>
  <cols>
    <col min="1" max="1" width="41.140625" style="3" customWidth="1"/>
    <col min="2" max="2" width="19.7109375" style="3" customWidth="1"/>
    <col min="3" max="3" width="23.28515625" style="3" customWidth="1"/>
    <col min="4" max="4" width="21.42578125" style="3" bestFit="1" customWidth="1"/>
    <col min="5" max="5" width="20" style="3" customWidth="1"/>
    <col min="6" max="6" width="22.140625" style="3" customWidth="1"/>
    <col min="7" max="7" width="27.7109375" style="3" customWidth="1"/>
    <col min="8" max="8" width="24" style="3" customWidth="1"/>
    <col min="9" max="9" width="10.5703125" style="3" customWidth="1"/>
    <col min="10" max="10" width="11.42578125" style="3" customWidth="1"/>
    <col min="11" max="11" width="10.5703125" style="3" customWidth="1"/>
    <col min="12" max="12" width="13.28515625" style="3" customWidth="1"/>
    <col min="13" max="13" width="9.7109375" style="3" customWidth="1"/>
    <col min="14" max="14" width="9.42578125" style="3" customWidth="1"/>
    <col min="15" max="15" width="12.7109375" style="3" customWidth="1"/>
    <col min="16" max="16" width="14.7109375" style="3" customWidth="1"/>
    <col min="17" max="17" width="20.7109375" style="3" customWidth="1"/>
    <col min="18" max="18" width="19.7109375" style="3" customWidth="1"/>
    <col min="19" max="24" width="8.7109375" style="3"/>
    <col min="25" max="25" width="13.7109375" style="3" bestFit="1" customWidth="1"/>
    <col min="26" max="16384" width="8.7109375" style="3"/>
  </cols>
  <sheetData>
    <row r="1" spans="1:14" ht="25.9" customHeight="1">
      <c r="A1" s="611" t="str">
        <f>"Interior Lighting - "&amp;Prototype!A2</f>
        <v>Interior Lighting - RetailGrocery</v>
      </c>
      <c r="B1" s="590"/>
      <c r="C1" s="590"/>
      <c r="D1" s="590"/>
      <c r="E1" s="590"/>
      <c r="F1" s="590"/>
      <c r="G1" s="590"/>
      <c r="H1" s="145"/>
      <c r="I1" s="145"/>
      <c r="J1" s="145"/>
      <c r="K1" s="145"/>
      <c r="L1" s="145"/>
      <c r="M1" s="145"/>
      <c r="N1" s="145"/>
    </row>
    <row r="2" spans="1:14" ht="18" customHeight="1">
      <c r="A2" s="608" t="s">
        <v>98</v>
      </c>
      <c r="B2" s="609" t="s">
        <v>446</v>
      </c>
      <c r="C2" s="609"/>
      <c r="D2" s="609"/>
      <c r="E2" s="609" t="s">
        <v>353</v>
      </c>
      <c r="F2" s="609"/>
      <c r="G2" s="609"/>
    </row>
    <row r="3" spans="1:14" ht="30.6" customHeight="1">
      <c r="A3" s="608"/>
      <c r="B3" s="488" t="s">
        <v>447</v>
      </c>
      <c r="C3" s="488" t="s">
        <v>448</v>
      </c>
      <c r="D3" s="488" t="s">
        <v>325</v>
      </c>
      <c r="E3" s="488" t="s">
        <v>449</v>
      </c>
      <c r="F3" s="488" t="s">
        <v>448</v>
      </c>
      <c r="G3" s="488" t="s">
        <v>325</v>
      </c>
    </row>
    <row r="4" spans="1:14" ht="18" customHeight="1">
      <c r="A4" s="489" t="s">
        <v>114</v>
      </c>
      <c r="B4" s="489">
        <v>1</v>
      </c>
      <c r="C4" s="297"/>
      <c r="D4" s="610" t="s">
        <v>450</v>
      </c>
      <c r="E4" s="489">
        <v>1.2</v>
      </c>
      <c r="F4" s="81"/>
      <c r="G4" s="610" t="s">
        <v>451</v>
      </c>
    </row>
    <row r="5" spans="1:14" ht="16.149999999999999" customHeight="1">
      <c r="A5" s="489" t="s">
        <v>146</v>
      </c>
      <c r="B5" s="489">
        <v>0.55000000000000004</v>
      </c>
      <c r="C5" s="489"/>
      <c r="D5" s="610"/>
      <c r="E5" s="489">
        <v>0.9</v>
      </c>
      <c r="F5" s="81"/>
      <c r="G5" s="610"/>
    </row>
    <row r="6" spans="1:14" ht="16.149999999999999" customHeight="1">
      <c r="A6" s="489" t="s">
        <v>153</v>
      </c>
      <c r="B6" s="489">
        <v>0.4</v>
      </c>
      <c r="C6" s="489"/>
      <c r="D6" s="610"/>
      <c r="E6" s="489">
        <v>0.6</v>
      </c>
      <c r="F6" s="81"/>
      <c r="G6" s="610"/>
    </row>
    <row r="7" spans="1:14" ht="16.149999999999999" customHeight="1">
      <c r="A7" s="489" t="s">
        <v>160</v>
      </c>
      <c r="B7" s="489">
        <v>0.4</v>
      </c>
      <c r="C7" s="489"/>
      <c r="D7" s="610"/>
      <c r="E7" s="489">
        <v>0.7</v>
      </c>
      <c r="F7" s="81"/>
      <c r="G7" s="610"/>
    </row>
    <row r="8" spans="1:14" ht="16.149999999999999" customHeight="1">
      <c r="A8" s="489" t="s">
        <v>452</v>
      </c>
      <c r="B8" s="489">
        <v>0.4</v>
      </c>
      <c r="C8" s="489"/>
      <c r="D8" s="610"/>
      <c r="E8" s="489">
        <v>0.6</v>
      </c>
      <c r="F8" s="81"/>
      <c r="G8" s="610"/>
    </row>
    <row r="9" spans="1:14" ht="13.15" customHeight="1">
      <c r="B9" s="18"/>
      <c r="C9" s="18"/>
      <c r="D9" s="18"/>
    </row>
    <row r="10" spans="1:14" ht="13.15" customHeight="1">
      <c r="B10" s="18"/>
      <c r="C10" s="18"/>
      <c r="D10" s="18"/>
    </row>
    <row r="11" spans="1:14" ht="13.15" customHeight="1">
      <c r="B11" s="18"/>
      <c r="C11" s="18"/>
      <c r="D11" s="18"/>
    </row>
    <row r="12" spans="1:14" ht="12.6" customHeight="1">
      <c r="B12" s="18"/>
      <c r="C12" s="18"/>
      <c r="D12" s="18"/>
    </row>
    <row r="13" spans="1:14" s="21" customFormat="1" hidden="1">
      <c r="A13" s="21" t="s">
        <v>37</v>
      </c>
      <c r="E13" s="24"/>
    </row>
    <row r="14" spans="1:14" ht="17.649999999999999" hidden="1" customHeight="1"/>
    <row r="15" spans="1:14" hidden="1"/>
    <row r="16" spans="1:14" hidden="1">
      <c r="A16" s="3">
        <v>2016</v>
      </c>
    </row>
    <row r="17" spans="1:1" ht="14.45" hidden="1">
      <c r="A17" t="s">
        <v>453</v>
      </c>
    </row>
    <row r="18" spans="1:1" ht="14.45" hidden="1">
      <c r="A18" t="s">
        <v>454</v>
      </c>
    </row>
    <row r="19" spans="1:1" hidden="1"/>
    <row r="20" spans="1:1" hidden="1"/>
    <row r="21" spans="1:1" hidden="1"/>
    <row r="22" spans="1:1" hidden="1"/>
    <row r="23" spans="1:1" hidden="1"/>
    <row r="24" spans="1:1" hidden="1"/>
    <row r="25" spans="1:1" hidden="1"/>
    <row r="26" spans="1:1" hidden="1"/>
    <row r="27" spans="1:1" hidden="1"/>
    <row r="28" spans="1:1" hidden="1"/>
  </sheetData>
  <mergeCells count="6">
    <mergeCell ref="A2:A3"/>
    <mergeCell ref="B2:D2"/>
    <mergeCell ref="E2:G2"/>
    <mergeCell ref="D4:D8"/>
    <mergeCell ref="A1:G1"/>
    <mergeCell ref="G4:G8"/>
  </mergeCells>
  <phoneticPr fontId="5"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T90"/>
  <sheetViews>
    <sheetView workbookViewId="0">
      <selection sqref="A1:D1"/>
    </sheetView>
  </sheetViews>
  <sheetFormatPr defaultColWidth="8.7109375" defaultRowHeight="12.75" customHeight="1"/>
  <cols>
    <col min="1" max="1" width="46.42578125" style="3" customWidth="1"/>
    <col min="2" max="2" width="31.28515625" style="3" customWidth="1"/>
    <col min="3" max="3" width="32.7109375" style="3" customWidth="1"/>
    <col min="4" max="4" width="41.42578125" style="3" customWidth="1"/>
    <col min="5" max="5" width="23.42578125" style="3" customWidth="1"/>
    <col min="6" max="6" width="16.42578125" style="3" customWidth="1"/>
    <col min="7" max="7" width="30.7109375" style="3" customWidth="1"/>
    <col min="8" max="8" width="22.28515625" style="3" customWidth="1"/>
    <col min="9" max="9" width="20.85546875" style="3" customWidth="1"/>
    <col min="10" max="10" width="16.42578125" style="3" customWidth="1"/>
    <col min="11" max="11" width="13.5703125" style="3" customWidth="1"/>
    <col min="12" max="12" width="14.7109375" style="3" customWidth="1"/>
    <col min="13" max="13" width="18.5703125" style="3" customWidth="1"/>
    <col min="14" max="14" width="8.7109375" style="3"/>
    <col min="15" max="15" width="15" style="3" customWidth="1"/>
    <col min="16" max="16" width="14.140625" style="3" customWidth="1"/>
    <col min="17" max="19" width="8.7109375" style="3"/>
    <col min="20" max="20" width="33.42578125" style="3" customWidth="1"/>
    <col min="21" max="16384" width="8.7109375" style="3"/>
  </cols>
  <sheetData>
    <row r="1" spans="1:20" ht="23.45" customHeight="1">
      <c r="A1" s="612" t="str">
        <f>"Equipment - "&amp;Prototype!A2</f>
        <v>Equipment - RetailGrocery</v>
      </c>
      <c r="B1" s="613"/>
      <c r="C1" s="613"/>
      <c r="D1" s="613"/>
    </row>
    <row r="2" spans="1:20" ht="21" customHeight="1">
      <c r="A2" s="348" t="s">
        <v>98</v>
      </c>
      <c r="B2" s="215" t="s">
        <v>455</v>
      </c>
      <c r="C2" s="215" t="s">
        <v>325</v>
      </c>
      <c r="D2" s="491" t="s">
        <v>259</v>
      </c>
    </row>
    <row r="3" spans="1:20" ht="31.15" customHeight="1">
      <c r="A3" s="539" t="s">
        <v>114</v>
      </c>
      <c r="B3" s="293">
        <v>0.4</v>
      </c>
      <c r="C3" s="614" t="s">
        <v>456</v>
      </c>
      <c r="D3" s="295" t="s">
        <v>457</v>
      </c>
    </row>
    <row r="4" spans="1:20" ht="18" customHeight="1">
      <c r="A4" s="539" t="s">
        <v>146</v>
      </c>
      <c r="B4" s="294">
        <v>1</v>
      </c>
      <c r="C4" s="614"/>
      <c r="D4" s="277"/>
      <c r="E4" s="69"/>
    </row>
    <row r="5" spans="1:20" ht="18" customHeight="1">
      <c r="A5" s="539" t="s">
        <v>153</v>
      </c>
      <c r="B5" s="294">
        <v>0.2</v>
      </c>
      <c r="C5" s="614"/>
      <c r="D5" s="277"/>
      <c r="E5" s="69"/>
    </row>
    <row r="6" spans="1:20" ht="18" customHeight="1">
      <c r="A6" s="539" t="s">
        <v>160</v>
      </c>
      <c r="B6" s="294">
        <v>0.2</v>
      </c>
      <c r="C6" s="614"/>
      <c r="D6" s="277"/>
      <c r="E6" s="69"/>
    </row>
    <row r="7" spans="1:20" ht="18" customHeight="1">
      <c r="A7" s="539" t="s">
        <v>452</v>
      </c>
      <c r="B7" s="294">
        <v>0.2</v>
      </c>
      <c r="C7" s="614"/>
      <c r="D7" s="277"/>
      <c r="E7" s="69"/>
    </row>
    <row r="8" spans="1:20" ht="18" customHeight="1">
      <c r="A8" s="494"/>
      <c r="B8" s="494"/>
      <c r="C8" s="5"/>
      <c r="D8" s="476"/>
      <c r="E8" s="16"/>
    </row>
    <row r="9" spans="1:20" ht="18" customHeight="1">
      <c r="A9" s="615" t="s">
        <v>458</v>
      </c>
      <c r="B9" s="616"/>
      <c r="C9" s="616"/>
      <c r="D9" s="616"/>
      <c r="E9" s="616"/>
      <c r="F9" s="616"/>
      <c r="G9" s="616"/>
      <c r="H9" s="616"/>
      <c r="I9" s="616"/>
      <c r="J9" s="616"/>
      <c r="K9" s="616"/>
      <c r="L9" s="616"/>
      <c r="M9" s="617"/>
    </row>
    <row r="10" spans="1:20" ht="1.1499999999999999" customHeight="1">
      <c r="M10" s="522"/>
      <c r="N10" s="523"/>
      <c r="O10" s="2"/>
      <c r="P10" s="2"/>
      <c r="Q10" s="2"/>
      <c r="R10" s="2"/>
      <c r="S10" s="2"/>
      <c r="T10" s="2"/>
    </row>
    <row r="11" spans="1:20" ht="18" customHeight="1">
      <c r="A11" s="524" t="s">
        <v>459</v>
      </c>
      <c r="B11" s="525" t="s">
        <v>460</v>
      </c>
      <c r="C11" s="525" t="s">
        <v>461</v>
      </c>
      <c r="D11" s="525" t="s">
        <v>462</v>
      </c>
      <c r="E11" s="525" t="s">
        <v>463</v>
      </c>
      <c r="F11" s="525" t="s">
        <v>464</v>
      </c>
      <c r="G11" s="525" t="s">
        <v>465</v>
      </c>
      <c r="H11" s="525" t="s">
        <v>466</v>
      </c>
      <c r="I11" s="525" t="s">
        <v>467</v>
      </c>
      <c r="J11" s="525" t="s">
        <v>468</v>
      </c>
      <c r="K11" s="525" t="s">
        <v>469</v>
      </c>
      <c r="L11" s="525" t="s">
        <v>470</v>
      </c>
      <c r="M11" s="526" t="s">
        <v>389</v>
      </c>
      <c r="N11" s="527"/>
      <c r="O11" s="527"/>
      <c r="P11" s="527"/>
      <c r="Q11" s="527"/>
      <c r="R11" s="527"/>
      <c r="S11" s="527"/>
      <c r="T11" s="527"/>
    </row>
    <row r="12" spans="1:20" ht="18" customHeight="1">
      <c r="A12" s="528" t="s">
        <v>210</v>
      </c>
      <c r="B12" s="529" t="s">
        <v>211</v>
      </c>
      <c r="C12" s="529" t="s">
        <v>212</v>
      </c>
      <c r="D12" s="529" t="s">
        <v>213</v>
      </c>
      <c r="E12" s="529" t="s">
        <v>214</v>
      </c>
      <c r="F12" s="529" t="s">
        <v>215</v>
      </c>
      <c r="G12" s="529" t="s">
        <v>471</v>
      </c>
      <c r="H12" s="529" t="s">
        <v>472</v>
      </c>
      <c r="I12" s="529" t="s">
        <v>473</v>
      </c>
      <c r="J12" s="529" t="s">
        <v>474</v>
      </c>
      <c r="K12" s="529">
        <v>3500</v>
      </c>
      <c r="L12" s="529"/>
      <c r="M12" s="530" t="s">
        <v>475</v>
      </c>
      <c r="N12" s="474"/>
      <c r="O12" s="474"/>
      <c r="P12" s="2"/>
      <c r="Q12" s="2"/>
      <c r="R12" s="2"/>
      <c r="S12" s="2"/>
      <c r="T12" s="2"/>
    </row>
    <row r="13" spans="1:20" ht="18" customHeight="1">
      <c r="A13" s="531" t="s">
        <v>216</v>
      </c>
      <c r="B13" s="532" t="s">
        <v>217</v>
      </c>
      <c r="C13" s="532" t="s">
        <v>218</v>
      </c>
      <c r="D13" s="532" t="s">
        <v>213</v>
      </c>
      <c r="E13" s="532" t="s">
        <v>219</v>
      </c>
      <c r="F13" s="532" t="s">
        <v>220</v>
      </c>
      <c r="G13" s="532" t="s">
        <v>471</v>
      </c>
      <c r="H13" s="532" t="s">
        <v>472</v>
      </c>
      <c r="I13" s="532" t="s">
        <v>476</v>
      </c>
      <c r="J13" s="532" t="s">
        <v>474</v>
      </c>
      <c r="K13" s="532">
        <v>2000</v>
      </c>
      <c r="L13" s="532"/>
      <c r="M13" s="533" t="s">
        <v>477</v>
      </c>
      <c r="N13" s="474"/>
      <c r="O13" s="474"/>
      <c r="P13" s="2"/>
      <c r="Q13" s="2"/>
      <c r="R13" s="2"/>
      <c r="S13" s="2"/>
      <c r="T13" s="2"/>
    </row>
    <row r="14" spans="1:20" ht="18" customHeight="1">
      <c r="A14" s="531" t="s">
        <v>221</v>
      </c>
      <c r="B14" s="532" t="s">
        <v>222</v>
      </c>
      <c r="C14" s="532" t="s">
        <v>223</v>
      </c>
      <c r="D14" s="532" t="s">
        <v>213</v>
      </c>
      <c r="E14" s="532" t="s">
        <v>214</v>
      </c>
      <c r="F14" s="532" t="s">
        <v>224</v>
      </c>
      <c r="G14" s="532" t="s">
        <v>471</v>
      </c>
      <c r="H14" s="532" t="s">
        <v>472</v>
      </c>
      <c r="I14" s="532" t="s">
        <v>478</v>
      </c>
      <c r="J14" s="532" t="s">
        <v>474</v>
      </c>
      <c r="K14" s="532">
        <v>3800</v>
      </c>
      <c r="L14" s="532"/>
      <c r="M14" s="533" t="s">
        <v>479</v>
      </c>
      <c r="N14" s="2"/>
      <c r="O14" s="2"/>
      <c r="P14" s="2"/>
      <c r="Q14" s="2"/>
      <c r="R14" s="2"/>
      <c r="S14" s="2"/>
      <c r="T14" s="2"/>
    </row>
    <row r="15" spans="1:20" ht="18" customHeight="1">
      <c r="A15" s="531" t="s">
        <v>225</v>
      </c>
      <c r="B15" s="532" t="s">
        <v>226</v>
      </c>
      <c r="C15" s="532" t="s">
        <v>227</v>
      </c>
      <c r="D15" s="532" t="s">
        <v>213</v>
      </c>
      <c r="E15" s="532" t="s">
        <v>228</v>
      </c>
      <c r="F15" s="532" t="s">
        <v>220</v>
      </c>
      <c r="G15" s="532" t="s">
        <v>471</v>
      </c>
      <c r="H15" s="532" t="s">
        <v>472</v>
      </c>
      <c r="I15" s="532" t="s">
        <v>480</v>
      </c>
      <c r="J15" s="532" t="s">
        <v>474</v>
      </c>
      <c r="K15" s="532">
        <v>2500</v>
      </c>
      <c r="L15" s="532"/>
      <c r="M15" s="533" t="s">
        <v>481</v>
      </c>
      <c r="N15" s="2"/>
      <c r="O15" s="2"/>
      <c r="P15" s="2"/>
      <c r="Q15" s="2"/>
      <c r="R15" s="2"/>
      <c r="S15" s="2"/>
      <c r="T15" s="2"/>
    </row>
    <row r="16" spans="1:20" ht="18" customHeight="1">
      <c r="A16" s="531" t="s">
        <v>149</v>
      </c>
      <c r="B16" s="532" t="s">
        <v>229</v>
      </c>
      <c r="C16" s="532" t="s">
        <v>230</v>
      </c>
      <c r="D16" s="532" t="s">
        <v>231</v>
      </c>
      <c r="E16" s="532" t="s">
        <v>232</v>
      </c>
      <c r="F16" s="532" t="s">
        <v>233</v>
      </c>
      <c r="G16" s="532" t="s">
        <v>471</v>
      </c>
      <c r="H16" s="532" t="s">
        <v>472</v>
      </c>
      <c r="I16" s="532" t="s">
        <v>482</v>
      </c>
      <c r="J16" s="532" t="s">
        <v>415</v>
      </c>
      <c r="K16" s="532">
        <v>4200</v>
      </c>
      <c r="L16" s="532">
        <v>400</v>
      </c>
      <c r="M16" s="533" t="s">
        <v>483</v>
      </c>
      <c r="N16" s="2"/>
      <c r="O16" s="2"/>
      <c r="P16" s="2"/>
      <c r="Q16" s="2"/>
      <c r="R16" s="2"/>
      <c r="S16" s="2"/>
      <c r="T16" s="2"/>
    </row>
    <row r="17" spans="1:20" ht="18" customHeight="1">
      <c r="A17" s="531" t="s">
        <v>234</v>
      </c>
      <c r="B17" s="532" t="s">
        <v>235</v>
      </c>
      <c r="C17" s="532" t="s">
        <v>230</v>
      </c>
      <c r="D17" s="532" t="s">
        <v>231</v>
      </c>
      <c r="E17" s="532" t="s">
        <v>236</v>
      </c>
      <c r="F17" s="532" t="s">
        <v>237</v>
      </c>
      <c r="G17" s="532" t="s">
        <v>484</v>
      </c>
      <c r="H17" s="532" t="s">
        <v>472</v>
      </c>
      <c r="I17" s="532" t="s">
        <v>478</v>
      </c>
      <c r="J17" s="532" t="s">
        <v>415</v>
      </c>
      <c r="K17" s="532">
        <v>4500</v>
      </c>
      <c r="L17" s="532">
        <v>450</v>
      </c>
      <c r="M17" s="533" t="s">
        <v>485</v>
      </c>
      <c r="N17" s="2"/>
      <c r="O17" s="2"/>
      <c r="P17" s="2"/>
      <c r="Q17" s="2"/>
      <c r="R17" s="2"/>
      <c r="S17" s="2"/>
      <c r="T17" s="2"/>
    </row>
    <row r="18" spans="1:20" ht="18" customHeight="1">
      <c r="A18" s="531" t="s">
        <v>238</v>
      </c>
      <c r="B18" s="532" t="s">
        <v>239</v>
      </c>
      <c r="C18" s="532" t="s">
        <v>240</v>
      </c>
      <c r="D18" s="532" t="s">
        <v>231</v>
      </c>
      <c r="E18" s="532" t="s">
        <v>241</v>
      </c>
      <c r="F18" s="532" t="s">
        <v>215</v>
      </c>
      <c r="G18" s="532" t="s">
        <v>471</v>
      </c>
      <c r="H18" s="532" t="s">
        <v>486</v>
      </c>
      <c r="I18" s="532" t="s">
        <v>487</v>
      </c>
      <c r="J18" s="532" t="s">
        <v>474</v>
      </c>
      <c r="K18" s="532">
        <v>2800</v>
      </c>
      <c r="L18" s="532"/>
      <c r="M18" s="533" t="s">
        <v>488</v>
      </c>
      <c r="N18" s="2"/>
      <c r="O18" s="2"/>
      <c r="P18" s="2"/>
      <c r="Q18" s="2"/>
      <c r="R18" s="2"/>
      <c r="S18" s="2"/>
      <c r="T18" s="2"/>
    </row>
    <row r="19" spans="1:20" ht="18" customHeight="1">
      <c r="A19" s="531" t="s">
        <v>242</v>
      </c>
      <c r="B19" s="532" t="s">
        <v>243</v>
      </c>
      <c r="C19" s="532" t="s">
        <v>240</v>
      </c>
      <c r="D19" s="532" t="s">
        <v>231</v>
      </c>
      <c r="E19" s="532" t="s">
        <v>244</v>
      </c>
      <c r="F19" s="532" t="s">
        <v>237</v>
      </c>
      <c r="G19" s="532" t="s">
        <v>471</v>
      </c>
      <c r="H19" s="532" t="s">
        <v>486</v>
      </c>
      <c r="I19" s="532" t="s">
        <v>487</v>
      </c>
      <c r="J19" s="532" t="s">
        <v>415</v>
      </c>
      <c r="K19" s="532">
        <v>4800</v>
      </c>
      <c r="L19" s="532"/>
      <c r="M19" s="533" t="s">
        <v>489</v>
      </c>
      <c r="N19" s="2"/>
      <c r="O19" s="2"/>
      <c r="P19" s="2"/>
      <c r="Q19" s="2"/>
      <c r="R19" s="2"/>
      <c r="S19" s="2"/>
      <c r="T19" s="2"/>
    </row>
    <row r="20" spans="1:20" ht="18" customHeight="1">
      <c r="A20" s="531" t="s">
        <v>245</v>
      </c>
      <c r="B20" s="532" t="s">
        <v>246</v>
      </c>
      <c r="C20" s="532" t="s">
        <v>247</v>
      </c>
      <c r="D20" s="532" t="s">
        <v>213</v>
      </c>
      <c r="E20" s="532" t="s">
        <v>248</v>
      </c>
      <c r="F20" s="532" t="s">
        <v>215</v>
      </c>
      <c r="G20" s="532" t="s">
        <v>471</v>
      </c>
      <c r="H20" s="532" t="s">
        <v>472</v>
      </c>
      <c r="I20" s="532" t="s">
        <v>490</v>
      </c>
      <c r="J20" s="532" t="s">
        <v>474</v>
      </c>
      <c r="K20" s="532">
        <v>2200</v>
      </c>
      <c r="L20" s="532"/>
      <c r="M20" s="533" t="s">
        <v>491</v>
      </c>
      <c r="N20" s="2"/>
      <c r="O20" s="2"/>
      <c r="P20" s="2"/>
      <c r="Q20" s="2"/>
      <c r="R20" s="2"/>
      <c r="S20" s="2"/>
      <c r="T20" s="2"/>
    </row>
    <row r="21" spans="1:20" ht="18" customHeight="1">
      <c r="A21" s="534" t="s">
        <v>249</v>
      </c>
      <c r="B21" s="535" t="s">
        <v>250</v>
      </c>
      <c r="C21" s="535" t="s">
        <v>251</v>
      </c>
      <c r="D21" s="535" t="s">
        <v>213</v>
      </c>
      <c r="E21" s="535" t="s">
        <v>252</v>
      </c>
      <c r="F21" s="535" t="s">
        <v>220</v>
      </c>
      <c r="G21" s="535" t="s">
        <v>471</v>
      </c>
      <c r="H21" s="535" t="s">
        <v>492</v>
      </c>
      <c r="I21" s="535" t="s">
        <v>493</v>
      </c>
      <c r="J21" s="535" t="s">
        <v>474</v>
      </c>
      <c r="K21" s="535">
        <v>1500</v>
      </c>
      <c r="L21" s="535"/>
      <c r="M21" s="536" t="s">
        <v>494</v>
      </c>
      <c r="N21" s="2"/>
      <c r="O21" s="2"/>
      <c r="P21" s="2"/>
      <c r="Q21" s="2"/>
      <c r="R21" s="2"/>
      <c r="S21" s="2"/>
      <c r="T21" s="2"/>
    </row>
    <row r="22" spans="1:20" ht="18" customHeight="1">
      <c r="A22" s="494"/>
      <c r="B22" s="494"/>
      <c r="C22" s="5"/>
      <c r="D22" s="476"/>
      <c r="E22" s="16"/>
    </row>
    <row r="23" spans="1:20" ht="18" customHeight="1">
      <c r="A23" s="618" t="s">
        <v>495</v>
      </c>
      <c r="B23" s="618"/>
      <c r="C23" s="618"/>
      <c r="D23" s="618"/>
      <c r="E23" s="618"/>
      <c r="F23" s="618"/>
      <c r="G23" s="618"/>
    </row>
    <row r="24" spans="1:20" ht="18" customHeight="1">
      <c r="A24" s="525" t="s">
        <v>459</v>
      </c>
      <c r="B24" s="525" t="s">
        <v>496</v>
      </c>
      <c r="C24" s="525" t="s">
        <v>469</v>
      </c>
      <c r="D24" s="525" t="s">
        <v>497</v>
      </c>
      <c r="E24" s="525" t="s">
        <v>498</v>
      </c>
      <c r="F24" s="525" t="s">
        <v>499</v>
      </c>
      <c r="G24" s="525" t="s">
        <v>389</v>
      </c>
    </row>
    <row r="25" spans="1:20" ht="18" customHeight="1">
      <c r="A25" s="529" t="s">
        <v>500</v>
      </c>
      <c r="B25" s="529" t="s">
        <v>213</v>
      </c>
      <c r="C25" s="540">
        <v>35000</v>
      </c>
      <c r="D25" s="540">
        <v>35</v>
      </c>
      <c r="E25" s="540">
        <v>25</v>
      </c>
      <c r="F25" s="540">
        <v>0.1</v>
      </c>
      <c r="G25" s="540" t="s">
        <v>495</v>
      </c>
    </row>
    <row r="26" spans="1:20" ht="18" customHeight="1">
      <c r="A26" s="532" t="s">
        <v>501</v>
      </c>
      <c r="B26" s="532" t="s">
        <v>231</v>
      </c>
      <c r="C26" s="277">
        <v>28000</v>
      </c>
      <c r="D26" s="277">
        <v>30</v>
      </c>
      <c r="E26" s="277">
        <v>25</v>
      </c>
      <c r="F26" s="277">
        <v>0.1</v>
      </c>
      <c r="G26" s="277" t="s">
        <v>495</v>
      </c>
    </row>
    <row r="27" spans="1:20" ht="18" customHeight="1">
      <c r="A27" s="494"/>
      <c r="B27" s="494"/>
      <c r="C27" s="5"/>
      <c r="D27" s="476"/>
      <c r="E27" s="16"/>
    </row>
    <row r="28" spans="1:20" ht="18" customHeight="1">
      <c r="A28" s="537"/>
      <c r="B28" s="494"/>
      <c r="C28" s="5"/>
      <c r="D28" s="476"/>
      <c r="E28" s="16"/>
    </row>
    <row r="29" spans="1:20" ht="13.15"/>
    <row r="30" spans="1:20" ht="13.15">
      <c r="A30" s="4"/>
    </row>
    <row r="31" spans="1:20" ht="12.6" customHeight="1">
      <c r="A31" s="538"/>
    </row>
    <row r="32" spans="1:20" ht="13.9" customHeight="1"/>
    <row r="33" spans="1:9" s="21" customFormat="1" ht="13.15" hidden="1">
      <c r="A33" s="21" t="s">
        <v>37</v>
      </c>
      <c r="D33" s="23"/>
      <c r="E33" s="24"/>
    </row>
    <row r="34" spans="1:9" ht="13.15" hidden="1"/>
    <row r="35" spans="1:9" ht="13.15" hidden="1"/>
    <row r="36" spans="1:9" s="86" customFormat="1" ht="15" hidden="1"/>
    <row r="37" spans="1:9" ht="13.15" hidden="1"/>
    <row r="38" spans="1:9" ht="13.15" hidden="1"/>
    <row r="39" spans="1:9" ht="13.15" hidden="1"/>
    <row r="40" spans="1:9" ht="13.15" hidden="1">
      <c r="F40" s="3" t="s">
        <v>502</v>
      </c>
      <c r="G40" s="3" t="s">
        <v>503</v>
      </c>
      <c r="H40" s="3" t="s">
        <v>504</v>
      </c>
      <c r="I40" s="3" t="s">
        <v>505</v>
      </c>
    </row>
    <row r="41" spans="1:9" ht="13.15" hidden="1">
      <c r="E41" s="3" t="s">
        <v>506</v>
      </c>
      <c r="F41" s="476">
        <v>3000</v>
      </c>
      <c r="G41" s="3">
        <v>4089.1017698999995</v>
      </c>
      <c r="H41" s="90">
        <f>F41/G41</f>
        <v>0.73365745555248585</v>
      </c>
      <c r="I41" s="3">
        <v>0.2</v>
      </c>
    </row>
    <row r="42" spans="1:9" ht="13.15" hidden="1">
      <c r="E42" s="3" t="s">
        <v>507</v>
      </c>
      <c r="F42" s="476">
        <v>5000</v>
      </c>
      <c r="G42" s="3">
        <v>17227.422676799997</v>
      </c>
      <c r="H42" s="90">
        <f t="shared" ref="H42:H44" si="0">F42/G42</f>
        <v>0.29023494075718309</v>
      </c>
      <c r="I42" s="3">
        <v>0.4</v>
      </c>
    </row>
    <row r="43" spans="1:9" ht="13.15" hidden="1">
      <c r="E43" s="3" t="s">
        <v>508</v>
      </c>
      <c r="F43" s="476">
        <v>3000</v>
      </c>
      <c r="G43" s="3">
        <v>1623.3052670999998</v>
      </c>
      <c r="H43" s="90">
        <f t="shared" si="0"/>
        <v>1.8480812332725538</v>
      </c>
      <c r="I43" s="3">
        <v>0.4</v>
      </c>
    </row>
    <row r="44" spans="1:9" ht="13.15" hidden="1">
      <c r="E44" s="3" t="s">
        <v>509</v>
      </c>
      <c r="F44" s="476">
        <v>500</v>
      </c>
      <c r="G44" s="3">
        <v>1623.3052670999998</v>
      </c>
      <c r="H44" s="90">
        <f t="shared" si="0"/>
        <v>0.30801353887875899</v>
      </c>
      <c r="I44" s="3">
        <v>0.4</v>
      </c>
    </row>
    <row r="45" spans="1:9" ht="13.15" hidden="1"/>
    <row r="46" spans="1:9" ht="13.15" hidden="1"/>
    <row r="47" spans="1:9" ht="13.15" hidden="1"/>
    <row r="48" spans="1:9" ht="13.15" hidden="1"/>
    <row r="49" spans="1:1" ht="13.15" hidden="1"/>
    <row r="50" spans="1:1" ht="13.15" hidden="1"/>
    <row r="51" spans="1:1" ht="13.15" hidden="1"/>
    <row r="52" spans="1:1" ht="13.15" hidden="1"/>
    <row r="53" spans="1:1" ht="13.15" hidden="1"/>
    <row r="54" spans="1:1" ht="13.15" hidden="1"/>
    <row r="55" spans="1:1" ht="13.15" hidden="1"/>
    <row r="56" spans="1:1" ht="13.15" hidden="1"/>
    <row r="57" spans="1:1" ht="13.15" hidden="1"/>
    <row r="58" spans="1:1" ht="13.15" hidden="1"/>
    <row r="59" spans="1:1" ht="13.15" hidden="1"/>
    <row r="60" spans="1:1" ht="13.15" hidden="1">
      <c r="A60" s="3" t="s">
        <v>510</v>
      </c>
    </row>
    <row r="61" spans="1:1" ht="13.15" hidden="1"/>
    <row r="62" spans="1:1" ht="13.15" hidden="1"/>
    <row r="63" spans="1:1" ht="13.15"/>
    <row r="64" spans="1:1" ht="13.15"/>
    <row r="68" spans="1:1" ht="13.15">
      <c r="A68" s="4"/>
    </row>
    <row r="73" spans="1:1" ht="24" customHeight="1"/>
    <row r="74" spans="1:1" ht="24" customHeight="1"/>
    <row r="75" spans="1:1" ht="24" customHeight="1"/>
    <row r="76" spans="1:1" ht="24" customHeight="1"/>
    <row r="77" spans="1:1" ht="24" customHeight="1"/>
    <row r="78" spans="1:1" ht="24" customHeight="1"/>
    <row r="79" spans="1:1" ht="24" customHeight="1"/>
    <row r="80" spans="1:1" ht="24" customHeight="1"/>
    <row r="81" s="3" customFormat="1" ht="24" customHeight="1"/>
    <row r="82" s="3" customFormat="1" ht="24" customHeight="1"/>
    <row r="83" s="3" customFormat="1" ht="13.15"/>
    <row r="84" s="3" customFormat="1" ht="13.15"/>
    <row r="85" s="3" customFormat="1" ht="13.15"/>
    <row r="86" s="3" customFormat="1" ht="13.15"/>
    <row r="87" s="3" customFormat="1" ht="13.15"/>
    <row r="88" s="3" customFormat="1" ht="13.15"/>
    <row r="89" s="3" customFormat="1" ht="13.15"/>
    <row r="90" s="3" customFormat="1" ht="13.15"/>
  </sheetData>
  <mergeCells count="4">
    <mergeCell ref="A1:D1"/>
    <mergeCell ref="C3:C7"/>
    <mergeCell ref="A9:M9"/>
    <mergeCell ref="A23:G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K65"/>
  <sheetViews>
    <sheetView tabSelected="1" zoomScale="85" zoomScaleNormal="85" workbookViewId="0"/>
  </sheetViews>
  <sheetFormatPr defaultColWidth="9.28515625" defaultRowHeight="11.45"/>
  <cols>
    <col min="1" max="1" width="22" style="38" customWidth="1"/>
    <col min="2" max="2" width="15.28515625" style="38" customWidth="1"/>
    <col min="3" max="3" width="20.28515625" style="38" customWidth="1"/>
    <col min="4" max="4" width="13.85546875" style="38" customWidth="1"/>
    <col min="5" max="5" width="10.7109375" style="38" customWidth="1"/>
    <col min="6" max="28" width="5.7109375" style="38" customWidth="1"/>
    <col min="29" max="16384" width="9.28515625" style="38"/>
  </cols>
  <sheetData>
    <row r="1" spans="1:63" ht="24" customHeight="1">
      <c r="A1" s="611" t="str">
        <f>"Schedules - "&amp;Prototype!A2</f>
        <v>Schedules - RetailGrocery</v>
      </c>
      <c r="B1" s="590"/>
      <c r="C1" s="590"/>
      <c r="D1" s="563"/>
      <c r="E1" s="590"/>
      <c r="F1" s="590"/>
      <c r="G1" s="590"/>
      <c r="H1" s="590"/>
      <c r="I1" s="590"/>
      <c r="J1" s="590"/>
      <c r="K1" s="590"/>
      <c r="L1" s="590"/>
      <c r="M1" s="590"/>
      <c r="N1" s="590"/>
      <c r="O1" s="590"/>
      <c r="P1" s="590"/>
      <c r="Q1" s="590"/>
      <c r="R1" s="590"/>
      <c r="S1" s="590"/>
      <c r="T1" s="590"/>
      <c r="U1" s="590"/>
      <c r="V1" s="590"/>
      <c r="W1" s="590"/>
      <c r="X1" s="590"/>
      <c r="Y1" s="590"/>
      <c r="Z1" s="590"/>
      <c r="AA1" s="590"/>
      <c r="AB1" s="590"/>
      <c r="AC1" s="590"/>
      <c r="AD1" s="45"/>
      <c r="AE1" s="45"/>
      <c r="AF1" s="45"/>
      <c r="AG1" s="45"/>
      <c r="AH1" s="46"/>
      <c r="AI1" s="46"/>
      <c r="AJ1" s="46"/>
      <c r="AL1" s="399"/>
      <c r="AM1" s="31"/>
      <c r="AN1" s="400"/>
      <c r="AO1" s="400"/>
      <c r="AP1" s="400"/>
      <c r="AQ1" s="400"/>
      <c r="AR1" s="400"/>
      <c r="AS1" s="400"/>
      <c r="AT1" s="400"/>
      <c r="AU1" s="400"/>
      <c r="AV1" s="400"/>
      <c r="AW1" s="400"/>
      <c r="AX1" s="400"/>
      <c r="AY1" s="400"/>
      <c r="AZ1" s="400"/>
      <c r="BA1" s="400"/>
      <c r="BB1" s="400"/>
      <c r="BC1" s="400"/>
      <c r="BD1" s="400"/>
      <c r="BE1" s="400"/>
      <c r="BF1" s="400"/>
      <c r="BG1" s="400"/>
      <c r="BH1" s="400"/>
      <c r="BI1" s="400"/>
      <c r="BJ1" s="400"/>
      <c r="BK1" s="400"/>
    </row>
    <row r="2" spans="1:63" ht="24" customHeight="1">
      <c r="A2" s="608" t="s">
        <v>511</v>
      </c>
      <c r="B2" s="652" t="s">
        <v>100</v>
      </c>
      <c r="C2" s="650" t="s">
        <v>512</v>
      </c>
      <c r="D2" s="691" t="s">
        <v>325</v>
      </c>
      <c r="E2" s="672" t="s">
        <v>513</v>
      </c>
      <c r="F2" s="690" t="s">
        <v>514</v>
      </c>
      <c r="G2" s="690"/>
      <c r="H2" s="690"/>
      <c r="I2" s="690"/>
      <c r="J2" s="690"/>
      <c r="K2" s="690"/>
      <c r="L2" s="690"/>
      <c r="M2" s="690"/>
      <c r="N2" s="690"/>
      <c r="O2" s="690"/>
      <c r="P2" s="690"/>
      <c r="Q2" s="690"/>
      <c r="R2" s="690"/>
      <c r="S2" s="690"/>
      <c r="T2" s="690"/>
      <c r="U2" s="690"/>
      <c r="V2" s="690"/>
      <c r="W2" s="690"/>
      <c r="X2" s="690"/>
      <c r="Y2" s="690"/>
      <c r="Z2" s="690"/>
      <c r="AA2" s="690"/>
      <c r="AB2" s="690"/>
      <c r="AC2" s="690"/>
      <c r="AD2" s="45"/>
      <c r="AE2" s="45"/>
      <c r="AF2" s="45"/>
      <c r="AG2" s="45"/>
      <c r="AH2" s="46"/>
      <c r="AI2" s="46"/>
      <c r="AJ2" s="46"/>
      <c r="AL2" s="399"/>
      <c r="AM2" s="31"/>
      <c r="AN2" s="31"/>
      <c r="AO2" s="31"/>
      <c r="AP2" s="31"/>
      <c r="AQ2" s="31"/>
      <c r="AR2" s="31"/>
      <c r="AS2" s="31"/>
      <c r="AT2" s="31"/>
      <c r="AU2" s="31"/>
      <c r="AV2" s="31"/>
      <c r="AW2" s="31"/>
      <c r="AX2" s="31"/>
      <c r="AY2" s="31"/>
      <c r="AZ2" s="31"/>
      <c r="BA2" s="31"/>
      <c r="BB2" s="31"/>
      <c r="BC2" s="31"/>
      <c r="BD2" s="31"/>
      <c r="BE2" s="31"/>
      <c r="BF2" s="31"/>
      <c r="BG2" s="31"/>
      <c r="BH2" s="31"/>
      <c r="BI2" s="31"/>
      <c r="BJ2" s="31"/>
      <c r="BK2" s="31"/>
    </row>
    <row r="3" spans="1:63" ht="18.75" customHeight="1">
      <c r="A3" s="653"/>
      <c r="B3" s="653"/>
      <c r="C3" s="651"/>
      <c r="D3" s="692"/>
      <c r="E3" s="673"/>
      <c r="F3" s="491">
        <v>1</v>
      </c>
      <c r="G3" s="491">
        <v>2</v>
      </c>
      <c r="H3" s="491">
        <v>3</v>
      </c>
      <c r="I3" s="491">
        <v>4</v>
      </c>
      <c r="J3" s="491">
        <v>5</v>
      </c>
      <c r="K3" s="491">
        <v>6</v>
      </c>
      <c r="L3" s="491">
        <v>7</v>
      </c>
      <c r="M3" s="491">
        <v>8</v>
      </c>
      <c r="N3" s="491">
        <v>9</v>
      </c>
      <c r="O3" s="491">
        <v>10</v>
      </c>
      <c r="P3" s="491">
        <v>11</v>
      </c>
      <c r="Q3" s="491">
        <v>12</v>
      </c>
      <c r="R3" s="491">
        <v>13</v>
      </c>
      <c r="S3" s="491">
        <v>14</v>
      </c>
      <c r="T3" s="491">
        <v>15</v>
      </c>
      <c r="U3" s="491">
        <v>16</v>
      </c>
      <c r="V3" s="491">
        <v>17</v>
      </c>
      <c r="W3" s="491">
        <v>18</v>
      </c>
      <c r="X3" s="491">
        <v>19</v>
      </c>
      <c r="Y3" s="491">
        <v>20</v>
      </c>
      <c r="Z3" s="491">
        <v>21</v>
      </c>
      <c r="AA3" s="491">
        <v>22</v>
      </c>
      <c r="AB3" s="491">
        <v>23</v>
      </c>
      <c r="AC3" s="491">
        <v>24</v>
      </c>
      <c r="AD3" s="46"/>
      <c r="AE3" s="46"/>
      <c r="AF3" s="46"/>
      <c r="AG3" s="46"/>
      <c r="AH3" s="46"/>
      <c r="AI3" s="46"/>
      <c r="AJ3" s="46"/>
    </row>
    <row r="4" spans="1:63" ht="21.75" customHeight="1">
      <c r="A4" s="695" t="s">
        <v>515</v>
      </c>
      <c r="B4" s="634" t="s">
        <v>116</v>
      </c>
      <c r="C4" s="645" t="s">
        <v>516</v>
      </c>
      <c r="D4" s="693" t="s">
        <v>517</v>
      </c>
      <c r="E4" s="148" t="s">
        <v>518</v>
      </c>
      <c r="F4" s="48">
        <v>0</v>
      </c>
      <c r="G4" s="48">
        <v>0</v>
      </c>
      <c r="H4" s="48">
        <v>0</v>
      </c>
      <c r="I4" s="48">
        <v>0</v>
      </c>
      <c r="J4" s="48">
        <v>0</v>
      </c>
      <c r="K4" s="48">
        <v>0</v>
      </c>
      <c r="L4" s="48">
        <v>0</v>
      </c>
      <c r="M4" s="48">
        <v>0.1</v>
      </c>
      <c r="N4" s="48">
        <v>0.2</v>
      </c>
      <c r="O4" s="48">
        <v>0.5</v>
      </c>
      <c r="P4" s="48">
        <v>0.5</v>
      </c>
      <c r="Q4" s="48">
        <v>0.7</v>
      </c>
      <c r="R4" s="48">
        <v>0.7</v>
      </c>
      <c r="S4" s="48">
        <v>0.7</v>
      </c>
      <c r="T4" s="48">
        <v>0.7</v>
      </c>
      <c r="U4" s="48">
        <v>0.8</v>
      </c>
      <c r="V4" s="48">
        <v>0.7</v>
      </c>
      <c r="W4" s="48">
        <v>0.5</v>
      </c>
      <c r="X4" s="48">
        <v>0.5</v>
      </c>
      <c r="Y4" s="48">
        <v>0.3</v>
      </c>
      <c r="Z4" s="48">
        <v>0.3</v>
      </c>
      <c r="AA4" s="48">
        <v>0</v>
      </c>
      <c r="AB4" s="48">
        <v>0</v>
      </c>
      <c r="AC4" s="49">
        <v>0</v>
      </c>
      <c r="AD4" s="46"/>
      <c r="AE4" s="46"/>
      <c r="AF4" s="46"/>
      <c r="AG4" s="46"/>
      <c r="AH4" s="46"/>
      <c r="AI4" s="46"/>
      <c r="AJ4" s="46"/>
    </row>
    <row r="5" spans="1:63" ht="21.75" customHeight="1">
      <c r="A5" s="643"/>
      <c r="B5" s="624"/>
      <c r="C5" s="646"/>
      <c r="D5" s="675"/>
      <c r="E5" s="149" t="s">
        <v>519</v>
      </c>
      <c r="F5" s="47">
        <v>0</v>
      </c>
      <c r="G5" s="47">
        <v>0</v>
      </c>
      <c r="H5" s="47">
        <v>0</v>
      </c>
      <c r="I5" s="47">
        <v>0</v>
      </c>
      <c r="J5" s="47">
        <v>0</v>
      </c>
      <c r="K5" s="47">
        <v>0</v>
      </c>
      <c r="L5" s="47">
        <v>0</v>
      </c>
      <c r="M5" s="47">
        <v>0.1</v>
      </c>
      <c r="N5" s="47">
        <v>0.2</v>
      </c>
      <c r="O5" s="47">
        <v>0.5</v>
      </c>
      <c r="P5" s="47">
        <v>0.6</v>
      </c>
      <c r="Q5" s="47">
        <v>0.8</v>
      </c>
      <c r="R5" s="47">
        <v>0.8</v>
      </c>
      <c r="S5" s="47">
        <v>0.8</v>
      </c>
      <c r="T5" s="47">
        <v>0.8</v>
      </c>
      <c r="U5" s="47">
        <v>0.8</v>
      </c>
      <c r="V5" s="47">
        <v>0.8</v>
      </c>
      <c r="W5" s="47">
        <v>0.6</v>
      </c>
      <c r="X5" s="47">
        <v>0.2</v>
      </c>
      <c r="Y5" s="47">
        <v>0.2</v>
      </c>
      <c r="Z5" s="47">
        <v>0.2</v>
      </c>
      <c r="AA5" s="47">
        <v>0.1</v>
      </c>
      <c r="AB5" s="47">
        <v>0</v>
      </c>
      <c r="AC5" s="50">
        <v>0</v>
      </c>
      <c r="AD5" s="46"/>
      <c r="AE5" s="46"/>
      <c r="AF5" s="46"/>
      <c r="AG5" s="46"/>
      <c r="AH5" s="46"/>
      <c r="AI5" s="46"/>
      <c r="AJ5" s="46"/>
    </row>
    <row r="6" spans="1:63" ht="21.75" customHeight="1">
      <c r="A6" s="643"/>
      <c r="B6" s="625"/>
      <c r="C6" s="646"/>
      <c r="D6" s="676"/>
      <c r="E6" s="150" t="s">
        <v>520</v>
      </c>
      <c r="F6" s="51">
        <v>0</v>
      </c>
      <c r="G6" s="51">
        <v>0</v>
      </c>
      <c r="H6" s="51">
        <v>0</v>
      </c>
      <c r="I6" s="51">
        <v>0</v>
      </c>
      <c r="J6" s="51">
        <v>0</v>
      </c>
      <c r="K6" s="51">
        <v>0</v>
      </c>
      <c r="L6" s="51">
        <v>0</v>
      </c>
      <c r="M6" s="51">
        <v>0</v>
      </c>
      <c r="N6" s="51">
        <v>0</v>
      </c>
      <c r="O6" s="51">
        <v>0.1</v>
      </c>
      <c r="P6" s="51">
        <v>0.2</v>
      </c>
      <c r="Q6" s="51">
        <v>0.2</v>
      </c>
      <c r="R6" s="51">
        <v>0.4</v>
      </c>
      <c r="S6" s="51">
        <v>0.4</v>
      </c>
      <c r="T6" s="51">
        <v>0.4</v>
      </c>
      <c r="U6" s="51">
        <v>0.4</v>
      </c>
      <c r="V6" s="51">
        <v>0.4</v>
      </c>
      <c r="W6" s="51">
        <v>0.2</v>
      </c>
      <c r="X6" s="51">
        <v>0.1</v>
      </c>
      <c r="Y6" s="51">
        <v>0</v>
      </c>
      <c r="Z6" s="51">
        <v>0</v>
      </c>
      <c r="AA6" s="51">
        <v>0</v>
      </c>
      <c r="AB6" s="51">
        <v>0</v>
      </c>
      <c r="AC6" s="52">
        <v>0</v>
      </c>
      <c r="AD6" s="46"/>
      <c r="AE6" s="46"/>
      <c r="AF6" s="46"/>
      <c r="AG6" s="46"/>
      <c r="AH6" s="46"/>
      <c r="AI6" s="46"/>
      <c r="AJ6" s="46"/>
    </row>
    <row r="7" spans="1:63" ht="21.75" customHeight="1">
      <c r="A7" s="696" t="s">
        <v>515</v>
      </c>
      <c r="B7" s="647" t="s">
        <v>116</v>
      </c>
      <c r="C7" s="645" t="s">
        <v>521</v>
      </c>
      <c r="D7" s="693" t="s">
        <v>517</v>
      </c>
      <c r="E7" s="151" t="s">
        <v>518</v>
      </c>
      <c r="F7" s="40">
        <v>0.05</v>
      </c>
      <c r="G7" s="40">
        <v>0.05</v>
      </c>
      <c r="H7" s="40">
        <v>0.05</v>
      </c>
      <c r="I7" s="40">
        <v>0.05</v>
      </c>
      <c r="J7" s="40">
        <v>0.05</v>
      </c>
      <c r="K7" s="40">
        <v>0.05</v>
      </c>
      <c r="L7" s="40">
        <v>0.05</v>
      </c>
      <c r="M7" s="40">
        <v>0.2</v>
      </c>
      <c r="N7" s="40">
        <v>0.5</v>
      </c>
      <c r="O7" s="40">
        <v>0.85</v>
      </c>
      <c r="P7" s="40">
        <v>0.85</v>
      </c>
      <c r="Q7" s="40">
        <v>0.85</v>
      </c>
      <c r="R7" s="40">
        <v>0.85</v>
      </c>
      <c r="S7" s="40">
        <v>0.85</v>
      </c>
      <c r="T7" s="40">
        <v>0.85</v>
      </c>
      <c r="U7" s="40">
        <v>0.85</v>
      </c>
      <c r="V7" s="40">
        <v>0.85</v>
      </c>
      <c r="W7" s="40">
        <v>0.85</v>
      </c>
      <c r="X7" s="40">
        <v>0.55000000000000004</v>
      </c>
      <c r="Y7" s="40">
        <v>0.55000000000000004</v>
      </c>
      <c r="Z7" s="40">
        <v>0.5</v>
      </c>
      <c r="AA7" s="40">
        <v>0.2</v>
      </c>
      <c r="AB7" s="40">
        <v>0.05</v>
      </c>
      <c r="AC7" s="44">
        <v>0.05</v>
      </c>
      <c r="AD7" s="46"/>
      <c r="AE7" s="46"/>
      <c r="AF7" s="46"/>
      <c r="AG7" s="46"/>
      <c r="AH7" s="46"/>
      <c r="AI7" s="46"/>
      <c r="AJ7" s="46"/>
      <c r="AL7" s="68"/>
    </row>
    <row r="8" spans="1:63" ht="21.75" customHeight="1">
      <c r="A8" s="697"/>
      <c r="B8" s="648"/>
      <c r="C8" s="646"/>
      <c r="D8" s="675"/>
      <c r="E8" s="152" t="s">
        <v>519</v>
      </c>
      <c r="F8" s="39">
        <v>0.05</v>
      </c>
      <c r="G8" s="39">
        <v>0.05</v>
      </c>
      <c r="H8" s="39">
        <v>0.05</v>
      </c>
      <c r="I8" s="39">
        <v>0.05</v>
      </c>
      <c r="J8" s="39">
        <v>0.05</v>
      </c>
      <c r="K8" s="39">
        <v>0.05</v>
      </c>
      <c r="L8" s="39">
        <v>0.05</v>
      </c>
      <c r="M8" s="39">
        <v>0.1</v>
      </c>
      <c r="N8" s="39">
        <v>0.3</v>
      </c>
      <c r="O8" s="39">
        <v>0.55000000000000004</v>
      </c>
      <c r="P8" s="39">
        <v>0.85</v>
      </c>
      <c r="Q8" s="39">
        <v>0.85</v>
      </c>
      <c r="R8" s="39">
        <v>0.85</v>
      </c>
      <c r="S8" s="39">
        <v>0.85</v>
      </c>
      <c r="T8" s="39">
        <v>0.85</v>
      </c>
      <c r="U8" s="39">
        <v>0.85</v>
      </c>
      <c r="V8" s="39">
        <v>0.85</v>
      </c>
      <c r="W8" s="39">
        <v>0.85</v>
      </c>
      <c r="X8" s="39">
        <v>0.5</v>
      </c>
      <c r="Y8" s="39">
        <v>0.3</v>
      </c>
      <c r="Z8" s="39">
        <v>0.3</v>
      </c>
      <c r="AA8" s="39">
        <v>0.1</v>
      </c>
      <c r="AB8" s="39">
        <v>0.05</v>
      </c>
      <c r="AC8" s="41">
        <v>0.05</v>
      </c>
      <c r="AD8" s="46"/>
      <c r="AE8" s="46"/>
      <c r="AF8" s="46"/>
      <c r="AG8" s="46"/>
      <c r="AH8" s="46"/>
      <c r="AI8" s="46"/>
      <c r="AJ8" s="46"/>
      <c r="AL8" s="68"/>
    </row>
    <row r="9" spans="1:63" ht="21.75" customHeight="1">
      <c r="A9" s="698"/>
      <c r="B9" s="649"/>
      <c r="C9" s="646"/>
      <c r="D9" s="694"/>
      <c r="E9" s="153" t="s">
        <v>520</v>
      </c>
      <c r="F9" s="42">
        <v>0.05</v>
      </c>
      <c r="G9" s="42">
        <v>0.05</v>
      </c>
      <c r="H9" s="42">
        <v>0.05</v>
      </c>
      <c r="I9" s="42">
        <v>0.05</v>
      </c>
      <c r="J9" s="42">
        <v>0.05</v>
      </c>
      <c r="K9" s="42">
        <v>0.05</v>
      </c>
      <c r="L9" s="42">
        <v>0.05</v>
      </c>
      <c r="M9" s="42">
        <v>0.05</v>
      </c>
      <c r="N9" s="42">
        <v>0.1</v>
      </c>
      <c r="O9" s="42">
        <v>0.1</v>
      </c>
      <c r="P9" s="42">
        <v>0.4</v>
      </c>
      <c r="Q9" s="42">
        <v>0.4</v>
      </c>
      <c r="R9" s="42">
        <v>0.55000000000000004</v>
      </c>
      <c r="S9" s="42">
        <v>0.55000000000000004</v>
      </c>
      <c r="T9" s="42">
        <v>0.55000000000000004</v>
      </c>
      <c r="U9" s="42">
        <v>0.55000000000000004</v>
      </c>
      <c r="V9" s="42">
        <v>0.55000000000000004</v>
      </c>
      <c r="W9" s="42">
        <v>0.4</v>
      </c>
      <c r="X9" s="42">
        <v>0.2</v>
      </c>
      <c r="Y9" s="42">
        <v>0.05</v>
      </c>
      <c r="Z9" s="42">
        <v>0.05</v>
      </c>
      <c r="AA9" s="42">
        <v>0.05</v>
      </c>
      <c r="AB9" s="42">
        <v>0.05</v>
      </c>
      <c r="AC9" s="43">
        <v>0.05</v>
      </c>
      <c r="AD9" s="46"/>
      <c r="AE9" s="46"/>
      <c r="AF9" s="46"/>
      <c r="AG9" s="46"/>
      <c r="AH9" s="46"/>
      <c r="AI9" s="46"/>
      <c r="AJ9" s="46"/>
      <c r="AL9" s="68"/>
    </row>
    <row r="10" spans="1:63" ht="24" customHeight="1">
      <c r="A10" s="643" t="s">
        <v>515</v>
      </c>
      <c r="B10" s="623" t="s">
        <v>116</v>
      </c>
      <c r="C10" s="645" t="s">
        <v>522</v>
      </c>
      <c r="D10" s="674" t="s">
        <v>523</v>
      </c>
      <c r="E10" s="154" t="s">
        <v>518</v>
      </c>
      <c r="F10" s="62">
        <v>0.4</v>
      </c>
      <c r="G10" s="62">
        <v>0.4</v>
      </c>
      <c r="H10" s="62">
        <v>0.4</v>
      </c>
      <c r="I10" s="62">
        <v>0.4</v>
      </c>
      <c r="J10" s="62">
        <v>0.4</v>
      </c>
      <c r="K10" s="62">
        <v>0.4</v>
      </c>
      <c r="L10" s="62">
        <v>0.6</v>
      </c>
      <c r="M10" s="62">
        <v>0.6</v>
      </c>
      <c r="N10" s="62">
        <v>0.9</v>
      </c>
      <c r="O10" s="62">
        <v>0.9</v>
      </c>
      <c r="P10" s="62">
        <v>0.9</v>
      </c>
      <c r="Q10" s="62">
        <v>0.9</v>
      </c>
      <c r="R10" s="62">
        <v>0.9</v>
      </c>
      <c r="S10" s="62">
        <v>0.9</v>
      </c>
      <c r="T10" s="62">
        <v>0.9</v>
      </c>
      <c r="U10" s="62">
        <v>0.9</v>
      </c>
      <c r="V10" s="62">
        <v>0.9</v>
      </c>
      <c r="W10" s="62">
        <v>0.9</v>
      </c>
      <c r="X10" s="62">
        <v>0.9</v>
      </c>
      <c r="Y10" s="62">
        <v>0.6</v>
      </c>
      <c r="Z10" s="62">
        <v>0.6</v>
      </c>
      <c r="AA10" s="62">
        <v>0.4</v>
      </c>
      <c r="AB10" s="62">
        <v>0.4</v>
      </c>
      <c r="AC10" s="63">
        <v>0.4</v>
      </c>
      <c r="AD10" s="46"/>
      <c r="AE10" s="46"/>
      <c r="AF10" s="46"/>
      <c r="AG10" s="46"/>
      <c r="AH10" s="46"/>
      <c r="AI10" s="46"/>
      <c r="AJ10" s="46"/>
      <c r="AL10" s="68"/>
    </row>
    <row r="11" spans="1:63" ht="24" customHeight="1">
      <c r="A11" s="643"/>
      <c r="B11" s="624"/>
      <c r="C11" s="646"/>
      <c r="D11" s="675"/>
      <c r="E11" s="152" t="s">
        <v>519</v>
      </c>
      <c r="F11" s="61">
        <v>0.4</v>
      </c>
      <c r="G11" s="61">
        <v>0.4</v>
      </c>
      <c r="H11" s="61">
        <v>0.4</v>
      </c>
      <c r="I11" s="61">
        <v>0.4</v>
      </c>
      <c r="J11" s="61">
        <v>0.4</v>
      </c>
      <c r="K11" s="61">
        <v>0.4</v>
      </c>
      <c r="L11" s="61">
        <v>0.6</v>
      </c>
      <c r="M11" s="61">
        <v>0.6</v>
      </c>
      <c r="N11" s="61">
        <v>0.9</v>
      </c>
      <c r="O11" s="61">
        <v>0.9</v>
      </c>
      <c r="P11" s="61">
        <v>0.9</v>
      </c>
      <c r="Q11" s="61">
        <v>0.9</v>
      </c>
      <c r="R11" s="61">
        <v>0.9</v>
      </c>
      <c r="S11" s="61">
        <v>0.9</v>
      </c>
      <c r="T11" s="61">
        <v>0.9</v>
      </c>
      <c r="U11" s="61">
        <v>0.9</v>
      </c>
      <c r="V11" s="61">
        <v>0.9</v>
      </c>
      <c r="W11" s="61">
        <v>0.9</v>
      </c>
      <c r="X11" s="61">
        <v>0.9</v>
      </c>
      <c r="Y11" s="61">
        <v>0.9</v>
      </c>
      <c r="Z11" s="61">
        <v>0.6</v>
      </c>
      <c r="AA11" s="61">
        <v>0.6</v>
      </c>
      <c r="AB11" s="61">
        <v>0.4</v>
      </c>
      <c r="AC11" s="64">
        <v>0.4</v>
      </c>
      <c r="AD11" s="46"/>
      <c r="AE11" s="46"/>
      <c r="AF11" s="46"/>
      <c r="AG11" s="46"/>
      <c r="AH11" s="46"/>
      <c r="AI11" s="46"/>
      <c r="AJ11" s="46"/>
      <c r="AL11" s="68"/>
    </row>
    <row r="12" spans="1:63" ht="24" customHeight="1">
      <c r="A12" s="644"/>
      <c r="B12" s="625"/>
      <c r="C12" s="646"/>
      <c r="D12" s="676"/>
      <c r="E12" s="153" t="s">
        <v>520</v>
      </c>
      <c r="F12" s="65">
        <v>0.4</v>
      </c>
      <c r="G12" s="65">
        <v>0.4</v>
      </c>
      <c r="H12" s="65">
        <v>0.4</v>
      </c>
      <c r="I12" s="65">
        <v>0.4</v>
      </c>
      <c r="J12" s="65">
        <v>0.4</v>
      </c>
      <c r="K12" s="65">
        <v>0.4</v>
      </c>
      <c r="L12" s="65">
        <v>0.4</v>
      </c>
      <c r="M12" s="65">
        <v>0.4</v>
      </c>
      <c r="N12" s="65">
        <v>0.6</v>
      </c>
      <c r="O12" s="65">
        <v>0.6</v>
      </c>
      <c r="P12" s="65">
        <v>0.6</v>
      </c>
      <c r="Q12" s="65">
        <v>0.9</v>
      </c>
      <c r="R12" s="65">
        <v>0.9</v>
      </c>
      <c r="S12" s="65">
        <v>0.9</v>
      </c>
      <c r="T12" s="65">
        <v>0.9</v>
      </c>
      <c r="U12" s="65">
        <v>0.9</v>
      </c>
      <c r="V12" s="65">
        <v>0.9</v>
      </c>
      <c r="W12" s="65">
        <v>0.6</v>
      </c>
      <c r="X12" s="65">
        <v>0.6</v>
      </c>
      <c r="Y12" s="65">
        <v>0.4</v>
      </c>
      <c r="Z12" s="65">
        <v>0.4</v>
      </c>
      <c r="AA12" s="65">
        <v>0.4</v>
      </c>
      <c r="AB12" s="65">
        <v>0.4</v>
      </c>
      <c r="AC12" s="66">
        <v>0.4</v>
      </c>
      <c r="AD12" s="46"/>
      <c r="AE12" s="46"/>
      <c r="AF12" s="46"/>
      <c r="AG12" s="46"/>
      <c r="AH12" s="46"/>
      <c r="AI12" s="46"/>
      <c r="AJ12" s="46"/>
      <c r="AL12" s="68"/>
    </row>
    <row r="13" spans="1:63" ht="21.75" customHeight="1">
      <c r="A13" s="654" t="str">
        <f t="shared" ref="A13" si="0">A7</f>
        <v>All the zones</v>
      </c>
      <c r="B13" s="634" t="s">
        <v>116</v>
      </c>
      <c r="C13" s="636" t="s">
        <v>524</v>
      </c>
      <c r="D13" s="640" t="s">
        <v>395</v>
      </c>
      <c r="E13" s="386" t="s">
        <v>518</v>
      </c>
      <c r="F13" s="387">
        <v>0</v>
      </c>
      <c r="G13" s="387">
        <v>0</v>
      </c>
      <c r="H13" s="387">
        <v>0</v>
      </c>
      <c r="I13" s="387">
        <v>0</v>
      </c>
      <c r="J13" s="387">
        <v>0</v>
      </c>
      <c r="K13" s="387">
        <v>0</v>
      </c>
      <c r="L13" s="387">
        <v>1</v>
      </c>
      <c r="M13" s="387">
        <v>1</v>
      </c>
      <c r="N13" s="387">
        <v>1</v>
      </c>
      <c r="O13" s="387">
        <v>1</v>
      </c>
      <c r="P13" s="387">
        <v>1</v>
      </c>
      <c r="Q13" s="387">
        <v>1</v>
      </c>
      <c r="R13" s="387">
        <v>1</v>
      </c>
      <c r="S13" s="387">
        <v>1</v>
      </c>
      <c r="T13" s="387">
        <v>1</v>
      </c>
      <c r="U13" s="387">
        <v>1</v>
      </c>
      <c r="V13" s="387">
        <v>1</v>
      </c>
      <c r="W13" s="387">
        <v>1</v>
      </c>
      <c r="X13" s="387">
        <v>1</v>
      </c>
      <c r="Y13" s="387">
        <v>1</v>
      </c>
      <c r="Z13" s="387">
        <v>1</v>
      </c>
      <c r="AA13" s="387">
        <v>0</v>
      </c>
      <c r="AB13" s="387">
        <v>0</v>
      </c>
      <c r="AC13" s="388">
        <v>0</v>
      </c>
    </row>
    <row r="14" spans="1:63" ht="21.75" customHeight="1">
      <c r="A14" s="655"/>
      <c r="B14" s="624"/>
      <c r="C14" s="627"/>
      <c r="D14" s="641"/>
      <c r="E14" s="389" t="s">
        <v>519</v>
      </c>
      <c r="F14" s="357">
        <v>0</v>
      </c>
      <c r="G14" s="357">
        <v>0</v>
      </c>
      <c r="H14" s="357">
        <v>0</v>
      </c>
      <c r="I14" s="357">
        <v>0</v>
      </c>
      <c r="J14" s="357">
        <v>0</v>
      </c>
      <c r="K14" s="357">
        <v>0</v>
      </c>
      <c r="L14" s="357">
        <v>1</v>
      </c>
      <c r="M14" s="357">
        <v>1</v>
      </c>
      <c r="N14" s="357">
        <v>1</v>
      </c>
      <c r="O14" s="357">
        <v>1</v>
      </c>
      <c r="P14" s="357">
        <v>1</v>
      </c>
      <c r="Q14" s="357">
        <v>1</v>
      </c>
      <c r="R14" s="357">
        <v>1</v>
      </c>
      <c r="S14" s="357">
        <v>1</v>
      </c>
      <c r="T14" s="357">
        <v>1</v>
      </c>
      <c r="U14" s="357">
        <v>1</v>
      </c>
      <c r="V14" s="357">
        <v>1</v>
      </c>
      <c r="W14" s="357">
        <v>1</v>
      </c>
      <c r="X14" s="357">
        <v>1</v>
      </c>
      <c r="Y14" s="357">
        <v>1</v>
      </c>
      <c r="Z14" s="357">
        <v>1</v>
      </c>
      <c r="AA14" s="357">
        <v>1</v>
      </c>
      <c r="AB14" s="357">
        <v>0</v>
      </c>
      <c r="AC14" s="390">
        <v>0</v>
      </c>
    </row>
    <row r="15" spans="1:63" ht="21.75" customHeight="1">
      <c r="A15" s="656"/>
      <c r="B15" s="625"/>
      <c r="C15" s="628"/>
      <c r="D15" s="657"/>
      <c r="E15" s="391" t="s">
        <v>520</v>
      </c>
      <c r="F15" s="392">
        <v>0</v>
      </c>
      <c r="G15" s="392">
        <v>0</v>
      </c>
      <c r="H15" s="392">
        <v>0</v>
      </c>
      <c r="I15" s="392">
        <v>0</v>
      </c>
      <c r="J15" s="392">
        <v>0</v>
      </c>
      <c r="K15" s="392">
        <v>0</v>
      </c>
      <c r="L15" s="392">
        <v>0</v>
      </c>
      <c r="M15" s="392">
        <v>0</v>
      </c>
      <c r="N15" s="392">
        <v>1</v>
      </c>
      <c r="O15" s="392">
        <v>1</v>
      </c>
      <c r="P15" s="392">
        <v>1</v>
      </c>
      <c r="Q15" s="392">
        <v>1</v>
      </c>
      <c r="R15" s="392">
        <v>1</v>
      </c>
      <c r="S15" s="392">
        <v>1</v>
      </c>
      <c r="T15" s="392">
        <v>1</v>
      </c>
      <c r="U15" s="392">
        <v>1</v>
      </c>
      <c r="V15" s="392">
        <v>1</v>
      </c>
      <c r="W15" s="392">
        <v>1</v>
      </c>
      <c r="X15" s="392">
        <v>1</v>
      </c>
      <c r="Y15" s="392">
        <v>0</v>
      </c>
      <c r="Z15" s="392">
        <v>0</v>
      </c>
      <c r="AA15" s="392">
        <v>0</v>
      </c>
      <c r="AB15" s="392">
        <v>0</v>
      </c>
      <c r="AC15" s="393">
        <v>0</v>
      </c>
    </row>
    <row r="16" spans="1:63" ht="21.75" customHeight="1">
      <c r="A16" s="632" t="str">
        <f t="shared" ref="A16" si="1">A10</f>
        <v>All the zones</v>
      </c>
      <c r="B16" s="634" t="s">
        <v>116</v>
      </c>
      <c r="C16" s="645" t="s">
        <v>525</v>
      </c>
      <c r="D16" s="640" t="s">
        <v>395</v>
      </c>
      <c r="E16" s="386" t="s">
        <v>518</v>
      </c>
      <c r="F16" s="387">
        <v>0.04</v>
      </c>
      <c r="G16" s="387">
        <v>0.05</v>
      </c>
      <c r="H16" s="387">
        <v>0.05</v>
      </c>
      <c r="I16" s="387">
        <v>0.04</v>
      </c>
      <c r="J16" s="387">
        <v>0.04</v>
      </c>
      <c r="K16" s="387">
        <v>0.04</v>
      </c>
      <c r="L16" s="387">
        <v>0.04</v>
      </c>
      <c r="M16" s="387">
        <v>0.15</v>
      </c>
      <c r="N16" s="387">
        <v>0.23</v>
      </c>
      <c r="O16" s="387">
        <v>0.32</v>
      </c>
      <c r="P16" s="387">
        <v>0.41</v>
      </c>
      <c r="Q16" s="387">
        <v>0.56999999999999995</v>
      </c>
      <c r="R16" s="387">
        <v>0.62</v>
      </c>
      <c r="S16" s="387">
        <v>0.61</v>
      </c>
      <c r="T16" s="387">
        <v>0.5</v>
      </c>
      <c r="U16" s="387">
        <v>0.45</v>
      </c>
      <c r="V16" s="387">
        <v>0.46</v>
      </c>
      <c r="W16" s="387">
        <v>0.47</v>
      </c>
      <c r="X16" s="387">
        <v>0.42</v>
      </c>
      <c r="Y16" s="387">
        <v>0.34</v>
      </c>
      <c r="Z16" s="387">
        <v>0.33</v>
      </c>
      <c r="AA16" s="387">
        <v>0.23</v>
      </c>
      <c r="AB16" s="387">
        <v>0.13</v>
      </c>
      <c r="AC16" s="388">
        <v>0.08</v>
      </c>
    </row>
    <row r="17" spans="1:40" s="252" customFormat="1" ht="21.75" customHeight="1">
      <c r="A17" s="621"/>
      <c r="B17" s="624"/>
      <c r="C17" s="646"/>
      <c r="D17" s="641"/>
      <c r="E17" s="389" t="s">
        <v>519</v>
      </c>
      <c r="F17" s="357">
        <v>0.11</v>
      </c>
      <c r="G17" s="357">
        <v>0.1</v>
      </c>
      <c r="H17" s="357">
        <v>0.08</v>
      </c>
      <c r="I17" s="357">
        <v>0.06</v>
      </c>
      <c r="J17" s="357">
        <v>0.06</v>
      </c>
      <c r="K17" s="357">
        <v>0.06</v>
      </c>
      <c r="L17" s="357">
        <v>7.0000000000000007E-2</v>
      </c>
      <c r="M17" s="357">
        <v>0.2</v>
      </c>
      <c r="N17" s="357">
        <v>0.24</v>
      </c>
      <c r="O17" s="357">
        <v>0.27</v>
      </c>
      <c r="P17" s="357">
        <v>0.42</v>
      </c>
      <c r="Q17" s="357">
        <v>0.54</v>
      </c>
      <c r="R17" s="357">
        <v>0.59</v>
      </c>
      <c r="S17" s="357">
        <v>0.6</v>
      </c>
      <c r="T17" s="357">
        <v>0.49</v>
      </c>
      <c r="U17" s="357">
        <v>0.48</v>
      </c>
      <c r="V17" s="357">
        <v>0.47</v>
      </c>
      <c r="W17" s="357">
        <v>0.46</v>
      </c>
      <c r="X17" s="357">
        <v>0.44</v>
      </c>
      <c r="Y17" s="357">
        <v>0.36</v>
      </c>
      <c r="Z17" s="357">
        <v>0.28999999999999998</v>
      </c>
      <c r="AA17" s="357">
        <v>0.22</v>
      </c>
      <c r="AB17" s="357">
        <v>0.16</v>
      </c>
      <c r="AC17" s="390">
        <v>0.13</v>
      </c>
    </row>
    <row r="18" spans="1:40" ht="21.75" customHeight="1">
      <c r="A18" s="622"/>
      <c r="B18" s="625"/>
      <c r="C18" s="646"/>
      <c r="D18" s="657"/>
      <c r="E18" s="391" t="s">
        <v>520</v>
      </c>
      <c r="F18" s="392">
        <v>7.0000000000000007E-2</v>
      </c>
      <c r="G18" s="392">
        <v>7.0000000000000007E-2</v>
      </c>
      <c r="H18" s="392">
        <v>7.0000000000000007E-2</v>
      </c>
      <c r="I18" s="392">
        <v>0.06</v>
      </c>
      <c r="J18" s="392">
        <v>0.06</v>
      </c>
      <c r="K18" s="392">
        <v>0.06</v>
      </c>
      <c r="L18" s="392">
        <v>7.0000000000000007E-2</v>
      </c>
      <c r="M18" s="392">
        <v>0.1</v>
      </c>
      <c r="N18" s="392">
        <v>0.12</v>
      </c>
      <c r="O18" s="392">
        <v>0.14000000000000001</v>
      </c>
      <c r="P18" s="392">
        <v>0.28999999999999998</v>
      </c>
      <c r="Q18" s="392">
        <v>0.31</v>
      </c>
      <c r="R18" s="392">
        <v>0.36</v>
      </c>
      <c r="S18" s="392">
        <v>0.36</v>
      </c>
      <c r="T18" s="392">
        <v>0.34</v>
      </c>
      <c r="U18" s="392">
        <v>0.35</v>
      </c>
      <c r="V18" s="392">
        <v>0.37</v>
      </c>
      <c r="W18" s="392">
        <v>0.34</v>
      </c>
      <c r="X18" s="392">
        <v>0.25</v>
      </c>
      <c r="Y18" s="392">
        <v>0.27</v>
      </c>
      <c r="Z18" s="392">
        <v>0.21</v>
      </c>
      <c r="AA18" s="392">
        <v>0.16</v>
      </c>
      <c r="AB18" s="392">
        <v>0.1</v>
      </c>
      <c r="AC18" s="393">
        <v>0.06</v>
      </c>
    </row>
    <row r="19" spans="1:40" ht="21.75" customHeight="1">
      <c r="A19" s="632" t="str">
        <f t="shared" ref="A19" si="2">A13</f>
        <v>All the zones</v>
      </c>
      <c r="B19" s="634" t="s">
        <v>116</v>
      </c>
      <c r="C19" s="645" t="s">
        <v>302</v>
      </c>
      <c r="D19" s="640" t="s">
        <v>395</v>
      </c>
      <c r="E19" s="386" t="s">
        <v>518</v>
      </c>
      <c r="F19" s="387">
        <v>1</v>
      </c>
      <c r="G19" s="387">
        <v>1</v>
      </c>
      <c r="H19" s="387">
        <v>1</v>
      </c>
      <c r="I19" s="387">
        <v>1</v>
      </c>
      <c r="J19" s="387">
        <v>1</v>
      </c>
      <c r="K19" s="387">
        <v>1</v>
      </c>
      <c r="L19" s="387">
        <v>0.25</v>
      </c>
      <c r="M19" s="387">
        <v>0.25</v>
      </c>
      <c r="N19" s="387">
        <v>0.25</v>
      </c>
      <c r="O19" s="387">
        <v>0.25</v>
      </c>
      <c r="P19" s="387">
        <v>0.25</v>
      </c>
      <c r="Q19" s="387">
        <v>0.25</v>
      </c>
      <c r="R19" s="387">
        <v>0.25</v>
      </c>
      <c r="S19" s="387">
        <v>0.25</v>
      </c>
      <c r="T19" s="387">
        <v>0.25</v>
      </c>
      <c r="U19" s="387">
        <v>0.25</v>
      </c>
      <c r="V19" s="387">
        <v>0.25</v>
      </c>
      <c r="W19" s="387">
        <v>0.25</v>
      </c>
      <c r="X19" s="387">
        <v>0.25</v>
      </c>
      <c r="Y19" s="387">
        <v>0.25</v>
      </c>
      <c r="Z19" s="387">
        <v>0.25</v>
      </c>
      <c r="AA19" s="387">
        <v>1</v>
      </c>
      <c r="AB19" s="387">
        <v>1</v>
      </c>
      <c r="AC19" s="388">
        <v>1</v>
      </c>
    </row>
    <row r="20" spans="1:40" ht="21.75" customHeight="1">
      <c r="A20" s="621"/>
      <c r="B20" s="624"/>
      <c r="C20" s="646"/>
      <c r="D20" s="641"/>
      <c r="E20" s="389" t="s">
        <v>519</v>
      </c>
      <c r="F20" s="357">
        <v>1</v>
      </c>
      <c r="G20" s="357">
        <v>1</v>
      </c>
      <c r="H20" s="357">
        <v>1</v>
      </c>
      <c r="I20" s="357">
        <v>1</v>
      </c>
      <c r="J20" s="357">
        <v>1</v>
      </c>
      <c r="K20" s="357">
        <v>1</v>
      </c>
      <c r="L20" s="357">
        <v>0.25</v>
      </c>
      <c r="M20" s="357">
        <v>0.25</v>
      </c>
      <c r="N20" s="357">
        <v>0.25</v>
      </c>
      <c r="O20" s="357">
        <v>0.25</v>
      </c>
      <c r="P20" s="357">
        <v>0.25</v>
      </c>
      <c r="Q20" s="357">
        <v>0.25</v>
      </c>
      <c r="R20" s="357">
        <v>0.25</v>
      </c>
      <c r="S20" s="357">
        <v>0.25</v>
      </c>
      <c r="T20" s="357">
        <v>0.25</v>
      </c>
      <c r="U20" s="357">
        <v>0.25</v>
      </c>
      <c r="V20" s="357">
        <v>0.25</v>
      </c>
      <c r="W20" s="357">
        <v>0.25</v>
      </c>
      <c r="X20" s="357">
        <v>0.25</v>
      </c>
      <c r="Y20" s="357">
        <v>0.25</v>
      </c>
      <c r="Z20" s="357">
        <v>0.25</v>
      </c>
      <c r="AA20" s="357">
        <v>0.25</v>
      </c>
      <c r="AB20" s="357">
        <v>1</v>
      </c>
      <c r="AC20" s="390">
        <v>1</v>
      </c>
    </row>
    <row r="21" spans="1:40" ht="21.75" customHeight="1">
      <c r="A21" s="622"/>
      <c r="B21" s="625"/>
      <c r="C21" s="646"/>
      <c r="D21" s="657"/>
      <c r="E21" s="391" t="s">
        <v>520</v>
      </c>
      <c r="F21" s="392">
        <v>1</v>
      </c>
      <c r="G21" s="392">
        <v>1</v>
      </c>
      <c r="H21" s="392">
        <v>1</v>
      </c>
      <c r="I21" s="392">
        <v>1</v>
      </c>
      <c r="J21" s="392">
        <v>1</v>
      </c>
      <c r="K21" s="392">
        <v>1</v>
      </c>
      <c r="L21" s="392">
        <v>1</v>
      </c>
      <c r="M21" s="392">
        <v>1</v>
      </c>
      <c r="N21" s="392">
        <v>0.25</v>
      </c>
      <c r="O21" s="392">
        <v>0.25</v>
      </c>
      <c r="P21" s="392">
        <v>0.25</v>
      </c>
      <c r="Q21" s="392">
        <v>0.25</v>
      </c>
      <c r="R21" s="392">
        <v>0.25</v>
      </c>
      <c r="S21" s="392">
        <v>0.25</v>
      </c>
      <c r="T21" s="392">
        <v>0.25</v>
      </c>
      <c r="U21" s="392">
        <v>0.25</v>
      </c>
      <c r="V21" s="392">
        <v>0.25</v>
      </c>
      <c r="W21" s="392">
        <v>0.25</v>
      </c>
      <c r="X21" s="392">
        <v>0.25</v>
      </c>
      <c r="Y21" s="392">
        <v>1</v>
      </c>
      <c r="Z21" s="392">
        <v>1</v>
      </c>
      <c r="AA21" s="392">
        <v>1</v>
      </c>
      <c r="AB21" s="392">
        <v>1</v>
      </c>
      <c r="AC21" s="393">
        <v>1</v>
      </c>
    </row>
    <row r="22" spans="1:40" ht="21.75" customHeight="1">
      <c r="A22" s="632" t="str">
        <f t="shared" ref="A22" si="3">A16</f>
        <v>All the zones</v>
      </c>
      <c r="B22" s="634" t="s">
        <v>116</v>
      </c>
      <c r="C22" s="645" t="s">
        <v>526</v>
      </c>
      <c r="D22" s="640" t="s">
        <v>395</v>
      </c>
      <c r="E22" s="386" t="s">
        <v>518</v>
      </c>
      <c r="F22" s="387">
        <v>0.9</v>
      </c>
      <c r="G22" s="387">
        <v>0.9</v>
      </c>
      <c r="H22" s="387">
        <v>0.9</v>
      </c>
      <c r="I22" s="387">
        <v>0.9</v>
      </c>
      <c r="J22" s="387">
        <v>0.9</v>
      </c>
      <c r="K22" s="387">
        <v>0.9</v>
      </c>
      <c r="L22" s="387">
        <v>0.9</v>
      </c>
      <c r="M22" s="387">
        <v>0.9</v>
      </c>
      <c r="N22" s="387">
        <v>0.9</v>
      </c>
      <c r="O22" s="387">
        <v>0.9</v>
      </c>
      <c r="P22" s="387">
        <v>0.9</v>
      </c>
      <c r="Q22" s="387">
        <v>0.9</v>
      </c>
      <c r="R22" s="387">
        <v>0.9</v>
      </c>
      <c r="S22" s="387">
        <v>0.9</v>
      </c>
      <c r="T22" s="387">
        <v>0.9</v>
      </c>
      <c r="U22" s="387">
        <v>0.9</v>
      </c>
      <c r="V22" s="387">
        <v>0.9</v>
      </c>
      <c r="W22" s="387">
        <v>0.9</v>
      </c>
      <c r="X22" s="387">
        <v>0.9</v>
      </c>
      <c r="Y22" s="387">
        <v>0.9</v>
      </c>
      <c r="Z22" s="387">
        <v>0.9</v>
      </c>
      <c r="AA22" s="387">
        <v>0.9</v>
      </c>
      <c r="AB22" s="387">
        <v>0.9</v>
      </c>
      <c r="AC22" s="388">
        <v>0.9</v>
      </c>
    </row>
    <row r="23" spans="1:40" ht="21.75" customHeight="1">
      <c r="A23" s="621"/>
      <c r="B23" s="624"/>
      <c r="C23" s="646"/>
      <c r="D23" s="641"/>
      <c r="E23" s="389" t="s">
        <v>519</v>
      </c>
      <c r="F23" s="357">
        <v>0.9</v>
      </c>
      <c r="G23" s="357">
        <v>0.9</v>
      </c>
      <c r="H23" s="357">
        <v>0.9</v>
      </c>
      <c r="I23" s="357">
        <v>0.9</v>
      </c>
      <c r="J23" s="357">
        <v>0.9</v>
      </c>
      <c r="K23" s="357">
        <v>0.9</v>
      </c>
      <c r="L23" s="357">
        <v>0.9</v>
      </c>
      <c r="M23" s="357">
        <v>0.9</v>
      </c>
      <c r="N23" s="357">
        <v>0.9</v>
      </c>
      <c r="O23" s="357">
        <v>0.9</v>
      </c>
      <c r="P23" s="357">
        <v>0.9</v>
      </c>
      <c r="Q23" s="357">
        <v>0.9</v>
      </c>
      <c r="R23" s="357">
        <v>0.9</v>
      </c>
      <c r="S23" s="357">
        <v>0.9</v>
      </c>
      <c r="T23" s="357">
        <v>0.9</v>
      </c>
      <c r="U23" s="357">
        <v>0.9</v>
      </c>
      <c r="V23" s="357">
        <v>0.9</v>
      </c>
      <c r="W23" s="357">
        <v>0.9</v>
      </c>
      <c r="X23" s="357">
        <v>0.9</v>
      </c>
      <c r="Y23" s="357">
        <v>0.9</v>
      </c>
      <c r="Z23" s="357">
        <v>0.9</v>
      </c>
      <c r="AA23" s="357">
        <v>0.9</v>
      </c>
      <c r="AB23" s="357">
        <v>0.9</v>
      </c>
      <c r="AC23" s="390">
        <v>0.9</v>
      </c>
    </row>
    <row r="24" spans="1:40" ht="21.75" customHeight="1">
      <c r="A24" s="622"/>
      <c r="B24" s="625"/>
      <c r="C24" s="646"/>
      <c r="D24" s="657"/>
      <c r="E24" s="391" t="s">
        <v>520</v>
      </c>
      <c r="F24" s="392">
        <v>0.9</v>
      </c>
      <c r="G24" s="392">
        <v>0.9</v>
      </c>
      <c r="H24" s="392">
        <v>0.9</v>
      </c>
      <c r="I24" s="392">
        <v>0.9</v>
      </c>
      <c r="J24" s="392">
        <v>0.9</v>
      </c>
      <c r="K24" s="392">
        <v>0.9</v>
      </c>
      <c r="L24" s="392">
        <v>0.9</v>
      </c>
      <c r="M24" s="392">
        <v>0.9</v>
      </c>
      <c r="N24" s="392">
        <v>0.9</v>
      </c>
      <c r="O24" s="392">
        <v>0.9</v>
      </c>
      <c r="P24" s="392">
        <v>0.9</v>
      </c>
      <c r="Q24" s="392">
        <v>0.9</v>
      </c>
      <c r="R24" s="392">
        <v>0.9</v>
      </c>
      <c r="S24" s="392">
        <v>0.9</v>
      </c>
      <c r="T24" s="392">
        <v>0.9</v>
      </c>
      <c r="U24" s="392">
        <v>0.9</v>
      </c>
      <c r="V24" s="392">
        <v>0.9</v>
      </c>
      <c r="W24" s="392">
        <v>0.9</v>
      </c>
      <c r="X24" s="392">
        <v>0.9</v>
      </c>
      <c r="Y24" s="392">
        <v>0.9</v>
      </c>
      <c r="Z24" s="392">
        <v>0.9</v>
      </c>
      <c r="AA24" s="392">
        <v>0.9</v>
      </c>
      <c r="AB24" s="392">
        <v>0.9</v>
      </c>
      <c r="AC24" s="393">
        <v>0.9</v>
      </c>
    </row>
    <row r="25" spans="1:40" ht="21.75" customHeight="1">
      <c r="A25" s="632" t="str">
        <f t="shared" ref="A25" si="4">A16</f>
        <v>All the zones</v>
      </c>
      <c r="B25" s="634" t="s">
        <v>116</v>
      </c>
      <c r="C25" s="636" t="s">
        <v>527</v>
      </c>
      <c r="D25" s="640" t="s">
        <v>395</v>
      </c>
      <c r="E25" s="386" t="s">
        <v>518</v>
      </c>
      <c r="F25" s="394">
        <v>60</v>
      </c>
      <c r="G25" s="394">
        <v>60</v>
      </c>
      <c r="H25" s="394">
        <v>60</v>
      </c>
      <c r="I25" s="394">
        <v>60</v>
      </c>
      <c r="J25" s="394">
        <v>60</v>
      </c>
      <c r="K25" s="394">
        <v>60</v>
      </c>
      <c r="L25" s="394">
        <v>70</v>
      </c>
      <c r="M25" s="394">
        <v>70</v>
      </c>
      <c r="N25" s="394">
        <v>70</v>
      </c>
      <c r="O25" s="394">
        <v>70</v>
      </c>
      <c r="P25" s="394">
        <v>70</v>
      </c>
      <c r="Q25" s="394">
        <v>70</v>
      </c>
      <c r="R25" s="394">
        <v>70</v>
      </c>
      <c r="S25" s="394">
        <v>70</v>
      </c>
      <c r="T25" s="394">
        <v>70</v>
      </c>
      <c r="U25" s="394">
        <v>70</v>
      </c>
      <c r="V25" s="394">
        <v>70</v>
      </c>
      <c r="W25" s="394">
        <v>70</v>
      </c>
      <c r="X25" s="394">
        <v>70</v>
      </c>
      <c r="Y25" s="394">
        <v>70</v>
      </c>
      <c r="Z25" s="394">
        <v>70</v>
      </c>
      <c r="AA25" s="394">
        <v>60</v>
      </c>
      <c r="AB25" s="394">
        <v>60</v>
      </c>
      <c r="AC25" s="395">
        <v>60</v>
      </c>
    </row>
    <row r="26" spans="1:40" ht="21.75" customHeight="1">
      <c r="A26" s="621"/>
      <c r="B26" s="624"/>
      <c r="C26" s="627"/>
      <c r="D26" s="641"/>
      <c r="E26" s="389" t="s">
        <v>519</v>
      </c>
      <c r="F26" s="358">
        <v>60</v>
      </c>
      <c r="G26" s="358">
        <v>60</v>
      </c>
      <c r="H26" s="358">
        <v>60</v>
      </c>
      <c r="I26" s="358">
        <v>60</v>
      </c>
      <c r="J26" s="358">
        <v>60</v>
      </c>
      <c r="K26" s="358">
        <v>60</v>
      </c>
      <c r="L26" s="358">
        <v>70</v>
      </c>
      <c r="M26" s="358">
        <v>70</v>
      </c>
      <c r="N26" s="358">
        <v>70</v>
      </c>
      <c r="O26" s="358">
        <v>70</v>
      </c>
      <c r="P26" s="358">
        <v>70</v>
      </c>
      <c r="Q26" s="358">
        <v>70</v>
      </c>
      <c r="R26" s="358">
        <v>70</v>
      </c>
      <c r="S26" s="358">
        <v>70</v>
      </c>
      <c r="T26" s="358">
        <v>70</v>
      </c>
      <c r="U26" s="358">
        <v>70</v>
      </c>
      <c r="V26" s="358">
        <v>70</v>
      </c>
      <c r="W26" s="358">
        <v>70</v>
      </c>
      <c r="X26" s="358">
        <v>70</v>
      </c>
      <c r="Y26" s="358">
        <v>70</v>
      </c>
      <c r="Z26" s="358">
        <v>70</v>
      </c>
      <c r="AA26" s="358">
        <v>70</v>
      </c>
      <c r="AB26" s="358">
        <v>60</v>
      </c>
      <c r="AC26" s="396">
        <v>60</v>
      </c>
    </row>
    <row r="27" spans="1:40" ht="21.75" customHeight="1">
      <c r="A27" s="622"/>
      <c r="B27" s="625"/>
      <c r="C27" s="628"/>
      <c r="D27" s="657"/>
      <c r="E27" s="391" t="s">
        <v>520</v>
      </c>
      <c r="F27" s="358">
        <v>60</v>
      </c>
      <c r="G27" s="358">
        <v>60</v>
      </c>
      <c r="H27" s="358">
        <v>60</v>
      </c>
      <c r="I27" s="358">
        <v>60</v>
      </c>
      <c r="J27" s="358">
        <v>60</v>
      </c>
      <c r="K27" s="358">
        <v>60</v>
      </c>
      <c r="L27" s="358">
        <v>60</v>
      </c>
      <c r="M27" s="358">
        <v>60</v>
      </c>
      <c r="N27" s="358">
        <v>70</v>
      </c>
      <c r="O27" s="358">
        <v>70</v>
      </c>
      <c r="P27" s="358">
        <v>70</v>
      </c>
      <c r="Q27" s="358">
        <v>70</v>
      </c>
      <c r="R27" s="358">
        <v>70</v>
      </c>
      <c r="S27" s="358">
        <v>70</v>
      </c>
      <c r="T27" s="358">
        <v>70</v>
      </c>
      <c r="U27" s="358">
        <v>70</v>
      </c>
      <c r="V27" s="358">
        <v>70</v>
      </c>
      <c r="W27" s="358">
        <v>70</v>
      </c>
      <c r="X27" s="358">
        <v>70</v>
      </c>
      <c r="Y27" s="358">
        <v>60</v>
      </c>
      <c r="Z27" s="358">
        <v>60</v>
      </c>
      <c r="AA27" s="358">
        <v>60</v>
      </c>
      <c r="AB27" s="358">
        <v>60</v>
      </c>
      <c r="AC27" s="396">
        <v>60</v>
      </c>
    </row>
    <row r="28" spans="1:40" ht="21.75" customHeight="1">
      <c r="A28" s="632" t="str">
        <f t="shared" ref="A28" si="5">A19</f>
        <v>All the zones</v>
      </c>
      <c r="B28" s="634" t="s">
        <v>116</v>
      </c>
      <c r="C28" s="636" t="s">
        <v>528</v>
      </c>
      <c r="D28" s="640" t="s">
        <v>395</v>
      </c>
      <c r="E28" s="397" t="s">
        <v>518</v>
      </c>
      <c r="F28" s="378">
        <v>85</v>
      </c>
      <c r="G28" s="378">
        <v>85</v>
      </c>
      <c r="H28" s="378">
        <v>85</v>
      </c>
      <c r="I28" s="378">
        <v>85</v>
      </c>
      <c r="J28" s="378">
        <v>85</v>
      </c>
      <c r="K28" s="378">
        <v>85</v>
      </c>
      <c r="L28" s="378">
        <v>75</v>
      </c>
      <c r="M28" s="378">
        <v>75</v>
      </c>
      <c r="N28" s="378">
        <v>75</v>
      </c>
      <c r="O28" s="378">
        <v>75</v>
      </c>
      <c r="P28" s="378">
        <v>75</v>
      </c>
      <c r="Q28" s="378">
        <v>75</v>
      </c>
      <c r="R28" s="378">
        <v>75</v>
      </c>
      <c r="S28" s="378">
        <v>75</v>
      </c>
      <c r="T28" s="378">
        <v>75</v>
      </c>
      <c r="U28" s="378">
        <v>75</v>
      </c>
      <c r="V28" s="378">
        <v>75</v>
      </c>
      <c r="W28" s="378">
        <v>75</v>
      </c>
      <c r="X28" s="378">
        <v>75</v>
      </c>
      <c r="Y28" s="378">
        <v>75</v>
      </c>
      <c r="Z28" s="378">
        <v>75</v>
      </c>
      <c r="AA28" s="378">
        <v>85</v>
      </c>
      <c r="AB28" s="378">
        <v>85</v>
      </c>
      <c r="AC28" s="379">
        <v>85</v>
      </c>
    </row>
    <row r="29" spans="1:40" ht="21.75" customHeight="1">
      <c r="A29" s="621"/>
      <c r="B29" s="624"/>
      <c r="C29" s="627"/>
      <c r="D29" s="641"/>
      <c r="E29" s="398" t="s">
        <v>519</v>
      </c>
      <c r="F29" s="359">
        <v>85</v>
      </c>
      <c r="G29" s="359">
        <v>85</v>
      </c>
      <c r="H29" s="359">
        <v>85</v>
      </c>
      <c r="I29" s="359">
        <v>85</v>
      </c>
      <c r="J29" s="359">
        <v>85</v>
      </c>
      <c r="K29" s="359">
        <v>85</v>
      </c>
      <c r="L29" s="359">
        <v>75</v>
      </c>
      <c r="M29" s="359">
        <v>75</v>
      </c>
      <c r="N29" s="359">
        <v>75</v>
      </c>
      <c r="O29" s="359">
        <v>75</v>
      </c>
      <c r="P29" s="359">
        <v>75</v>
      </c>
      <c r="Q29" s="359">
        <v>75</v>
      </c>
      <c r="R29" s="359">
        <v>75</v>
      </c>
      <c r="S29" s="359">
        <v>75</v>
      </c>
      <c r="T29" s="359">
        <v>75</v>
      </c>
      <c r="U29" s="359">
        <v>75</v>
      </c>
      <c r="V29" s="359">
        <v>75</v>
      </c>
      <c r="W29" s="359">
        <v>75</v>
      </c>
      <c r="X29" s="359">
        <v>75</v>
      </c>
      <c r="Y29" s="359">
        <v>75</v>
      </c>
      <c r="Z29" s="359">
        <v>75</v>
      </c>
      <c r="AA29" s="359">
        <v>75</v>
      </c>
      <c r="AB29" s="359">
        <v>85</v>
      </c>
      <c r="AC29" s="383">
        <v>85</v>
      </c>
    </row>
    <row r="30" spans="1:40" ht="21.75" customHeight="1">
      <c r="A30" s="622"/>
      <c r="B30" s="625"/>
      <c r="C30" s="628"/>
      <c r="D30" s="657"/>
      <c r="E30" s="401" t="s">
        <v>520</v>
      </c>
      <c r="F30" s="367">
        <v>85</v>
      </c>
      <c r="G30" s="367">
        <v>85</v>
      </c>
      <c r="H30" s="367">
        <v>85</v>
      </c>
      <c r="I30" s="367">
        <v>85</v>
      </c>
      <c r="J30" s="367">
        <v>85</v>
      </c>
      <c r="K30" s="392">
        <v>85</v>
      </c>
      <c r="L30" s="392">
        <v>85</v>
      </c>
      <c r="M30" s="392">
        <v>85</v>
      </c>
      <c r="N30" s="392">
        <v>75</v>
      </c>
      <c r="O30" s="392">
        <v>75</v>
      </c>
      <c r="P30" s="392">
        <v>75</v>
      </c>
      <c r="Q30" s="392">
        <v>75</v>
      </c>
      <c r="R30" s="392">
        <v>75</v>
      </c>
      <c r="S30" s="392">
        <v>75</v>
      </c>
      <c r="T30" s="392">
        <v>75</v>
      </c>
      <c r="U30" s="392">
        <v>75</v>
      </c>
      <c r="V30" s="392">
        <v>75</v>
      </c>
      <c r="W30" s="392">
        <v>75</v>
      </c>
      <c r="X30" s="392">
        <v>75</v>
      </c>
      <c r="Y30" s="392">
        <v>85</v>
      </c>
      <c r="Z30" s="392">
        <v>85</v>
      </c>
      <c r="AA30" s="392">
        <v>85</v>
      </c>
      <c r="AB30" s="392">
        <v>85</v>
      </c>
      <c r="AC30" s="393">
        <v>85</v>
      </c>
    </row>
    <row r="31" spans="1:40" ht="21.75" customHeight="1">
      <c r="A31" s="632" t="s">
        <v>529</v>
      </c>
      <c r="B31" s="634" t="s">
        <v>116</v>
      </c>
      <c r="C31" s="636" t="s">
        <v>530</v>
      </c>
      <c r="D31" s="640"/>
      <c r="E31" s="386" t="s">
        <v>518</v>
      </c>
      <c r="F31" s="421">
        <v>0</v>
      </c>
      <c r="G31" s="421">
        <v>0</v>
      </c>
      <c r="H31" s="421">
        <v>0</v>
      </c>
      <c r="I31" s="421">
        <v>0</v>
      </c>
      <c r="J31" s="421">
        <v>0</v>
      </c>
      <c r="K31" s="426">
        <v>0</v>
      </c>
      <c r="L31" s="426">
        <v>0</v>
      </c>
      <c r="M31" s="426">
        <v>0</v>
      </c>
      <c r="N31" s="426">
        <v>0</v>
      </c>
      <c r="O31" s="426">
        <v>0</v>
      </c>
      <c r="P31" s="426">
        <v>0</v>
      </c>
      <c r="Q31" s="426">
        <v>1</v>
      </c>
      <c r="R31" s="426">
        <v>0</v>
      </c>
      <c r="S31" s="426">
        <v>0</v>
      </c>
      <c r="T31" s="426">
        <v>0</v>
      </c>
      <c r="U31" s="426">
        <v>0</v>
      </c>
      <c r="V31" s="426">
        <v>0</v>
      </c>
      <c r="W31" s="426">
        <v>0</v>
      </c>
      <c r="X31" s="426">
        <v>0</v>
      </c>
      <c r="Y31" s="426">
        <v>0</v>
      </c>
      <c r="Z31" s="426">
        <v>0</v>
      </c>
      <c r="AA31" s="427">
        <v>0</v>
      </c>
      <c r="AB31" s="427">
        <v>0</v>
      </c>
      <c r="AC31" s="428">
        <v>1</v>
      </c>
      <c r="AD31" s="399"/>
      <c r="AE31" s="619" t="s">
        <v>531</v>
      </c>
      <c r="AF31" s="619"/>
      <c r="AG31" s="619"/>
      <c r="AH31" s="619"/>
      <c r="AI31" s="619"/>
      <c r="AJ31" s="399"/>
      <c r="AK31" s="399"/>
      <c r="AL31" s="399"/>
      <c r="AM31" s="399"/>
      <c r="AN31" s="399"/>
    </row>
    <row r="32" spans="1:40" ht="21.75" customHeight="1">
      <c r="A32" s="621"/>
      <c r="B32" s="624"/>
      <c r="C32" s="627"/>
      <c r="D32" s="641"/>
      <c r="E32" s="389" t="s">
        <v>519</v>
      </c>
      <c r="F32" s="418">
        <v>0</v>
      </c>
      <c r="G32" s="418">
        <v>0</v>
      </c>
      <c r="H32" s="418">
        <v>0</v>
      </c>
      <c r="I32" s="418">
        <v>0</v>
      </c>
      <c r="J32" s="418">
        <v>0</v>
      </c>
      <c r="K32" s="429">
        <v>0</v>
      </c>
      <c r="L32" s="429">
        <v>0</v>
      </c>
      <c r="M32" s="429">
        <v>0</v>
      </c>
      <c r="N32" s="429">
        <v>0</v>
      </c>
      <c r="O32" s="429">
        <v>0</v>
      </c>
      <c r="P32" s="429">
        <v>0</v>
      </c>
      <c r="Q32" s="429">
        <v>1</v>
      </c>
      <c r="R32" s="429">
        <v>0</v>
      </c>
      <c r="S32" s="429">
        <v>0</v>
      </c>
      <c r="T32" s="429">
        <v>0</v>
      </c>
      <c r="U32" s="429">
        <v>0</v>
      </c>
      <c r="V32" s="429">
        <v>0</v>
      </c>
      <c r="W32" s="429">
        <v>0</v>
      </c>
      <c r="X32" s="429">
        <v>0</v>
      </c>
      <c r="Y32" s="429">
        <v>0</v>
      </c>
      <c r="Z32" s="429">
        <v>0</v>
      </c>
      <c r="AA32" s="430">
        <v>0</v>
      </c>
      <c r="AB32" s="430">
        <v>0</v>
      </c>
      <c r="AC32" s="431">
        <v>1</v>
      </c>
      <c r="AE32" s="619"/>
      <c r="AF32" s="619"/>
      <c r="AG32" s="619"/>
      <c r="AH32" s="619"/>
      <c r="AI32" s="619"/>
    </row>
    <row r="33" spans="1:35" ht="21.75" customHeight="1">
      <c r="A33" s="622"/>
      <c r="B33" s="625"/>
      <c r="C33" s="628"/>
      <c r="D33" s="657"/>
      <c r="E33" s="391" t="s">
        <v>520</v>
      </c>
      <c r="F33" s="423">
        <v>0</v>
      </c>
      <c r="G33" s="423">
        <v>0</v>
      </c>
      <c r="H33" s="423">
        <v>0</v>
      </c>
      <c r="I33" s="423">
        <v>0</v>
      </c>
      <c r="J33" s="423">
        <v>0</v>
      </c>
      <c r="K33" s="432">
        <v>0</v>
      </c>
      <c r="L33" s="432">
        <v>0</v>
      </c>
      <c r="M33" s="432">
        <v>0</v>
      </c>
      <c r="N33" s="432">
        <v>0</v>
      </c>
      <c r="O33" s="432">
        <v>0</v>
      </c>
      <c r="P33" s="432">
        <v>0</v>
      </c>
      <c r="Q33" s="432">
        <v>1</v>
      </c>
      <c r="R33" s="432">
        <v>0</v>
      </c>
      <c r="S33" s="432">
        <v>0</v>
      </c>
      <c r="T33" s="432">
        <v>0</v>
      </c>
      <c r="U33" s="432">
        <v>0</v>
      </c>
      <c r="V33" s="432">
        <v>0</v>
      </c>
      <c r="W33" s="432">
        <v>0</v>
      </c>
      <c r="X33" s="432">
        <v>0</v>
      </c>
      <c r="Y33" s="432">
        <v>0</v>
      </c>
      <c r="Z33" s="432">
        <v>0</v>
      </c>
      <c r="AA33" s="432">
        <v>0</v>
      </c>
      <c r="AB33" s="432">
        <v>0</v>
      </c>
      <c r="AC33" s="433">
        <v>1</v>
      </c>
      <c r="AE33" s="619"/>
      <c r="AF33" s="619"/>
      <c r="AG33" s="619"/>
      <c r="AH33" s="619"/>
      <c r="AI33" s="619"/>
    </row>
    <row r="34" spans="1:35" ht="21.75" customHeight="1">
      <c r="A34" s="632" t="s">
        <v>529</v>
      </c>
      <c r="B34" s="634" t="s">
        <v>116</v>
      </c>
      <c r="C34" s="636" t="s">
        <v>532</v>
      </c>
      <c r="D34" s="640" t="s">
        <v>533</v>
      </c>
      <c r="E34" s="386" t="s">
        <v>518</v>
      </c>
      <c r="F34" s="421">
        <v>0</v>
      </c>
      <c r="G34" s="421">
        <v>0</v>
      </c>
      <c r="H34" s="421">
        <v>0</v>
      </c>
      <c r="I34" s="421">
        <v>0</v>
      </c>
      <c r="J34" s="421">
        <v>0</v>
      </c>
      <c r="K34" s="426">
        <v>0</v>
      </c>
      <c r="L34" s="426">
        <v>0</v>
      </c>
      <c r="M34" s="426">
        <v>0</v>
      </c>
      <c r="N34" s="426">
        <v>0</v>
      </c>
      <c r="O34" s="426">
        <v>0</v>
      </c>
      <c r="P34" s="426">
        <v>0</v>
      </c>
      <c r="Q34" s="426">
        <v>1</v>
      </c>
      <c r="R34" s="426">
        <v>0</v>
      </c>
      <c r="S34" s="426">
        <v>0</v>
      </c>
      <c r="T34" s="426">
        <v>0</v>
      </c>
      <c r="U34" s="426">
        <v>0</v>
      </c>
      <c r="V34" s="426">
        <v>0</v>
      </c>
      <c r="W34" s="426">
        <v>0</v>
      </c>
      <c r="X34" s="426">
        <v>0</v>
      </c>
      <c r="Y34" s="426">
        <v>0</v>
      </c>
      <c r="Z34" s="426">
        <v>0</v>
      </c>
      <c r="AA34" s="426">
        <v>0</v>
      </c>
      <c r="AB34" s="427">
        <v>0</v>
      </c>
      <c r="AC34" s="428">
        <v>1</v>
      </c>
      <c r="AE34" s="619"/>
      <c r="AF34" s="619"/>
      <c r="AG34" s="619"/>
      <c r="AH34" s="619"/>
      <c r="AI34" s="619"/>
    </row>
    <row r="35" spans="1:35" ht="21.75" customHeight="1">
      <c r="A35" s="621"/>
      <c r="B35" s="624"/>
      <c r="C35" s="627"/>
      <c r="D35" s="641"/>
      <c r="E35" s="389" t="s">
        <v>519</v>
      </c>
      <c r="F35" s="418">
        <v>0</v>
      </c>
      <c r="G35" s="418">
        <v>0</v>
      </c>
      <c r="H35" s="418">
        <v>0</v>
      </c>
      <c r="I35" s="418">
        <v>0</v>
      </c>
      <c r="J35" s="418">
        <v>0</v>
      </c>
      <c r="K35" s="429">
        <v>0</v>
      </c>
      <c r="L35" s="429">
        <v>0</v>
      </c>
      <c r="M35" s="429">
        <v>0</v>
      </c>
      <c r="N35" s="429">
        <v>0</v>
      </c>
      <c r="O35" s="429">
        <v>0</v>
      </c>
      <c r="P35" s="429">
        <v>0</v>
      </c>
      <c r="Q35" s="429">
        <v>1</v>
      </c>
      <c r="R35" s="429">
        <v>0</v>
      </c>
      <c r="S35" s="429">
        <v>0</v>
      </c>
      <c r="T35" s="429">
        <v>0</v>
      </c>
      <c r="U35" s="429">
        <v>0</v>
      </c>
      <c r="V35" s="429">
        <v>0</v>
      </c>
      <c r="W35" s="429">
        <v>0</v>
      </c>
      <c r="X35" s="429">
        <v>0</v>
      </c>
      <c r="Y35" s="429">
        <v>0</v>
      </c>
      <c r="Z35" s="429">
        <v>0</v>
      </c>
      <c r="AA35" s="430">
        <v>0</v>
      </c>
      <c r="AB35" s="430">
        <v>0</v>
      </c>
      <c r="AC35" s="431">
        <v>1</v>
      </c>
      <c r="AE35" s="619"/>
      <c r="AF35" s="619"/>
      <c r="AG35" s="619"/>
      <c r="AH35" s="619"/>
      <c r="AI35" s="619"/>
    </row>
    <row r="36" spans="1:35" ht="21.75" customHeight="1">
      <c r="A36" s="633"/>
      <c r="B36" s="635"/>
      <c r="C36" s="637"/>
      <c r="D36" s="642"/>
      <c r="E36" s="422" t="s">
        <v>520</v>
      </c>
      <c r="F36" s="425">
        <v>0</v>
      </c>
      <c r="G36" s="425">
        <v>0</v>
      </c>
      <c r="H36" s="425">
        <v>0</v>
      </c>
      <c r="I36" s="425">
        <v>0</v>
      </c>
      <c r="J36" s="425">
        <v>0</v>
      </c>
      <c r="K36" s="434">
        <v>0</v>
      </c>
      <c r="L36" s="434">
        <v>0</v>
      </c>
      <c r="M36" s="434">
        <v>0</v>
      </c>
      <c r="N36" s="434">
        <v>0</v>
      </c>
      <c r="O36" s="434">
        <v>0</v>
      </c>
      <c r="P36" s="434">
        <v>0</v>
      </c>
      <c r="Q36" s="434">
        <v>1</v>
      </c>
      <c r="R36" s="434">
        <v>0</v>
      </c>
      <c r="S36" s="434">
        <v>0</v>
      </c>
      <c r="T36" s="434">
        <v>0</v>
      </c>
      <c r="U36" s="434">
        <v>0</v>
      </c>
      <c r="V36" s="434">
        <v>0</v>
      </c>
      <c r="W36" s="434">
        <v>0</v>
      </c>
      <c r="X36" s="434">
        <v>0</v>
      </c>
      <c r="Y36" s="434">
        <v>0</v>
      </c>
      <c r="Z36" s="434">
        <v>0</v>
      </c>
      <c r="AA36" s="435">
        <v>0</v>
      </c>
      <c r="AB36" s="435">
        <v>0</v>
      </c>
      <c r="AC36" s="436">
        <v>1</v>
      </c>
    </row>
    <row r="37" spans="1:35" ht="21.75" customHeight="1">
      <c r="A37" s="620" t="s">
        <v>529</v>
      </c>
      <c r="B37" s="623" t="s">
        <v>116</v>
      </c>
      <c r="C37" s="626" t="s">
        <v>534</v>
      </c>
      <c r="D37" s="629"/>
      <c r="E37" s="419" t="s">
        <v>518</v>
      </c>
      <c r="F37" s="368">
        <v>0</v>
      </c>
      <c r="G37" s="368">
        <v>0</v>
      </c>
      <c r="H37" s="368">
        <v>0</v>
      </c>
      <c r="I37" s="368">
        <v>0</v>
      </c>
      <c r="J37" s="368">
        <v>0</v>
      </c>
      <c r="K37" s="368">
        <v>0</v>
      </c>
      <c r="L37" s="368">
        <v>0</v>
      </c>
      <c r="M37" s="368">
        <v>0</v>
      </c>
      <c r="N37" s="368">
        <v>0</v>
      </c>
      <c r="O37" s="368">
        <v>0</v>
      </c>
      <c r="P37" s="368">
        <v>0</v>
      </c>
      <c r="Q37" s="368">
        <v>0</v>
      </c>
      <c r="R37" s="368">
        <v>0</v>
      </c>
      <c r="S37" s="406">
        <v>0.5</v>
      </c>
      <c r="T37" s="406">
        <v>0.35</v>
      </c>
      <c r="U37" s="368">
        <v>0</v>
      </c>
      <c r="V37" s="368">
        <v>0</v>
      </c>
      <c r="W37" s="368">
        <v>0</v>
      </c>
      <c r="X37" s="368">
        <v>0</v>
      </c>
      <c r="Y37" s="368">
        <v>0</v>
      </c>
      <c r="Z37" s="368">
        <v>0</v>
      </c>
      <c r="AA37" s="420">
        <v>0</v>
      </c>
      <c r="AB37" s="368">
        <v>0</v>
      </c>
      <c r="AC37" s="424">
        <v>0</v>
      </c>
    </row>
    <row r="38" spans="1:35" ht="21.75" customHeight="1">
      <c r="A38" s="621"/>
      <c r="B38" s="624"/>
      <c r="C38" s="627"/>
      <c r="D38" s="630"/>
      <c r="E38" s="405" t="s">
        <v>519</v>
      </c>
      <c r="F38" s="359">
        <v>0</v>
      </c>
      <c r="G38" s="359">
        <v>0</v>
      </c>
      <c r="H38" s="359">
        <v>0</v>
      </c>
      <c r="I38" s="359">
        <v>0</v>
      </c>
      <c r="J38" s="359">
        <v>0</v>
      </c>
      <c r="K38" s="359">
        <v>0</v>
      </c>
      <c r="L38" s="359">
        <v>0</v>
      </c>
      <c r="M38" s="359">
        <v>0</v>
      </c>
      <c r="N38" s="359">
        <v>0</v>
      </c>
      <c r="O38" s="359">
        <v>0</v>
      </c>
      <c r="P38" s="359">
        <v>0</v>
      </c>
      <c r="Q38" s="359">
        <v>0</v>
      </c>
      <c r="R38" s="359">
        <v>0</v>
      </c>
      <c r="S38" s="357">
        <v>0.5</v>
      </c>
      <c r="T38" s="357">
        <v>0.35</v>
      </c>
      <c r="U38" s="359">
        <v>0</v>
      </c>
      <c r="V38" s="359">
        <v>0</v>
      </c>
      <c r="W38" s="359">
        <v>0</v>
      </c>
      <c r="X38" s="359">
        <v>0</v>
      </c>
      <c r="Y38" s="359">
        <v>0</v>
      </c>
      <c r="Z38" s="359">
        <v>0</v>
      </c>
      <c r="AA38" s="410">
        <v>0</v>
      </c>
      <c r="AB38" s="359">
        <v>0</v>
      </c>
      <c r="AC38" s="412">
        <v>0</v>
      </c>
    </row>
    <row r="39" spans="1:35" ht="21.75" customHeight="1">
      <c r="A39" s="622"/>
      <c r="B39" s="625"/>
      <c r="C39" s="628"/>
      <c r="D39" s="631"/>
      <c r="E39" s="403" t="s">
        <v>520</v>
      </c>
      <c r="F39" s="384">
        <v>0</v>
      </c>
      <c r="G39" s="384">
        <v>0</v>
      </c>
      <c r="H39" s="384">
        <v>0</v>
      </c>
      <c r="I39" s="384">
        <v>0</v>
      </c>
      <c r="J39" s="384">
        <v>0</v>
      </c>
      <c r="K39" s="384">
        <v>0</v>
      </c>
      <c r="L39" s="384">
        <v>0</v>
      </c>
      <c r="M39" s="384">
        <v>0</v>
      </c>
      <c r="N39" s="384">
        <v>0</v>
      </c>
      <c r="O39" s="384">
        <v>0</v>
      </c>
      <c r="P39" s="384">
        <v>0</v>
      </c>
      <c r="Q39" s="384">
        <v>0</v>
      </c>
      <c r="R39" s="384">
        <v>0</v>
      </c>
      <c r="S39" s="417">
        <v>0.5</v>
      </c>
      <c r="T39" s="417">
        <v>0.35</v>
      </c>
      <c r="U39" s="384">
        <v>0</v>
      </c>
      <c r="V39" s="384">
        <v>0</v>
      </c>
      <c r="W39" s="384">
        <v>0</v>
      </c>
      <c r="X39" s="384">
        <v>0</v>
      </c>
      <c r="Y39" s="384">
        <v>0</v>
      </c>
      <c r="Z39" s="384">
        <v>0</v>
      </c>
      <c r="AA39" s="411">
        <v>0</v>
      </c>
      <c r="AB39" s="384">
        <v>0</v>
      </c>
      <c r="AC39" s="413">
        <v>0</v>
      </c>
    </row>
    <row r="40" spans="1:35" ht="21.75" customHeight="1">
      <c r="A40" s="632" t="s">
        <v>529</v>
      </c>
      <c r="B40" s="634" t="s">
        <v>116</v>
      </c>
      <c r="C40" s="636" t="s">
        <v>535</v>
      </c>
      <c r="D40" s="638"/>
      <c r="E40" s="404" t="s">
        <v>518</v>
      </c>
      <c r="F40" s="387">
        <v>0.2</v>
      </c>
      <c r="G40" s="387">
        <v>0.2</v>
      </c>
      <c r="H40" s="387">
        <v>0.2</v>
      </c>
      <c r="I40" s="387">
        <v>0.2</v>
      </c>
      <c r="J40" s="387">
        <v>0.2</v>
      </c>
      <c r="K40" s="387">
        <v>0.2</v>
      </c>
      <c r="L40" s="387">
        <v>0.2</v>
      </c>
      <c r="M40" s="387">
        <v>0.6</v>
      </c>
      <c r="N40" s="387">
        <v>0.6</v>
      </c>
      <c r="O40" s="387">
        <v>0.6</v>
      </c>
      <c r="P40" s="387">
        <v>0.6</v>
      </c>
      <c r="Q40" s="387">
        <v>0.6</v>
      </c>
      <c r="R40" s="387">
        <v>0.6</v>
      </c>
      <c r="S40" s="387">
        <v>0.6</v>
      </c>
      <c r="T40" s="387">
        <v>0.6</v>
      </c>
      <c r="U40" s="387">
        <v>0.6</v>
      </c>
      <c r="V40" s="387">
        <v>0.6</v>
      </c>
      <c r="W40" s="387">
        <v>0.6</v>
      </c>
      <c r="X40" s="387">
        <v>0.6</v>
      </c>
      <c r="Y40" s="387">
        <v>0.6</v>
      </c>
      <c r="Z40" s="387">
        <v>0.6</v>
      </c>
      <c r="AA40" s="387">
        <v>0.2</v>
      </c>
      <c r="AB40" s="387">
        <v>0.2</v>
      </c>
      <c r="AC40" s="388">
        <v>0.2</v>
      </c>
    </row>
    <row r="41" spans="1:35" ht="21.75" customHeight="1">
      <c r="A41" s="621"/>
      <c r="B41" s="624"/>
      <c r="C41" s="627"/>
      <c r="D41" s="630"/>
      <c r="E41" s="405" t="s">
        <v>519</v>
      </c>
      <c r="F41" s="406">
        <v>0.2</v>
      </c>
      <c r="G41" s="406">
        <v>0.2</v>
      </c>
      <c r="H41" s="406">
        <v>0.2</v>
      </c>
      <c r="I41" s="406">
        <v>0.2</v>
      </c>
      <c r="J41" s="406">
        <v>0.2</v>
      </c>
      <c r="K41" s="406">
        <v>0.2</v>
      </c>
      <c r="L41" s="406">
        <v>0.2</v>
      </c>
      <c r="M41" s="406">
        <v>0.6</v>
      </c>
      <c r="N41" s="406">
        <v>0.6</v>
      </c>
      <c r="O41" s="406">
        <v>0.6</v>
      </c>
      <c r="P41" s="406">
        <v>0.6</v>
      </c>
      <c r="Q41" s="406">
        <v>0.6</v>
      </c>
      <c r="R41" s="406">
        <v>0.6</v>
      </c>
      <c r="S41" s="406">
        <v>0.6</v>
      </c>
      <c r="T41" s="406">
        <v>0.6</v>
      </c>
      <c r="U41" s="406">
        <v>0.6</v>
      </c>
      <c r="V41" s="406">
        <v>0.6</v>
      </c>
      <c r="W41" s="406">
        <v>0.6</v>
      </c>
      <c r="X41" s="406">
        <v>0.6</v>
      </c>
      <c r="Y41" s="406">
        <v>0.6</v>
      </c>
      <c r="Z41" s="406">
        <v>0.6</v>
      </c>
      <c r="AA41" s="406">
        <v>0.2</v>
      </c>
      <c r="AB41" s="406">
        <v>0.2</v>
      </c>
      <c r="AC41" s="407">
        <v>0.2</v>
      </c>
    </row>
    <row r="42" spans="1:35" ht="21.75" customHeight="1">
      <c r="A42" s="633"/>
      <c r="B42" s="635"/>
      <c r="C42" s="637"/>
      <c r="D42" s="639"/>
      <c r="E42" s="403" t="s">
        <v>520</v>
      </c>
      <c r="F42" s="408">
        <v>0.2</v>
      </c>
      <c r="G42" s="408">
        <v>0.2</v>
      </c>
      <c r="H42" s="408">
        <v>0.2</v>
      </c>
      <c r="I42" s="408">
        <v>0.2</v>
      </c>
      <c r="J42" s="408">
        <v>0.2</v>
      </c>
      <c r="K42" s="408">
        <v>0.2</v>
      </c>
      <c r="L42" s="408">
        <v>0.2</v>
      </c>
      <c r="M42" s="408">
        <v>0.6</v>
      </c>
      <c r="N42" s="408">
        <v>0.6</v>
      </c>
      <c r="O42" s="408">
        <v>0.6</v>
      </c>
      <c r="P42" s="408">
        <v>0.6</v>
      </c>
      <c r="Q42" s="408">
        <v>0.6</v>
      </c>
      <c r="R42" s="408">
        <v>0.6</v>
      </c>
      <c r="S42" s="408">
        <v>0.6</v>
      </c>
      <c r="T42" s="408">
        <v>0.6</v>
      </c>
      <c r="U42" s="408">
        <v>0.6</v>
      </c>
      <c r="V42" s="408">
        <v>0.6</v>
      </c>
      <c r="W42" s="408">
        <v>0.6</v>
      </c>
      <c r="X42" s="408">
        <v>0.6</v>
      </c>
      <c r="Y42" s="408">
        <v>0.6</v>
      </c>
      <c r="Z42" s="408">
        <v>0.6</v>
      </c>
      <c r="AA42" s="408">
        <v>0.2</v>
      </c>
      <c r="AB42" s="408">
        <v>0.2</v>
      </c>
      <c r="AC42" s="409">
        <v>0.2</v>
      </c>
    </row>
    <row r="43" spans="1:35" ht="21.75" customHeight="1">
      <c r="A43" s="686" t="s">
        <v>536</v>
      </c>
      <c r="B43" s="687"/>
      <c r="C43" s="687"/>
      <c r="D43" s="687"/>
      <c r="E43" s="688"/>
      <c r="F43" s="688"/>
      <c r="G43" s="688"/>
      <c r="H43" s="688"/>
      <c r="I43" s="688"/>
      <c r="J43" s="688"/>
      <c r="K43" s="688"/>
      <c r="L43" s="688"/>
      <c r="M43" s="688"/>
      <c r="N43" s="688"/>
      <c r="O43" s="688"/>
      <c r="P43" s="688"/>
      <c r="Q43" s="688"/>
      <c r="R43" s="688"/>
      <c r="S43" s="688"/>
      <c r="T43" s="688"/>
      <c r="U43" s="688"/>
      <c r="V43" s="688"/>
      <c r="W43" s="688"/>
      <c r="X43" s="688"/>
      <c r="Y43" s="688"/>
      <c r="Z43" s="688"/>
      <c r="AA43" s="688"/>
      <c r="AB43" s="688"/>
      <c r="AC43" s="689"/>
    </row>
    <row r="44" spans="1:35" ht="21.75" customHeight="1">
      <c r="A44" s="632"/>
      <c r="B44" s="658" t="s">
        <v>537</v>
      </c>
      <c r="C44" s="636" t="s">
        <v>538</v>
      </c>
      <c r="D44" s="663"/>
      <c r="E44" s="362" t="s">
        <v>518</v>
      </c>
      <c r="F44" s="368">
        <v>1</v>
      </c>
      <c r="G44" s="368">
        <v>1</v>
      </c>
      <c r="H44" s="368">
        <v>1</v>
      </c>
      <c r="I44" s="368">
        <v>1</v>
      </c>
      <c r="J44" s="368">
        <v>1</v>
      </c>
      <c r="K44" s="368">
        <v>1</v>
      </c>
      <c r="L44" s="368">
        <v>1</v>
      </c>
      <c r="M44" s="368">
        <v>1</v>
      </c>
      <c r="N44" s="368">
        <v>1</v>
      </c>
      <c r="O44" s="368">
        <v>1</v>
      </c>
      <c r="P44" s="368">
        <v>1</v>
      </c>
      <c r="Q44" s="368">
        <v>1</v>
      </c>
      <c r="R44" s="368">
        <v>1</v>
      </c>
      <c r="S44" s="368">
        <v>1</v>
      </c>
      <c r="T44" s="368">
        <v>1</v>
      </c>
      <c r="U44" s="368">
        <v>1</v>
      </c>
      <c r="V44" s="368">
        <v>1</v>
      </c>
      <c r="W44" s="368">
        <v>1</v>
      </c>
      <c r="X44" s="368">
        <v>1</v>
      </c>
      <c r="Y44" s="368">
        <v>1</v>
      </c>
      <c r="Z44" s="368">
        <v>1</v>
      </c>
      <c r="AA44" s="368">
        <v>1</v>
      </c>
      <c r="AB44" s="368">
        <v>1</v>
      </c>
      <c r="AC44" s="369">
        <v>1</v>
      </c>
    </row>
    <row r="45" spans="1:35" ht="21.75" customHeight="1">
      <c r="A45" s="621"/>
      <c r="B45" s="659"/>
      <c r="C45" s="661"/>
      <c r="D45" s="664"/>
      <c r="E45" s="361" t="s">
        <v>519</v>
      </c>
      <c r="F45" s="359">
        <v>1</v>
      </c>
      <c r="G45" s="359">
        <v>1</v>
      </c>
      <c r="H45" s="359">
        <v>1</v>
      </c>
      <c r="I45" s="359">
        <v>1</v>
      </c>
      <c r="J45" s="359">
        <v>1</v>
      </c>
      <c r="K45" s="359">
        <v>1</v>
      </c>
      <c r="L45" s="359">
        <v>1</v>
      </c>
      <c r="M45" s="359">
        <v>1</v>
      </c>
      <c r="N45" s="359">
        <v>1</v>
      </c>
      <c r="O45" s="359">
        <v>1</v>
      </c>
      <c r="P45" s="359">
        <v>1</v>
      </c>
      <c r="Q45" s="359">
        <v>1</v>
      </c>
      <c r="R45" s="359">
        <v>1</v>
      </c>
      <c r="S45" s="359">
        <v>1</v>
      </c>
      <c r="T45" s="359">
        <v>1</v>
      </c>
      <c r="U45" s="359">
        <v>1</v>
      </c>
      <c r="V45" s="359">
        <v>1</v>
      </c>
      <c r="W45" s="359">
        <v>1</v>
      </c>
      <c r="X45" s="359">
        <v>1</v>
      </c>
      <c r="Y45" s="359">
        <v>1</v>
      </c>
      <c r="Z45" s="359">
        <v>1</v>
      </c>
      <c r="AA45" s="359">
        <v>1</v>
      </c>
      <c r="AB45" s="359">
        <v>1</v>
      </c>
      <c r="AC45" s="366">
        <v>1</v>
      </c>
    </row>
    <row r="46" spans="1:35" ht="21.75" customHeight="1">
      <c r="A46" s="633"/>
      <c r="B46" s="660"/>
      <c r="C46" s="662"/>
      <c r="D46" s="665"/>
      <c r="E46" s="363" t="s">
        <v>520</v>
      </c>
      <c r="F46" s="367">
        <v>1</v>
      </c>
      <c r="G46" s="367">
        <v>1</v>
      </c>
      <c r="H46" s="367">
        <v>1</v>
      </c>
      <c r="I46" s="367">
        <v>1</v>
      </c>
      <c r="J46" s="367">
        <v>1</v>
      </c>
      <c r="K46" s="367">
        <v>1</v>
      </c>
      <c r="L46" s="367">
        <v>1</v>
      </c>
      <c r="M46" s="367">
        <v>1</v>
      </c>
      <c r="N46" s="367">
        <v>1</v>
      </c>
      <c r="O46" s="367">
        <v>1</v>
      </c>
      <c r="P46" s="367">
        <v>1</v>
      </c>
      <c r="Q46" s="367">
        <v>1</v>
      </c>
      <c r="R46" s="367">
        <v>1</v>
      </c>
      <c r="S46" s="367">
        <v>1</v>
      </c>
      <c r="T46" s="367">
        <v>1</v>
      </c>
      <c r="U46" s="367">
        <v>1</v>
      </c>
      <c r="V46" s="367">
        <v>1</v>
      </c>
      <c r="W46" s="367">
        <v>1</v>
      </c>
      <c r="X46" s="367">
        <v>1</v>
      </c>
      <c r="Y46" s="367">
        <v>1</v>
      </c>
      <c r="Z46" s="367">
        <v>1</v>
      </c>
      <c r="AA46" s="367">
        <v>1</v>
      </c>
      <c r="AB46" s="367">
        <v>1</v>
      </c>
      <c r="AC46" s="382">
        <v>1</v>
      </c>
    </row>
    <row r="47" spans="1:35" ht="21.75" customHeight="1">
      <c r="A47" s="677"/>
      <c r="B47" s="680" t="s">
        <v>537</v>
      </c>
      <c r="C47" s="626" t="s">
        <v>539</v>
      </c>
      <c r="D47" s="682"/>
      <c r="E47" s="377" t="s">
        <v>518</v>
      </c>
      <c r="F47" s="378">
        <v>0</v>
      </c>
      <c r="G47" s="378">
        <v>0</v>
      </c>
      <c r="H47" s="378">
        <v>0</v>
      </c>
      <c r="I47" s="378">
        <v>0</v>
      </c>
      <c r="J47" s="378">
        <v>0</v>
      </c>
      <c r="K47" s="378">
        <v>1</v>
      </c>
      <c r="L47" s="378">
        <v>1</v>
      </c>
      <c r="M47" s="378">
        <v>1</v>
      </c>
      <c r="N47" s="378">
        <v>1</v>
      </c>
      <c r="O47" s="378">
        <v>1</v>
      </c>
      <c r="P47" s="378">
        <v>1</v>
      </c>
      <c r="Q47" s="378">
        <v>1</v>
      </c>
      <c r="R47" s="378">
        <v>1</v>
      </c>
      <c r="S47" s="378">
        <v>1</v>
      </c>
      <c r="T47" s="378">
        <v>1</v>
      </c>
      <c r="U47" s="378">
        <v>1</v>
      </c>
      <c r="V47" s="378">
        <v>1</v>
      </c>
      <c r="W47" s="378">
        <v>1</v>
      </c>
      <c r="X47" s="378">
        <v>1</v>
      </c>
      <c r="Y47" s="378">
        <v>1</v>
      </c>
      <c r="Z47" s="378">
        <v>1</v>
      </c>
      <c r="AA47" s="378">
        <v>1</v>
      </c>
      <c r="AB47" s="378">
        <v>0</v>
      </c>
      <c r="AC47" s="379">
        <v>0</v>
      </c>
    </row>
    <row r="48" spans="1:35" ht="21.75" customHeight="1">
      <c r="A48" s="678"/>
      <c r="B48" s="659"/>
      <c r="C48" s="661"/>
      <c r="D48" s="682"/>
      <c r="E48" s="380" t="s">
        <v>519</v>
      </c>
      <c r="F48" s="359">
        <v>0</v>
      </c>
      <c r="G48" s="359">
        <v>0</v>
      </c>
      <c r="H48" s="359">
        <v>0</v>
      </c>
      <c r="I48" s="359">
        <v>0</v>
      </c>
      <c r="J48" s="359">
        <v>0</v>
      </c>
      <c r="K48" s="359">
        <v>1</v>
      </c>
      <c r="L48" s="359">
        <v>1</v>
      </c>
      <c r="M48" s="359">
        <v>1</v>
      </c>
      <c r="N48" s="359">
        <v>1</v>
      </c>
      <c r="O48" s="359">
        <v>1</v>
      </c>
      <c r="P48" s="359">
        <v>1</v>
      </c>
      <c r="Q48" s="359">
        <v>1</v>
      </c>
      <c r="R48" s="359">
        <v>1</v>
      </c>
      <c r="S48" s="359">
        <v>1</v>
      </c>
      <c r="T48" s="359">
        <v>1</v>
      </c>
      <c r="U48" s="359">
        <v>1</v>
      </c>
      <c r="V48" s="359">
        <v>1</v>
      </c>
      <c r="W48" s="359">
        <v>1</v>
      </c>
      <c r="X48" s="359">
        <v>1</v>
      </c>
      <c r="Y48" s="359">
        <v>1</v>
      </c>
      <c r="Z48" s="359">
        <v>1</v>
      </c>
      <c r="AA48" s="359">
        <v>1</v>
      </c>
      <c r="AB48" s="359">
        <v>1</v>
      </c>
      <c r="AC48" s="383">
        <v>1</v>
      </c>
    </row>
    <row r="49" spans="1:29" ht="21.75" customHeight="1">
      <c r="A49" s="679"/>
      <c r="B49" s="681"/>
      <c r="C49" s="661"/>
      <c r="D49" s="682"/>
      <c r="E49" s="381" t="s">
        <v>520</v>
      </c>
      <c r="F49" s="384">
        <v>0</v>
      </c>
      <c r="G49" s="384">
        <v>0</v>
      </c>
      <c r="H49" s="384">
        <v>0</v>
      </c>
      <c r="I49" s="384">
        <v>0</v>
      </c>
      <c r="J49" s="384">
        <v>0</v>
      </c>
      <c r="K49" s="384">
        <v>1</v>
      </c>
      <c r="L49" s="384">
        <v>1</v>
      </c>
      <c r="M49" s="384">
        <v>1</v>
      </c>
      <c r="N49" s="384">
        <v>1</v>
      </c>
      <c r="O49" s="384">
        <v>1</v>
      </c>
      <c r="P49" s="384">
        <v>1</v>
      </c>
      <c r="Q49" s="384">
        <v>1</v>
      </c>
      <c r="R49" s="384">
        <v>1</v>
      </c>
      <c r="S49" s="384">
        <v>1</v>
      </c>
      <c r="T49" s="384">
        <v>1</v>
      </c>
      <c r="U49" s="384">
        <v>1</v>
      </c>
      <c r="V49" s="384">
        <v>1</v>
      </c>
      <c r="W49" s="384">
        <v>1</v>
      </c>
      <c r="X49" s="384">
        <v>1</v>
      </c>
      <c r="Y49" s="384">
        <v>1</v>
      </c>
      <c r="Z49" s="384">
        <v>1</v>
      </c>
      <c r="AA49" s="384">
        <v>1</v>
      </c>
      <c r="AB49" s="384">
        <v>1</v>
      </c>
      <c r="AC49" s="385">
        <v>1</v>
      </c>
    </row>
    <row r="50" spans="1:29" ht="24.75" customHeight="1">
      <c r="A50" s="666" t="s">
        <v>540</v>
      </c>
      <c r="B50" s="668" t="s">
        <v>537</v>
      </c>
      <c r="C50" s="668" t="s">
        <v>541</v>
      </c>
      <c r="D50" s="669" t="s">
        <v>542</v>
      </c>
      <c r="E50" s="362" t="s">
        <v>518</v>
      </c>
      <c r="F50" s="368">
        <v>131.9</v>
      </c>
      <c r="G50" s="368">
        <v>131.9</v>
      </c>
      <c r="H50" s="368">
        <v>131.9</v>
      </c>
      <c r="I50" s="368">
        <v>131.9</v>
      </c>
      <c r="J50" s="368">
        <v>131.9</v>
      </c>
      <c r="K50" s="368">
        <v>131.9</v>
      </c>
      <c r="L50" s="368">
        <v>131.9</v>
      </c>
      <c r="M50" s="368">
        <v>131.9</v>
      </c>
      <c r="N50" s="368">
        <v>131.9</v>
      </c>
      <c r="O50" s="368">
        <v>131.9</v>
      </c>
      <c r="P50" s="368">
        <v>131.9</v>
      </c>
      <c r="Q50" s="368">
        <v>131.9</v>
      </c>
      <c r="R50" s="368">
        <v>131.9</v>
      </c>
      <c r="S50" s="368">
        <v>131.9</v>
      </c>
      <c r="T50" s="368">
        <v>131.9</v>
      </c>
      <c r="U50" s="368">
        <v>131.9</v>
      </c>
      <c r="V50" s="368">
        <v>131.9</v>
      </c>
      <c r="W50" s="368">
        <v>131.9</v>
      </c>
      <c r="X50" s="368">
        <v>131.9</v>
      </c>
      <c r="Y50" s="368">
        <v>131.9</v>
      </c>
      <c r="Z50" s="368">
        <v>131.9</v>
      </c>
      <c r="AA50" s="368">
        <v>131.9</v>
      </c>
      <c r="AB50" s="368">
        <v>131.9</v>
      </c>
      <c r="AC50" s="369">
        <v>131.9</v>
      </c>
    </row>
    <row r="51" spans="1:29" ht="24.75" customHeight="1">
      <c r="A51" s="667"/>
      <c r="B51" s="661"/>
      <c r="C51" s="661"/>
      <c r="D51" s="670"/>
      <c r="E51" s="361" t="s">
        <v>519</v>
      </c>
      <c r="F51" s="359">
        <v>131.9</v>
      </c>
      <c r="G51" s="359">
        <v>131.9</v>
      </c>
      <c r="H51" s="359">
        <v>131.9</v>
      </c>
      <c r="I51" s="359">
        <v>131.9</v>
      </c>
      <c r="J51" s="359">
        <v>131.9</v>
      </c>
      <c r="K51" s="359">
        <v>131.9</v>
      </c>
      <c r="L51" s="359">
        <v>131.9</v>
      </c>
      <c r="M51" s="359">
        <v>131.9</v>
      </c>
      <c r="N51" s="359">
        <v>131.9</v>
      </c>
      <c r="O51" s="359">
        <v>131.9</v>
      </c>
      <c r="P51" s="359">
        <v>131.9</v>
      </c>
      <c r="Q51" s="359">
        <v>131.9</v>
      </c>
      <c r="R51" s="359">
        <v>131.9</v>
      </c>
      <c r="S51" s="359">
        <v>131.9</v>
      </c>
      <c r="T51" s="359">
        <v>131.9</v>
      </c>
      <c r="U51" s="359">
        <v>131.9</v>
      </c>
      <c r="V51" s="359">
        <v>131.9</v>
      </c>
      <c r="W51" s="359">
        <v>131.9</v>
      </c>
      <c r="X51" s="359">
        <v>131.9</v>
      </c>
      <c r="Y51" s="359">
        <v>131.9</v>
      </c>
      <c r="Z51" s="359">
        <v>131.9</v>
      </c>
      <c r="AA51" s="359">
        <v>131.9</v>
      </c>
      <c r="AB51" s="359">
        <v>131.9</v>
      </c>
      <c r="AC51" s="366">
        <v>131.9</v>
      </c>
    </row>
    <row r="52" spans="1:29" ht="24.75" customHeight="1">
      <c r="A52" s="683"/>
      <c r="B52" s="684"/>
      <c r="C52" s="684"/>
      <c r="D52" s="685"/>
      <c r="E52" s="363" t="s">
        <v>520</v>
      </c>
      <c r="F52" s="367">
        <v>131.9</v>
      </c>
      <c r="G52" s="367">
        <v>131.9</v>
      </c>
      <c r="H52" s="367">
        <v>131.9</v>
      </c>
      <c r="I52" s="367">
        <v>131.9</v>
      </c>
      <c r="J52" s="367">
        <v>131.9</v>
      </c>
      <c r="K52" s="367">
        <v>131.9</v>
      </c>
      <c r="L52" s="367">
        <v>131.9</v>
      </c>
      <c r="M52" s="367">
        <v>131.9</v>
      </c>
      <c r="N52" s="367">
        <v>131.9</v>
      </c>
      <c r="O52" s="367">
        <v>131.9</v>
      </c>
      <c r="P52" s="367">
        <v>131.9</v>
      </c>
      <c r="Q52" s="367">
        <v>131.9</v>
      </c>
      <c r="R52" s="367">
        <v>131.9</v>
      </c>
      <c r="S52" s="367">
        <v>131.9</v>
      </c>
      <c r="T52" s="367">
        <v>131.9</v>
      </c>
      <c r="U52" s="367">
        <v>131.9</v>
      </c>
      <c r="V52" s="367">
        <v>131.9</v>
      </c>
      <c r="W52" s="367">
        <v>131.9</v>
      </c>
      <c r="X52" s="367">
        <v>131.9</v>
      </c>
      <c r="Y52" s="367">
        <v>131.9</v>
      </c>
      <c r="Z52" s="367">
        <v>131.9</v>
      </c>
      <c r="AA52" s="367">
        <v>131.9</v>
      </c>
      <c r="AB52" s="367">
        <v>131.9</v>
      </c>
      <c r="AC52" s="382">
        <v>131.9</v>
      </c>
    </row>
    <row r="53" spans="1:29" ht="24.75" customHeight="1">
      <c r="A53" s="666" t="s">
        <v>118</v>
      </c>
      <c r="B53" s="668" t="s">
        <v>537</v>
      </c>
      <c r="C53" s="668" t="s">
        <v>543</v>
      </c>
      <c r="D53" s="669" t="s">
        <v>542</v>
      </c>
      <c r="E53" s="360" t="s">
        <v>518</v>
      </c>
      <c r="F53" s="364">
        <v>146.5</v>
      </c>
      <c r="G53" s="364">
        <v>146.5</v>
      </c>
      <c r="H53" s="364">
        <v>146.5</v>
      </c>
      <c r="I53" s="364">
        <v>146.5</v>
      </c>
      <c r="J53" s="364">
        <v>146.5</v>
      </c>
      <c r="K53" s="364">
        <v>146.5</v>
      </c>
      <c r="L53" s="364">
        <v>146.5</v>
      </c>
      <c r="M53" s="364">
        <v>146.5</v>
      </c>
      <c r="N53" s="364">
        <v>146.5</v>
      </c>
      <c r="O53" s="364">
        <v>146.5</v>
      </c>
      <c r="P53" s="364">
        <v>146.5</v>
      </c>
      <c r="Q53" s="364">
        <v>146.5</v>
      </c>
      <c r="R53" s="364">
        <v>146.5</v>
      </c>
      <c r="S53" s="364">
        <v>146.5</v>
      </c>
      <c r="T53" s="364">
        <v>146.5</v>
      </c>
      <c r="U53" s="364">
        <v>146.5</v>
      </c>
      <c r="V53" s="364">
        <v>146.5</v>
      </c>
      <c r="W53" s="364">
        <v>146.5</v>
      </c>
      <c r="X53" s="364">
        <v>146.5</v>
      </c>
      <c r="Y53" s="364">
        <v>146.5</v>
      </c>
      <c r="Z53" s="364">
        <v>146.5</v>
      </c>
      <c r="AA53" s="364">
        <v>146.5</v>
      </c>
      <c r="AB53" s="364">
        <v>146.5</v>
      </c>
      <c r="AC53" s="365">
        <v>146.5</v>
      </c>
    </row>
    <row r="54" spans="1:29" ht="24.75" customHeight="1">
      <c r="A54" s="667"/>
      <c r="B54" s="661"/>
      <c r="C54" s="661"/>
      <c r="D54" s="670"/>
      <c r="E54" s="361" t="s">
        <v>519</v>
      </c>
      <c r="F54" s="359">
        <v>146.5</v>
      </c>
      <c r="G54" s="359">
        <v>146.5</v>
      </c>
      <c r="H54" s="359">
        <v>146.5</v>
      </c>
      <c r="I54" s="359">
        <v>146.5</v>
      </c>
      <c r="J54" s="359">
        <v>146.5</v>
      </c>
      <c r="K54" s="359">
        <v>146.5</v>
      </c>
      <c r="L54" s="359">
        <v>146.5</v>
      </c>
      <c r="M54" s="359">
        <v>146.5</v>
      </c>
      <c r="N54" s="359">
        <v>146.5</v>
      </c>
      <c r="O54" s="359">
        <v>146.5</v>
      </c>
      <c r="P54" s="359">
        <v>146.5</v>
      </c>
      <c r="Q54" s="359">
        <v>146.5</v>
      </c>
      <c r="R54" s="359">
        <v>146.5</v>
      </c>
      <c r="S54" s="359">
        <v>146.5</v>
      </c>
      <c r="T54" s="359">
        <v>146.5</v>
      </c>
      <c r="U54" s="359">
        <v>146.5</v>
      </c>
      <c r="V54" s="359">
        <v>146.5</v>
      </c>
      <c r="W54" s="359">
        <v>146.5</v>
      </c>
      <c r="X54" s="359">
        <v>146.5</v>
      </c>
      <c r="Y54" s="359">
        <v>146.5</v>
      </c>
      <c r="Z54" s="359">
        <v>146.5</v>
      </c>
      <c r="AA54" s="359">
        <v>146.5</v>
      </c>
      <c r="AB54" s="359">
        <v>146.5</v>
      </c>
      <c r="AC54" s="366">
        <v>146.5</v>
      </c>
    </row>
    <row r="55" spans="1:29" ht="24.75" customHeight="1">
      <c r="A55" s="667"/>
      <c r="B55" s="661"/>
      <c r="C55" s="661"/>
      <c r="D55" s="671"/>
      <c r="E55" s="363" t="s">
        <v>520</v>
      </c>
      <c r="F55" s="367">
        <v>146.5</v>
      </c>
      <c r="G55" s="367">
        <v>146.5</v>
      </c>
      <c r="H55" s="367">
        <v>146.5</v>
      </c>
      <c r="I55" s="367">
        <v>146.5</v>
      </c>
      <c r="J55" s="367">
        <v>146.5</v>
      </c>
      <c r="K55" s="367">
        <v>146.5</v>
      </c>
      <c r="L55" s="367">
        <v>146.5</v>
      </c>
      <c r="M55" s="367">
        <v>146.5</v>
      </c>
      <c r="N55" s="367">
        <v>146.5</v>
      </c>
      <c r="O55" s="367">
        <v>146.5</v>
      </c>
      <c r="P55" s="367">
        <v>146.5</v>
      </c>
      <c r="Q55" s="367">
        <v>146.5</v>
      </c>
      <c r="R55" s="367">
        <v>146.5</v>
      </c>
      <c r="S55" s="367">
        <v>146.5</v>
      </c>
      <c r="T55" s="367">
        <v>146.5</v>
      </c>
      <c r="U55" s="367">
        <v>146.5</v>
      </c>
      <c r="V55" s="367">
        <v>146.5</v>
      </c>
      <c r="W55" s="367">
        <v>146.5</v>
      </c>
      <c r="X55" s="367">
        <v>146.5</v>
      </c>
      <c r="Y55" s="367">
        <v>146.5</v>
      </c>
      <c r="Z55" s="367">
        <v>146.5</v>
      </c>
      <c r="AA55" s="367">
        <v>146.5</v>
      </c>
      <c r="AB55" s="367">
        <v>146.5</v>
      </c>
      <c r="AC55" s="382">
        <v>146.5</v>
      </c>
    </row>
    <row r="56" spans="1:29" ht="24.75" customHeight="1">
      <c r="A56" s="632" t="s">
        <v>544</v>
      </c>
      <c r="B56" s="636" t="s">
        <v>537</v>
      </c>
      <c r="C56" s="636" t="s">
        <v>545</v>
      </c>
      <c r="D56" s="638" t="s">
        <v>542</v>
      </c>
      <c r="E56" s="415" t="s">
        <v>518</v>
      </c>
      <c r="F56" s="378">
        <v>219.8</v>
      </c>
      <c r="G56" s="378">
        <v>219.8</v>
      </c>
      <c r="H56" s="378">
        <v>219.8</v>
      </c>
      <c r="I56" s="378">
        <v>219.8</v>
      </c>
      <c r="J56" s="378">
        <v>219.8</v>
      </c>
      <c r="K56" s="378">
        <v>219.8</v>
      </c>
      <c r="L56" s="378">
        <v>219.8</v>
      </c>
      <c r="M56" s="378">
        <v>219.8</v>
      </c>
      <c r="N56" s="378">
        <v>219.8</v>
      </c>
      <c r="O56" s="378">
        <v>219.8</v>
      </c>
      <c r="P56" s="378">
        <v>219.8</v>
      </c>
      <c r="Q56" s="378">
        <v>219.8</v>
      </c>
      <c r="R56" s="378">
        <v>219.8</v>
      </c>
      <c r="S56" s="378">
        <v>219.8</v>
      </c>
      <c r="T56" s="378">
        <v>219.8</v>
      </c>
      <c r="U56" s="378">
        <v>219.8</v>
      </c>
      <c r="V56" s="378">
        <v>219.8</v>
      </c>
      <c r="W56" s="378">
        <v>219.8</v>
      </c>
      <c r="X56" s="378">
        <v>219.8</v>
      </c>
      <c r="Y56" s="378">
        <v>219.8</v>
      </c>
      <c r="Z56" s="378">
        <v>219.8</v>
      </c>
      <c r="AA56" s="378">
        <v>219.8</v>
      </c>
      <c r="AB56" s="378">
        <v>219.8</v>
      </c>
      <c r="AC56" s="379">
        <v>219.8</v>
      </c>
    </row>
    <row r="57" spans="1:29" ht="24.75" customHeight="1">
      <c r="A57" s="699"/>
      <c r="B57" s="661"/>
      <c r="C57" s="661"/>
      <c r="D57" s="630"/>
      <c r="E57" s="361" t="s">
        <v>519</v>
      </c>
      <c r="F57" s="359">
        <v>219.8</v>
      </c>
      <c r="G57" s="359">
        <v>219.8</v>
      </c>
      <c r="H57" s="359">
        <v>219.8</v>
      </c>
      <c r="I57" s="359">
        <v>219.8</v>
      </c>
      <c r="J57" s="359">
        <v>219.8</v>
      </c>
      <c r="K57" s="359">
        <v>219.8</v>
      </c>
      <c r="L57" s="359">
        <v>219.8</v>
      </c>
      <c r="M57" s="359">
        <v>219.8</v>
      </c>
      <c r="N57" s="359">
        <v>219.8</v>
      </c>
      <c r="O57" s="359">
        <v>219.8</v>
      </c>
      <c r="P57" s="359">
        <v>219.8</v>
      </c>
      <c r="Q57" s="359">
        <v>219.8</v>
      </c>
      <c r="R57" s="359">
        <v>219.8</v>
      </c>
      <c r="S57" s="359">
        <v>219.8</v>
      </c>
      <c r="T57" s="359">
        <v>219.8</v>
      </c>
      <c r="U57" s="359">
        <v>219.8</v>
      </c>
      <c r="V57" s="359">
        <v>219.8</v>
      </c>
      <c r="W57" s="359">
        <v>219.8</v>
      </c>
      <c r="X57" s="359">
        <v>219.8</v>
      </c>
      <c r="Y57" s="359">
        <v>219.8</v>
      </c>
      <c r="Z57" s="359">
        <v>219.8</v>
      </c>
      <c r="AA57" s="359">
        <v>219.8</v>
      </c>
      <c r="AB57" s="359">
        <v>219.8</v>
      </c>
      <c r="AC57" s="383">
        <v>219.8</v>
      </c>
    </row>
    <row r="58" spans="1:29" ht="24.75" customHeight="1">
      <c r="A58" s="699"/>
      <c r="B58" s="661"/>
      <c r="C58" s="661"/>
      <c r="D58" s="631"/>
      <c r="E58" s="363" t="s">
        <v>520</v>
      </c>
      <c r="F58" s="367">
        <v>219.8</v>
      </c>
      <c r="G58" s="367">
        <v>219.8</v>
      </c>
      <c r="H58" s="367">
        <v>219.8</v>
      </c>
      <c r="I58" s="367">
        <v>219.8</v>
      </c>
      <c r="J58" s="367">
        <v>219.8</v>
      </c>
      <c r="K58" s="367">
        <v>219.8</v>
      </c>
      <c r="L58" s="367">
        <v>219.8</v>
      </c>
      <c r="M58" s="367">
        <v>219.8</v>
      </c>
      <c r="N58" s="367">
        <v>219.8</v>
      </c>
      <c r="O58" s="367">
        <v>219.8</v>
      </c>
      <c r="P58" s="367">
        <v>219.8</v>
      </c>
      <c r="Q58" s="367">
        <v>219.8</v>
      </c>
      <c r="R58" s="367">
        <v>219.8</v>
      </c>
      <c r="S58" s="367">
        <v>219.8</v>
      </c>
      <c r="T58" s="367">
        <v>219.8</v>
      </c>
      <c r="U58" s="367">
        <v>219.8</v>
      </c>
      <c r="V58" s="367">
        <v>219.8</v>
      </c>
      <c r="W58" s="367">
        <v>219.8</v>
      </c>
      <c r="X58" s="367">
        <v>219.8</v>
      </c>
      <c r="Y58" s="367">
        <v>219.8</v>
      </c>
      <c r="Z58" s="367">
        <v>219.8</v>
      </c>
      <c r="AA58" s="367">
        <v>219.8</v>
      </c>
      <c r="AB58" s="367">
        <v>219.8</v>
      </c>
      <c r="AC58" s="402">
        <v>219.8</v>
      </c>
    </row>
    <row r="59" spans="1:29" ht="21.75" customHeight="1">
      <c r="A59" s="632" t="s">
        <v>152</v>
      </c>
      <c r="B59" s="636" t="s">
        <v>537</v>
      </c>
      <c r="C59" s="636" t="s">
        <v>546</v>
      </c>
      <c r="D59" s="638" t="s">
        <v>542</v>
      </c>
      <c r="E59" s="415" t="s">
        <v>518</v>
      </c>
      <c r="F59" s="378">
        <v>219.8</v>
      </c>
      <c r="G59" s="378">
        <v>219.8</v>
      </c>
      <c r="H59" s="378">
        <v>219.8</v>
      </c>
      <c r="I59" s="378">
        <v>219.8</v>
      </c>
      <c r="J59" s="378">
        <v>219.8</v>
      </c>
      <c r="K59" s="378">
        <v>219.8</v>
      </c>
      <c r="L59" s="378">
        <v>219.8</v>
      </c>
      <c r="M59" s="378">
        <v>219.8</v>
      </c>
      <c r="N59" s="378">
        <v>219.8</v>
      </c>
      <c r="O59" s="378">
        <v>219.8</v>
      </c>
      <c r="P59" s="378">
        <v>219.8</v>
      </c>
      <c r="Q59" s="378">
        <v>219.8</v>
      </c>
      <c r="R59" s="378">
        <v>219.8</v>
      </c>
      <c r="S59" s="378">
        <v>219.8</v>
      </c>
      <c r="T59" s="378">
        <v>219.8</v>
      </c>
      <c r="U59" s="378">
        <v>219.8</v>
      </c>
      <c r="V59" s="378">
        <v>219.8</v>
      </c>
      <c r="W59" s="378">
        <v>219.8</v>
      </c>
      <c r="X59" s="378">
        <v>219.8</v>
      </c>
      <c r="Y59" s="378">
        <v>219.8</v>
      </c>
      <c r="Z59" s="378">
        <v>219.8</v>
      </c>
      <c r="AA59" s="378">
        <v>219.8</v>
      </c>
      <c r="AB59" s="378">
        <v>219.8</v>
      </c>
      <c r="AC59" s="379">
        <v>219.8</v>
      </c>
    </row>
    <row r="60" spans="1:29" ht="21.75" customHeight="1">
      <c r="A60" s="699"/>
      <c r="B60" s="661"/>
      <c r="C60" s="661"/>
      <c r="D60" s="630"/>
      <c r="E60" s="361" t="s">
        <v>519</v>
      </c>
      <c r="F60" s="359">
        <v>219.8</v>
      </c>
      <c r="G60" s="359">
        <v>219.8</v>
      </c>
      <c r="H60" s="359">
        <v>219.8</v>
      </c>
      <c r="I60" s="359">
        <v>219.8</v>
      </c>
      <c r="J60" s="359">
        <v>219.8</v>
      </c>
      <c r="K60" s="359">
        <v>219.8</v>
      </c>
      <c r="L60" s="359">
        <v>219.8</v>
      </c>
      <c r="M60" s="359">
        <v>219.8</v>
      </c>
      <c r="N60" s="359">
        <v>219.8</v>
      </c>
      <c r="O60" s="359">
        <v>219.8</v>
      </c>
      <c r="P60" s="359">
        <v>219.8</v>
      </c>
      <c r="Q60" s="359">
        <v>219.8</v>
      </c>
      <c r="R60" s="359">
        <v>219.8</v>
      </c>
      <c r="S60" s="359">
        <v>219.8</v>
      </c>
      <c r="T60" s="359">
        <v>219.8</v>
      </c>
      <c r="U60" s="359">
        <v>219.8</v>
      </c>
      <c r="V60" s="359">
        <v>219.8</v>
      </c>
      <c r="W60" s="359">
        <v>219.8</v>
      </c>
      <c r="X60" s="359">
        <v>219.8</v>
      </c>
      <c r="Y60" s="359">
        <v>219.8</v>
      </c>
      <c r="Z60" s="359">
        <v>219.8</v>
      </c>
      <c r="AA60" s="359">
        <v>219.8</v>
      </c>
      <c r="AB60" s="359">
        <v>219.8</v>
      </c>
      <c r="AC60" s="383">
        <v>219.8</v>
      </c>
    </row>
    <row r="61" spans="1:29" ht="21.75" customHeight="1">
      <c r="A61" s="700"/>
      <c r="B61" s="662"/>
      <c r="C61" s="662"/>
      <c r="D61" s="639"/>
      <c r="E61" s="416" t="s">
        <v>520</v>
      </c>
      <c r="F61" s="384">
        <v>219.8</v>
      </c>
      <c r="G61" s="384">
        <v>219.8</v>
      </c>
      <c r="H61" s="384">
        <v>219.8</v>
      </c>
      <c r="I61" s="384">
        <v>219.8</v>
      </c>
      <c r="J61" s="384">
        <v>219.8</v>
      </c>
      <c r="K61" s="384">
        <v>219.8</v>
      </c>
      <c r="L61" s="384">
        <v>219.8</v>
      </c>
      <c r="M61" s="384">
        <v>219.8</v>
      </c>
      <c r="N61" s="384">
        <v>219.8</v>
      </c>
      <c r="O61" s="384">
        <v>219.8</v>
      </c>
      <c r="P61" s="384">
        <v>219.8</v>
      </c>
      <c r="Q61" s="384">
        <v>219.8</v>
      </c>
      <c r="R61" s="384">
        <v>219.8</v>
      </c>
      <c r="S61" s="384">
        <v>219.8</v>
      </c>
      <c r="T61" s="384">
        <v>219.8</v>
      </c>
      <c r="U61" s="384">
        <v>219.8</v>
      </c>
      <c r="V61" s="384">
        <v>219.8</v>
      </c>
      <c r="W61" s="384">
        <v>219.8</v>
      </c>
      <c r="X61" s="384">
        <v>219.8</v>
      </c>
      <c r="Y61" s="384">
        <v>219.8</v>
      </c>
      <c r="Z61" s="384">
        <v>219.8</v>
      </c>
      <c r="AA61" s="384">
        <v>219.8</v>
      </c>
      <c r="AB61" s="384">
        <v>219.8</v>
      </c>
      <c r="AC61" s="385">
        <v>219.8</v>
      </c>
    </row>
    <row r="62" spans="1:29" ht="15" customHeight="1">
      <c r="A62" s="371"/>
      <c r="B62" s="371"/>
      <c r="C62" s="371"/>
      <c r="D62" s="371"/>
      <c r="F62" s="370"/>
      <c r="G62" s="370"/>
      <c r="H62" s="370"/>
      <c r="I62" s="370"/>
      <c r="J62" s="370"/>
      <c r="K62" s="370"/>
      <c r="L62" s="370"/>
      <c r="M62" s="370"/>
      <c r="N62" s="370"/>
      <c r="O62" s="370"/>
      <c r="P62" s="370"/>
      <c r="Q62" s="370"/>
      <c r="R62" s="370"/>
      <c r="S62" s="370"/>
      <c r="T62" s="370"/>
      <c r="U62" s="370"/>
      <c r="V62" s="370"/>
      <c r="W62" s="370"/>
      <c r="X62" s="370"/>
      <c r="Y62" s="370"/>
      <c r="Z62" s="370"/>
      <c r="AA62" s="370"/>
      <c r="AB62" s="370"/>
      <c r="AC62" s="370"/>
    </row>
    <row r="63" spans="1:29" ht="21.75" customHeight="1">
      <c r="A63" s="371"/>
      <c r="B63" s="371"/>
      <c r="C63" s="371"/>
      <c r="D63" s="371"/>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row>
    <row r="64" spans="1:29">
      <c r="A64" s="371"/>
      <c r="B64" s="371"/>
      <c r="C64" s="371"/>
      <c r="D64" s="371"/>
      <c r="F64" s="370"/>
      <c r="G64" s="370"/>
      <c r="H64" s="370"/>
      <c r="I64" s="370"/>
      <c r="J64" s="370"/>
      <c r="K64" s="370"/>
      <c r="L64" s="370"/>
      <c r="M64" s="370"/>
      <c r="N64" s="370"/>
      <c r="O64" s="370"/>
      <c r="P64" s="370"/>
      <c r="Q64" s="370"/>
      <c r="R64" s="370"/>
      <c r="S64" s="370"/>
      <c r="T64" s="370"/>
      <c r="U64" s="370"/>
      <c r="V64" s="370"/>
      <c r="W64" s="370"/>
      <c r="X64" s="370"/>
      <c r="Y64" s="370"/>
      <c r="Z64" s="370"/>
      <c r="AA64" s="370"/>
      <c r="AB64" s="370"/>
      <c r="AC64" s="370"/>
    </row>
    <row r="65" spans="1:40" ht="16.149999999999999" customHeight="1">
      <c r="A65" s="333" t="s">
        <v>37</v>
      </c>
      <c r="B65" s="333"/>
      <c r="C65" s="333"/>
      <c r="D65" s="333"/>
      <c r="E65" s="333"/>
      <c r="F65" s="333"/>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row>
  </sheetData>
  <mergeCells count="85">
    <mergeCell ref="A56:A58"/>
    <mergeCell ref="B56:B58"/>
    <mergeCell ref="C56:C58"/>
    <mergeCell ref="D56:D58"/>
    <mergeCell ref="A59:A61"/>
    <mergeCell ref="B59:B61"/>
    <mergeCell ref="C59:C61"/>
    <mergeCell ref="D59:D61"/>
    <mergeCell ref="F2:AC2"/>
    <mergeCell ref="A1:AC1"/>
    <mergeCell ref="D2:D3"/>
    <mergeCell ref="D4:D6"/>
    <mergeCell ref="D7:D9"/>
    <mergeCell ref="A4:A6"/>
    <mergeCell ref="A7:A9"/>
    <mergeCell ref="A2:A3"/>
    <mergeCell ref="A53:A55"/>
    <mergeCell ref="B53:B55"/>
    <mergeCell ref="C53:C55"/>
    <mergeCell ref="D53:D55"/>
    <mergeCell ref="E2:E3"/>
    <mergeCell ref="D10:D12"/>
    <mergeCell ref="A47:A49"/>
    <mergeCell ref="B47:B49"/>
    <mergeCell ref="C47:C49"/>
    <mergeCell ref="D47:D49"/>
    <mergeCell ref="A50:A52"/>
    <mergeCell ref="B50:B52"/>
    <mergeCell ref="C50:C52"/>
    <mergeCell ref="D50:D52"/>
    <mergeCell ref="A43:AC43"/>
    <mergeCell ref="A44:A46"/>
    <mergeCell ref="B44:B46"/>
    <mergeCell ref="C44:C46"/>
    <mergeCell ref="D44:D46"/>
    <mergeCell ref="A25:A27"/>
    <mergeCell ref="B25:B27"/>
    <mergeCell ref="C25:C27"/>
    <mergeCell ref="D25:D27"/>
    <mergeCell ref="A28:A30"/>
    <mergeCell ref="B28:B30"/>
    <mergeCell ref="C28:C30"/>
    <mergeCell ref="D28:D30"/>
    <mergeCell ref="C31:C33"/>
    <mergeCell ref="B31:B33"/>
    <mergeCell ref="A31:A33"/>
    <mergeCell ref="D31:D33"/>
    <mergeCell ref="A34:A36"/>
    <mergeCell ref="A19:A21"/>
    <mergeCell ref="B19:B21"/>
    <mergeCell ref="C19:C21"/>
    <mergeCell ref="D19:D21"/>
    <mergeCell ref="A22:A24"/>
    <mergeCell ref="B22:B24"/>
    <mergeCell ref="C22:C24"/>
    <mergeCell ref="D22:D24"/>
    <mergeCell ref="A13:A15"/>
    <mergeCell ref="B13:B15"/>
    <mergeCell ref="C13:C15"/>
    <mergeCell ref="D13:D15"/>
    <mergeCell ref="A16:A18"/>
    <mergeCell ref="B16:B18"/>
    <mergeCell ref="C16:C18"/>
    <mergeCell ref="D16:D18"/>
    <mergeCell ref="A10:A12"/>
    <mergeCell ref="C10:C12"/>
    <mergeCell ref="B10:B12"/>
    <mergeCell ref="B7:B9"/>
    <mergeCell ref="C2:C3"/>
    <mergeCell ref="B2:B3"/>
    <mergeCell ref="C4:C6"/>
    <mergeCell ref="B4:B6"/>
    <mergeCell ref="C7:C9"/>
    <mergeCell ref="A40:A42"/>
    <mergeCell ref="B40:B42"/>
    <mergeCell ref="C40:C42"/>
    <mergeCell ref="D40:D42"/>
    <mergeCell ref="B34:B36"/>
    <mergeCell ref="C34:C36"/>
    <mergeCell ref="D34:D36"/>
    <mergeCell ref="AE31:AI35"/>
    <mergeCell ref="A37:A39"/>
    <mergeCell ref="B37:B39"/>
    <mergeCell ref="C37:C39"/>
    <mergeCell ref="D37:D3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7"/>
  <sheetViews>
    <sheetView zoomScaleNormal="100" workbookViewId="0">
      <selection sqref="A1:D1"/>
    </sheetView>
  </sheetViews>
  <sheetFormatPr defaultColWidth="8.7109375" defaultRowHeight="13.15"/>
  <cols>
    <col min="1" max="1" width="31.28515625" style="3" customWidth="1"/>
    <col min="2" max="2" width="38.7109375" style="3" customWidth="1"/>
    <col min="3" max="3" width="19.42578125" style="3" customWidth="1"/>
    <col min="4" max="4" width="19.28515625" style="3" customWidth="1"/>
    <col min="5" max="5" width="24.42578125" style="3" customWidth="1"/>
    <col min="6" max="6" width="17.140625" style="3" customWidth="1"/>
    <col min="7" max="7" width="17.5703125" style="3" customWidth="1"/>
    <col min="8" max="8" width="15.5703125" style="3" customWidth="1"/>
    <col min="9" max="9" width="13.28515625" style="3" customWidth="1"/>
    <col min="10" max="16384" width="8.7109375" style="3"/>
  </cols>
  <sheetData>
    <row r="1" spans="1:8" ht="25.15" customHeight="1">
      <c r="A1" s="555" t="str">
        <f>"Exterior Lighting - "&amp;Prototype!A2</f>
        <v>Exterior Lighting - RetailGrocery</v>
      </c>
      <c r="B1" s="555"/>
      <c r="C1" s="555"/>
      <c r="D1" s="555"/>
    </row>
    <row r="2" spans="1:8" ht="37.15" customHeight="1">
      <c r="A2" s="34" t="s">
        <v>547</v>
      </c>
      <c r="B2" s="34" t="s">
        <v>548</v>
      </c>
      <c r="C2" s="34" t="s">
        <v>549</v>
      </c>
      <c r="D2" s="34" t="s">
        <v>325</v>
      </c>
    </row>
    <row r="3" spans="1:8" ht="22.15" customHeight="1">
      <c r="A3" s="36">
        <f>G14</f>
        <v>3680.5555555555557</v>
      </c>
      <c r="B3" s="36">
        <f>G15</f>
        <v>1160</v>
      </c>
      <c r="C3" s="36">
        <f>SUM(A3:B3)</f>
        <v>4840.5555555555557</v>
      </c>
      <c r="D3" s="120" t="s">
        <v>550</v>
      </c>
    </row>
    <row r="4" spans="1:8" ht="22.15" customHeight="1">
      <c r="A4" s="60"/>
      <c r="B4" s="60"/>
      <c r="C4" s="60"/>
    </row>
    <row r="5" spans="1:8" ht="12.75" customHeight="1">
      <c r="A5" s="485"/>
      <c r="B5" s="485"/>
      <c r="C5" s="485"/>
    </row>
    <row r="6" spans="1:8" ht="27" customHeight="1">
      <c r="A6" s="555" t="s">
        <v>551</v>
      </c>
      <c r="B6" s="555"/>
      <c r="C6" s="555"/>
      <c r="D6" s="555"/>
      <c r="E6" s="555"/>
      <c r="F6" s="555"/>
      <c r="G6" s="555"/>
    </row>
    <row r="7" spans="1:8" ht="39.6">
      <c r="A7" s="88" t="s">
        <v>552</v>
      </c>
      <c r="B7" s="702" t="s">
        <v>553</v>
      </c>
      <c r="C7" s="703"/>
      <c r="D7" s="155" t="s">
        <v>411</v>
      </c>
      <c r="E7" s="155" t="s">
        <v>554</v>
      </c>
      <c r="F7" s="155" t="s">
        <v>411</v>
      </c>
      <c r="G7" s="34" t="s">
        <v>555</v>
      </c>
    </row>
    <row r="8" spans="1:8">
      <c r="A8" s="11" t="s">
        <v>556</v>
      </c>
      <c r="B8" s="11"/>
      <c r="C8" s="349"/>
      <c r="D8" s="120"/>
      <c r="E8" s="120">
        <v>200</v>
      </c>
      <c r="F8" s="120" t="s">
        <v>557</v>
      </c>
      <c r="G8" s="350">
        <f>$E8</f>
        <v>200</v>
      </c>
      <c r="H8" s="474"/>
    </row>
    <row r="9" spans="1:8" ht="43.9" customHeight="1">
      <c r="A9" s="12" t="s">
        <v>558</v>
      </c>
      <c r="B9" s="12" t="s">
        <v>559</v>
      </c>
      <c r="C9" s="351">
        <f>B21/360*400</f>
        <v>55555.555555555555</v>
      </c>
      <c r="D9" s="120" t="s">
        <v>560</v>
      </c>
      <c r="E9" s="120">
        <v>1.9E-2</v>
      </c>
      <c r="F9" s="120" t="s">
        <v>561</v>
      </c>
      <c r="G9" s="350">
        <f>$E9*C9</f>
        <v>1055.5555555555554</v>
      </c>
      <c r="H9" s="89"/>
    </row>
    <row r="10" spans="1:8">
      <c r="A10" s="11" t="s">
        <v>562</v>
      </c>
      <c r="B10" s="160" t="s">
        <v>563</v>
      </c>
      <c r="C10" s="352">
        <v>5</v>
      </c>
      <c r="D10" s="120" t="s">
        <v>564</v>
      </c>
      <c r="E10" s="120">
        <v>15</v>
      </c>
      <c r="F10" s="120" t="s">
        <v>565</v>
      </c>
      <c r="G10" s="350">
        <f>E10*C10</f>
        <v>75</v>
      </c>
    </row>
    <row r="11" spans="1:8" ht="26.45">
      <c r="A11" s="11" t="s">
        <v>566</v>
      </c>
      <c r="B11" s="160" t="s">
        <v>567</v>
      </c>
      <c r="C11" s="353">
        <f>B21*0.1</f>
        <v>5000</v>
      </c>
      <c r="D11" s="120" t="s">
        <v>560</v>
      </c>
      <c r="E11" s="120">
        <v>7.0000000000000001E-3</v>
      </c>
      <c r="F11" s="120" t="s">
        <v>561</v>
      </c>
      <c r="G11" s="350">
        <f>E11*C11</f>
        <v>35</v>
      </c>
    </row>
    <row r="12" spans="1:8" ht="79.150000000000006">
      <c r="A12" s="11" t="s">
        <v>568</v>
      </c>
      <c r="B12" s="160" t="s">
        <v>569</v>
      </c>
      <c r="C12" s="353">
        <f>B20*0.5*Prototype!B15</f>
        <v>11250</v>
      </c>
      <c r="D12" s="120" t="s">
        <v>560</v>
      </c>
      <c r="E12" s="120">
        <v>0.1</v>
      </c>
      <c r="F12" s="120" t="s">
        <v>561</v>
      </c>
      <c r="G12" s="350">
        <f>E12*C12</f>
        <v>1125</v>
      </c>
    </row>
    <row r="13" spans="1:8">
      <c r="A13" s="161" t="s">
        <v>570</v>
      </c>
      <c r="B13" s="3" t="s">
        <v>571</v>
      </c>
      <c r="C13" s="354">
        <f>(B21/B22)*0.1</f>
        <v>5000</v>
      </c>
      <c r="D13" s="355" t="s">
        <v>560</v>
      </c>
      <c r="E13" s="356">
        <v>0.47</v>
      </c>
      <c r="F13" s="356" t="s">
        <v>561</v>
      </c>
      <c r="G13" s="350">
        <f>E13*C13</f>
        <v>2350</v>
      </c>
    </row>
    <row r="14" spans="1:8" ht="13.9">
      <c r="A14" s="701" t="s">
        <v>572</v>
      </c>
      <c r="B14" s="701"/>
      <c r="C14" s="701"/>
      <c r="D14" s="701"/>
      <c r="E14" s="701"/>
      <c r="F14" s="701"/>
      <c r="G14" s="156">
        <f>SUM(G8:G13)-G15</f>
        <v>3680.5555555555557</v>
      </c>
    </row>
    <row r="15" spans="1:8" ht="13.9">
      <c r="A15" s="701" t="s">
        <v>573</v>
      </c>
      <c r="B15" s="701"/>
      <c r="C15" s="701"/>
      <c r="D15" s="701"/>
      <c r="E15" s="701"/>
      <c r="F15" s="701"/>
      <c r="G15" s="156">
        <f>G11+G12</f>
        <v>1160</v>
      </c>
    </row>
    <row r="16" spans="1:8" ht="13.9">
      <c r="A16" s="701" t="s">
        <v>432</v>
      </c>
      <c r="B16" s="701"/>
      <c r="C16" s="701"/>
      <c r="D16" s="701"/>
      <c r="E16" s="701"/>
      <c r="F16" s="701"/>
      <c r="G16" s="156">
        <f t="shared" ref="G16" si="0">G14+G15</f>
        <v>4840.5555555555557</v>
      </c>
    </row>
    <row r="17" spans="1:7" ht="13.9">
      <c r="A17" s="157"/>
      <c r="B17" s="157"/>
      <c r="C17" s="157"/>
      <c r="D17" s="157"/>
      <c r="E17" s="157"/>
      <c r="F17" s="157"/>
      <c r="G17" s="158"/>
    </row>
    <row r="18" spans="1:7" ht="13.9">
      <c r="A18" s="3" t="s">
        <v>574</v>
      </c>
      <c r="C18" s="478"/>
      <c r="F18" s="159"/>
    </row>
    <row r="19" spans="1:7" ht="13.9">
      <c r="C19" s="478"/>
      <c r="F19" s="159"/>
    </row>
    <row r="20" spans="1:7" ht="12.75" customHeight="1">
      <c r="A20" s="485" t="s">
        <v>575</v>
      </c>
      <c r="B20" s="477">
        <f>200*2+250*2</f>
        <v>900</v>
      </c>
      <c r="C20" s="485"/>
    </row>
    <row r="21" spans="1:7" ht="13.9">
      <c r="A21" s="3" t="s">
        <v>576</v>
      </c>
      <c r="B21" s="334">
        <v>50000</v>
      </c>
      <c r="F21" s="159"/>
    </row>
    <row r="22" spans="1:7" ht="13.9">
      <c r="A22" s="3" t="s">
        <v>577</v>
      </c>
      <c r="B22" s="477">
        <v>1</v>
      </c>
      <c r="F22" s="159"/>
    </row>
    <row r="24" spans="1:7" ht="12.75" customHeight="1">
      <c r="A24" s="485"/>
      <c r="B24" s="485"/>
      <c r="C24" s="485"/>
    </row>
    <row r="26" spans="1:7" s="21" customFormat="1" ht="13.15" hidden="1" customHeight="1">
      <c r="A26" s="21" t="s">
        <v>37</v>
      </c>
      <c r="E26" s="22"/>
      <c r="F26" s="23"/>
      <c r="G26" s="24"/>
    </row>
    <row r="27" spans="1:7" ht="10.9" customHeight="1"/>
  </sheetData>
  <mergeCells count="6">
    <mergeCell ref="A1:D1"/>
    <mergeCell ref="A14:F14"/>
    <mergeCell ref="A15:F15"/>
    <mergeCell ref="A16:F16"/>
    <mergeCell ref="A6:G6"/>
    <mergeCell ref="B7:C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104"/>
  <sheetViews>
    <sheetView zoomScale="85" zoomScaleNormal="85" workbookViewId="0">
      <selection sqref="A1:H1"/>
    </sheetView>
  </sheetViews>
  <sheetFormatPr defaultColWidth="8.7109375" defaultRowHeight="12.75" customHeight="1"/>
  <cols>
    <col min="1" max="11" width="14.140625" style="3" customWidth="1"/>
    <col min="12" max="12" width="18.42578125" style="3" customWidth="1"/>
    <col min="13" max="13" width="12.140625" style="3" customWidth="1"/>
    <col min="14" max="14" width="14.42578125" style="3" customWidth="1"/>
    <col min="15" max="15" width="15.42578125" style="3" customWidth="1"/>
    <col min="16" max="16" width="19.28515625" style="3" customWidth="1"/>
    <col min="17" max="18" width="18.28515625" style="3" customWidth="1"/>
    <col min="19" max="21" width="13.7109375" style="3" customWidth="1"/>
    <col min="22" max="22" width="12.140625" style="3" customWidth="1"/>
    <col min="23" max="24" width="8.7109375" style="3"/>
    <col min="25" max="25" width="13.7109375" style="3" customWidth="1"/>
    <col min="26" max="28" width="8.7109375" style="3"/>
    <col min="29" max="29" width="12.42578125" style="3" customWidth="1"/>
    <col min="30" max="16384" width="8.7109375" style="3"/>
  </cols>
  <sheetData>
    <row r="1" spans="1:22" ht="27" customHeight="1" thickBot="1">
      <c r="A1" s="709" t="s">
        <v>578</v>
      </c>
      <c r="B1" s="709"/>
      <c r="C1" s="709"/>
      <c r="D1" s="709"/>
      <c r="E1" s="709"/>
      <c r="F1" s="709"/>
      <c r="G1" s="709"/>
      <c r="H1" s="709"/>
      <c r="I1" s="708" t="s">
        <v>579</v>
      </c>
      <c r="J1" s="708"/>
      <c r="K1" s="708"/>
      <c r="L1" s="708"/>
      <c r="N1" s="547" t="str">
        <f>"CEUS Energy Consumption - "&amp;"Retail"</f>
        <v>CEUS Energy Consumption - Retail</v>
      </c>
      <c r="O1" s="547"/>
      <c r="P1" s="547"/>
      <c r="Q1" s="547"/>
      <c r="R1" s="547"/>
      <c r="S1" s="547"/>
      <c r="T1" s="547"/>
      <c r="U1" s="547"/>
      <c r="V1" s="547"/>
    </row>
    <row r="2" spans="1:22" ht="55.5" customHeight="1">
      <c r="A2" s="443" t="s">
        <v>10</v>
      </c>
      <c r="B2" s="444" t="s">
        <v>580</v>
      </c>
      <c r="C2" s="445" t="s">
        <v>581</v>
      </c>
      <c r="D2" s="445" t="s">
        <v>582</v>
      </c>
      <c r="E2" s="445" t="s">
        <v>583</v>
      </c>
      <c r="F2" s="445" t="s">
        <v>584</v>
      </c>
      <c r="G2" s="445" t="s">
        <v>585</v>
      </c>
      <c r="H2" s="509" t="s">
        <v>586</v>
      </c>
      <c r="I2" s="513" t="s">
        <v>587</v>
      </c>
      <c r="J2" s="514" t="s">
        <v>588</v>
      </c>
      <c r="K2" s="514" t="s">
        <v>589</v>
      </c>
      <c r="L2" s="515" t="s">
        <v>590</v>
      </c>
      <c r="M2" s="478" t="s">
        <v>591</v>
      </c>
      <c r="N2" s="451" t="s">
        <v>10</v>
      </c>
      <c r="O2" s="452" t="s">
        <v>580</v>
      </c>
      <c r="P2" s="452" t="s">
        <v>592</v>
      </c>
      <c r="Q2" s="452" t="s">
        <v>593</v>
      </c>
      <c r="R2" s="453" t="s">
        <v>594</v>
      </c>
      <c r="S2" s="454" t="s">
        <v>595</v>
      </c>
      <c r="T2" s="454" t="s">
        <v>596</v>
      </c>
      <c r="U2" s="454" t="s">
        <v>589</v>
      </c>
      <c r="V2" s="455" t="s">
        <v>597</v>
      </c>
    </row>
    <row r="3" spans="1:22" ht="19.149999999999999" customHeight="1">
      <c r="A3" s="706" t="s">
        <v>598</v>
      </c>
      <c r="B3" s="441">
        <v>1</v>
      </c>
      <c r="C3" s="448">
        <v>36.299999999999997</v>
      </c>
      <c r="D3" s="448">
        <v>46.3</v>
      </c>
      <c r="E3" s="448">
        <v>82.5</v>
      </c>
      <c r="F3" s="442">
        <v>50.2</v>
      </c>
      <c r="G3" s="442">
        <v>0</v>
      </c>
      <c r="H3" s="510">
        <v>50.2</v>
      </c>
      <c r="I3" s="516">
        <v>58.5</v>
      </c>
      <c r="J3" s="512">
        <f t="shared" ref="J3:J18" si="0">I3*1.25</f>
        <v>73.125</v>
      </c>
      <c r="K3" s="81">
        <f t="shared" ref="K3:K18" si="1">I3*0.75</f>
        <v>43.875</v>
      </c>
      <c r="L3" s="517">
        <f>J3-K3</f>
        <v>29.25</v>
      </c>
      <c r="M3" s="3">
        <v>95519</v>
      </c>
      <c r="N3" s="704" t="s">
        <v>116</v>
      </c>
      <c r="O3" s="437">
        <v>1</v>
      </c>
      <c r="P3" s="438">
        <v>13814</v>
      </c>
      <c r="Q3" s="439">
        <v>11.1</v>
      </c>
      <c r="R3" s="439">
        <v>3.06</v>
      </c>
      <c r="S3" s="440">
        <f>(Q3+R3)*3.412</f>
        <v>48.313919999999996</v>
      </c>
      <c r="T3" s="440">
        <f>S3*1.25</f>
        <v>60.392399999999995</v>
      </c>
      <c r="U3" s="450">
        <f>S3*0.75</f>
        <v>36.235439999999997</v>
      </c>
      <c r="V3" s="456">
        <f>T3-U3</f>
        <v>24.156959999999998</v>
      </c>
    </row>
    <row r="4" spans="1:22" ht="19.149999999999999" customHeight="1">
      <c r="A4" s="706"/>
      <c r="B4" s="441">
        <v>2</v>
      </c>
      <c r="C4" s="448">
        <v>40.5</v>
      </c>
      <c r="D4" s="448">
        <v>31.7</v>
      </c>
      <c r="E4" s="448">
        <v>72.2</v>
      </c>
      <c r="F4" s="442">
        <v>47.8</v>
      </c>
      <c r="G4" s="442">
        <v>0</v>
      </c>
      <c r="H4" s="510">
        <v>47.8</v>
      </c>
      <c r="I4" s="516">
        <v>68.900000000000006</v>
      </c>
      <c r="J4" s="512">
        <f t="shared" si="0"/>
        <v>86.125</v>
      </c>
      <c r="K4" s="81">
        <f t="shared" si="1"/>
        <v>51.675000000000004</v>
      </c>
      <c r="L4" s="517">
        <f t="shared" ref="L4:L18" si="2">J4-K4</f>
        <v>34.449999999999996</v>
      </c>
      <c r="M4" s="3">
        <v>95403</v>
      </c>
      <c r="N4" s="704"/>
      <c r="O4" s="437">
        <v>2</v>
      </c>
      <c r="P4" s="438">
        <v>25239</v>
      </c>
      <c r="Q4" s="439">
        <v>7.8</v>
      </c>
      <c r="R4" s="439">
        <v>4.3499999999999996</v>
      </c>
      <c r="S4" s="440">
        <f t="shared" ref="S4:S18" si="3">(Q4+R4)*3.412</f>
        <v>41.455799999999996</v>
      </c>
      <c r="T4" s="440">
        <f>S4*1.25</f>
        <v>51.819749999999999</v>
      </c>
      <c r="U4" s="450">
        <f t="shared" ref="U4:U18" si="4">S4*0.75</f>
        <v>31.091849999999997</v>
      </c>
      <c r="V4" s="456">
        <f t="shared" ref="V4:V18" si="5">T4-U4</f>
        <v>20.727900000000002</v>
      </c>
    </row>
    <row r="5" spans="1:22" ht="19.149999999999999" customHeight="1">
      <c r="A5" s="706"/>
      <c r="B5" s="441">
        <v>3</v>
      </c>
      <c r="C5" s="448">
        <v>36.200000000000003</v>
      </c>
      <c r="D5" s="448">
        <v>25.5</v>
      </c>
      <c r="E5" s="448">
        <v>61.7</v>
      </c>
      <c r="F5" s="442">
        <v>43.1</v>
      </c>
      <c r="G5" s="442">
        <v>0</v>
      </c>
      <c r="H5" s="510">
        <v>43.1</v>
      </c>
      <c r="I5" s="516">
        <v>63.5</v>
      </c>
      <c r="J5" s="512">
        <f t="shared" si="0"/>
        <v>79.375</v>
      </c>
      <c r="K5" s="81">
        <f t="shared" si="1"/>
        <v>47.625</v>
      </c>
      <c r="L5" s="517">
        <f t="shared" si="2"/>
        <v>31.75</v>
      </c>
      <c r="M5" s="3">
        <v>94621</v>
      </c>
      <c r="N5" s="704"/>
      <c r="O5" s="437">
        <v>3</v>
      </c>
      <c r="P5" s="438">
        <v>88648</v>
      </c>
      <c r="Q5" s="439">
        <v>10.199999999999999</v>
      </c>
      <c r="R5" s="439">
        <v>3.48</v>
      </c>
      <c r="S5" s="440">
        <f t="shared" si="3"/>
        <v>46.676159999999996</v>
      </c>
      <c r="T5" s="440">
        <f t="shared" ref="T5:T18" si="6">S5*1.25</f>
        <v>58.345199999999991</v>
      </c>
      <c r="U5" s="450">
        <f t="shared" si="4"/>
        <v>35.00712</v>
      </c>
      <c r="V5" s="456">
        <f t="shared" si="5"/>
        <v>23.338079999999991</v>
      </c>
    </row>
    <row r="6" spans="1:22" ht="19.149999999999999" customHeight="1">
      <c r="A6" s="706"/>
      <c r="B6" s="441">
        <v>4</v>
      </c>
      <c r="C6" s="448">
        <v>45.6</v>
      </c>
      <c r="D6" s="448">
        <v>22.5</v>
      </c>
      <c r="E6" s="448">
        <v>68.099999999999994</v>
      </c>
      <c r="F6" s="442">
        <v>49.8</v>
      </c>
      <c r="G6" s="442">
        <v>0</v>
      </c>
      <c r="H6" s="510">
        <v>49.8</v>
      </c>
      <c r="I6" s="516">
        <v>71.2</v>
      </c>
      <c r="J6" s="512">
        <f t="shared" si="0"/>
        <v>89</v>
      </c>
      <c r="K6" s="81">
        <f t="shared" si="1"/>
        <v>53.400000000000006</v>
      </c>
      <c r="L6" s="517">
        <f t="shared" si="2"/>
        <v>35.599999999999994</v>
      </c>
      <c r="M6" s="3">
        <v>93446</v>
      </c>
      <c r="N6" s="704"/>
      <c r="O6" s="437">
        <v>4</v>
      </c>
      <c r="P6" s="438">
        <v>44551</v>
      </c>
      <c r="Q6" s="439">
        <v>10.4</v>
      </c>
      <c r="R6" s="439">
        <v>3.38</v>
      </c>
      <c r="S6" s="440">
        <f t="shared" si="3"/>
        <v>47.017360000000004</v>
      </c>
      <c r="T6" s="440">
        <f t="shared" si="6"/>
        <v>58.771700000000003</v>
      </c>
      <c r="U6" s="450">
        <f t="shared" si="4"/>
        <v>35.263020000000004</v>
      </c>
      <c r="V6" s="456">
        <f t="shared" si="5"/>
        <v>23.508679999999998</v>
      </c>
    </row>
    <row r="7" spans="1:22" ht="19.149999999999999" customHeight="1">
      <c r="A7" s="706"/>
      <c r="B7" s="441">
        <v>5</v>
      </c>
      <c r="C7" s="448">
        <v>33.799999999999997</v>
      </c>
      <c r="D7" s="448">
        <v>14.5</v>
      </c>
      <c r="E7" s="448">
        <v>48.3</v>
      </c>
      <c r="F7" s="442">
        <v>42.4</v>
      </c>
      <c r="G7" s="442">
        <v>0</v>
      </c>
      <c r="H7" s="510">
        <v>42.4</v>
      </c>
      <c r="I7" s="516">
        <v>61.8</v>
      </c>
      <c r="J7" s="512">
        <f t="shared" si="0"/>
        <v>77.25</v>
      </c>
      <c r="K7" s="81">
        <f t="shared" si="1"/>
        <v>46.349999999999994</v>
      </c>
      <c r="L7" s="517">
        <f t="shared" si="2"/>
        <v>30.900000000000006</v>
      </c>
      <c r="M7" s="3">
        <v>93455</v>
      </c>
      <c r="N7" s="704"/>
      <c r="O7" s="437">
        <v>5</v>
      </c>
      <c r="P7" s="438">
        <v>9847</v>
      </c>
      <c r="Q7" s="439">
        <v>9.3000000000000007</v>
      </c>
      <c r="R7" s="439">
        <v>4.28</v>
      </c>
      <c r="S7" s="440">
        <f t="shared" si="3"/>
        <v>46.334960000000002</v>
      </c>
      <c r="T7" s="440">
        <f t="shared" si="6"/>
        <v>57.918700000000001</v>
      </c>
      <c r="U7" s="450">
        <f t="shared" si="4"/>
        <v>34.751220000000004</v>
      </c>
      <c r="V7" s="456">
        <f t="shared" si="5"/>
        <v>23.167479999999998</v>
      </c>
    </row>
    <row r="8" spans="1:22" ht="19.149999999999999" customHeight="1">
      <c r="A8" s="706"/>
      <c r="B8" s="441">
        <v>6</v>
      </c>
      <c r="C8" s="448">
        <v>36.1</v>
      </c>
      <c r="D8" s="448">
        <v>7.8</v>
      </c>
      <c r="E8" s="448">
        <v>43.9</v>
      </c>
      <c r="F8" s="442">
        <v>39.200000000000003</v>
      </c>
      <c r="G8" s="442">
        <v>0</v>
      </c>
      <c r="H8" s="510">
        <v>39.200000000000003</v>
      </c>
      <c r="I8" s="516">
        <v>68.400000000000006</v>
      </c>
      <c r="J8" s="512">
        <f t="shared" si="0"/>
        <v>85.5</v>
      </c>
      <c r="K8" s="81">
        <f t="shared" si="1"/>
        <v>51.300000000000004</v>
      </c>
      <c r="L8" s="517">
        <f t="shared" si="2"/>
        <v>34.199999999999996</v>
      </c>
      <c r="M8" s="3">
        <v>90045</v>
      </c>
      <c r="N8" s="704"/>
      <c r="O8" s="437">
        <v>6</v>
      </c>
      <c r="P8" s="438">
        <v>92562</v>
      </c>
      <c r="Q8" s="439">
        <v>8.6</v>
      </c>
      <c r="R8" s="439">
        <v>1.35</v>
      </c>
      <c r="S8" s="440">
        <f t="shared" si="3"/>
        <v>33.949399999999997</v>
      </c>
      <c r="T8" s="440">
        <f t="shared" si="6"/>
        <v>42.436749999999996</v>
      </c>
      <c r="U8" s="450">
        <f t="shared" si="4"/>
        <v>25.462049999999998</v>
      </c>
      <c r="V8" s="456">
        <f t="shared" si="5"/>
        <v>16.974699999999999</v>
      </c>
    </row>
    <row r="9" spans="1:22" ht="19.149999999999999" customHeight="1">
      <c r="A9" s="706"/>
      <c r="B9" s="441">
        <v>7</v>
      </c>
      <c r="C9" s="448">
        <v>35.200000000000003</v>
      </c>
      <c r="D9" s="448">
        <v>6</v>
      </c>
      <c r="E9" s="448">
        <v>41.2</v>
      </c>
      <c r="F9" s="442">
        <v>38.1</v>
      </c>
      <c r="G9" s="442">
        <v>0</v>
      </c>
      <c r="H9" s="510">
        <v>38.1</v>
      </c>
      <c r="I9" s="516">
        <v>68.400000000000006</v>
      </c>
      <c r="J9" s="512">
        <f t="shared" si="0"/>
        <v>85.5</v>
      </c>
      <c r="K9" s="81">
        <f t="shared" si="1"/>
        <v>51.300000000000004</v>
      </c>
      <c r="L9" s="517">
        <f t="shared" si="2"/>
        <v>34.199999999999996</v>
      </c>
      <c r="M9" s="3">
        <v>92101</v>
      </c>
      <c r="N9" s="704"/>
      <c r="O9" s="437">
        <v>7</v>
      </c>
      <c r="P9" s="438">
        <v>63471</v>
      </c>
      <c r="Q9" s="439">
        <v>10.3</v>
      </c>
      <c r="R9" s="439">
        <v>0.93</v>
      </c>
      <c r="S9" s="440">
        <f t="shared" si="3"/>
        <v>38.316760000000002</v>
      </c>
      <c r="T9" s="440">
        <f t="shared" si="6"/>
        <v>47.895949999999999</v>
      </c>
      <c r="U9" s="450">
        <f t="shared" si="4"/>
        <v>28.737570000000002</v>
      </c>
      <c r="V9" s="456">
        <f t="shared" si="5"/>
        <v>19.158379999999998</v>
      </c>
    </row>
    <row r="10" spans="1:22" ht="19.149999999999999" customHeight="1">
      <c r="A10" s="706"/>
      <c r="B10" s="441">
        <v>8</v>
      </c>
      <c r="C10" s="448">
        <v>43.4</v>
      </c>
      <c r="D10" s="448">
        <v>8.1999999999999993</v>
      </c>
      <c r="E10" s="448">
        <v>51.6</v>
      </c>
      <c r="F10" s="442">
        <v>45.8</v>
      </c>
      <c r="G10" s="442">
        <v>0</v>
      </c>
      <c r="H10" s="510">
        <v>45.8</v>
      </c>
      <c r="I10" s="516">
        <v>69.400000000000006</v>
      </c>
      <c r="J10" s="512">
        <f t="shared" si="0"/>
        <v>86.75</v>
      </c>
      <c r="K10" s="81">
        <f t="shared" si="1"/>
        <v>52.050000000000004</v>
      </c>
      <c r="L10" s="517">
        <f t="shared" si="2"/>
        <v>34.699999999999996</v>
      </c>
      <c r="M10" s="3">
        <v>92832</v>
      </c>
      <c r="N10" s="704"/>
      <c r="O10" s="437">
        <v>8</v>
      </c>
      <c r="P10" s="438">
        <v>147354</v>
      </c>
      <c r="Q10" s="439">
        <v>8.5</v>
      </c>
      <c r="R10" s="439">
        <v>1.31</v>
      </c>
      <c r="S10" s="440">
        <f t="shared" si="3"/>
        <v>33.471719999999998</v>
      </c>
      <c r="T10" s="440">
        <f t="shared" si="6"/>
        <v>41.839649999999999</v>
      </c>
      <c r="U10" s="450">
        <f t="shared" si="4"/>
        <v>25.103789999999996</v>
      </c>
      <c r="V10" s="456">
        <f t="shared" si="5"/>
        <v>16.735860000000002</v>
      </c>
    </row>
    <row r="11" spans="1:22" ht="19.149999999999999" customHeight="1">
      <c r="A11" s="706"/>
      <c r="B11" s="441">
        <v>9</v>
      </c>
      <c r="C11" s="448">
        <v>44.9</v>
      </c>
      <c r="D11" s="448">
        <v>11.1</v>
      </c>
      <c r="E11" s="448">
        <v>56</v>
      </c>
      <c r="F11" s="442">
        <v>46.3</v>
      </c>
      <c r="G11" s="442">
        <v>0</v>
      </c>
      <c r="H11" s="510">
        <v>46.3</v>
      </c>
      <c r="I11" s="516">
        <v>70.099999999999994</v>
      </c>
      <c r="J11" s="512">
        <f t="shared" si="0"/>
        <v>87.625</v>
      </c>
      <c r="K11" s="81">
        <f t="shared" si="1"/>
        <v>52.574999999999996</v>
      </c>
      <c r="L11" s="517">
        <f t="shared" si="2"/>
        <v>35.050000000000004</v>
      </c>
      <c r="M11" s="3">
        <v>91505</v>
      </c>
      <c r="N11" s="704"/>
      <c r="O11" s="437">
        <v>9</v>
      </c>
      <c r="P11" s="438">
        <v>212697</v>
      </c>
      <c r="Q11" s="439">
        <v>9.4</v>
      </c>
      <c r="R11" s="439">
        <v>1.4</v>
      </c>
      <c r="S11" s="440">
        <f t="shared" si="3"/>
        <v>36.849600000000002</v>
      </c>
      <c r="T11" s="440">
        <f t="shared" si="6"/>
        <v>46.062000000000005</v>
      </c>
      <c r="U11" s="450">
        <f t="shared" si="4"/>
        <v>27.6372</v>
      </c>
      <c r="V11" s="456">
        <f t="shared" si="5"/>
        <v>18.424800000000005</v>
      </c>
    </row>
    <row r="12" spans="1:22" ht="19.149999999999999" customHeight="1">
      <c r="A12" s="706"/>
      <c r="B12" s="441">
        <v>10</v>
      </c>
      <c r="C12" s="448">
        <v>46.2</v>
      </c>
      <c r="D12" s="448">
        <v>10.3</v>
      </c>
      <c r="E12" s="448">
        <v>56.5</v>
      </c>
      <c r="F12" s="442">
        <v>48.6</v>
      </c>
      <c r="G12" s="442">
        <v>0</v>
      </c>
      <c r="H12" s="510">
        <v>48.6</v>
      </c>
      <c r="I12" s="516">
        <v>70.599999999999994</v>
      </c>
      <c r="J12" s="512">
        <f t="shared" si="0"/>
        <v>88.25</v>
      </c>
      <c r="K12" s="81">
        <f t="shared" si="1"/>
        <v>52.949999999999996</v>
      </c>
      <c r="L12" s="517">
        <f t="shared" si="2"/>
        <v>35.300000000000004</v>
      </c>
      <c r="M12" s="3">
        <v>92501</v>
      </c>
      <c r="N12" s="704"/>
      <c r="O12" s="437">
        <v>10</v>
      </c>
      <c r="P12" s="438">
        <v>149832</v>
      </c>
      <c r="Q12" s="439">
        <v>9.3000000000000007</v>
      </c>
      <c r="R12" s="439">
        <v>1.54</v>
      </c>
      <c r="S12" s="440">
        <f t="shared" si="3"/>
        <v>36.986080000000001</v>
      </c>
      <c r="T12" s="440">
        <f t="shared" si="6"/>
        <v>46.232600000000005</v>
      </c>
      <c r="U12" s="450">
        <f t="shared" si="4"/>
        <v>27.739560000000001</v>
      </c>
      <c r="V12" s="456">
        <f t="shared" si="5"/>
        <v>18.493040000000004</v>
      </c>
    </row>
    <row r="13" spans="1:22" ht="19.149999999999999" customHeight="1">
      <c r="A13" s="706"/>
      <c r="B13" s="441">
        <v>11</v>
      </c>
      <c r="C13" s="448">
        <v>45.9</v>
      </c>
      <c r="D13" s="448">
        <v>33.9</v>
      </c>
      <c r="E13" s="448">
        <v>79.7</v>
      </c>
      <c r="F13" s="442">
        <v>57.5</v>
      </c>
      <c r="G13" s="442">
        <v>0</v>
      </c>
      <c r="H13" s="510">
        <v>57.5</v>
      </c>
      <c r="I13" s="516">
        <v>72.5</v>
      </c>
      <c r="J13" s="512">
        <f t="shared" si="0"/>
        <v>90.625</v>
      </c>
      <c r="K13" s="81">
        <f t="shared" si="1"/>
        <v>54.375</v>
      </c>
      <c r="L13" s="517">
        <f t="shared" si="2"/>
        <v>36.25</v>
      </c>
      <c r="M13" s="3">
        <v>96080</v>
      </c>
      <c r="N13" s="704"/>
      <c r="O13" s="437">
        <v>11</v>
      </c>
      <c r="P13" s="438">
        <v>45934</v>
      </c>
      <c r="Q13" s="439">
        <v>10.6</v>
      </c>
      <c r="R13" s="439">
        <v>2.72</v>
      </c>
      <c r="S13" s="440">
        <f t="shared" si="3"/>
        <v>45.447839999999999</v>
      </c>
      <c r="T13" s="440">
        <f t="shared" si="6"/>
        <v>56.809799999999996</v>
      </c>
      <c r="U13" s="450">
        <f t="shared" si="4"/>
        <v>34.085880000000003</v>
      </c>
      <c r="V13" s="456">
        <f t="shared" si="5"/>
        <v>22.723919999999993</v>
      </c>
    </row>
    <row r="14" spans="1:22" ht="19.149999999999999" customHeight="1">
      <c r="A14" s="706"/>
      <c r="B14" s="441">
        <v>12</v>
      </c>
      <c r="C14" s="448">
        <v>42.1</v>
      </c>
      <c r="D14" s="448">
        <v>28.9</v>
      </c>
      <c r="E14" s="448">
        <v>71</v>
      </c>
      <c r="F14" s="442">
        <v>51</v>
      </c>
      <c r="G14" s="442">
        <v>0</v>
      </c>
      <c r="H14" s="510">
        <v>51</v>
      </c>
      <c r="I14" s="516">
        <v>71.599999999999994</v>
      </c>
      <c r="J14" s="512">
        <f t="shared" si="0"/>
        <v>89.5</v>
      </c>
      <c r="K14" s="81">
        <f t="shared" si="1"/>
        <v>53.699999999999996</v>
      </c>
      <c r="L14" s="517">
        <f t="shared" si="2"/>
        <v>35.800000000000004</v>
      </c>
      <c r="M14" s="3">
        <v>95822</v>
      </c>
      <c r="N14" s="704"/>
      <c r="O14" s="437">
        <v>12</v>
      </c>
      <c r="P14" s="438">
        <v>195816</v>
      </c>
      <c r="Q14" s="439">
        <v>11</v>
      </c>
      <c r="R14" s="439">
        <v>2.87</v>
      </c>
      <c r="S14" s="440">
        <f t="shared" si="3"/>
        <v>47.324440000000003</v>
      </c>
      <c r="T14" s="440">
        <f t="shared" si="6"/>
        <v>59.155550000000005</v>
      </c>
      <c r="U14" s="450">
        <f t="shared" si="4"/>
        <v>35.49333</v>
      </c>
      <c r="V14" s="456">
        <f t="shared" si="5"/>
        <v>23.662220000000005</v>
      </c>
    </row>
    <row r="15" spans="1:22" ht="19.149999999999999" customHeight="1">
      <c r="A15" s="706"/>
      <c r="B15" s="441">
        <v>13</v>
      </c>
      <c r="C15" s="448">
        <v>47.3</v>
      </c>
      <c r="D15" s="448">
        <v>22.3</v>
      </c>
      <c r="E15" s="448">
        <v>69.599999999999994</v>
      </c>
      <c r="F15" s="442">
        <v>56.8</v>
      </c>
      <c r="G15" s="442">
        <v>0</v>
      </c>
      <c r="H15" s="510">
        <v>56.8</v>
      </c>
      <c r="I15" s="516">
        <v>72.5</v>
      </c>
      <c r="J15" s="512">
        <f t="shared" si="0"/>
        <v>90.625</v>
      </c>
      <c r="K15" s="81">
        <f t="shared" si="1"/>
        <v>54.375</v>
      </c>
      <c r="L15" s="517">
        <f t="shared" si="2"/>
        <v>36.25</v>
      </c>
      <c r="M15" s="3">
        <v>93727</v>
      </c>
      <c r="N15" s="704"/>
      <c r="O15" s="437">
        <v>13</v>
      </c>
      <c r="P15" s="438">
        <v>67122</v>
      </c>
      <c r="Q15" s="439">
        <v>12.4</v>
      </c>
      <c r="R15" s="439">
        <v>2.61</v>
      </c>
      <c r="S15" s="440">
        <f t="shared" si="3"/>
        <v>51.214120000000001</v>
      </c>
      <c r="T15" s="440">
        <f t="shared" si="6"/>
        <v>64.017650000000003</v>
      </c>
      <c r="U15" s="450">
        <f t="shared" si="4"/>
        <v>38.410589999999999</v>
      </c>
      <c r="V15" s="456">
        <f t="shared" si="5"/>
        <v>25.607060000000004</v>
      </c>
    </row>
    <row r="16" spans="1:22" ht="19.149999999999999" customHeight="1">
      <c r="A16" s="706"/>
      <c r="B16" s="441">
        <v>14</v>
      </c>
      <c r="C16" s="448">
        <v>53.1</v>
      </c>
      <c r="D16" s="448">
        <v>26.9</v>
      </c>
      <c r="E16" s="448">
        <v>80</v>
      </c>
      <c r="F16" s="442">
        <v>60.8</v>
      </c>
      <c r="G16" s="442">
        <v>0</v>
      </c>
      <c r="H16" s="510">
        <v>60.8</v>
      </c>
      <c r="I16" s="516">
        <v>72.8</v>
      </c>
      <c r="J16" s="512">
        <f t="shared" si="0"/>
        <v>91</v>
      </c>
      <c r="K16" s="81">
        <f t="shared" si="1"/>
        <v>54.599999999999994</v>
      </c>
      <c r="L16" s="517">
        <f t="shared" si="2"/>
        <v>36.400000000000006</v>
      </c>
      <c r="M16" s="3">
        <v>93550</v>
      </c>
      <c r="N16" s="704"/>
      <c r="O16" s="437">
        <v>14</v>
      </c>
      <c r="P16" s="438">
        <v>39049</v>
      </c>
      <c r="Q16" s="439">
        <v>8.6</v>
      </c>
      <c r="R16" s="439">
        <v>1.28</v>
      </c>
      <c r="S16" s="440">
        <f t="shared" si="3"/>
        <v>33.710559999999994</v>
      </c>
      <c r="T16" s="440">
        <f t="shared" si="6"/>
        <v>42.138199999999991</v>
      </c>
      <c r="U16" s="450">
        <f t="shared" si="4"/>
        <v>25.282919999999997</v>
      </c>
      <c r="V16" s="456">
        <f t="shared" si="5"/>
        <v>16.855279999999993</v>
      </c>
    </row>
    <row r="17" spans="1:22" ht="19.149999999999999" customHeight="1">
      <c r="A17" s="706"/>
      <c r="B17" s="441">
        <v>15</v>
      </c>
      <c r="C17" s="448">
        <v>62.9</v>
      </c>
      <c r="D17" s="448">
        <v>7</v>
      </c>
      <c r="E17" s="448">
        <v>69.900000000000006</v>
      </c>
      <c r="F17" s="442">
        <v>66</v>
      </c>
      <c r="G17" s="442">
        <v>0</v>
      </c>
      <c r="H17" s="510">
        <v>66</v>
      </c>
      <c r="I17" s="516">
        <v>70.5</v>
      </c>
      <c r="J17" s="512">
        <f t="shared" si="0"/>
        <v>88.125</v>
      </c>
      <c r="K17" s="81">
        <f t="shared" si="1"/>
        <v>52.875</v>
      </c>
      <c r="L17" s="517">
        <f t="shared" si="2"/>
        <v>35.25</v>
      </c>
      <c r="M17" s="3">
        <v>92262</v>
      </c>
      <c r="N17" s="704"/>
      <c r="O17" s="437">
        <v>15</v>
      </c>
      <c r="P17" s="438">
        <v>73160</v>
      </c>
      <c r="Q17" s="439">
        <v>10</v>
      </c>
      <c r="R17" s="439">
        <v>2.42</v>
      </c>
      <c r="S17" s="440">
        <f t="shared" si="3"/>
        <v>42.377040000000001</v>
      </c>
      <c r="T17" s="440">
        <f t="shared" si="6"/>
        <v>52.971299999999999</v>
      </c>
      <c r="U17" s="450">
        <f t="shared" si="4"/>
        <v>31.782780000000002</v>
      </c>
      <c r="V17" s="456">
        <f t="shared" si="5"/>
        <v>21.188519999999997</v>
      </c>
    </row>
    <row r="18" spans="1:22" ht="19.149999999999999" customHeight="1" thickBot="1">
      <c r="A18" s="707"/>
      <c r="B18" s="446">
        <v>16</v>
      </c>
      <c r="C18" s="449">
        <v>49.3</v>
      </c>
      <c r="D18" s="449">
        <v>58.4</v>
      </c>
      <c r="E18" s="449">
        <v>107.7</v>
      </c>
      <c r="F18" s="447">
        <v>69.400000000000006</v>
      </c>
      <c r="G18" s="447">
        <v>0</v>
      </c>
      <c r="H18" s="511">
        <v>69.400000000000006</v>
      </c>
      <c r="I18" s="518">
        <v>71.5</v>
      </c>
      <c r="J18" s="519">
        <f t="shared" si="0"/>
        <v>89.375</v>
      </c>
      <c r="K18" s="520">
        <f t="shared" si="1"/>
        <v>53.625</v>
      </c>
      <c r="L18" s="521">
        <f t="shared" si="2"/>
        <v>35.75</v>
      </c>
      <c r="M18" s="3">
        <v>95726</v>
      </c>
      <c r="N18" s="705"/>
      <c r="O18" s="457">
        <v>16</v>
      </c>
      <c r="P18" s="458">
        <v>149464</v>
      </c>
      <c r="Q18" s="459">
        <v>9.6</v>
      </c>
      <c r="R18" s="459">
        <v>1.56</v>
      </c>
      <c r="S18" s="460">
        <f t="shared" si="3"/>
        <v>38.077919999999999</v>
      </c>
      <c r="T18" s="460">
        <f t="shared" si="6"/>
        <v>47.5974</v>
      </c>
      <c r="U18" s="461">
        <f t="shared" si="4"/>
        <v>28.558439999999997</v>
      </c>
      <c r="V18" s="462">
        <f t="shared" si="5"/>
        <v>19.038960000000003</v>
      </c>
    </row>
    <row r="20" spans="1:22" ht="13.15">
      <c r="N20" s="335" t="s">
        <v>599</v>
      </c>
    </row>
    <row r="21" spans="1:22" ht="13.15">
      <c r="N21" s="3" t="s">
        <v>600</v>
      </c>
    </row>
    <row r="22" spans="1:22" ht="13.15">
      <c r="N22" s="3" t="s">
        <v>601</v>
      </c>
    </row>
    <row r="63" spans="1:7" ht="13.15"/>
    <row r="64" spans="1:7" s="21" customFormat="1" ht="13.15" hidden="1" customHeight="1">
      <c r="A64" s="21" t="s">
        <v>37</v>
      </c>
      <c r="E64" s="22"/>
      <c r="F64" s="23"/>
      <c r="G64" s="24"/>
    </row>
    <row r="65" spans="8:19" ht="10.9" hidden="1" customHeight="1"/>
    <row r="66" spans="8:19" ht="12.75" hidden="1" customHeight="1">
      <c r="I66" s="3" t="s">
        <v>602</v>
      </c>
    </row>
    <row r="67" spans="8:19" ht="12.75" hidden="1" customHeight="1">
      <c r="H67" t="s">
        <v>603</v>
      </c>
      <c r="I67" s="463">
        <v>130</v>
      </c>
      <c r="J67" s="465" t="s">
        <v>604</v>
      </c>
      <c r="K67" s="466">
        <v>68.7</v>
      </c>
    </row>
    <row r="68" spans="8:19" ht="12.75" hidden="1" customHeight="1">
      <c r="H68"/>
      <c r="I68" s="463">
        <v>139</v>
      </c>
      <c r="J68" s="465"/>
      <c r="K68" s="466">
        <v>80.3</v>
      </c>
    </row>
    <row r="69" spans="8:19" ht="12.75" hidden="1" customHeight="1">
      <c r="H69"/>
      <c r="I69" s="463">
        <v>135</v>
      </c>
      <c r="J69" s="465"/>
      <c r="K69" s="466">
        <v>74.2</v>
      </c>
    </row>
    <row r="70" spans="8:19" ht="12.75" hidden="1" customHeight="1">
      <c r="H70"/>
      <c r="I70" s="463">
        <v>141.5</v>
      </c>
      <c r="J70" s="501"/>
      <c r="K70" s="502">
        <v>82.8</v>
      </c>
      <c r="L70" s="503"/>
      <c r="M70" s="503"/>
    </row>
    <row r="71" spans="8:19" ht="12.75" hidden="1" customHeight="1">
      <c r="H71"/>
      <c r="I71" s="463">
        <v>133.6</v>
      </c>
      <c r="J71" s="465"/>
      <c r="K71" s="466">
        <v>72.3</v>
      </c>
      <c r="P71" s="503"/>
      <c r="Q71" s="504"/>
      <c r="R71" s="505"/>
      <c r="S71" s="506"/>
    </row>
    <row r="72" spans="8:19" ht="12.75" hidden="1" customHeight="1">
      <c r="H72"/>
      <c r="I72" s="463">
        <v>139.1</v>
      </c>
      <c r="J72" s="465"/>
      <c r="K72" s="466">
        <v>79.7</v>
      </c>
      <c r="P72" s="507" t="s">
        <v>593</v>
      </c>
      <c r="Q72" s="507" t="s">
        <v>594</v>
      </c>
      <c r="R72" s="508"/>
      <c r="S72" s="508"/>
    </row>
    <row r="73" spans="8:19" ht="12.75" hidden="1" customHeight="1">
      <c r="H73"/>
      <c r="I73" s="463">
        <v>139.1</v>
      </c>
      <c r="J73" s="465"/>
      <c r="K73" s="466">
        <v>79.7</v>
      </c>
      <c r="P73" s="473" t="s">
        <v>605</v>
      </c>
    </row>
    <row r="74" spans="8:19" ht="12.75" hidden="1" customHeight="1">
      <c r="H74"/>
      <c r="I74" s="463">
        <v>139.9</v>
      </c>
      <c r="J74" s="465"/>
      <c r="K74" s="466">
        <v>80.8</v>
      </c>
      <c r="P74" s="467" t="s">
        <v>606</v>
      </c>
      <c r="Q74" s="468" t="s">
        <v>607</v>
      </c>
    </row>
    <row r="75" spans="8:19" ht="12.75" hidden="1" customHeight="1">
      <c r="H75"/>
      <c r="I75" s="463">
        <v>140.4</v>
      </c>
      <c r="J75" s="465"/>
      <c r="K75" s="466">
        <v>81.5</v>
      </c>
      <c r="P75" s="469">
        <v>40.9</v>
      </c>
      <c r="Q75" s="470">
        <v>16.309999999999999</v>
      </c>
      <c r="S75" s="3">
        <f>(P75+Q75)*3.412</f>
        <v>195.20051999999998</v>
      </c>
    </row>
    <row r="76" spans="8:19" ht="12.75" hidden="1" customHeight="1">
      <c r="H76"/>
      <c r="I76" s="463">
        <v>140.9</v>
      </c>
      <c r="J76" s="465"/>
      <c r="K76" s="466">
        <v>82.1</v>
      </c>
      <c r="P76" s="469">
        <v>39.799999999999997</v>
      </c>
      <c r="Q76" s="470">
        <v>13.63</v>
      </c>
    </row>
    <row r="77" spans="8:19" ht="12.75" hidden="1" customHeight="1">
      <c r="H77"/>
      <c r="I77" s="463">
        <v>142.5</v>
      </c>
      <c r="J77" s="465"/>
      <c r="K77" s="466">
        <v>84.2</v>
      </c>
      <c r="P77" s="469">
        <v>38</v>
      </c>
      <c r="Q77" s="470">
        <v>13.46</v>
      </c>
    </row>
    <row r="78" spans="8:19" ht="12.75" hidden="1" customHeight="1">
      <c r="H78"/>
      <c r="I78" s="463">
        <v>141.69999999999999</v>
      </c>
      <c r="J78" s="465"/>
      <c r="K78" s="466">
        <v>83.2</v>
      </c>
      <c r="P78" s="469">
        <v>37.6</v>
      </c>
      <c r="Q78" s="470">
        <v>13.59</v>
      </c>
    </row>
    <row r="79" spans="8:19" ht="12.75" hidden="1" customHeight="1">
      <c r="H79"/>
      <c r="I79" s="463">
        <v>142.4</v>
      </c>
      <c r="J79" s="465"/>
      <c r="K79" s="466">
        <v>84.2</v>
      </c>
      <c r="P79" s="469">
        <v>41.2</v>
      </c>
      <c r="Q79" s="470">
        <v>12.4</v>
      </c>
    </row>
    <row r="80" spans="8:19" ht="12.75" hidden="1" customHeight="1">
      <c r="H80"/>
      <c r="I80" s="463">
        <v>142.69999999999999</v>
      </c>
      <c r="J80" s="465"/>
      <c r="K80" s="466">
        <v>84.5</v>
      </c>
      <c r="P80" s="469">
        <v>33.4</v>
      </c>
      <c r="Q80" s="470">
        <v>15.7</v>
      </c>
    </row>
    <row r="81" spans="8:17" ht="12.75" hidden="1" customHeight="1">
      <c r="H81"/>
      <c r="I81" s="463">
        <v>140.80000000000001</v>
      </c>
      <c r="J81" s="465"/>
      <c r="K81" s="466">
        <v>82</v>
      </c>
      <c r="P81" s="469">
        <v>39.4</v>
      </c>
      <c r="Q81" s="470">
        <v>17.66</v>
      </c>
    </row>
    <row r="82" spans="8:17" ht="12.75" hidden="1" customHeight="1" thickBot="1">
      <c r="I82" s="464">
        <v>141.6</v>
      </c>
      <c r="J82" s="465"/>
      <c r="K82" s="466">
        <v>83.1</v>
      </c>
      <c r="P82" s="469">
        <v>34.700000000000003</v>
      </c>
      <c r="Q82" s="470">
        <v>16.149999999999999</v>
      </c>
    </row>
    <row r="83" spans="8:17" ht="12.75" hidden="1" customHeight="1">
      <c r="J83" s="465"/>
      <c r="K83" s="465"/>
      <c r="P83" s="469">
        <v>33.200000000000003</v>
      </c>
      <c r="Q83" s="470">
        <v>12.45</v>
      </c>
    </row>
    <row r="84" spans="8:17" ht="12.75" hidden="1" customHeight="1">
      <c r="P84" s="469">
        <v>38.799999999999997</v>
      </c>
      <c r="Q84" s="470">
        <v>27.69</v>
      </c>
    </row>
    <row r="85" spans="8:17" ht="12.75" hidden="1" customHeight="1">
      <c r="I85" s="1" t="s">
        <v>608</v>
      </c>
      <c r="J85" s="1" t="s">
        <v>609</v>
      </c>
      <c r="K85" s="1" t="s">
        <v>610</v>
      </c>
      <c r="L85" s="1" t="s">
        <v>611</v>
      </c>
      <c r="P85" s="469">
        <v>39.1</v>
      </c>
      <c r="Q85" s="470">
        <v>15.49</v>
      </c>
    </row>
    <row r="86" spans="8:17" ht="12.75" hidden="1" customHeight="1">
      <c r="I86" s="1" t="s">
        <v>612</v>
      </c>
      <c r="J86" t="s">
        <v>613</v>
      </c>
      <c r="K86" t="s">
        <v>614</v>
      </c>
      <c r="L86" s="1" t="s">
        <v>615</v>
      </c>
      <c r="P86" s="469">
        <v>38.9</v>
      </c>
      <c r="Q86" s="470">
        <v>15.11</v>
      </c>
    </row>
    <row r="87" spans="8:17" ht="12.75" hidden="1" customHeight="1">
      <c r="I87" s="1" t="s">
        <v>616</v>
      </c>
      <c r="J87" t="s">
        <v>617</v>
      </c>
      <c r="K87" t="s">
        <v>618</v>
      </c>
      <c r="L87" s="1" t="s">
        <v>619</v>
      </c>
      <c r="P87" s="469">
        <v>40</v>
      </c>
      <c r="Q87" s="470">
        <v>18.25</v>
      </c>
    </row>
    <row r="88" spans="8:17" ht="12.75" hidden="1" customHeight="1">
      <c r="I88" s="1" t="s">
        <v>620</v>
      </c>
      <c r="J88" t="s">
        <v>621</v>
      </c>
      <c r="K88" t="s">
        <v>618</v>
      </c>
      <c r="L88" s="1" t="s">
        <v>619</v>
      </c>
      <c r="P88" s="469">
        <v>36.4</v>
      </c>
      <c r="Q88" s="470">
        <v>29.45</v>
      </c>
    </row>
    <row r="89" spans="8:17" ht="12.75" hidden="1" customHeight="1">
      <c r="I89" s="1" t="s">
        <v>622</v>
      </c>
      <c r="J89" t="s">
        <v>623</v>
      </c>
      <c r="K89" t="s">
        <v>624</v>
      </c>
      <c r="L89" s="1" t="s">
        <v>625</v>
      </c>
      <c r="P89" s="469">
        <v>39</v>
      </c>
      <c r="Q89" s="470">
        <v>21.06</v>
      </c>
    </row>
    <row r="90" spans="8:17" ht="12.75" hidden="1" customHeight="1">
      <c r="I90" s="1" t="s">
        <v>626</v>
      </c>
      <c r="J90" t="s">
        <v>627</v>
      </c>
      <c r="K90" t="s">
        <v>628</v>
      </c>
      <c r="L90" s="1" t="s">
        <v>629</v>
      </c>
      <c r="P90" s="471">
        <v>39.4</v>
      </c>
      <c r="Q90" s="472">
        <v>30.04</v>
      </c>
    </row>
    <row r="91" spans="8:17" ht="12.75" hidden="1" customHeight="1">
      <c r="I91" s="1" t="s">
        <v>630</v>
      </c>
      <c r="J91" t="s">
        <v>631</v>
      </c>
      <c r="K91" t="s">
        <v>632</v>
      </c>
      <c r="L91" s="1" t="s">
        <v>633</v>
      </c>
    </row>
    <row r="92" spans="8:17" ht="12.75" hidden="1" customHeight="1">
      <c r="I92" s="1" t="s">
        <v>634</v>
      </c>
      <c r="J92" t="s">
        <v>635</v>
      </c>
      <c r="K92" t="s">
        <v>632</v>
      </c>
      <c r="L92" s="1" t="s">
        <v>636</v>
      </c>
    </row>
    <row r="93" spans="8:17" ht="12.75" hidden="1" customHeight="1">
      <c r="I93" s="1" t="s">
        <v>637</v>
      </c>
      <c r="J93" t="s">
        <v>638</v>
      </c>
      <c r="K93" t="s">
        <v>639</v>
      </c>
      <c r="L93" s="1" t="s">
        <v>636</v>
      </c>
    </row>
    <row r="94" spans="8:17" ht="12.75" hidden="1" customHeight="1">
      <c r="I94" s="1" t="s">
        <v>640</v>
      </c>
      <c r="J94" t="s">
        <v>641</v>
      </c>
      <c r="K94" t="s">
        <v>639</v>
      </c>
      <c r="L94" s="1" t="s">
        <v>636</v>
      </c>
    </row>
    <row r="95" spans="8:17" ht="12.75" hidden="1" customHeight="1">
      <c r="I95" s="1" t="s">
        <v>642</v>
      </c>
      <c r="J95" t="s">
        <v>643</v>
      </c>
      <c r="K95" t="s">
        <v>639</v>
      </c>
      <c r="L95" s="1" t="s">
        <v>636</v>
      </c>
    </row>
    <row r="96" spans="8:17" ht="12.75" hidden="1" customHeight="1">
      <c r="I96" s="1" t="s">
        <v>644</v>
      </c>
      <c r="J96" t="s">
        <v>645</v>
      </c>
      <c r="K96" t="s">
        <v>618</v>
      </c>
      <c r="L96" s="1" t="s">
        <v>615</v>
      </c>
    </row>
    <row r="97" spans="9:12" ht="12.75" hidden="1" customHeight="1">
      <c r="I97" s="1" t="s">
        <v>646</v>
      </c>
      <c r="J97" t="s">
        <v>647</v>
      </c>
      <c r="K97" t="s">
        <v>618</v>
      </c>
      <c r="L97" s="1" t="s">
        <v>619</v>
      </c>
    </row>
    <row r="98" spans="9:12" ht="12.75" hidden="1" customHeight="1">
      <c r="I98" s="1" t="s">
        <v>648</v>
      </c>
      <c r="J98" t="s">
        <v>649</v>
      </c>
      <c r="K98" t="s">
        <v>650</v>
      </c>
      <c r="L98" s="1" t="s">
        <v>651</v>
      </c>
    </row>
    <row r="99" spans="9:12" ht="12.75" hidden="1" customHeight="1">
      <c r="I99" s="1" t="s">
        <v>652</v>
      </c>
      <c r="J99" t="s">
        <v>653</v>
      </c>
      <c r="K99" t="s">
        <v>654</v>
      </c>
      <c r="L99" s="1" t="s">
        <v>655</v>
      </c>
    </row>
    <row r="100" spans="9:12" ht="12.75" hidden="1" customHeight="1">
      <c r="I100" s="1" t="s">
        <v>656</v>
      </c>
      <c r="J100" t="s">
        <v>657</v>
      </c>
      <c r="K100" t="s">
        <v>654</v>
      </c>
      <c r="L100" s="1" t="s">
        <v>658</v>
      </c>
    </row>
    <row r="101" spans="9:12" ht="12.75" hidden="1" customHeight="1">
      <c r="I101" s="1" t="s">
        <v>659</v>
      </c>
      <c r="J101" t="s">
        <v>660</v>
      </c>
      <c r="K101" t="s">
        <v>661</v>
      </c>
      <c r="L101" s="1" t="s">
        <v>662</v>
      </c>
    </row>
    <row r="102" spans="9:12" ht="12.75" hidden="1" customHeight="1"/>
    <row r="103" spans="9:12" ht="12.75" hidden="1" customHeight="1"/>
    <row r="104" spans="9:12" ht="12.75" hidden="1" customHeight="1"/>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topLeftCell="G1" zoomScaleNormal="100" workbookViewId="0">
      <selection activeCell="J1" sqref="J1"/>
    </sheetView>
  </sheetViews>
  <sheetFormatPr defaultColWidth="8.7109375" defaultRowHeight="13.15"/>
  <cols>
    <col min="1" max="2" width="12" style="3" customWidth="1"/>
    <col min="3" max="6" width="13.7109375" style="3" customWidth="1"/>
    <col min="7" max="7" width="13.28515625" style="3" customWidth="1"/>
    <col min="8" max="8" width="12.7109375" style="3" bestFit="1" customWidth="1"/>
    <col min="9" max="9" width="8.7109375" style="3"/>
    <col min="10" max="10" width="12" style="3" customWidth="1"/>
    <col min="11" max="11" width="14.140625" style="3" customWidth="1"/>
    <col min="12" max="12" width="10.28515625" style="3" customWidth="1"/>
    <col min="13" max="27" width="5.7109375" style="3" customWidth="1"/>
    <col min="28" max="16384" width="8.7109375" style="3"/>
  </cols>
  <sheetData>
    <row r="1" spans="1:28" ht="28.9" customHeight="1">
      <c r="A1" s="563" t="str">
        <f>"% of Floor Area per CZ and Vintage Bin - "&amp;"Retail"</f>
        <v>% of Floor Area per CZ and Vintage Bin - Retail</v>
      </c>
      <c r="B1" s="563"/>
      <c r="C1" s="563"/>
      <c r="D1" s="563"/>
      <c r="E1" s="563"/>
      <c r="F1" s="563"/>
      <c r="G1" s="563"/>
      <c r="J1" s="563" t="str">
        <f>"% of Floor Area per CZ and Vintage Bin - "&amp;"Retail"</f>
        <v>% of Floor Area per CZ and Vintage Bin - Retail</v>
      </c>
      <c r="K1" s="563"/>
      <c r="L1" s="563"/>
      <c r="M1" s="563"/>
      <c r="N1" s="563"/>
      <c r="O1" s="563"/>
      <c r="P1" s="563"/>
      <c r="Q1" s="563"/>
      <c r="R1" s="563"/>
      <c r="S1" s="563"/>
      <c r="T1" s="563"/>
      <c r="U1" s="563"/>
      <c r="V1" s="563"/>
      <c r="W1" s="563"/>
      <c r="X1" s="563"/>
      <c r="Y1" s="563"/>
      <c r="Z1" s="563"/>
      <c r="AA1" s="563"/>
    </row>
    <row r="2" spans="1:28" ht="21" customHeight="1">
      <c r="A2" s="716" t="s">
        <v>10</v>
      </c>
      <c r="B2" s="716" t="s">
        <v>580</v>
      </c>
      <c r="C2" s="716" t="s">
        <v>663</v>
      </c>
      <c r="D2" s="716"/>
      <c r="E2" s="716"/>
      <c r="F2" s="716"/>
      <c r="G2" s="716"/>
      <c r="J2" s="716" t="s">
        <v>10</v>
      </c>
      <c r="K2" s="716" t="s">
        <v>663</v>
      </c>
      <c r="L2" s="716" t="s">
        <v>580</v>
      </c>
      <c r="M2" s="716"/>
      <c r="N2" s="716"/>
      <c r="O2" s="716"/>
      <c r="P2" s="716"/>
      <c r="Q2" s="716"/>
      <c r="R2" s="716"/>
      <c r="S2" s="716"/>
      <c r="T2" s="716"/>
      <c r="U2" s="716"/>
      <c r="V2" s="716"/>
      <c r="W2" s="716"/>
      <c r="X2" s="716"/>
      <c r="Y2" s="716"/>
      <c r="Z2" s="716"/>
      <c r="AA2" s="716"/>
    </row>
    <row r="3" spans="1:28" ht="21" customHeight="1">
      <c r="A3" s="716"/>
      <c r="B3" s="716"/>
      <c r="C3" s="495" t="s">
        <v>664</v>
      </c>
      <c r="D3" s="495" t="s">
        <v>282</v>
      </c>
      <c r="E3" s="495" t="s">
        <v>284</v>
      </c>
      <c r="F3" s="495" t="s">
        <v>286</v>
      </c>
      <c r="G3" s="495" t="s">
        <v>665</v>
      </c>
      <c r="J3" s="716"/>
      <c r="K3" s="716"/>
      <c r="L3" s="495">
        <v>1</v>
      </c>
      <c r="M3" s="495">
        <v>2</v>
      </c>
      <c r="N3" s="495">
        <v>3</v>
      </c>
      <c r="O3" s="495">
        <v>4</v>
      </c>
      <c r="P3" s="495">
        <v>5</v>
      </c>
      <c r="Q3" s="495">
        <v>6</v>
      </c>
      <c r="R3" s="495">
        <v>7</v>
      </c>
      <c r="S3" s="495">
        <v>8</v>
      </c>
      <c r="T3" s="495">
        <v>9</v>
      </c>
      <c r="U3" s="495">
        <v>10</v>
      </c>
      <c r="V3" s="495">
        <v>11</v>
      </c>
      <c r="W3" s="495">
        <v>12</v>
      </c>
      <c r="X3" s="495">
        <v>13</v>
      </c>
      <c r="Y3" s="495">
        <v>14</v>
      </c>
      <c r="Z3" s="495">
        <v>15</v>
      </c>
      <c r="AA3" s="495">
        <v>16</v>
      </c>
    </row>
    <row r="4" spans="1:28" ht="16.899999999999999" customHeight="1">
      <c r="A4" s="713" t="s">
        <v>116</v>
      </c>
      <c r="B4" s="121">
        <v>1</v>
      </c>
      <c r="C4" s="493">
        <v>0.312</v>
      </c>
      <c r="D4" s="493">
        <v>0.28299999999999997</v>
      </c>
      <c r="E4" s="493">
        <v>0.16200000000000001</v>
      </c>
      <c r="F4" s="493">
        <v>8.5999999999999993E-2</v>
      </c>
      <c r="G4" s="70">
        <v>0.157</v>
      </c>
      <c r="H4" s="79">
        <f>SUM(C4:G4)</f>
        <v>1</v>
      </c>
      <c r="J4" s="710" t="s">
        <v>116</v>
      </c>
      <c r="K4" s="35" t="s">
        <v>664</v>
      </c>
      <c r="L4" s="35">
        <v>1.0318539E-2</v>
      </c>
      <c r="M4" s="35">
        <v>2.9366620999999999E-2</v>
      </c>
      <c r="N4" s="35">
        <v>8.4695091E-2</v>
      </c>
      <c r="O4" s="35">
        <v>4.4778878000000001E-2</v>
      </c>
      <c r="P4" s="35">
        <v>5.1230199999999998E-3</v>
      </c>
      <c r="Q4" s="35">
        <v>9.2452429000000003E-2</v>
      </c>
      <c r="R4" s="35">
        <v>3.9592212000000002E-2</v>
      </c>
      <c r="S4" s="35">
        <v>0.15153345600000001</v>
      </c>
      <c r="T4" s="35">
        <v>0.227736361</v>
      </c>
      <c r="U4" s="35">
        <v>4.3801296000000003E-2</v>
      </c>
      <c r="V4" s="35">
        <v>2.9412305E-2</v>
      </c>
      <c r="W4" s="35">
        <v>0.123247883</v>
      </c>
      <c r="X4" s="35">
        <v>3.4112319000000002E-2</v>
      </c>
      <c r="Y4" s="35">
        <v>1.7624404999999999E-2</v>
      </c>
      <c r="Z4" s="35">
        <v>2.2383301000000001E-2</v>
      </c>
      <c r="AA4" s="35">
        <v>4.3821882999999999E-2</v>
      </c>
      <c r="AB4" s="79">
        <f t="shared" ref="AB4:AB9" si="0">SUM(L4:AA4)</f>
        <v>0.99999999900000003</v>
      </c>
    </row>
    <row r="5" spans="1:28" ht="16.899999999999999" customHeight="1">
      <c r="A5" s="714"/>
      <c r="B5" s="33">
        <v>2</v>
      </c>
      <c r="C5" s="35">
        <v>0.48599999999999999</v>
      </c>
      <c r="D5" s="35">
        <v>0.29199999999999998</v>
      </c>
      <c r="E5" s="35">
        <v>6.8000000000000005E-2</v>
      </c>
      <c r="F5" s="35">
        <v>2.5999999999999999E-2</v>
      </c>
      <c r="G5" s="58">
        <v>0.128</v>
      </c>
      <c r="H5" s="79">
        <f t="shared" ref="H5:H19" si="1">SUM(C5:G5)</f>
        <v>1</v>
      </c>
      <c r="J5" s="711"/>
      <c r="K5" s="35" t="s">
        <v>282</v>
      </c>
      <c r="L5" s="35">
        <v>9.6543110000000005E-3</v>
      </c>
      <c r="M5" s="35">
        <v>1.8200183000000002E-2</v>
      </c>
      <c r="N5" s="35">
        <v>4.8977778E-2</v>
      </c>
      <c r="O5" s="35">
        <v>2.3912375E-2</v>
      </c>
      <c r="P5" s="35">
        <v>6.5232989999999998E-3</v>
      </c>
      <c r="Q5" s="35">
        <v>6.1209764E-2</v>
      </c>
      <c r="R5" s="35">
        <v>6.7170300000000002E-2</v>
      </c>
      <c r="S5" s="35">
        <v>8.8770271999999997E-2</v>
      </c>
      <c r="T5" s="35">
        <v>0.13600272499999999</v>
      </c>
      <c r="U5" s="35">
        <v>0.12822096999999999</v>
      </c>
      <c r="V5" s="35">
        <v>2.8728246999999998E-2</v>
      </c>
      <c r="W5" s="35">
        <v>0.135588193</v>
      </c>
      <c r="X5" s="35">
        <v>4.4256912000000002E-2</v>
      </c>
      <c r="Y5" s="35">
        <v>2.9196159999999999E-2</v>
      </c>
      <c r="Z5" s="35">
        <v>5.5827031999999999E-2</v>
      </c>
      <c r="AA5" s="35">
        <v>0.11776148</v>
      </c>
      <c r="AB5" s="79">
        <f t="shared" si="0"/>
        <v>1.0000000010000001</v>
      </c>
    </row>
    <row r="6" spans="1:28" ht="16.899999999999999" customHeight="1">
      <c r="A6" s="714"/>
      <c r="B6" s="33">
        <v>3</v>
      </c>
      <c r="C6" s="35">
        <v>0.4</v>
      </c>
      <c r="D6" s="35">
        <v>0.224</v>
      </c>
      <c r="E6" s="35">
        <v>0.14299999999999999</v>
      </c>
      <c r="F6" s="35">
        <v>9.4E-2</v>
      </c>
      <c r="G6" s="58">
        <v>0.14000000000000001</v>
      </c>
      <c r="H6" s="79">
        <f t="shared" si="1"/>
        <v>1.0009999999999999</v>
      </c>
      <c r="J6" s="711"/>
      <c r="K6" s="35" t="s">
        <v>284</v>
      </c>
      <c r="L6" s="35">
        <v>8.9363310000000005E-3</v>
      </c>
      <c r="M6" s="35">
        <v>6.8539200000000003E-3</v>
      </c>
      <c r="N6" s="35">
        <v>5.0648865000000001E-2</v>
      </c>
      <c r="O6" s="35">
        <v>2.3776164999999998E-2</v>
      </c>
      <c r="P6" s="35">
        <v>8.8369260000000002E-3</v>
      </c>
      <c r="Q6" s="35">
        <v>5.2331234999999997E-2</v>
      </c>
      <c r="R6" s="35">
        <v>3.5697864000000003E-2</v>
      </c>
      <c r="S6" s="35">
        <v>8.5961078999999996E-2</v>
      </c>
      <c r="T6" s="35">
        <v>0.131069771</v>
      </c>
      <c r="U6" s="35">
        <v>0.103253792</v>
      </c>
      <c r="V6" s="35">
        <v>3.7879151999999999E-2</v>
      </c>
      <c r="W6" s="35">
        <v>0.18437962499999999</v>
      </c>
      <c r="X6" s="35">
        <v>7.6306105999999999E-2</v>
      </c>
      <c r="Y6" s="35">
        <v>2.7957388999999999E-2</v>
      </c>
      <c r="Z6" s="35">
        <v>5.9186013000000003E-2</v>
      </c>
      <c r="AA6" s="35">
        <v>0.10692576600000001</v>
      </c>
      <c r="AB6" s="79">
        <f t="shared" si="0"/>
        <v>0.99999999900000014</v>
      </c>
    </row>
    <row r="7" spans="1:28" ht="16.899999999999999" customHeight="1">
      <c r="A7" s="714"/>
      <c r="B7" s="33">
        <v>4</v>
      </c>
      <c r="C7" s="35">
        <v>0.42</v>
      </c>
      <c r="D7" s="35">
        <v>0.217</v>
      </c>
      <c r="E7" s="35">
        <v>0.13400000000000001</v>
      </c>
      <c r="F7" s="35">
        <v>0.10100000000000001</v>
      </c>
      <c r="G7" s="58">
        <v>0.128</v>
      </c>
      <c r="H7" s="79">
        <f t="shared" si="1"/>
        <v>1</v>
      </c>
      <c r="J7" s="711"/>
      <c r="K7" s="35" t="s">
        <v>286</v>
      </c>
      <c r="L7" s="35">
        <v>6.9801780000000001E-3</v>
      </c>
      <c r="M7" s="35">
        <v>3.835504E-3</v>
      </c>
      <c r="N7" s="35">
        <v>4.8925516000000002E-2</v>
      </c>
      <c r="O7" s="35">
        <v>2.6371556000000001E-2</v>
      </c>
      <c r="P7" s="35">
        <v>2.609625E-3</v>
      </c>
      <c r="Q7" s="35">
        <v>2.6863664999999998E-2</v>
      </c>
      <c r="R7" s="35">
        <v>1.1595095E-2</v>
      </c>
      <c r="S7" s="35">
        <v>4.3944136000000002E-2</v>
      </c>
      <c r="T7" s="35">
        <v>4.9958990000000002E-2</v>
      </c>
      <c r="U7" s="35">
        <v>0.217001413</v>
      </c>
      <c r="V7" s="35">
        <v>2.9401699999999999E-2</v>
      </c>
      <c r="W7" s="35">
        <v>0.105672272</v>
      </c>
      <c r="X7" s="35">
        <v>3.9400408999999997E-2</v>
      </c>
      <c r="Y7" s="35">
        <v>5.3281132000000002E-2</v>
      </c>
      <c r="Z7" s="35">
        <v>9.3022767000000006E-2</v>
      </c>
      <c r="AA7" s="35">
        <v>0.24113604299999999</v>
      </c>
      <c r="AB7" s="79">
        <f t="shared" si="0"/>
        <v>1.0000000009999999</v>
      </c>
    </row>
    <row r="8" spans="1:28" ht="16.899999999999999" customHeight="1">
      <c r="A8" s="714"/>
      <c r="B8" s="33">
        <v>5</v>
      </c>
      <c r="C8" s="35">
        <v>0.218</v>
      </c>
      <c r="D8" s="35">
        <v>0.26800000000000002</v>
      </c>
      <c r="E8" s="35">
        <v>0.22500000000000001</v>
      </c>
      <c r="F8" s="35">
        <v>4.4999999999999998E-2</v>
      </c>
      <c r="G8" s="58">
        <v>0.245</v>
      </c>
      <c r="H8" s="79">
        <f t="shared" si="1"/>
        <v>1.0009999999999999</v>
      </c>
      <c r="J8" s="711"/>
      <c r="K8" s="35" t="s">
        <v>665</v>
      </c>
      <c r="L8" s="35">
        <v>1.2366366E-2</v>
      </c>
      <c r="M8" s="35">
        <v>1.8382498000000001E-2</v>
      </c>
      <c r="N8" s="35">
        <v>7.0681501999999993E-2</v>
      </c>
      <c r="O8" s="35">
        <v>3.2523011999999997E-2</v>
      </c>
      <c r="P8" s="35">
        <v>1.3731721000000001E-2</v>
      </c>
      <c r="Q8" s="35">
        <v>6.5337692000000003E-2</v>
      </c>
      <c r="R8" s="35">
        <v>5.0258313999999998E-2</v>
      </c>
      <c r="S8" s="35">
        <v>0.108712183</v>
      </c>
      <c r="T8" s="35">
        <v>0.12039145499999999</v>
      </c>
      <c r="U8" s="35">
        <v>9.6425317999999996E-2</v>
      </c>
      <c r="V8" s="35">
        <v>4.2933064999999999E-2</v>
      </c>
      <c r="W8" s="35">
        <v>0.14416053700000001</v>
      </c>
      <c r="X8" s="35">
        <v>5.217082E-2</v>
      </c>
      <c r="Y8" s="35">
        <v>2.1740072999999999E-2</v>
      </c>
      <c r="Z8" s="35">
        <v>6.0365786999999997E-2</v>
      </c>
      <c r="AA8" s="35">
        <v>8.9819656999999997E-2</v>
      </c>
      <c r="AB8" s="79">
        <f t="shared" si="0"/>
        <v>1</v>
      </c>
    </row>
    <row r="9" spans="1:28" ht="16.899999999999999" customHeight="1">
      <c r="A9" s="714"/>
      <c r="B9" s="33">
        <v>6</v>
      </c>
      <c r="C9" s="35">
        <v>0.41799999999999998</v>
      </c>
      <c r="D9" s="35">
        <v>0.26800000000000002</v>
      </c>
      <c r="E9" s="35">
        <v>0.14199999999999999</v>
      </c>
      <c r="F9" s="35">
        <v>4.9000000000000002E-2</v>
      </c>
      <c r="G9" s="58">
        <v>0.124</v>
      </c>
      <c r="H9" s="79">
        <f t="shared" si="1"/>
        <v>1.0009999999999999</v>
      </c>
      <c r="J9" s="712"/>
      <c r="K9" s="35" t="s">
        <v>432</v>
      </c>
      <c r="L9" s="35">
        <v>9.7387419999999999E-3</v>
      </c>
      <c r="M9" s="35">
        <v>1.7792715000000001E-2</v>
      </c>
      <c r="N9" s="35">
        <v>6.2478314E-2</v>
      </c>
      <c r="O9" s="35">
        <v>3.1398052000000003E-2</v>
      </c>
      <c r="P9" s="35">
        <v>6.9418329999999997E-3</v>
      </c>
      <c r="Q9" s="35">
        <v>6.5251490999999995E-2</v>
      </c>
      <c r="R9" s="35">
        <v>4.4744863000000003E-2</v>
      </c>
      <c r="S9" s="35">
        <v>0.103874984</v>
      </c>
      <c r="T9" s="35">
        <v>0.14994120999999999</v>
      </c>
      <c r="U9" s="35">
        <v>0.10562719800000001</v>
      </c>
      <c r="V9" s="35">
        <v>3.2381859999999998E-2</v>
      </c>
      <c r="W9" s="35">
        <v>0.13803907500000001</v>
      </c>
      <c r="X9" s="35">
        <v>4.7319033000000003E-2</v>
      </c>
      <c r="Y9" s="35">
        <v>2.7527533999999999E-2</v>
      </c>
      <c r="Z9" s="35">
        <v>5.1575598E-2</v>
      </c>
      <c r="AA9" s="35">
        <v>0.105367498</v>
      </c>
      <c r="AB9" s="79">
        <f t="shared" si="0"/>
        <v>0.99999999999999989</v>
      </c>
    </row>
    <row r="10" spans="1:28" ht="16.899999999999999" customHeight="1">
      <c r="A10" s="714"/>
      <c r="B10" s="33">
        <v>7</v>
      </c>
      <c r="C10" s="35">
        <v>0.26100000000000001</v>
      </c>
      <c r="D10" s="35">
        <v>0.42799999999999999</v>
      </c>
      <c r="E10" s="35">
        <v>0.14099999999999999</v>
      </c>
      <c r="F10" s="35">
        <v>3.1E-2</v>
      </c>
      <c r="G10" s="58">
        <v>0.13900000000000001</v>
      </c>
      <c r="H10" s="79">
        <f t="shared" si="1"/>
        <v>1</v>
      </c>
      <c r="J10" s="476"/>
      <c r="K10" s="77"/>
      <c r="L10" s="27"/>
      <c r="M10" s="27"/>
      <c r="N10" s="27"/>
      <c r="O10" s="27"/>
      <c r="P10" s="78"/>
    </row>
    <row r="11" spans="1:28" ht="16.899999999999999" customHeight="1">
      <c r="A11" s="714"/>
      <c r="B11" s="33">
        <v>8</v>
      </c>
      <c r="C11" s="35">
        <v>0.43</v>
      </c>
      <c r="D11" s="35">
        <v>0.24399999999999999</v>
      </c>
      <c r="E11" s="35">
        <v>0.14599999999999999</v>
      </c>
      <c r="F11" s="35">
        <v>5.0999999999999997E-2</v>
      </c>
      <c r="G11" s="58">
        <v>0.129</v>
      </c>
      <c r="H11" s="79">
        <f t="shared" si="1"/>
        <v>1</v>
      </c>
      <c r="J11" s="476"/>
      <c r="K11" s="77"/>
      <c r="L11" s="27"/>
      <c r="M11" s="27"/>
      <c r="N11" s="27"/>
      <c r="O11" s="27"/>
      <c r="P11" s="78"/>
    </row>
    <row r="12" spans="1:28" ht="16.899999999999999" customHeight="1">
      <c r="A12" s="714"/>
      <c r="B12" s="33">
        <v>9</v>
      </c>
      <c r="C12" s="35">
        <v>0.44800000000000001</v>
      </c>
      <c r="D12" s="35">
        <v>0.25900000000000001</v>
      </c>
      <c r="E12" s="35">
        <v>0.154</v>
      </c>
      <c r="F12" s="35">
        <v>0.04</v>
      </c>
      <c r="G12" s="58">
        <v>9.9000000000000005E-2</v>
      </c>
      <c r="H12" s="79">
        <f t="shared" si="1"/>
        <v>1.0000000000000002</v>
      </c>
      <c r="J12" s="476"/>
      <c r="K12" s="77"/>
      <c r="L12" s="27"/>
      <c r="M12" s="27"/>
      <c r="N12" s="27"/>
      <c r="O12" s="27"/>
      <c r="P12" s="78"/>
    </row>
    <row r="13" spans="1:28" ht="16.899999999999999" customHeight="1">
      <c r="A13" s="714"/>
      <c r="B13" s="33">
        <v>10</v>
      </c>
      <c r="C13" s="35">
        <v>0.122</v>
      </c>
      <c r="D13" s="35">
        <v>0.34599999999999997</v>
      </c>
      <c r="E13" s="35">
        <v>0.17199999999999999</v>
      </c>
      <c r="F13" s="35">
        <v>0.246</v>
      </c>
      <c r="G13" s="58">
        <v>0.113</v>
      </c>
      <c r="H13" s="79">
        <f t="shared" si="1"/>
        <v>0.99899999999999989</v>
      </c>
      <c r="J13" s="476"/>
      <c r="K13" s="77"/>
      <c r="L13" s="27"/>
      <c r="M13" s="27"/>
      <c r="N13" s="27"/>
      <c r="O13" s="27"/>
      <c r="P13" s="78"/>
    </row>
    <row r="14" spans="1:28" ht="16.899999999999999" customHeight="1">
      <c r="A14" s="714"/>
      <c r="B14" s="33">
        <v>11</v>
      </c>
      <c r="C14" s="35">
        <v>0.26800000000000002</v>
      </c>
      <c r="D14" s="35">
        <v>0.253</v>
      </c>
      <c r="E14" s="35">
        <v>0.20599999999999999</v>
      </c>
      <c r="F14" s="35">
        <v>0.109</v>
      </c>
      <c r="G14" s="58">
        <v>0.16400000000000001</v>
      </c>
      <c r="H14" s="79">
        <f t="shared" si="1"/>
        <v>1</v>
      </c>
      <c r="J14" s="476"/>
      <c r="K14" s="77"/>
      <c r="L14" s="27"/>
      <c r="M14" s="27"/>
      <c r="N14" s="27"/>
      <c r="O14" s="27"/>
      <c r="P14" s="78"/>
    </row>
    <row r="15" spans="1:28" ht="16.899999999999999" customHeight="1">
      <c r="A15" s="714"/>
      <c r="B15" s="33">
        <v>12</v>
      </c>
      <c r="C15" s="35">
        <v>0.26300000000000001</v>
      </c>
      <c r="D15" s="35">
        <v>0.28000000000000003</v>
      </c>
      <c r="E15" s="35">
        <v>0.23599999999999999</v>
      </c>
      <c r="F15" s="35">
        <v>9.1999999999999998E-2</v>
      </c>
      <c r="G15" s="58">
        <v>0.129</v>
      </c>
      <c r="H15" s="79">
        <f t="shared" si="1"/>
        <v>1</v>
      </c>
      <c r="J15" s="476"/>
      <c r="K15" s="77"/>
      <c r="L15" s="27"/>
      <c r="M15" s="27"/>
      <c r="N15" s="27"/>
      <c r="O15" s="27"/>
      <c r="P15" s="78"/>
    </row>
    <row r="16" spans="1:28" ht="16.899999999999999" customHeight="1">
      <c r="A16" s="714"/>
      <c r="B16" s="33">
        <v>13</v>
      </c>
      <c r="C16" s="35">
        <v>0.21199999999999999</v>
      </c>
      <c r="D16" s="35">
        <v>0.26700000000000002</v>
      </c>
      <c r="E16" s="35">
        <v>0.28499999999999998</v>
      </c>
      <c r="F16" s="35">
        <v>0.1</v>
      </c>
      <c r="G16" s="58">
        <v>0.13600000000000001</v>
      </c>
      <c r="H16" s="79">
        <f t="shared" si="1"/>
        <v>1</v>
      </c>
      <c r="J16" s="476"/>
      <c r="K16" s="77"/>
      <c r="L16" s="27"/>
      <c r="M16" s="27"/>
      <c r="N16" s="27"/>
      <c r="O16" s="27"/>
      <c r="P16" s="78"/>
    </row>
    <row r="17" spans="1:16" ht="16.899999999999999" customHeight="1">
      <c r="A17" s="714"/>
      <c r="B17" s="33">
        <v>14</v>
      </c>
      <c r="C17" s="35">
        <v>0.189</v>
      </c>
      <c r="D17" s="35">
        <v>0.30299999999999999</v>
      </c>
      <c r="E17" s="35">
        <v>0.17899999999999999</v>
      </c>
      <c r="F17" s="35">
        <v>0.23200000000000001</v>
      </c>
      <c r="G17" s="58">
        <v>9.8000000000000004E-2</v>
      </c>
      <c r="H17" s="79">
        <f t="shared" si="1"/>
        <v>1.0010000000000001</v>
      </c>
      <c r="J17" s="476"/>
      <c r="K17" s="77"/>
      <c r="L17" s="27"/>
      <c r="M17" s="27"/>
      <c r="N17" s="27"/>
      <c r="O17" s="27"/>
      <c r="P17" s="78"/>
    </row>
    <row r="18" spans="1:16" ht="16.899999999999999" customHeight="1">
      <c r="A18" s="714"/>
      <c r="B18" s="33">
        <v>15</v>
      </c>
      <c r="C18" s="35">
        <v>0.128</v>
      </c>
      <c r="D18" s="35">
        <v>0.309</v>
      </c>
      <c r="E18" s="35">
        <v>0.20200000000000001</v>
      </c>
      <c r="F18" s="35">
        <v>0.216</v>
      </c>
      <c r="G18" s="58">
        <v>0.14499999999999999</v>
      </c>
      <c r="H18" s="79">
        <f t="shared" si="1"/>
        <v>1</v>
      </c>
      <c r="J18" s="476"/>
      <c r="K18" s="77"/>
      <c r="L18" s="27"/>
      <c r="M18" s="27"/>
      <c r="N18" s="27"/>
      <c r="O18" s="27"/>
      <c r="P18" s="78"/>
    </row>
    <row r="19" spans="1:16" ht="16.899999999999999" customHeight="1">
      <c r="A19" s="714"/>
      <c r="B19" s="33">
        <v>16</v>
      </c>
      <c r="C19" s="58">
        <v>0.123</v>
      </c>
      <c r="D19" s="58">
        <v>0.31900000000000001</v>
      </c>
      <c r="E19" s="58">
        <v>0.17899999999999999</v>
      </c>
      <c r="F19" s="58">
        <v>0.27400000000000002</v>
      </c>
      <c r="G19" s="58">
        <v>0.105</v>
      </c>
      <c r="H19" s="79">
        <f t="shared" si="1"/>
        <v>1</v>
      </c>
      <c r="J19" s="476"/>
      <c r="K19" s="77"/>
      <c r="L19" s="27"/>
      <c r="M19" s="27"/>
      <c r="N19" s="27"/>
      <c r="O19" s="27"/>
      <c r="P19" s="78"/>
    </row>
    <row r="20" spans="1:16" ht="18" customHeight="1">
      <c r="A20" s="715"/>
      <c r="B20" s="146" t="s">
        <v>666</v>
      </c>
      <c r="C20" s="146">
        <v>0.32900000000000001</v>
      </c>
      <c r="D20" s="146">
        <v>0.28000000000000003</v>
      </c>
      <c r="E20" s="146">
        <v>0.17199999999999999</v>
      </c>
      <c r="F20" s="146">
        <v>9.7000000000000003E-2</v>
      </c>
      <c r="G20" s="146">
        <v>0.121</v>
      </c>
      <c r="H20" s="147">
        <f>SUM(C20:G20)</f>
        <v>0.99899999999999989</v>
      </c>
    </row>
    <row r="21" spans="1:16">
      <c r="H21" s="79"/>
    </row>
    <row r="22" spans="1:16">
      <c r="A22" s="3" t="s">
        <v>667</v>
      </c>
    </row>
    <row r="23" spans="1:16">
      <c r="A23" s="3" t="s">
        <v>600</v>
      </c>
    </row>
    <row r="24" spans="1:16">
      <c r="A24" s="3" t="s">
        <v>601</v>
      </c>
    </row>
    <row r="29" spans="1:16" s="21" customFormat="1" hidden="1">
      <c r="A29" s="21" t="s">
        <v>37</v>
      </c>
      <c r="E29" s="22"/>
      <c r="F29" s="23"/>
      <c r="G29" s="24"/>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FF0000"/>
  </sheetPr>
  <dimension ref="A1:J34"/>
  <sheetViews>
    <sheetView workbookViewId="0">
      <selection sqref="A1:J1"/>
    </sheetView>
  </sheetViews>
  <sheetFormatPr defaultRowHeight="14.45"/>
  <sheetData>
    <row r="1" spans="1:10" ht="21.6" customHeight="1">
      <c r="A1" s="563" t="str">
        <f>"PV - "&amp;Prototype!A2</f>
        <v>PV - RetailGrocery</v>
      </c>
      <c r="B1" s="563"/>
      <c r="C1" s="563"/>
      <c r="D1" s="563"/>
      <c r="E1" s="563"/>
      <c r="F1" s="563"/>
      <c r="G1" s="563"/>
      <c r="H1" s="563"/>
      <c r="I1" s="563"/>
      <c r="J1" s="563"/>
    </row>
    <row r="2" spans="1:10">
      <c r="A2" t="s">
        <v>668</v>
      </c>
    </row>
    <row r="14" spans="1:10" hidden="1"/>
    <row r="15" spans="1:10" hidden="1"/>
    <row r="16" spans="1:10"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FF0000"/>
  </sheetPr>
  <dimension ref="A1:H11"/>
  <sheetViews>
    <sheetView zoomScaleNormal="70" workbookViewId="0">
      <selection activeCell="D5" sqref="D5"/>
    </sheetView>
  </sheetViews>
  <sheetFormatPr defaultColWidth="8.7109375" defaultRowHeight="13.15"/>
  <cols>
    <col min="1" max="1" width="21" style="3" customWidth="1"/>
    <col min="2" max="2" width="14.28515625" style="3" customWidth="1"/>
    <col min="3" max="3" width="14.5703125" style="3" customWidth="1"/>
    <col min="4" max="8" width="8.7109375" style="3"/>
    <col min="9" max="9" width="13.7109375" style="3" customWidth="1"/>
    <col min="10" max="10" width="14.42578125" style="3" customWidth="1"/>
    <col min="11" max="16384" width="8.7109375" style="3"/>
  </cols>
  <sheetData>
    <row r="1" spans="1:8" ht="24.6" customHeight="1">
      <c r="A1" s="563" t="str">
        <f>"EV Charger - "&amp;Prototype!A2</f>
        <v>EV Charger - RetailGrocery</v>
      </c>
      <c r="B1" s="563"/>
      <c r="C1" s="563"/>
      <c r="D1" s="563"/>
      <c r="E1" s="563"/>
      <c r="F1" s="563"/>
      <c r="G1" s="563"/>
      <c r="H1" s="563"/>
    </row>
    <row r="2" spans="1:8">
      <c r="A2" s="3" t="s">
        <v>668</v>
      </c>
      <c r="B2" s="54"/>
      <c r="C2" s="55"/>
      <c r="D2" s="56"/>
      <c r="E2" s="56"/>
    </row>
    <row r="3" spans="1:8">
      <c r="A3" s="32"/>
      <c r="B3" s="53"/>
      <c r="C3" s="477"/>
      <c r="D3" s="57"/>
      <c r="E3" s="57"/>
    </row>
    <row r="11" spans="1:8" s="21" customFormat="1" hidden="1">
      <c r="A11" s="21" t="s">
        <v>37</v>
      </c>
      <c r="E11" s="22"/>
      <c r="F11" s="23"/>
      <c r="G11" s="24"/>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97E-7176-4D2A-B6D3-6E02AC0F4C82}">
  <dimension ref="A1:G83"/>
  <sheetViews>
    <sheetView workbookViewId="0">
      <selection activeCell="B82" sqref="B82"/>
    </sheetView>
  </sheetViews>
  <sheetFormatPr defaultRowHeight="14.45"/>
  <cols>
    <col min="1" max="1" width="58.7109375" customWidth="1"/>
    <col min="2" max="2" width="30.85546875" customWidth="1"/>
    <col min="3" max="3" width="30.28515625" customWidth="1"/>
  </cols>
  <sheetData>
    <row r="1" spans="1:7">
      <c r="A1" t="s">
        <v>669</v>
      </c>
      <c r="B1" t="s">
        <v>670</v>
      </c>
      <c r="C1" t="s">
        <v>670</v>
      </c>
      <c r="D1" s="717" t="s">
        <v>671</v>
      </c>
      <c r="E1" s="717"/>
      <c r="F1" s="717"/>
      <c r="G1" s="717"/>
    </row>
    <row r="2" spans="1:7">
      <c r="A2" s="475" t="s">
        <v>672</v>
      </c>
      <c r="D2">
        <v>2013</v>
      </c>
      <c r="E2">
        <v>2016</v>
      </c>
      <c r="F2">
        <v>2019</v>
      </c>
      <c r="G2">
        <v>2025</v>
      </c>
    </row>
    <row r="3" spans="1:7">
      <c r="A3" s="475" t="s">
        <v>673</v>
      </c>
    </row>
    <row r="4" spans="1:7">
      <c r="A4" t="s">
        <v>674</v>
      </c>
    </row>
    <row r="5" spans="1:7">
      <c r="A5" t="s">
        <v>675</v>
      </c>
    </row>
    <row r="6" spans="1:7">
      <c r="A6" t="s">
        <v>676</v>
      </c>
    </row>
    <row r="7" spans="1:7">
      <c r="A7" t="s">
        <v>677</v>
      </c>
    </row>
    <row r="8" spans="1:7">
      <c r="A8" t="s">
        <v>678</v>
      </c>
    </row>
    <row r="9" spans="1:7">
      <c r="A9" t="s">
        <v>679</v>
      </c>
    </row>
    <row r="10" spans="1:7">
      <c r="A10" t="s">
        <v>680</v>
      </c>
    </row>
    <row r="11" spans="1:7">
      <c r="A11" t="s">
        <v>681</v>
      </c>
    </row>
    <row r="12" spans="1:7">
      <c r="A12" t="s">
        <v>682</v>
      </c>
    </row>
    <row r="13" spans="1:7">
      <c r="A13" t="s">
        <v>683</v>
      </c>
    </row>
    <row r="14" spans="1:7">
      <c r="A14" t="s">
        <v>684</v>
      </c>
    </row>
    <row r="15" spans="1:7">
      <c r="A15" t="s">
        <v>685</v>
      </c>
    </row>
    <row r="16" spans="1:7">
      <c r="A16" t="s">
        <v>686</v>
      </c>
    </row>
    <row r="17" spans="1:1">
      <c r="A17" t="s">
        <v>687</v>
      </c>
    </row>
    <row r="18" spans="1:1">
      <c r="A18" t="s">
        <v>688</v>
      </c>
    </row>
    <row r="19" spans="1:1">
      <c r="A19" t="s">
        <v>689</v>
      </c>
    </row>
    <row r="20" spans="1:1">
      <c r="A20" t="s">
        <v>690</v>
      </c>
    </row>
    <row r="21" spans="1:1">
      <c r="A21" t="s">
        <v>691</v>
      </c>
    </row>
    <row r="22" spans="1:1">
      <c r="A22" t="s">
        <v>692</v>
      </c>
    </row>
    <row r="23" spans="1:1">
      <c r="A23" t="s">
        <v>693</v>
      </c>
    </row>
    <row r="24" spans="1:1">
      <c r="A24" t="s">
        <v>694</v>
      </c>
    </row>
    <row r="25" spans="1:1">
      <c r="A25" t="s">
        <v>695</v>
      </c>
    </row>
    <row r="26" spans="1:1">
      <c r="A26" t="s">
        <v>696</v>
      </c>
    </row>
    <row r="27" spans="1:1">
      <c r="A27" t="s">
        <v>697</v>
      </c>
    </row>
    <row r="28" spans="1:1">
      <c r="A28" t="s">
        <v>698</v>
      </c>
    </row>
    <row r="29" spans="1:1">
      <c r="A29" t="s">
        <v>699</v>
      </c>
    </row>
    <row r="30" spans="1:1">
      <c r="A30" t="s">
        <v>700</v>
      </c>
    </row>
    <row r="31" spans="1:1">
      <c r="A31" t="s">
        <v>701</v>
      </c>
    </row>
    <row r="32" spans="1:1">
      <c r="A32" t="s">
        <v>702</v>
      </c>
    </row>
    <row r="33" spans="1:1">
      <c r="A33" t="s">
        <v>703</v>
      </c>
    </row>
    <row r="34" spans="1:1">
      <c r="A34" t="s">
        <v>704</v>
      </c>
    </row>
    <row r="35" spans="1:1">
      <c r="A35" t="s">
        <v>705</v>
      </c>
    </row>
    <row r="36" spans="1:1">
      <c r="A36" t="s">
        <v>706</v>
      </c>
    </row>
    <row r="37" spans="1:1">
      <c r="A37" t="s">
        <v>707</v>
      </c>
    </row>
    <row r="38" spans="1:1">
      <c r="A38" t="s">
        <v>708</v>
      </c>
    </row>
    <row r="39" spans="1:1">
      <c r="A39" t="s">
        <v>709</v>
      </c>
    </row>
    <row r="40" spans="1:1">
      <c r="A40" t="s">
        <v>710</v>
      </c>
    </row>
    <row r="41" spans="1:1">
      <c r="A41" t="s">
        <v>711</v>
      </c>
    </row>
    <row r="42" spans="1:1">
      <c r="A42" t="s">
        <v>712</v>
      </c>
    </row>
    <row r="43" spans="1:1">
      <c r="A43" t="s">
        <v>713</v>
      </c>
    </row>
    <row r="44" spans="1:1">
      <c r="A44" t="s">
        <v>146</v>
      </c>
    </row>
    <row r="45" spans="1:1">
      <c r="A45" t="s">
        <v>714</v>
      </c>
    </row>
    <row r="46" spans="1:1">
      <c r="A46" t="s">
        <v>715</v>
      </c>
    </row>
    <row r="47" spans="1:1">
      <c r="A47" t="s">
        <v>716</v>
      </c>
    </row>
    <row r="48" spans="1:1">
      <c r="A48" t="s">
        <v>717</v>
      </c>
    </row>
    <row r="49" spans="1:1">
      <c r="A49" t="s">
        <v>718</v>
      </c>
    </row>
    <row r="50" spans="1:1">
      <c r="A50" t="s">
        <v>719</v>
      </c>
    </row>
    <row r="51" spans="1:1">
      <c r="A51" t="s">
        <v>720</v>
      </c>
    </row>
    <row r="52" spans="1:1">
      <c r="A52" t="s">
        <v>721</v>
      </c>
    </row>
    <row r="53" spans="1:1">
      <c r="A53" t="s">
        <v>722</v>
      </c>
    </row>
    <row r="54" spans="1:1">
      <c r="A54" t="s">
        <v>723</v>
      </c>
    </row>
    <row r="55" spans="1:1">
      <c r="A55" t="s">
        <v>114</v>
      </c>
    </row>
    <row r="56" spans="1:1">
      <c r="A56" t="s">
        <v>724</v>
      </c>
    </row>
    <row r="57" spans="1:1">
      <c r="A57" t="s">
        <v>725</v>
      </c>
    </row>
    <row r="58" spans="1:1">
      <c r="A58" t="s">
        <v>726</v>
      </c>
    </row>
    <row r="59" spans="1:1">
      <c r="A59" t="s">
        <v>727</v>
      </c>
    </row>
    <row r="60" spans="1:1">
      <c r="A60" t="s">
        <v>728</v>
      </c>
    </row>
    <row r="61" spans="1:1">
      <c r="A61" t="s">
        <v>153</v>
      </c>
    </row>
    <row r="62" spans="1:1">
      <c r="A62" t="s">
        <v>160</v>
      </c>
    </row>
    <row r="63" spans="1:1">
      <c r="A63" t="s">
        <v>729</v>
      </c>
    </row>
    <row r="64" spans="1:1">
      <c r="A64" t="s">
        <v>452</v>
      </c>
    </row>
    <row r="65" spans="1:1">
      <c r="A65" t="s">
        <v>730</v>
      </c>
    </row>
    <row r="66" spans="1:1">
      <c r="A66" t="s">
        <v>731</v>
      </c>
    </row>
    <row r="67" spans="1:1">
      <c r="A67" t="s">
        <v>732</v>
      </c>
    </row>
    <row r="68" spans="1:1">
      <c r="A68" t="s">
        <v>733</v>
      </c>
    </row>
    <row r="69" spans="1:1">
      <c r="A69" t="s">
        <v>734</v>
      </c>
    </row>
    <row r="70" spans="1:1">
      <c r="A70" t="s">
        <v>735</v>
      </c>
    </row>
    <row r="71" spans="1:1">
      <c r="A71" t="s">
        <v>736</v>
      </c>
    </row>
    <row r="72" spans="1:1">
      <c r="A72" t="s">
        <v>737</v>
      </c>
    </row>
    <row r="73" spans="1:1">
      <c r="A73" t="s">
        <v>738</v>
      </c>
    </row>
    <row r="74" spans="1:1">
      <c r="A74" t="s">
        <v>739</v>
      </c>
    </row>
    <row r="75" spans="1:1">
      <c r="A75" t="s">
        <v>740</v>
      </c>
    </row>
    <row r="76" spans="1:1">
      <c r="A76" t="s">
        <v>741</v>
      </c>
    </row>
    <row r="77" spans="1:1">
      <c r="A77" t="s">
        <v>742</v>
      </c>
    </row>
    <row r="78" spans="1:1">
      <c r="A78" t="s">
        <v>743</v>
      </c>
    </row>
    <row r="79" spans="1:1">
      <c r="A79" t="s">
        <v>744</v>
      </c>
    </row>
    <row r="80" spans="1:1">
      <c r="A80" t="s">
        <v>745</v>
      </c>
    </row>
    <row r="81" spans="1:1">
      <c r="A81" t="s">
        <v>746</v>
      </c>
    </row>
    <row r="82" spans="1:1">
      <c r="A82" t="s">
        <v>747</v>
      </c>
    </row>
    <row r="83" spans="1:1">
      <c r="A83" t="s">
        <v>748</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C35270-5F50-489F-81A8-86430AF64359}"/>
</file>

<file path=customXml/itemProps2.xml><?xml version="1.0" encoding="utf-8"?>
<ds:datastoreItem xmlns:ds="http://schemas.openxmlformats.org/officeDocument/2006/customXml" ds:itemID="{20816333-575B-4274-8A3E-18699B071E90}"/>
</file>

<file path=customXml/itemProps3.xml><?xml version="1.0" encoding="utf-8"?>
<ds:datastoreItem xmlns:ds="http://schemas.openxmlformats.org/officeDocument/2006/customXml" ds:itemID="{7921AF10-0BF8-441A-BDBA-64AF3E09D4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